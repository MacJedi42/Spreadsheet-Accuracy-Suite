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010" yWindow="5760" windowWidth="13190" windowHeight="3500" tabRatio="617" firstSheet="1" activeTab="3"/>
  </bookViews>
  <sheets>
    <sheet name="TWK" sheetId="1" r:id="rId1"/>
    <sheet name="NXTMONTH" sheetId="2" r:id="rId2"/>
    <sheet name="THREEMONTH" sheetId="3" r:id="rId3"/>
    <sheet name="New Figure 8" sheetId="7" r:id="rId4"/>
    <sheet name="Figure 8_data" sheetId="6" r:id="rId5"/>
    <sheet name="Table 9_data" sheetId="8" r:id="rId6"/>
    <sheet name="New Table 9" sheetId="5" r:id="rId7"/>
  </sheets>
  <calcPr calcId="145621"/>
</workbook>
</file>

<file path=xl/calcChain.xml><?xml version="1.0" encoding="utf-8"?>
<calcChain xmlns="http://schemas.openxmlformats.org/spreadsheetml/2006/main">
  <c r="I18" i="5" l="1"/>
  <c r="H18" i="5"/>
  <c r="G18" i="5"/>
  <c r="F18" i="5"/>
  <c r="E18" i="5"/>
  <c r="I17" i="5"/>
  <c r="H17" i="5"/>
  <c r="G17" i="5"/>
  <c r="F17" i="5"/>
  <c r="E17" i="5"/>
  <c r="D17" i="5"/>
  <c r="C17" i="5"/>
  <c r="I15" i="5"/>
  <c r="H15" i="5"/>
  <c r="G15" i="5"/>
  <c r="F15" i="5"/>
  <c r="E15" i="5"/>
  <c r="D15" i="5"/>
  <c r="C15" i="5"/>
  <c r="I14" i="5"/>
  <c r="H14" i="5"/>
  <c r="G14" i="5"/>
  <c r="F14" i="5"/>
  <c r="E14" i="5"/>
  <c r="D14" i="5"/>
  <c r="C14" i="5"/>
  <c r="I7" i="5"/>
  <c r="H7" i="5"/>
  <c r="G7" i="5"/>
  <c r="F7" i="5"/>
  <c r="E7" i="5"/>
  <c r="D7" i="5"/>
  <c r="C7" i="5"/>
  <c r="I6" i="5"/>
  <c r="H6" i="5"/>
  <c r="G6" i="5"/>
  <c r="F6" i="5"/>
  <c r="E6" i="5"/>
  <c r="D6" i="5"/>
  <c r="C6" i="5"/>
  <c r="AU622" i="8"/>
  <c r="AT622" i="8"/>
  <c r="AK622" i="8"/>
  <c r="AA622" i="8"/>
  <c r="Z622" i="8"/>
  <c r="Y622" i="8"/>
  <c r="X622" i="8"/>
  <c r="W622" i="8"/>
  <c r="V622" i="8"/>
  <c r="U622" i="8"/>
  <c r="T622" i="8"/>
  <c r="O622" i="8"/>
  <c r="M622" i="8"/>
  <c r="L622" i="8"/>
  <c r="K622" i="8"/>
  <c r="I622" i="8"/>
  <c r="R622" i="8" s="1"/>
  <c r="H622" i="8"/>
  <c r="AJ622" i="8" s="1"/>
  <c r="G622" i="8"/>
  <c r="AS622" i="8" s="1"/>
  <c r="F622" i="8"/>
  <c r="AR622" i="8" s="1"/>
  <c r="E622" i="8"/>
  <c r="N622" i="8" s="1"/>
  <c r="D622" i="8"/>
  <c r="AP622" i="8" s="1"/>
  <c r="AM622" i="8" s="1"/>
  <c r="C622" i="8"/>
  <c r="AO622" i="8" s="1"/>
  <c r="B622" i="8"/>
  <c r="AN622" i="8" s="1"/>
  <c r="A622" i="8"/>
  <c r="E834" i="6"/>
  <c r="D834" i="6"/>
  <c r="B834" i="6"/>
  <c r="I834" i="6" s="1"/>
  <c r="A834" i="6"/>
  <c r="A567" i="3"/>
  <c r="A567" i="2"/>
  <c r="A567" i="1"/>
  <c r="AE622" i="8" l="1"/>
  <c r="AF622" i="8"/>
  <c r="AC622" i="8" s="1"/>
  <c r="AG622" i="8"/>
  <c r="P622" i="8"/>
  <c r="AH622" i="8"/>
  <c r="AQ622" i="8"/>
  <c r="Q622" i="8"/>
  <c r="AI622" i="8"/>
  <c r="AD622" i="8"/>
  <c r="C834" i="6"/>
  <c r="F834" i="6"/>
  <c r="G834" i="6"/>
  <c r="H834" i="6"/>
  <c r="AR621" i="8"/>
  <c r="AQ621" i="8"/>
  <c r="AH621" i="8"/>
  <c r="AA621" i="8"/>
  <c r="Z621" i="8"/>
  <c r="Y621" i="8"/>
  <c r="X621" i="8"/>
  <c r="W621" i="8"/>
  <c r="V621" i="8"/>
  <c r="U621" i="8"/>
  <c r="T621" i="8"/>
  <c r="Q621" i="8"/>
  <c r="P621" i="8"/>
  <c r="K621" i="8"/>
  <c r="I621" i="8"/>
  <c r="R621" i="8" s="1"/>
  <c r="H621" i="8"/>
  <c r="AJ621" i="8" s="1"/>
  <c r="G621" i="8"/>
  <c r="AS621" i="8" s="1"/>
  <c r="F621" i="8"/>
  <c r="O621" i="8" s="1"/>
  <c r="E621" i="8"/>
  <c r="AG621" i="8" s="1"/>
  <c r="D621" i="8"/>
  <c r="AP621" i="8" s="1"/>
  <c r="AM621" i="8" s="1"/>
  <c r="C621" i="8"/>
  <c r="AO621" i="8" s="1"/>
  <c r="B621" i="8"/>
  <c r="AN621" i="8" s="1"/>
  <c r="A621" i="8"/>
  <c r="E833" i="6"/>
  <c r="D833" i="6"/>
  <c r="B833" i="6"/>
  <c r="I833" i="6" s="1"/>
  <c r="A833" i="6"/>
  <c r="A566" i="3"/>
  <c r="A566" i="2"/>
  <c r="A566" i="1"/>
  <c r="AK621" i="8" l="1"/>
  <c r="AT621" i="8"/>
  <c r="L621" i="8"/>
  <c r="AD621" i="8"/>
  <c r="AU621" i="8"/>
  <c r="M621" i="8"/>
  <c r="AE621" i="8"/>
  <c r="N621" i="8"/>
  <c r="AF621" i="8"/>
  <c r="AC621" i="8" s="1"/>
  <c r="AI621" i="8"/>
  <c r="C833" i="6"/>
  <c r="G833" i="6"/>
  <c r="F833" i="6"/>
  <c r="H833" i="6"/>
  <c r="I620" i="8"/>
  <c r="AU620" i="8"/>
  <c r="H620" i="8"/>
  <c r="AT620" i="8"/>
  <c r="G620" i="8"/>
  <c r="AS620" i="8"/>
  <c r="F620" i="8"/>
  <c r="AR620" i="8"/>
  <c r="E620" i="8"/>
  <c r="AQ620" i="8"/>
  <c r="D620" i="8"/>
  <c r="AP620" i="8"/>
  <c r="C620" i="8"/>
  <c r="AO620" i="8"/>
  <c r="B620" i="8"/>
  <c r="AN620" i="8"/>
  <c r="AM620" i="8"/>
  <c r="AA620" i="8"/>
  <c r="AK620" i="8"/>
  <c r="Z620" i="8"/>
  <c r="AJ620" i="8"/>
  <c r="Y620" i="8"/>
  <c r="AI620" i="8"/>
  <c r="X620" i="8"/>
  <c r="AH620" i="8"/>
  <c r="W620" i="8"/>
  <c r="AG620" i="8"/>
  <c r="V620" i="8"/>
  <c r="AF620" i="8"/>
  <c r="U620" i="8"/>
  <c r="AE620" i="8"/>
  <c r="T620" i="8"/>
  <c r="AD620" i="8"/>
  <c r="AC620" i="8"/>
  <c r="R620" i="8"/>
  <c r="Q620" i="8"/>
  <c r="P620" i="8"/>
  <c r="O620" i="8"/>
  <c r="N620" i="8"/>
  <c r="M620" i="8"/>
  <c r="L620" i="8"/>
  <c r="K620" i="8"/>
  <c r="A620" i="8"/>
  <c r="B832" i="6"/>
  <c r="D832" i="6"/>
  <c r="I832" i="6"/>
  <c r="H832" i="6"/>
  <c r="G832" i="6"/>
  <c r="F832" i="6"/>
  <c r="E832" i="6"/>
  <c r="C832" i="6"/>
  <c r="A832" i="6"/>
  <c r="A565" i="3"/>
  <c r="A565" i="2"/>
  <c r="A565" i="1"/>
  <c r="I619" i="8"/>
  <c r="AU619" i="8"/>
  <c r="H619" i="8"/>
  <c r="AT619" i="8"/>
  <c r="G619" i="8"/>
  <c r="AS619" i="8"/>
  <c r="F619" i="8"/>
  <c r="AR619" i="8"/>
  <c r="E619" i="8"/>
  <c r="AQ619" i="8"/>
  <c r="D619" i="8"/>
  <c r="AP619" i="8"/>
  <c r="C619" i="8"/>
  <c r="AO619" i="8"/>
  <c r="B619" i="8"/>
  <c r="AN619" i="8"/>
  <c r="AM619" i="8"/>
  <c r="AA619" i="8"/>
  <c r="AK619" i="8"/>
  <c r="Z619" i="8"/>
  <c r="AJ619" i="8"/>
  <c r="Y619" i="8"/>
  <c r="AI619" i="8"/>
  <c r="X619" i="8"/>
  <c r="AH619" i="8"/>
  <c r="W619" i="8"/>
  <c r="AG619" i="8"/>
  <c r="V619" i="8"/>
  <c r="AF619" i="8"/>
  <c r="U619" i="8"/>
  <c r="AE619" i="8"/>
  <c r="T619" i="8"/>
  <c r="AD619" i="8"/>
  <c r="AC619" i="8"/>
  <c r="R619" i="8"/>
  <c r="Q619" i="8"/>
  <c r="P619" i="8"/>
  <c r="O619" i="8"/>
  <c r="N619" i="8"/>
  <c r="M619" i="8"/>
  <c r="L619" i="8"/>
  <c r="K619" i="8"/>
  <c r="A619" i="8"/>
  <c r="B831" i="6"/>
  <c r="D831" i="6"/>
  <c r="I831" i="6"/>
  <c r="H831" i="6"/>
  <c r="G831" i="6"/>
  <c r="F831" i="6"/>
  <c r="E831" i="6"/>
  <c r="C831" i="6"/>
  <c r="A831" i="6"/>
  <c r="A564" i="3"/>
  <c r="A564" i="2"/>
  <c r="A564" i="1"/>
  <c r="I618" i="8"/>
  <c r="AU618" i="8"/>
  <c r="H618" i="8"/>
  <c r="AT618" i="8"/>
  <c r="G618" i="8"/>
  <c r="AS618" i="8"/>
  <c r="F618" i="8"/>
  <c r="AR618" i="8"/>
  <c r="E618" i="8"/>
  <c r="AQ618" i="8"/>
  <c r="D618" i="8"/>
  <c r="AP618" i="8"/>
  <c r="C618" i="8"/>
  <c r="AO618" i="8"/>
  <c r="B618" i="8"/>
  <c r="AN618" i="8"/>
  <c r="AM618" i="8"/>
  <c r="AA618" i="8"/>
  <c r="AK618" i="8"/>
  <c r="Z618" i="8"/>
  <c r="AJ618" i="8"/>
  <c r="Y618" i="8"/>
  <c r="AI618" i="8"/>
  <c r="X618" i="8"/>
  <c r="AH618" i="8"/>
  <c r="W618" i="8"/>
  <c r="AG618" i="8"/>
  <c r="V618" i="8"/>
  <c r="AF618" i="8"/>
  <c r="U618" i="8"/>
  <c r="AE618" i="8"/>
  <c r="T618" i="8"/>
  <c r="AD618" i="8"/>
  <c r="AC618" i="8"/>
  <c r="R618" i="8"/>
  <c r="Q618" i="8"/>
  <c r="P618" i="8"/>
  <c r="O618" i="8"/>
  <c r="N618" i="8"/>
  <c r="M618" i="8"/>
  <c r="L618" i="8"/>
  <c r="K618" i="8"/>
  <c r="A618" i="8"/>
  <c r="B830" i="6"/>
  <c r="D830" i="6"/>
  <c r="I830" i="6"/>
  <c r="H830" i="6"/>
  <c r="G830" i="6"/>
  <c r="F830" i="6"/>
  <c r="E830" i="6"/>
  <c r="C830" i="6"/>
  <c r="A830" i="6"/>
  <c r="A563" i="3"/>
  <c r="A563" i="1"/>
  <c r="A563" i="2"/>
  <c r="I617" i="8"/>
  <c r="AU617" i="8"/>
  <c r="H617" i="8"/>
  <c r="AT617" i="8"/>
  <c r="G617" i="8"/>
  <c r="AS617" i="8"/>
  <c r="F617" i="8"/>
  <c r="AR617" i="8"/>
  <c r="E617" i="8"/>
  <c r="AQ617" i="8"/>
  <c r="D617" i="8"/>
  <c r="AP617" i="8"/>
  <c r="C617" i="8"/>
  <c r="AO617" i="8"/>
  <c r="B617" i="8"/>
  <c r="AN617" i="8"/>
  <c r="AM617" i="8"/>
  <c r="AA617" i="8"/>
  <c r="AK617" i="8"/>
  <c r="Z617" i="8"/>
  <c r="AJ617" i="8"/>
  <c r="Y617" i="8"/>
  <c r="AI617" i="8"/>
  <c r="X617" i="8"/>
  <c r="AH617" i="8"/>
  <c r="W617" i="8"/>
  <c r="AG617" i="8"/>
  <c r="V617" i="8"/>
  <c r="AF617" i="8"/>
  <c r="U617" i="8"/>
  <c r="AE617" i="8"/>
  <c r="T617" i="8"/>
  <c r="AD617" i="8"/>
  <c r="AC617" i="8"/>
  <c r="R617" i="8"/>
  <c r="Q617" i="8"/>
  <c r="P617" i="8"/>
  <c r="O617" i="8"/>
  <c r="N617" i="8"/>
  <c r="M617" i="8"/>
  <c r="L617" i="8"/>
  <c r="K617" i="8"/>
  <c r="A617" i="8"/>
  <c r="B829" i="6"/>
  <c r="D829" i="6"/>
  <c r="I829" i="6"/>
  <c r="H829" i="6"/>
  <c r="G829" i="6"/>
  <c r="F829" i="6"/>
  <c r="E829" i="6"/>
  <c r="C829" i="6"/>
  <c r="A829" i="6"/>
  <c r="A562" i="3"/>
  <c r="A562" i="2"/>
  <c r="A562" i="1"/>
  <c r="AS616" i="8"/>
  <c r="AR616" i="8"/>
  <c r="AQ616" i="8"/>
  <c r="AJ616" i="8"/>
  <c r="AH616" i="8"/>
  <c r="AA616" i="8"/>
  <c r="Z616" i="8"/>
  <c r="Y616" i="8"/>
  <c r="X616" i="8"/>
  <c r="W616" i="8"/>
  <c r="V616" i="8"/>
  <c r="U616" i="8"/>
  <c r="T616" i="8"/>
  <c r="P616" i="8"/>
  <c r="K616" i="8"/>
  <c r="I616" i="8"/>
  <c r="AU616" i="8"/>
  <c r="H616" i="8"/>
  <c r="Q616" i="8"/>
  <c r="G616" i="8"/>
  <c r="AI616" i="8"/>
  <c r="F616" i="8"/>
  <c r="O616" i="8"/>
  <c r="E616" i="8"/>
  <c r="AG616" i="8"/>
  <c r="D616" i="8"/>
  <c r="AP616" i="8"/>
  <c r="AM616" i="8"/>
  <c r="C616" i="8"/>
  <c r="AO616" i="8"/>
  <c r="B616" i="8"/>
  <c r="AN616" i="8"/>
  <c r="A616" i="8"/>
  <c r="I828" i="6"/>
  <c r="H828" i="6"/>
  <c r="G828" i="6"/>
  <c r="F828" i="6"/>
  <c r="E828" i="6"/>
  <c r="D828" i="6"/>
  <c r="B828" i="6"/>
  <c r="C828" i="6"/>
  <c r="A828" i="6"/>
  <c r="A561" i="3"/>
  <c r="A561" i="2"/>
  <c r="A561" i="1"/>
  <c r="AK616" i="8"/>
  <c r="AT616" i="8"/>
  <c r="L616" i="8"/>
  <c r="AD616" i="8"/>
  <c r="M616" i="8"/>
  <c r="AE616" i="8"/>
  <c r="N616" i="8"/>
  <c r="AF616" i="8"/>
  <c r="AC616" i="8"/>
  <c r="R616" i="8"/>
  <c r="AS615" i="8"/>
  <c r="AR615" i="8"/>
  <c r="AI615" i="8"/>
  <c r="AA615" i="8"/>
  <c r="Z615" i="8"/>
  <c r="Y615" i="8"/>
  <c r="X615" i="8"/>
  <c r="W615" i="8"/>
  <c r="V615" i="8"/>
  <c r="U615" i="8"/>
  <c r="T615" i="8"/>
  <c r="Q615" i="8"/>
  <c r="K615" i="8"/>
  <c r="I615" i="8"/>
  <c r="R615" i="8"/>
  <c r="H615" i="8"/>
  <c r="AT615" i="8"/>
  <c r="G615" i="8"/>
  <c r="P615" i="8"/>
  <c r="F615" i="8"/>
  <c r="AH615" i="8"/>
  <c r="E615" i="8"/>
  <c r="AQ615" i="8"/>
  <c r="D615" i="8"/>
  <c r="AP615" i="8"/>
  <c r="AM615" i="8"/>
  <c r="C615" i="8"/>
  <c r="AO615" i="8"/>
  <c r="B615" i="8"/>
  <c r="AD615" i="8"/>
  <c r="A615" i="8"/>
  <c r="I827" i="6"/>
  <c r="H827" i="6"/>
  <c r="G827" i="6"/>
  <c r="F827" i="6"/>
  <c r="E827" i="6"/>
  <c r="D827" i="6"/>
  <c r="B827" i="6"/>
  <c r="C827" i="6"/>
  <c r="A827" i="6"/>
  <c r="A560" i="3"/>
  <c r="A560" i="2"/>
  <c r="A560" i="1"/>
  <c r="M615" i="8"/>
  <c r="AE615" i="8"/>
  <c r="AN615" i="8"/>
  <c r="AK615" i="8"/>
  <c r="L615" i="8"/>
  <c r="AU615" i="8"/>
  <c r="N615" i="8"/>
  <c r="AF615" i="8"/>
  <c r="AC615" i="8"/>
  <c r="AJ615" i="8"/>
  <c r="O615" i="8"/>
  <c r="AG615" i="8"/>
  <c r="C10" i="5"/>
  <c r="A614" i="8"/>
  <c r="B614" i="8"/>
  <c r="AD614" i="8"/>
  <c r="C614" i="8"/>
  <c r="D614" i="8"/>
  <c r="AF614" i="8"/>
  <c r="AC614" i="8"/>
  <c r="E614" i="8"/>
  <c r="F614" i="8"/>
  <c r="G614" i="8"/>
  <c r="H614" i="8"/>
  <c r="I614" i="8"/>
  <c r="AU614" i="8"/>
  <c r="K614" i="8"/>
  <c r="L614" i="8"/>
  <c r="M614" i="8"/>
  <c r="N614" i="8"/>
  <c r="O614" i="8"/>
  <c r="P614" i="8"/>
  <c r="Q614" i="8"/>
  <c r="T614" i="8"/>
  <c r="U614" i="8"/>
  <c r="V614" i="8"/>
  <c r="W614" i="8"/>
  <c r="X614" i="8"/>
  <c r="Y614" i="8"/>
  <c r="Z614" i="8"/>
  <c r="AA614" i="8"/>
  <c r="AE614" i="8"/>
  <c r="AG614" i="8"/>
  <c r="AH614" i="8"/>
  <c r="AI614" i="8"/>
  <c r="AJ614" i="8"/>
  <c r="AK614" i="8"/>
  <c r="AO614" i="8"/>
  <c r="AP614" i="8"/>
  <c r="AM614" i="8"/>
  <c r="AQ614" i="8"/>
  <c r="AR614" i="8"/>
  <c r="AS614" i="8"/>
  <c r="AT614" i="8"/>
  <c r="C826" i="6"/>
  <c r="D826" i="6"/>
  <c r="F826" i="6"/>
  <c r="E826" i="6"/>
  <c r="G826" i="6"/>
  <c r="H826" i="6"/>
  <c r="B826" i="6"/>
  <c r="A826" i="6"/>
  <c r="A559" i="3"/>
  <c r="A559" i="2"/>
  <c r="A559" i="1"/>
  <c r="R614" i="8"/>
  <c r="AN614" i="8"/>
  <c r="I826" i="6"/>
  <c r="AQ613" i="8"/>
  <c r="AP613" i="8"/>
  <c r="AM613" i="8"/>
  <c r="AG613" i="8"/>
  <c r="AA613" i="8"/>
  <c r="Z613" i="8"/>
  <c r="Y613" i="8"/>
  <c r="X613" i="8"/>
  <c r="W613" i="8"/>
  <c r="V613" i="8"/>
  <c r="U613" i="8"/>
  <c r="T613" i="8"/>
  <c r="Q613" i="8"/>
  <c r="P613" i="8"/>
  <c r="K613" i="8"/>
  <c r="I613" i="8"/>
  <c r="R613" i="8"/>
  <c r="H613" i="8"/>
  <c r="AJ613" i="8"/>
  <c r="G613" i="8"/>
  <c r="AS613" i="8"/>
  <c r="F613" i="8"/>
  <c r="AR613" i="8"/>
  <c r="E613" i="8"/>
  <c r="N613" i="8"/>
  <c r="D613" i="8"/>
  <c r="AF613" i="8"/>
  <c r="AC613" i="8"/>
  <c r="C613" i="8"/>
  <c r="AO613" i="8"/>
  <c r="B613" i="8"/>
  <c r="AN613" i="8"/>
  <c r="A613" i="8"/>
  <c r="E825" i="6"/>
  <c r="D825" i="6"/>
  <c r="F825" i="6"/>
  <c r="C825" i="6"/>
  <c r="B825" i="6"/>
  <c r="H825" i="6"/>
  <c r="A825" i="6"/>
  <c r="A558" i="3"/>
  <c r="A558" i="2"/>
  <c r="A558" i="1"/>
  <c r="AK613" i="8"/>
  <c r="AT613" i="8"/>
  <c r="L613" i="8"/>
  <c r="AD613" i="8"/>
  <c r="AU613" i="8"/>
  <c r="M613" i="8"/>
  <c r="AE613" i="8"/>
  <c r="O613" i="8"/>
  <c r="AH613" i="8"/>
  <c r="AI613" i="8"/>
  <c r="G825" i="6"/>
  <c r="I825" i="6"/>
  <c r="AP612" i="8"/>
  <c r="AM612" i="8"/>
  <c r="AO612" i="8"/>
  <c r="AF612" i="8"/>
  <c r="AC612" i="8"/>
  <c r="AA612" i="8"/>
  <c r="Z612" i="8"/>
  <c r="Y612" i="8"/>
  <c r="X612" i="8"/>
  <c r="W612" i="8"/>
  <c r="V612" i="8"/>
  <c r="U612" i="8"/>
  <c r="T612" i="8"/>
  <c r="K612" i="8"/>
  <c r="I612" i="8"/>
  <c r="AU612" i="8"/>
  <c r="H612" i="8"/>
  <c r="AJ612" i="8"/>
  <c r="G612" i="8"/>
  <c r="AI612" i="8"/>
  <c r="F612" i="8"/>
  <c r="AR612" i="8"/>
  <c r="E612" i="8"/>
  <c r="AG612" i="8"/>
  <c r="D612" i="8"/>
  <c r="M612" i="8"/>
  <c r="C612" i="8"/>
  <c r="L612" i="8"/>
  <c r="B612" i="8"/>
  <c r="AD612" i="8"/>
  <c r="A612" i="8"/>
  <c r="C9" i="5"/>
  <c r="H824" i="6"/>
  <c r="G824" i="6"/>
  <c r="E824" i="6"/>
  <c r="D824" i="6"/>
  <c r="I824" i="6"/>
  <c r="C824" i="6"/>
  <c r="B824" i="6"/>
  <c r="A824" i="6"/>
  <c r="A557" i="3"/>
  <c r="A557" i="2"/>
  <c r="A557" i="1"/>
  <c r="O612" i="8"/>
  <c r="AQ612" i="8"/>
  <c r="AS612" i="8"/>
  <c r="AE612" i="8"/>
  <c r="AN612" i="8"/>
  <c r="AK612" i="8"/>
  <c r="AT612" i="8"/>
  <c r="N612" i="8"/>
  <c r="P612" i="8"/>
  <c r="AH612" i="8"/>
  <c r="Q612" i="8"/>
  <c r="R612" i="8"/>
  <c r="F824" i="6"/>
  <c r="AU611" i="8"/>
  <c r="AT611" i="8"/>
  <c r="AR611" i="8"/>
  <c r="AQ611" i="8"/>
  <c r="AK611" i="8"/>
  <c r="AH611" i="8"/>
  <c r="AA611" i="8"/>
  <c r="Z611" i="8"/>
  <c r="Y611" i="8"/>
  <c r="X611" i="8"/>
  <c r="W611" i="8"/>
  <c r="V611" i="8"/>
  <c r="U611" i="8"/>
  <c r="T611" i="8"/>
  <c r="K611" i="8"/>
  <c r="I611" i="8"/>
  <c r="R611" i="8"/>
  <c r="H611" i="8"/>
  <c r="AJ611" i="8"/>
  <c r="G611" i="8"/>
  <c r="AS611" i="8"/>
  <c r="F611" i="8"/>
  <c r="O611" i="8"/>
  <c r="E611" i="8"/>
  <c r="AG611" i="8"/>
  <c r="D611" i="8"/>
  <c r="AP611" i="8"/>
  <c r="AM611" i="8"/>
  <c r="C611" i="8"/>
  <c r="AE611" i="8"/>
  <c r="B611" i="8"/>
  <c r="AN611" i="8"/>
  <c r="A611" i="8"/>
  <c r="H823" i="6"/>
  <c r="E823" i="6"/>
  <c r="D823" i="6"/>
  <c r="F823" i="6"/>
  <c r="B823" i="6"/>
  <c r="G823" i="6"/>
  <c r="A823" i="6"/>
  <c r="A556" i="3"/>
  <c r="A556" i="2"/>
  <c r="A556" i="1"/>
  <c r="P611" i="8"/>
  <c r="AD611" i="8"/>
  <c r="N611" i="8"/>
  <c r="AF611" i="8"/>
  <c r="AC611" i="8"/>
  <c r="AO611" i="8"/>
  <c r="L611" i="8"/>
  <c r="M611" i="8"/>
  <c r="Q611" i="8"/>
  <c r="AI611" i="8"/>
  <c r="I823" i="6"/>
  <c r="C823" i="6"/>
  <c r="AR610" i="8"/>
  <c r="AQ610" i="8"/>
  <c r="AK610" i="8"/>
  <c r="AH610" i="8"/>
  <c r="AE610" i="8"/>
  <c r="AA610" i="8"/>
  <c r="Z610" i="8"/>
  <c r="Y610" i="8"/>
  <c r="X610" i="8"/>
  <c r="W610" i="8"/>
  <c r="V610" i="8"/>
  <c r="U610" i="8"/>
  <c r="T610" i="8"/>
  <c r="K610" i="8"/>
  <c r="I610" i="8"/>
  <c r="AU610" i="8"/>
  <c r="H610" i="8"/>
  <c r="AT610" i="8"/>
  <c r="G610" i="8"/>
  <c r="AS610" i="8"/>
  <c r="F610" i="8"/>
  <c r="O610" i="8"/>
  <c r="E610" i="8"/>
  <c r="AG610" i="8"/>
  <c r="D610" i="8"/>
  <c r="AP610" i="8"/>
  <c r="AM610" i="8"/>
  <c r="C610" i="8"/>
  <c r="L610" i="8"/>
  <c r="B610" i="8"/>
  <c r="AD610" i="8"/>
  <c r="A610" i="8"/>
  <c r="I822" i="6"/>
  <c r="H822" i="6"/>
  <c r="G822" i="6"/>
  <c r="F822" i="6"/>
  <c r="E822" i="6"/>
  <c r="D822" i="6"/>
  <c r="B822" i="6"/>
  <c r="C822" i="6"/>
  <c r="A822" i="6"/>
  <c r="A555" i="3"/>
  <c r="A555" i="2"/>
  <c r="A555" i="1"/>
  <c r="P610" i="8"/>
  <c r="M610" i="8"/>
  <c r="AN610" i="8"/>
  <c r="N610" i="8"/>
  <c r="AF610" i="8"/>
  <c r="AC610" i="8"/>
  <c r="AO610" i="8"/>
  <c r="Q610" i="8"/>
  <c r="AI610" i="8"/>
  <c r="R610" i="8"/>
  <c r="AJ610" i="8"/>
  <c r="D10" i="5"/>
  <c r="AU609" i="8"/>
  <c r="AT609" i="8"/>
  <c r="AK609" i="8"/>
  <c r="AA609" i="8"/>
  <c r="Z609" i="8"/>
  <c r="Y609" i="8"/>
  <c r="X609" i="8"/>
  <c r="W609" i="8"/>
  <c r="V609" i="8"/>
  <c r="U609" i="8"/>
  <c r="T609" i="8"/>
  <c r="K609" i="8"/>
  <c r="I609" i="8"/>
  <c r="R609" i="8"/>
  <c r="H609" i="8"/>
  <c r="AJ609" i="8"/>
  <c r="G609" i="8"/>
  <c r="AS609" i="8"/>
  <c r="F609" i="8"/>
  <c r="AR609" i="8"/>
  <c r="E609" i="8"/>
  <c r="AQ609" i="8"/>
  <c r="D609" i="8"/>
  <c r="AP609" i="8"/>
  <c r="AM609" i="8"/>
  <c r="C609" i="8"/>
  <c r="AO609" i="8"/>
  <c r="B609" i="8"/>
  <c r="AN609" i="8"/>
  <c r="A609" i="8"/>
  <c r="I821" i="6"/>
  <c r="H821" i="6"/>
  <c r="G821" i="6"/>
  <c r="E821" i="6"/>
  <c r="D821" i="6"/>
  <c r="F821" i="6"/>
  <c r="B821" i="6"/>
  <c r="C821" i="6"/>
  <c r="A821" i="6"/>
  <c r="A554" i="3"/>
  <c r="A554" i="2"/>
  <c r="A554" i="1"/>
  <c r="L609" i="8"/>
  <c r="AD609" i="8"/>
  <c r="M609" i="8"/>
  <c r="AE609" i="8"/>
  <c r="N609" i="8"/>
  <c r="AF609" i="8"/>
  <c r="AC609" i="8"/>
  <c r="O609" i="8"/>
  <c r="AG609" i="8"/>
  <c r="P609" i="8"/>
  <c r="AH609" i="8"/>
  <c r="Q609" i="8"/>
  <c r="AI609" i="8"/>
  <c r="D9" i="5"/>
  <c r="AT608" i="8"/>
  <c r="AS608" i="8"/>
  <c r="AJ608" i="8"/>
  <c r="AA608" i="8"/>
  <c r="Z608" i="8"/>
  <c r="Y608" i="8"/>
  <c r="X608" i="8"/>
  <c r="W608" i="8"/>
  <c r="V608" i="8"/>
  <c r="U608" i="8"/>
  <c r="T608" i="8"/>
  <c r="K608" i="8"/>
  <c r="I608" i="8"/>
  <c r="AK608" i="8"/>
  <c r="H608" i="8"/>
  <c r="Q608" i="8"/>
  <c r="G608" i="8"/>
  <c r="AI608" i="8"/>
  <c r="F608" i="8"/>
  <c r="AR608" i="8"/>
  <c r="E608" i="8"/>
  <c r="AQ608" i="8"/>
  <c r="D608" i="8"/>
  <c r="AP608" i="8"/>
  <c r="AM608" i="8"/>
  <c r="C608" i="8"/>
  <c r="AO608" i="8"/>
  <c r="B608" i="8"/>
  <c r="AN608" i="8"/>
  <c r="A608" i="8"/>
  <c r="I820" i="6"/>
  <c r="H820" i="6"/>
  <c r="E820" i="6"/>
  <c r="D820" i="6"/>
  <c r="F820" i="6"/>
  <c r="B820" i="6"/>
  <c r="G820" i="6"/>
  <c r="A820" i="6"/>
  <c r="A553" i="3"/>
  <c r="A553" i="2"/>
  <c r="A553" i="1"/>
  <c r="L608" i="8"/>
  <c r="AD608" i="8"/>
  <c r="AU608" i="8"/>
  <c r="M608" i="8"/>
  <c r="AE608" i="8"/>
  <c r="N608" i="8"/>
  <c r="AF608" i="8"/>
  <c r="AC608" i="8"/>
  <c r="O608" i="8"/>
  <c r="AG608" i="8"/>
  <c r="P608" i="8"/>
  <c r="AH608" i="8"/>
  <c r="R608" i="8"/>
  <c r="C820" i="6"/>
  <c r="AU607" i="8"/>
  <c r="AR607" i="8"/>
  <c r="AQ607" i="8"/>
  <c r="AH607" i="8"/>
  <c r="AA607" i="8"/>
  <c r="Z607" i="8"/>
  <c r="Y607" i="8"/>
  <c r="X607" i="8"/>
  <c r="W607" i="8"/>
  <c r="V607" i="8"/>
  <c r="U607" i="8"/>
  <c r="T607" i="8"/>
  <c r="K607" i="8"/>
  <c r="I607" i="8"/>
  <c r="AK607" i="8"/>
  <c r="H607" i="8"/>
  <c r="AT607" i="8"/>
  <c r="G607" i="8"/>
  <c r="AS607" i="8"/>
  <c r="F607" i="8"/>
  <c r="O607" i="8"/>
  <c r="E607" i="8"/>
  <c r="AG607" i="8"/>
  <c r="D607" i="8"/>
  <c r="AP607" i="8"/>
  <c r="AM607" i="8"/>
  <c r="C607" i="8"/>
  <c r="AO607" i="8"/>
  <c r="B607" i="8"/>
  <c r="AN607" i="8"/>
  <c r="A607" i="8"/>
  <c r="I819" i="6"/>
  <c r="E819" i="6"/>
  <c r="D819" i="6"/>
  <c r="F819" i="6"/>
  <c r="C819" i="6"/>
  <c r="B819" i="6"/>
  <c r="H819" i="6"/>
  <c r="A819" i="6"/>
  <c r="A552" i="3"/>
  <c r="A552" i="2"/>
  <c r="A552" i="1"/>
  <c r="L607" i="8"/>
  <c r="AD607" i="8"/>
  <c r="M607" i="8"/>
  <c r="AE607" i="8"/>
  <c r="N607" i="8"/>
  <c r="AF607" i="8"/>
  <c r="AC607" i="8"/>
  <c r="P607" i="8"/>
  <c r="Q607" i="8"/>
  <c r="AI607" i="8"/>
  <c r="R607" i="8"/>
  <c r="AJ607" i="8"/>
  <c r="G819" i="6"/>
  <c r="A551" i="3"/>
  <c r="A551" i="2"/>
  <c r="A551" i="1"/>
  <c r="AH606" i="8"/>
  <c r="AA606" i="8"/>
  <c r="Z606" i="8"/>
  <c r="Y606" i="8"/>
  <c r="X606" i="8"/>
  <c r="W606" i="8"/>
  <c r="V606" i="8"/>
  <c r="U606" i="8"/>
  <c r="T606" i="8"/>
  <c r="K606" i="8"/>
  <c r="I606" i="8"/>
  <c r="R606" i="8"/>
  <c r="H606" i="8"/>
  <c r="AT606" i="8"/>
  <c r="G606" i="8"/>
  <c r="AS606" i="8"/>
  <c r="F606" i="8"/>
  <c r="O606" i="8"/>
  <c r="E606" i="8"/>
  <c r="AG606" i="8"/>
  <c r="D606" i="8"/>
  <c r="AP606" i="8"/>
  <c r="C606" i="8"/>
  <c r="AO606" i="8"/>
  <c r="B606" i="8"/>
  <c r="AN606" i="8"/>
  <c r="A606" i="8"/>
  <c r="I818" i="6"/>
  <c r="H818" i="6"/>
  <c r="G818" i="6"/>
  <c r="F818" i="6"/>
  <c r="E818" i="6"/>
  <c r="D818" i="6"/>
  <c r="B818" i="6"/>
  <c r="C818" i="6"/>
  <c r="A818" i="6"/>
  <c r="AM606" i="8"/>
  <c r="AF606" i="8"/>
  <c r="AC606" i="8"/>
  <c r="AR606" i="8"/>
  <c r="AQ606" i="8"/>
  <c r="AK606" i="8"/>
  <c r="L606" i="8"/>
  <c r="AD606" i="8"/>
  <c r="AU606" i="8"/>
  <c r="M606" i="8"/>
  <c r="AE606" i="8"/>
  <c r="P606" i="8"/>
  <c r="Q606" i="8"/>
  <c r="AI606" i="8"/>
  <c r="AJ606" i="8"/>
  <c r="N606" i="8"/>
  <c r="AT605" i="8"/>
  <c r="AJ605" i="8"/>
  <c r="AA605" i="8"/>
  <c r="Z605" i="8"/>
  <c r="Y605" i="8"/>
  <c r="X605" i="8"/>
  <c r="W605" i="8"/>
  <c r="V605" i="8"/>
  <c r="U605" i="8"/>
  <c r="T605" i="8"/>
  <c r="K605" i="8"/>
  <c r="I605" i="8"/>
  <c r="AU605" i="8"/>
  <c r="H605" i="8"/>
  <c r="Q605" i="8"/>
  <c r="G605" i="8"/>
  <c r="AS605" i="8"/>
  <c r="F605" i="8"/>
  <c r="AR605" i="8"/>
  <c r="E605" i="8"/>
  <c r="AQ605" i="8"/>
  <c r="D605" i="8"/>
  <c r="AP605" i="8"/>
  <c r="AM605" i="8"/>
  <c r="C605" i="8"/>
  <c r="AO605" i="8"/>
  <c r="B605" i="8"/>
  <c r="AN605" i="8"/>
  <c r="A605" i="8"/>
  <c r="I817" i="6"/>
  <c r="F817" i="6"/>
  <c r="E817" i="6"/>
  <c r="D817" i="6"/>
  <c r="B817" i="6"/>
  <c r="H817" i="6"/>
  <c r="A817" i="6"/>
  <c r="A550" i="3"/>
  <c r="A550" i="2"/>
  <c r="AK605" i="8"/>
  <c r="L605" i="8"/>
  <c r="AD605" i="8"/>
  <c r="M605" i="8"/>
  <c r="AE605" i="8"/>
  <c r="N605" i="8"/>
  <c r="AF605" i="8"/>
  <c r="AC605" i="8"/>
  <c r="O605" i="8"/>
  <c r="AG605" i="8"/>
  <c r="P605" i="8"/>
  <c r="AH605" i="8"/>
  <c r="AI605" i="8"/>
  <c r="R605" i="8"/>
  <c r="C817" i="6"/>
  <c r="G817" i="6"/>
  <c r="A550" i="1"/>
  <c r="AS604" i="8"/>
  <c r="AR604" i="8"/>
  <c r="AI604" i="8"/>
  <c r="AA604" i="8"/>
  <c r="Z604" i="8"/>
  <c r="Y604" i="8"/>
  <c r="X604" i="8"/>
  <c r="W604" i="8"/>
  <c r="V604" i="8"/>
  <c r="U604" i="8"/>
  <c r="T604" i="8"/>
  <c r="K604" i="8"/>
  <c r="I604" i="8"/>
  <c r="AU604" i="8"/>
  <c r="H604" i="8"/>
  <c r="AT604" i="8"/>
  <c r="G604" i="8"/>
  <c r="P604" i="8"/>
  <c r="F604" i="8"/>
  <c r="AH604" i="8"/>
  <c r="E604" i="8"/>
  <c r="AQ604" i="8"/>
  <c r="D604" i="8"/>
  <c r="AF604" i="8"/>
  <c r="AC604" i="8"/>
  <c r="C604" i="8"/>
  <c r="AE604" i="8"/>
  <c r="B604" i="8"/>
  <c r="AN604" i="8"/>
  <c r="A604" i="8"/>
  <c r="G816" i="6"/>
  <c r="F816" i="6"/>
  <c r="E816" i="6"/>
  <c r="D816" i="6"/>
  <c r="B816" i="6"/>
  <c r="I816" i="6"/>
  <c r="A816" i="6"/>
  <c r="A549" i="3"/>
  <c r="A549" i="2"/>
  <c r="A549" i="1"/>
  <c r="Q604" i="8"/>
  <c r="R604" i="8"/>
  <c r="AJ604" i="8"/>
  <c r="AK604" i="8"/>
  <c r="L604" i="8"/>
  <c r="AD604" i="8"/>
  <c r="N604" i="8"/>
  <c r="AO604" i="8"/>
  <c r="O604" i="8"/>
  <c r="AG604" i="8"/>
  <c r="AP604" i="8"/>
  <c r="AM604" i="8"/>
  <c r="M604" i="8"/>
  <c r="C816" i="6"/>
  <c r="H816" i="6"/>
  <c r="AS603" i="8"/>
  <c r="AR603" i="8"/>
  <c r="AI603" i="8"/>
  <c r="AA603" i="8"/>
  <c r="Z603" i="8"/>
  <c r="Y603" i="8"/>
  <c r="X603" i="8"/>
  <c r="W603" i="8"/>
  <c r="V603" i="8"/>
  <c r="U603" i="8"/>
  <c r="T603" i="8"/>
  <c r="I603" i="8"/>
  <c r="AU603" i="8"/>
  <c r="H603" i="8"/>
  <c r="AT603" i="8"/>
  <c r="G603" i="8"/>
  <c r="P603" i="8"/>
  <c r="F603" i="8"/>
  <c r="AH603" i="8"/>
  <c r="E603" i="8"/>
  <c r="AQ603" i="8"/>
  <c r="D603" i="8"/>
  <c r="AP603" i="8"/>
  <c r="AM603" i="8"/>
  <c r="C603" i="8"/>
  <c r="AO603" i="8"/>
  <c r="B603" i="8"/>
  <c r="AN603" i="8"/>
  <c r="A603" i="8"/>
  <c r="I815" i="6"/>
  <c r="H815" i="6"/>
  <c r="G815" i="6"/>
  <c r="F815" i="6"/>
  <c r="E815" i="6"/>
  <c r="D815" i="6"/>
  <c r="B815" i="6"/>
  <c r="C815" i="6"/>
  <c r="A815" i="6"/>
  <c r="A548" i="3"/>
  <c r="A548" i="2"/>
  <c r="A548" i="1"/>
  <c r="Q603" i="8"/>
  <c r="R603" i="8"/>
  <c r="AJ603" i="8"/>
  <c r="K603" i="8"/>
  <c r="AK603" i="8"/>
  <c r="L603" i="8"/>
  <c r="AD603" i="8"/>
  <c r="M603" i="8"/>
  <c r="AE603" i="8"/>
  <c r="N603" i="8"/>
  <c r="AF603" i="8"/>
  <c r="AC603" i="8"/>
  <c r="O603" i="8"/>
  <c r="AG603" i="8"/>
  <c r="AT602" i="8"/>
  <c r="AS602" i="8"/>
  <c r="AO602" i="8"/>
  <c r="AN602" i="8"/>
  <c r="AJ602" i="8"/>
  <c r="AE602" i="8"/>
  <c r="AA602" i="8"/>
  <c r="Z602" i="8"/>
  <c r="Y602" i="8"/>
  <c r="X602" i="8"/>
  <c r="W602" i="8"/>
  <c r="V602" i="8"/>
  <c r="U602" i="8"/>
  <c r="T602" i="8"/>
  <c r="K602" i="8"/>
  <c r="I602" i="8"/>
  <c r="AU602" i="8"/>
  <c r="H602" i="8"/>
  <c r="Q602" i="8"/>
  <c r="G602" i="8"/>
  <c r="AI602" i="8"/>
  <c r="F602" i="8"/>
  <c r="AR602" i="8"/>
  <c r="E602" i="8"/>
  <c r="AQ602" i="8"/>
  <c r="D602" i="8"/>
  <c r="M602" i="8"/>
  <c r="C602" i="8"/>
  <c r="L602" i="8"/>
  <c r="B602" i="8"/>
  <c r="AD602" i="8"/>
  <c r="A602" i="8"/>
  <c r="I814" i="6"/>
  <c r="E814" i="6"/>
  <c r="D814" i="6"/>
  <c r="F814" i="6"/>
  <c r="B814" i="6"/>
  <c r="H814" i="6"/>
  <c r="A814" i="6"/>
  <c r="A547" i="3"/>
  <c r="A547" i="2"/>
  <c r="A547" i="1"/>
  <c r="N602" i="8"/>
  <c r="AF602" i="8"/>
  <c r="O602" i="8"/>
  <c r="AG602" i="8"/>
  <c r="AP602" i="8"/>
  <c r="P602" i="8"/>
  <c r="AH602" i="8"/>
  <c r="R602" i="8"/>
  <c r="AK602" i="8"/>
  <c r="C814" i="6"/>
  <c r="G814" i="6"/>
  <c r="AP601" i="8"/>
  <c r="AM601" i="8"/>
  <c r="AO601" i="8"/>
  <c r="AF601" i="8"/>
  <c r="AC601" i="8"/>
  <c r="AA601" i="8"/>
  <c r="Z601" i="8"/>
  <c r="Y601" i="8"/>
  <c r="X601" i="8"/>
  <c r="W601" i="8"/>
  <c r="V601" i="8"/>
  <c r="U601" i="8"/>
  <c r="T601" i="8"/>
  <c r="K601" i="8"/>
  <c r="I601" i="8"/>
  <c r="R601" i="8"/>
  <c r="H601" i="8"/>
  <c r="AJ601" i="8"/>
  <c r="G601" i="8"/>
  <c r="AI601" i="8"/>
  <c r="F601" i="8"/>
  <c r="AR601" i="8"/>
  <c r="E601" i="8"/>
  <c r="AQ601" i="8"/>
  <c r="D601" i="8"/>
  <c r="M601" i="8"/>
  <c r="C601" i="8"/>
  <c r="AE601" i="8"/>
  <c r="B601" i="8"/>
  <c r="AN601" i="8"/>
  <c r="A601" i="8"/>
  <c r="H813" i="6"/>
  <c r="G813" i="6"/>
  <c r="E813" i="6"/>
  <c r="D813" i="6"/>
  <c r="F813" i="6"/>
  <c r="C813" i="6"/>
  <c r="B813" i="6"/>
  <c r="A813" i="6"/>
  <c r="A546" i="3"/>
  <c r="A546" i="2"/>
  <c r="A546" i="1"/>
  <c r="AM602" i="8"/>
  <c r="AC602" i="8"/>
  <c r="AK601" i="8"/>
  <c r="AT601" i="8"/>
  <c r="L601" i="8"/>
  <c r="AD601" i="8"/>
  <c r="AU601" i="8"/>
  <c r="AS601" i="8"/>
  <c r="N601" i="8"/>
  <c r="O601" i="8"/>
  <c r="AG601" i="8"/>
  <c r="P601" i="8"/>
  <c r="AH601" i="8"/>
  <c r="Q601" i="8"/>
  <c r="I813" i="6"/>
  <c r="AT600" i="8"/>
  <c r="AS600" i="8"/>
  <c r="AJ600" i="8"/>
  <c r="AA600" i="8"/>
  <c r="Z600" i="8"/>
  <c r="Y600" i="8"/>
  <c r="X600" i="8"/>
  <c r="W600" i="8"/>
  <c r="V600" i="8"/>
  <c r="U600" i="8"/>
  <c r="T600" i="8"/>
  <c r="K600" i="8"/>
  <c r="I600" i="8"/>
  <c r="AU600" i="8"/>
  <c r="H600" i="8"/>
  <c r="Q600" i="8"/>
  <c r="G600" i="8"/>
  <c r="AI600" i="8"/>
  <c r="F600" i="8"/>
  <c r="AR600" i="8"/>
  <c r="E600" i="8"/>
  <c r="AQ600" i="8"/>
  <c r="D600" i="8"/>
  <c r="AP600" i="8"/>
  <c r="AM600" i="8"/>
  <c r="C600" i="8"/>
  <c r="L600" i="8"/>
  <c r="B600" i="8"/>
  <c r="AD600" i="8"/>
  <c r="A600" i="8"/>
  <c r="E812" i="6"/>
  <c r="D812" i="6"/>
  <c r="F812" i="6"/>
  <c r="B812" i="6"/>
  <c r="I812" i="6"/>
  <c r="A812" i="6"/>
  <c r="A545" i="3"/>
  <c r="A545" i="2"/>
  <c r="A545" i="1"/>
  <c r="M600" i="8"/>
  <c r="AE600" i="8"/>
  <c r="AN600" i="8"/>
  <c r="N600" i="8"/>
  <c r="AF600" i="8"/>
  <c r="AC600" i="8"/>
  <c r="AO600" i="8"/>
  <c r="O600" i="8"/>
  <c r="AG600" i="8"/>
  <c r="P600" i="8"/>
  <c r="AH600" i="8"/>
  <c r="AK600" i="8"/>
  <c r="R600" i="8"/>
  <c r="C812" i="6"/>
  <c r="G812" i="6"/>
  <c r="H812" i="6"/>
  <c r="AR599" i="8"/>
  <c r="AQ599" i="8"/>
  <c r="AH599" i="8"/>
  <c r="AE599" i="8"/>
  <c r="AA599" i="8"/>
  <c r="Z599" i="8"/>
  <c r="Y599" i="8"/>
  <c r="X599" i="8"/>
  <c r="W599" i="8"/>
  <c r="V599" i="8"/>
  <c r="U599" i="8"/>
  <c r="T599" i="8"/>
  <c r="R599" i="8"/>
  <c r="P599" i="8"/>
  <c r="K599" i="8"/>
  <c r="I599" i="8"/>
  <c r="AU599" i="8"/>
  <c r="H599" i="8"/>
  <c r="AT599" i="8"/>
  <c r="G599" i="8"/>
  <c r="AS599" i="8"/>
  <c r="F599" i="8"/>
  <c r="O599" i="8"/>
  <c r="E599" i="8"/>
  <c r="AG599" i="8"/>
  <c r="D599" i="8"/>
  <c r="AP599" i="8"/>
  <c r="AM599" i="8"/>
  <c r="C599" i="8"/>
  <c r="L599" i="8"/>
  <c r="B599" i="8"/>
  <c r="AD599" i="8"/>
  <c r="A599" i="8"/>
  <c r="I811" i="6"/>
  <c r="H811" i="6"/>
  <c r="G811" i="6"/>
  <c r="F811" i="6"/>
  <c r="E811" i="6"/>
  <c r="D811" i="6"/>
  <c r="B811" i="6"/>
  <c r="C811" i="6"/>
  <c r="A811" i="6"/>
  <c r="A544" i="3"/>
  <c r="A544" i="2"/>
  <c r="A544" i="1"/>
  <c r="Q599" i="8"/>
  <c r="AI599" i="8"/>
  <c r="M599" i="8"/>
  <c r="AN599" i="8"/>
  <c r="N599" i="8"/>
  <c r="AF599" i="8"/>
  <c r="AC599" i="8"/>
  <c r="AO599" i="8"/>
  <c r="AJ599" i="8"/>
  <c r="AK599" i="8"/>
  <c r="E810" i="6"/>
  <c r="B810" i="6"/>
  <c r="A810" i="6"/>
  <c r="I598" i="8"/>
  <c r="H598" i="8"/>
  <c r="G598" i="8"/>
  <c r="F598" i="8"/>
  <c r="E598" i="8"/>
  <c r="D598" i="8"/>
  <c r="C598" i="8"/>
  <c r="B598" i="8"/>
  <c r="A598" i="8"/>
  <c r="A543" i="3"/>
  <c r="A543" i="2"/>
  <c r="I597" i="8"/>
  <c r="H597" i="8"/>
  <c r="G597" i="8"/>
  <c r="F597" i="8"/>
  <c r="E597" i="8"/>
  <c r="D597" i="8"/>
  <c r="C597" i="8"/>
  <c r="B597" i="8"/>
  <c r="A597" i="8"/>
  <c r="E809" i="6"/>
  <c r="B809" i="6"/>
  <c r="A809" i="6"/>
  <c r="G810" i="6"/>
  <c r="A542" i="2"/>
  <c r="I596" i="8"/>
  <c r="H596" i="8"/>
  <c r="G596" i="8"/>
  <c r="F596" i="8"/>
  <c r="E596" i="8"/>
  <c r="D596" i="8"/>
  <c r="C596" i="8"/>
  <c r="B596" i="8"/>
  <c r="A596" i="8"/>
  <c r="B808" i="6"/>
  <c r="A808" i="6"/>
  <c r="A542" i="3"/>
  <c r="A541" i="2"/>
  <c r="G809" i="6"/>
  <c r="I595" i="8"/>
  <c r="H595" i="8"/>
  <c r="G595" i="8"/>
  <c r="F595" i="8"/>
  <c r="E595" i="8"/>
  <c r="D595" i="8"/>
  <c r="C595" i="8"/>
  <c r="B595" i="8"/>
  <c r="A595" i="8"/>
  <c r="B807" i="6"/>
  <c r="A807" i="6"/>
  <c r="A541" i="3"/>
  <c r="A540" i="2"/>
  <c r="C810" i="6"/>
  <c r="N598" i="8"/>
  <c r="Q598" i="8"/>
  <c r="R598" i="8"/>
  <c r="K598" i="8"/>
  <c r="L598" i="8"/>
  <c r="M598" i="8"/>
  <c r="O598" i="8"/>
  <c r="P598" i="8"/>
  <c r="G808" i="6"/>
  <c r="I594" i="8"/>
  <c r="H594" i="8"/>
  <c r="G594" i="8"/>
  <c r="F594" i="8"/>
  <c r="E594" i="8"/>
  <c r="D594" i="8"/>
  <c r="C594" i="8"/>
  <c r="B594" i="8"/>
  <c r="A594" i="8"/>
  <c r="B806" i="6"/>
  <c r="A806" i="6"/>
  <c r="A540" i="3"/>
  <c r="A539" i="2"/>
  <c r="P597" i="8"/>
  <c r="Q597" i="8"/>
  <c r="C809" i="6"/>
  <c r="G807" i="6"/>
  <c r="N597" i="8"/>
  <c r="O597" i="8"/>
  <c r="R597" i="8"/>
  <c r="K597" i="8"/>
  <c r="L597" i="8"/>
  <c r="M597" i="8"/>
  <c r="I593" i="8"/>
  <c r="H593" i="8"/>
  <c r="G593" i="8"/>
  <c r="F593" i="8"/>
  <c r="E593" i="8"/>
  <c r="D593" i="8"/>
  <c r="C593" i="8"/>
  <c r="B593" i="8"/>
  <c r="A593" i="8"/>
  <c r="B805" i="6"/>
  <c r="A805" i="6"/>
  <c r="A539" i="3"/>
  <c r="A538" i="3"/>
  <c r="A538" i="2"/>
  <c r="N596" i="8"/>
  <c r="O596" i="8"/>
  <c r="C808" i="6"/>
  <c r="G806" i="6"/>
  <c r="P596" i="8"/>
  <c r="Q596" i="8"/>
  <c r="R596" i="8"/>
  <c r="K596" i="8"/>
  <c r="M596" i="8"/>
  <c r="L596" i="8"/>
  <c r="I592" i="8"/>
  <c r="H592" i="8"/>
  <c r="G592" i="8"/>
  <c r="F592" i="8"/>
  <c r="E592" i="8"/>
  <c r="D592" i="8"/>
  <c r="C592" i="8"/>
  <c r="B592" i="8"/>
  <c r="A592" i="8"/>
  <c r="B804" i="6"/>
  <c r="C807" i="6"/>
  <c r="A804" i="6"/>
  <c r="A537" i="3"/>
  <c r="A537" i="2"/>
  <c r="L595" i="8"/>
  <c r="M595" i="8"/>
  <c r="G805" i="6"/>
  <c r="N595" i="8"/>
  <c r="P595" i="8"/>
  <c r="K595" i="8"/>
  <c r="G804" i="6"/>
  <c r="Q595" i="8"/>
  <c r="O595" i="8"/>
  <c r="R595" i="8"/>
  <c r="I591" i="8"/>
  <c r="R594" i="8"/>
  <c r="H591" i="8"/>
  <c r="Q594" i="8"/>
  <c r="G591" i="8"/>
  <c r="P594" i="8"/>
  <c r="F591" i="8"/>
  <c r="O594" i="8"/>
  <c r="E591" i="8"/>
  <c r="N594" i="8"/>
  <c r="D591" i="8"/>
  <c r="M594" i="8"/>
  <c r="C591" i="8"/>
  <c r="L594" i="8"/>
  <c r="B591" i="8"/>
  <c r="K594" i="8"/>
  <c r="A591" i="8"/>
  <c r="B803" i="6"/>
  <c r="C806" i="6"/>
  <c r="A803" i="6"/>
  <c r="A536" i="3"/>
  <c r="A536" i="2"/>
  <c r="I590" i="8"/>
  <c r="R593" i="8"/>
  <c r="H590" i="8"/>
  <c r="Q593" i="8"/>
  <c r="G590" i="8"/>
  <c r="P593" i="8"/>
  <c r="F590" i="8"/>
  <c r="O593" i="8"/>
  <c r="E590" i="8"/>
  <c r="N593" i="8"/>
  <c r="D590" i="8"/>
  <c r="M593" i="8"/>
  <c r="C590" i="8"/>
  <c r="L593" i="8"/>
  <c r="B590" i="8"/>
  <c r="K593" i="8"/>
  <c r="A590" i="8"/>
  <c r="B802" i="6"/>
  <c r="C805" i="6"/>
  <c r="A802" i="6"/>
  <c r="A535" i="3"/>
  <c r="A535" i="2"/>
  <c r="G803" i="6"/>
  <c r="I589" i="8"/>
  <c r="R592" i="8"/>
  <c r="H589" i="8"/>
  <c r="Q592" i="8"/>
  <c r="G589" i="8"/>
  <c r="P592" i="8"/>
  <c r="F589" i="8"/>
  <c r="O592" i="8"/>
  <c r="E589" i="8"/>
  <c r="N592" i="8"/>
  <c r="D589" i="8"/>
  <c r="M592" i="8"/>
  <c r="C589" i="8"/>
  <c r="L592" i="8"/>
  <c r="B589" i="8"/>
  <c r="K592" i="8"/>
  <c r="A589" i="8"/>
  <c r="B801" i="6"/>
  <c r="C804" i="6"/>
  <c r="A801" i="6"/>
  <c r="A534" i="3"/>
  <c r="A534" i="2"/>
  <c r="G802" i="6"/>
  <c r="I588" i="8"/>
  <c r="H588" i="8"/>
  <c r="G588" i="8"/>
  <c r="F588" i="8"/>
  <c r="E588" i="8"/>
  <c r="D588" i="8"/>
  <c r="C588" i="8"/>
  <c r="B588" i="8"/>
  <c r="A588" i="8"/>
  <c r="B800" i="6"/>
  <c r="A800" i="6"/>
  <c r="A533" i="3"/>
  <c r="A533" i="2"/>
  <c r="L591" i="8"/>
  <c r="Q591" i="8"/>
  <c r="R591" i="8"/>
  <c r="K591" i="8"/>
  <c r="M591" i="8"/>
  <c r="N591" i="8"/>
  <c r="O591" i="8"/>
  <c r="C803" i="6"/>
  <c r="G801" i="6"/>
  <c r="P591" i="8"/>
  <c r="E10" i="5"/>
  <c r="I587" i="8"/>
  <c r="H587" i="8"/>
  <c r="G587" i="8"/>
  <c r="F587" i="8"/>
  <c r="E587" i="8"/>
  <c r="D587" i="8"/>
  <c r="C587" i="8"/>
  <c r="B587" i="8"/>
  <c r="A587" i="8"/>
  <c r="B799" i="6"/>
  <c r="A799" i="6"/>
  <c r="A532" i="3"/>
  <c r="A532" i="2"/>
  <c r="O590" i="8"/>
  <c r="Q590" i="8"/>
  <c r="R590" i="8"/>
  <c r="C802" i="6"/>
  <c r="G800" i="6"/>
  <c r="K590" i="8"/>
  <c r="L590" i="8"/>
  <c r="P590" i="8"/>
  <c r="M590" i="8"/>
  <c r="N590" i="8"/>
  <c r="E9" i="5"/>
  <c r="I586" i="8"/>
  <c r="H586" i="8"/>
  <c r="G586" i="8"/>
  <c r="F586" i="8"/>
  <c r="E586" i="8"/>
  <c r="D586" i="8"/>
  <c r="C586" i="8"/>
  <c r="B586" i="8"/>
  <c r="A586" i="8"/>
  <c r="B798" i="6"/>
  <c r="A798" i="6"/>
  <c r="A531" i="3"/>
  <c r="A531" i="2"/>
  <c r="R589" i="8"/>
  <c r="L589" i="8"/>
  <c r="C801" i="6"/>
  <c r="G799" i="6"/>
  <c r="M589" i="8"/>
  <c r="O589" i="8"/>
  <c r="P589" i="8"/>
  <c r="K589" i="8"/>
  <c r="N589" i="8"/>
  <c r="Q589" i="8"/>
  <c r="B797" i="6"/>
  <c r="C800" i="6"/>
  <c r="I585" i="8"/>
  <c r="H585" i="8"/>
  <c r="G585" i="8"/>
  <c r="F585" i="8"/>
  <c r="E585" i="8"/>
  <c r="D585" i="8"/>
  <c r="C585" i="8"/>
  <c r="B585" i="8"/>
  <c r="A585" i="8"/>
  <c r="Q588" i="8"/>
  <c r="R588" i="8"/>
  <c r="K588" i="8"/>
  <c r="L588" i="8"/>
  <c r="M588" i="8"/>
  <c r="N588" i="8"/>
  <c r="O588" i="8"/>
  <c r="P588" i="8"/>
  <c r="G798" i="6"/>
  <c r="A797" i="6"/>
  <c r="A530" i="3"/>
  <c r="A530" i="2"/>
  <c r="I584" i="8"/>
  <c r="H584" i="8"/>
  <c r="G584" i="8"/>
  <c r="F584" i="8"/>
  <c r="E584" i="8"/>
  <c r="D584" i="8"/>
  <c r="C584" i="8"/>
  <c r="B584" i="8"/>
  <c r="A584" i="8"/>
  <c r="B796" i="6"/>
  <c r="A796" i="6"/>
  <c r="A529" i="3"/>
  <c r="A529" i="2"/>
  <c r="O587" i="8"/>
  <c r="P587" i="8"/>
  <c r="N587" i="8"/>
  <c r="R587" i="8"/>
  <c r="K587" i="8"/>
  <c r="C799" i="6"/>
  <c r="G797" i="6"/>
  <c r="Q587" i="8"/>
  <c r="L587" i="8"/>
  <c r="M587" i="8"/>
  <c r="I583" i="8"/>
  <c r="H583" i="8"/>
  <c r="G583" i="8"/>
  <c r="F583" i="8"/>
  <c r="E583" i="8"/>
  <c r="D583" i="8"/>
  <c r="C583" i="8"/>
  <c r="B583" i="8"/>
  <c r="A583" i="8"/>
  <c r="B795" i="6"/>
  <c r="G796" i="6"/>
  <c r="A795" i="6"/>
  <c r="A528" i="3"/>
  <c r="A528" i="2"/>
  <c r="M586" i="8"/>
  <c r="N586" i="8"/>
  <c r="O586" i="8"/>
  <c r="P586" i="8"/>
  <c r="K586" i="8"/>
  <c r="Q586" i="8"/>
  <c r="R586" i="8"/>
  <c r="C798" i="6"/>
  <c r="L586" i="8"/>
  <c r="I582" i="8"/>
  <c r="H582" i="8"/>
  <c r="G582" i="8"/>
  <c r="F582" i="8"/>
  <c r="E582" i="8"/>
  <c r="D582" i="8"/>
  <c r="C582" i="8"/>
  <c r="B582" i="8"/>
  <c r="A582" i="8"/>
  <c r="B794" i="6"/>
  <c r="A794" i="6"/>
  <c r="A527" i="3"/>
  <c r="A527" i="2"/>
  <c r="P585" i="8"/>
  <c r="Q585" i="8"/>
  <c r="R585" i="8"/>
  <c r="C797" i="6"/>
  <c r="G795" i="6"/>
  <c r="M585" i="8"/>
  <c r="N585" i="8"/>
  <c r="K585" i="8"/>
  <c r="L585" i="8"/>
  <c r="O585" i="8"/>
  <c r="B793" i="6"/>
  <c r="A793" i="6"/>
  <c r="I581" i="8"/>
  <c r="H581" i="8"/>
  <c r="G581" i="8"/>
  <c r="F581" i="8"/>
  <c r="E581" i="8"/>
  <c r="D581" i="8"/>
  <c r="C581" i="8"/>
  <c r="B581" i="8"/>
  <c r="A581" i="8"/>
  <c r="A526" i="3"/>
  <c r="A526" i="2"/>
  <c r="K584" i="8"/>
  <c r="P584" i="8"/>
  <c r="C796" i="6"/>
  <c r="Q584" i="8"/>
  <c r="R584" i="8"/>
  <c r="L584" i="8"/>
  <c r="G794" i="6"/>
  <c r="M584" i="8"/>
  <c r="N584" i="8"/>
  <c r="O584" i="8"/>
  <c r="I580" i="8"/>
  <c r="R583" i="8"/>
  <c r="H580" i="8"/>
  <c r="Q583" i="8"/>
  <c r="G580" i="8"/>
  <c r="P583" i="8"/>
  <c r="F580" i="8"/>
  <c r="O583" i="8"/>
  <c r="E580" i="8"/>
  <c r="N583" i="8"/>
  <c r="D580" i="8"/>
  <c r="M583" i="8"/>
  <c r="C580" i="8"/>
  <c r="L583" i="8"/>
  <c r="B580" i="8"/>
  <c r="K583" i="8"/>
  <c r="A580" i="8"/>
  <c r="B792" i="6"/>
  <c r="A792" i="6"/>
  <c r="A525" i="3"/>
  <c r="A525" i="2"/>
  <c r="C795" i="6"/>
  <c r="G793" i="6"/>
  <c r="I579" i="8"/>
  <c r="R582" i="8"/>
  <c r="H579" i="8"/>
  <c r="Q582" i="8"/>
  <c r="G579" i="8"/>
  <c r="P582" i="8"/>
  <c r="F579" i="8"/>
  <c r="O582" i="8"/>
  <c r="E579" i="8"/>
  <c r="N582" i="8"/>
  <c r="D579" i="8"/>
  <c r="M582" i="8"/>
  <c r="C579" i="8"/>
  <c r="L582" i="8"/>
  <c r="B579" i="8"/>
  <c r="K582" i="8"/>
  <c r="A579" i="8"/>
  <c r="B791" i="6"/>
  <c r="C794" i="6"/>
  <c r="A791" i="6"/>
  <c r="A524" i="3"/>
  <c r="A524" i="2"/>
  <c r="G792" i="6"/>
  <c r="I578" i="8"/>
  <c r="R581" i="8"/>
  <c r="H578" i="8"/>
  <c r="Q581" i="8"/>
  <c r="G578" i="8"/>
  <c r="P581" i="8"/>
  <c r="F578" i="8"/>
  <c r="O581" i="8"/>
  <c r="E578" i="8"/>
  <c r="N581" i="8"/>
  <c r="D578" i="8"/>
  <c r="M581" i="8"/>
  <c r="C578" i="8"/>
  <c r="L581" i="8"/>
  <c r="B578" i="8"/>
  <c r="K581" i="8"/>
  <c r="A578" i="8"/>
  <c r="B790" i="6"/>
  <c r="C793" i="6"/>
  <c r="A790" i="6"/>
  <c r="A523" i="3"/>
  <c r="A523" i="2"/>
  <c r="G791" i="6"/>
  <c r="I577" i="8"/>
  <c r="H577" i="8"/>
  <c r="G577" i="8"/>
  <c r="F577" i="8"/>
  <c r="E577" i="8"/>
  <c r="D577" i="8"/>
  <c r="C577" i="8"/>
  <c r="B577" i="8"/>
  <c r="A577" i="8"/>
  <c r="B789" i="6"/>
  <c r="A789" i="6"/>
  <c r="A522" i="3"/>
  <c r="A522" i="2"/>
  <c r="C792" i="6"/>
  <c r="G790" i="6"/>
  <c r="P580" i="8"/>
  <c r="Q580" i="8"/>
  <c r="M580" i="8"/>
  <c r="N580" i="8"/>
  <c r="O580" i="8"/>
  <c r="R580" i="8"/>
  <c r="K580" i="8"/>
  <c r="L580" i="8"/>
  <c r="I576" i="8"/>
  <c r="H576" i="8"/>
  <c r="G576" i="8"/>
  <c r="F576" i="8"/>
  <c r="E576" i="8"/>
  <c r="D576" i="8"/>
  <c r="C576" i="8"/>
  <c r="B576" i="8"/>
  <c r="A576" i="8"/>
  <c r="B788" i="6"/>
  <c r="A788" i="6"/>
  <c r="A521" i="3"/>
  <c r="A521" i="2"/>
  <c r="R579" i="8"/>
  <c r="K579" i="8"/>
  <c r="L579" i="8"/>
  <c r="M579" i="8"/>
  <c r="N579" i="8"/>
  <c r="O579" i="8"/>
  <c r="C791" i="6"/>
  <c r="G789" i="6"/>
  <c r="P579" i="8"/>
  <c r="Q579" i="8"/>
  <c r="I575" i="8"/>
  <c r="H575" i="8"/>
  <c r="G575" i="8"/>
  <c r="F575" i="8"/>
  <c r="E575" i="8"/>
  <c r="D575" i="8"/>
  <c r="C575" i="8"/>
  <c r="B575" i="8"/>
  <c r="A575" i="8"/>
  <c r="B787" i="6"/>
  <c r="G788" i="6"/>
  <c r="A787" i="6"/>
  <c r="A520" i="3"/>
  <c r="A520" i="2"/>
  <c r="O578" i="8"/>
  <c r="R578" i="8"/>
  <c r="K578" i="8"/>
  <c r="L578" i="8"/>
  <c r="P578" i="8"/>
  <c r="Q578" i="8"/>
  <c r="C790" i="6"/>
  <c r="M578" i="8"/>
  <c r="N578" i="8"/>
  <c r="I574" i="8"/>
  <c r="H574" i="8"/>
  <c r="G574" i="8"/>
  <c r="F574" i="8"/>
  <c r="E574" i="8"/>
  <c r="D574" i="8"/>
  <c r="C574" i="8"/>
  <c r="B574" i="8"/>
  <c r="A574" i="8"/>
  <c r="B786" i="6"/>
  <c r="A786" i="6"/>
  <c r="A519" i="3"/>
  <c r="A519" i="2"/>
  <c r="R577" i="8"/>
  <c r="N577" i="8"/>
  <c r="O577" i="8"/>
  <c r="P577" i="8"/>
  <c r="K577" i="8"/>
  <c r="L577" i="8"/>
  <c r="M577" i="8"/>
  <c r="C789" i="6"/>
  <c r="Q577" i="8"/>
  <c r="G787" i="6"/>
  <c r="I573" i="8"/>
  <c r="H573" i="8"/>
  <c r="G573" i="8"/>
  <c r="F573" i="8"/>
  <c r="E573" i="8"/>
  <c r="D573" i="8"/>
  <c r="C573" i="8"/>
  <c r="B573" i="8"/>
  <c r="A573" i="8"/>
  <c r="B785" i="6"/>
  <c r="G786" i="6"/>
  <c r="A785" i="6"/>
  <c r="A518" i="3"/>
  <c r="A518" i="2"/>
  <c r="C788" i="6"/>
  <c r="R576" i="8"/>
  <c r="P576" i="8"/>
  <c r="Q576" i="8"/>
  <c r="K576" i="8"/>
  <c r="M576" i="8"/>
  <c r="N576" i="8"/>
  <c r="O576" i="8"/>
  <c r="L576" i="8"/>
  <c r="I572" i="8"/>
  <c r="H572" i="8"/>
  <c r="G572" i="8"/>
  <c r="F572" i="8"/>
  <c r="E572" i="8"/>
  <c r="D572" i="8"/>
  <c r="C572" i="8"/>
  <c r="B572" i="8"/>
  <c r="A572" i="8"/>
  <c r="B784" i="6"/>
  <c r="A784" i="6"/>
  <c r="A517" i="3"/>
  <c r="A517" i="2"/>
  <c r="C787" i="6"/>
  <c r="N575" i="8"/>
  <c r="O575" i="8"/>
  <c r="P575" i="8"/>
  <c r="G785" i="6"/>
  <c r="Q575" i="8"/>
  <c r="L575" i="8"/>
  <c r="R575" i="8"/>
  <c r="K575" i="8"/>
  <c r="M575" i="8"/>
  <c r="I571" i="8"/>
  <c r="R574" i="8"/>
  <c r="H571" i="8"/>
  <c r="Q574" i="8"/>
  <c r="G571" i="8"/>
  <c r="P574" i="8"/>
  <c r="F571" i="8"/>
  <c r="O574" i="8"/>
  <c r="E571" i="8"/>
  <c r="N574" i="8"/>
  <c r="D571" i="8"/>
  <c r="M574" i="8"/>
  <c r="C571" i="8"/>
  <c r="L574" i="8"/>
  <c r="B571" i="8"/>
  <c r="K574" i="8"/>
  <c r="A571" i="8"/>
  <c r="B783" i="6"/>
  <c r="A783" i="6"/>
  <c r="A516" i="3"/>
  <c r="A516" i="2"/>
  <c r="C786" i="6"/>
  <c r="G784" i="6"/>
  <c r="I569" i="8"/>
  <c r="I568" i="8"/>
  <c r="I567" i="8"/>
  <c r="I513" i="3"/>
  <c r="A512" i="3"/>
  <c r="A513" i="3"/>
  <c r="A514" i="3"/>
  <c r="A515" i="3"/>
  <c r="A513" i="2"/>
  <c r="A514" i="2"/>
  <c r="A515" i="2"/>
  <c r="B782" i="6"/>
  <c r="B781" i="6"/>
  <c r="C784" i="6"/>
  <c r="B780" i="6"/>
  <c r="B779" i="6"/>
  <c r="A779" i="6"/>
  <c r="A780" i="6"/>
  <c r="A781" i="6"/>
  <c r="A782" i="6"/>
  <c r="I570" i="8"/>
  <c r="R573" i="8"/>
  <c r="H570" i="8"/>
  <c r="Q573" i="8"/>
  <c r="G570" i="8"/>
  <c r="P573" i="8"/>
  <c r="F570" i="8"/>
  <c r="O573" i="8"/>
  <c r="E570" i="8"/>
  <c r="N573" i="8"/>
  <c r="D570" i="8"/>
  <c r="M573" i="8"/>
  <c r="C570" i="8"/>
  <c r="L573" i="8"/>
  <c r="B570" i="8"/>
  <c r="K573" i="8"/>
  <c r="H569" i="8"/>
  <c r="G569" i="8"/>
  <c r="F569" i="8"/>
  <c r="E569" i="8"/>
  <c r="D569" i="8"/>
  <c r="C569" i="8"/>
  <c r="B569" i="8"/>
  <c r="H568" i="8"/>
  <c r="G568" i="8"/>
  <c r="F568" i="8"/>
  <c r="E568" i="8"/>
  <c r="D568" i="8"/>
  <c r="C568" i="8"/>
  <c r="B568" i="8"/>
  <c r="H567" i="8"/>
  <c r="G567" i="8"/>
  <c r="F567" i="8"/>
  <c r="E567" i="8"/>
  <c r="D567" i="8"/>
  <c r="C567" i="8"/>
  <c r="B567" i="8"/>
  <c r="A567" i="8"/>
  <c r="A568" i="8"/>
  <c r="A569" i="8"/>
  <c r="A570" i="8"/>
  <c r="Q572" i="8"/>
  <c r="G780" i="6"/>
  <c r="K572" i="8"/>
  <c r="M572" i="8"/>
  <c r="K570" i="8"/>
  <c r="L572" i="8"/>
  <c r="N572" i="8"/>
  <c r="R572" i="8"/>
  <c r="O572" i="8"/>
  <c r="P572" i="8"/>
  <c r="G782" i="6"/>
  <c r="C785" i="6"/>
  <c r="Q571" i="8"/>
  <c r="M571" i="8"/>
  <c r="N571" i="8"/>
  <c r="O570" i="8"/>
  <c r="K571" i="8"/>
  <c r="G781" i="6"/>
  <c r="G783" i="6"/>
  <c r="O571" i="8"/>
  <c r="P571" i="8"/>
  <c r="R571" i="8"/>
  <c r="L571" i="8"/>
  <c r="C783" i="6"/>
  <c r="C782" i="6"/>
  <c r="L570" i="8"/>
  <c r="M570" i="8"/>
  <c r="N570" i="8"/>
  <c r="P570" i="8"/>
  <c r="Q570" i="8"/>
  <c r="R570" i="8"/>
  <c r="I566" i="8"/>
  <c r="H566" i="8"/>
  <c r="G566" i="8"/>
  <c r="F566" i="8"/>
  <c r="E566" i="8"/>
  <c r="D566" i="8"/>
  <c r="C566" i="8"/>
  <c r="B566" i="8"/>
  <c r="A566" i="8"/>
  <c r="B778" i="6"/>
  <c r="A778" i="6"/>
  <c r="A511" i="3"/>
  <c r="A512" i="2"/>
  <c r="A511" i="2"/>
  <c r="N569" i="8"/>
  <c r="G779" i="6"/>
  <c r="C781" i="6"/>
  <c r="O569" i="8"/>
  <c r="P569" i="8"/>
  <c r="Q569" i="8"/>
  <c r="R569" i="8"/>
  <c r="K569" i="8"/>
  <c r="L569" i="8"/>
  <c r="M569" i="8"/>
  <c r="I565" i="8"/>
  <c r="H565" i="8"/>
  <c r="G565" i="8"/>
  <c r="F565" i="8"/>
  <c r="E565" i="8"/>
  <c r="D565" i="8"/>
  <c r="C565" i="8"/>
  <c r="B565" i="8"/>
  <c r="A565" i="8"/>
  <c r="A510" i="2"/>
  <c r="Q568" i="8"/>
  <c r="O568" i="8"/>
  <c r="P568" i="8"/>
  <c r="K568" i="8"/>
  <c r="L568" i="8"/>
  <c r="M568" i="8"/>
  <c r="R568" i="8"/>
  <c r="N568" i="8"/>
  <c r="B777" i="6"/>
  <c r="A777" i="6"/>
  <c r="C780" i="6"/>
  <c r="G778" i="6"/>
  <c r="I564" i="8"/>
  <c r="H564" i="8"/>
  <c r="G564" i="8"/>
  <c r="F564" i="8"/>
  <c r="E564" i="8"/>
  <c r="D564" i="8"/>
  <c r="C564" i="8"/>
  <c r="B564" i="8"/>
  <c r="A564" i="8"/>
  <c r="B776" i="6"/>
  <c r="A776" i="6"/>
  <c r="M567" i="8"/>
  <c r="N567" i="8"/>
  <c r="O567" i="8"/>
  <c r="P567" i="8"/>
  <c r="Q567" i="8"/>
  <c r="C779" i="6"/>
  <c r="G777" i="6"/>
  <c r="R567" i="8"/>
  <c r="K567" i="8"/>
  <c r="L567" i="8"/>
  <c r="I563" i="8"/>
  <c r="H563" i="8"/>
  <c r="G563" i="8"/>
  <c r="F563" i="8"/>
  <c r="E563" i="8"/>
  <c r="D563" i="8"/>
  <c r="C563" i="8"/>
  <c r="B563" i="8"/>
  <c r="A563" i="8"/>
  <c r="B775" i="6"/>
  <c r="C778" i="6"/>
  <c r="A775" i="6"/>
  <c r="G776" i="6"/>
  <c r="N566" i="8"/>
  <c r="M566" i="8"/>
  <c r="P566" i="8"/>
  <c r="O566" i="8"/>
  <c r="R566" i="8"/>
  <c r="K566" i="8"/>
  <c r="Q566" i="8"/>
  <c r="L566" i="8"/>
  <c r="I562" i="8"/>
  <c r="H562" i="8"/>
  <c r="G562" i="8"/>
  <c r="F562" i="8"/>
  <c r="E562" i="8"/>
  <c r="D562" i="8"/>
  <c r="C562" i="8"/>
  <c r="B562" i="8"/>
  <c r="A562" i="8"/>
  <c r="B774" i="6"/>
  <c r="A774" i="6"/>
  <c r="R565" i="8"/>
  <c r="O565" i="8"/>
  <c r="K565" i="8"/>
  <c r="C777" i="6"/>
  <c r="G775" i="6"/>
  <c r="P565" i="8"/>
  <c r="Q565" i="8"/>
  <c r="L565" i="8"/>
  <c r="M565" i="8"/>
  <c r="N565" i="8"/>
  <c r="A561" i="8"/>
  <c r="B561" i="8"/>
  <c r="C561" i="8"/>
  <c r="L564" i="8"/>
  <c r="D561" i="8"/>
  <c r="M564" i="8"/>
  <c r="E561" i="8"/>
  <c r="F561" i="8"/>
  <c r="G561" i="8"/>
  <c r="P564" i="8"/>
  <c r="H561" i="8"/>
  <c r="Q564" i="8"/>
  <c r="I561" i="8"/>
  <c r="B773" i="6"/>
  <c r="A773" i="6"/>
  <c r="C776" i="6"/>
  <c r="G774" i="6"/>
  <c r="N564" i="8"/>
  <c r="K564" i="8"/>
  <c r="O564" i="8"/>
  <c r="R564" i="8"/>
  <c r="I560" i="8"/>
  <c r="R563" i="8"/>
  <c r="H560" i="8"/>
  <c r="Q563" i="8"/>
  <c r="G560" i="8"/>
  <c r="P563" i="8"/>
  <c r="F560" i="8"/>
  <c r="O563" i="8"/>
  <c r="E560" i="8"/>
  <c r="N563" i="8"/>
  <c r="D560" i="8"/>
  <c r="M563" i="8"/>
  <c r="C560" i="8"/>
  <c r="L563" i="8"/>
  <c r="B560" i="8"/>
  <c r="K563" i="8"/>
  <c r="A560" i="8"/>
  <c r="B772" i="6"/>
  <c r="C775" i="6"/>
  <c r="A772" i="6"/>
  <c r="G773" i="6"/>
  <c r="I559" i="8"/>
  <c r="R562" i="8"/>
  <c r="H559" i="8"/>
  <c r="Q562" i="8"/>
  <c r="G559" i="8"/>
  <c r="P562" i="8"/>
  <c r="F559" i="8"/>
  <c r="O562" i="8"/>
  <c r="E559" i="8"/>
  <c r="N562" i="8"/>
  <c r="D559" i="8"/>
  <c r="M562" i="8"/>
  <c r="C559" i="8"/>
  <c r="L562" i="8"/>
  <c r="B559" i="8"/>
  <c r="K562" i="8"/>
  <c r="A559" i="8"/>
  <c r="B771" i="6"/>
  <c r="A771" i="6"/>
  <c r="G772" i="6"/>
  <c r="C774" i="6"/>
  <c r="I558" i="8"/>
  <c r="R561" i="8"/>
  <c r="H558" i="8"/>
  <c r="Q561" i="8"/>
  <c r="G558" i="8"/>
  <c r="P561" i="8"/>
  <c r="F558" i="8"/>
  <c r="O561" i="8"/>
  <c r="E558" i="8"/>
  <c r="N561" i="8"/>
  <c r="D558" i="8"/>
  <c r="M561" i="8"/>
  <c r="C558" i="8"/>
  <c r="L561" i="8"/>
  <c r="B558" i="8"/>
  <c r="K561" i="8"/>
  <c r="A558" i="8"/>
  <c r="B770" i="6"/>
  <c r="C773" i="6"/>
  <c r="A770" i="6"/>
  <c r="G771" i="6"/>
  <c r="I557" i="8"/>
  <c r="H557" i="8"/>
  <c r="G557" i="8"/>
  <c r="F557" i="8"/>
  <c r="E557" i="8"/>
  <c r="D557" i="8"/>
  <c r="C557" i="8"/>
  <c r="B557" i="8"/>
  <c r="K560" i="8"/>
  <c r="A557" i="8"/>
  <c r="B769" i="6"/>
  <c r="G770" i="6"/>
  <c r="A769" i="6"/>
  <c r="M560" i="8"/>
  <c r="N560" i="8"/>
  <c r="C772" i="6"/>
  <c r="O560" i="8"/>
  <c r="P560" i="8"/>
  <c r="Q560" i="8"/>
  <c r="R560" i="8"/>
  <c r="L560" i="8"/>
  <c r="I556" i="8"/>
  <c r="H556" i="8"/>
  <c r="G556" i="8"/>
  <c r="F556" i="8"/>
  <c r="E556" i="8"/>
  <c r="D556" i="8"/>
  <c r="C556" i="8"/>
  <c r="B556" i="8"/>
  <c r="A556" i="8"/>
  <c r="B768" i="6"/>
  <c r="A768" i="6"/>
  <c r="N559" i="8"/>
  <c r="O559" i="8"/>
  <c r="Q559" i="8"/>
  <c r="R559" i="8"/>
  <c r="P559" i="8"/>
  <c r="L559" i="8"/>
  <c r="G768" i="6"/>
  <c r="C771" i="6"/>
  <c r="G769" i="6"/>
  <c r="M559" i="8"/>
  <c r="K559" i="8"/>
  <c r="I555" i="8"/>
  <c r="R558" i="8"/>
  <c r="H555" i="8"/>
  <c r="Q558" i="8"/>
  <c r="G555" i="8"/>
  <c r="P558" i="8"/>
  <c r="F555" i="8"/>
  <c r="O558" i="8"/>
  <c r="E555" i="8"/>
  <c r="N558" i="8"/>
  <c r="D555" i="8"/>
  <c r="M558" i="8"/>
  <c r="C555" i="8"/>
  <c r="L558" i="8"/>
  <c r="B555" i="8"/>
  <c r="K558" i="8"/>
  <c r="A555" i="8"/>
  <c r="B767" i="6"/>
  <c r="C770" i="6"/>
  <c r="A767" i="6"/>
  <c r="I554" i="8"/>
  <c r="R557" i="8"/>
  <c r="H554" i="8"/>
  <c r="Q557" i="8"/>
  <c r="G554" i="8"/>
  <c r="P557" i="8"/>
  <c r="F554" i="8"/>
  <c r="O557" i="8"/>
  <c r="E554" i="8"/>
  <c r="N557" i="8"/>
  <c r="D554" i="8"/>
  <c r="M557" i="8"/>
  <c r="C554" i="8"/>
  <c r="L557" i="8"/>
  <c r="B554" i="8"/>
  <c r="K557" i="8"/>
  <c r="A554" i="8"/>
  <c r="B766" i="6"/>
  <c r="C769" i="6"/>
  <c r="A766" i="6"/>
  <c r="G767" i="6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I553" i="8"/>
  <c r="R556" i="8"/>
  <c r="H553" i="8"/>
  <c r="Q556" i="8"/>
  <c r="G553" i="8"/>
  <c r="P556" i="8"/>
  <c r="F553" i="8"/>
  <c r="O556" i="8"/>
  <c r="E553" i="8"/>
  <c r="N556" i="8"/>
  <c r="D553" i="8"/>
  <c r="M556" i="8"/>
  <c r="C553" i="8"/>
  <c r="L556" i="8"/>
  <c r="B553" i="8"/>
  <c r="K556" i="8"/>
  <c r="A553" i="8"/>
  <c r="B765" i="6"/>
  <c r="C768" i="6"/>
  <c r="A765" i="6"/>
  <c r="G766" i="6"/>
  <c r="B764" i="6"/>
  <c r="A764" i="6"/>
  <c r="C767" i="6"/>
  <c r="G765" i="6"/>
  <c r="I552" i="8"/>
  <c r="H552" i="8"/>
  <c r="G552" i="8"/>
  <c r="F552" i="8"/>
  <c r="E552" i="8"/>
  <c r="D552" i="8"/>
  <c r="C552" i="8"/>
  <c r="B552" i="8"/>
  <c r="A552" i="8"/>
  <c r="P555" i="8"/>
  <c r="Q555" i="8"/>
  <c r="R555" i="8"/>
  <c r="K555" i="8"/>
  <c r="L555" i="8"/>
  <c r="M555" i="8"/>
  <c r="N555" i="8"/>
  <c r="O555" i="8"/>
  <c r="I551" i="8"/>
  <c r="H551" i="8"/>
  <c r="G551" i="8"/>
  <c r="F551" i="8"/>
  <c r="E551" i="8"/>
  <c r="D551" i="8"/>
  <c r="C551" i="8"/>
  <c r="B551" i="8"/>
  <c r="A551" i="8"/>
  <c r="B763" i="6"/>
  <c r="A763" i="6"/>
  <c r="L554" i="8"/>
  <c r="M554" i="8"/>
  <c r="C766" i="6"/>
  <c r="G764" i="6"/>
  <c r="P554" i="8"/>
  <c r="Q554" i="8"/>
  <c r="N554" i="8"/>
  <c r="O554" i="8"/>
  <c r="R554" i="8"/>
  <c r="K554" i="8"/>
  <c r="I550" i="8"/>
  <c r="H550" i="8"/>
  <c r="G550" i="8"/>
  <c r="F550" i="8"/>
  <c r="E550" i="8"/>
  <c r="D550" i="8"/>
  <c r="C550" i="8"/>
  <c r="B550" i="8"/>
  <c r="A550" i="8"/>
  <c r="B762" i="6"/>
  <c r="A762" i="6"/>
  <c r="P553" i="8"/>
  <c r="L553" i="8"/>
  <c r="Q553" i="8"/>
  <c r="R553" i="8"/>
  <c r="K553" i="8"/>
  <c r="M553" i="8"/>
  <c r="N553" i="8"/>
  <c r="C765" i="6"/>
  <c r="G763" i="6"/>
  <c r="O553" i="8"/>
  <c r="I549" i="8"/>
  <c r="H549" i="8"/>
  <c r="G549" i="8"/>
  <c r="F549" i="8"/>
  <c r="E549" i="8"/>
  <c r="D549" i="8"/>
  <c r="C549" i="8"/>
  <c r="B549" i="8"/>
  <c r="A549" i="8"/>
  <c r="B761" i="6"/>
  <c r="C764" i="6"/>
  <c r="A761" i="6"/>
  <c r="M552" i="8"/>
  <c r="N552" i="8"/>
  <c r="R552" i="8"/>
  <c r="K552" i="8"/>
  <c r="O552" i="8"/>
  <c r="P552" i="8"/>
  <c r="Q552" i="8"/>
  <c r="L552" i="8"/>
  <c r="G762" i="6"/>
  <c r="I548" i="8"/>
  <c r="H548" i="8"/>
  <c r="G548" i="8"/>
  <c r="F548" i="8"/>
  <c r="E548" i="8"/>
  <c r="D548" i="8"/>
  <c r="C548" i="8"/>
  <c r="B548" i="8"/>
  <c r="A548" i="8"/>
  <c r="B760" i="6"/>
  <c r="A760" i="6"/>
  <c r="C763" i="6"/>
  <c r="G761" i="6"/>
  <c r="O551" i="8"/>
  <c r="Q551" i="8"/>
  <c r="R551" i="8"/>
  <c r="P551" i="8"/>
  <c r="K551" i="8"/>
  <c r="L551" i="8"/>
  <c r="M551" i="8"/>
  <c r="N551" i="8"/>
  <c r="I547" i="8"/>
  <c r="H547" i="8"/>
  <c r="G547" i="8"/>
  <c r="F547" i="8"/>
  <c r="E547" i="8"/>
  <c r="D547" i="8"/>
  <c r="C547" i="8"/>
  <c r="B547" i="8"/>
  <c r="A547" i="8"/>
  <c r="B759" i="6"/>
  <c r="A759" i="6"/>
  <c r="C762" i="6"/>
  <c r="O550" i="8"/>
  <c r="P550" i="8"/>
  <c r="M550" i="8"/>
  <c r="N550" i="8"/>
  <c r="Q550" i="8"/>
  <c r="G760" i="6"/>
  <c r="R550" i="8"/>
  <c r="K550" i="8"/>
  <c r="L550" i="8"/>
  <c r="I546" i="8"/>
  <c r="AU598" i="8"/>
  <c r="H546" i="8"/>
  <c r="AT598" i="8"/>
  <c r="G546" i="8"/>
  <c r="AS598" i="8"/>
  <c r="F546" i="8"/>
  <c r="AR598" i="8"/>
  <c r="E546" i="8"/>
  <c r="AQ598" i="8"/>
  <c r="D546" i="8"/>
  <c r="AP598" i="8"/>
  <c r="C546" i="8"/>
  <c r="AO598" i="8"/>
  <c r="B546" i="8"/>
  <c r="AN598" i="8"/>
  <c r="A546" i="8"/>
  <c r="B758" i="6"/>
  <c r="H810" i="6"/>
  <c r="A758" i="6"/>
  <c r="AM598" i="8"/>
  <c r="N549" i="8"/>
  <c r="O549" i="8"/>
  <c r="L549" i="8"/>
  <c r="M549" i="8"/>
  <c r="Q549" i="8"/>
  <c r="C761" i="6"/>
  <c r="P549" i="8"/>
  <c r="R549" i="8"/>
  <c r="K549" i="8"/>
  <c r="G759" i="6"/>
  <c r="I545" i="8"/>
  <c r="AU597" i="8"/>
  <c r="H545" i="8"/>
  <c r="AT597" i="8"/>
  <c r="G545" i="8"/>
  <c r="AS597" i="8"/>
  <c r="F545" i="8"/>
  <c r="AR597" i="8"/>
  <c r="E545" i="8"/>
  <c r="AQ597" i="8"/>
  <c r="C545" i="8"/>
  <c r="AO597" i="8"/>
  <c r="B545" i="8"/>
  <c r="AN597" i="8"/>
  <c r="A545" i="8"/>
  <c r="A757" i="6"/>
  <c r="K548" i="8"/>
  <c r="P548" i="8"/>
  <c r="Q548" i="8"/>
  <c r="L548" i="8"/>
  <c r="N548" i="8"/>
  <c r="R548" i="8"/>
  <c r="O548" i="8"/>
  <c r="B7" i="5"/>
  <c r="B10" i="5" s="1"/>
  <c r="B9" i="5"/>
  <c r="F9" i="5"/>
  <c r="G9" i="5"/>
  <c r="H9" i="5"/>
  <c r="I9" i="5"/>
  <c r="F10" i="5"/>
  <c r="G10" i="5"/>
  <c r="H10" i="5"/>
  <c r="I10" i="5"/>
  <c r="I544" i="8"/>
  <c r="AU596" i="8"/>
  <c r="H544" i="8"/>
  <c r="AT596" i="8"/>
  <c r="G544" i="8"/>
  <c r="AS596" i="8"/>
  <c r="F544" i="8"/>
  <c r="AR596" i="8"/>
  <c r="E544" i="8"/>
  <c r="AQ596" i="8"/>
  <c r="A544" i="8"/>
  <c r="A756" i="6"/>
  <c r="O547" i="8"/>
  <c r="P547" i="8"/>
  <c r="Q547" i="8"/>
  <c r="R547" i="8"/>
  <c r="N547" i="8"/>
  <c r="I543" i="8"/>
  <c r="AU595" i="8"/>
  <c r="H543" i="8"/>
  <c r="AT595" i="8"/>
  <c r="G543" i="8"/>
  <c r="AS595" i="8"/>
  <c r="F543" i="8"/>
  <c r="AR595" i="8"/>
  <c r="E543" i="8"/>
  <c r="AQ595" i="8"/>
  <c r="D543" i="8"/>
  <c r="C543" i="8"/>
  <c r="B543" i="8"/>
  <c r="A543" i="8"/>
  <c r="B755" i="6"/>
  <c r="A755" i="6"/>
  <c r="B756" i="6"/>
  <c r="H807" i="6"/>
  <c r="C544" i="8"/>
  <c r="AO595" i="8"/>
  <c r="D544" i="8"/>
  <c r="AP595" i="8"/>
  <c r="AM595" i="8"/>
  <c r="B544" i="8"/>
  <c r="AN595" i="8"/>
  <c r="O546" i="8"/>
  <c r="N546" i="8"/>
  <c r="Q546" i="8"/>
  <c r="L546" i="8"/>
  <c r="P546" i="8"/>
  <c r="R546" i="8"/>
  <c r="I542" i="8"/>
  <c r="AU594" i="8"/>
  <c r="H542" i="8"/>
  <c r="AT594" i="8"/>
  <c r="G542" i="8"/>
  <c r="AS594" i="8"/>
  <c r="F542" i="8"/>
  <c r="AR594" i="8"/>
  <c r="E542" i="8"/>
  <c r="AQ594" i="8"/>
  <c r="D542" i="8"/>
  <c r="AP594" i="8"/>
  <c r="C542" i="8"/>
  <c r="AO594" i="8"/>
  <c r="B542" i="8"/>
  <c r="AN594" i="8"/>
  <c r="A542" i="8"/>
  <c r="B754" i="6"/>
  <c r="A754" i="6"/>
  <c r="AN596" i="8"/>
  <c r="K547" i="8"/>
  <c r="AO596" i="8"/>
  <c r="L547" i="8"/>
  <c r="D545" i="8"/>
  <c r="AP596" i="8"/>
  <c r="AM596" i="8"/>
  <c r="M547" i="8"/>
  <c r="G755" i="6"/>
  <c r="H806" i="6"/>
  <c r="AM594" i="8"/>
  <c r="K546" i="8"/>
  <c r="B757" i="6"/>
  <c r="H808" i="6"/>
  <c r="C759" i="6"/>
  <c r="Q545" i="8"/>
  <c r="L545" i="8"/>
  <c r="N545" i="8"/>
  <c r="O545" i="8"/>
  <c r="R545" i="8"/>
  <c r="K545" i="8"/>
  <c r="M545" i="8"/>
  <c r="P545" i="8"/>
  <c r="I541" i="8"/>
  <c r="AU593" i="8"/>
  <c r="H541" i="8"/>
  <c r="AT593" i="8"/>
  <c r="G541" i="8"/>
  <c r="AS593" i="8"/>
  <c r="F541" i="8"/>
  <c r="AR593" i="8"/>
  <c r="E541" i="8"/>
  <c r="AQ593" i="8"/>
  <c r="D541" i="8"/>
  <c r="AP593" i="8"/>
  <c r="C541" i="8"/>
  <c r="AO593" i="8"/>
  <c r="B541" i="8"/>
  <c r="AN593" i="8"/>
  <c r="A541" i="8"/>
  <c r="B753" i="6"/>
  <c r="A753" i="6"/>
  <c r="AP597" i="8"/>
  <c r="M548" i="8"/>
  <c r="M546" i="8"/>
  <c r="H809" i="6"/>
  <c r="C760" i="6"/>
  <c r="C758" i="6"/>
  <c r="G754" i="6"/>
  <c r="H805" i="6"/>
  <c r="AM593" i="8"/>
  <c r="C757" i="6"/>
  <c r="P544" i="8"/>
  <c r="Q544" i="8"/>
  <c r="R544" i="8"/>
  <c r="M544" i="8"/>
  <c r="N544" i="8"/>
  <c r="K544" i="8"/>
  <c r="L544" i="8"/>
  <c r="C756" i="6"/>
  <c r="O544" i="8"/>
  <c r="AM597" i="8"/>
  <c r="I540" i="8"/>
  <c r="H540" i="8"/>
  <c r="G540" i="8"/>
  <c r="F540" i="8"/>
  <c r="E540" i="8"/>
  <c r="D540" i="8"/>
  <c r="C540" i="8"/>
  <c r="B540" i="8"/>
  <c r="A540" i="8"/>
  <c r="B752" i="6"/>
  <c r="H804" i="6"/>
  <c r="A752" i="6"/>
  <c r="K543" i="8"/>
  <c r="AN592" i="8"/>
  <c r="N543" i="8"/>
  <c r="AQ592" i="8"/>
  <c r="M543" i="8"/>
  <c r="AP592" i="8"/>
  <c r="AM592" i="8"/>
  <c r="O543" i="8"/>
  <c r="AR592" i="8"/>
  <c r="P543" i="8"/>
  <c r="AS592" i="8"/>
  <c r="R543" i="8"/>
  <c r="AU592" i="8"/>
  <c r="L543" i="8"/>
  <c r="AO592" i="8"/>
  <c r="Q543" i="8"/>
  <c r="AT592" i="8"/>
  <c r="C755" i="6"/>
  <c r="G753" i="6"/>
  <c r="I539" i="8"/>
  <c r="H539" i="8"/>
  <c r="G539" i="8"/>
  <c r="F539" i="8"/>
  <c r="E539" i="8"/>
  <c r="D539" i="8"/>
  <c r="C539" i="8"/>
  <c r="B539" i="8"/>
  <c r="A539" i="8"/>
  <c r="B751" i="6"/>
  <c r="A751" i="6"/>
  <c r="N542" i="8"/>
  <c r="AQ591" i="8"/>
  <c r="C754" i="6"/>
  <c r="H803" i="6"/>
  <c r="K542" i="8"/>
  <c r="AN591" i="8"/>
  <c r="M542" i="8"/>
  <c r="AP591" i="8"/>
  <c r="O542" i="8"/>
  <c r="AR591" i="8"/>
  <c r="P542" i="8"/>
  <c r="AS591" i="8"/>
  <c r="Q542" i="8"/>
  <c r="AT591" i="8"/>
  <c r="R542" i="8"/>
  <c r="AU591" i="8"/>
  <c r="L542" i="8"/>
  <c r="AO591" i="8"/>
  <c r="G752" i="6"/>
  <c r="T538" i="8"/>
  <c r="I538" i="8"/>
  <c r="H538" i="8"/>
  <c r="G538" i="8"/>
  <c r="F538" i="8"/>
  <c r="E538" i="8"/>
  <c r="D538" i="8"/>
  <c r="C538" i="8"/>
  <c r="B538" i="8"/>
  <c r="AN590" i="8"/>
  <c r="A538" i="8"/>
  <c r="B750" i="6"/>
  <c r="A750" i="6"/>
  <c r="C753" i="6"/>
  <c r="H802" i="6"/>
  <c r="Q541" i="8"/>
  <c r="AT590" i="8"/>
  <c r="O541" i="8"/>
  <c r="AR590" i="8"/>
  <c r="AM591" i="8"/>
  <c r="P541" i="8"/>
  <c r="AS590" i="8"/>
  <c r="R541" i="8"/>
  <c r="AU590" i="8"/>
  <c r="L541" i="8"/>
  <c r="AO590" i="8"/>
  <c r="M541" i="8"/>
  <c r="AP590" i="8"/>
  <c r="AM590" i="8"/>
  <c r="N541" i="8"/>
  <c r="AQ590" i="8"/>
  <c r="AN538" i="8"/>
  <c r="K541" i="8"/>
  <c r="G751" i="6"/>
  <c r="AD538" i="8"/>
  <c r="U537" i="8"/>
  <c r="T537" i="8"/>
  <c r="I537" i="8"/>
  <c r="AU589" i="8"/>
  <c r="H537" i="8"/>
  <c r="G537" i="8"/>
  <c r="AS589" i="8"/>
  <c r="F537" i="8"/>
  <c r="AR589" i="8"/>
  <c r="E537" i="8"/>
  <c r="AQ589" i="8"/>
  <c r="D537" i="8"/>
  <c r="AP589" i="8"/>
  <c r="C537" i="8"/>
  <c r="AO589" i="8"/>
  <c r="B537" i="8"/>
  <c r="AN589" i="8"/>
  <c r="A537" i="8"/>
  <c r="A536" i="8"/>
  <c r="B536" i="8"/>
  <c r="C536" i="8"/>
  <c r="D536" i="8"/>
  <c r="E536" i="8"/>
  <c r="AQ588" i="8"/>
  <c r="F536" i="8"/>
  <c r="AR588" i="8"/>
  <c r="G536" i="8"/>
  <c r="AS588" i="8"/>
  <c r="H536" i="8"/>
  <c r="AT588" i="8"/>
  <c r="I536" i="8"/>
  <c r="B749" i="6"/>
  <c r="H801" i="6"/>
  <c r="A749" i="6"/>
  <c r="AM589" i="8"/>
  <c r="K539" i="8"/>
  <c r="AN588" i="8"/>
  <c r="R539" i="8"/>
  <c r="AU588" i="8"/>
  <c r="M539" i="8"/>
  <c r="AP588" i="8"/>
  <c r="AM588" i="8"/>
  <c r="L539" i="8"/>
  <c r="AO588" i="8"/>
  <c r="Q540" i="8"/>
  <c r="AT589" i="8"/>
  <c r="P540" i="8"/>
  <c r="Q539" i="8"/>
  <c r="C752" i="6"/>
  <c r="G750" i="6"/>
  <c r="AN537" i="8"/>
  <c r="K540" i="8"/>
  <c r="O539" i="8"/>
  <c r="AO537" i="8"/>
  <c r="L540" i="8"/>
  <c r="N540" i="8"/>
  <c r="O540" i="8"/>
  <c r="R540" i="8"/>
  <c r="P539" i="8"/>
  <c r="N539" i="8"/>
  <c r="M540" i="8"/>
  <c r="AD537" i="8"/>
  <c r="AE537" i="8"/>
  <c r="U536" i="8"/>
  <c r="T536" i="8"/>
  <c r="AO536" i="8"/>
  <c r="AN536" i="8"/>
  <c r="B748" i="6"/>
  <c r="H800" i="6"/>
  <c r="A748" i="6"/>
  <c r="C751" i="6"/>
  <c r="G749" i="6"/>
  <c r="AD536" i="8"/>
  <c r="AE536" i="8"/>
  <c r="B747" i="6"/>
  <c r="H799" i="6"/>
  <c r="A747" i="6"/>
  <c r="U535" i="8"/>
  <c r="T535" i="8"/>
  <c r="I535" i="8"/>
  <c r="AU587" i="8"/>
  <c r="H535" i="8"/>
  <c r="AT587" i="8"/>
  <c r="G535" i="8"/>
  <c r="AS587" i="8"/>
  <c r="F535" i="8"/>
  <c r="AR587" i="8"/>
  <c r="E535" i="8"/>
  <c r="AQ587" i="8"/>
  <c r="D535" i="8"/>
  <c r="AP587" i="8"/>
  <c r="AM587" i="8"/>
  <c r="C535" i="8"/>
  <c r="AO587" i="8"/>
  <c r="B535" i="8"/>
  <c r="AN587" i="8"/>
  <c r="A535" i="8"/>
  <c r="G748" i="6"/>
  <c r="C750" i="6"/>
  <c r="R538" i="8"/>
  <c r="AD535" i="8"/>
  <c r="K538" i="8"/>
  <c r="T590" i="8"/>
  <c r="AD590" i="8"/>
  <c r="N538" i="8"/>
  <c r="Q538" i="8"/>
  <c r="M538" i="8"/>
  <c r="AO535" i="8"/>
  <c r="L538" i="8"/>
  <c r="O538" i="8"/>
  <c r="P538" i="8"/>
  <c r="AE535" i="8"/>
  <c r="AN535" i="8"/>
  <c r="U534" i="8"/>
  <c r="T534" i="8"/>
  <c r="I534" i="8"/>
  <c r="AU586" i="8"/>
  <c r="H534" i="8"/>
  <c r="AT586" i="8"/>
  <c r="G534" i="8"/>
  <c r="AS586" i="8"/>
  <c r="F534" i="8"/>
  <c r="AR586" i="8"/>
  <c r="E534" i="8"/>
  <c r="AQ586" i="8"/>
  <c r="D534" i="8"/>
  <c r="AP586" i="8"/>
  <c r="C534" i="8"/>
  <c r="AO586" i="8"/>
  <c r="B534" i="8"/>
  <c r="AN586" i="8"/>
  <c r="A534" i="8"/>
  <c r="B746" i="6"/>
  <c r="A746" i="6"/>
  <c r="G747" i="6"/>
  <c r="H798" i="6"/>
  <c r="AM586" i="8"/>
  <c r="R537" i="8"/>
  <c r="AN534" i="8"/>
  <c r="K537" i="8"/>
  <c r="T589" i="8"/>
  <c r="AD589" i="8"/>
  <c r="M537" i="8"/>
  <c r="N537" i="8"/>
  <c r="O537" i="8"/>
  <c r="AO534" i="8"/>
  <c r="L537" i="8"/>
  <c r="U589" i="8"/>
  <c r="AE589" i="8"/>
  <c r="P537" i="8"/>
  <c r="C749" i="6"/>
  <c r="Q537" i="8"/>
  <c r="AD534" i="8"/>
  <c r="AE534" i="8"/>
  <c r="U533" i="8"/>
  <c r="T533" i="8"/>
  <c r="I533" i="8"/>
  <c r="AU585" i="8"/>
  <c r="H533" i="8"/>
  <c r="AT585" i="8"/>
  <c r="G533" i="8"/>
  <c r="AS585" i="8"/>
  <c r="F533" i="8"/>
  <c r="AR585" i="8"/>
  <c r="E533" i="8"/>
  <c r="AQ585" i="8"/>
  <c r="D533" i="8"/>
  <c r="AP585" i="8"/>
  <c r="C533" i="8"/>
  <c r="AO585" i="8"/>
  <c r="B533" i="8"/>
  <c r="AN585" i="8"/>
  <c r="A533" i="8"/>
  <c r="B745" i="6"/>
  <c r="H797" i="6"/>
  <c r="A745" i="6"/>
  <c r="AM585" i="8"/>
  <c r="R536" i="8"/>
  <c r="P536" i="8"/>
  <c r="Q536" i="8"/>
  <c r="C748" i="6"/>
  <c r="AE533" i="8"/>
  <c r="L536" i="8"/>
  <c r="U588" i="8"/>
  <c r="AE588" i="8"/>
  <c r="M536" i="8"/>
  <c r="AO533" i="8"/>
  <c r="N536" i="8"/>
  <c r="AN533" i="8"/>
  <c r="K536" i="8"/>
  <c r="T588" i="8"/>
  <c r="AD588" i="8"/>
  <c r="O536" i="8"/>
  <c r="G746" i="6"/>
  <c r="AD533" i="8"/>
  <c r="U532" i="8"/>
  <c r="T532" i="8"/>
  <c r="I532" i="8"/>
  <c r="AU584" i="8"/>
  <c r="H532" i="8"/>
  <c r="AT584" i="8"/>
  <c r="G532" i="8"/>
  <c r="AS584" i="8"/>
  <c r="F532" i="8"/>
  <c r="AR584" i="8"/>
  <c r="E532" i="8"/>
  <c r="AQ584" i="8"/>
  <c r="D532" i="8"/>
  <c r="AP584" i="8"/>
  <c r="C532" i="8"/>
  <c r="B532" i="8"/>
  <c r="AN584" i="8"/>
  <c r="A532" i="8"/>
  <c r="B744" i="6"/>
  <c r="A744" i="6"/>
  <c r="AO532" i="8"/>
  <c r="AO584" i="8"/>
  <c r="C747" i="6"/>
  <c r="H796" i="6"/>
  <c r="AM584" i="8"/>
  <c r="Q535" i="8"/>
  <c r="R535" i="8"/>
  <c r="AN532" i="8"/>
  <c r="K535" i="8"/>
  <c r="T587" i="8"/>
  <c r="AD587" i="8"/>
  <c r="N535" i="8"/>
  <c r="AE532" i="8"/>
  <c r="L535" i="8"/>
  <c r="U587" i="8"/>
  <c r="AE587" i="8"/>
  <c r="M535" i="8"/>
  <c r="G745" i="6"/>
  <c r="O535" i="8"/>
  <c r="P535" i="8"/>
  <c r="AD532" i="8"/>
  <c r="U531" i="8"/>
  <c r="T531" i="8"/>
  <c r="I531" i="8"/>
  <c r="AU583" i="8"/>
  <c r="H531" i="8"/>
  <c r="AT583" i="8"/>
  <c r="G531" i="8"/>
  <c r="AS583" i="8"/>
  <c r="F531" i="8"/>
  <c r="AR583" i="8"/>
  <c r="E531" i="8"/>
  <c r="AQ583" i="8"/>
  <c r="D531" i="8"/>
  <c r="AP583" i="8"/>
  <c r="C531" i="8"/>
  <c r="AO583" i="8"/>
  <c r="B531" i="8"/>
  <c r="AN583" i="8"/>
  <c r="A531" i="8"/>
  <c r="B743" i="6"/>
  <c r="H795" i="6"/>
  <c r="A743" i="6"/>
  <c r="AM583" i="8"/>
  <c r="Q534" i="8"/>
  <c r="R534" i="8"/>
  <c r="AD531" i="8"/>
  <c r="K534" i="8"/>
  <c r="T586" i="8"/>
  <c r="AD586" i="8"/>
  <c r="M534" i="8"/>
  <c r="C746" i="6"/>
  <c r="N534" i="8"/>
  <c r="P534" i="8"/>
  <c r="L534" i="8"/>
  <c r="U586" i="8"/>
  <c r="AE586" i="8"/>
  <c r="O534" i="8"/>
  <c r="G744" i="6"/>
  <c r="AE531" i="8"/>
  <c r="AN531" i="8"/>
  <c r="AO531" i="8"/>
  <c r="U530" i="8"/>
  <c r="T530" i="8"/>
  <c r="I530" i="8"/>
  <c r="AU582" i="8"/>
  <c r="H530" i="8"/>
  <c r="AT582" i="8"/>
  <c r="G530" i="8"/>
  <c r="AS582" i="8"/>
  <c r="F530" i="8"/>
  <c r="AR582" i="8"/>
  <c r="E530" i="8"/>
  <c r="AQ582" i="8"/>
  <c r="D530" i="8"/>
  <c r="AP582" i="8"/>
  <c r="AM582" i="8"/>
  <c r="C530" i="8"/>
  <c r="AO582" i="8"/>
  <c r="B530" i="8"/>
  <c r="AN582" i="8"/>
  <c r="A530" i="8"/>
  <c r="B742" i="6"/>
  <c r="H794" i="6"/>
  <c r="A742" i="6"/>
  <c r="M533" i="8"/>
  <c r="R533" i="8"/>
  <c r="K533" i="8"/>
  <c r="T585" i="8"/>
  <c r="AD585" i="8"/>
  <c r="L533" i="8"/>
  <c r="U585" i="8"/>
  <c r="AE585" i="8"/>
  <c r="N533" i="8"/>
  <c r="O533" i="8"/>
  <c r="C745" i="6"/>
  <c r="G743" i="6"/>
  <c r="P533" i="8"/>
  <c r="Q533" i="8"/>
  <c r="AD530" i="8"/>
  <c r="AE530" i="8"/>
  <c r="AN530" i="8"/>
  <c r="AO530" i="8"/>
  <c r="U529" i="8"/>
  <c r="T529" i="8"/>
  <c r="I529" i="8"/>
  <c r="AU581" i="8"/>
  <c r="H529" i="8"/>
  <c r="AT581" i="8"/>
  <c r="G529" i="8"/>
  <c r="AS581" i="8"/>
  <c r="F529" i="8"/>
  <c r="AR581" i="8"/>
  <c r="E529" i="8"/>
  <c r="AQ581" i="8"/>
  <c r="D529" i="8"/>
  <c r="AP581" i="8"/>
  <c r="C529" i="8"/>
  <c r="B529" i="8"/>
  <c r="AN581" i="8"/>
  <c r="A529" i="8"/>
  <c r="AE529" i="8"/>
  <c r="AO581" i="8"/>
  <c r="P532" i="8"/>
  <c r="Q532" i="8"/>
  <c r="AD529" i="8"/>
  <c r="K532" i="8"/>
  <c r="T584" i="8"/>
  <c r="AD584" i="8"/>
  <c r="L532" i="8"/>
  <c r="U584" i="8"/>
  <c r="AE584" i="8"/>
  <c r="AN529" i="8"/>
  <c r="M532" i="8"/>
  <c r="AO529" i="8"/>
  <c r="N532" i="8"/>
  <c r="R532" i="8"/>
  <c r="O532" i="8"/>
  <c r="B741" i="6"/>
  <c r="H793" i="6"/>
  <c r="AM581" i="8"/>
  <c r="A741" i="6"/>
  <c r="C744" i="6"/>
  <c r="G742" i="6"/>
  <c r="U528" i="8"/>
  <c r="T528" i="8"/>
  <c r="I528" i="8"/>
  <c r="AU580" i="8"/>
  <c r="H528" i="8"/>
  <c r="AT580" i="8"/>
  <c r="G528" i="8"/>
  <c r="AS580" i="8"/>
  <c r="F528" i="8"/>
  <c r="AR580" i="8"/>
  <c r="E528" i="8"/>
  <c r="AQ580" i="8"/>
  <c r="D528" i="8"/>
  <c r="AP580" i="8"/>
  <c r="C528" i="8"/>
  <c r="AO580" i="8"/>
  <c r="B528" i="8"/>
  <c r="AN580" i="8"/>
  <c r="A528" i="8"/>
  <c r="B740" i="6"/>
  <c r="H792" i="6"/>
  <c r="A740" i="6"/>
  <c r="AM580" i="8"/>
  <c r="M531" i="8"/>
  <c r="C743" i="6"/>
  <c r="N531" i="8"/>
  <c r="P531" i="8"/>
  <c r="Q531" i="8"/>
  <c r="G741" i="6"/>
  <c r="R531" i="8"/>
  <c r="O531" i="8"/>
  <c r="AD528" i="8"/>
  <c r="K531" i="8"/>
  <c r="T583" i="8"/>
  <c r="AD583" i="8"/>
  <c r="AE528" i="8"/>
  <c r="L531" i="8"/>
  <c r="U583" i="8"/>
  <c r="AE583" i="8"/>
  <c r="AN528" i="8"/>
  <c r="AO528" i="8"/>
  <c r="B739" i="6"/>
  <c r="A739" i="6"/>
  <c r="G740" i="6"/>
  <c r="H791" i="6"/>
  <c r="C742" i="6"/>
  <c r="T527" i="8"/>
  <c r="I527" i="8"/>
  <c r="AU579" i="8"/>
  <c r="H527" i="8"/>
  <c r="AT579" i="8"/>
  <c r="G527" i="8"/>
  <c r="AS579" i="8"/>
  <c r="F527" i="8"/>
  <c r="AR579" i="8"/>
  <c r="E527" i="8"/>
  <c r="AQ579" i="8"/>
  <c r="D527" i="8"/>
  <c r="AP579" i="8"/>
  <c r="AM579" i="8"/>
  <c r="C527" i="8"/>
  <c r="AO579" i="8"/>
  <c r="B527" i="8"/>
  <c r="A527" i="8"/>
  <c r="AN527" i="8"/>
  <c r="AN579" i="8"/>
  <c r="L530" i="8"/>
  <c r="U582" i="8"/>
  <c r="AE582" i="8"/>
  <c r="AD527" i="8"/>
  <c r="N530" i="8"/>
  <c r="O530" i="8"/>
  <c r="P530" i="8"/>
  <c r="Q530" i="8"/>
  <c r="K530" i="8"/>
  <c r="T582" i="8"/>
  <c r="AD582" i="8"/>
  <c r="M530" i="8"/>
  <c r="R530" i="8"/>
  <c r="AO527" i="8"/>
  <c r="T526" i="8"/>
  <c r="I526" i="8"/>
  <c r="AU578" i="8"/>
  <c r="H526" i="8"/>
  <c r="AT578" i="8"/>
  <c r="G526" i="8"/>
  <c r="AS578" i="8"/>
  <c r="F526" i="8"/>
  <c r="AR578" i="8"/>
  <c r="E526" i="8"/>
  <c r="AQ578" i="8"/>
  <c r="D526" i="8"/>
  <c r="AP578" i="8"/>
  <c r="C526" i="8"/>
  <c r="B526" i="8"/>
  <c r="AN578" i="8"/>
  <c r="A526" i="8"/>
  <c r="B738" i="6"/>
  <c r="H790" i="6"/>
  <c r="A738" i="6"/>
  <c r="AO526" i="8"/>
  <c r="AO578" i="8"/>
  <c r="AM578" i="8"/>
  <c r="O529" i="8"/>
  <c r="Q529" i="8"/>
  <c r="P529" i="8"/>
  <c r="R529" i="8"/>
  <c r="M529" i="8"/>
  <c r="AN526" i="8"/>
  <c r="K529" i="8"/>
  <c r="T581" i="8"/>
  <c r="AD581" i="8"/>
  <c r="N529" i="8"/>
  <c r="C741" i="6"/>
  <c r="G739" i="6"/>
  <c r="L529" i="8"/>
  <c r="U581" i="8"/>
  <c r="AE581" i="8"/>
  <c r="AD526" i="8"/>
  <c r="I525" i="8"/>
  <c r="AU577" i="8"/>
  <c r="H525" i="8"/>
  <c r="AT577" i="8"/>
  <c r="G525" i="8"/>
  <c r="AS577" i="8"/>
  <c r="F525" i="8"/>
  <c r="AR577" i="8"/>
  <c r="E525" i="8"/>
  <c r="AQ577" i="8"/>
  <c r="D525" i="8"/>
  <c r="AP577" i="8"/>
  <c r="AM577" i="8"/>
  <c r="C525" i="8"/>
  <c r="AO577" i="8"/>
  <c r="B525" i="8"/>
  <c r="AN577" i="8"/>
  <c r="A525" i="8"/>
  <c r="B737" i="6"/>
  <c r="H789" i="6"/>
  <c r="A737" i="6"/>
  <c r="P528" i="8"/>
  <c r="Q528" i="8"/>
  <c r="M528" i="8"/>
  <c r="R528" i="8"/>
  <c r="AN525" i="8"/>
  <c r="K528" i="8"/>
  <c r="T580" i="8"/>
  <c r="AD580" i="8"/>
  <c r="AO525" i="8"/>
  <c r="L528" i="8"/>
  <c r="U580" i="8"/>
  <c r="AE580" i="8"/>
  <c r="C740" i="6"/>
  <c r="G738" i="6"/>
  <c r="N528" i="8"/>
  <c r="O528" i="8"/>
  <c r="I524" i="8"/>
  <c r="AU576" i="8"/>
  <c r="H524" i="8"/>
  <c r="AT576" i="8"/>
  <c r="G524" i="8"/>
  <c r="AS576" i="8"/>
  <c r="F524" i="8"/>
  <c r="AR576" i="8"/>
  <c r="E524" i="8"/>
  <c r="AQ576" i="8"/>
  <c r="D524" i="8"/>
  <c r="AP576" i="8"/>
  <c r="C524" i="8"/>
  <c r="AO576" i="8"/>
  <c r="B524" i="8"/>
  <c r="AN576" i="8"/>
  <c r="A524" i="8"/>
  <c r="B736" i="6"/>
  <c r="H788" i="6"/>
  <c r="A736" i="6"/>
  <c r="AM576" i="8"/>
  <c r="Q527" i="8"/>
  <c r="N527" i="8"/>
  <c r="R527" i="8"/>
  <c r="M527" i="8"/>
  <c r="C739" i="6"/>
  <c r="G737" i="6"/>
  <c r="AN524" i="8"/>
  <c r="K527" i="8"/>
  <c r="T579" i="8"/>
  <c r="AD579" i="8"/>
  <c r="O527" i="8"/>
  <c r="P527" i="8"/>
  <c r="AO524" i="8"/>
  <c r="L527" i="8"/>
  <c r="U579" i="8"/>
  <c r="AE579" i="8"/>
  <c r="I523" i="8"/>
  <c r="AU575" i="8"/>
  <c r="H523" i="8"/>
  <c r="AT575" i="8"/>
  <c r="G523" i="8"/>
  <c r="AS575" i="8"/>
  <c r="F523" i="8"/>
  <c r="AR575" i="8"/>
  <c r="E523" i="8"/>
  <c r="AQ575" i="8"/>
  <c r="D523" i="8"/>
  <c r="AP575" i="8"/>
  <c r="C523" i="8"/>
  <c r="AO575" i="8"/>
  <c r="B523" i="8"/>
  <c r="AN575" i="8"/>
  <c r="A523" i="8"/>
  <c r="B735" i="6"/>
  <c r="A735" i="6"/>
  <c r="G736" i="6"/>
  <c r="H787" i="6"/>
  <c r="AM575" i="8"/>
  <c r="N526" i="8"/>
  <c r="O526" i="8"/>
  <c r="Q526" i="8"/>
  <c r="R526" i="8"/>
  <c r="P526" i="8"/>
  <c r="AN523" i="8"/>
  <c r="K526" i="8"/>
  <c r="T578" i="8"/>
  <c r="AD578" i="8"/>
  <c r="C738" i="6"/>
  <c r="AO523" i="8"/>
  <c r="L526" i="8"/>
  <c r="M526" i="8"/>
  <c r="I522" i="8"/>
  <c r="AU574" i="8"/>
  <c r="H522" i="8"/>
  <c r="AT574" i="8"/>
  <c r="G522" i="8"/>
  <c r="AS574" i="8"/>
  <c r="F522" i="8"/>
  <c r="AR574" i="8"/>
  <c r="E522" i="8"/>
  <c r="AQ574" i="8"/>
  <c r="D522" i="8"/>
  <c r="AP574" i="8"/>
  <c r="C522" i="8"/>
  <c r="AO574" i="8"/>
  <c r="B522" i="8"/>
  <c r="AN574" i="8"/>
  <c r="A522" i="8"/>
  <c r="B734" i="6"/>
  <c r="H786" i="6"/>
  <c r="A734" i="6"/>
  <c r="AM574" i="8"/>
  <c r="Q525" i="8"/>
  <c r="R525" i="8"/>
  <c r="N525" i="8"/>
  <c r="L525" i="8"/>
  <c r="M525" i="8"/>
  <c r="O525" i="8"/>
  <c r="AN522" i="8"/>
  <c r="K525" i="8"/>
  <c r="C737" i="6"/>
  <c r="G735" i="6"/>
  <c r="P525" i="8"/>
  <c r="I521" i="8"/>
  <c r="AU573" i="8"/>
  <c r="H521" i="8"/>
  <c r="AT573" i="8"/>
  <c r="G521" i="8"/>
  <c r="AS573" i="8"/>
  <c r="F521" i="8"/>
  <c r="AR573" i="8"/>
  <c r="E521" i="8"/>
  <c r="AQ573" i="8"/>
  <c r="D521" i="8"/>
  <c r="AP573" i="8"/>
  <c r="C521" i="8"/>
  <c r="AO573" i="8"/>
  <c r="B521" i="8"/>
  <c r="AN573" i="8"/>
  <c r="A521" i="8"/>
  <c r="L524" i="8"/>
  <c r="N524" i="8"/>
  <c r="K524" i="8"/>
  <c r="R524" i="8"/>
  <c r="P524" i="8"/>
  <c r="M524" i="8"/>
  <c r="O524" i="8"/>
  <c r="Q524" i="8"/>
  <c r="B733" i="6"/>
  <c r="H785" i="6"/>
  <c r="AM573" i="8"/>
  <c r="A733" i="6"/>
  <c r="C736" i="6"/>
  <c r="G734" i="6"/>
  <c r="I520" i="8"/>
  <c r="AU572" i="8"/>
  <c r="H520" i="8"/>
  <c r="AT572" i="8"/>
  <c r="G520" i="8"/>
  <c r="AS572" i="8"/>
  <c r="F520" i="8"/>
  <c r="AR572" i="8"/>
  <c r="E520" i="8"/>
  <c r="AQ572" i="8"/>
  <c r="D520" i="8"/>
  <c r="AP572" i="8"/>
  <c r="C520" i="8"/>
  <c r="AO572" i="8"/>
  <c r="B520" i="8"/>
  <c r="AN572" i="8"/>
  <c r="A520" i="8"/>
  <c r="B732" i="6"/>
  <c r="A732" i="6"/>
  <c r="G733" i="6"/>
  <c r="H784" i="6"/>
  <c r="AM572" i="8"/>
  <c r="K523" i="8"/>
  <c r="O523" i="8"/>
  <c r="M523" i="8"/>
  <c r="C735" i="6"/>
  <c r="N523" i="8"/>
  <c r="P523" i="8"/>
  <c r="L523" i="8"/>
  <c r="Q523" i="8"/>
  <c r="R523" i="8"/>
  <c r="I519" i="8"/>
  <c r="AU571" i="8"/>
  <c r="H519" i="8"/>
  <c r="AT571" i="8"/>
  <c r="G519" i="8"/>
  <c r="AS571" i="8"/>
  <c r="F519" i="8"/>
  <c r="AR571" i="8"/>
  <c r="E519" i="8"/>
  <c r="AQ571" i="8"/>
  <c r="D519" i="8"/>
  <c r="AP571" i="8"/>
  <c r="C519" i="8"/>
  <c r="AO571" i="8"/>
  <c r="B519" i="8"/>
  <c r="AN571" i="8"/>
  <c r="A519" i="8"/>
  <c r="B731" i="6"/>
  <c r="A731" i="6"/>
  <c r="C734" i="6"/>
  <c r="H783" i="6"/>
  <c r="AM571" i="8"/>
  <c r="K522" i="8"/>
  <c r="L522" i="8"/>
  <c r="P522" i="8"/>
  <c r="M522" i="8"/>
  <c r="O522" i="8"/>
  <c r="Q522" i="8"/>
  <c r="R522" i="8"/>
  <c r="N522" i="8"/>
  <c r="G732" i="6"/>
  <c r="I518" i="8"/>
  <c r="AU570" i="8"/>
  <c r="H518" i="8"/>
  <c r="AT570" i="8"/>
  <c r="G518" i="8"/>
  <c r="AS570" i="8"/>
  <c r="F518" i="8"/>
  <c r="AR570" i="8"/>
  <c r="E518" i="8"/>
  <c r="AQ570" i="8"/>
  <c r="D518" i="8"/>
  <c r="AP570" i="8"/>
  <c r="C518" i="8"/>
  <c r="AO570" i="8"/>
  <c r="B518" i="8"/>
  <c r="AN570" i="8"/>
  <c r="A518" i="8"/>
  <c r="B730" i="6"/>
  <c r="H782" i="6"/>
  <c r="A730" i="6"/>
  <c r="AM570" i="8"/>
  <c r="Q521" i="8"/>
  <c r="R521" i="8"/>
  <c r="K521" i="8"/>
  <c r="M521" i="8"/>
  <c r="L521" i="8"/>
  <c r="C733" i="6"/>
  <c r="G731" i="6"/>
  <c r="O521" i="8"/>
  <c r="N521" i="8"/>
  <c r="P521" i="8"/>
  <c r="I517" i="8"/>
  <c r="AU569" i="8"/>
  <c r="H517" i="8"/>
  <c r="AT569" i="8"/>
  <c r="G517" i="8"/>
  <c r="AS569" i="8"/>
  <c r="F517" i="8"/>
  <c r="AR569" i="8"/>
  <c r="E517" i="8"/>
  <c r="AQ569" i="8"/>
  <c r="D517" i="8"/>
  <c r="AP569" i="8"/>
  <c r="C517" i="8"/>
  <c r="AO569" i="8"/>
  <c r="B517" i="8"/>
  <c r="AN569" i="8"/>
  <c r="A517" i="8"/>
  <c r="B729" i="6"/>
  <c r="A729" i="6"/>
  <c r="G730" i="6"/>
  <c r="H781" i="6"/>
  <c r="AM569" i="8"/>
  <c r="K520" i="8"/>
  <c r="L520" i="8"/>
  <c r="O520" i="8"/>
  <c r="R520" i="8"/>
  <c r="M520" i="8"/>
  <c r="N520" i="8"/>
  <c r="C732" i="6"/>
  <c r="P520" i="8"/>
  <c r="Q520" i="8"/>
  <c r="I516" i="8"/>
  <c r="AU568" i="8"/>
  <c r="H516" i="8"/>
  <c r="AT568" i="8"/>
  <c r="G516" i="8"/>
  <c r="AS568" i="8"/>
  <c r="F516" i="8"/>
  <c r="AR568" i="8"/>
  <c r="E516" i="8"/>
  <c r="AQ568" i="8"/>
  <c r="D516" i="8"/>
  <c r="AP568" i="8"/>
  <c r="C516" i="8"/>
  <c r="AO568" i="8"/>
  <c r="B516" i="8"/>
  <c r="AN568" i="8"/>
  <c r="A516" i="8"/>
  <c r="B728" i="6"/>
  <c r="H780" i="6"/>
  <c r="A728" i="6"/>
  <c r="G729" i="6"/>
  <c r="AM568" i="8"/>
  <c r="L519" i="8"/>
  <c r="M519" i="8"/>
  <c r="Q519" i="8"/>
  <c r="K519" i="8"/>
  <c r="N519" i="8"/>
  <c r="R519" i="8"/>
  <c r="C731" i="6"/>
  <c r="O519" i="8"/>
  <c r="P519" i="8"/>
  <c r="I515" i="8"/>
  <c r="AU567" i="8"/>
  <c r="H515" i="8"/>
  <c r="AT567" i="8"/>
  <c r="G515" i="8"/>
  <c r="AS567" i="8"/>
  <c r="F515" i="8"/>
  <c r="AR567" i="8"/>
  <c r="E515" i="8"/>
  <c r="AQ567" i="8"/>
  <c r="D515" i="8"/>
  <c r="AP567" i="8"/>
  <c r="C515" i="8"/>
  <c r="AO567" i="8"/>
  <c r="B515" i="8"/>
  <c r="AN567" i="8"/>
  <c r="A515" i="8"/>
  <c r="B727" i="6"/>
  <c r="H779" i="6"/>
  <c r="A727" i="6"/>
  <c r="AM567" i="8"/>
  <c r="C730" i="6"/>
  <c r="G728" i="6"/>
  <c r="N518" i="8"/>
  <c r="O518" i="8"/>
  <c r="P518" i="8"/>
  <c r="Q518" i="8"/>
  <c r="R518" i="8"/>
  <c r="K518" i="8"/>
  <c r="L518" i="8"/>
  <c r="M518" i="8"/>
  <c r="I514" i="8"/>
  <c r="AU566" i="8"/>
  <c r="H514" i="8"/>
  <c r="AT566" i="8"/>
  <c r="G514" i="8"/>
  <c r="AS566" i="8"/>
  <c r="F514" i="8"/>
  <c r="AR566" i="8"/>
  <c r="E514" i="8"/>
  <c r="AQ566" i="8"/>
  <c r="D514" i="8"/>
  <c r="AP566" i="8"/>
  <c r="C514" i="8"/>
  <c r="AO566" i="8"/>
  <c r="B514" i="8"/>
  <c r="AN566" i="8"/>
  <c r="A514" i="8"/>
  <c r="B726" i="6"/>
  <c r="H778" i="6"/>
  <c r="A726" i="6"/>
  <c r="AM566" i="8"/>
  <c r="L517" i="8"/>
  <c r="M517" i="8"/>
  <c r="N517" i="8"/>
  <c r="Q517" i="8"/>
  <c r="C729" i="6"/>
  <c r="O517" i="8"/>
  <c r="G727" i="6"/>
  <c r="P517" i="8"/>
  <c r="R517" i="8"/>
  <c r="K517" i="8"/>
  <c r="I513" i="8"/>
  <c r="AU565" i="8"/>
  <c r="H513" i="8"/>
  <c r="AT565" i="8"/>
  <c r="G513" i="8"/>
  <c r="AS565" i="8"/>
  <c r="F513" i="8"/>
  <c r="AR565" i="8"/>
  <c r="E513" i="8"/>
  <c r="AQ565" i="8"/>
  <c r="D513" i="8"/>
  <c r="AP565" i="8"/>
  <c r="C513" i="8"/>
  <c r="AO565" i="8"/>
  <c r="B513" i="8"/>
  <c r="AN565" i="8"/>
  <c r="A513" i="8"/>
  <c r="B725" i="6"/>
  <c r="H777" i="6"/>
  <c r="A725" i="6"/>
  <c r="AM565" i="8"/>
  <c r="L516" i="8"/>
  <c r="C728" i="6"/>
  <c r="M516" i="8"/>
  <c r="O516" i="8"/>
  <c r="N516" i="8"/>
  <c r="P516" i="8"/>
  <c r="G726" i="6"/>
  <c r="Q516" i="8"/>
  <c r="R516" i="8"/>
  <c r="K516" i="8"/>
  <c r="I512" i="8"/>
  <c r="AU564" i="8"/>
  <c r="H512" i="8"/>
  <c r="AT564" i="8"/>
  <c r="G512" i="8"/>
  <c r="AS564" i="8"/>
  <c r="F512" i="8"/>
  <c r="AR564" i="8"/>
  <c r="E512" i="8"/>
  <c r="AQ564" i="8"/>
  <c r="D512" i="8"/>
  <c r="AP564" i="8"/>
  <c r="C512" i="8"/>
  <c r="AO564" i="8"/>
  <c r="B512" i="8"/>
  <c r="AN564" i="8"/>
  <c r="A512" i="8"/>
  <c r="B724" i="6"/>
  <c r="H776" i="6"/>
  <c r="A724" i="6"/>
  <c r="AM564" i="8"/>
  <c r="L515" i="8"/>
  <c r="M515" i="8"/>
  <c r="P515" i="8"/>
  <c r="Q515" i="8"/>
  <c r="G725" i="6"/>
  <c r="N515" i="8"/>
  <c r="O515" i="8"/>
  <c r="R515" i="8"/>
  <c r="C727" i="6"/>
  <c r="K515" i="8"/>
  <c r="I511" i="8"/>
  <c r="AU563" i="8"/>
  <c r="H511" i="8"/>
  <c r="AT563" i="8"/>
  <c r="G511" i="8"/>
  <c r="AS563" i="8"/>
  <c r="F511" i="8"/>
  <c r="AR563" i="8"/>
  <c r="E511" i="8"/>
  <c r="AQ563" i="8"/>
  <c r="D511" i="8"/>
  <c r="AP563" i="8"/>
  <c r="C511" i="8"/>
  <c r="AO563" i="8"/>
  <c r="B511" i="8"/>
  <c r="AN563" i="8"/>
  <c r="A511" i="8"/>
  <c r="B723" i="6"/>
  <c r="H775" i="6"/>
  <c r="A723" i="6"/>
  <c r="AM563" i="8"/>
  <c r="P514" i="8"/>
  <c r="R514" i="8"/>
  <c r="C726" i="6"/>
  <c r="G724" i="6"/>
  <c r="L514" i="8"/>
  <c r="M514" i="8"/>
  <c r="Q514" i="8"/>
  <c r="N514" i="8"/>
  <c r="K514" i="8"/>
  <c r="O514" i="8"/>
  <c r="B722" i="6"/>
  <c r="B721" i="6"/>
  <c r="H773" i="6"/>
  <c r="I510" i="8"/>
  <c r="AU562" i="8"/>
  <c r="H510" i="8"/>
  <c r="AT562" i="8"/>
  <c r="G510" i="8"/>
  <c r="AS562" i="8"/>
  <c r="F510" i="8"/>
  <c r="AR562" i="8"/>
  <c r="E510" i="8"/>
  <c r="AQ562" i="8"/>
  <c r="D510" i="8"/>
  <c r="AP562" i="8"/>
  <c r="C510" i="8"/>
  <c r="AO562" i="8"/>
  <c r="B510" i="8"/>
  <c r="AN562" i="8"/>
  <c r="A510" i="8"/>
  <c r="G722" i="6"/>
  <c r="A722" i="6"/>
  <c r="C725" i="6"/>
  <c r="H774" i="6"/>
  <c r="AM562" i="8"/>
  <c r="G723" i="6"/>
  <c r="K513" i="8"/>
  <c r="L513" i="8"/>
  <c r="M513" i="8"/>
  <c r="N513" i="8"/>
  <c r="O513" i="8"/>
  <c r="P513" i="8"/>
  <c r="C724" i="6"/>
  <c r="Q513" i="8"/>
  <c r="R513" i="8"/>
  <c r="K510" i="8"/>
  <c r="L510" i="8"/>
  <c r="A509" i="8"/>
  <c r="B509" i="8"/>
  <c r="C509" i="8"/>
  <c r="D509" i="8"/>
  <c r="E509" i="8"/>
  <c r="F509" i="8"/>
  <c r="G509" i="8"/>
  <c r="AS561" i="8"/>
  <c r="H509" i="8"/>
  <c r="AT561" i="8"/>
  <c r="I509" i="8"/>
  <c r="A721" i="6"/>
  <c r="O512" i="8"/>
  <c r="AR561" i="8"/>
  <c r="R512" i="8"/>
  <c r="AU561" i="8"/>
  <c r="N512" i="8"/>
  <c r="AQ561" i="8"/>
  <c r="M512" i="8"/>
  <c r="AP561" i="8"/>
  <c r="AM561" i="8"/>
  <c r="L512" i="8"/>
  <c r="AO561" i="8"/>
  <c r="K509" i="8"/>
  <c r="AN561" i="8"/>
  <c r="L509" i="8"/>
  <c r="Q512" i="8"/>
  <c r="P512" i="8"/>
  <c r="K512" i="8"/>
  <c r="B720" i="6"/>
  <c r="H772" i="6"/>
  <c r="A720" i="6"/>
  <c r="I508" i="8"/>
  <c r="AU560" i="8"/>
  <c r="H508" i="8"/>
  <c r="AT560" i="8"/>
  <c r="G508" i="8"/>
  <c r="AS560" i="8"/>
  <c r="F508" i="8"/>
  <c r="AR560" i="8"/>
  <c r="E508" i="8"/>
  <c r="D508" i="8"/>
  <c r="AP560" i="8"/>
  <c r="C508" i="8"/>
  <c r="AO560" i="8"/>
  <c r="B508" i="8"/>
  <c r="AN560" i="8"/>
  <c r="A508" i="8"/>
  <c r="N511" i="8"/>
  <c r="AQ560" i="8"/>
  <c r="AM560" i="8"/>
  <c r="M511" i="8"/>
  <c r="P511" i="8"/>
  <c r="Q511" i="8"/>
  <c r="R511" i="8"/>
  <c r="O511" i="8"/>
  <c r="C723" i="6"/>
  <c r="G721" i="6"/>
  <c r="K511" i="8"/>
  <c r="L508" i="8"/>
  <c r="L511" i="8"/>
  <c r="K508" i="8"/>
  <c r="I507" i="8"/>
  <c r="AU559" i="8"/>
  <c r="H507" i="8"/>
  <c r="G507" i="8"/>
  <c r="F507" i="8"/>
  <c r="E507" i="8"/>
  <c r="AQ559" i="8"/>
  <c r="D507" i="8"/>
  <c r="C507" i="8"/>
  <c r="AO559" i="8"/>
  <c r="B507" i="8"/>
  <c r="AN559" i="8"/>
  <c r="A507" i="8"/>
  <c r="B719" i="6"/>
  <c r="A719" i="6"/>
  <c r="M510" i="8"/>
  <c r="AP559" i="8"/>
  <c r="O510" i="8"/>
  <c r="AR559" i="8"/>
  <c r="C722" i="6"/>
  <c r="H771" i="6"/>
  <c r="P510" i="8"/>
  <c r="AS559" i="8"/>
  <c r="Q510" i="8"/>
  <c r="AT559" i="8"/>
  <c r="N510" i="8"/>
  <c r="R510" i="8"/>
  <c r="G720" i="6"/>
  <c r="K507" i="8"/>
  <c r="L507" i="8"/>
  <c r="I506" i="8"/>
  <c r="AU558" i="8"/>
  <c r="H506" i="8"/>
  <c r="AT558" i="8"/>
  <c r="G506" i="8"/>
  <c r="AS558" i="8"/>
  <c r="F506" i="8"/>
  <c r="AR558" i="8"/>
  <c r="E506" i="8"/>
  <c r="AQ558" i="8"/>
  <c r="D506" i="8"/>
  <c r="AP558" i="8"/>
  <c r="AM558" i="8"/>
  <c r="C506" i="8"/>
  <c r="AO558" i="8"/>
  <c r="B506" i="8"/>
  <c r="AN558" i="8"/>
  <c r="A506" i="8"/>
  <c r="B718" i="6"/>
  <c r="H770" i="6"/>
  <c r="A718" i="6"/>
  <c r="AM559" i="8"/>
  <c r="O509" i="8"/>
  <c r="P509" i="8"/>
  <c r="C721" i="6"/>
  <c r="N509" i="8"/>
  <c r="Q509" i="8"/>
  <c r="G719" i="6"/>
  <c r="M509" i="8"/>
  <c r="R509" i="8"/>
  <c r="L506" i="8"/>
  <c r="K506" i="8"/>
  <c r="I505" i="8"/>
  <c r="AU557" i="8"/>
  <c r="H505" i="8"/>
  <c r="AT557" i="8"/>
  <c r="G505" i="8"/>
  <c r="AS557" i="8"/>
  <c r="F505" i="8"/>
  <c r="AR557" i="8"/>
  <c r="E505" i="8"/>
  <c r="AQ557" i="8"/>
  <c r="D505" i="8"/>
  <c r="AP557" i="8"/>
  <c r="AM557" i="8"/>
  <c r="C505" i="8"/>
  <c r="AO557" i="8"/>
  <c r="B505" i="8"/>
  <c r="AN557" i="8"/>
  <c r="A505" i="8"/>
  <c r="B717" i="6"/>
  <c r="H769" i="6"/>
  <c r="A717" i="6"/>
  <c r="P508" i="8"/>
  <c r="Q508" i="8"/>
  <c r="R508" i="8"/>
  <c r="O508" i="8"/>
  <c r="C720" i="6"/>
  <c r="G718" i="6"/>
  <c r="M508" i="8"/>
  <c r="N508" i="8"/>
  <c r="K505" i="8"/>
  <c r="L505" i="8"/>
  <c r="I504" i="8"/>
  <c r="AU556" i="8"/>
  <c r="H504" i="8"/>
  <c r="AT556" i="8"/>
  <c r="G504" i="8"/>
  <c r="AS556" i="8"/>
  <c r="F504" i="8"/>
  <c r="AR556" i="8"/>
  <c r="E504" i="8"/>
  <c r="AQ556" i="8"/>
  <c r="D504" i="8"/>
  <c r="AP556" i="8"/>
  <c r="C504" i="8"/>
  <c r="AO556" i="8"/>
  <c r="B504" i="8"/>
  <c r="A504" i="8"/>
  <c r="B716" i="6"/>
  <c r="H768" i="6"/>
  <c r="A716" i="6"/>
  <c r="AM556" i="8"/>
  <c r="K504" i="8"/>
  <c r="AN556" i="8"/>
  <c r="C719" i="6"/>
  <c r="G717" i="6"/>
  <c r="O507" i="8"/>
  <c r="P507" i="8"/>
  <c r="Q507" i="8"/>
  <c r="R507" i="8"/>
  <c r="N507" i="8"/>
  <c r="M507" i="8"/>
  <c r="L504" i="8"/>
  <c r="B715" i="6"/>
  <c r="H767" i="6"/>
  <c r="A715" i="6"/>
  <c r="I503" i="8"/>
  <c r="AU555" i="8"/>
  <c r="H503" i="8"/>
  <c r="AT555" i="8"/>
  <c r="G503" i="8"/>
  <c r="AS555" i="8"/>
  <c r="F503" i="8"/>
  <c r="AR555" i="8"/>
  <c r="E503" i="8"/>
  <c r="AQ555" i="8"/>
  <c r="D503" i="8"/>
  <c r="AP555" i="8"/>
  <c r="C503" i="8"/>
  <c r="AO555" i="8"/>
  <c r="B503" i="8"/>
  <c r="AN555" i="8"/>
  <c r="A503" i="8"/>
  <c r="L503" i="8"/>
  <c r="AM555" i="8"/>
  <c r="N506" i="8"/>
  <c r="O506" i="8"/>
  <c r="P506" i="8"/>
  <c r="Q506" i="8"/>
  <c r="C718" i="6"/>
  <c r="G716" i="6"/>
  <c r="M506" i="8"/>
  <c r="R506" i="8"/>
  <c r="K503" i="8"/>
  <c r="I502" i="8"/>
  <c r="AU554" i="8"/>
  <c r="H502" i="8"/>
  <c r="AT554" i="8"/>
  <c r="G502" i="8"/>
  <c r="AS554" i="8"/>
  <c r="F502" i="8"/>
  <c r="AR554" i="8"/>
  <c r="E502" i="8"/>
  <c r="AQ554" i="8"/>
  <c r="D502" i="8"/>
  <c r="AP554" i="8"/>
  <c r="AM554" i="8"/>
  <c r="C502" i="8"/>
  <c r="AO554" i="8"/>
  <c r="B502" i="8"/>
  <c r="AN554" i="8"/>
  <c r="A502" i="8"/>
  <c r="B714" i="6"/>
  <c r="H766" i="6"/>
  <c r="A714" i="6"/>
  <c r="O505" i="8"/>
  <c r="P505" i="8"/>
  <c r="Q505" i="8"/>
  <c r="R505" i="8"/>
  <c r="N505" i="8"/>
  <c r="C717" i="6"/>
  <c r="G715" i="6"/>
  <c r="M505" i="8"/>
  <c r="K502" i="8"/>
  <c r="L502" i="8"/>
  <c r="I501" i="8"/>
  <c r="AU553" i="8"/>
  <c r="H501" i="8"/>
  <c r="AT553" i="8"/>
  <c r="G501" i="8"/>
  <c r="AS553" i="8"/>
  <c r="F501" i="8"/>
  <c r="AR553" i="8"/>
  <c r="E501" i="8"/>
  <c r="AQ553" i="8"/>
  <c r="D501" i="8"/>
  <c r="AP553" i="8"/>
  <c r="AM553" i="8"/>
  <c r="C501" i="8"/>
  <c r="AO553" i="8"/>
  <c r="B501" i="8"/>
  <c r="A501" i="8"/>
  <c r="B713" i="6"/>
  <c r="H765" i="6"/>
  <c r="A713" i="6"/>
  <c r="K501" i="8"/>
  <c r="AN553" i="8"/>
  <c r="M504" i="8"/>
  <c r="C716" i="6"/>
  <c r="O504" i="8"/>
  <c r="P504" i="8"/>
  <c r="Q504" i="8"/>
  <c r="G714" i="6"/>
  <c r="N504" i="8"/>
  <c r="R504" i="8"/>
  <c r="L501" i="8"/>
  <c r="I500" i="8"/>
  <c r="AU552" i="8"/>
  <c r="H500" i="8"/>
  <c r="AT552" i="8"/>
  <c r="G500" i="8"/>
  <c r="AS552" i="8"/>
  <c r="F500" i="8"/>
  <c r="AR552" i="8"/>
  <c r="E500" i="8"/>
  <c r="AQ552" i="8"/>
  <c r="D500" i="8"/>
  <c r="AP552" i="8"/>
  <c r="AM552" i="8"/>
  <c r="C500" i="8"/>
  <c r="AO552" i="8"/>
  <c r="B500" i="8"/>
  <c r="AN552" i="8"/>
  <c r="A500" i="8"/>
  <c r="B712" i="6"/>
  <c r="H764" i="6"/>
  <c r="A712" i="6"/>
  <c r="O503" i="8"/>
  <c r="P503" i="8"/>
  <c r="R503" i="8"/>
  <c r="N503" i="8"/>
  <c r="Q503" i="8"/>
  <c r="C715" i="6"/>
  <c r="G713" i="6"/>
  <c r="M503" i="8"/>
  <c r="K500" i="8"/>
  <c r="L500" i="8"/>
  <c r="I499" i="8"/>
  <c r="AU551" i="8"/>
  <c r="H499" i="8"/>
  <c r="AT551" i="8"/>
  <c r="G499" i="8"/>
  <c r="AS551" i="8"/>
  <c r="F499" i="8"/>
  <c r="AR551" i="8"/>
  <c r="E499" i="8"/>
  <c r="AQ551" i="8"/>
  <c r="D499" i="8"/>
  <c r="AP551" i="8"/>
  <c r="AM551" i="8"/>
  <c r="C499" i="8"/>
  <c r="AO551" i="8"/>
  <c r="B499" i="8"/>
  <c r="AN551" i="8"/>
  <c r="A499" i="8"/>
  <c r="B711" i="6"/>
  <c r="H763" i="6"/>
  <c r="A711" i="6"/>
  <c r="P502" i="8"/>
  <c r="R502" i="8"/>
  <c r="C714" i="6"/>
  <c r="G712" i="6"/>
  <c r="M502" i="8"/>
  <c r="O502" i="8"/>
  <c r="Q502" i="8"/>
  <c r="N502" i="8"/>
  <c r="K499" i="8"/>
  <c r="L499" i="8"/>
  <c r="I498" i="8"/>
  <c r="AU550" i="8"/>
  <c r="H498" i="8"/>
  <c r="AT550" i="8"/>
  <c r="G498" i="8"/>
  <c r="AS550" i="8"/>
  <c r="F498" i="8"/>
  <c r="AR550" i="8"/>
  <c r="E498" i="8"/>
  <c r="AQ550" i="8"/>
  <c r="D498" i="8"/>
  <c r="AP550" i="8"/>
  <c r="AM550" i="8"/>
  <c r="C498" i="8"/>
  <c r="AO550" i="8"/>
  <c r="B498" i="8"/>
  <c r="AN550" i="8"/>
  <c r="A498" i="8"/>
  <c r="B710" i="6"/>
  <c r="H762" i="6"/>
  <c r="A710" i="6"/>
  <c r="P501" i="8"/>
  <c r="Q501" i="8"/>
  <c r="R501" i="8"/>
  <c r="C713" i="6"/>
  <c r="G711" i="6"/>
  <c r="M501" i="8"/>
  <c r="N501" i="8"/>
  <c r="O501" i="8"/>
  <c r="L498" i="8"/>
  <c r="K498" i="8"/>
  <c r="I497" i="8"/>
  <c r="AU549" i="8"/>
  <c r="H497" i="8"/>
  <c r="AT549" i="8"/>
  <c r="G497" i="8"/>
  <c r="AS549" i="8"/>
  <c r="F497" i="8"/>
  <c r="AR549" i="8"/>
  <c r="E497" i="8"/>
  <c r="AQ549" i="8"/>
  <c r="D497" i="8"/>
  <c r="AP549" i="8"/>
  <c r="C497" i="8"/>
  <c r="B497" i="8"/>
  <c r="AN549" i="8"/>
  <c r="A497" i="8"/>
  <c r="B709" i="6"/>
  <c r="A709" i="6"/>
  <c r="G710" i="6"/>
  <c r="H761" i="6"/>
  <c r="AM549" i="8"/>
  <c r="L497" i="8"/>
  <c r="AO549" i="8"/>
  <c r="O500" i="8"/>
  <c r="P500" i="8"/>
  <c r="R500" i="8"/>
  <c r="M500" i="8"/>
  <c r="Q500" i="8"/>
  <c r="C712" i="6"/>
  <c r="N500" i="8"/>
  <c r="K497" i="8"/>
  <c r="I496" i="8"/>
  <c r="AU548" i="8"/>
  <c r="H496" i="8"/>
  <c r="AT548" i="8"/>
  <c r="G496" i="8"/>
  <c r="AS548" i="8"/>
  <c r="F496" i="8"/>
  <c r="AR548" i="8"/>
  <c r="E496" i="8"/>
  <c r="AQ548" i="8"/>
  <c r="D496" i="8"/>
  <c r="AP548" i="8"/>
  <c r="C496" i="8"/>
  <c r="AO548" i="8"/>
  <c r="B496" i="8"/>
  <c r="A496" i="8"/>
  <c r="B708" i="6"/>
  <c r="H760" i="6"/>
  <c r="A708" i="6"/>
  <c r="K496" i="8"/>
  <c r="AN548" i="8"/>
  <c r="AM548" i="8"/>
  <c r="Q499" i="8"/>
  <c r="R499" i="8"/>
  <c r="N499" i="8"/>
  <c r="M499" i="8"/>
  <c r="C711" i="6"/>
  <c r="G709" i="6"/>
  <c r="O499" i="8"/>
  <c r="P499" i="8"/>
  <c r="L496" i="8"/>
  <c r="I495" i="8"/>
  <c r="AU547" i="8"/>
  <c r="H495" i="8"/>
  <c r="AT547" i="8"/>
  <c r="G495" i="8"/>
  <c r="AS547" i="8"/>
  <c r="F495" i="8"/>
  <c r="AR547" i="8"/>
  <c r="E495" i="8"/>
  <c r="AQ547" i="8"/>
  <c r="D495" i="8"/>
  <c r="AP547" i="8"/>
  <c r="C495" i="8"/>
  <c r="AO547" i="8"/>
  <c r="B495" i="8"/>
  <c r="A495" i="8"/>
  <c r="B707" i="6"/>
  <c r="A707" i="6"/>
  <c r="C710" i="6"/>
  <c r="H759" i="6"/>
  <c r="AM547" i="8"/>
  <c r="G708" i="6"/>
  <c r="K495" i="8"/>
  <c r="AN547" i="8"/>
  <c r="R498" i="8"/>
  <c r="P498" i="8"/>
  <c r="Q498" i="8"/>
  <c r="M498" i="8"/>
  <c r="N498" i="8"/>
  <c r="O498" i="8"/>
  <c r="L495" i="8"/>
  <c r="I494" i="8"/>
  <c r="AU546" i="8"/>
  <c r="H494" i="8"/>
  <c r="AT546" i="8"/>
  <c r="G494" i="8"/>
  <c r="AS546" i="8"/>
  <c r="F494" i="8"/>
  <c r="AR546" i="8"/>
  <c r="E494" i="8"/>
  <c r="AQ546" i="8"/>
  <c r="D494" i="8"/>
  <c r="AP546" i="8"/>
  <c r="C494" i="8"/>
  <c r="AO546" i="8"/>
  <c r="B494" i="8"/>
  <c r="AN546" i="8"/>
  <c r="A494" i="8"/>
  <c r="B706" i="6"/>
  <c r="H758" i="6"/>
  <c r="A706" i="6"/>
  <c r="AM546" i="8"/>
  <c r="R497" i="8"/>
  <c r="M497" i="8"/>
  <c r="O497" i="8"/>
  <c r="N497" i="8"/>
  <c r="C709" i="6"/>
  <c r="G707" i="6"/>
  <c r="P497" i="8"/>
  <c r="Q497" i="8"/>
  <c r="K494" i="8"/>
  <c r="L494" i="8"/>
  <c r="I493" i="8"/>
  <c r="AU545" i="8"/>
  <c r="H493" i="8"/>
  <c r="AT545" i="8"/>
  <c r="G493" i="8"/>
  <c r="AS545" i="8"/>
  <c r="F493" i="8"/>
  <c r="AR545" i="8"/>
  <c r="E493" i="8"/>
  <c r="AQ545" i="8"/>
  <c r="D493" i="8"/>
  <c r="AP545" i="8"/>
  <c r="C493" i="8"/>
  <c r="AO545" i="8"/>
  <c r="B493" i="8"/>
  <c r="AN545" i="8"/>
  <c r="A493" i="8"/>
  <c r="B705" i="6"/>
  <c r="H757" i="6"/>
  <c r="A705" i="6"/>
  <c r="G706" i="6"/>
  <c r="AM545" i="8"/>
  <c r="P496" i="8"/>
  <c r="Q496" i="8"/>
  <c r="R496" i="8"/>
  <c r="M496" i="8"/>
  <c r="C708" i="6"/>
  <c r="N496" i="8"/>
  <c r="O496" i="8"/>
  <c r="K493" i="8"/>
  <c r="T597" i="8"/>
  <c r="AD597" i="8"/>
  <c r="L493" i="8"/>
  <c r="I492" i="8"/>
  <c r="AU544" i="8"/>
  <c r="H492" i="8"/>
  <c r="AT544" i="8"/>
  <c r="G492" i="8"/>
  <c r="AS544" i="8"/>
  <c r="F492" i="8"/>
  <c r="AR544" i="8"/>
  <c r="E492" i="8"/>
  <c r="AQ544" i="8"/>
  <c r="D492" i="8"/>
  <c r="AP544" i="8"/>
  <c r="C492" i="8"/>
  <c r="AO544" i="8"/>
  <c r="B492" i="8"/>
  <c r="AN544" i="8"/>
  <c r="A492" i="8"/>
  <c r="B704" i="6"/>
  <c r="A704" i="6"/>
  <c r="G705" i="6"/>
  <c r="H756" i="6"/>
  <c r="AM544" i="8"/>
  <c r="R495" i="8"/>
  <c r="M495" i="8"/>
  <c r="N495" i="8"/>
  <c r="C707" i="6"/>
  <c r="O495" i="8"/>
  <c r="P495" i="8"/>
  <c r="Q495" i="8"/>
  <c r="K492" i="8"/>
  <c r="L492" i="8"/>
  <c r="U596" i="8"/>
  <c r="AE596" i="8"/>
  <c r="T544" i="8"/>
  <c r="AD544" i="8"/>
  <c r="T596" i="8"/>
  <c r="AD596" i="8"/>
  <c r="I491" i="8"/>
  <c r="AU543" i="8"/>
  <c r="H491" i="8"/>
  <c r="AT543" i="8"/>
  <c r="G491" i="8"/>
  <c r="AS543" i="8"/>
  <c r="F491" i="8"/>
  <c r="AR543" i="8"/>
  <c r="E491" i="8"/>
  <c r="AQ543" i="8"/>
  <c r="D491" i="8"/>
  <c r="AP543" i="8"/>
  <c r="C491" i="8"/>
  <c r="AO543" i="8"/>
  <c r="B491" i="8"/>
  <c r="AN543" i="8"/>
  <c r="A491" i="8"/>
  <c r="B703" i="6"/>
  <c r="H755" i="6"/>
  <c r="A703" i="6"/>
  <c r="AM543" i="8"/>
  <c r="O494" i="8"/>
  <c r="N494" i="8"/>
  <c r="P494" i="8"/>
  <c r="Q494" i="8"/>
  <c r="R494" i="8"/>
  <c r="C706" i="6"/>
  <c r="G704" i="6"/>
  <c r="M494" i="8"/>
  <c r="K491" i="8"/>
  <c r="L491" i="8"/>
  <c r="U595" i="8"/>
  <c r="AE595" i="8"/>
  <c r="I490" i="8"/>
  <c r="AU542" i="8"/>
  <c r="H490" i="8"/>
  <c r="AT542" i="8"/>
  <c r="G490" i="8"/>
  <c r="AS542" i="8"/>
  <c r="F490" i="8"/>
  <c r="AR542" i="8"/>
  <c r="E490" i="8"/>
  <c r="AQ542" i="8"/>
  <c r="D490" i="8"/>
  <c r="AP542" i="8"/>
  <c r="C490" i="8"/>
  <c r="AO542" i="8"/>
  <c r="B490" i="8"/>
  <c r="AN542" i="8"/>
  <c r="A490" i="8"/>
  <c r="B702" i="6"/>
  <c r="H754" i="6"/>
  <c r="A702" i="6"/>
  <c r="T543" i="8"/>
  <c r="AD543" i="8"/>
  <c r="T595" i="8"/>
  <c r="AD595" i="8"/>
  <c r="AM542" i="8"/>
  <c r="Q493" i="8"/>
  <c r="P493" i="8"/>
  <c r="R493" i="8"/>
  <c r="M493" i="8"/>
  <c r="O493" i="8"/>
  <c r="C705" i="6"/>
  <c r="G703" i="6"/>
  <c r="N493" i="8"/>
  <c r="K490" i="8"/>
  <c r="L490" i="8"/>
  <c r="I489" i="8"/>
  <c r="AU541" i="8"/>
  <c r="H489" i="8"/>
  <c r="AT541" i="8"/>
  <c r="G489" i="8"/>
  <c r="AS541" i="8"/>
  <c r="F489" i="8"/>
  <c r="AR541" i="8"/>
  <c r="E489" i="8"/>
  <c r="AQ541" i="8"/>
  <c r="D489" i="8"/>
  <c r="AP541" i="8"/>
  <c r="C489" i="8"/>
  <c r="AO541" i="8"/>
  <c r="B489" i="8"/>
  <c r="AN541" i="8"/>
  <c r="A489" i="8"/>
  <c r="B701" i="6"/>
  <c r="H753" i="6"/>
  <c r="A701" i="6"/>
  <c r="T542" i="8"/>
  <c r="AD542" i="8"/>
  <c r="T594" i="8"/>
  <c r="AD594" i="8"/>
  <c r="AM541" i="8"/>
  <c r="R492" i="8"/>
  <c r="M492" i="8"/>
  <c r="P492" i="8"/>
  <c r="Q492" i="8"/>
  <c r="C704" i="6"/>
  <c r="G702" i="6"/>
  <c r="N492" i="8"/>
  <c r="O492" i="8"/>
  <c r="K489" i="8"/>
  <c r="L489" i="8"/>
  <c r="I488" i="8"/>
  <c r="H488" i="8"/>
  <c r="G488" i="8"/>
  <c r="F488" i="8"/>
  <c r="E488" i="8"/>
  <c r="D488" i="8"/>
  <c r="C488" i="8"/>
  <c r="B488" i="8"/>
  <c r="A488" i="8"/>
  <c r="B700" i="6"/>
  <c r="A700" i="6"/>
  <c r="T541" i="8"/>
  <c r="AD541" i="8"/>
  <c r="T593" i="8"/>
  <c r="AD593" i="8"/>
  <c r="H752" i="6"/>
  <c r="C703" i="6"/>
  <c r="AN540" i="8"/>
  <c r="K488" i="8"/>
  <c r="AP540" i="8"/>
  <c r="M491" i="8"/>
  <c r="AR540" i="8"/>
  <c r="O491" i="8"/>
  <c r="G701" i="6"/>
  <c r="AU540" i="8"/>
  <c r="R491" i="8"/>
  <c r="AQ540" i="8"/>
  <c r="N491" i="8"/>
  <c r="AO540" i="8"/>
  <c r="AS540" i="8"/>
  <c r="P491" i="8"/>
  <c r="AT540" i="8"/>
  <c r="Q491" i="8"/>
  <c r="L488" i="8"/>
  <c r="T540" i="8"/>
  <c r="AD540" i="8"/>
  <c r="T592" i="8"/>
  <c r="AD592" i="8"/>
  <c r="AM540" i="8"/>
  <c r="I487" i="8"/>
  <c r="H487" i="8"/>
  <c r="G487" i="8"/>
  <c r="F487" i="8"/>
  <c r="E487" i="8"/>
  <c r="D487" i="8"/>
  <c r="C487" i="8"/>
  <c r="B487" i="8"/>
  <c r="A487" i="8"/>
  <c r="B699" i="6"/>
  <c r="A699" i="6"/>
  <c r="AN539" i="8"/>
  <c r="AR539" i="8"/>
  <c r="O490" i="8"/>
  <c r="H751" i="6"/>
  <c r="C702" i="6"/>
  <c r="G700" i="6"/>
  <c r="AO539" i="8"/>
  <c r="AQ539" i="8"/>
  <c r="N490" i="8"/>
  <c r="AP539" i="8"/>
  <c r="M490" i="8"/>
  <c r="AT539" i="8"/>
  <c r="Q490" i="8"/>
  <c r="AS539" i="8"/>
  <c r="P490" i="8"/>
  <c r="AU539" i="8"/>
  <c r="R490" i="8"/>
  <c r="K487" i="8"/>
  <c r="L487" i="8"/>
  <c r="I486" i="8"/>
  <c r="H486" i="8"/>
  <c r="G486" i="8"/>
  <c r="F486" i="8"/>
  <c r="E486" i="8"/>
  <c r="D486" i="8"/>
  <c r="C486" i="8"/>
  <c r="AO538" i="8"/>
  <c r="A486" i="8"/>
  <c r="B698" i="6"/>
  <c r="A698" i="6"/>
  <c r="T539" i="8"/>
  <c r="AD539" i="8"/>
  <c r="T591" i="8"/>
  <c r="AD591" i="8"/>
  <c r="AM539" i="8"/>
  <c r="AR538" i="8"/>
  <c r="O489" i="8"/>
  <c r="AU538" i="8"/>
  <c r="R489" i="8"/>
  <c r="AQ538" i="8"/>
  <c r="N489" i="8"/>
  <c r="AS538" i="8"/>
  <c r="P489" i="8"/>
  <c r="AT538" i="8"/>
  <c r="Q489" i="8"/>
  <c r="H750" i="6"/>
  <c r="C701" i="6"/>
  <c r="AP538" i="8"/>
  <c r="AM538" i="8"/>
  <c r="M489" i="8"/>
  <c r="G699" i="6"/>
  <c r="L486" i="8"/>
  <c r="B697" i="6"/>
  <c r="A697" i="6"/>
  <c r="I485" i="8"/>
  <c r="H485" i="8"/>
  <c r="G485" i="8"/>
  <c r="F485" i="8"/>
  <c r="E485" i="8"/>
  <c r="D485" i="8"/>
  <c r="A485" i="8"/>
  <c r="U538" i="8"/>
  <c r="AE538" i="8"/>
  <c r="U590" i="8"/>
  <c r="AE590" i="8"/>
  <c r="AS537" i="8"/>
  <c r="P488" i="8"/>
  <c r="AT537" i="8"/>
  <c r="Q488" i="8"/>
  <c r="AU537" i="8"/>
  <c r="R488" i="8"/>
  <c r="AR537" i="8"/>
  <c r="O488" i="8"/>
  <c r="AP537" i="8"/>
  <c r="M488" i="8"/>
  <c r="AQ537" i="8"/>
  <c r="N488" i="8"/>
  <c r="H749" i="6"/>
  <c r="C700" i="6"/>
  <c r="G698" i="6"/>
  <c r="I484" i="8"/>
  <c r="H484" i="8"/>
  <c r="G484" i="8"/>
  <c r="F484" i="8"/>
  <c r="E484" i="8"/>
  <c r="D484" i="8"/>
  <c r="A484" i="8"/>
  <c r="I483" i="8"/>
  <c r="H483" i="8"/>
  <c r="G483" i="8"/>
  <c r="F483" i="8"/>
  <c r="E483" i="8"/>
  <c r="D483" i="8"/>
  <c r="A483" i="8"/>
  <c r="B696" i="6"/>
  <c r="A696" i="6"/>
  <c r="AM537" i="8"/>
  <c r="AS535" i="8"/>
  <c r="P486" i="8"/>
  <c r="AU536" i="8"/>
  <c r="R487" i="8"/>
  <c r="AU535" i="8"/>
  <c r="R486" i="8"/>
  <c r="AP536" i="8"/>
  <c r="AM536" i="8"/>
  <c r="M487" i="8"/>
  <c r="AR536" i="8"/>
  <c r="O487" i="8"/>
  <c r="H748" i="6"/>
  <c r="C699" i="6"/>
  <c r="G697" i="6"/>
  <c r="AP535" i="8"/>
  <c r="M486" i="8"/>
  <c r="AQ535" i="8"/>
  <c r="N486" i="8"/>
  <c r="AS536" i="8"/>
  <c r="P487" i="8"/>
  <c r="AT535" i="8"/>
  <c r="Q486" i="8"/>
  <c r="AQ536" i="8"/>
  <c r="N487" i="8"/>
  <c r="AR535" i="8"/>
  <c r="O486" i="8"/>
  <c r="AT536" i="8"/>
  <c r="Q487" i="8"/>
  <c r="B695" i="6"/>
  <c r="A695" i="6"/>
  <c r="H747" i="6"/>
  <c r="AM535" i="8"/>
  <c r="C698" i="6"/>
  <c r="G696" i="6"/>
  <c r="I482" i="8"/>
  <c r="H482" i="8"/>
  <c r="G482" i="8"/>
  <c r="F482" i="8"/>
  <c r="E482" i="8"/>
  <c r="D482" i="8"/>
  <c r="B694" i="6"/>
  <c r="G695" i="6"/>
  <c r="A694" i="6"/>
  <c r="AP534" i="8"/>
  <c r="M485" i="8"/>
  <c r="AR534" i="8"/>
  <c r="O485" i="8"/>
  <c r="AQ534" i="8"/>
  <c r="N485" i="8"/>
  <c r="H746" i="6"/>
  <c r="C697" i="6"/>
  <c r="AT534" i="8"/>
  <c r="Q485" i="8"/>
  <c r="AS534" i="8"/>
  <c r="P485" i="8"/>
  <c r="AU534" i="8"/>
  <c r="R485" i="8"/>
  <c r="I481" i="8"/>
  <c r="H481" i="8"/>
  <c r="G481" i="8"/>
  <c r="F481" i="8"/>
  <c r="E481" i="8"/>
  <c r="D481" i="8"/>
  <c r="B693" i="6"/>
  <c r="A693" i="6"/>
  <c r="AU533" i="8"/>
  <c r="R484" i="8"/>
  <c r="AP533" i="8"/>
  <c r="M484" i="8"/>
  <c r="AQ533" i="8"/>
  <c r="N484" i="8"/>
  <c r="AR533" i="8"/>
  <c r="O484" i="8"/>
  <c r="AS533" i="8"/>
  <c r="P484" i="8"/>
  <c r="H745" i="6"/>
  <c r="C696" i="6"/>
  <c r="G694" i="6"/>
  <c r="AT533" i="8"/>
  <c r="Q484" i="8"/>
  <c r="AM534" i="8"/>
  <c r="I480" i="8"/>
  <c r="H480" i="8"/>
  <c r="G480" i="8"/>
  <c r="F480" i="8"/>
  <c r="E480" i="8"/>
  <c r="D480" i="8"/>
  <c r="B692" i="6"/>
  <c r="A692" i="6"/>
  <c r="AM533" i="8"/>
  <c r="AR532" i="8"/>
  <c r="O483" i="8"/>
  <c r="AS532" i="8"/>
  <c r="P483" i="8"/>
  <c r="AT532" i="8"/>
  <c r="Q483" i="8"/>
  <c r="AU532" i="8"/>
  <c r="R483" i="8"/>
  <c r="H744" i="6"/>
  <c r="C695" i="6"/>
  <c r="G693" i="6"/>
  <c r="AP532" i="8"/>
  <c r="AM532" i="8"/>
  <c r="M483" i="8"/>
  <c r="AQ532" i="8"/>
  <c r="N483" i="8"/>
  <c r="B691" i="6"/>
  <c r="H743" i="6"/>
  <c r="C694" i="6"/>
  <c r="G692" i="6"/>
  <c r="I479" i="8"/>
  <c r="AU531" i="8"/>
  <c r="H479" i="8"/>
  <c r="AT531" i="8"/>
  <c r="G479" i="8"/>
  <c r="AS531" i="8"/>
  <c r="F479" i="8"/>
  <c r="AR531" i="8"/>
  <c r="E479" i="8"/>
  <c r="AQ531" i="8"/>
  <c r="D479" i="8"/>
  <c r="AP531" i="8"/>
  <c r="AM531" i="8"/>
  <c r="N482" i="8"/>
  <c r="O482" i="8"/>
  <c r="P482" i="8"/>
  <c r="Q482" i="8"/>
  <c r="R482" i="8"/>
  <c r="M482" i="8"/>
  <c r="I478" i="8"/>
  <c r="AU530" i="8"/>
  <c r="H478" i="8"/>
  <c r="AT530" i="8"/>
  <c r="G478" i="8"/>
  <c r="AS530" i="8"/>
  <c r="F478" i="8"/>
  <c r="AR530" i="8"/>
  <c r="E478" i="8"/>
  <c r="AQ530" i="8"/>
  <c r="D478" i="8"/>
  <c r="AP530" i="8"/>
  <c r="B690" i="6"/>
  <c r="H742" i="6"/>
  <c r="AM530" i="8"/>
  <c r="C693" i="6"/>
  <c r="N481" i="8"/>
  <c r="O481" i="8"/>
  <c r="P481" i="8"/>
  <c r="Q481" i="8"/>
  <c r="R481" i="8"/>
  <c r="M481" i="8"/>
  <c r="G691" i="6"/>
  <c r="I477" i="8"/>
  <c r="AU529" i="8"/>
  <c r="H477" i="8"/>
  <c r="AT529" i="8"/>
  <c r="G477" i="8"/>
  <c r="AS529" i="8"/>
  <c r="F477" i="8"/>
  <c r="AR529" i="8"/>
  <c r="E477" i="8"/>
  <c r="AQ529" i="8"/>
  <c r="D477" i="8"/>
  <c r="AP529" i="8"/>
  <c r="B689" i="6"/>
  <c r="G690" i="6"/>
  <c r="H741" i="6"/>
  <c r="AM529" i="8"/>
  <c r="C692" i="6"/>
  <c r="P480" i="8"/>
  <c r="O480" i="8"/>
  <c r="R480" i="8"/>
  <c r="M480" i="8"/>
  <c r="N480" i="8"/>
  <c r="Q480" i="8"/>
  <c r="I476" i="8"/>
  <c r="AU528" i="8"/>
  <c r="H476" i="8"/>
  <c r="AT528" i="8"/>
  <c r="G476" i="8"/>
  <c r="AS528" i="8"/>
  <c r="F476" i="8"/>
  <c r="AR528" i="8"/>
  <c r="E476" i="8"/>
  <c r="AQ528" i="8"/>
  <c r="D476" i="8"/>
  <c r="AP528" i="8"/>
  <c r="B688" i="6"/>
  <c r="H740" i="6"/>
  <c r="AM528" i="8"/>
  <c r="R479" i="8"/>
  <c r="M479" i="8"/>
  <c r="N479" i="8"/>
  <c r="O479" i="8"/>
  <c r="P479" i="8"/>
  <c r="Q479" i="8"/>
  <c r="C691" i="6"/>
  <c r="G689" i="6"/>
  <c r="I475" i="8"/>
  <c r="AU527" i="8"/>
  <c r="H475" i="8"/>
  <c r="AT527" i="8"/>
  <c r="G475" i="8"/>
  <c r="AS527" i="8"/>
  <c r="F475" i="8"/>
  <c r="AR527" i="8"/>
  <c r="E475" i="8"/>
  <c r="AQ527" i="8"/>
  <c r="D475" i="8"/>
  <c r="AP527" i="8"/>
  <c r="B687" i="6"/>
  <c r="G688" i="6"/>
  <c r="H739" i="6"/>
  <c r="AM527" i="8"/>
  <c r="M478" i="8"/>
  <c r="O478" i="8"/>
  <c r="P478" i="8"/>
  <c r="Q478" i="8"/>
  <c r="R478" i="8"/>
  <c r="N478" i="8"/>
  <c r="C690" i="6"/>
  <c r="I474" i="8"/>
  <c r="AU526" i="8"/>
  <c r="H474" i="8"/>
  <c r="AT526" i="8"/>
  <c r="G474" i="8"/>
  <c r="AS526" i="8"/>
  <c r="F474" i="8"/>
  <c r="AR526" i="8"/>
  <c r="E474" i="8"/>
  <c r="AQ526" i="8"/>
  <c r="D474" i="8"/>
  <c r="AP526" i="8"/>
  <c r="B686" i="6"/>
  <c r="C689" i="6"/>
  <c r="H738" i="6"/>
  <c r="AM526" i="8"/>
  <c r="N477" i="8"/>
  <c r="P477" i="8"/>
  <c r="R477" i="8"/>
  <c r="M477" i="8"/>
  <c r="O477" i="8"/>
  <c r="Q477" i="8"/>
  <c r="G687" i="6"/>
  <c r="H473" i="8"/>
  <c r="AT525" i="8"/>
  <c r="G473" i="8"/>
  <c r="AS525" i="8"/>
  <c r="F473" i="8"/>
  <c r="AR525" i="8"/>
  <c r="E473" i="8"/>
  <c r="AQ525" i="8"/>
  <c r="D473" i="8"/>
  <c r="AP525" i="8"/>
  <c r="B685" i="6"/>
  <c r="I418" i="1"/>
  <c r="I473" i="8"/>
  <c r="AU525" i="8"/>
  <c r="G686" i="6"/>
  <c r="H737" i="6"/>
  <c r="AM525" i="8"/>
  <c r="M476" i="8"/>
  <c r="N476" i="8"/>
  <c r="P476" i="8"/>
  <c r="Q476" i="8"/>
  <c r="O476" i="8"/>
  <c r="R476" i="8"/>
  <c r="C688" i="6"/>
  <c r="I472" i="8"/>
  <c r="AU524" i="8"/>
  <c r="H472" i="8"/>
  <c r="AT524" i="8"/>
  <c r="G472" i="8"/>
  <c r="AS524" i="8"/>
  <c r="F472" i="8"/>
  <c r="AR524" i="8"/>
  <c r="E472" i="8"/>
  <c r="AQ524" i="8"/>
  <c r="D472" i="8"/>
  <c r="AP524" i="8"/>
  <c r="B684" i="6"/>
  <c r="G685" i="6"/>
  <c r="H736" i="6"/>
  <c r="AM524" i="8"/>
  <c r="P475" i="8"/>
  <c r="Q475" i="8"/>
  <c r="R475" i="8"/>
  <c r="M475" i="8"/>
  <c r="N475" i="8"/>
  <c r="O475" i="8"/>
  <c r="C687" i="6"/>
  <c r="I471" i="8"/>
  <c r="AU523" i="8"/>
  <c r="H471" i="8"/>
  <c r="AT523" i="8"/>
  <c r="G471" i="8"/>
  <c r="AS523" i="8"/>
  <c r="F471" i="8"/>
  <c r="AR523" i="8"/>
  <c r="E471" i="8"/>
  <c r="AQ523" i="8"/>
  <c r="D471" i="8"/>
  <c r="AP523" i="8"/>
  <c r="B683" i="6"/>
  <c r="H735" i="6"/>
  <c r="AM523" i="8"/>
  <c r="M474" i="8"/>
  <c r="N474" i="8"/>
  <c r="P474" i="8"/>
  <c r="R474" i="8"/>
  <c r="O474" i="8"/>
  <c r="Q474" i="8"/>
  <c r="C686" i="6"/>
  <c r="G684" i="6"/>
  <c r="I470" i="8"/>
  <c r="AU522" i="8"/>
  <c r="H470" i="8"/>
  <c r="AT522" i="8"/>
  <c r="G470" i="8"/>
  <c r="AS522" i="8"/>
  <c r="F470" i="8"/>
  <c r="AR522" i="8"/>
  <c r="E470" i="8"/>
  <c r="AQ522" i="8"/>
  <c r="D470" i="8"/>
  <c r="AP522" i="8"/>
  <c r="C470" i="8"/>
  <c r="AO522" i="8"/>
  <c r="B682" i="6"/>
  <c r="H734" i="6"/>
  <c r="AM522" i="8"/>
  <c r="M473" i="8"/>
  <c r="N473" i="8"/>
  <c r="P473" i="8"/>
  <c r="Q473" i="8"/>
  <c r="R473" i="8"/>
  <c r="O473" i="8"/>
  <c r="C685" i="6"/>
  <c r="G683" i="6"/>
  <c r="L470" i="8"/>
  <c r="I469" i="8"/>
  <c r="AU521" i="8"/>
  <c r="H469" i="8"/>
  <c r="AT521" i="8"/>
  <c r="G469" i="8"/>
  <c r="AS521" i="8"/>
  <c r="F469" i="8"/>
  <c r="AR521" i="8"/>
  <c r="E469" i="8"/>
  <c r="AQ521" i="8"/>
  <c r="D469" i="8"/>
  <c r="AP521" i="8"/>
  <c r="C469" i="8"/>
  <c r="AO521" i="8"/>
  <c r="B469" i="8"/>
  <c r="AN521" i="8"/>
  <c r="B681" i="6"/>
  <c r="H733" i="6"/>
  <c r="AM521" i="8"/>
  <c r="M472" i="8"/>
  <c r="P472" i="8"/>
  <c r="Q472" i="8"/>
  <c r="N472" i="8"/>
  <c r="O472" i="8"/>
  <c r="R472" i="8"/>
  <c r="C684" i="6"/>
  <c r="G682" i="6"/>
  <c r="K469" i="8"/>
  <c r="L469" i="8"/>
  <c r="I468" i="8"/>
  <c r="AU520" i="8"/>
  <c r="H468" i="8"/>
  <c r="AT520" i="8"/>
  <c r="G468" i="8"/>
  <c r="AS520" i="8"/>
  <c r="F468" i="8"/>
  <c r="AR520" i="8"/>
  <c r="E468" i="8"/>
  <c r="AQ520" i="8"/>
  <c r="D468" i="8"/>
  <c r="AP520" i="8"/>
  <c r="C468" i="8"/>
  <c r="AO520" i="8"/>
  <c r="B468" i="8"/>
  <c r="AN520" i="8"/>
  <c r="B680" i="6"/>
  <c r="G681" i="6"/>
  <c r="H732" i="6"/>
  <c r="AM520" i="8"/>
  <c r="P471" i="8"/>
  <c r="R471" i="8"/>
  <c r="M471" i="8"/>
  <c r="N471" i="8"/>
  <c r="O471" i="8"/>
  <c r="Q471" i="8"/>
  <c r="C683" i="6"/>
  <c r="K468" i="8"/>
  <c r="L468" i="8"/>
  <c r="B679" i="6"/>
  <c r="H731" i="6"/>
  <c r="I467" i="8"/>
  <c r="AU519" i="8"/>
  <c r="H467" i="8"/>
  <c r="AT519" i="8"/>
  <c r="G467" i="8"/>
  <c r="AS519" i="8"/>
  <c r="F467" i="8"/>
  <c r="AR519" i="8"/>
  <c r="E467" i="8"/>
  <c r="AQ519" i="8"/>
  <c r="D467" i="8"/>
  <c r="AP519" i="8"/>
  <c r="C467" i="8"/>
  <c r="AO519" i="8"/>
  <c r="B467" i="8"/>
  <c r="AN519" i="8"/>
  <c r="AM519" i="8"/>
  <c r="P470" i="8"/>
  <c r="Q470" i="8"/>
  <c r="M470" i="8"/>
  <c r="N470" i="8"/>
  <c r="O470" i="8"/>
  <c r="R470" i="8"/>
  <c r="C682" i="6"/>
  <c r="G680" i="6"/>
  <c r="K467" i="8"/>
  <c r="L467" i="8"/>
  <c r="I466" i="8"/>
  <c r="AU518" i="8"/>
  <c r="H466" i="8"/>
  <c r="AT518" i="8"/>
  <c r="G466" i="8"/>
  <c r="AS518" i="8"/>
  <c r="F466" i="8"/>
  <c r="AR518" i="8"/>
  <c r="E466" i="8"/>
  <c r="AQ518" i="8"/>
  <c r="D466" i="8"/>
  <c r="AP518" i="8"/>
  <c r="C466" i="8"/>
  <c r="AO518" i="8"/>
  <c r="B466" i="8"/>
  <c r="AN518" i="8"/>
  <c r="B678" i="6"/>
  <c r="H730" i="6"/>
  <c r="AM518" i="8"/>
  <c r="N469" i="8"/>
  <c r="O469" i="8"/>
  <c r="Q469" i="8"/>
  <c r="R469" i="8"/>
  <c r="M469" i="8"/>
  <c r="P469" i="8"/>
  <c r="C681" i="6"/>
  <c r="G679" i="6"/>
  <c r="K466" i="8"/>
  <c r="L466" i="8"/>
  <c r="I465" i="8"/>
  <c r="AU517" i="8"/>
  <c r="H465" i="8"/>
  <c r="AT517" i="8"/>
  <c r="G465" i="8"/>
  <c r="AS517" i="8"/>
  <c r="F465" i="8"/>
  <c r="AR517" i="8"/>
  <c r="E465" i="8"/>
  <c r="AQ517" i="8"/>
  <c r="D465" i="8"/>
  <c r="AP517" i="8"/>
  <c r="C465" i="8"/>
  <c r="AO517" i="8"/>
  <c r="B465" i="8"/>
  <c r="AN517" i="8"/>
  <c r="B677" i="6"/>
  <c r="H729" i="6"/>
  <c r="G678" i="6"/>
  <c r="AM517" i="8"/>
  <c r="O468" i="8"/>
  <c r="M468" i="8"/>
  <c r="N468" i="8"/>
  <c r="P468" i="8"/>
  <c r="Q468" i="8"/>
  <c r="R468" i="8"/>
  <c r="C680" i="6"/>
  <c r="L465" i="8"/>
  <c r="K465" i="8"/>
  <c r="I464" i="8"/>
  <c r="AU516" i="8"/>
  <c r="H464" i="8"/>
  <c r="AT516" i="8"/>
  <c r="G464" i="8"/>
  <c r="AS516" i="8"/>
  <c r="F464" i="8"/>
  <c r="AR516" i="8"/>
  <c r="E464" i="8"/>
  <c r="AQ516" i="8"/>
  <c r="D464" i="8"/>
  <c r="AP516" i="8"/>
  <c r="C464" i="8"/>
  <c r="AO516" i="8"/>
  <c r="B464" i="8"/>
  <c r="AN516" i="8"/>
  <c r="B676" i="6"/>
  <c r="H728" i="6"/>
  <c r="AM516" i="8"/>
  <c r="Q467" i="8"/>
  <c r="M467" i="8"/>
  <c r="N467" i="8"/>
  <c r="O467" i="8"/>
  <c r="P467" i="8"/>
  <c r="R467" i="8"/>
  <c r="C679" i="6"/>
  <c r="G677" i="6"/>
  <c r="L464" i="8"/>
  <c r="K464" i="8"/>
  <c r="I463" i="8"/>
  <c r="AU515" i="8"/>
  <c r="H463" i="8"/>
  <c r="AT515" i="8"/>
  <c r="G463" i="8"/>
  <c r="AS515" i="8"/>
  <c r="F463" i="8"/>
  <c r="AR515" i="8"/>
  <c r="E463" i="8"/>
  <c r="AQ515" i="8"/>
  <c r="D463" i="8"/>
  <c r="AP515" i="8"/>
  <c r="C463" i="8"/>
  <c r="AO515" i="8"/>
  <c r="B463" i="8"/>
  <c r="AN515" i="8"/>
  <c r="B675" i="6"/>
  <c r="H727" i="6"/>
  <c r="AM515" i="8"/>
  <c r="N466" i="8"/>
  <c r="O466" i="8"/>
  <c r="P466" i="8"/>
  <c r="Q466" i="8"/>
  <c r="R466" i="8"/>
  <c r="M466" i="8"/>
  <c r="C678" i="6"/>
  <c r="G676" i="6"/>
  <c r="K463" i="8"/>
  <c r="L463" i="8"/>
  <c r="I462" i="8"/>
  <c r="AU514" i="8"/>
  <c r="H462" i="8"/>
  <c r="AT514" i="8"/>
  <c r="G462" i="8"/>
  <c r="AS514" i="8"/>
  <c r="F462" i="8"/>
  <c r="AR514" i="8"/>
  <c r="E462" i="8"/>
  <c r="AQ514" i="8"/>
  <c r="D462" i="8"/>
  <c r="AP514" i="8"/>
  <c r="C462" i="8"/>
  <c r="AO514" i="8"/>
  <c r="B462" i="8"/>
  <c r="AN514" i="8"/>
  <c r="B674" i="6"/>
  <c r="G675" i="6"/>
  <c r="H726" i="6"/>
  <c r="AM514" i="8"/>
  <c r="N465" i="8"/>
  <c r="O465" i="8"/>
  <c r="P465" i="8"/>
  <c r="Q465" i="8"/>
  <c r="R465" i="8"/>
  <c r="M465" i="8"/>
  <c r="C677" i="6"/>
  <c r="K462" i="8"/>
  <c r="L462" i="8"/>
  <c r="I461" i="8"/>
  <c r="AU513" i="8"/>
  <c r="H461" i="8"/>
  <c r="AT513" i="8"/>
  <c r="G461" i="8"/>
  <c r="AS513" i="8"/>
  <c r="F461" i="8"/>
  <c r="AR513" i="8"/>
  <c r="E461" i="8"/>
  <c r="AQ513" i="8"/>
  <c r="D461" i="8"/>
  <c r="AP513" i="8"/>
  <c r="C461" i="8"/>
  <c r="AO513" i="8"/>
  <c r="B461" i="8"/>
  <c r="AN513" i="8"/>
  <c r="B673" i="6"/>
  <c r="C676" i="6"/>
  <c r="H725" i="6"/>
  <c r="AM513" i="8"/>
  <c r="M464" i="8"/>
  <c r="N464" i="8"/>
  <c r="O464" i="8"/>
  <c r="P464" i="8"/>
  <c r="Q464" i="8"/>
  <c r="R464" i="8"/>
  <c r="G674" i="6"/>
  <c r="K461" i="8"/>
  <c r="L461" i="8"/>
  <c r="I460" i="8"/>
  <c r="H460" i="8"/>
  <c r="G460" i="8"/>
  <c r="F460" i="8"/>
  <c r="E460" i="8"/>
  <c r="D460" i="8"/>
  <c r="C460" i="8"/>
  <c r="AO512" i="8"/>
  <c r="B460" i="8"/>
  <c r="AN512" i="8"/>
  <c r="B672" i="6"/>
  <c r="H724" i="6"/>
  <c r="N463" i="8"/>
  <c r="AQ512" i="8"/>
  <c r="O463" i="8"/>
  <c r="AR512" i="8"/>
  <c r="P463" i="8"/>
  <c r="AS512" i="8"/>
  <c r="M463" i="8"/>
  <c r="AP512" i="8"/>
  <c r="AM512" i="8"/>
  <c r="Q463" i="8"/>
  <c r="AT512" i="8"/>
  <c r="R463" i="8"/>
  <c r="AU512" i="8"/>
  <c r="C675" i="6"/>
  <c r="G673" i="6"/>
  <c r="K460" i="8"/>
  <c r="L460" i="8"/>
  <c r="I459" i="8"/>
  <c r="H459" i="8"/>
  <c r="G459" i="8"/>
  <c r="F459" i="8"/>
  <c r="E459" i="8"/>
  <c r="D459" i="8"/>
  <c r="C459" i="8"/>
  <c r="AO511" i="8"/>
  <c r="B459" i="8"/>
  <c r="AN511" i="8"/>
  <c r="B671" i="6"/>
  <c r="N462" i="8"/>
  <c r="AQ511" i="8"/>
  <c r="O462" i="8"/>
  <c r="AR511" i="8"/>
  <c r="M462" i="8"/>
  <c r="AP511" i="8"/>
  <c r="AM511" i="8"/>
  <c r="Q462" i="8"/>
  <c r="AT511" i="8"/>
  <c r="P462" i="8"/>
  <c r="AS511" i="8"/>
  <c r="C674" i="6"/>
  <c r="H723" i="6"/>
  <c r="R462" i="8"/>
  <c r="AU511" i="8"/>
  <c r="G672" i="6"/>
  <c r="L459" i="8"/>
  <c r="K459" i="8"/>
  <c r="I458" i="8"/>
  <c r="H458" i="8"/>
  <c r="G458" i="8"/>
  <c r="F458" i="8"/>
  <c r="E458" i="8"/>
  <c r="D458" i="8"/>
  <c r="C458" i="8"/>
  <c r="AO510" i="8"/>
  <c r="B458" i="8"/>
  <c r="AN510" i="8"/>
  <c r="B670" i="6"/>
  <c r="M461" i="8"/>
  <c r="AP510" i="8"/>
  <c r="N461" i="8"/>
  <c r="AQ510" i="8"/>
  <c r="O461" i="8"/>
  <c r="AR510" i="8"/>
  <c r="P461" i="8"/>
  <c r="AS510" i="8"/>
  <c r="Q461" i="8"/>
  <c r="AT510" i="8"/>
  <c r="C673" i="6"/>
  <c r="H722" i="6"/>
  <c r="R461" i="8"/>
  <c r="AU510" i="8"/>
  <c r="G671" i="6"/>
  <c r="K458" i="8"/>
  <c r="L458" i="8"/>
  <c r="B457" i="8"/>
  <c r="AN509" i="8"/>
  <c r="C457" i="8"/>
  <c r="AO509" i="8"/>
  <c r="D457" i="8"/>
  <c r="E457" i="8"/>
  <c r="F457" i="8"/>
  <c r="G457" i="8"/>
  <c r="H457" i="8"/>
  <c r="I457" i="8"/>
  <c r="B669" i="6"/>
  <c r="L457" i="8"/>
  <c r="K457" i="8"/>
  <c r="Q460" i="8"/>
  <c r="AT509" i="8"/>
  <c r="P460" i="8"/>
  <c r="AS509" i="8"/>
  <c r="N460" i="8"/>
  <c r="AQ509" i="8"/>
  <c r="C672" i="6"/>
  <c r="H721" i="6"/>
  <c r="O460" i="8"/>
  <c r="AR509" i="8"/>
  <c r="M460" i="8"/>
  <c r="AP509" i="8"/>
  <c r="AM510" i="8"/>
  <c r="R460" i="8"/>
  <c r="AU509" i="8"/>
  <c r="G670" i="6"/>
  <c r="AM509" i="8"/>
  <c r="I456" i="8"/>
  <c r="AU508" i="8"/>
  <c r="H456" i="8"/>
  <c r="AT508" i="8"/>
  <c r="G456" i="8"/>
  <c r="AS508" i="8"/>
  <c r="F456" i="8"/>
  <c r="AR508" i="8"/>
  <c r="E456" i="8"/>
  <c r="AQ508" i="8"/>
  <c r="D456" i="8"/>
  <c r="AP508" i="8"/>
  <c r="AM508" i="8"/>
  <c r="C456" i="8"/>
  <c r="AO508" i="8"/>
  <c r="B456" i="8"/>
  <c r="AN508" i="8"/>
  <c r="B668" i="6"/>
  <c r="H720" i="6"/>
  <c r="C671" i="6"/>
  <c r="G669" i="6"/>
  <c r="M459" i="8"/>
  <c r="O459" i="8"/>
  <c r="Q459" i="8"/>
  <c r="N459" i="8"/>
  <c r="P459" i="8"/>
  <c r="R459" i="8"/>
  <c r="K456" i="8"/>
  <c r="L456" i="8"/>
  <c r="I455" i="8"/>
  <c r="AU507" i="8"/>
  <c r="H455" i="8"/>
  <c r="AT507" i="8"/>
  <c r="G455" i="8"/>
  <c r="AS507" i="8"/>
  <c r="F455" i="8"/>
  <c r="AR507" i="8"/>
  <c r="E455" i="8"/>
  <c r="AQ507" i="8"/>
  <c r="D455" i="8"/>
  <c r="AP507" i="8"/>
  <c r="AM507" i="8"/>
  <c r="C455" i="8"/>
  <c r="AO507" i="8"/>
  <c r="B455" i="8"/>
  <c r="AN507" i="8"/>
  <c r="B667" i="6"/>
  <c r="H719" i="6"/>
  <c r="N458" i="8"/>
  <c r="P458" i="8"/>
  <c r="C670" i="6"/>
  <c r="M458" i="8"/>
  <c r="O458" i="8"/>
  <c r="Q458" i="8"/>
  <c r="G668" i="6"/>
  <c r="R458" i="8"/>
  <c r="K455" i="8"/>
  <c r="L455" i="8"/>
  <c r="I454" i="8"/>
  <c r="AU506" i="8"/>
  <c r="H454" i="8"/>
  <c r="AT506" i="8"/>
  <c r="G454" i="8"/>
  <c r="AS506" i="8"/>
  <c r="F454" i="8"/>
  <c r="AR506" i="8"/>
  <c r="E454" i="8"/>
  <c r="AQ506" i="8"/>
  <c r="D454" i="8"/>
  <c r="AP506" i="8"/>
  <c r="C454" i="8"/>
  <c r="AO506" i="8"/>
  <c r="B454" i="8"/>
  <c r="AN506" i="8"/>
  <c r="B666" i="6"/>
  <c r="H718" i="6"/>
  <c r="AM506" i="8"/>
  <c r="C669" i="6"/>
  <c r="M457" i="8"/>
  <c r="O457" i="8"/>
  <c r="Q457" i="8"/>
  <c r="G667" i="6"/>
  <c r="N457" i="8"/>
  <c r="P457" i="8"/>
  <c r="R457" i="8"/>
  <c r="L454" i="8"/>
  <c r="K454" i="8"/>
  <c r="I453" i="8"/>
  <c r="AU505" i="8"/>
  <c r="H453" i="8"/>
  <c r="AT505" i="8"/>
  <c r="G453" i="8"/>
  <c r="AS505" i="8"/>
  <c r="F453" i="8"/>
  <c r="AR505" i="8"/>
  <c r="E453" i="8"/>
  <c r="AQ505" i="8"/>
  <c r="D453" i="8"/>
  <c r="AP505" i="8"/>
  <c r="C453" i="8"/>
  <c r="AO505" i="8"/>
  <c r="B453" i="8"/>
  <c r="AN505" i="8"/>
  <c r="B665" i="6"/>
  <c r="H717" i="6"/>
  <c r="AM505" i="8"/>
  <c r="M456" i="8"/>
  <c r="N456" i="8"/>
  <c r="P456" i="8"/>
  <c r="R456" i="8"/>
  <c r="C668" i="6"/>
  <c r="O456" i="8"/>
  <c r="Q456" i="8"/>
  <c r="G666" i="6"/>
  <c r="K453" i="8"/>
  <c r="L453" i="8"/>
  <c r="I452" i="8"/>
  <c r="AU504" i="8"/>
  <c r="H452" i="8"/>
  <c r="AT504" i="8"/>
  <c r="G452" i="8"/>
  <c r="AS504" i="8"/>
  <c r="F452" i="8"/>
  <c r="AR504" i="8"/>
  <c r="E452" i="8"/>
  <c r="AQ504" i="8"/>
  <c r="D452" i="8"/>
  <c r="AP504" i="8"/>
  <c r="C452" i="8"/>
  <c r="AO504" i="8"/>
  <c r="B452" i="8"/>
  <c r="AN504" i="8"/>
  <c r="B664" i="6"/>
  <c r="H716" i="6"/>
  <c r="AM504" i="8"/>
  <c r="C667" i="6"/>
  <c r="N455" i="8"/>
  <c r="R455" i="8"/>
  <c r="M455" i="8"/>
  <c r="O455" i="8"/>
  <c r="Q455" i="8"/>
  <c r="G665" i="6"/>
  <c r="P455" i="8"/>
  <c r="K452" i="8"/>
  <c r="L452" i="8"/>
  <c r="I451" i="8"/>
  <c r="AU503" i="8"/>
  <c r="H451" i="8"/>
  <c r="AT503" i="8"/>
  <c r="G451" i="8"/>
  <c r="AS503" i="8"/>
  <c r="F451" i="8"/>
  <c r="AR503" i="8"/>
  <c r="E451" i="8"/>
  <c r="AQ503" i="8"/>
  <c r="D451" i="8"/>
  <c r="AP503" i="8"/>
  <c r="C451" i="8"/>
  <c r="AO503" i="8"/>
  <c r="B451" i="8"/>
  <c r="AN503" i="8"/>
  <c r="B663" i="6"/>
  <c r="H715" i="6"/>
  <c r="AM503" i="8"/>
  <c r="M454" i="8"/>
  <c r="Q454" i="8"/>
  <c r="N454" i="8"/>
  <c r="P454" i="8"/>
  <c r="R454" i="8"/>
  <c r="C666" i="6"/>
  <c r="O454" i="8"/>
  <c r="G664" i="6"/>
  <c r="K451" i="8"/>
  <c r="L451" i="8"/>
  <c r="I450" i="8"/>
  <c r="AU502" i="8"/>
  <c r="H450" i="8"/>
  <c r="AT502" i="8"/>
  <c r="G450" i="8"/>
  <c r="AS502" i="8"/>
  <c r="F450" i="8"/>
  <c r="AR502" i="8"/>
  <c r="E450" i="8"/>
  <c r="AQ502" i="8"/>
  <c r="D450" i="8"/>
  <c r="AP502" i="8"/>
  <c r="C450" i="8"/>
  <c r="AO502" i="8"/>
  <c r="B450" i="8"/>
  <c r="AN502" i="8"/>
  <c r="B662" i="6"/>
  <c r="H714" i="6"/>
  <c r="AM502" i="8"/>
  <c r="C665" i="6"/>
  <c r="M453" i="8"/>
  <c r="O453" i="8"/>
  <c r="N453" i="8"/>
  <c r="P453" i="8"/>
  <c r="R453" i="8"/>
  <c r="G663" i="6"/>
  <c r="Q453" i="8"/>
  <c r="L450" i="8"/>
  <c r="K450" i="8"/>
  <c r="B449" i="8"/>
  <c r="C449" i="8"/>
  <c r="AO501" i="8"/>
  <c r="D449" i="8"/>
  <c r="E449" i="8"/>
  <c r="F449" i="8"/>
  <c r="G449" i="8"/>
  <c r="H449" i="8"/>
  <c r="I449" i="8"/>
  <c r="P452" i="8"/>
  <c r="AS501" i="8"/>
  <c r="K449" i="8"/>
  <c r="AN501" i="8"/>
  <c r="M452" i="8"/>
  <c r="AP501" i="8"/>
  <c r="L449" i="8"/>
  <c r="O452" i="8"/>
  <c r="AR501" i="8"/>
  <c r="N452" i="8"/>
  <c r="AQ501" i="8"/>
  <c r="R452" i="8"/>
  <c r="AU501" i="8"/>
  <c r="Q452" i="8"/>
  <c r="AT501" i="8"/>
  <c r="B661" i="6"/>
  <c r="H713" i="6"/>
  <c r="AM501" i="8"/>
  <c r="C664" i="6"/>
  <c r="G662" i="6"/>
  <c r="I448" i="8"/>
  <c r="AU500" i="8"/>
  <c r="H448" i="8"/>
  <c r="AT500" i="8"/>
  <c r="G448" i="8"/>
  <c r="AS500" i="8"/>
  <c r="F448" i="8"/>
  <c r="AR500" i="8"/>
  <c r="E448" i="8"/>
  <c r="AQ500" i="8"/>
  <c r="D448" i="8"/>
  <c r="AP500" i="8"/>
  <c r="C448" i="8"/>
  <c r="AO500" i="8"/>
  <c r="B448" i="8"/>
  <c r="AN500" i="8"/>
  <c r="B660" i="6"/>
  <c r="H712" i="6"/>
  <c r="AM500" i="8"/>
  <c r="M451" i="8"/>
  <c r="Q451" i="8"/>
  <c r="N451" i="8"/>
  <c r="P451" i="8"/>
  <c r="R451" i="8"/>
  <c r="C663" i="6"/>
  <c r="O451" i="8"/>
  <c r="G661" i="6"/>
  <c r="K448" i="8"/>
  <c r="L448" i="8"/>
  <c r="I447" i="8"/>
  <c r="AU499" i="8"/>
  <c r="H447" i="8"/>
  <c r="AT499" i="8"/>
  <c r="G447" i="8"/>
  <c r="AS499" i="8"/>
  <c r="F447" i="8"/>
  <c r="AR499" i="8"/>
  <c r="E447" i="8"/>
  <c r="AQ499" i="8"/>
  <c r="D447" i="8"/>
  <c r="AP499" i="8"/>
  <c r="C447" i="8"/>
  <c r="AO499" i="8"/>
  <c r="B447" i="8"/>
  <c r="AN499" i="8"/>
  <c r="B659" i="6"/>
  <c r="H711" i="6"/>
  <c r="AM499" i="8"/>
  <c r="N450" i="8"/>
  <c r="P450" i="8"/>
  <c r="C662" i="6"/>
  <c r="M450" i="8"/>
  <c r="O450" i="8"/>
  <c r="Q450" i="8"/>
  <c r="G660" i="6"/>
  <c r="R450" i="8"/>
  <c r="K447" i="8"/>
  <c r="L447" i="8"/>
  <c r="I446" i="8"/>
  <c r="H446" i="8"/>
  <c r="G446" i="8"/>
  <c r="F446" i="8"/>
  <c r="E446" i="8"/>
  <c r="D446" i="8"/>
  <c r="C446" i="8"/>
  <c r="AO498" i="8"/>
  <c r="B446" i="8"/>
  <c r="AN498" i="8"/>
  <c r="B658" i="6"/>
  <c r="N449" i="8"/>
  <c r="AQ498" i="8"/>
  <c r="O449" i="8"/>
  <c r="AR498" i="8"/>
  <c r="P449" i="8"/>
  <c r="AS498" i="8"/>
  <c r="Q449" i="8"/>
  <c r="AT498" i="8"/>
  <c r="C661" i="6"/>
  <c r="H710" i="6"/>
  <c r="R449" i="8"/>
  <c r="AU498" i="8"/>
  <c r="M449" i="8"/>
  <c r="AP498" i="8"/>
  <c r="G659" i="6"/>
  <c r="L446" i="8"/>
  <c r="K446" i="8"/>
  <c r="I445" i="8"/>
  <c r="H445" i="8"/>
  <c r="G445" i="8"/>
  <c r="F445" i="8"/>
  <c r="E445" i="8"/>
  <c r="D445" i="8"/>
  <c r="C445" i="8"/>
  <c r="AO497" i="8"/>
  <c r="B445" i="8"/>
  <c r="AN497" i="8"/>
  <c r="B657" i="6"/>
  <c r="AM498" i="8"/>
  <c r="M448" i="8"/>
  <c r="AP497" i="8"/>
  <c r="N448" i="8"/>
  <c r="AQ497" i="8"/>
  <c r="Q448" i="8"/>
  <c r="AT497" i="8"/>
  <c r="O448" i="8"/>
  <c r="AR497" i="8"/>
  <c r="P448" i="8"/>
  <c r="AS497" i="8"/>
  <c r="C660" i="6"/>
  <c r="H709" i="6"/>
  <c r="R448" i="8"/>
  <c r="AU497" i="8"/>
  <c r="G658" i="6"/>
  <c r="L445" i="8"/>
  <c r="K445" i="8"/>
  <c r="I444" i="8"/>
  <c r="H444" i="8"/>
  <c r="G444" i="8"/>
  <c r="F444" i="8"/>
  <c r="E444" i="8"/>
  <c r="D444" i="8"/>
  <c r="C444" i="8"/>
  <c r="AO496" i="8"/>
  <c r="B444" i="8"/>
  <c r="AN496" i="8"/>
  <c r="B656" i="6"/>
  <c r="O447" i="8"/>
  <c r="AR496" i="8"/>
  <c r="M447" i="8"/>
  <c r="AP496" i="8"/>
  <c r="AM496" i="8"/>
  <c r="N447" i="8"/>
  <c r="AQ496" i="8"/>
  <c r="Q447" i="8"/>
  <c r="AT496" i="8"/>
  <c r="C659" i="6"/>
  <c r="H708" i="6"/>
  <c r="R447" i="8"/>
  <c r="AU496" i="8"/>
  <c r="AM497" i="8"/>
  <c r="P447" i="8"/>
  <c r="AS496" i="8"/>
  <c r="G657" i="6"/>
  <c r="K444" i="8"/>
  <c r="L444" i="8"/>
  <c r="I443" i="8"/>
  <c r="AU495" i="8"/>
  <c r="H443" i="8"/>
  <c r="AT495" i="8"/>
  <c r="G443" i="8"/>
  <c r="AS495" i="8"/>
  <c r="F443" i="8"/>
  <c r="AR495" i="8"/>
  <c r="E443" i="8"/>
  <c r="AQ495" i="8"/>
  <c r="D443" i="8"/>
  <c r="AP495" i="8"/>
  <c r="C443" i="8"/>
  <c r="AO495" i="8"/>
  <c r="B443" i="8"/>
  <c r="AN495" i="8"/>
  <c r="N446" i="8"/>
  <c r="P446" i="8"/>
  <c r="R446" i="8"/>
  <c r="M446" i="8"/>
  <c r="O446" i="8"/>
  <c r="Q446" i="8"/>
  <c r="K443" i="8"/>
  <c r="L443" i="8"/>
  <c r="B655" i="6"/>
  <c r="H707" i="6"/>
  <c r="AM495" i="8"/>
  <c r="C658" i="6"/>
  <c r="G656" i="6"/>
  <c r="I442" i="8"/>
  <c r="AU494" i="8"/>
  <c r="H442" i="8"/>
  <c r="AT494" i="8"/>
  <c r="G442" i="8"/>
  <c r="AS494" i="8"/>
  <c r="F442" i="8"/>
  <c r="AR494" i="8"/>
  <c r="E442" i="8"/>
  <c r="AQ494" i="8"/>
  <c r="D442" i="8"/>
  <c r="AP494" i="8"/>
  <c r="C442" i="8"/>
  <c r="AO494" i="8"/>
  <c r="B442" i="8"/>
  <c r="AN494" i="8"/>
  <c r="B654" i="6"/>
  <c r="H706" i="6"/>
  <c r="AM494" i="8"/>
  <c r="C657" i="6"/>
  <c r="M445" i="8"/>
  <c r="O445" i="8"/>
  <c r="Q445" i="8"/>
  <c r="G655" i="6"/>
  <c r="N445" i="8"/>
  <c r="P445" i="8"/>
  <c r="R445" i="8"/>
  <c r="K442" i="8"/>
  <c r="T598" i="8"/>
  <c r="AD598" i="8"/>
  <c r="L442" i="8"/>
  <c r="U598" i="8"/>
  <c r="AE598" i="8"/>
  <c r="I441" i="8"/>
  <c r="AU493" i="8"/>
  <c r="H441" i="8"/>
  <c r="AT493" i="8"/>
  <c r="G441" i="8"/>
  <c r="AS493" i="8"/>
  <c r="F441" i="8"/>
  <c r="AR493" i="8"/>
  <c r="E441" i="8"/>
  <c r="AQ493" i="8"/>
  <c r="D441" i="8"/>
  <c r="AP493" i="8"/>
  <c r="C441" i="8"/>
  <c r="AO493" i="8"/>
  <c r="B441" i="8"/>
  <c r="AN493" i="8"/>
  <c r="B653" i="6"/>
  <c r="G654" i="6"/>
  <c r="H705" i="6"/>
  <c r="AM493" i="8"/>
  <c r="M444" i="8"/>
  <c r="O444" i="8"/>
  <c r="Q444" i="8"/>
  <c r="C656" i="6"/>
  <c r="N444" i="8"/>
  <c r="P444" i="8"/>
  <c r="R444" i="8"/>
  <c r="L441" i="8"/>
  <c r="U597" i="8"/>
  <c r="AE597" i="8"/>
  <c r="I440" i="8"/>
  <c r="AU492" i="8"/>
  <c r="H440" i="8"/>
  <c r="AT492" i="8"/>
  <c r="G440" i="8"/>
  <c r="AS492" i="8"/>
  <c r="F440" i="8"/>
  <c r="AR492" i="8"/>
  <c r="E440" i="8"/>
  <c r="AQ492" i="8"/>
  <c r="D440" i="8"/>
  <c r="AP492" i="8"/>
  <c r="C440" i="8"/>
  <c r="AO492" i="8"/>
  <c r="B440" i="8"/>
  <c r="AN492" i="8"/>
  <c r="B652" i="6"/>
  <c r="H704" i="6"/>
  <c r="AM492" i="8"/>
  <c r="C655" i="6"/>
  <c r="M443" i="8"/>
  <c r="O443" i="8"/>
  <c r="Q443" i="8"/>
  <c r="G653" i="6"/>
  <c r="N443" i="8"/>
  <c r="P443" i="8"/>
  <c r="R443" i="8"/>
  <c r="B651" i="6"/>
  <c r="H703" i="6"/>
  <c r="I439" i="8"/>
  <c r="AU491" i="8"/>
  <c r="H439" i="8"/>
  <c r="AT491" i="8"/>
  <c r="G439" i="8"/>
  <c r="AS491" i="8"/>
  <c r="F439" i="8"/>
  <c r="AR491" i="8"/>
  <c r="E439" i="8"/>
  <c r="AQ491" i="8"/>
  <c r="D439" i="8"/>
  <c r="AP491" i="8"/>
  <c r="AM491" i="8"/>
  <c r="C439" i="8"/>
  <c r="AO491" i="8"/>
  <c r="B439" i="8"/>
  <c r="AN491" i="8"/>
  <c r="M442" i="8"/>
  <c r="V598" i="8"/>
  <c r="AF598" i="8"/>
  <c r="O442" i="8"/>
  <c r="X598" i="8"/>
  <c r="AH598" i="8"/>
  <c r="Q442" i="8"/>
  <c r="Z598" i="8"/>
  <c r="AJ598" i="8"/>
  <c r="C654" i="6"/>
  <c r="D810" i="6"/>
  <c r="G652" i="6"/>
  <c r="N442" i="8"/>
  <c r="W598" i="8"/>
  <c r="AG598" i="8"/>
  <c r="P442" i="8"/>
  <c r="Y598" i="8"/>
  <c r="AI598" i="8"/>
  <c r="R442" i="8"/>
  <c r="AA598" i="8"/>
  <c r="AK598" i="8"/>
  <c r="I438" i="8"/>
  <c r="AU490" i="8"/>
  <c r="H438" i="8"/>
  <c r="AT490" i="8"/>
  <c r="G438" i="8"/>
  <c r="AS490" i="8"/>
  <c r="F438" i="8"/>
  <c r="AR490" i="8"/>
  <c r="E438" i="8"/>
  <c r="AQ490" i="8"/>
  <c r="D438" i="8"/>
  <c r="AP490" i="8"/>
  <c r="C438" i="8"/>
  <c r="AO490" i="8"/>
  <c r="B438" i="8"/>
  <c r="AN490" i="8"/>
  <c r="B650" i="6"/>
  <c r="H702" i="6"/>
  <c r="F810" i="6"/>
  <c r="I810" i="6"/>
  <c r="AC598" i="8"/>
  <c r="AM490" i="8"/>
  <c r="M441" i="8"/>
  <c r="V597" i="8"/>
  <c r="AF597" i="8"/>
  <c r="O441" i="8"/>
  <c r="X597" i="8"/>
  <c r="AH597" i="8"/>
  <c r="Q441" i="8"/>
  <c r="Z597" i="8"/>
  <c r="AJ597" i="8"/>
  <c r="C653" i="6"/>
  <c r="D809" i="6"/>
  <c r="N441" i="8"/>
  <c r="W597" i="8"/>
  <c r="AG597" i="8"/>
  <c r="P441" i="8"/>
  <c r="Y597" i="8"/>
  <c r="AI597" i="8"/>
  <c r="R441" i="8"/>
  <c r="AA597" i="8"/>
  <c r="AK597" i="8"/>
  <c r="G651" i="6"/>
  <c r="L438" i="8"/>
  <c r="U594" i="8"/>
  <c r="AE594" i="8"/>
  <c r="I437" i="8"/>
  <c r="AU489" i="8"/>
  <c r="H437" i="8"/>
  <c r="AT489" i="8"/>
  <c r="G437" i="8"/>
  <c r="AS489" i="8"/>
  <c r="F437" i="8"/>
  <c r="AR489" i="8"/>
  <c r="E437" i="8"/>
  <c r="AQ489" i="8"/>
  <c r="D437" i="8"/>
  <c r="AP489" i="8"/>
  <c r="C437" i="8"/>
  <c r="AO489" i="8"/>
  <c r="B437" i="8"/>
  <c r="AN489" i="8"/>
  <c r="B649" i="6"/>
  <c r="F809" i="6"/>
  <c r="I809" i="6"/>
  <c r="AC597" i="8"/>
  <c r="G650" i="6"/>
  <c r="H701" i="6"/>
  <c r="AM489" i="8"/>
  <c r="N440" i="8"/>
  <c r="W596" i="8"/>
  <c r="AG596" i="8"/>
  <c r="P440" i="8"/>
  <c r="Y596" i="8"/>
  <c r="AI596" i="8"/>
  <c r="R440" i="8"/>
  <c r="AA596" i="8"/>
  <c r="AK596" i="8"/>
  <c r="C652" i="6"/>
  <c r="D808" i="6"/>
  <c r="M440" i="8"/>
  <c r="V596" i="8"/>
  <c r="O440" i="8"/>
  <c r="X596" i="8"/>
  <c r="AH596" i="8"/>
  <c r="Q440" i="8"/>
  <c r="Z596" i="8"/>
  <c r="AJ596" i="8"/>
  <c r="L437" i="8"/>
  <c r="U593" i="8"/>
  <c r="AE593" i="8"/>
  <c r="I808" i="6"/>
  <c r="F808" i="6"/>
  <c r="I436" i="8"/>
  <c r="AU488" i="8"/>
  <c r="H436" i="8"/>
  <c r="AT488" i="8"/>
  <c r="G436" i="8"/>
  <c r="AS488" i="8"/>
  <c r="F436" i="8"/>
  <c r="AR488" i="8"/>
  <c r="E436" i="8"/>
  <c r="AQ488" i="8"/>
  <c r="D436" i="8"/>
  <c r="AP488" i="8"/>
  <c r="AM488" i="8"/>
  <c r="C436" i="8"/>
  <c r="B436" i="8"/>
  <c r="AN488" i="8"/>
  <c r="B648" i="6"/>
  <c r="H700" i="6"/>
  <c r="L436" i="8"/>
  <c r="AO488" i="8"/>
  <c r="N439" i="8"/>
  <c r="W595" i="8"/>
  <c r="AG595" i="8"/>
  <c r="P439" i="8"/>
  <c r="Y595" i="8"/>
  <c r="AI595" i="8"/>
  <c r="R439" i="8"/>
  <c r="AA595" i="8"/>
  <c r="AK595" i="8"/>
  <c r="C651" i="6"/>
  <c r="D807" i="6"/>
  <c r="G649" i="6"/>
  <c r="M439" i="8"/>
  <c r="V595" i="8"/>
  <c r="AF595" i="8"/>
  <c r="O439" i="8"/>
  <c r="X595" i="8"/>
  <c r="AH595" i="8"/>
  <c r="Q439" i="8"/>
  <c r="Z595" i="8"/>
  <c r="AJ595" i="8"/>
  <c r="I435" i="8"/>
  <c r="H435" i="8"/>
  <c r="G435" i="8"/>
  <c r="F435" i="8"/>
  <c r="E435" i="8"/>
  <c r="D435" i="8"/>
  <c r="C435" i="8"/>
  <c r="B435" i="8"/>
  <c r="AN487" i="8"/>
  <c r="B647" i="6"/>
  <c r="I807" i="6"/>
  <c r="F807" i="6"/>
  <c r="AC595" i="8"/>
  <c r="U540" i="8"/>
  <c r="AE540" i="8"/>
  <c r="U592" i="8"/>
  <c r="AE592" i="8"/>
  <c r="N438" i="8"/>
  <c r="W594" i="8"/>
  <c r="AG594" i="8"/>
  <c r="AQ487" i="8"/>
  <c r="L435" i="8"/>
  <c r="AO487" i="8"/>
  <c r="M438" i="8"/>
  <c r="V594" i="8"/>
  <c r="AF594" i="8"/>
  <c r="AP487" i="8"/>
  <c r="Q438" i="8"/>
  <c r="Z594" i="8"/>
  <c r="AJ594" i="8"/>
  <c r="AT487" i="8"/>
  <c r="C650" i="6"/>
  <c r="D806" i="6"/>
  <c r="H699" i="6"/>
  <c r="R438" i="8"/>
  <c r="AA594" i="8"/>
  <c r="AK594" i="8"/>
  <c r="AU487" i="8"/>
  <c r="O438" i="8"/>
  <c r="X594" i="8"/>
  <c r="AH594" i="8"/>
  <c r="AR487" i="8"/>
  <c r="P438" i="8"/>
  <c r="Y594" i="8"/>
  <c r="AI594" i="8"/>
  <c r="AS487" i="8"/>
  <c r="G648" i="6"/>
  <c r="I434" i="8"/>
  <c r="H434" i="8"/>
  <c r="G434" i="8"/>
  <c r="F434" i="8"/>
  <c r="E434" i="8"/>
  <c r="D434" i="8"/>
  <c r="C434" i="8"/>
  <c r="B434" i="8"/>
  <c r="B646" i="6"/>
  <c r="I806" i="6"/>
  <c r="F806" i="6"/>
  <c r="AM487" i="8"/>
  <c r="AC594" i="8"/>
  <c r="U539" i="8"/>
  <c r="AE539" i="8"/>
  <c r="U591" i="8"/>
  <c r="AE591" i="8"/>
  <c r="N437" i="8"/>
  <c r="W593" i="8"/>
  <c r="AG593" i="8"/>
  <c r="AQ486" i="8"/>
  <c r="P437" i="8"/>
  <c r="Y593" i="8"/>
  <c r="AI593" i="8"/>
  <c r="AS486" i="8"/>
  <c r="Q437" i="8"/>
  <c r="Z593" i="8"/>
  <c r="AJ593" i="8"/>
  <c r="AT486" i="8"/>
  <c r="C649" i="6"/>
  <c r="D805" i="6"/>
  <c r="H698" i="6"/>
  <c r="R437" i="8"/>
  <c r="AA593" i="8"/>
  <c r="AK593" i="8"/>
  <c r="AU486" i="8"/>
  <c r="M437" i="8"/>
  <c r="V593" i="8"/>
  <c r="AF593" i="8"/>
  <c r="AP486" i="8"/>
  <c r="O437" i="8"/>
  <c r="X593" i="8"/>
  <c r="AH593" i="8"/>
  <c r="AR486" i="8"/>
  <c r="G647" i="6"/>
  <c r="I433" i="8"/>
  <c r="H433" i="8"/>
  <c r="G433" i="8"/>
  <c r="F433" i="8"/>
  <c r="E433" i="8"/>
  <c r="D433" i="8"/>
  <c r="C433" i="8"/>
  <c r="B433" i="8"/>
  <c r="B645" i="6"/>
  <c r="F805" i="6"/>
  <c r="I805" i="6"/>
  <c r="AC593" i="8"/>
  <c r="C648" i="6"/>
  <c r="D804" i="6"/>
  <c r="H697" i="6"/>
  <c r="N436" i="8"/>
  <c r="W592" i="8"/>
  <c r="AG592" i="8"/>
  <c r="AQ485" i="8"/>
  <c r="AM486" i="8"/>
  <c r="P436" i="8"/>
  <c r="Y592" i="8"/>
  <c r="AI592" i="8"/>
  <c r="AS485" i="8"/>
  <c r="R436" i="8"/>
  <c r="AA592" i="8"/>
  <c r="AK592" i="8"/>
  <c r="AU485" i="8"/>
  <c r="M436" i="8"/>
  <c r="V592" i="8"/>
  <c r="AF592" i="8"/>
  <c r="AP485" i="8"/>
  <c r="AM485" i="8"/>
  <c r="O436" i="8"/>
  <c r="X592" i="8"/>
  <c r="AH592" i="8"/>
  <c r="AR485" i="8"/>
  <c r="Q436" i="8"/>
  <c r="Z592" i="8"/>
  <c r="AJ592" i="8"/>
  <c r="AT485" i="8"/>
  <c r="G646" i="6"/>
  <c r="I432" i="8"/>
  <c r="AU484" i="8"/>
  <c r="H432" i="8"/>
  <c r="AT484" i="8"/>
  <c r="G432" i="8"/>
  <c r="AS484" i="8"/>
  <c r="F432" i="8"/>
  <c r="AR484" i="8"/>
  <c r="E432" i="8"/>
  <c r="AQ484" i="8"/>
  <c r="D432" i="8"/>
  <c r="AP484" i="8"/>
  <c r="C432" i="8"/>
  <c r="B432" i="8"/>
  <c r="B644" i="6"/>
  <c r="H696" i="6"/>
  <c r="F804" i="6"/>
  <c r="I804" i="6"/>
  <c r="AC592" i="8"/>
  <c r="AM484" i="8"/>
  <c r="N435" i="8"/>
  <c r="W591" i="8"/>
  <c r="AG591" i="8"/>
  <c r="R435" i="8"/>
  <c r="AA591" i="8"/>
  <c r="AK591" i="8"/>
  <c r="M435" i="8"/>
  <c r="V591" i="8"/>
  <c r="AF591" i="8"/>
  <c r="O435" i="8"/>
  <c r="X591" i="8"/>
  <c r="AH591" i="8"/>
  <c r="Q435" i="8"/>
  <c r="Z591" i="8"/>
  <c r="AJ591" i="8"/>
  <c r="P435" i="8"/>
  <c r="Y591" i="8"/>
  <c r="AI591" i="8"/>
  <c r="C647" i="6"/>
  <c r="D803" i="6"/>
  <c r="G645" i="6"/>
  <c r="F803" i="6"/>
  <c r="I803" i="6"/>
  <c r="AC591" i="8"/>
  <c r="I431" i="8"/>
  <c r="AU483" i="8"/>
  <c r="H431" i="8"/>
  <c r="AT483" i="8"/>
  <c r="G431" i="8"/>
  <c r="AS483" i="8"/>
  <c r="F431" i="8"/>
  <c r="AR483" i="8"/>
  <c r="E431" i="8"/>
  <c r="AQ483" i="8"/>
  <c r="D431" i="8"/>
  <c r="AP483" i="8"/>
  <c r="C431" i="8"/>
  <c r="B431" i="8"/>
  <c r="B643" i="6"/>
  <c r="H695" i="6"/>
  <c r="AM483" i="8"/>
  <c r="M434" i="8"/>
  <c r="V590" i="8"/>
  <c r="AF590" i="8"/>
  <c r="O434" i="8"/>
  <c r="X590" i="8"/>
  <c r="AH590" i="8"/>
  <c r="Q434" i="8"/>
  <c r="Z590" i="8"/>
  <c r="AJ590" i="8"/>
  <c r="N434" i="8"/>
  <c r="W590" i="8"/>
  <c r="AG590" i="8"/>
  <c r="P434" i="8"/>
  <c r="Y590" i="8"/>
  <c r="AI590" i="8"/>
  <c r="R434" i="8"/>
  <c r="AA590" i="8"/>
  <c r="AK590" i="8"/>
  <c r="C646" i="6"/>
  <c r="D802" i="6"/>
  <c r="G644" i="6"/>
  <c r="I430" i="8"/>
  <c r="AU482" i="8"/>
  <c r="H430" i="8"/>
  <c r="AT482" i="8"/>
  <c r="G430" i="8"/>
  <c r="AS482" i="8"/>
  <c r="F430" i="8"/>
  <c r="AR482" i="8"/>
  <c r="E430" i="8"/>
  <c r="AQ482" i="8"/>
  <c r="D430" i="8"/>
  <c r="AP482" i="8"/>
  <c r="AM482" i="8"/>
  <c r="C430" i="8"/>
  <c r="B430" i="8"/>
  <c r="B642" i="6"/>
  <c r="H694" i="6"/>
  <c r="I802" i="6"/>
  <c r="F802" i="6"/>
  <c r="AC590" i="8"/>
  <c r="M433" i="8"/>
  <c r="V589" i="8"/>
  <c r="AF589" i="8"/>
  <c r="O433" i="8"/>
  <c r="X589" i="8"/>
  <c r="AH589" i="8"/>
  <c r="Q433" i="8"/>
  <c r="Z589" i="8"/>
  <c r="AJ589" i="8"/>
  <c r="N433" i="8"/>
  <c r="W589" i="8"/>
  <c r="AG589" i="8"/>
  <c r="P433" i="8"/>
  <c r="Y589" i="8"/>
  <c r="AI589" i="8"/>
  <c r="R433" i="8"/>
  <c r="AA589" i="8"/>
  <c r="AK589" i="8"/>
  <c r="C645" i="6"/>
  <c r="D801" i="6"/>
  <c r="G643" i="6"/>
  <c r="I429" i="8"/>
  <c r="AU481" i="8"/>
  <c r="H429" i="8"/>
  <c r="AT481" i="8"/>
  <c r="G429" i="8"/>
  <c r="AS481" i="8"/>
  <c r="F429" i="8"/>
  <c r="AR481" i="8"/>
  <c r="E429" i="8"/>
  <c r="AQ481" i="8"/>
  <c r="D429" i="8"/>
  <c r="AP481" i="8"/>
  <c r="C429" i="8"/>
  <c r="B429" i="8"/>
  <c r="I428" i="8"/>
  <c r="AU480" i="8"/>
  <c r="H428" i="8"/>
  <c r="AT480" i="8"/>
  <c r="G428" i="8"/>
  <c r="AS480" i="8"/>
  <c r="F428" i="8"/>
  <c r="AR480" i="8"/>
  <c r="E428" i="8"/>
  <c r="AQ480" i="8"/>
  <c r="D428" i="8"/>
  <c r="AP480" i="8"/>
  <c r="C428" i="8"/>
  <c r="B428" i="8"/>
  <c r="B641" i="6"/>
  <c r="H693" i="6"/>
  <c r="F801" i="6"/>
  <c r="I801" i="6"/>
  <c r="AC589" i="8"/>
  <c r="AM481" i="8"/>
  <c r="N431" i="8"/>
  <c r="W587" i="8"/>
  <c r="AG587" i="8"/>
  <c r="P431" i="8"/>
  <c r="Y587" i="8"/>
  <c r="AI587" i="8"/>
  <c r="R431" i="8"/>
  <c r="AA587" i="8"/>
  <c r="AK587" i="8"/>
  <c r="N432" i="8"/>
  <c r="W588" i="8"/>
  <c r="AG588" i="8"/>
  <c r="P432" i="8"/>
  <c r="Y588" i="8"/>
  <c r="AI588" i="8"/>
  <c r="R432" i="8"/>
  <c r="AA588" i="8"/>
  <c r="AK588" i="8"/>
  <c r="M431" i="8"/>
  <c r="V587" i="8"/>
  <c r="AF587" i="8"/>
  <c r="O431" i="8"/>
  <c r="X587" i="8"/>
  <c r="AH587" i="8"/>
  <c r="Q431" i="8"/>
  <c r="Z587" i="8"/>
  <c r="AJ587" i="8"/>
  <c r="M432" i="8"/>
  <c r="V588" i="8"/>
  <c r="AF588" i="8"/>
  <c r="O432" i="8"/>
  <c r="X588" i="8"/>
  <c r="AH588" i="8"/>
  <c r="Q432" i="8"/>
  <c r="Z588" i="8"/>
  <c r="AJ588" i="8"/>
  <c r="C644" i="6"/>
  <c r="D800" i="6"/>
  <c r="G642" i="6"/>
  <c r="B640" i="6"/>
  <c r="H692" i="6"/>
  <c r="AM480" i="8"/>
  <c r="F800" i="6"/>
  <c r="I800" i="6"/>
  <c r="AC588" i="8"/>
  <c r="C643" i="6"/>
  <c r="D799" i="6"/>
  <c r="G641" i="6"/>
  <c r="I427" i="8"/>
  <c r="AU479" i="8"/>
  <c r="H427" i="8"/>
  <c r="AT479" i="8"/>
  <c r="G427" i="8"/>
  <c r="AS479" i="8"/>
  <c r="F427" i="8"/>
  <c r="AR479" i="8"/>
  <c r="E427" i="8"/>
  <c r="AQ479" i="8"/>
  <c r="D427" i="8"/>
  <c r="AP479" i="8"/>
  <c r="C427" i="8"/>
  <c r="B427" i="8"/>
  <c r="B639" i="6"/>
  <c r="H691" i="6"/>
  <c r="F799" i="6"/>
  <c r="I799" i="6"/>
  <c r="AC587" i="8"/>
  <c r="AM479" i="8"/>
  <c r="M430" i="8"/>
  <c r="V586" i="8"/>
  <c r="AF586" i="8"/>
  <c r="O430" i="8"/>
  <c r="X586" i="8"/>
  <c r="AH586" i="8"/>
  <c r="Q430" i="8"/>
  <c r="Z586" i="8"/>
  <c r="AJ586" i="8"/>
  <c r="N430" i="8"/>
  <c r="W586" i="8"/>
  <c r="AG586" i="8"/>
  <c r="P430" i="8"/>
  <c r="Y586" i="8"/>
  <c r="AI586" i="8"/>
  <c r="R430" i="8"/>
  <c r="AA586" i="8"/>
  <c r="AK586" i="8"/>
  <c r="C642" i="6"/>
  <c r="D798" i="6"/>
  <c r="G640" i="6"/>
  <c r="I426" i="8"/>
  <c r="AU478" i="8"/>
  <c r="H426" i="8"/>
  <c r="AT478" i="8"/>
  <c r="G426" i="8"/>
  <c r="AS478" i="8"/>
  <c r="F426" i="8"/>
  <c r="AR478" i="8"/>
  <c r="E426" i="8"/>
  <c r="AQ478" i="8"/>
  <c r="D426" i="8"/>
  <c r="AP478" i="8"/>
  <c r="C426" i="8"/>
  <c r="B426" i="8"/>
  <c r="B638" i="6"/>
  <c r="H690" i="6"/>
  <c r="F798" i="6"/>
  <c r="I798" i="6"/>
  <c r="AC586" i="8"/>
  <c r="AM478" i="8"/>
  <c r="N429" i="8"/>
  <c r="W585" i="8"/>
  <c r="AG585" i="8"/>
  <c r="P429" i="8"/>
  <c r="Y585" i="8"/>
  <c r="AI585" i="8"/>
  <c r="R429" i="8"/>
  <c r="AA585" i="8"/>
  <c r="AK585" i="8"/>
  <c r="M429" i="8"/>
  <c r="V585" i="8"/>
  <c r="AF585" i="8"/>
  <c r="O429" i="8"/>
  <c r="X585" i="8"/>
  <c r="AH585" i="8"/>
  <c r="Q429" i="8"/>
  <c r="Z585" i="8"/>
  <c r="AJ585" i="8"/>
  <c r="C641" i="6"/>
  <c r="D797" i="6"/>
  <c r="G639" i="6"/>
  <c r="I425" i="8"/>
  <c r="AU477" i="8"/>
  <c r="H425" i="8"/>
  <c r="AT477" i="8"/>
  <c r="G425" i="8"/>
  <c r="AS477" i="8"/>
  <c r="F425" i="8"/>
  <c r="AR477" i="8"/>
  <c r="E425" i="8"/>
  <c r="AQ477" i="8"/>
  <c r="D425" i="8"/>
  <c r="AP477" i="8"/>
  <c r="C425" i="8"/>
  <c r="B425" i="8"/>
  <c r="B637" i="6"/>
  <c r="H689" i="6"/>
  <c r="F797" i="6"/>
  <c r="I797" i="6"/>
  <c r="AC585" i="8"/>
  <c r="AM477" i="8"/>
  <c r="N428" i="8"/>
  <c r="W584" i="8"/>
  <c r="AG584" i="8"/>
  <c r="P428" i="8"/>
  <c r="Y584" i="8"/>
  <c r="AI584" i="8"/>
  <c r="R428" i="8"/>
  <c r="AA584" i="8"/>
  <c r="AK584" i="8"/>
  <c r="M428" i="8"/>
  <c r="V584" i="8"/>
  <c r="AF584" i="8"/>
  <c r="O428" i="8"/>
  <c r="X584" i="8"/>
  <c r="AH584" i="8"/>
  <c r="Q428" i="8"/>
  <c r="Z584" i="8"/>
  <c r="AJ584" i="8"/>
  <c r="C640" i="6"/>
  <c r="D796" i="6"/>
  <c r="G638" i="6"/>
  <c r="F796" i="6"/>
  <c r="I796" i="6"/>
  <c r="AC584" i="8"/>
  <c r="I424" i="8"/>
  <c r="AU476" i="8"/>
  <c r="H424" i="8"/>
  <c r="AT476" i="8"/>
  <c r="G424" i="8"/>
  <c r="AS476" i="8"/>
  <c r="F424" i="8"/>
  <c r="AR476" i="8"/>
  <c r="E424" i="8"/>
  <c r="AQ476" i="8"/>
  <c r="D424" i="8"/>
  <c r="AP476" i="8"/>
  <c r="C424" i="8"/>
  <c r="B424" i="8"/>
  <c r="B636" i="6"/>
  <c r="H688" i="6"/>
  <c r="AM476" i="8"/>
  <c r="M427" i="8"/>
  <c r="V583" i="8"/>
  <c r="AF583" i="8"/>
  <c r="O427" i="8"/>
  <c r="X583" i="8"/>
  <c r="AH583" i="8"/>
  <c r="Q427" i="8"/>
  <c r="Z583" i="8"/>
  <c r="AJ583" i="8"/>
  <c r="N427" i="8"/>
  <c r="W583" i="8"/>
  <c r="AG583" i="8"/>
  <c r="P427" i="8"/>
  <c r="Y583" i="8"/>
  <c r="AI583" i="8"/>
  <c r="R427" i="8"/>
  <c r="AA583" i="8"/>
  <c r="AK583" i="8"/>
  <c r="C639" i="6"/>
  <c r="D795" i="6"/>
  <c r="G637" i="6"/>
  <c r="I423" i="8"/>
  <c r="AU475" i="8"/>
  <c r="H423" i="8"/>
  <c r="AT475" i="8"/>
  <c r="G423" i="8"/>
  <c r="AS475" i="8"/>
  <c r="F423" i="8"/>
  <c r="AR475" i="8"/>
  <c r="E423" i="8"/>
  <c r="AQ475" i="8"/>
  <c r="D423" i="8"/>
  <c r="AP475" i="8"/>
  <c r="C423" i="8"/>
  <c r="B423" i="8"/>
  <c r="B635" i="6"/>
  <c r="H687" i="6"/>
  <c r="I795" i="6"/>
  <c r="F795" i="6"/>
  <c r="AC583" i="8"/>
  <c r="AM475" i="8"/>
  <c r="M426" i="8"/>
  <c r="V582" i="8"/>
  <c r="AF582" i="8"/>
  <c r="O426" i="8"/>
  <c r="X582" i="8"/>
  <c r="AH582" i="8"/>
  <c r="Q426" i="8"/>
  <c r="Z582" i="8"/>
  <c r="AJ582" i="8"/>
  <c r="N426" i="8"/>
  <c r="W582" i="8"/>
  <c r="AG582" i="8"/>
  <c r="P426" i="8"/>
  <c r="Y582" i="8"/>
  <c r="AI582" i="8"/>
  <c r="R426" i="8"/>
  <c r="AA582" i="8"/>
  <c r="AK582" i="8"/>
  <c r="C638" i="6"/>
  <c r="D794" i="6"/>
  <c r="G636" i="6"/>
  <c r="I422" i="8"/>
  <c r="H422" i="8"/>
  <c r="G422" i="8"/>
  <c r="F422" i="8"/>
  <c r="E422" i="8"/>
  <c r="D422" i="8"/>
  <c r="C422" i="8"/>
  <c r="B422" i="8"/>
  <c r="B634" i="6"/>
  <c r="F794" i="6"/>
  <c r="I794" i="6"/>
  <c r="AC582" i="8"/>
  <c r="N425" i="8"/>
  <c r="W581" i="8"/>
  <c r="AG581" i="8"/>
  <c r="AQ474" i="8"/>
  <c r="O425" i="8"/>
  <c r="X581" i="8"/>
  <c r="AH581" i="8"/>
  <c r="AR474" i="8"/>
  <c r="P425" i="8"/>
  <c r="Y581" i="8"/>
  <c r="AI581" i="8"/>
  <c r="AS474" i="8"/>
  <c r="Q425" i="8"/>
  <c r="Z581" i="8"/>
  <c r="AJ581" i="8"/>
  <c r="AT474" i="8"/>
  <c r="M425" i="8"/>
  <c r="V581" i="8"/>
  <c r="AF581" i="8"/>
  <c r="AP474" i="8"/>
  <c r="R425" i="8"/>
  <c r="AA581" i="8"/>
  <c r="AK581" i="8"/>
  <c r="AU474" i="8"/>
  <c r="C637" i="6"/>
  <c r="D793" i="6"/>
  <c r="H686" i="6"/>
  <c r="G635" i="6"/>
  <c r="I421" i="8"/>
  <c r="H421" i="8"/>
  <c r="G421" i="8"/>
  <c r="F421" i="8"/>
  <c r="E421" i="8"/>
  <c r="D421" i="8"/>
  <c r="C421" i="8"/>
  <c r="B421" i="8"/>
  <c r="B633" i="6"/>
  <c r="F793" i="6"/>
  <c r="I793" i="6"/>
  <c r="AC581" i="8"/>
  <c r="AM474" i="8"/>
  <c r="R424" i="8"/>
  <c r="AA580" i="8"/>
  <c r="AK580" i="8"/>
  <c r="AU473" i="8"/>
  <c r="M424" i="8"/>
  <c r="V580" i="8"/>
  <c r="AF580" i="8"/>
  <c r="AP473" i="8"/>
  <c r="N424" i="8"/>
  <c r="W580" i="8"/>
  <c r="AG580" i="8"/>
  <c r="AQ473" i="8"/>
  <c r="O424" i="8"/>
  <c r="X580" i="8"/>
  <c r="AH580" i="8"/>
  <c r="AR473" i="8"/>
  <c r="P424" i="8"/>
  <c r="Y580" i="8"/>
  <c r="AI580" i="8"/>
  <c r="AS473" i="8"/>
  <c r="Q424" i="8"/>
  <c r="Z580" i="8"/>
  <c r="AJ580" i="8"/>
  <c r="AT473" i="8"/>
  <c r="C636" i="6"/>
  <c r="D792" i="6"/>
  <c r="H685" i="6"/>
  <c r="G634" i="6"/>
  <c r="I420" i="8"/>
  <c r="H420" i="8"/>
  <c r="G420" i="8"/>
  <c r="F420" i="8"/>
  <c r="E420" i="8"/>
  <c r="D420" i="8"/>
  <c r="C420" i="8"/>
  <c r="B420" i="8"/>
  <c r="B632" i="6"/>
  <c r="AM473" i="8"/>
  <c r="F792" i="6"/>
  <c r="I792" i="6"/>
  <c r="AC580" i="8"/>
  <c r="R423" i="8"/>
  <c r="AA579" i="8"/>
  <c r="AK579" i="8"/>
  <c r="AU472" i="8"/>
  <c r="M423" i="8"/>
  <c r="V579" i="8"/>
  <c r="AF579" i="8"/>
  <c r="AP472" i="8"/>
  <c r="P423" i="8"/>
  <c r="Y579" i="8"/>
  <c r="AI579" i="8"/>
  <c r="AS472" i="8"/>
  <c r="N423" i="8"/>
  <c r="W579" i="8"/>
  <c r="AG579" i="8"/>
  <c r="AQ472" i="8"/>
  <c r="O423" i="8"/>
  <c r="X579" i="8"/>
  <c r="AH579" i="8"/>
  <c r="AR472" i="8"/>
  <c r="Q423" i="8"/>
  <c r="Z579" i="8"/>
  <c r="AJ579" i="8"/>
  <c r="AT472" i="8"/>
  <c r="C635" i="6"/>
  <c r="D791" i="6"/>
  <c r="H684" i="6"/>
  <c r="G633" i="6"/>
  <c r="I419" i="8"/>
  <c r="AU471" i="8"/>
  <c r="H419" i="8"/>
  <c r="AT471" i="8"/>
  <c r="G419" i="8"/>
  <c r="AS471" i="8"/>
  <c r="F419" i="8"/>
  <c r="AR471" i="8"/>
  <c r="E419" i="8"/>
  <c r="AQ471" i="8"/>
  <c r="D419" i="8"/>
  <c r="AP471" i="8"/>
  <c r="C419" i="8"/>
  <c r="B419" i="8"/>
  <c r="B631" i="6"/>
  <c r="H683" i="6"/>
  <c r="AM471" i="8"/>
  <c r="AM472" i="8"/>
  <c r="F791" i="6"/>
  <c r="I791" i="6"/>
  <c r="AC579" i="8"/>
  <c r="L422" i="8"/>
  <c r="U578" i="8"/>
  <c r="AE578" i="8"/>
  <c r="N422" i="8"/>
  <c r="W578" i="8"/>
  <c r="AG578" i="8"/>
  <c r="P422" i="8"/>
  <c r="Y578" i="8"/>
  <c r="AI578" i="8"/>
  <c r="R422" i="8"/>
  <c r="AA578" i="8"/>
  <c r="AK578" i="8"/>
  <c r="C634" i="6"/>
  <c r="D790" i="6"/>
  <c r="M422" i="8"/>
  <c r="V578" i="8"/>
  <c r="AF578" i="8"/>
  <c r="O422" i="8"/>
  <c r="X578" i="8"/>
  <c r="AH578" i="8"/>
  <c r="Q422" i="8"/>
  <c r="Z578" i="8"/>
  <c r="AJ578" i="8"/>
  <c r="G632" i="6"/>
  <c r="I418" i="8"/>
  <c r="H418" i="8"/>
  <c r="G418" i="8"/>
  <c r="F418" i="8"/>
  <c r="E418" i="8"/>
  <c r="D418" i="8"/>
  <c r="C418" i="8"/>
  <c r="B418" i="8"/>
  <c r="K421" i="8"/>
  <c r="B630" i="6"/>
  <c r="T525" i="8"/>
  <c r="AD525" i="8"/>
  <c r="T577" i="8"/>
  <c r="AD577" i="8"/>
  <c r="F790" i="6"/>
  <c r="I790" i="6"/>
  <c r="AC578" i="8"/>
  <c r="N421" i="8"/>
  <c r="W577" i="8"/>
  <c r="AG577" i="8"/>
  <c r="AQ470" i="8"/>
  <c r="M421" i="8"/>
  <c r="V577" i="8"/>
  <c r="AF577" i="8"/>
  <c r="AP470" i="8"/>
  <c r="R421" i="8"/>
  <c r="AA577" i="8"/>
  <c r="AK577" i="8"/>
  <c r="AU470" i="8"/>
  <c r="O421" i="8"/>
  <c r="X577" i="8"/>
  <c r="AH577" i="8"/>
  <c r="AR470" i="8"/>
  <c r="P421" i="8"/>
  <c r="Y577" i="8"/>
  <c r="AI577" i="8"/>
  <c r="AS470" i="8"/>
  <c r="Q421" i="8"/>
  <c r="Z577" i="8"/>
  <c r="AJ577" i="8"/>
  <c r="AT470" i="8"/>
  <c r="L421" i="8"/>
  <c r="U577" i="8"/>
  <c r="AE577" i="8"/>
  <c r="AO470" i="8"/>
  <c r="C633" i="6"/>
  <c r="D789" i="6"/>
  <c r="H682" i="6"/>
  <c r="G631" i="6"/>
  <c r="I417" i="8"/>
  <c r="H417" i="8"/>
  <c r="G417" i="8"/>
  <c r="F417" i="8"/>
  <c r="E417" i="8"/>
  <c r="D417" i="8"/>
  <c r="C417" i="8"/>
  <c r="B417" i="8"/>
  <c r="B629" i="6"/>
  <c r="I416" i="8"/>
  <c r="H416" i="8"/>
  <c r="AT468" i="8"/>
  <c r="G416" i="8"/>
  <c r="F416" i="8"/>
  <c r="AR468" i="8"/>
  <c r="E416" i="8"/>
  <c r="D416" i="8"/>
  <c r="AP468" i="8"/>
  <c r="C416" i="8"/>
  <c r="B416" i="8"/>
  <c r="AN468" i="8"/>
  <c r="B628" i="6"/>
  <c r="H680" i="6"/>
  <c r="I415" i="8"/>
  <c r="AU467" i="8"/>
  <c r="H415" i="8"/>
  <c r="AT467" i="8"/>
  <c r="G415" i="8"/>
  <c r="AS467" i="8"/>
  <c r="F415" i="8"/>
  <c r="AR467" i="8"/>
  <c r="E415" i="8"/>
  <c r="AQ467" i="8"/>
  <c r="D415" i="8"/>
  <c r="AP467" i="8"/>
  <c r="C415" i="8"/>
  <c r="AO467" i="8"/>
  <c r="B415" i="8"/>
  <c r="AN467" i="8"/>
  <c r="B627" i="6"/>
  <c r="H679" i="6"/>
  <c r="I414" i="8"/>
  <c r="AU466" i="8"/>
  <c r="H414" i="8"/>
  <c r="AT466" i="8"/>
  <c r="G414" i="8"/>
  <c r="AS466" i="8"/>
  <c r="F414" i="8"/>
  <c r="AR466" i="8"/>
  <c r="E414" i="8"/>
  <c r="AQ466" i="8"/>
  <c r="D414" i="8"/>
  <c r="AP466" i="8"/>
  <c r="C414" i="8"/>
  <c r="AO466" i="8"/>
  <c r="B414" i="8"/>
  <c r="AN466" i="8"/>
  <c r="B626" i="6"/>
  <c r="H678" i="6"/>
  <c r="B413" i="8"/>
  <c r="AN465" i="8"/>
  <c r="C413" i="8"/>
  <c r="AO465" i="8"/>
  <c r="D413" i="8"/>
  <c r="AP465" i="8"/>
  <c r="E413" i="8"/>
  <c r="AQ465" i="8"/>
  <c r="F413" i="8"/>
  <c r="AR465" i="8"/>
  <c r="G413" i="8"/>
  <c r="AS465" i="8"/>
  <c r="H413" i="8"/>
  <c r="AT465" i="8"/>
  <c r="I413" i="8"/>
  <c r="AU465" i="8"/>
  <c r="B625" i="6"/>
  <c r="H677" i="6"/>
  <c r="I412" i="8"/>
  <c r="AU464" i="8"/>
  <c r="H412" i="8"/>
  <c r="AT464" i="8"/>
  <c r="G412" i="8"/>
  <c r="AS464" i="8"/>
  <c r="F412" i="8"/>
  <c r="AR464" i="8"/>
  <c r="E412" i="8"/>
  <c r="AQ464" i="8"/>
  <c r="D412" i="8"/>
  <c r="AP464" i="8"/>
  <c r="C412" i="8"/>
  <c r="AO464" i="8"/>
  <c r="B412" i="8"/>
  <c r="AN464" i="8"/>
  <c r="B624" i="6"/>
  <c r="H676" i="6"/>
  <c r="F789" i="6"/>
  <c r="I789" i="6"/>
  <c r="AC577" i="8"/>
  <c r="AM466" i="8"/>
  <c r="AM467" i="8"/>
  <c r="AM470" i="8"/>
  <c r="L420" i="8"/>
  <c r="U576" i="8"/>
  <c r="AE576" i="8"/>
  <c r="AO469" i="8"/>
  <c r="AM464" i="8"/>
  <c r="N419" i="8"/>
  <c r="W575" i="8"/>
  <c r="AG575" i="8"/>
  <c r="AQ468" i="8"/>
  <c r="M420" i="8"/>
  <c r="V576" i="8"/>
  <c r="AF576" i="8"/>
  <c r="AP469" i="8"/>
  <c r="AM468" i="8"/>
  <c r="R419" i="8"/>
  <c r="AA575" i="8"/>
  <c r="AK575" i="8"/>
  <c r="AU468" i="8"/>
  <c r="Q420" i="8"/>
  <c r="Z576" i="8"/>
  <c r="AJ576" i="8"/>
  <c r="AT469" i="8"/>
  <c r="AM465" i="8"/>
  <c r="N420" i="8"/>
  <c r="W576" i="8"/>
  <c r="AG576" i="8"/>
  <c r="AQ469" i="8"/>
  <c r="P420" i="8"/>
  <c r="Y576" i="8"/>
  <c r="AI576" i="8"/>
  <c r="AS469" i="8"/>
  <c r="R420" i="8"/>
  <c r="AA576" i="8"/>
  <c r="AK576" i="8"/>
  <c r="AU469" i="8"/>
  <c r="P419" i="8"/>
  <c r="Y575" i="8"/>
  <c r="AI575" i="8"/>
  <c r="AS468" i="8"/>
  <c r="O420" i="8"/>
  <c r="X576" i="8"/>
  <c r="AH576" i="8"/>
  <c r="AR469" i="8"/>
  <c r="L419" i="8"/>
  <c r="U575" i="8"/>
  <c r="AE575" i="8"/>
  <c r="AO468" i="8"/>
  <c r="K420" i="8"/>
  <c r="T576" i="8"/>
  <c r="AD576" i="8"/>
  <c r="AN469" i="8"/>
  <c r="C632" i="6"/>
  <c r="D788" i="6"/>
  <c r="H681" i="6"/>
  <c r="C631" i="6"/>
  <c r="D787" i="6"/>
  <c r="C630" i="6"/>
  <c r="D786" i="6"/>
  <c r="L418" i="8"/>
  <c r="U574" i="8"/>
  <c r="AE574" i="8"/>
  <c r="N418" i="8"/>
  <c r="W574" i="8"/>
  <c r="AG574" i="8"/>
  <c r="P418" i="8"/>
  <c r="Y574" i="8"/>
  <c r="AI574" i="8"/>
  <c r="R418" i="8"/>
  <c r="AA574" i="8"/>
  <c r="AK574" i="8"/>
  <c r="K419" i="8"/>
  <c r="T575" i="8"/>
  <c r="AD575" i="8"/>
  <c r="O419" i="8"/>
  <c r="X575" i="8"/>
  <c r="AH575" i="8"/>
  <c r="M418" i="8"/>
  <c r="V574" i="8"/>
  <c r="AF574" i="8"/>
  <c r="M419" i="8"/>
  <c r="V575" i="8"/>
  <c r="AF575" i="8"/>
  <c r="Q418" i="8"/>
  <c r="Z574" i="8"/>
  <c r="AJ574" i="8"/>
  <c r="Q419" i="8"/>
  <c r="Z575" i="8"/>
  <c r="AJ575" i="8"/>
  <c r="K418" i="8"/>
  <c r="T574" i="8"/>
  <c r="AD574" i="8"/>
  <c r="O418" i="8"/>
  <c r="X574" i="8"/>
  <c r="AH574" i="8"/>
  <c r="G630" i="6"/>
  <c r="K417" i="8"/>
  <c r="T573" i="8"/>
  <c r="AD573" i="8"/>
  <c r="M417" i="8"/>
  <c r="V573" i="8"/>
  <c r="AF573" i="8"/>
  <c r="O417" i="8"/>
  <c r="X573" i="8"/>
  <c r="AH573" i="8"/>
  <c r="Q417" i="8"/>
  <c r="Z573" i="8"/>
  <c r="AJ573" i="8"/>
  <c r="L417" i="8"/>
  <c r="U573" i="8"/>
  <c r="AE573" i="8"/>
  <c r="N417" i="8"/>
  <c r="W573" i="8"/>
  <c r="AG573" i="8"/>
  <c r="P417" i="8"/>
  <c r="Y573" i="8"/>
  <c r="AI573" i="8"/>
  <c r="R417" i="8"/>
  <c r="AA573" i="8"/>
  <c r="AK573" i="8"/>
  <c r="C629" i="6"/>
  <c r="D785" i="6"/>
  <c r="G629" i="6"/>
  <c r="L416" i="8"/>
  <c r="U572" i="8"/>
  <c r="AE572" i="8"/>
  <c r="N416" i="8"/>
  <c r="W572" i="8"/>
  <c r="AG572" i="8"/>
  <c r="P416" i="8"/>
  <c r="Y572" i="8"/>
  <c r="AI572" i="8"/>
  <c r="R416" i="8"/>
  <c r="AA572" i="8"/>
  <c r="AK572" i="8"/>
  <c r="K416" i="8"/>
  <c r="T572" i="8"/>
  <c r="AD572" i="8"/>
  <c r="M416" i="8"/>
  <c r="V572" i="8"/>
  <c r="AF572" i="8"/>
  <c r="O416" i="8"/>
  <c r="X572" i="8"/>
  <c r="AH572" i="8"/>
  <c r="Q416" i="8"/>
  <c r="Z572" i="8"/>
  <c r="AJ572" i="8"/>
  <c r="C628" i="6"/>
  <c r="D784" i="6"/>
  <c r="G628" i="6"/>
  <c r="G625" i="6"/>
  <c r="M415" i="8"/>
  <c r="V571" i="8"/>
  <c r="AF571" i="8"/>
  <c r="L415" i="8"/>
  <c r="U571" i="8"/>
  <c r="AE571" i="8"/>
  <c r="N415" i="8"/>
  <c r="W571" i="8"/>
  <c r="AG571" i="8"/>
  <c r="P415" i="8"/>
  <c r="Y571" i="8"/>
  <c r="AI571" i="8"/>
  <c r="R415" i="8"/>
  <c r="AA571" i="8"/>
  <c r="AK571" i="8"/>
  <c r="K415" i="8"/>
  <c r="T571" i="8"/>
  <c r="AD571" i="8"/>
  <c r="O415" i="8"/>
  <c r="X571" i="8"/>
  <c r="AH571" i="8"/>
  <c r="Q415" i="8"/>
  <c r="Z571" i="8"/>
  <c r="AJ571" i="8"/>
  <c r="C627" i="6"/>
  <c r="D783" i="6"/>
  <c r="G627" i="6"/>
  <c r="G626" i="6"/>
  <c r="I411" i="8"/>
  <c r="H411" i="8"/>
  <c r="G411" i="8"/>
  <c r="F411" i="8"/>
  <c r="E411" i="8"/>
  <c r="D411" i="8"/>
  <c r="C411" i="8"/>
  <c r="B411" i="8"/>
  <c r="B623" i="6"/>
  <c r="I410" i="8"/>
  <c r="AU462" i="8"/>
  <c r="H410" i="8"/>
  <c r="AT462" i="8"/>
  <c r="G410" i="8"/>
  <c r="AS462" i="8"/>
  <c r="F410" i="8"/>
  <c r="AR462" i="8"/>
  <c r="E410" i="8"/>
  <c r="AQ462" i="8"/>
  <c r="D410" i="8"/>
  <c r="AP462" i="8"/>
  <c r="C410" i="8"/>
  <c r="AO462" i="8"/>
  <c r="B410" i="8"/>
  <c r="AN462" i="8"/>
  <c r="B622" i="6"/>
  <c r="H674" i="6"/>
  <c r="I409" i="8"/>
  <c r="AU461" i="8"/>
  <c r="H409" i="8"/>
  <c r="AT461" i="8"/>
  <c r="G409" i="8"/>
  <c r="AS461" i="8"/>
  <c r="F409" i="8"/>
  <c r="AR461" i="8"/>
  <c r="E409" i="8"/>
  <c r="AQ461" i="8"/>
  <c r="D409" i="8"/>
  <c r="AP461" i="8"/>
  <c r="C409" i="8"/>
  <c r="AO461" i="8"/>
  <c r="B409" i="8"/>
  <c r="AN461" i="8"/>
  <c r="B621" i="6"/>
  <c r="H673" i="6"/>
  <c r="I408" i="8"/>
  <c r="AU460" i="8"/>
  <c r="H408" i="8"/>
  <c r="AT460" i="8"/>
  <c r="G408" i="8"/>
  <c r="AS460" i="8"/>
  <c r="F408" i="8"/>
  <c r="AR460" i="8"/>
  <c r="E408" i="8"/>
  <c r="AQ460" i="8"/>
  <c r="D408" i="8"/>
  <c r="AP460" i="8"/>
  <c r="C408" i="8"/>
  <c r="AO460" i="8"/>
  <c r="B408" i="8"/>
  <c r="AN460" i="8"/>
  <c r="B620" i="6"/>
  <c r="H672" i="6"/>
  <c r="I407" i="8"/>
  <c r="AU459" i="8"/>
  <c r="H407" i="8"/>
  <c r="AT459" i="8"/>
  <c r="G407" i="8"/>
  <c r="AS459" i="8"/>
  <c r="F407" i="8"/>
  <c r="AR459" i="8"/>
  <c r="E407" i="8"/>
  <c r="AQ459" i="8"/>
  <c r="D407" i="8"/>
  <c r="AP459" i="8"/>
  <c r="C407" i="8"/>
  <c r="AO459" i="8"/>
  <c r="B407" i="8"/>
  <c r="AN459" i="8"/>
  <c r="B619" i="6"/>
  <c r="H671" i="6"/>
  <c r="I406" i="8"/>
  <c r="AU458" i="8"/>
  <c r="H406" i="8"/>
  <c r="AT458" i="8"/>
  <c r="G406" i="8"/>
  <c r="AS458" i="8"/>
  <c r="F406" i="8"/>
  <c r="AR458" i="8"/>
  <c r="E406" i="8"/>
  <c r="AQ458" i="8"/>
  <c r="D406" i="8"/>
  <c r="AP458" i="8"/>
  <c r="C406" i="8"/>
  <c r="AO458" i="8"/>
  <c r="B406" i="8"/>
  <c r="AN458" i="8"/>
  <c r="B618" i="6"/>
  <c r="H670" i="6"/>
  <c r="I405" i="8"/>
  <c r="AU457" i="8"/>
  <c r="H405" i="8"/>
  <c r="AT457" i="8"/>
  <c r="G405" i="8"/>
  <c r="AS457" i="8"/>
  <c r="F405" i="8"/>
  <c r="AR457" i="8"/>
  <c r="E405" i="8"/>
  <c r="AQ457" i="8"/>
  <c r="D405" i="8"/>
  <c r="AP457" i="8"/>
  <c r="C405" i="8"/>
  <c r="AO457" i="8"/>
  <c r="B405" i="8"/>
  <c r="AN457" i="8"/>
  <c r="B617" i="6"/>
  <c r="H669" i="6"/>
  <c r="B404" i="8"/>
  <c r="AN456" i="8"/>
  <c r="C404" i="8"/>
  <c r="AO456" i="8"/>
  <c r="D404" i="8"/>
  <c r="AP456" i="8"/>
  <c r="E404" i="8"/>
  <c r="AQ456" i="8"/>
  <c r="F404" i="8"/>
  <c r="AR456" i="8"/>
  <c r="G404" i="8"/>
  <c r="AS456" i="8"/>
  <c r="H404" i="8"/>
  <c r="AT456" i="8"/>
  <c r="I404" i="8"/>
  <c r="AU456" i="8"/>
  <c r="B616" i="6"/>
  <c r="H668" i="6"/>
  <c r="F784" i="6"/>
  <c r="I784" i="6"/>
  <c r="AC572" i="8"/>
  <c r="F786" i="6"/>
  <c r="I786" i="6"/>
  <c r="AC574" i="8"/>
  <c r="F787" i="6"/>
  <c r="I787" i="6"/>
  <c r="AC575" i="8"/>
  <c r="F785" i="6"/>
  <c r="I785" i="6"/>
  <c r="AC573" i="8"/>
  <c r="F788" i="6"/>
  <c r="I788" i="6"/>
  <c r="AC576" i="8"/>
  <c r="F783" i="6"/>
  <c r="I783" i="6"/>
  <c r="AC571" i="8"/>
  <c r="AM469" i="8"/>
  <c r="AM462" i="8"/>
  <c r="O414" i="8"/>
  <c r="X570" i="8"/>
  <c r="AH570" i="8"/>
  <c r="AR463" i="8"/>
  <c r="AM461" i="8"/>
  <c r="P414" i="8"/>
  <c r="Y570" i="8"/>
  <c r="AI570" i="8"/>
  <c r="AS463" i="8"/>
  <c r="L414" i="8"/>
  <c r="U570" i="8"/>
  <c r="AE570" i="8"/>
  <c r="AO463" i="8"/>
  <c r="M414" i="8"/>
  <c r="V570" i="8"/>
  <c r="AF570" i="8"/>
  <c r="AP463" i="8"/>
  <c r="Q414" i="8"/>
  <c r="Z570" i="8"/>
  <c r="AJ570" i="8"/>
  <c r="AT463" i="8"/>
  <c r="R414" i="8"/>
  <c r="AA570" i="8"/>
  <c r="AK570" i="8"/>
  <c r="AU463" i="8"/>
  <c r="K414" i="8"/>
  <c r="T570" i="8"/>
  <c r="AD570" i="8"/>
  <c r="AN463" i="8"/>
  <c r="N414" i="8"/>
  <c r="W570" i="8"/>
  <c r="AG570" i="8"/>
  <c r="AQ463" i="8"/>
  <c r="G624" i="6"/>
  <c r="H675" i="6"/>
  <c r="AM458" i="8"/>
  <c r="AM456" i="8"/>
  <c r="AM457" i="8"/>
  <c r="AM459" i="8"/>
  <c r="AM460" i="8"/>
  <c r="K413" i="8"/>
  <c r="T569" i="8"/>
  <c r="AD569" i="8"/>
  <c r="M413" i="8"/>
  <c r="V569" i="8"/>
  <c r="AF569" i="8"/>
  <c r="O413" i="8"/>
  <c r="X569" i="8"/>
  <c r="AH569" i="8"/>
  <c r="Q413" i="8"/>
  <c r="Z569" i="8"/>
  <c r="AJ569" i="8"/>
  <c r="K412" i="8"/>
  <c r="T568" i="8"/>
  <c r="AD568" i="8"/>
  <c r="M412" i="8"/>
  <c r="V568" i="8"/>
  <c r="AF568" i="8"/>
  <c r="O412" i="8"/>
  <c r="X568" i="8"/>
  <c r="AH568" i="8"/>
  <c r="Q412" i="8"/>
  <c r="Z568" i="8"/>
  <c r="AJ568" i="8"/>
  <c r="C625" i="6"/>
  <c r="D781" i="6"/>
  <c r="L413" i="8"/>
  <c r="U569" i="8"/>
  <c r="AE569" i="8"/>
  <c r="N413" i="8"/>
  <c r="W569" i="8"/>
  <c r="AG569" i="8"/>
  <c r="P413" i="8"/>
  <c r="Y569" i="8"/>
  <c r="AI569" i="8"/>
  <c r="R413" i="8"/>
  <c r="AA569" i="8"/>
  <c r="AK569" i="8"/>
  <c r="C626" i="6"/>
  <c r="D782" i="6"/>
  <c r="C624" i="6"/>
  <c r="D780" i="6"/>
  <c r="L412" i="8"/>
  <c r="U568" i="8"/>
  <c r="AE568" i="8"/>
  <c r="N412" i="8"/>
  <c r="W568" i="8"/>
  <c r="AG568" i="8"/>
  <c r="P412" i="8"/>
  <c r="Y568" i="8"/>
  <c r="AI568" i="8"/>
  <c r="R412" i="8"/>
  <c r="AA568" i="8"/>
  <c r="AK568" i="8"/>
  <c r="L411" i="8"/>
  <c r="U567" i="8"/>
  <c r="AE567" i="8"/>
  <c r="N411" i="8"/>
  <c r="W567" i="8"/>
  <c r="AG567" i="8"/>
  <c r="P411" i="8"/>
  <c r="Y567" i="8"/>
  <c r="AI567" i="8"/>
  <c r="R411" i="8"/>
  <c r="AA567" i="8"/>
  <c r="AK567" i="8"/>
  <c r="K411" i="8"/>
  <c r="T567" i="8"/>
  <c r="AD567" i="8"/>
  <c r="M411" i="8"/>
  <c r="V567" i="8"/>
  <c r="AF567" i="8"/>
  <c r="O411" i="8"/>
  <c r="X567" i="8"/>
  <c r="AH567" i="8"/>
  <c r="Q411" i="8"/>
  <c r="Z567" i="8"/>
  <c r="AJ567" i="8"/>
  <c r="C623" i="6"/>
  <c r="D779" i="6"/>
  <c r="G623" i="6"/>
  <c r="N410" i="8"/>
  <c r="W566" i="8"/>
  <c r="AG566" i="8"/>
  <c r="R410" i="8"/>
  <c r="AA566" i="8"/>
  <c r="AK566" i="8"/>
  <c r="L410" i="8"/>
  <c r="U566" i="8"/>
  <c r="AE566" i="8"/>
  <c r="P410" i="8"/>
  <c r="Y566" i="8"/>
  <c r="AI566" i="8"/>
  <c r="K410" i="8"/>
  <c r="T566" i="8"/>
  <c r="AD566" i="8"/>
  <c r="M410" i="8"/>
  <c r="V566" i="8"/>
  <c r="AF566" i="8"/>
  <c r="O410" i="8"/>
  <c r="X566" i="8"/>
  <c r="AH566" i="8"/>
  <c r="Q410" i="8"/>
  <c r="Z566" i="8"/>
  <c r="AJ566" i="8"/>
  <c r="C622" i="6"/>
  <c r="D778" i="6"/>
  <c r="G622" i="6"/>
  <c r="C620" i="6"/>
  <c r="D776" i="6"/>
  <c r="L409" i="8"/>
  <c r="U565" i="8"/>
  <c r="AE565" i="8"/>
  <c r="N409" i="8"/>
  <c r="W565" i="8"/>
  <c r="AG565" i="8"/>
  <c r="P409" i="8"/>
  <c r="Y565" i="8"/>
  <c r="AI565" i="8"/>
  <c r="R409" i="8"/>
  <c r="AA565" i="8"/>
  <c r="AK565" i="8"/>
  <c r="K409" i="8"/>
  <c r="T565" i="8"/>
  <c r="AD565" i="8"/>
  <c r="M409" i="8"/>
  <c r="V565" i="8"/>
  <c r="AF565" i="8"/>
  <c r="O409" i="8"/>
  <c r="X565" i="8"/>
  <c r="AH565" i="8"/>
  <c r="Q409" i="8"/>
  <c r="Z565" i="8"/>
  <c r="AJ565" i="8"/>
  <c r="C621" i="6"/>
  <c r="D777" i="6"/>
  <c r="G621" i="6"/>
  <c r="L408" i="8"/>
  <c r="U564" i="8"/>
  <c r="AE564" i="8"/>
  <c r="N408" i="8"/>
  <c r="W564" i="8"/>
  <c r="AG564" i="8"/>
  <c r="P408" i="8"/>
  <c r="Y564" i="8"/>
  <c r="AI564" i="8"/>
  <c r="R408" i="8"/>
  <c r="AA564" i="8"/>
  <c r="AK564" i="8"/>
  <c r="K408" i="8"/>
  <c r="T564" i="8"/>
  <c r="AD564" i="8"/>
  <c r="M408" i="8"/>
  <c r="V564" i="8"/>
  <c r="AF564" i="8"/>
  <c r="O408" i="8"/>
  <c r="X564" i="8"/>
  <c r="AH564" i="8"/>
  <c r="Q408" i="8"/>
  <c r="Z564" i="8"/>
  <c r="AJ564" i="8"/>
  <c r="G620" i="6"/>
  <c r="L407" i="8"/>
  <c r="U563" i="8"/>
  <c r="AE563" i="8"/>
  <c r="N407" i="8"/>
  <c r="W563" i="8"/>
  <c r="AG563" i="8"/>
  <c r="P407" i="8"/>
  <c r="Y563" i="8"/>
  <c r="AI563" i="8"/>
  <c r="R407" i="8"/>
  <c r="AA563" i="8"/>
  <c r="AK563" i="8"/>
  <c r="K407" i="8"/>
  <c r="T563" i="8"/>
  <c r="AD563" i="8"/>
  <c r="M407" i="8"/>
  <c r="V563" i="8"/>
  <c r="AF563" i="8"/>
  <c r="O407" i="8"/>
  <c r="X563" i="8"/>
  <c r="AH563" i="8"/>
  <c r="Q407" i="8"/>
  <c r="Z563" i="8"/>
  <c r="AJ563" i="8"/>
  <c r="C619" i="6"/>
  <c r="D775" i="6"/>
  <c r="G619" i="6"/>
  <c r="G618" i="6"/>
  <c r="G617" i="6"/>
  <c r="I403" i="8"/>
  <c r="H403" i="8"/>
  <c r="G403" i="8"/>
  <c r="F403" i="8"/>
  <c r="E403" i="8"/>
  <c r="D403" i="8"/>
  <c r="C403" i="8"/>
  <c r="B403" i="8"/>
  <c r="B615" i="6"/>
  <c r="H667" i="6"/>
  <c r="I402" i="8"/>
  <c r="H402" i="8"/>
  <c r="AT454" i="8"/>
  <c r="G402" i="8"/>
  <c r="F402" i="8"/>
  <c r="AR454" i="8"/>
  <c r="E402" i="8"/>
  <c r="D402" i="8"/>
  <c r="AP454" i="8"/>
  <c r="C402" i="8"/>
  <c r="B402" i="8"/>
  <c r="AN454" i="8"/>
  <c r="B614" i="6"/>
  <c r="I401" i="8"/>
  <c r="AU453" i="8"/>
  <c r="H401" i="8"/>
  <c r="AT453" i="8"/>
  <c r="G401" i="8"/>
  <c r="AS453" i="8"/>
  <c r="F401" i="8"/>
  <c r="AR453" i="8"/>
  <c r="E401" i="8"/>
  <c r="AQ453" i="8"/>
  <c r="D401" i="8"/>
  <c r="AP453" i="8"/>
  <c r="C401" i="8"/>
  <c r="AO453" i="8"/>
  <c r="B401" i="8"/>
  <c r="AN453" i="8"/>
  <c r="B613" i="6"/>
  <c r="H665" i="6"/>
  <c r="I400" i="8"/>
  <c r="AU452" i="8"/>
  <c r="H400" i="8"/>
  <c r="AT452" i="8"/>
  <c r="G400" i="8"/>
  <c r="AS452" i="8"/>
  <c r="F400" i="8"/>
  <c r="AR452" i="8"/>
  <c r="E400" i="8"/>
  <c r="AQ452" i="8"/>
  <c r="D400" i="8"/>
  <c r="AP452" i="8"/>
  <c r="C400" i="8"/>
  <c r="AO452" i="8"/>
  <c r="B400" i="8"/>
  <c r="AN452" i="8"/>
  <c r="B612" i="6"/>
  <c r="I399" i="8"/>
  <c r="AU451" i="8"/>
  <c r="H399" i="8"/>
  <c r="AT451" i="8"/>
  <c r="G399" i="8"/>
  <c r="AS451" i="8"/>
  <c r="F399" i="8"/>
  <c r="AR451" i="8"/>
  <c r="E399" i="8"/>
  <c r="AQ451" i="8"/>
  <c r="D399" i="8"/>
  <c r="AP451" i="8"/>
  <c r="C399" i="8"/>
  <c r="AO451" i="8"/>
  <c r="B399" i="8"/>
  <c r="AN451" i="8"/>
  <c r="B611" i="6"/>
  <c r="H663" i="6"/>
  <c r="B398" i="8"/>
  <c r="AN450" i="8"/>
  <c r="C398" i="8"/>
  <c r="AO450" i="8"/>
  <c r="D398" i="8"/>
  <c r="AP450" i="8"/>
  <c r="E398" i="8"/>
  <c r="AQ450" i="8"/>
  <c r="F398" i="8"/>
  <c r="AR450" i="8"/>
  <c r="G398" i="8"/>
  <c r="AS450" i="8"/>
  <c r="H398" i="8"/>
  <c r="AT450" i="8"/>
  <c r="I398" i="8"/>
  <c r="AU450" i="8"/>
  <c r="B610" i="6"/>
  <c r="H662" i="6"/>
  <c r="I777" i="6"/>
  <c r="F777" i="6"/>
  <c r="AC565" i="8"/>
  <c r="F782" i="6"/>
  <c r="I782" i="6"/>
  <c r="AC570" i="8"/>
  <c r="F778" i="6"/>
  <c r="I778" i="6"/>
  <c r="AC566" i="8"/>
  <c r="F776" i="6"/>
  <c r="I776" i="6"/>
  <c r="AC564" i="8"/>
  <c r="F775" i="6"/>
  <c r="I775" i="6"/>
  <c r="AC563" i="8"/>
  <c r="F779" i="6"/>
  <c r="I779" i="6"/>
  <c r="AC567" i="8"/>
  <c r="F781" i="6"/>
  <c r="I781" i="6"/>
  <c r="AC569" i="8"/>
  <c r="F780" i="6"/>
  <c r="I780" i="6"/>
  <c r="AC568" i="8"/>
  <c r="AM463" i="8"/>
  <c r="AM450" i="8"/>
  <c r="AM451" i="8"/>
  <c r="C615" i="6"/>
  <c r="D771" i="6"/>
  <c r="H664" i="6"/>
  <c r="AM452" i="8"/>
  <c r="AM453" i="8"/>
  <c r="C617" i="6"/>
  <c r="D773" i="6"/>
  <c r="H666" i="6"/>
  <c r="AM454" i="8"/>
  <c r="L405" i="8"/>
  <c r="U561" i="8"/>
  <c r="AE561" i="8"/>
  <c r="AO454" i="8"/>
  <c r="N405" i="8"/>
  <c r="W561" i="8"/>
  <c r="AG561" i="8"/>
  <c r="AQ454" i="8"/>
  <c r="P405" i="8"/>
  <c r="Y561" i="8"/>
  <c r="AI561" i="8"/>
  <c r="AS454" i="8"/>
  <c r="R405" i="8"/>
  <c r="AA561" i="8"/>
  <c r="AK561" i="8"/>
  <c r="AU454" i="8"/>
  <c r="K406" i="8"/>
  <c r="T562" i="8"/>
  <c r="AD562" i="8"/>
  <c r="AN455" i="8"/>
  <c r="M406" i="8"/>
  <c r="V562" i="8"/>
  <c r="AF562" i="8"/>
  <c r="AP455" i="8"/>
  <c r="AM455" i="8"/>
  <c r="O406" i="8"/>
  <c r="X562" i="8"/>
  <c r="AH562" i="8"/>
  <c r="AR455" i="8"/>
  <c r="Q406" i="8"/>
  <c r="Z562" i="8"/>
  <c r="AJ562" i="8"/>
  <c r="AT455" i="8"/>
  <c r="L406" i="8"/>
  <c r="U562" i="8"/>
  <c r="AE562" i="8"/>
  <c r="AO455" i="8"/>
  <c r="N406" i="8"/>
  <c r="W562" i="8"/>
  <c r="AG562" i="8"/>
  <c r="AQ455" i="8"/>
  <c r="P406" i="8"/>
  <c r="Y562" i="8"/>
  <c r="AI562" i="8"/>
  <c r="AS455" i="8"/>
  <c r="R406" i="8"/>
  <c r="AA562" i="8"/>
  <c r="AK562" i="8"/>
  <c r="AU455" i="8"/>
  <c r="C616" i="6"/>
  <c r="D772" i="6"/>
  <c r="L404" i="8"/>
  <c r="U560" i="8"/>
  <c r="AE560" i="8"/>
  <c r="N404" i="8"/>
  <c r="W560" i="8"/>
  <c r="AG560" i="8"/>
  <c r="K405" i="8"/>
  <c r="T561" i="8"/>
  <c r="AD561" i="8"/>
  <c r="M405" i="8"/>
  <c r="V561" i="8"/>
  <c r="AF561" i="8"/>
  <c r="O405" i="8"/>
  <c r="X561" i="8"/>
  <c r="AH561" i="8"/>
  <c r="Q405" i="8"/>
  <c r="Z561" i="8"/>
  <c r="AJ561" i="8"/>
  <c r="G616" i="6"/>
  <c r="C618" i="6"/>
  <c r="D774" i="6"/>
  <c r="K404" i="8"/>
  <c r="T560" i="8"/>
  <c r="AD560" i="8"/>
  <c r="M404" i="8"/>
  <c r="V560" i="8"/>
  <c r="AF560" i="8"/>
  <c r="O404" i="8"/>
  <c r="X560" i="8"/>
  <c r="AH560" i="8"/>
  <c r="Q404" i="8"/>
  <c r="Z560" i="8"/>
  <c r="AJ560" i="8"/>
  <c r="P404" i="8"/>
  <c r="Y560" i="8"/>
  <c r="AI560" i="8"/>
  <c r="R404" i="8"/>
  <c r="AA560" i="8"/>
  <c r="AK560" i="8"/>
  <c r="C614" i="6"/>
  <c r="D770" i="6"/>
  <c r="G615" i="6"/>
  <c r="L403" i="8"/>
  <c r="U559" i="8"/>
  <c r="AE559" i="8"/>
  <c r="N403" i="8"/>
  <c r="W559" i="8"/>
  <c r="AG559" i="8"/>
  <c r="P403" i="8"/>
  <c r="Y559" i="8"/>
  <c r="AI559" i="8"/>
  <c r="R403" i="8"/>
  <c r="AA559" i="8"/>
  <c r="AK559" i="8"/>
  <c r="K403" i="8"/>
  <c r="T559" i="8"/>
  <c r="AD559" i="8"/>
  <c r="M403" i="8"/>
  <c r="V559" i="8"/>
  <c r="AF559" i="8"/>
  <c r="O403" i="8"/>
  <c r="X559" i="8"/>
  <c r="AH559" i="8"/>
  <c r="Q403" i="8"/>
  <c r="Z559" i="8"/>
  <c r="AJ559" i="8"/>
  <c r="N402" i="8"/>
  <c r="W558" i="8"/>
  <c r="AG558" i="8"/>
  <c r="P402" i="8"/>
  <c r="Y558" i="8"/>
  <c r="AI558" i="8"/>
  <c r="R402" i="8"/>
  <c r="AA558" i="8"/>
  <c r="AK558" i="8"/>
  <c r="L402" i="8"/>
  <c r="U558" i="8"/>
  <c r="AE558" i="8"/>
  <c r="K402" i="8"/>
  <c r="T558" i="8"/>
  <c r="AD558" i="8"/>
  <c r="M402" i="8"/>
  <c r="V558" i="8"/>
  <c r="AF558" i="8"/>
  <c r="O402" i="8"/>
  <c r="X558" i="8"/>
  <c r="AH558" i="8"/>
  <c r="Q402" i="8"/>
  <c r="Z558" i="8"/>
  <c r="AJ558" i="8"/>
  <c r="G614" i="6"/>
  <c r="L401" i="8"/>
  <c r="U557" i="8"/>
  <c r="AE557" i="8"/>
  <c r="N401" i="8"/>
  <c r="W557" i="8"/>
  <c r="AG557" i="8"/>
  <c r="P401" i="8"/>
  <c r="Y557" i="8"/>
  <c r="AI557" i="8"/>
  <c r="R401" i="8"/>
  <c r="AA557" i="8"/>
  <c r="AK557" i="8"/>
  <c r="K401" i="8"/>
  <c r="T557" i="8"/>
  <c r="AD557" i="8"/>
  <c r="M401" i="8"/>
  <c r="V557" i="8"/>
  <c r="AF557" i="8"/>
  <c r="O401" i="8"/>
  <c r="X557" i="8"/>
  <c r="AH557" i="8"/>
  <c r="Q401" i="8"/>
  <c r="Z557" i="8"/>
  <c r="AJ557" i="8"/>
  <c r="C613" i="6"/>
  <c r="D769" i="6"/>
  <c r="G613" i="6"/>
  <c r="G612" i="6"/>
  <c r="G611" i="6"/>
  <c r="I397" i="8"/>
  <c r="H397" i="8"/>
  <c r="G397" i="8"/>
  <c r="F397" i="8"/>
  <c r="E397" i="8"/>
  <c r="D397" i="8"/>
  <c r="C397" i="8"/>
  <c r="B397" i="8"/>
  <c r="B609" i="6"/>
  <c r="I396" i="8"/>
  <c r="AU448" i="8"/>
  <c r="H396" i="8"/>
  <c r="AT448" i="8"/>
  <c r="G396" i="8"/>
  <c r="AS448" i="8"/>
  <c r="F396" i="8"/>
  <c r="AR448" i="8"/>
  <c r="E396" i="8"/>
  <c r="AQ448" i="8"/>
  <c r="D396" i="8"/>
  <c r="AP448" i="8"/>
  <c r="C396" i="8"/>
  <c r="AO448" i="8"/>
  <c r="B396" i="8"/>
  <c r="AN448" i="8"/>
  <c r="B608" i="6"/>
  <c r="H660" i="6"/>
  <c r="I395" i="8"/>
  <c r="AU447" i="8"/>
  <c r="H395" i="8"/>
  <c r="AT447" i="8"/>
  <c r="G395" i="8"/>
  <c r="AS447" i="8"/>
  <c r="F395" i="8"/>
  <c r="AR447" i="8"/>
  <c r="E395" i="8"/>
  <c r="AQ447" i="8"/>
  <c r="D395" i="8"/>
  <c r="AP447" i="8"/>
  <c r="C395" i="8"/>
  <c r="AO447" i="8"/>
  <c r="B395" i="8"/>
  <c r="AN447" i="8"/>
  <c r="B607" i="6"/>
  <c r="H659" i="6"/>
  <c r="F773" i="6"/>
  <c r="I773" i="6"/>
  <c r="AC561" i="8"/>
  <c r="F774" i="6"/>
  <c r="I774" i="6"/>
  <c r="AC562" i="8"/>
  <c r="F770" i="6"/>
  <c r="I770" i="6"/>
  <c r="AC558" i="8"/>
  <c r="F769" i="6"/>
  <c r="I769" i="6"/>
  <c r="AC557" i="8"/>
  <c r="I771" i="6"/>
  <c r="AC559" i="8"/>
  <c r="F771" i="6"/>
  <c r="F772" i="6"/>
  <c r="I772" i="6"/>
  <c r="AC560" i="8"/>
  <c r="AM447" i="8"/>
  <c r="AM448" i="8"/>
  <c r="C612" i="6"/>
  <c r="D768" i="6"/>
  <c r="H661" i="6"/>
  <c r="L400" i="8"/>
  <c r="U556" i="8"/>
  <c r="AE556" i="8"/>
  <c r="AO449" i="8"/>
  <c r="N400" i="8"/>
  <c r="W556" i="8"/>
  <c r="AG556" i="8"/>
  <c r="AQ449" i="8"/>
  <c r="P400" i="8"/>
  <c r="Y556" i="8"/>
  <c r="AI556" i="8"/>
  <c r="AS449" i="8"/>
  <c r="R400" i="8"/>
  <c r="AA556" i="8"/>
  <c r="AK556" i="8"/>
  <c r="AU449" i="8"/>
  <c r="K400" i="8"/>
  <c r="T556" i="8"/>
  <c r="AD556" i="8"/>
  <c r="AN449" i="8"/>
  <c r="M400" i="8"/>
  <c r="V556" i="8"/>
  <c r="AF556" i="8"/>
  <c r="AP449" i="8"/>
  <c r="O400" i="8"/>
  <c r="X556" i="8"/>
  <c r="AH556" i="8"/>
  <c r="AR449" i="8"/>
  <c r="Q400" i="8"/>
  <c r="Z556" i="8"/>
  <c r="AJ556" i="8"/>
  <c r="AT449" i="8"/>
  <c r="C611" i="6"/>
  <c r="D767" i="6"/>
  <c r="K398" i="8"/>
  <c r="T554" i="8"/>
  <c r="AD554" i="8"/>
  <c r="M398" i="8"/>
  <c r="V554" i="8"/>
  <c r="AF554" i="8"/>
  <c r="O398" i="8"/>
  <c r="X554" i="8"/>
  <c r="AH554" i="8"/>
  <c r="Q398" i="8"/>
  <c r="Z554" i="8"/>
  <c r="AJ554" i="8"/>
  <c r="L399" i="8"/>
  <c r="U555" i="8"/>
  <c r="AE555" i="8"/>
  <c r="N399" i="8"/>
  <c r="W555" i="8"/>
  <c r="AG555" i="8"/>
  <c r="P399" i="8"/>
  <c r="Y555" i="8"/>
  <c r="AI555" i="8"/>
  <c r="R399" i="8"/>
  <c r="AA555" i="8"/>
  <c r="AK555" i="8"/>
  <c r="C610" i="6"/>
  <c r="D766" i="6"/>
  <c r="L398" i="8"/>
  <c r="U554" i="8"/>
  <c r="AE554" i="8"/>
  <c r="N398" i="8"/>
  <c r="W554" i="8"/>
  <c r="AG554" i="8"/>
  <c r="P398" i="8"/>
  <c r="Y554" i="8"/>
  <c r="AI554" i="8"/>
  <c r="R398" i="8"/>
  <c r="AA554" i="8"/>
  <c r="AK554" i="8"/>
  <c r="K399" i="8"/>
  <c r="T555" i="8"/>
  <c r="AD555" i="8"/>
  <c r="M399" i="8"/>
  <c r="V555" i="8"/>
  <c r="AF555" i="8"/>
  <c r="O399" i="8"/>
  <c r="X555" i="8"/>
  <c r="AH555" i="8"/>
  <c r="Q399" i="8"/>
  <c r="Z555" i="8"/>
  <c r="AJ555" i="8"/>
  <c r="G610" i="6"/>
  <c r="G609" i="6"/>
  <c r="G608" i="6"/>
  <c r="I394" i="8"/>
  <c r="H394" i="8"/>
  <c r="G394" i="8"/>
  <c r="F394" i="8"/>
  <c r="E394" i="8"/>
  <c r="D394" i="8"/>
  <c r="C394" i="8"/>
  <c r="B394" i="8"/>
  <c r="B606" i="6"/>
  <c r="I393" i="8"/>
  <c r="AU445" i="8"/>
  <c r="H393" i="8"/>
  <c r="AT445" i="8"/>
  <c r="G393" i="8"/>
  <c r="AS445" i="8"/>
  <c r="F393" i="8"/>
  <c r="AR445" i="8"/>
  <c r="E393" i="8"/>
  <c r="AQ445" i="8"/>
  <c r="D393" i="8"/>
  <c r="AP445" i="8"/>
  <c r="C393" i="8"/>
  <c r="AO445" i="8"/>
  <c r="B393" i="8"/>
  <c r="AN445" i="8"/>
  <c r="B605" i="6"/>
  <c r="H657" i="6"/>
  <c r="I392" i="8"/>
  <c r="AU444" i="8"/>
  <c r="H392" i="8"/>
  <c r="AT444" i="8"/>
  <c r="G392" i="8"/>
  <c r="AS444" i="8"/>
  <c r="F392" i="8"/>
  <c r="AR444" i="8"/>
  <c r="E392" i="8"/>
  <c r="AQ444" i="8"/>
  <c r="D392" i="8"/>
  <c r="AP444" i="8"/>
  <c r="C392" i="8"/>
  <c r="AO444" i="8"/>
  <c r="B392" i="8"/>
  <c r="AN444" i="8"/>
  <c r="B604" i="6"/>
  <c r="H656" i="6"/>
  <c r="I391" i="8"/>
  <c r="AU443" i="8"/>
  <c r="H391" i="8"/>
  <c r="AT443" i="8"/>
  <c r="G391" i="8"/>
  <c r="AS443" i="8"/>
  <c r="F391" i="8"/>
  <c r="AR443" i="8"/>
  <c r="E391" i="8"/>
  <c r="AQ443" i="8"/>
  <c r="D391" i="8"/>
  <c r="AP443" i="8"/>
  <c r="C391" i="8"/>
  <c r="AO443" i="8"/>
  <c r="B391" i="8"/>
  <c r="AN443" i="8"/>
  <c r="B603" i="6"/>
  <c r="H655" i="6"/>
  <c r="I390" i="8"/>
  <c r="AU442" i="8"/>
  <c r="H390" i="8"/>
  <c r="AT442" i="8"/>
  <c r="G390" i="8"/>
  <c r="AS442" i="8"/>
  <c r="F390" i="8"/>
  <c r="AR442" i="8"/>
  <c r="E390" i="8"/>
  <c r="AQ442" i="8"/>
  <c r="D390" i="8"/>
  <c r="AP442" i="8"/>
  <c r="C390" i="8"/>
  <c r="AO442" i="8"/>
  <c r="B390" i="8"/>
  <c r="AN442" i="8"/>
  <c r="B602" i="6"/>
  <c r="H654" i="6"/>
  <c r="I389" i="8"/>
  <c r="AU441" i="8"/>
  <c r="H389" i="8"/>
  <c r="AT441" i="8"/>
  <c r="G389" i="8"/>
  <c r="AS441" i="8"/>
  <c r="F389" i="8"/>
  <c r="AR441" i="8"/>
  <c r="E389" i="8"/>
  <c r="AQ441" i="8"/>
  <c r="D389" i="8"/>
  <c r="AP441" i="8"/>
  <c r="C389" i="8"/>
  <c r="AO441" i="8"/>
  <c r="B389" i="8"/>
  <c r="B601" i="6"/>
  <c r="H653" i="6"/>
  <c r="I388" i="8"/>
  <c r="AU440" i="8"/>
  <c r="H388" i="8"/>
  <c r="AT440" i="8"/>
  <c r="G388" i="8"/>
  <c r="AS440" i="8"/>
  <c r="F388" i="8"/>
  <c r="AR440" i="8"/>
  <c r="E388" i="8"/>
  <c r="AQ440" i="8"/>
  <c r="D388" i="8"/>
  <c r="AP440" i="8"/>
  <c r="C388" i="8"/>
  <c r="AO440" i="8"/>
  <c r="B388" i="8"/>
  <c r="B600" i="6"/>
  <c r="H652" i="6"/>
  <c r="I387" i="8"/>
  <c r="AU439" i="8"/>
  <c r="H387" i="8"/>
  <c r="AT439" i="8"/>
  <c r="G387" i="8"/>
  <c r="AS439" i="8"/>
  <c r="F387" i="8"/>
  <c r="AR439" i="8"/>
  <c r="E387" i="8"/>
  <c r="AQ439" i="8"/>
  <c r="D387" i="8"/>
  <c r="AP439" i="8"/>
  <c r="C387" i="8"/>
  <c r="AO439" i="8"/>
  <c r="B387" i="8"/>
  <c r="B599" i="6"/>
  <c r="H651" i="6"/>
  <c r="G23" i="5"/>
  <c r="I386" i="8"/>
  <c r="AU438" i="8"/>
  <c r="H386" i="8"/>
  <c r="AT438" i="8"/>
  <c r="G386" i="8"/>
  <c r="AS438" i="8"/>
  <c r="F386" i="8"/>
  <c r="AR438" i="8"/>
  <c r="E386" i="8"/>
  <c r="AQ438" i="8"/>
  <c r="D386" i="8"/>
  <c r="AP438" i="8"/>
  <c r="C386" i="8"/>
  <c r="AO438" i="8"/>
  <c r="B386" i="8"/>
  <c r="B598" i="6"/>
  <c r="H650" i="6"/>
  <c r="I385" i="8"/>
  <c r="AU437" i="8"/>
  <c r="H385" i="8"/>
  <c r="AT437" i="8"/>
  <c r="G385" i="8"/>
  <c r="AS437" i="8"/>
  <c r="F385" i="8"/>
  <c r="AR437" i="8"/>
  <c r="E385" i="8"/>
  <c r="AQ437" i="8"/>
  <c r="D385" i="8"/>
  <c r="AP437" i="8"/>
  <c r="C385" i="8"/>
  <c r="AO437" i="8"/>
  <c r="B385" i="8"/>
  <c r="B597" i="6"/>
  <c r="H649" i="6"/>
  <c r="I384" i="8"/>
  <c r="AU436" i="8"/>
  <c r="H384" i="8"/>
  <c r="AT436" i="8"/>
  <c r="G384" i="8"/>
  <c r="AS436" i="8"/>
  <c r="F384" i="8"/>
  <c r="AR436" i="8"/>
  <c r="E384" i="8"/>
  <c r="AQ436" i="8"/>
  <c r="D384" i="8"/>
  <c r="AP436" i="8"/>
  <c r="C384" i="8"/>
  <c r="B384" i="8"/>
  <c r="B596" i="6"/>
  <c r="H648" i="6"/>
  <c r="I383" i="8"/>
  <c r="AU435" i="8"/>
  <c r="H383" i="8"/>
  <c r="AT435" i="8"/>
  <c r="G383" i="8"/>
  <c r="AS435" i="8"/>
  <c r="F383" i="8"/>
  <c r="AR435" i="8"/>
  <c r="E383" i="8"/>
  <c r="AQ435" i="8"/>
  <c r="D383" i="8"/>
  <c r="AP435" i="8"/>
  <c r="C383" i="8"/>
  <c r="B383" i="8"/>
  <c r="B595" i="6"/>
  <c r="H647" i="6"/>
  <c r="I382" i="8"/>
  <c r="AU434" i="8"/>
  <c r="H382" i="8"/>
  <c r="AT434" i="8"/>
  <c r="G382" i="8"/>
  <c r="AS434" i="8"/>
  <c r="F382" i="8"/>
  <c r="AR434" i="8"/>
  <c r="E382" i="8"/>
  <c r="AQ434" i="8"/>
  <c r="D382" i="8"/>
  <c r="AP434" i="8"/>
  <c r="C382" i="8"/>
  <c r="B382" i="8"/>
  <c r="B594" i="6"/>
  <c r="H646" i="6"/>
  <c r="I381" i="8"/>
  <c r="AU433" i="8"/>
  <c r="H381" i="8"/>
  <c r="AT433" i="8"/>
  <c r="G381" i="8"/>
  <c r="AS433" i="8"/>
  <c r="F381" i="8"/>
  <c r="AR433" i="8"/>
  <c r="E381" i="8"/>
  <c r="AQ433" i="8"/>
  <c r="D381" i="8"/>
  <c r="AP433" i="8"/>
  <c r="C381" i="8"/>
  <c r="B381" i="8"/>
  <c r="B593" i="6"/>
  <c r="H645" i="6"/>
  <c r="I380" i="8"/>
  <c r="AU432" i="8"/>
  <c r="H380" i="8"/>
  <c r="AT432" i="8"/>
  <c r="G380" i="8"/>
  <c r="AS432" i="8"/>
  <c r="F380" i="8"/>
  <c r="AR432" i="8"/>
  <c r="E380" i="8"/>
  <c r="AQ432" i="8"/>
  <c r="D380" i="8"/>
  <c r="AP432" i="8"/>
  <c r="C380" i="8"/>
  <c r="B380" i="8"/>
  <c r="B592" i="6"/>
  <c r="H644" i="6"/>
  <c r="I379" i="8"/>
  <c r="AU431" i="8"/>
  <c r="H379" i="8"/>
  <c r="AT431" i="8"/>
  <c r="G379" i="8"/>
  <c r="AS431" i="8"/>
  <c r="F379" i="8"/>
  <c r="AR431" i="8"/>
  <c r="E379" i="8"/>
  <c r="AQ431" i="8"/>
  <c r="D379" i="8"/>
  <c r="AP431" i="8"/>
  <c r="C379" i="8"/>
  <c r="B379" i="8"/>
  <c r="B591" i="6"/>
  <c r="H643" i="6"/>
  <c r="I378" i="8"/>
  <c r="AU430" i="8"/>
  <c r="H378" i="8"/>
  <c r="AT430" i="8"/>
  <c r="G378" i="8"/>
  <c r="AS430" i="8"/>
  <c r="F378" i="8"/>
  <c r="AR430" i="8"/>
  <c r="E378" i="8"/>
  <c r="AQ430" i="8"/>
  <c r="D378" i="8"/>
  <c r="AP430" i="8"/>
  <c r="C378" i="8"/>
  <c r="B378" i="8"/>
  <c r="B590" i="6"/>
  <c r="H642" i="6"/>
  <c r="B589" i="6"/>
  <c r="H641" i="6"/>
  <c r="I377" i="8"/>
  <c r="AU429" i="8"/>
  <c r="H377" i="8"/>
  <c r="AT429" i="8"/>
  <c r="G377" i="8"/>
  <c r="AS429" i="8"/>
  <c r="F377" i="8"/>
  <c r="AR429" i="8"/>
  <c r="E377" i="8"/>
  <c r="AQ429" i="8"/>
  <c r="D377" i="8"/>
  <c r="AP429" i="8"/>
  <c r="C377" i="8"/>
  <c r="B377" i="8"/>
  <c r="I376" i="8"/>
  <c r="AU428" i="8"/>
  <c r="H376" i="8"/>
  <c r="AT428" i="8"/>
  <c r="G376" i="8"/>
  <c r="AS428" i="8"/>
  <c r="F376" i="8"/>
  <c r="AR428" i="8"/>
  <c r="E376" i="8"/>
  <c r="AQ428" i="8"/>
  <c r="D376" i="8"/>
  <c r="AP428" i="8"/>
  <c r="C376" i="8"/>
  <c r="B376" i="8"/>
  <c r="B588" i="6"/>
  <c r="H640" i="6"/>
  <c r="I375" i="8"/>
  <c r="AU427" i="8"/>
  <c r="H375" i="8"/>
  <c r="AT427" i="8"/>
  <c r="G375" i="8"/>
  <c r="AS427" i="8"/>
  <c r="F375" i="8"/>
  <c r="AR427" i="8"/>
  <c r="E375" i="8"/>
  <c r="AQ427" i="8"/>
  <c r="D375" i="8"/>
  <c r="AP427" i="8"/>
  <c r="C375" i="8"/>
  <c r="B375" i="8"/>
  <c r="B587" i="6"/>
  <c r="H639" i="6"/>
  <c r="I374" i="8"/>
  <c r="AU426" i="8"/>
  <c r="H374" i="8"/>
  <c r="AT426" i="8"/>
  <c r="G374" i="8"/>
  <c r="AS426" i="8"/>
  <c r="F374" i="8"/>
  <c r="AR426" i="8"/>
  <c r="E374" i="8"/>
  <c r="AQ426" i="8"/>
  <c r="D374" i="8"/>
  <c r="AP426" i="8"/>
  <c r="C374" i="8"/>
  <c r="B374" i="8"/>
  <c r="B586" i="6"/>
  <c r="H638" i="6"/>
  <c r="I373" i="8"/>
  <c r="AU425" i="8"/>
  <c r="H373" i="8"/>
  <c r="AT425" i="8"/>
  <c r="G373" i="8"/>
  <c r="AS425" i="8"/>
  <c r="F373" i="8"/>
  <c r="AR425" i="8"/>
  <c r="E373" i="8"/>
  <c r="AQ425" i="8"/>
  <c r="D373" i="8"/>
  <c r="AP425" i="8"/>
  <c r="C373" i="8"/>
  <c r="B373" i="8"/>
  <c r="B585" i="6"/>
  <c r="H637" i="6"/>
  <c r="I372" i="8"/>
  <c r="AU424" i="8"/>
  <c r="H372" i="8"/>
  <c r="AT424" i="8"/>
  <c r="G372" i="8"/>
  <c r="AS424" i="8"/>
  <c r="F372" i="8"/>
  <c r="AR424" i="8"/>
  <c r="E372" i="8"/>
  <c r="AQ424" i="8"/>
  <c r="D372" i="8"/>
  <c r="AP424" i="8"/>
  <c r="C372" i="8"/>
  <c r="B372" i="8"/>
  <c r="B584" i="6"/>
  <c r="H636" i="6"/>
  <c r="I371" i="8"/>
  <c r="AU423" i="8"/>
  <c r="H371" i="8"/>
  <c r="AT423" i="8"/>
  <c r="G371" i="8"/>
  <c r="AS423" i="8"/>
  <c r="F371" i="8"/>
  <c r="AR423" i="8"/>
  <c r="E371" i="8"/>
  <c r="AQ423" i="8"/>
  <c r="D371" i="8"/>
  <c r="AP423" i="8"/>
  <c r="C371" i="8"/>
  <c r="B371" i="8"/>
  <c r="B583" i="6"/>
  <c r="H635" i="6"/>
  <c r="B582" i="6"/>
  <c r="H634" i="6"/>
  <c r="I370" i="8"/>
  <c r="AU422" i="8"/>
  <c r="H370" i="8"/>
  <c r="AT422" i="8"/>
  <c r="G370" i="8"/>
  <c r="AS422" i="8"/>
  <c r="F370" i="8"/>
  <c r="AR422" i="8"/>
  <c r="E370" i="8"/>
  <c r="AQ422" i="8"/>
  <c r="D370" i="8"/>
  <c r="AP422" i="8"/>
  <c r="C370" i="8"/>
  <c r="B370" i="8"/>
  <c r="I369" i="8"/>
  <c r="AU421" i="8"/>
  <c r="H369" i="8"/>
  <c r="AT421" i="8"/>
  <c r="G369" i="8"/>
  <c r="AS421" i="8"/>
  <c r="F369" i="8"/>
  <c r="AR421" i="8"/>
  <c r="E369" i="8"/>
  <c r="AQ421" i="8"/>
  <c r="D369" i="8"/>
  <c r="AP421" i="8"/>
  <c r="C369" i="8"/>
  <c r="B369" i="8"/>
  <c r="B581" i="6"/>
  <c r="H633" i="6"/>
  <c r="I368" i="8"/>
  <c r="AU420" i="8"/>
  <c r="H368" i="8"/>
  <c r="AT420" i="8"/>
  <c r="G368" i="8"/>
  <c r="AS420" i="8"/>
  <c r="F368" i="8"/>
  <c r="AR420" i="8"/>
  <c r="E368" i="8"/>
  <c r="AQ420" i="8"/>
  <c r="D368" i="8"/>
  <c r="AP420" i="8"/>
  <c r="C368" i="8"/>
  <c r="B368" i="8"/>
  <c r="B580" i="6"/>
  <c r="H632" i="6"/>
  <c r="I367" i="8"/>
  <c r="AU419" i="8"/>
  <c r="H367" i="8"/>
  <c r="AT419" i="8"/>
  <c r="G367" i="8"/>
  <c r="AS419" i="8"/>
  <c r="F367" i="8"/>
  <c r="AR419" i="8"/>
  <c r="E367" i="8"/>
  <c r="AQ419" i="8"/>
  <c r="D367" i="8"/>
  <c r="AP419" i="8"/>
  <c r="C367" i="8"/>
  <c r="AO419" i="8"/>
  <c r="B367" i="8"/>
  <c r="B579" i="6"/>
  <c r="H631" i="6"/>
  <c r="I366" i="8"/>
  <c r="AU418" i="8"/>
  <c r="H366" i="8"/>
  <c r="AT418" i="8"/>
  <c r="G366" i="8"/>
  <c r="AS418" i="8"/>
  <c r="F366" i="8"/>
  <c r="AR418" i="8"/>
  <c r="E366" i="8"/>
  <c r="AQ418" i="8"/>
  <c r="D366" i="8"/>
  <c r="AP418" i="8"/>
  <c r="C366" i="8"/>
  <c r="AO418" i="8"/>
  <c r="B366" i="8"/>
  <c r="B578" i="6"/>
  <c r="H630" i="6"/>
  <c r="I365" i="8"/>
  <c r="AU417" i="8"/>
  <c r="H365" i="8"/>
  <c r="AT417" i="8"/>
  <c r="G365" i="8"/>
  <c r="AS417" i="8"/>
  <c r="F365" i="8"/>
  <c r="AR417" i="8"/>
  <c r="E365" i="8"/>
  <c r="AQ417" i="8"/>
  <c r="D365" i="8"/>
  <c r="AP417" i="8"/>
  <c r="C365" i="8"/>
  <c r="AO417" i="8"/>
  <c r="B365" i="8"/>
  <c r="AN417" i="8"/>
  <c r="B577" i="6"/>
  <c r="H629" i="6"/>
  <c r="I364" i="8"/>
  <c r="AU416" i="8"/>
  <c r="H364" i="8"/>
  <c r="AT416" i="8"/>
  <c r="G364" i="8"/>
  <c r="AS416" i="8"/>
  <c r="F364" i="8"/>
  <c r="AR416" i="8"/>
  <c r="E364" i="8"/>
  <c r="AQ416" i="8"/>
  <c r="D364" i="8"/>
  <c r="AP416" i="8"/>
  <c r="C364" i="8"/>
  <c r="AO416" i="8"/>
  <c r="B364" i="8"/>
  <c r="AN416" i="8"/>
  <c r="B576" i="6"/>
  <c r="H628" i="6"/>
  <c r="I363" i="8"/>
  <c r="AU415" i="8"/>
  <c r="H363" i="8"/>
  <c r="AT415" i="8"/>
  <c r="G363" i="8"/>
  <c r="AS415" i="8"/>
  <c r="F363" i="8"/>
  <c r="AR415" i="8"/>
  <c r="E363" i="8"/>
  <c r="AQ415" i="8"/>
  <c r="D363" i="8"/>
  <c r="AP415" i="8"/>
  <c r="C363" i="8"/>
  <c r="AO415" i="8"/>
  <c r="B363" i="8"/>
  <c r="AN415" i="8"/>
  <c r="B575" i="6"/>
  <c r="H627" i="6"/>
  <c r="F768" i="6"/>
  <c r="I768" i="6"/>
  <c r="AC556" i="8"/>
  <c r="AM449" i="8"/>
  <c r="F766" i="6"/>
  <c r="I766" i="6"/>
  <c r="AC554" i="8"/>
  <c r="F767" i="6"/>
  <c r="I767" i="6"/>
  <c r="AC555" i="8"/>
  <c r="AM436" i="8"/>
  <c r="AM438" i="8"/>
  <c r="AM440" i="8"/>
  <c r="AM441" i="8"/>
  <c r="AM443" i="8"/>
  <c r="K397" i="8"/>
  <c r="T553" i="8"/>
  <c r="AD553" i="8"/>
  <c r="AN446" i="8"/>
  <c r="M397" i="8"/>
  <c r="V553" i="8"/>
  <c r="AF553" i="8"/>
  <c r="AP446" i="8"/>
  <c r="O397" i="8"/>
  <c r="X553" i="8"/>
  <c r="AH553" i="8"/>
  <c r="AR446" i="8"/>
  <c r="Q397" i="8"/>
  <c r="Z553" i="8"/>
  <c r="AJ553" i="8"/>
  <c r="AT446" i="8"/>
  <c r="AM424" i="8"/>
  <c r="AM426" i="8"/>
  <c r="AM428" i="8"/>
  <c r="AM430" i="8"/>
  <c r="AM432" i="8"/>
  <c r="AM434" i="8"/>
  <c r="AM437" i="8"/>
  <c r="AM439" i="8"/>
  <c r="AM442" i="8"/>
  <c r="AM444" i="8"/>
  <c r="AM445" i="8"/>
  <c r="G607" i="6"/>
  <c r="H658" i="6"/>
  <c r="L397" i="8"/>
  <c r="U553" i="8"/>
  <c r="AE553" i="8"/>
  <c r="AO446" i="8"/>
  <c r="N397" i="8"/>
  <c r="W553" i="8"/>
  <c r="AG553" i="8"/>
  <c r="AQ446" i="8"/>
  <c r="P397" i="8"/>
  <c r="Y553" i="8"/>
  <c r="AI553" i="8"/>
  <c r="AS446" i="8"/>
  <c r="R397" i="8"/>
  <c r="AA553" i="8"/>
  <c r="AK553" i="8"/>
  <c r="AU446" i="8"/>
  <c r="AM423" i="8"/>
  <c r="AM425" i="8"/>
  <c r="AM427" i="8"/>
  <c r="AM429" i="8"/>
  <c r="AM431" i="8"/>
  <c r="AM433" i="8"/>
  <c r="AM435" i="8"/>
  <c r="AM419" i="8"/>
  <c r="AM421" i="8"/>
  <c r="AM420" i="8"/>
  <c r="AM422" i="8"/>
  <c r="AM418" i="8"/>
  <c r="AM417" i="8"/>
  <c r="AM416" i="8"/>
  <c r="AM415" i="8"/>
  <c r="L396" i="8"/>
  <c r="U552" i="8"/>
  <c r="AE552" i="8"/>
  <c r="N396" i="8"/>
  <c r="W552" i="8"/>
  <c r="AG552" i="8"/>
  <c r="P396" i="8"/>
  <c r="Y552" i="8"/>
  <c r="AI552" i="8"/>
  <c r="R396" i="8"/>
  <c r="AA552" i="8"/>
  <c r="AK552" i="8"/>
  <c r="C608" i="6"/>
  <c r="D764" i="6"/>
  <c r="M396" i="8"/>
  <c r="V552" i="8"/>
  <c r="AF552" i="8"/>
  <c r="Q396" i="8"/>
  <c r="Z552" i="8"/>
  <c r="AJ552" i="8"/>
  <c r="C609" i="6"/>
  <c r="D765" i="6"/>
  <c r="K396" i="8"/>
  <c r="T552" i="8"/>
  <c r="AD552" i="8"/>
  <c r="O396" i="8"/>
  <c r="X552" i="8"/>
  <c r="AH552" i="8"/>
  <c r="C607" i="6"/>
  <c r="D763" i="6"/>
  <c r="L395" i="8"/>
  <c r="U551" i="8"/>
  <c r="AE551" i="8"/>
  <c r="N395" i="8"/>
  <c r="W551" i="8"/>
  <c r="AG551" i="8"/>
  <c r="P395" i="8"/>
  <c r="Y551" i="8"/>
  <c r="AI551" i="8"/>
  <c r="R395" i="8"/>
  <c r="AA551" i="8"/>
  <c r="AK551" i="8"/>
  <c r="C606" i="6"/>
  <c r="D762" i="6"/>
  <c r="K395" i="8"/>
  <c r="T551" i="8"/>
  <c r="AD551" i="8"/>
  <c r="M395" i="8"/>
  <c r="V551" i="8"/>
  <c r="AF551" i="8"/>
  <c r="O395" i="8"/>
  <c r="X551" i="8"/>
  <c r="AH551" i="8"/>
  <c r="Q395" i="8"/>
  <c r="Z551" i="8"/>
  <c r="AJ551" i="8"/>
  <c r="L394" i="8"/>
  <c r="U550" i="8"/>
  <c r="AE550" i="8"/>
  <c r="N394" i="8"/>
  <c r="W550" i="8"/>
  <c r="AG550" i="8"/>
  <c r="P394" i="8"/>
  <c r="Y550" i="8"/>
  <c r="AI550" i="8"/>
  <c r="R394" i="8"/>
  <c r="AA550" i="8"/>
  <c r="AK550" i="8"/>
  <c r="K394" i="8"/>
  <c r="T550" i="8"/>
  <c r="AD550" i="8"/>
  <c r="M394" i="8"/>
  <c r="V550" i="8"/>
  <c r="AF550" i="8"/>
  <c r="O394" i="8"/>
  <c r="X550" i="8"/>
  <c r="AH550" i="8"/>
  <c r="Q394" i="8"/>
  <c r="Z550" i="8"/>
  <c r="AJ550" i="8"/>
  <c r="G606" i="6"/>
  <c r="L393" i="8"/>
  <c r="U549" i="8"/>
  <c r="AE549" i="8"/>
  <c r="N393" i="8"/>
  <c r="W549" i="8"/>
  <c r="AG549" i="8"/>
  <c r="P393" i="8"/>
  <c r="Y549" i="8"/>
  <c r="AI549" i="8"/>
  <c r="R393" i="8"/>
  <c r="AA549" i="8"/>
  <c r="AK549" i="8"/>
  <c r="K393" i="8"/>
  <c r="T549" i="8"/>
  <c r="AD549" i="8"/>
  <c r="M393" i="8"/>
  <c r="V549" i="8"/>
  <c r="AF549" i="8"/>
  <c r="O393" i="8"/>
  <c r="X549" i="8"/>
  <c r="AH549" i="8"/>
  <c r="Q393" i="8"/>
  <c r="Z549" i="8"/>
  <c r="AJ549" i="8"/>
  <c r="C605" i="6"/>
  <c r="D761" i="6"/>
  <c r="G605" i="6"/>
  <c r="L392" i="8"/>
  <c r="U548" i="8"/>
  <c r="AE548" i="8"/>
  <c r="N392" i="8"/>
  <c r="W548" i="8"/>
  <c r="AG548" i="8"/>
  <c r="P392" i="8"/>
  <c r="Y548" i="8"/>
  <c r="AI548" i="8"/>
  <c r="R392" i="8"/>
  <c r="AA548" i="8"/>
  <c r="AK548" i="8"/>
  <c r="K392" i="8"/>
  <c r="T548" i="8"/>
  <c r="AD548" i="8"/>
  <c r="M392" i="8"/>
  <c r="V548" i="8"/>
  <c r="AF548" i="8"/>
  <c r="O392" i="8"/>
  <c r="X548" i="8"/>
  <c r="AH548" i="8"/>
  <c r="Q392" i="8"/>
  <c r="Z548" i="8"/>
  <c r="AJ548" i="8"/>
  <c r="C604" i="6"/>
  <c r="D760" i="6"/>
  <c r="G604" i="6"/>
  <c r="L391" i="8"/>
  <c r="U547" i="8"/>
  <c r="AE547" i="8"/>
  <c r="N391" i="8"/>
  <c r="W547" i="8"/>
  <c r="AG547" i="8"/>
  <c r="P391" i="8"/>
  <c r="Y547" i="8"/>
  <c r="AI547" i="8"/>
  <c r="R391" i="8"/>
  <c r="AA547" i="8"/>
  <c r="AK547" i="8"/>
  <c r="K391" i="8"/>
  <c r="T547" i="8"/>
  <c r="AD547" i="8"/>
  <c r="M391" i="8"/>
  <c r="V547" i="8"/>
  <c r="AF547" i="8"/>
  <c r="O391" i="8"/>
  <c r="X547" i="8"/>
  <c r="AH547" i="8"/>
  <c r="Q391" i="8"/>
  <c r="Z547" i="8"/>
  <c r="AJ547" i="8"/>
  <c r="C603" i="6"/>
  <c r="D759" i="6"/>
  <c r="G603" i="6"/>
  <c r="L390" i="8"/>
  <c r="U546" i="8"/>
  <c r="AE546" i="8"/>
  <c r="N390" i="8"/>
  <c r="W546" i="8"/>
  <c r="AG546" i="8"/>
  <c r="P390" i="8"/>
  <c r="Y546" i="8"/>
  <c r="AI546" i="8"/>
  <c r="R390" i="8"/>
  <c r="AA546" i="8"/>
  <c r="AK546" i="8"/>
  <c r="K390" i="8"/>
  <c r="T546" i="8"/>
  <c r="AD546" i="8"/>
  <c r="M390" i="8"/>
  <c r="V546" i="8"/>
  <c r="AF546" i="8"/>
  <c r="O390" i="8"/>
  <c r="X546" i="8"/>
  <c r="AH546" i="8"/>
  <c r="Q390" i="8"/>
  <c r="Z546" i="8"/>
  <c r="AJ546" i="8"/>
  <c r="C602" i="6"/>
  <c r="D758" i="6"/>
  <c r="G602" i="6"/>
  <c r="L389" i="8"/>
  <c r="U545" i="8"/>
  <c r="AE545" i="8"/>
  <c r="N389" i="8"/>
  <c r="W545" i="8"/>
  <c r="AG545" i="8"/>
  <c r="P389" i="8"/>
  <c r="Y545" i="8"/>
  <c r="AI545" i="8"/>
  <c r="R389" i="8"/>
  <c r="AA545" i="8"/>
  <c r="AK545" i="8"/>
  <c r="K389" i="8"/>
  <c r="T545" i="8"/>
  <c r="AD545" i="8"/>
  <c r="M389" i="8"/>
  <c r="V545" i="8"/>
  <c r="AF545" i="8"/>
  <c r="O389" i="8"/>
  <c r="X545" i="8"/>
  <c r="AH545" i="8"/>
  <c r="Q389" i="8"/>
  <c r="Z545" i="8"/>
  <c r="AJ545" i="8"/>
  <c r="G601" i="6"/>
  <c r="C601" i="6"/>
  <c r="D757" i="6"/>
  <c r="L388" i="8"/>
  <c r="U544" i="8"/>
  <c r="AE544" i="8"/>
  <c r="N388" i="8"/>
  <c r="W544" i="8"/>
  <c r="AG544" i="8"/>
  <c r="P388" i="8"/>
  <c r="Y544" i="8"/>
  <c r="AI544" i="8"/>
  <c r="R388" i="8"/>
  <c r="AA544" i="8"/>
  <c r="AK544" i="8"/>
  <c r="M388" i="8"/>
  <c r="V544" i="8"/>
  <c r="AF544" i="8"/>
  <c r="O388" i="8"/>
  <c r="X544" i="8"/>
  <c r="AH544" i="8"/>
  <c r="Q388" i="8"/>
  <c r="Z544" i="8"/>
  <c r="AJ544" i="8"/>
  <c r="C600" i="6"/>
  <c r="D756" i="6"/>
  <c r="G600" i="6"/>
  <c r="L387" i="8"/>
  <c r="U543" i="8"/>
  <c r="AE543" i="8"/>
  <c r="N387" i="8"/>
  <c r="W543" i="8"/>
  <c r="AG543" i="8"/>
  <c r="P387" i="8"/>
  <c r="Y543" i="8"/>
  <c r="AI543" i="8"/>
  <c r="R387" i="8"/>
  <c r="AA543" i="8"/>
  <c r="AK543" i="8"/>
  <c r="M387" i="8"/>
  <c r="V543" i="8"/>
  <c r="AF543" i="8"/>
  <c r="O387" i="8"/>
  <c r="X543" i="8"/>
  <c r="AH543" i="8"/>
  <c r="Q387" i="8"/>
  <c r="Z543" i="8"/>
  <c r="AJ543" i="8"/>
  <c r="C599" i="6"/>
  <c r="D755" i="6"/>
  <c r="G599" i="6"/>
  <c r="L386" i="8"/>
  <c r="U542" i="8"/>
  <c r="AE542" i="8"/>
  <c r="N386" i="8"/>
  <c r="W542" i="8"/>
  <c r="AG542" i="8"/>
  <c r="P386" i="8"/>
  <c r="Y542" i="8"/>
  <c r="AI542" i="8"/>
  <c r="R386" i="8"/>
  <c r="AA542" i="8"/>
  <c r="AK542" i="8"/>
  <c r="M386" i="8"/>
  <c r="V542" i="8"/>
  <c r="AF542" i="8"/>
  <c r="O386" i="8"/>
  <c r="X542" i="8"/>
  <c r="AH542" i="8"/>
  <c r="Q386" i="8"/>
  <c r="Z542" i="8"/>
  <c r="AJ542" i="8"/>
  <c r="C598" i="6"/>
  <c r="D754" i="6"/>
  <c r="G598" i="6"/>
  <c r="C597" i="6"/>
  <c r="D753" i="6"/>
  <c r="G597" i="6"/>
  <c r="L385" i="8"/>
  <c r="U541" i="8"/>
  <c r="AE541" i="8"/>
  <c r="N385" i="8"/>
  <c r="W541" i="8"/>
  <c r="AG541" i="8"/>
  <c r="P385" i="8"/>
  <c r="Y541" i="8"/>
  <c r="AI541" i="8"/>
  <c r="R385" i="8"/>
  <c r="AA541" i="8"/>
  <c r="AK541" i="8"/>
  <c r="M385" i="8"/>
  <c r="V541" i="8"/>
  <c r="AF541" i="8"/>
  <c r="O385" i="8"/>
  <c r="X541" i="8"/>
  <c r="AH541" i="8"/>
  <c r="Q385" i="8"/>
  <c r="Z541" i="8"/>
  <c r="AJ541" i="8"/>
  <c r="N384" i="8"/>
  <c r="W540" i="8"/>
  <c r="AG540" i="8"/>
  <c r="P384" i="8"/>
  <c r="Y540" i="8"/>
  <c r="AI540" i="8"/>
  <c r="R384" i="8"/>
  <c r="AA540" i="8"/>
  <c r="AK540" i="8"/>
  <c r="M384" i="8"/>
  <c r="V540" i="8"/>
  <c r="AF540" i="8"/>
  <c r="O384" i="8"/>
  <c r="X540" i="8"/>
  <c r="AH540" i="8"/>
  <c r="Q384" i="8"/>
  <c r="Z540" i="8"/>
  <c r="AJ540" i="8"/>
  <c r="C596" i="6"/>
  <c r="D752" i="6"/>
  <c r="G596" i="6"/>
  <c r="N383" i="8"/>
  <c r="W539" i="8"/>
  <c r="AG539" i="8"/>
  <c r="P383" i="8"/>
  <c r="Y539" i="8"/>
  <c r="AI539" i="8"/>
  <c r="R383" i="8"/>
  <c r="AA539" i="8"/>
  <c r="AK539" i="8"/>
  <c r="M383" i="8"/>
  <c r="V539" i="8"/>
  <c r="AF539" i="8"/>
  <c r="O383" i="8"/>
  <c r="X539" i="8"/>
  <c r="AH539" i="8"/>
  <c r="Q383" i="8"/>
  <c r="Z539" i="8"/>
  <c r="AJ539" i="8"/>
  <c r="C595" i="6"/>
  <c r="D751" i="6"/>
  <c r="G595" i="6"/>
  <c r="N382" i="8"/>
  <c r="W538" i="8"/>
  <c r="AG538" i="8"/>
  <c r="P382" i="8"/>
  <c r="Y538" i="8"/>
  <c r="AI538" i="8"/>
  <c r="R382" i="8"/>
  <c r="AA538" i="8"/>
  <c r="AK538" i="8"/>
  <c r="M382" i="8"/>
  <c r="V538" i="8"/>
  <c r="AF538" i="8"/>
  <c r="O382" i="8"/>
  <c r="X538" i="8"/>
  <c r="AH538" i="8"/>
  <c r="Q382" i="8"/>
  <c r="Z538" i="8"/>
  <c r="AJ538" i="8"/>
  <c r="C594" i="6"/>
  <c r="D750" i="6"/>
  <c r="G594" i="6"/>
  <c r="N381" i="8"/>
  <c r="W537" i="8"/>
  <c r="AG537" i="8"/>
  <c r="P381" i="8"/>
  <c r="Y537" i="8"/>
  <c r="AI537" i="8"/>
  <c r="R381" i="8"/>
  <c r="AA537" i="8"/>
  <c r="AK537" i="8"/>
  <c r="M381" i="8"/>
  <c r="V537" i="8"/>
  <c r="AF537" i="8"/>
  <c r="O381" i="8"/>
  <c r="X537" i="8"/>
  <c r="AH537" i="8"/>
  <c r="Q381" i="8"/>
  <c r="Z537" i="8"/>
  <c r="AJ537" i="8"/>
  <c r="C593" i="6"/>
  <c r="D749" i="6"/>
  <c r="G593" i="6"/>
  <c r="M380" i="8"/>
  <c r="V536" i="8"/>
  <c r="AF536" i="8"/>
  <c r="O380" i="8"/>
  <c r="X536" i="8"/>
  <c r="AH536" i="8"/>
  <c r="Q380" i="8"/>
  <c r="Z536" i="8"/>
  <c r="AJ536" i="8"/>
  <c r="N380" i="8"/>
  <c r="W536" i="8"/>
  <c r="AG536" i="8"/>
  <c r="P380" i="8"/>
  <c r="Y536" i="8"/>
  <c r="AI536" i="8"/>
  <c r="R380" i="8"/>
  <c r="AA536" i="8"/>
  <c r="AK536" i="8"/>
  <c r="C592" i="6"/>
  <c r="D748" i="6"/>
  <c r="G592" i="6"/>
  <c r="N379" i="8"/>
  <c r="W535" i="8"/>
  <c r="AG535" i="8"/>
  <c r="P379" i="8"/>
  <c r="Y535" i="8"/>
  <c r="AI535" i="8"/>
  <c r="R379" i="8"/>
  <c r="AA535" i="8"/>
  <c r="AK535" i="8"/>
  <c r="M379" i="8"/>
  <c r="V535" i="8"/>
  <c r="AF535" i="8"/>
  <c r="O379" i="8"/>
  <c r="X535" i="8"/>
  <c r="AH535" i="8"/>
  <c r="Q379" i="8"/>
  <c r="Z535" i="8"/>
  <c r="AJ535" i="8"/>
  <c r="C591" i="6"/>
  <c r="D747" i="6"/>
  <c r="G591" i="6"/>
  <c r="N378" i="8"/>
  <c r="W534" i="8"/>
  <c r="AG534" i="8"/>
  <c r="P378" i="8"/>
  <c r="Y534" i="8"/>
  <c r="AI534" i="8"/>
  <c r="R378" i="8"/>
  <c r="AA534" i="8"/>
  <c r="AK534" i="8"/>
  <c r="M378" i="8"/>
  <c r="V534" i="8"/>
  <c r="AF534" i="8"/>
  <c r="O378" i="8"/>
  <c r="X534" i="8"/>
  <c r="AH534" i="8"/>
  <c r="Q378" i="8"/>
  <c r="Z534" i="8"/>
  <c r="AJ534" i="8"/>
  <c r="C590" i="6"/>
  <c r="D746" i="6"/>
  <c r="G590" i="6"/>
  <c r="C589" i="6"/>
  <c r="D745" i="6"/>
  <c r="G589" i="6"/>
  <c r="N377" i="8"/>
  <c r="W533" i="8"/>
  <c r="AG533" i="8"/>
  <c r="P377" i="8"/>
  <c r="Y533" i="8"/>
  <c r="AI533" i="8"/>
  <c r="R377" i="8"/>
  <c r="AA533" i="8"/>
  <c r="AK533" i="8"/>
  <c r="M377" i="8"/>
  <c r="V533" i="8"/>
  <c r="AF533" i="8"/>
  <c r="O377" i="8"/>
  <c r="X533" i="8"/>
  <c r="AH533" i="8"/>
  <c r="Q377" i="8"/>
  <c r="Z533" i="8"/>
  <c r="AJ533" i="8"/>
  <c r="N376" i="8"/>
  <c r="W532" i="8"/>
  <c r="AG532" i="8"/>
  <c r="P376" i="8"/>
  <c r="Y532" i="8"/>
  <c r="AI532" i="8"/>
  <c r="R376" i="8"/>
  <c r="AA532" i="8"/>
  <c r="AK532" i="8"/>
  <c r="M376" i="8"/>
  <c r="V532" i="8"/>
  <c r="AF532" i="8"/>
  <c r="O376" i="8"/>
  <c r="X532" i="8"/>
  <c r="AH532" i="8"/>
  <c r="Q376" i="8"/>
  <c r="Z532" i="8"/>
  <c r="AJ532" i="8"/>
  <c r="C588" i="6"/>
  <c r="D744" i="6"/>
  <c r="G588" i="6"/>
  <c r="M375" i="8"/>
  <c r="V531" i="8"/>
  <c r="AF531" i="8"/>
  <c r="O375" i="8"/>
  <c r="X531" i="8"/>
  <c r="AH531" i="8"/>
  <c r="Q375" i="8"/>
  <c r="Z531" i="8"/>
  <c r="AJ531" i="8"/>
  <c r="N375" i="8"/>
  <c r="W531" i="8"/>
  <c r="AG531" i="8"/>
  <c r="P375" i="8"/>
  <c r="Y531" i="8"/>
  <c r="AI531" i="8"/>
  <c r="R375" i="8"/>
  <c r="AA531" i="8"/>
  <c r="AK531" i="8"/>
  <c r="C587" i="6"/>
  <c r="D743" i="6"/>
  <c r="G587" i="6"/>
  <c r="N374" i="8"/>
  <c r="W530" i="8"/>
  <c r="AG530" i="8"/>
  <c r="P374" i="8"/>
  <c r="Y530" i="8"/>
  <c r="AI530" i="8"/>
  <c r="R374" i="8"/>
  <c r="AA530" i="8"/>
  <c r="AK530" i="8"/>
  <c r="M374" i="8"/>
  <c r="V530" i="8"/>
  <c r="AF530" i="8"/>
  <c r="O374" i="8"/>
  <c r="X530" i="8"/>
  <c r="AH530" i="8"/>
  <c r="Q374" i="8"/>
  <c r="Z530" i="8"/>
  <c r="AJ530" i="8"/>
  <c r="C586" i="6"/>
  <c r="D742" i="6"/>
  <c r="G586" i="6"/>
  <c r="N373" i="8"/>
  <c r="W529" i="8"/>
  <c r="AG529" i="8"/>
  <c r="P373" i="8"/>
  <c r="Y529" i="8"/>
  <c r="AI529" i="8"/>
  <c r="R373" i="8"/>
  <c r="AA529" i="8"/>
  <c r="AK529" i="8"/>
  <c r="M373" i="8"/>
  <c r="V529" i="8"/>
  <c r="AF529" i="8"/>
  <c r="O373" i="8"/>
  <c r="X529" i="8"/>
  <c r="AH529" i="8"/>
  <c r="Q373" i="8"/>
  <c r="Z529" i="8"/>
  <c r="AJ529" i="8"/>
  <c r="C585" i="6"/>
  <c r="D741" i="6"/>
  <c r="G585" i="6"/>
  <c r="N372" i="8"/>
  <c r="W528" i="8"/>
  <c r="AG528" i="8"/>
  <c r="P372" i="8"/>
  <c r="Y528" i="8"/>
  <c r="AI528" i="8"/>
  <c r="R372" i="8"/>
  <c r="AA528" i="8"/>
  <c r="AK528" i="8"/>
  <c r="M372" i="8"/>
  <c r="V528" i="8"/>
  <c r="AF528" i="8"/>
  <c r="O372" i="8"/>
  <c r="X528" i="8"/>
  <c r="AH528" i="8"/>
  <c r="Q372" i="8"/>
  <c r="Z528" i="8"/>
  <c r="AJ528" i="8"/>
  <c r="C584" i="6"/>
  <c r="D740" i="6"/>
  <c r="G584" i="6"/>
  <c r="L371" i="8"/>
  <c r="U527" i="8"/>
  <c r="AE527" i="8"/>
  <c r="N371" i="8"/>
  <c r="W527" i="8"/>
  <c r="AG527" i="8"/>
  <c r="P371" i="8"/>
  <c r="Y527" i="8"/>
  <c r="AI527" i="8"/>
  <c r="R371" i="8"/>
  <c r="AA527" i="8"/>
  <c r="AK527" i="8"/>
  <c r="M371" i="8"/>
  <c r="V527" i="8"/>
  <c r="AF527" i="8"/>
  <c r="O371" i="8"/>
  <c r="X527" i="8"/>
  <c r="AH527" i="8"/>
  <c r="Q371" i="8"/>
  <c r="Z527" i="8"/>
  <c r="AJ527" i="8"/>
  <c r="C583" i="6"/>
  <c r="D739" i="6"/>
  <c r="G583" i="6"/>
  <c r="C582" i="6"/>
  <c r="D738" i="6"/>
  <c r="G582" i="6"/>
  <c r="L370" i="8"/>
  <c r="U526" i="8"/>
  <c r="AE526" i="8"/>
  <c r="N370" i="8"/>
  <c r="W526" i="8"/>
  <c r="AG526" i="8"/>
  <c r="P370" i="8"/>
  <c r="Y526" i="8"/>
  <c r="AI526" i="8"/>
  <c r="R370" i="8"/>
  <c r="AA526" i="8"/>
  <c r="AK526" i="8"/>
  <c r="M370" i="8"/>
  <c r="V526" i="8"/>
  <c r="AF526" i="8"/>
  <c r="O370" i="8"/>
  <c r="X526" i="8"/>
  <c r="AH526" i="8"/>
  <c r="Q370" i="8"/>
  <c r="Z526" i="8"/>
  <c r="AJ526" i="8"/>
  <c r="L369" i="8"/>
  <c r="U525" i="8"/>
  <c r="AE525" i="8"/>
  <c r="N369" i="8"/>
  <c r="W525" i="8"/>
  <c r="AG525" i="8"/>
  <c r="P369" i="8"/>
  <c r="Y525" i="8"/>
  <c r="AI525" i="8"/>
  <c r="R369" i="8"/>
  <c r="AA525" i="8"/>
  <c r="AK525" i="8"/>
  <c r="M369" i="8"/>
  <c r="V525" i="8"/>
  <c r="AF525" i="8"/>
  <c r="O369" i="8"/>
  <c r="X525" i="8"/>
  <c r="AH525" i="8"/>
  <c r="Q369" i="8"/>
  <c r="Z525" i="8"/>
  <c r="AJ525" i="8"/>
  <c r="C581" i="6"/>
  <c r="D737" i="6"/>
  <c r="G581" i="6"/>
  <c r="K368" i="8"/>
  <c r="T524" i="8"/>
  <c r="AD524" i="8"/>
  <c r="M368" i="8"/>
  <c r="V524" i="8"/>
  <c r="AF524" i="8"/>
  <c r="O368" i="8"/>
  <c r="X524" i="8"/>
  <c r="AH524" i="8"/>
  <c r="Q368" i="8"/>
  <c r="Z524" i="8"/>
  <c r="AJ524" i="8"/>
  <c r="L368" i="8"/>
  <c r="U524" i="8"/>
  <c r="AE524" i="8"/>
  <c r="N368" i="8"/>
  <c r="W524" i="8"/>
  <c r="AG524" i="8"/>
  <c r="P368" i="8"/>
  <c r="Y524" i="8"/>
  <c r="AI524" i="8"/>
  <c r="R368" i="8"/>
  <c r="AA524" i="8"/>
  <c r="AK524" i="8"/>
  <c r="C580" i="6"/>
  <c r="D736" i="6"/>
  <c r="G580" i="6"/>
  <c r="L367" i="8"/>
  <c r="U523" i="8"/>
  <c r="AE523" i="8"/>
  <c r="N367" i="8"/>
  <c r="W523" i="8"/>
  <c r="AG523" i="8"/>
  <c r="P367" i="8"/>
  <c r="Y523" i="8"/>
  <c r="AI523" i="8"/>
  <c r="R367" i="8"/>
  <c r="AA523" i="8"/>
  <c r="AK523" i="8"/>
  <c r="K367" i="8"/>
  <c r="T523" i="8"/>
  <c r="AD523" i="8"/>
  <c r="M367" i="8"/>
  <c r="V523" i="8"/>
  <c r="AF523" i="8"/>
  <c r="O367" i="8"/>
  <c r="X523" i="8"/>
  <c r="AH523" i="8"/>
  <c r="Q367" i="8"/>
  <c r="Z523" i="8"/>
  <c r="AJ523" i="8"/>
  <c r="C579" i="6"/>
  <c r="D735" i="6"/>
  <c r="G579" i="6"/>
  <c r="L366" i="8"/>
  <c r="U522" i="8"/>
  <c r="AE522" i="8"/>
  <c r="N366" i="8"/>
  <c r="W522" i="8"/>
  <c r="AG522" i="8"/>
  <c r="P366" i="8"/>
  <c r="Y522" i="8"/>
  <c r="AI522" i="8"/>
  <c r="R366" i="8"/>
  <c r="AA522" i="8"/>
  <c r="AK522" i="8"/>
  <c r="K366" i="8"/>
  <c r="T522" i="8"/>
  <c r="AD522" i="8"/>
  <c r="M366" i="8"/>
  <c r="V522" i="8"/>
  <c r="AF522" i="8"/>
  <c r="O366" i="8"/>
  <c r="X522" i="8"/>
  <c r="AH522" i="8"/>
  <c r="Q366" i="8"/>
  <c r="Z522" i="8"/>
  <c r="AJ522" i="8"/>
  <c r="C578" i="6"/>
  <c r="D734" i="6"/>
  <c r="G578" i="6"/>
  <c r="G577" i="6"/>
  <c r="G576" i="6"/>
  <c r="I362" i="8"/>
  <c r="H362" i="8"/>
  <c r="G362" i="8"/>
  <c r="F362" i="8"/>
  <c r="E362" i="8"/>
  <c r="D362" i="8"/>
  <c r="C362" i="8"/>
  <c r="B362" i="8"/>
  <c r="B574" i="6"/>
  <c r="H626" i="6"/>
  <c r="I361" i="8"/>
  <c r="AU413" i="8"/>
  <c r="H361" i="8"/>
  <c r="AT413" i="8"/>
  <c r="G361" i="8"/>
  <c r="AS413" i="8"/>
  <c r="F361" i="8"/>
  <c r="AR413" i="8"/>
  <c r="E361" i="8"/>
  <c r="AQ413" i="8"/>
  <c r="D361" i="8"/>
  <c r="AP413" i="8"/>
  <c r="C361" i="8"/>
  <c r="AO413" i="8"/>
  <c r="B361" i="8"/>
  <c r="AN413" i="8"/>
  <c r="B573" i="6"/>
  <c r="H625" i="6"/>
  <c r="B572" i="6"/>
  <c r="H624" i="6"/>
  <c r="I360" i="8"/>
  <c r="AU412" i="8"/>
  <c r="H360" i="8"/>
  <c r="AT412" i="8"/>
  <c r="G360" i="8"/>
  <c r="AS412" i="8"/>
  <c r="F360" i="8"/>
  <c r="AR412" i="8"/>
  <c r="E360" i="8"/>
  <c r="AQ412" i="8"/>
  <c r="D360" i="8"/>
  <c r="AP412" i="8"/>
  <c r="C360" i="8"/>
  <c r="AO412" i="8"/>
  <c r="B360" i="8"/>
  <c r="AN412" i="8"/>
  <c r="I359" i="8"/>
  <c r="AU411" i="8"/>
  <c r="H359" i="8"/>
  <c r="AT411" i="8"/>
  <c r="G359" i="8"/>
  <c r="AS411" i="8"/>
  <c r="F359" i="8"/>
  <c r="AR411" i="8"/>
  <c r="E359" i="8"/>
  <c r="AQ411" i="8"/>
  <c r="D359" i="8"/>
  <c r="AP411" i="8"/>
  <c r="C359" i="8"/>
  <c r="AO411" i="8"/>
  <c r="B359" i="8"/>
  <c r="AN411" i="8"/>
  <c r="B571" i="6"/>
  <c r="H623" i="6"/>
  <c r="I358" i="8"/>
  <c r="AU410" i="8"/>
  <c r="H358" i="8"/>
  <c r="AT410" i="8"/>
  <c r="G358" i="8"/>
  <c r="AS410" i="8"/>
  <c r="F358" i="8"/>
  <c r="AR410" i="8"/>
  <c r="E358" i="8"/>
  <c r="AQ410" i="8"/>
  <c r="D358" i="8"/>
  <c r="AP410" i="8"/>
  <c r="C358" i="8"/>
  <c r="AO410" i="8"/>
  <c r="B358" i="8"/>
  <c r="AN410" i="8"/>
  <c r="B570" i="6"/>
  <c r="H622" i="6"/>
  <c r="I357" i="8"/>
  <c r="AU409" i="8"/>
  <c r="H357" i="8"/>
  <c r="AT409" i="8"/>
  <c r="G357" i="8"/>
  <c r="AS409" i="8"/>
  <c r="F357" i="8"/>
  <c r="AR409" i="8"/>
  <c r="E357" i="8"/>
  <c r="AQ409" i="8"/>
  <c r="D357" i="8"/>
  <c r="AP409" i="8"/>
  <c r="C357" i="8"/>
  <c r="AO409" i="8"/>
  <c r="B357" i="8"/>
  <c r="AN409" i="8"/>
  <c r="B569" i="6"/>
  <c r="H621" i="6"/>
  <c r="I356" i="8"/>
  <c r="AU408" i="8"/>
  <c r="H356" i="8"/>
  <c r="AT408" i="8"/>
  <c r="G356" i="8"/>
  <c r="AS408" i="8"/>
  <c r="F356" i="8"/>
  <c r="AR408" i="8"/>
  <c r="E356" i="8"/>
  <c r="AQ408" i="8"/>
  <c r="D356" i="8"/>
  <c r="AP408" i="8"/>
  <c r="C356" i="8"/>
  <c r="AO408" i="8"/>
  <c r="B356" i="8"/>
  <c r="AN408" i="8"/>
  <c r="B568" i="6"/>
  <c r="H620" i="6"/>
  <c r="B567" i="6"/>
  <c r="H619" i="6"/>
  <c r="I355" i="8"/>
  <c r="AU407" i="8"/>
  <c r="H355" i="8"/>
  <c r="AT407" i="8"/>
  <c r="G355" i="8"/>
  <c r="AS407" i="8"/>
  <c r="F355" i="8"/>
  <c r="AR407" i="8"/>
  <c r="E355" i="8"/>
  <c r="AQ407" i="8"/>
  <c r="D355" i="8"/>
  <c r="AP407" i="8"/>
  <c r="C355" i="8"/>
  <c r="AO407" i="8"/>
  <c r="B355" i="8"/>
  <c r="AN407" i="8"/>
  <c r="I761" i="6"/>
  <c r="F761" i="6"/>
  <c r="AC549" i="8"/>
  <c r="I763" i="6"/>
  <c r="AC551" i="8"/>
  <c r="F763" i="6"/>
  <c r="F756" i="6"/>
  <c r="I756" i="6"/>
  <c r="AC544" i="8"/>
  <c r="F757" i="6"/>
  <c r="I757" i="6"/>
  <c r="AC545" i="8"/>
  <c r="F759" i="6"/>
  <c r="I759" i="6"/>
  <c r="AC547" i="8"/>
  <c r="I764" i="6"/>
  <c r="AC552" i="8"/>
  <c r="F764" i="6"/>
  <c r="I754" i="6"/>
  <c r="AC542" i="8"/>
  <c r="F754" i="6"/>
  <c r="F758" i="6"/>
  <c r="I758" i="6"/>
  <c r="AC546" i="8"/>
  <c r="F753" i="6"/>
  <c r="I753" i="6"/>
  <c r="AC541" i="8"/>
  <c r="F755" i="6"/>
  <c r="I755" i="6"/>
  <c r="AC543" i="8"/>
  <c r="F760" i="6"/>
  <c r="I760" i="6"/>
  <c r="AC548" i="8"/>
  <c r="I762" i="6"/>
  <c r="AC550" i="8"/>
  <c r="F762" i="6"/>
  <c r="F765" i="6"/>
  <c r="I765" i="6"/>
  <c r="AC553" i="8"/>
  <c r="I738" i="6"/>
  <c r="AC526" i="8"/>
  <c r="F738" i="6"/>
  <c r="I736" i="6"/>
  <c r="AC524" i="8"/>
  <c r="F736" i="6"/>
  <c r="F740" i="6"/>
  <c r="I740" i="6"/>
  <c r="AC528" i="8"/>
  <c r="F741" i="6"/>
  <c r="I741" i="6"/>
  <c r="AC529" i="8"/>
  <c r="I742" i="6"/>
  <c r="AC530" i="8"/>
  <c r="F742" i="6"/>
  <c r="F743" i="6"/>
  <c r="I743" i="6"/>
  <c r="AC531" i="8"/>
  <c r="I744" i="6"/>
  <c r="AC532" i="8"/>
  <c r="F744" i="6"/>
  <c r="F746" i="6"/>
  <c r="I746" i="6"/>
  <c r="AC534" i="8"/>
  <c r="I747" i="6"/>
  <c r="AC535" i="8"/>
  <c r="F747" i="6"/>
  <c r="F748" i="6"/>
  <c r="I748" i="6"/>
  <c r="AC536" i="8"/>
  <c r="F749" i="6"/>
  <c r="I749" i="6"/>
  <c r="AC537" i="8"/>
  <c r="I750" i="6"/>
  <c r="AC538" i="8"/>
  <c r="F750" i="6"/>
  <c r="F751" i="6"/>
  <c r="I751" i="6"/>
  <c r="AC539" i="8"/>
  <c r="I752" i="6"/>
  <c r="AC540" i="8"/>
  <c r="F752" i="6"/>
  <c r="F737" i="6"/>
  <c r="I737" i="6"/>
  <c r="AC525" i="8"/>
  <c r="F734" i="6"/>
  <c r="I734" i="6"/>
  <c r="AC522" i="8"/>
  <c r="I739" i="6"/>
  <c r="AC527" i="8"/>
  <c r="F739" i="6"/>
  <c r="F735" i="6"/>
  <c r="I735" i="6"/>
  <c r="AC523" i="8"/>
  <c r="F745" i="6"/>
  <c r="I745" i="6"/>
  <c r="AC533" i="8"/>
  <c r="AM407" i="8"/>
  <c r="AM446" i="8"/>
  <c r="K365" i="8"/>
  <c r="T521" i="8"/>
  <c r="AD521" i="8"/>
  <c r="AN414" i="8"/>
  <c r="M365" i="8"/>
  <c r="V521" i="8"/>
  <c r="AF521" i="8"/>
  <c r="AP414" i="8"/>
  <c r="O365" i="8"/>
  <c r="X521" i="8"/>
  <c r="AH521" i="8"/>
  <c r="AR414" i="8"/>
  <c r="Q365" i="8"/>
  <c r="Z521" i="8"/>
  <c r="AJ521" i="8"/>
  <c r="AT414" i="8"/>
  <c r="L365" i="8"/>
  <c r="U521" i="8"/>
  <c r="AE521" i="8"/>
  <c r="AO414" i="8"/>
  <c r="N365" i="8"/>
  <c r="W521" i="8"/>
  <c r="AG521" i="8"/>
  <c r="AQ414" i="8"/>
  <c r="P365" i="8"/>
  <c r="Y521" i="8"/>
  <c r="AI521" i="8"/>
  <c r="AS414" i="8"/>
  <c r="R365" i="8"/>
  <c r="AA521" i="8"/>
  <c r="AK521" i="8"/>
  <c r="AU414" i="8"/>
  <c r="AM413" i="8"/>
  <c r="AM412" i="8"/>
  <c r="AM411" i="8"/>
  <c r="AM410" i="8"/>
  <c r="AM409" i="8"/>
  <c r="AM408" i="8"/>
  <c r="N364" i="8"/>
  <c r="W520" i="8"/>
  <c r="AG520" i="8"/>
  <c r="R364" i="8"/>
  <c r="AA520" i="8"/>
  <c r="AK520" i="8"/>
  <c r="G575" i="6"/>
  <c r="C577" i="6"/>
  <c r="D733" i="6"/>
  <c r="K363" i="8"/>
  <c r="T519" i="8"/>
  <c r="AD519" i="8"/>
  <c r="M363" i="8"/>
  <c r="V519" i="8"/>
  <c r="AF519" i="8"/>
  <c r="O363" i="8"/>
  <c r="X519" i="8"/>
  <c r="AH519" i="8"/>
  <c r="Q363" i="8"/>
  <c r="Z519" i="8"/>
  <c r="AJ519" i="8"/>
  <c r="K364" i="8"/>
  <c r="T520" i="8"/>
  <c r="AD520" i="8"/>
  <c r="M364" i="8"/>
  <c r="V520" i="8"/>
  <c r="AF520" i="8"/>
  <c r="O364" i="8"/>
  <c r="X520" i="8"/>
  <c r="AH520" i="8"/>
  <c r="Q364" i="8"/>
  <c r="Z520" i="8"/>
  <c r="AJ520" i="8"/>
  <c r="L364" i="8"/>
  <c r="U520" i="8"/>
  <c r="AE520" i="8"/>
  <c r="P364" i="8"/>
  <c r="Y520" i="8"/>
  <c r="AI520" i="8"/>
  <c r="C576" i="6"/>
  <c r="D732" i="6"/>
  <c r="L363" i="8"/>
  <c r="U519" i="8"/>
  <c r="AE519" i="8"/>
  <c r="N363" i="8"/>
  <c r="W519" i="8"/>
  <c r="AG519" i="8"/>
  <c r="P363" i="8"/>
  <c r="Y519" i="8"/>
  <c r="AI519" i="8"/>
  <c r="R363" i="8"/>
  <c r="AA519" i="8"/>
  <c r="AK519" i="8"/>
  <c r="C575" i="6"/>
  <c r="D731" i="6"/>
  <c r="L362" i="8"/>
  <c r="U518" i="8"/>
  <c r="AE518" i="8"/>
  <c r="N362" i="8"/>
  <c r="W518" i="8"/>
  <c r="AG518" i="8"/>
  <c r="P362" i="8"/>
  <c r="Y518" i="8"/>
  <c r="AI518" i="8"/>
  <c r="R362" i="8"/>
  <c r="AA518" i="8"/>
  <c r="AK518" i="8"/>
  <c r="K362" i="8"/>
  <c r="T518" i="8"/>
  <c r="AD518" i="8"/>
  <c r="M362" i="8"/>
  <c r="V518" i="8"/>
  <c r="AF518" i="8"/>
  <c r="O362" i="8"/>
  <c r="X518" i="8"/>
  <c r="AH518" i="8"/>
  <c r="Q362" i="8"/>
  <c r="Z518" i="8"/>
  <c r="AJ518" i="8"/>
  <c r="C574" i="6"/>
  <c r="D730" i="6"/>
  <c r="G574" i="6"/>
  <c r="L361" i="8"/>
  <c r="U517" i="8"/>
  <c r="AE517" i="8"/>
  <c r="N361" i="8"/>
  <c r="W517" i="8"/>
  <c r="AG517" i="8"/>
  <c r="P361" i="8"/>
  <c r="Y517" i="8"/>
  <c r="AI517" i="8"/>
  <c r="R361" i="8"/>
  <c r="AA517" i="8"/>
  <c r="AK517" i="8"/>
  <c r="K361" i="8"/>
  <c r="T517" i="8"/>
  <c r="AD517" i="8"/>
  <c r="M361" i="8"/>
  <c r="V517" i="8"/>
  <c r="AF517" i="8"/>
  <c r="O361" i="8"/>
  <c r="X517" i="8"/>
  <c r="AH517" i="8"/>
  <c r="Q361" i="8"/>
  <c r="Z517" i="8"/>
  <c r="AJ517" i="8"/>
  <c r="C573" i="6"/>
  <c r="D729" i="6"/>
  <c r="G573" i="6"/>
  <c r="C572" i="6"/>
  <c r="D728" i="6"/>
  <c r="G572" i="6"/>
  <c r="L360" i="8"/>
  <c r="U516" i="8"/>
  <c r="AE516" i="8"/>
  <c r="N360" i="8"/>
  <c r="W516" i="8"/>
  <c r="AG516" i="8"/>
  <c r="P360" i="8"/>
  <c r="Y516" i="8"/>
  <c r="AI516" i="8"/>
  <c r="R360" i="8"/>
  <c r="AA516" i="8"/>
  <c r="AK516" i="8"/>
  <c r="K360" i="8"/>
  <c r="T516" i="8"/>
  <c r="AD516" i="8"/>
  <c r="M360" i="8"/>
  <c r="V516" i="8"/>
  <c r="AF516" i="8"/>
  <c r="O360" i="8"/>
  <c r="X516" i="8"/>
  <c r="AH516" i="8"/>
  <c r="Q360" i="8"/>
  <c r="Z516" i="8"/>
  <c r="AJ516" i="8"/>
  <c r="K359" i="8"/>
  <c r="T515" i="8"/>
  <c r="AD515" i="8"/>
  <c r="M359" i="8"/>
  <c r="V515" i="8"/>
  <c r="AF515" i="8"/>
  <c r="O359" i="8"/>
  <c r="X515" i="8"/>
  <c r="AH515" i="8"/>
  <c r="Q359" i="8"/>
  <c r="Z515" i="8"/>
  <c r="AJ515" i="8"/>
  <c r="L359" i="8"/>
  <c r="U515" i="8"/>
  <c r="AE515" i="8"/>
  <c r="N359" i="8"/>
  <c r="W515" i="8"/>
  <c r="AG515" i="8"/>
  <c r="P359" i="8"/>
  <c r="Y515" i="8"/>
  <c r="AI515" i="8"/>
  <c r="R359" i="8"/>
  <c r="AA515" i="8"/>
  <c r="AK515" i="8"/>
  <c r="C571" i="6"/>
  <c r="D727" i="6"/>
  <c r="G571" i="6"/>
  <c r="K358" i="8"/>
  <c r="T514" i="8"/>
  <c r="AD514" i="8"/>
  <c r="M358" i="8"/>
  <c r="V514" i="8"/>
  <c r="AF514" i="8"/>
  <c r="Q358" i="8"/>
  <c r="Z514" i="8"/>
  <c r="AJ514" i="8"/>
  <c r="L358" i="8"/>
  <c r="U514" i="8"/>
  <c r="AE514" i="8"/>
  <c r="N358" i="8"/>
  <c r="W514" i="8"/>
  <c r="AG514" i="8"/>
  <c r="P358" i="8"/>
  <c r="Y514" i="8"/>
  <c r="AI514" i="8"/>
  <c r="R358" i="8"/>
  <c r="AA514" i="8"/>
  <c r="AK514" i="8"/>
  <c r="O358" i="8"/>
  <c r="X514" i="8"/>
  <c r="AH514" i="8"/>
  <c r="C570" i="6"/>
  <c r="D726" i="6"/>
  <c r="G570" i="6"/>
  <c r="G569" i="6"/>
  <c r="G568" i="6"/>
  <c r="I354" i="8"/>
  <c r="H354" i="8"/>
  <c r="G354" i="8"/>
  <c r="F354" i="8"/>
  <c r="E354" i="8"/>
  <c r="D354" i="8"/>
  <c r="C354" i="8"/>
  <c r="B354" i="8"/>
  <c r="B566" i="6"/>
  <c r="H618" i="6"/>
  <c r="B565" i="6"/>
  <c r="H617" i="6"/>
  <c r="B564" i="6"/>
  <c r="H616" i="6"/>
  <c r="I353" i="8"/>
  <c r="AU405" i="8"/>
  <c r="H353" i="8"/>
  <c r="AT405" i="8"/>
  <c r="G353" i="8"/>
  <c r="AS405" i="8"/>
  <c r="F353" i="8"/>
  <c r="AR405" i="8"/>
  <c r="E353" i="8"/>
  <c r="AQ405" i="8"/>
  <c r="D353" i="8"/>
  <c r="AP405" i="8"/>
  <c r="C353" i="8"/>
  <c r="AO405" i="8"/>
  <c r="B353" i="8"/>
  <c r="AN405" i="8"/>
  <c r="I352" i="8"/>
  <c r="AU404" i="8"/>
  <c r="H352" i="8"/>
  <c r="AT404" i="8"/>
  <c r="G352" i="8"/>
  <c r="AS404" i="8"/>
  <c r="F352" i="8"/>
  <c r="AR404" i="8"/>
  <c r="E352" i="8"/>
  <c r="AQ404" i="8"/>
  <c r="D352" i="8"/>
  <c r="AP404" i="8"/>
  <c r="C352" i="8"/>
  <c r="AO404" i="8"/>
  <c r="B352" i="8"/>
  <c r="AN404" i="8"/>
  <c r="F727" i="6"/>
  <c r="I727" i="6"/>
  <c r="AC515" i="8"/>
  <c r="F733" i="6"/>
  <c r="I733" i="6"/>
  <c r="AC521" i="8"/>
  <c r="I728" i="6"/>
  <c r="AC516" i="8"/>
  <c r="F728" i="6"/>
  <c r="F730" i="6"/>
  <c r="I730" i="6"/>
  <c r="AC518" i="8"/>
  <c r="F726" i="6"/>
  <c r="I726" i="6"/>
  <c r="AC514" i="8"/>
  <c r="I731" i="6"/>
  <c r="AC519" i="8"/>
  <c r="F731" i="6"/>
  <c r="I729" i="6"/>
  <c r="AC517" i="8"/>
  <c r="F729" i="6"/>
  <c r="F732" i="6"/>
  <c r="I732" i="6"/>
  <c r="AC520" i="8"/>
  <c r="AM414" i="8"/>
  <c r="N357" i="8"/>
  <c r="W513" i="8"/>
  <c r="AG513" i="8"/>
  <c r="AQ406" i="8"/>
  <c r="P357" i="8"/>
  <c r="Y513" i="8"/>
  <c r="AI513" i="8"/>
  <c r="AS406" i="8"/>
  <c r="K357" i="8"/>
  <c r="T513" i="8"/>
  <c r="AD513" i="8"/>
  <c r="AN406" i="8"/>
  <c r="M357" i="8"/>
  <c r="V513" i="8"/>
  <c r="AF513" i="8"/>
  <c r="AP406" i="8"/>
  <c r="O357" i="8"/>
  <c r="X513" i="8"/>
  <c r="AH513" i="8"/>
  <c r="AR406" i="8"/>
  <c r="Q357" i="8"/>
  <c r="Z513" i="8"/>
  <c r="AJ513" i="8"/>
  <c r="AT406" i="8"/>
  <c r="L357" i="8"/>
  <c r="U513" i="8"/>
  <c r="AE513" i="8"/>
  <c r="AO406" i="8"/>
  <c r="R357" i="8"/>
  <c r="AA513" i="8"/>
  <c r="AK513" i="8"/>
  <c r="AU406" i="8"/>
  <c r="AM405" i="8"/>
  <c r="AM404" i="8"/>
  <c r="G567" i="6"/>
  <c r="C569" i="6"/>
  <c r="D725" i="6"/>
  <c r="L356" i="8"/>
  <c r="U512" i="8"/>
  <c r="AE512" i="8"/>
  <c r="N356" i="8"/>
  <c r="W512" i="8"/>
  <c r="AG512" i="8"/>
  <c r="P356" i="8"/>
  <c r="Y512" i="8"/>
  <c r="AI512" i="8"/>
  <c r="R356" i="8"/>
  <c r="AA512" i="8"/>
  <c r="AK512" i="8"/>
  <c r="C568" i="6"/>
  <c r="D724" i="6"/>
  <c r="K356" i="8"/>
  <c r="T512" i="8"/>
  <c r="AD512" i="8"/>
  <c r="M356" i="8"/>
  <c r="V512" i="8"/>
  <c r="AF512" i="8"/>
  <c r="O356" i="8"/>
  <c r="X512" i="8"/>
  <c r="AH512" i="8"/>
  <c r="Q356" i="8"/>
  <c r="Z512" i="8"/>
  <c r="AJ512" i="8"/>
  <c r="L355" i="8"/>
  <c r="U511" i="8"/>
  <c r="AE511" i="8"/>
  <c r="N355" i="8"/>
  <c r="W511" i="8"/>
  <c r="AG511" i="8"/>
  <c r="P355" i="8"/>
  <c r="Y511" i="8"/>
  <c r="AI511" i="8"/>
  <c r="R355" i="8"/>
  <c r="AA511" i="8"/>
  <c r="AK511" i="8"/>
  <c r="C567" i="6"/>
  <c r="D723" i="6"/>
  <c r="K355" i="8"/>
  <c r="T511" i="8"/>
  <c r="AD511" i="8"/>
  <c r="M355" i="8"/>
  <c r="V511" i="8"/>
  <c r="AF511" i="8"/>
  <c r="O355" i="8"/>
  <c r="X511" i="8"/>
  <c r="AH511" i="8"/>
  <c r="Q355" i="8"/>
  <c r="Z511" i="8"/>
  <c r="AJ511" i="8"/>
  <c r="G565" i="6"/>
  <c r="G566" i="6"/>
  <c r="F725" i="6"/>
  <c r="I725" i="6"/>
  <c r="F723" i="6"/>
  <c r="I723" i="6"/>
  <c r="AC511" i="8"/>
  <c r="F724" i="6"/>
  <c r="I724" i="6"/>
  <c r="AC512" i="8"/>
  <c r="AC513" i="8"/>
  <c r="AM406" i="8"/>
  <c r="I351" i="8"/>
  <c r="H351" i="8"/>
  <c r="G351" i="8"/>
  <c r="F351" i="8"/>
  <c r="E351" i="8"/>
  <c r="D351" i="8"/>
  <c r="C351" i="8"/>
  <c r="B351" i="8"/>
  <c r="B563" i="6"/>
  <c r="H615" i="6"/>
  <c r="I350" i="8"/>
  <c r="AU402" i="8"/>
  <c r="H350" i="8"/>
  <c r="AT402" i="8"/>
  <c r="G350" i="8"/>
  <c r="AS402" i="8"/>
  <c r="F350" i="8"/>
  <c r="AR402" i="8"/>
  <c r="E350" i="8"/>
  <c r="AQ402" i="8"/>
  <c r="D350" i="8"/>
  <c r="AP402" i="8"/>
  <c r="C350" i="8"/>
  <c r="AO402" i="8"/>
  <c r="B350" i="8"/>
  <c r="AN402" i="8"/>
  <c r="B562" i="6"/>
  <c r="H614" i="6"/>
  <c r="I349" i="8"/>
  <c r="AU401" i="8"/>
  <c r="H349" i="8"/>
  <c r="AT401" i="8"/>
  <c r="G349" i="8"/>
  <c r="AS401" i="8"/>
  <c r="F349" i="8"/>
  <c r="AR401" i="8"/>
  <c r="E349" i="8"/>
  <c r="AQ401" i="8"/>
  <c r="D349" i="8"/>
  <c r="AP401" i="8"/>
  <c r="C349" i="8"/>
  <c r="AO401" i="8"/>
  <c r="B349" i="8"/>
  <c r="AN401" i="8"/>
  <c r="B561" i="6"/>
  <c r="H613" i="6"/>
  <c r="I348" i="8"/>
  <c r="AU400" i="8"/>
  <c r="H348" i="8"/>
  <c r="AT400" i="8"/>
  <c r="G348" i="8"/>
  <c r="AS400" i="8"/>
  <c r="F348" i="8"/>
  <c r="AR400" i="8"/>
  <c r="E348" i="8"/>
  <c r="AQ400" i="8"/>
  <c r="D348" i="8"/>
  <c r="AP400" i="8"/>
  <c r="C348" i="8"/>
  <c r="AO400" i="8"/>
  <c r="B348" i="8"/>
  <c r="AN400" i="8"/>
  <c r="B560" i="6"/>
  <c r="H612" i="6"/>
  <c r="I347" i="8"/>
  <c r="AU399" i="8"/>
  <c r="H347" i="8"/>
  <c r="AT399" i="8"/>
  <c r="G347" i="8"/>
  <c r="AS399" i="8"/>
  <c r="F347" i="8"/>
  <c r="AR399" i="8"/>
  <c r="E347" i="8"/>
  <c r="AQ399" i="8"/>
  <c r="D347" i="8"/>
  <c r="AP399" i="8"/>
  <c r="C347" i="8"/>
  <c r="AO399" i="8"/>
  <c r="B347" i="8"/>
  <c r="AN399" i="8"/>
  <c r="B559" i="6"/>
  <c r="H611" i="6"/>
  <c r="I346" i="8"/>
  <c r="AU398" i="8"/>
  <c r="H346" i="8"/>
  <c r="AT398" i="8"/>
  <c r="G346" i="8"/>
  <c r="AS398" i="8"/>
  <c r="F346" i="8"/>
  <c r="AR398" i="8"/>
  <c r="E346" i="8"/>
  <c r="AQ398" i="8"/>
  <c r="D346" i="8"/>
  <c r="AP398" i="8"/>
  <c r="C346" i="8"/>
  <c r="AO398" i="8"/>
  <c r="B346" i="8"/>
  <c r="AN398" i="8"/>
  <c r="B558" i="6"/>
  <c r="H610" i="6"/>
  <c r="I345" i="8"/>
  <c r="AU397" i="8"/>
  <c r="H345" i="8"/>
  <c r="AT397" i="8"/>
  <c r="G345" i="8"/>
  <c r="AS397" i="8"/>
  <c r="F345" i="8"/>
  <c r="AR397" i="8"/>
  <c r="E345" i="8"/>
  <c r="AQ397" i="8"/>
  <c r="D345" i="8"/>
  <c r="AP397" i="8"/>
  <c r="C345" i="8"/>
  <c r="AO397" i="8"/>
  <c r="B345" i="8"/>
  <c r="AN397" i="8"/>
  <c r="B557" i="6"/>
  <c r="H609" i="6"/>
  <c r="I344" i="8"/>
  <c r="AU396" i="8"/>
  <c r="H344" i="8"/>
  <c r="AT396" i="8"/>
  <c r="G344" i="8"/>
  <c r="AS396" i="8"/>
  <c r="F344" i="8"/>
  <c r="AR396" i="8"/>
  <c r="E344" i="8"/>
  <c r="AQ396" i="8"/>
  <c r="D344" i="8"/>
  <c r="AP396" i="8"/>
  <c r="C344" i="8"/>
  <c r="AO396" i="8"/>
  <c r="B344" i="8"/>
  <c r="AN396" i="8"/>
  <c r="B556" i="6"/>
  <c r="H608" i="6"/>
  <c r="K354" i="8"/>
  <c r="T510" i="8"/>
  <c r="AD510" i="8"/>
  <c r="AN403" i="8"/>
  <c r="M354" i="8"/>
  <c r="V510" i="8"/>
  <c r="AF510" i="8"/>
  <c r="AP403" i="8"/>
  <c r="O354" i="8"/>
  <c r="X510" i="8"/>
  <c r="AH510" i="8"/>
  <c r="AR403" i="8"/>
  <c r="Q354" i="8"/>
  <c r="Z510" i="8"/>
  <c r="AJ510" i="8"/>
  <c r="AT403" i="8"/>
  <c r="L354" i="8"/>
  <c r="U510" i="8"/>
  <c r="AE510" i="8"/>
  <c r="AO403" i="8"/>
  <c r="N354" i="8"/>
  <c r="W510" i="8"/>
  <c r="AG510" i="8"/>
  <c r="AQ403" i="8"/>
  <c r="P354" i="8"/>
  <c r="Y510" i="8"/>
  <c r="AI510" i="8"/>
  <c r="AS403" i="8"/>
  <c r="R354" i="8"/>
  <c r="AA510" i="8"/>
  <c r="AK510" i="8"/>
  <c r="AU403" i="8"/>
  <c r="AM402" i="8"/>
  <c r="AM401" i="8"/>
  <c r="AM400" i="8"/>
  <c r="AM399" i="8"/>
  <c r="AM397" i="8"/>
  <c r="AM398" i="8"/>
  <c r="AM396" i="8"/>
  <c r="K352" i="8"/>
  <c r="T508" i="8"/>
  <c r="AD508" i="8"/>
  <c r="M352" i="8"/>
  <c r="V508" i="8"/>
  <c r="AF508" i="8"/>
  <c r="O352" i="8"/>
  <c r="X508" i="8"/>
  <c r="AH508" i="8"/>
  <c r="Q352" i="8"/>
  <c r="Z508" i="8"/>
  <c r="AJ508" i="8"/>
  <c r="C565" i="6"/>
  <c r="D721" i="6"/>
  <c r="L353" i="8"/>
  <c r="U509" i="8"/>
  <c r="AE509" i="8"/>
  <c r="N353" i="8"/>
  <c r="W509" i="8"/>
  <c r="AG509" i="8"/>
  <c r="P353" i="8"/>
  <c r="Y509" i="8"/>
  <c r="AI509" i="8"/>
  <c r="R353" i="8"/>
  <c r="AA509" i="8"/>
  <c r="AK509" i="8"/>
  <c r="G564" i="6"/>
  <c r="C566" i="6"/>
  <c r="D722" i="6"/>
  <c r="L352" i="8"/>
  <c r="U508" i="8"/>
  <c r="AE508" i="8"/>
  <c r="N352" i="8"/>
  <c r="W508" i="8"/>
  <c r="AG508" i="8"/>
  <c r="P352" i="8"/>
  <c r="Y508" i="8"/>
  <c r="AI508" i="8"/>
  <c r="R352" i="8"/>
  <c r="AA508" i="8"/>
  <c r="AK508" i="8"/>
  <c r="K353" i="8"/>
  <c r="T509" i="8"/>
  <c r="AD509" i="8"/>
  <c r="M353" i="8"/>
  <c r="V509" i="8"/>
  <c r="AF509" i="8"/>
  <c r="O353" i="8"/>
  <c r="X509" i="8"/>
  <c r="AH509" i="8"/>
  <c r="Q353" i="8"/>
  <c r="Z509" i="8"/>
  <c r="AJ509" i="8"/>
  <c r="C563" i="6"/>
  <c r="D719" i="6"/>
  <c r="C564" i="6"/>
  <c r="D720" i="6"/>
  <c r="G563" i="6"/>
  <c r="L351" i="8"/>
  <c r="U507" i="8"/>
  <c r="AE507" i="8"/>
  <c r="N351" i="8"/>
  <c r="W507" i="8"/>
  <c r="AG507" i="8"/>
  <c r="P351" i="8"/>
  <c r="Y507" i="8"/>
  <c r="AI507" i="8"/>
  <c r="R351" i="8"/>
  <c r="AA507" i="8"/>
  <c r="AK507" i="8"/>
  <c r="K351" i="8"/>
  <c r="T507" i="8"/>
  <c r="AD507" i="8"/>
  <c r="M351" i="8"/>
  <c r="V507" i="8"/>
  <c r="AF507" i="8"/>
  <c r="O351" i="8"/>
  <c r="X507" i="8"/>
  <c r="AH507" i="8"/>
  <c r="Q351" i="8"/>
  <c r="Z507" i="8"/>
  <c r="AJ507" i="8"/>
  <c r="L350" i="8"/>
  <c r="U506" i="8"/>
  <c r="AE506" i="8"/>
  <c r="N350" i="8"/>
  <c r="W506" i="8"/>
  <c r="AG506" i="8"/>
  <c r="P350" i="8"/>
  <c r="Y506" i="8"/>
  <c r="AI506" i="8"/>
  <c r="R350" i="8"/>
  <c r="AA506" i="8"/>
  <c r="AK506" i="8"/>
  <c r="K350" i="8"/>
  <c r="T506" i="8"/>
  <c r="AD506" i="8"/>
  <c r="M350" i="8"/>
  <c r="V506" i="8"/>
  <c r="AF506" i="8"/>
  <c r="O350" i="8"/>
  <c r="X506" i="8"/>
  <c r="AH506" i="8"/>
  <c r="Q350" i="8"/>
  <c r="Z506" i="8"/>
  <c r="AJ506" i="8"/>
  <c r="C562" i="6"/>
  <c r="D718" i="6"/>
  <c r="G562" i="6"/>
  <c r="L349" i="8"/>
  <c r="U505" i="8"/>
  <c r="AE505" i="8"/>
  <c r="N349" i="8"/>
  <c r="W505" i="8"/>
  <c r="AG505" i="8"/>
  <c r="P349" i="8"/>
  <c r="Y505" i="8"/>
  <c r="AI505" i="8"/>
  <c r="R349" i="8"/>
  <c r="AA505" i="8"/>
  <c r="AK505" i="8"/>
  <c r="K349" i="8"/>
  <c r="T505" i="8"/>
  <c r="AD505" i="8"/>
  <c r="M349" i="8"/>
  <c r="V505" i="8"/>
  <c r="AF505" i="8"/>
  <c r="O349" i="8"/>
  <c r="X505" i="8"/>
  <c r="AH505" i="8"/>
  <c r="Q349" i="8"/>
  <c r="Z505" i="8"/>
  <c r="AJ505" i="8"/>
  <c r="C561" i="6"/>
  <c r="D717" i="6"/>
  <c r="G561" i="6"/>
  <c r="K348" i="8"/>
  <c r="T504" i="8"/>
  <c r="AD504" i="8"/>
  <c r="M348" i="8"/>
  <c r="V504" i="8"/>
  <c r="AF504" i="8"/>
  <c r="Q348" i="8"/>
  <c r="Z504" i="8"/>
  <c r="AJ504" i="8"/>
  <c r="L348" i="8"/>
  <c r="U504" i="8"/>
  <c r="AE504" i="8"/>
  <c r="N348" i="8"/>
  <c r="W504" i="8"/>
  <c r="AG504" i="8"/>
  <c r="P348" i="8"/>
  <c r="Y504" i="8"/>
  <c r="AI504" i="8"/>
  <c r="R348" i="8"/>
  <c r="AA504" i="8"/>
  <c r="AK504" i="8"/>
  <c r="O348" i="8"/>
  <c r="X504" i="8"/>
  <c r="AH504" i="8"/>
  <c r="C560" i="6"/>
  <c r="D716" i="6"/>
  <c r="G560" i="6"/>
  <c r="L347" i="8"/>
  <c r="U503" i="8"/>
  <c r="AE503" i="8"/>
  <c r="N347" i="8"/>
  <c r="W503" i="8"/>
  <c r="AG503" i="8"/>
  <c r="P347" i="8"/>
  <c r="Y503" i="8"/>
  <c r="AI503" i="8"/>
  <c r="R347" i="8"/>
  <c r="AA503" i="8"/>
  <c r="AK503" i="8"/>
  <c r="K347" i="8"/>
  <c r="T503" i="8"/>
  <c r="AD503" i="8"/>
  <c r="M347" i="8"/>
  <c r="V503" i="8"/>
  <c r="AF503" i="8"/>
  <c r="O347" i="8"/>
  <c r="X503" i="8"/>
  <c r="AH503" i="8"/>
  <c r="Q347" i="8"/>
  <c r="Z503" i="8"/>
  <c r="AJ503" i="8"/>
  <c r="C559" i="6"/>
  <c r="D715" i="6"/>
  <c r="G559" i="6"/>
  <c r="G558" i="6"/>
  <c r="G557" i="6"/>
  <c r="I343" i="8"/>
  <c r="H343" i="8"/>
  <c r="G343" i="8"/>
  <c r="F343" i="8"/>
  <c r="E343" i="8"/>
  <c r="D343" i="8"/>
  <c r="C343" i="8"/>
  <c r="B343" i="8"/>
  <c r="B555" i="6"/>
  <c r="F718" i="6"/>
  <c r="I718" i="6"/>
  <c r="AC506" i="8"/>
  <c r="I715" i="6"/>
  <c r="AC503" i="8"/>
  <c r="F715" i="6"/>
  <c r="F720" i="6"/>
  <c r="I720" i="6"/>
  <c r="AC508" i="8"/>
  <c r="F721" i="6"/>
  <c r="I721" i="6"/>
  <c r="AC509" i="8"/>
  <c r="F719" i="6"/>
  <c r="I719" i="6"/>
  <c r="AC507" i="8"/>
  <c r="F717" i="6"/>
  <c r="I717" i="6"/>
  <c r="AC505" i="8"/>
  <c r="F716" i="6"/>
  <c r="I716" i="6"/>
  <c r="AC504" i="8"/>
  <c r="I722" i="6"/>
  <c r="AC510" i="8"/>
  <c r="F722" i="6"/>
  <c r="AM403" i="8"/>
  <c r="K346" i="8"/>
  <c r="T502" i="8"/>
  <c r="AD502" i="8"/>
  <c r="AN395" i="8"/>
  <c r="M346" i="8"/>
  <c r="V502" i="8"/>
  <c r="AF502" i="8"/>
  <c r="AP395" i="8"/>
  <c r="Q346" i="8"/>
  <c r="Z502" i="8"/>
  <c r="AJ502" i="8"/>
  <c r="AT395" i="8"/>
  <c r="L346" i="8"/>
  <c r="U502" i="8"/>
  <c r="AE502" i="8"/>
  <c r="AO395" i="8"/>
  <c r="N346" i="8"/>
  <c r="W502" i="8"/>
  <c r="AG502" i="8"/>
  <c r="AQ395" i="8"/>
  <c r="P346" i="8"/>
  <c r="Y502" i="8"/>
  <c r="AI502" i="8"/>
  <c r="AS395" i="8"/>
  <c r="R346" i="8"/>
  <c r="AA502" i="8"/>
  <c r="AK502" i="8"/>
  <c r="AU395" i="8"/>
  <c r="G556" i="6"/>
  <c r="H607" i="6"/>
  <c r="O346" i="8"/>
  <c r="X502" i="8"/>
  <c r="AH502" i="8"/>
  <c r="AR395" i="8"/>
  <c r="C558" i="6"/>
  <c r="D714" i="6"/>
  <c r="I342" i="8"/>
  <c r="H342" i="8"/>
  <c r="G342" i="8"/>
  <c r="F342" i="8"/>
  <c r="E342" i="8"/>
  <c r="D342" i="8"/>
  <c r="C342" i="8"/>
  <c r="B342" i="8"/>
  <c r="B554" i="6"/>
  <c r="H606" i="6"/>
  <c r="I341" i="8"/>
  <c r="AU393" i="8"/>
  <c r="H341" i="8"/>
  <c r="AT393" i="8"/>
  <c r="G341" i="8"/>
  <c r="AS393" i="8"/>
  <c r="F341" i="8"/>
  <c r="AR393" i="8"/>
  <c r="E341" i="8"/>
  <c r="AQ393" i="8"/>
  <c r="D341" i="8"/>
  <c r="AP393" i="8"/>
  <c r="C341" i="8"/>
  <c r="AO393" i="8"/>
  <c r="B341" i="8"/>
  <c r="AN393" i="8"/>
  <c r="B553" i="6"/>
  <c r="H605" i="6"/>
  <c r="I340" i="8"/>
  <c r="AU392" i="8"/>
  <c r="H340" i="8"/>
  <c r="AT392" i="8"/>
  <c r="G340" i="8"/>
  <c r="AS392" i="8"/>
  <c r="F340" i="8"/>
  <c r="AR392" i="8"/>
  <c r="E340" i="8"/>
  <c r="AQ392" i="8"/>
  <c r="D340" i="8"/>
  <c r="AP392" i="8"/>
  <c r="C340" i="8"/>
  <c r="AO392" i="8"/>
  <c r="B340" i="8"/>
  <c r="AN392" i="8"/>
  <c r="B552" i="6"/>
  <c r="H604" i="6"/>
  <c r="F714" i="6"/>
  <c r="I714" i="6"/>
  <c r="AC502" i="8"/>
  <c r="AM395" i="8"/>
  <c r="L345" i="8"/>
  <c r="U501" i="8"/>
  <c r="AE501" i="8"/>
  <c r="AO394" i="8"/>
  <c r="N345" i="8"/>
  <c r="W501" i="8"/>
  <c r="AG501" i="8"/>
  <c r="AQ394" i="8"/>
  <c r="P345" i="8"/>
  <c r="Y501" i="8"/>
  <c r="AI501" i="8"/>
  <c r="AS394" i="8"/>
  <c r="R345" i="8"/>
  <c r="AA501" i="8"/>
  <c r="AK501" i="8"/>
  <c r="AU394" i="8"/>
  <c r="K345" i="8"/>
  <c r="T501" i="8"/>
  <c r="AD501" i="8"/>
  <c r="AN394" i="8"/>
  <c r="M345" i="8"/>
  <c r="V501" i="8"/>
  <c r="AF501" i="8"/>
  <c r="AP394" i="8"/>
  <c r="O345" i="8"/>
  <c r="X501" i="8"/>
  <c r="AH501" i="8"/>
  <c r="AR394" i="8"/>
  <c r="Q345" i="8"/>
  <c r="Z501" i="8"/>
  <c r="AJ501" i="8"/>
  <c r="AT394" i="8"/>
  <c r="AM393" i="8"/>
  <c r="AM392" i="8"/>
  <c r="K344" i="8"/>
  <c r="T500" i="8"/>
  <c r="AD500" i="8"/>
  <c r="M344" i="8"/>
  <c r="V500" i="8"/>
  <c r="AF500" i="8"/>
  <c r="O344" i="8"/>
  <c r="X500" i="8"/>
  <c r="AH500" i="8"/>
  <c r="G555" i="6"/>
  <c r="C557" i="6"/>
  <c r="D713" i="6"/>
  <c r="K343" i="8"/>
  <c r="T499" i="8"/>
  <c r="AD499" i="8"/>
  <c r="M343" i="8"/>
  <c r="V499" i="8"/>
  <c r="AF499" i="8"/>
  <c r="O343" i="8"/>
  <c r="X499" i="8"/>
  <c r="AH499" i="8"/>
  <c r="C556" i="6"/>
  <c r="D712" i="6"/>
  <c r="L344" i="8"/>
  <c r="U500" i="8"/>
  <c r="AE500" i="8"/>
  <c r="N344" i="8"/>
  <c r="W500" i="8"/>
  <c r="AG500" i="8"/>
  <c r="P344" i="8"/>
  <c r="Y500" i="8"/>
  <c r="AI500" i="8"/>
  <c r="R344" i="8"/>
  <c r="AA500" i="8"/>
  <c r="AK500" i="8"/>
  <c r="Q344" i="8"/>
  <c r="Z500" i="8"/>
  <c r="AJ500" i="8"/>
  <c r="L343" i="8"/>
  <c r="U499" i="8"/>
  <c r="AE499" i="8"/>
  <c r="N343" i="8"/>
  <c r="W499" i="8"/>
  <c r="AG499" i="8"/>
  <c r="P343" i="8"/>
  <c r="Y499" i="8"/>
  <c r="AI499" i="8"/>
  <c r="R343" i="8"/>
  <c r="AA499" i="8"/>
  <c r="AK499" i="8"/>
  <c r="C555" i="6"/>
  <c r="D711" i="6"/>
  <c r="Q343" i="8"/>
  <c r="Z499" i="8"/>
  <c r="AJ499" i="8"/>
  <c r="G554" i="6"/>
  <c r="G553" i="6"/>
  <c r="I339" i="8"/>
  <c r="H339" i="8"/>
  <c r="G339" i="8"/>
  <c r="F339" i="8"/>
  <c r="E339" i="8"/>
  <c r="D339" i="8"/>
  <c r="C339" i="8"/>
  <c r="B339" i="8"/>
  <c r="B551" i="6"/>
  <c r="J284" i="3"/>
  <c r="I284" i="3"/>
  <c r="H284" i="3"/>
  <c r="G284" i="3"/>
  <c r="F284" i="3"/>
  <c r="E284" i="3"/>
  <c r="D284" i="3"/>
  <c r="C284" i="3"/>
  <c r="I338" i="8"/>
  <c r="AU390" i="8"/>
  <c r="H338" i="8"/>
  <c r="AT390" i="8"/>
  <c r="G338" i="8"/>
  <c r="AS390" i="8"/>
  <c r="F338" i="8"/>
  <c r="AR390" i="8"/>
  <c r="E338" i="8"/>
  <c r="AQ390" i="8"/>
  <c r="D338" i="8"/>
  <c r="AP390" i="8"/>
  <c r="C338" i="8"/>
  <c r="AO390" i="8"/>
  <c r="B338" i="8"/>
  <c r="AN390" i="8"/>
  <c r="B550" i="6"/>
  <c r="H602" i="6"/>
  <c r="I337" i="8"/>
  <c r="AU389" i="8"/>
  <c r="H337" i="8"/>
  <c r="AT389" i="8"/>
  <c r="G337" i="8"/>
  <c r="AS389" i="8"/>
  <c r="F337" i="8"/>
  <c r="AR389" i="8"/>
  <c r="E337" i="8"/>
  <c r="AQ389" i="8"/>
  <c r="D337" i="8"/>
  <c r="AP389" i="8"/>
  <c r="C337" i="8"/>
  <c r="AO389" i="8"/>
  <c r="B337" i="8"/>
  <c r="AN389" i="8"/>
  <c r="B549" i="6"/>
  <c r="H601" i="6"/>
  <c r="I336" i="8"/>
  <c r="AU388" i="8"/>
  <c r="H336" i="8"/>
  <c r="AT388" i="8"/>
  <c r="G336" i="8"/>
  <c r="AS388" i="8"/>
  <c r="F336" i="8"/>
  <c r="AR388" i="8"/>
  <c r="E336" i="8"/>
  <c r="AQ388" i="8"/>
  <c r="D336" i="8"/>
  <c r="AP388" i="8"/>
  <c r="C336" i="8"/>
  <c r="AO388" i="8"/>
  <c r="B336" i="8"/>
  <c r="AN388" i="8"/>
  <c r="B548" i="6"/>
  <c r="H600" i="6"/>
  <c r="I335" i="8"/>
  <c r="AU387" i="8"/>
  <c r="H335" i="8"/>
  <c r="AT387" i="8"/>
  <c r="G335" i="8"/>
  <c r="AS387" i="8"/>
  <c r="F335" i="8"/>
  <c r="AR387" i="8"/>
  <c r="E335" i="8"/>
  <c r="AQ387" i="8"/>
  <c r="D335" i="8"/>
  <c r="AP387" i="8"/>
  <c r="C335" i="8"/>
  <c r="AO387" i="8"/>
  <c r="B335" i="8"/>
  <c r="AN387" i="8"/>
  <c r="B547" i="6"/>
  <c r="H599" i="6"/>
  <c r="I712" i="6"/>
  <c r="AC500" i="8"/>
  <c r="F712" i="6"/>
  <c r="F713" i="6"/>
  <c r="I713" i="6"/>
  <c r="AC501" i="8"/>
  <c r="F711" i="6"/>
  <c r="I711" i="6"/>
  <c r="AC499" i="8"/>
  <c r="AM394" i="8"/>
  <c r="L342" i="8"/>
  <c r="U498" i="8"/>
  <c r="AE498" i="8"/>
  <c r="AO391" i="8"/>
  <c r="N342" i="8"/>
  <c r="W498" i="8"/>
  <c r="AG498" i="8"/>
  <c r="AQ391" i="8"/>
  <c r="P342" i="8"/>
  <c r="Y498" i="8"/>
  <c r="AI498" i="8"/>
  <c r="AS391" i="8"/>
  <c r="R342" i="8"/>
  <c r="AA498" i="8"/>
  <c r="AK498" i="8"/>
  <c r="AU391" i="8"/>
  <c r="G552" i="6"/>
  <c r="H603" i="6"/>
  <c r="K342" i="8"/>
  <c r="T498" i="8"/>
  <c r="AD498" i="8"/>
  <c r="AN391" i="8"/>
  <c r="M342" i="8"/>
  <c r="V498" i="8"/>
  <c r="AF498" i="8"/>
  <c r="AP391" i="8"/>
  <c r="O342" i="8"/>
  <c r="X498" i="8"/>
  <c r="AH498" i="8"/>
  <c r="AR391" i="8"/>
  <c r="Q342" i="8"/>
  <c r="Z498" i="8"/>
  <c r="AJ498" i="8"/>
  <c r="AT391" i="8"/>
  <c r="AM390" i="8"/>
  <c r="AM389" i="8"/>
  <c r="AM388" i="8"/>
  <c r="AM387" i="8"/>
  <c r="C553" i="6"/>
  <c r="D709" i="6"/>
  <c r="L341" i="8"/>
  <c r="U497" i="8"/>
  <c r="AE497" i="8"/>
  <c r="N341" i="8"/>
  <c r="W497" i="8"/>
  <c r="AG497" i="8"/>
  <c r="P341" i="8"/>
  <c r="Y497" i="8"/>
  <c r="AI497" i="8"/>
  <c r="R341" i="8"/>
  <c r="AA497" i="8"/>
  <c r="AK497" i="8"/>
  <c r="C554" i="6"/>
  <c r="D710" i="6"/>
  <c r="K340" i="8"/>
  <c r="T496" i="8"/>
  <c r="AD496" i="8"/>
  <c r="M340" i="8"/>
  <c r="V496" i="8"/>
  <c r="AF496" i="8"/>
  <c r="O340" i="8"/>
  <c r="X496" i="8"/>
  <c r="AH496" i="8"/>
  <c r="Q340" i="8"/>
  <c r="Z496" i="8"/>
  <c r="AJ496" i="8"/>
  <c r="K341" i="8"/>
  <c r="T497" i="8"/>
  <c r="AD497" i="8"/>
  <c r="M341" i="8"/>
  <c r="V497" i="8"/>
  <c r="AF497" i="8"/>
  <c r="O341" i="8"/>
  <c r="X497" i="8"/>
  <c r="AH497" i="8"/>
  <c r="Q341" i="8"/>
  <c r="Z497" i="8"/>
  <c r="AJ497" i="8"/>
  <c r="C552" i="6"/>
  <c r="D708" i="6"/>
  <c r="L340" i="8"/>
  <c r="U496" i="8"/>
  <c r="AE496" i="8"/>
  <c r="N340" i="8"/>
  <c r="W496" i="8"/>
  <c r="AG496" i="8"/>
  <c r="P340" i="8"/>
  <c r="Y496" i="8"/>
  <c r="AI496" i="8"/>
  <c r="R340" i="8"/>
  <c r="AA496" i="8"/>
  <c r="AK496" i="8"/>
  <c r="L339" i="8"/>
  <c r="U495" i="8"/>
  <c r="AE495" i="8"/>
  <c r="N339" i="8"/>
  <c r="W495" i="8"/>
  <c r="AG495" i="8"/>
  <c r="F16" i="5"/>
  <c r="P339" i="8"/>
  <c r="Y495" i="8"/>
  <c r="AI495" i="8"/>
  <c r="H16" i="5"/>
  <c r="R339" i="8"/>
  <c r="AA495" i="8"/>
  <c r="AK495" i="8"/>
  <c r="K339" i="8"/>
  <c r="T495" i="8"/>
  <c r="AD495" i="8"/>
  <c r="M339" i="8"/>
  <c r="V495" i="8"/>
  <c r="AF495" i="8"/>
  <c r="O339" i="8"/>
  <c r="X495" i="8"/>
  <c r="AH495" i="8"/>
  <c r="G16" i="5"/>
  <c r="Q339" i="8"/>
  <c r="Z495" i="8"/>
  <c r="AJ495" i="8"/>
  <c r="C551" i="6"/>
  <c r="D707" i="6"/>
  <c r="G551" i="6"/>
  <c r="N338" i="8"/>
  <c r="W494" i="8"/>
  <c r="AG494" i="8"/>
  <c r="P338" i="8"/>
  <c r="Y494" i="8"/>
  <c r="AI494" i="8"/>
  <c r="R338" i="8"/>
  <c r="AA494" i="8"/>
  <c r="AK494" i="8"/>
  <c r="L338" i="8"/>
  <c r="U494" i="8"/>
  <c r="AE494" i="8"/>
  <c r="K338" i="8"/>
  <c r="T494" i="8"/>
  <c r="AD494" i="8"/>
  <c r="M338" i="8"/>
  <c r="V494" i="8"/>
  <c r="AF494" i="8"/>
  <c r="O338" i="8"/>
  <c r="X494" i="8"/>
  <c r="AH494" i="8"/>
  <c r="Q338" i="8"/>
  <c r="Z494" i="8"/>
  <c r="AJ494" i="8"/>
  <c r="C550" i="6"/>
  <c r="D706" i="6"/>
  <c r="G550" i="6"/>
  <c r="G549" i="6"/>
  <c r="G548" i="6"/>
  <c r="I334" i="8"/>
  <c r="H334" i="8"/>
  <c r="G334" i="8"/>
  <c r="F334" i="8"/>
  <c r="E334" i="8"/>
  <c r="D334" i="8"/>
  <c r="C334" i="8"/>
  <c r="B334" i="8"/>
  <c r="B546" i="6"/>
  <c r="B545" i="6"/>
  <c r="H597" i="6"/>
  <c r="I333" i="8"/>
  <c r="AU385" i="8"/>
  <c r="H333" i="8"/>
  <c r="AT385" i="8"/>
  <c r="G333" i="8"/>
  <c r="AS385" i="8"/>
  <c r="F333" i="8"/>
  <c r="AR385" i="8"/>
  <c r="E333" i="8"/>
  <c r="AQ385" i="8"/>
  <c r="D333" i="8"/>
  <c r="AP385" i="8"/>
  <c r="C333" i="8"/>
  <c r="AO385" i="8"/>
  <c r="B333" i="8"/>
  <c r="I332" i="8"/>
  <c r="AU384" i="8"/>
  <c r="H332" i="8"/>
  <c r="AT384" i="8"/>
  <c r="G332" i="8"/>
  <c r="AS384" i="8"/>
  <c r="F332" i="8"/>
  <c r="AR384" i="8"/>
  <c r="E332" i="8"/>
  <c r="AQ384" i="8"/>
  <c r="D332" i="8"/>
  <c r="AP384" i="8"/>
  <c r="C332" i="8"/>
  <c r="B332" i="8"/>
  <c r="B544" i="6"/>
  <c r="H596" i="6"/>
  <c r="I331" i="8"/>
  <c r="AU383" i="8"/>
  <c r="H331" i="8"/>
  <c r="G331" i="8"/>
  <c r="AS383" i="8"/>
  <c r="F331" i="8"/>
  <c r="E331" i="8"/>
  <c r="AQ383" i="8"/>
  <c r="D331" i="8"/>
  <c r="C331" i="8"/>
  <c r="B331" i="8"/>
  <c r="B543" i="6"/>
  <c r="H595" i="6"/>
  <c r="B542" i="6"/>
  <c r="H594" i="6"/>
  <c r="I330" i="8"/>
  <c r="AU382" i="8"/>
  <c r="H330" i="8"/>
  <c r="AT382" i="8"/>
  <c r="G330" i="8"/>
  <c r="AS382" i="8"/>
  <c r="F330" i="8"/>
  <c r="AR382" i="8"/>
  <c r="E330" i="8"/>
  <c r="AQ382" i="8"/>
  <c r="D330" i="8"/>
  <c r="AP382" i="8"/>
  <c r="C330" i="8"/>
  <c r="B330" i="8"/>
  <c r="I329" i="8"/>
  <c r="AU381" i="8"/>
  <c r="H329" i="8"/>
  <c r="AT381" i="8"/>
  <c r="G329" i="8"/>
  <c r="AS381" i="8"/>
  <c r="F329" i="8"/>
  <c r="AR381" i="8"/>
  <c r="E329" i="8"/>
  <c r="AQ381" i="8"/>
  <c r="D329" i="8"/>
  <c r="AP381" i="8"/>
  <c r="C329" i="8"/>
  <c r="B329" i="8"/>
  <c r="B541" i="6"/>
  <c r="H593" i="6"/>
  <c r="I328" i="8"/>
  <c r="AU380" i="8"/>
  <c r="H328" i="8"/>
  <c r="AT380" i="8"/>
  <c r="G328" i="8"/>
  <c r="AS380" i="8"/>
  <c r="F328" i="8"/>
  <c r="AR380" i="8"/>
  <c r="E328" i="8"/>
  <c r="AQ380" i="8"/>
  <c r="D328" i="8"/>
  <c r="AP380" i="8"/>
  <c r="C328" i="8"/>
  <c r="B328" i="8"/>
  <c r="B540" i="6"/>
  <c r="H592" i="6"/>
  <c r="I327" i="8"/>
  <c r="AU379" i="8"/>
  <c r="H327" i="8"/>
  <c r="AT379" i="8"/>
  <c r="G327" i="8"/>
  <c r="AS379" i="8"/>
  <c r="F327" i="8"/>
  <c r="AR379" i="8"/>
  <c r="E327" i="8"/>
  <c r="AQ379" i="8"/>
  <c r="D327" i="8"/>
  <c r="AP379" i="8"/>
  <c r="C327" i="8"/>
  <c r="B327" i="8"/>
  <c r="B539" i="6"/>
  <c r="H591" i="6"/>
  <c r="I326" i="8"/>
  <c r="AU378" i="8"/>
  <c r="H326" i="8"/>
  <c r="AT378" i="8"/>
  <c r="G326" i="8"/>
  <c r="AS378" i="8"/>
  <c r="F326" i="8"/>
  <c r="AR378" i="8"/>
  <c r="E326" i="8"/>
  <c r="AQ378" i="8"/>
  <c r="D326" i="8"/>
  <c r="AP378" i="8"/>
  <c r="C326" i="8"/>
  <c r="B326" i="8"/>
  <c r="B538" i="6"/>
  <c r="H590" i="6"/>
  <c r="I325" i="8"/>
  <c r="AU377" i="8"/>
  <c r="H325" i="8"/>
  <c r="AT377" i="8"/>
  <c r="G325" i="8"/>
  <c r="AS377" i="8"/>
  <c r="F325" i="8"/>
  <c r="AR377" i="8"/>
  <c r="E325" i="8"/>
  <c r="AQ377" i="8"/>
  <c r="D325" i="8"/>
  <c r="AP377" i="8"/>
  <c r="C325" i="8"/>
  <c r="B325" i="8"/>
  <c r="B537" i="6"/>
  <c r="H589" i="6"/>
  <c r="I324" i="8"/>
  <c r="AU376" i="8"/>
  <c r="H324" i="8"/>
  <c r="AT376" i="8"/>
  <c r="G324" i="8"/>
  <c r="AS376" i="8"/>
  <c r="F324" i="8"/>
  <c r="AR376" i="8"/>
  <c r="E324" i="8"/>
  <c r="AQ376" i="8"/>
  <c r="D324" i="8"/>
  <c r="AP376" i="8"/>
  <c r="C324" i="8"/>
  <c r="B324" i="8"/>
  <c r="B536" i="6"/>
  <c r="H588" i="6"/>
  <c r="I323" i="8"/>
  <c r="AU375" i="8"/>
  <c r="H323" i="8"/>
  <c r="AT375" i="8"/>
  <c r="G323" i="8"/>
  <c r="AS375" i="8"/>
  <c r="F323" i="8"/>
  <c r="AR375" i="8"/>
  <c r="E323" i="8"/>
  <c r="AQ375" i="8"/>
  <c r="D323" i="8"/>
  <c r="AP375" i="8"/>
  <c r="C323" i="8"/>
  <c r="B323" i="8"/>
  <c r="B535" i="6"/>
  <c r="H587" i="6"/>
  <c r="I322" i="8"/>
  <c r="AU374" i="8"/>
  <c r="H322" i="8"/>
  <c r="AT374" i="8"/>
  <c r="G322" i="8"/>
  <c r="AS374" i="8"/>
  <c r="F322" i="8"/>
  <c r="AR374" i="8"/>
  <c r="E322" i="8"/>
  <c r="AQ374" i="8"/>
  <c r="D322" i="8"/>
  <c r="AP374" i="8"/>
  <c r="C322" i="8"/>
  <c r="B322" i="8"/>
  <c r="B534" i="6"/>
  <c r="H586" i="6"/>
  <c r="I321" i="8"/>
  <c r="AU373" i="8"/>
  <c r="H321" i="8"/>
  <c r="AT373" i="8"/>
  <c r="G321" i="8"/>
  <c r="AS373" i="8"/>
  <c r="F321" i="8"/>
  <c r="AR373" i="8"/>
  <c r="E321" i="8"/>
  <c r="AQ373" i="8"/>
  <c r="D321" i="8"/>
  <c r="AP373" i="8"/>
  <c r="C321" i="8"/>
  <c r="B321" i="8"/>
  <c r="B533" i="6"/>
  <c r="H585" i="6"/>
  <c r="I320" i="8"/>
  <c r="AU372" i="8"/>
  <c r="H320" i="8"/>
  <c r="AT372" i="8"/>
  <c r="G320" i="8"/>
  <c r="AS372" i="8"/>
  <c r="F320" i="8"/>
  <c r="AR372" i="8"/>
  <c r="E320" i="8"/>
  <c r="AQ372" i="8"/>
  <c r="D320" i="8"/>
  <c r="AP372" i="8"/>
  <c r="C320" i="8"/>
  <c r="B320" i="8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B532" i="6"/>
  <c r="H584" i="6"/>
  <c r="I319" i="8"/>
  <c r="AU371" i="8"/>
  <c r="H319" i="8"/>
  <c r="AT371" i="8"/>
  <c r="G319" i="8"/>
  <c r="AS371" i="8"/>
  <c r="F319" i="8"/>
  <c r="AR371" i="8"/>
  <c r="E319" i="8"/>
  <c r="AQ371" i="8"/>
  <c r="D319" i="8"/>
  <c r="AP371" i="8"/>
  <c r="C319" i="8"/>
  <c r="B319" i="8"/>
  <c r="B531" i="6"/>
  <c r="H583" i="6"/>
  <c r="I318" i="8"/>
  <c r="AU370" i="8"/>
  <c r="H318" i="8"/>
  <c r="AT370" i="8"/>
  <c r="G318" i="8"/>
  <c r="AS370" i="8"/>
  <c r="F318" i="8"/>
  <c r="AR370" i="8"/>
  <c r="E318" i="8"/>
  <c r="AQ370" i="8"/>
  <c r="D318" i="8"/>
  <c r="AP370" i="8"/>
  <c r="C318" i="8"/>
  <c r="B318" i="8"/>
  <c r="B530" i="6"/>
  <c r="H582" i="6"/>
  <c r="B529" i="6"/>
  <c r="H581" i="6"/>
  <c r="I317" i="8"/>
  <c r="AU369" i="8"/>
  <c r="H317" i="8"/>
  <c r="AT369" i="8"/>
  <c r="G317" i="8"/>
  <c r="AS369" i="8"/>
  <c r="F317" i="8"/>
  <c r="AR369" i="8"/>
  <c r="E317" i="8"/>
  <c r="AQ369" i="8"/>
  <c r="D317" i="8"/>
  <c r="AP369" i="8"/>
  <c r="C317" i="8"/>
  <c r="B317" i="8"/>
  <c r="H316" i="8"/>
  <c r="AT368" i="8"/>
  <c r="H264" i="8"/>
  <c r="G316" i="8"/>
  <c r="AS368" i="8"/>
  <c r="G264" i="8"/>
  <c r="F316" i="8"/>
  <c r="AR368" i="8"/>
  <c r="F264" i="8"/>
  <c r="E316" i="8"/>
  <c r="AQ368" i="8"/>
  <c r="E264" i="8"/>
  <c r="D316" i="8"/>
  <c r="AP368" i="8"/>
  <c r="D264" i="8"/>
  <c r="H157" i="8"/>
  <c r="H158" i="8"/>
  <c r="H159" i="8"/>
  <c r="H160" i="8"/>
  <c r="H209" i="8"/>
  <c r="H210" i="8"/>
  <c r="H211" i="8"/>
  <c r="H212" i="8"/>
  <c r="H261" i="8"/>
  <c r="H262" i="8"/>
  <c r="H263" i="8"/>
  <c r="G157" i="8"/>
  <c r="G158" i="8"/>
  <c r="G159" i="8"/>
  <c r="G160" i="8"/>
  <c r="G209" i="8"/>
  <c r="G210" i="8"/>
  <c r="G211" i="8"/>
  <c r="G212" i="8"/>
  <c r="G261" i="8"/>
  <c r="G262" i="8"/>
  <c r="G263" i="8"/>
  <c r="F157" i="8"/>
  <c r="F158" i="8"/>
  <c r="F159" i="8"/>
  <c r="F160" i="8"/>
  <c r="F209" i="8"/>
  <c r="F210" i="8"/>
  <c r="F211" i="8"/>
  <c r="F212" i="8"/>
  <c r="F261" i="8"/>
  <c r="F262" i="8"/>
  <c r="F263" i="8"/>
  <c r="E157" i="8"/>
  <c r="E158" i="8"/>
  <c r="E159" i="8"/>
  <c r="E160" i="8"/>
  <c r="E209" i="8"/>
  <c r="E210" i="8"/>
  <c r="E211" i="8"/>
  <c r="E212" i="8"/>
  <c r="E261" i="8"/>
  <c r="E262" i="8"/>
  <c r="E263" i="8"/>
  <c r="D157" i="8"/>
  <c r="D158" i="8"/>
  <c r="D159" i="8"/>
  <c r="D160" i="8"/>
  <c r="D209" i="8"/>
  <c r="D210" i="8"/>
  <c r="D211" i="8"/>
  <c r="D212" i="8"/>
  <c r="D261" i="8"/>
  <c r="D262" i="8"/>
  <c r="D263" i="8"/>
  <c r="I316" i="8"/>
  <c r="AU368" i="8"/>
  <c r="I264" i="8"/>
  <c r="C316" i="8"/>
  <c r="AO368" i="8"/>
  <c r="C264" i="8"/>
  <c r="B316" i="8"/>
  <c r="B264" i="8"/>
  <c r="B528" i="6"/>
  <c r="H580" i="6"/>
  <c r="B476" i="6"/>
  <c r="I157" i="8"/>
  <c r="I158" i="8"/>
  <c r="I159" i="8"/>
  <c r="I160" i="8"/>
  <c r="I209" i="8"/>
  <c r="I210" i="8"/>
  <c r="I211" i="8"/>
  <c r="I212" i="8"/>
  <c r="I261" i="8"/>
  <c r="I262" i="8"/>
  <c r="I263" i="8"/>
  <c r="C157" i="8"/>
  <c r="C158" i="8"/>
  <c r="C159" i="8"/>
  <c r="C160" i="8"/>
  <c r="C209" i="8"/>
  <c r="C210" i="8"/>
  <c r="C211" i="8"/>
  <c r="C212" i="8"/>
  <c r="C261" i="8"/>
  <c r="C262" i="8"/>
  <c r="C263" i="8"/>
  <c r="B157" i="8"/>
  <c r="B158" i="8"/>
  <c r="B159" i="8"/>
  <c r="B160" i="8"/>
  <c r="B261" i="8"/>
  <c r="B262" i="8"/>
  <c r="B263" i="8"/>
  <c r="B369" i="6"/>
  <c r="B370" i="6"/>
  <c r="B371" i="6"/>
  <c r="B372" i="6"/>
  <c r="B421" i="6"/>
  <c r="B422" i="6"/>
  <c r="B423" i="6"/>
  <c r="B424" i="6"/>
  <c r="B473" i="6"/>
  <c r="B474" i="6"/>
  <c r="B475" i="6"/>
  <c r="I313" i="8"/>
  <c r="I314" i="8"/>
  <c r="I315" i="8"/>
  <c r="AU367" i="8"/>
  <c r="H313" i="8"/>
  <c r="AT365" i="8"/>
  <c r="H314" i="8"/>
  <c r="H315" i="8"/>
  <c r="AT367" i="8"/>
  <c r="G313" i="8"/>
  <c r="G314" i="8"/>
  <c r="AS366" i="8"/>
  <c r="G315" i="8"/>
  <c r="F313" i="8"/>
  <c r="AR365" i="8"/>
  <c r="F314" i="8"/>
  <c r="F315" i="8"/>
  <c r="AR367" i="8"/>
  <c r="E313" i="8"/>
  <c r="E314" i="8"/>
  <c r="AQ366" i="8"/>
  <c r="E315" i="8"/>
  <c r="D313" i="8"/>
  <c r="AP365" i="8"/>
  <c r="D314" i="8"/>
  <c r="AP366" i="8"/>
  <c r="D315" i="8"/>
  <c r="AP367" i="8"/>
  <c r="C313" i="8"/>
  <c r="AO365" i="8"/>
  <c r="C314" i="8"/>
  <c r="AO366" i="8"/>
  <c r="C315" i="8"/>
  <c r="AO367" i="8"/>
  <c r="B313" i="8"/>
  <c r="AN365" i="8"/>
  <c r="B314" i="8"/>
  <c r="B315" i="8"/>
  <c r="B527" i="6"/>
  <c r="H579" i="6"/>
  <c r="B525" i="6"/>
  <c r="H577" i="6"/>
  <c r="B526" i="6"/>
  <c r="H578" i="6"/>
  <c r="H156" i="8"/>
  <c r="H208" i="8"/>
  <c r="H260" i="8"/>
  <c r="G156" i="8"/>
  <c r="G208" i="8"/>
  <c r="G260" i="8"/>
  <c r="F156" i="8"/>
  <c r="F208" i="8"/>
  <c r="F260" i="8"/>
  <c r="E156" i="8"/>
  <c r="E208" i="8"/>
  <c r="E260" i="8"/>
  <c r="D156" i="8"/>
  <c r="D208" i="8"/>
  <c r="D260" i="8"/>
  <c r="C156" i="8"/>
  <c r="C208" i="8"/>
  <c r="C260" i="8"/>
  <c r="I156" i="8"/>
  <c r="I208" i="8"/>
  <c r="I260" i="8"/>
  <c r="B156" i="8"/>
  <c r="B208" i="8"/>
  <c r="K211" i="8"/>
  <c r="B260" i="8"/>
  <c r="B368" i="6"/>
  <c r="B420" i="6"/>
  <c r="B472" i="6"/>
  <c r="I312" i="8"/>
  <c r="AU364" i="8"/>
  <c r="H312" i="8"/>
  <c r="G312" i="8"/>
  <c r="F312" i="8"/>
  <c r="E312" i="8"/>
  <c r="AQ364" i="8"/>
  <c r="D312" i="8"/>
  <c r="C312" i="8"/>
  <c r="B312" i="8"/>
  <c r="AN364" i="8"/>
  <c r="B524" i="6"/>
  <c r="H576" i="6"/>
  <c r="H155" i="8"/>
  <c r="H207" i="8"/>
  <c r="H259" i="8"/>
  <c r="G155" i="8"/>
  <c r="G207" i="8"/>
  <c r="G259" i="8"/>
  <c r="F155" i="8"/>
  <c r="F207" i="8"/>
  <c r="F259" i="8"/>
  <c r="E155" i="8"/>
  <c r="E207" i="8"/>
  <c r="E259" i="8"/>
  <c r="D155" i="8"/>
  <c r="D207" i="8"/>
  <c r="D259" i="8"/>
  <c r="C155" i="8"/>
  <c r="C207" i="8"/>
  <c r="C259" i="8"/>
  <c r="I155" i="8"/>
  <c r="I207" i="8"/>
  <c r="I259" i="8"/>
  <c r="B155" i="8"/>
  <c r="B207" i="8"/>
  <c r="B259" i="8"/>
  <c r="B367" i="6"/>
  <c r="B419" i="6"/>
  <c r="B471" i="6"/>
  <c r="I311" i="8"/>
  <c r="AU363" i="8"/>
  <c r="H311" i="8"/>
  <c r="G311" i="8"/>
  <c r="AS363" i="8"/>
  <c r="F311" i="8"/>
  <c r="AR363" i="8"/>
  <c r="E311" i="8"/>
  <c r="AQ363" i="8"/>
  <c r="D311" i="8"/>
  <c r="C311" i="8"/>
  <c r="AO363" i="8"/>
  <c r="B311" i="8"/>
  <c r="AN363" i="8"/>
  <c r="B523" i="6"/>
  <c r="H575" i="6"/>
  <c r="H154" i="8"/>
  <c r="H206" i="8"/>
  <c r="H258" i="8"/>
  <c r="G154" i="8"/>
  <c r="G206" i="8"/>
  <c r="G258" i="8"/>
  <c r="F154" i="8"/>
  <c r="F206" i="8"/>
  <c r="F258" i="8"/>
  <c r="E154" i="8"/>
  <c r="E206" i="8"/>
  <c r="E258" i="8"/>
  <c r="D154" i="8"/>
  <c r="D206" i="8"/>
  <c r="D258" i="8"/>
  <c r="C154" i="8"/>
  <c r="C102" i="8"/>
  <c r="C103" i="8"/>
  <c r="C104" i="8"/>
  <c r="C105" i="8"/>
  <c r="C206" i="8"/>
  <c r="C258" i="8"/>
  <c r="B154" i="8"/>
  <c r="B206" i="8"/>
  <c r="B258" i="8"/>
  <c r="I154" i="8"/>
  <c r="I206" i="8"/>
  <c r="I258" i="8"/>
  <c r="B366" i="6"/>
  <c r="B418" i="6"/>
  <c r="B470" i="6"/>
  <c r="I310" i="8"/>
  <c r="AU362" i="8"/>
  <c r="H310" i="8"/>
  <c r="G310" i="8"/>
  <c r="F310" i="8"/>
  <c r="AR362" i="8"/>
  <c r="E310" i="8"/>
  <c r="D310" i="8"/>
  <c r="C310" i="8"/>
  <c r="B310" i="8"/>
  <c r="B522" i="6"/>
  <c r="H574" i="6"/>
  <c r="H153" i="8"/>
  <c r="H205" i="8"/>
  <c r="H257" i="8"/>
  <c r="G153" i="8"/>
  <c r="G205" i="8"/>
  <c r="G257" i="8"/>
  <c r="F153" i="8"/>
  <c r="F205" i="8"/>
  <c r="F257" i="8"/>
  <c r="E153" i="8"/>
  <c r="E205" i="8"/>
  <c r="E257" i="8"/>
  <c r="D153" i="8"/>
  <c r="D205" i="8"/>
  <c r="D257" i="8"/>
  <c r="C153" i="8"/>
  <c r="C205" i="8"/>
  <c r="C257" i="8"/>
  <c r="B153" i="8"/>
  <c r="B205" i="8"/>
  <c r="B257" i="8"/>
  <c r="I153" i="8"/>
  <c r="I205" i="8"/>
  <c r="I257" i="8"/>
  <c r="B365" i="6"/>
  <c r="B417" i="6"/>
  <c r="B469" i="6"/>
  <c r="I309" i="8"/>
  <c r="AU361" i="8"/>
  <c r="H309" i="8"/>
  <c r="G309" i="8"/>
  <c r="F309" i="8"/>
  <c r="E309" i="8"/>
  <c r="D309" i="8"/>
  <c r="C309" i="8"/>
  <c r="B309" i="8"/>
  <c r="B521" i="6"/>
  <c r="H573" i="6"/>
  <c r="H152" i="8"/>
  <c r="H204" i="8"/>
  <c r="H256" i="8"/>
  <c r="G152" i="8"/>
  <c r="G204" i="8"/>
  <c r="G256" i="8"/>
  <c r="F152" i="8"/>
  <c r="F204" i="8"/>
  <c r="F256" i="8"/>
  <c r="E152" i="8"/>
  <c r="E204" i="8"/>
  <c r="E256" i="8"/>
  <c r="D152" i="8"/>
  <c r="D204" i="8"/>
  <c r="D256" i="8"/>
  <c r="C152" i="8"/>
  <c r="C204" i="8"/>
  <c r="C256" i="8"/>
  <c r="B152" i="8"/>
  <c r="B204" i="8"/>
  <c r="B256" i="8"/>
  <c r="I152" i="8"/>
  <c r="I204" i="8"/>
  <c r="I256" i="8"/>
  <c r="B364" i="6"/>
  <c r="B416" i="6"/>
  <c r="B468" i="6"/>
  <c r="I308" i="8"/>
  <c r="H308" i="8"/>
  <c r="G308" i="8"/>
  <c r="F308" i="8"/>
  <c r="E308" i="8"/>
  <c r="D308" i="8"/>
  <c r="C308" i="8"/>
  <c r="AO360" i="8"/>
  <c r="B308" i="8"/>
  <c r="B520" i="6"/>
  <c r="H572" i="6"/>
  <c r="H151" i="8"/>
  <c r="H203" i="8"/>
  <c r="H255" i="8"/>
  <c r="G151" i="8"/>
  <c r="G203" i="8"/>
  <c r="G255" i="8"/>
  <c r="F151" i="8"/>
  <c r="F203" i="8"/>
  <c r="F255" i="8"/>
  <c r="E151" i="8"/>
  <c r="E203" i="8"/>
  <c r="E255" i="8"/>
  <c r="D151" i="8"/>
  <c r="D203" i="8"/>
  <c r="D255" i="8"/>
  <c r="C151" i="8"/>
  <c r="L153" i="8"/>
  <c r="C203" i="8"/>
  <c r="C255" i="8"/>
  <c r="B151" i="8"/>
  <c r="B203" i="8"/>
  <c r="B255" i="8"/>
  <c r="I151" i="8"/>
  <c r="I203" i="8"/>
  <c r="I255" i="8"/>
  <c r="R256" i="8"/>
  <c r="B363" i="6"/>
  <c r="B415" i="6"/>
  <c r="B467" i="6"/>
  <c r="I307" i="8"/>
  <c r="H307" i="8"/>
  <c r="G307" i="8"/>
  <c r="F307" i="8"/>
  <c r="E307" i="8"/>
  <c r="D307" i="8"/>
  <c r="C307" i="8"/>
  <c r="B307" i="8"/>
  <c r="B519" i="6"/>
  <c r="H150" i="8"/>
  <c r="H202" i="8"/>
  <c r="H254" i="8"/>
  <c r="G150" i="8"/>
  <c r="G202" i="8"/>
  <c r="G254" i="8"/>
  <c r="F150" i="8"/>
  <c r="F202" i="8"/>
  <c r="F254" i="8"/>
  <c r="E150" i="8"/>
  <c r="E202" i="8"/>
  <c r="E254" i="8"/>
  <c r="D150" i="8"/>
  <c r="D202" i="8"/>
  <c r="D254" i="8"/>
  <c r="C150" i="8"/>
  <c r="C202" i="8"/>
  <c r="C254" i="8"/>
  <c r="B150" i="8"/>
  <c r="B202" i="8"/>
  <c r="B254" i="8"/>
  <c r="I150" i="8"/>
  <c r="I202" i="8"/>
  <c r="I254" i="8"/>
  <c r="B362" i="6"/>
  <c r="B414" i="6"/>
  <c r="B466" i="6"/>
  <c r="I306" i="8"/>
  <c r="AU358" i="8"/>
  <c r="H306" i="8"/>
  <c r="G306" i="8"/>
  <c r="F306" i="8"/>
  <c r="E306" i="8"/>
  <c r="AQ358" i="8"/>
  <c r="D306" i="8"/>
  <c r="C306" i="8"/>
  <c r="B306" i="8"/>
  <c r="B518" i="6"/>
  <c r="B361" i="6"/>
  <c r="B413" i="6"/>
  <c r="B465" i="6"/>
  <c r="B517" i="6"/>
  <c r="B149" i="8"/>
  <c r="B201" i="8"/>
  <c r="B253" i="8"/>
  <c r="H149" i="8"/>
  <c r="H201" i="8"/>
  <c r="H253" i="8"/>
  <c r="G149" i="8"/>
  <c r="G201" i="8"/>
  <c r="G253" i="8"/>
  <c r="F149" i="8"/>
  <c r="F201" i="8"/>
  <c r="F253" i="8"/>
  <c r="E149" i="8"/>
  <c r="E201" i="8"/>
  <c r="E253" i="8"/>
  <c r="D149" i="8"/>
  <c r="D201" i="8"/>
  <c r="D253" i="8"/>
  <c r="C149" i="8"/>
  <c r="C201" i="8"/>
  <c r="C253" i="8"/>
  <c r="I149" i="8"/>
  <c r="I201" i="8"/>
  <c r="I253" i="8"/>
  <c r="I305" i="8"/>
  <c r="AU357" i="8"/>
  <c r="H305" i="8"/>
  <c r="AT357" i="8"/>
  <c r="G305" i="8"/>
  <c r="AS357" i="8"/>
  <c r="F305" i="8"/>
  <c r="AR357" i="8"/>
  <c r="E305" i="8"/>
  <c r="D305" i="8"/>
  <c r="C305" i="8"/>
  <c r="B305" i="8"/>
  <c r="AN357" i="8"/>
  <c r="H148" i="8"/>
  <c r="H200" i="8"/>
  <c r="H252" i="8"/>
  <c r="G148" i="8"/>
  <c r="G200" i="8"/>
  <c r="G252" i="8"/>
  <c r="F148" i="8"/>
  <c r="F200" i="8"/>
  <c r="F252" i="8"/>
  <c r="E148" i="8"/>
  <c r="E200" i="8"/>
  <c r="E252" i="8"/>
  <c r="D148" i="8"/>
  <c r="D200" i="8"/>
  <c r="D252" i="8"/>
  <c r="C148" i="8"/>
  <c r="C200" i="8"/>
  <c r="C252" i="8"/>
  <c r="B148" i="8"/>
  <c r="B200" i="8"/>
  <c r="B252" i="8"/>
  <c r="I148" i="8"/>
  <c r="I200" i="8"/>
  <c r="I252" i="8"/>
  <c r="B360" i="6"/>
  <c r="B412" i="6"/>
  <c r="B464" i="6"/>
  <c r="I304" i="8"/>
  <c r="H304" i="8"/>
  <c r="G304" i="8"/>
  <c r="F304" i="8"/>
  <c r="AR356" i="8"/>
  <c r="E304" i="8"/>
  <c r="D304" i="8"/>
  <c r="C304" i="8"/>
  <c r="B304" i="8"/>
  <c r="H147" i="8"/>
  <c r="H199" i="8"/>
  <c r="H251" i="8"/>
  <c r="G147" i="8"/>
  <c r="G199" i="8"/>
  <c r="G251" i="8"/>
  <c r="F147" i="8"/>
  <c r="F199" i="8"/>
  <c r="F251" i="8"/>
  <c r="F250" i="8"/>
  <c r="E147" i="8"/>
  <c r="E199" i="8"/>
  <c r="E251" i="8"/>
  <c r="D147" i="8"/>
  <c r="D199" i="8"/>
  <c r="D251" i="8"/>
  <c r="C147" i="8"/>
  <c r="C199" i="8"/>
  <c r="C251" i="8"/>
  <c r="B147" i="8"/>
  <c r="B199" i="8"/>
  <c r="B251" i="8"/>
  <c r="I147" i="8"/>
  <c r="I199" i="8"/>
  <c r="I251" i="8"/>
  <c r="B359" i="6"/>
  <c r="B411" i="6"/>
  <c r="B463" i="6"/>
  <c r="I303" i="8"/>
  <c r="AU355" i="8"/>
  <c r="H303" i="8"/>
  <c r="AT355" i="8"/>
  <c r="G303" i="8"/>
  <c r="AS355" i="8"/>
  <c r="F303" i="8"/>
  <c r="AR355" i="8"/>
  <c r="E303" i="8"/>
  <c r="AQ355" i="8"/>
  <c r="D303" i="8"/>
  <c r="AP355" i="8"/>
  <c r="C303" i="8"/>
  <c r="AO355" i="8"/>
  <c r="B303" i="8"/>
  <c r="AN355" i="8"/>
  <c r="B516" i="6"/>
  <c r="H568" i="6"/>
  <c r="B515" i="6"/>
  <c r="H567" i="6"/>
  <c r="H146" i="8"/>
  <c r="H198" i="8"/>
  <c r="H250" i="8"/>
  <c r="G146" i="8"/>
  <c r="G198" i="8"/>
  <c r="G250" i="8"/>
  <c r="F146" i="8"/>
  <c r="F198" i="8"/>
  <c r="E146" i="8"/>
  <c r="E198" i="8"/>
  <c r="E250" i="8"/>
  <c r="D146" i="8"/>
  <c r="D198" i="8"/>
  <c r="D250" i="8"/>
  <c r="C146" i="8"/>
  <c r="C198" i="8"/>
  <c r="C250" i="8"/>
  <c r="B146" i="8"/>
  <c r="B198" i="8"/>
  <c r="B250" i="8"/>
  <c r="I146" i="8"/>
  <c r="I198" i="8"/>
  <c r="I250" i="8"/>
  <c r="B358" i="6"/>
  <c r="B410" i="6"/>
  <c r="B462" i="6"/>
  <c r="I302" i="8"/>
  <c r="AU354" i="8"/>
  <c r="H302" i="8"/>
  <c r="AT354" i="8"/>
  <c r="G302" i="8"/>
  <c r="AS354" i="8"/>
  <c r="F302" i="8"/>
  <c r="E302" i="8"/>
  <c r="D302" i="8"/>
  <c r="C302" i="8"/>
  <c r="B302" i="8"/>
  <c r="B514" i="6"/>
  <c r="H566" i="6"/>
  <c r="H145" i="8"/>
  <c r="H93" i="8"/>
  <c r="H94" i="8"/>
  <c r="H95" i="8"/>
  <c r="H96" i="8"/>
  <c r="H197" i="8"/>
  <c r="H249" i="8"/>
  <c r="G145" i="8"/>
  <c r="G197" i="8"/>
  <c r="G249" i="8"/>
  <c r="F145" i="8"/>
  <c r="F197" i="8"/>
  <c r="F249" i="8"/>
  <c r="E145" i="8"/>
  <c r="E197" i="8"/>
  <c r="E249" i="8"/>
  <c r="D145" i="8"/>
  <c r="D197" i="8"/>
  <c r="D249" i="8"/>
  <c r="B357" i="6"/>
  <c r="B409" i="6"/>
  <c r="B461" i="6"/>
  <c r="C145" i="8"/>
  <c r="C197" i="8"/>
  <c r="C249" i="8"/>
  <c r="B145" i="8"/>
  <c r="B197" i="8"/>
  <c r="B249" i="8"/>
  <c r="I145" i="8"/>
  <c r="I197" i="8"/>
  <c r="I249" i="8"/>
  <c r="I301" i="8"/>
  <c r="H301" i="8"/>
  <c r="AT353" i="8"/>
  <c r="G301" i="8"/>
  <c r="AS301" i="8"/>
  <c r="F301" i="8"/>
  <c r="E301" i="8"/>
  <c r="D301" i="8"/>
  <c r="C301" i="8"/>
  <c r="B301" i="8"/>
  <c r="B513" i="6"/>
  <c r="H144" i="8"/>
  <c r="H196" i="8"/>
  <c r="H248" i="8"/>
  <c r="G144" i="8"/>
  <c r="G196" i="8"/>
  <c r="G248" i="8"/>
  <c r="F144" i="8"/>
  <c r="F196" i="8"/>
  <c r="F248" i="8"/>
  <c r="E144" i="8"/>
  <c r="E196" i="8"/>
  <c r="E248" i="8"/>
  <c r="D144" i="8"/>
  <c r="D196" i="8"/>
  <c r="D248" i="8"/>
  <c r="C144" i="8"/>
  <c r="C196" i="8"/>
  <c r="C248" i="8"/>
  <c r="B144" i="8"/>
  <c r="B196" i="8"/>
  <c r="B248" i="8"/>
  <c r="I144" i="8"/>
  <c r="I196" i="8"/>
  <c r="I248" i="8"/>
  <c r="B356" i="6"/>
  <c r="B408" i="6"/>
  <c r="B460" i="6"/>
  <c r="I300" i="8"/>
  <c r="AU352" i="8"/>
  <c r="H300" i="8"/>
  <c r="G300" i="8"/>
  <c r="F300" i="8"/>
  <c r="E300" i="8"/>
  <c r="D300" i="8"/>
  <c r="AP352" i="8"/>
  <c r="C300" i="8"/>
  <c r="B300" i="8"/>
  <c r="B512" i="6"/>
  <c r="H564" i="6"/>
  <c r="H143" i="8"/>
  <c r="H195" i="8"/>
  <c r="H247" i="8"/>
  <c r="G143" i="8"/>
  <c r="G195" i="8"/>
  <c r="G247" i="8"/>
  <c r="F143" i="8"/>
  <c r="F195" i="8"/>
  <c r="F247" i="8"/>
  <c r="E143" i="8"/>
  <c r="E195" i="8"/>
  <c r="E247" i="8"/>
  <c r="D143" i="8"/>
  <c r="D195" i="8"/>
  <c r="D247" i="8"/>
  <c r="C143" i="8"/>
  <c r="C195" i="8"/>
  <c r="C247" i="8"/>
  <c r="B143" i="8"/>
  <c r="B195" i="8"/>
  <c r="B247" i="8"/>
  <c r="I143" i="8"/>
  <c r="I195" i="8"/>
  <c r="I247" i="8"/>
  <c r="B355" i="6"/>
  <c r="B407" i="6"/>
  <c r="B459" i="6"/>
  <c r="I299" i="8"/>
  <c r="H299" i="8"/>
  <c r="AT351" i="8"/>
  <c r="G299" i="8"/>
  <c r="F299" i="8"/>
  <c r="E299" i="8"/>
  <c r="AQ351" i="8"/>
  <c r="D299" i="8"/>
  <c r="C299" i="8"/>
  <c r="B299" i="8"/>
  <c r="B511" i="6"/>
  <c r="H563" i="6"/>
  <c r="H142" i="8"/>
  <c r="H194" i="8"/>
  <c r="H246" i="8"/>
  <c r="G142" i="8"/>
  <c r="G194" i="8"/>
  <c r="G246" i="8"/>
  <c r="F142" i="8"/>
  <c r="F194" i="8"/>
  <c r="F246" i="8"/>
  <c r="E142" i="8"/>
  <c r="E194" i="8"/>
  <c r="E246" i="8"/>
  <c r="D142" i="8"/>
  <c r="D194" i="8"/>
  <c r="D246" i="8"/>
  <c r="C142" i="8"/>
  <c r="C194" i="8"/>
  <c r="C246" i="8"/>
  <c r="B142" i="8"/>
  <c r="B194" i="8"/>
  <c r="B246" i="8"/>
  <c r="I142" i="8"/>
  <c r="I194" i="8"/>
  <c r="I246" i="8"/>
  <c r="B354" i="6"/>
  <c r="B406" i="6"/>
  <c r="B458" i="6"/>
  <c r="I298" i="8"/>
  <c r="H298" i="8"/>
  <c r="AT350" i="8"/>
  <c r="G298" i="8"/>
  <c r="F298" i="8"/>
  <c r="AR350" i="8"/>
  <c r="E298" i="8"/>
  <c r="D298" i="8"/>
  <c r="AP350" i="8"/>
  <c r="B510" i="6"/>
  <c r="C298" i="8"/>
  <c r="AO350" i="8"/>
  <c r="B298" i="8"/>
  <c r="H141" i="8"/>
  <c r="H193" i="8"/>
  <c r="H245" i="8"/>
  <c r="Q245" i="8"/>
  <c r="G141" i="8"/>
  <c r="G193" i="8"/>
  <c r="G245" i="8"/>
  <c r="F141" i="8"/>
  <c r="F193" i="8"/>
  <c r="F245" i="8"/>
  <c r="E141" i="8"/>
  <c r="E193" i="8"/>
  <c r="E245" i="8"/>
  <c r="N245" i="8"/>
  <c r="E138" i="8"/>
  <c r="E139" i="8"/>
  <c r="E140" i="8"/>
  <c r="E190" i="8"/>
  <c r="AQ242" i="8"/>
  <c r="E191" i="8"/>
  <c r="AQ243" i="8"/>
  <c r="E192" i="8"/>
  <c r="AQ244" i="8"/>
  <c r="E297" i="8"/>
  <c r="AQ349" i="8"/>
  <c r="D141" i="8"/>
  <c r="D193" i="8"/>
  <c r="D245" i="8"/>
  <c r="M245" i="8"/>
  <c r="C141" i="8"/>
  <c r="C193" i="8"/>
  <c r="C245" i="8"/>
  <c r="B141" i="8"/>
  <c r="B193" i="8"/>
  <c r="B245" i="8"/>
  <c r="K245" i="8"/>
  <c r="I141" i="8"/>
  <c r="I193" i="8"/>
  <c r="I245" i="8"/>
  <c r="R245" i="8"/>
  <c r="B353" i="6"/>
  <c r="B405" i="6"/>
  <c r="B457" i="6"/>
  <c r="I297" i="8"/>
  <c r="AU349" i="8"/>
  <c r="H297" i="8"/>
  <c r="AT349" i="8"/>
  <c r="G297" i="8"/>
  <c r="AS349" i="8"/>
  <c r="F297" i="8"/>
  <c r="D297" i="8"/>
  <c r="AP349" i="8"/>
  <c r="C297" i="8"/>
  <c r="AO349" i="8"/>
  <c r="B297" i="8"/>
  <c r="AN349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B509" i="6"/>
  <c r="H140" i="8"/>
  <c r="H192" i="8"/>
  <c r="AT244" i="8"/>
  <c r="G140" i="8"/>
  <c r="G192" i="8"/>
  <c r="AS244" i="8"/>
  <c r="F140" i="8"/>
  <c r="F192" i="8"/>
  <c r="AR244" i="8"/>
  <c r="D140" i="8"/>
  <c r="D192" i="8"/>
  <c r="AP244" i="8"/>
  <c r="C140" i="8"/>
  <c r="C192" i="8"/>
  <c r="AO244" i="8"/>
  <c r="B140" i="8"/>
  <c r="B192" i="8"/>
  <c r="AN244" i="8"/>
  <c r="I140" i="8"/>
  <c r="I192" i="8"/>
  <c r="AU244" i="8"/>
  <c r="B352" i="6"/>
  <c r="B404" i="6"/>
  <c r="I296" i="8"/>
  <c r="AU348" i="8"/>
  <c r="H296" i="8"/>
  <c r="AT348" i="8"/>
  <c r="G296" i="8"/>
  <c r="AS348" i="8"/>
  <c r="F296" i="8"/>
  <c r="E296" i="8"/>
  <c r="D296" i="8"/>
  <c r="C296" i="8"/>
  <c r="AO348" i="8"/>
  <c r="B296" i="8"/>
  <c r="B508" i="6"/>
  <c r="H560" i="6"/>
  <c r="B351" i="6"/>
  <c r="B403" i="6"/>
  <c r="H455" i="6"/>
  <c r="B507" i="6"/>
  <c r="H559" i="6"/>
  <c r="H139" i="8"/>
  <c r="H191" i="8"/>
  <c r="AT243" i="8"/>
  <c r="G139" i="8"/>
  <c r="G191" i="8"/>
  <c r="AS243" i="8"/>
  <c r="F139" i="8"/>
  <c r="F191" i="8"/>
  <c r="AR243" i="8"/>
  <c r="D139" i="8"/>
  <c r="D191" i="8"/>
  <c r="AP243" i="8"/>
  <c r="C139" i="8"/>
  <c r="C191" i="8"/>
  <c r="B139" i="8"/>
  <c r="B191" i="8"/>
  <c r="AN243" i="8"/>
  <c r="I139" i="8"/>
  <c r="I191" i="8"/>
  <c r="AU243" i="8"/>
  <c r="I295" i="8"/>
  <c r="AU347" i="8"/>
  <c r="H295" i="8"/>
  <c r="G295" i="8"/>
  <c r="AS347" i="8"/>
  <c r="F295" i="8"/>
  <c r="AR347" i="8"/>
  <c r="E295" i="8"/>
  <c r="AQ347" i="8"/>
  <c r="D295" i="8"/>
  <c r="AP347" i="8"/>
  <c r="C295" i="8"/>
  <c r="AO347" i="8"/>
  <c r="B295" i="8"/>
  <c r="H138" i="8"/>
  <c r="H190" i="8"/>
  <c r="G138" i="8"/>
  <c r="G190" i="8"/>
  <c r="AS242" i="8"/>
  <c r="F138" i="8"/>
  <c r="F190" i="8"/>
  <c r="F189" i="8"/>
  <c r="D138" i="8"/>
  <c r="D190" i="8"/>
  <c r="C138" i="8"/>
  <c r="C190" i="8"/>
  <c r="B138" i="8"/>
  <c r="B190" i="8"/>
  <c r="I138" i="8"/>
  <c r="I190" i="8"/>
  <c r="B350" i="6"/>
  <c r="B402" i="6"/>
  <c r="I294" i="8"/>
  <c r="H294" i="8"/>
  <c r="AT294" i="8"/>
  <c r="G294" i="8"/>
  <c r="F294" i="8"/>
  <c r="AR346" i="8"/>
  <c r="E294" i="8"/>
  <c r="D294" i="8"/>
  <c r="AP346" i="8"/>
  <c r="C294" i="8"/>
  <c r="B294" i="8"/>
  <c r="B506" i="6"/>
  <c r="I293" i="8"/>
  <c r="AU345" i="8"/>
  <c r="H293" i="8"/>
  <c r="G293" i="8"/>
  <c r="AS345" i="8"/>
  <c r="F293" i="8"/>
  <c r="AR345" i="8"/>
  <c r="E293" i="8"/>
  <c r="D293" i="8"/>
  <c r="AP345" i="8"/>
  <c r="B505" i="6"/>
  <c r="H557" i="6"/>
  <c r="C293" i="8"/>
  <c r="B293" i="8"/>
  <c r="AN345" i="8"/>
  <c r="I292" i="8"/>
  <c r="AU344" i="8"/>
  <c r="I240" i="8"/>
  <c r="H292" i="8"/>
  <c r="AT344" i="8"/>
  <c r="H240" i="8"/>
  <c r="G292" i="8"/>
  <c r="AS344" i="8"/>
  <c r="G240" i="8"/>
  <c r="P243" i="8"/>
  <c r="F292" i="8"/>
  <c r="AR344" i="8"/>
  <c r="F240" i="8"/>
  <c r="O243" i="8"/>
  <c r="E292" i="8"/>
  <c r="AQ344" i="8"/>
  <c r="E240" i="8"/>
  <c r="D292" i="8"/>
  <c r="D240" i="8"/>
  <c r="M243" i="8"/>
  <c r="C292" i="8"/>
  <c r="C240" i="8"/>
  <c r="L243" i="8"/>
  <c r="B292" i="8"/>
  <c r="AN344" i="8"/>
  <c r="B240" i="8"/>
  <c r="B504" i="6"/>
  <c r="H556" i="6"/>
  <c r="I291" i="8"/>
  <c r="AU343" i="8"/>
  <c r="I239" i="8"/>
  <c r="H291" i="8"/>
  <c r="AT343" i="8"/>
  <c r="H239" i="8"/>
  <c r="G291" i="8"/>
  <c r="AS343" i="8"/>
  <c r="G239" i="8"/>
  <c r="F291" i="8"/>
  <c r="AR343" i="8"/>
  <c r="F239" i="8"/>
  <c r="E291" i="8"/>
  <c r="AQ343" i="8"/>
  <c r="E239" i="8"/>
  <c r="D291" i="8"/>
  <c r="AP343" i="8"/>
  <c r="D239" i="8"/>
  <c r="C291" i="8"/>
  <c r="AO343" i="8"/>
  <c r="C239" i="8"/>
  <c r="B291" i="8"/>
  <c r="B239" i="8"/>
  <c r="B503" i="6"/>
  <c r="H555" i="6"/>
  <c r="I290" i="8"/>
  <c r="AU342" i="8"/>
  <c r="I238" i="8"/>
  <c r="H290" i="8"/>
  <c r="AT342" i="8"/>
  <c r="H238" i="8"/>
  <c r="G290" i="8"/>
  <c r="AS342" i="8"/>
  <c r="G238" i="8"/>
  <c r="F290" i="8"/>
  <c r="AR342" i="8"/>
  <c r="F238" i="8"/>
  <c r="E290" i="8"/>
  <c r="AQ342" i="8"/>
  <c r="E238" i="8"/>
  <c r="D290" i="8"/>
  <c r="AP342" i="8"/>
  <c r="D238" i="8"/>
  <c r="C290" i="8"/>
  <c r="AO342" i="8"/>
  <c r="C238" i="8"/>
  <c r="B290" i="8"/>
  <c r="AN342" i="8"/>
  <c r="B238" i="8"/>
  <c r="B502" i="6"/>
  <c r="H554" i="6"/>
  <c r="I289" i="8"/>
  <c r="AU341" i="8"/>
  <c r="I237" i="8"/>
  <c r="H289" i="8"/>
  <c r="AT341" i="8"/>
  <c r="H237" i="8"/>
  <c r="G289" i="8"/>
  <c r="G237" i="8"/>
  <c r="F289" i="8"/>
  <c r="AR341" i="8"/>
  <c r="F237" i="8"/>
  <c r="E289" i="8"/>
  <c r="E237" i="8"/>
  <c r="D289" i="8"/>
  <c r="AP341" i="8"/>
  <c r="D237" i="8"/>
  <c r="C289" i="8"/>
  <c r="AO341" i="8"/>
  <c r="C237" i="8"/>
  <c r="B289" i="8"/>
  <c r="AN341" i="8"/>
  <c r="B237" i="8"/>
  <c r="B501" i="6"/>
  <c r="H553" i="6"/>
  <c r="B449" i="6"/>
  <c r="I137" i="8"/>
  <c r="I189" i="8"/>
  <c r="R244" i="8"/>
  <c r="H137" i="8"/>
  <c r="H189" i="8"/>
  <c r="AT241" i="8"/>
  <c r="Q244" i="8"/>
  <c r="G137" i="8"/>
  <c r="G189" i="8"/>
  <c r="P244" i="8"/>
  <c r="F137" i="8"/>
  <c r="O244" i="8"/>
  <c r="E137" i="8"/>
  <c r="E189" i="8"/>
  <c r="AQ241" i="8"/>
  <c r="N244" i="8"/>
  <c r="D137" i="8"/>
  <c r="D189" i="8"/>
  <c r="AP241" i="8"/>
  <c r="M244" i="8"/>
  <c r="C137" i="8"/>
  <c r="C189" i="8"/>
  <c r="AO241" i="8"/>
  <c r="L244" i="8"/>
  <c r="B137" i="8"/>
  <c r="B189" i="8"/>
  <c r="K244" i="8"/>
  <c r="B349" i="6"/>
  <c r="B401" i="6"/>
  <c r="I136" i="8"/>
  <c r="I188" i="8"/>
  <c r="H136" i="8"/>
  <c r="H188" i="8"/>
  <c r="G136" i="8"/>
  <c r="G188" i="8"/>
  <c r="F136" i="8"/>
  <c r="F188" i="8"/>
  <c r="E136" i="8"/>
  <c r="E188" i="8"/>
  <c r="D136" i="8"/>
  <c r="D188" i="8"/>
  <c r="C136" i="8"/>
  <c r="C188" i="8"/>
  <c r="B136" i="8"/>
  <c r="B188" i="8"/>
  <c r="B348" i="6"/>
  <c r="B400" i="6"/>
  <c r="I135" i="8"/>
  <c r="I187" i="8"/>
  <c r="H135" i="8"/>
  <c r="H187" i="8"/>
  <c r="G135" i="8"/>
  <c r="G187" i="8"/>
  <c r="F135" i="8"/>
  <c r="F187" i="8"/>
  <c r="E135" i="8"/>
  <c r="E187" i="8"/>
  <c r="D135" i="8"/>
  <c r="D187" i="8"/>
  <c r="C135" i="8"/>
  <c r="C187" i="8"/>
  <c r="B135" i="8"/>
  <c r="B187" i="8"/>
  <c r="B347" i="6"/>
  <c r="B399" i="6"/>
  <c r="I134" i="8"/>
  <c r="I186" i="8"/>
  <c r="H134" i="8"/>
  <c r="H186" i="8"/>
  <c r="G134" i="8"/>
  <c r="G186" i="8"/>
  <c r="F134" i="8"/>
  <c r="F186" i="8"/>
  <c r="E134" i="8"/>
  <c r="E186" i="8"/>
  <c r="D134" i="8"/>
  <c r="D186" i="8"/>
  <c r="C134" i="8"/>
  <c r="C186" i="8"/>
  <c r="B134" i="8"/>
  <c r="B186" i="8"/>
  <c r="B346" i="6"/>
  <c r="B398" i="6"/>
  <c r="H450" i="6"/>
  <c r="I133" i="8"/>
  <c r="I185" i="8"/>
  <c r="H133" i="8"/>
  <c r="H185" i="8"/>
  <c r="G133" i="8"/>
  <c r="G185" i="8"/>
  <c r="F133" i="8"/>
  <c r="F185" i="8"/>
  <c r="E133" i="8"/>
  <c r="E132" i="8"/>
  <c r="E185" i="8"/>
  <c r="D133" i="8"/>
  <c r="D185" i="8"/>
  <c r="C133" i="8"/>
  <c r="C185" i="8"/>
  <c r="B133" i="8"/>
  <c r="B185" i="8"/>
  <c r="B345" i="6"/>
  <c r="B397" i="6"/>
  <c r="I132" i="8"/>
  <c r="I184" i="8"/>
  <c r="I236" i="8"/>
  <c r="H132" i="8"/>
  <c r="H184" i="8"/>
  <c r="H236" i="8"/>
  <c r="G132" i="8"/>
  <c r="G184" i="8"/>
  <c r="G236" i="8"/>
  <c r="F132" i="8"/>
  <c r="F184" i="8"/>
  <c r="F236" i="8"/>
  <c r="E184" i="8"/>
  <c r="E236" i="8"/>
  <c r="D132" i="8"/>
  <c r="D184" i="8"/>
  <c r="D236" i="8"/>
  <c r="C132" i="8"/>
  <c r="C184" i="8"/>
  <c r="C236" i="8"/>
  <c r="B132" i="8"/>
  <c r="B184" i="8"/>
  <c r="B236" i="8"/>
  <c r="B344" i="6"/>
  <c r="B396" i="6"/>
  <c r="B448" i="6"/>
  <c r="I288" i="8"/>
  <c r="AU340" i="8"/>
  <c r="H288" i="8"/>
  <c r="AT340" i="8"/>
  <c r="G288" i="8"/>
  <c r="AS340" i="8"/>
  <c r="F288" i="8"/>
  <c r="E288" i="8"/>
  <c r="D288" i="8"/>
  <c r="AP340" i="8"/>
  <c r="C288" i="8"/>
  <c r="B288" i="8"/>
  <c r="I131" i="8"/>
  <c r="I183" i="8"/>
  <c r="I235" i="8"/>
  <c r="H131" i="8"/>
  <c r="H183" i="8"/>
  <c r="H235" i="8"/>
  <c r="G131" i="8"/>
  <c r="G183" i="8"/>
  <c r="G235" i="8"/>
  <c r="F131" i="8"/>
  <c r="F183" i="8"/>
  <c r="F235" i="8"/>
  <c r="E131" i="8"/>
  <c r="E183" i="8"/>
  <c r="E235" i="8"/>
  <c r="D131" i="8"/>
  <c r="D183" i="8"/>
  <c r="D235" i="8"/>
  <c r="C131" i="8"/>
  <c r="C183" i="8"/>
  <c r="C235" i="8"/>
  <c r="B131" i="8"/>
  <c r="B183" i="8"/>
  <c r="B235" i="8"/>
  <c r="B343" i="6"/>
  <c r="B395" i="6"/>
  <c r="B447" i="6"/>
  <c r="I287" i="8"/>
  <c r="AU339" i="8"/>
  <c r="H287" i="8"/>
  <c r="G287" i="8"/>
  <c r="F287" i="8"/>
  <c r="AR339" i="8"/>
  <c r="E287" i="8"/>
  <c r="D287" i="8"/>
  <c r="C287" i="8"/>
  <c r="B287" i="8"/>
  <c r="AN339" i="8"/>
  <c r="I130" i="8"/>
  <c r="I182" i="8"/>
  <c r="I234" i="8"/>
  <c r="H130" i="8"/>
  <c r="H182" i="8"/>
  <c r="H234" i="8"/>
  <c r="G130" i="8"/>
  <c r="G182" i="8"/>
  <c r="G234" i="8"/>
  <c r="F130" i="8"/>
  <c r="F182" i="8"/>
  <c r="F234" i="8"/>
  <c r="E130" i="8"/>
  <c r="E182" i="8"/>
  <c r="E234" i="8"/>
  <c r="D130" i="8"/>
  <c r="D182" i="8"/>
  <c r="D234" i="8"/>
  <c r="C130" i="8"/>
  <c r="C182" i="8"/>
  <c r="C234" i="8"/>
  <c r="B130" i="8"/>
  <c r="B182" i="8"/>
  <c r="B234" i="8"/>
  <c r="B342" i="6"/>
  <c r="B394" i="6"/>
  <c r="B446" i="6"/>
  <c r="I286" i="8"/>
  <c r="AU338" i="8"/>
  <c r="H286" i="8"/>
  <c r="AT338" i="8"/>
  <c r="G286" i="8"/>
  <c r="AS338" i="8"/>
  <c r="F286" i="8"/>
  <c r="AR338" i="8"/>
  <c r="E286" i="8"/>
  <c r="AQ338" i="8"/>
  <c r="D286" i="8"/>
  <c r="AP338" i="8"/>
  <c r="C286" i="8"/>
  <c r="AO338" i="8"/>
  <c r="B286" i="8"/>
  <c r="AN338" i="8"/>
  <c r="B500" i="6"/>
  <c r="H552" i="6"/>
  <c r="B499" i="6"/>
  <c r="H551" i="6"/>
  <c r="B498" i="6"/>
  <c r="H550" i="6"/>
  <c r="H129" i="8"/>
  <c r="H181" i="8"/>
  <c r="H233" i="8"/>
  <c r="G129" i="8"/>
  <c r="G181" i="8"/>
  <c r="G233" i="8"/>
  <c r="F129" i="8"/>
  <c r="F181" i="8"/>
  <c r="F233" i="8"/>
  <c r="E129" i="8"/>
  <c r="E181" i="8"/>
  <c r="E233" i="8"/>
  <c r="D129" i="8"/>
  <c r="D181" i="8"/>
  <c r="D233" i="8"/>
  <c r="C129" i="8"/>
  <c r="C181" i="8"/>
  <c r="C233" i="8"/>
  <c r="B129" i="8"/>
  <c r="B181" i="8"/>
  <c r="B233" i="8"/>
  <c r="I129" i="8"/>
  <c r="I181" i="8"/>
  <c r="I233" i="8"/>
  <c r="B341" i="6"/>
  <c r="B393" i="6"/>
  <c r="B445" i="6"/>
  <c r="I285" i="8"/>
  <c r="H285" i="8"/>
  <c r="AT337" i="8"/>
  <c r="G285" i="8"/>
  <c r="AS337" i="8"/>
  <c r="F285" i="8"/>
  <c r="E285" i="8"/>
  <c r="AQ337" i="8"/>
  <c r="D285" i="8"/>
  <c r="C285" i="8"/>
  <c r="AO285" i="8"/>
  <c r="B285" i="8"/>
  <c r="AN337" i="8"/>
  <c r="B497" i="6"/>
  <c r="H549" i="6"/>
  <c r="H128" i="8"/>
  <c r="H180" i="8"/>
  <c r="AT232" i="8"/>
  <c r="G128" i="8"/>
  <c r="G180" i="8"/>
  <c r="AS232" i="8"/>
  <c r="F128" i="8"/>
  <c r="F180" i="8"/>
  <c r="AR232" i="8"/>
  <c r="E128" i="8"/>
  <c r="E180" i="8"/>
  <c r="AQ232" i="8"/>
  <c r="D128" i="8"/>
  <c r="D180" i="8"/>
  <c r="AP232" i="8"/>
  <c r="C128" i="8"/>
  <c r="C180" i="8"/>
  <c r="AO232" i="8"/>
  <c r="B128" i="8"/>
  <c r="B180" i="8"/>
  <c r="AN232" i="8"/>
  <c r="I128" i="8"/>
  <c r="I180" i="8"/>
  <c r="AU232" i="8"/>
  <c r="B340" i="6"/>
  <c r="B392" i="6"/>
  <c r="B444" i="6"/>
  <c r="I284" i="8"/>
  <c r="AU284" i="8"/>
  <c r="H284" i="8"/>
  <c r="AT336" i="8"/>
  <c r="G284" i="8"/>
  <c r="AS284" i="8"/>
  <c r="F284" i="8"/>
  <c r="AR336" i="8"/>
  <c r="E284" i="8"/>
  <c r="AQ284" i="8"/>
  <c r="D284" i="8"/>
  <c r="C284" i="8"/>
  <c r="B284" i="8"/>
  <c r="AN336" i="8"/>
  <c r="B496" i="6"/>
  <c r="H548" i="6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H127" i="8"/>
  <c r="H179" i="8"/>
  <c r="G127" i="8"/>
  <c r="G179" i="8"/>
  <c r="AS231" i="8"/>
  <c r="F127" i="8"/>
  <c r="F179" i="8"/>
  <c r="AR231" i="8"/>
  <c r="E127" i="8"/>
  <c r="E179" i="8"/>
  <c r="AQ231" i="8"/>
  <c r="D127" i="8"/>
  <c r="D179" i="8"/>
  <c r="C127" i="8"/>
  <c r="C179" i="8"/>
  <c r="AO231" i="8"/>
  <c r="B127" i="8"/>
  <c r="B179" i="8"/>
  <c r="AN231" i="8"/>
  <c r="I127" i="8"/>
  <c r="I179" i="8"/>
  <c r="B339" i="6"/>
  <c r="B391" i="6"/>
  <c r="B443" i="6"/>
  <c r="I283" i="8"/>
  <c r="AU335" i="8"/>
  <c r="H283" i="8"/>
  <c r="G283" i="8"/>
  <c r="AS335" i="8"/>
  <c r="F283" i="8"/>
  <c r="E283" i="8"/>
  <c r="AQ335" i="8"/>
  <c r="D283" i="8"/>
  <c r="AP335" i="8"/>
  <c r="C283" i="8"/>
  <c r="AO335" i="8"/>
  <c r="B283" i="8"/>
  <c r="B495" i="6"/>
  <c r="H126" i="8"/>
  <c r="H178" i="8"/>
  <c r="H230" i="8"/>
  <c r="G126" i="8"/>
  <c r="G178" i="8"/>
  <c r="G230" i="8"/>
  <c r="F126" i="8"/>
  <c r="F178" i="8"/>
  <c r="F230" i="8"/>
  <c r="E126" i="8"/>
  <c r="E74" i="8"/>
  <c r="E75" i="8"/>
  <c r="E76" i="8"/>
  <c r="E77" i="8"/>
  <c r="E178" i="8"/>
  <c r="E230" i="8"/>
  <c r="D126" i="8"/>
  <c r="D178" i="8"/>
  <c r="D230" i="8"/>
  <c r="C126" i="8"/>
  <c r="C178" i="8"/>
  <c r="C230" i="8"/>
  <c r="B126" i="8"/>
  <c r="B178" i="8"/>
  <c r="B230" i="8"/>
  <c r="I126" i="8"/>
  <c r="I74" i="8"/>
  <c r="I75" i="8"/>
  <c r="I76" i="8"/>
  <c r="I77" i="8"/>
  <c r="I178" i="8"/>
  <c r="I230" i="8"/>
  <c r="B338" i="6"/>
  <c r="B390" i="6"/>
  <c r="B442" i="6"/>
  <c r="I282" i="8"/>
  <c r="H282" i="8"/>
  <c r="G282" i="8"/>
  <c r="AS282" i="8"/>
  <c r="F282" i="8"/>
  <c r="E282" i="8"/>
  <c r="AQ282" i="8"/>
  <c r="D282" i="8"/>
  <c r="C282" i="8"/>
  <c r="B282" i="8"/>
  <c r="B494" i="6"/>
  <c r="H125" i="8"/>
  <c r="H177" i="8"/>
  <c r="H229" i="8"/>
  <c r="G125" i="8"/>
  <c r="G177" i="8"/>
  <c r="G229" i="8"/>
  <c r="F125" i="8"/>
  <c r="F177" i="8"/>
  <c r="F229" i="8"/>
  <c r="E125" i="8"/>
  <c r="E177" i="8"/>
  <c r="E229" i="8"/>
  <c r="N232" i="8"/>
  <c r="D125" i="8"/>
  <c r="D177" i="8"/>
  <c r="D229" i="8"/>
  <c r="C125" i="8"/>
  <c r="C177" i="8"/>
  <c r="C229" i="8"/>
  <c r="L232" i="8"/>
  <c r="B125" i="8"/>
  <c r="B177" i="8"/>
  <c r="B229" i="8"/>
  <c r="I125" i="8"/>
  <c r="I177" i="8"/>
  <c r="I229" i="8"/>
  <c r="B337" i="6"/>
  <c r="B389" i="6"/>
  <c r="B441" i="6"/>
  <c r="I281" i="8"/>
  <c r="H281" i="8"/>
  <c r="G281" i="8"/>
  <c r="F281" i="8"/>
  <c r="E281" i="8"/>
  <c r="D281" i="8"/>
  <c r="C281" i="8"/>
  <c r="B281" i="8"/>
  <c r="B493" i="6"/>
  <c r="H124" i="8"/>
  <c r="H176" i="8"/>
  <c r="H228" i="8"/>
  <c r="G124" i="8"/>
  <c r="G176" i="8"/>
  <c r="G228" i="8"/>
  <c r="F124" i="8"/>
  <c r="F176" i="8"/>
  <c r="F228" i="8"/>
  <c r="E124" i="8"/>
  <c r="E176" i="8"/>
  <c r="E228" i="8"/>
  <c r="D124" i="8"/>
  <c r="D176" i="8"/>
  <c r="D228" i="8"/>
  <c r="C124" i="8"/>
  <c r="C176" i="8"/>
  <c r="C228" i="8"/>
  <c r="B124" i="8"/>
  <c r="B176" i="8"/>
  <c r="B228" i="8"/>
  <c r="I124" i="8"/>
  <c r="I176" i="8"/>
  <c r="I228" i="8"/>
  <c r="B336" i="6"/>
  <c r="B388" i="6"/>
  <c r="B440" i="6"/>
  <c r="I280" i="8"/>
  <c r="H280" i="8"/>
  <c r="G280" i="8"/>
  <c r="F280" i="8"/>
  <c r="E280" i="8"/>
  <c r="D280" i="8"/>
  <c r="C280" i="8"/>
  <c r="B280" i="8"/>
  <c r="B492" i="6"/>
  <c r="H123" i="8"/>
  <c r="H175" i="8"/>
  <c r="H227" i="8"/>
  <c r="G123" i="8"/>
  <c r="G175" i="8"/>
  <c r="G227" i="8"/>
  <c r="F123" i="8"/>
  <c r="F175" i="8"/>
  <c r="F227" i="8"/>
  <c r="AR279" i="8"/>
  <c r="E123" i="8"/>
  <c r="E175" i="8"/>
  <c r="E227" i="8"/>
  <c r="AQ279" i="8"/>
  <c r="D123" i="8"/>
  <c r="D175" i="8"/>
  <c r="D227" i="8"/>
  <c r="AP279" i="8"/>
  <c r="B123" i="8"/>
  <c r="B175" i="8"/>
  <c r="C123" i="8"/>
  <c r="C175" i="8"/>
  <c r="C227" i="8"/>
  <c r="AO279" i="8"/>
  <c r="I123" i="8"/>
  <c r="I175" i="8"/>
  <c r="I227" i="8"/>
  <c r="AU279" i="8"/>
  <c r="B335" i="6"/>
  <c r="B387" i="6"/>
  <c r="B439" i="6"/>
  <c r="B491" i="6"/>
  <c r="H122" i="8"/>
  <c r="H174" i="8"/>
  <c r="H226" i="8"/>
  <c r="G122" i="8"/>
  <c r="G174" i="8"/>
  <c r="G226" i="8"/>
  <c r="F122" i="8"/>
  <c r="F174" i="8"/>
  <c r="F226" i="8"/>
  <c r="E122" i="8"/>
  <c r="E174" i="8"/>
  <c r="E226" i="8"/>
  <c r="D122" i="8"/>
  <c r="D174" i="8"/>
  <c r="D226" i="8"/>
  <c r="C122" i="8"/>
  <c r="C174" i="8"/>
  <c r="C226" i="8"/>
  <c r="I122" i="8"/>
  <c r="I174" i="8"/>
  <c r="I226" i="8"/>
  <c r="B122" i="8"/>
  <c r="B174" i="8"/>
  <c r="B334" i="6"/>
  <c r="B386" i="6"/>
  <c r="B438" i="6"/>
  <c r="I278" i="8"/>
  <c r="H278" i="8"/>
  <c r="G278" i="8"/>
  <c r="F278" i="8"/>
  <c r="E278" i="8"/>
  <c r="D278" i="8"/>
  <c r="C278" i="8"/>
  <c r="B490" i="6"/>
  <c r="H121" i="8"/>
  <c r="H173" i="8"/>
  <c r="H225" i="8"/>
  <c r="G121" i="8"/>
  <c r="G173" i="8"/>
  <c r="G225" i="8"/>
  <c r="F121" i="8"/>
  <c r="F173" i="8"/>
  <c r="F225" i="8"/>
  <c r="E121" i="8"/>
  <c r="E173" i="8"/>
  <c r="E225" i="8"/>
  <c r="D121" i="8"/>
  <c r="D173" i="8"/>
  <c r="D225" i="8"/>
  <c r="C121" i="8"/>
  <c r="C173" i="8"/>
  <c r="C225" i="8"/>
  <c r="B333" i="6"/>
  <c r="B385" i="6"/>
  <c r="B437" i="6"/>
  <c r="B121" i="8"/>
  <c r="B173" i="8"/>
  <c r="I121" i="8"/>
  <c r="I173" i="8"/>
  <c r="I225" i="8"/>
  <c r="D277" i="8"/>
  <c r="E277" i="8"/>
  <c r="F277" i="8"/>
  <c r="G277" i="8"/>
  <c r="H277" i="8"/>
  <c r="I277" i="8"/>
  <c r="B489" i="6"/>
  <c r="H120" i="8"/>
  <c r="H172" i="8"/>
  <c r="H224" i="8"/>
  <c r="G120" i="8"/>
  <c r="G172" i="8"/>
  <c r="G224" i="8"/>
  <c r="F120" i="8"/>
  <c r="F172" i="8"/>
  <c r="F224" i="8"/>
  <c r="E120" i="8"/>
  <c r="E172" i="8"/>
  <c r="E224" i="8"/>
  <c r="D120" i="8"/>
  <c r="D172" i="8"/>
  <c r="D224" i="8"/>
  <c r="C120" i="8"/>
  <c r="C172" i="8"/>
  <c r="C224" i="8"/>
  <c r="B332" i="6"/>
  <c r="B384" i="6"/>
  <c r="B436" i="6"/>
  <c r="B120" i="8"/>
  <c r="B172" i="8"/>
  <c r="I120" i="8"/>
  <c r="I172" i="8"/>
  <c r="I224" i="8"/>
  <c r="K279" i="8"/>
  <c r="D276" i="8"/>
  <c r="E276" i="8"/>
  <c r="F276" i="8"/>
  <c r="G276" i="8"/>
  <c r="H276" i="8"/>
  <c r="I276" i="8"/>
  <c r="B488" i="6"/>
  <c r="B487" i="6"/>
  <c r="C119" i="8"/>
  <c r="C171" i="8"/>
  <c r="H119" i="8"/>
  <c r="H171" i="8"/>
  <c r="H223" i="8"/>
  <c r="G119" i="8"/>
  <c r="G171" i="8"/>
  <c r="G223" i="8"/>
  <c r="F119" i="8"/>
  <c r="F171" i="8"/>
  <c r="F223" i="8"/>
  <c r="E119" i="8"/>
  <c r="E171" i="8"/>
  <c r="E223" i="8"/>
  <c r="D119" i="8"/>
  <c r="D171" i="8"/>
  <c r="D223" i="8"/>
  <c r="I119" i="8"/>
  <c r="I171" i="8"/>
  <c r="I223" i="8"/>
  <c r="B119" i="8"/>
  <c r="B171" i="8"/>
  <c r="B331" i="6"/>
  <c r="B383" i="6"/>
  <c r="B435" i="6"/>
  <c r="I275" i="8"/>
  <c r="H275" i="8"/>
  <c r="G275" i="8"/>
  <c r="F275" i="8"/>
  <c r="E275" i="8"/>
  <c r="AQ275" i="8"/>
  <c r="D275" i="8"/>
  <c r="K278" i="8"/>
  <c r="H118" i="8"/>
  <c r="H170" i="8"/>
  <c r="H222" i="8"/>
  <c r="G118" i="8"/>
  <c r="G170" i="8"/>
  <c r="G222" i="8"/>
  <c r="F118" i="8"/>
  <c r="F170" i="8"/>
  <c r="F222" i="8"/>
  <c r="E118" i="8"/>
  <c r="E170" i="8"/>
  <c r="E222" i="8"/>
  <c r="D118" i="8"/>
  <c r="D170" i="8"/>
  <c r="D222" i="8"/>
  <c r="I118" i="8"/>
  <c r="I170" i="8"/>
  <c r="I222" i="8"/>
  <c r="C118" i="8"/>
  <c r="C170" i="8"/>
  <c r="B118" i="8"/>
  <c r="B170" i="8"/>
  <c r="B330" i="6"/>
  <c r="B382" i="6"/>
  <c r="B434" i="6"/>
  <c r="I274" i="8"/>
  <c r="H274" i="8"/>
  <c r="G274" i="8"/>
  <c r="AS326" i="8"/>
  <c r="F274" i="8"/>
  <c r="E274" i="8"/>
  <c r="D274" i="8"/>
  <c r="AP274" i="8"/>
  <c r="L277" i="8"/>
  <c r="K277" i="8"/>
  <c r="B486" i="6"/>
  <c r="H117" i="8"/>
  <c r="H169" i="8"/>
  <c r="H221" i="8"/>
  <c r="G117" i="8"/>
  <c r="G169" i="8"/>
  <c r="G221" i="8"/>
  <c r="F117" i="8"/>
  <c r="F169" i="8"/>
  <c r="F221" i="8"/>
  <c r="E117" i="8"/>
  <c r="E169" i="8"/>
  <c r="E221" i="8"/>
  <c r="D117" i="8"/>
  <c r="D169" i="8"/>
  <c r="D221" i="8"/>
  <c r="B329" i="6"/>
  <c r="B381" i="6"/>
  <c r="B433" i="6"/>
  <c r="I117" i="8"/>
  <c r="I169" i="8"/>
  <c r="I221" i="8"/>
  <c r="C117" i="8"/>
  <c r="C169" i="8"/>
  <c r="B117" i="8"/>
  <c r="B169" i="8"/>
  <c r="I273" i="8"/>
  <c r="H273" i="8"/>
  <c r="AT273" i="8"/>
  <c r="G273" i="8"/>
  <c r="F273" i="8"/>
  <c r="E273" i="8"/>
  <c r="D273" i="8"/>
  <c r="L276" i="8"/>
  <c r="K276" i="8"/>
  <c r="B485" i="6"/>
  <c r="H116" i="8"/>
  <c r="H168" i="8"/>
  <c r="H220" i="8"/>
  <c r="G116" i="8"/>
  <c r="G168" i="8"/>
  <c r="G220" i="8"/>
  <c r="F116" i="8"/>
  <c r="F64" i="8"/>
  <c r="F65" i="8"/>
  <c r="F66" i="8"/>
  <c r="F67" i="8"/>
  <c r="F168" i="8"/>
  <c r="F220" i="8"/>
  <c r="E116" i="8"/>
  <c r="E168" i="8"/>
  <c r="E220" i="8"/>
  <c r="D116" i="8"/>
  <c r="D168" i="8"/>
  <c r="D220" i="8"/>
  <c r="I116" i="8"/>
  <c r="I168" i="8"/>
  <c r="I220" i="8"/>
  <c r="C116" i="8"/>
  <c r="C168" i="8"/>
  <c r="B116" i="8"/>
  <c r="B168" i="8"/>
  <c r="B328" i="6"/>
  <c r="B380" i="6"/>
  <c r="B432" i="6"/>
  <c r="I272" i="8"/>
  <c r="AU324" i="8"/>
  <c r="H272" i="8"/>
  <c r="G272" i="8"/>
  <c r="F272" i="8"/>
  <c r="E272" i="8"/>
  <c r="D272" i="8"/>
  <c r="L275" i="8"/>
  <c r="K275" i="8"/>
  <c r="B484" i="6"/>
  <c r="H115" i="8"/>
  <c r="H167" i="8"/>
  <c r="H219" i="8"/>
  <c r="G115" i="8"/>
  <c r="G167" i="8"/>
  <c r="G219" i="8"/>
  <c r="F115" i="8"/>
  <c r="F167" i="8"/>
  <c r="F219" i="8"/>
  <c r="E115" i="8"/>
  <c r="E167" i="8"/>
  <c r="E219" i="8"/>
  <c r="D115" i="8"/>
  <c r="D167" i="8"/>
  <c r="D219" i="8"/>
  <c r="I115" i="8"/>
  <c r="I167" i="8"/>
  <c r="I219" i="8"/>
  <c r="C115" i="8"/>
  <c r="C167" i="8"/>
  <c r="B115" i="8"/>
  <c r="B167" i="8"/>
  <c r="B327" i="6"/>
  <c r="B379" i="6"/>
  <c r="B431" i="6"/>
  <c r="I271" i="8"/>
  <c r="H271" i="8"/>
  <c r="G271" i="8"/>
  <c r="F271" i="8"/>
  <c r="E271" i="8"/>
  <c r="D271" i="8"/>
  <c r="L274" i="8"/>
  <c r="K274" i="8"/>
  <c r="B483" i="6"/>
  <c r="D114" i="8"/>
  <c r="D166" i="8"/>
  <c r="D218" i="8"/>
  <c r="H114" i="8"/>
  <c r="H166" i="8"/>
  <c r="H218" i="8"/>
  <c r="G114" i="8"/>
  <c r="G166" i="8"/>
  <c r="G218" i="8"/>
  <c r="F114" i="8"/>
  <c r="F166" i="8"/>
  <c r="F218" i="8"/>
  <c r="E114" i="8"/>
  <c r="E166" i="8"/>
  <c r="E218" i="8"/>
  <c r="I114" i="8"/>
  <c r="I166" i="8"/>
  <c r="I218" i="8"/>
  <c r="C114" i="8"/>
  <c r="C166" i="8"/>
  <c r="B114" i="8"/>
  <c r="B166" i="8"/>
  <c r="B113" i="8"/>
  <c r="B165" i="8"/>
  <c r="B326" i="6"/>
  <c r="B378" i="6"/>
  <c r="B430" i="6"/>
  <c r="I270" i="8"/>
  <c r="H270" i="8"/>
  <c r="G270" i="8"/>
  <c r="F270" i="8"/>
  <c r="E270" i="8"/>
  <c r="D270" i="8"/>
  <c r="L273" i="8"/>
  <c r="K273" i="8"/>
  <c r="B482" i="6"/>
  <c r="H113" i="8"/>
  <c r="H165" i="8"/>
  <c r="H217" i="8"/>
  <c r="G113" i="8"/>
  <c r="G165" i="8"/>
  <c r="G217" i="8"/>
  <c r="F113" i="8"/>
  <c r="F165" i="8"/>
  <c r="F217" i="8"/>
  <c r="E113" i="8"/>
  <c r="E165" i="8"/>
  <c r="E217" i="8"/>
  <c r="D113" i="8"/>
  <c r="D165" i="8"/>
  <c r="D217" i="8"/>
  <c r="I113" i="8"/>
  <c r="I165" i="8"/>
  <c r="I217" i="8"/>
  <c r="C113" i="8"/>
  <c r="C165" i="8"/>
  <c r="B325" i="6"/>
  <c r="B377" i="6"/>
  <c r="B429" i="6"/>
  <c r="I269" i="8"/>
  <c r="H269" i="8"/>
  <c r="G269" i="8"/>
  <c r="F269" i="8"/>
  <c r="E269" i="8"/>
  <c r="D269" i="8"/>
  <c r="L272" i="8"/>
  <c r="K272" i="8"/>
  <c r="B481" i="6"/>
  <c r="H112" i="8"/>
  <c r="H164" i="8"/>
  <c r="H216" i="8"/>
  <c r="G112" i="8"/>
  <c r="G164" i="8"/>
  <c r="G216" i="8"/>
  <c r="F112" i="8"/>
  <c r="F164" i="8"/>
  <c r="F216" i="8"/>
  <c r="E112" i="8"/>
  <c r="E164" i="8"/>
  <c r="E216" i="8"/>
  <c r="D112" i="8"/>
  <c r="D164" i="8"/>
  <c r="D216" i="8"/>
  <c r="I112" i="8"/>
  <c r="I164" i="8"/>
  <c r="I216" i="8"/>
  <c r="C112" i="8"/>
  <c r="C164" i="8"/>
  <c r="B112" i="8"/>
  <c r="B164" i="8"/>
  <c r="B324" i="6"/>
  <c r="B376" i="6"/>
  <c r="B428" i="6"/>
  <c r="I268" i="8"/>
  <c r="AU268" i="8"/>
  <c r="H268" i="8"/>
  <c r="G268" i="8"/>
  <c r="F268" i="8"/>
  <c r="E268" i="8"/>
  <c r="D268" i="8"/>
  <c r="L271" i="8"/>
  <c r="K271" i="8"/>
  <c r="B480" i="6"/>
  <c r="H111" i="8"/>
  <c r="H163" i="8"/>
  <c r="H215" i="8"/>
  <c r="G111" i="8"/>
  <c r="G163" i="8"/>
  <c r="G215" i="8"/>
  <c r="F111" i="8"/>
  <c r="F163" i="8"/>
  <c r="F215" i="8"/>
  <c r="E111" i="8"/>
  <c r="E163" i="8"/>
  <c r="E215" i="8"/>
  <c r="D111" i="8"/>
  <c r="D163" i="8"/>
  <c r="D215" i="8"/>
  <c r="I111" i="8"/>
  <c r="I163" i="8"/>
  <c r="I215" i="8"/>
  <c r="C111" i="8"/>
  <c r="C163" i="8"/>
  <c r="C215" i="8"/>
  <c r="L218" i="8"/>
  <c r="B111" i="8"/>
  <c r="B163" i="8"/>
  <c r="B323" i="6"/>
  <c r="B375" i="6"/>
  <c r="B427" i="6"/>
  <c r="I267" i="8"/>
  <c r="H267" i="8"/>
  <c r="G267" i="8"/>
  <c r="F267" i="8"/>
  <c r="E267" i="8"/>
  <c r="D267" i="8"/>
  <c r="L270" i="8"/>
  <c r="K270" i="8"/>
  <c r="B479" i="6"/>
  <c r="I110" i="8"/>
  <c r="I162" i="8"/>
  <c r="I214" i="8"/>
  <c r="H110" i="8"/>
  <c r="H162" i="8"/>
  <c r="H214" i="8"/>
  <c r="G110" i="8"/>
  <c r="G162" i="8"/>
  <c r="G214" i="8"/>
  <c r="F110" i="8"/>
  <c r="F162" i="8"/>
  <c r="F214" i="8"/>
  <c r="E110" i="8"/>
  <c r="E162" i="8"/>
  <c r="E214" i="8"/>
  <c r="D110" i="8"/>
  <c r="D162" i="8"/>
  <c r="D214" i="8"/>
  <c r="C110" i="8"/>
  <c r="C162" i="8"/>
  <c r="C214" i="8"/>
  <c r="B110" i="8"/>
  <c r="B162" i="8"/>
  <c r="B322" i="6"/>
  <c r="B374" i="6"/>
  <c r="B426" i="6"/>
  <c r="I266" i="8"/>
  <c r="H266" i="8"/>
  <c r="G266" i="8"/>
  <c r="F266" i="8"/>
  <c r="E266" i="8"/>
  <c r="D266" i="8"/>
  <c r="L269" i="8"/>
  <c r="K269" i="8"/>
  <c r="B478" i="6"/>
  <c r="H109" i="8"/>
  <c r="H161" i="8"/>
  <c r="H213" i="8"/>
  <c r="G109" i="8"/>
  <c r="G161" i="8"/>
  <c r="G213" i="8"/>
  <c r="F109" i="8"/>
  <c r="F161" i="8"/>
  <c r="F213" i="8"/>
  <c r="E109" i="8"/>
  <c r="E161" i="8"/>
  <c r="E213" i="8"/>
  <c r="D109" i="8"/>
  <c r="D161" i="8"/>
  <c r="D213" i="8"/>
  <c r="B321" i="6"/>
  <c r="B373" i="6"/>
  <c r="B425" i="6"/>
  <c r="B477" i="6"/>
  <c r="I109" i="8"/>
  <c r="I161" i="8"/>
  <c r="I213" i="8"/>
  <c r="I265" i="8"/>
  <c r="C109" i="8"/>
  <c r="C161" i="8"/>
  <c r="C213" i="8"/>
  <c r="B109" i="8"/>
  <c r="B161" i="8"/>
  <c r="H265" i="8"/>
  <c r="G265" i="8"/>
  <c r="F265" i="8"/>
  <c r="E265" i="8"/>
  <c r="D265" i="8"/>
  <c r="C265" i="8"/>
  <c r="L268" i="8"/>
  <c r="B265" i="8"/>
  <c r="K268" i="8"/>
  <c r="H108" i="8"/>
  <c r="G108" i="8"/>
  <c r="F108" i="8"/>
  <c r="E108" i="8"/>
  <c r="D108" i="8"/>
  <c r="I108" i="8"/>
  <c r="C108" i="8"/>
  <c r="B108" i="8"/>
  <c r="B320" i="6"/>
  <c r="H107" i="8"/>
  <c r="G107" i="8"/>
  <c r="F107" i="8"/>
  <c r="E107" i="8"/>
  <c r="D107" i="8"/>
  <c r="I107" i="8"/>
  <c r="C107" i="8"/>
  <c r="B107" i="8"/>
  <c r="B319" i="6"/>
  <c r="H106" i="8"/>
  <c r="G106" i="8"/>
  <c r="F106" i="8"/>
  <c r="E106" i="8"/>
  <c r="D106" i="8"/>
  <c r="I106" i="8"/>
  <c r="C106" i="8"/>
  <c r="B106" i="8"/>
  <c r="B318" i="6"/>
  <c r="H105" i="8"/>
  <c r="G105" i="8"/>
  <c r="F105" i="8"/>
  <c r="E105" i="8"/>
  <c r="D105" i="8"/>
  <c r="I105" i="8"/>
  <c r="B105" i="8"/>
  <c r="B317" i="6"/>
  <c r="H104" i="8"/>
  <c r="G104" i="8"/>
  <c r="F104" i="8"/>
  <c r="E104" i="8"/>
  <c r="D104" i="8"/>
  <c r="I104" i="8"/>
  <c r="B104" i="8"/>
  <c r="B316" i="6"/>
  <c r="H103" i="8"/>
  <c r="G103" i="8"/>
  <c r="F103" i="8"/>
  <c r="E103" i="8"/>
  <c r="D103" i="8"/>
  <c r="H102" i="8"/>
  <c r="G102" i="8"/>
  <c r="F102" i="8"/>
  <c r="E102" i="8"/>
  <c r="D102" i="8"/>
  <c r="B102" i="8"/>
  <c r="B103" i="8"/>
  <c r="I103" i="8"/>
  <c r="B315" i="6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I102" i="8"/>
  <c r="B314" i="6"/>
  <c r="H101" i="8"/>
  <c r="G101" i="8"/>
  <c r="F101" i="8"/>
  <c r="E101" i="8"/>
  <c r="D101" i="8"/>
  <c r="C101" i="8"/>
  <c r="B101" i="8"/>
  <c r="I101" i="8"/>
  <c r="B313" i="6"/>
  <c r="H100" i="8"/>
  <c r="G100" i="8"/>
  <c r="F100" i="8"/>
  <c r="E100" i="8"/>
  <c r="D100" i="8"/>
  <c r="C100" i="8"/>
  <c r="B100" i="8"/>
  <c r="B312" i="6"/>
  <c r="B311" i="6"/>
  <c r="I100" i="8"/>
  <c r="I99" i="8"/>
  <c r="H99" i="8"/>
  <c r="G99" i="8"/>
  <c r="F99" i="8"/>
  <c r="E99" i="8"/>
  <c r="D99" i="8"/>
  <c r="C99" i="8"/>
  <c r="B99" i="8"/>
  <c r="H98" i="8"/>
  <c r="G98" i="8"/>
  <c r="F98" i="8"/>
  <c r="E98" i="8"/>
  <c r="D98" i="8"/>
  <c r="C98" i="8"/>
  <c r="B98" i="8"/>
  <c r="I98" i="8"/>
  <c r="B310" i="6"/>
  <c r="H97" i="8"/>
  <c r="G97" i="8"/>
  <c r="F97" i="8"/>
  <c r="E97" i="8"/>
  <c r="D97" i="8"/>
  <c r="C97" i="8"/>
  <c r="B97" i="8"/>
  <c r="I97" i="8"/>
  <c r="B309" i="6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C96" i="8"/>
  <c r="D96" i="8"/>
  <c r="E96" i="8"/>
  <c r="F96" i="8"/>
  <c r="G96" i="8"/>
  <c r="B96" i="8"/>
  <c r="I95" i="8"/>
  <c r="I96" i="8"/>
  <c r="B308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G95" i="8"/>
  <c r="F95" i="8"/>
  <c r="E95" i="8"/>
  <c r="D95" i="8"/>
  <c r="C95" i="8"/>
  <c r="B95" i="8"/>
  <c r="B307" i="6"/>
  <c r="A248" i="8"/>
  <c r="A249" i="8"/>
  <c r="A250" i="8"/>
  <c r="A251" i="8"/>
  <c r="A252" i="8"/>
  <c r="A253" i="8"/>
  <c r="A254" i="8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193" i="3"/>
  <c r="A194" i="3"/>
  <c r="A195" i="3"/>
  <c r="A196" i="3"/>
  <c r="A197" i="3"/>
  <c r="A198" i="3"/>
  <c r="A199" i="3"/>
  <c r="G94" i="8"/>
  <c r="F94" i="8"/>
  <c r="E94" i="8"/>
  <c r="D94" i="8"/>
  <c r="C94" i="8"/>
  <c r="B94" i="8"/>
  <c r="I94" i="8"/>
  <c r="B306" i="6"/>
  <c r="G93" i="8"/>
  <c r="F93" i="8"/>
  <c r="E93" i="8"/>
  <c r="D93" i="8"/>
  <c r="C93" i="8"/>
  <c r="B93" i="8"/>
  <c r="I93" i="8"/>
  <c r="B305" i="6"/>
  <c r="H92" i="8"/>
  <c r="G92" i="8"/>
  <c r="F92" i="8"/>
  <c r="E92" i="8"/>
  <c r="D92" i="8"/>
  <c r="C92" i="8"/>
  <c r="B92" i="8"/>
  <c r="I92" i="8"/>
  <c r="B304" i="6"/>
  <c r="H91" i="8"/>
  <c r="G91" i="8"/>
  <c r="F91" i="8"/>
  <c r="E91" i="8"/>
  <c r="D91" i="8"/>
  <c r="C91" i="8"/>
  <c r="B91" i="8"/>
  <c r="I91" i="8"/>
  <c r="B303" i="6"/>
  <c r="A195" i="2"/>
  <c r="A196" i="2"/>
  <c r="A197" i="2"/>
  <c r="A198" i="2"/>
  <c r="A199" i="2"/>
  <c r="H90" i="8"/>
  <c r="G90" i="8"/>
  <c r="F90" i="8"/>
  <c r="E90" i="8"/>
  <c r="D90" i="8"/>
  <c r="C90" i="8"/>
  <c r="B90" i="8"/>
  <c r="I90" i="8"/>
  <c r="B302" i="6"/>
  <c r="I89" i="8"/>
  <c r="H89" i="8"/>
  <c r="G89" i="8"/>
  <c r="F89" i="8"/>
  <c r="E89" i="8"/>
  <c r="D89" i="8"/>
  <c r="C89" i="8"/>
  <c r="B89" i="8"/>
  <c r="B301" i="6"/>
  <c r="H88" i="8"/>
  <c r="G88" i="8"/>
  <c r="F88" i="8"/>
  <c r="E88" i="8"/>
  <c r="D88" i="8"/>
  <c r="C88" i="8"/>
  <c r="B88" i="8"/>
  <c r="I88" i="8"/>
  <c r="B300" i="6"/>
  <c r="I87" i="8"/>
  <c r="H87" i="8"/>
  <c r="G87" i="8"/>
  <c r="F87" i="8"/>
  <c r="E87" i="8"/>
  <c r="D87" i="8"/>
  <c r="C87" i="8"/>
  <c r="B87" i="8"/>
  <c r="B299" i="6"/>
  <c r="H86" i="8"/>
  <c r="G86" i="8"/>
  <c r="F86" i="8"/>
  <c r="E86" i="8"/>
  <c r="D86" i="8"/>
  <c r="C86" i="8"/>
  <c r="B86" i="8"/>
  <c r="I86" i="8"/>
  <c r="B298" i="6"/>
  <c r="G456" i="6"/>
  <c r="B297" i="6"/>
  <c r="C456" i="6"/>
  <c r="C85" i="8"/>
  <c r="D85" i="8"/>
  <c r="E85" i="8"/>
  <c r="F85" i="8"/>
  <c r="G85" i="8"/>
  <c r="H85" i="8"/>
  <c r="B85" i="8"/>
  <c r="I85" i="8"/>
  <c r="I84" i="8"/>
  <c r="D84" i="8"/>
  <c r="E84" i="8"/>
  <c r="H84" i="8"/>
  <c r="G84" i="8"/>
  <c r="F84" i="8"/>
  <c r="C84" i="8"/>
  <c r="B84" i="8"/>
  <c r="B296" i="6"/>
  <c r="G455" i="6"/>
  <c r="C455" i="6"/>
  <c r="H83" i="8"/>
  <c r="G83" i="8"/>
  <c r="F83" i="8"/>
  <c r="E83" i="8"/>
  <c r="D83" i="8"/>
  <c r="C83" i="8"/>
  <c r="B83" i="8"/>
  <c r="I83" i="8"/>
  <c r="G454" i="6"/>
  <c r="C454" i="6"/>
  <c r="H82" i="8"/>
  <c r="G82" i="8"/>
  <c r="F82" i="8"/>
  <c r="E82" i="8"/>
  <c r="D82" i="8"/>
  <c r="C82" i="8"/>
  <c r="B82" i="8"/>
  <c r="I82" i="8"/>
  <c r="G453" i="6"/>
  <c r="C453" i="6"/>
  <c r="D81" i="8"/>
  <c r="B293" i="6"/>
  <c r="B81" i="8"/>
  <c r="H81" i="8"/>
  <c r="G81" i="8"/>
  <c r="F81" i="8"/>
  <c r="E81" i="8"/>
  <c r="C81" i="8"/>
  <c r="I81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I80" i="8"/>
  <c r="H80" i="8"/>
  <c r="G80" i="8"/>
  <c r="F80" i="8"/>
  <c r="E80" i="8"/>
  <c r="D80" i="8"/>
  <c r="C80" i="8"/>
  <c r="B80" i="8"/>
  <c r="B292" i="6"/>
  <c r="G452" i="6"/>
  <c r="G451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H79" i="8"/>
  <c r="G79" i="8"/>
  <c r="F79" i="8"/>
  <c r="E79" i="8"/>
  <c r="D79" i="8"/>
  <c r="C79" i="8"/>
  <c r="B79" i="8"/>
  <c r="I79" i="8"/>
  <c r="B291" i="6"/>
  <c r="A173" i="3"/>
  <c r="A174" i="3"/>
  <c r="A175" i="3"/>
  <c r="A176" i="3"/>
  <c r="A177" i="3"/>
  <c r="A178" i="3"/>
  <c r="A179" i="3"/>
  <c r="A180" i="3"/>
  <c r="A181" i="3"/>
  <c r="A182" i="3"/>
  <c r="A183" i="3"/>
  <c r="I78" i="8"/>
  <c r="H78" i="8"/>
  <c r="G78" i="8"/>
  <c r="F78" i="8"/>
  <c r="E78" i="8"/>
  <c r="D78" i="8"/>
  <c r="C78" i="8"/>
  <c r="B78" i="8"/>
  <c r="A173" i="1"/>
  <c r="A174" i="1"/>
  <c r="A175" i="1"/>
  <c r="A176" i="1"/>
  <c r="A177" i="1"/>
  <c r="A178" i="1"/>
  <c r="A179" i="1"/>
  <c r="A180" i="1"/>
  <c r="A181" i="1"/>
  <c r="A182" i="1"/>
  <c r="H77" i="8"/>
  <c r="G77" i="8"/>
  <c r="F77" i="8"/>
  <c r="D77" i="8"/>
  <c r="C77" i="8"/>
  <c r="B77" i="8"/>
  <c r="B289" i="6"/>
  <c r="B76" i="8"/>
  <c r="C76" i="8"/>
  <c r="D76" i="8"/>
  <c r="F76" i="8"/>
  <c r="G76" i="8"/>
  <c r="H76" i="8"/>
  <c r="B288" i="6"/>
  <c r="A180" i="2"/>
  <c r="A181" i="2"/>
  <c r="A182" i="2"/>
  <c r="A183" i="2"/>
  <c r="H75" i="8"/>
  <c r="G75" i="8"/>
  <c r="F75" i="8"/>
  <c r="D75" i="8"/>
  <c r="C75" i="8"/>
  <c r="B75" i="8"/>
  <c r="B287" i="6"/>
  <c r="H74" i="8"/>
  <c r="G74" i="8"/>
  <c r="F74" i="8"/>
  <c r="D74" i="8"/>
  <c r="C74" i="8"/>
  <c r="B74" i="8"/>
  <c r="B286" i="6"/>
  <c r="H73" i="8"/>
  <c r="G73" i="8"/>
  <c r="F73" i="8"/>
  <c r="E73" i="8"/>
  <c r="D73" i="8"/>
  <c r="C73" i="8"/>
  <c r="B73" i="8"/>
  <c r="I73" i="8"/>
  <c r="B285" i="6"/>
  <c r="B284" i="6"/>
  <c r="B72" i="8"/>
  <c r="C72" i="8"/>
  <c r="D72" i="8"/>
  <c r="E72" i="8"/>
  <c r="F72" i="8"/>
  <c r="G72" i="8"/>
  <c r="H72" i="8"/>
  <c r="I72" i="8"/>
  <c r="H71" i="8"/>
  <c r="G71" i="8"/>
  <c r="F71" i="8"/>
  <c r="E71" i="8"/>
  <c r="D71" i="8"/>
  <c r="C71" i="8"/>
  <c r="B283" i="6"/>
  <c r="D70" i="8"/>
  <c r="B282" i="6"/>
  <c r="I71" i="8"/>
  <c r="H70" i="8"/>
  <c r="G70" i="8"/>
  <c r="F70" i="8"/>
  <c r="E70" i="8"/>
  <c r="C70" i="8"/>
  <c r="I70" i="8"/>
  <c r="A174" i="2"/>
  <c r="A175" i="2"/>
  <c r="A176" i="2"/>
  <c r="A177" i="2"/>
  <c r="A178" i="2"/>
  <c r="B281" i="6"/>
  <c r="D69" i="8"/>
  <c r="B280" i="6"/>
  <c r="D68" i="8"/>
  <c r="B279" i="6"/>
  <c r="D67" i="8"/>
  <c r="B278" i="6"/>
  <c r="D66" i="8"/>
  <c r="B277" i="6"/>
  <c r="D65" i="8"/>
  <c r="B276" i="6"/>
  <c r="D64" i="8"/>
  <c r="B275" i="6"/>
  <c r="D63" i="8"/>
  <c r="I69" i="8"/>
  <c r="H69" i="8"/>
  <c r="G69" i="8"/>
  <c r="F69" i="8"/>
  <c r="E69" i="8"/>
  <c r="C69" i="8"/>
  <c r="H68" i="8"/>
  <c r="G68" i="8"/>
  <c r="F68" i="8"/>
  <c r="E68" i="8"/>
  <c r="C68" i="8"/>
  <c r="I66" i="8"/>
  <c r="I67" i="8"/>
  <c r="I68" i="8"/>
  <c r="H66" i="8"/>
  <c r="H67" i="8"/>
  <c r="G66" i="8"/>
  <c r="G67" i="8"/>
  <c r="E66" i="8"/>
  <c r="E67" i="8"/>
  <c r="C66" i="8"/>
  <c r="C67" i="8"/>
  <c r="C64" i="8"/>
  <c r="C65" i="8"/>
  <c r="A225" i="8"/>
  <c r="A226" i="8"/>
  <c r="H65" i="8"/>
  <c r="G65" i="8"/>
  <c r="E65" i="8"/>
  <c r="I65" i="8"/>
  <c r="A224" i="8"/>
  <c r="H64" i="8"/>
  <c r="G64" i="8"/>
  <c r="E64" i="8"/>
  <c r="I64" i="8"/>
  <c r="H63" i="8"/>
  <c r="G63" i="8"/>
  <c r="F63" i="8"/>
  <c r="E63" i="8"/>
  <c r="I63" i="8"/>
  <c r="B63" i="8"/>
  <c r="B64" i="8"/>
  <c r="B65" i="8"/>
  <c r="B66" i="8"/>
  <c r="C63" i="8"/>
  <c r="A222" i="8"/>
  <c r="B274" i="6"/>
  <c r="H62" i="8"/>
  <c r="G62" i="8"/>
  <c r="F62" i="8"/>
  <c r="E62" i="8"/>
  <c r="D62" i="8"/>
  <c r="I62" i="8"/>
  <c r="C62" i="8"/>
  <c r="B62" i="8"/>
  <c r="A221" i="8"/>
  <c r="H61" i="8"/>
  <c r="G61" i="8"/>
  <c r="F61" i="8"/>
  <c r="E61" i="8"/>
  <c r="D61" i="8"/>
  <c r="D60" i="8"/>
  <c r="B272" i="6"/>
  <c r="B273" i="6"/>
  <c r="D59" i="8"/>
  <c r="M59" i="8"/>
  <c r="B271" i="6"/>
  <c r="C271" i="6"/>
  <c r="I60" i="8"/>
  <c r="I61" i="8"/>
  <c r="H60" i="8"/>
  <c r="G60" i="8"/>
  <c r="F60" i="8"/>
  <c r="E60" i="8"/>
  <c r="C60" i="8"/>
  <c r="C61" i="8"/>
  <c r="B60" i="8"/>
  <c r="B61" i="8"/>
  <c r="B59" i="8"/>
  <c r="I59" i="8"/>
  <c r="H59" i="8"/>
  <c r="G59" i="8"/>
  <c r="F59" i="8"/>
  <c r="E59" i="8"/>
  <c r="N59" i="8"/>
  <c r="C59" i="8"/>
  <c r="B71" i="8"/>
  <c r="B70" i="8"/>
  <c r="B69" i="8"/>
  <c r="B68" i="8"/>
  <c r="B67" i="8"/>
  <c r="R58" i="8"/>
  <c r="Q58" i="8"/>
  <c r="P58" i="8"/>
  <c r="O58" i="8"/>
  <c r="N58" i="8"/>
  <c r="M58" i="8"/>
  <c r="L58" i="8"/>
  <c r="K58" i="8"/>
  <c r="R57" i="8"/>
  <c r="Q57" i="8"/>
  <c r="P57" i="8"/>
  <c r="O57" i="8"/>
  <c r="N57" i="8"/>
  <c r="M57" i="8"/>
  <c r="L57" i="8"/>
  <c r="K57" i="8"/>
  <c r="R56" i="8"/>
  <c r="Q56" i="8"/>
  <c r="P56" i="8"/>
  <c r="O56" i="8"/>
  <c r="N56" i="8"/>
  <c r="M56" i="8"/>
  <c r="L56" i="8"/>
  <c r="K56" i="8"/>
  <c r="R55" i="8"/>
  <c r="Q55" i="8"/>
  <c r="P55" i="8"/>
  <c r="O55" i="8"/>
  <c r="N55" i="8"/>
  <c r="M55" i="8"/>
  <c r="L55" i="8"/>
  <c r="K55" i="8"/>
  <c r="R54" i="8"/>
  <c r="Q54" i="8"/>
  <c r="P54" i="8"/>
  <c r="O54" i="8"/>
  <c r="N54" i="8"/>
  <c r="M54" i="8"/>
  <c r="L54" i="8"/>
  <c r="K54" i="8"/>
  <c r="R53" i="8"/>
  <c r="Q53" i="8"/>
  <c r="P53" i="8"/>
  <c r="O53" i="8"/>
  <c r="N53" i="8"/>
  <c r="M53" i="8"/>
  <c r="L53" i="8"/>
  <c r="K53" i="8"/>
  <c r="R52" i="8"/>
  <c r="Q52" i="8"/>
  <c r="P52" i="8"/>
  <c r="O52" i="8"/>
  <c r="N52" i="8"/>
  <c r="M52" i="8"/>
  <c r="L52" i="8"/>
  <c r="K52" i="8"/>
  <c r="R51" i="8"/>
  <c r="Q51" i="8"/>
  <c r="P51" i="8"/>
  <c r="O51" i="8"/>
  <c r="N51" i="8"/>
  <c r="M51" i="8"/>
  <c r="L51" i="8"/>
  <c r="K51" i="8"/>
  <c r="R50" i="8"/>
  <c r="Q50" i="8"/>
  <c r="P50" i="8"/>
  <c r="O50" i="8"/>
  <c r="N50" i="8"/>
  <c r="M50" i="8"/>
  <c r="L50" i="8"/>
  <c r="K50" i="8"/>
  <c r="R49" i="8"/>
  <c r="Q49" i="8"/>
  <c r="P49" i="8"/>
  <c r="O49" i="8"/>
  <c r="N49" i="8"/>
  <c r="M49" i="8"/>
  <c r="L49" i="8"/>
  <c r="K49" i="8"/>
  <c r="R48" i="8"/>
  <c r="Q48" i="8"/>
  <c r="P48" i="8"/>
  <c r="O48" i="8"/>
  <c r="N48" i="8"/>
  <c r="M48" i="8"/>
  <c r="L48" i="8"/>
  <c r="K48" i="8"/>
  <c r="R47" i="8"/>
  <c r="Q47" i="8"/>
  <c r="P47" i="8"/>
  <c r="O47" i="8"/>
  <c r="N47" i="8"/>
  <c r="M47" i="8"/>
  <c r="L47" i="8"/>
  <c r="K47" i="8"/>
  <c r="R46" i="8"/>
  <c r="Q46" i="8"/>
  <c r="P46" i="8"/>
  <c r="O46" i="8"/>
  <c r="N46" i="8"/>
  <c r="M46" i="8"/>
  <c r="L46" i="8"/>
  <c r="K46" i="8"/>
  <c r="R45" i="8"/>
  <c r="Q45" i="8"/>
  <c r="P45" i="8"/>
  <c r="O45" i="8"/>
  <c r="N45" i="8"/>
  <c r="M45" i="8"/>
  <c r="L45" i="8"/>
  <c r="K45" i="8"/>
  <c r="R44" i="8"/>
  <c r="Q44" i="8"/>
  <c r="P44" i="8"/>
  <c r="O44" i="8"/>
  <c r="N44" i="8"/>
  <c r="M44" i="8"/>
  <c r="L44" i="8"/>
  <c r="K44" i="8"/>
  <c r="R43" i="8"/>
  <c r="Q43" i="8"/>
  <c r="P43" i="8"/>
  <c r="O43" i="8"/>
  <c r="N43" i="8"/>
  <c r="M43" i="8"/>
  <c r="L43" i="8"/>
  <c r="K43" i="8"/>
  <c r="R42" i="8"/>
  <c r="Q42" i="8"/>
  <c r="P42" i="8"/>
  <c r="O42" i="8"/>
  <c r="N42" i="8"/>
  <c r="M42" i="8"/>
  <c r="L42" i="8"/>
  <c r="K42" i="8"/>
  <c r="R41" i="8"/>
  <c r="Q41" i="8"/>
  <c r="P41" i="8"/>
  <c r="O41" i="8"/>
  <c r="N41" i="8"/>
  <c r="M41" i="8"/>
  <c r="L41" i="8"/>
  <c r="K41" i="8"/>
  <c r="R40" i="8"/>
  <c r="Q40" i="8"/>
  <c r="P40" i="8"/>
  <c r="O40" i="8"/>
  <c r="N40" i="8"/>
  <c r="M40" i="8"/>
  <c r="L40" i="8"/>
  <c r="K40" i="8"/>
  <c r="R39" i="8"/>
  <c r="Q39" i="8"/>
  <c r="P39" i="8"/>
  <c r="O39" i="8"/>
  <c r="N39" i="8"/>
  <c r="M39" i="8"/>
  <c r="L39" i="8"/>
  <c r="K39" i="8"/>
  <c r="R38" i="8"/>
  <c r="Q38" i="8"/>
  <c r="P38" i="8"/>
  <c r="O38" i="8"/>
  <c r="N38" i="8"/>
  <c r="M38" i="8"/>
  <c r="L38" i="8"/>
  <c r="K38" i="8"/>
  <c r="R37" i="8"/>
  <c r="Q37" i="8"/>
  <c r="P37" i="8"/>
  <c r="O37" i="8"/>
  <c r="N37" i="8"/>
  <c r="M37" i="8"/>
  <c r="L37" i="8"/>
  <c r="K37" i="8"/>
  <c r="R36" i="8"/>
  <c r="Q36" i="8"/>
  <c r="P36" i="8"/>
  <c r="O36" i="8"/>
  <c r="N36" i="8"/>
  <c r="M36" i="8"/>
  <c r="L36" i="8"/>
  <c r="K36" i="8"/>
  <c r="R35" i="8"/>
  <c r="Q35" i="8"/>
  <c r="P35" i="8"/>
  <c r="O35" i="8"/>
  <c r="N35" i="8"/>
  <c r="M35" i="8"/>
  <c r="L35" i="8"/>
  <c r="K35" i="8"/>
  <c r="R34" i="8"/>
  <c r="Q34" i="8"/>
  <c r="P34" i="8"/>
  <c r="O34" i="8"/>
  <c r="N34" i="8"/>
  <c r="M34" i="8"/>
  <c r="L34" i="8"/>
  <c r="K34" i="8"/>
  <c r="R33" i="8"/>
  <c r="Q33" i="8"/>
  <c r="P33" i="8"/>
  <c r="O33" i="8"/>
  <c r="N33" i="8"/>
  <c r="M33" i="8"/>
  <c r="L33" i="8"/>
  <c r="K33" i="8"/>
  <c r="R32" i="8"/>
  <c r="Q32" i="8"/>
  <c r="P32" i="8"/>
  <c r="O32" i="8"/>
  <c r="N32" i="8"/>
  <c r="M32" i="8"/>
  <c r="L32" i="8"/>
  <c r="K32" i="8"/>
  <c r="R31" i="8"/>
  <c r="Q31" i="8"/>
  <c r="P31" i="8"/>
  <c r="O31" i="8"/>
  <c r="N31" i="8"/>
  <c r="M31" i="8"/>
  <c r="L31" i="8"/>
  <c r="K31" i="8"/>
  <c r="R30" i="8"/>
  <c r="Q30" i="8"/>
  <c r="P30" i="8"/>
  <c r="O30" i="8"/>
  <c r="N30" i="8"/>
  <c r="M30" i="8"/>
  <c r="L30" i="8"/>
  <c r="K30" i="8"/>
  <c r="R29" i="8"/>
  <c r="Q29" i="8"/>
  <c r="P29" i="8"/>
  <c r="O29" i="8"/>
  <c r="N29" i="8"/>
  <c r="M29" i="8"/>
  <c r="L29" i="8"/>
  <c r="K29" i="8"/>
  <c r="R28" i="8"/>
  <c r="Q28" i="8"/>
  <c r="P28" i="8"/>
  <c r="O28" i="8"/>
  <c r="N28" i="8"/>
  <c r="M28" i="8"/>
  <c r="L28" i="8"/>
  <c r="K28" i="8"/>
  <c r="R27" i="8"/>
  <c r="Q27" i="8"/>
  <c r="P27" i="8"/>
  <c r="O27" i="8"/>
  <c r="N27" i="8"/>
  <c r="M27" i="8"/>
  <c r="L27" i="8"/>
  <c r="K27" i="8"/>
  <c r="R26" i="8"/>
  <c r="Q26" i="8"/>
  <c r="P26" i="8"/>
  <c r="O26" i="8"/>
  <c r="N26" i="8"/>
  <c r="M26" i="8"/>
  <c r="L26" i="8"/>
  <c r="K26" i="8"/>
  <c r="R25" i="8"/>
  <c r="Q25" i="8"/>
  <c r="P25" i="8"/>
  <c r="O25" i="8"/>
  <c r="N25" i="8"/>
  <c r="M25" i="8"/>
  <c r="L25" i="8"/>
  <c r="K25" i="8"/>
  <c r="R24" i="8"/>
  <c r="Q24" i="8"/>
  <c r="P24" i="8"/>
  <c r="O24" i="8"/>
  <c r="N24" i="8"/>
  <c r="M24" i="8"/>
  <c r="L24" i="8"/>
  <c r="K24" i="8"/>
  <c r="R23" i="8"/>
  <c r="Q23" i="8"/>
  <c r="P23" i="8"/>
  <c r="O23" i="8"/>
  <c r="N23" i="8"/>
  <c r="M23" i="8"/>
  <c r="L23" i="8"/>
  <c r="K23" i="8"/>
  <c r="R22" i="8"/>
  <c r="Q22" i="8"/>
  <c r="P22" i="8"/>
  <c r="O22" i="8"/>
  <c r="N22" i="8"/>
  <c r="M22" i="8"/>
  <c r="L22" i="8"/>
  <c r="K22" i="8"/>
  <c r="R21" i="8"/>
  <c r="Q21" i="8"/>
  <c r="P21" i="8"/>
  <c r="O21" i="8"/>
  <c r="N21" i="8"/>
  <c r="M21" i="8"/>
  <c r="L21" i="8"/>
  <c r="K21" i="8"/>
  <c r="R20" i="8"/>
  <c r="Q20" i="8"/>
  <c r="P20" i="8"/>
  <c r="O20" i="8"/>
  <c r="N20" i="8"/>
  <c r="M20" i="8"/>
  <c r="L20" i="8"/>
  <c r="K20" i="8"/>
  <c r="R19" i="8"/>
  <c r="Q19" i="8"/>
  <c r="P19" i="8"/>
  <c r="O19" i="8"/>
  <c r="N19" i="8"/>
  <c r="M19" i="8"/>
  <c r="L19" i="8"/>
  <c r="K19" i="8"/>
  <c r="R18" i="8"/>
  <c r="Q18" i="8"/>
  <c r="P18" i="8"/>
  <c r="O18" i="8"/>
  <c r="N18" i="8"/>
  <c r="M18" i="8"/>
  <c r="L18" i="8"/>
  <c r="K18" i="8"/>
  <c r="R17" i="8"/>
  <c r="Q17" i="8"/>
  <c r="P17" i="8"/>
  <c r="O17" i="8"/>
  <c r="N17" i="8"/>
  <c r="M17" i="8"/>
  <c r="L17" i="8"/>
  <c r="K17" i="8"/>
  <c r="R16" i="8"/>
  <c r="Q16" i="8"/>
  <c r="P16" i="8"/>
  <c r="O16" i="8"/>
  <c r="N16" i="8"/>
  <c r="M16" i="8"/>
  <c r="L16" i="8"/>
  <c r="K16" i="8"/>
  <c r="R15" i="8"/>
  <c r="Q15" i="8"/>
  <c r="P15" i="8"/>
  <c r="O15" i="8"/>
  <c r="N15" i="8"/>
  <c r="M15" i="8"/>
  <c r="L15" i="8"/>
  <c r="K15" i="8"/>
  <c r="R14" i="8"/>
  <c r="Q14" i="8"/>
  <c r="P14" i="8"/>
  <c r="O14" i="8"/>
  <c r="N14" i="8"/>
  <c r="M14" i="8"/>
  <c r="L14" i="8"/>
  <c r="K14" i="8"/>
  <c r="R13" i="8"/>
  <c r="Q13" i="8"/>
  <c r="P13" i="8"/>
  <c r="O13" i="8"/>
  <c r="N13" i="8"/>
  <c r="M13" i="8"/>
  <c r="L13" i="8"/>
  <c r="K13" i="8"/>
  <c r="R12" i="8"/>
  <c r="Q12" i="8"/>
  <c r="P12" i="8"/>
  <c r="O12" i="8"/>
  <c r="N12" i="8"/>
  <c r="M12" i="8"/>
  <c r="L12" i="8"/>
  <c r="K12" i="8"/>
  <c r="R11" i="8"/>
  <c r="Q11" i="8"/>
  <c r="P11" i="8"/>
  <c r="O11" i="8"/>
  <c r="N11" i="8"/>
  <c r="M11" i="8"/>
  <c r="L11" i="8"/>
  <c r="K11" i="8"/>
  <c r="R10" i="8"/>
  <c r="Q10" i="8"/>
  <c r="P10" i="8"/>
  <c r="O10" i="8"/>
  <c r="N10" i="8"/>
  <c r="M10" i="8"/>
  <c r="L10" i="8"/>
  <c r="K10" i="8"/>
  <c r="R9" i="8"/>
  <c r="Q9" i="8"/>
  <c r="P9" i="8"/>
  <c r="O9" i="8"/>
  <c r="N9" i="8"/>
  <c r="M9" i="8"/>
  <c r="L9" i="8"/>
  <c r="K9" i="8"/>
  <c r="A202" i="8"/>
  <c r="A203" i="8"/>
  <c r="A204" i="8"/>
  <c r="A205" i="8"/>
  <c r="C270" i="6"/>
  <c r="C269" i="6"/>
  <c r="C268" i="6"/>
  <c r="C266" i="6"/>
  <c r="C267" i="6"/>
  <c r="C265" i="6"/>
  <c r="C264" i="6"/>
  <c r="C263" i="6"/>
  <c r="C262" i="6"/>
  <c r="A147" i="1"/>
  <c r="A148" i="1"/>
  <c r="A149" i="1"/>
  <c r="A150" i="1"/>
  <c r="A151" i="1"/>
  <c r="C261" i="6"/>
  <c r="A414" i="6"/>
  <c r="A415" i="6"/>
  <c r="A416" i="6"/>
  <c r="A417" i="6"/>
  <c r="A149" i="3"/>
  <c r="A150" i="3"/>
  <c r="C260" i="6"/>
  <c r="A149" i="2"/>
  <c r="C258" i="6"/>
  <c r="C259" i="6"/>
  <c r="A147" i="3"/>
  <c r="A147" i="2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4" i="6"/>
  <c r="C235" i="6"/>
  <c r="C236" i="6"/>
  <c r="C237" i="6"/>
  <c r="C238" i="6"/>
  <c r="C239" i="6"/>
  <c r="C23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08" i="6"/>
  <c r="C209" i="6"/>
  <c r="C210" i="6"/>
  <c r="C211" i="6"/>
  <c r="C212" i="6"/>
  <c r="C213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D247" i="6"/>
  <c r="C194" i="6"/>
  <c r="C193" i="6"/>
  <c r="C192" i="6"/>
  <c r="C191" i="6"/>
  <c r="C190" i="6"/>
  <c r="C189" i="6"/>
  <c r="C188" i="6"/>
  <c r="C187" i="6"/>
  <c r="D239" i="6"/>
  <c r="C186" i="6"/>
  <c r="C185" i="6"/>
  <c r="C184" i="6"/>
  <c r="C183" i="6"/>
  <c r="C182" i="6"/>
  <c r="C181" i="6"/>
  <c r="C180" i="6"/>
  <c r="C232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D322" i="6"/>
  <c r="C164" i="6"/>
  <c r="D321" i="6"/>
  <c r="C163" i="6"/>
  <c r="C162" i="6"/>
  <c r="C161" i="6"/>
  <c r="D318" i="6"/>
  <c r="C160" i="6"/>
  <c r="C159" i="6"/>
  <c r="C158" i="6"/>
  <c r="C157" i="6"/>
  <c r="D314" i="6"/>
  <c r="C156" i="6"/>
  <c r="D313" i="6"/>
  <c r="C155" i="6"/>
  <c r="C154" i="6"/>
  <c r="C153" i="6"/>
  <c r="C152" i="6"/>
  <c r="C151" i="6"/>
  <c r="D255" i="6"/>
  <c r="C150" i="6"/>
  <c r="D307" i="6"/>
  <c r="C149" i="6"/>
  <c r="C148" i="6"/>
  <c r="D305" i="6"/>
  <c r="C147" i="6"/>
  <c r="C146" i="6"/>
  <c r="C145" i="6"/>
  <c r="C144" i="6"/>
  <c r="C143" i="6"/>
  <c r="C142" i="6"/>
  <c r="D299" i="6"/>
  <c r="C141" i="6"/>
  <c r="C140" i="6"/>
  <c r="D297" i="6"/>
  <c r="C139" i="6"/>
  <c r="C138" i="6"/>
  <c r="C137" i="6"/>
  <c r="C136" i="6"/>
  <c r="C135" i="6"/>
  <c r="C134" i="6"/>
  <c r="D291" i="6"/>
  <c r="C133" i="6"/>
  <c r="C132" i="6"/>
  <c r="D289" i="6"/>
  <c r="C131" i="6"/>
  <c r="C130" i="6"/>
  <c r="C129" i="6"/>
  <c r="C128" i="6"/>
  <c r="C127" i="6"/>
  <c r="D284" i="6"/>
  <c r="C126" i="6"/>
  <c r="D283" i="6"/>
  <c r="C125" i="6"/>
  <c r="D282" i="6"/>
  <c r="C124" i="6"/>
  <c r="D281" i="6"/>
  <c r="C123" i="6"/>
  <c r="C122" i="6"/>
  <c r="C121" i="6"/>
  <c r="C120" i="6"/>
  <c r="C119" i="6"/>
  <c r="D276" i="6"/>
  <c r="C118" i="6"/>
  <c r="D275" i="6"/>
  <c r="C117" i="6"/>
  <c r="D274" i="6"/>
  <c r="C116" i="6"/>
  <c r="D273" i="6"/>
  <c r="C115" i="6"/>
  <c r="C114" i="6"/>
  <c r="C113" i="6"/>
  <c r="C112" i="6"/>
  <c r="C111" i="6"/>
  <c r="D267" i="6"/>
  <c r="C110" i="6"/>
  <c r="C109" i="6"/>
  <c r="D265" i="6"/>
  <c r="C108" i="6"/>
  <c r="C107" i="6"/>
  <c r="C106" i="6"/>
  <c r="C105" i="6"/>
  <c r="C104" i="6"/>
  <c r="C103" i="6"/>
  <c r="C102" i="6"/>
  <c r="D258" i="6"/>
  <c r="C101" i="6"/>
  <c r="D257" i="6"/>
  <c r="C100" i="6"/>
  <c r="D256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D241" i="6"/>
  <c r="C84" i="6"/>
  <c r="C83" i="6"/>
  <c r="C82" i="6"/>
  <c r="C81" i="6"/>
  <c r="C80" i="6"/>
  <c r="C79" i="6"/>
  <c r="D235" i="6"/>
  <c r="C78" i="6"/>
  <c r="C77" i="6"/>
  <c r="D233" i="6"/>
  <c r="C76" i="6"/>
  <c r="C75" i="6"/>
  <c r="C74" i="6"/>
  <c r="C73" i="6"/>
  <c r="C72" i="6"/>
  <c r="C71" i="6"/>
  <c r="D227" i="6"/>
  <c r="C70" i="6"/>
  <c r="D226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D203" i="6"/>
  <c r="C46" i="6"/>
  <c r="D202" i="6"/>
  <c r="C45" i="6"/>
  <c r="C44" i="6"/>
  <c r="C43" i="6"/>
  <c r="C42" i="6"/>
  <c r="C41" i="6"/>
  <c r="C40" i="6"/>
  <c r="C39" i="6"/>
  <c r="D195" i="6"/>
  <c r="C38" i="6"/>
  <c r="D194" i="6"/>
  <c r="C37" i="6"/>
  <c r="D193" i="6"/>
  <c r="C36" i="6"/>
  <c r="C35" i="6"/>
  <c r="C34" i="6"/>
  <c r="C33" i="6"/>
  <c r="C32" i="6"/>
  <c r="C31" i="6"/>
  <c r="D187" i="6"/>
  <c r="C30" i="6"/>
  <c r="D186" i="6"/>
  <c r="C29" i="6"/>
  <c r="D185" i="6"/>
  <c r="C28" i="6"/>
  <c r="C27" i="6"/>
  <c r="C26" i="6"/>
  <c r="C25" i="6"/>
  <c r="C24" i="6"/>
  <c r="C23" i="6"/>
  <c r="C22" i="6"/>
  <c r="D178" i="6"/>
  <c r="C21" i="6"/>
  <c r="C20" i="6"/>
  <c r="C19" i="6"/>
  <c r="C18" i="6"/>
  <c r="C17" i="6"/>
  <c r="C16" i="6"/>
  <c r="C15" i="6"/>
  <c r="D171" i="6"/>
  <c r="C14" i="6"/>
  <c r="D170" i="6"/>
  <c r="C13" i="6"/>
  <c r="D169" i="6"/>
  <c r="C12" i="6"/>
  <c r="C11" i="6"/>
  <c r="C10" i="6"/>
  <c r="C9" i="6"/>
  <c r="C8" i="6"/>
  <c r="D219" i="6"/>
  <c r="D223" i="6"/>
  <c r="D225" i="6"/>
  <c r="D243" i="6"/>
  <c r="D249" i="6"/>
  <c r="D251" i="6"/>
  <c r="D259" i="6"/>
  <c r="M251" i="8"/>
  <c r="N200" i="8"/>
  <c r="C467" i="6"/>
  <c r="N205" i="8"/>
  <c r="M258" i="8"/>
  <c r="N207" i="8"/>
  <c r="O156" i="8"/>
  <c r="C495" i="6"/>
  <c r="N198" i="8"/>
  <c r="R202" i="8"/>
  <c r="K153" i="8"/>
  <c r="O310" i="8"/>
  <c r="X466" i="8"/>
  <c r="AH466" i="8"/>
  <c r="O154" i="8"/>
  <c r="C473" i="6"/>
  <c r="AP299" i="8"/>
  <c r="AP308" i="8"/>
  <c r="C465" i="6"/>
  <c r="C469" i="6"/>
  <c r="Q257" i="8"/>
  <c r="R206" i="8"/>
  <c r="M260" i="8"/>
  <c r="Q231" i="8"/>
  <c r="M199" i="8"/>
  <c r="N148" i="8"/>
  <c r="W304" i="8"/>
  <c r="AG304" i="8"/>
  <c r="R150" i="8"/>
  <c r="C415" i="6"/>
  <c r="L257" i="8"/>
  <c r="Q205" i="8"/>
  <c r="P310" i="8"/>
  <c r="Y466" i="8"/>
  <c r="AI466" i="8"/>
  <c r="M206" i="8"/>
  <c r="P258" i="8"/>
  <c r="P312" i="8"/>
  <c r="Y468" i="8"/>
  <c r="AI468" i="8"/>
  <c r="AU261" i="8"/>
  <c r="N89" i="8"/>
  <c r="N118" i="8"/>
  <c r="AS272" i="8"/>
  <c r="AT281" i="8"/>
  <c r="AR264" i="8"/>
  <c r="C280" i="6"/>
  <c r="D333" i="6"/>
  <c r="K264" i="8"/>
  <c r="AP275" i="8"/>
  <c r="N275" i="8"/>
  <c r="H489" i="6"/>
  <c r="L282" i="8"/>
  <c r="L231" i="8"/>
  <c r="Q179" i="8"/>
  <c r="P232" i="8"/>
  <c r="AO282" i="8"/>
  <c r="O137" i="8"/>
  <c r="M221" i="8"/>
  <c r="AQ303" i="8"/>
  <c r="M223" i="8"/>
  <c r="M171" i="8"/>
  <c r="AQ331" i="8"/>
  <c r="O89" i="8"/>
  <c r="C351" i="6"/>
  <c r="P126" i="8"/>
  <c r="AQ280" i="8"/>
  <c r="R231" i="8"/>
  <c r="L137" i="8"/>
  <c r="N304" i="8"/>
  <c r="W460" i="8"/>
  <c r="AG460" i="8"/>
  <c r="R253" i="8"/>
  <c r="R255" i="8"/>
  <c r="R257" i="8"/>
  <c r="AU307" i="8"/>
  <c r="K206" i="8"/>
  <c r="N258" i="8"/>
  <c r="P154" i="8"/>
  <c r="N311" i="8"/>
  <c r="W467" i="8"/>
  <c r="AG467" i="8"/>
  <c r="L155" i="8"/>
  <c r="P157" i="8"/>
  <c r="I707" i="6"/>
  <c r="AC495" i="8"/>
  <c r="F707" i="6"/>
  <c r="P61" i="8"/>
  <c r="AU330" i="8"/>
  <c r="P136" i="8"/>
  <c r="I706" i="6"/>
  <c r="AC494" i="8"/>
  <c r="F706" i="6"/>
  <c r="G542" i="6"/>
  <c r="AS268" i="8"/>
  <c r="R276" i="8"/>
  <c r="AU306" i="8"/>
  <c r="R330" i="8"/>
  <c r="AA486" i="8"/>
  <c r="AK486" i="8"/>
  <c r="C487" i="6"/>
  <c r="P223" i="8"/>
  <c r="C468" i="6"/>
  <c r="C470" i="6"/>
  <c r="K204" i="8"/>
  <c r="Q170" i="8"/>
  <c r="N223" i="8"/>
  <c r="P279" i="8"/>
  <c r="F708" i="6"/>
  <c r="I708" i="6"/>
  <c r="AC496" i="8"/>
  <c r="AR285" i="8"/>
  <c r="F710" i="6"/>
  <c r="I710" i="6"/>
  <c r="AC498" i="8"/>
  <c r="G522" i="6"/>
  <c r="M66" i="8"/>
  <c r="AU277" i="8"/>
  <c r="N274" i="8"/>
  <c r="C362" i="6"/>
  <c r="C364" i="6"/>
  <c r="C366" i="6"/>
  <c r="C368" i="6"/>
  <c r="F709" i="6"/>
  <c r="I709" i="6"/>
  <c r="AC497" i="8"/>
  <c r="K229" i="8"/>
  <c r="Q187" i="8"/>
  <c r="M148" i="8"/>
  <c r="Q309" i="8"/>
  <c r="Z465" i="8"/>
  <c r="AJ465" i="8"/>
  <c r="K257" i="8"/>
  <c r="M153" i="8"/>
  <c r="P205" i="8"/>
  <c r="L206" i="8"/>
  <c r="O258" i="8"/>
  <c r="Q154" i="8"/>
  <c r="M155" i="8"/>
  <c r="P207" i="8"/>
  <c r="L208" i="8"/>
  <c r="O260" i="8"/>
  <c r="AU280" i="8"/>
  <c r="O178" i="8"/>
  <c r="N231" i="8"/>
  <c r="R232" i="8"/>
  <c r="Q135" i="8"/>
  <c r="N252" i="8"/>
  <c r="R254" i="8"/>
  <c r="AA306" i="8"/>
  <c r="AK306" i="8"/>
  <c r="K205" i="8"/>
  <c r="N257" i="8"/>
  <c r="AQ307" i="8"/>
  <c r="R258" i="8"/>
  <c r="L154" i="8"/>
  <c r="O206" i="8"/>
  <c r="P155" i="8"/>
  <c r="O208" i="8"/>
  <c r="AU263" i="8"/>
  <c r="AQ261" i="8"/>
  <c r="AT262" i="8"/>
  <c r="M117" i="8"/>
  <c r="N170" i="8"/>
  <c r="O275" i="8"/>
  <c r="M119" i="8"/>
  <c r="Q119" i="8"/>
  <c r="O277" i="8"/>
  <c r="K127" i="8"/>
  <c r="AR281" i="8"/>
  <c r="AN282" i="8"/>
  <c r="P188" i="8"/>
  <c r="AP240" i="8"/>
  <c r="K149" i="8"/>
  <c r="K151" i="8"/>
  <c r="K256" i="8"/>
  <c r="AR263" i="8"/>
  <c r="N251" i="8"/>
  <c r="P230" i="8"/>
  <c r="P328" i="8"/>
  <c r="Y484" i="8"/>
  <c r="AI484" i="8"/>
  <c r="P222" i="8"/>
  <c r="N280" i="8"/>
  <c r="N281" i="8"/>
  <c r="L126" i="8"/>
  <c r="Q134" i="8"/>
  <c r="L138" i="8"/>
  <c r="R117" i="8"/>
  <c r="K89" i="8"/>
  <c r="M118" i="8"/>
  <c r="P170" i="8"/>
  <c r="Q223" i="8"/>
  <c r="O276" i="8"/>
  <c r="O281" i="8"/>
  <c r="AT280" i="8"/>
  <c r="AP281" i="8"/>
  <c r="O186" i="8"/>
  <c r="N189" i="8"/>
  <c r="M146" i="8"/>
  <c r="K253" i="8"/>
  <c r="K255" i="8"/>
  <c r="O60" i="8"/>
  <c r="L89" i="8"/>
  <c r="L90" i="8"/>
  <c r="AQ268" i="8"/>
  <c r="R221" i="8"/>
  <c r="N222" i="8"/>
  <c r="P118" i="8"/>
  <c r="Q171" i="8"/>
  <c r="AQ274" i="8"/>
  <c r="R279" i="8"/>
  <c r="P281" i="8"/>
  <c r="K179" i="8"/>
  <c r="O136" i="8"/>
  <c r="N137" i="8"/>
  <c r="K203" i="8"/>
  <c r="O222" i="8"/>
  <c r="N171" i="8"/>
  <c r="W327" i="8"/>
  <c r="AG327" i="8"/>
  <c r="L189" i="8"/>
  <c r="K254" i="8"/>
  <c r="Q153" i="8"/>
  <c r="M154" i="8"/>
  <c r="L207" i="8"/>
  <c r="Q312" i="8"/>
  <c r="Z468" i="8"/>
  <c r="AJ468" i="8"/>
  <c r="P208" i="8"/>
  <c r="M67" i="8"/>
  <c r="P89" i="8"/>
  <c r="P90" i="8"/>
  <c r="N119" i="8"/>
  <c r="R277" i="8"/>
  <c r="AU327" i="8"/>
  <c r="L280" i="8"/>
  <c r="O179" i="8"/>
  <c r="Q136" i="8"/>
  <c r="K202" i="8"/>
  <c r="AP262" i="8"/>
  <c r="AS263" i="8"/>
  <c r="AT275" i="8"/>
  <c r="P178" i="8"/>
  <c r="Q188" i="8"/>
  <c r="K152" i="8"/>
  <c r="O257" i="8"/>
  <c r="P206" i="8"/>
  <c r="Q155" i="8"/>
  <c r="M156" i="8"/>
  <c r="M274" i="8"/>
  <c r="M222" i="8"/>
  <c r="O118" i="8"/>
  <c r="O223" i="8"/>
  <c r="P171" i="8"/>
  <c r="L122" i="8"/>
  <c r="M279" i="8"/>
  <c r="L178" i="8"/>
  <c r="Q230" i="8"/>
  <c r="AR280" i="8"/>
  <c r="M231" i="8"/>
  <c r="AR282" i="8"/>
  <c r="AU285" i="8"/>
  <c r="Q186" i="8"/>
  <c r="R188" i="8"/>
  <c r="Q189" i="8"/>
  <c r="AN240" i="8"/>
  <c r="P246" i="8"/>
  <c r="AR299" i="8"/>
  <c r="M250" i="8"/>
  <c r="N199" i="8"/>
  <c r="M252" i="8"/>
  <c r="R201" i="8"/>
  <c r="K150" i="8"/>
  <c r="R203" i="8"/>
  <c r="O309" i="8"/>
  <c r="X465" i="8"/>
  <c r="AH465" i="8"/>
  <c r="R205" i="8"/>
  <c r="M257" i="8"/>
  <c r="O153" i="8"/>
  <c r="K310" i="8"/>
  <c r="T466" i="8"/>
  <c r="AD466" i="8"/>
  <c r="K154" i="8"/>
  <c r="N206" i="8"/>
  <c r="Q258" i="8"/>
  <c r="M259" i="8"/>
  <c r="O155" i="8"/>
  <c r="N208" i="8"/>
  <c r="K210" i="8"/>
  <c r="AO263" i="8"/>
  <c r="AP261" i="8"/>
  <c r="Q118" i="8"/>
  <c r="O119" i="8"/>
  <c r="O250" i="8"/>
  <c r="M147" i="8"/>
  <c r="V303" i="8"/>
  <c r="AF303" i="8"/>
  <c r="L205" i="8"/>
  <c r="O259" i="8"/>
  <c r="L209" i="8"/>
  <c r="AP263" i="8"/>
  <c r="R90" i="8"/>
  <c r="P119" i="8"/>
  <c r="N126" i="8"/>
  <c r="Q178" i="8"/>
  <c r="P282" i="8"/>
  <c r="M179" i="8"/>
  <c r="P231" i="8"/>
  <c r="N136" i="8"/>
  <c r="R136" i="8"/>
  <c r="Q137" i="8"/>
  <c r="P192" i="8"/>
  <c r="M198" i="8"/>
  <c r="L303" i="8"/>
  <c r="U459" i="8"/>
  <c r="AE459" i="8"/>
  <c r="N147" i="8"/>
  <c r="M200" i="8"/>
  <c r="R149" i="8"/>
  <c r="R151" i="8"/>
  <c r="R152" i="8"/>
  <c r="R153" i="8"/>
  <c r="M205" i="8"/>
  <c r="L310" i="8"/>
  <c r="U466" i="8"/>
  <c r="AE466" i="8"/>
  <c r="L258" i="8"/>
  <c r="N154" i="8"/>
  <c r="Q206" i="8"/>
  <c r="M210" i="8"/>
  <c r="AO262" i="8"/>
  <c r="AQ263" i="8"/>
  <c r="AS261" i="8"/>
  <c r="D315" i="6"/>
  <c r="D220" i="6"/>
  <c r="D228" i="6"/>
  <c r="D316" i="6"/>
  <c r="C486" i="6"/>
  <c r="C350" i="6"/>
  <c r="D165" i="6"/>
  <c r="D173" i="6"/>
  <c r="D189" i="6"/>
  <c r="D197" i="6"/>
  <c r="D205" i="6"/>
  <c r="D252" i="6"/>
  <c r="D260" i="6"/>
  <c r="D277" i="6"/>
  <c r="D285" i="6"/>
  <c r="D293" i="6"/>
  <c r="D301" i="6"/>
  <c r="D309" i="6"/>
  <c r="D317" i="6"/>
  <c r="C278" i="6"/>
  <c r="D331" i="6"/>
  <c r="C361" i="6"/>
  <c r="C363" i="6"/>
  <c r="C365" i="6"/>
  <c r="C367" i="6"/>
  <c r="C281" i="6"/>
  <c r="C296" i="6"/>
  <c r="D349" i="6"/>
  <c r="D204" i="6"/>
  <c r="D229" i="6"/>
  <c r="D278" i="6"/>
  <c r="H474" i="6"/>
  <c r="D167" i="6"/>
  <c r="D175" i="6"/>
  <c r="D191" i="6"/>
  <c r="D199" i="6"/>
  <c r="D207" i="6"/>
  <c r="D271" i="6"/>
  <c r="D279" i="6"/>
  <c r="D287" i="6"/>
  <c r="D295" i="6"/>
  <c r="D303" i="6"/>
  <c r="D311" i="6"/>
  <c r="D319" i="6"/>
  <c r="C279" i="6"/>
  <c r="D332" i="6"/>
  <c r="D323" i="6"/>
  <c r="D206" i="6"/>
  <c r="D222" i="6"/>
  <c r="D261" i="6"/>
  <c r="D168" i="6"/>
  <c r="D176" i="6"/>
  <c r="D184" i="6"/>
  <c r="D192" i="6"/>
  <c r="D200" i="6"/>
  <c r="D208" i="6"/>
  <c r="D224" i="6"/>
  <c r="D231" i="6"/>
  <c r="D263" i="6"/>
  <c r="D272" i="6"/>
  <c r="D280" i="6"/>
  <c r="D320" i="6"/>
  <c r="C414" i="6"/>
  <c r="C418" i="6"/>
  <c r="H424" i="6"/>
  <c r="P269" i="8"/>
  <c r="AT267" i="8"/>
  <c r="AQ270" i="8"/>
  <c r="AS270" i="8"/>
  <c r="D177" i="6"/>
  <c r="D179" i="6"/>
  <c r="D181" i="6"/>
  <c r="D183" i="6"/>
  <c r="D209" i="6"/>
  <c r="D213" i="6"/>
  <c r="D215" i="6"/>
  <c r="D236" i="6"/>
  <c r="D240" i="6"/>
  <c r="D242" i="6"/>
  <c r="D244" i="6"/>
  <c r="D245" i="6"/>
  <c r="D268" i="6"/>
  <c r="D270" i="6"/>
  <c r="D286" i="6"/>
  <c r="D288" i="6"/>
  <c r="D290" i="6"/>
  <c r="D292" i="6"/>
  <c r="D294" i="6"/>
  <c r="D296" i="6"/>
  <c r="D298" i="6"/>
  <c r="D300" i="6"/>
  <c r="D302" i="6"/>
  <c r="D304" i="6"/>
  <c r="D306" i="6"/>
  <c r="D308" i="6"/>
  <c r="D310" i="6"/>
  <c r="D312" i="6"/>
  <c r="D201" i="6"/>
  <c r="D210" i="6"/>
  <c r="D212" i="6"/>
  <c r="D214" i="6"/>
  <c r="D216" i="6"/>
  <c r="D218" i="6"/>
  <c r="D221" i="6"/>
  <c r="D230" i="6"/>
  <c r="D232" i="6"/>
  <c r="D234" i="6"/>
  <c r="D237" i="6"/>
  <c r="D248" i="6"/>
  <c r="D250" i="6"/>
  <c r="D253" i="6"/>
  <c r="D262" i="6"/>
  <c r="D264" i="6"/>
  <c r="D266" i="6"/>
  <c r="D269" i="6"/>
  <c r="G449" i="6"/>
  <c r="Q60" i="8"/>
  <c r="AU331" i="8"/>
  <c r="O328" i="8"/>
  <c r="P327" i="8"/>
  <c r="Y483" i="8"/>
  <c r="AI483" i="8"/>
  <c r="M326" i="8"/>
  <c r="N309" i="8"/>
  <c r="P323" i="8"/>
  <c r="Y479" i="8"/>
  <c r="AI479" i="8"/>
  <c r="N322" i="8"/>
  <c r="W478" i="8"/>
  <c r="AG478" i="8"/>
  <c r="AQ311" i="8"/>
  <c r="D164" i="6"/>
  <c r="D166" i="6"/>
  <c r="D172" i="6"/>
  <c r="D174" i="6"/>
  <c r="D180" i="6"/>
  <c r="D182" i="6"/>
  <c r="D188" i="6"/>
  <c r="D190" i="6"/>
  <c r="D196" i="6"/>
  <c r="D198" i="6"/>
  <c r="D211" i="6"/>
  <c r="D217" i="6"/>
  <c r="D238" i="6"/>
  <c r="D246" i="6"/>
  <c r="D254" i="6"/>
  <c r="C481" i="6"/>
  <c r="C377" i="6"/>
  <c r="C385" i="6"/>
  <c r="C386" i="6"/>
  <c r="K97" i="8"/>
  <c r="M97" i="8"/>
  <c r="O97" i="8"/>
  <c r="D324" i="6"/>
  <c r="L325" i="8"/>
  <c r="L329" i="8"/>
  <c r="U433" i="8"/>
  <c r="AE433" i="8"/>
  <c r="M269" i="8"/>
  <c r="C429" i="6"/>
  <c r="C325" i="6"/>
  <c r="AS267" i="8"/>
  <c r="AU267" i="8"/>
  <c r="AR270" i="8"/>
  <c r="L117" i="8"/>
  <c r="R169" i="8"/>
  <c r="C437" i="6"/>
  <c r="C333" i="6"/>
  <c r="C438" i="6"/>
  <c r="C334" i="6"/>
  <c r="H488" i="6"/>
  <c r="M68" i="8"/>
  <c r="C466" i="6"/>
  <c r="M329" i="8"/>
  <c r="V485" i="8"/>
  <c r="AF485" i="8"/>
  <c r="O325" i="8"/>
  <c r="X481" i="8"/>
  <c r="AH481" i="8"/>
  <c r="Q324" i="8"/>
  <c r="Z480" i="8"/>
  <c r="AJ480" i="8"/>
  <c r="G535" i="6"/>
  <c r="AP330" i="8"/>
  <c r="AT330" i="8"/>
  <c r="P91" i="8"/>
  <c r="K329" i="8"/>
  <c r="K328" i="8"/>
  <c r="AM391" i="8"/>
  <c r="K323" i="8"/>
  <c r="M169" i="8"/>
  <c r="M170" i="8"/>
  <c r="R331" i="8"/>
  <c r="Q330" i="8"/>
  <c r="Z486" i="8"/>
  <c r="AJ486" i="8"/>
  <c r="Q329" i="8"/>
  <c r="Z485" i="8"/>
  <c r="AJ485" i="8"/>
  <c r="C540" i="6"/>
  <c r="D696" i="6"/>
  <c r="M327" i="8"/>
  <c r="V483" i="8"/>
  <c r="AF483" i="8"/>
  <c r="N326" i="8"/>
  <c r="AQ324" i="8"/>
  <c r="R324" i="8"/>
  <c r="AA480" i="8"/>
  <c r="AK480" i="8"/>
  <c r="G532" i="6"/>
  <c r="AR321" i="8"/>
  <c r="AU322" i="8"/>
  <c r="AR323" i="8"/>
  <c r="AT323" i="8"/>
  <c r="AP325" i="8"/>
  <c r="AT329" i="8"/>
  <c r="AR329" i="8"/>
  <c r="AP329" i="8"/>
  <c r="K325" i="8"/>
  <c r="L321" i="8"/>
  <c r="M106" i="8"/>
  <c r="O106" i="8"/>
  <c r="Q106" i="8"/>
  <c r="C318" i="6"/>
  <c r="D371" i="6"/>
  <c r="F371" i="6"/>
  <c r="C319" i="6"/>
  <c r="D372" i="6"/>
  <c r="F372" i="6"/>
  <c r="AT264" i="8"/>
  <c r="O331" i="8"/>
  <c r="X487" i="8"/>
  <c r="AH487" i="8"/>
  <c r="AS331" i="8"/>
  <c r="AO331" i="8"/>
  <c r="N331" i="8"/>
  <c r="W487" i="8"/>
  <c r="AG487" i="8"/>
  <c r="M330" i="8"/>
  <c r="V486" i="8"/>
  <c r="AF486" i="8"/>
  <c r="N330" i="8"/>
  <c r="W486" i="8"/>
  <c r="AG486" i="8"/>
  <c r="O329" i="8"/>
  <c r="P329" i="8"/>
  <c r="Y485" i="8"/>
  <c r="AI485" i="8"/>
  <c r="AU315" i="8"/>
  <c r="Q328" i="8"/>
  <c r="Z484" i="8"/>
  <c r="AJ484" i="8"/>
  <c r="M328" i="8"/>
  <c r="V484" i="8"/>
  <c r="AF484" i="8"/>
  <c r="L328" i="8"/>
  <c r="U432" i="8"/>
  <c r="AE432" i="8"/>
  <c r="Q327" i="8"/>
  <c r="Z483" i="8"/>
  <c r="AJ483" i="8"/>
  <c r="L327" i="8"/>
  <c r="U379" i="8"/>
  <c r="Q326" i="8"/>
  <c r="Z482" i="8"/>
  <c r="AJ482" i="8"/>
  <c r="R326" i="8"/>
  <c r="AA482" i="8"/>
  <c r="AK482" i="8"/>
  <c r="C537" i="6"/>
  <c r="D693" i="6"/>
  <c r="P325" i="8"/>
  <c r="Y481" i="8"/>
  <c r="AI481" i="8"/>
  <c r="AU309" i="8"/>
  <c r="AR293" i="8"/>
  <c r="M324" i="8"/>
  <c r="V480" i="8"/>
  <c r="AF480" i="8"/>
  <c r="N324" i="8"/>
  <c r="W480" i="8"/>
  <c r="AG480" i="8"/>
  <c r="O323" i="8"/>
  <c r="X479" i="8"/>
  <c r="AH479" i="8"/>
  <c r="L323" i="8"/>
  <c r="M322" i="8"/>
  <c r="V478" i="8"/>
  <c r="AF478" i="8"/>
  <c r="AO308" i="8"/>
  <c r="O321" i="8"/>
  <c r="X477" i="8"/>
  <c r="AH477" i="8"/>
  <c r="AR305" i="8"/>
  <c r="K320" i="8"/>
  <c r="P320" i="8"/>
  <c r="Y476" i="8"/>
  <c r="AI476" i="8"/>
  <c r="AT320" i="8"/>
  <c r="AP324" i="8"/>
  <c r="AT324" i="8"/>
  <c r="AT328" i="8"/>
  <c r="AR328" i="8"/>
  <c r="G547" i="6"/>
  <c r="H598" i="6"/>
  <c r="K337" i="8"/>
  <c r="T493" i="8"/>
  <c r="AD493" i="8"/>
  <c r="AN386" i="8"/>
  <c r="M337" i="8"/>
  <c r="V493" i="8"/>
  <c r="AF493" i="8"/>
  <c r="AP386" i="8"/>
  <c r="O337" i="8"/>
  <c r="X493" i="8"/>
  <c r="AH493" i="8"/>
  <c r="AR386" i="8"/>
  <c r="Q337" i="8"/>
  <c r="Z493" i="8"/>
  <c r="AJ493" i="8"/>
  <c r="AT386" i="8"/>
  <c r="L337" i="8"/>
  <c r="U493" i="8"/>
  <c r="AE493" i="8"/>
  <c r="AO386" i="8"/>
  <c r="N337" i="8"/>
  <c r="W493" i="8"/>
  <c r="AG493" i="8"/>
  <c r="AQ386" i="8"/>
  <c r="P337" i="8"/>
  <c r="Y493" i="8"/>
  <c r="AI493" i="8"/>
  <c r="AS386" i="8"/>
  <c r="R337" i="8"/>
  <c r="AA493" i="8"/>
  <c r="AK493" i="8"/>
  <c r="AU386" i="8"/>
  <c r="AM385" i="8"/>
  <c r="AM382" i="8"/>
  <c r="AM384" i="8"/>
  <c r="AP331" i="8"/>
  <c r="AP383" i="8"/>
  <c r="AR331" i="8"/>
  <c r="AR383" i="8"/>
  <c r="AT331" i="8"/>
  <c r="AT383" i="8"/>
  <c r="AM381" i="8"/>
  <c r="AM380" i="8"/>
  <c r="AM379" i="8"/>
  <c r="AM378" i="8"/>
  <c r="AM377" i="8"/>
  <c r="AM376" i="8"/>
  <c r="AM375" i="8"/>
  <c r="AM374" i="8"/>
  <c r="AM373" i="8"/>
  <c r="AM372" i="8"/>
  <c r="AM371" i="8"/>
  <c r="O253" i="8"/>
  <c r="AM370" i="8"/>
  <c r="AM369" i="8"/>
  <c r="AU254" i="8"/>
  <c r="AM367" i="8"/>
  <c r="AM368" i="8"/>
  <c r="AQ315" i="8"/>
  <c r="AQ367" i="8"/>
  <c r="AS315" i="8"/>
  <c r="AS367" i="8"/>
  <c r="AU314" i="8"/>
  <c r="AU366" i="8"/>
  <c r="R155" i="8"/>
  <c r="AM366" i="8"/>
  <c r="AR314" i="8"/>
  <c r="AR366" i="8"/>
  <c r="AT314" i="8"/>
  <c r="AT366" i="8"/>
  <c r="G466" i="6"/>
  <c r="P306" i="8"/>
  <c r="Y462" i="8"/>
  <c r="AI462" i="8"/>
  <c r="AP327" i="8"/>
  <c r="K208" i="8"/>
  <c r="AR311" i="8"/>
  <c r="AM365" i="8"/>
  <c r="AQ313" i="8"/>
  <c r="AQ365" i="8"/>
  <c r="AS313" i="8"/>
  <c r="AS365" i="8"/>
  <c r="AU313" i="8"/>
  <c r="AU365" i="8"/>
  <c r="AP312" i="8"/>
  <c r="AP364" i="8"/>
  <c r="AR312" i="8"/>
  <c r="AR364" i="8"/>
  <c r="AT312" i="8"/>
  <c r="AT364" i="8"/>
  <c r="AT250" i="8"/>
  <c r="N308" i="8"/>
  <c r="W464" i="8"/>
  <c r="AG464" i="8"/>
  <c r="R207" i="8"/>
  <c r="M262" i="8"/>
  <c r="N211" i="8"/>
  <c r="AO312" i="8"/>
  <c r="AO364" i="8"/>
  <c r="AS312" i="8"/>
  <c r="AS364" i="8"/>
  <c r="AP311" i="8"/>
  <c r="AP363" i="8"/>
  <c r="AT311" i="8"/>
  <c r="AT363" i="8"/>
  <c r="G464" i="6"/>
  <c r="H469" i="6"/>
  <c r="G476" i="6"/>
  <c r="K313" i="8"/>
  <c r="T469" i="8"/>
  <c r="AD469" i="8"/>
  <c r="AN362" i="8"/>
  <c r="M313" i="8"/>
  <c r="V469" i="8"/>
  <c r="AF469" i="8"/>
  <c r="AP362" i="8"/>
  <c r="Q313" i="8"/>
  <c r="Z469" i="8"/>
  <c r="AJ469" i="8"/>
  <c r="AT362" i="8"/>
  <c r="AO310" i="8"/>
  <c r="AO362" i="8"/>
  <c r="AQ310" i="8"/>
  <c r="AQ362" i="8"/>
  <c r="AS310" i="8"/>
  <c r="AS362" i="8"/>
  <c r="G467" i="6"/>
  <c r="AR310" i="8"/>
  <c r="P245" i="8"/>
  <c r="R200" i="8"/>
  <c r="AR304" i="8"/>
  <c r="Q304" i="8"/>
  <c r="Z460" i="8"/>
  <c r="AJ460" i="8"/>
  <c r="AN309" i="8"/>
  <c r="AN361" i="8"/>
  <c r="AP309" i="8"/>
  <c r="AP361" i="8"/>
  <c r="AR309" i="8"/>
  <c r="AR361" i="8"/>
  <c r="AT309" i="8"/>
  <c r="AT361" i="8"/>
  <c r="AO309" i="8"/>
  <c r="AO361" i="8"/>
  <c r="AQ309" i="8"/>
  <c r="AQ361" i="8"/>
  <c r="AS309" i="8"/>
  <c r="AS361" i="8"/>
  <c r="AT245" i="8"/>
  <c r="O194" i="8"/>
  <c r="Q150" i="8"/>
  <c r="AU311" i="8"/>
  <c r="R156" i="8"/>
  <c r="AS259" i="8"/>
  <c r="G472" i="6"/>
  <c r="AN308" i="8"/>
  <c r="AN360" i="8"/>
  <c r="M311" i="8"/>
  <c r="AP360" i="8"/>
  <c r="AR308" i="8"/>
  <c r="AR360" i="8"/>
  <c r="Q311" i="8"/>
  <c r="Z467" i="8"/>
  <c r="AJ467" i="8"/>
  <c r="AT360" i="8"/>
  <c r="AQ308" i="8"/>
  <c r="AQ360" i="8"/>
  <c r="P311" i="8"/>
  <c r="Y467" i="8"/>
  <c r="AI467" i="8"/>
  <c r="AS360" i="8"/>
  <c r="AU308" i="8"/>
  <c r="AU360" i="8"/>
  <c r="AT301" i="8"/>
  <c r="AR245" i="8"/>
  <c r="M312" i="8"/>
  <c r="G463" i="6"/>
  <c r="AS256" i="8"/>
  <c r="G470" i="6"/>
  <c r="AR325" i="8"/>
  <c r="O311" i="8"/>
  <c r="K312" i="8"/>
  <c r="T468" i="8"/>
  <c r="AD468" i="8"/>
  <c r="AU301" i="8"/>
  <c r="AN249" i="8"/>
  <c r="AO250" i="8"/>
  <c r="M151" i="8"/>
  <c r="O204" i="8"/>
  <c r="AP258" i="8"/>
  <c r="AQ258" i="8"/>
  <c r="R315" i="8"/>
  <c r="AA471" i="8"/>
  <c r="AK471" i="8"/>
  <c r="AU260" i="8"/>
  <c r="L263" i="8"/>
  <c r="G517" i="6"/>
  <c r="G519" i="6"/>
  <c r="L105" i="8"/>
  <c r="N209" i="8"/>
  <c r="AN307" i="8"/>
  <c r="AN359" i="8"/>
  <c r="AP307" i="8"/>
  <c r="AP359" i="8"/>
  <c r="AR307" i="8"/>
  <c r="AR359" i="8"/>
  <c r="AT307" i="8"/>
  <c r="AT359" i="8"/>
  <c r="H507" i="6"/>
  <c r="AR255" i="8"/>
  <c r="N302" i="8"/>
  <c r="W458" i="8"/>
  <c r="AG458" i="8"/>
  <c r="O305" i="8"/>
  <c r="X461" i="8"/>
  <c r="AH461" i="8"/>
  <c r="AN253" i="8"/>
  <c r="H517" i="6"/>
  <c r="N256" i="8"/>
  <c r="R309" i="8"/>
  <c r="AU302" i="8"/>
  <c r="AS308" i="8"/>
  <c r="AQ306" i="8"/>
  <c r="AU297" i="8"/>
  <c r="C522" i="6"/>
  <c r="H571" i="6"/>
  <c r="AO307" i="8"/>
  <c r="AO359" i="8"/>
  <c r="N310" i="8"/>
  <c r="AQ359" i="8"/>
  <c r="AS307" i="8"/>
  <c r="AS359" i="8"/>
  <c r="R310" i="8"/>
  <c r="AU359" i="8"/>
  <c r="AU310" i="8"/>
  <c r="AN306" i="8"/>
  <c r="AN358" i="8"/>
  <c r="M309" i="8"/>
  <c r="AP358" i="8"/>
  <c r="AR306" i="8"/>
  <c r="AR358" i="8"/>
  <c r="AT306" i="8"/>
  <c r="AT358" i="8"/>
  <c r="C521" i="6"/>
  <c r="H570" i="6"/>
  <c r="AO306" i="8"/>
  <c r="AO358" i="8"/>
  <c r="AS306" i="8"/>
  <c r="AS358" i="8"/>
  <c r="K92" i="8"/>
  <c r="AO305" i="8"/>
  <c r="AO357" i="8"/>
  <c r="AQ305" i="8"/>
  <c r="AQ357" i="8"/>
  <c r="AP305" i="8"/>
  <c r="AP357" i="8"/>
  <c r="C520" i="6"/>
  <c r="H569" i="6"/>
  <c r="AS330" i="8"/>
  <c r="R278" i="8"/>
  <c r="R134" i="8"/>
  <c r="AS318" i="8"/>
  <c r="L210" i="8"/>
  <c r="Q158" i="8"/>
  <c r="R159" i="8"/>
  <c r="Q263" i="8"/>
  <c r="AN304" i="8"/>
  <c r="AN356" i="8"/>
  <c r="AP304" i="8"/>
  <c r="AP356" i="8"/>
  <c r="AT304" i="8"/>
  <c r="AT356" i="8"/>
  <c r="AO304" i="8"/>
  <c r="AO356" i="8"/>
  <c r="AQ304" i="8"/>
  <c r="AQ356" i="8"/>
  <c r="AS304" i="8"/>
  <c r="AS356" i="8"/>
  <c r="AU304" i="8"/>
  <c r="AU356" i="8"/>
  <c r="L63" i="8"/>
  <c r="R86" i="8"/>
  <c r="R100" i="8"/>
  <c r="N109" i="8"/>
  <c r="AR218" i="8"/>
  <c r="AN303" i="8"/>
  <c r="O286" i="8"/>
  <c r="X442" i="8"/>
  <c r="AH442" i="8"/>
  <c r="M130" i="8"/>
  <c r="K133" i="8"/>
  <c r="O237" i="8"/>
  <c r="L238" i="8"/>
  <c r="L135" i="8"/>
  <c r="P139" i="8"/>
  <c r="N242" i="8"/>
  <c r="O196" i="8"/>
  <c r="K250" i="8"/>
  <c r="K147" i="8"/>
  <c r="AS248" i="8"/>
  <c r="P200" i="8"/>
  <c r="P149" i="8"/>
  <c r="Q201" i="8"/>
  <c r="P254" i="8"/>
  <c r="K155" i="8"/>
  <c r="AO303" i="8"/>
  <c r="AU303" i="8"/>
  <c r="H515" i="6"/>
  <c r="AM355" i="8"/>
  <c r="L217" i="8"/>
  <c r="M123" i="8"/>
  <c r="L246" i="8"/>
  <c r="AN302" i="8"/>
  <c r="AN354" i="8"/>
  <c r="AP302" i="8"/>
  <c r="AP354" i="8"/>
  <c r="AM354" i="8"/>
  <c r="AR302" i="8"/>
  <c r="AR354" i="8"/>
  <c r="AO302" i="8"/>
  <c r="AO354" i="8"/>
  <c r="AQ302" i="8"/>
  <c r="AQ354" i="8"/>
  <c r="L294" i="8"/>
  <c r="U450" i="8"/>
  <c r="AE450" i="8"/>
  <c r="Q280" i="8"/>
  <c r="AP245" i="8"/>
  <c r="C508" i="6"/>
  <c r="N60" i="8"/>
  <c r="H503" i="6"/>
  <c r="O280" i="8"/>
  <c r="AT279" i="8"/>
  <c r="AT268" i="8"/>
  <c r="L109" i="8"/>
  <c r="AT226" i="8"/>
  <c r="AP238" i="8"/>
  <c r="AM238" i="8"/>
  <c r="P197" i="8"/>
  <c r="P252" i="8"/>
  <c r="L149" i="8"/>
  <c r="M201" i="8"/>
  <c r="N255" i="8"/>
  <c r="N150" i="8"/>
  <c r="AN300" i="8"/>
  <c r="AN352" i="8"/>
  <c r="O303" i="8"/>
  <c r="X459" i="8"/>
  <c r="AH459" i="8"/>
  <c r="AR352" i="8"/>
  <c r="Q303" i="8"/>
  <c r="Z459" i="8"/>
  <c r="AJ459" i="8"/>
  <c r="AT352" i="8"/>
  <c r="K304" i="8"/>
  <c r="T460" i="8"/>
  <c r="AD460" i="8"/>
  <c r="AN353" i="8"/>
  <c r="AP301" i="8"/>
  <c r="AP353" i="8"/>
  <c r="AR301" i="8"/>
  <c r="AR353" i="8"/>
  <c r="M69" i="8"/>
  <c r="AO300" i="8"/>
  <c r="AO352" i="8"/>
  <c r="N303" i="8"/>
  <c r="AQ352" i="8"/>
  <c r="P303" i="8"/>
  <c r="Y459" i="8"/>
  <c r="AI459" i="8"/>
  <c r="AS352" i="8"/>
  <c r="H513" i="6"/>
  <c r="H565" i="6"/>
  <c r="L304" i="8"/>
  <c r="U460" i="8"/>
  <c r="AE460" i="8"/>
  <c r="AO353" i="8"/>
  <c r="AQ301" i="8"/>
  <c r="AQ353" i="8"/>
  <c r="P304" i="8"/>
  <c r="Y460" i="8"/>
  <c r="AI460" i="8"/>
  <c r="AS353" i="8"/>
  <c r="R304" i="8"/>
  <c r="AA460" i="8"/>
  <c r="AK460" i="8"/>
  <c r="AU353" i="8"/>
  <c r="AT327" i="8"/>
  <c r="AR326" i="8"/>
  <c r="M303" i="8"/>
  <c r="Q292" i="8"/>
  <c r="Z448" i="8"/>
  <c r="AJ448" i="8"/>
  <c r="AP323" i="8"/>
  <c r="AQ322" i="8"/>
  <c r="K306" i="8"/>
  <c r="AS285" i="8"/>
  <c r="H511" i="6"/>
  <c r="O282" i="8"/>
  <c r="AQ295" i="8"/>
  <c r="AU288" i="8"/>
  <c r="Q164" i="8"/>
  <c r="Q217" i="8"/>
  <c r="K124" i="8"/>
  <c r="G440" i="6"/>
  <c r="K126" i="8"/>
  <c r="L233" i="8"/>
  <c r="C344" i="6"/>
  <c r="O238" i="8"/>
  <c r="AM352" i="8"/>
  <c r="K62" i="8"/>
  <c r="R110" i="8"/>
  <c r="AU213" i="8"/>
  <c r="AU224" i="8"/>
  <c r="AP226" i="8"/>
  <c r="K302" i="8"/>
  <c r="T458" i="8"/>
  <c r="AD458" i="8"/>
  <c r="AN351" i="8"/>
  <c r="M302" i="8"/>
  <c r="AP351" i="8"/>
  <c r="O302" i="8"/>
  <c r="AR351" i="8"/>
  <c r="O142" i="8"/>
  <c r="Q142" i="8"/>
  <c r="N142" i="8"/>
  <c r="P144" i="8"/>
  <c r="P145" i="8"/>
  <c r="L198" i="8"/>
  <c r="P198" i="8"/>
  <c r="L199" i="8"/>
  <c r="O148" i="8"/>
  <c r="AT249" i="8"/>
  <c r="Q148" i="8"/>
  <c r="M253" i="8"/>
  <c r="N201" i="8"/>
  <c r="M254" i="8"/>
  <c r="O202" i="8"/>
  <c r="AP252" i="8"/>
  <c r="O255" i="8"/>
  <c r="P152" i="8"/>
  <c r="AQ254" i="8"/>
  <c r="AO256" i="8"/>
  <c r="AO314" i="8"/>
  <c r="L302" i="8"/>
  <c r="U458" i="8"/>
  <c r="AE458" i="8"/>
  <c r="AO351" i="8"/>
  <c r="AS299" i="8"/>
  <c r="AS351" i="8"/>
  <c r="R302" i="8"/>
  <c r="AA458" i="8"/>
  <c r="AK458" i="8"/>
  <c r="AU351" i="8"/>
  <c r="K301" i="8"/>
  <c r="T457" i="8"/>
  <c r="AD457" i="8"/>
  <c r="AN350" i="8"/>
  <c r="C513" i="6"/>
  <c r="D669" i="6"/>
  <c r="H562" i="6"/>
  <c r="AM350" i="8"/>
  <c r="AQ298" i="8"/>
  <c r="AQ350" i="8"/>
  <c r="AS298" i="8"/>
  <c r="AS350" i="8"/>
  <c r="AU298" i="8"/>
  <c r="AU350" i="8"/>
  <c r="N329" i="8"/>
  <c r="W485" i="8"/>
  <c r="AG485" i="8"/>
  <c r="R329" i="8"/>
  <c r="C542" i="6"/>
  <c r="D698" i="6"/>
  <c r="R177" i="8"/>
  <c r="AP229" i="8"/>
  <c r="N131" i="8"/>
  <c r="AO286" i="8"/>
  <c r="AS286" i="8"/>
  <c r="AN235" i="8"/>
  <c r="AT287" i="8"/>
  <c r="K187" i="8"/>
  <c r="AP236" i="8"/>
  <c r="N187" i="8"/>
  <c r="K137" i="8"/>
  <c r="R137" i="8"/>
  <c r="O140" i="8"/>
  <c r="P240" i="8"/>
  <c r="K242" i="8"/>
  <c r="R296" i="8"/>
  <c r="O193" i="8"/>
  <c r="L194" i="8"/>
  <c r="H520" i="6"/>
  <c r="H521" i="6"/>
  <c r="N67" i="8"/>
  <c r="L151" i="8"/>
  <c r="H509" i="6"/>
  <c r="H561" i="6"/>
  <c r="AM349" i="8"/>
  <c r="O300" i="8"/>
  <c r="X456" i="8"/>
  <c r="AH456" i="8"/>
  <c r="AR349" i="8"/>
  <c r="AU259" i="8"/>
  <c r="AP259" i="8"/>
  <c r="M76" i="8"/>
  <c r="M136" i="8"/>
  <c r="Q301" i="8"/>
  <c r="Z457" i="8"/>
  <c r="AJ457" i="8"/>
  <c r="K249" i="8"/>
  <c r="L147" i="8"/>
  <c r="M202" i="8"/>
  <c r="N254" i="8"/>
  <c r="O203" i="8"/>
  <c r="Q256" i="8"/>
  <c r="AS260" i="8"/>
  <c r="AQ296" i="8"/>
  <c r="AQ348" i="8"/>
  <c r="Q61" i="8"/>
  <c r="O61" i="8"/>
  <c r="O59" i="8"/>
  <c r="AN296" i="8"/>
  <c r="AN348" i="8"/>
  <c r="AP296" i="8"/>
  <c r="AP348" i="8"/>
  <c r="AR296" i="8"/>
  <c r="AR348" i="8"/>
  <c r="M77" i="8"/>
  <c r="M102" i="8"/>
  <c r="C444" i="6"/>
  <c r="Q192" i="8"/>
  <c r="L298" i="8"/>
  <c r="U454" i="8"/>
  <c r="AE454" i="8"/>
  <c r="O198" i="8"/>
  <c r="AR250" i="8"/>
  <c r="R305" i="8"/>
  <c r="AA461" i="8"/>
  <c r="AK461" i="8"/>
  <c r="AO313" i="8"/>
  <c r="R265" i="8"/>
  <c r="O210" i="8"/>
  <c r="O304" i="8"/>
  <c r="X460" i="8"/>
  <c r="AH460" i="8"/>
  <c r="L180" i="8"/>
  <c r="AN254" i="8"/>
  <c r="AS254" i="8"/>
  <c r="K300" i="8"/>
  <c r="T456" i="8"/>
  <c r="AD456" i="8"/>
  <c r="AP256" i="8"/>
  <c r="G507" i="6"/>
  <c r="H504" i="6"/>
  <c r="AP257" i="8"/>
  <c r="K309" i="8"/>
  <c r="AP251" i="8"/>
  <c r="AN301" i="8"/>
  <c r="AN239" i="8"/>
  <c r="P135" i="8"/>
  <c r="H502" i="6"/>
  <c r="AO330" i="8"/>
  <c r="R286" i="8"/>
  <c r="AA442" i="8"/>
  <c r="AK442" i="8"/>
  <c r="AR253" i="8"/>
  <c r="AP253" i="8"/>
  <c r="AO248" i="8"/>
  <c r="AN310" i="8"/>
  <c r="Q59" i="8"/>
  <c r="AP310" i="8"/>
  <c r="M310" i="8"/>
  <c r="AN299" i="8"/>
  <c r="AT308" i="8"/>
  <c r="AP306" i="8"/>
  <c r="AR286" i="8"/>
  <c r="O312" i="8"/>
  <c r="Q310" i="8"/>
  <c r="K311" i="8"/>
  <c r="T467" i="8"/>
  <c r="AD467" i="8"/>
  <c r="C512" i="6"/>
  <c r="D668" i="6"/>
  <c r="L236" i="8"/>
  <c r="R280" i="8"/>
  <c r="C472" i="6"/>
  <c r="N292" i="8"/>
  <c r="W448" i="8"/>
  <c r="AG448" i="8"/>
  <c r="P238" i="8"/>
  <c r="AT220" i="8"/>
  <c r="N124" i="8"/>
  <c r="N282" i="8"/>
  <c r="G516" i="6"/>
  <c r="R64" i="8"/>
  <c r="M71" i="8"/>
  <c r="K77" i="8"/>
  <c r="K102" i="8"/>
  <c r="O214" i="8"/>
  <c r="AT228" i="8"/>
  <c r="R183" i="8"/>
  <c r="Q184" i="8"/>
  <c r="N238" i="8"/>
  <c r="N241" i="8"/>
  <c r="O241" i="8"/>
  <c r="O62" i="8"/>
  <c r="K66" i="8"/>
  <c r="L68" i="8"/>
  <c r="L72" i="8"/>
  <c r="AN295" i="8"/>
  <c r="AN347" i="8"/>
  <c r="AM347" i="8"/>
  <c r="AT295" i="8"/>
  <c r="AT347" i="8"/>
  <c r="Q114" i="8"/>
  <c r="P239" i="8"/>
  <c r="Q191" i="8"/>
  <c r="Q200" i="8"/>
  <c r="O151" i="8"/>
  <c r="Q255" i="8"/>
  <c r="L306" i="8"/>
  <c r="U462" i="8"/>
  <c r="AE462" i="8"/>
  <c r="M256" i="8"/>
  <c r="C284" i="6"/>
  <c r="D337" i="6"/>
  <c r="G511" i="6"/>
  <c r="AP288" i="8"/>
  <c r="P286" i="8"/>
  <c r="Y442" i="8"/>
  <c r="AI442" i="8"/>
  <c r="P59" i="8"/>
  <c r="L179" i="8"/>
  <c r="H434" i="6"/>
  <c r="K182" i="8"/>
  <c r="L181" i="8"/>
  <c r="AQ330" i="8"/>
  <c r="C283" i="6"/>
  <c r="D336" i="6"/>
  <c r="C507" i="6"/>
  <c r="L286" i="8"/>
  <c r="U442" i="8"/>
  <c r="AE442" i="8"/>
  <c r="L285" i="8"/>
  <c r="Q194" i="8"/>
  <c r="Q297" i="8"/>
  <c r="M304" i="8"/>
  <c r="K303" i="8"/>
  <c r="T459" i="8"/>
  <c r="AD459" i="8"/>
  <c r="M292" i="8"/>
  <c r="V448" i="8"/>
  <c r="AF448" i="8"/>
  <c r="O182" i="8"/>
  <c r="AT285" i="8"/>
  <c r="K297" i="8"/>
  <c r="R291" i="8"/>
  <c r="AA447" i="8"/>
  <c r="AK447" i="8"/>
  <c r="AP290" i="8"/>
  <c r="N300" i="8"/>
  <c r="W456" i="8"/>
  <c r="AG456" i="8"/>
  <c r="N125" i="8"/>
  <c r="C282" i="6"/>
  <c r="D335" i="6"/>
  <c r="G465" i="6"/>
  <c r="K110" i="8"/>
  <c r="P111" i="8"/>
  <c r="R268" i="8"/>
  <c r="Q112" i="8"/>
  <c r="M168" i="8"/>
  <c r="L120" i="8"/>
  <c r="P172" i="8"/>
  <c r="P173" i="8"/>
  <c r="AS224" i="8"/>
  <c r="P122" i="8"/>
  <c r="Q174" i="8"/>
  <c r="AP225" i="8"/>
  <c r="O176" i="8"/>
  <c r="Q176" i="8"/>
  <c r="AO278" i="8"/>
  <c r="AR226" i="8"/>
  <c r="K178" i="8"/>
  <c r="M125" i="8"/>
  <c r="Q128" i="8"/>
  <c r="K233" i="8"/>
  <c r="K286" i="8"/>
  <c r="T442" i="8"/>
  <c r="AD442" i="8"/>
  <c r="C446" i="6"/>
  <c r="R130" i="8"/>
  <c r="K130" i="8"/>
  <c r="L127" i="8"/>
  <c r="O130" i="8"/>
  <c r="Q130" i="8"/>
  <c r="C394" i="6"/>
  <c r="R235" i="8"/>
  <c r="M184" i="8"/>
  <c r="AR233" i="8"/>
  <c r="P236" i="8"/>
  <c r="K234" i="8"/>
  <c r="L185" i="8"/>
  <c r="M234" i="8"/>
  <c r="O133" i="8"/>
  <c r="AT286" i="8"/>
  <c r="Q288" i="8"/>
  <c r="Z444" i="8"/>
  <c r="AJ444" i="8"/>
  <c r="C447" i="6"/>
  <c r="K186" i="8"/>
  <c r="L134" i="8"/>
  <c r="AP235" i="8"/>
  <c r="AU287" i="8"/>
  <c r="N291" i="8"/>
  <c r="W447" i="8"/>
  <c r="AG447" i="8"/>
  <c r="K135" i="8"/>
  <c r="M239" i="8"/>
  <c r="R135" i="8"/>
  <c r="K189" i="8"/>
  <c r="P137" i="8"/>
  <c r="P292" i="8"/>
  <c r="AN290" i="8"/>
  <c r="L241" i="8"/>
  <c r="M240" i="8"/>
  <c r="Q242" i="8"/>
  <c r="N296" i="8"/>
  <c r="K142" i="8"/>
  <c r="C353" i="6"/>
  <c r="O143" i="8"/>
  <c r="AP297" i="8"/>
  <c r="AM297" i="8"/>
  <c r="AS297" i="8"/>
  <c r="N196" i="8"/>
  <c r="Q300" i="8"/>
  <c r="Z456" i="8"/>
  <c r="AJ456" i="8"/>
  <c r="C356" i="6"/>
  <c r="M246" i="8"/>
  <c r="N197" i="8"/>
  <c r="L146" i="8"/>
  <c r="N145" i="8"/>
  <c r="O197" i="8"/>
  <c r="P146" i="8"/>
  <c r="AU248" i="8"/>
  <c r="O199" i="8"/>
  <c r="P251" i="8"/>
  <c r="Y407" i="8"/>
  <c r="AI407" i="8"/>
  <c r="R199" i="8"/>
  <c r="K252" i="8"/>
  <c r="K146" i="8"/>
  <c r="L200" i="8"/>
  <c r="C358" i="6"/>
  <c r="H514" i="6"/>
  <c r="K200" i="8"/>
  <c r="L253" i="8"/>
  <c r="AP250" i="8"/>
  <c r="N253" i="8"/>
  <c r="O146" i="8"/>
  <c r="AS250" i="8"/>
  <c r="Q250" i="8"/>
  <c r="Q149" i="8"/>
  <c r="N306" i="8"/>
  <c r="W462" i="8"/>
  <c r="AG462" i="8"/>
  <c r="AU251" i="8"/>
  <c r="L254" i="8"/>
  <c r="L150" i="8"/>
  <c r="AQ251" i="8"/>
  <c r="O252" i="8"/>
  <c r="P202" i="8"/>
  <c r="AO252" i="8"/>
  <c r="M203" i="8"/>
  <c r="N151" i="8"/>
  <c r="AR252" i="8"/>
  <c r="P255" i="8"/>
  <c r="P151" i="8"/>
  <c r="AT252" i="8"/>
  <c r="N204" i="8"/>
  <c r="P204" i="8"/>
  <c r="AT253" i="8"/>
  <c r="H413" i="6"/>
  <c r="N152" i="8"/>
  <c r="P256" i="8"/>
  <c r="Q204" i="8"/>
  <c r="AU255" i="8"/>
  <c r="AO255" i="8"/>
  <c r="R259" i="8"/>
  <c r="AN256" i="8"/>
  <c r="AQ256" i="8"/>
  <c r="AO257" i="8"/>
  <c r="AQ257" i="8"/>
  <c r="AR257" i="8"/>
  <c r="R261" i="8"/>
  <c r="AN258" i="8"/>
  <c r="AO258" i="8"/>
  <c r="L157" i="8"/>
  <c r="AR258" i="8"/>
  <c r="AT258" i="8"/>
  <c r="P314" i="8"/>
  <c r="Y470" i="8"/>
  <c r="AI470" i="8"/>
  <c r="H471" i="6"/>
  <c r="AN311" i="8"/>
  <c r="AT259" i="8"/>
  <c r="G525" i="6"/>
  <c r="AN312" i="8"/>
  <c r="K159" i="8"/>
  <c r="N263" i="8"/>
  <c r="AT260" i="8"/>
  <c r="R317" i="8"/>
  <c r="AA473" i="8"/>
  <c r="AK473" i="8"/>
  <c r="O134" i="8"/>
  <c r="O135" i="8"/>
  <c r="P165" i="8"/>
  <c r="R114" i="8"/>
  <c r="K114" i="8"/>
  <c r="N239" i="8"/>
  <c r="O239" i="8"/>
  <c r="Q238" i="8"/>
  <c r="K192" i="8"/>
  <c r="Q140" i="8"/>
  <c r="N139" i="8"/>
  <c r="R194" i="8"/>
  <c r="K305" i="8"/>
  <c r="T461" i="8"/>
  <c r="AD461" i="8"/>
  <c r="Q305" i="8"/>
  <c r="Z461" i="8"/>
  <c r="AJ461" i="8"/>
  <c r="L201" i="8"/>
  <c r="M149" i="8"/>
  <c r="O319" i="8"/>
  <c r="X475" i="8"/>
  <c r="AH475" i="8"/>
  <c r="P321" i="8"/>
  <c r="R322" i="8"/>
  <c r="AA478" i="8"/>
  <c r="AK478" i="8"/>
  <c r="M323" i="8"/>
  <c r="V479" i="8"/>
  <c r="AF479" i="8"/>
  <c r="Q322" i="8"/>
  <c r="Z478" i="8"/>
  <c r="AJ478" i="8"/>
  <c r="G533" i="6"/>
  <c r="L324" i="8"/>
  <c r="N323" i="8"/>
  <c r="W479" i="8"/>
  <c r="AG479" i="8"/>
  <c r="P324" i="8"/>
  <c r="Y480" i="8"/>
  <c r="AI480" i="8"/>
  <c r="R323" i="8"/>
  <c r="AA479" i="8"/>
  <c r="AK479" i="8"/>
  <c r="Q325" i="8"/>
  <c r="Z481" i="8"/>
  <c r="AJ481" i="8"/>
  <c r="G536" i="6"/>
  <c r="L326" i="8"/>
  <c r="O67" i="8"/>
  <c r="Q94" i="8"/>
  <c r="G523" i="6"/>
  <c r="L160" i="8"/>
  <c r="R212" i="8"/>
  <c r="R161" i="8"/>
  <c r="O262" i="8"/>
  <c r="O159" i="8"/>
  <c r="P210" i="8"/>
  <c r="G529" i="6"/>
  <c r="AP322" i="8"/>
  <c r="O324" i="8"/>
  <c r="X480" i="8"/>
  <c r="AH480" i="8"/>
  <c r="N325" i="8"/>
  <c r="W481" i="8"/>
  <c r="AG481" i="8"/>
  <c r="AS323" i="8"/>
  <c r="R325" i="8"/>
  <c r="AA481" i="8"/>
  <c r="AK481" i="8"/>
  <c r="AR324" i="8"/>
  <c r="AQ325" i="8"/>
  <c r="R327" i="8"/>
  <c r="AA483" i="8"/>
  <c r="AK483" i="8"/>
  <c r="L330" i="8"/>
  <c r="AQ327" i="8"/>
  <c r="P330" i="8"/>
  <c r="Y486" i="8"/>
  <c r="AI486" i="8"/>
  <c r="L331" i="8"/>
  <c r="U487" i="8"/>
  <c r="AE487" i="8"/>
  <c r="AS328" i="8"/>
  <c r="H541" i="6"/>
  <c r="AS329" i="8"/>
  <c r="M331" i="8"/>
  <c r="AR330" i="8"/>
  <c r="Q331" i="8"/>
  <c r="Z487" i="8"/>
  <c r="AJ487" i="8"/>
  <c r="AR320" i="8"/>
  <c r="AR268" i="8"/>
  <c r="Q274" i="8"/>
  <c r="AT271" i="8"/>
  <c r="AT274" i="8"/>
  <c r="Q277" i="8"/>
  <c r="Z433" i="8"/>
  <c r="AJ433" i="8"/>
  <c r="AR275" i="8"/>
  <c r="O278" i="8"/>
  <c r="L224" i="8"/>
  <c r="L225" i="8"/>
  <c r="H490" i="6"/>
  <c r="G490" i="6"/>
  <c r="AT335" i="8"/>
  <c r="AT283" i="8"/>
  <c r="AN343" i="8"/>
  <c r="AN291" i="8"/>
  <c r="AN294" i="8"/>
  <c r="AN346" i="8"/>
  <c r="AT346" i="8"/>
  <c r="Q296" i="8"/>
  <c r="C417" i="6"/>
  <c r="G414" i="6"/>
  <c r="C420" i="6"/>
  <c r="G417" i="6"/>
  <c r="H422" i="6"/>
  <c r="L60" i="8"/>
  <c r="L59" i="8"/>
  <c r="K59" i="8"/>
  <c r="K60" i="8"/>
  <c r="G401" i="6"/>
  <c r="AQ240" i="8"/>
  <c r="G416" i="6"/>
  <c r="AT318" i="8"/>
  <c r="H476" i="6"/>
  <c r="N203" i="8"/>
  <c r="N299" i="8"/>
  <c r="W455" i="8"/>
  <c r="AG455" i="8"/>
  <c r="P293" i="8"/>
  <c r="Y449" i="8"/>
  <c r="AI449" i="8"/>
  <c r="AR238" i="8"/>
  <c r="G434" i="6"/>
  <c r="P257" i="8"/>
  <c r="H464" i="6"/>
  <c r="Q252" i="8"/>
  <c r="P331" i="8"/>
  <c r="AP254" i="8"/>
  <c r="AQ253" i="8"/>
  <c r="AN250" i="8"/>
  <c r="AR247" i="8"/>
  <c r="AR240" i="8"/>
  <c r="L128" i="8"/>
  <c r="Q284" i="8"/>
  <c r="AO226" i="8"/>
  <c r="N294" i="8"/>
  <c r="W450" i="8"/>
  <c r="AG450" i="8"/>
  <c r="AN238" i="8"/>
  <c r="N182" i="8"/>
  <c r="G475" i="6"/>
  <c r="K293" i="8"/>
  <c r="T449" i="8"/>
  <c r="AD449" i="8"/>
  <c r="M237" i="8"/>
  <c r="O330" i="8"/>
  <c r="X486" i="8"/>
  <c r="AH486" i="8"/>
  <c r="K330" i="8"/>
  <c r="AU258" i="8"/>
  <c r="O181" i="8"/>
  <c r="AN252" i="8"/>
  <c r="AT254" i="8"/>
  <c r="AQ248" i="8"/>
  <c r="AQ260" i="8"/>
  <c r="G426" i="6"/>
  <c r="K237" i="8"/>
  <c r="Q210" i="8"/>
  <c r="AT305" i="8"/>
  <c r="AR287" i="8"/>
  <c r="G518" i="6"/>
  <c r="R328" i="8"/>
  <c r="N328" i="8"/>
  <c r="W484" i="8"/>
  <c r="AG484" i="8"/>
  <c r="AP328" i="8"/>
  <c r="N146" i="8"/>
  <c r="N138" i="8"/>
  <c r="Q181" i="8"/>
  <c r="R233" i="8"/>
  <c r="O180" i="8"/>
  <c r="K180" i="8"/>
  <c r="G539" i="6"/>
  <c r="O327" i="8"/>
  <c r="X483" i="8"/>
  <c r="AH483" i="8"/>
  <c r="K327" i="8"/>
  <c r="N327" i="8"/>
  <c r="H539" i="6"/>
  <c r="AR327" i="8"/>
  <c r="AT326" i="8"/>
  <c r="AP326" i="8"/>
  <c r="L313" i="8"/>
  <c r="U469" i="8"/>
  <c r="AE469" i="8"/>
  <c r="P253" i="8"/>
  <c r="M263" i="8"/>
  <c r="Q315" i="8"/>
  <c r="Z471" i="8"/>
  <c r="AJ471" i="8"/>
  <c r="P308" i="8"/>
  <c r="Y464" i="8"/>
  <c r="AI464" i="8"/>
  <c r="L308" i="8"/>
  <c r="U464" i="8"/>
  <c r="AE464" i="8"/>
  <c r="O242" i="8"/>
  <c r="L242" i="8"/>
  <c r="K292" i="8"/>
  <c r="T448" i="8"/>
  <c r="AD448" i="8"/>
  <c r="N188" i="8"/>
  <c r="AN287" i="8"/>
  <c r="C538" i="6"/>
  <c r="D694" i="6"/>
  <c r="O326" i="8"/>
  <c r="X482" i="8"/>
  <c r="AH482" i="8"/>
  <c r="K326" i="8"/>
  <c r="P326" i="8"/>
  <c r="Y482" i="8"/>
  <c r="AI482" i="8"/>
  <c r="M325" i="8"/>
  <c r="V481" i="8"/>
  <c r="AF481" i="8"/>
  <c r="AT325" i="8"/>
  <c r="K261" i="8"/>
  <c r="K259" i="8"/>
  <c r="R306" i="8"/>
  <c r="K201" i="8"/>
  <c r="Q146" i="8"/>
  <c r="N293" i="8"/>
  <c r="W449" i="8"/>
  <c r="AG449" i="8"/>
  <c r="R311" i="8"/>
  <c r="AA467" i="8"/>
  <c r="AK467" i="8"/>
  <c r="P309" i="8"/>
  <c r="Y465" i="8"/>
  <c r="AI465" i="8"/>
  <c r="L309" i="8"/>
  <c r="R292" i="8"/>
  <c r="AA448" i="8"/>
  <c r="AK448" i="8"/>
  <c r="O292" i="8"/>
  <c r="X448" i="8"/>
  <c r="AH448" i="8"/>
  <c r="O291" i="8"/>
  <c r="X447" i="8"/>
  <c r="AH447" i="8"/>
  <c r="K173" i="8"/>
  <c r="H518" i="6"/>
  <c r="M305" i="8"/>
  <c r="V461" i="8"/>
  <c r="AF461" i="8"/>
  <c r="AT302" i="8"/>
  <c r="AS291" i="8"/>
  <c r="AQ285" i="8"/>
  <c r="O149" i="8"/>
  <c r="O293" i="8"/>
  <c r="X449" i="8"/>
  <c r="AH449" i="8"/>
  <c r="C416" i="6"/>
  <c r="K324" i="8"/>
  <c r="H523" i="6"/>
  <c r="L312" i="8"/>
  <c r="U468" i="8"/>
  <c r="AE468" i="8"/>
  <c r="Q96" i="8"/>
  <c r="Q323" i="8"/>
  <c r="Z479" i="8"/>
  <c r="AJ479" i="8"/>
  <c r="M181" i="8"/>
  <c r="AP220" i="8"/>
  <c r="N202" i="8"/>
  <c r="AP289" i="8"/>
  <c r="R262" i="8"/>
  <c r="N307" i="8"/>
  <c r="W463" i="8"/>
  <c r="AG463" i="8"/>
  <c r="K321" i="8"/>
  <c r="N305" i="8"/>
  <c r="W461" i="8"/>
  <c r="AG461" i="8"/>
  <c r="L293" i="8"/>
  <c r="U449" i="8"/>
  <c r="AE449" i="8"/>
  <c r="O320" i="8"/>
  <c r="X476" i="8"/>
  <c r="AH476" i="8"/>
  <c r="L320" i="8"/>
  <c r="G435" i="6"/>
  <c r="Q173" i="8"/>
  <c r="Q278" i="8"/>
  <c r="Q93" i="8"/>
  <c r="H506" i="6"/>
  <c r="H558" i="6"/>
  <c r="AM346" i="8"/>
  <c r="AO294" i="8"/>
  <c r="AO346" i="8"/>
  <c r="AQ294" i="8"/>
  <c r="AQ346" i="8"/>
  <c r="AS294" i="8"/>
  <c r="AS346" i="8"/>
  <c r="AU294" i="8"/>
  <c r="AU346" i="8"/>
  <c r="K70" i="8"/>
  <c r="K72" i="8"/>
  <c r="K61" i="8"/>
  <c r="L62" i="8"/>
  <c r="M60" i="8"/>
  <c r="N64" i="8"/>
  <c r="P64" i="8"/>
  <c r="O63" i="8"/>
  <c r="Q62" i="8"/>
  <c r="Q66" i="8"/>
  <c r="Q67" i="8"/>
  <c r="R67" i="8"/>
  <c r="L67" i="8"/>
  <c r="Q69" i="8"/>
  <c r="O69" i="8"/>
  <c r="Q71" i="8"/>
  <c r="N70" i="8"/>
  <c r="R71" i="8"/>
  <c r="P73" i="8"/>
  <c r="M73" i="8"/>
  <c r="L73" i="8"/>
  <c r="Q75" i="8"/>
  <c r="O73" i="8"/>
  <c r="O76" i="8"/>
  <c r="P77" i="8"/>
  <c r="L77" i="8"/>
  <c r="Q77" i="8"/>
  <c r="C293" i="6"/>
  <c r="D346" i="6"/>
  <c r="M79" i="8"/>
  <c r="Q82" i="8"/>
  <c r="C297" i="6"/>
  <c r="D350" i="6"/>
  <c r="P87" i="8"/>
  <c r="M88" i="8"/>
  <c r="N93" i="8"/>
  <c r="R95" i="8"/>
  <c r="K95" i="8"/>
  <c r="O93" i="8"/>
  <c r="R96" i="8"/>
  <c r="L96" i="8"/>
  <c r="R98" i="8"/>
  <c r="L99" i="8"/>
  <c r="L100" i="8"/>
  <c r="P100" i="8"/>
  <c r="K101" i="8"/>
  <c r="M99" i="8"/>
  <c r="N102" i="8"/>
  <c r="R104" i="8"/>
  <c r="L104" i="8"/>
  <c r="N103" i="8"/>
  <c r="O107" i="8"/>
  <c r="Q107" i="8"/>
  <c r="R107" i="8"/>
  <c r="M108" i="8"/>
  <c r="L107" i="8"/>
  <c r="O109" i="8"/>
  <c r="Q109" i="8"/>
  <c r="N110" i="8"/>
  <c r="P110" i="8"/>
  <c r="K108" i="8"/>
  <c r="R109" i="8"/>
  <c r="Q111" i="8"/>
  <c r="O267" i="8"/>
  <c r="L215" i="8"/>
  <c r="L112" i="8"/>
  <c r="H477" i="6"/>
  <c r="AP213" i="8"/>
  <c r="N111" i="8"/>
  <c r="N267" i="8"/>
  <c r="P266" i="8"/>
  <c r="AU266" i="8"/>
  <c r="L165" i="8"/>
  <c r="M112" i="8"/>
  <c r="N165" i="8"/>
  <c r="O216" i="8"/>
  <c r="O113" i="8"/>
  <c r="H479" i="6"/>
  <c r="AQ319" i="8"/>
  <c r="L166" i="8"/>
  <c r="U322" i="8"/>
  <c r="R113" i="8"/>
  <c r="AQ215" i="8"/>
  <c r="AT215" i="8"/>
  <c r="C483" i="6"/>
  <c r="M167" i="8"/>
  <c r="N219" i="8"/>
  <c r="P115" i="8"/>
  <c r="C484" i="6"/>
  <c r="AQ321" i="8"/>
  <c r="AS321" i="8"/>
  <c r="AU321" i="8"/>
  <c r="H429" i="6"/>
  <c r="L114" i="8"/>
  <c r="R168" i="8"/>
  <c r="M220" i="8"/>
  <c r="N168" i="8"/>
  <c r="AT217" i="8"/>
  <c r="AP270" i="8"/>
  <c r="AT322" i="8"/>
  <c r="C329" i="6"/>
  <c r="K117" i="8"/>
  <c r="AU270" i="8"/>
  <c r="AQ218" i="8"/>
  <c r="AQ323" i="8"/>
  <c r="AU323" i="8"/>
  <c r="K118" i="8"/>
  <c r="K119" i="8"/>
  <c r="R223" i="8"/>
  <c r="R119" i="8"/>
  <c r="H537" i="6"/>
  <c r="AS325" i="8"/>
  <c r="R224" i="8"/>
  <c r="C436" i="6"/>
  <c r="AP221" i="8"/>
  <c r="AQ221" i="8"/>
  <c r="AS221" i="8"/>
  <c r="AU222" i="8"/>
  <c r="N225" i="8"/>
  <c r="N121" i="8"/>
  <c r="AT222" i="8"/>
  <c r="AS327" i="8"/>
  <c r="AU275" i="8"/>
  <c r="K122" i="8"/>
  <c r="N226" i="8"/>
  <c r="N122" i="8"/>
  <c r="AS223" i="8"/>
  <c r="AQ328" i="8"/>
  <c r="R175" i="8"/>
  <c r="AO224" i="8"/>
  <c r="M227" i="8"/>
  <c r="N175" i="8"/>
  <c r="AR224" i="8"/>
  <c r="Q227" i="8"/>
  <c r="Q123" i="8"/>
  <c r="AS277" i="8"/>
  <c r="R124" i="8"/>
  <c r="AO225" i="8"/>
  <c r="AQ225" i="8"/>
  <c r="AS225" i="8"/>
  <c r="AT225" i="8"/>
  <c r="AU226" i="8"/>
  <c r="M229" i="8"/>
  <c r="N177" i="8"/>
  <c r="R176" i="8"/>
  <c r="L229" i="8"/>
  <c r="K125" i="8"/>
  <c r="AP227" i="8"/>
  <c r="AR227" i="8"/>
  <c r="P228" i="8"/>
  <c r="AT227" i="8"/>
  <c r="R127" i="8"/>
  <c r="N127" i="8"/>
  <c r="P127" i="8"/>
  <c r="C392" i="6"/>
  <c r="R128" i="8"/>
  <c r="M180" i="8"/>
  <c r="N128" i="8"/>
  <c r="P285" i="8"/>
  <c r="R285" i="8"/>
  <c r="L129" i="8"/>
  <c r="N233" i="8"/>
  <c r="P233" i="8"/>
  <c r="R179" i="8"/>
  <c r="P182" i="8"/>
  <c r="M287" i="8"/>
  <c r="V443" i="8"/>
  <c r="AF443" i="8"/>
  <c r="C343" i="6"/>
  <c r="R131" i="8"/>
  <c r="P130" i="8"/>
  <c r="R184" i="8"/>
  <c r="M132" i="8"/>
  <c r="O234" i="8"/>
  <c r="K184" i="8"/>
  <c r="L237" i="8"/>
  <c r="L132" i="8"/>
  <c r="M183" i="8"/>
  <c r="N132" i="8"/>
  <c r="O185" i="8"/>
  <c r="P234" i="8"/>
  <c r="Y390" i="8"/>
  <c r="AI390" i="8"/>
  <c r="AO287" i="8"/>
  <c r="N289" i="8"/>
  <c r="W445" i="8"/>
  <c r="AG445" i="8"/>
  <c r="AP287" i="8"/>
  <c r="AN288" i="8"/>
  <c r="M187" i="8"/>
  <c r="P187" i="8"/>
  <c r="R187" i="8"/>
  <c r="L188" i="8"/>
  <c r="K138" i="8"/>
  <c r="K240" i="8"/>
  <c r="L240" i="8"/>
  <c r="N240" i="8"/>
  <c r="O240" i="8"/>
  <c r="Q240" i="8"/>
  <c r="K241" i="8"/>
  <c r="M247" i="8"/>
  <c r="Q196" i="8"/>
  <c r="M196" i="8"/>
  <c r="P249" i="8"/>
  <c r="C514" i="6"/>
  <c r="D670" i="6"/>
  <c r="R198" i="8"/>
  <c r="Q247" i="8"/>
  <c r="C359" i="6"/>
  <c r="K251" i="8"/>
  <c r="R252" i="8"/>
  <c r="R148" i="8"/>
  <c r="L252" i="8"/>
  <c r="L148" i="8"/>
  <c r="C517" i="6"/>
  <c r="D673" i="6"/>
  <c r="O306" i="8"/>
  <c r="X462" i="8"/>
  <c r="AH462" i="8"/>
  <c r="Q306" i="8"/>
  <c r="Z462" i="8"/>
  <c r="AJ462" i="8"/>
  <c r="L202" i="8"/>
  <c r="M150" i="8"/>
  <c r="P150" i="8"/>
  <c r="Q202" i="8"/>
  <c r="P203" i="8"/>
  <c r="Q151" i="8"/>
  <c r="AU305" i="8"/>
  <c r="P209" i="8"/>
  <c r="C399" i="6"/>
  <c r="AQ269" i="8"/>
  <c r="L106" i="8"/>
  <c r="M113" i="8"/>
  <c r="O64" i="8"/>
  <c r="H426" i="6"/>
  <c r="AQ271" i="8"/>
  <c r="AU329" i="8"/>
  <c r="AQ329" i="8"/>
  <c r="L175" i="8"/>
  <c r="R108" i="8"/>
  <c r="K71" i="8"/>
  <c r="AU328" i="8"/>
  <c r="L111" i="8"/>
  <c r="AU325" i="8"/>
  <c r="M192" i="8"/>
  <c r="Q291" i="8"/>
  <c r="Z447" i="8"/>
  <c r="AJ447" i="8"/>
  <c r="M291" i="8"/>
  <c r="V447" i="8"/>
  <c r="AF447" i="8"/>
  <c r="P134" i="8"/>
  <c r="R289" i="8"/>
  <c r="AA445" i="8"/>
  <c r="AK445" i="8"/>
  <c r="O288" i="8"/>
  <c r="X444" i="8"/>
  <c r="AH444" i="8"/>
  <c r="AP286" i="8"/>
  <c r="Q286" i="8"/>
  <c r="Z442" i="8"/>
  <c r="AJ442" i="8"/>
  <c r="M286" i="8"/>
  <c r="V442" i="8"/>
  <c r="AF442" i="8"/>
  <c r="R181" i="8"/>
  <c r="AN284" i="8"/>
  <c r="AQ283" i="8"/>
  <c r="K239" i="8"/>
  <c r="P291" i="8"/>
  <c r="Y447" i="8"/>
  <c r="AI447" i="8"/>
  <c r="L291" i="8"/>
  <c r="U447" i="8"/>
  <c r="AE447" i="8"/>
  <c r="G503" i="6"/>
  <c r="K287" i="8"/>
  <c r="T443" i="8"/>
  <c r="AD443" i="8"/>
  <c r="AS276" i="8"/>
  <c r="M293" i="8"/>
  <c r="V449" i="8"/>
  <c r="AF449" i="8"/>
  <c r="K111" i="8"/>
  <c r="N107" i="8"/>
  <c r="O190" i="8"/>
  <c r="N285" i="8"/>
  <c r="AS283" i="8"/>
  <c r="L136" i="8"/>
  <c r="AU273" i="8"/>
  <c r="AT270" i="8"/>
  <c r="M194" i="8"/>
  <c r="K288" i="8"/>
  <c r="T444" i="8"/>
  <c r="AD444" i="8"/>
  <c r="N278" i="8"/>
  <c r="Q273" i="8"/>
  <c r="L216" i="8"/>
  <c r="AO227" i="8"/>
  <c r="Q295" i="8"/>
  <c r="Z451" i="8"/>
  <c r="AJ451" i="8"/>
  <c r="L281" i="8"/>
  <c r="N116" i="8"/>
  <c r="AQ272" i="8"/>
  <c r="N228" i="8"/>
  <c r="K307" i="8"/>
  <c r="AM345" i="8"/>
  <c r="AQ293" i="8"/>
  <c r="AQ345" i="8"/>
  <c r="AO293" i="8"/>
  <c r="AO345" i="8"/>
  <c r="AT293" i="8"/>
  <c r="AT345" i="8"/>
  <c r="N320" i="8"/>
  <c r="W476" i="8"/>
  <c r="AG476" i="8"/>
  <c r="N321" i="8"/>
  <c r="W477" i="8"/>
  <c r="AG477" i="8"/>
  <c r="R321" i="8"/>
  <c r="AA477" i="8"/>
  <c r="AK477" i="8"/>
  <c r="O322" i="8"/>
  <c r="X478" i="8"/>
  <c r="AH478" i="8"/>
  <c r="AO292" i="8"/>
  <c r="AO344" i="8"/>
  <c r="AP292" i="8"/>
  <c r="AP344" i="8"/>
  <c r="L322" i="8"/>
  <c r="G534" i="6"/>
  <c r="H436" i="6"/>
  <c r="M114" i="8"/>
  <c r="P166" i="8"/>
  <c r="M122" i="8"/>
  <c r="O122" i="8"/>
  <c r="AR291" i="8"/>
  <c r="AM343" i="8"/>
  <c r="P241" i="8"/>
  <c r="Q241" i="8"/>
  <c r="P322" i="8"/>
  <c r="Y478" i="8"/>
  <c r="AI478" i="8"/>
  <c r="K69" i="8"/>
  <c r="L118" i="8"/>
  <c r="R225" i="8"/>
  <c r="N227" i="8"/>
  <c r="N123" i="8"/>
  <c r="Q233" i="8"/>
  <c r="R234" i="8"/>
  <c r="M135" i="8"/>
  <c r="Q294" i="8"/>
  <c r="Z450" i="8"/>
  <c r="AJ450" i="8"/>
  <c r="R248" i="8"/>
  <c r="R143" i="8"/>
  <c r="O247" i="8"/>
  <c r="K199" i="8"/>
  <c r="O200" i="8"/>
  <c r="O254" i="8"/>
  <c r="O150" i="8"/>
  <c r="L255" i="8"/>
  <c r="Q203" i="8"/>
  <c r="L204" i="8"/>
  <c r="M152" i="8"/>
  <c r="O256" i="8"/>
  <c r="O152" i="8"/>
  <c r="Q152" i="8"/>
  <c r="K207" i="8"/>
  <c r="R157" i="8"/>
  <c r="AP321" i="8"/>
  <c r="AT321" i="8"/>
  <c r="AS322" i="8"/>
  <c r="G543" i="6"/>
  <c r="C320" i="6"/>
  <c r="D373" i="6"/>
  <c r="F373" i="6"/>
  <c r="G487" i="6"/>
  <c r="C390" i="6"/>
  <c r="G493" i="6"/>
  <c r="G515" i="6"/>
  <c r="P60" i="8"/>
  <c r="K93" i="8"/>
  <c r="K63" i="8"/>
  <c r="M61" i="8"/>
  <c r="P109" i="8"/>
  <c r="N62" i="8"/>
  <c r="C426" i="6"/>
  <c r="O112" i="8"/>
  <c r="N61" i="8"/>
  <c r="AP218" i="8"/>
  <c r="AU326" i="8"/>
  <c r="AQ326" i="8"/>
  <c r="H493" i="6"/>
  <c r="C391" i="6"/>
  <c r="AU276" i="8"/>
  <c r="O287" i="8"/>
  <c r="X443" i="8"/>
  <c r="AH443" i="8"/>
  <c r="L182" i="8"/>
  <c r="AU283" i="8"/>
  <c r="L123" i="8"/>
  <c r="L227" i="8"/>
  <c r="AN285" i="8"/>
  <c r="AS324" i="8"/>
  <c r="H536" i="6"/>
  <c r="Q270" i="8"/>
  <c r="H535" i="6"/>
  <c r="AO283" i="8"/>
  <c r="AU282" i="8"/>
  <c r="L121" i="8"/>
  <c r="L116" i="8"/>
  <c r="AU269" i="8"/>
  <c r="AQ290" i="8"/>
  <c r="AT291" i="8"/>
  <c r="H532" i="6"/>
  <c r="AP219" i="8"/>
  <c r="AN289" i="8"/>
  <c r="L292" i="8"/>
  <c r="U448" i="8"/>
  <c r="AE448" i="8"/>
  <c r="AU286" i="8"/>
  <c r="AT284" i="8"/>
  <c r="AS320" i="8"/>
  <c r="Q177" i="8"/>
  <c r="P280" i="8"/>
  <c r="P168" i="8"/>
  <c r="P176" i="8"/>
  <c r="AQ223" i="8"/>
  <c r="R228" i="8"/>
  <c r="P224" i="8"/>
  <c r="C492" i="6"/>
  <c r="K100" i="8"/>
  <c r="L172" i="8"/>
  <c r="O105" i="8"/>
  <c r="AT219" i="8"/>
  <c r="AS217" i="8"/>
  <c r="AO290" i="8"/>
  <c r="AQ318" i="8"/>
  <c r="N269" i="8"/>
  <c r="O273" i="8"/>
  <c r="AR322" i="8"/>
  <c r="AU271" i="8"/>
  <c r="R274" i="8"/>
  <c r="O170" i="8"/>
  <c r="AR219" i="8"/>
  <c r="AU272" i="8"/>
  <c r="R275" i="8"/>
  <c r="L171" i="8"/>
  <c r="U327" i="8"/>
  <c r="O171" i="8"/>
  <c r="AR220" i="8"/>
  <c r="AQ273" i="8"/>
  <c r="N276" i="8"/>
  <c r="K169" i="8"/>
  <c r="K172" i="8"/>
  <c r="K121" i="8"/>
  <c r="K120" i="8"/>
  <c r="P278" i="8"/>
  <c r="AS275" i="8"/>
  <c r="L173" i="8"/>
  <c r="AR225" i="8"/>
  <c r="AR277" i="8"/>
  <c r="K174" i="8"/>
  <c r="L228" i="8"/>
  <c r="L230" i="8"/>
  <c r="M178" i="8"/>
  <c r="M177" i="8"/>
  <c r="O175" i="8"/>
  <c r="O177" i="8"/>
  <c r="AS279" i="8"/>
  <c r="P227" i="8"/>
  <c r="AS227" i="8"/>
  <c r="P229" i="8"/>
  <c r="AS280" i="8"/>
  <c r="P283" i="8"/>
  <c r="AP336" i="8"/>
  <c r="AM336" i="8"/>
  <c r="AP284" i="8"/>
  <c r="AP285" i="8"/>
  <c r="M288" i="8"/>
  <c r="V444" i="8"/>
  <c r="AF444" i="8"/>
  <c r="N235" i="8"/>
  <c r="AQ286" i="8"/>
  <c r="N234" i="8"/>
  <c r="AO339" i="8"/>
  <c r="L289" i="8"/>
  <c r="U445" i="8"/>
  <c r="AE445" i="8"/>
  <c r="AQ339" i="8"/>
  <c r="AQ287" i="8"/>
  <c r="AS339" i="8"/>
  <c r="P289" i="8"/>
  <c r="Y445" i="8"/>
  <c r="AI445" i="8"/>
  <c r="AR340" i="8"/>
  <c r="AR288" i="8"/>
  <c r="AS241" i="8"/>
  <c r="P190" i="8"/>
  <c r="AM342" i="8"/>
  <c r="M241" i="8"/>
  <c r="AP291" i="8"/>
  <c r="AT242" i="8"/>
  <c r="Q193" i="8"/>
  <c r="AP295" i="8"/>
  <c r="M297" i="8"/>
  <c r="AT296" i="8"/>
  <c r="Q299" i="8"/>
  <c r="Z455" i="8"/>
  <c r="AJ455" i="8"/>
  <c r="Q302" i="8"/>
  <c r="Z458" i="8"/>
  <c r="AJ458" i="8"/>
  <c r="AT299" i="8"/>
  <c r="P147" i="8"/>
  <c r="P148" i="8"/>
  <c r="AP303" i="8"/>
  <c r="M306" i="8"/>
  <c r="V462" i="8"/>
  <c r="AF462" i="8"/>
  <c r="Q254" i="8"/>
  <c r="Q253" i="8"/>
  <c r="L305" i="8"/>
  <c r="U461" i="8"/>
  <c r="AE461" i="8"/>
  <c r="L307" i="8"/>
  <c r="U463" i="8"/>
  <c r="AE463" i="8"/>
  <c r="AS305" i="8"/>
  <c r="P305" i="8"/>
  <c r="Y461" i="8"/>
  <c r="AI461" i="8"/>
  <c r="P307" i="8"/>
  <c r="Y463" i="8"/>
  <c r="AI463" i="8"/>
  <c r="R308" i="8"/>
  <c r="R307" i="8"/>
  <c r="K318" i="8"/>
  <c r="AQ314" i="8"/>
  <c r="N315" i="8"/>
  <c r="W471" i="8"/>
  <c r="AG471" i="8"/>
  <c r="AU317" i="8"/>
  <c r="R319" i="8"/>
  <c r="AA475" i="8"/>
  <c r="AK475" i="8"/>
  <c r="R320" i="8"/>
  <c r="AA476" i="8"/>
  <c r="AK476" i="8"/>
  <c r="K322" i="8"/>
  <c r="M320" i="8"/>
  <c r="V476" i="8"/>
  <c r="AF476" i="8"/>
  <c r="M321" i="8"/>
  <c r="V477" i="8"/>
  <c r="AF477" i="8"/>
  <c r="AT319" i="8"/>
  <c r="Q320" i="8"/>
  <c r="Z476" i="8"/>
  <c r="AJ476" i="8"/>
  <c r="Q321" i="8"/>
  <c r="Z477" i="8"/>
  <c r="AJ477" i="8"/>
  <c r="G485" i="6"/>
  <c r="G486" i="6"/>
  <c r="Q98" i="8"/>
  <c r="K160" i="8"/>
  <c r="R162" i="8"/>
  <c r="O264" i="8"/>
  <c r="AQ320" i="8"/>
  <c r="AU320" i="8"/>
  <c r="C273" i="6"/>
  <c r="D326" i="6"/>
  <c r="C290" i="6"/>
  <c r="C305" i="6"/>
  <c r="D358" i="6"/>
  <c r="AQ317" i="8"/>
  <c r="H427" i="6"/>
  <c r="C431" i="6"/>
  <c r="H534" i="6"/>
  <c r="C433" i="6"/>
  <c r="G433" i="6"/>
  <c r="C384" i="6"/>
  <c r="C332" i="6"/>
  <c r="H487" i="6"/>
  <c r="AM275" i="8"/>
  <c r="C439" i="6"/>
  <c r="G439" i="6"/>
  <c r="G492" i="6"/>
  <c r="C387" i="6"/>
  <c r="H494" i="6"/>
  <c r="C342" i="6"/>
  <c r="C393" i="6"/>
  <c r="H499" i="6"/>
  <c r="C346" i="6"/>
  <c r="G504" i="6"/>
  <c r="C510" i="6"/>
  <c r="D666" i="6"/>
  <c r="C462" i="6"/>
  <c r="C360" i="6"/>
  <c r="C412" i="6"/>
  <c r="C518" i="6"/>
  <c r="H465" i="6"/>
  <c r="H519" i="6"/>
  <c r="H522" i="6"/>
  <c r="C421" i="6"/>
  <c r="G530" i="6"/>
  <c r="C534" i="6"/>
  <c r="D690" i="6"/>
  <c r="G537" i="6"/>
  <c r="G399" i="6"/>
  <c r="G514" i="6"/>
  <c r="G520" i="6"/>
  <c r="G521" i="6"/>
  <c r="C375" i="6"/>
  <c r="H533" i="6"/>
  <c r="G538" i="6"/>
  <c r="H540" i="6"/>
  <c r="G541" i="6"/>
  <c r="L70" i="8"/>
  <c r="P79" i="8"/>
  <c r="K80" i="8"/>
  <c r="M80" i="8"/>
  <c r="O82" i="8"/>
  <c r="P84" i="8"/>
  <c r="R88" i="8"/>
  <c r="R93" i="8"/>
  <c r="R94" i="8"/>
  <c r="K94" i="8"/>
  <c r="O95" i="8"/>
  <c r="R97" i="8"/>
  <c r="N100" i="8"/>
  <c r="P102" i="8"/>
  <c r="R101" i="8"/>
  <c r="O103" i="8"/>
  <c r="Q102" i="8"/>
  <c r="L103" i="8"/>
  <c r="P103" i="8"/>
  <c r="K104" i="8"/>
  <c r="N105" i="8"/>
  <c r="M107" i="8"/>
  <c r="K109" i="8"/>
  <c r="M110" i="8"/>
  <c r="O110" i="8"/>
  <c r="AU265" i="8"/>
  <c r="M164" i="8"/>
  <c r="O163" i="8"/>
  <c r="AS265" i="8"/>
  <c r="AT213" i="8"/>
  <c r="AS266" i="8"/>
  <c r="AP266" i="8"/>
  <c r="AR266" i="8"/>
  <c r="R217" i="8"/>
  <c r="M165" i="8"/>
  <c r="N114" i="8"/>
  <c r="O166" i="8"/>
  <c r="AS215" i="8"/>
  <c r="K115" i="8"/>
  <c r="AU216" i="8"/>
  <c r="AR216" i="8"/>
  <c r="M115" i="8"/>
  <c r="O220" i="8"/>
  <c r="O114" i="8"/>
  <c r="Q116" i="8"/>
  <c r="M270" i="8"/>
  <c r="AT218" i="8"/>
  <c r="N273" i="8"/>
  <c r="P273" i="8"/>
  <c r="K170" i="8"/>
  <c r="N224" i="8"/>
  <c r="O172" i="8"/>
  <c r="P121" i="8"/>
  <c r="R174" i="8"/>
  <c r="M174" i="8"/>
  <c r="O174" i="8"/>
  <c r="R226" i="8"/>
  <c r="M124" i="8"/>
  <c r="Q228" i="8"/>
  <c r="AN229" i="8"/>
  <c r="AO229" i="8"/>
  <c r="M235" i="8"/>
  <c r="R237" i="8"/>
  <c r="AO289" i="8"/>
  <c r="AR289" i="8"/>
  <c r="AT289" i="8"/>
  <c r="AQ291" i="8"/>
  <c r="AS292" i="8"/>
  <c r="Q251" i="8"/>
  <c r="AO301" i="8"/>
  <c r="O307" i="8"/>
  <c r="X463" i="8"/>
  <c r="AH463" i="8"/>
  <c r="AR256" i="8"/>
  <c r="C450" i="6"/>
  <c r="H466" i="6"/>
  <c r="C506" i="6"/>
  <c r="H543" i="6"/>
  <c r="H439" i="6"/>
  <c r="G462" i="6"/>
  <c r="H508" i="6"/>
  <c r="G540" i="6"/>
  <c r="C448" i="6"/>
  <c r="G488" i="6"/>
  <c r="C539" i="6"/>
  <c r="H497" i="6"/>
  <c r="G497" i="6"/>
  <c r="G502" i="6"/>
  <c r="C533" i="6"/>
  <c r="C536" i="6"/>
  <c r="D692" i="6"/>
  <c r="C535" i="6"/>
  <c r="D691" i="6"/>
  <c r="C463" i="6"/>
  <c r="C523" i="6"/>
  <c r="D679" i="6"/>
  <c r="C475" i="6"/>
  <c r="C532" i="6"/>
  <c r="D688" i="6"/>
  <c r="G491" i="6"/>
  <c r="G436" i="6"/>
  <c r="H435" i="6"/>
  <c r="C494" i="6"/>
  <c r="C490" i="6"/>
  <c r="C489" i="6"/>
  <c r="H483" i="6"/>
  <c r="C493" i="6"/>
  <c r="C491" i="6"/>
  <c r="C292" i="6"/>
  <c r="D345" i="6"/>
  <c r="C302" i="6"/>
  <c r="D355" i="6"/>
  <c r="C322" i="6"/>
  <c r="D375" i="6"/>
  <c r="F375" i="6"/>
  <c r="C324" i="6"/>
  <c r="G478" i="6"/>
  <c r="C378" i="6"/>
  <c r="H481" i="6"/>
  <c r="G431" i="6"/>
  <c r="C488" i="6"/>
  <c r="H486" i="6"/>
  <c r="AM274" i="8"/>
  <c r="C389" i="6"/>
  <c r="H491" i="6"/>
  <c r="AM279" i="8"/>
  <c r="H468" i="6"/>
  <c r="M116" i="8"/>
  <c r="AQ267" i="8"/>
  <c r="C430" i="6"/>
  <c r="C383" i="6"/>
  <c r="P275" i="8"/>
  <c r="Q115" i="8"/>
  <c r="N277" i="8"/>
  <c r="G484" i="6"/>
  <c r="L174" i="8"/>
  <c r="N268" i="8"/>
  <c r="K176" i="8"/>
  <c r="P116" i="8"/>
  <c r="N220" i="8"/>
  <c r="L169" i="8"/>
  <c r="G483" i="6"/>
  <c r="AU319" i="8"/>
  <c r="H530" i="6"/>
  <c r="H485" i="6"/>
  <c r="N283" i="8"/>
  <c r="P88" i="8"/>
  <c r="L88" i="8"/>
  <c r="AU318" i="8"/>
  <c r="R269" i="8"/>
  <c r="M219" i="8"/>
  <c r="AP269" i="8"/>
  <c r="P274" i="8"/>
  <c r="AS271" i="8"/>
  <c r="AS273" i="8"/>
  <c r="P276" i="8"/>
  <c r="AS274" i="8"/>
  <c r="P277" i="8"/>
  <c r="O224" i="8"/>
  <c r="O225" i="8"/>
  <c r="L278" i="8"/>
  <c r="L279" i="8"/>
  <c r="R281" i="8"/>
  <c r="AU278" i="8"/>
  <c r="N230" i="8"/>
  <c r="AQ227" i="8"/>
  <c r="AO280" i="8"/>
  <c r="L283" i="8"/>
  <c r="R283" i="8"/>
  <c r="R282" i="8"/>
  <c r="C497" i="6"/>
  <c r="G494" i="6"/>
  <c r="H547" i="6"/>
  <c r="AM335" i="8"/>
  <c r="H495" i="6"/>
  <c r="AN340" i="8"/>
  <c r="K290" i="8"/>
  <c r="T446" i="8"/>
  <c r="AD446" i="8"/>
  <c r="G450" i="6"/>
  <c r="H501" i="6"/>
  <c r="G480" i="6"/>
  <c r="G510" i="6"/>
  <c r="L251" i="8"/>
  <c r="M308" i="8"/>
  <c r="V464" i="8"/>
  <c r="AF464" i="8"/>
  <c r="R60" i="8"/>
  <c r="L71" i="8"/>
  <c r="P74" i="8"/>
  <c r="P78" i="8"/>
  <c r="M81" i="8"/>
  <c r="C303" i="6"/>
  <c r="D356" i="6"/>
  <c r="M94" i="8"/>
  <c r="M95" i="8"/>
  <c r="N96" i="8"/>
  <c r="P95" i="8"/>
  <c r="K98" i="8"/>
  <c r="K99" i="8"/>
  <c r="O99" i="8"/>
  <c r="O100" i="8"/>
  <c r="Q97" i="8"/>
  <c r="L101" i="8"/>
  <c r="N101" i="8"/>
  <c r="P99" i="8"/>
  <c r="M101" i="8"/>
  <c r="O101" i="8"/>
  <c r="R103" i="8"/>
  <c r="C313" i="6"/>
  <c r="D366" i="6"/>
  <c r="F366" i="6"/>
  <c r="L102" i="8"/>
  <c r="C316" i="6"/>
  <c r="D369" i="6"/>
  <c r="F369" i="6"/>
  <c r="K103" i="8"/>
  <c r="M104" i="8"/>
  <c r="O104" i="8"/>
  <c r="K106" i="8"/>
  <c r="M105" i="8"/>
  <c r="N104" i="8"/>
  <c r="P104" i="8"/>
  <c r="C321" i="6"/>
  <c r="D374" i="6"/>
  <c r="F374" i="6"/>
  <c r="M109" i="8"/>
  <c r="O108" i="8"/>
  <c r="Q108" i="8"/>
  <c r="L110" i="8"/>
  <c r="P268" i="8"/>
  <c r="L164" i="8"/>
  <c r="R267" i="8"/>
  <c r="R164" i="8"/>
  <c r="C480" i="6"/>
  <c r="C376" i="6"/>
  <c r="M216" i="8"/>
  <c r="M111" i="8"/>
  <c r="N164" i="8"/>
  <c r="AR265" i="8"/>
  <c r="O111" i="8"/>
  <c r="P164" i="8"/>
  <c r="Q216" i="8"/>
  <c r="M267" i="8"/>
  <c r="O268" i="8"/>
  <c r="C428" i="6"/>
  <c r="M163" i="8"/>
  <c r="AQ214" i="8"/>
  <c r="N113" i="8"/>
  <c r="O164" i="8"/>
  <c r="P217" i="8"/>
  <c r="P112" i="8"/>
  <c r="Q165" i="8"/>
  <c r="R214" i="8"/>
  <c r="C326" i="6"/>
  <c r="AR215" i="8"/>
  <c r="Q218" i="8"/>
  <c r="Q113" i="8"/>
  <c r="C327" i="6"/>
  <c r="L115" i="8"/>
  <c r="R167" i="8"/>
  <c r="AQ216" i="8"/>
  <c r="O219" i="8"/>
  <c r="O115" i="8"/>
  <c r="AS216" i="8"/>
  <c r="Q219" i="8"/>
  <c r="AR269" i="8"/>
  <c r="G430" i="6"/>
  <c r="C328" i="6"/>
  <c r="L168" i="8"/>
  <c r="U324" i="8"/>
  <c r="R115" i="8"/>
  <c r="M166" i="8"/>
  <c r="N218" i="8"/>
  <c r="N115" i="8"/>
  <c r="P114" i="8"/>
  <c r="Q168" i="8"/>
  <c r="N272" i="8"/>
  <c r="P271" i="8"/>
  <c r="N221" i="8"/>
  <c r="N117" i="8"/>
  <c r="AS218" i="8"/>
  <c r="Q169" i="8"/>
  <c r="H431" i="6"/>
  <c r="AS219" i="8"/>
  <c r="H432" i="6"/>
  <c r="L119" i="8"/>
  <c r="R171" i="8"/>
  <c r="R172" i="8"/>
  <c r="AP222" i="8"/>
  <c r="AQ222" i="8"/>
  <c r="O121" i="8"/>
  <c r="AS222" i="8"/>
  <c r="R122" i="8"/>
  <c r="O226" i="8"/>
  <c r="AT276" i="8"/>
  <c r="AR276" i="8"/>
  <c r="AP276" i="8"/>
  <c r="R123" i="8"/>
  <c r="C335" i="6"/>
  <c r="M175" i="8"/>
  <c r="AQ276" i="8"/>
  <c r="P225" i="8"/>
  <c r="AT224" i="8"/>
  <c r="L124" i="8"/>
  <c r="M176" i="8"/>
  <c r="AQ277" i="8"/>
  <c r="P124" i="8"/>
  <c r="C337" i="6"/>
  <c r="K123" i="8"/>
  <c r="N229" i="8"/>
  <c r="AS278" i="8"/>
  <c r="P125" i="8"/>
  <c r="R125" i="8"/>
  <c r="L177" i="8"/>
  <c r="K177" i="8"/>
  <c r="K129" i="8"/>
  <c r="N130" i="8"/>
  <c r="C395" i="6"/>
  <c r="H445" i="6"/>
  <c r="R236" i="8"/>
  <c r="L235" i="8"/>
  <c r="K236" i="8"/>
  <c r="L184" i="8"/>
  <c r="AQ234" i="8"/>
  <c r="O236" i="8"/>
  <c r="P184" i="8"/>
  <c r="Q237" i="8"/>
  <c r="Q132" i="8"/>
  <c r="R185" i="8"/>
  <c r="M185" i="8"/>
  <c r="N133" i="8"/>
  <c r="P133" i="8"/>
  <c r="K188" i="8"/>
  <c r="M189" i="8"/>
  <c r="AO239" i="8"/>
  <c r="Q190" i="8"/>
  <c r="M139" i="8"/>
  <c r="AR290" i="8"/>
  <c r="AS290" i="8"/>
  <c r="AU291" i="8"/>
  <c r="K193" i="8"/>
  <c r="Q199" i="8"/>
  <c r="H409" i="6"/>
  <c r="AS302" i="8"/>
  <c r="AN305" i="8"/>
  <c r="R318" i="8"/>
  <c r="AA474" i="8"/>
  <c r="AK474" i="8"/>
  <c r="K319" i="8"/>
  <c r="L319" i="8"/>
  <c r="L170" i="8"/>
  <c r="U326" i="8"/>
  <c r="R118" i="8"/>
  <c r="P120" i="8"/>
  <c r="M228" i="8"/>
  <c r="O124" i="8"/>
  <c r="P175" i="8"/>
  <c r="Q124" i="8"/>
  <c r="P128" i="8"/>
  <c r="H457" i="6"/>
  <c r="AM341" i="8"/>
  <c r="AQ289" i="8"/>
  <c r="AQ341" i="8"/>
  <c r="AS289" i="8"/>
  <c r="AS341" i="8"/>
  <c r="K113" i="8"/>
  <c r="C310" i="6"/>
  <c r="D363" i="6"/>
  <c r="C323" i="6"/>
  <c r="D376" i="6"/>
  <c r="F376" i="6"/>
  <c r="C379" i="6"/>
  <c r="C382" i="6"/>
  <c r="C388" i="6"/>
  <c r="H492" i="6"/>
  <c r="C449" i="6"/>
  <c r="G396" i="6"/>
  <c r="C347" i="6"/>
  <c r="H527" i="6"/>
  <c r="Q87" i="8"/>
  <c r="K107" i="8"/>
  <c r="G427" i="6"/>
  <c r="O131" i="8"/>
  <c r="O147" i="8"/>
  <c r="M307" i="8"/>
  <c r="V463" i="8"/>
  <c r="AF463" i="8"/>
  <c r="M318" i="8"/>
  <c r="V474" i="8"/>
  <c r="AF474" i="8"/>
  <c r="G531" i="6"/>
  <c r="AS319" i="8"/>
  <c r="Q65" i="8"/>
  <c r="R65" i="8"/>
  <c r="P76" i="8"/>
  <c r="K81" i="8"/>
  <c r="M82" i="8"/>
  <c r="Q83" i="8"/>
  <c r="C299" i="6"/>
  <c r="R59" i="8"/>
  <c r="R62" i="8"/>
  <c r="Q269" i="8"/>
  <c r="Q268" i="8"/>
  <c r="AP319" i="8"/>
  <c r="AP267" i="8"/>
  <c r="O270" i="8"/>
  <c r="AR267" i="8"/>
  <c r="K166" i="8"/>
  <c r="R165" i="8"/>
  <c r="R166" i="8"/>
  <c r="M217" i="8"/>
  <c r="AP215" i="8"/>
  <c r="AP320" i="8"/>
  <c r="M271" i="8"/>
  <c r="AP268" i="8"/>
  <c r="H480" i="6"/>
  <c r="G428" i="6"/>
  <c r="K167" i="8"/>
  <c r="R218" i="8"/>
  <c r="R219" i="8"/>
  <c r="AR217" i="8"/>
  <c r="O168" i="8"/>
  <c r="P218" i="8"/>
  <c r="AS269" i="8"/>
  <c r="R270" i="8"/>
  <c r="R272" i="8"/>
  <c r="O274" i="8"/>
  <c r="AR271" i="8"/>
  <c r="Q222" i="8"/>
  <c r="Q220" i="8"/>
  <c r="M275" i="8"/>
  <c r="AP272" i="8"/>
  <c r="Q275" i="8"/>
  <c r="AT272" i="8"/>
  <c r="M276" i="8"/>
  <c r="AP273" i="8"/>
  <c r="R222" i="8"/>
  <c r="AU274" i="8"/>
  <c r="AP223" i="8"/>
  <c r="M226" i="8"/>
  <c r="H437" i="6"/>
  <c r="C440" i="6"/>
  <c r="Q281" i="8"/>
  <c r="AT278" i="8"/>
  <c r="H438" i="6"/>
  <c r="C441" i="6"/>
  <c r="R230" i="8"/>
  <c r="R229" i="8"/>
  <c r="O228" i="8"/>
  <c r="O227" i="8"/>
  <c r="K280" i="8"/>
  <c r="K281" i="8"/>
  <c r="M283" i="8"/>
  <c r="M282" i="8"/>
  <c r="AP280" i="8"/>
  <c r="K228" i="8"/>
  <c r="AN335" i="8"/>
  <c r="AN283" i="8"/>
  <c r="AR335" i="8"/>
  <c r="AR283" i="8"/>
  <c r="AO284" i="8"/>
  <c r="L284" i="8"/>
  <c r="AP339" i="8"/>
  <c r="AM339" i="8"/>
  <c r="M290" i="8"/>
  <c r="V446" i="8"/>
  <c r="AF446" i="8"/>
  <c r="AT339" i="8"/>
  <c r="Q289" i="8"/>
  <c r="Z445" i="8"/>
  <c r="AJ445" i="8"/>
  <c r="Q290" i="8"/>
  <c r="Z446" i="8"/>
  <c r="AJ446" i="8"/>
  <c r="AO340" i="8"/>
  <c r="L290" i="8"/>
  <c r="U446" i="8"/>
  <c r="AE446" i="8"/>
  <c r="AQ340" i="8"/>
  <c r="AQ288" i="8"/>
  <c r="H451" i="6"/>
  <c r="H399" i="6"/>
  <c r="H452" i="6"/>
  <c r="C403" i="6"/>
  <c r="H453" i="6"/>
  <c r="AM241" i="8"/>
  <c r="H401" i="6"/>
  <c r="K243" i="8"/>
  <c r="AN292" i="8"/>
  <c r="N243" i="8"/>
  <c r="AQ292" i="8"/>
  <c r="Q243" i="8"/>
  <c r="AT240" i="8"/>
  <c r="AT292" i="8"/>
  <c r="AP242" i="8"/>
  <c r="M193" i="8"/>
  <c r="AQ299" i="8"/>
  <c r="N301" i="8"/>
  <c r="W457" i="8"/>
  <c r="AG457" i="8"/>
  <c r="C516" i="6"/>
  <c r="D672" i="6"/>
  <c r="G513" i="6"/>
  <c r="C413" i="6"/>
  <c r="H410" i="6"/>
  <c r="C519" i="6"/>
  <c r="H516" i="6"/>
  <c r="Q308" i="8"/>
  <c r="Z464" i="8"/>
  <c r="AJ464" i="8"/>
  <c r="Q307" i="8"/>
  <c r="Z463" i="8"/>
  <c r="AJ463" i="8"/>
  <c r="AR262" i="8"/>
  <c r="O265" i="8"/>
  <c r="O70" i="8"/>
  <c r="G489" i="6"/>
  <c r="AO238" i="8"/>
  <c r="AU238" i="8"/>
  <c r="G411" i="6"/>
  <c r="G412" i="6"/>
  <c r="G413" i="6"/>
  <c r="G415" i="6"/>
  <c r="L108" i="8"/>
  <c r="R316" i="8"/>
  <c r="AA472" i="8"/>
  <c r="AK472" i="8"/>
  <c r="N162" i="8"/>
  <c r="O160" i="8"/>
  <c r="Q163" i="8"/>
  <c r="Q160" i="8"/>
  <c r="AP264" i="8"/>
  <c r="P267" i="8"/>
  <c r="Q267" i="8"/>
  <c r="AR318" i="8"/>
  <c r="Q100" i="8"/>
  <c r="AR319" i="8"/>
  <c r="O269" i="8"/>
  <c r="Q64" i="8"/>
  <c r="AP217" i="8"/>
  <c r="G429" i="6"/>
  <c r="N215" i="8"/>
  <c r="H529" i="6"/>
  <c r="K164" i="8"/>
  <c r="P219" i="8"/>
  <c r="K105" i="8"/>
  <c r="AQ219" i="8"/>
  <c r="P216" i="8"/>
  <c r="C380" i="6"/>
  <c r="P220" i="8"/>
  <c r="O117" i="8"/>
  <c r="P98" i="8"/>
  <c r="M215" i="8"/>
  <c r="R271" i="8"/>
  <c r="L226" i="8"/>
  <c r="Q276" i="8"/>
  <c r="Q279" i="8"/>
  <c r="K171" i="8"/>
  <c r="K168" i="8"/>
  <c r="H430" i="6"/>
  <c r="N270" i="8"/>
  <c r="O167" i="8"/>
  <c r="N266" i="8"/>
  <c r="AQ266" i="8"/>
  <c r="AT265" i="8"/>
  <c r="AS317" i="8"/>
  <c r="AU227" i="8"/>
  <c r="Q175" i="8"/>
  <c r="O123" i="8"/>
  <c r="M225" i="8"/>
  <c r="M173" i="8"/>
  <c r="H484" i="6"/>
  <c r="Q167" i="8"/>
  <c r="R220" i="8"/>
  <c r="C381" i="6"/>
  <c r="R273" i="8"/>
  <c r="P169" i="8"/>
  <c r="O217" i="8"/>
  <c r="K165" i="8"/>
  <c r="H428" i="6"/>
  <c r="Q271" i="8"/>
  <c r="M268" i="8"/>
  <c r="Q166" i="8"/>
  <c r="P113" i="8"/>
  <c r="O165" i="8"/>
  <c r="AU215" i="8"/>
  <c r="N216" i="8"/>
  <c r="M214" i="8"/>
  <c r="AR213" i="8"/>
  <c r="P105" i="8"/>
  <c r="N98" i="8"/>
  <c r="AP318" i="8"/>
  <c r="P221" i="8"/>
  <c r="AR274" i="8"/>
  <c r="AR273" i="8"/>
  <c r="AR272" i="8"/>
  <c r="AP271" i="8"/>
  <c r="K162" i="8"/>
  <c r="O290" i="8"/>
  <c r="X446" i="8"/>
  <c r="AH446" i="8"/>
  <c r="Q133" i="8"/>
  <c r="P123" i="8"/>
  <c r="AR278" i="8"/>
  <c r="M277" i="8"/>
  <c r="C398" i="6"/>
  <c r="C272" i="6"/>
  <c r="P290" i="8"/>
  <c r="Y446" i="8"/>
  <c r="AI446" i="8"/>
  <c r="M289" i="8"/>
  <c r="V445" i="8"/>
  <c r="AF445" i="8"/>
  <c r="P284" i="8"/>
  <c r="AP283" i="8"/>
  <c r="Q221" i="8"/>
  <c r="AS288" i="8"/>
  <c r="N288" i="8"/>
  <c r="W444" i="8"/>
  <c r="AG444" i="8"/>
  <c r="L287" i="8"/>
  <c r="U443" i="8"/>
  <c r="AE443" i="8"/>
  <c r="C401" i="6"/>
  <c r="H397" i="6"/>
  <c r="G398" i="6"/>
  <c r="G400" i="6"/>
  <c r="L69" i="8"/>
  <c r="AS238" i="8"/>
  <c r="AP317" i="8"/>
  <c r="AR317" i="8"/>
  <c r="AT317" i="8"/>
  <c r="Q161" i="8"/>
  <c r="H531" i="6"/>
  <c r="AM340" i="8"/>
  <c r="AQ235" i="8"/>
  <c r="AQ236" i="8"/>
  <c r="AR254" i="8"/>
  <c r="AM338" i="8"/>
  <c r="K336" i="8"/>
  <c r="T492" i="8"/>
  <c r="AD492" i="8"/>
  <c r="M336" i="8"/>
  <c r="V492" i="8"/>
  <c r="AF492" i="8"/>
  <c r="O336" i="8"/>
  <c r="X492" i="8"/>
  <c r="AH492" i="8"/>
  <c r="Q336" i="8"/>
  <c r="Z492" i="8"/>
  <c r="AJ492" i="8"/>
  <c r="N120" i="8"/>
  <c r="AU225" i="8"/>
  <c r="AR230" i="8"/>
  <c r="AP237" i="8"/>
  <c r="H440" i="6"/>
  <c r="N72" i="8"/>
  <c r="R72" i="8"/>
  <c r="N73" i="8"/>
  <c r="K76" i="8"/>
  <c r="P83" i="8"/>
  <c r="AR242" i="8"/>
  <c r="O94" i="8"/>
  <c r="Q95" i="8"/>
  <c r="C311" i="6"/>
  <c r="D364" i="6"/>
  <c r="F364" i="6"/>
  <c r="K112" i="8"/>
  <c r="L163" i="8"/>
  <c r="N163" i="8"/>
  <c r="O215" i="8"/>
  <c r="AT277" i="8"/>
  <c r="AP277" i="8"/>
  <c r="AM277" i="8"/>
  <c r="L125" i="8"/>
  <c r="AP230" i="8"/>
  <c r="AS233" i="8"/>
  <c r="AU234" i="8"/>
  <c r="G448" i="6"/>
  <c r="AT237" i="8"/>
  <c r="AS239" i="8"/>
  <c r="AR249" i="8"/>
  <c r="AU337" i="8"/>
  <c r="AR337" i="8"/>
  <c r="AO337" i="8"/>
  <c r="AP337" i="8"/>
  <c r="C549" i="6"/>
  <c r="D705" i="6"/>
  <c r="C427" i="6"/>
  <c r="AS213" i="8"/>
  <c r="H478" i="6"/>
  <c r="AP214" i="8"/>
  <c r="N169" i="8"/>
  <c r="AQ220" i="8"/>
  <c r="O173" i="8"/>
  <c r="AT223" i="8"/>
  <c r="L336" i="8"/>
  <c r="U492" i="8"/>
  <c r="AE492" i="8"/>
  <c r="N336" i="8"/>
  <c r="W492" i="8"/>
  <c r="AG492" i="8"/>
  <c r="P336" i="8"/>
  <c r="Y492" i="8"/>
  <c r="AI492" i="8"/>
  <c r="R336" i="8"/>
  <c r="AA492" i="8"/>
  <c r="AK492" i="8"/>
  <c r="C548" i="6"/>
  <c r="D704" i="6"/>
  <c r="AQ278" i="8"/>
  <c r="AS228" i="8"/>
  <c r="R85" i="8"/>
  <c r="AT266" i="8"/>
  <c r="R112" i="8"/>
  <c r="N112" i="8"/>
  <c r="L113" i="8"/>
  <c r="M272" i="8"/>
  <c r="M121" i="8"/>
  <c r="Q224" i="8"/>
  <c r="Q121" i="8"/>
  <c r="AU336" i="8"/>
  <c r="AQ336" i="8"/>
  <c r="M70" i="8"/>
  <c r="M78" i="8"/>
  <c r="Q92" i="8"/>
  <c r="C308" i="6"/>
  <c r="D361" i="6"/>
  <c r="M96" i="8"/>
  <c r="L97" i="8"/>
  <c r="M98" i="8"/>
  <c r="O98" i="8"/>
  <c r="M103" i="8"/>
  <c r="O102" i="8"/>
  <c r="Q105" i="8"/>
  <c r="AP265" i="8"/>
  <c r="AM265" i="8"/>
  <c r="M280" i="8"/>
  <c r="O229" i="8"/>
  <c r="AQ238" i="8"/>
  <c r="AT238" i="8"/>
  <c r="AM243" i="8"/>
  <c r="AS336" i="8"/>
  <c r="AO336" i="8"/>
  <c r="G438" i="6"/>
  <c r="G441" i="6"/>
  <c r="G481" i="6"/>
  <c r="C330" i="6"/>
  <c r="R89" i="8"/>
  <c r="G482" i="6"/>
  <c r="AQ265" i="8"/>
  <c r="G479" i="6"/>
  <c r="M281" i="8"/>
  <c r="Q226" i="8"/>
  <c r="C331" i="6"/>
  <c r="Q63" i="8"/>
  <c r="R61" i="8"/>
  <c r="P65" i="8"/>
  <c r="O65" i="8"/>
  <c r="Q70" i="8"/>
  <c r="O77" i="8"/>
  <c r="K78" i="8"/>
  <c r="O79" i="8"/>
  <c r="Q80" i="8"/>
  <c r="L81" i="8"/>
  <c r="N78" i="8"/>
  <c r="R81" i="8"/>
  <c r="AO240" i="8"/>
  <c r="AS240" i="8"/>
  <c r="L85" i="8"/>
  <c r="P86" i="8"/>
  <c r="N85" i="8"/>
  <c r="C304" i="6"/>
  <c r="D357" i="6"/>
  <c r="L91" i="8"/>
  <c r="N90" i="8"/>
  <c r="K96" i="8"/>
  <c r="M93" i="8"/>
  <c r="O96" i="8"/>
  <c r="C312" i="6"/>
  <c r="M100" i="8"/>
  <c r="Q104" i="8"/>
  <c r="C317" i="6"/>
  <c r="D370" i="6"/>
  <c r="F370" i="6"/>
  <c r="N106" i="8"/>
  <c r="P106" i="8"/>
  <c r="N108" i="8"/>
  <c r="P108" i="8"/>
  <c r="R111" i="8"/>
  <c r="R216" i="8"/>
  <c r="AQ213" i="8"/>
  <c r="Q215" i="8"/>
  <c r="N217" i="8"/>
  <c r="AS214" i="8"/>
  <c r="M218" i="8"/>
  <c r="O218" i="8"/>
  <c r="N167" i="8"/>
  <c r="P167" i="8"/>
  <c r="AT216" i="8"/>
  <c r="O272" i="8"/>
  <c r="AT269" i="8"/>
  <c r="R116" i="8"/>
  <c r="N271" i="8"/>
  <c r="P270" i="8"/>
  <c r="Y426" i="8"/>
  <c r="AI426" i="8"/>
  <c r="K116" i="8"/>
  <c r="AU218" i="8"/>
  <c r="O169" i="8"/>
  <c r="C434" i="6"/>
  <c r="O221" i="8"/>
  <c r="C435" i="6"/>
  <c r="AU220" i="8"/>
  <c r="AS220" i="8"/>
  <c r="AU221" i="8"/>
  <c r="M224" i="8"/>
  <c r="M120" i="8"/>
  <c r="N172" i="8"/>
  <c r="O120" i="8"/>
  <c r="AT221" i="8"/>
  <c r="Q120" i="8"/>
  <c r="N173" i="8"/>
  <c r="Q225" i="8"/>
  <c r="M278" i="8"/>
  <c r="AU223" i="8"/>
  <c r="N174" i="8"/>
  <c r="P174" i="8"/>
  <c r="Q122" i="8"/>
  <c r="O279" i="8"/>
  <c r="R227" i="8"/>
  <c r="K175" i="8"/>
  <c r="AD331" i="8"/>
  <c r="G437" i="6"/>
  <c r="AQ224" i="8"/>
  <c r="P226" i="8"/>
  <c r="L176" i="8"/>
  <c r="N176" i="8"/>
  <c r="AP278" i="8"/>
  <c r="AQ226" i="8"/>
  <c r="Q125" i="8"/>
  <c r="AQ228" i="8"/>
  <c r="C496" i="6"/>
  <c r="R284" i="8"/>
  <c r="H441" i="6"/>
  <c r="Q180" i="8"/>
  <c r="Q287" i="8"/>
  <c r="Z443" i="8"/>
  <c r="AJ443" i="8"/>
  <c r="K131" i="8"/>
  <c r="K132" i="8"/>
  <c r="O132" i="8"/>
  <c r="Q236" i="8"/>
  <c r="K289" i="8"/>
  <c r="T445" i="8"/>
  <c r="AD445" i="8"/>
  <c r="O289" i="8"/>
  <c r="X445" i="8"/>
  <c r="AH445" i="8"/>
  <c r="C345" i="6"/>
  <c r="K185" i="8"/>
  <c r="AO234" i="8"/>
  <c r="L133" i="8"/>
  <c r="N237" i="8"/>
  <c r="P237" i="8"/>
  <c r="R133" i="8"/>
  <c r="N290" i="8"/>
  <c r="W446" i="8"/>
  <c r="AG446" i="8"/>
  <c r="H447" i="6"/>
  <c r="AS235" i="8"/>
  <c r="AS236" i="8"/>
  <c r="AU236" i="8"/>
  <c r="M188" i="8"/>
  <c r="K136" i="8"/>
  <c r="M138" i="8"/>
  <c r="AU289" i="8"/>
  <c r="AT290" i="8"/>
  <c r="AU290" i="8"/>
  <c r="AO291" i="8"/>
  <c r="P242" i="8"/>
  <c r="AR292" i="8"/>
  <c r="AU292" i="8"/>
  <c r="C354" i="6"/>
  <c r="R145" i="8"/>
  <c r="O251" i="8"/>
  <c r="P199" i="8"/>
  <c r="AT248" i="8"/>
  <c r="Q147" i="8"/>
  <c r="O201" i="8"/>
  <c r="AR251" i="8"/>
  <c r="H412" i="6"/>
  <c r="AU252" i="8"/>
  <c r="AO253" i="8"/>
  <c r="H414" i="6"/>
  <c r="H415" i="6"/>
  <c r="AP255" i="8"/>
  <c r="AU257" i="8"/>
  <c r="H419" i="6"/>
  <c r="AP260" i="8"/>
  <c r="AR316" i="8"/>
  <c r="AS316" i="8"/>
  <c r="C541" i="6"/>
  <c r="D697" i="6"/>
  <c r="C543" i="6"/>
  <c r="D699" i="6"/>
  <c r="L335" i="8"/>
  <c r="U491" i="8"/>
  <c r="AE491" i="8"/>
  <c r="N335" i="8"/>
  <c r="W491" i="8"/>
  <c r="AG491" i="8"/>
  <c r="P335" i="8"/>
  <c r="Y491" i="8"/>
  <c r="AI491" i="8"/>
  <c r="R335" i="8"/>
  <c r="AA491" i="8"/>
  <c r="AK491" i="8"/>
  <c r="AQ247" i="8"/>
  <c r="K308" i="8"/>
  <c r="O308" i="8"/>
  <c r="X464" i="8"/>
  <c r="AH464" i="8"/>
  <c r="H418" i="6"/>
  <c r="M65" i="8"/>
  <c r="N88" i="8"/>
  <c r="P101" i="8"/>
  <c r="C544" i="6"/>
  <c r="D700" i="6"/>
  <c r="C547" i="6"/>
  <c r="K335" i="8"/>
  <c r="T491" i="8"/>
  <c r="AD491" i="8"/>
  <c r="M335" i="8"/>
  <c r="V491" i="8"/>
  <c r="AF491" i="8"/>
  <c r="O335" i="8"/>
  <c r="X491" i="8"/>
  <c r="AH491" i="8"/>
  <c r="Q335" i="8"/>
  <c r="Z491" i="8"/>
  <c r="AJ491" i="8"/>
  <c r="L74" i="8"/>
  <c r="P75" i="8"/>
  <c r="R99" i="8"/>
  <c r="R102" i="8"/>
  <c r="Q172" i="8"/>
  <c r="R173" i="8"/>
  <c r="N279" i="8"/>
  <c r="C499" i="6"/>
  <c r="D655" i="6"/>
  <c r="O183" i="8"/>
  <c r="P287" i="8"/>
  <c r="Y443" i="8"/>
  <c r="AI443" i="8"/>
  <c r="AR237" i="8"/>
  <c r="AQ239" i="8"/>
  <c r="AU239" i="8"/>
  <c r="K140" i="8"/>
  <c r="M213" i="8"/>
  <c r="C294" i="6"/>
  <c r="D347" i="6"/>
  <c r="C374" i="6"/>
  <c r="C432" i="6"/>
  <c r="L167" i="8"/>
  <c r="H482" i="6"/>
  <c r="C482" i="6"/>
  <c r="C485" i="6"/>
  <c r="AU219" i="8"/>
  <c r="R170" i="8"/>
  <c r="R121" i="8"/>
  <c r="R120" i="8"/>
  <c r="AQ281" i="8"/>
  <c r="N284" i="8"/>
  <c r="G495" i="6"/>
  <c r="G496" i="6"/>
  <c r="AU231" i="8"/>
  <c r="R182" i="8"/>
  <c r="M182" i="8"/>
  <c r="AP231" i="8"/>
  <c r="AR284" i="8"/>
  <c r="O285" i="8"/>
  <c r="Q131" i="8"/>
  <c r="Q129" i="8"/>
  <c r="AP233" i="8"/>
  <c r="M236" i="8"/>
  <c r="N183" i="8"/>
  <c r="N184" i="8"/>
  <c r="AT234" i="8"/>
  <c r="Q185" i="8"/>
  <c r="R288" i="8"/>
  <c r="AA444" i="8"/>
  <c r="AK444" i="8"/>
  <c r="R290" i="8"/>
  <c r="AA446" i="8"/>
  <c r="AK446" i="8"/>
  <c r="C348" i="6"/>
  <c r="P189" i="8"/>
  <c r="P191" i="8"/>
  <c r="AU241" i="8"/>
  <c r="R189" i="8"/>
  <c r="AP293" i="8"/>
  <c r="M296" i="8"/>
  <c r="AR295" i="8"/>
  <c r="O298" i="8"/>
  <c r="X454" i="8"/>
  <c r="AH454" i="8"/>
  <c r="AO243" i="8"/>
  <c r="L193" i="8"/>
  <c r="H456" i="6"/>
  <c r="AM244" i="8"/>
  <c r="C405" i="6"/>
  <c r="C457" i="6"/>
  <c r="G457" i="6"/>
  <c r="N246" i="8"/>
  <c r="N247" i="8"/>
  <c r="H411" i="6"/>
  <c r="AT315" i="8"/>
  <c r="Q317" i="8"/>
  <c r="Z473" i="8"/>
  <c r="AJ473" i="8"/>
  <c r="AT313" i="8"/>
  <c r="Q316" i="8"/>
  <c r="Z472" i="8"/>
  <c r="AJ472" i="8"/>
  <c r="L267" i="8"/>
  <c r="O68" i="8"/>
  <c r="R79" i="8"/>
  <c r="AN237" i="8"/>
  <c r="G460" i="6"/>
  <c r="Q99" i="8"/>
  <c r="C425" i="6"/>
  <c r="N160" i="8"/>
  <c r="C285" i="6"/>
  <c r="C286" i="6"/>
  <c r="D339" i="6"/>
  <c r="O87" i="8"/>
  <c r="O88" i="8"/>
  <c r="Q68" i="8"/>
  <c r="R63" i="8"/>
  <c r="L86" i="8"/>
  <c r="L61" i="8"/>
  <c r="Q272" i="8"/>
  <c r="P272" i="8"/>
  <c r="O271" i="8"/>
  <c r="Q76" i="8"/>
  <c r="C295" i="6"/>
  <c r="Q88" i="8"/>
  <c r="N91" i="8"/>
  <c r="C309" i="6"/>
  <c r="Q101" i="8"/>
  <c r="Q103" i="8"/>
  <c r="AS229" i="8"/>
  <c r="M233" i="8"/>
  <c r="O129" i="8"/>
  <c r="G506" i="6"/>
  <c r="R295" i="8"/>
  <c r="AA451" i="8"/>
  <c r="AK451" i="8"/>
  <c r="P142" i="8"/>
  <c r="C511" i="6"/>
  <c r="D667" i="6"/>
  <c r="L299" i="8"/>
  <c r="U455" i="8"/>
  <c r="AE455" i="8"/>
  <c r="K143" i="8"/>
  <c r="L143" i="8"/>
  <c r="M143" i="8"/>
  <c r="P143" i="8"/>
  <c r="Q143" i="8"/>
  <c r="P300" i="8"/>
  <c r="Y456" i="8"/>
  <c r="AI456" i="8"/>
  <c r="R300" i="8"/>
  <c r="AA456" i="8"/>
  <c r="AK456" i="8"/>
  <c r="R144" i="8"/>
  <c r="L144" i="8"/>
  <c r="AQ297" i="8"/>
  <c r="N143" i="8"/>
  <c r="AQ245" i="8"/>
  <c r="O144" i="8"/>
  <c r="Q144" i="8"/>
  <c r="K145" i="8"/>
  <c r="L197" i="8"/>
  <c r="M249" i="8"/>
  <c r="M145" i="8"/>
  <c r="AQ246" i="8"/>
  <c r="O145" i="8"/>
  <c r="Q249" i="8"/>
  <c r="Q145" i="8"/>
  <c r="R146" i="8"/>
  <c r="R251" i="8"/>
  <c r="R147" i="8"/>
  <c r="AS257" i="8"/>
  <c r="AT257" i="8"/>
  <c r="K209" i="8"/>
  <c r="N158" i="8"/>
  <c r="P158" i="8"/>
  <c r="AN260" i="8"/>
  <c r="AO260" i="8"/>
  <c r="L159" i="8"/>
  <c r="M211" i="8"/>
  <c r="N159" i="8"/>
  <c r="P263" i="8"/>
  <c r="P159" i="8"/>
  <c r="Q211" i="8"/>
  <c r="O139" i="8"/>
  <c r="M141" i="8"/>
  <c r="K299" i="8"/>
  <c r="T455" i="8"/>
  <c r="AD455" i="8"/>
  <c r="M298" i="8"/>
  <c r="V454" i="8"/>
  <c r="AF454" i="8"/>
  <c r="M195" i="8"/>
  <c r="K197" i="8"/>
  <c r="M197" i="8"/>
  <c r="N144" i="8"/>
  <c r="AT251" i="8"/>
  <c r="M87" i="8"/>
  <c r="M63" i="8"/>
  <c r="K67" i="8"/>
  <c r="K64" i="8"/>
  <c r="P70" i="8"/>
  <c r="R69" i="8"/>
  <c r="O74" i="8"/>
  <c r="L82" i="8"/>
  <c r="P82" i="8"/>
  <c r="R82" i="8"/>
  <c r="O85" i="8"/>
  <c r="L84" i="8"/>
  <c r="H433" i="6"/>
  <c r="AR221" i="8"/>
  <c r="AR222" i="8"/>
  <c r="AR223" i="8"/>
  <c r="C336" i="6"/>
  <c r="AU228" i="8"/>
  <c r="AN228" i="8"/>
  <c r="AP228" i="8"/>
  <c r="AR228" i="8"/>
  <c r="AU229" i="8"/>
  <c r="AR229" i="8"/>
  <c r="AO230" i="8"/>
  <c r="N129" i="8"/>
  <c r="H443" i="6"/>
  <c r="L131" i="8"/>
  <c r="M131" i="8"/>
  <c r="AU233" i="8"/>
  <c r="K235" i="8"/>
  <c r="AQ233" i="8"/>
  <c r="O235" i="8"/>
  <c r="P183" i="8"/>
  <c r="AP234" i="8"/>
  <c r="AR234" i="8"/>
  <c r="P235" i="8"/>
  <c r="R132" i="8"/>
  <c r="L288" i="8"/>
  <c r="U444" i="8"/>
  <c r="AE444" i="8"/>
  <c r="N287" i="8"/>
  <c r="W443" i="8"/>
  <c r="AG443" i="8"/>
  <c r="P288" i="8"/>
  <c r="Y444" i="8"/>
  <c r="AI444" i="8"/>
  <c r="R287" i="8"/>
  <c r="AA443" i="8"/>
  <c r="AK443" i="8"/>
  <c r="AO235" i="8"/>
  <c r="M238" i="8"/>
  <c r="AR235" i="8"/>
  <c r="P186" i="8"/>
  <c r="AT235" i="8"/>
  <c r="R186" i="8"/>
  <c r="K291" i="8"/>
  <c r="T447" i="8"/>
  <c r="AD447" i="8"/>
  <c r="H396" i="6"/>
  <c r="AN236" i="8"/>
  <c r="AR236" i="8"/>
  <c r="L187" i="8"/>
  <c r="M137" i="8"/>
  <c r="R138" i="8"/>
  <c r="AS237" i="8"/>
  <c r="AU237" i="8"/>
  <c r="C504" i="6"/>
  <c r="D660" i="6"/>
  <c r="AR239" i="8"/>
  <c r="AT239" i="8"/>
  <c r="G461" i="6"/>
  <c r="AU249" i="8"/>
  <c r="H462" i="6"/>
  <c r="AQ250" i="8"/>
  <c r="AT303" i="8"/>
  <c r="AN251" i="8"/>
  <c r="AS251" i="8"/>
  <c r="L203" i="8"/>
  <c r="M255" i="8"/>
  <c r="AQ252" i="8"/>
  <c r="L256" i="8"/>
  <c r="L152" i="8"/>
  <c r="M204" i="8"/>
  <c r="AS253" i="8"/>
  <c r="H467" i="6"/>
  <c r="H416" i="6"/>
  <c r="H417" i="6"/>
  <c r="AN257" i="8"/>
  <c r="AS258" i="8"/>
  <c r="G471" i="6"/>
  <c r="AN259" i="8"/>
  <c r="H546" i="6"/>
  <c r="AN334" i="8"/>
  <c r="AP334" i="8"/>
  <c r="AR334" i="8"/>
  <c r="AT334" i="8"/>
  <c r="K334" i="8"/>
  <c r="T490" i="8"/>
  <c r="AD490" i="8"/>
  <c r="P62" i="8"/>
  <c r="P63" i="8"/>
  <c r="R66" i="8"/>
  <c r="O71" i="8"/>
  <c r="K82" i="8"/>
  <c r="K91" i="8"/>
  <c r="O91" i="8"/>
  <c r="Q91" i="8"/>
  <c r="R91" i="8"/>
  <c r="L94" i="8"/>
  <c r="N97" i="8"/>
  <c r="L98" i="8"/>
  <c r="Q110" i="8"/>
  <c r="Q126" i="8"/>
  <c r="O283" i="8"/>
  <c r="R75" i="8"/>
  <c r="P138" i="8"/>
  <c r="K139" i="8"/>
  <c r="O195" i="8"/>
  <c r="L156" i="8"/>
  <c r="M207" i="8"/>
  <c r="R210" i="8"/>
  <c r="C373" i="6"/>
  <c r="K163" i="8"/>
  <c r="K161" i="8"/>
  <c r="L212" i="8"/>
  <c r="R215" i="8"/>
  <c r="R213" i="8"/>
  <c r="R163" i="8"/>
  <c r="M212" i="8"/>
  <c r="N161" i="8"/>
  <c r="O213" i="8"/>
  <c r="O162" i="8"/>
  <c r="O157" i="8"/>
  <c r="Q214" i="8"/>
  <c r="Q162" i="8"/>
  <c r="Q157" i="8"/>
  <c r="P318" i="8"/>
  <c r="Y474" i="8"/>
  <c r="AI474" i="8"/>
  <c r="L334" i="8"/>
  <c r="N334" i="8"/>
  <c r="W490" i="8"/>
  <c r="AG490" i="8"/>
  <c r="P334" i="8"/>
  <c r="Y490" i="8"/>
  <c r="AI490" i="8"/>
  <c r="R334" i="8"/>
  <c r="AA490" i="8"/>
  <c r="AK490" i="8"/>
  <c r="AO334" i="8"/>
  <c r="AQ334" i="8"/>
  <c r="AS334" i="8"/>
  <c r="AU334" i="8"/>
  <c r="M334" i="8"/>
  <c r="V490" i="8"/>
  <c r="AF490" i="8"/>
  <c r="O334" i="8"/>
  <c r="X490" i="8"/>
  <c r="AH490" i="8"/>
  <c r="Q334" i="8"/>
  <c r="Z490" i="8"/>
  <c r="AJ490" i="8"/>
  <c r="C546" i="6"/>
  <c r="D702" i="6"/>
  <c r="G546" i="6"/>
  <c r="C276" i="6"/>
  <c r="C277" i="6"/>
  <c r="N71" i="8"/>
  <c r="N68" i="8"/>
  <c r="M75" i="8"/>
  <c r="M72" i="8"/>
  <c r="K74" i="8"/>
  <c r="K75" i="8"/>
  <c r="C289" i="6"/>
  <c r="C291" i="6"/>
  <c r="L79" i="8"/>
  <c r="L78" i="8"/>
  <c r="N80" i="8"/>
  <c r="N81" i="8"/>
  <c r="P81" i="8"/>
  <c r="P80" i="8"/>
  <c r="N82" i="8"/>
  <c r="N83" i="8"/>
  <c r="K86" i="8"/>
  <c r="K83" i="8"/>
  <c r="K84" i="8"/>
  <c r="M86" i="8"/>
  <c r="M83" i="8"/>
  <c r="M85" i="8"/>
  <c r="M84" i="8"/>
  <c r="Q84" i="8"/>
  <c r="Q86" i="8"/>
  <c r="C300" i="6"/>
  <c r="D353" i="6"/>
  <c r="C301" i="6"/>
  <c r="D354" i="6"/>
  <c r="M92" i="8"/>
  <c r="M91" i="8"/>
  <c r="N94" i="8"/>
  <c r="N95" i="8"/>
  <c r="N92" i="8"/>
  <c r="P92" i="8"/>
  <c r="P94" i="8"/>
  <c r="C306" i="6"/>
  <c r="C307" i="6"/>
  <c r="P96" i="8"/>
  <c r="P97" i="8"/>
  <c r="C314" i="6"/>
  <c r="D367" i="6"/>
  <c r="F367" i="6"/>
  <c r="C315" i="6"/>
  <c r="R105" i="8"/>
  <c r="R106" i="8"/>
  <c r="O128" i="8"/>
  <c r="O125" i="8"/>
  <c r="AT229" i="8"/>
  <c r="Q229" i="8"/>
  <c r="M285" i="8"/>
  <c r="AP282" i="8"/>
  <c r="Q283" i="8"/>
  <c r="Q285" i="8"/>
  <c r="H442" i="6"/>
  <c r="G443" i="6"/>
  <c r="G442" i="6"/>
  <c r="C341" i="6"/>
  <c r="C339" i="6"/>
  <c r="C338" i="6"/>
  <c r="AU230" i="8"/>
  <c r="R178" i="8"/>
  <c r="K230" i="8"/>
  <c r="AN230" i="8"/>
  <c r="M129" i="8"/>
  <c r="M126" i="8"/>
  <c r="AQ230" i="8"/>
  <c r="N178" i="8"/>
  <c r="N74" i="8"/>
  <c r="N76" i="8"/>
  <c r="O233" i="8"/>
  <c r="O230" i="8"/>
  <c r="AS230" i="8"/>
  <c r="P181" i="8"/>
  <c r="P132" i="8"/>
  <c r="P131" i="8"/>
  <c r="G499" i="6"/>
  <c r="C501" i="6"/>
  <c r="D657" i="6"/>
  <c r="C500" i="6"/>
  <c r="D656" i="6"/>
  <c r="H498" i="6"/>
  <c r="G501" i="6"/>
  <c r="G500" i="6"/>
  <c r="H500" i="6"/>
  <c r="R243" i="8"/>
  <c r="AU240" i="8"/>
  <c r="R240" i="8"/>
  <c r="R241" i="8"/>
  <c r="AN293" i="8"/>
  <c r="K296" i="8"/>
  <c r="AS293" i="8"/>
  <c r="P296" i="8"/>
  <c r="Y452" i="8"/>
  <c r="AI452" i="8"/>
  <c r="P294" i="8"/>
  <c r="Y450" i="8"/>
  <c r="AI450" i="8"/>
  <c r="P295" i="8"/>
  <c r="AP294" i="8"/>
  <c r="M294" i="8"/>
  <c r="V450" i="8"/>
  <c r="AF450" i="8"/>
  <c r="O296" i="8"/>
  <c r="O297" i="8"/>
  <c r="X453" i="8"/>
  <c r="AH453" i="8"/>
  <c r="O295" i="8"/>
  <c r="H454" i="6"/>
  <c r="H402" i="6"/>
  <c r="G402" i="6"/>
  <c r="C404" i="6"/>
  <c r="AU242" i="8"/>
  <c r="R193" i="8"/>
  <c r="R190" i="8"/>
  <c r="R192" i="8"/>
  <c r="AN242" i="8"/>
  <c r="K190" i="8"/>
  <c r="AO242" i="8"/>
  <c r="L192" i="8"/>
  <c r="L191" i="8"/>
  <c r="M190" i="8"/>
  <c r="M191" i="8"/>
  <c r="AR241" i="8"/>
  <c r="O191" i="8"/>
  <c r="Q139" i="8"/>
  <c r="Q138" i="8"/>
  <c r="AO295" i="8"/>
  <c r="L295" i="8"/>
  <c r="L297" i="8"/>
  <c r="U453" i="8"/>
  <c r="AE453" i="8"/>
  <c r="N298" i="8"/>
  <c r="W454" i="8"/>
  <c r="AG454" i="8"/>
  <c r="N297" i="8"/>
  <c r="P298" i="8"/>
  <c r="AS295" i="8"/>
  <c r="R298" i="8"/>
  <c r="AA454" i="8"/>
  <c r="AK454" i="8"/>
  <c r="R297" i="8"/>
  <c r="R140" i="8"/>
  <c r="R139" i="8"/>
  <c r="R142" i="8"/>
  <c r="R141" i="8"/>
  <c r="L141" i="8"/>
  <c r="L142" i="8"/>
  <c r="G404" i="6"/>
  <c r="G403" i="6"/>
  <c r="H403" i="6"/>
  <c r="C406" i="6"/>
  <c r="P299" i="8"/>
  <c r="Y455" i="8"/>
  <c r="AI455" i="8"/>
  <c r="AS296" i="8"/>
  <c r="AU296" i="8"/>
  <c r="R299" i="8"/>
  <c r="AA455" i="8"/>
  <c r="AK455" i="8"/>
  <c r="H404" i="6"/>
  <c r="G406" i="6"/>
  <c r="G405" i="6"/>
  <c r="H405" i="6"/>
  <c r="C408" i="6"/>
  <c r="C407" i="6"/>
  <c r="AU245" i="8"/>
  <c r="R247" i="8"/>
  <c r="AA403" i="8"/>
  <c r="AK403" i="8"/>
  <c r="K196" i="8"/>
  <c r="AN245" i="8"/>
  <c r="K195" i="8"/>
  <c r="L245" i="8"/>
  <c r="U401" i="8"/>
  <c r="AE401" i="8"/>
  <c r="AO245" i="8"/>
  <c r="N191" i="8"/>
  <c r="N192" i="8"/>
  <c r="N194" i="8"/>
  <c r="AR297" i="8"/>
  <c r="O245" i="8"/>
  <c r="AS245" i="8"/>
  <c r="P194" i="8"/>
  <c r="Q246" i="8"/>
  <c r="Q248" i="8"/>
  <c r="L301" i="8"/>
  <c r="U457" i="8"/>
  <c r="AE457" i="8"/>
  <c r="L300" i="8"/>
  <c r="U456" i="8"/>
  <c r="AE456" i="8"/>
  <c r="AP298" i="8"/>
  <c r="M301" i="8"/>
  <c r="V457" i="8"/>
  <c r="AF457" i="8"/>
  <c r="O299" i="8"/>
  <c r="X455" i="8"/>
  <c r="AH455" i="8"/>
  <c r="AR298" i="8"/>
  <c r="Q298" i="8"/>
  <c r="Z454" i="8"/>
  <c r="AJ454" i="8"/>
  <c r="AT298" i="8"/>
  <c r="G458" i="6"/>
  <c r="C458" i="6"/>
  <c r="C459" i="6"/>
  <c r="C357" i="6"/>
  <c r="AU246" i="8"/>
  <c r="R195" i="8"/>
  <c r="R197" i="8"/>
  <c r="R196" i="8"/>
  <c r="AN298" i="8"/>
  <c r="K247" i="8"/>
  <c r="AR246" i="8"/>
  <c r="O249" i="8"/>
  <c r="P302" i="8"/>
  <c r="Y458" i="8"/>
  <c r="AI458" i="8"/>
  <c r="P301" i="8"/>
  <c r="Y457" i="8"/>
  <c r="AI457" i="8"/>
  <c r="G407" i="6"/>
  <c r="C409" i="6"/>
  <c r="R249" i="8"/>
  <c r="R250" i="8"/>
  <c r="AO247" i="8"/>
  <c r="L249" i="8"/>
  <c r="N248" i="8"/>
  <c r="N249" i="8"/>
  <c r="P247" i="8"/>
  <c r="Y403" i="8"/>
  <c r="AI403" i="8"/>
  <c r="P250" i="8"/>
  <c r="AT247" i="8"/>
  <c r="Q197" i="8"/>
  <c r="Q195" i="8"/>
  <c r="H512" i="6"/>
  <c r="C515" i="6"/>
  <c r="D671" i="6"/>
  <c r="AU300" i="8"/>
  <c r="R303" i="8"/>
  <c r="AA459" i="8"/>
  <c r="AK459" i="8"/>
  <c r="G408" i="6"/>
  <c r="C411" i="6"/>
  <c r="L259" i="8"/>
  <c r="L262" i="8"/>
  <c r="N259" i="8"/>
  <c r="N262" i="8"/>
  <c r="O209" i="8"/>
  <c r="O207" i="8"/>
  <c r="P259" i="8"/>
  <c r="P262" i="8"/>
  <c r="Q207" i="8"/>
  <c r="Q208" i="8"/>
  <c r="C524" i="6"/>
  <c r="D680" i="6"/>
  <c r="C526" i="6"/>
  <c r="D682" i="6"/>
  <c r="C527" i="6"/>
  <c r="D683" i="6"/>
  <c r="G524" i="6"/>
  <c r="AQ312" i="8"/>
  <c r="N312" i="8"/>
  <c r="W468" i="8"/>
  <c r="AG468" i="8"/>
  <c r="N314" i="8"/>
  <c r="W470" i="8"/>
  <c r="AG470" i="8"/>
  <c r="AU312" i="8"/>
  <c r="R313" i="8"/>
  <c r="AA469" i="8"/>
  <c r="AK469" i="8"/>
  <c r="R314" i="8"/>
  <c r="AA470" i="8"/>
  <c r="AK470" i="8"/>
  <c r="G420" i="6"/>
  <c r="C422" i="6"/>
  <c r="K156" i="8"/>
  <c r="K158" i="8"/>
  <c r="K157" i="8"/>
  <c r="O211" i="8"/>
  <c r="AR260" i="8"/>
  <c r="C528" i="6"/>
  <c r="D684" i="6"/>
  <c r="G526" i="6"/>
  <c r="G528" i="6"/>
  <c r="C530" i="6"/>
  <c r="D686" i="6"/>
  <c r="G527" i="6"/>
  <c r="K316" i="8"/>
  <c r="K317" i="8"/>
  <c r="K314" i="8"/>
  <c r="T470" i="8"/>
  <c r="K315" i="8"/>
  <c r="T471" i="8"/>
  <c r="AO315" i="8"/>
  <c r="L317" i="8"/>
  <c r="U473" i="8"/>
  <c r="AE473" i="8"/>
  <c r="L318" i="8"/>
  <c r="AP314" i="8"/>
  <c r="M315" i="8"/>
  <c r="V471" i="8"/>
  <c r="AF471" i="8"/>
  <c r="AR315" i="8"/>
  <c r="O317" i="8"/>
  <c r="X473" i="8"/>
  <c r="AH473" i="8"/>
  <c r="O318" i="8"/>
  <c r="X474" i="8"/>
  <c r="AH474" i="8"/>
  <c r="AR313" i="8"/>
  <c r="O316" i="8"/>
  <c r="X472" i="8"/>
  <c r="AH472" i="8"/>
  <c r="O313" i="8"/>
  <c r="X469" i="8"/>
  <c r="AH469" i="8"/>
  <c r="O314" i="8"/>
  <c r="X470" i="8"/>
  <c r="AH470" i="8"/>
  <c r="AS314" i="8"/>
  <c r="P316" i="8"/>
  <c r="Y472" i="8"/>
  <c r="AI472" i="8"/>
  <c r="P317" i="8"/>
  <c r="Y473" i="8"/>
  <c r="AI473" i="8"/>
  <c r="C477" i="6"/>
  <c r="C478" i="6"/>
  <c r="H473" i="6"/>
  <c r="C474" i="6"/>
  <c r="H525" i="6"/>
  <c r="G424" i="6"/>
  <c r="G423" i="6"/>
  <c r="H423" i="6"/>
  <c r="G422" i="6"/>
  <c r="G421" i="6"/>
  <c r="C424" i="6"/>
  <c r="C371" i="6"/>
  <c r="C369" i="6"/>
  <c r="AO261" i="8"/>
  <c r="L264" i="8"/>
  <c r="L214" i="8"/>
  <c r="L213" i="8"/>
  <c r="L161" i="8"/>
  <c r="L162" i="8"/>
  <c r="AU262" i="8"/>
  <c r="R264" i="8"/>
  <c r="R160" i="8"/>
  <c r="R158" i="8"/>
  <c r="G477" i="6"/>
  <c r="C479" i="6"/>
  <c r="K266" i="8"/>
  <c r="AU264" i="8"/>
  <c r="R266" i="8"/>
  <c r="M265" i="8"/>
  <c r="M266" i="8"/>
  <c r="M161" i="8"/>
  <c r="M162" i="8"/>
  <c r="M160" i="8"/>
  <c r="M157" i="8"/>
  <c r="AQ262" i="8"/>
  <c r="N265" i="8"/>
  <c r="AQ264" i="8"/>
  <c r="N214" i="8"/>
  <c r="AR261" i="8"/>
  <c r="O261" i="8"/>
  <c r="P265" i="8"/>
  <c r="P264" i="8"/>
  <c r="AS264" i="8"/>
  <c r="P214" i="8"/>
  <c r="P162" i="8"/>
  <c r="P163" i="8"/>
  <c r="P160" i="8"/>
  <c r="P161" i="8"/>
  <c r="AT263" i="8"/>
  <c r="Q265" i="8"/>
  <c r="Q266" i="8"/>
  <c r="AT261" i="8"/>
  <c r="Q264" i="8"/>
  <c r="AP316" i="8"/>
  <c r="M319" i="8"/>
  <c r="V475" i="8"/>
  <c r="AF475" i="8"/>
  <c r="AQ316" i="8"/>
  <c r="N319" i="8"/>
  <c r="W475" i="8"/>
  <c r="AG475" i="8"/>
  <c r="AT316" i="8"/>
  <c r="Q319" i="8"/>
  <c r="Z475" i="8"/>
  <c r="AJ475" i="8"/>
  <c r="K88" i="8"/>
  <c r="K87" i="8"/>
  <c r="Q90" i="8"/>
  <c r="Q89" i="8"/>
  <c r="R78" i="8"/>
  <c r="N79" i="8"/>
  <c r="N140" i="8"/>
  <c r="L316" i="8"/>
  <c r="U472" i="8"/>
  <c r="AE472" i="8"/>
  <c r="M264" i="8"/>
  <c r="N212" i="8"/>
  <c r="O212" i="8"/>
  <c r="P212" i="8"/>
  <c r="Q212" i="8"/>
  <c r="N157" i="8"/>
  <c r="L250" i="8"/>
  <c r="M300" i="8"/>
  <c r="V456" i="8"/>
  <c r="AF456" i="8"/>
  <c r="Q141" i="8"/>
  <c r="P140" i="8"/>
  <c r="N180" i="8"/>
  <c r="O284" i="8"/>
  <c r="AN297" i="8"/>
  <c r="AP313" i="8"/>
  <c r="O248" i="8"/>
  <c r="AQ259" i="8"/>
  <c r="AP247" i="8"/>
  <c r="C340" i="6"/>
  <c r="O92" i="8"/>
  <c r="N75" i="8"/>
  <c r="C274" i="6"/>
  <c r="D327" i="6"/>
  <c r="R246" i="8"/>
  <c r="R180" i="8"/>
  <c r="H475" i="6"/>
  <c r="G508" i="6"/>
  <c r="C505" i="6"/>
  <c r="H460" i="6"/>
  <c r="G474" i="6"/>
  <c r="H472" i="6"/>
  <c r="AO259" i="8"/>
  <c r="N69" i="8"/>
  <c r="C275" i="6"/>
  <c r="L266" i="8"/>
  <c r="AR259" i="8"/>
  <c r="G505" i="6"/>
  <c r="H505" i="6"/>
  <c r="G473" i="6"/>
  <c r="C288" i="6"/>
  <c r="O72" i="8"/>
  <c r="K68" i="8"/>
  <c r="P196" i="8"/>
  <c r="AO297" i="8"/>
  <c r="C498" i="6"/>
  <c r="D654" i="6"/>
  <c r="N181" i="8"/>
  <c r="N179" i="8"/>
  <c r="L83" i="8"/>
  <c r="O75" i="8"/>
  <c r="AU293" i="8"/>
  <c r="N193" i="8"/>
  <c r="R211" i="8"/>
  <c r="K263" i="8"/>
  <c r="Q262" i="8"/>
  <c r="M158" i="8"/>
  <c r="Q314" i="8"/>
  <c r="Z470" i="8"/>
  <c r="AJ470" i="8"/>
  <c r="K260" i="8"/>
  <c r="T416" i="8"/>
  <c r="AD416" i="8"/>
  <c r="K198" i="8"/>
  <c r="N77" i="8"/>
  <c r="Q159" i="8"/>
  <c r="P211" i="8"/>
  <c r="O263" i="8"/>
  <c r="M159" i="8"/>
  <c r="L211" i="8"/>
  <c r="R263" i="8"/>
  <c r="AA419" i="8"/>
  <c r="AK419" i="8"/>
  <c r="O315" i="8"/>
  <c r="X471" i="8"/>
  <c r="AH471" i="8"/>
  <c r="L158" i="8"/>
  <c r="R209" i="8"/>
  <c r="N156" i="8"/>
  <c r="R312" i="8"/>
  <c r="AA468" i="8"/>
  <c r="AK468" i="8"/>
  <c r="Q198" i="8"/>
  <c r="P248" i="8"/>
  <c r="N141" i="8"/>
  <c r="K141" i="8"/>
  <c r="O90" i="8"/>
  <c r="N195" i="8"/>
  <c r="K295" i="8"/>
  <c r="T451" i="8"/>
  <c r="AD451" i="8"/>
  <c r="C502" i="6"/>
  <c r="D658" i="6"/>
  <c r="H526" i="6"/>
  <c r="L314" i="8"/>
  <c r="U470" i="8"/>
  <c r="AE470" i="8"/>
  <c r="M208" i="8"/>
  <c r="C410" i="6"/>
  <c r="M248" i="8"/>
  <c r="C355" i="6"/>
  <c r="K194" i="8"/>
  <c r="C509" i="6"/>
  <c r="D665" i="6"/>
  <c r="K262" i="8"/>
  <c r="AS300" i="8"/>
  <c r="M142" i="8"/>
  <c r="N295" i="8"/>
  <c r="W451" i="8"/>
  <c r="AG451" i="8"/>
  <c r="P93" i="8"/>
  <c r="R70" i="8"/>
  <c r="N250" i="8"/>
  <c r="O301" i="8"/>
  <c r="X457" i="8"/>
  <c r="AH457" i="8"/>
  <c r="K248" i="8"/>
  <c r="R294" i="8"/>
  <c r="AA450" i="8"/>
  <c r="AK450" i="8"/>
  <c r="AO298" i="8"/>
  <c r="P195" i="8"/>
  <c r="O141" i="8"/>
  <c r="L140" i="8"/>
  <c r="C443" i="6"/>
  <c r="C423" i="6"/>
  <c r="R77" i="8"/>
  <c r="H524" i="6"/>
  <c r="M314" i="8"/>
  <c r="V470" i="8"/>
  <c r="AF470" i="8"/>
  <c r="O294" i="8"/>
  <c r="X450" i="8"/>
  <c r="AH450" i="8"/>
  <c r="N87" i="8"/>
  <c r="G509" i="6"/>
  <c r="G512" i="6"/>
  <c r="K294" i="8"/>
  <c r="T450" i="8"/>
  <c r="AD450" i="8"/>
  <c r="R74" i="8"/>
  <c r="Q261" i="8"/>
  <c r="Z417" i="8"/>
  <c r="AJ417" i="8"/>
  <c r="M261" i="8"/>
  <c r="N155" i="8"/>
  <c r="C529" i="6"/>
  <c r="D685" i="6"/>
  <c r="P315" i="8"/>
  <c r="Y471" i="8"/>
  <c r="AI471" i="8"/>
  <c r="L315" i="8"/>
  <c r="U471" i="8"/>
  <c r="AE471" i="8"/>
  <c r="AS311" i="8"/>
  <c r="AO311" i="8"/>
  <c r="P213" i="8"/>
  <c r="P261" i="8"/>
  <c r="N261" i="8"/>
  <c r="L261" i="8"/>
  <c r="C525" i="6"/>
  <c r="P260" i="8"/>
  <c r="N260" i="8"/>
  <c r="L260" i="8"/>
  <c r="L248" i="8"/>
  <c r="M299" i="8"/>
  <c r="V455" i="8"/>
  <c r="AF455" i="8"/>
  <c r="P193" i="8"/>
  <c r="AO296" i="8"/>
  <c r="O189" i="8"/>
  <c r="Q232" i="8"/>
  <c r="R92" i="8"/>
  <c r="R83" i="8"/>
  <c r="O83" i="8"/>
  <c r="AU299" i="8"/>
  <c r="AT297" i="8"/>
  <c r="L296" i="8"/>
  <c r="M295" i="8"/>
  <c r="AT282" i="8"/>
  <c r="C460" i="6"/>
  <c r="O246" i="8"/>
  <c r="P68" i="8"/>
  <c r="O126" i="8"/>
  <c r="M230" i="8"/>
  <c r="N213" i="8"/>
  <c r="Q79" i="8"/>
  <c r="K90" i="8"/>
  <c r="K265" i="8"/>
  <c r="Q213" i="8"/>
  <c r="O86" i="8"/>
  <c r="O80" i="8"/>
  <c r="L80" i="8"/>
  <c r="P215" i="8"/>
  <c r="K267" i="8"/>
  <c r="N99" i="8"/>
  <c r="M90" i="8"/>
  <c r="N84" i="8"/>
  <c r="P69" i="8"/>
  <c r="K73" i="8"/>
  <c r="P319" i="8"/>
  <c r="Y475" i="8"/>
  <c r="AI475" i="8"/>
  <c r="C461" i="6"/>
  <c r="D617" i="6"/>
  <c r="AQ300" i="8"/>
  <c r="Q85" i="8"/>
  <c r="Q318" i="8"/>
  <c r="Z474" i="8"/>
  <c r="AJ474" i="8"/>
  <c r="N318" i="8"/>
  <c r="W474" i="8"/>
  <c r="AG474" i="8"/>
  <c r="L87" i="8"/>
  <c r="O266" i="8"/>
  <c r="O161" i="8"/>
  <c r="N86" i="8"/>
  <c r="P85" i="8"/>
  <c r="N264" i="8"/>
  <c r="C476" i="6"/>
  <c r="H528" i="6"/>
  <c r="L265" i="8"/>
  <c r="L95" i="8"/>
  <c r="O84" i="8"/>
  <c r="L92" i="8"/>
  <c r="K85" i="8"/>
  <c r="C372" i="6"/>
  <c r="C370" i="6"/>
  <c r="R301" i="8"/>
  <c r="AA457" i="8"/>
  <c r="AK457" i="8"/>
  <c r="L247" i="8"/>
  <c r="K298" i="8"/>
  <c r="T454" i="8"/>
  <c r="AD454" i="8"/>
  <c r="P141" i="8"/>
  <c r="AU295" i="8"/>
  <c r="R191" i="8"/>
  <c r="L139" i="8"/>
  <c r="L190" i="8"/>
  <c r="AR294" i="8"/>
  <c r="C445" i="6"/>
  <c r="K285" i="8"/>
  <c r="N317" i="8"/>
  <c r="W473" i="8"/>
  <c r="AG473" i="8"/>
  <c r="M317" i="8"/>
  <c r="V473" i="8"/>
  <c r="AF473" i="8"/>
  <c r="N316" i="8"/>
  <c r="W472" i="8"/>
  <c r="AG472" i="8"/>
  <c r="M316" i="8"/>
  <c r="V472" i="8"/>
  <c r="AF472" i="8"/>
  <c r="M140" i="8"/>
  <c r="C402" i="6"/>
  <c r="G498" i="6"/>
  <c r="AU316" i="8"/>
  <c r="H406" i="6"/>
  <c r="H407" i="6"/>
  <c r="H408" i="6"/>
  <c r="H420" i="6"/>
  <c r="H421" i="6"/>
  <c r="R84" i="8"/>
  <c r="G459" i="6"/>
  <c r="M89" i="8"/>
  <c r="H458" i="6"/>
  <c r="H425" i="6"/>
  <c r="G425" i="6"/>
  <c r="AS226" i="8"/>
  <c r="P177" i="8"/>
  <c r="AT231" i="8"/>
  <c r="Q182" i="8"/>
  <c r="H444" i="6"/>
  <c r="AM232" i="8"/>
  <c r="G444" i="6"/>
  <c r="AO233" i="8"/>
  <c r="L183" i="8"/>
  <c r="AT233" i="8"/>
  <c r="Q234" i="8"/>
  <c r="Q235" i="8"/>
  <c r="G447" i="6"/>
  <c r="H446" i="6"/>
  <c r="G446" i="6"/>
  <c r="AN234" i="8"/>
  <c r="K183" i="8"/>
  <c r="C396" i="6"/>
  <c r="C451" i="6"/>
  <c r="H448" i="6"/>
  <c r="L239" i="8"/>
  <c r="AO236" i="8"/>
  <c r="AO288" i="8"/>
  <c r="Q239" i="8"/>
  <c r="AT236" i="8"/>
  <c r="C400" i="6"/>
  <c r="G397" i="6"/>
  <c r="H398" i="6"/>
  <c r="C349" i="6"/>
  <c r="H400" i="6"/>
  <c r="AN241" i="8"/>
  <c r="K191" i="8"/>
  <c r="C452" i="6"/>
  <c r="H449" i="6"/>
  <c r="AP239" i="8"/>
  <c r="M242" i="8"/>
  <c r="G410" i="6"/>
  <c r="G409" i="6"/>
  <c r="R204" i="8"/>
  <c r="AU253" i="8"/>
  <c r="C471" i="6"/>
  <c r="G468" i="6"/>
  <c r="H470" i="6"/>
  <c r="G419" i="6"/>
  <c r="G418" i="6"/>
  <c r="C287" i="6"/>
  <c r="O78" i="8"/>
  <c r="Q78" i="8"/>
  <c r="L93" i="8"/>
  <c r="G432" i="6"/>
  <c r="C442" i="6"/>
  <c r="P129" i="8"/>
  <c r="G445" i="6"/>
  <c r="O138" i="8"/>
  <c r="AO237" i="8"/>
  <c r="AQ237" i="8"/>
  <c r="R242" i="8"/>
  <c r="P297" i="8"/>
  <c r="Y453" i="8"/>
  <c r="AI453" i="8"/>
  <c r="K144" i="8"/>
  <c r="G469" i="6"/>
  <c r="R208" i="8"/>
  <c r="P156" i="8"/>
  <c r="N313" i="8"/>
  <c r="W469" i="8"/>
  <c r="AG469" i="8"/>
  <c r="P313" i="8"/>
  <c r="Y469" i="8"/>
  <c r="AI469" i="8"/>
  <c r="M209" i="8"/>
  <c r="M62" i="8"/>
  <c r="K65" i="8"/>
  <c r="N65" i="8"/>
  <c r="O66" i="8"/>
  <c r="Q72" i="8"/>
  <c r="Q73" i="8"/>
  <c r="M74" i="8"/>
  <c r="Q74" i="8"/>
  <c r="R76" i="8"/>
  <c r="O81" i="8"/>
  <c r="O116" i="8"/>
  <c r="M273" i="8"/>
  <c r="Q117" i="8"/>
  <c r="M172" i="8"/>
  <c r="H538" i="6"/>
  <c r="H542" i="6"/>
  <c r="O231" i="8"/>
  <c r="P179" i="8"/>
  <c r="Q127" i="8"/>
  <c r="M284" i="8"/>
  <c r="K232" i="8"/>
  <c r="M232" i="8"/>
  <c r="M128" i="8"/>
  <c r="O232" i="8"/>
  <c r="R129" i="8"/>
  <c r="K181" i="8"/>
  <c r="AT230" i="8"/>
  <c r="L130" i="8"/>
  <c r="H496" i="6"/>
  <c r="L234" i="8"/>
  <c r="N236" i="8"/>
  <c r="O184" i="8"/>
  <c r="C397" i="6"/>
  <c r="M133" i="8"/>
  <c r="N185" i="8"/>
  <c r="P185" i="8"/>
  <c r="M186" i="8"/>
  <c r="L195" i="8"/>
  <c r="K246" i="8"/>
  <c r="L196" i="8"/>
  <c r="L145" i="8"/>
  <c r="N149" i="8"/>
  <c r="P201" i="8"/>
  <c r="N153" i="8"/>
  <c r="O205" i="8"/>
  <c r="P153" i="8"/>
  <c r="R154" i="8"/>
  <c r="L311" i="8"/>
  <c r="U467" i="8"/>
  <c r="AE467" i="8"/>
  <c r="C419" i="6"/>
  <c r="N210" i="8"/>
  <c r="O158" i="8"/>
  <c r="AP315" i="8"/>
  <c r="C531" i="6"/>
  <c r="D687" i="6"/>
  <c r="AP224" i="8"/>
  <c r="K283" i="8"/>
  <c r="K331" i="8"/>
  <c r="T487" i="8"/>
  <c r="AD487" i="8"/>
  <c r="K333" i="8"/>
  <c r="T489" i="8"/>
  <c r="AD489" i="8"/>
  <c r="K282" i="8"/>
  <c r="K284" i="8"/>
  <c r="K332" i="8"/>
  <c r="T488" i="8"/>
  <c r="AD488" i="8"/>
  <c r="H545" i="6"/>
  <c r="AQ217" i="8"/>
  <c r="AP333" i="8"/>
  <c r="AR333" i="8"/>
  <c r="AT333" i="8"/>
  <c r="C545" i="6"/>
  <c r="D701" i="6"/>
  <c r="G545" i="6"/>
  <c r="L333" i="8"/>
  <c r="U489" i="8"/>
  <c r="AE489" i="8"/>
  <c r="N333" i="8"/>
  <c r="W489" i="8"/>
  <c r="AG489" i="8"/>
  <c r="P333" i="8"/>
  <c r="R333" i="8"/>
  <c r="AA489" i="8"/>
  <c r="AK489" i="8"/>
  <c r="AO333" i="8"/>
  <c r="AQ333" i="8"/>
  <c r="AS333" i="8"/>
  <c r="AU333" i="8"/>
  <c r="M333" i="8"/>
  <c r="V489" i="8"/>
  <c r="AF489" i="8"/>
  <c r="O333" i="8"/>
  <c r="Q333" i="8"/>
  <c r="Z489" i="8"/>
  <c r="AJ489" i="8"/>
  <c r="K79" i="8"/>
  <c r="R80" i="8"/>
  <c r="AU214" i="8"/>
  <c r="AU217" i="8"/>
  <c r="AS234" i="8"/>
  <c r="AS287" i="8"/>
  <c r="M134" i="8"/>
  <c r="H510" i="6"/>
  <c r="AO246" i="8"/>
  <c r="H459" i="6"/>
  <c r="AN247" i="8"/>
  <c r="AP300" i="8"/>
  <c r="AT300" i="8"/>
  <c r="K148" i="8"/>
  <c r="AQ249" i="8"/>
  <c r="AS249" i="8"/>
  <c r="AS303" i="8"/>
  <c r="AS255" i="8"/>
  <c r="AU256" i="8"/>
  <c r="R260" i="8"/>
  <c r="Q260" i="8"/>
  <c r="AT310" i="8"/>
  <c r="AT246" i="8"/>
  <c r="AP248" i="8"/>
  <c r="AO251" i="8"/>
  <c r="AS247" i="8"/>
  <c r="AR248" i="8"/>
  <c r="AO249" i="8"/>
  <c r="AN255" i="8"/>
  <c r="R293" i="8"/>
  <c r="AA449" i="8"/>
  <c r="AK449" i="8"/>
  <c r="AS252" i="8"/>
  <c r="AP332" i="8"/>
  <c r="AR332" i="8"/>
  <c r="AT332" i="8"/>
  <c r="L332" i="8"/>
  <c r="U488" i="8"/>
  <c r="AE488" i="8"/>
  <c r="N332" i="8"/>
  <c r="W488" i="8"/>
  <c r="AG488" i="8"/>
  <c r="P332" i="8"/>
  <c r="Y488" i="8"/>
  <c r="AI488" i="8"/>
  <c r="R332" i="8"/>
  <c r="AA488" i="8"/>
  <c r="AK488" i="8"/>
  <c r="AO332" i="8"/>
  <c r="AQ332" i="8"/>
  <c r="AS332" i="8"/>
  <c r="AU332" i="8"/>
  <c r="M332" i="8"/>
  <c r="V488" i="8"/>
  <c r="AF488" i="8"/>
  <c r="O332" i="8"/>
  <c r="X488" i="8"/>
  <c r="AH488" i="8"/>
  <c r="Q332" i="8"/>
  <c r="Z488" i="8"/>
  <c r="AJ488" i="8"/>
  <c r="L64" i="8"/>
  <c r="N63" i="8"/>
  <c r="L65" i="8"/>
  <c r="L66" i="8"/>
  <c r="P67" i="8"/>
  <c r="R73" i="8"/>
  <c r="C298" i="6"/>
  <c r="AT214" i="8"/>
  <c r="R126" i="8"/>
  <c r="Q282" i="8"/>
  <c r="K231" i="8"/>
  <c r="M127" i="8"/>
  <c r="AS281" i="8"/>
  <c r="AU281" i="8"/>
  <c r="P180" i="8"/>
  <c r="N286" i="8"/>
  <c r="W442" i="8"/>
  <c r="AG442" i="8"/>
  <c r="AN233" i="8"/>
  <c r="AN286" i="8"/>
  <c r="K134" i="8"/>
  <c r="L186" i="8"/>
  <c r="N134" i="8"/>
  <c r="N135" i="8"/>
  <c r="O188" i="8"/>
  <c r="Q293" i="8"/>
  <c r="Z449" i="8"/>
  <c r="AJ449" i="8"/>
  <c r="O192" i="8"/>
  <c r="AN246" i="8"/>
  <c r="AP249" i="8"/>
  <c r="K258" i="8"/>
  <c r="Q156" i="8"/>
  <c r="H544" i="6"/>
  <c r="G544" i="6"/>
  <c r="M64" i="8"/>
  <c r="N66" i="8"/>
  <c r="P66" i="8"/>
  <c r="R68" i="8"/>
  <c r="P71" i="8"/>
  <c r="P72" i="8"/>
  <c r="L75" i="8"/>
  <c r="L76" i="8"/>
  <c r="Q81" i="8"/>
  <c r="R87" i="8"/>
  <c r="P107" i="8"/>
  <c r="AR214" i="8"/>
  <c r="N166" i="8"/>
  <c r="AP216" i="8"/>
  <c r="P117" i="8"/>
  <c r="AO228" i="8"/>
  <c r="O127" i="8"/>
  <c r="AO281" i="8"/>
  <c r="K128" i="8"/>
  <c r="AQ229" i="8"/>
  <c r="Q183" i="8"/>
  <c r="C503" i="6"/>
  <c r="D659" i="6"/>
  <c r="K238" i="8"/>
  <c r="N186" i="8"/>
  <c r="AU235" i="8"/>
  <c r="AT288" i="8"/>
  <c r="O187" i="8"/>
  <c r="R239" i="8"/>
  <c r="N190" i="8"/>
  <c r="C352" i="6"/>
  <c r="M144" i="8"/>
  <c r="AP246" i="8"/>
  <c r="AS246" i="8"/>
  <c r="AO299" i="8"/>
  <c r="AU247" i="8"/>
  <c r="AR300" i="8"/>
  <c r="AN248" i="8"/>
  <c r="H461" i="6"/>
  <c r="AU250" i="8"/>
  <c r="AR303" i="8"/>
  <c r="H463" i="6"/>
  <c r="AO254" i="8"/>
  <c r="AQ255" i="8"/>
  <c r="AT255" i="8"/>
  <c r="AT256" i="8"/>
  <c r="Q209" i="8"/>
  <c r="AN313" i="8"/>
  <c r="AS262" i="8"/>
  <c r="R238" i="8"/>
  <c r="C464" i="6"/>
  <c r="Q259" i="8"/>
  <c r="D403" i="6"/>
  <c r="D522" i="6"/>
  <c r="F522" i="6"/>
  <c r="AA390" i="8"/>
  <c r="AK390" i="8"/>
  <c r="Z252" i="8"/>
  <c r="AJ252" i="8"/>
  <c r="V310" i="8"/>
  <c r="AF310" i="8"/>
  <c r="X408" i="8"/>
  <c r="AH408" i="8"/>
  <c r="Z296" i="8"/>
  <c r="AJ296" i="8"/>
  <c r="AM323" i="8"/>
  <c r="T270" i="8"/>
  <c r="AM258" i="8"/>
  <c r="D385" i="6"/>
  <c r="F385" i="6"/>
  <c r="T420" i="8"/>
  <c r="AD420" i="8"/>
  <c r="AA307" i="8"/>
  <c r="AK307" i="8"/>
  <c r="X354" i="8"/>
  <c r="AH354" i="8"/>
  <c r="X414" i="8"/>
  <c r="AH414" i="8"/>
  <c r="Y427" i="8"/>
  <c r="AI427" i="8"/>
  <c r="V304" i="8"/>
  <c r="AF304" i="8"/>
  <c r="AM299" i="8"/>
  <c r="X254" i="8"/>
  <c r="AH254" i="8"/>
  <c r="AM282" i="8"/>
  <c r="Z432" i="8"/>
  <c r="AJ432" i="8"/>
  <c r="W434" i="8"/>
  <c r="AG434" i="8"/>
  <c r="Y441" i="8"/>
  <c r="AI441" i="8"/>
  <c r="W427" i="8"/>
  <c r="AG427" i="8"/>
  <c r="Y362" i="8"/>
  <c r="AI362" i="8"/>
  <c r="T221" i="8"/>
  <c r="D638" i="6"/>
  <c r="W252" i="8"/>
  <c r="AG252" i="8"/>
  <c r="AM291" i="8"/>
  <c r="D520" i="6"/>
  <c r="I520" i="6"/>
  <c r="D481" i="6"/>
  <c r="F481" i="6"/>
  <c r="W310" i="8"/>
  <c r="AG310" i="8"/>
  <c r="Z361" i="8"/>
  <c r="AJ361" i="8"/>
  <c r="T267" i="8"/>
  <c r="U412" i="8"/>
  <c r="AE412" i="8"/>
  <c r="X441" i="8"/>
  <c r="AH441" i="8"/>
  <c r="AM309" i="8"/>
  <c r="T308" i="8"/>
  <c r="AD308" i="8"/>
  <c r="D519" i="6"/>
  <c r="I519" i="6"/>
  <c r="AA240" i="8"/>
  <c r="AK240" i="8"/>
  <c r="D590" i="6"/>
  <c r="F590" i="6"/>
  <c r="Y286" i="8"/>
  <c r="AI286" i="8"/>
  <c r="AA252" i="8"/>
  <c r="AK252" i="8"/>
  <c r="Z332" i="8"/>
  <c r="AJ332" i="8"/>
  <c r="V258" i="8"/>
  <c r="AF258" i="8"/>
  <c r="AM308" i="8"/>
  <c r="AA309" i="8"/>
  <c r="AK309" i="8"/>
  <c r="Y274" i="8"/>
  <c r="AI274" i="8"/>
  <c r="AA254" i="8"/>
  <c r="AK254" i="8"/>
  <c r="D518" i="6"/>
  <c r="I518" i="6"/>
  <c r="AM262" i="8"/>
  <c r="U309" i="8"/>
  <c r="AE309" i="8"/>
  <c r="U404" i="8"/>
  <c r="AE404" i="8"/>
  <c r="Z309" i="8"/>
  <c r="AJ309" i="8"/>
  <c r="W240" i="8"/>
  <c r="AG240" i="8"/>
  <c r="U416" i="8"/>
  <c r="AE416" i="8"/>
  <c r="Z421" i="8"/>
  <c r="AJ421" i="8"/>
  <c r="Z349" i="8"/>
  <c r="AJ349" i="8"/>
  <c r="T256" i="8"/>
  <c r="AD256" i="8"/>
  <c r="T257" i="8"/>
  <c r="AD257" i="8"/>
  <c r="V289" i="8"/>
  <c r="AF289" i="8"/>
  <c r="Y414" i="8"/>
  <c r="AI414" i="8"/>
  <c r="V380" i="8"/>
  <c r="AF380" i="8"/>
  <c r="W222" i="8"/>
  <c r="AG222" i="8"/>
  <c r="X252" i="8"/>
  <c r="AH252" i="8"/>
  <c r="AA246" i="8"/>
  <c r="AK246" i="8"/>
  <c r="X255" i="8"/>
  <c r="AH255" i="8"/>
  <c r="D634" i="6"/>
  <c r="F634" i="6"/>
  <c r="W392" i="8"/>
  <c r="AG392" i="8"/>
  <c r="U395" i="8"/>
  <c r="AE395" i="8"/>
  <c r="AM263" i="8"/>
  <c r="W348" i="8"/>
  <c r="AG348" i="8"/>
  <c r="AM288" i="8"/>
  <c r="X427" i="8"/>
  <c r="AH427" i="8"/>
  <c r="V434" i="8"/>
  <c r="AF434" i="8"/>
  <c r="AA305" i="8"/>
  <c r="AK305" i="8"/>
  <c r="U310" i="8"/>
  <c r="AE310" i="8"/>
  <c r="AM330" i="8"/>
  <c r="W404" i="8"/>
  <c r="AG404" i="8"/>
  <c r="D410" i="6"/>
  <c r="F410" i="6"/>
  <c r="AM223" i="8"/>
  <c r="AM245" i="8"/>
  <c r="U304" i="8"/>
  <c r="AE304" i="8"/>
  <c r="AM325" i="8"/>
  <c r="X238" i="8"/>
  <c r="AH238" i="8"/>
  <c r="AM290" i="8"/>
  <c r="T258" i="8"/>
  <c r="AD258" i="8"/>
  <c r="V273" i="8"/>
  <c r="AF273" i="8"/>
  <c r="D542" i="6"/>
  <c r="I542" i="6"/>
  <c r="D411" i="6"/>
  <c r="F411" i="6"/>
  <c r="AM294" i="8"/>
  <c r="V427" i="8"/>
  <c r="AF427" i="8"/>
  <c r="V305" i="8"/>
  <c r="AF305" i="8"/>
  <c r="AM224" i="8"/>
  <c r="X246" i="8"/>
  <c r="AH246" i="8"/>
  <c r="V422" i="8"/>
  <c r="AF422" i="8"/>
  <c r="AM318" i="8"/>
  <c r="Y321" i="8"/>
  <c r="AI321" i="8"/>
  <c r="D636" i="6"/>
  <c r="F636" i="6"/>
  <c r="AM256" i="8"/>
  <c r="AM322" i="8"/>
  <c r="W425" i="8"/>
  <c r="AG425" i="8"/>
  <c r="T408" i="8"/>
  <c r="AD408" i="8"/>
  <c r="AM253" i="8"/>
  <c r="D641" i="6"/>
  <c r="F641" i="6"/>
  <c r="V272" i="8"/>
  <c r="AF272" i="8"/>
  <c r="AA253" i="8"/>
  <c r="AK253" i="8"/>
  <c r="Y304" i="8"/>
  <c r="AI304" i="8"/>
  <c r="T405" i="8"/>
  <c r="AD405" i="8"/>
  <c r="D489" i="6"/>
  <c r="F489" i="6"/>
  <c r="X361" i="8"/>
  <c r="AH361" i="8"/>
  <c r="D400" i="6"/>
  <c r="I400" i="6"/>
  <c r="V221" i="8"/>
  <c r="AF221" i="8"/>
  <c r="Y240" i="8"/>
  <c r="AI240" i="8"/>
  <c r="Z304" i="8"/>
  <c r="AJ304" i="8"/>
  <c r="AA311" i="8"/>
  <c r="AK311" i="8"/>
  <c r="AA435" i="8"/>
  <c r="AK435" i="8"/>
  <c r="AA487" i="8"/>
  <c r="AK487" i="8"/>
  <c r="X432" i="8"/>
  <c r="AH432" i="8"/>
  <c r="X484" i="8"/>
  <c r="AH484" i="8"/>
  <c r="W309" i="8"/>
  <c r="AG309" i="8"/>
  <c r="U438" i="8"/>
  <c r="AE438" i="8"/>
  <c r="U490" i="8"/>
  <c r="AE490" i="8"/>
  <c r="W428" i="8"/>
  <c r="AG428" i="8"/>
  <c r="U434" i="8"/>
  <c r="AE434" i="8"/>
  <c r="Z429" i="8"/>
  <c r="AJ429" i="8"/>
  <c r="U380" i="8"/>
  <c r="AE380" i="8"/>
  <c r="X433" i="8"/>
  <c r="AH433" i="8"/>
  <c r="X485" i="8"/>
  <c r="AH485" i="8"/>
  <c r="V222" i="8"/>
  <c r="AF222" i="8"/>
  <c r="T306" i="8"/>
  <c r="AD306" i="8"/>
  <c r="W303" i="8"/>
  <c r="AG303" i="8"/>
  <c r="F701" i="6"/>
  <c r="I701" i="6"/>
  <c r="AC489" i="8"/>
  <c r="AM236" i="8"/>
  <c r="I697" i="6"/>
  <c r="AC485" i="8"/>
  <c r="F697" i="6"/>
  <c r="T217" i="8"/>
  <c r="W251" i="8"/>
  <c r="AG251" i="8"/>
  <c r="Y383" i="8"/>
  <c r="AI383" i="8"/>
  <c r="U441" i="8"/>
  <c r="AE441" i="8"/>
  <c r="Z275" i="8"/>
  <c r="AJ275" i="8"/>
  <c r="W416" i="8"/>
  <c r="AG416" i="8"/>
  <c r="T404" i="8"/>
  <c r="AD404" i="8"/>
  <c r="AA352" i="8"/>
  <c r="AK352" i="8"/>
  <c r="Z404" i="8"/>
  <c r="AJ404" i="8"/>
  <c r="T231" i="8"/>
  <c r="AD231" i="8"/>
  <c r="F700" i="6"/>
  <c r="I700" i="6"/>
  <c r="AC488" i="8"/>
  <c r="V428" i="8"/>
  <c r="AF428" i="8"/>
  <c r="AA221" i="8"/>
  <c r="AK221" i="8"/>
  <c r="AM276" i="8"/>
  <c r="AM222" i="8"/>
  <c r="AA382" i="8"/>
  <c r="AK382" i="8"/>
  <c r="Z258" i="8"/>
  <c r="AJ258" i="8"/>
  <c r="AM307" i="8"/>
  <c r="AM281" i="8"/>
  <c r="AA408" i="8"/>
  <c r="AK408" i="8"/>
  <c r="AA283" i="8"/>
  <c r="AK283" i="8"/>
  <c r="T278" i="8"/>
  <c r="T275" i="8"/>
  <c r="U283" i="8"/>
  <c r="AE283" i="8"/>
  <c r="X307" i="8"/>
  <c r="AH307" i="8"/>
  <c r="I696" i="6"/>
  <c r="AC484" i="8"/>
  <c r="F696" i="6"/>
  <c r="W413" i="8"/>
  <c r="AG413" i="8"/>
  <c r="V274" i="8"/>
  <c r="AF274" i="8"/>
  <c r="Y282" i="8"/>
  <c r="AI282" i="8"/>
  <c r="W326" i="8"/>
  <c r="AG326" i="8"/>
  <c r="V302" i="8"/>
  <c r="AF302" i="8"/>
  <c r="V223" i="8"/>
  <c r="AF223" i="8"/>
  <c r="W356" i="8"/>
  <c r="AG356" i="8"/>
  <c r="F699" i="6"/>
  <c r="I699" i="6"/>
  <c r="Z268" i="8"/>
  <c r="AJ268" i="8"/>
  <c r="D643" i="6"/>
  <c r="F643" i="6"/>
  <c r="D695" i="6"/>
  <c r="D352" i="6"/>
  <c r="X250" i="8"/>
  <c r="AH250" i="8"/>
  <c r="V435" i="8"/>
  <c r="AF435" i="8"/>
  <c r="V487" i="8"/>
  <c r="AF487" i="8"/>
  <c r="AA433" i="8"/>
  <c r="AK433" i="8"/>
  <c r="AA485" i="8"/>
  <c r="AK485" i="8"/>
  <c r="Y410" i="8"/>
  <c r="AI410" i="8"/>
  <c r="V309" i="8"/>
  <c r="AF309" i="8"/>
  <c r="T307" i="8"/>
  <c r="AD307" i="8"/>
  <c r="Z223" i="8"/>
  <c r="AJ223" i="8"/>
  <c r="T309" i="8"/>
  <c r="AD309" i="8"/>
  <c r="Y437" i="8"/>
  <c r="AI437" i="8"/>
  <c r="Y489" i="8"/>
  <c r="AI489" i="8"/>
  <c r="AA310" i="8"/>
  <c r="AK310" i="8"/>
  <c r="Z388" i="8"/>
  <c r="AJ388" i="8"/>
  <c r="Y420" i="8"/>
  <c r="AI420" i="8"/>
  <c r="AM261" i="8"/>
  <c r="X363" i="8"/>
  <c r="AH363" i="8"/>
  <c r="I702" i="6"/>
  <c r="AC490" i="8"/>
  <c r="F702" i="6"/>
  <c r="AA251" i="8"/>
  <c r="AK251" i="8"/>
  <c r="U320" i="8"/>
  <c r="Y327" i="8"/>
  <c r="AI327" i="8"/>
  <c r="F692" i="6"/>
  <c r="I692" i="6"/>
  <c r="AC480" i="8"/>
  <c r="V291" i="8"/>
  <c r="AF291" i="8"/>
  <c r="F694" i="6"/>
  <c r="I694" i="6"/>
  <c r="W379" i="8"/>
  <c r="AG379" i="8"/>
  <c r="W483" i="8"/>
  <c r="AG483" i="8"/>
  <c r="AA434" i="8"/>
  <c r="AK434" i="8"/>
  <c r="Y275" i="8"/>
  <c r="AI275" i="8"/>
  <c r="Z310" i="8"/>
  <c r="AJ310" i="8"/>
  <c r="AM240" i="8"/>
  <c r="X327" i="8"/>
  <c r="AH327" i="8"/>
  <c r="X310" i="8"/>
  <c r="AH310" i="8"/>
  <c r="AA432" i="8"/>
  <c r="AK432" i="8"/>
  <c r="AA484" i="8"/>
  <c r="AK484" i="8"/>
  <c r="W440" i="8"/>
  <c r="AG440" i="8"/>
  <c r="U408" i="8"/>
  <c r="AE408" i="8"/>
  <c r="F698" i="6"/>
  <c r="I698" i="6"/>
  <c r="AC486" i="8"/>
  <c r="D533" i="6"/>
  <c r="I533" i="6"/>
  <c r="D386" i="6"/>
  <c r="F386" i="6"/>
  <c r="D651" i="6"/>
  <c r="I651" i="6"/>
  <c r="D703" i="6"/>
  <c r="I705" i="6"/>
  <c r="AC493" i="8"/>
  <c r="F705" i="6"/>
  <c r="X312" i="8"/>
  <c r="AH312" i="8"/>
  <c r="X437" i="8"/>
  <c r="AH437" i="8"/>
  <c r="X489" i="8"/>
  <c r="AH489" i="8"/>
  <c r="F704" i="6"/>
  <c r="I704" i="6"/>
  <c r="AC492" i="8"/>
  <c r="Y424" i="8"/>
  <c r="AI424" i="8"/>
  <c r="U329" i="8"/>
  <c r="AE329" i="8"/>
  <c r="Y332" i="8"/>
  <c r="AI332" i="8"/>
  <c r="Y435" i="8"/>
  <c r="AI435" i="8"/>
  <c r="Y487" i="8"/>
  <c r="AI487" i="8"/>
  <c r="U261" i="8"/>
  <c r="AE261" i="8"/>
  <c r="I693" i="6"/>
  <c r="AC481" i="8"/>
  <c r="F693" i="6"/>
  <c r="Z405" i="8"/>
  <c r="AJ405" i="8"/>
  <c r="W256" i="8"/>
  <c r="AG256" i="8"/>
  <c r="W274" i="8"/>
  <c r="AG274" i="8"/>
  <c r="W281" i="8"/>
  <c r="AG281" i="8"/>
  <c r="W306" i="8"/>
  <c r="AG306" i="8"/>
  <c r="W412" i="8"/>
  <c r="AG412" i="8"/>
  <c r="V440" i="8"/>
  <c r="AF440" i="8"/>
  <c r="Y310" i="8"/>
  <c r="AI310" i="8"/>
  <c r="W241" i="8"/>
  <c r="AG241" i="8"/>
  <c r="X258" i="8"/>
  <c r="AH258" i="8"/>
  <c r="V251" i="8"/>
  <c r="AF251" i="8"/>
  <c r="Y433" i="8"/>
  <c r="AI433" i="8"/>
  <c r="Y259" i="8"/>
  <c r="AI259" i="8"/>
  <c r="X251" i="8"/>
  <c r="AH251" i="8"/>
  <c r="AA431" i="8"/>
  <c r="AK431" i="8"/>
  <c r="AM324" i="8"/>
  <c r="AA381" i="8"/>
  <c r="AK381" i="8"/>
  <c r="AM306" i="8"/>
  <c r="AA273" i="8"/>
  <c r="AK273" i="8"/>
  <c r="W408" i="8"/>
  <c r="AG408" i="8"/>
  <c r="U231" i="8"/>
  <c r="AE231" i="8"/>
  <c r="W406" i="8"/>
  <c r="AG406" i="8"/>
  <c r="T418" i="8"/>
  <c r="AD418" i="8"/>
  <c r="V233" i="8"/>
  <c r="AF233" i="8"/>
  <c r="W435" i="8"/>
  <c r="AG435" i="8"/>
  <c r="Z399" i="8"/>
  <c r="AJ399" i="8"/>
  <c r="AA428" i="8"/>
  <c r="AK428" i="8"/>
  <c r="AA423" i="8"/>
  <c r="AK423" i="8"/>
  <c r="U258" i="8"/>
  <c r="AE258" i="8"/>
  <c r="U259" i="8"/>
  <c r="AE259" i="8"/>
  <c r="X362" i="8"/>
  <c r="AH362" i="8"/>
  <c r="V378" i="8"/>
  <c r="AF378" i="8"/>
  <c r="AA259" i="8"/>
  <c r="AK259" i="8"/>
  <c r="Z246" i="8"/>
  <c r="AJ246" i="8"/>
  <c r="X391" i="8"/>
  <c r="AH391" i="8"/>
  <c r="Z278" i="8"/>
  <c r="AJ278" i="8"/>
  <c r="V417" i="8"/>
  <c r="AF417" i="8"/>
  <c r="W437" i="8"/>
  <c r="AG437" i="8"/>
  <c r="V404" i="8"/>
  <c r="AF404" i="8"/>
  <c r="Y296" i="8"/>
  <c r="AI296" i="8"/>
  <c r="Z282" i="8"/>
  <c r="AJ282" i="8"/>
  <c r="AA255" i="8"/>
  <c r="AK255" i="8"/>
  <c r="X377" i="8"/>
  <c r="AH377" i="8"/>
  <c r="V252" i="8"/>
  <c r="AF252" i="8"/>
  <c r="V275" i="8"/>
  <c r="AF275" i="8"/>
  <c r="X426" i="8"/>
  <c r="AH426" i="8"/>
  <c r="Z239" i="8"/>
  <c r="AJ239" i="8"/>
  <c r="T349" i="8"/>
  <c r="AD349" i="8"/>
  <c r="X260" i="8"/>
  <c r="AH260" i="8"/>
  <c r="V257" i="8"/>
  <c r="AF257" i="8"/>
  <c r="Y258" i="8"/>
  <c r="AI258" i="8"/>
  <c r="X379" i="8"/>
  <c r="AH379" i="8"/>
  <c r="W275" i="8"/>
  <c r="AG275" i="8"/>
  <c r="Z413" i="8"/>
  <c r="AJ413" i="8"/>
  <c r="W293" i="8"/>
  <c r="AG293" i="8"/>
  <c r="Y222" i="8"/>
  <c r="AI222" i="8"/>
  <c r="W436" i="8"/>
  <c r="AG436" i="8"/>
  <c r="AM251" i="8"/>
  <c r="V231" i="8"/>
  <c r="AF231" i="8"/>
  <c r="Z241" i="8"/>
  <c r="AJ241" i="8"/>
  <c r="AA239" i="8"/>
  <c r="AK239" i="8"/>
  <c r="Z297" i="8"/>
  <c r="AJ297" i="8"/>
  <c r="AA420" i="8"/>
  <c r="AK420" i="8"/>
  <c r="AM250" i="8"/>
  <c r="T391" i="8"/>
  <c r="AD391" i="8"/>
  <c r="X302" i="8"/>
  <c r="AH302" i="8"/>
  <c r="Y261" i="8"/>
  <c r="AI261" i="8"/>
  <c r="V424" i="8"/>
  <c r="AF424" i="8"/>
  <c r="V326" i="8"/>
  <c r="AF326" i="8"/>
  <c r="X396" i="8"/>
  <c r="AH396" i="8"/>
  <c r="Z262" i="8"/>
  <c r="AJ262" i="8"/>
  <c r="U236" i="8"/>
  <c r="AE236" i="8"/>
  <c r="Z416" i="8"/>
  <c r="AJ416" i="8"/>
  <c r="U421" i="8"/>
  <c r="AE421" i="8"/>
  <c r="U257" i="8"/>
  <c r="AE257" i="8"/>
  <c r="AA412" i="8"/>
  <c r="AK412" i="8"/>
  <c r="AA464" i="8"/>
  <c r="AK464" i="8"/>
  <c r="T338" i="8"/>
  <c r="AD338" i="8"/>
  <c r="T415" i="8"/>
  <c r="AD415" i="8"/>
  <c r="U378" i="8"/>
  <c r="U375" i="8"/>
  <c r="Z415" i="8"/>
  <c r="AJ415" i="8"/>
  <c r="X222" i="8"/>
  <c r="AH222" i="8"/>
  <c r="Y229" i="8"/>
  <c r="AI229" i="8"/>
  <c r="U346" i="8"/>
  <c r="AE346" i="8"/>
  <c r="Z420" i="8"/>
  <c r="AJ420" i="8"/>
  <c r="AA406" i="8"/>
  <c r="AK406" i="8"/>
  <c r="T403" i="8"/>
  <c r="AD403" i="8"/>
  <c r="Z240" i="8"/>
  <c r="AJ240" i="8"/>
  <c r="X428" i="8"/>
  <c r="AH428" i="8"/>
  <c r="Z425" i="8"/>
  <c r="AJ425" i="8"/>
  <c r="Z374" i="8"/>
  <c r="AJ374" i="8"/>
  <c r="V250" i="8"/>
  <c r="AF250" i="8"/>
  <c r="U407" i="8"/>
  <c r="AE407" i="8"/>
  <c r="U273" i="8"/>
  <c r="Z407" i="8"/>
  <c r="AJ407" i="8"/>
  <c r="Y434" i="8"/>
  <c r="AI434" i="8"/>
  <c r="X275" i="8"/>
  <c r="AH275" i="8"/>
  <c r="U276" i="8"/>
  <c r="W258" i="8"/>
  <c r="AG258" i="8"/>
  <c r="Z238" i="8"/>
  <c r="AJ238" i="8"/>
  <c r="U361" i="8"/>
  <c r="AE361" i="8"/>
  <c r="U465" i="8"/>
  <c r="AE465" i="8"/>
  <c r="U373" i="8"/>
  <c r="AE373" i="8"/>
  <c r="W362" i="8"/>
  <c r="AG362" i="8"/>
  <c r="W466" i="8"/>
  <c r="AG466" i="8"/>
  <c r="X415" i="8"/>
  <c r="AH415" i="8"/>
  <c r="X467" i="8"/>
  <c r="AH467" i="8"/>
  <c r="X413" i="8"/>
  <c r="AH413" i="8"/>
  <c r="W361" i="8"/>
  <c r="AG361" i="8"/>
  <c r="W465" i="8"/>
  <c r="AG465" i="8"/>
  <c r="Y425" i="8"/>
  <c r="AI425" i="8"/>
  <c r="Y477" i="8"/>
  <c r="AI477" i="8"/>
  <c r="W378" i="8"/>
  <c r="AG378" i="8"/>
  <c r="W482" i="8"/>
  <c r="AG482" i="8"/>
  <c r="T255" i="8"/>
  <c r="AD255" i="8"/>
  <c r="W245" i="8"/>
  <c r="AG245" i="8"/>
  <c r="V398" i="8"/>
  <c r="AF398" i="8"/>
  <c r="Z391" i="8"/>
  <c r="AJ391" i="8"/>
  <c r="Z354" i="8"/>
  <c r="AJ354" i="8"/>
  <c r="Y334" i="8"/>
  <c r="AI334" i="8"/>
  <c r="X439" i="8"/>
  <c r="AH439" i="8"/>
  <c r="Z244" i="8"/>
  <c r="AJ244" i="8"/>
  <c r="Z424" i="8"/>
  <c r="AJ424" i="8"/>
  <c r="T361" i="8"/>
  <c r="AD361" i="8"/>
  <c r="T465" i="8"/>
  <c r="AD465" i="8"/>
  <c r="V361" i="8"/>
  <c r="AF361" i="8"/>
  <c r="V465" i="8"/>
  <c r="AF465" i="8"/>
  <c r="T419" i="8"/>
  <c r="AD419" i="8"/>
  <c r="AA422" i="8"/>
  <c r="AK422" i="8"/>
  <c r="Y418" i="8"/>
  <c r="AI418" i="8"/>
  <c r="AM242" i="8"/>
  <c r="V441" i="8"/>
  <c r="AF441" i="8"/>
  <c r="V360" i="8"/>
  <c r="AF360" i="8"/>
  <c r="U230" i="8"/>
  <c r="AE230" i="8"/>
  <c r="AA427" i="8"/>
  <c r="AK427" i="8"/>
  <c r="W223" i="8"/>
  <c r="AG223" i="8"/>
  <c r="U282" i="8"/>
  <c r="AE282" i="8"/>
  <c r="T276" i="8"/>
  <c r="X429" i="8"/>
  <c r="AH429" i="8"/>
  <c r="U374" i="8"/>
  <c r="AE374" i="8"/>
  <c r="T359" i="8"/>
  <c r="AD359" i="8"/>
  <c r="T463" i="8"/>
  <c r="AD463" i="8"/>
  <c r="W441" i="8"/>
  <c r="AG441" i="8"/>
  <c r="AA441" i="8"/>
  <c r="AK441" i="8"/>
  <c r="Z408" i="8"/>
  <c r="AJ408" i="8"/>
  <c r="V362" i="8"/>
  <c r="AF362" i="8"/>
  <c r="V466" i="8"/>
  <c r="AF466" i="8"/>
  <c r="AA361" i="8"/>
  <c r="AK361" i="8"/>
  <c r="AA465" i="8"/>
  <c r="AK465" i="8"/>
  <c r="U414" i="8"/>
  <c r="AE414" i="8"/>
  <c r="V430" i="8"/>
  <c r="AF430" i="8"/>
  <c r="V482" i="8"/>
  <c r="AF482" i="8"/>
  <c r="AM310" i="8"/>
  <c r="Z362" i="8"/>
  <c r="AJ362" i="8"/>
  <c r="Z466" i="8"/>
  <c r="AJ466" i="8"/>
  <c r="V415" i="8"/>
  <c r="AF415" i="8"/>
  <c r="V467" i="8"/>
  <c r="AF467" i="8"/>
  <c r="Y223" i="8"/>
  <c r="AI223" i="8"/>
  <c r="AA398" i="8"/>
  <c r="AK398" i="8"/>
  <c r="U422" i="8"/>
  <c r="AE422" i="8"/>
  <c r="X440" i="8"/>
  <c r="AH440" i="8"/>
  <c r="Y421" i="8"/>
  <c r="AI421" i="8"/>
  <c r="X229" i="8"/>
  <c r="AH229" i="8"/>
  <c r="Y386" i="8"/>
  <c r="AI386" i="8"/>
  <c r="V293" i="8"/>
  <c r="AF293" i="8"/>
  <c r="AA288" i="8"/>
  <c r="AK288" i="8"/>
  <c r="Z257" i="8"/>
  <c r="AJ257" i="8"/>
  <c r="Z428" i="8"/>
  <c r="AJ428" i="8"/>
  <c r="U423" i="8"/>
  <c r="AE423" i="8"/>
  <c r="U241" i="8"/>
  <c r="AE241" i="8"/>
  <c r="X392" i="8"/>
  <c r="AH392" i="8"/>
  <c r="X424" i="8"/>
  <c r="AH424" i="8"/>
  <c r="T254" i="8"/>
  <c r="AD254" i="8"/>
  <c r="Y230" i="8"/>
  <c r="AI230" i="8"/>
  <c r="Y429" i="8"/>
  <c r="AI429" i="8"/>
  <c r="Y306" i="8"/>
  <c r="AI306" i="8"/>
  <c r="Z222" i="8"/>
  <c r="AJ222" i="8"/>
  <c r="X364" i="8"/>
  <c r="AH364" i="8"/>
  <c r="X468" i="8"/>
  <c r="AH468" i="8"/>
  <c r="AA362" i="8"/>
  <c r="AK362" i="8"/>
  <c r="AA466" i="8"/>
  <c r="AK466" i="8"/>
  <c r="U362" i="8"/>
  <c r="AE362" i="8"/>
  <c r="U436" i="8"/>
  <c r="AE436" i="8"/>
  <c r="AM326" i="8"/>
  <c r="W429" i="8"/>
  <c r="AG429" i="8"/>
  <c r="X274" i="8"/>
  <c r="AH274" i="8"/>
  <c r="U376" i="8"/>
  <c r="V416" i="8"/>
  <c r="AF416" i="8"/>
  <c r="V468" i="8"/>
  <c r="AF468" i="8"/>
  <c r="U377" i="8"/>
  <c r="Y309" i="8"/>
  <c r="AI309" i="8"/>
  <c r="U403" i="8"/>
  <c r="AE403" i="8"/>
  <c r="X422" i="8"/>
  <c r="AH422" i="8"/>
  <c r="Y404" i="8"/>
  <c r="AI404" i="8"/>
  <c r="Z441" i="8"/>
  <c r="AJ441" i="8"/>
  <c r="Y250" i="8"/>
  <c r="AI250" i="8"/>
  <c r="T239" i="8"/>
  <c r="AD239" i="8"/>
  <c r="V394" i="8"/>
  <c r="AF394" i="8"/>
  <c r="T360" i="8"/>
  <c r="AD360" i="8"/>
  <c r="T464" i="8"/>
  <c r="AD464" i="8"/>
  <c r="X407" i="8"/>
  <c r="AH407" i="8"/>
  <c r="Z280" i="8"/>
  <c r="AJ280" i="8"/>
  <c r="U288" i="8"/>
  <c r="AE288" i="8"/>
  <c r="Y373" i="8"/>
  <c r="AI373" i="8"/>
  <c r="X380" i="8"/>
  <c r="AH380" i="8"/>
  <c r="AM296" i="8"/>
  <c r="AA257" i="8"/>
  <c r="AK257" i="8"/>
  <c r="AA359" i="8"/>
  <c r="AK359" i="8"/>
  <c r="AA463" i="8"/>
  <c r="AK463" i="8"/>
  <c r="AA430" i="8"/>
  <c r="AK430" i="8"/>
  <c r="T407" i="8"/>
  <c r="AD407" i="8"/>
  <c r="Y389" i="8"/>
  <c r="AI389" i="8"/>
  <c r="AA358" i="8"/>
  <c r="AK358" i="8"/>
  <c r="AA462" i="8"/>
  <c r="AK462" i="8"/>
  <c r="T390" i="8"/>
  <c r="AD390" i="8"/>
  <c r="T358" i="8"/>
  <c r="AD358" i="8"/>
  <c r="T462" i="8"/>
  <c r="AD462" i="8"/>
  <c r="F680" i="6"/>
  <c r="I680" i="6"/>
  <c r="D627" i="6"/>
  <c r="I627" i="6"/>
  <c r="D608" i="6"/>
  <c r="I608" i="6"/>
  <c r="D614" i="6"/>
  <c r="F614" i="6"/>
  <c r="I691" i="6"/>
  <c r="AC479" i="8"/>
  <c r="F691" i="6"/>
  <c r="D334" i="6"/>
  <c r="D624" i="6"/>
  <c r="I624" i="6"/>
  <c r="D676" i="6"/>
  <c r="D437" i="6"/>
  <c r="F437" i="6"/>
  <c r="D616" i="6"/>
  <c r="I616" i="6"/>
  <c r="D417" i="6"/>
  <c r="F417" i="6"/>
  <c r="F686" i="6"/>
  <c r="I686" i="6"/>
  <c r="AC474" i="8"/>
  <c r="D644" i="6"/>
  <c r="F644" i="6"/>
  <c r="D585" i="6"/>
  <c r="F585" i="6"/>
  <c r="D689" i="6"/>
  <c r="D570" i="6"/>
  <c r="I570" i="6"/>
  <c r="D674" i="6"/>
  <c r="F685" i="6"/>
  <c r="I685" i="6"/>
  <c r="AC473" i="8"/>
  <c r="I682" i="6"/>
  <c r="AC470" i="8"/>
  <c r="F682" i="6"/>
  <c r="F679" i="6"/>
  <c r="I679" i="6"/>
  <c r="D567" i="6"/>
  <c r="F567" i="6"/>
  <c r="D571" i="6"/>
  <c r="F571" i="6"/>
  <c r="D675" i="6"/>
  <c r="D574" i="6"/>
  <c r="F574" i="6"/>
  <c r="D678" i="6"/>
  <c r="D559" i="6"/>
  <c r="I559" i="6"/>
  <c r="D642" i="6"/>
  <c r="F642" i="6"/>
  <c r="F684" i="6"/>
  <c r="I684" i="6"/>
  <c r="AC472" i="8"/>
  <c r="D620" i="6"/>
  <c r="F620" i="6"/>
  <c r="F673" i="6"/>
  <c r="I673" i="6"/>
  <c r="AC461" i="8"/>
  <c r="D625" i="6"/>
  <c r="F625" i="6"/>
  <c r="D677" i="6"/>
  <c r="D632" i="6"/>
  <c r="F632" i="6"/>
  <c r="D615" i="6"/>
  <c r="I615" i="6"/>
  <c r="F687" i="6"/>
  <c r="I687" i="6"/>
  <c r="AC475" i="8"/>
  <c r="D629" i="6"/>
  <c r="F629" i="6"/>
  <c r="D681" i="6"/>
  <c r="I683" i="6"/>
  <c r="AC471" i="8"/>
  <c r="F683" i="6"/>
  <c r="D468" i="6"/>
  <c r="I468" i="6"/>
  <c r="I688" i="6"/>
  <c r="AC476" i="8"/>
  <c r="F688" i="6"/>
  <c r="I690" i="6"/>
  <c r="AC478" i="8"/>
  <c r="F690" i="6"/>
  <c r="AA357" i="8"/>
  <c r="AK357" i="8"/>
  <c r="D621" i="6"/>
  <c r="I621" i="6"/>
  <c r="T409" i="8"/>
  <c r="AD409" i="8"/>
  <c r="F659" i="6"/>
  <c r="I659" i="6"/>
  <c r="AC447" i="8"/>
  <c r="V399" i="8"/>
  <c r="AF399" i="8"/>
  <c r="V451" i="8"/>
  <c r="AF451" i="8"/>
  <c r="D609" i="6"/>
  <c r="F609" i="6"/>
  <c r="D661" i="6"/>
  <c r="AA401" i="8"/>
  <c r="AK401" i="8"/>
  <c r="AA453" i="8"/>
  <c r="AK453" i="8"/>
  <c r="W401" i="8"/>
  <c r="AG401" i="8"/>
  <c r="W453" i="8"/>
  <c r="AG453" i="8"/>
  <c r="X399" i="8"/>
  <c r="AH399" i="8"/>
  <c r="X451" i="8"/>
  <c r="AH451" i="8"/>
  <c r="X400" i="8"/>
  <c r="AH400" i="8"/>
  <c r="X452" i="8"/>
  <c r="AH452" i="8"/>
  <c r="D610" i="6"/>
  <c r="I610" i="6"/>
  <c r="D662" i="6"/>
  <c r="F666" i="6"/>
  <c r="I666" i="6"/>
  <c r="AC454" i="8"/>
  <c r="Z400" i="8"/>
  <c r="AJ400" i="8"/>
  <c r="Z452" i="8"/>
  <c r="AJ452" i="8"/>
  <c r="Y344" i="8"/>
  <c r="AI344" i="8"/>
  <c r="Y448" i="8"/>
  <c r="AI448" i="8"/>
  <c r="V356" i="8"/>
  <c r="AF356" i="8"/>
  <c r="V460" i="8"/>
  <c r="AF460" i="8"/>
  <c r="F668" i="6"/>
  <c r="I668" i="6"/>
  <c r="AC456" i="8"/>
  <c r="AA400" i="8"/>
  <c r="AK400" i="8"/>
  <c r="AA452" i="8"/>
  <c r="AK452" i="8"/>
  <c r="F669" i="6"/>
  <c r="I669" i="6"/>
  <c r="AC457" i="8"/>
  <c r="U400" i="8"/>
  <c r="AE400" i="8"/>
  <c r="U452" i="8"/>
  <c r="AE452" i="8"/>
  <c r="F665" i="6"/>
  <c r="I665" i="6"/>
  <c r="F671" i="6"/>
  <c r="I671" i="6"/>
  <c r="Y402" i="8"/>
  <c r="AI402" i="8"/>
  <c r="Y454" i="8"/>
  <c r="AI454" i="8"/>
  <c r="U399" i="8"/>
  <c r="AE399" i="8"/>
  <c r="U451" i="8"/>
  <c r="AE451" i="8"/>
  <c r="Y399" i="8"/>
  <c r="AI399" i="8"/>
  <c r="Y451" i="8"/>
  <c r="AI451" i="8"/>
  <c r="T400" i="8"/>
  <c r="AD400" i="8"/>
  <c r="T452" i="8"/>
  <c r="AD452" i="8"/>
  <c r="I660" i="6"/>
  <c r="AC448" i="8"/>
  <c r="F660" i="6"/>
  <c r="F667" i="6"/>
  <c r="I667" i="6"/>
  <c r="AC455" i="8"/>
  <c r="V400" i="8"/>
  <c r="AF400" i="8"/>
  <c r="V452" i="8"/>
  <c r="AF452" i="8"/>
  <c r="F672" i="6"/>
  <c r="I672" i="6"/>
  <c r="V401" i="8"/>
  <c r="AF401" i="8"/>
  <c r="V453" i="8"/>
  <c r="AF453" i="8"/>
  <c r="F670" i="6"/>
  <c r="I670" i="6"/>
  <c r="W400" i="8"/>
  <c r="AG400" i="8"/>
  <c r="W452" i="8"/>
  <c r="AG452" i="8"/>
  <c r="T401" i="8"/>
  <c r="AD401" i="8"/>
  <c r="T453" i="8"/>
  <c r="AD453" i="8"/>
  <c r="Z401" i="8"/>
  <c r="AJ401" i="8"/>
  <c r="Z453" i="8"/>
  <c r="AJ453" i="8"/>
  <c r="D611" i="6"/>
  <c r="I611" i="6"/>
  <c r="D663" i="6"/>
  <c r="X406" i="8"/>
  <c r="AH406" i="8"/>
  <c r="X458" i="8"/>
  <c r="AH458" i="8"/>
  <c r="V354" i="8"/>
  <c r="AF354" i="8"/>
  <c r="V458" i="8"/>
  <c r="AF458" i="8"/>
  <c r="V355" i="8"/>
  <c r="AF355" i="8"/>
  <c r="V459" i="8"/>
  <c r="AF459" i="8"/>
  <c r="W355" i="8"/>
  <c r="AG355" i="8"/>
  <c r="W459" i="8"/>
  <c r="AG459" i="8"/>
  <c r="D612" i="6"/>
  <c r="F612" i="6"/>
  <c r="D664" i="6"/>
  <c r="Y440" i="8"/>
  <c r="AI440" i="8"/>
  <c r="D490" i="6"/>
  <c r="I490" i="6"/>
  <c r="U440" i="8"/>
  <c r="AE440" i="8"/>
  <c r="V438" i="8"/>
  <c r="AF438" i="8"/>
  <c r="D653" i="6"/>
  <c r="I653" i="6"/>
  <c r="AM259" i="8"/>
  <c r="AM301" i="8"/>
  <c r="F656" i="6"/>
  <c r="I656" i="6"/>
  <c r="AC444" i="8"/>
  <c r="Z335" i="8"/>
  <c r="AJ335" i="8"/>
  <c r="Z439" i="8"/>
  <c r="AJ439" i="8"/>
  <c r="F651" i="6"/>
  <c r="AA440" i="8"/>
  <c r="AK440" i="8"/>
  <c r="D343" i="6"/>
  <c r="D394" i="6"/>
  <c r="F394" i="6"/>
  <c r="U437" i="8"/>
  <c r="AE437" i="8"/>
  <c r="Z334" i="8"/>
  <c r="AJ334" i="8"/>
  <c r="Z438" i="8"/>
  <c r="AJ438" i="8"/>
  <c r="F658" i="6"/>
  <c r="I658" i="6"/>
  <c r="AC446" i="8"/>
  <c r="F654" i="6"/>
  <c r="I654" i="6"/>
  <c r="AC442" i="8"/>
  <c r="F657" i="6"/>
  <c r="I657" i="6"/>
  <c r="AC445" i="8"/>
  <c r="AA439" i="8"/>
  <c r="AK439" i="8"/>
  <c r="AA437" i="8"/>
  <c r="AK437" i="8"/>
  <c r="W424" i="8"/>
  <c r="AG424" i="8"/>
  <c r="D649" i="6"/>
  <c r="D650" i="6"/>
  <c r="D648" i="6"/>
  <c r="Y436" i="8"/>
  <c r="AI436" i="8"/>
  <c r="Z434" i="8"/>
  <c r="AJ434" i="8"/>
  <c r="Z440" i="8"/>
  <c r="AJ440" i="8"/>
  <c r="U381" i="8"/>
  <c r="AE381" i="8"/>
  <c r="U224" i="8"/>
  <c r="AE224" i="8"/>
  <c r="W438" i="8"/>
  <c r="AG438" i="8"/>
  <c r="AA436" i="8"/>
  <c r="AK436" i="8"/>
  <c r="W343" i="8"/>
  <c r="AG343" i="8"/>
  <c r="X438" i="8"/>
  <c r="AH438" i="8"/>
  <c r="X436" i="8"/>
  <c r="AH436" i="8"/>
  <c r="AA231" i="8"/>
  <c r="AK231" i="8"/>
  <c r="V235" i="8"/>
  <c r="AF235" i="8"/>
  <c r="Z367" i="8"/>
  <c r="AJ367" i="8"/>
  <c r="T365" i="8"/>
  <c r="AD365" i="8"/>
  <c r="X249" i="8"/>
  <c r="AH249" i="8"/>
  <c r="Y428" i="8"/>
  <c r="AI428" i="8"/>
  <c r="AA219" i="8"/>
  <c r="AK219" i="8"/>
  <c r="W403" i="8"/>
  <c r="AG403" i="8"/>
  <c r="T296" i="8"/>
  <c r="AD296" i="8"/>
  <c r="F655" i="6"/>
  <c r="I655" i="6"/>
  <c r="AC443" i="8"/>
  <c r="Y355" i="8"/>
  <c r="AI355" i="8"/>
  <c r="Y393" i="8"/>
  <c r="AI393" i="8"/>
  <c r="T289" i="8"/>
  <c r="AD289" i="8"/>
  <c r="Z392" i="8"/>
  <c r="AJ392" i="8"/>
  <c r="AM229" i="8"/>
  <c r="D548" i="6"/>
  <c r="I548" i="6"/>
  <c r="D652" i="6"/>
  <c r="X435" i="8"/>
  <c r="AH435" i="8"/>
  <c r="Z381" i="8"/>
  <c r="AJ381" i="8"/>
  <c r="V374" i="8"/>
  <c r="AF374" i="8"/>
  <c r="W373" i="8"/>
  <c r="AG373" i="8"/>
  <c r="V437" i="8"/>
  <c r="AF437" i="8"/>
  <c r="V436" i="8"/>
  <c r="AF436" i="8"/>
  <c r="X371" i="8"/>
  <c r="AH371" i="8"/>
  <c r="U267" i="8"/>
  <c r="W229" i="8"/>
  <c r="AG229" i="8"/>
  <c r="V433" i="8"/>
  <c r="AF433" i="8"/>
  <c r="Z427" i="8"/>
  <c r="AJ427" i="8"/>
  <c r="W426" i="8"/>
  <c r="AG426" i="8"/>
  <c r="Z435" i="8"/>
  <c r="AJ435" i="8"/>
  <c r="X425" i="8"/>
  <c r="AH425" i="8"/>
  <c r="V335" i="8"/>
  <c r="AF335" i="8"/>
  <c r="V439" i="8"/>
  <c r="AF439" i="8"/>
  <c r="Z437" i="8"/>
  <c r="AJ437" i="8"/>
  <c r="V432" i="8"/>
  <c r="AF432" i="8"/>
  <c r="X430" i="8"/>
  <c r="AH430" i="8"/>
  <c r="AA426" i="8"/>
  <c r="AK426" i="8"/>
  <c r="AM320" i="8"/>
  <c r="V227" i="8"/>
  <c r="AF227" i="8"/>
  <c r="AA438" i="8"/>
  <c r="AK438" i="8"/>
  <c r="U335" i="8"/>
  <c r="AE335" i="8"/>
  <c r="U439" i="8"/>
  <c r="AE439" i="8"/>
  <c r="U435" i="8"/>
  <c r="AE435" i="8"/>
  <c r="X381" i="8"/>
  <c r="AH381" i="8"/>
  <c r="AA425" i="8"/>
  <c r="AK425" i="8"/>
  <c r="W439" i="8"/>
  <c r="AG439" i="8"/>
  <c r="W433" i="8"/>
  <c r="AG433" i="8"/>
  <c r="D646" i="6"/>
  <c r="F646" i="6"/>
  <c r="AM331" i="8"/>
  <c r="AM254" i="8"/>
  <c r="V426" i="8"/>
  <c r="AF426" i="8"/>
  <c r="Y439" i="8"/>
  <c r="AI439" i="8"/>
  <c r="W432" i="8"/>
  <c r="AG432" i="8"/>
  <c r="Z426" i="8"/>
  <c r="AJ426" i="8"/>
  <c r="Z344" i="8"/>
  <c r="AJ344" i="8"/>
  <c r="W396" i="8"/>
  <c r="AG396" i="8"/>
  <c r="T396" i="8"/>
  <c r="AD396" i="8"/>
  <c r="U285" i="8"/>
  <c r="AE285" i="8"/>
  <c r="D639" i="6"/>
  <c r="I639" i="6"/>
  <c r="X423" i="8"/>
  <c r="AH423" i="8"/>
  <c r="T417" i="8"/>
  <c r="AD417" i="8"/>
  <c r="U398" i="8"/>
  <c r="AE398" i="8"/>
  <c r="U284" i="8"/>
  <c r="AE284" i="8"/>
  <c r="Z430" i="8"/>
  <c r="AJ430" i="8"/>
  <c r="W395" i="8"/>
  <c r="AG395" i="8"/>
  <c r="Z436" i="8"/>
  <c r="AJ436" i="8"/>
  <c r="Y438" i="8"/>
  <c r="AI438" i="8"/>
  <c r="W417" i="8"/>
  <c r="AG417" i="8"/>
  <c r="AA325" i="8"/>
  <c r="AK325" i="8"/>
  <c r="AA429" i="8"/>
  <c r="AK429" i="8"/>
  <c r="Y423" i="8"/>
  <c r="AI423" i="8"/>
  <c r="Y326" i="8"/>
  <c r="AI326" i="8"/>
  <c r="Y430" i="8"/>
  <c r="AI430" i="8"/>
  <c r="AA424" i="8"/>
  <c r="AK424" i="8"/>
  <c r="V425" i="8"/>
  <c r="AF425" i="8"/>
  <c r="W431" i="8"/>
  <c r="AG431" i="8"/>
  <c r="W430" i="8"/>
  <c r="AG430" i="8"/>
  <c r="X431" i="8"/>
  <c r="AH431" i="8"/>
  <c r="V325" i="8"/>
  <c r="AF325" i="8"/>
  <c r="V429" i="8"/>
  <c r="AF429" i="8"/>
  <c r="Z423" i="8"/>
  <c r="AJ423" i="8"/>
  <c r="Z327" i="8"/>
  <c r="AJ327" i="8"/>
  <c r="Z431" i="8"/>
  <c r="AJ431" i="8"/>
  <c r="V327" i="8"/>
  <c r="AF327" i="8"/>
  <c r="V431" i="8"/>
  <c r="AF431" i="8"/>
  <c r="V423" i="8"/>
  <c r="AF423" i="8"/>
  <c r="Y328" i="8"/>
  <c r="AI328" i="8"/>
  <c r="Y432" i="8"/>
  <c r="AI432" i="8"/>
  <c r="Y379" i="8"/>
  <c r="AI379" i="8"/>
  <c r="Y431" i="8"/>
  <c r="AI431" i="8"/>
  <c r="W423" i="8"/>
  <c r="AG423" i="8"/>
  <c r="X434" i="8"/>
  <c r="AH434" i="8"/>
  <c r="U431" i="8"/>
  <c r="AE431" i="8"/>
  <c r="U430" i="8"/>
  <c r="AE430" i="8"/>
  <c r="D647" i="6"/>
  <c r="D640" i="6"/>
  <c r="D637" i="6"/>
  <c r="D635" i="6"/>
  <c r="D630" i="6"/>
  <c r="F630" i="6"/>
  <c r="F638" i="6"/>
  <c r="I638" i="6"/>
  <c r="D551" i="6"/>
  <c r="F551" i="6"/>
  <c r="I636" i="6"/>
  <c r="D541" i="6"/>
  <c r="F541" i="6"/>
  <c r="D645" i="6"/>
  <c r="D524" i="6"/>
  <c r="F524" i="6"/>
  <c r="W420" i="8"/>
  <c r="AG420" i="8"/>
  <c r="X419" i="8"/>
  <c r="AH419" i="8"/>
  <c r="Z422" i="8"/>
  <c r="AJ422" i="8"/>
  <c r="V421" i="8"/>
  <c r="AF421" i="8"/>
  <c r="U420" i="8"/>
  <c r="AE420" i="8"/>
  <c r="Y419" i="8"/>
  <c r="AI419" i="8"/>
  <c r="W422" i="8"/>
  <c r="AG422" i="8"/>
  <c r="X420" i="8"/>
  <c r="AH420" i="8"/>
  <c r="Y422" i="8"/>
  <c r="AI422" i="8"/>
  <c r="V420" i="8"/>
  <c r="AF420" i="8"/>
  <c r="W421" i="8"/>
  <c r="AG421" i="8"/>
  <c r="D633" i="6"/>
  <c r="X421" i="8"/>
  <c r="AH421" i="8"/>
  <c r="D631" i="6"/>
  <c r="V419" i="8"/>
  <c r="AF419" i="8"/>
  <c r="W419" i="8"/>
  <c r="AG419" i="8"/>
  <c r="AA421" i="8"/>
  <c r="AK421" i="8"/>
  <c r="Z419" i="8"/>
  <c r="AJ419" i="8"/>
  <c r="U419" i="8"/>
  <c r="AE419" i="8"/>
  <c r="U313" i="8"/>
  <c r="AE313" i="8"/>
  <c r="U417" i="8"/>
  <c r="AE417" i="8"/>
  <c r="Y313" i="8"/>
  <c r="AI313" i="8"/>
  <c r="Y417" i="8"/>
  <c r="AI417" i="8"/>
  <c r="X417" i="8"/>
  <c r="AH417" i="8"/>
  <c r="W418" i="8"/>
  <c r="AG418" i="8"/>
  <c r="U418" i="8"/>
  <c r="AE418" i="8"/>
  <c r="Z314" i="8"/>
  <c r="AJ314" i="8"/>
  <c r="Z418" i="8"/>
  <c r="AJ418" i="8"/>
  <c r="AA418" i="8"/>
  <c r="AK418" i="8"/>
  <c r="X418" i="8"/>
  <c r="AH418" i="8"/>
  <c r="AA417" i="8"/>
  <c r="AK417" i="8"/>
  <c r="V418" i="8"/>
  <c r="AF418" i="8"/>
  <c r="Y364" i="8"/>
  <c r="AI364" i="8"/>
  <c r="Y416" i="8"/>
  <c r="AI416" i="8"/>
  <c r="AA416" i="8"/>
  <c r="AK416" i="8"/>
  <c r="D628" i="6"/>
  <c r="X416" i="8"/>
  <c r="AH416" i="8"/>
  <c r="Y311" i="8"/>
  <c r="AI311" i="8"/>
  <c r="Y415" i="8"/>
  <c r="AI415" i="8"/>
  <c r="W363" i="8"/>
  <c r="AG363" i="8"/>
  <c r="W415" i="8"/>
  <c r="AG415" i="8"/>
  <c r="U311" i="8"/>
  <c r="AE311" i="8"/>
  <c r="U415" i="8"/>
  <c r="AE415" i="8"/>
  <c r="AA415" i="8"/>
  <c r="AK415" i="8"/>
  <c r="T310" i="8"/>
  <c r="AD310" i="8"/>
  <c r="T414" i="8"/>
  <c r="AD414" i="8"/>
  <c r="Y413" i="8"/>
  <c r="AI413" i="8"/>
  <c r="Z414" i="8"/>
  <c r="AJ414" i="8"/>
  <c r="V414" i="8"/>
  <c r="AF414" i="8"/>
  <c r="V413" i="8"/>
  <c r="AF413" i="8"/>
  <c r="AA413" i="8"/>
  <c r="AK413" i="8"/>
  <c r="D626" i="6"/>
  <c r="T413" i="8"/>
  <c r="AD413" i="8"/>
  <c r="W414" i="8"/>
  <c r="AG414" i="8"/>
  <c r="AA414" i="8"/>
  <c r="AK414" i="8"/>
  <c r="U413" i="8"/>
  <c r="AE413" i="8"/>
  <c r="Z410" i="8"/>
  <c r="AJ410" i="8"/>
  <c r="X412" i="8"/>
  <c r="AH412" i="8"/>
  <c r="V412" i="8"/>
  <c r="AF412" i="8"/>
  <c r="Z412" i="8"/>
  <c r="AJ412" i="8"/>
  <c r="Y412" i="8"/>
  <c r="AI412" i="8"/>
  <c r="T412" i="8"/>
  <c r="AD412" i="8"/>
  <c r="U410" i="8"/>
  <c r="AE410" i="8"/>
  <c r="V396" i="8"/>
  <c r="AF396" i="8"/>
  <c r="V307" i="8"/>
  <c r="AF307" i="8"/>
  <c r="V411" i="8"/>
  <c r="AF411" i="8"/>
  <c r="Y411" i="8"/>
  <c r="AI411" i="8"/>
  <c r="W411" i="8"/>
  <c r="AG411" i="8"/>
  <c r="AA411" i="8"/>
  <c r="AK411" i="8"/>
  <c r="U411" i="8"/>
  <c r="AE411" i="8"/>
  <c r="Z411" i="8"/>
  <c r="AJ411" i="8"/>
  <c r="X411" i="8"/>
  <c r="AH411" i="8"/>
  <c r="T411" i="8"/>
  <c r="AD411" i="8"/>
  <c r="D623" i="6"/>
  <c r="D618" i="6"/>
  <c r="I618" i="6"/>
  <c r="X410" i="8"/>
  <c r="AH410" i="8"/>
  <c r="W358" i="8"/>
  <c r="AG358" i="8"/>
  <c r="V410" i="8"/>
  <c r="AF410" i="8"/>
  <c r="D622" i="6"/>
  <c r="AA410" i="8"/>
  <c r="AK410" i="8"/>
  <c r="W410" i="8"/>
  <c r="AG410" i="8"/>
  <c r="T410" i="8"/>
  <c r="AD410" i="8"/>
  <c r="Z305" i="8"/>
  <c r="AJ305" i="8"/>
  <c r="Z409" i="8"/>
  <c r="AJ409" i="8"/>
  <c r="X409" i="8"/>
  <c r="AH409" i="8"/>
  <c r="AA409" i="8"/>
  <c r="AK409" i="8"/>
  <c r="Y409" i="8"/>
  <c r="AI409" i="8"/>
  <c r="W409" i="8"/>
  <c r="AG409" i="8"/>
  <c r="U409" i="8"/>
  <c r="AE409" i="8"/>
  <c r="V409" i="8"/>
  <c r="AF409" i="8"/>
  <c r="AA407" i="8"/>
  <c r="AK407" i="8"/>
  <c r="Y408" i="8"/>
  <c r="AI408" i="8"/>
  <c r="V408" i="8"/>
  <c r="AF408" i="8"/>
  <c r="W407" i="8"/>
  <c r="AG407" i="8"/>
  <c r="D619" i="6"/>
  <c r="V407" i="8"/>
  <c r="AF407" i="8"/>
  <c r="U302" i="8"/>
  <c r="AE302" i="8"/>
  <c r="U406" i="8"/>
  <c r="AE406" i="8"/>
  <c r="F618" i="6"/>
  <c r="T406" i="8"/>
  <c r="AD406" i="8"/>
  <c r="V406" i="8"/>
  <c r="AF406" i="8"/>
  <c r="Y302" i="8"/>
  <c r="AI302" i="8"/>
  <c r="Y406" i="8"/>
  <c r="AI406" i="8"/>
  <c r="Z406" i="8"/>
  <c r="AJ406" i="8"/>
  <c r="U405" i="8"/>
  <c r="AE405" i="8"/>
  <c r="W380" i="8"/>
  <c r="AG380" i="8"/>
  <c r="U372" i="8"/>
  <c r="AE372" i="8"/>
  <c r="AA405" i="8"/>
  <c r="AK405" i="8"/>
  <c r="V405" i="8"/>
  <c r="AF405" i="8"/>
  <c r="Y405" i="8"/>
  <c r="AI405" i="8"/>
  <c r="W301" i="8"/>
  <c r="AG301" i="8"/>
  <c r="W405" i="8"/>
  <c r="AG405" i="8"/>
  <c r="X405" i="8"/>
  <c r="AH405" i="8"/>
  <c r="AA404" i="8"/>
  <c r="AK404" i="8"/>
  <c r="F617" i="6"/>
  <c r="I617" i="6"/>
  <c r="X300" i="8"/>
  <c r="AH300" i="8"/>
  <c r="X404" i="8"/>
  <c r="AH404" i="8"/>
  <c r="T402" i="8"/>
  <c r="AD402" i="8"/>
  <c r="AA402" i="8"/>
  <c r="AK402" i="8"/>
  <c r="Z403" i="8"/>
  <c r="AJ403" i="8"/>
  <c r="V403" i="8"/>
  <c r="AF403" i="8"/>
  <c r="X403" i="8"/>
  <c r="AH403" i="8"/>
  <c r="W402" i="8"/>
  <c r="AG402" i="8"/>
  <c r="X298" i="8"/>
  <c r="AH298" i="8"/>
  <c r="X402" i="8"/>
  <c r="AH402" i="8"/>
  <c r="Z298" i="8"/>
  <c r="AJ298" i="8"/>
  <c r="Z402" i="8"/>
  <c r="AJ402" i="8"/>
  <c r="V397" i="8"/>
  <c r="AF397" i="8"/>
  <c r="Y397" i="8"/>
  <c r="AI397" i="8"/>
  <c r="T397" i="8"/>
  <c r="AD397" i="8"/>
  <c r="V402" i="8"/>
  <c r="AF402" i="8"/>
  <c r="U402" i="8"/>
  <c r="AE402" i="8"/>
  <c r="Y401" i="8"/>
  <c r="AI401" i="8"/>
  <c r="X401" i="8"/>
  <c r="AH401" i="8"/>
  <c r="D613" i="6"/>
  <c r="Y348" i="8"/>
  <c r="AI348" i="8"/>
  <c r="Y400" i="8"/>
  <c r="AI400" i="8"/>
  <c r="AA399" i="8"/>
  <c r="AK399" i="8"/>
  <c r="AA393" i="8"/>
  <c r="AK393" i="8"/>
  <c r="Z293" i="8"/>
  <c r="AJ293" i="8"/>
  <c r="Z397" i="8"/>
  <c r="AJ397" i="8"/>
  <c r="U293" i="8"/>
  <c r="AE293" i="8"/>
  <c r="U397" i="8"/>
  <c r="AE397" i="8"/>
  <c r="Y398" i="8"/>
  <c r="AI398" i="8"/>
  <c r="X398" i="8"/>
  <c r="AH398" i="8"/>
  <c r="Z398" i="8"/>
  <c r="AJ398" i="8"/>
  <c r="X397" i="8"/>
  <c r="AH397" i="8"/>
  <c r="W398" i="8"/>
  <c r="AG398" i="8"/>
  <c r="AA397" i="8"/>
  <c r="AK397" i="8"/>
  <c r="W399" i="8"/>
  <c r="AG399" i="8"/>
  <c r="T399" i="8"/>
  <c r="AD399" i="8"/>
  <c r="W397" i="8"/>
  <c r="AG397" i="8"/>
  <c r="T398" i="8"/>
  <c r="AD398" i="8"/>
  <c r="Y370" i="8"/>
  <c r="AI370" i="8"/>
  <c r="U396" i="8"/>
  <c r="AE396" i="8"/>
  <c r="AA292" i="8"/>
  <c r="AK292" i="8"/>
  <c r="AA396" i="8"/>
  <c r="AK396" i="8"/>
  <c r="Z292" i="8"/>
  <c r="AJ292" i="8"/>
  <c r="Z396" i="8"/>
  <c r="AJ396" i="8"/>
  <c r="Y292" i="8"/>
  <c r="AI292" i="8"/>
  <c r="Y396" i="8"/>
  <c r="AI396" i="8"/>
  <c r="AA281" i="8"/>
  <c r="AK281" i="8"/>
  <c r="V331" i="8"/>
  <c r="AF331" i="8"/>
  <c r="Z330" i="8"/>
  <c r="AJ330" i="8"/>
  <c r="U306" i="8"/>
  <c r="AE306" i="8"/>
  <c r="D498" i="6"/>
  <c r="F498" i="6"/>
  <c r="U337" i="8"/>
  <c r="AE337" i="8"/>
  <c r="AM295" i="8"/>
  <c r="Z254" i="8"/>
  <c r="AJ254" i="8"/>
  <c r="AM329" i="8"/>
  <c r="AA394" i="8"/>
  <c r="AK394" i="8"/>
  <c r="Y227" i="8"/>
  <c r="AI227" i="8"/>
  <c r="X387" i="8"/>
  <c r="AH387" i="8"/>
  <c r="D607" i="6"/>
  <c r="I607" i="6"/>
  <c r="W302" i="8"/>
  <c r="AG302" i="8"/>
  <c r="Y249" i="8"/>
  <c r="AI249" i="8"/>
  <c r="T366" i="8"/>
  <c r="AD366" i="8"/>
  <c r="T364" i="8"/>
  <c r="AD364" i="8"/>
  <c r="V314" i="8"/>
  <c r="AF314" i="8"/>
  <c r="T315" i="8"/>
  <c r="AD315" i="8"/>
  <c r="W337" i="8"/>
  <c r="AG337" i="8"/>
  <c r="U250" i="8"/>
  <c r="AE250" i="8"/>
  <c r="D438" i="6"/>
  <c r="F438" i="6"/>
  <c r="V254" i="8"/>
  <c r="AF254" i="8"/>
  <c r="X395" i="8"/>
  <c r="AH395" i="8"/>
  <c r="AA291" i="8"/>
  <c r="AK291" i="8"/>
  <c r="AA395" i="8"/>
  <c r="AK395" i="8"/>
  <c r="Z291" i="8"/>
  <c r="AJ291" i="8"/>
  <c r="Z395" i="8"/>
  <c r="AJ395" i="8"/>
  <c r="D579" i="6"/>
  <c r="I579" i="6"/>
  <c r="V383" i="8"/>
  <c r="AF383" i="8"/>
  <c r="AA380" i="8"/>
  <c r="AK380" i="8"/>
  <c r="V395" i="8"/>
  <c r="AF395" i="8"/>
  <c r="T395" i="8"/>
  <c r="AD395" i="8"/>
  <c r="Y395" i="8"/>
  <c r="AI395" i="8"/>
  <c r="X373" i="8"/>
  <c r="AH373" i="8"/>
  <c r="Z224" i="8"/>
  <c r="AJ224" i="8"/>
  <c r="X325" i="8"/>
  <c r="AH325" i="8"/>
  <c r="AM319" i="8"/>
  <c r="T269" i="8"/>
  <c r="D606" i="6"/>
  <c r="F606" i="6"/>
  <c r="W227" i="8"/>
  <c r="AG227" i="8"/>
  <c r="AM270" i="8"/>
  <c r="AM267" i="8"/>
  <c r="Y329" i="8"/>
  <c r="AI329" i="8"/>
  <c r="W291" i="8"/>
  <c r="AG291" i="8"/>
  <c r="Y256" i="8"/>
  <c r="AI256" i="8"/>
  <c r="AM252" i="8"/>
  <c r="X394" i="8"/>
  <c r="AH394" i="8"/>
  <c r="Y301" i="8"/>
  <c r="AI301" i="8"/>
  <c r="W308" i="8"/>
  <c r="AG308" i="8"/>
  <c r="Z306" i="8"/>
  <c r="AJ306" i="8"/>
  <c r="AM311" i="8"/>
  <c r="T342" i="8"/>
  <c r="AD342" i="8"/>
  <c r="T394" i="8"/>
  <c r="AD394" i="8"/>
  <c r="V220" i="8"/>
  <c r="AF220" i="8"/>
  <c r="W239" i="8"/>
  <c r="AG239" i="8"/>
  <c r="W338" i="8"/>
  <c r="AG338" i="8"/>
  <c r="U222" i="8"/>
  <c r="W219" i="8"/>
  <c r="AG219" i="8"/>
  <c r="X290" i="8"/>
  <c r="AH290" i="8"/>
  <c r="X388" i="8"/>
  <c r="AH388" i="8"/>
  <c r="X237" i="8"/>
  <c r="AH237" i="8"/>
  <c r="D598" i="6"/>
  <c r="F598" i="6"/>
  <c r="X234" i="8"/>
  <c r="AH234" i="8"/>
  <c r="Z390" i="8"/>
  <c r="AJ390" i="8"/>
  <c r="D601" i="6"/>
  <c r="F601" i="6"/>
  <c r="U251" i="8"/>
  <c r="AE251" i="8"/>
  <c r="W351" i="8"/>
  <c r="AG351" i="8"/>
  <c r="Z329" i="8"/>
  <c r="AJ329" i="8"/>
  <c r="V392" i="8"/>
  <c r="AF392" i="8"/>
  <c r="Z285" i="8"/>
  <c r="AJ285" i="8"/>
  <c r="W393" i="8"/>
  <c r="AG393" i="8"/>
  <c r="X342" i="8"/>
  <c r="AH342" i="8"/>
  <c r="Y377" i="8"/>
  <c r="AI377" i="8"/>
  <c r="W372" i="8"/>
  <c r="AG372" i="8"/>
  <c r="T392" i="8"/>
  <c r="AD392" i="8"/>
  <c r="X256" i="8"/>
  <c r="AH256" i="8"/>
  <c r="AA356" i="8"/>
  <c r="AK356" i="8"/>
  <c r="W360" i="8"/>
  <c r="AG360" i="8"/>
  <c r="Y394" i="8"/>
  <c r="AI394" i="8"/>
  <c r="U394" i="8"/>
  <c r="AE394" i="8"/>
  <c r="Z290" i="8"/>
  <c r="AJ290" i="8"/>
  <c r="Z394" i="8"/>
  <c r="AJ394" i="8"/>
  <c r="W394" i="8"/>
  <c r="AG394" i="8"/>
  <c r="Z393" i="8"/>
  <c r="AJ393" i="8"/>
  <c r="T393" i="8"/>
  <c r="AD393" i="8"/>
  <c r="X393" i="8"/>
  <c r="AH393" i="8"/>
  <c r="D605" i="6"/>
  <c r="U393" i="8"/>
  <c r="AE393" i="8"/>
  <c r="V393" i="8"/>
  <c r="AF393" i="8"/>
  <c r="X389" i="8"/>
  <c r="AH389" i="8"/>
  <c r="Y391" i="8"/>
  <c r="AI391" i="8"/>
  <c r="Y392" i="8"/>
  <c r="AI392" i="8"/>
  <c r="AM305" i="8"/>
  <c r="AA392" i="8"/>
  <c r="AK392" i="8"/>
  <c r="U392" i="8"/>
  <c r="AE392" i="8"/>
  <c r="D604" i="6"/>
  <c r="U391" i="8"/>
  <c r="AE391" i="8"/>
  <c r="V339" i="8"/>
  <c r="AF339" i="8"/>
  <c r="V391" i="8"/>
  <c r="AF391" i="8"/>
  <c r="W364" i="8"/>
  <c r="AG364" i="8"/>
  <c r="W388" i="8"/>
  <c r="AG388" i="8"/>
  <c r="AA388" i="8"/>
  <c r="AK388" i="8"/>
  <c r="U382" i="8"/>
  <c r="AE382" i="8"/>
  <c r="W391" i="8"/>
  <c r="AG391" i="8"/>
  <c r="D603" i="6"/>
  <c r="AA391" i="8"/>
  <c r="AK391" i="8"/>
  <c r="U338" i="8"/>
  <c r="AE338" i="8"/>
  <c r="U390" i="8"/>
  <c r="AE390" i="8"/>
  <c r="W377" i="8"/>
  <c r="AG377" i="8"/>
  <c r="D602" i="6"/>
  <c r="X338" i="8"/>
  <c r="AH338" i="8"/>
  <c r="X390" i="8"/>
  <c r="AH390" i="8"/>
  <c r="W390" i="8"/>
  <c r="AG390" i="8"/>
  <c r="V390" i="8"/>
  <c r="AF390" i="8"/>
  <c r="V389" i="8"/>
  <c r="AF389" i="8"/>
  <c r="T389" i="8"/>
  <c r="AD389" i="8"/>
  <c r="U389" i="8"/>
  <c r="AE389" i="8"/>
  <c r="Z389" i="8"/>
  <c r="AJ389" i="8"/>
  <c r="W389" i="8"/>
  <c r="AG389" i="8"/>
  <c r="AA389" i="8"/>
  <c r="AK389" i="8"/>
  <c r="Y388" i="8"/>
  <c r="AI388" i="8"/>
  <c r="U388" i="8"/>
  <c r="AE388" i="8"/>
  <c r="V336" i="8"/>
  <c r="AF336" i="8"/>
  <c r="V388" i="8"/>
  <c r="AF388" i="8"/>
  <c r="T388" i="8"/>
  <c r="AD388" i="8"/>
  <c r="D544" i="6"/>
  <c r="F544" i="6"/>
  <c r="D600" i="6"/>
  <c r="AA387" i="8"/>
  <c r="AK387" i="8"/>
  <c r="AM269" i="8"/>
  <c r="Y387" i="8"/>
  <c r="AI387" i="8"/>
  <c r="T286" i="8"/>
  <c r="AD286" i="8"/>
  <c r="W387" i="8"/>
  <c r="AG387" i="8"/>
  <c r="T283" i="8"/>
  <c r="AD283" i="8"/>
  <c r="T387" i="8"/>
  <c r="AD387" i="8"/>
  <c r="D547" i="6"/>
  <c r="I547" i="6"/>
  <c r="D599" i="6"/>
  <c r="Y325" i="8"/>
  <c r="AI325" i="8"/>
  <c r="U387" i="8"/>
  <c r="AE387" i="8"/>
  <c r="V387" i="8"/>
  <c r="AF387" i="8"/>
  <c r="V295" i="8"/>
  <c r="AF295" i="8"/>
  <c r="Y272" i="8"/>
  <c r="AI272" i="8"/>
  <c r="D543" i="6"/>
  <c r="I543" i="6"/>
  <c r="U333" i="8"/>
  <c r="AE333" i="8"/>
  <c r="AA228" i="8"/>
  <c r="AK228" i="8"/>
  <c r="T251" i="8"/>
  <c r="AD251" i="8"/>
  <c r="AA223" i="8"/>
  <c r="AK223" i="8"/>
  <c r="AM220" i="8"/>
  <c r="T311" i="8"/>
  <c r="AD311" i="8"/>
  <c r="X223" i="8"/>
  <c r="AH223" i="8"/>
  <c r="X289" i="8"/>
  <c r="AH289" i="8"/>
  <c r="Z218" i="8"/>
  <c r="AJ218" i="8"/>
  <c r="Y291" i="8"/>
  <c r="AI291" i="8"/>
  <c r="V306" i="8"/>
  <c r="AF306" i="8"/>
  <c r="Y308" i="8"/>
  <c r="AI308" i="8"/>
  <c r="U303" i="8"/>
  <c r="AE303" i="8"/>
  <c r="AM257" i="8"/>
  <c r="AM327" i="8"/>
  <c r="Z387" i="8"/>
  <c r="AJ387" i="8"/>
  <c r="U232" i="8"/>
  <c r="AE232" i="8"/>
  <c r="Y228" i="8"/>
  <c r="AI228" i="8"/>
  <c r="U220" i="8"/>
  <c r="X262" i="8"/>
  <c r="AH262" i="8"/>
  <c r="AM284" i="8"/>
  <c r="AA285" i="8"/>
  <c r="AK285" i="8"/>
  <c r="V218" i="8"/>
  <c r="AF218" i="8"/>
  <c r="Y331" i="8"/>
  <c r="AI331" i="8"/>
  <c r="AM237" i="8"/>
  <c r="T241" i="8"/>
  <c r="AD241" i="8"/>
  <c r="Y225" i="8"/>
  <c r="AI225" i="8"/>
  <c r="V386" i="8"/>
  <c r="AF386" i="8"/>
  <c r="U364" i="8"/>
  <c r="AE364" i="8"/>
  <c r="AM312" i="8"/>
  <c r="V364" i="8"/>
  <c r="AF364" i="8"/>
  <c r="T354" i="8"/>
  <c r="AD354" i="8"/>
  <c r="D550" i="6"/>
  <c r="F550" i="6"/>
  <c r="D396" i="6"/>
  <c r="F396" i="6"/>
  <c r="D496" i="6"/>
  <c r="I496" i="6"/>
  <c r="AA348" i="8"/>
  <c r="AK348" i="8"/>
  <c r="D560" i="6"/>
  <c r="I560" i="6"/>
  <c r="X232" i="8"/>
  <c r="AH232" i="8"/>
  <c r="AA371" i="8"/>
  <c r="AK371" i="8"/>
  <c r="V363" i="8"/>
  <c r="AF363" i="8"/>
  <c r="Y218" i="8"/>
  <c r="AI218" i="8"/>
  <c r="U256" i="8"/>
  <c r="AE256" i="8"/>
  <c r="AA339" i="8"/>
  <c r="AK339" i="8"/>
  <c r="D492" i="6"/>
  <c r="F492" i="6"/>
  <c r="T353" i="8"/>
  <c r="AD353" i="8"/>
  <c r="W263" i="8"/>
  <c r="AG263" i="8"/>
  <c r="D429" i="6"/>
  <c r="I429" i="6"/>
  <c r="D588" i="6"/>
  <c r="F588" i="6"/>
  <c r="X303" i="8"/>
  <c r="AH303" i="8"/>
  <c r="AM235" i="8"/>
  <c r="D397" i="6"/>
  <c r="F397" i="6"/>
  <c r="Y382" i="8"/>
  <c r="AI382" i="8"/>
  <c r="D591" i="6"/>
  <c r="I591" i="6"/>
  <c r="X374" i="8"/>
  <c r="AH374" i="8"/>
  <c r="AA372" i="8"/>
  <c r="AK372" i="8"/>
  <c r="W234" i="8"/>
  <c r="AG234" i="8"/>
  <c r="T234" i="8"/>
  <c r="AD234" i="8"/>
  <c r="Z382" i="8"/>
  <c r="AJ382" i="8"/>
  <c r="U253" i="8"/>
  <c r="AE253" i="8"/>
  <c r="Z380" i="8"/>
  <c r="AJ380" i="8"/>
  <c r="V324" i="8"/>
  <c r="AF324" i="8"/>
  <c r="X225" i="8"/>
  <c r="AH225" i="8"/>
  <c r="D387" i="6"/>
  <c r="F387" i="6"/>
  <c r="U325" i="8"/>
  <c r="U225" i="8"/>
  <c r="AE225" i="8"/>
  <c r="Z377" i="8"/>
  <c r="AJ377" i="8"/>
  <c r="T266" i="8"/>
  <c r="Z279" i="8"/>
  <c r="AJ279" i="8"/>
  <c r="Y254" i="8"/>
  <c r="AI254" i="8"/>
  <c r="AM304" i="8"/>
  <c r="V349" i="8"/>
  <c r="AF349" i="8"/>
  <c r="U336" i="8"/>
  <c r="AE336" i="8"/>
  <c r="AM226" i="8"/>
  <c r="AM225" i="8"/>
  <c r="AA378" i="8"/>
  <c r="AK378" i="8"/>
  <c r="Z378" i="8"/>
  <c r="AJ378" i="8"/>
  <c r="X378" i="8"/>
  <c r="AH378" i="8"/>
  <c r="T263" i="8"/>
  <c r="D535" i="6"/>
  <c r="I535" i="6"/>
  <c r="V345" i="8"/>
  <c r="AF345" i="8"/>
  <c r="T340" i="8"/>
  <c r="AD340" i="8"/>
  <c r="Y381" i="8"/>
  <c r="AI381" i="8"/>
  <c r="X268" i="8"/>
  <c r="AH268" i="8"/>
  <c r="Y255" i="8"/>
  <c r="AI255" i="8"/>
  <c r="AM289" i="8"/>
  <c r="D594" i="6"/>
  <c r="F594" i="6"/>
  <c r="AM303" i="8"/>
  <c r="AM292" i="8"/>
  <c r="T291" i="8"/>
  <c r="AD291" i="8"/>
  <c r="U321" i="8"/>
  <c r="V255" i="8"/>
  <c r="AF255" i="8"/>
  <c r="D572" i="6"/>
  <c r="I572" i="6"/>
  <c r="U334" i="8"/>
  <c r="AE334" i="8"/>
  <c r="U386" i="8"/>
  <c r="AE386" i="8"/>
  <c r="W386" i="8"/>
  <c r="AG386" i="8"/>
  <c r="Z386" i="8"/>
  <c r="AJ386" i="8"/>
  <c r="X334" i="8"/>
  <c r="AH334" i="8"/>
  <c r="X386" i="8"/>
  <c r="AH386" i="8"/>
  <c r="T282" i="8"/>
  <c r="AD282" i="8"/>
  <c r="T386" i="8"/>
  <c r="AD386" i="8"/>
  <c r="AM386" i="8"/>
  <c r="AA386" i="8"/>
  <c r="AK386" i="8"/>
  <c r="W366" i="8"/>
  <c r="AG366" i="8"/>
  <c r="T385" i="8"/>
  <c r="AD385" i="8"/>
  <c r="Z385" i="8"/>
  <c r="AJ385" i="8"/>
  <c r="AA385" i="8"/>
  <c r="AK385" i="8"/>
  <c r="D597" i="6"/>
  <c r="Y385" i="8"/>
  <c r="AI385" i="8"/>
  <c r="V385" i="8"/>
  <c r="AF385" i="8"/>
  <c r="X333" i="8"/>
  <c r="AH333" i="8"/>
  <c r="X385" i="8"/>
  <c r="AH385" i="8"/>
  <c r="W333" i="8"/>
  <c r="AG333" i="8"/>
  <c r="W385" i="8"/>
  <c r="AG385" i="8"/>
  <c r="U385" i="8"/>
  <c r="AE385" i="8"/>
  <c r="T384" i="8"/>
  <c r="AD384" i="8"/>
  <c r="D596" i="6"/>
  <c r="Z384" i="8"/>
  <c r="AJ384" i="8"/>
  <c r="AA384" i="8"/>
  <c r="AK384" i="8"/>
  <c r="X332" i="8"/>
  <c r="AH332" i="8"/>
  <c r="X384" i="8"/>
  <c r="AH384" i="8"/>
  <c r="V384" i="8"/>
  <c r="AF384" i="8"/>
  <c r="U384" i="8"/>
  <c r="AE384" i="8"/>
  <c r="W384" i="8"/>
  <c r="AG384" i="8"/>
  <c r="Y384" i="8"/>
  <c r="AI384" i="8"/>
  <c r="X383" i="8"/>
  <c r="AH383" i="8"/>
  <c r="V382" i="8"/>
  <c r="AF382" i="8"/>
  <c r="D595" i="6"/>
  <c r="W382" i="8"/>
  <c r="AG382" i="8"/>
  <c r="AA331" i="8"/>
  <c r="AK331" i="8"/>
  <c r="AA383" i="8"/>
  <c r="AK383" i="8"/>
  <c r="X278" i="8"/>
  <c r="AH278" i="8"/>
  <c r="X382" i="8"/>
  <c r="AH382" i="8"/>
  <c r="AM383" i="8"/>
  <c r="U383" i="8"/>
  <c r="AE383" i="8"/>
  <c r="W383" i="8"/>
  <c r="AG383" i="8"/>
  <c r="Z383" i="8"/>
  <c r="AJ383" i="8"/>
  <c r="V381" i="8"/>
  <c r="AF381" i="8"/>
  <c r="D593" i="6"/>
  <c r="W381" i="8"/>
  <c r="AG381" i="8"/>
  <c r="Y380" i="8"/>
  <c r="AI380" i="8"/>
  <c r="D592" i="6"/>
  <c r="AA379" i="8"/>
  <c r="AK379" i="8"/>
  <c r="Z379" i="8"/>
  <c r="AJ379" i="8"/>
  <c r="V379" i="8"/>
  <c r="AF379" i="8"/>
  <c r="Y378" i="8"/>
  <c r="AI378" i="8"/>
  <c r="D537" i="6"/>
  <c r="F537" i="6"/>
  <c r="AA376" i="8"/>
  <c r="AK376" i="8"/>
  <c r="Y372" i="8"/>
  <c r="AI372" i="8"/>
  <c r="AA287" i="8"/>
  <c r="AK287" i="8"/>
  <c r="W376" i="8"/>
  <c r="AG376" i="8"/>
  <c r="D589" i="6"/>
  <c r="AA377" i="8"/>
  <c r="AK377" i="8"/>
  <c r="V377" i="8"/>
  <c r="AF377" i="8"/>
  <c r="Y375" i="8"/>
  <c r="AI375" i="8"/>
  <c r="Z376" i="8"/>
  <c r="AJ376" i="8"/>
  <c r="X376" i="8"/>
  <c r="AH376" i="8"/>
  <c r="Y376" i="8"/>
  <c r="AI376" i="8"/>
  <c r="V376" i="8"/>
  <c r="AF376" i="8"/>
  <c r="Z375" i="8"/>
  <c r="AJ375" i="8"/>
  <c r="AA375" i="8"/>
  <c r="AK375" i="8"/>
  <c r="X375" i="8"/>
  <c r="AH375" i="8"/>
  <c r="V375" i="8"/>
  <c r="AF375" i="8"/>
  <c r="W375" i="8"/>
  <c r="AG375" i="8"/>
  <c r="D587" i="6"/>
  <c r="W374" i="8"/>
  <c r="AG374" i="8"/>
  <c r="Y374" i="8"/>
  <c r="AI374" i="8"/>
  <c r="AA374" i="8"/>
  <c r="AK374" i="8"/>
  <c r="D584" i="6"/>
  <c r="F584" i="6"/>
  <c r="D586" i="6"/>
  <c r="Z369" i="8"/>
  <c r="AJ369" i="8"/>
  <c r="AA373" i="8"/>
  <c r="AK373" i="8"/>
  <c r="V321" i="8"/>
  <c r="AF321" i="8"/>
  <c r="V373" i="8"/>
  <c r="AF373" i="8"/>
  <c r="Z308" i="8"/>
  <c r="AJ308" i="8"/>
  <c r="T355" i="8"/>
  <c r="AD355" i="8"/>
  <c r="U358" i="8"/>
  <c r="AE358" i="8"/>
  <c r="W249" i="8"/>
  <c r="AG249" i="8"/>
  <c r="V253" i="8"/>
  <c r="AF253" i="8"/>
  <c r="AM302" i="8"/>
  <c r="Z373" i="8"/>
  <c r="AJ373" i="8"/>
  <c r="Y369" i="8"/>
  <c r="AI369" i="8"/>
  <c r="Z248" i="8"/>
  <c r="AJ248" i="8"/>
  <c r="Z372" i="8"/>
  <c r="AJ372" i="8"/>
  <c r="V372" i="8"/>
  <c r="AF372" i="8"/>
  <c r="X372" i="8"/>
  <c r="AH372" i="8"/>
  <c r="Y371" i="8"/>
  <c r="AI371" i="8"/>
  <c r="Z371" i="8"/>
  <c r="AJ371" i="8"/>
  <c r="D583" i="6"/>
  <c r="V371" i="8"/>
  <c r="AF371" i="8"/>
  <c r="W371" i="8"/>
  <c r="AG371" i="8"/>
  <c r="U371" i="8"/>
  <c r="AE371" i="8"/>
  <c r="Z370" i="8"/>
  <c r="AJ370" i="8"/>
  <c r="V370" i="8"/>
  <c r="AF370" i="8"/>
  <c r="AA370" i="8"/>
  <c r="AK370" i="8"/>
  <c r="W370" i="8"/>
  <c r="AG370" i="8"/>
  <c r="U370" i="8"/>
  <c r="AE370" i="8"/>
  <c r="D582" i="6"/>
  <c r="X370" i="8"/>
  <c r="AH370" i="8"/>
  <c r="W369" i="8"/>
  <c r="AG369" i="8"/>
  <c r="U369" i="8"/>
  <c r="AE369" i="8"/>
  <c r="AA265" i="8"/>
  <c r="AK265" i="8"/>
  <c r="AA369" i="8"/>
  <c r="AK369" i="8"/>
  <c r="X369" i="8"/>
  <c r="AH369" i="8"/>
  <c r="V369" i="8"/>
  <c r="AF369" i="8"/>
  <c r="X320" i="8"/>
  <c r="AH320" i="8"/>
  <c r="D581" i="6"/>
  <c r="V365" i="8"/>
  <c r="AF365" i="8"/>
  <c r="Z368" i="8"/>
  <c r="AJ368" i="8"/>
  <c r="X368" i="8"/>
  <c r="AH368" i="8"/>
  <c r="Z267" i="8"/>
  <c r="AJ267" i="8"/>
  <c r="U275" i="8"/>
  <c r="U227" i="8"/>
  <c r="AE227" i="8"/>
  <c r="T363" i="8"/>
  <c r="AD363" i="8"/>
  <c r="U264" i="8"/>
  <c r="U368" i="8"/>
  <c r="AE368" i="8"/>
  <c r="Y367" i="8"/>
  <c r="AI367" i="8"/>
  <c r="X367" i="8"/>
  <c r="AH367" i="8"/>
  <c r="V368" i="8"/>
  <c r="AF368" i="8"/>
  <c r="V367" i="8"/>
  <c r="AF367" i="8"/>
  <c r="T367" i="8"/>
  <c r="AD367" i="8"/>
  <c r="AA263" i="8"/>
  <c r="AK263" i="8"/>
  <c r="AA367" i="8"/>
  <c r="AK367" i="8"/>
  <c r="U367" i="8"/>
  <c r="AE367" i="8"/>
  <c r="Y368" i="8"/>
  <c r="AI368" i="8"/>
  <c r="W368" i="8"/>
  <c r="AG368" i="8"/>
  <c r="T368" i="8"/>
  <c r="AD368" i="8"/>
  <c r="D580" i="6"/>
  <c r="AA368" i="8"/>
  <c r="AK368" i="8"/>
  <c r="W367" i="8"/>
  <c r="AG367" i="8"/>
  <c r="V366" i="8"/>
  <c r="AF366" i="8"/>
  <c r="AA366" i="8"/>
  <c r="AK366" i="8"/>
  <c r="Z366" i="8"/>
  <c r="AJ366" i="8"/>
  <c r="Z365" i="8"/>
  <c r="AJ365" i="8"/>
  <c r="Y366" i="8"/>
  <c r="AI366" i="8"/>
  <c r="X366" i="8"/>
  <c r="AH366" i="8"/>
  <c r="U366" i="8"/>
  <c r="AE366" i="8"/>
  <c r="D578" i="6"/>
  <c r="Y365" i="8"/>
  <c r="AI365" i="8"/>
  <c r="U365" i="8"/>
  <c r="AE365" i="8"/>
  <c r="AA313" i="8"/>
  <c r="AK313" i="8"/>
  <c r="AA365" i="8"/>
  <c r="AK365" i="8"/>
  <c r="X365" i="8"/>
  <c r="AH365" i="8"/>
  <c r="D577" i="6"/>
  <c r="W365" i="8"/>
  <c r="AG365" i="8"/>
  <c r="D575" i="6"/>
  <c r="F575" i="6"/>
  <c r="AA260" i="8"/>
  <c r="AK260" i="8"/>
  <c r="AA364" i="8"/>
  <c r="AK364" i="8"/>
  <c r="Z364" i="8"/>
  <c r="AJ364" i="8"/>
  <c r="AM364" i="8"/>
  <c r="D576" i="6"/>
  <c r="AA363" i="8"/>
  <c r="AK363" i="8"/>
  <c r="AM363" i="8"/>
  <c r="Z363" i="8"/>
  <c r="AJ363" i="8"/>
  <c r="Y363" i="8"/>
  <c r="AI363" i="8"/>
  <c r="U363" i="8"/>
  <c r="AE363" i="8"/>
  <c r="AM362" i="8"/>
  <c r="Y361" i="8"/>
  <c r="AI361" i="8"/>
  <c r="T362" i="8"/>
  <c r="AD362" i="8"/>
  <c r="D521" i="6"/>
  <c r="F521" i="6"/>
  <c r="D573" i="6"/>
  <c r="AM361" i="8"/>
  <c r="AM360" i="8"/>
  <c r="Z233" i="8"/>
  <c r="AJ233" i="8"/>
  <c r="Y270" i="8"/>
  <c r="AI270" i="8"/>
  <c r="Z320" i="8"/>
  <c r="AJ320" i="8"/>
  <c r="Z355" i="8"/>
  <c r="AJ355" i="8"/>
  <c r="U345" i="8"/>
  <c r="AE345" i="8"/>
  <c r="Y358" i="8"/>
  <c r="AI358" i="8"/>
  <c r="Y350" i="8"/>
  <c r="AI350" i="8"/>
  <c r="Z360" i="8"/>
  <c r="AJ360" i="8"/>
  <c r="X360" i="8"/>
  <c r="AH360" i="8"/>
  <c r="AA308" i="8"/>
  <c r="AK308" i="8"/>
  <c r="AA360" i="8"/>
  <c r="AK360" i="8"/>
  <c r="U360" i="8"/>
  <c r="AE360" i="8"/>
  <c r="Y360" i="8"/>
  <c r="AI360" i="8"/>
  <c r="Z323" i="8"/>
  <c r="AJ323" i="8"/>
  <c r="X328" i="8"/>
  <c r="AH328" i="8"/>
  <c r="U218" i="8"/>
  <c r="AA347" i="8"/>
  <c r="AK347" i="8"/>
  <c r="Z236" i="8"/>
  <c r="AJ236" i="8"/>
  <c r="U223" i="8"/>
  <c r="AE223" i="8"/>
  <c r="Y359" i="8"/>
  <c r="AI359" i="8"/>
  <c r="W359" i="8"/>
  <c r="AG359" i="8"/>
  <c r="X359" i="8"/>
  <c r="AH359" i="8"/>
  <c r="U307" i="8"/>
  <c r="AE307" i="8"/>
  <c r="U359" i="8"/>
  <c r="AE359" i="8"/>
  <c r="U219" i="8"/>
  <c r="X330" i="8"/>
  <c r="AH330" i="8"/>
  <c r="Z359" i="8"/>
  <c r="AJ359" i="8"/>
  <c r="U274" i="8"/>
  <c r="T273" i="8"/>
  <c r="V359" i="8"/>
  <c r="AF359" i="8"/>
  <c r="AM359" i="8"/>
  <c r="AM260" i="8"/>
  <c r="X316" i="8"/>
  <c r="AH316" i="8"/>
  <c r="AA234" i="8"/>
  <c r="AK234" i="8"/>
  <c r="T244" i="8"/>
  <c r="AD244" i="8"/>
  <c r="T262" i="8"/>
  <c r="X347" i="8"/>
  <c r="AH347" i="8"/>
  <c r="Y288" i="8"/>
  <c r="AI288" i="8"/>
  <c r="X285" i="8"/>
  <c r="AH285" i="8"/>
  <c r="V287" i="8"/>
  <c r="AF287" i="8"/>
  <c r="V219" i="8"/>
  <c r="AF219" i="8"/>
  <c r="Z232" i="8"/>
  <c r="AJ232" i="8"/>
  <c r="Y324" i="8"/>
  <c r="AI324" i="8"/>
  <c r="Z255" i="8"/>
  <c r="AJ255" i="8"/>
  <c r="AA340" i="8"/>
  <c r="AK340" i="8"/>
  <c r="U271" i="8"/>
  <c r="Z303" i="8"/>
  <c r="AJ303" i="8"/>
  <c r="U289" i="8"/>
  <c r="AE289" i="8"/>
  <c r="X341" i="8"/>
  <c r="AH341" i="8"/>
  <c r="X286" i="8"/>
  <c r="AH286" i="8"/>
  <c r="D446" i="6"/>
  <c r="I446" i="6"/>
  <c r="W319" i="8"/>
  <c r="AG319" i="8"/>
  <c r="T268" i="8"/>
  <c r="AM271" i="8"/>
  <c r="Y276" i="8"/>
  <c r="AI276" i="8"/>
  <c r="W286" i="8"/>
  <c r="AG286" i="8"/>
  <c r="D439" i="6"/>
  <c r="F439" i="6"/>
  <c r="AM219" i="8"/>
  <c r="T259" i="8"/>
  <c r="AD259" i="8"/>
  <c r="T264" i="8"/>
  <c r="U277" i="8"/>
  <c r="V358" i="8"/>
  <c r="AF358" i="8"/>
  <c r="AM358" i="8"/>
  <c r="Z358" i="8"/>
  <c r="AJ358" i="8"/>
  <c r="X358" i="8"/>
  <c r="AH358" i="8"/>
  <c r="Y305" i="8"/>
  <c r="AI305" i="8"/>
  <c r="Y357" i="8"/>
  <c r="AI357" i="8"/>
  <c r="AM357" i="8"/>
  <c r="X319" i="8"/>
  <c r="AH319" i="8"/>
  <c r="Z307" i="8"/>
  <c r="AJ307" i="8"/>
  <c r="U292" i="8"/>
  <c r="AE292" i="8"/>
  <c r="U229" i="8"/>
  <c r="AE229" i="8"/>
  <c r="AA337" i="8"/>
  <c r="AK337" i="8"/>
  <c r="AM264" i="8"/>
  <c r="W307" i="8"/>
  <c r="AG307" i="8"/>
  <c r="X304" i="8"/>
  <c r="AH304" i="8"/>
  <c r="U305" i="8"/>
  <c r="AE305" i="8"/>
  <c r="T293" i="8"/>
  <c r="AD293" i="8"/>
  <c r="W357" i="8"/>
  <c r="AG357" i="8"/>
  <c r="V357" i="8"/>
  <c r="AF357" i="8"/>
  <c r="Z357" i="8"/>
  <c r="AJ357" i="8"/>
  <c r="X253" i="8"/>
  <c r="AH253" i="8"/>
  <c r="X357" i="8"/>
  <c r="AH357" i="8"/>
  <c r="D517" i="6"/>
  <c r="F517" i="6"/>
  <c r="D569" i="6"/>
  <c r="T305" i="8"/>
  <c r="AD305" i="8"/>
  <c r="T357" i="8"/>
  <c r="AD357" i="8"/>
  <c r="T292" i="8"/>
  <c r="AD292" i="8"/>
  <c r="W324" i="8"/>
  <c r="AG324" i="8"/>
  <c r="Y280" i="8"/>
  <c r="AI280" i="8"/>
  <c r="V217" i="8"/>
  <c r="AF217" i="8"/>
  <c r="U357" i="8"/>
  <c r="AE357" i="8"/>
  <c r="AM227" i="8"/>
  <c r="D540" i="6"/>
  <c r="F540" i="6"/>
  <c r="AA290" i="8"/>
  <c r="AK290" i="8"/>
  <c r="W342" i="8"/>
  <c r="AG342" i="8"/>
  <c r="U352" i="8"/>
  <c r="AE352" i="8"/>
  <c r="V328" i="8"/>
  <c r="AF328" i="8"/>
  <c r="Z230" i="8"/>
  <c r="AJ230" i="8"/>
  <c r="T279" i="8"/>
  <c r="AM239" i="8"/>
  <c r="X317" i="8"/>
  <c r="AH317" i="8"/>
  <c r="D407" i="6"/>
  <c r="F407" i="6"/>
  <c r="V279" i="8"/>
  <c r="AF279" i="8"/>
  <c r="AM293" i="8"/>
  <c r="W225" i="8"/>
  <c r="AG225" i="8"/>
  <c r="V264" i="8"/>
  <c r="AF264" i="8"/>
  <c r="D531" i="6"/>
  <c r="F531" i="6"/>
  <c r="AA314" i="8"/>
  <c r="AK314" i="8"/>
  <c r="U316" i="8"/>
  <c r="AE316" i="8"/>
  <c r="D409" i="6"/>
  <c r="F409" i="6"/>
  <c r="Z295" i="8"/>
  <c r="AJ295" i="8"/>
  <c r="AA334" i="8"/>
  <c r="AK334" i="8"/>
  <c r="Y252" i="8"/>
  <c r="AI252" i="8"/>
  <c r="V240" i="8"/>
  <c r="AF240" i="8"/>
  <c r="V239" i="8"/>
  <c r="AF239" i="8"/>
  <c r="U340" i="8"/>
  <c r="AE340" i="8"/>
  <c r="AA304" i="8"/>
  <c r="AK304" i="8"/>
  <c r="V297" i="8"/>
  <c r="AF297" i="8"/>
  <c r="D472" i="6"/>
  <c r="I472" i="6"/>
  <c r="D389" i="6"/>
  <c r="F389" i="6"/>
  <c r="AA235" i="8"/>
  <c r="AK235" i="8"/>
  <c r="U319" i="8"/>
  <c r="V340" i="8"/>
  <c r="AF340" i="8"/>
  <c r="AA276" i="8"/>
  <c r="AK276" i="8"/>
  <c r="AA326" i="8"/>
  <c r="AK326" i="8"/>
  <c r="D478" i="6"/>
  <c r="F478" i="6"/>
  <c r="W331" i="8"/>
  <c r="AG331" i="8"/>
  <c r="AA289" i="8"/>
  <c r="AK289" i="8"/>
  <c r="W280" i="8"/>
  <c r="AG280" i="8"/>
  <c r="W330" i="8"/>
  <c r="AG330" i="8"/>
  <c r="X276" i="8"/>
  <c r="AH276" i="8"/>
  <c r="T272" i="8"/>
  <c r="W271" i="8"/>
  <c r="AG271" i="8"/>
  <c r="V322" i="8"/>
  <c r="AF322" i="8"/>
  <c r="W321" i="8"/>
  <c r="AG321" i="8"/>
  <c r="AA320" i="8"/>
  <c r="AK320" i="8"/>
  <c r="V226" i="8"/>
  <c r="AF226" i="8"/>
  <c r="U269" i="8"/>
  <c r="X329" i="8"/>
  <c r="AH329" i="8"/>
  <c r="AM214" i="8"/>
  <c r="D420" i="6"/>
  <c r="F420" i="6"/>
  <c r="U281" i="8"/>
  <c r="AE281" i="8"/>
  <c r="W254" i="8"/>
  <c r="AG254" i="8"/>
  <c r="X217" i="8"/>
  <c r="AH217" i="8"/>
  <c r="Z342" i="8"/>
  <c r="AJ342" i="8"/>
  <c r="V278" i="8"/>
  <c r="AF278" i="8"/>
  <c r="AA218" i="8"/>
  <c r="AK218" i="8"/>
  <c r="Z346" i="8"/>
  <c r="AJ346" i="8"/>
  <c r="Z253" i="8"/>
  <c r="AJ253" i="8"/>
  <c r="AA335" i="8"/>
  <c r="AK335" i="8"/>
  <c r="Y220" i="8"/>
  <c r="AI220" i="8"/>
  <c r="AM328" i="8"/>
  <c r="AM287" i="8"/>
  <c r="U341" i="8"/>
  <c r="AE341" i="8"/>
  <c r="T277" i="8"/>
  <c r="X356" i="8"/>
  <c r="AH356" i="8"/>
  <c r="Y343" i="8"/>
  <c r="AI343" i="8"/>
  <c r="Y307" i="8"/>
  <c r="AI307" i="8"/>
  <c r="T356" i="8"/>
  <c r="AD356" i="8"/>
  <c r="AM356" i="8"/>
  <c r="D568" i="6"/>
  <c r="U356" i="8"/>
  <c r="AE356" i="8"/>
  <c r="Z356" i="8"/>
  <c r="AJ356" i="8"/>
  <c r="Y356" i="8"/>
  <c r="AI356" i="8"/>
  <c r="AA351" i="8"/>
  <c r="AK351" i="8"/>
  <c r="Z321" i="8"/>
  <c r="AJ321" i="8"/>
  <c r="Y277" i="8"/>
  <c r="AI277" i="8"/>
  <c r="W345" i="8"/>
  <c r="AG345" i="8"/>
  <c r="AA355" i="8"/>
  <c r="AK355" i="8"/>
  <c r="X355" i="8"/>
  <c r="AH355" i="8"/>
  <c r="U355" i="8"/>
  <c r="AE355" i="8"/>
  <c r="Y303" i="8"/>
  <c r="AI303" i="8"/>
  <c r="T303" i="8"/>
  <c r="AD303" i="8"/>
  <c r="Y351" i="8"/>
  <c r="AI351" i="8"/>
  <c r="Z353" i="8"/>
  <c r="AJ353" i="8"/>
  <c r="D486" i="6"/>
  <c r="I486" i="6"/>
  <c r="Z325" i="8"/>
  <c r="AJ325" i="8"/>
  <c r="Z220" i="8"/>
  <c r="AJ220" i="8"/>
  <c r="AA354" i="8"/>
  <c r="AK354" i="8"/>
  <c r="Y354" i="8"/>
  <c r="AI354" i="8"/>
  <c r="W354" i="8"/>
  <c r="AG354" i="8"/>
  <c r="U354" i="8"/>
  <c r="AE354" i="8"/>
  <c r="D514" i="6"/>
  <c r="F514" i="6"/>
  <c r="D566" i="6"/>
  <c r="Y353" i="8"/>
  <c r="AI353" i="8"/>
  <c r="Y352" i="8"/>
  <c r="AI352" i="8"/>
  <c r="D565" i="6"/>
  <c r="AA353" i="8"/>
  <c r="AK353" i="8"/>
  <c r="V353" i="8"/>
  <c r="AF353" i="8"/>
  <c r="U353" i="8"/>
  <c r="AE353" i="8"/>
  <c r="Z352" i="8"/>
  <c r="AJ352" i="8"/>
  <c r="X353" i="8"/>
  <c r="AH353" i="8"/>
  <c r="AM353" i="8"/>
  <c r="X352" i="8"/>
  <c r="AH352" i="8"/>
  <c r="T352" i="8"/>
  <c r="AD352" i="8"/>
  <c r="V352" i="8"/>
  <c r="AF352" i="8"/>
  <c r="W353" i="8"/>
  <c r="AG353" i="8"/>
  <c r="W352" i="8"/>
  <c r="AG352" i="8"/>
  <c r="D564" i="6"/>
  <c r="AM247" i="8"/>
  <c r="U291" i="8"/>
  <c r="AE291" i="8"/>
  <c r="AM234" i="8"/>
  <c r="V245" i="8"/>
  <c r="AF245" i="8"/>
  <c r="U315" i="8"/>
  <c r="AE315" i="8"/>
  <c r="U351" i="8"/>
  <c r="AE351" i="8"/>
  <c r="D563" i="6"/>
  <c r="V351" i="8"/>
  <c r="AF351" i="8"/>
  <c r="Z299" i="8"/>
  <c r="AJ299" i="8"/>
  <c r="Z351" i="8"/>
  <c r="AJ351" i="8"/>
  <c r="X299" i="8"/>
  <c r="AH299" i="8"/>
  <c r="X351" i="8"/>
  <c r="AH351" i="8"/>
  <c r="AM351" i="8"/>
  <c r="T351" i="8"/>
  <c r="AD351" i="8"/>
  <c r="Z339" i="8"/>
  <c r="AJ339" i="8"/>
  <c r="Y244" i="8"/>
  <c r="AI244" i="8"/>
  <c r="D405" i="6"/>
  <c r="F405" i="6"/>
  <c r="U247" i="8"/>
  <c r="AE247" i="8"/>
  <c r="X284" i="8"/>
  <c r="AH284" i="8"/>
  <c r="Z284" i="8"/>
  <c r="AJ284" i="8"/>
  <c r="W349" i="8"/>
  <c r="AG349" i="8"/>
  <c r="U323" i="8"/>
  <c r="W224" i="8"/>
  <c r="AG224" i="8"/>
  <c r="Y219" i="8"/>
  <c r="AI219" i="8"/>
  <c r="U272" i="8"/>
  <c r="D493" i="6"/>
  <c r="F493" i="6"/>
  <c r="W298" i="8"/>
  <c r="AG298" i="8"/>
  <c r="W350" i="8"/>
  <c r="AG350" i="8"/>
  <c r="T350" i="8"/>
  <c r="AD350" i="8"/>
  <c r="D562" i="6"/>
  <c r="V350" i="8"/>
  <c r="AF350" i="8"/>
  <c r="AA350" i="8"/>
  <c r="AK350" i="8"/>
  <c r="X350" i="8"/>
  <c r="AH350" i="8"/>
  <c r="Z350" i="8"/>
  <c r="AJ350" i="8"/>
  <c r="U350" i="8"/>
  <c r="AE350" i="8"/>
  <c r="V262" i="8"/>
  <c r="AF262" i="8"/>
  <c r="AA232" i="8"/>
  <c r="AK232" i="8"/>
  <c r="V285" i="8"/>
  <c r="AF285" i="8"/>
  <c r="X349" i="8"/>
  <c r="AH349" i="8"/>
  <c r="Y349" i="8"/>
  <c r="AI349" i="8"/>
  <c r="AA349" i="8"/>
  <c r="AK349" i="8"/>
  <c r="D561" i="6"/>
  <c r="U349" i="8"/>
  <c r="AE349" i="8"/>
  <c r="Z328" i="8"/>
  <c r="AJ328" i="8"/>
  <c r="Z219" i="8"/>
  <c r="AJ219" i="8"/>
  <c r="Y269" i="8"/>
  <c r="AI269" i="8"/>
  <c r="U330" i="8"/>
  <c r="AE330" i="8"/>
  <c r="T345" i="8"/>
  <c r="AD345" i="8"/>
  <c r="U348" i="8"/>
  <c r="AE348" i="8"/>
  <c r="X244" i="8"/>
  <c r="AH244" i="8"/>
  <c r="X348" i="8"/>
  <c r="AH348" i="8"/>
  <c r="AM348" i="8"/>
  <c r="T348" i="8"/>
  <c r="AD348" i="8"/>
  <c r="T248" i="8"/>
  <c r="AD248" i="8"/>
  <c r="D528" i="6"/>
  <c r="F528" i="6"/>
  <c r="AA248" i="8"/>
  <c r="AK248" i="8"/>
  <c r="W244" i="8"/>
  <c r="AG244" i="8"/>
  <c r="AA302" i="8"/>
  <c r="AK302" i="8"/>
  <c r="Y235" i="8"/>
  <c r="AI235" i="8"/>
  <c r="W248" i="8"/>
  <c r="AG248" i="8"/>
  <c r="W315" i="8"/>
  <c r="AG315" i="8"/>
  <c r="W323" i="8"/>
  <c r="AG323" i="8"/>
  <c r="Y251" i="8"/>
  <c r="AI251" i="8"/>
  <c r="Y262" i="8"/>
  <c r="AI262" i="8"/>
  <c r="V348" i="8"/>
  <c r="AF348" i="8"/>
  <c r="Z348" i="8"/>
  <c r="AJ348" i="8"/>
  <c r="V343" i="8"/>
  <c r="AF343" i="8"/>
  <c r="W344" i="8"/>
  <c r="AG344" i="8"/>
  <c r="T301" i="8"/>
  <c r="AD301" i="8"/>
  <c r="D408" i="6"/>
  <c r="I408" i="6"/>
  <c r="V268" i="8"/>
  <c r="AF268" i="8"/>
  <c r="U252" i="8"/>
  <c r="AE252" i="8"/>
  <c r="W292" i="8"/>
  <c r="AG292" i="8"/>
  <c r="Y320" i="8"/>
  <c r="AI320" i="8"/>
  <c r="V283" i="8"/>
  <c r="AF283" i="8"/>
  <c r="T347" i="8"/>
  <c r="AD347" i="8"/>
  <c r="T240" i="8"/>
  <c r="AD240" i="8"/>
  <c r="Z251" i="8"/>
  <c r="AJ251" i="8"/>
  <c r="AM255" i="8"/>
  <c r="AA225" i="8"/>
  <c r="AK225" i="8"/>
  <c r="T220" i="8"/>
  <c r="AA217" i="8"/>
  <c r="AK217" i="8"/>
  <c r="V332" i="8"/>
  <c r="AF332" i="8"/>
  <c r="Z331" i="8"/>
  <c r="AJ331" i="8"/>
  <c r="D507" i="6"/>
  <c r="F507" i="6"/>
  <c r="Y279" i="8"/>
  <c r="AI279" i="8"/>
  <c r="Y268" i="8"/>
  <c r="AI268" i="8"/>
  <c r="X226" i="8"/>
  <c r="AH226" i="8"/>
  <c r="D469" i="6"/>
  <c r="T280" i="8"/>
  <c r="D545" i="6"/>
  <c r="F545" i="6"/>
  <c r="Z272" i="8"/>
  <c r="AJ272" i="8"/>
  <c r="AM215" i="8"/>
  <c r="AA278" i="8"/>
  <c r="AK278" i="8"/>
  <c r="AA327" i="8"/>
  <c r="AK327" i="8"/>
  <c r="W217" i="8"/>
  <c r="AG217" i="8"/>
  <c r="D378" i="6"/>
  <c r="F378" i="6"/>
  <c r="AM321" i="8"/>
  <c r="U344" i="8"/>
  <c r="AE344" i="8"/>
  <c r="W295" i="8"/>
  <c r="AG295" i="8"/>
  <c r="W347" i="8"/>
  <c r="AG347" i="8"/>
  <c r="V347" i="8"/>
  <c r="AF347" i="8"/>
  <c r="U347" i="8"/>
  <c r="AE347" i="8"/>
  <c r="X308" i="8"/>
  <c r="AH308" i="8"/>
  <c r="X306" i="8"/>
  <c r="AH306" i="8"/>
  <c r="W279" i="8"/>
  <c r="AG279" i="8"/>
  <c r="Z347" i="8"/>
  <c r="AJ347" i="8"/>
  <c r="Y243" i="8"/>
  <c r="AI243" i="8"/>
  <c r="Y347" i="8"/>
  <c r="AI347" i="8"/>
  <c r="AA330" i="8"/>
  <c r="AK330" i="8"/>
  <c r="X313" i="8"/>
  <c r="AH313" i="8"/>
  <c r="Z319" i="8"/>
  <c r="AJ319" i="8"/>
  <c r="AM268" i="8"/>
  <c r="AA270" i="8"/>
  <c r="AK270" i="8"/>
  <c r="X280" i="8"/>
  <c r="AH280" i="8"/>
  <c r="T333" i="8"/>
  <c r="AD333" i="8"/>
  <c r="Z269" i="8"/>
  <c r="AJ269" i="8"/>
  <c r="V267" i="8"/>
  <c r="AF267" i="8"/>
  <c r="W320" i="8"/>
  <c r="AG320" i="8"/>
  <c r="D532" i="6"/>
  <c r="I532" i="6"/>
  <c r="V323" i="8"/>
  <c r="AF323" i="8"/>
  <c r="Z271" i="8"/>
  <c r="AJ271" i="8"/>
  <c r="D539" i="6"/>
  <c r="I539" i="6"/>
  <c r="D436" i="6"/>
  <c r="F436" i="6"/>
  <c r="AA266" i="8"/>
  <c r="AK266" i="8"/>
  <c r="W287" i="8"/>
  <c r="AG287" i="8"/>
  <c r="AM285" i="8"/>
  <c r="Z333" i="8"/>
  <c r="AJ333" i="8"/>
  <c r="U331" i="8"/>
  <c r="AE331" i="8"/>
  <c r="T249" i="8"/>
  <c r="AD249" i="8"/>
  <c r="U328" i="8"/>
  <c r="AE328" i="8"/>
  <c r="X321" i="8"/>
  <c r="AH321" i="8"/>
  <c r="X273" i="8"/>
  <c r="AH273" i="8"/>
  <c r="V271" i="8"/>
  <c r="AF271" i="8"/>
  <c r="AM266" i="8"/>
  <c r="W272" i="8"/>
  <c r="AG272" i="8"/>
  <c r="AM286" i="8"/>
  <c r="AA341" i="8"/>
  <c r="AK341" i="8"/>
  <c r="Y239" i="8"/>
  <c r="AI239" i="8"/>
  <c r="Y234" i="8"/>
  <c r="AI234" i="8"/>
  <c r="D499" i="6"/>
  <c r="F499" i="6"/>
  <c r="Y338" i="8"/>
  <c r="AI338" i="8"/>
  <c r="T281" i="8"/>
  <c r="AA332" i="8"/>
  <c r="AK332" i="8"/>
  <c r="V281" i="8"/>
  <c r="AF281" i="8"/>
  <c r="AA280" i="8"/>
  <c r="AK280" i="8"/>
  <c r="AM221" i="8"/>
  <c r="AA328" i="8"/>
  <c r="AK328" i="8"/>
  <c r="T274" i="8"/>
  <c r="D485" i="6"/>
  <c r="I485" i="6"/>
  <c r="AA324" i="8"/>
  <c r="AK324" i="8"/>
  <c r="AM217" i="8"/>
  <c r="U260" i="8"/>
  <c r="AE260" i="8"/>
  <c r="U233" i="8"/>
  <c r="AE233" i="8"/>
  <c r="V229" i="8"/>
  <c r="AF229" i="8"/>
  <c r="AA227" i="8"/>
  <c r="AK227" i="8"/>
  <c r="X219" i="8"/>
  <c r="AH219" i="8"/>
  <c r="W220" i="8"/>
  <c r="AG220" i="8"/>
  <c r="D506" i="6"/>
  <c r="F506" i="6"/>
  <c r="D558" i="6"/>
  <c r="T242" i="8"/>
  <c r="AD242" i="8"/>
  <c r="T346" i="8"/>
  <c r="AD346" i="8"/>
  <c r="V346" i="8"/>
  <c r="AF346" i="8"/>
  <c r="Y346" i="8"/>
  <c r="AI346" i="8"/>
  <c r="X346" i="8"/>
  <c r="AH346" i="8"/>
  <c r="D516" i="6"/>
  <c r="I516" i="6"/>
  <c r="W346" i="8"/>
  <c r="AG346" i="8"/>
  <c r="Z237" i="8"/>
  <c r="AJ237" i="8"/>
  <c r="D459" i="6"/>
  <c r="I459" i="6"/>
  <c r="AA317" i="8"/>
  <c r="AK317" i="8"/>
  <c r="Z345" i="8"/>
  <c r="AJ345" i="8"/>
  <c r="U342" i="8"/>
  <c r="AE342" i="8"/>
  <c r="Y232" i="8"/>
  <c r="AI232" i="8"/>
  <c r="AA229" i="8"/>
  <c r="AK229" i="8"/>
  <c r="U221" i="8"/>
  <c r="V270" i="8"/>
  <c r="AF270" i="8"/>
  <c r="W332" i="8"/>
  <c r="AG332" i="8"/>
  <c r="AM298" i="8"/>
  <c r="AA236" i="8"/>
  <c r="AK236" i="8"/>
  <c r="T253" i="8"/>
  <c r="AD253" i="8"/>
  <c r="D488" i="6"/>
  <c r="I488" i="6"/>
  <c r="V342" i="8"/>
  <c r="AF342" i="8"/>
  <c r="Z231" i="8"/>
  <c r="AJ231" i="8"/>
  <c r="X335" i="8"/>
  <c r="AH335" i="8"/>
  <c r="X220" i="8"/>
  <c r="AH220" i="8"/>
  <c r="V230" i="8"/>
  <c r="AF230" i="8"/>
  <c r="Z228" i="8"/>
  <c r="AJ228" i="8"/>
  <c r="X294" i="8"/>
  <c r="AH294" i="8"/>
  <c r="D443" i="6"/>
  <c r="I443" i="6"/>
  <c r="W267" i="8"/>
  <c r="AG267" i="8"/>
  <c r="X269" i="8"/>
  <c r="AH269" i="8"/>
  <c r="D503" i="6"/>
  <c r="I503" i="6"/>
  <c r="AM213" i="8"/>
  <c r="V244" i="8"/>
  <c r="AF244" i="8"/>
  <c r="D549" i="6"/>
  <c r="I549" i="6"/>
  <c r="W255" i="8"/>
  <c r="AG255" i="8"/>
  <c r="W269" i="8"/>
  <c r="AG269" i="8"/>
  <c r="Z265" i="8"/>
  <c r="AJ265" i="8"/>
  <c r="V334" i="8"/>
  <c r="AF334" i="8"/>
  <c r="Y224" i="8"/>
  <c r="AI224" i="8"/>
  <c r="X345" i="8"/>
  <c r="AH345" i="8"/>
  <c r="U312" i="8"/>
  <c r="AE312" i="8"/>
  <c r="D414" i="6"/>
  <c r="F414" i="6"/>
  <c r="AA226" i="8"/>
  <c r="AK226" i="8"/>
  <c r="V315" i="8"/>
  <c r="AF315" i="8"/>
  <c r="X228" i="8"/>
  <c r="AH228" i="8"/>
  <c r="D431" i="6"/>
  <c r="F431" i="6"/>
  <c r="I522" i="6"/>
  <c r="W318" i="8"/>
  <c r="AG318" i="8"/>
  <c r="AA318" i="8"/>
  <c r="AK318" i="8"/>
  <c r="Z294" i="8"/>
  <c r="AJ294" i="8"/>
  <c r="AA346" i="8"/>
  <c r="AK346" i="8"/>
  <c r="Y337" i="8"/>
  <c r="AI337" i="8"/>
  <c r="Z337" i="8"/>
  <c r="AJ337" i="8"/>
  <c r="W250" i="8"/>
  <c r="AG250" i="8"/>
  <c r="D447" i="6"/>
  <c r="F447" i="6"/>
  <c r="V228" i="8"/>
  <c r="AF228" i="8"/>
  <c r="D455" i="6"/>
  <c r="I455" i="6"/>
  <c r="X266" i="8"/>
  <c r="AH266" i="8"/>
  <c r="AA319" i="8"/>
  <c r="AK319" i="8"/>
  <c r="T265" i="8"/>
  <c r="D477" i="6"/>
  <c r="I477" i="6"/>
  <c r="V259" i="8"/>
  <c r="AF259" i="8"/>
  <c r="U254" i="8"/>
  <c r="AE254" i="8"/>
  <c r="X227" i="8"/>
  <c r="AH227" i="8"/>
  <c r="Y217" i="8"/>
  <c r="AI217" i="8"/>
  <c r="T343" i="8"/>
  <c r="AD343" i="8"/>
  <c r="Y340" i="8"/>
  <c r="AI340" i="8"/>
  <c r="AM228" i="8"/>
  <c r="U240" i="8"/>
  <c r="AE240" i="8"/>
  <c r="AA250" i="8"/>
  <c r="AK250" i="8"/>
  <c r="X323" i="8"/>
  <c r="AH323" i="8"/>
  <c r="Z324" i="8"/>
  <c r="AJ324" i="8"/>
  <c r="T271" i="8"/>
  <c r="D534" i="6"/>
  <c r="I534" i="6"/>
  <c r="D484" i="6"/>
  <c r="I484" i="6"/>
  <c r="AA329" i="8"/>
  <c r="AK329" i="8"/>
  <c r="D406" i="6"/>
  <c r="I406" i="6"/>
  <c r="Z288" i="8"/>
  <c r="AJ288" i="8"/>
  <c r="T236" i="8"/>
  <c r="AD236" i="8"/>
  <c r="AM278" i="8"/>
  <c r="U280" i="8"/>
  <c r="AE280" i="8"/>
  <c r="X331" i="8"/>
  <c r="AH331" i="8"/>
  <c r="V330" i="8"/>
  <c r="AF330" i="8"/>
  <c r="W277" i="8"/>
  <c r="AG277" i="8"/>
  <c r="Y322" i="8"/>
  <c r="AI322" i="8"/>
  <c r="AA272" i="8"/>
  <c r="AK272" i="8"/>
  <c r="X324" i="8"/>
  <c r="AH324" i="8"/>
  <c r="X270" i="8"/>
  <c r="AH270" i="8"/>
  <c r="V333" i="8"/>
  <c r="AF333" i="8"/>
  <c r="V320" i="8"/>
  <c r="AF320" i="8"/>
  <c r="AD332" i="8"/>
  <c r="T222" i="8"/>
  <c r="U278" i="8"/>
  <c r="AE278" i="8"/>
  <c r="Z217" i="8"/>
  <c r="AJ217" i="8"/>
  <c r="Z225" i="8"/>
  <c r="AJ225" i="8"/>
  <c r="X267" i="8"/>
  <c r="AH267" i="8"/>
  <c r="Z322" i="8"/>
  <c r="AJ322" i="8"/>
  <c r="X279" i="8"/>
  <c r="AH279" i="8"/>
  <c r="AM218" i="8"/>
  <c r="Z256" i="8"/>
  <c r="AJ256" i="8"/>
  <c r="Z326" i="8"/>
  <c r="AJ326" i="8"/>
  <c r="X326" i="8"/>
  <c r="AH326" i="8"/>
  <c r="V269" i="8"/>
  <c r="AF269" i="8"/>
  <c r="AA269" i="8"/>
  <c r="AK269" i="8"/>
  <c r="T344" i="8"/>
  <c r="AD344" i="8"/>
  <c r="U268" i="8"/>
  <c r="V236" i="8"/>
  <c r="AF236" i="8"/>
  <c r="U270" i="8"/>
  <c r="AA321" i="8"/>
  <c r="AK321" i="8"/>
  <c r="V341" i="8"/>
  <c r="AF341" i="8"/>
  <c r="X271" i="8"/>
  <c r="AH271" i="8"/>
  <c r="V319" i="8"/>
  <c r="AF319" i="8"/>
  <c r="AA275" i="8"/>
  <c r="AK275" i="8"/>
  <c r="Z274" i="8"/>
  <c r="AJ274" i="8"/>
  <c r="D388" i="6"/>
  <c r="F388" i="6"/>
  <c r="AA333" i="8"/>
  <c r="AK333" i="8"/>
  <c r="AM273" i="8"/>
  <c r="AA271" i="8"/>
  <c r="AK271" i="8"/>
  <c r="D466" i="6"/>
  <c r="F466" i="6"/>
  <c r="U226" i="8"/>
  <c r="AE226" i="8"/>
  <c r="X218" i="8"/>
  <c r="AH218" i="8"/>
  <c r="D482" i="6"/>
  <c r="F482" i="6"/>
  <c r="AA345" i="8"/>
  <c r="AK345" i="8"/>
  <c r="D557" i="6"/>
  <c r="Y293" i="8"/>
  <c r="AI293" i="8"/>
  <c r="Y345" i="8"/>
  <c r="AI345" i="8"/>
  <c r="V292" i="8"/>
  <c r="AF292" i="8"/>
  <c r="V344" i="8"/>
  <c r="AF344" i="8"/>
  <c r="X292" i="8"/>
  <c r="AH292" i="8"/>
  <c r="X344" i="8"/>
  <c r="AH344" i="8"/>
  <c r="AM344" i="8"/>
  <c r="D556" i="6"/>
  <c r="AA344" i="8"/>
  <c r="AK344" i="8"/>
  <c r="U279" i="8"/>
  <c r="AE279" i="8"/>
  <c r="AA343" i="8"/>
  <c r="AK343" i="8"/>
  <c r="Z343" i="8"/>
  <c r="AJ343" i="8"/>
  <c r="X239" i="8"/>
  <c r="AH239" i="8"/>
  <c r="X343" i="8"/>
  <c r="AH343" i="8"/>
  <c r="U343" i="8"/>
  <c r="AE343" i="8"/>
  <c r="D555" i="6"/>
  <c r="U314" i="8"/>
  <c r="AE314" i="8"/>
  <c r="AM313" i="8"/>
  <c r="X261" i="8"/>
  <c r="AH261" i="8"/>
  <c r="V241" i="8"/>
  <c r="AF241" i="8"/>
  <c r="AM231" i="8"/>
  <c r="AM272" i="8"/>
  <c r="V280" i="8"/>
  <c r="AF280" i="8"/>
  <c r="Y290" i="8"/>
  <c r="AI290" i="8"/>
  <c r="Y342" i="8"/>
  <c r="AI342" i="8"/>
  <c r="AA342" i="8"/>
  <c r="AK342" i="8"/>
  <c r="D502" i="6"/>
  <c r="F502" i="6"/>
  <c r="D554" i="6"/>
  <c r="D538" i="6"/>
  <c r="I538" i="6"/>
  <c r="AM233" i="8"/>
  <c r="D432" i="6"/>
  <c r="I432" i="6"/>
  <c r="D483" i="6"/>
  <c r="I483" i="6"/>
  <c r="D480" i="6"/>
  <c r="I480" i="6"/>
  <c r="AM216" i="8"/>
  <c r="AM248" i="8"/>
  <c r="AM300" i="8"/>
  <c r="AM315" i="8"/>
  <c r="D546" i="6"/>
  <c r="F546" i="6"/>
  <c r="D415" i="6"/>
  <c r="I415" i="6"/>
  <c r="D505" i="6"/>
  <c r="F505" i="6"/>
  <c r="D427" i="6"/>
  <c r="I427" i="6"/>
  <c r="D467" i="6"/>
  <c r="I467" i="6"/>
  <c r="D440" i="6"/>
  <c r="F440" i="6"/>
  <c r="D515" i="6"/>
  <c r="F515" i="6"/>
  <c r="D442" i="6"/>
  <c r="F442" i="6"/>
  <c r="D491" i="6"/>
  <c r="F491" i="6"/>
  <c r="D464" i="6"/>
  <c r="F464" i="6"/>
  <c r="D465" i="6"/>
  <c r="F465" i="6"/>
  <c r="D450" i="6"/>
  <c r="I450" i="6"/>
  <c r="D479" i="6"/>
  <c r="AM283" i="8"/>
  <c r="W289" i="8"/>
  <c r="AG289" i="8"/>
  <c r="W341" i="8"/>
  <c r="AG341" i="8"/>
  <c r="D449" i="6"/>
  <c r="F449" i="6"/>
  <c r="D553" i="6"/>
  <c r="Z289" i="8"/>
  <c r="AJ289" i="8"/>
  <c r="Z341" i="8"/>
  <c r="AJ341" i="8"/>
  <c r="Y257" i="8"/>
  <c r="AI257" i="8"/>
  <c r="U255" i="8"/>
  <c r="AE255" i="8"/>
  <c r="U308" i="8"/>
  <c r="AE308" i="8"/>
  <c r="Y237" i="8"/>
  <c r="AI237" i="8"/>
  <c r="Y341" i="8"/>
  <c r="AI341" i="8"/>
  <c r="T237" i="8"/>
  <c r="AD237" i="8"/>
  <c r="T341" i="8"/>
  <c r="AD341" i="8"/>
  <c r="AM280" i="8"/>
  <c r="X272" i="8"/>
  <c r="AH272" i="8"/>
  <c r="I489" i="6"/>
  <c r="W268" i="8"/>
  <c r="AG268" i="8"/>
  <c r="T218" i="8"/>
  <c r="AA323" i="8"/>
  <c r="AK323" i="8"/>
  <c r="T219" i="8"/>
  <c r="D325" i="6"/>
  <c r="D377" i="6"/>
  <c r="F377" i="6"/>
  <c r="V237" i="8"/>
  <c r="AF237" i="8"/>
  <c r="W257" i="8"/>
  <c r="AG257" i="8"/>
  <c r="D526" i="6"/>
  <c r="I526" i="6"/>
  <c r="AM316" i="8"/>
  <c r="AA293" i="8"/>
  <c r="AK293" i="8"/>
  <c r="X337" i="8"/>
  <c r="AH337" i="8"/>
  <c r="W236" i="8"/>
  <c r="AG236" i="8"/>
  <c r="V288" i="8"/>
  <c r="AF288" i="8"/>
  <c r="V329" i="8"/>
  <c r="AF329" i="8"/>
  <c r="AM317" i="8"/>
  <c r="Z270" i="8"/>
  <c r="AJ270" i="8"/>
  <c r="Z227" i="8"/>
  <c r="AJ227" i="8"/>
  <c r="AA322" i="8"/>
  <c r="AK322" i="8"/>
  <c r="D428" i="6"/>
  <c r="AA258" i="8"/>
  <c r="AK258" i="8"/>
  <c r="AA267" i="8"/>
  <c r="AK267" i="8"/>
  <c r="AA237" i="8"/>
  <c r="AK237" i="8"/>
  <c r="X221" i="8"/>
  <c r="AH221" i="8"/>
  <c r="X288" i="8"/>
  <c r="AH288" i="8"/>
  <c r="X340" i="8"/>
  <c r="AH340" i="8"/>
  <c r="D500" i="6"/>
  <c r="D552" i="6"/>
  <c r="Z263" i="8"/>
  <c r="AJ263" i="8"/>
  <c r="U245" i="8"/>
  <c r="AE245" i="8"/>
  <c r="W340" i="8"/>
  <c r="AG340" i="8"/>
  <c r="AA268" i="8"/>
  <c r="AK268" i="8"/>
  <c r="Z340" i="8"/>
  <c r="AJ340" i="8"/>
  <c r="D445" i="6"/>
  <c r="I445" i="6"/>
  <c r="D509" i="6"/>
  <c r="F509" i="6"/>
  <c r="AM230" i="8"/>
  <c r="Z313" i="8"/>
  <c r="AJ313" i="8"/>
  <c r="AM246" i="8"/>
  <c r="AA224" i="8"/>
  <c r="AK224" i="8"/>
  <c r="W288" i="8"/>
  <c r="AG288" i="8"/>
  <c r="W221" i="8"/>
  <c r="AG221" i="8"/>
  <c r="W329" i="8"/>
  <c r="AG329" i="8"/>
  <c r="U217" i="8"/>
  <c r="Z243" i="8"/>
  <c r="AJ243" i="8"/>
  <c r="D418" i="6"/>
  <c r="F418" i="6"/>
  <c r="T295" i="8"/>
  <c r="AD295" i="8"/>
  <c r="D470" i="6"/>
  <c r="D457" i="6"/>
  <c r="F457" i="6"/>
  <c r="U242" i="8"/>
  <c r="AE242" i="8"/>
  <c r="X318" i="8"/>
  <c r="AH318" i="8"/>
  <c r="W265" i="8"/>
  <c r="AG265" i="8"/>
  <c r="D512" i="6"/>
  <c r="F512" i="6"/>
  <c r="D426" i="6"/>
  <c r="Y247" i="8"/>
  <c r="AI247" i="8"/>
  <c r="Z315" i="8"/>
  <c r="AJ315" i="8"/>
  <c r="U239" i="8"/>
  <c r="AE239" i="8"/>
  <c r="Y248" i="8"/>
  <c r="AI248" i="8"/>
  <c r="D412" i="6"/>
  <c r="T294" i="8"/>
  <c r="AD294" i="8"/>
  <c r="D530" i="6"/>
  <c r="F530" i="6"/>
  <c r="Z259" i="8"/>
  <c r="AJ259" i="8"/>
  <c r="Z249" i="8"/>
  <c r="AJ249" i="8"/>
  <c r="Z300" i="8"/>
  <c r="AJ300" i="8"/>
  <c r="Y246" i="8"/>
  <c r="AI246" i="8"/>
  <c r="X243" i="8"/>
  <c r="AH243" i="8"/>
  <c r="V243" i="8"/>
  <c r="AF243" i="8"/>
  <c r="Y287" i="8"/>
  <c r="AI287" i="8"/>
  <c r="Z281" i="8"/>
  <c r="AJ281" i="8"/>
  <c r="X281" i="8"/>
  <c r="AH281" i="8"/>
  <c r="D441" i="6"/>
  <c r="F441" i="6"/>
  <c r="AA222" i="8"/>
  <c r="AK222" i="8"/>
  <c r="Y226" i="8"/>
  <c r="AI226" i="8"/>
  <c r="D416" i="6"/>
  <c r="D365" i="6"/>
  <c r="F365" i="6"/>
  <c r="X235" i="8"/>
  <c r="AH235" i="8"/>
  <c r="W228" i="8"/>
  <c r="AG228" i="8"/>
  <c r="Z277" i="8"/>
  <c r="AJ277" i="8"/>
  <c r="AA241" i="8"/>
  <c r="AK241" i="8"/>
  <c r="AA243" i="8"/>
  <c r="AK243" i="8"/>
  <c r="X264" i="8"/>
  <c r="AH264" i="8"/>
  <c r="Y314" i="8"/>
  <c r="AI314" i="8"/>
  <c r="X301" i="8"/>
  <c r="AH301" i="8"/>
  <c r="AA300" i="8"/>
  <c r="AK300" i="8"/>
  <c r="Y294" i="8"/>
  <c r="AI294" i="8"/>
  <c r="W278" i="8"/>
  <c r="AG278" i="8"/>
  <c r="V256" i="8"/>
  <c r="AF256" i="8"/>
  <c r="X277" i="8"/>
  <c r="AH277" i="8"/>
  <c r="T287" i="8"/>
  <c r="AD287" i="8"/>
  <c r="T339" i="8"/>
  <c r="AD339" i="8"/>
  <c r="U287" i="8"/>
  <c r="AE287" i="8"/>
  <c r="U339" i="8"/>
  <c r="AE339" i="8"/>
  <c r="Y339" i="8"/>
  <c r="AI339" i="8"/>
  <c r="W339" i="8"/>
  <c r="AG339" i="8"/>
  <c r="X339" i="8"/>
  <c r="AH339" i="8"/>
  <c r="AA312" i="8"/>
  <c r="AK312" i="8"/>
  <c r="AA286" i="8"/>
  <c r="AK286" i="8"/>
  <c r="AA338" i="8"/>
  <c r="AK338" i="8"/>
  <c r="Z338" i="8"/>
  <c r="AJ338" i="8"/>
  <c r="V286" i="8"/>
  <c r="AF286" i="8"/>
  <c r="V338" i="8"/>
  <c r="AF338" i="8"/>
  <c r="Z316" i="8"/>
  <c r="AJ316" i="8"/>
  <c r="Y318" i="8"/>
  <c r="AI318" i="8"/>
  <c r="AA316" i="8"/>
  <c r="AK316" i="8"/>
  <c r="U265" i="8"/>
  <c r="U266" i="8"/>
  <c r="D461" i="6"/>
  <c r="I461" i="6"/>
  <c r="AA296" i="8"/>
  <c r="AK296" i="8"/>
  <c r="Z266" i="8"/>
  <c r="AJ266" i="8"/>
  <c r="V337" i="8"/>
  <c r="AF337" i="8"/>
  <c r="X224" i="8"/>
  <c r="AH224" i="8"/>
  <c r="AA277" i="8"/>
  <c r="AK277" i="8"/>
  <c r="T285" i="8"/>
  <c r="AD285" i="8"/>
  <c r="T337" i="8"/>
  <c r="AD337" i="8"/>
  <c r="AA299" i="8"/>
  <c r="AK299" i="8"/>
  <c r="Y330" i="8"/>
  <c r="AI330" i="8"/>
  <c r="AM337" i="8"/>
  <c r="X240" i="8"/>
  <c r="AH240" i="8"/>
  <c r="W325" i="8"/>
  <c r="AG325" i="8"/>
  <c r="W273" i="8"/>
  <c r="AG273" i="8"/>
  <c r="D391" i="6"/>
  <c r="F391" i="6"/>
  <c r="T336" i="8"/>
  <c r="AD336" i="8"/>
  <c r="AA284" i="8"/>
  <c r="AK284" i="8"/>
  <c r="AA336" i="8"/>
  <c r="AK336" i="8"/>
  <c r="W284" i="8"/>
  <c r="AG284" i="8"/>
  <c r="W336" i="8"/>
  <c r="AG336" i="8"/>
  <c r="V225" i="8"/>
  <c r="AF225" i="8"/>
  <c r="V277" i="8"/>
  <c r="AF277" i="8"/>
  <c r="X247" i="8"/>
  <c r="AH247" i="8"/>
  <c r="V265" i="8"/>
  <c r="AF265" i="8"/>
  <c r="X287" i="8"/>
  <c r="AH287" i="8"/>
  <c r="V294" i="8"/>
  <c r="AF294" i="8"/>
  <c r="Z336" i="8"/>
  <c r="AJ336" i="8"/>
  <c r="V249" i="8"/>
  <c r="AF249" i="8"/>
  <c r="Y242" i="8"/>
  <c r="AI242" i="8"/>
  <c r="U237" i="8"/>
  <c r="AE237" i="8"/>
  <c r="X233" i="8"/>
  <c r="AH233" i="8"/>
  <c r="X336" i="8"/>
  <c r="AH336" i="8"/>
  <c r="Y284" i="8"/>
  <c r="AI284" i="8"/>
  <c r="Y336" i="8"/>
  <c r="AI336" i="8"/>
  <c r="Y267" i="8"/>
  <c r="AI267" i="8"/>
  <c r="W237" i="8"/>
  <c r="AG237" i="8"/>
  <c r="Z261" i="8"/>
  <c r="AJ261" i="8"/>
  <c r="AA303" i="8"/>
  <c r="AK303" i="8"/>
  <c r="V301" i="8"/>
  <c r="AF301" i="8"/>
  <c r="Z247" i="8"/>
  <c r="AJ247" i="8"/>
  <c r="W226" i="8"/>
  <c r="AG226" i="8"/>
  <c r="D434" i="6"/>
  <c r="D383" i="6"/>
  <c r="F383" i="6"/>
  <c r="W276" i="8"/>
  <c r="AG276" i="8"/>
  <c r="W328" i="8"/>
  <c r="AG328" i="8"/>
  <c r="Y323" i="8"/>
  <c r="AI323" i="8"/>
  <c r="Y271" i="8"/>
  <c r="AI271" i="8"/>
  <c r="D435" i="6"/>
  <c r="D384" i="6"/>
  <c r="F384" i="6"/>
  <c r="X322" i="8"/>
  <c r="AH322" i="8"/>
  <c r="X305" i="8"/>
  <c r="AH305" i="8"/>
  <c r="U228" i="8"/>
  <c r="AE228" i="8"/>
  <c r="Y278" i="8"/>
  <c r="AI278" i="8"/>
  <c r="T238" i="8"/>
  <c r="AD238" i="8"/>
  <c r="U332" i="8"/>
  <c r="AE332" i="8"/>
  <c r="T235" i="8"/>
  <c r="AD235" i="8"/>
  <c r="D425" i="6"/>
  <c r="F425" i="6"/>
  <c r="D340" i="6"/>
  <c r="Y333" i="8"/>
  <c r="AI333" i="8"/>
  <c r="W262" i="8"/>
  <c r="AG262" i="8"/>
  <c r="U248" i="8"/>
  <c r="AE248" i="8"/>
  <c r="Y289" i="8"/>
  <c r="AI289" i="8"/>
  <c r="V276" i="8"/>
  <c r="AF276" i="8"/>
  <c r="Z229" i="8"/>
  <c r="AJ229" i="8"/>
  <c r="Y241" i="8"/>
  <c r="AI241" i="8"/>
  <c r="Z264" i="8"/>
  <c r="AJ264" i="8"/>
  <c r="X230" i="8"/>
  <c r="AH230" i="8"/>
  <c r="X241" i="8"/>
  <c r="AH241" i="8"/>
  <c r="W243" i="8"/>
  <c r="AG243" i="8"/>
  <c r="W299" i="8"/>
  <c r="AG299" i="8"/>
  <c r="Y315" i="8"/>
  <c r="AI315" i="8"/>
  <c r="W285" i="8"/>
  <c r="AG285" i="8"/>
  <c r="V234" i="8"/>
  <c r="AF234" i="8"/>
  <c r="AA298" i="8"/>
  <c r="AK298" i="8"/>
  <c r="X248" i="8"/>
  <c r="AH248" i="8"/>
  <c r="V311" i="8"/>
  <c r="AF311" i="8"/>
  <c r="W235" i="8"/>
  <c r="AG235" i="8"/>
  <c r="D536" i="6"/>
  <c r="I536" i="6"/>
  <c r="D460" i="6"/>
  <c r="Z318" i="8"/>
  <c r="AJ318" i="8"/>
  <c r="V317" i="8"/>
  <c r="AF317" i="8"/>
  <c r="D529" i="6"/>
  <c r="I529" i="6"/>
  <c r="W300" i="8"/>
  <c r="AG300" i="8"/>
  <c r="AA247" i="8"/>
  <c r="AK247" i="8"/>
  <c r="T247" i="8"/>
  <c r="AD247" i="8"/>
  <c r="V247" i="8"/>
  <c r="AF247" i="8"/>
  <c r="D338" i="6"/>
  <c r="T288" i="8"/>
  <c r="AD288" i="8"/>
  <c r="V299" i="8"/>
  <c r="AF299" i="8"/>
  <c r="Z226" i="8"/>
  <c r="AJ226" i="8"/>
  <c r="AA279" i="8"/>
  <c r="AK279" i="8"/>
  <c r="D487" i="6"/>
  <c r="AA220" i="8"/>
  <c r="AK220" i="8"/>
  <c r="V224" i="8"/>
  <c r="AF224" i="8"/>
  <c r="D523" i="6"/>
  <c r="F523" i="6"/>
  <c r="U249" i="8"/>
  <c r="AE249" i="8"/>
  <c r="Z234" i="8"/>
  <c r="AJ234" i="8"/>
  <c r="Y297" i="8"/>
  <c r="AI297" i="8"/>
  <c r="Z276" i="8"/>
  <c r="AJ276" i="8"/>
  <c r="Y231" i="8"/>
  <c r="AI231" i="8"/>
  <c r="Y335" i="8"/>
  <c r="AI335" i="8"/>
  <c r="W266" i="8"/>
  <c r="AG266" i="8"/>
  <c r="AA274" i="8"/>
  <c r="AK274" i="8"/>
  <c r="Y295" i="8"/>
  <c r="AI295" i="8"/>
  <c r="D398" i="6"/>
  <c r="T335" i="8"/>
  <c r="AD335" i="8"/>
  <c r="W283" i="8"/>
  <c r="AG283" i="8"/>
  <c r="W335" i="8"/>
  <c r="AG335" i="8"/>
  <c r="AM249" i="8"/>
  <c r="D362" i="6"/>
  <c r="D413" i="6"/>
  <c r="D348" i="6"/>
  <c r="D399" i="6"/>
  <c r="AA301" i="8"/>
  <c r="AK301" i="8"/>
  <c r="D451" i="6"/>
  <c r="V290" i="8"/>
  <c r="AF290" i="8"/>
  <c r="V284" i="8"/>
  <c r="AF284" i="8"/>
  <c r="W233" i="8"/>
  <c r="AG233" i="8"/>
  <c r="Y264" i="8"/>
  <c r="AI264" i="8"/>
  <c r="Z286" i="8"/>
  <c r="AJ286" i="8"/>
  <c r="T334" i="8"/>
  <c r="AD334" i="8"/>
  <c r="AA238" i="8"/>
  <c r="AK238" i="8"/>
  <c r="V238" i="8"/>
  <c r="AF238" i="8"/>
  <c r="D471" i="6"/>
  <c r="I471" i="6"/>
  <c r="U301" i="8"/>
  <c r="AE301" i="8"/>
  <c r="U300" i="8"/>
  <c r="AE300" i="8"/>
  <c r="V246" i="8"/>
  <c r="AF246" i="8"/>
  <c r="T298" i="8"/>
  <c r="AD298" i="8"/>
  <c r="D476" i="6"/>
  <c r="T243" i="8"/>
  <c r="AD243" i="8"/>
  <c r="D453" i="6"/>
  <c r="I453" i="6"/>
  <c r="D401" i="6"/>
  <c r="F401" i="6"/>
  <c r="Y299" i="8"/>
  <c r="AI299" i="8"/>
  <c r="U263" i="8"/>
  <c r="AE263" i="8"/>
  <c r="Y238" i="8"/>
  <c r="AI238" i="8"/>
  <c r="W282" i="8"/>
  <c r="AG282" i="8"/>
  <c r="W334" i="8"/>
  <c r="AG334" i="8"/>
  <c r="AM334" i="8"/>
  <c r="X236" i="8"/>
  <c r="AH236" i="8"/>
  <c r="D448" i="6"/>
  <c r="Y265" i="8"/>
  <c r="AI265" i="8"/>
  <c r="Y319" i="8"/>
  <c r="AI319" i="8"/>
  <c r="X315" i="8"/>
  <c r="AH315" i="8"/>
  <c r="D510" i="6"/>
  <c r="F510" i="6"/>
  <c r="U297" i="8"/>
  <c r="AE297" i="8"/>
  <c r="U243" i="8"/>
  <c r="AE243" i="8"/>
  <c r="V282" i="8"/>
  <c r="AF282" i="8"/>
  <c r="D495" i="6"/>
  <c r="I495" i="6"/>
  <c r="AA262" i="8"/>
  <c r="AK262" i="8"/>
  <c r="V242" i="8"/>
  <c r="AF242" i="8"/>
  <c r="Y236" i="8"/>
  <c r="AI236" i="8"/>
  <c r="U234" i="8"/>
  <c r="AE234" i="8"/>
  <c r="T299" i="8"/>
  <c r="AD299" i="8"/>
  <c r="Y283" i="8"/>
  <c r="AI283" i="8"/>
  <c r="V308" i="8"/>
  <c r="AF308" i="8"/>
  <c r="X257" i="8"/>
  <c r="AH257" i="8"/>
  <c r="X309" i="8"/>
  <c r="AH309" i="8"/>
  <c r="Z273" i="8"/>
  <c r="AJ273" i="8"/>
  <c r="Z221" i="8"/>
  <c r="AJ221" i="8"/>
  <c r="Y233" i="8"/>
  <c r="AI233" i="8"/>
  <c r="Y285" i="8"/>
  <c r="AI285" i="8"/>
  <c r="X297" i="8"/>
  <c r="AH297" i="8"/>
  <c r="X245" i="8"/>
  <c r="AH245" i="8"/>
  <c r="V260" i="8"/>
  <c r="AF260" i="8"/>
  <c r="V312" i="8"/>
  <c r="AF312" i="8"/>
  <c r="T297" i="8"/>
  <c r="AD297" i="8"/>
  <c r="T245" i="8"/>
  <c r="AD245" i="8"/>
  <c r="W312" i="8"/>
  <c r="AG312" i="8"/>
  <c r="W260" i="8"/>
  <c r="AG260" i="8"/>
  <c r="D444" i="6"/>
  <c r="D392" i="6"/>
  <c r="D341" i="6"/>
  <c r="V313" i="8"/>
  <c r="AF313" i="8"/>
  <c r="V261" i="8"/>
  <c r="AF261" i="8"/>
  <c r="W305" i="8"/>
  <c r="AG305" i="8"/>
  <c r="W253" i="8"/>
  <c r="AG253" i="8"/>
  <c r="I437" i="6"/>
  <c r="U244" i="8"/>
  <c r="AE244" i="8"/>
  <c r="U296" i="8"/>
  <c r="AE296" i="8"/>
  <c r="Z302" i="8"/>
  <c r="AJ302" i="8"/>
  <c r="Z250" i="8"/>
  <c r="AJ250" i="8"/>
  <c r="D380" i="6"/>
  <c r="F380" i="6"/>
  <c r="D328" i="6"/>
  <c r="W261" i="8"/>
  <c r="AG261" i="8"/>
  <c r="W313" i="8"/>
  <c r="AG313" i="8"/>
  <c r="W316" i="8"/>
  <c r="AG316" i="8"/>
  <c r="W264" i="8"/>
  <c r="AG264" i="8"/>
  <c r="D421" i="6"/>
  <c r="D525" i="6"/>
  <c r="D473" i="6"/>
  <c r="T261" i="8"/>
  <c r="AD261" i="8"/>
  <c r="T313" i="8"/>
  <c r="AD313" i="8"/>
  <c r="T312" i="8"/>
  <c r="AD312" i="8"/>
  <c r="T260" i="8"/>
  <c r="AD260" i="8"/>
  <c r="X311" i="8"/>
  <c r="AH311" i="8"/>
  <c r="X259" i="8"/>
  <c r="AH259" i="8"/>
  <c r="U246" i="8"/>
  <c r="AE246" i="8"/>
  <c r="U298" i="8"/>
  <c r="AE298" i="8"/>
  <c r="AA297" i="8"/>
  <c r="AK297" i="8"/>
  <c r="AA245" i="8"/>
  <c r="AK245" i="8"/>
  <c r="D390" i="6"/>
  <c r="D494" i="6"/>
  <c r="D359" i="6"/>
  <c r="D462" i="6"/>
  <c r="D393" i="6"/>
  <c r="D342" i="6"/>
  <c r="D329" i="6"/>
  <c r="D381" i="6"/>
  <c r="F381" i="6"/>
  <c r="F403" i="6"/>
  <c r="I403" i="6"/>
  <c r="Y245" i="8"/>
  <c r="AI245" i="8"/>
  <c r="X293" i="8"/>
  <c r="AH293" i="8"/>
  <c r="D501" i="6"/>
  <c r="X242" i="8"/>
  <c r="AH242" i="8"/>
  <c r="Z283" i="8"/>
  <c r="AJ283" i="8"/>
  <c r="X314" i="8"/>
  <c r="AH314" i="8"/>
  <c r="Z245" i="8"/>
  <c r="AJ245" i="8"/>
  <c r="Z311" i="8"/>
  <c r="AJ311" i="8"/>
  <c r="Y263" i="8"/>
  <c r="AI263" i="8"/>
  <c r="W242" i="8"/>
  <c r="AG242" i="8"/>
  <c r="T290" i="8"/>
  <c r="AD290" i="8"/>
  <c r="X283" i="8"/>
  <c r="AH283" i="8"/>
  <c r="W296" i="8"/>
  <c r="AG296" i="8"/>
  <c r="X296" i="8"/>
  <c r="AH296" i="8"/>
  <c r="X263" i="8"/>
  <c r="AH263" i="8"/>
  <c r="V232" i="8"/>
  <c r="AF232" i="8"/>
  <c r="X295" i="8"/>
  <c r="AH295" i="8"/>
  <c r="U299" i="8"/>
  <c r="AE299" i="8"/>
  <c r="U286" i="8"/>
  <c r="AE286" i="8"/>
  <c r="D504" i="6"/>
  <c r="T233" i="8"/>
  <c r="AD233" i="8"/>
  <c r="X282" i="8"/>
  <c r="AH282" i="8"/>
  <c r="U295" i="8"/>
  <c r="AE295" i="8"/>
  <c r="Z317" i="8"/>
  <c r="AJ317" i="8"/>
  <c r="T246" i="8"/>
  <c r="AD246" i="8"/>
  <c r="W317" i="8"/>
  <c r="AG317" i="8"/>
  <c r="Y281" i="8"/>
  <c r="AI281" i="8"/>
  <c r="Y317" i="8"/>
  <c r="AI317" i="8"/>
  <c r="W311" i="8"/>
  <c r="AG311" i="8"/>
  <c r="D475" i="6"/>
  <c r="T300" i="8"/>
  <c r="AD300" i="8"/>
  <c r="D511" i="6"/>
  <c r="AA256" i="8"/>
  <c r="AK256" i="8"/>
  <c r="W297" i="8"/>
  <c r="AG297" i="8"/>
  <c r="Y300" i="8"/>
  <c r="AI300" i="8"/>
  <c r="D424" i="6"/>
  <c r="U318" i="8"/>
  <c r="W231" i="8"/>
  <c r="AG231" i="8"/>
  <c r="U262" i="8"/>
  <c r="AE262" i="8"/>
  <c r="X265" i="8"/>
  <c r="AH265" i="8"/>
  <c r="Y266" i="8"/>
  <c r="AI266" i="8"/>
  <c r="W259" i="8"/>
  <c r="AG259" i="8"/>
  <c r="V296" i="8"/>
  <c r="AF296" i="8"/>
  <c r="D452" i="6"/>
  <c r="W246" i="8"/>
  <c r="AG246" i="8"/>
  <c r="AA264" i="8"/>
  <c r="AK264" i="8"/>
  <c r="D458" i="6"/>
  <c r="Y316" i="8"/>
  <c r="AI316" i="8"/>
  <c r="V316" i="8"/>
  <c r="AF316" i="8"/>
  <c r="U317" i="8"/>
  <c r="AM314" i="8"/>
  <c r="AA295" i="8"/>
  <c r="AK295" i="8"/>
  <c r="AA244" i="8"/>
  <c r="AK244" i="8"/>
  <c r="W230" i="8"/>
  <c r="AG230" i="8"/>
  <c r="D497" i="6"/>
  <c r="AA261" i="8"/>
  <c r="AK261" i="8"/>
  <c r="Z242" i="8"/>
  <c r="AJ242" i="8"/>
  <c r="U235" i="8"/>
  <c r="AE235" i="8"/>
  <c r="W314" i="8"/>
  <c r="AG314" i="8"/>
  <c r="W247" i="8"/>
  <c r="AG247" i="8"/>
  <c r="AA249" i="8"/>
  <c r="AK249" i="8"/>
  <c r="AA315" i="8"/>
  <c r="AK315" i="8"/>
  <c r="Z301" i="8"/>
  <c r="AJ301" i="8"/>
  <c r="Y298" i="8"/>
  <c r="AI298" i="8"/>
  <c r="Y312" i="8"/>
  <c r="AI312" i="8"/>
  <c r="Y260" i="8"/>
  <c r="AI260" i="8"/>
  <c r="T302" i="8"/>
  <c r="AD302" i="8"/>
  <c r="T250" i="8"/>
  <c r="AD250" i="8"/>
  <c r="D430" i="6"/>
  <c r="D379" i="6"/>
  <c r="F379" i="6"/>
  <c r="V266" i="8"/>
  <c r="AF266" i="8"/>
  <c r="V318" i="8"/>
  <c r="AF318" i="8"/>
  <c r="D423" i="6"/>
  <c r="D527" i="6"/>
  <c r="AA294" i="8"/>
  <c r="AK294" i="8"/>
  <c r="AA242" i="8"/>
  <c r="AK242" i="8"/>
  <c r="D368" i="6"/>
  <c r="F368" i="6"/>
  <c r="D419" i="6"/>
  <c r="D360" i="6"/>
  <c r="D463" i="6"/>
  <c r="D344" i="6"/>
  <c r="D395" i="6"/>
  <c r="D330" i="6"/>
  <c r="D382" i="6"/>
  <c r="F382" i="6"/>
  <c r="D433" i="6"/>
  <c r="AA233" i="8"/>
  <c r="AK233" i="8"/>
  <c r="U294" i="8"/>
  <c r="AE294" i="8"/>
  <c r="V298" i="8"/>
  <c r="AF298" i="8"/>
  <c r="T314" i="8"/>
  <c r="AD314" i="8"/>
  <c r="D513" i="6"/>
  <c r="W232" i="8"/>
  <c r="AG232" i="8"/>
  <c r="Y253" i="8"/>
  <c r="AI253" i="8"/>
  <c r="D474" i="6"/>
  <c r="D422" i="6"/>
  <c r="V263" i="8"/>
  <c r="AF263" i="8"/>
  <c r="AM333" i="8"/>
  <c r="T252" i="8"/>
  <c r="AD252" i="8"/>
  <c r="T304" i="8"/>
  <c r="AD304" i="8"/>
  <c r="AM332" i="8"/>
  <c r="Z260" i="8"/>
  <c r="AJ260" i="8"/>
  <c r="Z312" i="8"/>
  <c r="AJ312" i="8"/>
  <c r="U238" i="8"/>
  <c r="AE238" i="8"/>
  <c r="U290" i="8"/>
  <c r="AE290" i="8"/>
  <c r="AA282" i="8"/>
  <c r="AK282" i="8"/>
  <c r="AA230" i="8"/>
  <c r="AK230" i="8"/>
  <c r="D402" i="6"/>
  <c r="D351" i="6"/>
  <c r="D454" i="6"/>
  <c r="X231" i="8"/>
  <c r="AH231" i="8"/>
  <c r="V300" i="8"/>
  <c r="AF300" i="8"/>
  <c r="V248" i="8"/>
  <c r="AF248" i="8"/>
  <c r="Z235" i="8"/>
  <c r="AJ235" i="8"/>
  <c r="Z287" i="8"/>
  <c r="AJ287" i="8"/>
  <c r="T284" i="8"/>
  <c r="AD284" i="8"/>
  <c r="T232" i="8"/>
  <c r="AD232" i="8"/>
  <c r="Y221" i="8"/>
  <c r="AI221" i="8"/>
  <c r="Y273" i="8"/>
  <c r="AI273" i="8"/>
  <c r="W322" i="8"/>
  <c r="AG322" i="8"/>
  <c r="W270" i="8"/>
  <c r="AG270" i="8"/>
  <c r="W218" i="8"/>
  <c r="AG218" i="8"/>
  <c r="X291" i="8"/>
  <c r="AH291" i="8"/>
  <c r="D404" i="6"/>
  <c r="D456" i="6"/>
  <c r="D508" i="6"/>
  <c r="W290" i="8"/>
  <c r="AG290" i="8"/>
  <c r="W238" i="8"/>
  <c r="AG238" i="8"/>
  <c r="W294" i="8"/>
  <c r="AG294" i="8"/>
  <c r="AC310" i="8"/>
  <c r="AC427" i="8"/>
  <c r="I634" i="6"/>
  <c r="I407" i="6"/>
  <c r="I417" i="6"/>
  <c r="I567" i="6"/>
  <c r="AC355" i="8"/>
  <c r="F624" i="6"/>
  <c r="I641" i="6"/>
  <c r="AC429" i="8"/>
  <c r="AC304" i="8"/>
  <c r="I590" i="6"/>
  <c r="F520" i="6"/>
  <c r="I411" i="6"/>
  <c r="F518" i="6"/>
  <c r="I643" i="6"/>
  <c r="AC431" i="8"/>
  <c r="F542" i="6"/>
  <c r="AC274" i="8"/>
  <c r="F400" i="6"/>
  <c r="I629" i="6"/>
  <c r="AC417" i="8"/>
  <c r="F639" i="6"/>
  <c r="I492" i="6"/>
  <c r="AC280" i="8"/>
  <c r="F519" i="6"/>
  <c r="F559" i="6"/>
  <c r="I481" i="6"/>
  <c r="AC269" i="8"/>
  <c r="AC307" i="8"/>
  <c r="AC404" i="8"/>
  <c r="AC487" i="8"/>
  <c r="AC327" i="8"/>
  <c r="I642" i="6"/>
  <c r="AC430" i="8"/>
  <c r="I614" i="6"/>
  <c r="AC402" i="8"/>
  <c r="I632" i="6"/>
  <c r="AC420" i="8"/>
  <c r="AC271" i="8"/>
  <c r="I438" i="6"/>
  <c r="AC226" i="8"/>
  <c r="AC321" i="8"/>
  <c r="F570" i="6"/>
  <c r="I571" i="6"/>
  <c r="AC359" i="8"/>
  <c r="I410" i="6"/>
  <c r="F616" i="6"/>
  <c r="I620" i="6"/>
  <c r="AC408" i="8"/>
  <c r="AC422" i="8"/>
  <c r="AC326" i="8"/>
  <c r="F615" i="6"/>
  <c r="AC278" i="8"/>
  <c r="AC273" i="8"/>
  <c r="F627" i="6"/>
  <c r="F608" i="6"/>
  <c r="AC467" i="8"/>
  <c r="AC308" i="8"/>
  <c r="F591" i="6"/>
  <c r="AC335" i="8"/>
  <c r="I551" i="6"/>
  <c r="AC339" i="8"/>
  <c r="AC233" i="8"/>
  <c r="AC272" i="8"/>
  <c r="F533" i="6"/>
  <c r="F490" i="6"/>
  <c r="AC482" i="8"/>
  <c r="I439" i="6"/>
  <c r="AC227" i="8"/>
  <c r="AC314" i="8"/>
  <c r="F607" i="6"/>
  <c r="F611" i="6"/>
  <c r="I703" i="6"/>
  <c r="AC491" i="8"/>
  <c r="F703" i="6"/>
  <c r="F695" i="6"/>
  <c r="I695" i="6"/>
  <c r="AC483" i="8"/>
  <c r="AC424" i="8"/>
  <c r="I644" i="6"/>
  <c r="AC432" i="8"/>
  <c r="I541" i="6"/>
  <c r="AC329" i="8"/>
  <c r="I574" i="6"/>
  <c r="AC362" i="8"/>
  <c r="F548" i="6"/>
  <c r="AC291" i="8"/>
  <c r="I524" i="6"/>
  <c r="AC312" i="8"/>
  <c r="I646" i="6"/>
  <c r="AC434" i="8"/>
  <c r="AC220" i="8"/>
  <c r="AC231" i="8"/>
  <c r="AC415" i="8"/>
  <c r="AC255" i="8"/>
  <c r="AC306" i="8"/>
  <c r="AC378" i="8"/>
  <c r="AC468" i="8"/>
  <c r="AC360" i="8"/>
  <c r="AC441" i="8"/>
  <c r="AC399" i="8"/>
  <c r="AC398" i="8"/>
  <c r="AC426" i="8"/>
  <c r="AC396" i="8"/>
  <c r="I585" i="6"/>
  <c r="AC373" i="8"/>
  <c r="F677" i="6"/>
  <c r="I677" i="6"/>
  <c r="AC465" i="8"/>
  <c r="F678" i="6"/>
  <c r="I678" i="6"/>
  <c r="AC466" i="8"/>
  <c r="F468" i="6"/>
  <c r="AC453" i="8"/>
  <c r="I681" i="6"/>
  <c r="AC469" i="8"/>
  <c r="F681" i="6"/>
  <c r="F610" i="6"/>
  <c r="I612" i="6"/>
  <c r="AC400" i="8"/>
  <c r="F621" i="6"/>
  <c r="F675" i="6"/>
  <c r="I675" i="6"/>
  <c r="AC463" i="8"/>
  <c r="F446" i="6"/>
  <c r="F579" i="6"/>
  <c r="I625" i="6"/>
  <c r="AC413" i="8"/>
  <c r="AC458" i="8"/>
  <c r="F674" i="6"/>
  <c r="I674" i="6"/>
  <c r="AC462" i="8"/>
  <c r="F547" i="6"/>
  <c r="I609" i="6"/>
  <c r="AC397" i="8"/>
  <c r="F689" i="6"/>
  <c r="I689" i="6"/>
  <c r="AC477" i="8"/>
  <c r="F676" i="6"/>
  <c r="I676" i="6"/>
  <c r="AC464" i="8"/>
  <c r="AC336" i="8"/>
  <c r="I517" i="6"/>
  <c r="AC305" i="8"/>
  <c r="I514" i="6"/>
  <c r="AC302" i="8"/>
  <c r="I396" i="6"/>
  <c r="F572" i="6"/>
  <c r="I588" i="6"/>
  <c r="AC376" i="8"/>
  <c r="I630" i="6"/>
  <c r="AC418" i="8"/>
  <c r="F653" i="6"/>
  <c r="AC459" i="8"/>
  <c r="F664" i="6"/>
  <c r="I664" i="6"/>
  <c r="AC452" i="8"/>
  <c r="F663" i="6"/>
  <c r="I663" i="6"/>
  <c r="AC451" i="8"/>
  <c r="AC460" i="8"/>
  <c r="I661" i="6"/>
  <c r="AC449" i="8"/>
  <c r="F661" i="6"/>
  <c r="F662" i="6"/>
  <c r="I662" i="6"/>
  <c r="AC450" i="8"/>
  <c r="AC439" i="8"/>
  <c r="I598" i="6"/>
  <c r="AC386" i="8"/>
  <c r="AC331" i="8"/>
  <c r="F652" i="6"/>
  <c r="I652" i="6"/>
  <c r="AC440" i="8"/>
  <c r="F648" i="6"/>
  <c r="I648" i="6"/>
  <c r="AC436" i="8"/>
  <c r="F649" i="6"/>
  <c r="I649" i="6"/>
  <c r="AC437" i="8"/>
  <c r="F650" i="6"/>
  <c r="I650" i="6"/>
  <c r="AC438" i="8"/>
  <c r="F645" i="6"/>
  <c r="I645" i="6"/>
  <c r="AC433" i="8"/>
  <c r="F635" i="6"/>
  <c r="I635" i="6"/>
  <c r="AC423" i="8"/>
  <c r="F640" i="6"/>
  <c r="I640" i="6"/>
  <c r="AC428" i="8"/>
  <c r="F637" i="6"/>
  <c r="I637" i="6"/>
  <c r="AC425" i="8"/>
  <c r="F647" i="6"/>
  <c r="I647" i="6"/>
  <c r="AC435" i="8"/>
  <c r="F631" i="6"/>
  <c r="I631" i="6"/>
  <c r="AC419" i="8"/>
  <c r="F633" i="6"/>
  <c r="I633" i="6"/>
  <c r="AC421" i="8"/>
  <c r="F628" i="6"/>
  <c r="I628" i="6"/>
  <c r="AC416" i="8"/>
  <c r="F626" i="6"/>
  <c r="I626" i="6"/>
  <c r="AC414" i="8"/>
  <c r="AC412" i="8"/>
  <c r="F623" i="6"/>
  <c r="I623" i="6"/>
  <c r="AC411" i="8"/>
  <c r="F622" i="6"/>
  <c r="I622" i="6"/>
  <c r="AC410" i="8"/>
  <c r="AC409" i="8"/>
  <c r="F619" i="6"/>
  <c r="I619" i="6"/>
  <c r="AC407" i="8"/>
  <c r="AC406" i="8"/>
  <c r="F459" i="6"/>
  <c r="F488" i="6"/>
  <c r="F455" i="6"/>
  <c r="I447" i="6"/>
  <c r="AC235" i="8"/>
  <c r="AC405" i="8"/>
  <c r="F539" i="6"/>
  <c r="I499" i="6"/>
  <c r="AC287" i="8"/>
  <c r="AC322" i="8"/>
  <c r="F543" i="6"/>
  <c r="I515" i="6"/>
  <c r="AC303" i="8"/>
  <c r="I531" i="6"/>
  <c r="AC319" i="8"/>
  <c r="F496" i="6"/>
  <c r="F486" i="6"/>
  <c r="I544" i="6"/>
  <c r="AC332" i="8"/>
  <c r="F429" i="6"/>
  <c r="I537" i="6"/>
  <c r="AC325" i="8"/>
  <c r="I540" i="6"/>
  <c r="AC328" i="8"/>
  <c r="I498" i="6"/>
  <c r="AC286" i="8"/>
  <c r="I601" i="6"/>
  <c r="AC389" i="8"/>
  <c r="I606" i="6"/>
  <c r="AC394" i="8"/>
  <c r="AC260" i="8"/>
  <c r="F535" i="6"/>
  <c r="F461" i="6"/>
  <c r="I397" i="6"/>
  <c r="AC234" i="8"/>
  <c r="I521" i="6"/>
  <c r="AC309" i="8"/>
  <c r="I550" i="6"/>
  <c r="AC338" i="8"/>
  <c r="I493" i="6"/>
  <c r="AC281" i="8"/>
  <c r="F560" i="6"/>
  <c r="AC403" i="8"/>
  <c r="F613" i="6"/>
  <c r="I613" i="6"/>
  <c r="AC401" i="8"/>
  <c r="AC395" i="8"/>
  <c r="I594" i="6"/>
  <c r="AC382" i="8"/>
  <c r="I605" i="6"/>
  <c r="AC393" i="8"/>
  <c r="F605" i="6"/>
  <c r="F604" i="6"/>
  <c r="I604" i="6"/>
  <c r="AC392" i="8"/>
  <c r="F603" i="6"/>
  <c r="I603" i="6"/>
  <c r="AC391" i="8"/>
  <c r="F602" i="6"/>
  <c r="I602" i="6"/>
  <c r="AC390" i="8"/>
  <c r="F600" i="6"/>
  <c r="I600" i="6"/>
  <c r="AC388" i="8"/>
  <c r="F599" i="6"/>
  <c r="I599" i="6"/>
  <c r="AC387" i="8"/>
  <c r="AC323" i="8"/>
  <c r="AC217" i="8"/>
  <c r="I409" i="6"/>
  <c r="AC324" i="8"/>
  <c r="F597" i="6"/>
  <c r="I597" i="6"/>
  <c r="AC385" i="8"/>
  <c r="F596" i="6"/>
  <c r="I596" i="6"/>
  <c r="AC384" i="8"/>
  <c r="F595" i="6"/>
  <c r="I595" i="6"/>
  <c r="AC383" i="8"/>
  <c r="F593" i="6"/>
  <c r="I593" i="6"/>
  <c r="AC381" i="8"/>
  <c r="F592" i="6"/>
  <c r="I592" i="6"/>
  <c r="AC380" i="8"/>
  <c r="AC379" i="8"/>
  <c r="F534" i="6"/>
  <c r="F589" i="6"/>
  <c r="I589" i="6"/>
  <c r="AC377" i="8"/>
  <c r="I528" i="6"/>
  <c r="AC316" i="8"/>
  <c r="I478" i="6"/>
  <c r="AC266" i="8"/>
  <c r="I584" i="6"/>
  <c r="AC372" i="8"/>
  <c r="F587" i="6"/>
  <c r="I587" i="6"/>
  <c r="AC375" i="8"/>
  <c r="F586" i="6"/>
  <c r="I586" i="6"/>
  <c r="AC374" i="8"/>
  <c r="F516" i="6"/>
  <c r="I465" i="6"/>
  <c r="AC253" i="8"/>
  <c r="F503" i="6"/>
  <c r="AC241" i="8"/>
  <c r="F583" i="6"/>
  <c r="I583" i="6"/>
  <c r="AC371" i="8"/>
  <c r="F427" i="6"/>
  <c r="F415" i="6"/>
  <c r="F450" i="6"/>
  <c r="I440" i="6"/>
  <c r="AC228" i="8"/>
  <c r="F582" i="6"/>
  <c r="I582" i="6"/>
  <c r="AC370" i="8"/>
  <c r="F581" i="6"/>
  <c r="I581" i="6"/>
  <c r="AC369" i="8"/>
  <c r="AC367" i="8"/>
  <c r="I575" i="6"/>
  <c r="AC363" i="8"/>
  <c r="F580" i="6"/>
  <c r="I580" i="6"/>
  <c r="AC368" i="8"/>
  <c r="F578" i="6"/>
  <c r="I578" i="6"/>
  <c r="AC366" i="8"/>
  <c r="F577" i="6"/>
  <c r="I577" i="6"/>
  <c r="AC365" i="8"/>
  <c r="I442" i="6"/>
  <c r="AC230" i="8"/>
  <c r="F485" i="6"/>
  <c r="F532" i="6"/>
  <c r="F576" i="6"/>
  <c r="I576" i="6"/>
  <c r="AC364" i="8"/>
  <c r="F573" i="6"/>
  <c r="I573" i="6"/>
  <c r="AC361" i="8"/>
  <c r="AC358" i="8"/>
  <c r="F453" i="6"/>
  <c r="F569" i="6"/>
  <c r="I569" i="6"/>
  <c r="AC357" i="8"/>
  <c r="AC225" i="8"/>
  <c r="AC330" i="8"/>
  <c r="I506" i="6"/>
  <c r="AC294" i="8"/>
  <c r="I530" i="6"/>
  <c r="AC318" i="8"/>
  <c r="F472" i="6"/>
  <c r="I420" i="6"/>
  <c r="AC284" i="8"/>
  <c r="F443" i="6"/>
  <c r="I425" i="6"/>
  <c r="I431" i="6"/>
  <c r="AC219" i="8"/>
  <c r="I405" i="6"/>
  <c r="I414" i="6"/>
  <c r="AC283" i="8"/>
  <c r="I449" i="6"/>
  <c r="AC237" i="8"/>
  <c r="I545" i="6"/>
  <c r="AC333" i="8"/>
  <c r="F549" i="6"/>
  <c r="I507" i="6"/>
  <c r="AC295" i="8"/>
  <c r="AC268" i="8"/>
  <c r="F568" i="6"/>
  <c r="I568" i="6"/>
  <c r="AC356" i="8"/>
  <c r="AC249" i="8"/>
  <c r="F471" i="6"/>
  <c r="F432" i="6"/>
  <c r="F538" i="6"/>
  <c r="I505" i="6"/>
  <c r="AC293" i="8"/>
  <c r="I546" i="6"/>
  <c r="AC334" i="8"/>
  <c r="F477" i="6"/>
  <c r="F484" i="6"/>
  <c r="F480" i="6"/>
  <c r="F566" i="6"/>
  <c r="I566" i="6"/>
  <c r="AC354" i="8"/>
  <c r="F565" i="6"/>
  <c r="I565" i="6"/>
  <c r="AC353" i="8"/>
  <c r="F564" i="6"/>
  <c r="I564" i="6"/>
  <c r="AC352" i="8"/>
  <c r="F563" i="6"/>
  <c r="I563" i="6"/>
  <c r="AC351" i="8"/>
  <c r="AC256" i="8"/>
  <c r="F562" i="6"/>
  <c r="I562" i="6"/>
  <c r="AC350" i="8"/>
  <c r="I441" i="6"/>
  <c r="AC229" i="8"/>
  <c r="F536" i="6"/>
  <c r="F408" i="6"/>
  <c r="F406" i="6"/>
  <c r="I466" i="6"/>
  <c r="AC254" i="8"/>
  <c r="F561" i="6"/>
  <c r="I561" i="6"/>
  <c r="AC349" i="8"/>
  <c r="AC348" i="8"/>
  <c r="I502" i="6"/>
  <c r="AC290" i="8"/>
  <c r="I469" i="6"/>
  <c r="AC257" i="8"/>
  <c r="F469" i="6"/>
  <c r="AC265" i="8"/>
  <c r="I436" i="6"/>
  <c r="AC224" i="8"/>
  <c r="AC347" i="8"/>
  <c r="AC320" i="8"/>
  <c r="F558" i="6"/>
  <c r="I558" i="6"/>
  <c r="AC346" i="8"/>
  <c r="AC276" i="8"/>
  <c r="F467" i="6"/>
  <c r="F426" i="6"/>
  <c r="AC259" i="8"/>
  <c r="I491" i="6"/>
  <c r="AC279" i="8"/>
  <c r="I482" i="6"/>
  <c r="AC270" i="8"/>
  <c r="I510" i="6"/>
  <c r="AC298" i="8"/>
  <c r="F557" i="6"/>
  <c r="I557" i="6"/>
  <c r="AC345" i="8"/>
  <c r="AC247" i="8"/>
  <c r="I523" i="6"/>
  <c r="AC311" i="8"/>
  <c r="I509" i="6"/>
  <c r="AC297" i="8"/>
  <c r="F529" i="6"/>
  <c r="AC243" i="8"/>
  <c r="F495" i="6"/>
  <c r="I512" i="6"/>
  <c r="AC300" i="8"/>
  <c r="I457" i="6"/>
  <c r="AC245" i="8"/>
  <c r="AC277" i="8"/>
  <c r="I464" i="6"/>
  <c r="AC252" i="8"/>
  <c r="F556" i="6"/>
  <c r="I556" i="6"/>
  <c r="AC344" i="8"/>
  <c r="F555" i="6"/>
  <c r="I555" i="6"/>
  <c r="AC343" i="8"/>
  <c r="F483" i="6"/>
  <c r="F554" i="6"/>
  <c r="I554" i="6"/>
  <c r="AC342" i="8"/>
  <c r="I479" i="6"/>
  <c r="AC267" i="8"/>
  <c r="F479" i="6"/>
  <c r="AC317" i="8"/>
  <c r="F553" i="6"/>
  <c r="I553" i="6"/>
  <c r="AC341" i="8"/>
  <c r="F445" i="6"/>
  <c r="F428" i="6"/>
  <c r="I428" i="6"/>
  <c r="F526" i="6"/>
  <c r="I426" i="6"/>
  <c r="F500" i="6"/>
  <c r="I500" i="6"/>
  <c r="AC288" i="8"/>
  <c r="F552" i="6"/>
  <c r="I552" i="6"/>
  <c r="AC340" i="8"/>
  <c r="F416" i="6"/>
  <c r="I416" i="6"/>
  <c r="F412" i="6"/>
  <c r="I412" i="6"/>
  <c r="I470" i="6"/>
  <c r="AC258" i="8"/>
  <c r="F470" i="6"/>
  <c r="I418" i="6"/>
  <c r="AC337" i="8"/>
  <c r="I401" i="6"/>
  <c r="F434" i="6"/>
  <c r="I434" i="6"/>
  <c r="AC222" i="8"/>
  <c r="F487" i="6"/>
  <c r="I487" i="6"/>
  <c r="AC275" i="8"/>
  <c r="I460" i="6"/>
  <c r="AC248" i="8"/>
  <c r="F460" i="6"/>
  <c r="I435" i="6"/>
  <c r="AC223" i="8"/>
  <c r="F435" i="6"/>
  <c r="AC238" i="8"/>
  <c r="F398" i="6"/>
  <c r="I398" i="6"/>
  <c r="I399" i="6"/>
  <c r="F399" i="6"/>
  <c r="F413" i="6"/>
  <c r="I413" i="6"/>
  <c r="F451" i="6"/>
  <c r="I451" i="6"/>
  <c r="AC239" i="8"/>
  <c r="I448" i="6"/>
  <c r="AC236" i="8"/>
  <c r="F448" i="6"/>
  <c r="F476" i="6"/>
  <c r="I476" i="6"/>
  <c r="AC264" i="8"/>
  <c r="F474" i="6"/>
  <c r="I474" i="6"/>
  <c r="AC262" i="8"/>
  <c r="I513" i="6"/>
  <c r="AC301" i="8"/>
  <c r="F513" i="6"/>
  <c r="F433" i="6"/>
  <c r="I433" i="6"/>
  <c r="AC221" i="8"/>
  <c r="F423" i="6"/>
  <c r="I423" i="6"/>
  <c r="I430" i="6"/>
  <c r="AC218" i="8"/>
  <c r="F430" i="6"/>
  <c r="I497" i="6"/>
  <c r="AC285" i="8"/>
  <c r="F497" i="6"/>
  <c r="I458" i="6"/>
  <c r="AC246" i="8"/>
  <c r="F458" i="6"/>
  <c r="F501" i="6"/>
  <c r="I501" i="6"/>
  <c r="AC289" i="8"/>
  <c r="F393" i="6"/>
  <c r="F390" i="6"/>
  <c r="I525" i="6"/>
  <c r="AC313" i="8"/>
  <c r="F525" i="6"/>
  <c r="F392" i="6"/>
  <c r="I422" i="6"/>
  <c r="F422" i="6"/>
  <c r="F395" i="6"/>
  <c r="I463" i="6"/>
  <c r="AC251" i="8"/>
  <c r="F463" i="6"/>
  <c r="I419" i="6"/>
  <c r="F419" i="6"/>
  <c r="I527" i="6"/>
  <c r="AC315" i="8"/>
  <c r="F527" i="6"/>
  <c r="F452" i="6"/>
  <c r="I452" i="6"/>
  <c r="AC240" i="8"/>
  <c r="F424" i="6"/>
  <c r="I424" i="6"/>
  <c r="F511" i="6"/>
  <c r="I511" i="6"/>
  <c r="AC299" i="8"/>
  <c r="F475" i="6"/>
  <c r="I475" i="6"/>
  <c r="AC263" i="8"/>
  <c r="F504" i="6"/>
  <c r="I504" i="6"/>
  <c r="AC292" i="8"/>
  <c r="F462" i="6"/>
  <c r="I462" i="6"/>
  <c r="AC250" i="8"/>
  <c r="F494" i="6"/>
  <c r="I494" i="6"/>
  <c r="AC282" i="8"/>
  <c r="I473" i="6"/>
  <c r="AC261" i="8"/>
  <c r="F473" i="6"/>
  <c r="F421" i="6"/>
  <c r="I421" i="6"/>
  <c r="I444" i="6"/>
  <c r="AC232" i="8"/>
  <c r="F444" i="6"/>
  <c r="I454" i="6"/>
  <c r="AC242" i="8"/>
  <c r="F454" i="6"/>
  <c r="I402" i="6"/>
  <c r="F402" i="6"/>
  <c r="I508" i="6"/>
  <c r="AC296" i="8"/>
  <c r="F508" i="6"/>
  <c r="I404" i="6"/>
  <c r="F404" i="6"/>
  <c r="F456" i="6"/>
  <c r="I456" i="6"/>
  <c r="AC244" i="8"/>
  <c r="AF596" i="8"/>
  <c r="AC596" i="8"/>
</calcChain>
</file>

<file path=xl/comments1.xml><?xml version="1.0" encoding="utf-8"?>
<comments xmlns="http://schemas.openxmlformats.org/spreadsheetml/2006/main">
  <authors>
    <author>NICK Marathon</author>
  </authors>
  <commentList>
    <comment ref="AM1" authorId="0">
      <text>
        <r>
          <rPr>
            <b/>
            <sz val="8"/>
            <color indexed="81"/>
            <rFont val="Tahoma"/>
            <family val="2"/>
          </rPr>
          <t xml:space="preserve">NICK Marathon: This field should always equal 0, and is used to verify the data-  Other users do not need to use this field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<sst xmlns="http://schemas.openxmlformats.org/spreadsheetml/2006/main" count="292" uniqueCount="71">
  <si>
    <t>(1 MONTH OUT)</t>
  </si>
  <si>
    <t>(3 MONTHS OUT)</t>
  </si>
  <si>
    <t>CAR-MEM</t>
  </si>
  <si>
    <t>CINC</t>
  </si>
  <si>
    <t>DATE</t>
  </si>
  <si>
    <t>ILL</t>
  </si>
  <si>
    <t>LOH</t>
  </si>
  <si>
    <t>MM</t>
  </si>
  <si>
    <t>MONTH</t>
  </si>
  <si>
    <t>ST LOUIS</t>
  </si>
  <si>
    <t>TWC</t>
  </si>
  <si>
    <t>MEM-SO</t>
  </si>
  <si>
    <t xml:space="preserve"> </t>
  </si>
  <si>
    <t>Mid-Mississippi</t>
  </si>
  <si>
    <t>St. Louis</t>
  </si>
  <si>
    <t>Cairo-Memphis</t>
  </si>
  <si>
    <t>Source:  Transportation &amp; Marketing Programs/AMS/USDA</t>
  </si>
  <si>
    <t>Ill Rivr</t>
  </si>
  <si>
    <t>Weekly rate</t>
  </si>
  <si>
    <t>Date</t>
  </si>
  <si>
    <t>4-wk running avg</t>
  </si>
  <si>
    <t>Barge Spot Rate Quotes - Weekly Average from Survey Quotes and 3-yr Average</t>
  </si>
  <si>
    <t>---</t>
  </si>
  <si>
    <t>Difference to 3 yr. avg.</t>
  </si>
  <si>
    <t>$/ton</t>
  </si>
  <si>
    <t>Benchmark Tariff Rates</t>
  </si>
  <si>
    <t>3-year avg. for the week</t>
  </si>
  <si>
    <t>IN %:  change</t>
  </si>
  <si>
    <t>last week</t>
  </si>
  <si>
    <t>last year</t>
  </si>
  <si>
    <t>3-yr avg</t>
  </si>
  <si>
    <t>for the text box:</t>
  </si>
  <si>
    <t>All Points</t>
  </si>
  <si>
    <t>Table 9</t>
  </si>
  <si>
    <t>Twin         Cities</t>
  </si>
  <si>
    <t>Cincinnati</t>
  </si>
  <si>
    <t>Lower         Ohio</t>
  </si>
  <si>
    <t>Current week % change from the same week:</t>
  </si>
  <si>
    <t>Last year</t>
  </si>
  <si>
    <r>
      <t xml:space="preserve">3-year avg. </t>
    </r>
    <r>
      <rPr>
        <vertAlign val="superscript"/>
        <sz val="10"/>
        <rFont val="Times New Roman"/>
        <family val="1"/>
      </rPr>
      <t>2</t>
    </r>
  </si>
  <si>
    <t>Barge Spot Rate Quotes - 4-wk running average</t>
  </si>
  <si>
    <t>Barge Spot Rate Quotes - 4-wk running average, 3-year average</t>
  </si>
  <si>
    <t>% CHANGE This Week from 3-year average of the 4-week running average</t>
  </si>
  <si>
    <t>Barge Spot Rate Quotes - Weekly Average from Survey Quotes</t>
  </si>
  <si>
    <t>Barge Spot Rate Quotes - Weekly Average from Survey Quotes, 4-wk running average, 3-yr average of the 4-wk running average, % change from 3-year average of the 4-wk running average, and % change of the same week last year</t>
  </si>
  <si>
    <t>% CHANGE This Week from last year same week</t>
  </si>
  <si>
    <r>
      <t>Illinois River Barge Freight Rate</t>
    </r>
    <r>
      <rPr>
        <b/>
        <vertAlign val="superscript"/>
        <sz val="10"/>
        <rFont val="Times New Roman"/>
        <family val="1"/>
      </rPr>
      <t>1,2</t>
    </r>
  </si>
  <si>
    <t>Weekly Barge Freight Rates:  Southbound Only</t>
  </si>
  <si>
    <r>
      <t>Rate</t>
    </r>
    <r>
      <rPr>
        <b/>
        <vertAlign val="superscript"/>
        <sz val="10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</si>
  <si>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 of the 3-year average.</t>
    </r>
  </si>
  <si>
    <t>Barge Rate Quotes, 2004 - Present</t>
  </si>
  <si>
    <t>Barge Rates, 2004 - Present</t>
  </si>
  <si>
    <t>Spot Barge Rates (twk), 2004 - Present</t>
  </si>
  <si>
    <t>Figure 8</t>
  </si>
  <si>
    <t>Weekly Barge Rates for Major Grain Shipping Points on the Mississippi, Ohio, and Arkansas Rivers</t>
  </si>
  <si>
    <t>Weekly Barge Rates for Illinois River</t>
  </si>
  <si>
    <t>Data checking field - value should always = 0</t>
  </si>
  <si>
    <t>-</t>
  </si>
  <si>
    <t>Lower Illinois         River</t>
  </si>
  <si>
    <t>Data begins in 2006</t>
  </si>
  <si>
    <t>This field is used by the USDA to check data (should always be 0)</t>
  </si>
  <si>
    <t>data begins in 2007</t>
  </si>
  <si>
    <t>estimated</t>
  </si>
  <si>
    <r>
      <t>Week ending April 15: up 4</t>
    </r>
    <r>
      <rPr>
        <sz val="8"/>
        <rFont val="Times New Roman"/>
        <family val="1"/>
      </rPr>
      <t xml:space="preserve"> percent from last week, up 40 percent from last year, and up 8 percent from the 3-yr average</t>
    </r>
    <r>
      <rPr>
        <sz val="8"/>
        <color rgb="FF000000"/>
        <rFont val="Times New Roman"/>
        <family val="1"/>
      </rPr>
      <t>.</t>
    </r>
  </si>
  <si>
    <t>missing value filled in to complete running averages</t>
  </si>
  <si>
    <t>Flood</t>
  </si>
  <si>
    <t>River reopened</t>
  </si>
  <si>
    <t>River closed MM 675</t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</si>
  <si>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4-week moving average; ton = 2,000 pounds; </t>
    </r>
  </si>
  <si>
    <t>November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</si>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</sst>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164" formatCode="0.000000"/>
  </numFmts>
  <fonts count="26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2"/>
      <name val="Times New Roman"/>
      <family val="1"/>
    </font>
    <font>
      <b/>
      <sz val="11"/>
      <name val="Times New Roman"/>
      <family val="1"/>
    </font>
    <font>
      <vertAlign val="superscript"/>
      <sz val="10"/>
      <name val="Times New Roman"/>
      <family val="1"/>
    </font>
    <font>
      <b/>
      <u/>
      <sz val="10"/>
      <name val="Times New Roman"/>
      <family val="1"/>
    </font>
    <font>
      <sz val="8"/>
      <name val="Verdana"/>
      <family val="2"/>
    </font>
    <font>
      <sz val="11"/>
      <name val="Times New Roman"/>
      <family val="1"/>
    </font>
    <font>
      <sz val="11"/>
      <color indexed="6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58"/>
      <name val="Times New Roman"/>
      <family val="1"/>
    </font>
    <font>
      <sz val="11"/>
      <name val="Arial"/>
      <family val="2"/>
    </font>
    <font>
      <sz val="8"/>
      <color rgb="FF00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41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5"/>
        <bgColor indexed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" fontId="10" fillId="0" borderId="0"/>
    <xf numFmtId="3" fontId="10" fillId="0" borderId="0"/>
    <xf numFmtId="5" fontId="10" fillId="0" borderId="0"/>
    <xf numFmtId="14" fontId="10" fillId="0" borderId="0"/>
    <xf numFmtId="2" fontId="10" fillId="0" borderId="0"/>
    <xf numFmtId="0" fontId="1" fillId="0" borderId="0"/>
    <xf numFmtId="0" fontId="2" fillId="0" borderId="0"/>
    <xf numFmtId="0" fontId="10" fillId="0" borderId="1"/>
  </cellStyleXfs>
  <cellXfs count="148">
    <xf numFmtId="0" fontId="0" fillId="0" borderId="0" xfId="0"/>
    <xf numFmtId="0" fontId="4" fillId="2" borderId="0" xfId="0" applyFont="1" applyFill="1"/>
    <xf numFmtId="0" fontId="7" fillId="2" borderId="0" xfId="0" applyFont="1" applyFill="1"/>
    <xf numFmtId="0" fontId="8" fillId="0" borderId="0" xfId="0" applyFont="1"/>
    <xf numFmtId="0" fontId="5" fillId="2" borderId="0" xfId="0" applyFont="1" applyFill="1" applyBorder="1"/>
    <xf numFmtId="0" fontId="0" fillId="2" borderId="0" xfId="0" applyFill="1"/>
    <xf numFmtId="0" fontId="0" fillId="2" borderId="0" xfId="0" applyFill="1" applyBorder="1"/>
    <xf numFmtId="0" fontId="4" fillId="0" borderId="0" xfId="0" applyFont="1"/>
    <xf numFmtId="1" fontId="4" fillId="0" borderId="0" xfId="0" applyNumberFormat="1" applyFont="1"/>
    <xf numFmtId="0" fontId="9" fillId="0" borderId="0" xfId="0" applyFont="1"/>
    <xf numFmtId="1" fontId="9" fillId="0" borderId="0" xfId="0" applyNumberFormat="1" applyFont="1"/>
    <xf numFmtId="2" fontId="9" fillId="0" borderId="0" xfId="0" applyNumberFormat="1" applyFont="1"/>
    <xf numFmtId="0" fontId="4" fillId="0" borderId="0" xfId="0" quotePrefix="1" applyFont="1" applyAlignment="1">
      <alignment horizontal="center"/>
    </xf>
    <xf numFmtId="14" fontId="4" fillId="0" borderId="0" xfId="0" applyNumberFormat="1" applyFont="1"/>
    <xf numFmtId="0" fontId="5" fillId="2" borderId="0" xfId="0" applyFont="1" applyFill="1"/>
    <xf numFmtId="0" fontId="0" fillId="4" borderId="0" xfId="0" applyFill="1"/>
    <xf numFmtId="0" fontId="8" fillId="0" borderId="0" xfId="0" applyFont="1" applyBorder="1"/>
    <xf numFmtId="0" fontId="7" fillId="5" borderId="0" xfId="0" applyFont="1" applyFill="1"/>
    <xf numFmtId="0" fontId="4" fillId="5" borderId="0" xfId="0" applyFont="1" applyFill="1"/>
    <xf numFmtId="0" fontId="9" fillId="5" borderId="0" xfId="0" applyFont="1" applyFill="1"/>
    <xf numFmtId="1" fontId="14" fillId="0" borderId="0" xfId="0" applyNumberFormat="1" applyFont="1"/>
    <xf numFmtId="1" fontId="0" fillId="0" borderId="0" xfId="0" applyNumberFormat="1"/>
    <xf numFmtId="0" fontId="7" fillId="2" borderId="0" xfId="0" applyFont="1" applyFill="1" applyBorder="1"/>
    <xf numFmtId="0" fontId="15" fillId="2" borderId="0" xfId="0" applyFont="1" applyFill="1" applyBorder="1"/>
    <xf numFmtId="0" fontId="4" fillId="2" borderId="0" xfId="0" applyFont="1" applyFill="1" applyBorder="1"/>
    <xf numFmtId="0" fontId="0" fillId="4" borderId="2" xfId="0" applyFill="1" applyBorder="1"/>
    <xf numFmtId="0" fontId="4" fillId="5" borderId="3" xfId="0" applyFont="1" applyFill="1" applyBorder="1"/>
    <xf numFmtId="0" fontId="9" fillId="5" borderId="3" xfId="0" applyFont="1" applyFill="1" applyBorder="1" applyAlignment="1">
      <alignment horizontal="right" wrapText="1"/>
    </xf>
    <xf numFmtId="0" fontId="0" fillId="5" borderId="3" xfId="0" applyFill="1" applyBorder="1"/>
    <xf numFmtId="0" fontId="4" fillId="2" borderId="0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0" fillId="4" borderId="0" xfId="0" applyFill="1" applyBorder="1"/>
    <xf numFmtId="0" fontId="9" fillId="2" borderId="0" xfId="0" applyFont="1" applyFill="1"/>
    <xf numFmtId="14" fontId="4" fillId="0" borderId="0" xfId="0" applyNumberFormat="1" applyFont="1" applyAlignment="1">
      <alignment horizontal="left"/>
    </xf>
    <xf numFmtId="14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right"/>
    </xf>
    <xf numFmtId="14" fontId="4" fillId="2" borderId="0" xfId="0" applyNumberFormat="1" applyFont="1" applyFill="1"/>
    <xf numFmtId="0" fontId="4" fillId="2" borderId="0" xfId="0" applyFont="1" applyFill="1" applyAlignment="1">
      <alignment horizontal="center"/>
    </xf>
    <xf numFmtId="0" fontId="9" fillId="2" borderId="0" xfId="0" applyFont="1" applyFill="1" applyBorder="1" applyAlignment="1"/>
    <xf numFmtId="0" fontId="4" fillId="2" borderId="0" xfId="0" applyFont="1" applyFill="1" applyAlignment="1"/>
    <xf numFmtId="0" fontId="4" fillId="2" borderId="0" xfId="0" applyFont="1" applyFill="1" applyBorder="1" applyAlignment="1"/>
    <xf numFmtId="1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4" fillId="2" borderId="2" xfId="0" applyFont="1" applyFill="1" applyBorder="1" applyAlignment="1"/>
    <xf numFmtId="0" fontId="13" fillId="2" borderId="0" xfId="0" applyFont="1" applyFill="1" applyBorder="1"/>
    <xf numFmtId="4" fontId="4" fillId="3" borderId="0" xfId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4" fillId="3" borderId="0" xfId="1" applyFont="1" applyFill="1" applyAlignment="1">
      <alignment horizontal="center"/>
    </xf>
    <xf numFmtId="0" fontId="11" fillId="7" borderId="0" xfId="0" applyFont="1" applyFill="1" applyBorder="1"/>
    <xf numFmtId="0" fontId="0" fillId="7" borderId="0" xfId="0" applyFill="1"/>
    <xf numFmtId="14" fontId="14" fillId="0" borderId="0" xfId="0" applyNumberFormat="1" applyFont="1"/>
    <xf numFmtId="14" fontId="9" fillId="6" borderId="0" xfId="0" applyNumberFormat="1" applyFont="1" applyFill="1"/>
    <xf numFmtId="14" fontId="9" fillId="0" borderId="0" xfId="0" applyNumberFormat="1" applyFont="1"/>
    <xf numFmtId="0" fontId="4" fillId="2" borderId="0" xfId="0" applyFont="1" applyFill="1" applyBorder="1" applyAlignment="1">
      <alignment horizontal="center"/>
    </xf>
    <xf numFmtId="1" fontId="4" fillId="2" borderId="0" xfId="0" applyNumberFormat="1" applyFont="1" applyFill="1" applyBorder="1"/>
    <xf numFmtId="1" fontId="4" fillId="2" borderId="2" xfId="0" quotePrefix="1" applyNumberFormat="1" applyFont="1" applyFill="1" applyBorder="1" applyAlignment="1">
      <alignment horizontal="right"/>
    </xf>
    <xf numFmtId="0" fontId="0" fillId="0" borderId="0" xfId="0"/>
    <xf numFmtId="0" fontId="18" fillId="0" borderId="0" xfId="0" applyFont="1"/>
    <xf numFmtId="0" fontId="3" fillId="0" borderId="0" xfId="0" applyFont="1"/>
    <xf numFmtId="0" fontId="19" fillId="2" borderId="0" xfId="0" applyFont="1" applyFill="1" applyAlignment="1">
      <alignment horizontal="centerContinuous"/>
    </xf>
    <xf numFmtId="0" fontId="19" fillId="0" borderId="0" xfId="0" applyFont="1" applyAlignment="1">
      <alignment horizontal="centerContinuous"/>
    </xf>
    <xf numFmtId="0" fontId="19" fillId="2" borderId="0" xfId="0" quotePrefix="1" applyFont="1" applyFill="1" applyAlignment="1">
      <alignment horizontal="centerContinuous"/>
    </xf>
    <xf numFmtId="0" fontId="19" fillId="0" borderId="0" xfId="0" applyFont="1"/>
    <xf numFmtId="0" fontId="19" fillId="2" borderId="0" xfId="0" applyFont="1" applyFill="1"/>
    <xf numFmtId="4" fontId="19" fillId="3" borderId="0" xfId="1" applyFont="1" applyFill="1"/>
    <xf numFmtId="14" fontId="19" fillId="0" borderId="0" xfId="1" applyNumberFormat="1" applyFont="1"/>
    <xf numFmtId="3" fontId="19" fillId="0" borderId="0" xfId="0" applyNumberFormat="1" applyFont="1"/>
    <xf numFmtId="1" fontId="19" fillId="0" borderId="0" xfId="0" applyNumberFormat="1" applyFont="1"/>
    <xf numFmtId="14" fontId="19" fillId="0" borderId="0" xfId="0" applyNumberFormat="1" applyFont="1"/>
    <xf numFmtId="14" fontId="19" fillId="0" borderId="0" xfId="1" quotePrefix="1" applyNumberFormat="1" applyFont="1"/>
    <xf numFmtId="0" fontId="19" fillId="0" borderId="0" xfId="0" applyFont="1" applyAlignment="1">
      <alignment horizontal="right"/>
    </xf>
    <xf numFmtId="14" fontId="19" fillId="0" borderId="2" xfId="1" applyNumberFormat="1" applyFont="1" applyBorder="1"/>
    <xf numFmtId="0" fontId="19" fillId="0" borderId="2" xfId="0" applyFont="1" applyBorder="1"/>
    <xf numFmtId="14" fontId="19" fillId="0" borderId="0" xfId="1" applyNumberFormat="1" applyFont="1" applyBorder="1"/>
    <xf numFmtId="0" fontId="19" fillId="0" borderId="0" xfId="0" applyFont="1" applyBorder="1"/>
    <xf numFmtId="4" fontId="19" fillId="0" borderId="0" xfId="0" applyNumberFormat="1" applyFont="1"/>
    <xf numFmtId="1" fontId="15" fillId="0" borderId="0" xfId="0" applyNumberFormat="1" applyFont="1"/>
    <xf numFmtId="14" fontId="19" fillId="0" borderId="2" xfId="0" applyNumberFormat="1" applyFont="1" applyBorder="1"/>
    <xf numFmtId="1" fontId="19" fillId="0" borderId="2" xfId="0" applyNumberFormat="1" applyFont="1" applyBorder="1"/>
    <xf numFmtId="1" fontId="20" fillId="0" borderId="0" xfId="0" applyNumberFormat="1" applyFont="1"/>
    <xf numFmtId="1" fontId="19" fillId="0" borderId="0" xfId="0" applyNumberFormat="1" applyFont="1" applyAlignment="1">
      <alignment horizontal="right"/>
    </xf>
    <xf numFmtId="164" fontId="19" fillId="0" borderId="0" xfId="0" applyNumberFormat="1" applyFont="1"/>
    <xf numFmtId="14" fontId="19" fillId="3" borderId="0" xfId="1" applyNumberFormat="1" applyFont="1" applyFill="1" applyAlignment="1">
      <alignment horizontal="centerContinuous"/>
    </xf>
    <xf numFmtId="4" fontId="19" fillId="3" borderId="0" xfId="1" applyFont="1" applyFill="1" applyAlignment="1">
      <alignment horizontal="centerContinuous"/>
    </xf>
    <xf numFmtId="4" fontId="19" fillId="0" borderId="0" xfId="1" applyFont="1"/>
    <xf numFmtId="0" fontId="19" fillId="0" borderId="0" xfId="0" applyFont="1" applyFill="1" applyBorder="1"/>
    <xf numFmtId="0" fontId="19" fillId="0" borderId="0" xfId="0" applyFont="1" applyAlignment="1">
      <alignment horizontal="center"/>
    </xf>
    <xf numFmtId="1" fontId="19" fillId="0" borderId="0" xfId="0" applyNumberFormat="1" applyFont="1" applyFill="1" applyBorder="1"/>
    <xf numFmtId="1" fontId="19" fillId="2" borderId="0" xfId="0" applyNumberFormat="1" applyFont="1" applyFill="1" applyAlignment="1">
      <alignment horizontal="centerContinuous"/>
    </xf>
    <xf numFmtId="1" fontId="19" fillId="3" borderId="0" xfId="1" applyNumberFormat="1" applyFont="1" applyFill="1" applyAlignment="1">
      <alignment horizontal="centerContinuous"/>
    </xf>
    <xf numFmtId="1" fontId="19" fillId="0" borderId="0" xfId="1" applyNumberFormat="1" applyFont="1"/>
    <xf numFmtId="3" fontId="4" fillId="0" borderId="0" xfId="0" applyNumberFormat="1" applyFont="1"/>
    <xf numFmtId="3" fontId="4" fillId="2" borderId="0" xfId="0" applyNumberFormat="1" applyFont="1" applyFill="1"/>
    <xf numFmtId="3" fontId="17" fillId="9" borderId="0" xfId="0" applyNumberFormat="1" applyFont="1" applyFill="1"/>
    <xf numFmtId="3" fontId="11" fillId="9" borderId="0" xfId="0" applyNumberFormat="1" applyFont="1" applyFill="1"/>
    <xf numFmtId="3" fontId="4" fillId="9" borderId="0" xfId="0" applyNumberFormat="1" applyFont="1" applyFill="1"/>
    <xf numFmtId="3" fontId="17" fillId="5" borderId="0" xfId="0" applyNumberFormat="1" applyFont="1" applyFill="1"/>
    <xf numFmtId="3" fontId="4" fillId="5" borderId="0" xfId="0" applyNumberFormat="1" applyFont="1" applyFill="1"/>
    <xf numFmtId="3" fontId="17" fillId="7" borderId="0" xfId="0" applyNumberFormat="1" applyFont="1" applyFill="1"/>
    <xf numFmtId="3" fontId="4" fillId="7" borderId="0" xfId="0" applyNumberFormat="1" applyFont="1" applyFill="1"/>
    <xf numFmtId="3" fontId="17" fillId="11" borderId="0" xfId="0" applyNumberFormat="1" applyFont="1" applyFill="1"/>
    <xf numFmtId="3" fontId="4" fillId="11" borderId="0" xfId="0" applyNumberFormat="1" applyFont="1" applyFill="1"/>
    <xf numFmtId="3" fontId="17" fillId="15" borderId="0" xfId="0" applyNumberFormat="1" applyFont="1" applyFill="1"/>
    <xf numFmtId="3" fontId="4" fillId="15" borderId="0" xfId="0" applyNumberFormat="1" applyFont="1" applyFill="1"/>
    <xf numFmtId="3" fontId="4" fillId="10" borderId="0" xfId="1" applyNumberFormat="1" applyFont="1" applyFill="1"/>
    <xf numFmtId="3" fontId="4" fillId="8" borderId="0" xfId="1" applyNumberFormat="1" applyFont="1" applyFill="1"/>
    <xf numFmtId="3" fontId="4" fillId="13" borderId="0" xfId="1" applyNumberFormat="1" applyFont="1" applyFill="1"/>
    <xf numFmtId="3" fontId="4" fillId="3" borderId="0" xfId="1" applyNumberFormat="1" applyFont="1" applyFill="1"/>
    <xf numFmtId="3" fontId="4" fillId="12" borderId="0" xfId="1" applyNumberFormat="1" applyFont="1" applyFill="1"/>
    <xf numFmtId="3" fontId="4" fillId="16" borderId="0" xfId="1" applyNumberFormat="1" applyFont="1" applyFill="1"/>
    <xf numFmtId="3" fontId="4" fillId="0" borderId="0" xfId="1" applyNumberFormat="1" applyFont="1"/>
    <xf numFmtId="3" fontId="4" fillId="14" borderId="0" xfId="0" applyNumberFormat="1" applyFont="1" applyFill="1"/>
    <xf numFmtId="1" fontId="4" fillId="0" borderId="0" xfId="0" applyNumberFormat="1" applyFont="1" applyFill="1" applyBorder="1"/>
    <xf numFmtId="1" fontId="19" fillId="0" borderId="0" xfId="0" applyNumberFormat="1" applyFont="1" applyBorder="1"/>
    <xf numFmtId="1" fontId="0" fillId="0" borderId="0" xfId="0" applyNumberFormat="1" applyBorder="1"/>
    <xf numFmtId="1" fontId="0" fillId="0" borderId="0" xfId="0" applyNumberFormat="1" applyFont="1" applyFill="1" applyBorder="1"/>
    <xf numFmtId="1" fontId="0" fillId="0" borderId="0" xfId="0" applyNumberFormat="1" applyBorder="1"/>
    <xf numFmtId="1" fontId="3" fillId="0" borderId="0" xfId="0" applyNumberFormat="1" applyFont="1" applyFill="1" applyBorder="1"/>
    <xf numFmtId="1" fontId="0" fillId="0" borderId="0" xfId="0" applyNumberFormat="1" applyFill="1" applyBorder="1"/>
    <xf numFmtId="0" fontId="7" fillId="2" borderId="0" xfId="0" quotePrefix="1" applyFont="1" applyFill="1" applyBorder="1"/>
    <xf numFmtId="1" fontId="3" fillId="0" borderId="0" xfId="0" applyNumberFormat="1" applyFont="1" applyBorder="1"/>
    <xf numFmtId="1" fontId="0" fillId="0" borderId="0" xfId="0" applyNumberFormat="1" applyBorder="1"/>
    <xf numFmtId="14" fontId="3" fillId="0" borderId="0" xfId="0" applyNumberFormat="1" applyFont="1"/>
    <xf numFmtId="14" fontId="0" fillId="0" borderId="0" xfId="0" applyNumberFormat="1"/>
    <xf numFmtId="1" fontId="0" fillId="0" borderId="0" xfId="0" applyNumberFormat="1" applyAlignment="1">
      <alignment horizontal="right"/>
    </xf>
    <xf numFmtId="1" fontId="24" fillId="0" borderId="0" xfId="0" applyNumberFormat="1" applyFont="1"/>
    <xf numFmtId="1" fontId="4" fillId="2" borderId="0" xfId="0" quotePrefix="1" applyNumberFormat="1" applyFont="1" applyFill="1" applyBorder="1" applyAlignment="1">
      <alignment horizontal="right"/>
    </xf>
    <xf numFmtId="1" fontId="0" fillId="17" borderId="0" xfId="0" applyNumberFormat="1" applyFill="1" applyBorder="1"/>
    <xf numFmtId="1" fontId="19" fillId="17" borderId="0" xfId="0" applyNumberFormat="1" applyFont="1" applyFill="1"/>
    <xf numFmtId="0" fontId="19" fillId="17" borderId="0" xfId="0" applyFont="1" applyFill="1"/>
    <xf numFmtId="0" fontId="0" fillId="17" borderId="0" xfId="0" applyFill="1"/>
    <xf numFmtId="0" fontId="25" fillId="0" borderId="0" xfId="0" applyFont="1" applyAlignment="1">
      <alignment horizontal="left" vertical="center" readingOrder="1"/>
    </xf>
    <xf numFmtId="1" fontId="0" fillId="0" borderId="0" xfId="0" applyNumberFormat="1"/>
    <xf numFmtId="14" fontId="0" fillId="0" borderId="0" xfId="0" applyNumberFormat="1"/>
    <xf numFmtId="3" fontId="4" fillId="17" borderId="0" xfId="0" applyNumberFormat="1" applyFont="1" applyFill="1"/>
    <xf numFmtId="1" fontId="14" fillId="17" borderId="0" xfId="0" applyNumberFormat="1" applyFont="1" applyFill="1"/>
    <xf numFmtId="1" fontId="4" fillId="17" borderId="0" xfId="0" applyNumberFormat="1" applyFont="1" applyFill="1"/>
    <xf numFmtId="1" fontId="14" fillId="0" borderId="0" xfId="0" applyNumberFormat="1" applyFont="1" applyFill="1"/>
    <xf numFmtId="1" fontId="14" fillId="3" borderId="0" xfId="1" applyNumberFormat="1" applyFont="1" applyFill="1" applyAlignment="1">
      <alignment horizontal="right"/>
    </xf>
    <xf numFmtId="1" fontId="14" fillId="0" borderId="0" xfId="0" applyNumberFormat="1" applyFont="1" applyAlignment="1">
      <alignment horizontal="right"/>
    </xf>
    <xf numFmtId="3" fontId="4" fillId="2" borderId="0" xfId="0" applyNumberFormat="1" applyFont="1" applyFill="1" applyAlignment="1">
      <alignment horizontal="right"/>
    </xf>
    <xf numFmtId="3" fontId="4" fillId="2" borderId="0" xfId="0" applyNumberFormat="1" applyFont="1" applyFill="1" applyBorder="1" applyAlignment="1">
      <alignment horizontal="right"/>
    </xf>
    <xf numFmtId="1" fontId="14" fillId="0" borderId="0" xfId="0" applyNumberFormat="1" applyFont="1" applyBorder="1" applyAlignment="1">
      <alignment horizontal="center"/>
    </xf>
    <xf numFmtId="3" fontId="23" fillId="14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17" borderId="0" xfId="0" applyNumberFormat="1" applyFont="1" applyFill="1" applyAlignment="1"/>
    <xf numFmtId="0" fontId="0" fillId="17" borderId="0" xfId="0" applyFill="1" applyAlignment="1"/>
  </cellXfs>
  <cellStyles count="9">
    <cellStyle name="Comma" xfId="1" builtinId="3"/>
    <cellStyle name="Comma0" xfId="2"/>
    <cellStyle name="Currency0" xfId="3"/>
    <cellStyle name="Date" xfId="4"/>
    <cellStyle name="Fixed" xfId="5"/>
    <cellStyle name="Heading 1" xfId="6" builtinId="16" customBuiltin="1"/>
    <cellStyle name="Heading 2" xfId="7" builtinId="17" customBuiltin="1"/>
    <cellStyle name="Normal" xfId="0" builtinId="0"/>
    <cellStyle name="Total" xfId="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73322004590179"/>
          <c:y val="9.2362030270543141E-2"/>
          <c:w val="0.86777522494530213"/>
          <c:h val="0.65969316596931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TWK!$A$515:$A$567</c:f>
              <c:numCache>
                <c:formatCode>m/d/yyyy</c:formatCode>
                <c:ptCount val="53"/>
                <c:pt idx="0">
                  <c:v>41569</c:v>
                </c:pt>
                <c:pt idx="1">
                  <c:v>41576</c:v>
                </c:pt>
                <c:pt idx="2">
                  <c:v>41583</c:v>
                </c:pt>
                <c:pt idx="3">
                  <c:v>41590</c:v>
                </c:pt>
                <c:pt idx="4">
                  <c:v>41597</c:v>
                </c:pt>
                <c:pt idx="5">
                  <c:v>41604</c:v>
                </c:pt>
                <c:pt idx="6">
                  <c:v>41611</c:v>
                </c:pt>
                <c:pt idx="7">
                  <c:v>41618</c:v>
                </c:pt>
                <c:pt idx="8">
                  <c:v>41625</c:v>
                </c:pt>
                <c:pt idx="9">
                  <c:v>41632</c:v>
                </c:pt>
                <c:pt idx="10">
                  <c:v>41639</c:v>
                </c:pt>
                <c:pt idx="11">
                  <c:v>41646</c:v>
                </c:pt>
                <c:pt idx="12">
                  <c:v>41653</c:v>
                </c:pt>
                <c:pt idx="13">
                  <c:v>41660</c:v>
                </c:pt>
                <c:pt idx="14">
                  <c:v>41667</c:v>
                </c:pt>
                <c:pt idx="15">
                  <c:v>41674</c:v>
                </c:pt>
                <c:pt idx="16">
                  <c:v>41681</c:v>
                </c:pt>
                <c:pt idx="17">
                  <c:v>41688</c:v>
                </c:pt>
                <c:pt idx="18">
                  <c:v>41695</c:v>
                </c:pt>
                <c:pt idx="19">
                  <c:v>41702</c:v>
                </c:pt>
                <c:pt idx="20">
                  <c:v>41709</c:v>
                </c:pt>
                <c:pt idx="21">
                  <c:v>41716</c:v>
                </c:pt>
                <c:pt idx="22">
                  <c:v>41723</c:v>
                </c:pt>
                <c:pt idx="23">
                  <c:v>41730</c:v>
                </c:pt>
                <c:pt idx="24">
                  <c:v>41737</c:v>
                </c:pt>
                <c:pt idx="25">
                  <c:v>41744</c:v>
                </c:pt>
                <c:pt idx="26">
                  <c:v>41751</c:v>
                </c:pt>
                <c:pt idx="27">
                  <c:v>41758</c:v>
                </c:pt>
                <c:pt idx="28">
                  <c:v>41765</c:v>
                </c:pt>
                <c:pt idx="29">
                  <c:v>41772</c:v>
                </c:pt>
                <c:pt idx="30">
                  <c:v>41779</c:v>
                </c:pt>
                <c:pt idx="31">
                  <c:v>41786</c:v>
                </c:pt>
                <c:pt idx="32">
                  <c:v>41793</c:v>
                </c:pt>
                <c:pt idx="33">
                  <c:v>41800</c:v>
                </c:pt>
                <c:pt idx="34">
                  <c:v>41807</c:v>
                </c:pt>
                <c:pt idx="35">
                  <c:v>41814</c:v>
                </c:pt>
                <c:pt idx="36">
                  <c:v>41821</c:v>
                </c:pt>
                <c:pt idx="37">
                  <c:v>41828</c:v>
                </c:pt>
                <c:pt idx="38">
                  <c:v>41835</c:v>
                </c:pt>
                <c:pt idx="39">
                  <c:v>41842</c:v>
                </c:pt>
                <c:pt idx="40">
                  <c:v>41849</c:v>
                </c:pt>
                <c:pt idx="41">
                  <c:v>41856</c:v>
                </c:pt>
                <c:pt idx="42">
                  <c:v>41863</c:v>
                </c:pt>
                <c:pt idx="43">
                  <c:v>41870</c:v>
                </c:pt>
                <c:pt idx="44">
                  <c:v>41877</c:v>
                </c:pt>
                <c:pt idx="45">
                  <c:v>41884</c:v>
                </c:pt>
                <c:pt idx="46">
                  <c:v>41891</c:v>
                </c:pt>
                <c:pt idx="47">
                  <c:v>41898</c:v>
                </c:pt>
                <c:pt idx="48">
                  <c:v>41905</c:v>
                </c:pt>
                <c:pt idx="49">
                  <c:v>41912</c:v>
                </c:pt>
                <c:pt idx="50">
                  <c:v>41919</c:v>
                </c:pt>
                <c:pt idx="51">
                  <c:v>41926</c:v>
                </c:pt>
                <c:pt idx="52">
                  <c:v>41933</c:v>
                </c:pt>
              </c:numCache>
            </c:numRef>
          </c:cat>
          <c:val>
            <c:numRef>
              <c:f>'Figure 8_data'!$B$782:$B$834</c:f>
              <c:numCache>
                <c:formatCode>0</c:formatCode>
                <c:ptCount val="53"/>
                <c:pt idx="0">
                  <c:v>640.66666666666663</c:v>
                </c:pt>
                <c:pt idx="1">
                  <c:v>618.33333333333337</c:v>
                </c:pt>
                <c:pt idx="2">
                  <c:v>583.33333333333337</c:v>
                </c:pt>
                <c:pt idx="3">
                  <c:v>691.66666666666663</c:v>
                </c:pt>
                <c:pt idx="4">
                  <c:v>650</c:v>
                </c:pt>
                <c:pt idx="5">
                  <c:v>530</c:v>
                </c:pt>
                <c:pt idx="6">
                  <c:v>541.66666666666663</c:v>
                </c:pt>
                <c:pt idx="7">
                  <c:v>538.33333333333337</c:v>
                </c:pt>
                <c:pt idx="8">
                  <c:v>576.66666666666663</c:v>
                </c:pt>
                <c:pt idx="9">
                  <c:v>590</c:v>
                </c:pt>
                <c:pt idx="10">
                  <c:v>586.66666666666663</c:v>
                </c:pt>
                <c:pt idx="11">
                  <c:v>567.5</c:v>
                </c:pt>
                <c:pt idx="12">
                  <c:v>560</c:v>
                </c:pt>
                <c:pt idx="13">
                  <c:v>555</c:v>
                </c:pt>
                <c:pt idx="14">
                  <c:v>590</c:v>
                </c:pt>
                <c:pt idx="15">
                  <c:v>0</c:v>
                </c:pt>
                <c:pt idx="16">
                  <c:v>597</c:v>
                </c:pt>
                <c:pt idx="17">
                  <c:v>600</c:v>
                </c:pt>
                <c:pt idx="18">
                  <c:v>591.66666666666663</c:v>
                </c:pt>
                <c:pt idx="19">
                  <c:v>620</c:v>
                </c:pt>
                <c:pt idx="20">
                  <c:v>625</c:v>
                </c:pt>
                <c:pt idx="21">
                  <c:v>578.33333333333337</c:v>
                </c:pt>
                <c:pt idx="22">
                  <c:v>468.75</c:v>
                </c:pt>
                <c:pt idx="23">
                  <c:v>416.25</c:v>
                </c:pt>
                <c:pt idx="24">
                  <c:v>370</c:v>
                </c:pt>
                <c:pt idx="25">
                  <c:v>383.75</c:v>
                </c:pt>
                <c:pt idx="26">
                  <c:v>377</c:v>
                </c:pt>
                <c:pt idx="27">
                  <c:v>360</c:v>
                </c:pt>
                <c:pt idx="28">
                  <c:v>365</c:v>
                </c:pt>
                <c:pt idx="29">
                  <c:v>355</c:v>
                </c:pt>
                <c:pt idx="30">
                  <c:v>372.5</c:v>
                </c:pt>
                <c:pt idx="31">
                  <c:v>360</c:v>
                </c:pt>
                <c:pt idx="32">
                  <c:v>353.33333333333331</c:v>
                </c:pt>
                <c:pt idx="33">
                  <c:v>373.33333333333331</c:v>
                </c:pt>
                <c:pt idx="34">
                  <c:v>366.66666666666669</c:v>
                </c:pt>
                <c:pt idx="35">
                  <c:v>368.75</c:v>
                </c:pt>
                <c:pt idx="36">
                  <c:v>378.33333333333331</c:v>
                </c:pt>
                <c:pt idx="37">
                  <c:v>345</c:v>
                </c:pt>
                <c:pt idx="38">
                  <c:v>405</c:v>
                </c:pt>
                <c:pt idx="39">
                  <c:v>546.66666666666663</c:v>
                </c:pt>
                <c:pt idx="40">
                  <c:v>560</c:v>
                </c:pt>
                <c:pt idx="41">
                  <c:v>467.5</c:v>
                </c:pt>
                <c:pt idx="42">
                  <c:v>441.66666666666669</c:v>
                </c:pt>
                <c:pt idx="43">
                  <c:v>466.66666666666669</c:v>
                </c:pt>
                <c:pt idx="44">
                  <c:v>468.75</c:v>
                </c:pt>
                <c:pt idx="45">
                  <c:v>596.25</c:v>
                </c:pt>
                <c:pt idx="46">
                  <c:v>666.66666666666663</c:v>
                </c:pt>
                <c:pt idx="47">
                  <c:v>633.33333333333337</c:v>
                </c:pt>
                <c:pt idx="48">
                  <c:v>825</c:v>
                </c:pt>
                <c:pt idx="49">
                  <c:v>1066.6666666666667</c:v>
                </c:pt>
                <c:pt idx="50">
                  <c:v>891.66666666666663</c:v>
                </c:pt>
                <c:pt idx="51">
                  <c:v>833.33333333333337</c:v>
                </c:pt>
                <c:pt idx="52">
                  <c:v>872.5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372672"/>
        <c:axId val="39374208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'Figure 8_data'!$A$780:$A$832</c:f>
              <c:numCache>
                <c:formatCode>m/d/yyyy</c:formatCode>
                <c:ptCount val="53"/>
                <c:pt idx="0">
                  <c:v>41555</c:v>
                </c:pt>
                <c:pt idx="1">
                  <c:v>41562</c:v>
                </c:pt>
                <c:pt idx="2">
                  <c:v>41569</c:v>
                </c:pt>
                <c:pt idx="3">
                  <c:v>41576</c:v>
                </c:pt>
                <c:pt idx="4">
                  <c:v>41583</c:v>
                </c:pt>
                <c:pt idx="5">
                  <c:v>41590</c:v>
                </c:pt>
                <c:pt idx="6">
                  <c:v>41597</c:v>
                </c:pt>
                <c:pt idx="7">
                  <c:v>41604</c:v>
                </c:pt>
                <c:pt idx="8">
                  <c:v>41611</c:v>
                </c:pt>
                <c:pt idx="9">
                  <c:v>41618</c:v>
                </c:pt>
                <c:pt idx="10">
                  <c:v>41625</c:v>
                </c:pt>
                <c:pt idx="11">
                  <c:v>41632</c:v>
                </c:pt>
                <c:pt idx="12">
                  <c:v>41639</c:v>
                </c:pt>
                <c:pt idx="13">
                  <c:v>41646</c:v>
                </c:pt>
                <c:pt idx="14">
                  <c:v>41653</c:v>
                </c:pt>
                <c:pt idx="15">
                  <c:v>41660</c:v>
                </c:pt>
                <c:pt idx="16">
                  <c:v>41667</c:v>
                </c:pt>
                <c:pt idx="17">
                  <c:v>41674</c:v>
                </c:pt>
                <c:pt idx="18">
                  <c:v>41681</c:v>
                </c:pt>
                <c:pt idx="19">
                  <c:v>41688</c:v>
                </c:pt>
                <c:pt idx="20">
                  <c:v>41695</c:v>
                </c:pt>
                <c:pt idx="21">
                  <c:v>41702</c:v>
                </c:pt>
                <c:pt idx="22">
                  <c:v>41709</c:v>
                </c:pt>
                <c:pt idx="23">
                  <c:v>41716</c:v>
                </c:pt>
                <c:pt idx="24">
                  <c:v>41723</c:v>
                </c:pt>
                <c:pt idx="25">
                  <c:v>41730</c:v>
                </c:pt>
                <c:pt idx="26">
                  <c:v>41737</c:v>
                </c:pt>
                <c:pt idx="27">
                  <c:v>41744</c:v>
                </c:pt>
                <c:pt idx="28">
                  <c:v>41751</c:v>
                </c:pt>
                <c:pt idx="29">
                  <c:v>41758</c:v>
                </c:pt>
                <c:pt idx="30">
                  <c:v>41765</c:v>
                </c:pt>
                <c:pt idx="31">
                  <c:v>41772</c:v>
                </c:pt>
                <c:pt idx="32">
                  <c:v>41779</c:v>
                </c:pt>
                <c:pt idx="33">
                  <c:v>41786</c:v>
                </c:pt>
                <c:pt idx="34">
                  <c:v>41793</c:v>
                </c:pt>
                <c:pt idx="35">
                  <c:v>41800</c:v>
                </c:pt>
                <c:pt idx="36">
                  <c:v>41807</c:v>
                </c:pt>
                <c:pt idx="37">
                  <c:v>41814</c:v>
                </c:pt>
                <c:pt idx="38">
                  <c:v>41821</c:v>
                </c:pt>
                <c:pt idx="39">
                  <c:v>41828</c:v>
                </c:pt>
                <c:pt idx="40">
                  <c:v>41835</c:v>
                </c:pt>
                <c:pt idx="41">
                  <c:v>41842</c:v>
                </c:pt>
                <c:pt idx="42">
                  <c:v>41849</c:v>
                </c:pt>
                <c:pt idx="43">
                  <c:v>41856</c:v>
                </c:pt>
                <c:pt idx="44">
                  <c:v>41863</c:v>
                </c:pt>
                <c:pt idx="45">
                  <c:v>41870</c:v>
                </c:pt>
                <c:pt idx="46">
                  <c:v>41877</c:v>
                </c:pt>
                <c:pt idx="47">
                  <c:v>41884</c:v>
                </c:pt>
                <c:pt idx="48">
                  <c:v>41891</c:v>
                </c:pt>
                <c:pt idx="49">
                  <c:v>41898</c:v>
                </c:pt>
                <c:pt idx="50">
                  <c:v>41905</c:v>
                </c:pt>
                <c:pt idx="51">
                  <c:v>41912</c:v>
                </c:pt>
                <c:pt idx="52">
                  <c:v>41919</c:v>
                </c:pt>
              </c:numCache>
            </c:numRef>
          </c:cat>
          <c:val>
            <c:numRef>
              <c:f>'Figure 8_data'!$D$782:$D$834</c:f>
              <c:numCache>
                <c:formatCode>0</c:formatCode>
                <c:ptCount val="53"/>
                <c:pt idx="0">
                  <c:v>549.14583333333337</c:v>
                </c:pt>
                <c:pt idx="1">
                  <c:v>518.86805555555554</c:v>
                </c:pt>
                <c:pt idx="2">
                  <c:v>507.65277777777777</c:v>
                </c:pt>
                <c:pt idx="3">
                  <c:v>494.16666666666669</c:v>
                </c:pt>
                <c:pt idx="4">
                  <c:v>486.8125</c:v>
                </c:pt>
                <c:pt idx="5">
                  <c:v>487.54861111111114</c:v>
                </c:pt>
                <c:pt idx="6">
                  <c:v>492.32638888888886</c:v>
                </c:pt>
                <c:pt idx="7">
                  <c:v>506.875</c:v>
                </c:pt>
                <c:pt idx="8">
                  <c:v>503.75</c:v>
                </c:pt>
                <c:pt idx="9">
                  <c:v>495.72916666666669</c:v>
                </c:pt>
                <c:pt idx="10">
                  <c:v>470.8819444444444</c:v>
                </c:pt>
                <c:pt idx="11">
                  <c:v>439.59722222222217</c:v>
                </c:pt>
                <c:pt idx="12">
                  <c:v>416.36111111111109</c:v>
                </c:pt>
                <c:pt idx="13">
                  <c:v>398.54861111111109</c:v>
                </c:pt>
                <c:pt idx="14">
                  <c:v>405.72916666666669</c:v>
                </c:pt>
                <c:pt idx="15">
                  <c:v>411.5625</c:v>
                </c:pt>
                <c:pt idx="16">
                  <c:v>425.34722222222217</c:v>
                </c:pt>
                <c:pt idx="17">
                  <c:v>433.11805555555549</c:v>
                </c:pt>
                <c:pt idx="18">
                  <c:v>421.8819444444444</c:v>
                </c:pt>
                <c:pt idx="19">
                  <c:v>426.00694444444451</c:v>
                </c:pt>
                <c:pt idx="20">
                  <c:v>417.1875</c:v>
                </c:pt>
                <c:pt idx="21">
                  <c:v>408.25</c:v>
                </c:pt>
                <c:pt idx="22">
                  <c:v>403.73611111111109</c:v>
                </c:pt>
                <c:pt idx="23">
                  <c:v>383.22222222222223</c:v>
                </c:pt>
                <c:pt idx="24">
                  <c:v>367.1805555555556</c:v>
                </c:pt>
                <c:pt idx="25">
                  <c:v>355.04861111111114</c:v>
                </c:pt>
                <c:pt idx="26">
                  <c:v>342.77777777777777</c:v>
                </c:pt>
                <c:pt idx="27">
                  <c:v>344.29861111111109</c:v>
                </c:pt>
                <c:pt idx="28">
                  <c:v>346.6944444444444</c:v>
                </c:pt>
                <c:pt idx="29">
                  <c:v>349.01388888888886</c:v>
                </c:pt>
                <c:pt idx="30">
                  <c:v>352.29166666666669</c:v>
                </c:pt>
                <c:pt idx="31">
                  <c:v>354.42361111111109</c:v>
                </c:pt>
                <c:pt idx="32">
                  <c:v>353.10416666666669</c:v>
                </c:pt>
                <c:pt idx="33">
                  <c:v>351.4375</c:v>
                </c:pt>
                <c:pt idx="34">
                  <c:v>349.48611111111114</c:v>
                </c:pt>
                <c:pt idx="35">
                  <c:v>344.09722222222223</c:v>
                </c:pt>
                <c:pt idx="36">
                  <c:v>347.4305555555556</c:v>
                </c:pt>
                <c:pt idx="37">
                  <c:v>353.09027777777777</c:v>
                </c:pt>
                <c:pt idx="38">
                  <c:v>361.40277777777777</c:v>
                </c:pt>
                <c:pt idx="39">
                  <c:v>359.1805555555556</c:v>
                </c:pt>
                <c:pt idx="40">
                  <c:v>349.875</c:v>
                </c:pt>
                <c:pt idx="41">
                  <c:v>339.5625</c:v>
                </c:pt>
                <c:pt idx="42">
                  <c:v>341.04166666666669</c:v>
                </c:pt>
                <c:pt idx="43">
                  <c:v>350.06944444444451</c:v>
                </c:pt>
                <c:pt idx="44">
                  <c:v>376.11111111111114</c:v>
                </c:pt>
                <c:pt idx="45">
                  <c:v>410.97222222222217</c:v>
                </c:pt>
                <c:pt idx="46">
                  <c:v>439.23611111111109</c:v>
                </c:pt>
                <c:pt idx="47">
                  <c:v>487.01388888888886</c:v>
                </c:pt>
                <c:pt idx="48">
                  <c:v>523.8888888888888</c:v>
                </c:pt>
                <c:pt idx="49">
                  <c:v>557.6388888888888</c:v>
                </c:pt>
                <c:pt idx="50">
                  <c:v>566.7361111111112</c:v>
                </c:pt>
                <c:pt idx="51">
                  <c:v>560.70833333333337</c:v>
                </c:pt>
                <c:pt idx="52">
                  <c:v>559.93055555555554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76384"/>
        <c:axId val="39377920"/>
      </c:lineChart>
      <c:catAx>
        <c:axId val="39372672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374208"/>
        <c:crosses val="autoZero"/>
        <c:auto val="0"/>
        <c:lblAlgn val="ctr"/>
        <c:lblOffset val="100"/>
        <c:tickMarkSkip val="1"/>
        <c:noMultiLvlLbl val="0"/>
      </c:catAx>
      <c:valAx>
        <c:axId val="39374208"/>
        <c:scaling>
          <c:orientation val="minMax"/>
          <c:max val="120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tariff</a:t>
                </a:r>
              </a:p>
            </c:rich>
          </c:tx>
          <c:layout>
            <c:manualLayout>
              <c:xMode val="edge"/>
              <c:yMode val="edge"/>
              <c:x val="1.5789445376704962E-2"/>
              <c:y val="0.188284298077610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372672"/>
        <c:crosses val="autoZero"/>
        <c:crossBetween val="between"/>
      </c:valAx>
      <c:catAx>
        <c:axId val="3937638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39377920"/>
        <c:crosses val="autoZero"/>
        <c:auto val="0"/>
        <c:lblAlgn val="ctr"/>
        <c:lblOffset val="100"/>
        <c:noMultiLvlLbl val="0"/>
      </c:catAx>
      <c:valAx>
        <c:axId val="3937792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3937638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627315006676799"/>
          <c:y val="0.10440200012781778"/>
          <c:w val="0.21879928166873897"/>
          <c:h val="0.13413676846879488"/>
        </c:manualLayout>
      </c:layout>
      <c:overlay val="0"/>
      <c:spPr>
        <a:gradFill rotWithShape="0">
          <a:gsLst>
            <a:gs pos="0">
              <a:srgbClr val="FFFFFF"/>
            </a:gs>
            <a:gs pos="100000">
              <a:srgbClr val="FFFFFF">
                <a:gamma/>
                <a:tint val="72941"/>
                <a:invGamma/>
              </a:srgbClr>
            </a:gs>
          </a:gsLst>
          <a:lin ang="5400000" scaled="1"/>
        </a:gra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'Figure 8_data'!$A$271:$A$322</c:f>
              <c:numCache>
                <c:formatCode>m/d/yyyy</c:formatCode>
                <c:ptCount val="52"/>
                <c:pt idx="0">
                  <c:v>37993</c:v>
                </c:pt>
                <c:pt idx="1">
                  <c:v>38000</c:v>
                </c:pt>
                <c:pt idx="2">
                  <c:v>38007</c:v>
                </c:pt>
                <c:pt idx="3">
                  <c:v>38014</c:v>
                </c:pt>
                <c:pt idx="4">
                  <c:v>38021</c:v>
                </c:pt>
                <c:pt idx="5">
                  <c:v>38028</c:v>
                </c:pt>
                <c:pt idx="6">
                  <c:v>38035</c:v>
                </c:pt>
                <c:pt idx="7">
                  <c:v>38042</c:v>
                </c:pt>
                <c:pt idx="8">
                  <c:v>38049</c:v>
                </c:pt>
                <c:pt idx="9">
                  <c:v>38056</c:v>
                </c:pt>
                <c:pt idx="10">
                  <c:v>38063</c:v>
                </c:pt>
                <c:pt idx="11">
                  <c:v>38070</c:v>
                </c:pt>
                <c:pt idx="12">
                  <c:v>38077</c:v>
                </c:pt>
                <c:pt idx="13">
                  <c:v>38084</c:v>
                </c:pt>
                <c:pt idx="14">
                  <c:v>38091</c:v>
                </c:pt>
                <c:pt idx="15">
                  <c:v>38098</c:v>
                </c:pt>
                <c:pt idx="16">
                  <c:v>38105</c:v>
                </c:pt>
                <c:pt idx="17">
                  <c:v>38112</c:v>
                </c:pt>
                <c:pt idx="18">
                  <c:v>38119</c:v>
                </c:pt>
                <c:pt idx="19">
                  <c:v>38126</c:v>
                </c:pt>
                <c:pt idx="20">
                  <c:v>38133</c:v>
                </c:pt>
                <c:pt idx="21">
                  <c:v>38140</c:v>
                </c:pt>
                <c:pt idx="22">
                  <c:v>38147</c:v>
                </c:pt>
                <c:pt idx="23">
                  <c:v>38154</c:v>
                </c:pt>
                <c:pt idx="24">
                  <c:v>38161</c:v>
                </c:pt>
                <c:pt idx="25">
                  <c:v>38168</c:v>
                </c:pt>
                <c:pt idx="26">
                  <c:v>38175</c:v>
                </c:pt>
                <c:pt idx="27">
                  <c:v>38182</c:v>
                </c:pt>
                <c:pt idx="28">
                  <c:v>38189</c:v>
                </c:pt>
                <c:pt idx="29">
                  <c:v>38196</c:v>
                </c:pt>
                <c:pt idx="30">
                  <c:v>38203</c:v>
                </c:pt>
                <c:pt idx="31">
                  <c:v>38210</c:v>
                </c:pt>
                <c:pt idx="32">
                  <c:v>38217</c:v>
                </c:pt>
                <c:pt idx="33">
                  <c:v>38224</c:v>
                </c:pt>
                <c:pt idx="34">
                  <c:v>38231</c:v>
                </c:pt>
                <c:pt idx="35">
                  <c:v>38238</c:v>
                </c:pt>
                <c:pt idx="36">
                  <c:v>38245</c:v>
                </c:pt>
                <c:pt idx="37">
                  <c:v>38252</c:v>
                </c:pt>
                <c:pt idx="38">
                  <c:v>38259</c:v>
                </c:pt>
                <c:pt idx="39">
                  <c:v>38266</c:v>
                </c:pt>
                <c:pt idx="40">
                  <c:v>38273</c:v>
                </c:pt>
                <c:pt idx="41">
                  <c:v>38280</c:v>
                </c:pt>
                <c:pt idx="42">
                  <c:v>38287</c:v>
                </c:pt>
                <c:pt idx="43">
                  <c:v>38294</c:v>
                </c:pt>
                <c:pt idx="44">
                  <c:v>38301</c:v>
                </c:pt>
                <c:pt idx="45">
                  <c:v>38308</c:v>
                </c:pt>
                <c:pt idx="46">
                  <c:v>38315</c:v>
                </c:pt>
                <c:pt idx="47">
                  <c:v>38322</c:v>
                </c:pt>
                <c:pt idx="48">
                  <c:v>38329</c:v>
                </c:pt>
                <c:pt idx="49">
                  <c:v>38336</c:v>
                </c:pt>
                <c:pt idx="50">
                  <c:v>38343</c:v>
                </c:pt>
                <c:pt idx="51">
                  <c:v>38350</c:v>
                </c:pt>
              </c:numCache>
            </c:numRef>
          </c:cat>
          <c:val>
            <c:numRef>
              <c:f>'Figure 8_data'!$C$272:$C$279</c:f>
              <c:numCache>
                <c:formatCode>0</c:formatCode>
                <c:ptCount val="8"/>
                <c:pt idx="0">
                  <c:v>204</c:v>
                </c:pt>
                <c:pt idx="1">
                  <c:v>198.75</c:v>
                </c:pt>
                <c:pt idx="2">
                  <c:v>200.5</c:v>
                </c:pt>
                <c:pt idx="3">
                  <c:v>204</c:v>
                </c:pt>
                <c:pt idx="4">
                  <c:v>199.75</c:v>
                </c:pt>
                <c:pt idx="5">
                  <c:v>196.5</c:v>
                </c:pt>
                <c:pt idx="6">
                  <c:v>184.75</c:v>
                </c:pt>
                <c:pt idx="7">
                  <c:v>171.25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462784"/>
        <c:axId val="39464320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'Figure 8_data'!$D$271:$D$322</c:f>
              <c:numCache>
                <c:formatCode>0</c:formatCode>
                <c:ptCount val="52"/>
                <c:pt idx="0">
                  <c:v>201.75</c:v>
                </c:pt>
                <c:pt idx="1">
                  <c:v>197.91666666666666</c:v>
                </c:pt>
                <c:pt idx="2">
                  <c:v>203.5</c:v>
                </c:pt>
                <c:pt idx="3">
                  <c:v>204.83333333333334</c:v>
                </c:pt>
                <c:pt idx="4">
                  <c:v>202.41666666666666</c:v>
                </c:pt>
                <c:pt idx="5">
                  <c:v>202.08333333333334</c:v>
                </c:pt>
                <c:pt idx="6">
                  <c:v>190.33333333333334</c:v>
                </c:pt>
                <c:pt idx="7">
                  <c:v>177.08333333333334</c:v>
                </c:pt>
                <c:pt idx="8">
                  <c:v>170.58333333333334</c:v>
                </c:pt>
                <c:pt idx="9">
                  <c:v>167.25</c:v>
                </c:pt>
                <c:pt idx="10">
                  <c:v>168.16666666666666</c:v>
                </c:pt>
                <c:pt idx="11">
                  <c:v>171.25</c:v>
                </c:pt>
                <c:pt idx="12">
                  <c:v>170.33333333333334</c:v>
                </c:pt>
                <c:pt idx="13">
                  <c:v>164.33333333333334</c:v>
                </c:pt>
                <c:pt idx="14">
                  <c:v>156.33333333333334</c:v>
                </c:pt>
                <c:pt idx="15">
                  <c:v>147.58333333333334</c:v>
                </c:pt>
                <c:pt idx="16">
                  <c:v>139.08333333333334</c:v>
                </c:pt>
                <c:pt idx="17">
                  <c:v>134</c:v>
                </c:pt>
                <c:pt idx="18">
                  <c:v>131.5</c:v>
                </c:pt>
                <c:pt idx="19">
                  <c:v>134.41666666666666</c:v>
                </c:pt>
                <c:pt idx="20">
                  <c:v>140.08333333333334</c:v>
                </c:pt>
                <c:pt idx="21">
                  <c:v>143.66666666666666</c:v>
                </c:pt>
                <c:pt idx="22">
                  <c:v>146.41666666666666</c:v>
                </c:pt>
                <c:pt idx="23">
                  <c:v>146.91666666666666</c:v>
                </c:pt>
                <c:pt idx="24">
                  <c:v>146.83333333333334</c:v>
                </c:pt>
                <c:pt idx="25">
                  <c:v>150.91666666666666</c:v>
                </c:pt>
                <c:pt idx="26">
                  <c:v>155.16666666666666</c:v>
                </c:pt>
                <c:pt idx="27">
                  <c:v>156.33333333333334</c:v>
                </c:pt>
                <c:pt idx="28">
                  <c:v>157.41666666666666</c:v>
                </c:pt>
                <c:pt idx="29">
                  <c:v>155.25</c:v>
                </c:pt>
                <c:pt idx="30">
                  <c:v>152.25</c:v>
                </c:pt>
                <c:pt idx="31">
                  <c:v>149.66666666666666</c:v>
                </c:pt>
                <c:pt idx="32">
                  <c:v>149.5</c:v>
                </c:pt>
                <c:pt idx="33">
                  <c:v>151.41666666666666</c:v>
                </c:pt>
                <c:pt idx="34">
                  <c:v>157.58333333333334</c:v>
                </c:pt>
                <c:pt idx="35">
                  <c:v>166.25</c:v>
                </c:pt>
                <c:pt idx="36">
                  <c:v>171.33333333333334</c:v>
                </c:pt>
                <c:pt idx="37">
                  <c:v>179.66666666666666</c:v>
                </c:pt>
                <c:pt idx="38">
                  <c:v>190.25</c:v>
                </c:pt>
                <c:pt idx="39">
                  <c:v>203.66666666666666</c:v>
                </c:pt>
                <c:pt idx="40">
                  <c:v>218.16666666666666</c:v>
                </c:pt>
                <c:pt idx="41">
                  <c:v>226.16666666666666</c:v>
                </c:pt>
                <c:pt idx="42">
                  <c:v>236.16666666666666</c:v>
                </c:pt>
                <c:pt idx="43">
                  <c:v>246.33333333333334</c:v>
                </c:pt>
                <c:pt idx="44">
                  <c:v>243.91666666666666</c:v>
                </c:pt>
                <c:pt idx="45">
                  <c:v>235.66666666666666</c:v>
                </c:pt>
                <c:pt idx="46">
                  <c:v>218.91666666666666</c:v>
                </c:pt>
                <c:pt idx="47">
                  <c:v>198.75</c:v>
                </c:pt>
                <c:pt idx="48">
                  <c:v>191.08333333333334</c:v>
                </c:pt>
                <c:pt idx="49">
                  <c:v>195.5</c:v>
                </c:pt>
                <c:pt idx="50">
                  <c:v>195</c:v>
                </c:pt>
                <c:pt idx="51">
                  <c:v>194.75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66496"/>
        <c:axId val="39468032"/>
      </c:lineChart>
      <c:catAx>
        <c:axId val="394627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46432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394643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Index - 4-week running average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462784"/>
        <c:crosses val="autoZero"/>
        <c:crossBetween val="between"/>
      </c:valAx>
      <c:catAx>
        <c:axId val="39466496"/>
        <c:scaling>
          <c:orientation val="minMax"/>
        </c:scaling>
        <c:delete val="1"/>
        <c:axPos val="b"/>
        <c:majorTickMark val="out"/>
        <c:minorTickMark val="none"/>
        <c:tickLblPos val="none"/>
        <c:crossAx val="39468032"/>
        <c:crosses val="autoZero"/>
        <c:auto val="0"/>
        <c:lblAlgn val="ctr"/>
        <c:lblOffset val="100"/>
        <c:noMultiLvlLbl val="0"/>
      </c:catAx>
      <c:valAx>
        <c:axId val="39468032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39466496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19263</xdr:rowOff>
    </xdr:from>
    <xdr:to>
      <xdr:col>8</xdr:col>
      <xdr:colOff>103717</xdr:colOff>
      <xdr:row>14</xdr:row>
      <xdr:rowOff>151343</xdr:rowOff>
    </xdr:to>
    <xdr:graphicFrame macro="">
      <xdr:nvGraphicFramePr>
        <xdr:cNvPr id="31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619125</xdr:colOff>
      <xdr:row>4</xdr:row>
      <xdr:rowOff>68792</xdr:rowOff>
    </xdr:from>
    <xdr:to>
      <xdr:col>7</xdr:col>
      <xdr:colOff>266065</xdr:colOff>
      <xdr:row>6</xdr:row>
      <xdr:rowOff>58208</xdr:rowOff>
    </xdr:to>
    <xdr:sp macro="" textlink="">
      <xdr:nvSpPr>
        <xdr:cNvPr id="3076" name="Text Box 4"/>
        <xdr:cNvSpPr txBox="1">
          <a:spLocks noChangeArrowheads="1"/>
        </xdr:cNvSpPr>
      </xdr:nvSpPr>
      <xdr:spPr bwMode="auto">
        <a:xfrm>
          <a:off x="2016125" y="777875"/>
          <a:ext cx="3139440" cy="381000"/>
        </a:xfrm>
        <a:prstGeom prst="rect">
          <a:avLst/>
        </a:prstGeom>
        <a:solidFill>
          <a:srgbClr val="FFFF99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Week ending October</a:t>
          </a:r>
          <a:r>
            <a:rPr lang="en-US" sz="800" b="0" i="0" u="none" strike="noStrike" baseline="0">
              <a:solidFill>
                <a:srgbClr val="000000"/>
              </a:solidFill>
              <a:effectLst/>
              <a:latin typeface="Times New Roman"/>
            </a:rPr>
            <a:t> 21:</a:t>
          </a: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 up 5 percent from last week, up 36 percent from last year, and up 56 percent</a:t>
          </a:r>
          <a:r>
            <a:rPr lang="en-US" sz="800" b="0" i="0" u="none" strike="noStrike" baseline="0">
              <a:solidFill>
                <a:srgbClr val="000000"/>
              </a:solidFill>
              <a:effectLst/>
              <a:latin typeface="Times New Roman"/>
            </a:rPr>
            <a:t> from </a:t>
          </a: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the 3-yr average.</a:t>
          </a:r>
          <a:r>
            <a:rPr lang="en-US" sz="800"/>
            <a:t> </a:t>
          </a:r>
          <a:endParaRPr lang="en-US" sz="800" b="0" i="0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7</xdr:col>
      <xdr:colOff>0</xdr:colOff>
      <xdr:row>0</xdr:row>
      <xdr:rowOff>0</xdr:rowOff>
    </xdr:to>
    <xdr:graphicFrame macro="">
      <xdr:nvGraphicFramePr>
        <xdr:cNvPr id="108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2"/>
  <sheetViews>
    <sheetView workbookViewId="0">
      <pane xSplit="1" ySplit="3" topLeftCell="B549" activePane="bottomRight" state="frozen"/>
      <selection pane="topRight" activeCell="B1" sqref="B1"/>
      <selection pane="bottomLeft" activeCell="A4" sqref="A4"/>
      <selection pane="bottomRight" activeCell="D572" sqref="D572:I572"/>
    </sheetView>
  </sheetViews>
  <sheetFormatPr defaultColWidth="8.90625" defaultRowHeight="14" x14ac:dyDescent="0.3"/>
  <cols>
    <col min="1" max="1" width="10.08984375" style="63" bestFit="1" customWidth="1"/>
    <col min="2" max="2" width="9.08984375" style="63"/>
    <col min="3" max="3" width="8.90625" style="63" customWidth="1"/>
    <col min="4" max="4" width="10.54296875" style="63" customWidth="1"/>
    <col min="5" max="16384" width="8.90625" style="63"/>
  </cols>
  <sheetData>
    <row r="1" spans="1:9" x14ac:dyDescent="0.3">
      <c r="A1" s="60" t="s">
        <v>52</v>
      </c>
      <c r="B1" s="60"/>
      <c r="C1" s="60"/>
      <c r="D1" s="61"/>
      <c r="E1" s="62"/>
      <c r="F1" s="60"/>
      <c r="G1" s="60"/>
      <c r="H1" s="60"/>
      <c r="I1" s="61"/>
    </row>
    <row r="2" spans="1:9" x14ac:dyDescent="0.3">
      <c r="A2" s="64"/>
      <c r="B2" s="64"/>
      <c r="C2" s="64"/>
      <c r="D2" s="64"/>
      <c r="E2" s="64"/>
      <c r="F2" s="64"/>
      <c r="G2" s="64"/>
      <c r="H2" s="64"/>
      <c r="I2" s="64"/>
    </row>
    <row r="3" spans="1:9" x14ac:dyDescent="0.3">
      <c r="A3" s="64" t="s">
        <v>4</v>
      </c>
      <c r="B3" s="65" t="s">
        <v>10</v>
      </c>
      <c r="C3" s="65" t="s">
        <v>7</v>
      </c>
      <c r="D3" s="65" t="s">
        <v>5</v>
      </c>
      <c r="E3" s="65" t="s">
        <v>9</v>
      </c>
      <c r="F3" s="65" t="s">
        <v>3</v>
      </c>
      <c r="G3" s="65" t="s">
        <v>6</v>
      </c>
      <c r="H3" s="65" t="s">
        <v>2</v>
      </c>
      <c r="I3" s="65" t="s">
        <v>11</v>
      </c>
    </row>
    <row r="4" spans="1:9" x14ac:dyDescent="0.3">
      <c r="A4" s="66">
        <v>37993</v>
      </c>
      <c r="B4" s="67">
        <v>0</v>
      </c>
      <c r="C4" s="67">
        <v>0</v>
      </c>
      <c r="D4" s="67">
        <v>200</v>
      </c>
      <c r="E4" s="67">
        <v>162</v>
      </c>
      <c r="F4" s="67">
        <v>163.75</v>
      </c>
      <c r="G4" s="67">
        <v>165</v>
      </c>
      <c r="H4" s="67">
        <v>152.5</v>
      </c>
      <c r="I4" s="67">
        <v>195</v>
      </c>
    </row>
    <row r="5" spans="1:9" x14ac:dyDescent="0.3">
      <c r="A5" s="66">
        <v>38000</v>
      </c>
      <c r="B5" s="68">
        <v>0</v>
      </c>
      <c r="C5" s="68">
        <v>0</v>
      </c>
      <c r="D5" s="68">
        <v>200</v>
      </c>
      <c r="E5" s="68">
        <v>162</v>
      </c>
      <c r="F5" s="68">
        <v>169.5</v>
      </c>
      <c r="G5" s="68">
        <v>169.5</v>
      </c>
      <c r="H5" s="68">
        <v>149</v>
      </c>
      <c r="I5" s="68">
        <v>198.3</v>
      </c>
    </row>
    <row r="6" spans="1:9" x14ac:dyDescent="0.3">
      <c r="A6" s="66">
        <v>38007</v>
      </c>
      <c r="B6" s="63">
        <v>0</v>
      </c>
      <c r="C6" s="63">
        <v>0</v>
      </c>
      <c r="D6" s="63">
        <v>194</v>
      </c>
      <c r="E6" s="63">
        <v>157</v>
      </c>
      <c r="F6" s="63">
        <v>172</v>
      </c>
      <c r="G6" s="63">
        <v>171</v>
      </c>
      <c r="H6" s="63">
        <v>144</v>
      </c>
      <c r="I6" s="63">
        <v>182</v>
      </c>
    </row>
    <row r="7" spans="1:9" x14ac:dyDescent="0.3">
      <c r="A7" s="66">
        <v>38014</v>
      </c>
      <c r="B7" s="63">
        <v>0</v>
      </c>
      <c r="C7" s="63">
        <v>0</v>
      </c>
      <c r="D7" s="63">
        <v>208</v>
      </c>
      <c r="E7" s="63">
        <v>150</v>
      </c>
      <c r="F7" s="63">
        <v>161</v>
      </c>
      <c r="G7" s="63">
        <v>159</v>
      </c>
      <c r="H7" s="63">
        <v>137</v>
      </c>
      <c r="I7" s="63">
        <v>165</v>
      </c>
    </row>
    <row r="8" spans="1:9" x14ac:dyDescent="0.3">
      <c r="A8" s="66">
        <v>38021</v>
      </c>
      <c r="B8" s="63">
        <v>0</v>
      </c>
      <c r="C8" s="63">
        <v>0</v>
      </c>
      <c r="D8" s="63">
        <v>214</v>
      </c>
      <c r="E8" s="63">
        <v>147</v>
      </c>
      <c r="F8" s="63">
        <v>152</v>
      </c>
      <c r="G8" s="63">
        <v>151</v>
      </c>
      <c r="H8" s="63">
        <v>127</v>
      </c>
      <c r="I8" s="63">
        <v>185</v>
      </c>
    </row>
    <row r="9" spans="1:9" x14ac:dyDescent="0.3">
      <c r="A9" s="66">
        <v>38028</v>
      </c>
      <c r="B9" s="63">
        <v>0</v>
      </c>
      <c r="C9" s="63">
        <v>0</v>
      </c>
      <c r="D9" s="63">
        <v>183</v>
      </c>
      <c r="E9" s="63">
        <v>135</v>
      </c>
      <c r="F9" s="63">
        <v>134</v>
      </c>
      <c r="G9" s="63">
        <v>134</v>
      </c>
      <c r="H9" s="63">
        <v>118</v>
      </c>
      <c r="I9" s="63">
        <v>165</v>
      </c>
    </row>
    <row r="10" spans="1:9" x14ac:dyDescent="0.3">
      <c r="A10" s="66">
        <v>38035</v>
      </c>
      <c r="B10" s="63">
        <v>0</v>
      </c>
      <c r="C10" s="63">
        <v>0</v>
      </c>
      <c r="D10" s="63">
        <v>181</v>
      </c>
      <c r="E10" s="63">
        <v>133</v>
      </c>
      <c r="F10" s="63">
        <v>131</v>
      </c>
      <c r="G10" s="63">
        <v>130</v>
      </c>
      <c r="H10" s="63">
        <v>117</v>
      </c>
      <c r="I10" s="63">
        <v>173</v>
      </c>
    </row>
    <row r="11" spans="1:9" x14ac:dyDescent="0.3">
      <c r="A11" s="66">
        <v>38042</v>
      </c>
      <c r="B11" s="63">
        <v>0</v>
      </c>
      <c r="C11" s="63">
        <v>0</v>
      </c>
      <c r="D11" s="63">
        <v>161</v>
      </c>
      <c r="E11" s="63">
        <v>130</v>
      </c>
      <c r="F11" s="63">
        <v>126</v>
      </c>
      <c r="G11" s="63">
        <v>125</v>
      </c>
      <c r="H11" s="63">
        <v>120</v>
      </c>
      <c r="I11" s="63">
        <v>165</v>
      </c>
    </row>
    <row r="12" spans="1:9" x14ac:dyDescent="0.3">
      <c r="A12" s="66">
        <v>38049</v>
      </c>
      <c r="B12" s="63">
        <v>0</v>
      </c>
      <c r="C12" s="63">
        <v>0</v>
      </c>
      <c r="D12" s="63">
        <v>160</v>
      </c>
      <c r="E12" s="63">
        <v>130</v>
      </c>
      <c r="F12" s="63">
        <v>124</v>
      </c>
      <c r="G12" s="63">
        <v>126</v>
      </c>
      <c r="H12" s="63">
        <v>116</v>
      </c>
      <c r="I12" s="63">
        <v>162</v>
      </c>
    </row>
    <row r="13" spans="1:9" x14ac:dyDescent="0.3">
      <c r="A13" s="69">
        <v>38056</v>
      </c>
      <c r="B13" s="63">
        <v>0</v>
      </c>
      <c r="C13" s="63">
        <v>0</v>
      </c>
      <c r="D13" s="63">
        <v>149</v>
      </c>
      <c r="E13" s="63">
        <v>127</v>
      </c>
      <c r="F13" s="63">
        <v>122</v>
      </c>
      <c r="G13" s="63">
        <v>122</v>
      </c>
      <c r="H13" s="63">
        <v>114</v>
      </c>
      <c r="I13" s="63">
        <v>160</v>
      </c>
    </row>
    <row r="14" spans="1:9" x14ac:dyDescent="0.3">
      <c r="A14" s="69">
        <v>38063</v>
      </c>
      <c r="B14" s="68">
        <v>0</v>
      </c>
      <c r="C14" s="68">
        <v>165</v>
      </c>
      <c r="D14" s="68">
        <v>151</v>
      </c>
      <c r="E14" s="68">
        <v>124</v>
      </c>
      <c r="F14" s="68">
        <v>122</v>
      </c>
      <c r="G14" s="68">
        <v>121</v>
      </c>
      <c r="H14" s="68">
        <v>112</v>
      </c>
      <c r="I14" s="68">
        <v>158</v>
      </c>
    </row>
    <row r="15" spans="1:9" x14ac:dyDescent="0.3">
      <c r="A15" s="69">
        <v>38070</v>
      </c>
      <c r="B15" s="63">
        <v>184</v>
      </c>
      <c r="C15" s="63">
        <v>152</v>
      </c>
      <c r="D15" s="63">
        <v>143</v>
      </c>
      <c r="E15" s="63">
        <v>115</v>
      </c>
      <c r="F15" s="63">
        <v>119</v>
      </c>
      <c r="G15" s="63">
        <v>119</v>
      </c>
      <c r="H15" s="63">
        <v>110</v>
      </c>
      <c r="I15" s="63">
        <v>152</v>
      </c>
    </row>
    <row r="16" spans="1:9" x14ac:dyDescent="0.3">
      <c r="A16" s="69">
        <v>38077</v>
      </c>
      <c r="B16" s="63">
        <v>184</v>
      </c>
      <c r="C16" s="63">
        <v>153</v>
      </c>
      <c r="D16" s="63">
        <v>151</v>
      </c>
      <c r="E16" s="63">
        <v>116</v>
      </c>
      <c r="F16" s="63">
        <v>118</v>
      </c>
      <c r="G16" s="63">
        <v>118</v>
      </c>
      <c r="H16" s="63">
        <v>110</v>
      </c>
      <c r="I16" s="63">
        <v>165</v>
      </c>
    </row>
    <row r="17" spans="1:9" x14ac:dyDescent="0.3">
      <c r="A17" s="69">
        <v>38084</v>
      </c>
      <c r="B17" s="63">
        <v>185</v>
      </c>
      <c r="C17" s="63">
        <v>153</v>
      </c>
      <c r="D17" s="63">
        <v>147</v>
      </c>
      <c r="E17" s="63">
        <v>117</v>
      </c>
      <c r="F17" s="63">
        <v>118</v>
      </c>
      <c r="G17" s="63">
        <v>118</v>
      </c>
      <c r="H17" s="63">
        <v>111</v>
      </c>
      <c r="I17" s="63">
        <v>167</v>
      </c>
    </row>
    <row r="18" spans="1:9" x14ac:dyDescent="0.3">
      <c r="A18" s="69">
        <v>38091</v>
      </c>
      <c r="B18" s="63">
        <v>180</v>
      </c>
      <c r="C18" s="63">
        <v>151</v>
      </c>
      <c r="D18" s="63">
        <v>146</v>
      </c>
      <c r="E18" s="63">
        <v>115</v>
      </c>
      <c r="F18" s="63">
        <v>115</v>
      </c>
      <c r="G18" s="63">
        <v>116</v>
      </c>
      <c r="H18" s="63">
        <v>110</v>
      </c>
      <c r="I18" s="63">
        <v>153</v>
      </c>
    </row>
    <row r="19" spans="1:9" x14ac:dyDescent="0.3">
      <c r="A19" s="69">
        <v>38098</v>
      </c>
      <c r="B19" s="63">
        <v>173</v>
      </c>
      <c r="C19" s="63">
        <v>143</v>
      </c>
      <c r="D19" s="63">
        <v>140</v>
      </c>
      <c r="E19" s="63">
        <v>113</v>
      </c>
      <c r="F19" s="63">
        <v>113</v>
      </c>
      <c r="G19" s="63">
        <v>113</v>
      </c>
      <c r="H19" s="63">
        <v>109</v>
      </c>
      <c r="I19" s="63">
        <v>153</v>
      </c>
    </row>
    <row r="20" spans="1:9" x14ac:dyDescent="0.3">
      <c r="A20" s="69">
        <v>38105</v>
      </c>
      <c r="B20" s="63">
        <v>169</v>
      </c>
      <c r="C20" s="63">
        <v>141</v>
      </c>
      <c r="D20" s="63">
        <v>136</v>
      </c>
      <c r="E20" s="63">
        <v>113</v>
      </c>
      <c r="F20" s="63">
        <v>112</v>
      </c>
      <c r="G20" s="63">
        <v>112</v>
      </c>
      <c r="H20" s="63">
        <v>108</v>
      </c>
      <c r="I20" s="63">
        <v>148</v>
      </c>
    </row>
    <row r="21" spans="1:9" x14ac:dyDescent="0.3">
      <c r="A21" s="69">
        <v>38112</v>
      </c>
      <c r="B21" s="63">
        <v>162</v>
      </c>
      <c r="C21" s="63">
        <v>139</v>
      </c>
      <c r="D21" s="63">
        <v>136</v>
      </c>
      <c r="E21" s="63">
        <v>113</v>
      </c>
      <c r="F21" s="63">
        <v>111</v>
      </c>
      <c r="G21" s="63">
        <v>112</v>
      </c>
      <c r="H21" s="63">
        <v>108</v>
      </c>
      <c r="I21" s="63">
        <v>162</v>
      </c>
    </row>
    <row r="22" spans="1:9" x14ac:dyDescent="0.3">
      <c r="A22" s="69">
        <v>38119</v>
      </c>
      <c r="B22" s="63">
        <v>176</v>
      </c>
      <c r="C22" s="63">
        <v>152</v>
      </c>
      <c r="D22" s="63">
        <v>152</v>
      </c>
      <c r="E22" s="63">
        <v>113</v>
      </c>
      <c r="F22" s="63">
        <v>113</v>
      </c>
      <c r="G22" s="63">
        <v>113</v>
      </c>
      <c r="H22" s="63">
        <v>108</v>
      </c>
      <c r="I22" s="63">
        <v>152</v>
      </c>
    </row>
    <row r="23" spans="1:9" x14ac:dyDescent="0.3">
      <c r="A23" s="69">
        <v>38126</v>
      </c>
      <c r="B23" s="63">
        <v>200</v>
      </c>
      <c r="C23" s="63">
        <v>168</v>
      </c>
      <c r="D23" s="63">
        <v>169</v>
      </c>
      <c r="E23" s="63">
        <v>119</v>
      </c>
      <c r="F23" s="63">
        <v>113</v>
      </c>
      <c r="G23" s="63">
        <v>113</v>
      </c>
      <c r="H23" s="63">
        <v>108</v>
      </c>
      <c r="I23" s="63">
        <v>148</v>
      </c>
    </row>
    <row r="24" spans="1:9" x14ac:dyDescent="0.3">
      <c r="A24" s="69">
        <v>38133</v>
      </c>
      <c r="B24" s="63">
        <v>210</v>
      </c>
      <c r="C24" s="63">
        <v>175</v>
      </c>
      <c r="D24" s="63">
        <v>174</v>
      </c>
      <c r="E24" s="63">
        <v>130</v>
      </c>
      <c r="F24" s="63">
        <v>114</v>
      </c>
      <c r="G24" s="63">
        <v>114</v>
      </c>
      <c r="H24" s="63">
        <v>112</v>
      </c>
      <c r="I24" s="63">
        <v>167</v>
      </c>
    </row>
    <row r="25" spans="1:9" x14ac:dyDescent="0.3">
      <c r="A25" s="69">
        <v>38140</v>
      </c>
      <c r="B25" s="63">
        <v>209</v>
      </c>
      <c r="C25" s="63">
        <v>170</v>
      </c>
      <c r="D25" s="63">
        <v>169</v>
      </c>
      <c r="E25" s="63">
        <v>131</v>
      </c>
      <c r="F25" s="63">
        <v>117</v>
      </c>
      <c r="G25" s="63">
        <v>117</v>
      </c>
      <c r="H25" s="63">
        <v>114</v>
      </c>
      <c r="I25" s="63">
        <v>167</v>
      </c>
    </row>
    <row r="26" spans="1:9" x14ac:dyDescent="0.3">
      <c r="A26" s="69">
        <v>38147</v>
      </c>
      <c r="B26" s="63">
        <v>206</v>
      </c>
      <c r="C26" s="63">
        <v>168</v>
      </c>
      <c r="D26" s="63">
        <v>163</v>
      </c>
      <c r="E26" s="63">
        <v>127</v>
      </c>
      <c r="F26" s="63">
        <v>115</v>
      </c>
      <c r="G26" s="63">
        <v>115</v>
      </c>
      <c r="H26" s="63">
        <v>118</v>
      </c>
      <c r="I26" s="63">
        <v>167</v>
      </c>
    </row>
    <row r="27" spans="1:9" x14ac:dyDescent="0.3">
      <c r="A27" s="69">
        <v>38154</v>
      </c>
      <c r="B27" s="63">
        <v>192</v>
      </c>
      <c r="C27" s="63">
        <v>156</v>
      </c>
      <c r="D27" s="63">
        <v>152</v>
      </c>
      <c r="E27" s="63">
        <v>120</v>
      </c>
      <c r="F27" s="63">
        <v>113</v>
      </c>
      <c r="G27" s="63">
        <v>113</v>
      </c>
      <c r="H27" s="63">
        <v>111</v>
      </c>
      <c r="I27" s="63">
        <v>173</v>
      </c>
    </row>
    <row r="28" spans="1:9" x14ac:dyDescent="0.3">
      <c r="A28" s="69">
        <v>38161</v>
      </c>
      <c r="B28" s="63">
        <v>184</v>
      </c>
      <c r="C28" s="63">
        <v>151</v>
      </c>
      <c r="D28" s="63">
        <v>150</v>
      </c>
      <c r="E28" s="63">
        <v>120</v>
      </c>
      <c r="F28" s="63">
        <v>111</v>
      </c>
      <c r="G28" s="63">
        <v>111</v>
      </c>
      <c r="H28" s="63">
        <v>110</v>
      </c>
      <c r="I28" s="63">
        <v>172</v>
      </c>
    </row>
    <row r="29" spans="1:9" x14ac:dyDescent="0.3">
      <c r="A29" s="69">
        <v>38168</v>
      </c>
      <c r="B29" s="63">
        <v>184</v>
      </c>
      <c r="C29" s="63">
        <v>152</v>
      </c>
      <c r="D29" s="63">
        <v>151</v>
      </c>
      <c r="E29" s="63">
        <v>117</v>
      </c>
      <c r="F29" s="63">
        <v>111</v>
      </c>
      <c r="G29" s="63">
        <v>111</v>
      </c>
      <c r="H29" s="63">
        <v>111</v>
      </c>
      <c r="I29" s="63">
        <v>162</v>
      </c>
    </row>
    <row r="30" spans="1:9" x14ac:dyDescent="0.3">
      <c r="A30" s="70">
        <v>38175</v>
      </c>
      <c r="B30" s="63">
        <v>183</v>
      </c>
      <c r="C30" s="63">
        <v>152</v>
      </c>
      <c r="D30" s="63">
        <v>151</v>
      </c>
      <c r="E30" s="63">
        <v>114</v>
      </c>
      <c r="F30" s="63">
        <v>112</v>
      </c>
      <c r="G30" s="63">
        <v>113</v>
      </c>
      <c r="H30" s="63">
        <v>109</v>
      </c>
      <c r="I30" s="63">
        <v>168</v>
      </c>
    </row>
    <row r="31" spans="1:9" x14ac:dyDescent="0.3">
      <c r="A31" s="70">
        <v>38182</v>
      </c>
      <c r="B31" s="63">
        <v>177</v>
      </c>
      <c r="C31" s="63">
        <v>147</v>
      </c>
      <c r="D31" s="63">
        <v>146</v>
      </c>
      <c r="E31" s="63">
        <v>112</v>
      </c>
      <c r="F31" s="63">
        <v>114</v>
      </c>
      <c r="G31" s="63">
        <v>114</v>
      </c>
      <c r="H31" s="63">
        <v>108</v>
      </c>
      <c r="I31" s="63">
        <v>163</v>
      </c>
    </row>
    <row r="32" spans="1:9" x14ac:dyDescent="0.3">
      <c r="A32" s="70">
        <v>38189</v>
      </c>
      <c r="B32" s="63">
        <v>177</v>
      </c>
      <c r="C32" s="63">
        <v>152</v>
      </c>
      <c r="D32" s="63">
        <v>153</v>
      </c>
      <c r="E32" s="63">
        <v>113</v>
      </c>
      <c r="F32" s="63">
        <v>114</v>
      </c>
      <c r="G32" s="63">
        <v>114</v>
      </c>
      <c r="H32" s="63">
        <v>109</v>
      </c>
      <c r="I32" s="63">
        <v>165</v>
      </c>
    </row>
    <row r="33" spans="1:9" x14ac:dyDescent="0.3">
      <c r="A33" s="70">
        <v>38196</v>
      </c>
      <c r="B33" s="63">
        <v>198</v>
      </c>
      <c r="C33" s="63">
        <v>181</v>
      </c>
      <c r="D33" s="63">
        <v>194</v>
      </c>
      <c r="E33" s="63">
        <v>151</v>
      </c>
      <c r="F33" s="63">
        <v>155</v>
      </c>
      <c r="G33" s="63">
        <v>154</v>
      </c>
      <c r="H33" s="63">
        <v>144</v>
      </c>
      <c r="I33" s="63">
        <v>190</v>
      </c>
    </row>
    <row r="34" spans="1:9" x14ac:dyDescent="0.3">
      <c r="A34" s="70">
        <v>38203</v>
      </c>
      <c r="B34" s="63">
        <v>221</v>
      </c>
      <c r="C34" s="63">
        <v>212</v>
      </c>
      <c r="D34" s="63">
        <v>210</v>
      </c>
      <c r="E34" s="63">
        <v>180</v>
      </c>
      <c r="F34" s="63">
        <v>182</v>
      </c>
      <c r="G34" s="63">
        <v>181</v>
      </c>
      <c r="H34" s="63">
        <v>177</v>
      </c>
      <c r="I34" s="63">
        <v>235</v>
      </c>
    </row>
    <row r="35" spans="1:9" x14ac:dyDescent="0.3">
      <c r="A35" s="66">
        <v>38210</v>
      </c>
      <c r="B35" s="63">
        <v>225</v>
      </c>
      <c r="C35" s="63">
        <v>225</v>
      </c>
      <c r="D35" s="63">
        <v>220</v>
      </c>
      <c r="E35" s="63">
        <v>179</v>
      </c>
      <c r="F35" s="63">
        <v>188</v>
      </c>
      <c r="G35" s="63">
        <v>186</v>
      </c>
      <c r="H35" s="63">
        <v>174</v>
      </c>
      <c r="I35" s="63">
        <v>220</v>
      </c>
    </row>
    <row r="36" spans="1:9" x14ac:dyDescent="0.3">
      <c r="A36" s="66">
        <v>38217</v>
      </c>
      <c r="B36" s="63">
        <v>235</v>
      </c>
      <c r="C36" s="63">
        <v>228</v>
      </c>
      <c r="D36" s="63">
        <v>228</v>
      </c>
      <c r="E36" s="63">
        <v>218</v>
      </c>
      <c r="F36" s="63">
        <v>228</v>
      </c>
      <c r="G36" s="63">
        <v>228</v>
      </c>
      <c r="H36" s="63">
        <v>202</v>
      </c>
      <c r="I36" s="63">
        <v>248</v>
      </c>
    </row>
    <row r="37" spans="1:9" x14ac:dyDescent="0.3">
      <c r="A37" s="66">
        <v>38224</v>
      </c>
      <c r="B37" s="63">
        <v>229</v>
      </c>
      <c r="C37" s="63">
        <v>225</v>
      </c>
      <c r="D37" s="63">
        <v>224</v>
      </c>
      <c r="E37" s="63">
        <v>208</v>
      </c>
      <c r="F37" s="63">
        <v>231</v>
      </c>
      <c r="G37" s="63">
        <v>231</v>
      </c>
      <c r="H37" s="63">
        <v>201</v>
      </c>
      <c r="I37" s="63">
        <v>292</v>
      </c>
    </row>
    <row r="38" spans="1:9" x14ac:dyDescent="0.3">
      <c r="A38" s="66">
        <v>38231</v>
      </c>
      <c r="B38" s="63">
        <v>230</v>
      </c>
      <c r="C38" s="63">
        <v>224</v>
      </c>
      <c r="D38" s="63">
        <v>221</v>
      </c>
      <c r="E38" s="63">
        <v>212</v>
      </c>
      <c r="F38" s="63">
        <v>236</v>
      </c>
      <c r="G38" s="63">
        <v>239</v>
      </c>
      <c r="H38" s="63">
        <v>217</v>
      </c>
      <c r="I38" s="63">
        <v>295</v>
      </c>
    </row>
    <row r="39" spans="1:9" x14ac:dyDescent="0.3">
      <c r="A39" s="66">
        <v>38238</v>
      </c>
      <c r="B39" s="63">
        <v>230</v>
      </c>
      <c r="C39" s="63">
        <v>222</v>
      </c>
      <c r="D39" s="63">
        <v>228</v>
      </c>
      <c r="E39" s="63">
        <v>259</v>
      </c>
      <c r="F39" s="63">
        <v>262</v>
      </c>
      <c r="G39" s="63">
        <v>266</v>
      </c>
      <c r="H39" s="63">
        <v>267</v>
      </c>
      <c r="I39" s="63">
        <v>400</v>
      </c>
    </row>
    <row r="40" spans="1:9" x14ac:dyDescent="0.3">
      <c r="A40" s="66">
        <v>38245</v>
      </c>
      <c r="B40" s="63">
        <v>314</v>
      </c>
      <c r="C40" s="63">
        <v>336</v>
      </c>
      <c r="D40" s="63">
        <v>355</v>
      </c>
      <c r="E40" s="63">
        <v>373</v>
      </c>
      <c r="F40" s="63">
        <v>358</v>
      </c>
      <c r="G40" s="63">
        <v>360</v>
      </c>
      <c r="H40" s="63">
        <v>385</v>
      </c>
      <c r="I40" s="63">
        <v>535</v>
      </c>
    </row>
    <row r="41" spans="1:9" x14ac:dyDescent="0.3">
      <c r="A41" s="66">
        <v>38252</v>
      </c>
      <c r="B41" s="63">
        <v>335</v>
      </c>
      <c r="C41" s="63">
        <v>357</v>
      </c>
      <c r="D41" s="63">
        <v>383</v>
      </c>
      <c r="E41" s="63">
        <v>390</v>
      </c>
      <c r="F41" s="63">
        <v>379</v>
      </c>
      <c r="G41" s="63">
        <v>386</v>
      </c>
      <c r="H41" s="63">
        <v>384</v>
      </c>
      <c r="I41" s="63">
        <v>500</v>
      </c>
    </row>
    <row r="42" spans="1:9" x14ac:dyDescent="0.3">
      <c r="A42" s="66">
        <v>38259</v>
      </c>
      <c r="B42" s="63">
        <v>382</v>
      </c>
      <c r="C42" s="63">
        <v>400</v>
      </c>
      <c r="D42" s="63">
        <v>426</v>
      </c>
      <c r="E42" s="63">
        <v>414</v>
      </c>
      <c r="F42" s="63">
        <v>420</v>
      </c>
      <c r="G42" s="63">
        <v>423</v>
      </c>
      <c r="H42" s="63">
        <v>388</v>
      </c>
      <c r="I42" s="63">
        <v>545</v>
      </c>
    </row>
    <row r="43" spans="1:9" x14ac:dyDescent="0.3">
      <c r="A43" s="66">
        <v>38266</v>
      </c>
      <c r="B43" s="63">
        <v>400</v>
      </c>
      <c r="C43" s="63">
        <v>403</v>
      </c>
      <c r="D43" s="63">
        <v>419</v>
      </c>
      <c r="E43" s="63">
        <v>403</v>
      </c>
      <c r="F43" s="63">
        <v>425</v>
      </c>
      <c r="G43" s="63">
        <v>429</v>
      </c>
      <c r="H43" s="63">
        <v>397</v>
      </c>
      <c r="I43" s="63">
        <v>525</v>
      </c>
    </row>
    <row r="44" spans="1:9" x14ac:dyDescent="0.3">
      <c r="A44" s="66">
        <v>38273</v>
      </c>
      <c r="B44" s="63">
        <v>335</v>
      </c>
      <c r="C44" s="63">
        <v>338</v>
      </c>
      <c r="D44" s="63">
        <v>340</v>
      </c>
      <c r="E44" s="63">
        <v>307</v>
      </c>
      <c r="F44" s="63">
        <v>333</v>
      </c>
      <c r="G44" s="63">
        <v>333</v>
      </c>
      <c r="H44" s="63">
        <v>287</v>
      </c>
      <c r="I44" s="63">
        <v>350</v>
      </c>
    </row>
    <row r="45" spans="1:9" x14ac:dyDescent="0.3">
      <c r="A45" s="66">
        <v>38280</v>
      </c>
      <c r="B45" s="63">
        <v>322</v>
      </c>
      <c r="C45" s="63">
        <v>333</v>
      </c>
      <c r="D45" s="63">
        <v>333</v>
      </c>
      <c r="E45" s="63">
        <v>277</v>
      </c>
      <c r="F45" s="63">
        <v>306</v>
      </c>
      <c r="G45" s="63">
        <v>301</v>
      </c>
      <c r="H45" s="63">
        <v>238</v>
      </c>
      <c r="I45" s="63">
        <v>313</v>
      </c>
    </row>
    <row r="46" spans="1:9" x14ac:dyDescent="0.3">
      <c r="A46" s="66">
        <v>38287</v>
      </c>
      <c r="B46" s="63">
        <v>382</v>
      </c>
      <c r="C46" s="63">
        <v>396</v>
      </c>
      <c r="D46" s="63">
        <v>423</v>
      </c>
      <c r="E46" s="63">
        <v>368</v>
      </c>
      <c r="F46" s="63">
        <v>368</v>
      </c>
      <c r="G46" s="63">
        <v>368</v>
      </c>
      <c r="H46" s="63">
        <v>276</v>
      </c>
      <c r="I46" s="63">
        <v>338</v>
      </c>
    </row>
    <row r="47" spans="1:9" x14ac:dyDescent="0.3">
      <c r="A47" s="66">
        <v>38294</v>
      </c>
      <c r="B47" s="63">
        <v>374</v>
      </c>
      <c r="C47" s="63">
        <v>356</v>
      </c>
      <c r="D47" s="63">
        <v>369</v>
      </c>
      <c r="E47" s="63">
        <v>317</v>
      </c>
      <c r="F47" s="63">
        <v>313</v>
      </c>
      <c r="G47" s="63">
        <v>312</v>
      </c>
      <c r="H47" s="63">
        <v>272</v>
      </c>
      <c r="I47" s="63">
        <v>343</v>
      </c>
    </row>
    <row r="48" spans="1:9" x14ac:dyDescent="0.3">
      <c r="A48" s="66">
        <v>38301</v>
      </c>
      <c r="B48" s="63">
        <v>368</v>
      </c>
      <c r="C48" s="63">
        <v>385</v>
      </c>
      <c r="D48" s="63">
        <v>371</v>
      </c>
      <c r="E48" s="63">
        <v>359</v>
      </c>
      <c r="F48" s="63">
        <v>371</v>
      </c>
      <c r="G48" s="63">
        <v>380</v>
      </c>
      <c r="H48" s="63">
        <v>333</v>
      </c>
      <c r="I48" s="63">
        <v>450</v>
      </c>
    </row>
    <row r="49" spans="1:9" x14ac:dyDescent="0.3">
      <c r="A49" s="66">
        <v>38308</v>
      </c>
      <c r="B49" s="63">
        <v>303</v>
      </c>
      <c r="C49" s="63">
        <v>295</v>
      </c>
      <c r="D49" s="63">
        <v>298</v>
      </c>
      <c r="E49" s="63">
        <v>264</v>
      </c>
      <c r="F49" s="63">
        <v>305</v>
      </c>
      <c r="G49" s="63">
        <v>308</v>
      </c>
      <c r="H49" s="63">
        <v>255</v>
      </c>
      <c r="I49" s="63">
        <v>305</v>
      </c>
    </row>
    <row r="50" spans="1:9" x14ac:dyDescent="0.3">
      <c r="A50" s="66">
        <v>38315</v>
      </c>
      <c r="B50" s="63">
        <v>255</v>
      </c>
      <c r="C50" s="63">
        <v>244</v>
      </c>
      <c r="D50" s="63">
        <v>236</v>
      </c>
      <c r="E50" s="63">
        <v>180</v>
      </c>
      <c r="F50" s="63">
        <v>208</v>
      </c>
      <c r="G50" s="63">
        <v>208</v>
      </c>
      <c r="H50" s="63">
        <v>171</v>
      </c>
      <c r="I50" s="63">
        <v>235</v>
      </c>
    </row>
    <row r="51" spans="1:9" x14ac:dyDescent="0.3">
      <c r="A51" s="66">
        <v>38322</v>
      </c>
      <c r="C51" s="63">
        <v>249</v>
      </c>
      <c r="D51" s="63">
        <v>240</v>
      </c>
      <c r="E51" s="63">
        <v>175</v>
      </c>
      <c r="F51" s="63">
        <v>192</v>
      </c>
      <c r="G51" s="63">
        <v>192</v>
      </c>
      <c r="H51" s="63">
        <v>166</v>
      </c>
      <c r="I51" s="63">
        <v>218</v>
      </c>
    </row>
    <row r="52" spans="1:9" x14ac:dyDescent="0.3">
      <c r="A52" s="66">
        <v>38329</v>
      </c>
      <c r="C52" s="63">
        <v>245</v>
      </c>
      <c r="D52" s="63">
        <v>245</v>
      </c>
      <c r="E52" s="63">
        <v>198</v>
      </c>
      <c r="F52" s="63">
        <v>199</v>
      </c>
      <c r="G52" s="63">
        <v>202</v>
      </c>
      <c r="H52" s="63">
        <v>180</v>
      </c>
      <c r="I52" s="63">
        <v>230</v>
      </c>
    </row>
    <row r="53" spans="1:9" x14ac:dyDescent="0.3">
      <c r="A53" s="66">
        <v>38336</v>
      </c>
      <c r="C53" s="63">
        <v>318</v>
      </c>
      <c r="D53" s="63">
        <v>301</v>
      </c>
      <c r="E53" s="63">
        <v>277</v>
      </c>
      <c r="F53" s="63">
        <v>270</v>
      </c>
      <c r="G53" s="63">
        <v>279</v>
      </c>
      <c r="H53" s="63">
        <v>267</v>
      </c>
      <c r="I53" s="63">
        <v>375</v>
      </c>
    </row>
    <row r="54" spans="1:9" x14ac:dyDescent="0.3">
      <c r="A54" s="66">
        <v>38343</v>
      </c>
      <c r="D54" s="63">
        <v>346</v>
      </c>
      <c r="E54" s="63">
        <v>345</v>
      </c>
      <c r="F54" s="63">
        <v>333</v>
      </c>
      <c r="G54" s="63">
        <v>344</v>
      </c>
      <c r="H54" s="63">
        <v>303</v>
      </c>
      <c r="I54" s="63">
        <v>388</v>
      </c>
    </row>
    <row r="55" spans="1:9" x14ac:dyDescent="0.3">
      <c r="A55" s="66">
        <v>38350</v>
      </c>
      <c r="D55" s="63">
        <v>300</v>
      </c>
      <c r="E55" s="63">
        <v>257</v>
      </c>
      <c r="F55" s="63">
        <v>273</v>
      </c>
      <c r="G55" s="63">
        <v>278</v>
      </c>
      <c r="H55" s="63">
        <v>237</v>
      </c>
      <c r="I55" s="63">
        <v>308</v>
      </c>
    </row>
    <row r="56" spans="1:9" x14ac:dyDescent="0.3">
      <c r="A56" s="66">
        <v>38357</v>
      </c>
      <c r="D56" s="68">
        <v>261</v>
      </c>
      <c r="E56" s="68">
        <v>200</v>
      </c>
      <c r="F56" s="68">
        <v>222</v>
      </c>
      <c r="G56" s="68">
        <v>222</v>
      </c>
      <c r="H56" s="68">
        <v>190</v>
      </c>
      <c r="I56" s="68">
        <v>253</v>
      </c>
    </row>
    <row r="57" spans="1:9" x14ac:dyDescent="0.3">
      <c r="A57" s="66">
        <v>38364</v>
      </c>
      <c r="D57" s="63">
        <v>324</v>
      </c>
      <c r="E57" s="63">
        <v>285</v>
      </c>
      <c r="F57" s="63">
        <v>244</v>
      </c>
      <c r="G57" s="63">
        <v>248</v>
      </c>
      <c r="H57" s="63">
        <v>264</v>
      </c>
      <c r="I57" s="63">
        <v>368</v>
      </c>
    </row>
    <row r="58" spans="1:9" x14ac:dyDescent="0.3">
      <c r="A58" s="66">
        <v>38371</v>
      </c>
      <c r="D58" s="63">
        <v>361</v>
      </c>
      <c r="E58" s="63">
        <v>329</v>
      </c>
      <c r="F58" s="63">
        <v>290</v>
      </c>
      <c r="G58" s="63">
        <v>294</v>
      </c>
      <c r="H58" s="63">
        <v>313</v>
      </c>
      <c r="I58" s="63">
        <v>405</v>
      </c>
    </row>
    <row r="59" spans="1:9" x14ac:dyDescent="0.3">
      <c r="A59" s="66">
        <v>38378</v>
      </c>
      <c r="D59" s="63">
        <v>293</v>
      </c>
      <c r="E59" s="63">
        <v>281</v>
      </c>
      <c r="F59" s="63">
        <v>329</v>
      </c>
      <c r="G59" s="63">
        <v>326</v>
      </c>
      <c r="H59" s="63">
        <v>285</v>
      </c>
      <c r="I59" s="63">
        <v>363</v>
      </c>
    </row>
    <row r="60" spans="1:9" x14ac:dyDescent="0.3">
      <c r="A60" s="66">
        <v>38385</v>
      </c>
      <c r="D60" s="63">
        <v>263</v>
      </c>
      <c r="E60" s="63">
        <v>218</v>
      </c>
      <c r="F60" s="63">
        <v>301</v>
      </c>
      <c r="G60" s="63">
        <v>299</v>
      </c>
      <c r="H60" s="63">
        <v>207</v>
      </c>
      <c r="I60" s="63">
        <v>285</v>
      </c>
    </row>
    <row r="61" spans="1:9" x14ac:dyDescent="0.3">
      <c r="A61" s="66">
        <v>38392</v>
      </c>
      <c r="D61" s="63">
        <v>233</v>
      </c>
      <c r="E61" s="63">
        <v>215</v>
      </c>
      <c r="F61" s="63">
        <v>218</v>
      </c>
      <c r="G61" s="63">
        <v>219</v>
      </c>
      <c r="H61" s="63">
        <v>202</v>
      </c>
      <c r="I61" s="63">
        <v>265</v>
      </c>
    </row>
    <row r="62" spans="1:9" x14ac:dyDescent="0.3">
      <c r="A62" s="66">
        <v>38399</v>
      </c>
      <c r="B62" s="71"/>
      <c r="C62" s="71"/>
      <c r="D62" s="63">
        <v>278</v>
      </c>
      <c r="E62" s="63">
        <v>303</v>
      </c>
      <c r="F62" s="63">
        <v>243</v>
      </c>
      <c r="G62" s="63">
        <v>247</v>
      </c>
      <c r="H62" s="63">
        <v>278</v>
      </c>
      <c r="I62" s="63">
        <v>367</v>
      </c>
    </row>
    <row r="63" spans="1:9" x14ac:dyDescent="0.3">
      <c r="A63" s="66">
        <v>38406</v>
      </c>
      <c r="D63" s="63">
        <v>320</v>
      </c>
      <c r="E63" s="63">
        <v>313</v>
      </c>
      <c r="F63" s="63">
        <v>289</v>
      </c>
      <c r="G63" s="63">
        <v>289</v>
      </c>
      <c r="H63" s="63">
        <v>291</v>
      </c>
      <c r="I63" s="63">
        <v>388</v>
      </c>
    </row>
    <row r="64" spans="1:9" x14ac:dyDescent="0.3">
      <c r="A64" s="66">
        <v>38413</v>
      </c>
      <c r="C64" s="63">
        <v>380</v>
      </c>
      <c r="D64" s="63">
        <v>369</v>
      </c>
      <c r="E64" s="63">
        <v>323</v>
      </c>
      <c r="F64" s="63">
        <v>322</v>
      </c>
      <c r="G64" s="63">
        <v>323</v>
      </c>
      <c r="H64" s="63">
        <v>298</v>
      </c>
      <c r="I64" s="63">
        <v>388</v>
      </c>
    </row>
    <row r="65" spans="1:9" x14ac:dyDescent="0.3">
      <c r="A65" s="66">
        <v>38420</v>
      </c>
      <c r="C65" s="63">
        <v>304</v>
      </c>
      <c r="D65" s="63">
        <v>278</v>
      </c>
      <c r="E65" s="63">
        <v>247</v>
      </c>
      <c r="F65" s="63">
        <v>268</v>
      </c>
      <c r="G65" s="63">
        <v>272</v>
      </c>
      <c r="H65" s="63">
        <v>237</v>
      </c>
      <c r="I65" s="63">
        <v>308</v>
      </c>
    </row>
    <row r="66" spans="1:9" x14ac:dyDescent="0.3">
      <c r="A66" s="66">
        <v>38427</v>
      </c>
      <c r="C66" s="63">
        <v>350</v>
      </c>
      <c r="D66" s="63">
        <v>344</v>
      </c>
      <c r="E66" s="63">
        <v>308</v>
      </c>
      <c r="F66" s="63">
        <v>341</v>
      </c>
      <c r="G66" s="63">
        <v>343</v>
      </c>
      <c r="H66" s="63">
        <v>287</v>
      </c>
      <c r="I66" s="63">
        <v>363</v>
      </c>
    </row>
    <row r="67" spans="1:9" x14ac:dyDescent="0.3">
      <c r="A67" s="66">
        <v>38434</v>
      </c>
      <c r="C67" s="63">
        <v>271</v>
      </c>
      <c r="D67" s="63">
        <v>250</v>
      </c>
      <c r="E67" s="63">
        <v>203</v>
      </c>
      <c r="F67" s="63">
        <v>232</v>
      </c>
      <c r="G67" s="63">
        <v>233</v>
      </c>
      <c r="H67" s="63">
        <v>198</v>
      </c>
      <c r="I67" s="63">
        <v>263</v>
      </c>
    </row>
    <row r="68" spans="1:9" x14ac:dyDescent="0.3">
      <c r="A68" s="72">
        <v>38441</v>
      </c>
      <c r="B68" s="73">
        <v>270</v>
      </c>
      <c r="C68" s="73">
        <v>243</v>
      </c>
      <c r="D68" s="73">
        <v>231</v>
      </c>
      <c r="E68" s="73">
        <v>171</v>
      </c>
      <c r="F68" s="73">
        <v>206</v>
      </c>
      <c r="G68" s="73">
        <v>208</v>
      </c>
      <c r="H68" s="73">
        <v>167</v>
      </c>
      <c r="I68" s="73">
        <v>230</v>
      </c>
    </row>
    <row r="69" spans="1:9" x14ac:dyDescent="0.3">
      <c r="A69" s="74">
        <v>38448</v>
      </c>
      <c r="B69" s="75">
        <v>307</v>
      </c>
      <c r="C69" s="75">
        <v>316</v>
      </c>
      <c r="D69" s="75">
        <v>313</v>
      </c>
      <c r="E69" s="75">
        <v>221</v>
      </c>
      <c r="F69" s="75">
        <v>233</v>
      </c>
      <c r="G69" s="75">
        <v>235</v>
      </c>
      <c r="H69" s="75">
        <v>210</v>
      </c>
      <c r="I69" s="75">
        <v>293</v>
      </c>
    </row>
    <row r="70" spans="1:9" x14ac:dyDescent="0.3">
      <c r="A70" s="66">
        <v>38455</v>
      </c>
      <c r="B70" s="63">
        <v>278</v>
      </c>
      <c r="C70" s="63">
        <v>249</v>
      </c>
      <c r="D70" s="63">
        <v>241</v>
      </c>
      <c r="E70" s="63">
        <v>188</v>
      </c>
      <c r="F70" s="63">
        <v>195</v>
      </c>
      <c r="G70" s="63">
        <v>195</v>
      </c>
      <c r="H70" s="63">
        <v>177</v>
      </c>
      <c r="I70" s="63">
        <v>238</v>
      </c>
    </row>
    <row r="71" spans="1:9" x14ac:dyDescent="0.3">
      <c r="A71" s="66">
        <v>38462</v>
      </c>
      <c r="B71" s="63">
        <v>276</v>
      </c>
      <c r="C71" s="63">
        <v>248</v>
      </c>
      <c r="D71" s="63">
        <v>238</v>
      </c>
      <c r="E71" s="63">
        <v>179</v>
      </c>
      <c r="F71" s="63">
        <v>188</v>
      </c>
      <c r="G71" s="63">
        <v>189</v>
      </c>
      <c r="H71" s="63">
        <v>170</v>
      </c>
      <c r="I71" s="63">
        <v>243</v>
      </c>
    </row>
    <row r="72" spans="1:9" x14ac:dyDescent="0.3">
      <c r="A72" s="66">
        <v>38469</v>
      </c>
      <c r="B72" s="63">
        <v>261</v>
      </c>
      <c r="C72" s="63">
        <v>233</v>
      </c>
      <c r="D72" s="63">
        <v>223</v>
      </c>
      <c r="E72" s="63">
        <v>168</v>
      </c>
      <c r="F72" s="63">
        <v>178</v>
      </c>
      <c r="G72" s="63">
        <v>178</v>
      </c>
      <c r="H72" s="63">
        <v>161</v>
      </c>
      <c r="I72" s="63">
        <v>225</v>
      </c>
    </row>
    <row r="73" spans="1:9" x14ac:dyDescent="0.3">
      <c r="A73" s="66">
        <v>38476</v>
      </c>
      <c r="B73" s="63">
        <v>263</v>
      </c>
      <c r="C73" s="63">
        <v>237</v>
      </c>
      <c r="D73" s="63">
        <v>245</v>
      </c>
      <c r="E73" s="63">
        <v>214</v>
      </c>
      <c r="F73" s="63">
        <v>187</v>
      </c>
      <c r="G73" s="63">
        <v>189</v>
      </c>
      <c r="H73" s="63">
        <v>171</v>
      </c>
      <c r="I73" s="63">
        <v>233</v>
      </c>
    </row>
    <row r="74" spans="1:9" x14ac:dyDescent="0.3">
      <c r="A74" s="66">
        <v>38483</v>
      </c>
      <c r="B74" s="63">
        <v>252</v>
      </c>
      <c r="C74" s="63">
        <v>231</v>
      </c>
      <c r="D74" s="63">
        <v>229</v>
      </c>
      <c r="E74" s="63">
        <v>195</v>
      </c>
      <c r="F74" s="63">
        <v>182</v>
      </c>
      <c r="G74" s="63">
        <v>186</v>
      </c>
      <c r="H74" s="63">
        <v>167</v>
      </c>
      <c r="I74" s="63">
        <v>225</v>
      </c>
    </row>
    <row r="75" spans="1:9" x14ac:dyDescent="0.3">
      <c r="A75" s="66">
        <v>38490</v>
      </c>
      <c r="B75" s="63">
        <v>258</v>
      </c>
      <c r="C75" s="63">
        <v>252</v>
      </c>
      <c r="D75" s="63">
        <v>249</v>
      </c>
      <c r="E75" s="63">
        <v>185</v>
      </c>
      <c r="F75" s="63">
        <v>178</v>
      </c>
      <c r="G75" s="63">
        <v>179</v>
      </c>
      <c r="H75" s="63">
        <v>165</v>
      </c>
      <c r="I75" s="63">
        <v>225</v>
      </c>
    </row>
    <row r="76" spans="1:9" x14ac:dyDescent="0.3">
      <c r="A76" s="66">
        <v>38497</v>
      </c>
      <c r="B76" s="63">
        <v>289</v>
      </c>
      <c r="C76" s="63">
        <v>274</v>
      </c>
      <c r="D76" s="63">
        <v>265</v>
      </c>
      <c r="E76" s="63">
        <v>194</v>
      </c>
      <c r="F76" s="63">
        <v>183</v>
      </c>
      <c r="G76" s="63">
        <v>184</v>
      </c>
      <c r="H76" s="63">
        <v>178</v>
      </c>
      <c r="I76" s="63">
        <v>240</v>
      </c>
    </row>
    <row r="77" spans="1:9" x14ac:dyDescent="0.3">
      <c r="A77" s="66">
        <v>38504</v>
      </c>
      <c r="B77" s="63">
        <v>282</v>
      </c>
      <c r="C77" s="63">
        <v>264</v>
      </c>
      <c r="D77" s="63">
        <v>253</v>
      </c>
      <c r="E77" s="63">
        <v>188</v>
      </c>
      <c r="F77" s="63">
        <v>183</v>
      </c>
      <c r="G77" s="63">
        <v>183</v>
      </c>
      <c r="H77" s="63">
        <v>174</v>
      </c>
      <c r="I77" s="63">
        <v>240</v>
      </c>
    </row>
    <row r="78" spans="1:9" x14ac:dyDescent="0.3">
      <c r="A78" s="66">
        <v>38511</v>
      </c>
      <c r="B78" s="63">
        <v>287</v>
      </c>
      <c r="C78" s="63">
        <v>243</v>
      </c>
      <c r="D78" s="63">
        <v>233</v>
      </c>
      <c r="E78" s="63">
        <v>178</v>
      </c>
      <c r="F78" s="63">
        <v>166</v>
      </c>
      <c r="G78" s="63">
        <v>169</v>
      </c>
      <c r="H78" s="63">
        <v>167</v>
      </c>
      <c r="I78" s="63">
        <v>237</v>
      </c>
    </row>
    <row r="79" spans="1:9" x14ac:dyDescent="0.3">
      <c r="A79" s="66">
        <v>38518</v>
      </c>
      <c r="B79" s="63">
        <v>284</v>
      </c>
      <c r="C79" s="63">
        <v>231</v>
      </c>
      <c r="D79" s="63">
        <v>221</v>
      </c>
      <c r="E79" s="63">
        <v>173</v>
      </c>
      <c r="F79" s="63">
        <v>161</v>
      </c>
      <c r="G79" s="63">
        <v>162</v>
      </c>
      <c r="H79" s="63">
        <v>161</v>
      </c>
      <c r="I79" s="63">
        <v>230</v>
      </c>
    </row>
    <row r="80" spans="1:9" x14ac:dyDescent="0.3">
      <c r="A80" s="66">
        <v>38525</v>
      </c>
      <c r="B80" s="63">
        <v>279</v>
      </c>
      <c r="C80" s="63">
        <v>229</v>
      </c>
      <c r="D80" s="63">
        <v>209</v>
      </c>
      <c r="E80" s="63">
        <v>157</v>
      </c>
      <c r="F80" s="63">
        <v>158</v>
      </c>
      <c r="G80" s="63">
        <v>162</v>
      </c>
      <c r="H80" s="63">
        <v>156</v>
      </c>
      <c r="I80" s="63">
        <v>230</v>
      </c>
    </row>
    <row r="81" spans="1:9" x14ac:dyDescent="0.3">
      <c r="A81" s="72">
        <v>38532</v>
      </c>
      <c r="B81" s="73">
        <v>291</v>
      </c>
      <c r="C81" s="73">
        <v>244</v>
      </c>
      <c r="D81" s="73">
        <v>236</v>
      </c>
      <c r="E81" s="73">
        <v>172</v>
      </c>
      <c r="F81" s="73">
        <v>176</v>
      </c>
      <c r="G81" s="73">
        <v>182</v>
      </c>
      <c r="H81" s="73">
        <v>161</v>
      </c>
      <c r="I81" s="73">
        <v>228</v>
      </c>
    </row>
    <row r="82" spans="1:9" x14ac:dyDescent="0.3">
      <c r="A82" s="74">
        <v>38539</v>
      </c>
      <c r="B82" s="75">
        <v>294</v>
      </c>
      <c r="C82" s="75">
        <v>257</v>
      </c>
      <c r="D82" s="75">
        <v>248</v>
      </c>
      <c r="E82" s="75">
        <v>182</v>
      </c>
      <c r="F82" s="75">
        <v>191</v>
      </c>
      <c r="G82" s="75">
        <v>192</v>
      </c>
      <c r="H82" s="75">
        <v>166</v>
      </c>
      <c r="I82" s="75">
        <v>230</v>
      </c>
    </row>
    <row r="83" spans="1:9" x14ac:dyDescent="0.3">
      <c r="A83" s="66">
        <v>38546</v>
      </c>
      <c r="B83" s="63">
        <v>317</v>
      </c>
      <c r="C83" s="63">
        <v>270</v>
      </c>
      <c r="D83" s="63">
        <v>258</v>
      </c>
      <c r="E83" s="63">
        <v>181</v>
      </c>
      <c r="F83" s="63">
        <v>205</v>
      </c>
      <c r="G83" s="63">
        <v>205</v>
      </c>
      <c r="H83" s="63">
        <v>165</v>
      </c>
      <c r="I83" s="63">
        <v>228</v>
      </c>
    </row>
    <row r="84" spans="1:9" x14ac:dyDescent="0.3">
      <c r="A84" s="66">
        <v>38553</v>
      </c>
      <c r="B84" s="63">
        <v>410</v>
      </c>
      <c r="C84" s="63">
        <v>345</v>
      </c>
      <c r="D84" s="63">
        <v>311</v>
      </c>
      <c r="E84" s="63">
        <v>276</v>
      </c>
      <c r="F84" s="63">
        <v>247</v>
      </c>
      <c r="G84" s="63">
        <v>248</v>
      </c>
      <c r="H84" s="63">
        <v>238</v>
      </c>
      <c r="I84" s="63">
        <v>310</v>
      </c>
    </row>
    <row r="85" spans="1:9" x14ac:dyDescent="0.3">
      <c r="A85" s="66">
        <v>38560</v>
      </c>
      <c r="B85" s="63">
        <v>415</v>
      </c>
      <c r="C85" s="63">
        <v>328</v>
      </c>
      <c r="D85" s="63">
        <v>276</v>
      </c>
      <c r="E85" s="63">
        <v>273</v>
      </c>
      <c r="F85" s="63">
        <v>232</v>
      </c>
      <c r="G85" s="63">
        <v>236</v>
      </c>
      <c r="H85" s="63">
        <v>242</v>
      </c>
      <c r="I85" s="63">
        <v>330</v>
      </c>
    </row>
    <row r="86" spans="1:9" x14ac:dyDescent="0.3">
      <c r="A86" s="66">
        <v>38567</v>
      </c>
      <c r="B86" s="63">
        <v>331</v>
      </c>
      <c r="C86" s="63">
        <v>273</v>
      </c>
      <c r="D86" s="63">
        <v>253</v>
      </c>
      <c r="E86" s="63">
        <v>237</v>
      </c>
      <c r="F86" s="63">
        <v>219</v>
      </c>
      <c r="G86" s="63">
        <v>221</v>
      </c>
      <c r="H86" s="63">
        <v>225</v>
      </c>
      <c r="I86" s="63">
        <v>302</v>
      </c>
    </row>
    <row r="87" spans="1:9" x14ac:dyDescent="0.3">
      <c r="A87" s="66">
        <v>38574</v>
      </c>
      <c r="B87" s="63">
        <v>347</v>
      </c>
      <c r="C87" s="63">
        <v>293</v>
      </c>
      <c r="D87" s="63">
        <v>273</v>
      </c>
      <c r="E87" s="63">
        <v>274</v>
      </c>
      <c r="F87" s="63">
        <v>251</v>
      </c>
      <c r="G87" s="63">
        <v>255</v>
      </c>
      <c r="H87" s="63">
        <v>259</v>
      </c>
      <c r="I87" s="63">
        <v>352</v>
      </c>
    </row>
    <row r="88" spans="1:9" x14ac:dyDescent="0.3">
      <c r="A88" s="66">
        <v>38581</v>
      </c>
      <c r="B88" s="63">
        <v>385</v>
      </c>
      <c r="C88" s="63">
        <v>319</v>
      </c>
      <c r="D88" s="63">
        <v>317</v>
      </c>
      <c r="E88" s="63">
        <v>328</v>
      </c>
      <c r="F88" s="63">
        <v>313</v>
      </c>
      <c r="G88" s="63">
        <v>317</v>
      </c>
      <c r="H88" s="63">
        <v>329</v>
      </c>
      <c r="I88" s="63">
        <v>488</v>
      </c>
    </row>
    <row r="89" spans="1:9" x14ac:dyDescent="0.3">
      <c r="A89" s="66">
        <v>38588</v>
      </c>
      <c r="B89" s="63">
        <v>374</v>
      </c>
      <c r="C89" s="63">
        <v>319</v>
      </c>
      <c r="D89" s="63">
        <v>328</v>
      </c>
      <c r="E89" s="63">
        <v>353</v>
      </c>
      <c r="F89" s="63">
        <v>334</v>
      </c>
      <c r="G89" s="63">
        <v>338</v>
      </c>
      <c r="H89" s="63">
        <v>371</v>
      </c>
      <c r="I89" s="63">
        <v>518</v>
      </c>
    </row>
    <row r="90" spans="1:9" x14ac:dyDescent="0.3">
      <c r="A90" s="66">
        <v>38595</v>
      </c>
      <c r="B90" s="63">
        <v>510</v>
      </c>
      <c r="C90" s="63">
        <v>520</v>
      </c>
      <c r="D90" s="63">
        <v>500</v>
      </c>
      <c r="E90" s="63">
        <v>600</v>
      </c>
      <c r="F90" s="63">
        <v>513</v>
      </c>
      <c r="G90" s="63">
        <v>513</v>
      </c>
      <c r="H90" s="63">
        <v>594</v>
      </c>
      <c r="I90" s="63">
        <v>828</v>
      </c>
    </row>
    <row r="91" spans="1:9" x14ac:dyDescent="0.3">
      <c r="A91" s="66">
        <v>38602</v>
      </c>
      <c r="B91" s="63">
        <v>536</v>
      </c>
      <c r="C91" s="63">
        <v>550</v>
      </c>
      <c r="D91" s="63">
        <v>560</v>
      </c>
      <c r="E91" s="63">
        <v>685</v>
      </c>
      <c r="F91" s="63">
        <v>595</v>
      </c>
      <c r="G91" s="63">
        <v>605</v>
      </c>
      <c r="H91" s="63">
        <v>750</v>
      </c>
      <c r="I91" s="63">
        <v>993</v>
      </c>
    </row>
    <row r="92" spans="1:9" x14ac:dyDescent="0.3">
      <c r="A92" s="66">
        <v>38609</v>
      </c>
      <c r="B92" s="63">
        <v>550</v>
      </c>
      <c r="C92" s="63">
        <v>645</v>
      </c>
      <c r="D92" s="63">
        <v>670</v>
      </c>
      <c r="E92" s="63">
        <v>703</v>
      </c>
      <c r="F92" s="63">
        <v>688</v>
      </c>
      <c r="G92" s="63">
        <v>704</v>
      </c>
      <c r="H92" s="63">
        <v>767</v>
      </c>
      <c r="I92" s="63">
        <v>1065</v>
      </c>
    </row>
    <row r="93" spans="1:9" x14ac:dyDescent="0.3">
      <c r="A93" s="66">
        <v>38616</v>
      </c>
      <c r="B93" s="63">
        <v>485</v>
      </c>
      <c r="C93" s="63">
        <v>508</v>
      </c>
      <c r="D93" s="63">
        <v>542</v>
      </c>
      <c r="E93" s="63">
        <v>509</v>
      </c>
      <c r="F93" s="63">
        <v>550</v>
      </c>
      <c r="G93" s="63">
        <v>552</v>
      </c>
      <c r="H93" s="63">
        <v>550</v>
      </c>
      <c r="I93" s="63">
        <v>812</v>
      </c>
    </row>
    <row r="94" spans="1:9" x14ac:dyDescent="0.3">
      <c r="A94" s="72">
        <v>38623</v>
      </c>
      <c r="B94" s="73">
        <v>548</v>
      </c>
      <c r="C94" s="73">
        <v>611</v>
      </c>
      <c r="D94" s="73">
        <v>633</v>
      </c>
      <c r="E94" s="73">
        <v>715</v>
      </c>
      <c r="F94" s="73">
        <v>646</v>
      </c>
      <c r="G94" s="73">
        <v>654</v>
      </c>
      <c r="H94" s="73">
        <v>710</v>
      </c>
      <c r="I94" s="73">
        <v>887</v>
      </c>
    </row>
    <row r="95" spans="1:9" x14ac:dyDescent="0.3">
      <c r="A95" s="74">
        <v>38630</v>
      </c>
      <c r="B95" s="75">
        <v>593</v>
      </c>
      <c r="C95" s="75">
        <v>658</v>
      </c>
      <c r="D95" s="75">
        <v>717</v>
      </c>
      <c r="E95" s="75">
        <v>771</v>
      </c>
      <c r="F95" s="75">
        <v>792</v>
      </c>
      <c r="G95" s="75">
        <v>825</v>
      </c>
      <c r="H95" s="75">
        <v>787</v>
      </c>
      <c r="I95" s="75">
        <v>1088</v>
      </c>
    </row>
    <row r="96" spans="1:9" x14ac:dyDescent="0.3">
      <c r="A96" s="66">
        <v>38637</v>
      </c>
      <c r="B96" s="63">
        <v>673</v>
      </c>
      <c r="C96" s="63">
        <v>804</v>
      </c>
      <c r="D96" s="63">
        <v>838</v>
      </c>
      <c r="E96" s="63">
        <v>921</v>
      </c>
      <c r="F96" s="63">
        <v>829</v>
      </c>
      <c r="G96" s="63">
        <v>850</v>
      </c>
      <c r="H96" s="63">
        <v>829</v>
      </c>
      <c r="I96" s="63">
        <v>1121</v>
      </c>
    </row>
    <row r="97" spans="1:9" x14ac:dyDescent="0.3">
      <c r="A97" s="66">
        <v>38644</v>
      </c>
      <c r="B97" s="63">
        <v>625</v>
      </c>
      <c r="C97" s="63">
        <v>642</v>
      </c>
      <c r="D97" s="63">
        <v>654</v>
      </c>
      <c r="E97" s="63">
        <v>642</v>
      </c>
      <c r="F97" s="63">
        <v>680</v>
      </c>
      <c r="G97" s="63">
        <v>680</v>
      </c>
      <c r="H97" s="63">
        <v>571</v>
      </c>
      <c r="I97" s="63">
        <v>798</v>
      </c>
    </row>
    <row r="98" spans="1:9" x14ac:dyDescent="0.3">
      <c r="A98" s="66">
        <v>38651</v>
      </c>
      <c r="B98" s="63">
        <v>715</v>
      </c>
      <c r="C98" s="63">
        <v>690</v>
      </c>
      <c r="D98" s="63">
        <v>586</v>
      </c>
      <c r="E98" s="63">
        <v>535</v>
      </c>
      <c r="F98" s="63">
        <v>503</v>
      </c>
      <c r="G98" s="63">
        <v>510</v>
      </c>
      <c r="H98" s="63">
        <v>482</v>
      </c>
      <c r="I98" s="63">
        <v>700</v>
      </c>
    </row>
    <row r="99" spans="1:9" x14ac:dyDescent="0.3">
      <c r="A99" s="66">
        <v>38658</v>
      </c>
      <c r="B99" s="63">
        <v>520</v>
      </c>
      <c r="C99" s="63">
        <v>504</v>
      </c>
      <c r="D99" s="63">
        <v>450</v>
      </c>
      <c r="E99" s="63">
        <v>383</v>
      </c>
      <c r="F99" s="63">
        <v>430</v>
      </c>
      <c r="G99" s="63">
        <v>430</v>
      </c>
      <c r="H99" s="63">
        <v>348</v>
      </c>
      <c r="I99" s="63">
        <v>465</v>
      </c>
    </row>
    <row r="100" spans="1:9" x14ac:dyDescent="0.3">
      <c r="A100" s="66">
        <v>38665</v>
      </c>
      <c r="B100" s="63">
        <v>415</v>
      </c>
      <c r="C100" s="63">
        <v>359</v>
      </c>
      <c r="D100" s="63">
        <v>359</v>
      </c>
      <c r="E100" s="63">
        <v>278</v>
      </c>
      <c r="F100" s="63">
        <v>395</v>
      </c>
      <c r="G100" s="63">
        <v>386</v>
      </c>
      <c r="H100" s="63">
        <v>266</v>
      </c>
      <c r="I100" s="63">
        <v>364</v>
      </c>
    </row>
    <row r="101" spans="1:9" x14ac:dyDescent="0.3">
      <c r="A101" s="66">
        <v>38672</v>
      </c>
      <c r="B101" s="63">
        <v>410</v>
      </c>
      <c r="C101" s="63">
        <v>363</v>
      </c>
      <c r="D101" s="63">
        <v>375</v>
      </c>
      <c r="E101" s="63">
        <v>326</v>
      </c>
      <c r="F101" s="63">
        <v>360</v>
      </c>
      <c r="G101" s="63">
        <v>360</v>
      </c>
      <c r="H101" s="63">
        <v>283</v>
      </c>
      <c r="I101" s="63">
        <v>386</v>
      </c>
    </row>
    <row r="102" spans="1:9" x14ac:dyDescent="0.3">
      <c r="A102" s="66">
        <v>38679</v>
      </c>
      <c r="B102" s="63">
        <v>353</v>
      </c>
      <c r="C102" s="63">
        <v>359</v>
      </c>
      <c r="D102" s="63">
        <v>367</v>
      </c>
      <c r="E102" s="63">
        <v>320</v>
      </c>
      <c r="F102" s="63">
        <v>327</v>
      </c>
      <c r="G102" s="63">
        <v>327</v>
      </c>
      <c r="H102" s="63">
        <v>275</v>
      </c>
      <c r="I102" s="63">
        <v>375</v>
      </c>
    </row>
    <row r="103" spans="1:9" x14ac:dyDescent="0.3">
      <c r="A103" s="66">
        <v>38686</v>
      </c>
      <c r="C103" s="63">
        <v>365</v>
      </c>
      <c r="D103" s="63">
        <v>366</v>
      </c>
      <c r="E103" s="63">
        <v>322</v>
      </c>
      <c r="F103" s="63">
        <v>327</v>
      </c>
      <c r="G103" s="63">
        <v>327</v>
      </c>
      <c r="H103" s="63">
        <v>275</v>
      </c>
      <c r="I103" s="63">
        <v>376</v>
      </c>
    </row>
    <row r="104" spans="1:9" x14ac:dyDescent="0.3">
      <c r="A104" s="66">
        <v>38693</v>
      </c>
      <c r="D104" s="63">
        <v>478</v>
      </c>
      <c r="E104" s="63">
        <v>386</v>
      </c>
      <c r="F104" s="63">
        <v>388</v>
      </c>
      <c r="G104" s="63">
        <v>388</v>
      </c>
      <c r="H104" s="63">
        <v>343</v>
      </c>
      <c r="I104" s="63">
        <v>463</v>
      </c>
    </row>
    <row r="105" spans="1:9" x14ac:dyDescent="0.3">
      <c r="A105" s="66">
        <v>38700</v>
      </c>
      <c r="D105" s="63">
        <v>552</v>
      </c>
      <c r="E105" s="63">
        <v>436</v>
      </c>
      <c r="F105" s="63">
        <v>414</v>
      </c>
      <c r="G105" s="63">
        <v>414</v>
      </c>
      <c r="H105" s="63">
        <v>359</v>
      </c>
      <c r="I105" s="63">
        <v>467</v>
      </c>
    </row>
    <row r="106" spans="1:9" x14ac:dyDescent="0.3">
      <c r="A106" s="66">
        <v>38707</v>
      </c>
      <c r="D106" s="63">
        <v>508</v>
      </c>
      <c r="E106" s="63">
        <v>448</v>
      </c>
      <c r="F106" s="63">
        <v>423</v>
      </c>
      <c r="G106" s="63">
        <v>423</v>
      </c>
      <c r="H106" s="63">
        <v>351</v>
      </c>
      <c r="I106" s="63">
        <v>467</v>
      </c>
    </row>
    <row r="107" spans="1:9" x14ac:dyDescent="0.3">
      <c r="A107" s="72">
        <v>38714</v>
      </c>
      <c r="B107" s="73"/>
      <c r="C107" s="73"/>
      <c r="D107" s="73">
        <v>443</v>
      </c>
      <c r="E107" s="73">
        <v>400</v>
      </c>
      <c r="F107" s="73">
        <v>399</v>
      </c>
      <c r="G107" s="73">
        <v>392</v>
      </c>
      <c r="H107" s="73">
        <v>348</v>
      </c>
      <c r="I107" s="73">
        <v>469</v>
      </c>
    </row>
    <row r="108" spans="1:9" x14ac:dyDescent="0.3">
      <c r="A108" s="74">
        <v>38721</v>
      </c>
      <c r="B108" s="75"/>
      <c r="C108" s="75"/>
      <c r="D108" s="75">
        <v>409</v>
      </c>
      <c r="E108" s="75">
        <v>375</v>
      </c>
      <c r="F108" s="75">
        <v>390</v>
      </c>
      <c r="G108" s="75">
        <v>393</v>
      </c>
      <c r="H108" s="75">
        <v>352</v>
      </c>
      <c r="I108" s="75">
        <v>476</v>
      </c>
    </row>
    <row r="109" spans="1:9" x14ac:dyDescent="0.3">
      <c r="A109" s="66">
        <v>38728</v>
      </c>
      <c r="D109" s="63">
        <v>379</v>
      </c>
      <c r="E109" s="63">
        <v>373</v>
      </c>
      <c r="F109" s="63">
        <v>372</v>
      </c>
      <c r="G109" s="63">
        <v>373</v>
      </c>
      <c r="H109" s="63">
        <v>358</v>
      </c>
      <c r="I109" s="63">
        <v>477</v>
      </c>
    </row>
    <row r="110" spans="1:9" x14ac:dyDescent="0.3">
      <c r="A110" s="66">
        <v>38735</v>
      </c>
      <c r="D110" s="63">
        <v>400</v>
      </c>
      <c r="E110" s="63">
        <v>393</v>
      </c>
      <c r="F110" s="63">
        <v>362</v>
      </c>
      <c r="G110" s="63">
        <v>363</v>
      </c>
      <c r="H110" s="63">
        <v>351</v>
      </c>
      <c r="I110" s="63">
        <v>458</v>
      </c>
    </row>
    <row r="111" spans="1:9" x14ac:dyDescent="0.3">
      <c r="A111" s="66">
        <v>38742</v>
      </c>
      <c r="D111" s="63">
        <v>383</v>
      </c>
      <c r="E111" s="63">
        <v>357</v>
      </c>
      <c r="F111" s="63">
        <v>313</v>
      </c>
      <c r="G111" s="63">
        <v>324</v>
      </c>
      <c r="H111" s="63">
        <v>279</v>
      </c>
      <c r="I111" s="63">
        <v>396</v>
      </c>
    </row>
    <row r="112" spans="1:9" x14ac:dyDescent="0.3">
      <c r="A112" s="66">
        <v>38749</v>
      </c>
      <c r="D112" s="63">
        <v>413</v>
      </c>
      <c r="E112" s="63">
        <v>406</v>
      </c>
      <c r="F112" s="63">
        <v>348</v>
      </c>
      <c r="G112" s="63">
        <v>364</v>
      </c>
      <c r="H112" s="63">
        <v>337</v>
      </c>
      <c r="I112" s="63">
        <v>451</v>
      </c>
    </row>
    <row r="113" spans="1:9" x14ac:dyDescent="0.3">
      <c r="A113" s="66">
        <v>38756</v>
      </c>
      <c r="D113" s="63">
        <v>475</v>
      </c>
      <c r="E113" s="63">
        <v>448</v>
      </c>
      <c r="F113" s="63">
        <v>383</v>
      </c>
      <c r="G113" s="63">
        <v>391</v>
      </c>
      <c r="H113" s="63">
        <v>365</v>
      </c>
      <c r="I113" s="63">
        <v>475</v>
      </c>
    </row>
    <row r="114" spans="1:9" x14ac:dyDescent="0.3">
      <c r="A114" s="66">
        <v>38763</v>
      </c>
      <c r="D114" s="63">
        <v>427</v>
      </c>
      <c r="E114" s="63">
        <v>389</v>
      </c>
      <c r="F114" s="63">
        <v>350</v>
      </c>
      <c r="G114" s="63">
        <v>351</v>
      </c>
      <c r="H114" s="63">
        <v>333</v>
      </c>
      <c r="I114" s="63">
        <v>408</v>
      </c>
    </row>
    <row r="115" spans="1:9" x14ac:dyDescent="0.3">
      <c r="A115" s="66">
        <v>38770</v>
      </c>
      <c r="D115" s="63">
        <v>375</v>
      </c>
      <c r="E115" s="63">
        <v>342</v>
      </c>
      <c r="F115" s="63">
        <v>303</v>
      </c>
      <c r="G115" s="63">
        <v>303</v>
      </c>
      <c r="H115" s="63">
        <v>289</v>
      </c>
      <c r="I115" s="63">
        <v>383</v>
      </c>
    </row>
    <row r="116" spans="1:9" x14ac:dyDescent="0.3">
      <c r="A116" s="66">
        <v>38777</v>
      </c>
      <c r="C116" s="63">
        <v>383</v>
      </c>
      <c r="D116" s="63">
        <v>384</v>
      </c>
      <c r="E116" s="63">
        <v>328</v>
      </c>
      <c r="F116" s="63">
        <v>308</v>
      </c>
      <c r="G116" s="63">
        <v>309</v>
      </c>
      <c r="H116" s="63">
        <v>282</v>
      </c>
      <c r="I116" s="63">
        <v>392</v>
      </c>
    </row>
    <row r="117" spans="1:9" x14ac:dyDescent="0.3">
      <c r="A117" s="66">
        <v>38784</v>
      </c>
      <c r="C117" s="63">
        <v>383</v>
      </c>
      <c r="D117" s="63">
        <v>377</v>
      </c>
      <c r="E117" s="63">
        <v>330</v>
      </c>
      <c r="F117" s="63">
        <v>344</v>
      </c>
      <c r="G117" s="63">
        <v>344</v>
      </c>
      <c r="H117" s="63">
        <v>297</v>
      </c>
      <c r="I117" s="63">
        <v>407</v>
      </c>
    </row>
    <row r="118" spans="1:9" x14ac:dyDescent="0.3">
      <c r="A118" s="66">
        <v>38791</v>
      </c>
      <c r="C118" s="63">
        <v>375</v>
      </c>
      <c r="D118" s="63">
        <v>337</v>
      </c>
      <c r="E118" s="63">
        <v>307</v>
      </c>
      <c r="F118" s="63">
        <v>309</v>
      </c>
      <c r="G118" s="63">
        <v>313</v>
      </c>
      <c r="H118" s="63">
        <v>271</v>
      </c>
      <c r="I118" s="63">
        <v>373</v>
      </c>
    </row>
    <row r="119" spans="1:9" x14ac:dyDescent="0.3">
      <c r="A119" s="66">
        <v>38798</v>
      </c>
      <c r="C119" s="63">
        <v>358</v>
      </c>
      <c r="D119" s="63">
        <v>333</v>
      </c>
      <c r="E119" s="63">
        <v>301</v>
      </c>
      <c r="F119" s="63">
        <v>293</v>
      </c>
      <c r="G119" s="63">
        <v>296</v>
      </c>
      <c r="H119" s="63">
        <v>242</v>
      </c>
      <c r="I119" s="63">
        <v>321</v>
      </c>
    </row>
    <row r="120" spans="1:9" x14ac:dyDescent="0.3">
      <c r="A120" s="72">
        <v>38805</v>
      </c>
      <c r="B120" s="73">
        <v>372</v>
      </c>
      <c r="C120" s="73">
        <v>327</v>
      </c>
      <c r="D120" s="73">
        <v>322</v>
      </c>
      <c r="E120" s="73">
        <v>263</v>
      </c>
      <c r="F120" s="73">
        <v>249</v>
      </c>
      <c r="G120" s="73">
        <v>250</v>
      </c>
      <c r="H120" s="73">
        <v>240</v>
      </c>
      <c r="I120" s="73">
        <v>315</v>
      </c>
    </row>
    <row r="121" spans="1:9" x14ac:dyDescent="0.3">
      <c r="A121" s="74">
        <v>38812</v>
      </c>
      <c r="B121" s="75">
        <v>384</v>
      </c>
      <c r="C121" s="75">
        <v>354</v>
      </c>
      <c r="D121" s="75">
        <v>343</v>
      </c>
      <c r="E121" s="75">
        <v>273</v>
      </c>
      <c r="F121" s="75">
        <v>266</v>
      </c>
      <c r="G121" s="75">
        <v>268</v>
      </c>
      <c r="H121" s="75">
        <v>244</v>
      </c>
      <c r="I121" s="75">
        <v>318</v>
      </c>
    </row>
    <row r="122" spans="1:9" x14ac:dyDescent="0.3">
      <c r="A122" s="66">
        <v>38819</v>
      </c>
      <c r="B122" s="63">
        <v>374</v>
      </c>
      <c r="C122" s="63">
        <v>337</v>
      </c>
      <c r="D122" s="63">
        <v>328</v>
      </c>
      <c r="E122" s="63">
        <v>267</v>
      </c>
      <c r="F122" s="63">
        <v>253</v>
      </c>
      <c r="G122" s="63">
        <v>253</v>
      </c>
      <c r="H122" s="63">
        <v>238</v>
      </c>
      <c r="I122" s="63">
        <v>318</v>
      </c>
    </row>
    <row r="123" spans="1:9" x14ac:dyDescent="0.3">
      <c r="A123" s="66">
        <v>38826</v>
      </c>
      <c r="B123" s="63">
        <v>363</v>
      </c>
      <c r="C123" s="63">
        <v>315</v>
      </c>
      <c r="D123" s="63">
        <v>295</v>
      </c>
      <c r="E123" s="63">
        <v>215</v>
      </c>
      <c r="F123" s="63">
        <v>290</v>
      </c>
      <c r="G123" s="63">
        <v>290</v>
      </c>
      <c r="H123" s="63">
        <v>215</v>
      </c>
      <c r="I123" s="63">
        <v>290</v>
      </c>
    </row>
    <row r="124" spans="1:9" x14ac:dyDescent="0.3">
      <c r="A124" s="66">
        <v>38833</v>
      </c>
      <c r="B124" s="63">
        <v>358</v>
      </c>
      <c r="C124" s="63">
        <v>309</v>
      </c>
      <c r="D124" s="63">
        <v>288</v>
      </c>
      <c r="E124" s="63">
        <v>205</v>
      </c>
      <c r="F124" s="63">
        <v>235</v>
      </c>
      <c r="G124" s="63">
        <v>236</v>
      </c>
      <c r="H124" s="63">
        <v>202</v>
      </c>
      <c r="I124" s="63">
        <v>278</v>
      </c>
    </row>
    <row r="125" spans="1:9" x14ac:dyDescent="0.3">
      <c r="A125" s="66">
        <v>38840</v>
      </c>
      <c r="B125" s="63">
        <v>361</v>
      </c>
      <c r="C125" s="63">
        <v>323</v>
      </c>
      <c r="D125" s="63">
        <v>311</v>
      </c>
      <c r="E125" s="63">
        <v>256</v>
      </c>
      <c r="F125" s="63">
        <v>241</v>
      </c>
      <c r="G125" s="63">
        <v>241</v>
      </c>
      <c r="H125" s="63">
        <v>220</v>
      </c>
      <c r="I125" s="63">
        <v>286</v>
      </c>
    </row>
    <row r="126" spans="1:9" x14ac:dyDescent="0.3">
      <c r="A126" s="66">
        <v>38847</v>
      </c>
      <c r="B126" s="63">
        <v>378</v>
      </c>
      <c r="C126" s="63">
        <v>361</v>
      </c>
      <c r="D126" s="63">
        <v>354</v>
      </c>
      <c r="E126" s="63">
        <v>300</v>
      </c>
      <c r="F126" s="63">
        <v>271</v>
      </c>
      <c r="G126" s="63">
        <v>271</v>
      </c>
      <c r="H126" s="63">
        <v>250</v>
      </c>
      <c r="I126" s="63">
        <v>320</v>
      </c>
    </row>
    <row r="127" spans="1:9" x14ac:dyDescent="0.3">
      <c r="A127" s="66">
        <v>38854</v>
      </c>
      <c r="B127" s="63">
        <v>434</v>
      </c>
      <c r="C127" s="63">
        <v>407</v>
      </c>
      <c r="D127" s="63">
        <v>393</v>
      </c>
      <c r="E127" s="63">
        <v>326</v>
      </c>
      <c r="F127" s="63">
        <v>312</v>
      </c>
      <c r="G127" s="63">
        <v>312</v>
      </c>
      <c r="H127" s="63">
        <v>291</v>
      </c>
      <c r="I127" s="63">
        <v>375</v>
      </c>
    </row>
    <row r="128" spans="1:9" x14ac:dyDescent="0.3">
      <c r="A128" s="66">
        <v>38861</v>
      </c>
      <c r="B128" s="63">
        <v>447</v>
      </c>
      <c r="C128" s="63">
        <v>406</v>
      </c>
      <c r="D128" s="63">
        <v>384</v>
      </c>
      <c r="E128" s="63">
        <v>317</v>
      </c>
      <c r="F128" s="63">
        <v>333</v>
      </c>
      <c r="G128" s="63">
        <v>333</v>
      </c>
      <c r="H128" s="63">
        <v>302</v>
      </c>
      <c r="I128" s="63">
        <v>405</v>
      </c>
    </row>
    <row r="129" spans="1:13" x14ac:dyDescent="0.3">
      <c r="A129" s="66">
        <v>38868</v>
      </c>
      <c r="B129" s="63">
        <v>434</v>
      </c>
      <c r="C129" s="63">
        <v>379</v>
      </c>
      <c r="D129" s="63">
        <v>351</v>
      </c>
      <c r="E129" s="63">
        <v>273</v>
      </c>
      <c r="F129" s="63">
        <v>303</v>
      </c>
      <c r="G129" s="63">
        <v>303</v>
      </c>
      <c r="H129" s="63">
        <v>273</v>
      </c>
      <c r="I129" s="63">
        <v>388</v>
      </c>
    </row>
    <row r="130" spans="1:13" x14ac:dyDescent="0.3">
      <c r="A130" s="66">
        <v>38875</v>
      </c>
      <c r="B130" s="63">
        <v>466</v>
      </c>
      <c r="C130" s="63">
        <v>388</v>
      </c>
      <c r="D130" s="63">
        <v>374</v>
      </c>
      <c r="E130" s="63">
        <v>282</v>
      </c>
      <c r="F130" s="63">
        <v>307</v>
      </c>
      <c r="G130" s="63">
        <v>307</v>
      </c>
      <c r="H130" s="63">
        <v>274</v>
      </c>
      <c r="I130" s="63">
        <v>358</v>
      </c>
    </row>
    <row r="131" spans="1:13" x14ac:dyDescent="0.3">
      <c r="A131" s="66">
        <v>38882</v>
      </c>
      <c r="B131" s="63">
        <v>469</v>
      </c>
      <c r="C131" s="63">
        <v>397</v>
      </c>
      <c r="D131" s="63">
        <v>387</v>
      </c>
      <c r="E131" s="63">
        <v>281</v>
      </c>
      <c r="F131" s="63">
        <v>303</v>
      </c>
      <c r="G131" s="63">
        <v>303</v>
      </c>
      <c r="H131" s="63">
        <v>271</v>
      </c>
      <c r="I131" s="63">
        <v>350</v>
      </c>
    </row>
    <row r="132" spans="1:13" x14ac:dyDescent="0.3">
      <c r="A132" s="66">
        <v>38889</v>
      </c>
      <c r="B132" s="63">
        <v>442</v>
      </c>
      <c r="C132" s="63">
        <v>384</v>
      </c>
      <c r="D132" s="63">
        <v>382</v>
      </c>
      <c r="E132" s="63">
        <v>298</v>
      </c>
      <c r="F132" s="63">
        <v>323</v>
      </c>
      <c r="G132" s="63">
        <v>323</v>
      </c>
      <c r="H132" s="63">
        <v>272</v>
      </c>
      <c r="I132" s="63">
        <v>348</v>
      </c>
    </row>
    <row r="133" spans="1:13" x14ac:dyDescent="0.3">
      <c r="A133" s="72">
        <v>38896</v>
      </c>
      <c r="B133" s="73">
        <v>482</v>
      </c>
      <c r="C133" s="73">
        <v>423</v>
      </c>
      <c r="D133" s="73">
        <v>416</v>
      </c>
      <c r="E133" s="73">
        <v>335</v>
      </c>
      <c r="F133" s="73">
        <v>395</v>
      </c>
      <c r="G133" s="73">
        <v>395</v>
      </c>
      <c r="H133" s="73">
        <v>305</v>
      </c>
      <c r="I133" s="73">
        <v>413</v>
      </c>
    </row>
    <row r="134" spans="1:13" x14ac:dyDescent="0.3">
      <c r="A134" s="74">
        <v>38903</v>
      </c>
      <c r="B134" s="75">
        <v>533</v>
      </c>
      <c r="C134" s="75">
        <v>458</v>
      </c>
      <c r="D134" s="75">
        <v>443</v>
      </c>
      <c r="E134" s="75">
        <v>415</v>
      </c>
      <c r="F134" s="75">
        <v>469</v>
      </c>
      <c r="G134" s="75">
        <v>475</v>
      </c>
      <c r="H134" s="75">
        <v>383</v>
      </c>
      <c r="I134" s="75">
        <v>488</v>
      </c>
    </row>
    <row r="135" spans="1:13" x14ac:dyDescent="0.3">
      <c r="A135" s="66">
        <v>38910</v>
      </c>
      <c r="B135" s="63">
        <v>592</v>
      </c>
      <c r="C135" s="63">
        <v>504</v>
      </c>
      <c r="D135" s="63">
        <v>493</v>
      </c>
      <c r="E135" s="63">
        <v>481</v>
      </c>
      <c r="F135" s="63">
        <v>480</v>
      </c>
      <c r="G135" s="63">
        <v>482</v>
      </c>
      <c r="H135" s="63">
        <v>419</v>
      </c>
      <c r="I135" s="63">
        <v>538</v>
      </c>
    </row>
    <row r="136" spans="1:13" x14ac:dyDescent="0.3">
      <c r="A136" s="66">
        <v>38917</v>
      </c>
      <c r="B136" s="63">
        <v>647</v>
      </c>
      <c r="C136" s="63">
        <v>561</v>
      </c>
      <c r="D136" s="63">
        <v>526</v>
      </c>
      <c r="E136" s="63">
        <v>504</v>
      </c>
      <c r="F136" s="63">
        <v>479</v>
      </c>
      <c r="G136" s="63">
        <v>486</v>
      </c>
      <c r="H136" s="63">
        <v>470</v>
      </c>
      <c r="I136" s="63">
        <v>613</v>
      </c>
      <c r="L136" s="76"/>
      <c r="M136" s="76"/>
    </row>
    <row r="137" spans="1:13" x14ac:dyDescent="0.3">
      <c r="A137" s="66">
        <v>38924</v>
      </c>
      <c r="B137" s="63">
        <v>594</v>
      </c>
      <c r="C137" s="63">
        <v>509</v>
      </c>
      <c r="D137" s="63">
        <v>495</v>
      </c>
      <c r="E137" s="63">
        <v>469</v>
      </c>
      <c r="F137" s="63">
        <v>467</v>
      </c>
      <c r="G137" s="63">
        <v>467</v>
      </c>
      <c r="H137" s="63">
        <v>456</v>
      </c>
      <c r="I137" s="63">
        <v>567</v>
      </c>
    </row>
    <row r="138" spans="1:13" x14ac:dyDescent="0.3">
      <c r="A138" s="66">
        <v>38931</v>
      </c>
      <c r="B138" s="63">
        <v>602</v>
      </c>
      <c r="C138" s="63">
        <v>522</v>
      </c>
      <c r="D138" s="63">
        <v>498</v>
      </c>
      <c r="E138" s="63">
        <v>490</v>
      </c>
      <c r="F138" s="63">
        <v>460</v>
      </c>
      <c r="G138" s="63">
        <v>463</v>
      </c>
      <c r="H138" s="63">
        <v>466</v>
      </c>
      <c r="I138" s="63">
        <v>614</v>
      </c>
    </row>
    <row r="139" spans="1:13" x14ac:dyDescent="0.3">
      <c r="A139" s="66">
        <v>38938</v>
      </c>
      <c r="B139" s="63">
        <v>595</v>
      </c>
      <c r="C139" s="63">
        <v>566</v>
      </c>
      <c r="D139" s="63">
        <v>572</v>
      </c>
      <c r="E139" s="63">
        <v>560</v>
      </c>
      <c r="F139" s="63">
        <v>551</v>
      </c>
      <c r="G139" s="63">
        <v>551</v>
      </c>
      <c r="H139" s="63">
        <v>568</v>
      </c>
      <c r="I139" s="63">
        <v>780</v>
      </c>
    </row>
    <row r="140" spans="1:13" x14ac:dyDescent="0.3">
      <c r="A140" s="66">
        <v>38945</v>
      </c>
      <c r="B140" s="63">
        <v>570</v>
      </c>
      <c r="C140" s="63">
        <v>571</v>
      </c>
      <c r="D140" s="63">
        <v>569</v>
      </c>
      <c r="E140" s="63">
        <v>553</v>
      </c>
      <c r="F140" s="63">
        <v>557</v>
      </c>
      <c r="G140" s="63">
        <v>557</v>
      </c>
      <c r="H140" s="63">
        <v>551</v>
      </c>
      <c r="I140" s="63">
        <v>736</v>
      </c>
    </row>
    <row r="141" spans="1:13" x14ac:dyDescent="0.3">
      <c r="A141" s="66">
        <v>38952</v>
      </c>
      <c r="B141" s="63">
        <v>603</v>
      </c>
      <c r="C141" s="63">
        <v>558</v>
      </c>
      <c r="D141" s="63">
        <v>579</v>
      </c>
      <c r="E141" s="63">
        <v>572</v>
      </c>
      <c r="F141" s="63">
        <v>567</v>
      </c>
      <c r="G141" s="63">
        <v>568</v>
      </c>
      <c r="H141" s="63">
        <v>542</v>
      </c>
      <c r="I141" s="63">
        <v>708</v>
      </c>
    </row>
    <row r="142" spans="1:13" x14ac:dyDescent="0.3">
      <c r="A142" s="66">
        <v>38959</v>
      </c>
      <c r="B142" s="63">
        <v>587</v>
      </c>
      <c r="C142" s="63">
        <v>576</v>
      </c>
      <c r="D142" s="63">
        <v>569</v>
      </c>
      <c r="E142" s="63">
        <v>539</v>
      </c>
      <c r="F142" s="63">
        <v>554</v>
      </c>
      <c r="G142" s="63">
        <v>555</v>
      </c>
      <c r="H142" s="63">
        <v>504</v>
      </c>
      <c r="I142" s="63">
        <v>628</v>
      </c>
    </row>
    <row r="143" spans="1:13" x14ac:dyDescent="0.3">
      <c r="A143" s="66">
        <v>38966</v>
      </c>
      <c r="B143" s="63">
        <v>538</v>
      </c>
      <c r="C143" s="63">
        <v>525</v>
      </c>
      <c r="D143" s="63">
        <v>504</v>
      </c>
      <c r="E143" s="63">
        <v>483</v>
      </c>
      <c r="F143" s="63">
        <v>523</v>
      </c>
      <c r="G143" s="63">
        <v>526</v>
      </c>
      <c r="H143" s="63">
        <v>426</v>
      </c>
      <c r="I143" s="63">
        <v>562</v>
      </c>
    </row>
    <row r="144" spans="1:13" x14ac:dyDescent="0.3">
      <c r="A144" s="66">
        <v>38973</v>
      </c>
      <c r="B144" s="63">
        <v>565</v>
      </c>
      <c r="C144" s="63">
        <v>561</v>
      </c>
      <c r="D144" s="63">
        <v>514</v>
      </c>
      <c r="E144" s="63">
        <v>495</v>
      </c>
      <c r="F144" s="63">
        <v>575</v>
      </c>
      <c r="G144" s="63">
        <v>575</v>
      </c>
      <c r="H144" s="63">
        <v>466</v>
      </c>
      <c r="I144" s="63">
        <v>585</v>
      </c>
    </row>
    <row r="145" spans="1:13" x14ac:dyDescent="0.3">
      <c r="A145" s="66">
        <v>38980</v>
      </c>
      <c r="B145" s="63">
        <v>588</v>
      </c>
      <c r="C145" s="63">
        <v>552</v>
      </c>
      <c r="D145" s="63">
        <v>540</v>
      </c>
      <c r="E145" s="63">
        <v>480</v>
      </c>
      <c r="F145" s="63">
        <v>531</v>
      </c>
      <c r="G145" s="63">
        <v>532</v>
      </c>
      <c r="H145" s="63">
        <v>426</v>
      </c>
      <c r="I145" s="63">
        <v>550</v>
      </c>
    </row>
    <row r="146" spans="1:13" x14ac:dyDescent="0.3">
      <c r="A146" s="72">
        <v>38986</v>
      </c>
      <c r="B146" s="73">
        <v>591</v>
      </c>
      <c r="C146" s="73">
        <v>572</v>
      </c>
      <c r="D146" s="73">
        <v>581</v>
      </c>
      <c r="E146" s="73">
        <v>501</v>
      </c>
      <c r="F146" s="73">
        <v>528</v>
      </c>
      <c r="G146" s="73">
        <v>529</v>
      </c>
      <c r="H146" s="73">
        <v>421</v>
      </c>
      <c r="I146" s="73">
        <v>568</v>
      </c>
    </row>
    <row r="147" spans="1:13" x14ac:dyDescent="0.3">
      <c r="A147" s="74">
        <f>A146+7</f>
        <v>38993</v>
      </c>
      <c r="B147" s="68">
        <v>632</v>
      </c>
      <c r="C147" s="68">
        <v>639</v>
      </c>
      <c r="D147" s="68">
        <v>608</v>
      </c>
      <c r="E147" s="68">
        <v>605</v>
      </c>
      <c r="F147" s="68">
        <v>646</v>
      </c>
      <c r="G147" s="68">
        <v>648</v>
      </c>
      <c r="H147" s="68">
        <v>546</v>
      </c>
      <c r="I147" s="68">
        <v>701</v>
      </c>
    </row>
    <row r="148" spans="1:13" x14ac:dyDescent="0.3">
      <c r="A148" s="66">
        <f>A147+7</f>
        <v>39000</v>
      </c>
      <c r="B148" s="68">
        <v>616</v>
      </c>
      <c r="C148" s="68">
        <v>619</v>
      </c>
      <c r="D148" s="68">
        <v>562</v>
      </c>
      <c r="E148" s="68">
        <v>570</v>
      </c>
      <c r="F148" s="68">
        <v>643</v>
      </c>
      <c r="G148" s="68">
        <v>647</v>
      </c>
      <c r="H148" s="68">
        <v>543</v>
      </c>
      <c r="I148" s="68">
        <v>717</v>
      </c>
      <c r="K148" s="71"/>
      <c r="M148" s="71"/>
    </row>
    <row r="149" spans="1:13" x14ac:dyDescent="0.3">
      <c r="A149" s="66">
        <f>A148+7</f>
        <v>39007</v>
      </c>
      <c r="B149" s="68">
        <v>592</v>
      </c>
      <c r="C149" s="68">
        <v>597</v>
      </c>
      <c r="D149" s="68">
        <v>554</v>
      </c>
      <c r="E149" s="68">
        <v>513</v>
      </c>
      <c r="F149" s="68">
        <v>578</v>
      </c>
      <c r="G149" s="68">
        <v>582</v>
      </c>
      <c r="H149" s="68">
        <v>450</v>
      </c>
      <c r="I149" s="68">
        <v>588</v>
      </c>
      <c r="K149" s="68"/>
      <c r="M149" s="68"/>
    </row>
    <row r="150" spans="1:13" x14ac:dyDescent="0.3">
      <c r="A150" s="66">
        <f>A149+7</f>
        <v>39014</v>
      </c>
      <c r="B150" s="68">
        <v>490</v>
      </c>
      <c r="C150" s="68">
        <v>461</v>
      </c>
      <c r="D150" s="68">
        <v>450</v>
      </c>
      <c r="E150" s="68">
        <v>350</v>
      </c>
      <c r="F150" s="68">
        <v>400</v>
      </c>
      <c r="G150" s="68">
        <v>400</v>
      </c>
      <c r="H150" s="68">
        <v>310</v>
      </c>
      <c r="I150" s="68">
        <v>427</v>
      </c>
      <c r="K150" s="68"/>
      <c r="M150" s="68"/>
    </row>
    <row r="151" spans="1:13" x14ac:dyDescent="0.3">
      <c r="A151" s="66">
        <f>A150+7</f>
        <v>39021</v>
      </c>
      <c r="B151" s="68">
        <v>648</v>
      </c>
      <c r="C151" s="68">
        <v>543</v>
      </c>
      <c r="D151" s="68">
        <v>528</v>
      </c>
      <c r="E151" s="68">
        <v>439</v>
      </c>
      <c r="F151" s="68">
        <v>389</v>
      </c>
      <c r="G151" s="68">
        <v>389</v>
      </c>
      <c r="H151" s="68">
        <v>325</v>
      </c>
      <c r="I151" s="68">
        <v>425</v>
      </c>
      <c r="K151" s="68"/>
      <c r="M151" s="68"/>
    </row>
    <row r="152" spans="1:13" x14ac:dyDescent="0.3">
      <c r="A152" s="66">
        <v>39028</v>
      </c>
      <c r="B152" s="68">
        <v>548</v>
      </c>
      <c r="C152" s="68">
        <v>494</v>
      </c>
      <c r="D152" s="68">
        <v>459</v>
      </c>
      <c r="E152" s="68">
        <v>409</v>
      </c>
      <c r="F152" s="68">
        <v>401</v>
      </c>
      <c r="G152" s="68">
        <v>401</v>
      </c>
      <c r="H152" s="68">
        <v>300</v>
      </c>
      <c r="I152" s="68">
        <v>409</v>
      </c>
      <c r="K152" s="68"/>
      <c r="M152" s="68"/>
    </row>
    <row r="153" spans="1:13" x14ac:dyDescent="0.3">
      <c r="A153" s="69">
        <v>39035</v>
      </c>
      <c r="B153" s="63">
        <v>498</v>
      </c>
      <c r="C153" s="63">
        <v>438</v>
      </c>
      <c r="D153" s="63">
        <v>445</v>
      </c>
      <c r="E153" s="63">
        <v>378</v>
      </c>
      <c r="F153" s="63">
        <v>377</v>
      </c>
      <c r="G153" s="63">
        <v>377</v>
      </c>
      <c r="H153" s="63">
        <v>281</v>
      </c>
      <c r="I153" s="63">
        <v>386</v>
      </c>
      <c r="K153" s="68"/>
      <c r="M153" s="68"/>
    </row>
    <row r="154" spans="1:13" x14ac:dyDescent="0.3">
      <c r="A154" s="69">
        <v>39042</v>
      </c>
      <c r="C154" s="63">
        <v>468</v>
      </c>
      <c r="D154" s="63">
        <v>464</v>
      </c>
      <c r="E154" s="63">
        <v>379</v>
      </c>
      <c r="F154" s="63">
        <v>375</v>
      </c>
      <c r="G154" s="63">
        <v>375</v>
      </c>
      <c r="H154" s="63">
        <v>278</v>
      </c>
      <c r="I154" s="63">
        <v>369</v>
      </c>
      <c r="K154" s="68"/>
      <c r="M154" s="68"/>
    </row>
    <row r="155" spans="1:13" x14ac:dyDescent="0.3">
      <c r="A155" s="69">
        <v>39049</v>
      </c>
      <c r="C155" s="63">
        <v>448</v>
      </c>
      <c r="D155" s="63">
        <v>445</v>
      </c>
      <c r="E155" s="63">
        <v>364</v>
      </c>
      <c r="F155" s="63">
        <v>373</v>
      </c>
      <c r="G155" s="63">
        <v>373</v>
      </c>
      <c r="H155" s="63">
        <v>261</v>
      </c>
      <c r="I155" s="63">
        <v>358</v>
      </c>
    </row>
    <row r="156" spans="1:13" x14ac:dyDescent="0.3">
      <c r="A156" s="66">
        <v>39056</v>
      </c>
      <c r="B156" s="68"/>
      <c r="C156" s="68">
        <v>404</v>
      </c>
      <c r="D156" s="68">
        <v>377</v>
      </c>
      <c r="E156" s="68">
        <v>284</v>
      </c>
      <c r="F156" s="68">
        <v>332</v>
      </c>
      <c r="G156" s="68">
        <v>332</v>
      </c>
      <c r="H156" s="68">
        <v>222</v>
      </c>
      <c r="I156" s="68">
        <v>306</v>
      </c>
      <c r="K156" s="77"/>
    </row>
    <row r="157" spans="1:13" x14ac:dyDescent="0.3">
      <c r="A157" s="66">
        <v>39063</v>
      </c>
      <c r="B157" s="68"/>
      <c r="C157" s="68">
        <v>399</v>
      </c>
      <c r="D157" s="68">
        <v>378</v>
      </c>
      <c r="E157" s="68">
        <v>291</v>
      </c>
      <c r="F157" s="68">
        <v>310</v>
      </c>
      <c r="G157" s="68">
        <v>310</v>
      </c>
      <c r="H157" s="68">
        <v>226</v>
      </c>
      <c r="I157" s="68">
        <v>315</v>
      </c>
    </row>
    <row r="158" spans="1:13" x14ac:dyDescent="0.3">
      <c r="A158" s="69">
        <v>39070</v>
      </c>
      <c r="B158" s="68"/>
      <c r="C158" s="68">
        <v>328</v>
      </c>
      <c r="D158" s="68">
        <v>285</v>
      </c>
      <c r="E158" s="68">
        <v>213</v>
      </c>
      <c r="F158" s="68">
        <v>247</v>
      </c>
      <c r="G158" s="68">
        <v>246</v>
      </c>
      <c r="H158" s="68">
        <v>193</v>
      </c>
      <c r="I158" s="68">
        <v>264</v>
      </c>
      <c r="M158" s="68"/>
    </row>
    <row r="159" spans="1:13" x14ac:dyDescent="0.3">
      <c r="A159" s="78">
        <v>39077</v>
      </c>
      <c r="B159" s="79"/>
      <c r="C159" s="79">
        <v>290</v>
      </c>
      <c r="D159" s="79">
        <v>274</v>
      </c>
      <c r="E159" s="79">
        <v>212</v>
      </c>
      <c r="F159" s="79">
        <v>243</v>
      </c>
      <c r="G159" s="79">
        <v>243</v>
      </c>
      <c r="H159" s="79">
        <v>189</v>
      </c>
      <c r="I159" s="79">
        <v>261</v>
      </c>
      <c r="M159" s="68"/>
    </row>
    <row r="160" spans="1:13" x14ac:dyDescent="0.3">
      <c r="A160" s="69">
        <v>39084</v>
      </c>
      <c r="B160" s="68"/>
      <c r="C160" s="68">
        <v>290</v>
      </c>
      <c r="D160" s="68">
        <v>268</v>
      </c>
      <c r="E160" s="68">
        <v>209</v>
      </c>
      <c r="F160" s="68">
        <v>231</v>
      </c>
      <c r="G160" s="68">
        <v>231</v>
      </c>
      <c r="H160" s="68">
        <v>183</v>
      </c>
      <c r="I160" s="68">
        <v>261</v>
      </c>
      <c r="M160" s="68"/>
    </row>
    <row r="161" spans="1:13" x14ac:dyDescent="0.3">
      <c r="A161" s="66">
        <v>39091</v>
      </c>
      <c r="B161" s="68"/>
      <c r="C161" s="68"/>
      <c r="D161" s="68">
        <v>268</v>
      </c>
      <c r="E161" s="68">
        <v>223</v>
      </c>
      <c r="F161" s="68">
        <v>258</v>
      </c>
      <c r="G161" s="68">
        <v>258</v>
      </c>
      <c r="H161" s="68">
        <v>214</v>
      </c>
      <c r="I161" s="68">
        <v>288</v>
      </c>
      <c r="M161" s="68"/>
    </row>
    <row r="162" spans="1:13" x14ac:dyDescent="0.3">
      <c r="A162" s="69">
        <v>39098</v>
      </c>
      <c r="B162" s="68"/>
      <c r="C162" s="68"/>
      <c r="D162" s="68">
        <v>393</v>
      </c>
      <c r="E162" s="68">
        <v>371</v>
      </c>
      <c r="F162" s="68">
        <v>352</v>
      </c>
      <c r="G162" s="68">
        <v>353</v>
      </c>
      <c r="H162" s="68">
        <v>338</v>
      </c>
      <c r="I162" s="68">
        <v>454</v>
      </c>
      <c r="M162" s="77"/>
    </row>
    <row r="163" spans="1:13" x14ac:dyDescent="0.3">
      <c r="A163" s="69">
        <v>39105</v>
      </c>
      <c r="B163" s="68"/>
      <c r="C163" s="68"/>
      <c r="D163" s="68">
        <v>286</v>
      </c>
      <c r="E163" s="68">
        <v>272</v>
      </c>
      <c r="F163" s="68">
        <v>340</v>
      </c>
      <c r="G163" s="68">
        <v>340</v>
      </c>
      <c r="H163" s="68">
        <v>258</v>
      </c>
      <c r="I163" s="68">
        <v>355</v>
      </c>
    </row>
    <row r="164" spans="1:13" x14ac:dyDescent="0.3">
      <c r="A164" s="66">
        <v>39112</v>
      </c>
      <c r="B164" s="68"/>
      <c r="C164" s="68"/>
      <c r="D164" s="68">
        <v>312</v>
      </c>
      <c r="E164" s="68">
        <v>248</v>
      </c>
      <c r="F164" s="68">
        <v>296</v>
      </c>
      <c r="G164" s="68">
        <v>296</v>
      </c>
      <c r="H164" s="68">
        <v>231</v>
      </c>
      <c r="I164" s="68">
        <v>324</v>
      </c>
    </row>
    <row r="165" spans="1:13" x14ac:dyDescent="0.3">
      <c r="A165" s="66">
        <v>39119</v>
      </c>
      <c r="B165" s="68"/>
      <c r="C165" s="68"/>
      <c r="D165" s="68">
        <v>358</v>
      </c>
      <c r="E165" s="68">
        <v>233</v>
      </c>
      <c r="F165" s="68">
        <v>268</v>
      </c>
      <c r="G165" s="68">
        <v>268</v>
      </c>
      <c r="H165" s="68">
        <v>196</v>
      </c>
      <c r="I165" s="68">
        <v>276</v>
      </c>
    </row>
    <row r="166" spans="1:13" x14ac:dyDescent="0.3">
      <c r="A166" s="66">
        <v>39126</v>
      </c>
      <c r="B166" s="68"/>
      <c r="C166" s="68"/>
      <c r="D166" s="68">
        <v>370</v>
      </c>
      <c r="E166" s="68">
        <v>283</v>
      </c>
      <c r="F166" s="68">
        <v>282</v>
      </c>
      <c r="G166" s="68">
        <v>282</v>
      </c>
      <c r="H166" s="68">
        <v>218</v>
      </c>
      <c r="I166" s="68">
        <v>305</v>
      </c>
    </row>
    <row r="167" spans="1:13" x14ac:dyDescent="0.3">
      <c r="A167" s="69">
        <v>39133</v>
      </c>
      <c r="B167" s="68"/>
      <c r="C167" s="68"/>
      <c r="D167" s="68">
        <v>364</v>
      </c>
      <c r="E167" s="68">
        <v>254</v>
      </c>
      <c r="F167" s="68">
        <v>251</v>
      </c>
      <c r="G167" s="68">
        <v>251</v>
      </c>
      <c r="H167" s="68">
        <v>212</v>
      </c>
      <c r="I167" s="68">
        <v>287</v>
      </c>
    </row>
    <row r="168" spans="1:13" x14ac:dyDescent="0.3">
      <c r="A168" s="69">
        <v>39140</v>
      </c>
      <c r="B168" s="68"/>
      <c r="C168" s="68"/>
      <c r="D168" s="68">
        <v>320</v>
      </c>
      <c r="E168" s="68">
        <v>248</v>
      </c>
      <c r="F168" s="68">
        <v>257</v>
      </c>
      <c r="G168" s="68">
        <v>257</v>
      </c>
      <c r="H168" s="68">
        <v>207</v>
      </c>
      <c r="I168" s="68">
        <v>281</v>
      </c>
    </row>
    <row r="169" spans="1:13" x14ac:dyDescent="0.3">
      <c r="A169" s="66">
        <v>39147</v>
      </c>
      <c r="B169" s="68"/>
      <c r="C169" s="68">
        <v>325</v>
      </c>
      <c r="D169" s="68">
        <v>285</v>
      </c>
      <c r="E169" s="68">
        <v>223</v>
      </c>
      <c r="F169" s="68">
        <v>248</v>
      </c>
      <c r="G169" s="68">
        <v>247</v>
      </c>
      <c r="H169" s="68">
        <v>192</v>
      </c>
      <c r="I169" s="68">
        <v>263</v>
      </c>
    </row>
    <row r="170" spans="1:13" x14ac:dyDescent="0.3">
      <c r="A170" s="66">
        <v>39154</v>
      </c>
      <c r="B170" s="68"/>
      <c r="C170" s="68">
        <v>320</v>
      </c>
      <c r="D170" s="68">
        <v>297</v>
      </c>
      <c r="E170" s="68">
        <v>221</v>
      </c>
      <c r="F170" s="68">
        <v>250</v>
      </c>
      <c r="G170" s="68">
        <v>250</v>
      </c>
      <c r="H170" s="68">
        <v>194</v>
      </c>
      <c r="I170" s="68">
        <v>270</v>
      </c>
    </row>
    <row r="171" spans="1:13" x14ac:dyDescent="0.3">
      <c r="A171" s="69">
        <v>39161</v>
      </c>
      <c r="B171" s="68"/>
      <c r="C171" s="68">
        <v>293</v>
      </c>
      <c r="D171" s="68">
        <v>268</v>
      </c>
      <c r="E171" s="68">
        <v>193</v>
      </c>
      <c r="F171" s="68">
        <v>235</v>
      </c>
      <c r="G171" s="68">
        <v>235</v>
      </c>
      <c r="H171" s="68">
        <v>177</v>
      </c>
      <c r="I171" s="68">
        <v>233</v>
      </c>
    </row>
    <row r="172" spans="1:13" x14ac:dyDescent="0.3">
      <c r="A172" s="78">
        <v>39168</v>
      </c>
      <c r="B172" s="79"/>
      <c r="C172" s="79">
        <v>280</v>
      </c>
      <c r="D172" s="79">
        <v>244</v>
      </c>
      <c r="E172" s="79">
        <v>176</v>
      </c>
      <c r="F172" s="79">
        <v>213</v>
      </c>
      <c r="G172" s="79">
        <v>213</v>
      </c>
      <c r="H172" s="79">
        <v>158</v>
      </c>
      <c r="I172" s="79">
        <v>193</v>
      </c>
    </row>
    <row r="173" spans="1:13" x14ac:dyDescent="0.3">
      <c r="A173" s="69">
        <f t="shared" ref="A173:A178" si="0">7+A172</f>
        <v>39175</v>
      </c>
      <c r="B173" s="68">
        <v>320</v>
      </c>
      <c r="C173" s="68">
        <v>280</v>
      </c>
      <c r="D173" s="68">
        <v>237</v>
      </c>
      <c r="E173" s="68">
        <v>179</v>
      </c>
      <c r="F173" s="68">
        <v>206</v>
      </c>
      <c r="G173" s="68">
        <v>206</v>
      </c>
      <c r="H173" s="68">
        <v>163.75</v>
      </c>
      <c r="I173" s="68">
        <v>224.53056768558952</v>
      </c>
    </row>
    <row r="174" spans="1:13" x14ac:dyDescent="0.3">
      <c r="A174" s="69">
        <f t="shared" si="0"/>
        <v>39182</v>
      </c>
      <c r="B174" s="68">
        <v>321.66666666666669</v>
      </c>
      <c r="C174" s="68">
        <v>273.75</v>
      </c>
      <c r="D174" s="68">
        <v>231.25</v>
      </c>
      <c r="E174" s="68">
        <v>185</v>
      </c>
      <c r="F174" s="68">
        <v>202.5</v>
      </c>
      <c r="G174" s="68">
        <v>202.5</v>
      </c>
      <c r="H174" s="68">
        <v>162.5</v>
      </c>
      <c r="I174" s="68">
        <v>224.21943231441048</v>
      </c>
    </row>
    <row r="175" spans="1:13" x14ac:dyDescent="0.3">
      <c r="A175" s="69">
        <f t="shared" si="0"/>
        <v>39189</v>
      </c>
      <c r="B175" s="68">
        <v>296</v>
      </c>
      <c r="C175" s="68">
        <v>253</v>
      </c>
      <c r="D175" s="68">
        <v>224</v>
      </c>
      <c r="E175" s="68">
        <v>168</v>
      </c>
      <c r="F175" s="68">
        <v>196</v>
      </c>
      <c r="G175" s="68">
        <v>197</v>
      </c>
      <c r="H175" s="68">
        <v>153</v>
      </c>
      <c r="I175" s="68">
        <v>213.65502183406116</v>
      </c>
    </row>
    <row r="176" spans="1:13" x14ac:dyDescent="0.3">
      <c r="A176" s="69">
        <f t="shared" si="0"/>
        <v>39196</v>
      </c>
      <c r="B176" s="68">
        <v>289</v>
      </c>
      <c r="C176" s="68">
        <v>244.6</v>
      </c>
      <c r="D176" s="68">
        <v>213</v>
      </c>
      <c r="E176" s="68">
        <v>161</v>
      </c>
      <c r="F176" s="68">
        <v>197</v>
      </c>
      <c r="G176" s="68">
        <v>197</v>
      </c>
      <c r="H176" s="68">
        <v>147</v>
      </c>
      <c r="I176" s="68">
        <v>205.4279475982533</v>
      </c>
    </row>
    <row r="177" spans="1:9" x14ac:dyDescent="0.3">
      <c r="A177" s="69">
        <f t="shared" si="0"/>
        <v>39203</v>
      </c>
      <c r="B177" s="68">
        <v>282.5</v>
      </c>
      <c r="C177" s="68">
        <v>236.66666666666666</v>
      </c>
      <c r="D177" s="68">
        <v>214.16666666666666</v>
      </c>
      <c r="E177" s="68">
        <v>158.33333333333334</v>
      </c>
      <c r="F177" s="68">
        <v>191.66666666666666</v>
      </c>
      <c r="G177" s="68">
        <v>191.66666666666666</v>
      </c>
      <c r="H177" s="68">
        <v>146.66666666666666</v>
      </c>
      <c r="I177" s="68">
        <v>208.49344978165936</v>
      </c>
    </row>
    <row r="178" spans="1:9" x14ac:dyDescent="0.3">
      <c r="A178" s="69">
        <f t="shared" si="0"/>
        <v>39210</v>
      </c>
      <c r="B178" s="68">
        <v>269</v>
      </c>
      <c r="C178" s="68">
        <v>233.83333333333334</v>
      </c>
      <c r="D178" s="68">
        <v>209.16666666666666</v>
      </c>
      <c r="E178" s="68">
        <v>155.83333333333334</v>
      </c>
      <c r="F178" s="68">
        <v>182.5</v>
      </c>
      <c r="G178" s="68">
        <v>175.83333333333334</v>
      </c>
      <c r="H178" s="68">
        <v>145</v>
      </c>
      <c r="I178" s="68">
        <v>203.70815138282387</v>
      </c>
    </row>
    <row r="179" spans="1:9" x14ac:dyDescent="0.3">
      <c r="A179" s="69">
        <f>7+A178</f>
        <v>39217</v>
      </c>
      <c r="B179" s="68">
        <v>299</v>
      </c>
      <c r="C179" s="68">
        <v>247</v>
      </c>
      <c r="D179" s="68">
        <v>227</v>
      </c>
      <c r="E179" s="68">
        <v>179</v>
      </c>
      <c r="F179" s="68">
        <v>183</v>
      </c>
      <c r="G179" s="68">
        <v>183</v>
      </c>
      <c r="H179" s="68">
        <v>154</v>
      </c>
      <c r="I179" s="68">
        <v>216.28384279475986</v>
      </c>
    </row>
    <row r="180" spans="1:9" x14ac:dyDescent="0.3">
      <c r="A180" s="69">
        <f>7+A179</f>
        <v>39224</v>
      </c>
      <c r="B180" s="68">
        <v>326</v>
      </c>
      <c r="C180" s="68">
        <v>286</v>
      </c>
      <c r="D180" s="68">
        <v>275</v>
      </c>
      <c r="E180" s="68">
        <v>196</v>
      </c>
      <c r="F180" s="68">
        <v>188</v>
      </c>
      <c r="G180" s="68">
        <v>188</v>
      </c>
      <c r="H180" s="68">
        <v>166</v>
      </c>
      <c r="I180" s="68">
        <v>233</v>
      </c>
    </row>
    <row r="181" spans="1:9" x14ac:dyDescent="0.3">
      <c r="A181" s="69">
        <f>7+A180</f>
        <v>39231</v>
      </c>
      <c r="B181" s="68">
        <v>386.25</v>
      </c>
      <c r="C181" s="68">
        <v>333</v>
      </c>
      <c r="D181" s="68">
        <v>326</v>
      </c>
      <c r="E181" s="68">
        <v>252</v>
      </c>
      <c r="F181" s="68">
        <v>208.75</v>
      </c>
      <c r="G181" s="68">
        <v>213.75</v>
      </c>
      <c r="H181" s="68">
        <v>208.75</v>
      </c>
      <c r="I181" s="68">
        <v>293</v>
      </c>
    </row>
    <row r="182" spans="1:9" x14ac:dyDescent="0.3">
      <c r="A182" s="69">
        <f>7+A181</f>
        <v>39238</v>
      </c>
      <c r="B182" s="68">
        <v>396.25</v>
      </c>
      <c r="C182" s="68">
        <v>353.75</v>
      </c>
      <c r="D182" s="68">
        <v>353.75</v>
      </c>
      <c r="E182" s="68">
        <v>263</v>
      </c>
      <c r="F182" s="68">
        <v>251.66666666666666</v>
      </c>
      <c r="G182" s="68">
        <v>248.75</v>
      </c>
      <c r="H182" s="68">
        <v>230</v>
      </c>
      <c r="I182" s="68">
        <v>325</v>
      </c>
    </row>
    <row r="183" spans="1:9" x14ac:dyDescent="0.3">
      <c r="A183" s="69">
        <v>39245</v>
      </c>
      <c r="B183" s="68">
        <v>415</v>
      </c>
      <c r="C183" s="68">
        <v>354</v>
      </c>
      <c r="D183" s="68">
        <v>330</v>
      </c>
      <c r="E183" s="68">
        <v>244</v>
      </c>
      <c r="F183" s="68">
        <v>251</v>
      </c>
      <c r="G183" s="68">
        <v>252</v>
      </c>
      <c r="H183" s="68">
        <v>231</v>
      </c>
      <c r="I183" s="68">
        <v>319</v>
      </c>
    </row>
    <row r="184" spans="1:9" x14ac:dyDescent="0.3">
      <c r="A184" s="69">
        <v>39252</v>
      </c>
      <c r="B184" s="68">
        <v>413</v>
      </c>
      <c r="C184" s="68">
        <v>378</v>
      </c>
      <c r="D184" s="68">
        <v>345</v>
      </c>
      <c r="E184" s="68">
        <v>280</v>
      </c>
      <c r="F184" s="68">
        <v>273</v>
      </c>
      <c r="G184" s="68">
        <v>270</v>
      </c>
      <c r="H184" s="68">
        <v>253</v>
      </c>
      <c r="I184" s="68">
        <v>347</v>
      </c>
    </row>
    <row r="185" spans="1:9" x14ac:dyDescent="0.3">
      <c r="A185" s="78">
        <v>39259</v>
      </c>
      <c r="B185" s="79">
        <v>423.75</v>
      </c>
      <c r="C185" s="79">
        <v>411</v>
      </c>
      <c r="D185" s="79">
        <v>369</v>
      </c>
      <c r="E185" s="79">
        <v>308</v>
      </c>
      <c r="F185" s="79">
        <v>289</v>
      </c>
      <c r="G185" s="79">
        <v>277</v>
      </c>
      <c r="H185" s="79">
        <v>248.75</v>
      </c>
      <c r="I185" s="79">
        <v>341</v>
      </c>
    </row>
    <row r="186" spans="1:9" x14ac:dyDescent="0.3">
      <c r="A186" s="69">
        <v>39266</v>
      </c>
      <c r="B186" s="68">
        <v>424</v>
      </c>
      <c r="C186" s="68">
        <v>375</v>
      </c>
      <c r="D186" s="68">
        <v>360</v>
      </c>
      <c r="E186" s="68">
        <v>279</v>
      </c>
      <c r="F186" s="68">
        <v>281</v>
      </c>
      <c r="G186" s="68">
        <v>290</v>
      </c>
      <c r="H186" s="68">
        <v>266</v>
      </c>
      <c r="I186" s="68">
        <v>355</v>
      </c>
    </row>
    <row r="187" spans="1:9" x14ac:dyDescent="0.3">
      <c r="A187" s="69">
        <v>39273</v>
      </c>
      <c r="B187" s="68">
        <v>428</v>
      </c>
      <c r="C187" s="68">
        <v>366</v>
      </c>
      <c r="D187" s="68">
        <v>356</v>
      </c>
      <c r="E187" s="68">
        <v>288</v>
      </c>
      <c r="F187" s="68">
        <v>291</v>
      </c>
      <c r="G187" s="68">
        <v>291</v>
      </c>
      <c r="H187" s="68">
        <v>260</v>
      </c>
      <c r="I187" s="68">
        <v>366</v>
      </c>
    </row>
    <row r="188" spans="1:9" x14ac:dyDescent="0.3">
      <c r="A188" s="69">
        <v>39280</v>
      </c>
      <c r="B188" s="68">
        <v>509</v>
      </c>
      <c r="C188" s="68">
        <v>431</v>
      </c>
      <c r="D188" s="68">
        <v>439</v>
      </c>
      <c r="E188" s="68">
        <v>356</v>
      </c>
      <c r="F188" s="68">
        <v>338</v>
      </c>
      <c r="G188" s="68">
        <v>338</v>
      </c>
      <c r="H188" s="68">
        <v>339</v>
      </c>
      <c r="I188" s="68">
        <v>456</v>
      </c>
    </row>
    <row r="189" spans="1:9" x14ac:dyDescent="0.3">
      <c r="A189" s="69">
        <v>39287</v>
      </c>
      <c r="B189" s="68">
        <v>500</v>
      </c>
      <c r="C189" s="68">
        <v>457</v>
      </c>
      <c r="D189" s="68">
        <v>458</v>
      </c>
      <c r="E189" s="68">
        <v>412</v>
      </c>
      <c r="F189" s="68">
        <v>384</v>
      </c>
      <c r="G189" s="68">
        <v>384</v>
      </c>
      <c r="H189" s="68">
        <v>407</v>
      </c>
      <c r="I189" s="68">
        <v>499</v>
      </c>
    </row>
    <row r="190" spans="1:9" x14ac:dyDescent="0.3">
      <c r="A190" s="69">
        <v>39294</v>
      </c>
      <c r="B190" s="68">
        <v>435</v>
      </c>
      <c r="C190" s="68">
        <v>395</v>
      </c>
      <c r="D190" s="68">
        <v>395</v>
      </c>
      <c r="E190" s="68">
        <v>360</v>
      </c>
      <c r="F190" s="68">
        <v>369</v>
      </c>
      <c r="G190" s="68">
        <v>369</v>
      </c>
      <c r="H190" s="68">
        <v>342</v>
      </c>
      <c r="I190" s="68">
        <v>453</v>
      </c>
    </row>
    <row r="191" spans="1:9" x14ac:dyDescent="0.3">
      <c r="A191" s="69">
        <v>39301</v>
      </c>
      <c r="B191" s="68">
        <v>445</v>
      </c>
      <c r="C191" s="68">
        <v>428</v>
      </c>
      <c r="D191" s="68">
        <v>446</v>
      </c>
      <c r="E191" s="68">
        <v>410</v>
      </c>
      <c r="F191" s="68">
        <v>400</v>
      </c>
      <c r="G191" s="68">
        <v>400</v>
      </c>
      <c r="H191" s="68">
        <v>403</v>
      </c>
      <c r="I191" s="68">
        <v>509</v>
      </c>
    </row>
    <row r="192" spans="1:9" x14ac:dyDescent="0.3">
      <c r="A192" s="69">
        <v>39308</v>
      </c>
      <c r="B192" s="68">
        <v>518.75</v>
      </c>
      <c r="C192" s="68">
        <v>540</v>
      </c>
      <c r="D192" s="68">
        <v>531</v>
      </c>
      <c r="E192" s="68">
        <v>540</v>
      </c>
      <c r="F192" s="68">
        <v>496</v>
      </c>
      <c r="G192" s="68">
        <v>496</v>
      </c>
      <c r="H192" s="68">
        <v>552</v>
      </c>
      <c r="I192" s="68">
        <v>812.08733624454146</v>
      </c>
    </row>
    <row r="193" spans="1:9" x14ac:dyDescent="0.3">
      <c r="A193" s="69">
        <v>39315</v>
      </c>
      <c r="B193" s="68">
        <v>554</v>
      </c>
      <c r="C193" s="68">
        <v>575</v>
      </c>
      <c r="D193" s="68">
        <v>578</v>
      </c>
      <c r="E193" s="68">
        <v>685</v>
      </c>
      <c r="F193" s="68">
        <v>620</v>
      </c>
      <c r="G193" s="68">
        <v>620</v>
      </c>
      <c r="H193" s="68">
        <v>750</v>
      </c>
      <c r="I193" s="68">
        <v>1000</v>
      </c>
    </row>
    <row r="194" spans="1:9" x14ac:dyDescent="0.3">
      <c r="A194" s="69">
        <f t="shared" ref="A194:A200" si="1">7+A193</f>
        <v>39322</v>
      </c>
      <c r="B194" s="68">
        <v>568</v>
      </c>
      <c r="C194" s="68">
        <v>683</v>
      </c>
      <c r="D194" s="68">
        <v>698</v>
      </c>
      <c r="E194" s="68">
        <v>845</v>
      </c>
      <c r="F194" s="68">
        <v>805</v>
      </c>
      <c r="G194" s="68">
        <v>810</v>
      </c>
      <c r="H194" s="68">
        <v>970</v>
      </c>
      <c r="I194" s="68">
        <v>1147</v>
      </c>
    </row>
    <row r="195" spans="1:9" x14ac:dyDescent="0.3">
      <c r="A195" s="69">
        <f t="shared" si="1"/>
        <v>39329</v>
      </c>
      <c r="B195" s="68">
        <v>600</v>
      </c>
      <c r="C195" s="68">
        <v>735</v>
      </c>
      <c r="D195" s="68">
        <v>810</v>
      </c>
      <c r="E195" s="68">
        <v>930</v>
      </c>
      <c r="F195" s="68">
        <v>885</v>
      </c>
      <c r="G195" s="68">
        <v>895</v>
      </c>
      <c r="H195" s="68">
        <v>950</v>
      </c>
      <c r="I195" s="68">
        <v>1281</v>
      </c>
    </row>
    <row r="196" spans="1:9" x14ac:dyDescent="0.3">
      <c r="A196" s="69">
        <f t="shared" si="1"/>
        <v>39336</v>
      </c>
      <c r="B196" s="68">
        <v>583</v>
      </c>
      <c r="C196" s="68">
        <v>650</v>
      </c>
      <c r="D196" s="68">
        <v>688</v>
      </c>
      <c r="E196" s="68">
        <v>650</v>
      </c>
      <c r="F196" s="68">
        <v>688</v>
      </c>
      <c r="G196" s="68">
        <v>663</v>
      </c>
      <c r="H196" s="68">
        <v>613</v>
      </c>
      <c r="I196" s="68">
        <v>811</v>
      </c>
    </row>
    <row r="197" spans="1:9" x14ac:dyDescent="0.3">
      <c r="A197" s="69">
        <f t="shared" si="1"/>
        <v>39343</v>
      </c>
      <c r="B197" s="68">
        <v>680</v>
      </c>
      <c r="C197" s="68">
        <v>723</v>
      </c>
      <c r="D197" s="68">
        <v>746</v>
      </c>
      <c r="E197" s="68">
        <v>674</v>
      </c>
      <c r="F197" s="68">
        <v>771</v>
      </c>
      <c r="G197" s="68">
        <v>773</v>
      </c>
      <c r="H197" s="68">
        <v>615</v>
      </c>
      <c r="I197" s="68">
        <v>799</v>
      </c>
    </row>
    <row r="198" spans="1:9" x14ac:dyDescent="0.3">
      <c r="A198" s="69">
        <f t="shared" si="1"/>
        <v>39350</v>
      </c>
      <c r="B198" s="68">
        <v>650</v>
      </c>
      <c r="C198" s="68">
        <v>656</v>
      </c>
      <c r="D198" s="68">
        <v>653</v>
      </c>
      <c r="E198" s="68">
        <v>563</v>
      </c>
      <c r="F198" s="68">
        <v>646</v>
      </c>
      <c r="G198" s="68">
        <v>649</v>
      </c>
      <c r="H198" s="68">
        <v>525</v>
      </c>
      <c r="I198" s="68">
        <v>657</v>
      </c>
    </row>
    <row r="199" spans="1:9" x14ac:dyDescent="0.3">
      <c r="A199" s="69">
        <f t="shared" si="1"/>
        <v>39357</v>
      </c>
      <c r="B199" s="68">
        <v>656</v>
      </c>
      <c r="C199" s="68">
        <v>679</v>
      </c>
      <c r="D199" s="68">
        <v>671</v>
      </c>
      <c r="E199" s="68">
        <v>530</v>
      </c>
      <c r="F199" s="68">
        <v>606</v>
      </c>
      <c r="G199" s="68">
        <v>607</v>
      </c>
      <c r="H199" s="68">
        <v>525</v>
      </c>
      <c r="I199" s="68">
        <v>691</v>
      </c>
    </row>
    <row r="200" spans="1:9" x14ac:dyDescent="0.3">
      <c r="A200" s="69">
        <f t="shared" si="1"/>
        <v>39364</v>
      </c>
      <c r="B200" s="68">
        <v>626</v>
      </c>
      <c r="C200" s="68">
        <v>638.33333333333337</v>
      </c>
      <c r="D200" s="68">
        <v>640</v>
      </c>
      <c r="E200" s="68">
        <v>577</v>
      </c>
      <c r="F200" s="68">
        <v>680</v>
      </c>
      <c r="G200" s="68">
        <v>680</v>
      </c>
      <c r="H200" s="68">
        <v>568</v>
      </c>
      <c r="I200" s="68">
        <v>749.57787481804951</v>
      </c>
    </row>
    <row r="201" spans="1:9" x14ac:dyDescent="0.3">
      <c r="A201" s="69">
        <f t="shared" ref="A201:A274" si="2">7+A200</f>
        <v>39371</v>
      </c>
      <c r="B201" s="68">
        <v>520</v>
      </c>
      <c r="C201" s="68">
        <v>526</v>
      </c>
      <c r="D201" s="68">
        <v>526</v>
      </c>
      <c r="E201" s="68">
        <v>428</v>
      </c>
      <c r="F201" s="68">
        <v>503</v>
      </c>
      <c r="G201" s="68">
        <v>503</v>
      </c>
      <c r="H201" s="68">
        <v>377</v>
      </c>
      <c r="I201" s="68">
        <v>506</v>
      </c>
    </row>
    <row r="202" spans="1:9" x14ac:dyDescent="0.3">
      <c r="A202" s="69">
        <f t="shared" si="2"/>
        <v>39378</v>
      </c>
      <c r="B202" s="68">
        <v>506</v>
      </c>
      <c r="C202" s="68">
        <v>515</v>
      </c>
      <c r="D202" s="68">
        <v>533.33333333333337</v>
      </c>
      <c r="E202" s="68">
        <v>395</v>
      </c>
      <c r="F202" s="68">
        <v>480.83333333333331</v>
      </c>
      <c r="G202" s="68">
        <v>480.83333333333331</v>
      </c>
      <c r="H202" s="68">
        <v>360</v>
      </c>
      <c r="I202" s="68">
        <v>488.63901018922849</v>
      </c>
    </row>
    <row r="203" spans="1:9" x14ac:dyDescent="0.3">
      <c r="A203" s="69">
        <f t="shared" si="2"/>
        <v>39385</v>
      </c>
      <c r="B203" s="68">
        <v>550</v>
      </c>
      <c r="C203" s="68">
        <v>509</v>
      </c>
      <c r="D203" s="68">
        <v>456</v>
      </c>
      <c r="E203" s="68">
        <v>310</v>
      </c>
      <c r="F203" s="68">
        <v>360</v>
      </c>
      <c r="G203" s="68">
        <v>360</v>
      </c>
      <c r="H203" s="68">
        <v>291</v>
      </c>
      <c r="I203" s="68">
        <v>403</v>
      </c>
    </row>
    <row r="204" spans="1:9" x14ac:dyDescent="0.3">
      <c r="A204" s="69">
        <f t="shared" si="2"/>
        <v>39392</v>
      </c>
      <c r="B204" s="68">
        <v>456.66666666666669</v>
      </c>
      <c r="C204" s="68">
        <v>422.5</v>
      </c>
      <c r="D204" s="68">
        <v>417.5</v>
      </c>
      <c r="E204" s="68">
        <v>308.75</v>
      </c>
      <c r="F204" s="68">
        <v>365</v>
      </c>
      <c r="G204" s="68">
        <v>366.25</v>
      </c>
      <c r="H204" s="68">
        <v>292.5</v>
      </c>
      <c r="I204" s="68">
        <v>401.06986899563316</v>
      </c>
    </row>
    <row r="205" spans="1:9" x14ac:dyDescent="0.3">
      <c r="A205" s="69">
        <f t="shared" si="2"/>
        <v>39399</v>
      </c>
      <c r="B205" s="68">
        <v>480</v>
      </c>
      <c r="C205" s="68">
        <v>436</v>
      </c>
      <c r="D205" s="68">
        <v>438</v>
      </c>
      <c r="E205" s="68">
        <v>358</v>
      </c>
      <c r="F205" s="68">
        <v>424</v>
      </c>
      <c r="G205" s="68">
        <v>415</v>
      </c>
      <c r="H205" s="68">
        <v>327</v>
      </c>
      <c r="I205" s="68">
        <v>429</v>
      </c>
    </row>
    <row r="206" spans="1:9" x14ac:dyDescent="0.3">
      <c r="A206" s="69">
        <f t="shared" si="2"/>
        <v>39406</v>
      </c>
      <c r="B206" s="68">
        <v>453.33333333333331</v>
      </c>
      <c r="C206" s="68">
        <v>413</v>
      </c>
      <c r="D206" s="68">
        <v>406</v>
      </c>
      <c r="E206" s="68">
        <v>324</v>
      </c>
      <c r="F206" s="68">
        <v>369</v>
      </c>
      <c r="G206" s="68">
        <v>369</v>
      </c>
      <c r="H206" s="68">
        <v>297</v>
      </c>
      <c r="I206" s="68">
        <v>399.08296943231437</v>
      </c>
    </row>
    <row r="207" spans="1:9" x14ac:dyDescent="0.3">
      <c r="A207" s="69">
        <f t="shared" si="2"/>
        <v>39413</v>
      </c>
      <c r="B207" s="68"/>
      <c r="C207" s="68">
        <v>390</v>
      </c>
      <c r="D207" s="68">
        <v>387</v>
      </c>
      <c r="E207" s="68">
        <v>317</v>
      </c>
      <c r="F207" s="68">
        <v>373</v>
      </c>
      <c r="G207" s="68">
        <v>373</v>
      </c>
      <c r="H207" s="68">
        <v>284</v>
      </c>
      <c r="I207" s="68">
        <v>381.25764192139735</v>
      </c>
    </row>
    <row r="208" spans="1:9" x14ac:dyDescent="0.3">
      <c r="A208" s="69">
        <f t="shared" si="2"/>
        <v>39420</v>
      </c>
      <c r="C208" s="68">
        <v>386.66666666666669</v>
      </c>
      <c r="D208" s="68">
        <v>386.66666666666669</v>
      </c>
      <c r="E208" s="68">
        <v>326.66666666666669</v>
      </c>
      <c r="F208" s="68">
        <v>360</v>
      </c>
      <c r="G208" s="68">
        <v>360</v>
      </c>
      <c r="H208" s="68">
        <v>283.33333333333331</v>
      </c>
      <c r="I208" s="68">
        <v>378.87554585152839</v>
      </c>
    </row>
    <row r="209" spans="1:9" x14ac:dyDescent="0.3">
      <c r="A209" s="69">
        <f t="shared" si="2"/>
        <v>39427</v>
      </c>
      <c r="C209" s="68"/>
      <c r="D209" s="68">
        <v>400</v>
      </c>
      <c r="E209" s="68">
        <v>332</v>
      </c>
      <c r="F209" s="68">
        <v>352.5</v>
      </c>
      <c r="G209" s="68">
        <v>352.5</v>
      </c>
      <c r="H209" s="68">
        <v>275</v>
      </c>
      <c r="I209" s="68">
        <v>366.87772925764193</v>
      </c>
    </row>
    <row r="210" spans="1:9" x14ac:dyDescent="0.3">
      <c r="A210" s="69">
        <f t="shared" si="2"/>
        <v>39434</v>
      </c>
      <c r="C210" s="68"/>
      <c r="D210" s="68">
        <v>377</v>
      </c>
      <c r="E210" s="68">
        <v>287</v>
      </c>
      <c r="F210" s="68">
        <v>340</v>
      </c>
      <c r="G210" s="68">
        <v>340</v>
      </c>
      <c r="H210" s="68">
        <v>247</v>
      </c>
      <c r="I210" s="68">
        <v>338</v>
      </c>
    </row>
    <row r="211" spans="1:9" x14ac:dyDescent="0.3">
      <c r="A211" s="69">
        <f t="shared" si="2"/>
        <v>39441</v>
      </c>
      <c r="C211" s="68"/>
      <c r="D211" s="68">
        <v>367</v>
      </c>
      <c r="E211" s="68">
        <v>280</v>
      </c>
      <c r="F211" s="68">
        <v>337</v>
      </c>
      <c r="G211" s="68">
        <v>337</v>
      </c>
      <c r="H211" s="68">
        <v>250</v>
      </c>
      <c r="I211" s="68">
        <v>343</v>
      </c>
    </row>
    <row r="212" spans="1:9" x14ac:dyDescent="0.3">
      <c r="A212" s="69">
        <f t="shared" si="2"/>
        <v>39448</v>
      </c>
      <c r="C212" s="68"/>
      <c r="D212" s="68">
        <v>360</v>
      </c>
      <c r="E212" s="68">
        <v>273.33333333333331</v>
      </c>
      <c r="F212" s="68">
        <v>330</v>
      </c>
      <c r="G212" s="68">
        <v>330</v>
      </c>
      <c r="H212" s="68">
        <v>238.33333333333334</v>
      </c>
      <c r="I212" s="68">
        <v>326.79767103347893</v>
      </c>
    </row>
    <row r="213" spans="1:9" x14ac:dyDescent="0.3">
      <c r="A213" s="69">
        <f t="shared" si="2"/>
        <v>39455</v>
      </c>
      <c r="C213" s="68"/>
      <c r="D213" s="68">
        <v>351</v>
      </c>
      <c r="E213" s="68">
        <v>269</v>
      </c>
      <c r="F213" s="68">
        <v>328</v>
      </c>
      <c r="G213" s="68">
        <v>328</v>
      </c>
      <c r="H213" s="68">
        <v>238</v>
      </c>
      <c r="I213" s="68">
        <v>327</v>
      </c>
    </row>
    <row r="214" spans="1:9" x14ac:dyDescent="0.3">
      <c r="A214" s="69">
        <f t="shared" si="2"/>
        <v>39462</v>
      </c>
      <c r="C214" s="68"/>
      <c r="D214" s="68">
        <v>325</v>
      </c>
      <c r="E214" s="68">
        <v>273</v>
      </c>
      <c r="F214" s="68">
        <v>328</v>
      </c>
      <c r="G214" s="68">
        <v>328</v>
      </c>
      <c r="H214" s="68">
        <v>257</v>
      </c>
      <c r="I214" s="68">
        <v>333</v>
      </c>
    </row>
    <row r="215" spans="1:9" x14ac:dyDescent="0.3">
      <c r="A215" s="69">
        <f t="shared" si="2"/>
        <v>39469</v>
      </c>
      <c r="C215" s="68"/>
      <c r="D215" s="68">
        <v>428</v>
      </c>
      <c r="E215" s="68">
        <v>398</v>
      </c>
      <c r="F215" s="68">
        <v>394</v>
      </c>
      <c r="G215" s="68">
        <v>394</v>
      </c>
      <c r="H215" s="68">
        <v>370</v>
      </c>
      <c r="I215" s="68">
        <v>493.61135371179046</v>
      </c>
    </row>
    <row r="216" spans="1:9" x14ac:dyDescent="0.3">
      <c r="A216" s="69">
        <f t="shared" si="2"/>
        <v>39476</v>
      </c>
      <c r="C216" s="68"/>
      <c r="D216" s="68">
        <v>446</v>
      </c>
      <c r="E216" s="68">
        <v>351</v>
      </c>
      <c r="F216" s="68">
        <v>349</v>
      </c>
      <c r="G216" s="68">
        <v>347</v>
      </c>
      <c r="H216" s="68">
        <v>321</v>
      </c>
      <c r="I216" s="68">
        <v>440</v>
      </c>
    </row>
    <row r="217" spans="1:9" x14ac:dyDescent="0.3">
      <c r="A217" s="69">
        <f t="shared" si="2"/>
        <v>39483</v>
      </c>
      <c r="C217" s="68"/>
      <c r="D217" s="68">
        <v>498</v>
      </c>
      <c r="E217" s="68">
        <v>350</v>
      </c>
      <c r="F217" s="68">
        <v>363</v>
      </c>
      <c r="G217" s="68">
        <v>363</v>
      </c>
      <c r="H217" s="68">
        <v>309</v>
      </c>
      <c r="I217" s="68">
        <v>419</v>
      </c>
    </row>
    <row r="218" spans="1:9" x14ac:dyDescent="0.3">
      <c r="A218" s="69">
        <f t="shared" si="2"/>
        <v>39490</v>
      </c>
      <c r="C218" s="68"/>
      <c r="D218" s="68">
        <v>470</v>
      </c>
      <c r="E218" s="68">
        <v>378</v>
      </c>
      <c r="F218" s="68">
        <v>385</v>
      </c>
      <c r="G218" s="68">
        <v>387</v>
      </c>
      <c r="H218" s="68">
        <v>340</v>
      </c>
      <c r="I218" s="68">
        <v>340</v>
      </c>
    </row>
    <row r="219" spans="1:9" x14ac:dyDescent="0.3">
      <c r="A219" s="69">
        <f t="shared" si="2"/>
        <v>39497</v>
      </c>
      <c r="C219" s="68"/>
      <c r="D219" s="68">
        <v>500</v>
      </c>
      <c r="E219" s="68">
        <v>395</v>
      </c>
      <c r="F219" s="68">
        <v>382</v>
      </c>
      <c r="G219" s="68">
        <v>386</v>
      </c>
      <c r="H219" s="68">
        <v>359</v>
      </c>
      <c r="I219" s="68">
        <v>472</v>
      </c>
    </row>
    <row r="220" spans="1:9" x14ac:dyDescent="0.3">
      <c r="A220" s="69">
        <f t="shared" si="2"/>
        <v>39504</v>
      </c>
      <c r="C220" s="68"/>
      <c r="D220" s="68">
        <v>529</v>
      </c>
      <c r="E220" s="68">
        <v>428</v>
      </c>
      <c r="F220" s="68">
        <v>389</v>
      </c>
      <c r="G220" s="68">
        <v>395</v>
      </c>
      <c r="H220" s="68">
        <v>375</v>
      </c>
      <c r="I220" s="68">
        <v>514</v>
      </c>
    </row>
    <row r="221" spans="1:9" x14ac:dyDescent="0.3">
      <c r="A221" s="69">
        <f t="shared" si="2"/>
        <v>39511</v>
      </c>
      <c r="C221" s="68"/>
      <c r="D221" s="68">
        <v>443.75</v>
      </c>
      <c r="E221" s="68">
        <v>348.75</v>
      </c>
      <c r="F221" s="68">
        <v>372.5</v>
      </c>
      <c r="G221" s="68">
        <v>375</v>
      </c>
      <c r="H221" s="68">
        <v>327.5</v>
      </c>
      <c r="I221" s="68">
        <v>449.06113537117909</v>
      </c>
    </row>
    <row r="222" spans="1:9" x14ac:dyDescent="0.3">
      <c r="A222" s="69">
        <f t="shared" si="2"/>
        <v>39518</v>
      </c>
      <c r="C222" s="68"/>
      <c r="D222" s="68">
        <v>485</v>
      </c>
      <c r="E222" s="68">
        <v>396</v>
      </c>
      <c r="F222" s="68">
        <v>396</v>
      </c>
      <c r="G222" s="68">
        <v>400</v>
      </c>
      <c r="H222" s="68">
        <v>322</v>
      </c>
      <c r="I222" s="68">
        <v>441</v>
      </c>
    </row>
    <row r="223" spans="1:9" x14ac:dyDescent="0.3">
      <c r="A223" s="69">
        <f t="shared" si="2"/>
        <v>39525</v>
      </c>
      <c r="C223" s="68">
        <v>472.5</v>
      </c>
      <c r="D223" s="68">
        <v>430</v>
      </c>
      <c r="E223" s="68">
        <v>342.5</v>
      </c>
      <c r="F223" s="68">
        <v>395</v>
      </c>
      <c r="G223" s="68">
        <v>393.33333333333331</v>
      </c>
      <c r="H223" s="68">
        <v>311.66666666666669</v>
      </c>
      <c r="I223" s="68">
        <v>414.74526928675397</v>
      </c>
    </row>
    <row r="224" spans="1:9" x14ac:dyDescent="0.3">
      <c r="A224" s="69">
        <f t="shared" si="2"/>
        <v>39532</v>
      </c>
      <c r="C224" s="68">
        <v>513</v>
      </c>
      <c r="D224" s="68">
        <v>469</v>
      </c>
      <c r="E224" s="68">
        <v>353</v>
      </c>
      <c r="F224" s="68">
        <v>390</v>
      </c>
      <c r="G224" s="68">
        <v>388</v>
      </c>
      <c r="H224" s="68">
        <v>315</v>
      </c>
      <c r="I224" s="68">
        <v>416</v>
      </c>
    </row>
    <row r="225" spans="1:9" x14ac:dyDescent="0.3">
      <c r="A225" s="69">
        <f t="shared" si="2"/>
        <v>39539</v>
      </c>
      <c r="C225" s="68">
        <v>525</v>
      </c>
      <c r="D225" s="68">
        <v>434</v>
      </c>
      <c r="E225" s="68">
        <v>358</v>
      </c>
      <c r="F225" s="68">
        <v>418</v>
      </c>
      <c r="G225" s="68">
        <v>420</v>
      </c>
      <c r="H225" s="68">
        <v>318</v>
      </c>
      <c r="I225" s="68">
        <v>435</v>
      </c>
    </row>
    <row r="226" spans="1:9" x14ac:dyDescent="0.3">
      <c r="A226" s="69">
        <f t="shared" si="2"/>
        <v>39546</v>
      </c>
      <c r="C226" s="68">
        <v>448.75</v>
      </c>
      <c r="D226" s="68">
        <v>416.25</v>
      </c>
      <c r="E226" s="68">
        <v>318.75</v>
      </c>
      <c r="F226" s="68">
        <v>388.75</v>
      </c>
      <c r="G226" s="68">
        <v>393.75</v>
      </c>
      <c r="H226" s="68">
        <v>301.25</v>
      </c>
      <c r="I226" s="68">
        <v>413.06768558951961</v>
      </c>
    </row>
    <row r="227" spans="1:9" x14ac:dyDescent="0.3">
      <c r="A227" s="69">
        <f t="shared" si="2"/>
        <v>39553</v>
      </c>
      <c r="B227" s="68">
        <v>466.66666666666669</v>
      </c>
      <c r="C227" s="68">
        <v>446.25</v>
      </c>
      <c r="D227" s="68">
        <v>407.5</v>
      </c>
      <c r="E227" s="68">
        <v>303.75</v>
      </c>
      <c r="F227" s="68">
        <v>361.25</v>
      </c>
      <c r="G227" s="68">
        <v>358.75</v>
      </c>
      <c r="H227" s="68">
        <v>286.25</v>
      </c>
      <c r="I227" s="68">
        <v>392.5</v>
      </c>
    </row>
    <row r="228" spans="1:9" x14ac:dyDescent="0.3">
      <c r="A228" s="69">
        <f t="shared" si="2"/>
        <v>39560</v>
      </c>
      <c r="B228" s="68">
        <v>530</v>
      </c>
      <c r="C228" s="68">
        <v>479</v>
      </c>
      <c r="D228" s="68">
        <v>421</v>
      </c>
      <c r="E228" s="68">
        <v>321</v>
      </c>
      <c r="F228" s="68">
        <v>349</v>
      </c>
      <c r="G228" s="68">
        <v>349</v>
      </c>
      <c r="H228" s="68">
        <v>315</v>
      </c>
      <c r="I228" s="68">
        <v>432</v>
      </c>
    </row>
    <row r="229" spans="1:9" x14ac:dyDescent="0.3">
      <c r="A229" s="69">
        <f t="shared" si="2"/>
        <v>39567</v>
      </c>
      <c r="B229" s="68">
        <v>516</v>
      </c>
      <c r="C229" s="68">
        <v>461</v>
      </c>
      <c r="D229" s="68">
        <v>388</v>
      </c>
      <c r="E229" s="68">
        <v>309</v>
      </c>
      <c r="F229" s="68">
        <v>326</v>
      </c>
      <c r="G229" s="68">
        <v>326</v>
      </c>
      <c r="H229" s="68">
        <v>279</v>
      </c>
      <c r="I229" s="68">
        <v>382</v>
      </c>
    </row>
    <row r="230" spans="1:9" x14ac:dyDescent="0.3">
      <c r="A230" s="69">
        <f t="shared" si="2"/>
        <v>39574</v>
      </c>
      <c r="B230" s="68">
        <v>513</v>
      </c>
      <c r="C230" s="68">
        <v>461</v>
      </c>
      <c r="D230" s="68">
        <v>383</v>
      </c>
      <c r="E230" s="68">
        <v>305</v>
      </c>
      <c r="F230" s="68">
        <v>329</v>
      </c>
      <c r="G230" s="68">
        <v>329</v>
      </c>
      <c r="H230" s="68">
        <v>276</v>
      </c>
      <c r="I230" s="68">
        <v>375</v>
      </c>
    </row>
    <row r="231" spans="1:9" x14ac:dyDescent="0.3">
      <c r="A231" s="69">
        <f t="shared" si="2"/>
        <v>39581</v>
      </c>
      <c r="B231" s="68">
        <v>465</v>
      </c>
      <c r="C231" s="68">
        <v>415</v>
      </c>
      <c r="D231" s="68">
        <v>377</v>
      </c>
      <c r="E231" s="68">
        <v>292</v>
      </c>
      <c r="F231" s="68">
        <v>313</v>
      </c>
      <c r="G231" s="68">
        <v>313</v>
      </c>
      <c r="H231" s="68">
        <v>263</v>
      </c>
      <c r="I231" s="68">
        <v>361</v>
      </c>
    </row>
    <row r="232" spans="1:9" x14ac:dyDescent="0.3">
      <c r="A232" s="69">
        <f t="shared" si="2"/>
        <v>39588</v>
      </c>
      <c r="B232" s="68">
        <v>443</v>
      </c>
      <c r="C232" s="68">
        <v>408</v>
      </c>
      <c r="D232" s="68">
        <v>381</v>
      </c>
      <c r="E232" s="68">
        <v>310</v>
      </c>
      <c r="F232" s="68">
        <v>319</v>
      </c>
      <c r="G232" s="68">
        <v>320</v>
      </c>
      <c r="H232" s="68">
        <v>294</v>
      </c>
      <c r="I232" s="68">
        <v>392</v>
      </c>
    </row>
    <row r="233" spans="1:9" x14ac:dyDescent="0.3">
      <c r="A233" s="69">
        <f t="shared" si="2"/>
        <v>39595</v>
      </c>
      <c r="B233" s="68">
        <v>465</v>
      </c>
      <c r="C233" s="68">
        <v>427</v>
      </c>
      <c r="D233" s="68">
        <v>405</v>
      </c>
      <c r="E233" s="68">
        <v>358</v>
      </c>
      <c r="F233" s="68">
        <v>346</v>
      </c>
      <c r="G233" s="68">
        <v>346</v>
      </c>
      <c r="H233" s="68">
        <v>353</v>
      </c>
      <c r="I233" s="68">
        <v>460</v>
      </c>
    </row>
    <row r="234" spans="1:9" x14ac:dyDescent="0.3">
      <c r="A234" s="69">
        <f t="shared" si="2"/>
        <v>39602</v>
      </c>
      <c r="B234" s="68">
        <v>468</v>
      </c>
      <c r="C234" s="68">
        <v>433</v>
      </c>
      <c r="D234" s="68">
        <v>431</v>
      </c>
      <c r="E234" s="68">
        <v>375</v>
      </c>
      <c r="F234" s="68">
        <v>365</v>
      </c>
      <c r="G234" s="68">
        <v>365</v>
      </c>
      <c r="H234" s="68">
        <v>363</v>
      </c>
      <c r="I234" s="68">
        <v>475</v>
      </c>
    </row>
    <row r="235" spans="1:9" x14ac:dyDescent="0.3">
      <c r="A235" s="69">
        <f t="shared" si="2"/>
        <v>39609</v>
      </c>
      <c r="B235" s="68">
        <v>522</v>
      </c>
      <c r="C235" s="68">
        <v>523</v>
      </c>
      <c r="D235" s="68">
        <v>527</v>
      </c>
      <c r="E235" s="68">
        <v>428</v>
      </c>
      <c r="F235" s="68">
        <v>423</v>
      </c>
      <c r="G235" s="68">
        <v>423</v>
      </c>
      <c r="H235" s="68">
        <v>411</v>
      </c>
      <c r="I235" s="68">
        <v>515</v>
      </c>
    </row>
    <row r="236" spans="1:9" x14ac:dyDescent="0.3">
      <c r="A236" s="69">
        <f t="shared" si="2"/>
        <v>39616</v>
      </c>
      <c r="B236" s="68">
        <v>605</v>
      </c>
      <c r="C236" s="68">
        <v>588</v>
      </c>
      <c r="D236" s="68">
        <v>644</v>
      </c>
      <c r="E236" s="68">
        <v>460</v>
      </c>
      <c r="F236" s="68">
        <v>595</v>
      </c>
      <c r="G236" s="68">
        <v>595</v>
      </c>
      <c r="H236" s="68">
        <v>470</v>
      </c>
      <c r="I236" s="68">
        <v>435</v>
      </c>
    </row>
    <row r="237" spans="1:9" x14ac:dyDescent="0.3">
      <c r="A237" s="69">
        <f t="shared" si="2"/>
        <v>39623</v>
      </c>
      <c r="B237" s="68">
        <v>570</v>
      </c>
      <c r="C237" s="68">
        <v>537</v>
      </c>
      <c r="D237" s="68">
        <v>558</v>
      </c>
      <c r="E237" s="68">
        <v>467</v>
      </c>
      <c r="F237" s="68">
        <v>567</v>
      </c>
      <c r="G237" s="68">
        <v>567</v>
      </c>
      <c r="H237" s="68">
        <v>415</v>
      </c>
      <c r="I237" s="68">
        <v>552</v>
      </c>
    </row>
    <row r="238" spans="1:9" x14ac:dyDescent="0.3">
      <c r="A238" s="69">
        <f t="shared" si="2"/>
        <v>39630</v>
      </c>
      <c r="B238" s="68">
        <v>608</v>
      </c>
      <c r="C238" s="68">
        <v>581</v>
      </c>
      <c r="D238" s="68">
        <v>604</v>
      </c>
      <c r="E238" s="68">
        <v>448</v>
      </c>
      <c r="F238" s="68">
        <v>535</v>
      </c>
      <c r="G238" s="68">
        <v>535</v>
      </c>
      <c r="H238" s="68">
        <v>349</v>
      </c>
      <c r="I238" s="68">
        <v>478</v>
      </c>
    </row>
    <row r="239" spans="1:9" x14ac:dyDescent="0.3">
      <c r="A239" s="69">
        <f t="shared" si="2"/>
        <v>39637</v>
      </c>
      <c r="B239" s="68">
        <v>586</v>
      </c>
      <c r="C239" s="68">
        <v>576</v>
      </c>
      <c r="D239" s="68">
        <v>548</v>
      </c>
      <c r="E239" s="68">
        <v>381</v>
      </c>
      <c r="F239" s="68">
        <v>458</v>
      </c>
      <c r="G239" s="68">
        <v>458</v>
      </c>
      <c r="H239" s="68">
        <v>310</v>
      </c>
      <c r="I239" s="68">
        <v>425</v>
      </c>
    </row>
    <row r="240" spans="1:9" x14ac:dyDescent="0.3">
      <c r="A240" s="69">
        <f t="shared" si="2"/>
        <v>39644</v>
      </c>
      <c r="B240" s="68">
        <v>575</v>
      </c>
      <c r="C240" s="68">
        <v>524</v>
      </c>
      <c r="D240" s="68">
        <v>466</v>
      </c>
      <c r="E240" s="68">
        <v>344</v>
      </c>
      <c r="F240" s="68">
        <v>381</v>
      </c>
      <c r="G240" s="68">
        <v>381</v>
      </c>
      <c r="H240" s="68">
        <v>288</v>
      </c>
      <c r="I240" s="68">
        <v>384</v>
      </c>
    </row>
    <row r="241" spans="1:20" x14ac:dyDescent="0.3">
      <c r="A241" s="69">
        <f t="shared" si="2"/>
        <v>39651</v>
      </c>
      <c r="B241" s="68">
        <v>565</v>
      </c>
      <c r="C241" s="68">
        <v>491</v>
      </c>
      <c r="D241" s="68">
        <v>453</v>
      </c>
      <c r="E241" s="68">
        <v>343</v>
      </c>
      <c r="F241" s="68">
        <v>366</v>
      </c>
      <c r="G241" s="68">
        <v>366</v>
      </c>
      <c r="H241" s="68">
        <v>298</v>
      </c>
      <c r="I241" s="68">
        <v>399</v>
      </c>
    </row>
    <row r="242" spans="1:20" x14ac:dyDescent="0.3">
      <c r="A242" s="69">
        <f t="shared" si="2"/>
        <v>39658</v>
      </c>
      <c r="B242" s="68">
        <v>590</v>
      </c>
      <c r="C242" s="68">
        <v>550</v>
      </c>
      <c r="D242" s="68">
        <v>492</v>
      </c>
      <c r="E242" s="68">
        <v>367</v>
      </c>
      <c r="F242" s="68">
        <v>371</v>
      </c>
      <c r="G242" s="68">
        <v>371</v>
      </c>
      <c r="H242" s="68">
        <v>328</v>
      </c>
      <c r="I242" s="68">
        <v>450</v>
      </c>
    </row>
    <row r="243" spans="1:20" x14ac:dyDescent="0.3">
      <c r="A243" s="69">
        <f t="shared" si="2"/>
        <v>39665</v>
      </c>
      <c r="B243" s="68">
        <v>548</v>
      </c>
      <c r="C243" s="68">
        <v>500</v>
      </c>
      <c r="D243" s="68">
        <v>485</v>
      </c>
      <c r="E243" s="68">
        <v>400</v>
      </c>
      <c r="F243" s="68">
        <v>377</v>
      </c>
      <c r="G243" s="68">
        <v>377</v>
      </c>
      <c r="H243" s="68">
        <v>393</v>
      </c>
      <c r="I243" s="68">
        <v>524</v>
      </c>
    </row>
    <row r="244" spans="1:20" x14ac:dyDescent="0.3">
      <c r="A244" s="69">
        <f t="shared" si="2"/>
        <v>39672</v>
      </c>
      <c r="B244" s="68">
        <v>488</v>
      </c>
      <c r="C244" s="68">
        <v>473</v>
      </c>
      <c r="D244" s="68">
        <v>460</v>
      </c>
      <c r="E244" s="68">
        <v>385</v>
      </c>
      <c r="F244" s="68">
        <v>380</v>
      </c>
      <c r="G244" s="68">
        <v>380</v>
      </c>
      <c r="H244" s="68">
        <v>375</v>
      </c>
      <c r="I244" s="68">
        <v>525</v>
      </c>
    </row>
    <row r="245" spans="1:20" x14ac:dyDescent="0.3">
      <c r="A245" s="69">
        <f t="shared" si="2"/>
        <v>39679</v>
      </c>
      <c r="B245" s="68">
        <v>510</v>
      </c>
      <c r="C245" s="68">
        <v>515</v>
      </c>
      <c r="D245" s="68">
        <v>515</v>
      </c>
      <c r="E245" s="68">
        <v>517</v>
      </c>
      <c r="F245" s="68">
        <v>472</v>
      </c>
      <c r="G245" s="68">
        <v>472</v>
      </c>
      <c r="H245" s="68">
        <v>517</v>
      </c>
      <c r="I245" s="68">
        <v>708</v>
      </c>
    </row>
    <row r="246" spans="1:20" x14ac:dyDescent="0.3">
      <c r="A246" s="69">
        <f t="shared" si="2"/>
        <v>39686</v>
      </c>
      <c r="B246" s="68">
        <v>548</v>
      </c>
      <c r="C246" s="68">
        <v>565</v>
      </c>
      <c r="D246" s="68">
        <v>566</v>
      </c>
      <c r="E246" s="68">
        <v>550</v>
      </c>
      <c r="F246" s="68">
        <v>528</v>
      </c>
      <c r="G246" s="68">
        <v>528</v>
      </c>
      <c r="H246" s="68">
        <v>505</v>
      </c>
      <c r="I246" s="68">
        <v>647</v>
      </c>
    </row>
    <row r="247" spans="1:20" x14ac:dyDescent="0.3">
      <c r="A247" s="69">
        <f t="shared" si="2"/>
        <v>39693</v>
      </c>
      <c r="B247" s="68">
        <v>580</v>
      </c>
      <c r="C247" s="68">
        <v>600</v>
      </c>
      <c r="D247" s="68">
        <v>595</v>
      </c>
      <c r="E247" s="68">
        <v>592</v>
      </c>
      <c r="F247" s="68">
        <v>572</v>
      </c>
      <c r="G247" s="68">
        <v>572</v>
      </c>
      <c r="H247" s="68">
        <v>585</v>
      </c>
      <c r="I247" s="68">
        <v>774</v>
      </c>
    </row>
    <row r="248" spans="1:20" x14ac:dyDescent="0.3">
      <c r="A248" s="69">
        <f t="shared" si="2"/>
        <v>39700</v>
      </c>
      <c r="B248" s="68">
        <v>572</v>
      </c>
      <c r="C248" s="68">
        <v>584</v>
      </c>
      <c r="D248" s="68">
        <v>609</v>
      </c>
      <c r="E248" s="68">
        <v>600</v>
      </c>
      <c r="F248" s="68">
        <v>599</v>
      </c>
      <c r="G248" s="68">
        <v>599</v>
      </c>
      <c r="H248" s="68">
        <v>617</v>
      </c>
      <c r="I248" s="68">
        <v>846</v>
      </c>
    </row>
    <row r="249" spans="1:20" x14ac:dyDescent="0.3">
      <c r="A249" s="69">
        <f t="shared" si="2"/>
        <v>39707</v>
      </c>
      <c r="B249" s="68">
        <v>577</v>
      </c>
      <c r="C249" s="68">
        <v>603</v>
      </c>
      <c r="D249" s="68">
        <v>612</v>
      </c>
      <c r="E249" s="68">
        <v>587</v>
      </c>
      <c r="F249" s="68">
        <v>640</v>
      </c>
      <c r="G249" s="68">
        <v>640</v>
      </c>
      <c r="H249" s="68">
        <v>587</v>
      </c>
      <c r="I249" s="68">
        <v>804</v>
      </c>
    </row>
    <row r="250" spans="1:20" x14ac:dyDescent="0.3">
      <c r="A250" s="69">
        <f t="shared" si="2"/>
        <v>39714</v>
      </c>
      <c r="B250" s="68">
        <v>570</v>
      </c>
      <c r="C250" s="68">
        <v>591</v>
      </c>
      <c r="D250" s="68">
        <v>596</v>
      </c>
      <c r="E250" s="68">
        <v>635</v>
      </c>
      <c r="F250" s="68">
        <v>742</v>
      </c>
      <c r="G250" s="68">
        <v>745</v>
      </c>
      <c r="H250" s="68">
        <v>654</v>
      </c>
      <c r="I250" s="68">
        <v>860</v>
      </c>
    </row>
    <row r="251" spans="1:20" x14ac:dyDescent="0.3">
      <c r="A251" s="69">
        <f t="shared" si="2"/>
        <v>39721</v>
      </c>
      <c r="B251" s="68">
        <v>558</v>
      </c>
      <c r="C251" s="68">
        <v>596</v>
      </c>
      <c r="D251" s="68">
        <v>625</v>
      </c>
      <c r="E251" s="68">
        <v>665</v>
      </c>
      <c r="F251" s="68">
        <v>745</v>
      </c>
      <c r="G251" s="68">
        <v>745</v>
      </c>
      <c r="H251" s="68">
        <v>680</v>
      </c>
      <c r="I251" s="68">
        <v>853</v>
      </c>
    </row>
    <row r="252" spans="1:20" x14ac:dyDescent="0.3">
      <c r="A252" s="69">
        <f t="shared" si="2"/>
        <v>39728</v>
      </c>
      <c r="B252" s="68">
        <v>650</v>
      </c>
      <c r="C252" s="68">
        <v>690.33333333333337</v>
      </c>
      <c r="D252" s="68">
        <v>750</v>
      </c>
      <c r="E252" s="68">
        <v>825</v>
      </c>
      <c r="F252" s="68">
        <v>937.5</v>
      </c>
      <c r="G252" s="68">
        <v>937.5</v>
      </c>
      <c r="H252" s="68">
        <v>1108.3333333333333</v>
      </c>
      <c r="I252" s="68">
        <v>1422.5254730713248</v>
      </c>
    </row>
    <row r="253" spans="1:20" x14ac:dyDescent="0.3">
      <c r="A253" s="69">
        <f t="shared" si="2"/>
        <v>39735</v>
      </c>
      <c r="B253" s="68">
        <v>610</v>
      </c>
      <c r="C253" s="68">
        <v>632</v>
      </c>
      <c r="D253" s="68">
        <v>660</v>
      </c>
      <c r="E253" s="68">
        <v>720</v>
      </c>
      <c r="F253" s="68">
        <v>872</v>
      </c>
      <c r="G253" s="68">
        <v>880</v>
      </c>
      <c r="H253" s="68">
        <v>900</v>
      </c>
      <c r="I253" s="68">
        <v>1075</v>
      </c>
      <c r="T253" s="68"/>
    </row>
    <row r="254" spans="1:20" x14ac:dyDescent="0.3">
      <c r="A254" s="69">
        <f t="shared" si="2"/>
        <v>39742</v>
      </c>
      <c r="B254" s="68">
        <v>550</v>
      </c>
      <c r="C254" s="68">
        <v>566</v>
      </c>
      <c r="D254" s="68">
        <v>571</v>
      </c>
      <c r="E254" s="68">
        <v>581</v>
      </c>
      <c r="F254" s="68">
        <v>759</v>
      </c>
      <c r="G254" s="68">
        <v>759</v>
      </c>
      <c r="H254" s="68">
        <v>683</v>
      </c>
      <c r="I254" s="68">
        <v>908</v>
      </c>
      <c r="L254" s="69"/>
      <c r="M254" s="68"/>
      <c r="N254" s="68"/>
      <c r="O254" s="68"/>
      <c r="P254" s="68"/>
      <c r="Q254" s="68"/>
      <c r="R254" s="68"/>
      <c r="S254" s="68"/>
      <c r="T254" s="68"/>
    </row>
    <row r="255" spans="1:20" x14ac:dyDescent="0.3">
      <c r="A255" s="69">
        <f t="shared" si="2"/>
        <v>39749</v>
      </c>
      <c r="B255" s="68">
        <v>533</v>
      </c>
      <c r="C255" s="68">
        <v>570</v>
      </c>
      <c r="D255" s="68">
        <v>694</v>
      </c>
      <c r="E255" s="68">
        <v>756</v>
      </c>
      <c r="F255" s="68">
        <v>731</v>
      </c>
      <c r="G255" s="68">
        <v>731</v>
      </c>
      <c r="H255" s="68">
        <v>669</v>
      </c>
      <c r="I255" s="68">
        <v>839</v>
      </c>
      <c r="M255" s="68"/>
      <c r="N255" s="68"/>
      <c r="O255" s="68"/>
      <c r="P255" s="68"/>
      <c r="Q255" s="68"/>
      <c r="R255" s="68"/>
      <c r="S255" s="68"/>
      <c r="T255" s="68"/>
    </row>
    <row r="256" spans="1:20" x14ac:dyDescent="0.3">
      <c r="A256" s="69">
        <f t="shared" si="2"/>
        <v>39756</v>
      </c>
      <c r="B256" s="68">
        <v>692</v>
      </c>
      <c r="C256" s="68">
        <v>831</v>
      </c>
      <c r="D256" s="68">
        <v>1050</v>
      </c>
      <c r="E256" s="68">
        <v>1150</v>
      </c>
      <c r="F256" s="68">
        <v>850</v>
      </c>
      <c r="G256" s="68">
        <v>850</v>
      </c>
      <c r="H256" s="68">
        <v>1013</v>
      </c>
      <c r="I256" s="68">
        <v>1200</v>
      </c>
      <c r="M256" s="68"/>
      <c r="N256" s="68"/>
      <c r="O256" s="68"/>
      <c r="P256" s="68"/>
      <c r="Q256" s="68"/>
      <c r="R256" s="68"/>
      <c r="S256" s="68"/>
      <c r="T256" s="68"/>
    </row>
    <row r="257" spans="1:9" x14ac:dyDescent="0.3">
      <c r="A257" s="69">
        <f t="shared" si="2"/>
        <v>39763</v>
      </c>
      <c r="B257" s="68">
        <v>508</v>
      </c>
      <c r="C257" s="68">
        <v>519</v>
      </c>
      <c r="D257" s="68">
        <v>550</v>
      </c>
      <c r="E257" s="68">
        <v>469</v>
      </c>
      <c r="F257" s="68">
        <v>519</v>
      </c>
      <c r="G257" s="68">
        <v>519</v>
      </c>
      <c r="H257" s="68">
        <v>438</v>
      </c>
      <c r="I257" s="68">
        <v>583</v>
      </c>
    </row>
    <row r="258" spans="1:9" x14ac:dyDescent="0.3">
      <c r="A258" s="69">
        <f t="shared" si="2"/>
        <v>39770</v>
      </c>
      <c r="B258" s="68">
        <v>408</v>
      </c>
      <c r="C258" s="68">
        <v>420</v>
      </c>
      <c r="D258" s="68">
        <v>479</v>
      </c>
      <c r="E258" s="68">
        <v>369</v>
      </c>
      <c r="F258" s="68">
        <v>365</v>
      </c>
      <c r="G258" s="68">
        <v>365</v>
      </c>
      <c r="H258" s="68">
        <v>335</v>
      </c>
      <c r="I258" s="68">
        <v>459</v>
      </c>
    </row>
    <row r="259" spans="1:9" x14ac:dyDescent="0.3">
      <c r="A259" s="69">
        <f t="shared" si="2"/>
        <v>39777</v>
      </c>
      <c r="B259" s="68"/>
      <c r="C259" s="68">
        <v>406</v>
      </c>
      <c r="D259" s="68">
        <v>395</v>
      </c>
      <c r="E259" s="68">
        <v>305</v>
      </c>
      <c r="F259" s="68">
        <v>306</v>
      </c>
      <c r="G259" s="68">
        <v>306</v>
      </c>
      <c r="H259" s="68">
        <v>301</v>
      </c>
      <c r="I259" s="68">
        <v>372</v>
      </c>
    </row>
    <row r="260" spans="1:9" x14ac:dyDescent="0.3">
      <c r="A260" s="69">
        <f t="shared" si="2"/>
        <v>39784</v>
      </c>
      <c r="B260" s="68"/>
      <c r="C260" s="68">
        <v>418</v>
      </c>
      <c r="D260" s="68">
        <v>400</v>
      </c>
      <c r="E260" s="68">
        <v>378</v>
      </c>
      <c r="F260" s="68">
        <v>306</v>
      </c>
      <c r="G260" s="68">
        <v>306</v>
      </c>
      <c r="H260" s="68">
        <v>340</v>
      </c>
      <c r="I260" s="68">
        <v>440</v>
      </c>
    </row>
    <row r="261" spans="1:9" x14ac:dyDescent="0.3">
      <c r="A261" s="69">
        <f t="shared" si="2"/>
        <v>39791</v>
      </c>
      <c r="B261" s="68"/>
      <c r="C261" s="68">
        <v>495</v>
      </c>
      <c r="D261" s="68">
        <v>500</v>
      </c>
      <c r="E261" s="68">
        <v>478</v>
      </c>
      <c r="F261" s="68">
        <v>410</v>
      </c>
      <c r="G261" s="68">
        <v>410</v>
      </c>
      <c r="H261" s="68">
        <v>375</v>
      </c>
      <c r="I261" s="68">
        <v>398</v>
      </c>
    </row>
    <row r="262" spans="1:9" x14ac:dyDescent="0.3">
      <c r="A262" s="69">
        <f t="shared" si="2"/>
        <v>39798</v>
      </c>
      <c r="B262" s="68"/>
      <c r="C262" s="68" t="s">
        <v>12</v>
      </c>
      <c r="D262" s="68">
        <v>470</v>
      </c>
      <c r="E262" s="68">
        <v>401</v>
      </c>
      <c r="F262" s="68">
        <v>380</v>
      </c>
      <c r="G262" s="68">
        <v>380</v>
      </c>
      <c r="H262" s="68">
        <v>303</v>
      </c>
      <c r="I262" s="68">
        <v>413</v>
      </c>
    </row>
    <row r="263" spans="1:9" x14ac:dyDescent="0.3">
      <c r="A263" s="69">
        <f t="shared" si="2"/>
        <v>39805</v>
      </c>
      <c r="B263" s="80"/>
      <c r="C263" s="80"/>
      <c r="D263" s="68">
        <v>518.75</v>
      </c>
      <c r="E263" s="68">
        <v>415</v>
      </c>
      <c r="F263" s="68">
        <v>387.5</v>
      </c>
      <c r="G263" s="68">
        <v>387.5</v>
      </c>
      <c r="H263" s="68">
        <v>297.5</v>
      </c>
      <c r="I263" s="68">
        <v>408.51528384279476</v>
      </c>
    </row>
    <row r="264" spans="1:9" x14ac:dyDescent="0.3">
      <c r="A264" s="69">
        <f t="shared" si="2"/>
        <v>39812</v>
      </c>
      <c r="B264" s="80"/>
      <c r="C264" s="80"/>
      <c r="D264" s="68">
        <v>441</v>
      </c>
      <c r="E264" s="68">
        <v>300</v>
      </c>
      <c r="F264" s="68">
        <v>348</v>
      </c>
      <c r="G264" s="68">
        <v>346</v>
      </c>
      <c r="H264" s="68">
        <v>266</v>
      </c>
      <c r="I264" s="68">
        <v>365</v>
      </c>
    </row>
    <row r="265" spans="1:9" x14ac:dyDescent="0.3">
      <c r="A265" s="69">
        <f t="shared" si="2"/>
        <v>39819</v>
      </c>
      <c r="B265" s="80"/>
      <c r="C265" s="80"/>
      <c r="D265" s="68">
        <v>371</v>
      </c>
      <c r="E265" s="68">
        <v>273</v>
      </c>
      <c r="F265" s="68">
        <v>326</v>
      </c>
      <c r="G265" s="68">
        <v>326</v>
      </c>
      <c r="H265" s="68">
        <v>240</v>
      </c>
      <c r="I265" s="68">
        <v>329</v>
      </c>
    </row>
    <row r="266" spans="1:9" x14ac:dyDescent="0.3">
      <c r="A266" s="69">
        <f t="shared" si="2"/>
        <v>39826</v>
      </c>
      <c r="B266" s="80"/>
      <c r="C266" s="80"/>
      <c r="D266" s="68">
        <v>550</v>
      </c>
      <c r="E266" s="68">
        <v>428</v>
      </c>
      <c r="F266" s="68">
        <v>415</v>
      </c>
      <c r="G266" s="68">
        <v>415</v>
      </c>
      <c r="H266" s="68">
        <v>421</v>
      </c>
      <c r="I266" s="68">
        <v>578</v>
      </c>
    </row>
    <row r="267" spans="1:9" x14ac:dyDescent="0.3">
      <c r="A267" s="69">
        <f t="shared" si="2"/>
        <v>39833</v>
      </c>
      <c r="B267" s="80"/>
      <c r="C267" s="80"/>
      <c r="D267" s="68">
        <v>563</v>
      </c>
      <c r="E267" s="68">
        <v>481</v>
      </c>
      <c r="F267" s="68">
        <v>429</v>
      </c>
      <c r="G267" s="68">
        <v>429</v>
      </c>
      <c r="H267" s="68">
        <v>436</v>
      </c>
      <c r="I267" s="68">
        <v>577</v>
      </c>
    </row>
    <row r="268" spans="1:9" x14ac:dyDescent="0.3">
      <c r="A268" s="69">
        <f t="shared" si="2"/>
        <v>39840</v>
      </c>
      <c r="B268" s="80"/>
      <c r="C268" s="80"/>
      <c r="D268" s="68">
        <v>560</v>
      </c>
      <c r="E268" s="68">
        <v>466</v>
      </c>
      <c r="F268" s="68">
        <v>414</v>
      </c>
      <c r="G268" s="68">
        <v>424</v>
      </c>
      <c r="H268" s="68">
        <v>397</v>
      </c>
      <c r="I268" s="68">
        <v>544</v>
      </c>
    </row>
    <row r="269" spans="1:9" x14ac:dyDescent="0.3">
      <c r="A269" s="69">
        <f t="shared" si="2"/>
        <v>39847</v>
      </c>
      <c r="B269" s="80"/>
      <c r="C269" s="80"/>
      <c r="D269" s="68">
        <v>456</v>
      </c>
      <c r="E269" s="68">
        <v>329</v>
      </c>
      <c r="F269" s="68">
        <v>346</v>
      </c>
      <c r="G269" s="68">
        <v>346</v>
      </c>
      <c r="H269" s="68">
        <v>259</v>
      </c>
      <c r="I269" s="68">
        <v>355</v>
      </c>
    </row>
    <row r="270" spans="1:9" x14ac:dyDescent="0.3">
      <c r="A270" s="69">
        <f t="shared" si="2"/>
        <v>39854</v>
      </c>
      <c r="B270" s="80"/>
      <c r="C270" s="80"/>
      <c r="D270" s="68">
        <v>356</v>
      </c>
      <c r="E270" s="68">
        <v>256</v>
      </c>
      <c r="F270" s="68">
        <v>269</v>
      </c>
      <c r="G270" s="68">
        <v>269</v>
      </c>
      <c r="H270" s="68">
        <v>230</v>
      </c>
      <c r="I270" s="68">
        <v>315</v>
      </c>
    </row>
    <row r="271" spans="1:9" x14ac:dyDescent="0.3">
      <c r="A271" s="69">
        <f t="shared" si="2"/>
        <v>39861</v>
      </c>
      <c r="B271" s="80"/>
      <c r="C271" s="68">
        <v>315</v>
      </c>
      <c r="D271" s="68">
        <v>310</v>
      </c>
      <c r="E271" s="68">
        <v>226.66666666666666</v>
      </c>
      <c r="F271" s="68">
        <v>228.33333333333334</v>
      </c>
      <c r="G271" s="68">
        <v>228.33333333333334</v>
      </c>
      <c r="H271" s="68">
        <v>200</v>
      </c>
      <c r="I271" s="68">
        <v>282.82387190684136</v>
      </c>
    </row>
    <row r="272" spans="1:9" x14ac:dyDescent="0.3">
      <c r="A272" s="69">
        <f t="shared" si="2"/>
        <v>39868</v>
      </c>
      <c r="B272" s="80"/>
      <c r="C272" s="68">
        <v>303</v>
      </c>
      <c r="D272" s="68">
        <v>305</v>
      </c>
      <c r="E272" s="68">
        <v>226</v>
      </c>
      <c r="F272" s="68">
        <v>222</v>
      </c>
      <c r="G272" s="68">
        <v>222</v>
      </c>
      <c r="H272" s="68">
        <v>200</v>
      </c>
      <c r="I272" s="68">
        <v>274</v>
      </c>
    </row>
    <row r="273" spans="1:9" x14ac:dyDescent="0.3">
      <c r="A273" s="69">
        <f t="shared" si="2"/>
        <v>39875</v>
      </c>
      <c r="B273" s="80"/>
      <c r="C273" s="68">
        <v>288</v>
      </c>
      <c r="D273" s="68">
        <v>282</v>
      </c>
      <c r="E273" s="68">
        <v>217</v>
      </c>
      <c r="F273" s="68">
        <v>217</v>
      </c>
      <c r="G273" s="68">
        <v>217</v>
      </c>
      <c r="H273" s="68">
        <v>198</v>
      </c>
      <c r="I273" s="68">
        <v>272</v>
      </c>
    </row>
    <row r="274" spans="1:9" x14ac:dyDescent="0.3">
      <c r="A274" s="69">
        <f t="shared" si="2"/>
        <v>39882</v>
      </c>
      <c r="B274" s="80"/>
      <c r="C274" s="68">
        <v>273</v>
      </c>
      <c r="D274" s="68">
        <v>267</v>
      </c>
      <c r="E274" s="68">
        <v>208</v>
      </c>
      <c r="F274" s="68">
        <v>208</v>
      </c>
      <c r="G274" s="68">
        <v>208</v>
      </c>
      <c r="H274" s="68">
        <v>185</v>
      </c>
      <c r="I274" s="68">
        <v>254</v>
      </c>
    </row>
    <row r="275" spans="1:9" x14ac:dyDescent="0.3">
      <c r="A275" s="69">
        <f>7+A274</f>
        <v>39889</v>
      </c>
      <c r="B275" s="80"/>
      <c r="C275" s="63">
        <v>283</v>
      </c>
      <c r="D275" s="63">
        <v>265</v>
      </c>
      <c r="E275" s="63">
        <v>219</v>
      </c>
      <c r="F275" s="63">
        <v>214</v>
      </c>
      <c r="G275" s="63">
        <v>214</v>
      </c>
      <c r="H275" s="63">
        <v>189</v>
      </c>
      <c r="I275" s="68">
        <v>259</v>
      </c>
    </row>
    <row r="276" spans="1:9" x14ac:dyDescent="0.3">
      <c r="A276" s="69">
        <f t="shared" ref="A276:A364" si="3">7+A275</f>
        <v>39896</v>
      </c>
      <c r="B276" s="68">
        <v>336.66666666666669</v>
      </c>
      <c r="C276" s="68">
        <v>308</v>
      </c>
      <c r="D276" s="68">
        <v>271</v>
      </c>
      <c r="E276" s="68">
        <v>228</v>
      </c>
      <c r="F276" s="68">
        <v>212.5</v>
      </c>
      <c r="G276" s="68">
        <v>212.5</v>
      </c>
      <c r="H276" s="68">
        <v>196.25</v>
      </c>
      <c r="I276" s="68">
        <v>214.4279475982533</v>
      </c>
    </row>
    <row r="277" spans="1:9" x14ac:dyDescent="0.3">
      <c r="A277" s="69">
        <f t="shared" si="3"/>
        <v>39903</v>
      </c>
      <c r="B277" s="68">
        <v>320</v>
      </c>
      <c r="C277" s="68">
        <v>275</v>
      </c>
      <c r="D277" s="68">
        <v>248.75</v>
      </c>
      <c r="E277" s="68">
        <v>202.5</v>
      </c>
      <c r="F277" s="68">
        <v>208.33333333333334</v>
      </c>
      <c r="G277" s="68">
        <v>208.33333333333334</v>
      </c>
      <c r="H277" s="68">
        <v>188.33333333333334</v>
      </c>
      <c r="I277" s="68">
        <v>261.17903930131007</v>
      </c>
    </row>
    <row r="278" spans="1:9" x14ac:dyDescent="0.3">
      <c r="A278" s="69">
        <f t="shared" si="3"/>
        <v>39910</v>
      </c>
      <c r="B278" s="68">
        <v>318.75</v>
      </c>
      <c r="C278" s="68">
        <v>276</v>
      </c>
      <c r="D278" s="68">
        <v>253</v>
      </c>
      <c r="E278" s="68">
        <v>201</v>
      </c>
      <c r="F278" s="68">
        <v>210</v>
      </c>
      <c r="G278" s="68">
        <v>210</v>
      </c>
      <c r="H278" s="68">
        <v>186.25</v>
      </c>
      <c r="I278" s="68">
        <v>258.67903930131007</v>
      </c>
    </row>
    <row r="279" spans="1:9" x14ac:dyDescent="0.3">
      <c r="A279" s="69">
        <f t="shared" si="3"/>
        <v>39917</v>
      </c>
      <c r="B279" s="68">
        <v>311.66666666666669</v>
      </c>
      <c r="C279" s="68">
        <v>277.5</v>
      </c>
      <c r="D279" s="68">
        <v>262.5</v>
      </c>
      <c r="E279" s="68">
        <v>198.75</v>
      </c>
      <c r="F279" s="68">
        <v>223.33333333333334</v>
      </c>
      <c r="G279" s="68">
        <v>223.33333333333334</v>
      </c>
      <c r="H279" s="68">
        <v>190</v>
      </c>
      <c r="I279" s="68">
        <v>260.52401746724894</v>
      </c>
    </row>
    <row r="280" spans="1:9" x14ac:dyDescent="0.3">
      <c r="A280" s="69">
        <f t="shared" si="3"/>
        <v>39924</v>
      </c>
      <c r="B280" s="68">
        <v>303.33333333333331</v>
      </c>
      <c r="C280" s="68">
        <v>266.25</v>
      </c>
      <c r="D280" s="68">
        <v>258.75</v>
      </c>
      <c r="E280" s="68">
        <v>197.5</v>
      </c>
      <c r="F280" s="68">
        <v>217.5</v>
      </c>
      <c r="G280" s="68">
        <v>217.5</v>
      </c>
      <c r="H280" s="68">
        <v>180</v>
      </c>
      <c r="I280" s="68">
        <v>246.81222707423584</v>
      </c>
    </row>
    <row r="281" spans="1:9" x14ac:dyDescent="0.3">
      <c r="A281" s="69">
        <f t="shared" si="3"/>
        <v>39931</v>
      </c>
      <c r="B281" s="68">
        <v>293</v>
      </c>
      <c r="C281" s="68">
        <v>260</v>
      </c>
      <c r="D281" s="68">
        <v>249</v>
      </c>
      <c r="E281" s="68">
        <v>198</v>
      </c>
      <c r="F281" s="68">
        <v>208</v>
      </c>
      <c r="G281" s="68">
        <v>208</v>
      </c>
      <c r="H281" s="68">
        <v>178</v>
      </c>
      <c r="I281" s="68">
        <v>249</v>
      </c>
    </row>
    <row r="282" spans="1:9" x14ac:dyDescent="0.3">
      <c r="A282" s="69">
        <f t="shared" si="3"/>
        <v>39938</v>
      </c>
      <c r="B282" s="68">
        <v>286.25</v>
      </c>
      <c r="C282" s="68">
        <v>252</v>
      </c>
      <c r="D282" s="68">
        <v>249</v>
      </c>
      <c r="E282" s="68">
        <v>191</v>
      </c>
      <c r="F282" s="68">
        <v>203.75</v>
      </c>
      <c r="G282" s="68">
        <v>203.75</v>
      </c>
      <c r="H282" s="68">
        <v>177</v>
      </c>
      <c r="I282" s="68">
        <v>235.33624454148472</v>
      </c>
    </row>
    <row r="283" spans="1:9" x14ac:dyDescent="0.3">
      <c r="A283" s="69">
        <f t="shared" si="3"/>
        <v>39945</v>
      </c>
      <c r="B283" s="68">
        <v>323.75</v>
      </c>
      <c r="C283" s="68">
        <v>278</v>
      </c>
      <c r="D283" s="68">
        <v>273</v>
      </c>
      <c r="E283" s="68">
        <v>200</v>
      </c>
      <c r="F283" s="68">
        <v>210</v>
      </c>
      <c r="G283" s="68">
        <v>210</v>
      </c>
      <c r="H283" s="68">
        <v>181.25</v>
      </c>
      <c r="I283" s="68">
        <v>236.8231441048035</v>
      </c>
    </row>
    <row r="284" spans="1:9" x14ac:dyDescent="0.3">
      <c r="A284" s="69">
        <f t="shared" si="3"/>
        <v>39952</v>
      </c>
      <c r="B284" s="68">
        <v>355</v>
      </c>
      <c r="C284" s="68">
        <v>298.33333333333331</v>
      </c>
      <c r="D284" s="68">
        <v>271.66666666666669</v>
      </c>
      <c r="E284" s="68">
        <v>196.66666666666666</v>
      </c>
      <c r="F284" s="68">
        <v>210</v>
      </c>
      <c r="G284" s="68">
        <v>210</v>
      </c>
      <c r="H284" s="68">
        <v>180</v>
      </c>
      <c r="I284" s="68">
        <v>246.81222707423584</v>
      </c>
    </row>
    <row r="285" spans="1:9" x14ac:dyDescent="0.3">
      <c r="A285" s="69">
        <f t="shared" si="3"/>
        <v>39959</v>
      </c>
      <c r="B285" s="68">
        <v>371.25</v>
      </c>
      <c r="C285" s="68">
        <v>306.25</v>
      </c>
      <c r="D285" s="68">
        <v>271.25</v>
      </c>
      <c r="E285" s="68">
        <v>196.25</v>
      </c>
      <c r="F285" s="68">
        <v>208.75</v>
      </c>
      <c r="G285" s="68">
        <v>208.75</v>
      </c>
      <c r="H285" s="68">
        <v>181.25</v>
      </c>
      <c r="I285" s="68">
        <v>248.52620087336246</v>
      </c>
    </row>
    <row r="286" spans="1:9" x14ac:dyDescent="0.3">
      <c r="A286" s="69">
        <f t="shared" si="3"/>
        <v>39966</v>
      </c>
      <c r="B286" s="68">
        <v>356.66666666666669</v>
      </c>
      <c r="C286" s="68">
        <v>301.25</v>
      </c>
      <c r="D286" s="68">
        <v>263.75</v>
      </c>
      <c r="E286" s="68">
        <v>206.25</v>
      </c>
      <c r="F286" s="68">
        <v>203.75</v>
      </c>
      <c r="G286" s="68">
        <v>203.75</v>
      </c>
      <c r="H286" s="68">
        <v>182.5</v>
      </c>
      <c r="I286" s="68">
        <v>261.03711790393015</v>
      </c>
    </row>
    <row r="287" spans="1:9" x14ac:dyDescent="0.3">
      <c r="A287" s="69">
        <f t="shared" si="3"/>
        <v>39973</v>
      </c>
      <c r="B287" s="68">
        <v>350</v>
      </c>
      <c r="C287" s="68">
        <v>298.33333333333331</v>
      </c>
      <c r="D287" s="68">
        <v>268.33333333333331</v>
      </c>
      <c r="E287" s="68">
        <v>201.66666666666666</v>
      </c>
      <c r="F287" s="68">
        <v>205</v>
      </c>
      <c r="G287" s="68">
        <v>205</v>
      </c>
      <c r="H287" s="68">
        <v>185</v>
      </c>
      <c r="I287" s="68">
        <v>268.06404657933041</v>
      </c>
    </row>
    <row r="288" spans="1:9" x14ac:dyDescent="0.3">
      <c r="A288" s="69">
        <f t="shared" si="3"/>
        <v>39980</v>
      </c>
      <c r="B288" s="68">
        <v>351.66666666666669</v>
      </c>
      <c r="C288" s="68">
        <v>302.5</v>
      </c>
      <c r="D288" s="68">
        <v>290</v>
      </c>
      <c r="E288" s="68">
        <v>201.25</v>
      </c>
      <c r="F288" s="68">
        <v>205</v>
      </c>
      <c r="G288" s="68">
        <v>205</v>
      </c>
      <c r="H288" s="68">
        <v>181.25</v>
      </c>
      <c r="I288" s="68">
        <v>249</v>
      </c>
    </row>
    <row r="289" spans="1:20" x14ac:dyDescent="0.3">
      <c r="A289" s="69">
        <f t="shared" si="3"/>
        <v>39987</v>
      </c>
      <c r="B289" s="68">
        <v>335</v>
      </c>
      <c r="C289" s="68">
        <v>285</v>
      </c>
      <c r="D289" s="68">
        <v>276.25</v>
      </c>
      <c r="E289" s="68">
        <v>192.5</v>
      </c>
      <c r="F289" s="68">
        <v>198.75</v>
      </c>
      <c r="G289" s="68">
        <v>198.75</v>
      </c>
      <c r="H289" s="68">
        <v>176.25</v>
      </c>
      <c r="I289" s="68">
        <v>241.67030567685589</v>
      </c>
    </row>
    <row r="290" spans="1:20" x14ac:dyDescent="0.3">
      <c r="A290" s="69">
        <f t="shared" si="3"/>
        <v>39994</v>
      </c>
      <c r="B290" s="68">
        <v>318</v>
      </c>
      <c r="C290" s="68">
        <v>271</v>
      </c>
      <c r="D290" s="68">
        <v>263</v>
      </c>
      <c r="E290" s="68">
        <v>196</v>
      </c>
      <c r="F290" s="68">
        <v>201</v>
      </c>
      <c r="G290" s="68">
        <v>201</v>
      </c>
      <c r="H290" s="68">
        <v>179</v>
      </c>
      <c r="I290" s="68">
        <v>245</v>
      </c>
    </row>
    <row r="291" spans="1:20" x14ac:dyDescent="0.3">
      <c r="A291" s="69">
        <f t="shared" si="3"/>
        <v>40001</v>
      </c>
      <c r="B291" s="68">
        <v>313</v>
      </c>
      <c r="C291" s="68">
        <v>263</v>
      </c>
      <c r="D291" s="68">
        <v>249</v>
      </c>
      <c r="E291" s="68">
        <v>199</v>
      </c>
      <c r="F291" s="68">
        <v>196</v>
      </c>
      <c r="G291" s="68">
        <v>196</v>
      </c>
      <c r="H291" s="68">
        <v>178</v>
      </c>
      <c r="I291" s="68">
        <v>243</v>
      </c>
    </row>
    <row r="292" spans="1:20" x14ac:dyDescent="0.3">
      <c r="A292" s="69">
        <f t="shared" si="3"/>
        <v>40008</v>
      </c>
      <c r="B292" s="68">
        <v>348.75</v>
      </c>
      <c r="C292" s="68">
        <v>282</v>
      </c>
      <c r="D292" s="68">
        <v>270</v>
      </c>
      <c r="E292" s="68">
        <v>191</v>
      </c>
      <c r="F292" s="68">
        <v>201</v>
      </c>
      <c r="G292" s="68">
        <v>201</v>
      </c>
      <c r="H292" s="68">
        <v>182.5</v>
      </c>
      <c r="I292" s="68">
        <v>250.2401746724891</v>
      </c>
    </row>
    <row r="293" spans="1:20" x14ac:dyDescent="0.3">
      <c r="A293" s="69">
        <f t="shared" si="3"/>
        <v>40015</v>
      </c>
      <c r="B293" s="68">
        <v>355</v>
      </c>
      <c r="C293" s="68">
        <v>298</v>
      </c>
      <c r="D293" s="68">
        <v>298</v>
      </c>
      <c r="E293" s="68">
        <v>225</v>
      </c>
      <c r="F293" s="68">
        <v>213</v>
      </c>
      <c r="G293" s="68">
        <v>213</v>
      </c>
      <c r="H293" s="68">
        <v>205</v>
      </c>
      <c r="I293" s="68">
        <v>281</v>
      </c>
      <c r="M293" s="68"/>
      <c r="N293" s="68"/>
      <c r="O293" s="68"/>
      <c r="P293" s="68"/>
      <c r="Q293" s="68"/>
      <c r="R293" s="68"/>
      <c r="S293" s="68"/>
      <c r="T293" s="68"/>
    </row>
    <row r="294" spans="1:20" x14ac:dyDescent="0.3">
      <c r="A294" s="69">
        <f t="shared" si="3"/>
        <v>40022</v>
      </c>
      <c r="B294" s="81">
        <v>333.33333333333331</v>
      </c>
      <c r="C294" s="81">
        <v>285</v>
      </c>
      <c r="D294" s="81">
        <v>287.5</v>
      </c>
      <c r="E294" s="81">
        <v>228.75</v>
      </c>
      <c r="F294" s="81">
        <v>233.33333333333334</v>
      </c>
      <c r="G294" s="81">
        <v>233.33333333333334</v>
      </c>
      <c r="H294" s="81">
        <v>195</v>
      </c>
      <c r="I294" s="81">
        <v>267.37991266375548</v>
      </c>
      <c r="M294" s="68"/>
      <c r="N294" s="68"/>
      <c r="O294" s="68"/>
      <c r="P294" s="68"/>
      <c r="Q294" s="68"/>
      <c r="R294" s="68"/>
      <c r="S294" s="68"/>
      <c r="T294" s="68"/>
    </row>
    <row r="295" spans="1:20" x14ac:dyDescent="0.3">
      <c r="A295" s="69">
        <f t="shared" si="3"/>
        <v>40029</v>
      </c>
      <c r="B295" s="68">
        <v>315</v>
      </c>
      <c r="C295" s="68">
        <v>276.25</v>
      </c>
      <c r="D295" s="68">
        <v>276.25</v>
      </c>
      <c r="E295" s="68">
        <v>216.66666666666666</v>
      </c>
      <c r="F295" s="68">
        <v>243.33333333333334</v>
      </c>
      <c r="G295" s="68">
        <v>243.33333333333334</v>
      </c>
      <c r="H295" s="68">
        <v>185</v>
      </c>
      <c r="I295" s="68">
        <v>253.66812227074237</v>
      </c>
    </row>
    <row r="296" spans="1:20" x14ac:dyDescent="0.3">
      <c r="A296" s="69">
        <f t="shared" si="3"/>
        <v>40036</v>
      </c>
      <c r="B296" s="68">
        <v>311.25</v>
      </c>
      <c r="C296" s="81">
        <v>282</v>
      </c>
      <c r="D296" s="81">
        <v>280</v>
      </c>
      <c r="E296" s="81">
        <v>213.75</v>
      </c>
      <c r="F296" s="81">
        <v>252.5</v>
      </c>
      <c r="G296" s="81">
        <v>252.5</v>
      </c>
      <c r="H296" s="81">
        <v>186.25</v>
      </c>
      <c r="I296" s="81">
        <v>255.25109170305677</v>
      </c>
    </row>
    <row r="297" spans="1:20" x14ac:dyDescent="0.3">
      <c r="A297" s="69">
        <f t="shared" si="3"/>
        <v>40043</v>
      </c>
      <c r="B297" s="68">
        <v>345</v>
      </c>
      <c r="C297" s="81">
        <v>324</v>
      </c>
      <c r="D297" s="81">
        <v>322</v>
      </c>
      <c r="E297" s="81">
        <v>271</v>
      </c>
      <c r="F297" s="81">
        <v>314</v>
      </c>
      <c r="G297" s="81">
        <v>314</v>
      </c>
      <c r="H297" s="81">
        <v>263</v>
      </c>
      <c r="I297" s="81">
        <v>360</v>
      </c>
    </row>
    <row r="298" spans="1:20" x14ac:dyDescent="0.3">
      <c r="A298" s="69">
        <f t="shared" si="3"/>
        <v>40050</v>
      </c>
      <c r="B298" s="68">
        <v>353</v>
      </c>
      <c r="C298" s="68">
        <v>338</v>
      </c>
      <c r="D298" s="68">
        <v>340</v>
      </c>
      <c r="E298" s="68">
        <v>283</v>
      </c>
      <c r="F298" s="68">
        <v>360</v>
      </c>
      <c r="G298" s="68">
        <v>360</v>
      </c>
      <c r="H298" s="68">
        <v>312</v>
      </c>
      <c r="I298" s="68">
        <v>427</v>
      </c>
    </row>
    <row r="299" spans="1:20" x14ac:dyDescent="0.3">
      <c r="A299" s="69">
        <f t="shared" si="3"/>
        <v>40057</v>
      </c>
      <c r="B299" s="68">
        <v>358</v>
      </c>
      <c r="C299" s="68">
        <v>353</v>
      </c>
      <c r="D299" s="68">
        <v>355</v>
      </c>
      <c r="E299" s="68">
        <v>324</v>
      </c>
      <c r="F299" s="68">
        <v>374</v>
      </c>
      <c r="G299" s="68">
        <v>380</v>
      </c>
      <c r="H299" s="68">
        <v>324</v>
      </c>
      <c r="I299" s="68">
        <v>444</v>
      </c>
    </row>
    <row r="300" spans="1:20" x14ac:dyDescent="0.3">
      <c r="A300" s="69">
        <f t="shared" si="3"/>
        <v>40064</v>
      </c>
      <c r="B300" s="68">
        <v>353.75</v>
      </c>
      <c r="C300" s="68">
        <v>328.75</v>
      </c>
      <c r="D300" s="68">
        <v>336.25</v>
      </c>
      <c r="E300" s="68">
        <v>300</v>
      </c>
      <c r="F300" s="68">
        <v>347.5</v>
      </c>
      <c r="G300" s="68">
        <v>358.75</v>
      </c>
      <c r="H300" s="68">
        <v>287.5</v>
      </c>
      <c r="I300" s="68">
        <v>394.21397379912668</v>
      </c>
    </row>
    <row r="301" spans="1:20" x14ac:dyDescent="0.3">
      <c r="A301" s="69">
        <f t="shared" si="3"/>
        <v>40071</v>
      </c>
      <c r="B301" s="68">
        <v>346.66666666666669</v>
      </c>
      <c r="C301" s="68">
        <v>333.33333333333331</v>
      </c>
      <c r="D301" s="68">
        <v>335</v>
      </c>
      <c r="E301" s="68">
        <v>306.66666666666669</v>
      </c>
      <c r="F301" s="68">
        <v>348.33333333333331</v>
      </c>
      <c r="G301" s="68">
        <v>343.33333333333331</v>
      </c>
      <c r="H301" s="68">
        <v>300</v>
      </c>
      <c r="I301" s="68">
        <v>308.51528384279476</v>
      </c>
    </row>
    <row r="302" spans="1:20" x14ac:dyDescent="0.3">
      <c r="A302" s="69">
        <f t="shared" si="3"/>
        <v>40078</v>
      </c>
      <c r="B302" s="68">
        <v>382.5</v>
      </c>
      <c r="C302" s="68">
        <v>387.5</v>
      </c>
      <c r="D302" s="68">
        <v>388.75</v>
      </c>
      <c r="E302" s="68">
        <v>356.25</v>
      </c>
      <c r="F302" s="68">
        <v>376.25</v>
      </c>
      <c r="G302" s="68">
        <v>376.25</v>
      </c>
      <c r="H302" s="68">
        <v>317.5</v>
      </c>
      <c r="I302" s="68">
        <v>435.3493449781659</v>
      </c>
    </row>
    <row r="303" spans="1:20" x14ac:dyDescent="0.3">
      <c r="A303" s="69">
        <f t="shared" si="3"/>
        <v>40085</v>
      </c>
      <c r="B303" s="68">
        <v>433.33333333333331</v>
      </c>
      <c r="C303" s="68">
        <v>437.5</v>
      </c>
      <c r="D303" s="68">
        <v>447.5</v>
      </c>
      <c r="E303" s="68">
        <v>411.66666666666669</v>
      </c>
      <c r="F303" s="68">
        <v>446.66666666666669</v>
      </c>
      <c r="G303" s="68">
        <v>446.66666666666669</v>
      </c>
      <c r="H303" s="68">
        <v>375</v>
      </c>
      <c r="I303" s="68">
        <v>514.19213973799128</v>
      </c>
    </row>
    <row r="304" spans="1:20" x14ac:dyDescent="0.3">
      <c r="A304" s="69">
        <f t="shared" si="3"/>
        <v>40092</v>
      </c>
      <c r="B304" s="68">
        <v>466.25</v>
      </c>
      <c r="C304" s="68">
        <v>467</v>
      </c>
      <c r="D304" s="68">
        <v>467</v>
      </c>
      <c r="E304" s="68">
        <v>423.75</v>
      </c>
      <c r="F304" s="68">
        <v>493.75</v>
      </c>
      <c r="G304" s="68">
        <v>493.75</v>
      </c>
      <c r="H304" s="68">
        <v>386.25</v>
      </c>
      <c r="I304" s="68">
        <v>534.75982532751095</v>
      </c>
      <c r="K304" s="82"/>
      <c r="M304" s="82"/>
    </row>
    <row r="305" spans="1:11" x14ac:dyDescent="0.3">
      <c r="A305" s="69">
        <f t="shared" si="3"/>
        <v>40099</v>
      </c>
      <c r="B305" s="81">
        <v>436.25</v>
      </c>
      <c r="C305" s="81">
        <v>422</v>
      </c>
      <c r="D305" s="81">
        <v>427</v>
      </c>
      <c r="E305" s="81">
        <v>360</v>
      </c>
      <c r="F305" s="81">
        <v>443.75</v>
      </c>
      <c r="G305" s="81">
        <v>443.75</v>
      </c>
      <c r="H305" s="81">
        <v>338.75</v>
      </c>
      <c r="I305" s="81">
        <v>464.48689956331873</v>
      </c>
    </row>
    <row r="306" spans="1:11" x14ac:dyDescent="0.3">
      <c r="A306" s="69">
        <f t="shared" si="3"/>
        <v>40106</v>
      </c>
      <c r="B306" s="68">
        <v>452.5</v>
      </c>
      <c r="C306" s="68">
        <v>450</v>
      </c>
      <c r="D306" s="68">
        <v>451.25</v>
      </c>
      <c r="E306" s="68">
        <v>371.25</v>
      </c>
      <c r="F306" s="68">
        <v>458.75</v>
      </c>
      <c r="G306" s="68">
        <v>457.5</v>
      </c>
      <c r="H306" s="68">
        <v>336.25</v>
      </c>
      <c r="I306" s="68">
        <v>461.05895196506555</v>
      </c>
    </row>
    <row r="307" spans="1:11" x14ac:dyDescent="0.3">
      <c r="A307" s="69">
        <f t="shared" si="3"/>
        <v>40113</v>
      </c>
      <c r="B307" s="68">
        <v>461.25</v>
      </c>
      <c r="C307" s="68">
        <v>457.5</v>
      </c>
      <c r="D307" s="68">
        <v>453.75</v>
      </c>
      <c r="E307" s="68">
        <v>378.75</v>
      </c>
      <c r="F307" s="68">
        <v>478.75</v>
      </c>
      <c r="G307" s="68">
        <v>478.75</v>
      </c>
      <c r="H307" s="68">
        <v>345</v>
      </c>
      <c r="I307" s="68">
        <v>473.056768558952</v>
      </c>
    </row>
    <row r="308" spans="1:11" x14ac:dyDescent="0.3">
      <c r="A308" s="69">
        <f t="shared" si="3"/>
        <v>40120</v>
      </c>
      <c r="B308" s="68">
        <v>460</v>
      </c>
      <c r="C308" s="68">
        <v>467.5</v>
      </c>
      <c r="D308" s="68">
        <v>437.5</v>
      </c>
      <c r="E308" s="68">
        <v>372.5</v>
      </c>
      <c r="F308" s="68">
        <v>482.5</v>
      </c>
      <c r="G308" s="68">
        <v>482.5</v>
      </c>
      <c r="H308" s="68">
        <v>353.75</v>
      </c>
      <c r="I308" s="68">
        <v>485.0545851528384</v>
      </c>
    </row>
    <row r="309" spans="1:11" x14ac:dyDescent="0.3">
      <c r="A309" s="69">
        <f t="shared" si="3"/>
        <v>40127</v>
      </c>
      <c r="B309" s="68">
        <v>669</v>
      </c>
      <c r="C309" s="68">
        <v>650</v>
      </c>
      <c r="D309" s="68">
        <v>650</v>
      </c>
      <c r="E309" s="68">
        <v>706</v>
      </c>
      <c r="F309" s="68">
        <v>663</v>
      </c>
      <c r="G309" s="68">
        <v>663</v>
      </c>
      <c r="H309" s="68">
        <v>681</v>
      </c>
      <c r="I309" s="68">
        <v>934</v>
      </c>
    </row>
    <row r="310" spans="1:11" x14ac:dyDescent="0.3">
      <c r="A310" s="69">
        <f t="shared" si="3"/>
        <v>40134</v>
      </c>
      <c r="B310" s="68">
        <v>493.75</v>
      </c>
      <c r="C310" s="68">
        <v>432.5</v>
      </c>
      <c r="D310" s="68">
        <v>426.25</v>
      </c>
      <c r="E310" s="68">
        <v>431.25</v>
      </c>
      <c r="F310" s="68">
        <v>542.5</v>
      </c>
      <c r="G310" s="68">
        <v>542.5</v>
      </c>
      <c r="H310" s="68">
        <v>412.5</v>
      </c>
      <c r="I310" s="68">
        <v>565.61135371179034</v>
      </c>
      <c r="J310" s="81"/>
      <c r="K310" s="68"/>
    </row>
    <row r="311" spans="1:11" x14ac:dyDescent="0.3">
      <c r="A311" s="69">
        <f t="shared" si="3"/>
        <v>40141</v>
      </c>
      <c r="B311" s="68"/>
      <c r="C311" s="68">
        <v>400</v>
      </c>
      <c r="D311" s="68">
        <v>403.75</v>
      </c>
      <c r="E311" s="68">
        <v>317.5</v>
      </c>
      <c r="F311" s="68">
        <v>378.75</v>
      </c>
      <c r="G311" s="68">
        <v>378.75</v>
      </c>
      <c r="H311" s="68">
        <v>292.5</v>
      </c>
      <c r="I311" s="68">
        <v>401.06986899563316</v>
      </c>
      <c r="J311" s="68"/>
      <c r="K311" s="68"/>
    </row>
    <row r="312" spans="1:11" x14ac:dyDescent="0.3">
      <c r="A312" s="69">
        <f t="shared" si="3"/>
        <v>40148</v>
      </c>
      <c r="B312" s="68"/>
      <c r="C312" s="68">
        <v>392.5</v>
      </c>
      <c r="D312" s="68">
        <v>400</v>
      </c>
      <c r="E312" s="68">
        <v>285</v>
      </c>
      <c r="F312" s="68">
        <v>391.25</v>
      </c>
      <c r="G312" s="68">
        <v>367.5</v>
      </c>
      <c r="H312" s="68">
        <v>263.75</v>
      </c>
      <c r="I312" s="68">
        <v>361.64847161572055</v>
      </c>
      <c r="J312" s="68"/>
      <c r="K312" s="68"/>
    </row>
    <row r="313" spans="1:11" x14ac:dyDescent="0.3">
      <c r="A313" s="69">
        <f t="shared" si="3"/>
        <v>40155</v>
      </c>
      <c r="B313" s="68"/>
      <c r="C313" s="68">
        <v>378.33333333333331</v>
      </c>
      <c r="D313" s="68">
        <v>390</v>
      </c>
      <c r="E313" s="68">
        <v>275</v>
      </c>
      <c r="F313" s="68">
        <v>340</v>
      </c>
      <c r="G313" s="68">
        <v>338.33333333333331</v>
      </c>
      <c r="H313" s="68">
        <v>250</v>
      </c>
      <c r="I313" s="68">
        <v>342.7947598253275</v>
      </c>
      <c r="J313" s="68"/>
    </row>
    <row r="314" spans="1:11" x14ac:dyDescent="0.3">
      <c r="A314" s="69">
        <f t="shared" si="3"/>
        <v>40162</v>
      </c>
      <c r="B314" s="68"/>
      <c r="C314" s="68"/>
      <c r="D314" s="68">
        <v>361.66666666666669</v>
      </c>
      <c r="E314" s="68">
        <v>255</v>
      </c>
      <c r="F314" s="68">
        <v>315</v>
      </c>
      <c r="G314" s="68">
        <v>315</v>
      </c>
      <c r="H314" s="68">
        <v>236.66666666666666</v>
      </c>
      <c r="I314" s="68">
        <v>324.51237263464333</v>
      </c>
    </row>
    <row r="315" spans="1:11" x14ac:dyDescent="0.3">
      <c r="A315" s="69">
        <f t="shared" si="3"/>
        <v>40169</v>
      </c>
      <c r="B315" s="68"/>
      <c r="C315" s="68"/>
      <c r="D315" s="68">
        <v>360</v>
      </c>
      <c r="E315" s="68">
        <v>284</v>
      </c>
      <c r="F315" s="68">
        <v>306</v>
      </c>
      <c r="G315" s="68">
        <v>306</v>
      </c>
      <c r="H315" s="68">
        <v>243</v>
      </c>
      <c r="I315" s="68">
        <v>333.19650655021832</v>
      </c>
    </row>
    <row r="316" spans="1:11" x14ac:dyDescent="0.3">
      <c r="A316" s="69">
        <f t="shared" si="3"/>
        <v>40176</v>
      </c>
      <c r="B316" s="68"/>
      <c r="C316" s="68"/>
      <c r="D316" s="68">
        <v>360</v>
      </c>
      <c r="E316" s="68">
        <v>278</v>
      </c>
      <c r="F316" s="68">
        <v>302</v>
      </c>
      <c r="G316" s="68">
        <v>302</v>
      </c>
      <c r="H316" s="68">
        <v>242</v>
      </c>
      <c r="I316" s="68">
        <v>331</v>
      </c>
    </row>
    <row r="317" spans="1:11" x14ac:dyDescent="0.3">
      <c r="A317" s="69">
        <f t="shared" si="3"/>
        <v>40183</v>
      </c>
      <c r="B317" s="68"/>
      <c r="C317" s="68"/>
      <c r="D317" s="68">
        <v>380</v>
      </c>
      <c r="E317" s="68">
        <v>271.66666666666669</v>
      </c>
      <c r="F317" s="68">
        <v>310</v>
      </c>
      <c r="G317" s="68">
        <v>310</v>
      </c>
      <c r="H317" s="68">
        <v>233.33333333333334</v>
      </c>
      <c r="I317" s="68">
        <v>319.94177583697234</v>
      </c>
    </row>
    <row r="318" spans="1:11" x14ac:dyDescent="0.3">
      <c r="A318" s="69">
        <f t="shared" si="3"/>
        <v>40190</v>
      </c>
      <c r="D318" s="68">
        <v>386.25</v>
      </c>
      <c r="E318" s="68">
        <v>261.25</v>
      </c>
      <c r="F318" s="68">
        <v>310</v>
      </c>
      <c r="G318" s="68">
        <v>310</v>
      </c>
      <c r="H318" s="68">
        <v>227.5</v>
      </c>
      <c r="I318" s="68">
        <v>311.94323144104806</v>
      </c>
    </row>
    <row r="319" spans="1:11" x14ac:dyDescent="0.3">
      <c r="A319" s="69">
        <f t="shared" si="3"/>
        <v>40197</v>
      </c>
      <c r="B319" s="68"/>
      <c r="C319" s="68"/>
      <c r="D319" s="68">
        <v>391.25</v>
      </c>
      <c r="E319" s="68">
        <v>290</v>
      </c>
      <c r="F319" s="68">
        <v>328.75</v>
      </c>
      <c r="G319" s="68">
        <v>328.75</v>
      </c>
      <c r="H319" s="68">
        <v>251.25</v>
      </c>
      <c r="I319" s="68">
        <v>344.50873362445412</v>
      </c>
    </row>
    <row r="320" spans="1:11" x14ac:dyDescent="0.3">
      <c r="A320" s="69">
        <f t="shared" si="3"/>
        <v>40204</v>
      </c>
      <c r="B320" s="68"/>
      <c r="C320" s="68"/>
      <c r="D320" s="68">
        <v>410</v>
      </c>
      <c r="E320" s="68">
        <v>306.66666666666669</v>
      </c>
      <c r="F320" s="68">
        <v>326.66666666666669</v>
      </c>
      <c r="G320" s="68">
        <v>326.66666666666669</v>
      </c>
      <c r="H320" s="68">
        <v>253.33333333333334</v>
      </c>
      <c r="I320" s="68">
        <v>347.36535662299849</v>
      </c>
    </row>
    <row r="321" spans="1:9" x14ac:dyDescent="0.3">
      <c r="A321" s="69">
        <f t="shared" si="3"/>
        <v>40211</v>
      </c>
      <c r="B321" s="68"/>
      <c r="C321" s="68"/>
      <c r="D321" s="68">
        <v>400</v>
      </c>
      <c r="E321" s="68">
        <v>305</v>
      </c>
      <c r="F321" s="68">
        <v>323.75</v>
      </c>
      <c r="G321" s="68">
        <v>323.75</v>
      </c>
      <c r="H321" s="68">
        <v>258.75</v>
      </c>
      <c r="I321" s="68">
        <v>354.79257641921402</v>
      </c>
    </row>
    <row r="322" spans="1:9" x14ac:dyDescent="0.3">
      <c r="A322" s="69">
        <f t="shared" si="3"/>
        <v>40218</v>
      </c>
      <c r="B322" s="68"/>
      <c r="C322" s="68"/>
      <c r="D322" s="68">
        <v>358</v>
      </c>
      <c r="E322" s="68">
        <v>258</v>
      </c>
      <c r="F322" s="68">
        <v>302</v>
      </c>
      <c r="G322" s="68">
        <v>302</v>
      </c>
      <c r="H322" s="68">
        <v>237</v>
      </c>
      <c r="I322" s="68">
        <v>325</v>
      </c>
    </row>
    <row r="323" spans="1:9" x14ac:dyDescent="0.3">
      <c r="A323" s="69">
        <f t="shared" si="3"/>
        <v>40225</v>
      </c>
      <c r="B323" s="68"/>
      <c r="C323" s="68"/>
      <c r="D323" s="68">
        <v>305</v>
      </c>
      <c r="E323" s="68">
        <v>215</v>
      </c>
      <c r="F323" s="68">
        <v>267</v>
      </c>
      <c r="G323" s="68">
        <v>267</v>
      </c>
      <c r="H323" s="68">
        <v>198</v>
      </c>
      <c r="I323" s="68">
        <v>272</v>
      </c>
    </row>
    <row r="324" spans="1:9" x14ac:dyDescent="0.3">
      <c r="A324" s="69">
        <f t="shared" si="3"/>
        <v>40232</v>
      </c>
      <c r="B324" s="68"/>
      <c r="C324" s="68"/>
      <c r="D324" s="68">
        <v>317</v>
      </c>
      <c r="E324" s="68">
        <v>215</v>
      </c>
      <c r="F324" s="68">
        <v>255</v>
      </c>
      <c r="G324" s="68">
        <v>255</v>
      </c>
      <c r="H324" s="68">
        <v>192</v>
      </c>
      <c r="I324" s="68">
        <v>263.26637554585159</v>
      </c>
    </row>
    <row r="325" spans="1:9" x14ac:dyDescent="0.3">
      <c r="A325" s="69">
        <f t="shared" si="3"/>
        <v>40239</v>
      </c>
      <c r="B325" s="68"/>
      <c r="C325" s="68"/>
      <c r="D325" s="68">
        <v>345</v>
      </c>
      <c r="E325" s="68">
        <v>262</v>
      </c>
      <c r="F325" s="68">
        <v>273.75</v>
      </c>
      <c r="G325" s="68">
        <v>273.75</v>
      </c>
      <c r="H325" s="68">
        <v>228.75</v>
      </c>
      <c r="I325" s="68">
        <v>313.65720524017473</v>
      </c>
    </row>
    <row r="326" spans="1:9" x14ac:dyDescent="0.3">
      <c r="A326" s="69">
        <f t="shared" si="3"/>
        <v>40246</v>
      </c>
      <c r="B326" s="68"/>
      <c r="C326" s="68"/>
      <c r="D326" s="68">
        <v>312.5</v>
      </c>
      <c r="E326" s="68">
        <v>227.5</v>
      </c>
      <c r="F326" s="68">
        <v>270</v>
      </c>
      <c r="G326" s="68">
        <v>270</v>
      </c>
      <c r="H326" s="68">
        <v>202.5</v>
      </c>
      <c r="I326" s="68">
        <v>277.66375545851525</v>
      </c>
    </row>
    <row r="327" spans="1:9" x14ac:dyDescent="0.3">
      <c r="A327" s="69">
        <f t="shared" si="3"/>
        <v>40253</v>
      </c>
      <c r="B327" s="68"/>
      <c r="C327" s="68"/>
      <c r="D327" s="68">
        <v>282.5</v>
      </c>
      <c r="E327" s="68">
        <v>200</v>
      </c>
      <c r="F327" s="68">
        <v>248.75</v>
      </c>
      <c r="G327" s="68">
        <v>248.75</v>
      </c>
      <c r="H327" s="68">
        <v>186.25</v>
      </c>
      <c r="I327" s="68">
        <v>255.38209606986896</v>
      </c>
    </row>
    <row r="328" spans="1:9" x14ac:dyDescent="0.3">
      <c r="A328" s="69">
        <f t="shared" si="3"/>
        <v>40260</v>
      </c>
      <c r="B328" s="68"/>
      <c r="C328" s="68"/>
      <c r="D328" s="68">
        <v>276.66666666666669</v>
      </c>
      <c r="E328" s="68">
        <v>196.66666666666666</v>
      </c>
      <c r="F328" s="68">
        <v>236.66666666666666</v>
      </c>
      <c r="G328" s="68">
        <v>236.66666666666666</v>
      </c>
      <c r="H328" s="68">
        <v>181.66666666666666</v>
      </c>
      <c r="I328" s="68">
        <v>249.09752547307133</v>
      </c>
    </row>
    <row r="329" spans="1:9" x14ac:dyDescent="0.3">
      <c r="A329" s="69">
        <f t="shared" si="3"/>
        <v>40267</v>
      </c>
      <c r="B329" s="68"/>
      <c r="C329" s="68"/>
      <c r="D329" s="68">
        <v>276.25</v>
      </c>
      <c r="E329" s="68">
        <v>198.75</v>
      </c>
      <c r="F329" s="68">
        <v>232.5</v>
      </c>
      <c r="G329" s="68">
        <v>232.5</v>
      </c>
      <c r="H329" s="68">
        <v>181.25</v>
      </c>
      <c r="I329" s="68">
        <v>248.52620087336246</v>
      </c>
    </row>
    <row r="330" spans="1:9" x14ac:dyDescent="0.3">
      <c r="A330" s="69">
        <f t="shared" si="3"/>
        <v>40274</v>
      </c>
      <c r="B330" s="68"/>
      <c r="C330" s="68">
        <v>297.5</v>
      </c>
      <c r="D330" s="68">
        <v>275</v>
      </c>
      <c r="E330" s="68">
        <v>198.75</v>
      </c>
      <c r="F330" s="68">
        <v>230</v>
      </c>
      <c r="G330" s="68">
        <v>230</v>
      </c>
      <c r="H330" s="68">
        <v>180</v>
      </c>
      <c r="I330" s="68">
        <v>246.81222707423584</v>
      </c>
    </row>
    <row r="331" spans="1:9" x14ac:dyDescent="0.3">
      <c r="A331" s="69">
        <f t="shared" si="3"/>
        <v>40281</v>
      </c>
      <c r="B331" s="68">
        <v>331.25</v>
      </c>
      <c r="C331" s="68">
        <v>292.5</v>
      </c>
      <c r="D331" s="68">
        <v>275</v>
      </c>
      <c r="E331" s="68">
        <v>197.5</v>
      </c>
      <c r="F331" s="68">
        <v>226.25</v>
      </c>
      <c r="G331" s="68">
        <v>226.25</v>
      </c>
      <c r="H331" s="68">
        <v>180</v>
      </c>
      <c r="I331" s="68">
        <v>246.81222707423581</v>
      </c>
    </row>
    <row r="332" spans="1:9" x14ac:dyDescent="0.3">
      <c r="A332" s="69">
        <f t="shared" si="3"/>
        <v>40288</v>
      </c>
      <c r="B332" s="68">
        <v>306.66666666666669</v>
      </c>
      <c r="C332" s="68">
        <v>275</v>
      </c>
      <c r="D332" s="68">
        <v>275</v>
      </c>
      <c r="E332" s="68">
        <v>193.33333333333334</v>
      </c>
      <c r="F332" s="68">
        <v>220</v>
      </c>
      <c r="G332" s="68">
        <v>220</v>
      </c>
      <c r="H332" s="68">
        <v>181.66666666666666</v>
      </c>
      <c r="I332" s="68">
        <v>249.09752547307133</v>
      </c>
    </row>
    <row r="333" spans="1:9" x14ac:dyDescent="0.3">
      <c r="A333" s="69">
        <f t="shared" si="3"/>
        <v>40295</v>
      </c>
      <c r="B333" s="68">
        <v>318.33333333333331</v>
      </c>
      <c r="C333" s="68">
        <v>296.66666666666669</v>
      </c>
      <c r="D333" s="68">
        <v>308.33333333333331</v>
      </c>
      <c r="E333" s="68">
        <v>198.33333333333334</v>
      </c>
      <c r="F333" s="68">
        <v>223.33333333333334</v>
      </c>
      <c r="G333" s="68">
        <v>223.33333333333334</v>
      </c>
      <c r="H333" s="68">
        <v>180</v>
      </c>
      <c r="I333" s="68">
        <v>246.81222707423584</v>
      </c>
    </row>
    <row r="334" spans="1:9" x14ac:dyDescent="0.3">
      <c r="A334" s="69">
        <f t="shared" si="3"/>
        <v>40302</v>
      </c>
      <c r="B334" s="68">
        <v>368.33333333333331</v>
      </c>
      <c r="C334" s="68">
        <v>341.66666666666669</v>
      </c>
      <c r="D334" s="68">
        <v>340</v>
      </c>
      <c r="E334" s="68">
        <v>241.66666666666666</v>
      </c>
      <c r="F334" s="68">
        <v>235</v>
      </c>
      <c r="G334" s="68">
        <v>235</v>
      </c>
      <c r="H334" s="68">
        <v>210</v>
      </c>
      <c r="I334" s="68">
        <v>287.94759825327509</v>
      </c>
    </row>
    <row r="335" spans="1:9" x14ac:dyDescent="0.3">
      <c r="A335" s="69">
        <f t="shared" si="3"/>
        <v>40309</v>
      </c>
      <c r="B335" s="68">
        <v>421.25</v>
      </c>
      <c r="C335" s="68">
        <v>386.25</v>
      </c>
      <c r="D335" s="68">
        <v>382.5</v>
      </c>
      <c r="E335" s="68">
        <v>273.75</v>
      </c>
      <c r="F335" s="68">
        <v>261.25</v>
      </c>
      <c r="G335" s="68">
        <v>261.25</v>
      </c>
      <c r="H335" s="68">
        <v>233.75</v>
      </c>
      <c r="I335" s="68">
        <v>320.51310043668121</v>
      </c>
    </row>
    <row r="336" spans="1:9" x14ac:dyDescent="0.3">
      <c r="A336" s="69">
        <f t="shared" si="3"/>
        <v>40316</v>
      </c>
      <c r="B336" s="68">
        <v>476.66666666666669</v>
      </c>
      <c r="C336" s="68">
        <v>413.33333333333331</v>
      </c>
      <c r="D336" s="68">
        <v>416.66666666666669</v>
      </c>
      <c r="E336" s="68">
        <v>300</v>
      </c>
      <c r="F336" s="68">
        <v>355</v>
      </c>
      <c r="G336" s="68">
        <v>355</v>
      </c>
      <c r="H336" s="68">
        <v>276.66666666666669</v>
      </c>
      <c r="I336" s="68">
        <v>379.3595342066958</v>
      </c>
    </row>
    <row r="337" spans="1:9" x14ac:dyDescent="0.3">
      <c r="A337" s="69">
        <f t="shared" si="3"/>
        <v>40323</v>
      </c>
      <c r="B337" s="68">
        <v>403.75</v>
      </c>
      <c r="C337" s="68">
        <v>337.5</v>
      </c>
      <c r="D337" s="68">
        <v>337.5</v>
      </c>
      <c r="E337" s="68">
        <v>230</v>
      </c>
      <c r="F337" s="68">
        <v>316.25</v>
      </c>
      <c r="G337" s="68">
        <v>316.25</v>
      </c>
      <c r="H337" s="68">
        <v>220</v>
      </c>
      <c r="I337" s="68">
        <v>301.65938864628822</v>
      </c>
    </row>
    <row r="338" spans="1:9" x14ac:dyDescent="0.3">
      <c r="A338" s="69">
        <f t="shared" si="3"/>
        <v>40330</v>
      </c>
      <c r="B338" s="68">
        <v>374</v>
      </c>
      <c r="C338" s="68">
        <v>312</v>
      </c>
      <c r="D338" s="68">
        <v>314</v>
      </c>
      <c r="E338" s="68">
        <v>216</v>
      </c>
      <c r="F338" s="68">
        <v>291</v>
      </c>
      <c r="G338" s="68">
        <v>291</v>
      </c>
      <c r="H338" s="68">
        <v>199</v>
      </c>
      <c r="I338" s="68">
        <v>273</v>
      </c>
    </row>
    <row r="339" spans="1:9" x14ac:dyDescent="0.3">
      <c r="A339" s="69">
        <f t="shared" si="3"/>
        <v>40337</v>
      </c>
      <c r="B339" s="68">
        <v>362.5</v>
      </c>
      <c r="C339" s="68">
        <v>298.75</v>
      </c>
      <c r="D339" s="68">
        <v>293.75</v>
      </c>
      <c r="E339" s="68">
        <v>198.75</v>
      </c>
      <c r="F339" s="68">
        <v>261.25</v>
      </c>
      <c r="G339" s="68">
        <v>261.25</v>
      </c>
      <c r="H339" s="68">
        <v>188.75</v>
      </c>
      <c r="I339" s="68">
        <v>258.81004366812226</v>
      </c>
    </row>
    <row r="340" spans="1:9" x14ac:dyDescent="0.3">
      <c r="A340" s="69">
        <f t="shared" si="3"/>
        <v>40344</v>
      </c>
      <c r="B340" s="68">
        <v>362.5</v>
      </c>
      <c r="C340" s="68">
        <v>302.5</v>
      </c>
      <c r="D340" s="68">
        <v>298.75</v>
      </c>
      <c r="E340" s="68">
        <v>201.25</v>
      </c>
      <c r="F340" s="68">
        <v>257.5</v>
      </c>
      <c r="G340" s="68">
        <v>257.5</v>
      </c>
      <c r="H340" s="68">
        <v>190</v>
      </c>
      <c r="I340" s="68">
        <v>260.52401746724894</v>
      </c>
    </row>
    <row r="341" spans="1:9" x14ac:dyDescent="0.3">
      <c r="A341" s="69">
        <f t="shared" si="3"/>
        <v>40351</v>
      </c>
      <c r="B341" s="68">
        <v>360</v>
      </c>
      <c r="C341" s="68">
        <v>305</v>
      </c>
      <c r="D341" s="68">
        <v>298.33333333333331</v>
      </c>
      <c r="E341" s="68">
        <v>200</v>
      </c>
      <c r="F341" s="68">
        <v>236.66666666666666</v>
      </c>
      <c r="G341" s="68">
        <v>236.66666666666666</v>
      </c>
      <c r="H341" s="68">
        <v>190</v>
      </c>
      <c r="I341" s="68">
        <v>260.52401746724894</v>
      </c>
    </row>
    <row r="342" spans="1:9" x14ac:dyDescent="0.3">
      <c r="A342" s="69">
        <f t="shared" si="3"/>
        <v>40358</v>
      </c>
      <c r="B342" s="68">
        <v>393</v>
      </c>
      <c r="C342" s="68">
        <v>321</v>
      </c>
      <c r="D342" s="68">
        <v>296</v>
      </c>
      <c r="E342" s="68">
        <v>200</v>
      </c>
      <c r="F342" s="68">
        <v>227</v>
      </c>
      <c r="G342" s="68">
        <v>227</v>
      </c>
      <c r="H342" s="68">
        <v>190</v>
      </c>
      <c r="I342" s="68">
        <v>260.52401746724894</v>
      </c>
    </row>
    <row r="343" spans="1:9" x14ac:dyDescent="0.3">
      <c r="A343" s="69">
        <f t="shared" si="3"/>
        <v>40365</v>
      </c>
      <c r="B343" s="68">
        <v>405</v>
      </c>
      <c r="C343" s="68">
        <v>330</v>
      </c>
      <c r="D343" s="68">
        <v>325</v>
      </c>
      <c r="E343" s="68">
        <v>224</v>
      </c>
      <c r="F343" s="68">
        <v>249</v>
      </c>
      <c r="G343" s="68">
        <v>249</v>
      </c>
      <c r="H343" s="68">
        <v>203</v>
      </c>
      <c r="I343" s="68">
        <v>278</v>
      </c>
    </row>
    <row r="344" spans="1:9" x14ac:dyDescent="0.3">
      <c r="A344" s="69">
        <f t="shared" si="3"/>
        <v>40372</v>
      </c>
      <c r="B344" s="68">
        <v>458.75</v>
      </c>
      <c r="C344" s="68">
        <v>391.25</v>
      </c>
      <c r="D344" s="68">
        <v>387.5</v>
      </c>
      <c r="E344" s="68">
        <v>293.75</v>
      </c>
      <c r="F344" s="68">
        <v>302.5</v>
      </c>
      <c r="G344" s="68">
        <v>302.5</v>
      </c>
      <c r="H344" s="68">
        <v>267.5</v>
      </c>
      <c r="I344" s="68">
        <v>366.79039301310041</v>
      </c>
    </row>
    <row r="345" spans="1:9" x14ac:dyDescent="0.3">
      <c r="A345" s="69">
        <f t="shared" si="3"/>
        <v>40379</v>
      </c>
      <c r="B345" s="68">
        <v>496.25</v>
      </c>
      <c r="C345" s="68">
        <v>427.5</v>
      </c>
      <c r="D345" s="68">
        <v>425</v>
      </c>
      <c r="E345" s="68">
        <v>325</v>
      </c>
      <c r="F345" s="68">
        <v>405</v>
      </c>
      <c r="G345" s="68">
        <v>405</v>
      </c>
      <c r="H345" s="68">
        <v>313.75</v>
      </c>
      <c r="I345" s="68">
        <v>430.20742358078604</v>
      </c>
    </row>
    <row r="346" spans="1:9" x14ac:dyDescent="0.3">
      <c r="A346" s="69">
        <f t="shared" si="3"/>
        <v>40386</v>
      </c>
      <c r="B346" s="68">
        <v>461.66666666666669</v>
      </c>
      <c r="C346" s="68">
        <v>396.66666666666669</v>
      </c>
      <c r="D346" s="68">
        <v>388.33333333333331</v>
      </c>
      <c r="E346" s="68">
        <v>298.33333333333331</v>
      </c>
      <c r="F346" s="68">
        <v>396.66666666666669</v>
      </c>
      <c r="G346" s="68">
        <v>396.66666666666669</v>
      </c>
      <c r="H346" s="68">
        <v>290</v>
      </c>
      <c r="I346" s="68">
        <v>381.76128093158667</v>
      </c>
    </row>
    <row r="347" spans="1:9" x14ac:dyDescent="0.3">
      <c r="A347" s="69">
        <f t="shared" si="3"/>
        <v>40393</v>
      </c>
      <c r="B347" s="68">
        <v>452.5</v>
      </c>
      <c r="C347" s="68">
        <v>386.25</v>
      </c>
      <c r="D347" s="68">
        <v>371.25</v>
      </c>
      <c r="E347" s="68">
        <v>296.25</v>
      </c>
      <c r="F347" s="68">
        <v>393.75</v>
      </c>
      <c r="G347" s="68">
        <v>393.75</v>
      </c>
      <c r="H347" s="68">
        <v>288.75</v>
      </c>
      <c r="I347" s="68">
        <v>395.9279475982533</v>
      </c>
    </row>
    <row r="348" spans="1:9" x14ac:dyDescent="0.3">
      <c r="A348" s="69">
        <f t="shared" si="3"/>
        <v>40400</v>
      </c>
      <c r="B348" s="68">
        <v>461</v>
      </c>
      <c r="C348" s="68">
        <v>438</v>
      </c>
      <c r="D348" s="68">
        <v>433</v>
      </c>
      <c r="E348" s="68">
        <v>377</v>
      </c>
      <c r="F348" s="68">
        <v>447</v>
      </c>
      <c r="G348" s="68">
        <v>447</v>
      </c>
      <c r="H348" s="68">
        <v>375</v>
      </c>
      <c r="I348" s="68">
        <v>514.19213973799128</v>
      </c>
    </row>
    <row r="349" spans="1:9" x14ac:dyDescent="0.3">
      <c r="A349" s="69">
        <f t="shared" si="3"/>
        <v>40407</v>
      </c>
      <c r="B349" s="68">
        <v>456</v>
      </c>
      <c r="C349" s="68">
        <v>435</v>
      </c>
      <c r="D349" s="68">
        <v>437</v>
      </c>
      <c r="E349" s="68">
        <v>392</v>
      </c>
      <c r="F349" s="68">
        <v>461</v>
      </c>
      <c r="G349" s="68">
        <v>461</v>
      </c>
      <c r="H349" s="68">
        <v>392</v>
      </c>
      <c r="I349" s="68">
        <v>491.82532751091702</v>
      </c>
    </row>
    <row r="350" spans="1:9" x14ac:dyDescent="0.3">
      <c r="A350" s="69">
        <f t="shared" si="3"/>
        <v>40414</v>
      </c>
      <c r="B350" s="68">
        <v>481.25</v>
      </c>
      <c r="C350" s="68">
        <v>456.25</v>
      </c>
      <c r="D350" s="68">
        <v>456.25</v>
      </c>
      <c r="E350" s="68">
        <v>450</v>
      </c>
      <c r="F350" s="68">
        <v>551.25</v>
      </c>
      <c r="G350" s="68">
        <v>551.25</v>
      </c>
      <c r="H350" s="68">
        <v>437.5</v>
      </c>
      <c r="I350" s="68">
        <v>479.91266375545854</v>
      </c>
    </row>
    <row r="351" spans="1:9" x14ac:dyDescent="0.3">
      <c r="A351" s="69">
        <f t="shared" si="3"/>
        <v>40421</v>
      </c>
      <c r="B351" s="68">
        <v>506.25</v>
      </c>
      <c r="C351" s="68">
        <v>493.75</v>
      </c>
      <c r="D351" s="68">
        <v>506.25</v>
      </c>
      <c r="E351" s="68">
        <v>525</v>
      </c>
      <c r="F351" s="68">
        <v>616.25</v>
      </c>
      <c r="G351" s="68">
        <v>616.25</v>
      </c>
      <c r="H351" s="68">
        <v>500</v>
      </c>
      <c r="I351" s="68">
        <v>685.58951965065501</v>
      </c>
    </row>
    <row r="352" spans="1:9" x14ac:dyDescent="0.3">
      <c r="A352" s="69">
        <f t="shared" si="3"/>
        <v>40428</v>
      </c>
      <c r="B352" s="68">
        <v>506.25</v>
      </c>
      <c r="C352" s="68">
        <v>500</v>
      </c>
      <c r="D352" s="68">
        <v>495</v>
      </c>
      <c r="E352" s="68">
        <v>506.25</v>
      </c>
      <c r="F352" s="68">
        <v>602.5</v>
      </c>
      <c r="G352" s="68">
        <v>602.5</v>
      </c>
      <c r="H352" s="68">
        <v>487.5</v>
      </c>
      <c r="I352" s="68">
        <v>668.44978165938869</v>
      </c>
    </row>
    <row r="353" spans="1:9" x14ac:dyDescent="0.3">
      <c r="A353" s="69">
        <f t="shared" si="3"/>
        <v>40435</v>
      </c>
      <c r="B353" s="68">
        <v>483.33333333333331</v>
      </c>
      <c r="C353" s="68">
        <v>480</v>
      </c>
      <c r="D353" s="68">
        <v>483.75</v>
      </c>
      <c r="E353" s="68">
        <v>475</v>
      </c>
      <c r="F353" s="68">
        <v>546.66666666666663</v>
      </c>
      <c r="G353" s="68">
        <v>546.66666666666663</v>
      </c>
      <c r="H353" s="68">
        <v>463.33333333333331</v>
      </c>
      <c r="I353" s="68">
        <v>476.48471615720518</v>
      </c>
    </row>
    <row r="354" spans="1:9" x14ac:dyDescent="0.3">
      <c r="A354" s="69">
        <f t="shared" si="3"/>
        <v>40442</v>
      </c>
      <c r="B354" s="68">
        <v>531.25</v>
      </c>
      <c r="C354" s="68">
        <v>522.5</v>
      </c>
      <c r="D354" s="68">
        <v>545</v>
      </c>
      <c r="E354" s="68">
        <v>500</v>
      </c>
      <c r="F354" s="68">
        <v>587.5</v>
      </c>
      <c r="G354" s="68">
        <v>587.5</v>
      </c>
      <c r="H354" s="68">
        <v>466.25</v>
      </c>
      <c r="I354" s="68">
        <v>639.31222707423581</v>
      </c>
    </row>
    <row r="355" spans="1:9" x14ac:dyDescent="0.3">
      <c r="A355" s="69">
        <f t="shared" si="3"/>
        <v>40449</v>
      </c>
      <c r="B355" s="68">
        <v>553.75</v>
      </c>
      <c r="C355" s="68">
        <v>536.25</v>
      </c>
      <c r="D355" s="68">
        <v>558.75</v>
      </c>
      <c r="E355" s="68">
        <v>497.5</v>
      </c>
      <c r="F355" s="68">
        <v>585</v>
      </c>
      <c r="G355" s="68">
        <v>585</v>
      </c>
      <c r="H355" s="68">
        <v>462.5</v>
      </c>
      <c r="I355" s="68">
        <v>634.17030567685583</v>
      </c>
    </row>
    <row r="356" spans="1:9" x14ac:dyDescent="0.3">
      <c r="A356" s="69">
        <f t="shared" si="3"/>
        <v>40456</v>
      </c>
      <c r="B356" s="68">
        <v>656.25</v>
      </c>
      <c r="C356" s="68">
        <v>626.25</v>
      </c>
      <c r="D356" s="68">
        <v>643.75</v>
      </c>
      <c r="E356" s="68">
        <v>538.75</v>
      </c>
      <c r="F356" s="68">
        <v>650</v>
      </c>
      <c r="G356" s="68">
        <v>650</v>
      </c>
      <c r="H356" s="68">
        <v>513.75</v>
      </c>
      <c r="I356" s="68">
        <v>704.44323144104806</v>
      </c>
    </row>
    <row r="357" spans="1:9" x14ac:dyDescent="0.3">
      <c r="A357" s="69">
        <f t="shared" si="3"/>
        <v>40463</v>
      </c>
      <c r="B357" s="68">
        <v>718.75</v>
      </c>
      <c r="C357" s="68">
        <v>700</v>
      </c>
      <c r="D357" s="68">
        <v>593.75</v>
      </c>
      <c r="E357" s="68">
        <v>537.5</v>
      </c>
      <c r="F357" s="68">
        <v>700</v>
      </c>
      <c r="G357" s="68">
        <v>700</v>
      </c>
      <c r="H357" s="68">
        <v>500</v>
      </c>
      <c r="I357" s="68">
        <v>685.58951965065501</v>
      </c>
    </row>
    <row r="358" spans="1:9" x14ac:dyDescent="0.3">
      <c r="A358" s="69">
        <f t="shared" si="3"/>
        <v>40470</v>
      </c>
      <c r="B358" s="68">
        <v>731.25</v>
      </c>
      <c r="C358" s="68">
        <v>650</v>
      </c>
      <c r="D358" s="68">
        <v>552.5</v>
      </c>
      <c r="E358" s="68">
        <v>518.75</v>
      </c>
      <c r="F358" s="68">
        <v>596.25</v>
      </c>
      <c r="G358" s="68">
        <v>596</v>
      </c>
      <c r="H358" s="68">
        <v>491.25</v>
      </c>
      <c r="I358" s="68">
        <v>673.59170305676855</v>
      </c>
    </row>
    <row r="359" spans="1:9" x14ac:dyDescent="0.3">
      <c r="A359" s="69">
        <f t="shared" si="3"/>
        <v>40477</v>
      </c>
      <c r="B359" s="68">
        <v>632.5</v>
      </c>
      <c r="C359" s="68">
        <v>541.25</v>
      </c>
      <c r="D359" s="68">
        <v>491.25</v>
      </c>
      <c r="E359" s="68">
        <v>475</v>
      </c>
      <c r="F359" s="68">
        <v>475</v>
      </c>
      <c r="G359" s="68">
        <v>475</v>
      </c>
      <c r="H359" s="68">
        <v>418.75</v>
      </c>
      <c r="I359" s="68">
        <v>574.18122270742356</v>
      </c>
    </row>
    <row r="360" spans="1:9" x14ac:dyDescent="0.3">
      <c r="A360" s="69">
        <f t="shared" si="3"/>
        <v>40484</v>
      </c>
      <c r="B360" s="68">
        <v>618.75</v>
      </c>
      <c r="C360" s="68">
        <v>546.25</v>
      </c>
      <c r="D360" s="68">
        <v>443.75</v>
      </c>
      <c r="E360" s="68">
        <v>382.5</v>
      </c>
      <c r="F360" s="68">
        <v>397.5</v>
      </c>
      <c r="G360" s="68">
        <v>397.5</v>
      </c>
      <c r="H360" s="68">
        <v>325</v>
      </c>
      <c r="I360" s="68">
        <v>445.63318777292574</v>
      </c>
    </row>
    <row r="361" spans="1:9" x14ac:dyDescent="0.3">
      <c r="A361" s="69">
        <f t="shared" si="3"/>
        <v>40491</v>
      </c>
      <c r="B361" s="68">
        <v>618.33333333333337</v>
      </c>
      <c r="C361" s="68">
        <v>523.33333333333337</v>
      </c>
      <c r="D361" s="68">
        <v>458.33333333333331</v>
      </c>
      <c r="E361" s="68">
        <v>408.33333333333331</v>
      </c>
      <c r="F361" s="68">
        <v>405</v>
      </c>
      <c r="G361" s="68">
        <v>405</v>
      </c>
      <c r="H361" s="68">
        <v>335</v>
      </c>
      <c r="I361" s="68">
        <v>459.34497816593881</v>
      </c>
    </row>
    <row r="362" spans="1:9" x14ac:dyDescent="0.3">
      <c r="A362" s="69">
        <f t="shared" si="3"/>
        <v>40498</v>
      </c>
      <c r="B362" s="68">
        <v>481.25</v>
      </c>
      <c r="C362" s="68">
        <v>408.75</v>
      </c>
      <c r="D362" s="68">
        <v>410</v>
      </c>
      <c r="E362" s="68">
        <v>321.25</v>
      </c>
      <c r="F362" s="68">
        <v>393.75</v>
      </c>
      <c r="G362" s="68">
        <v>393.75</v>
      </c>
      <c r="H362" s="68">
        <v>298.75</v>
      </c>
      <c r="I362" s="68">
        <v>409.63973799126637</v>
      </c>
    </row>
    <row r="363" spans="1:9" x14ac:dyDescent="0.3">
      <c r="A363" s="69">
        <f t="shared" si="3"/>
        <v>40505</v>
      </c>
      <c r="B363" s="68">
        <v>450</v>
      </c>
      <c r="C363" s="68">
        <v>438.75</v>
      </c>
      <c r="D363" s="68">
        <v>460</v>
      </c>
      <c r="E363" s="68">
        <v>371.25</v>
      </c>
      <c r="F363" s="68">
        <v>405</v>
      </c>
      <c r="G363" s="68">
        <v>405</v>
      </c>
      <c r="H363" s="68">
        <v>338.33333333333331</v>
      </c>
      <c r="I363" s="68">
        <v>463.91557496360991</v>
      </c>
    </row>
    <row r="364" spans="1:9" x14ac:dyDescent="0.3">
      <c r="A364" s="69">
        <f t="shared" si="3"/>
        <v>40512</v>
      </c>
      <c r="B364" s="114"/>
      <c r="C364" s="114">
        <v>453.75</v>
      </c>
      <c r="D364" s="114">
        <v>466.25</v>
      </c>
      <c r="E364" s="114">
        <v>365</v>
      </c>
      <c r="F364" s="114">
        <v>471.25</v>
      </c>
      <c r="G364" s="114">
        <v>471.25</v>
      </c>
      <c r="H364" s="114">
        <v>340</v>
      </c>
      <c r="I364" s="114">
        <v>466.20087336244541</v>
      </c>
    </row>
    <row r="365" spans="1:9" x14ac:dyDescent="0.3">
      <c r="A365" s="69">
        <f t="shared" ref="A365:A453" si="4">7+A364</f>
        <v>40519</v>
      </c>
      <c r="B365" s="68"/>
      <c r="C365" s="68"/>
      <c r="D365" s="68">
        <v>559</v>
      </c>
      <c r="E365" s="68">
        <v>438</v>
      </c>
      <c r="F365" s="68">
        <v>498</v>
      </c>
      <c r="G365" s="68">
        <v>498</v>
      </c>
      <c r="H365" s="68">
        <v>400</v>
      </c>
      <c r="I365" s="68">
        <v>548</v>
      </c>
    </row>
    <row r="366" spans="1:9" x14ac:dyDescent="0.3">
      <c r="A366" s="69">
        <f t="shared" si="4"/>
        <v>40526</v>
      </c>
      <c r="B366" s="68"/>
      <c r="C366" s="68"/>
      <c r="D366" s="68">
        <v>581.25</v>
      </c>
      <c r="E366" s="68">
        <v>473.75</v>
      </c>
      <c r="F366" s="68">
        <v>493.75</v>
      </c>
      <c r="G366" s="68">
        <v>493.75</v>
      </c>
      <c r="H366" s="68">
        <v>417.5</v>
      </c>
      <c r="I366" s="68">
        <v>572.46724890829694</v>
      </c>
    </row>
    <row r="367" spans="1:9" x14ac:dyDescent="0.3">
      <c r="A367" s="69">
        <f t="shared" si="4"/>
        <v>40533</v>
      </c>
      <c r="B367" s="68"/>
      <c r="C367" s="68"/>
      <c r="D367" s="68">
        <v>517.5</v>
      </c>
      <c r="E367" s="68">
        <v>381.66666666666669</v>
      </c>
      <c r="F367" s="68">
        <v>407.5</v>
      </c>
      <c r="G367" s="68">
        <v>407.5</v>
      </c>
      <c r="H367" s="68">
        <v>358.75</v>
      </c>
      <c r="I367" s="68">
        <v>491.91048034934499</v>
      </c>
    </row>
    <row r="368" spans="1:9" x14ac:dyDescent="0.3">
      <c r="A368" s="69">
        <f t="shared" si="4"/>
        <v>40540</v>
      </c>
      <c r="D368" s="68">
        <v>483.33333333333331</v>
      </c>
      <c r="E368" s="68">
        <v>340</v>
      </c>
      <c r="F368" s="68">
        <v>408.33333333333331</v>
      </c>
      <c r="G368" s="68">
        <v>408.33333333333331</v>
      </c>
      <c r="H368" s="68">
        <v>296.66666666666669</v>
      </c>
      <c r="I368" s="68">
        <v>406.78311499272195</v>
      </c>
    </row>
    <row r="369" spans="1:10" x14ac:dyDescent="0.3">
      <c r="A369" s="69">
        <f t="shared" si="4"/>
        <v>40547</v>
      </c>
      <c r="C369" s="68"/>
      <c r="D369" s="68">
        <v>412.5</v>
      </c>
      <c r="E369" s="68">
        <v>301.25</v>
      </c>
      <c r="F369" s="68">
        <v>377.5</v>
      </c>
      <c r="G369" s="68">
        <v>377.5</v>
      </c>
      <c r="H369" s="68">
        <v>277.5</v>
      </c>
      <c r="I369" s="68">
        <v>380.50218340611355</v>
      </c>
    </row>
    <row r="370" spans="1:10" x14ac:dyDescent="0.3">
      <c r="A370" s="69">
        <f t="shared" si="4"/>
        <v>40554</v>
      </c>
      <c r="B370" s="68"/>
      <c r="C370" s="68"/>
      <c r="D370" s="68">
        <v>450</v>
      </c>
      <c r="E370" s="68">
        <v>380</v>
      </c>
      <c r="F370" s="68">
        <v>436.25</v>
      </c>
      <c r="G370" s="68">
        <v>436.25</v>
      </c>
      <c r="H370" s="68">
        <v>360</v>
      </c>
      <c r="I370" s="68">
        <v>493.62445414847161</v>
      </c>
      <c r="J370" s="68"/>
    </row>
    <row r="371" spans="1:10" x14ac:dyDescent="0.3">
      <c r="A371" s="69">
        <f t="shared" si="4"/>
        <v>40561</v>
      </c>
      <c r="B371" s="68"/>
      <c r="C371" s="68"/>
      <c r="D371" s="88">
        <v>457.5</v>
      </c>
      <c r="E371" s="88">
        <v>396.25</v>
      </c>
      <c r="F371" s="88">
        <v>438.75</v>
      </c>
      <c r="G371" s="88">
        <v>438.75</v>
      </c>
      <c r="H371" s="88">
        <v>372.5</v>
      </c>
      <c r="I371" s="88">
        <v>510.76419213973799</v>
      </c>
    </row>
    <row r="372" spans="1:10" x14ac:dyDescent="0.3">
      <c r="A372" s="69">
        <f t="shared" si="4"/>
        <v>40568</v>
      </c>
      <c r="B372" s="114"/>
      <c r="C372" s="114"/>
      <c r="D372" s="88">
        <v>456.25</v>
      </c>
      <c r="E372" s="88">
        <v>397.5</v>
      </c>
      <c r="F372" s="88">
        <v>400</v>
      </c>
      <c r="G372" s="88">
        <v>400</v>
      </c>
      <c r="H372" s="88">
        <v>331.25</v>
      </c>
      <c r="I372" s="88">
        <v>454.20305676855889</v>
      </c>
    </row>
    <row r="373" spans="1:10" x14ac:dyDescent="0.3">
      <c r="A373" s="69">
        <f t="shared" si="4"/>
        <v>40575</v>
      </c>
      <c r="B373" s="88"/>
      <c r="C373" s="88"/>
      <c r="D373" s="88">
        <v>550</v>
      </c>
      <c r="E373" s="88">
        <v>473.75</v>
      </c>
      <c r="F373" s="88">
        <v>422.5</v>
      </c>
      <c r="G373" s="88">
        <v>422.5</v>
      </c>
      <c r="H373" s="88">
        <v>383.33333333333331</v>
      </c>
      <c r="I373" s="88">
        <v>525.61863173216886</v>
      </c>
    </row>
    <row r="374" spans="1:10" x14ac:dyDescent="0.3">
      <c r="A374" s="69">
        <f t="shared" si="4"/>
        <v>40582</v>
      </c>
      <c r="B374" s="88"/>
      <c r="C374" s="88"/>
      <c r="D374" s="88">
        <v>537.5</v>
      </c>
      <c r="E374" s="88">
        <v>428.75</v>
      </c>
      <c r="F374" s="88">
        <v>435</v>
      </c>
      <c r="G374" s="88">
        <v>435</v>
      </c>
      <c r="H374" s="88">
        <v>391.25</v>
      </c>
      <c r="I374" s="88">
        <v>536.47379912663757</v>
      </c>
    </row>
    <row r="375" spans="1:10" x14ac:dyDescent="0.3">
      <c r="A375" s="69">
        <f t="shared" si="4"/>
        <v>40589</v>
      </c>
      <c r="B375" s="88"/>
      <c r="C375" s="88"/>
      <c r="D375" s="88">
        <v>583.75</v>
      </c>
      <c r="E375" s="88">
        <v>487.5</v>
      </c>
      <c r="F375" s="88">
        <v>500</v>
      </c>
      <c r="G375" s="88">
        <v>500</v>
      </c>
      <c r="H375" s="88">
        <v>437.5</v>
      </c>
      <c r="I375" s="88">
        <v>599.8908296943232</v>
      </c>
    </row>
    <row r="376" spans="1:10" x14ac:dyDescent="0.3">
      <c r="A376" s="69">
        <f t="shared" si="4"/>
        <v>40596</v>
      </c>
      <c r="B376" s="68"/>
      <c r="C376" s="68"/>
      <c r="D376" s="68">
        <v>537.5</v>
      </c>
      <c r="E376" s="68">
        <v>440</v>
      </c>
      <c r="F376" s="68">
        <v>462.5</v>
      </c>
      <c r="G376" s="68">
        <v>462.5</v>
      </c>
      <c r="H376" s="68">
        <v>400</v>
      </c>
      <c r="I376" s="68">
        <v>548.47161572052403</v>
      </c>
    </row>
    <row r="377" spans="1:10" x14ac:dyDescent="0.3">
      <c r="A377" s="69">
        <f t="shared" si="4"/>
        <v>40603</v>
      </c>
      <c r="B377" s="68"/>
      <c r="C377" s="68"/>
      <c r="D377" s="88">
        <v>497.5</v>
      </c>
      <c r="E377" s="88">
        <v>380</v>
      </c>
      <c r="F377" s="88">
        <v>423.75</v>
      </c>
      <c r="G377" s="88">
        <v>427.5</v>
      </c>
      <c r="H377" s="88">
        <v>331.66666666666669</v>
      </c>
      <c r="I377" s="88">
        <v>454.77438136826777</v>
      </c>
    </row>
    <row r="378" spans="1:10" x14ac:dyDescent="0.3">
      <c r="A378" s="69">
        <f t="shared" si="4"/>
        <v>40610</v>
      </c>
      <c r="B378" s="68"/>
      <c r="C378" s="68"/>
      <c r="D378" s="88">
        <v>633.33333333333337</v>
      </c>
      <c r="E378" s="88">
        <v>518.75</v>
      </c>
      <c r="F378" s="88">
        <v>455</v>
      </c>
      <c r="G378" s="88">
        <v>455</v>
      </c>
      <c r="H378" s="88">
        <v>462.5</v>
      </c>
      <c r="I378" s="88">
        <v>634.17030567685583</v>
      </c>
    </row>
    <row r="379" spans="1:10" x14ac:dyDescent="0.3">
      <c r="A379" s="69">
        <f t="shared" si="4"/>
        <v>40617</v>
      </c>
      <c r="B379" s="88"/>
      <c r="C379" s="88"/>
      <c r="D379" s="88">
        <v>556.25</v>
      </c>
      <c r="E379" s="88">
        <v>475</v>
      </c>
      <c r="F379" s="88">
        <v>512.5</v>
      </c>
      <c r="G379" s="88">
        <v>512.5</v>
      </c>
      <c r="H379" s="88">
        <v>408.75</v>
      </c>
      <c r="I379" s="88">
        <v>560.46943231441048</v>
      </c>
    </row>
    <row r="380" spans="1:10" x14ac:dyDescent="0.3">
      <c r="A380" s="69">
        <f t="shared" si="4"/>
        <v>40624</v>
      </c>
      <c r="B380" s="88"/>
      <c r="C380" s="88">
        <v>506.25</v>
      </c>
      <c r="D380" s="88">
        <v>491.25</v>
      </c>
      <c r="E380" s="88">
        <v>375</v>
      </c>
      <c r="F380" s="88">
        <v>440</v>
      </c>
      <c r="G380" s="88">
        <v>440</v>
      </c>
      <c r="H380" s="88">
        <v>350</v>
      </c>
      <c r="I380" s="88">
        <v>479.91266375545848</v>
      </c>
    </row>
    <row r="381" spans="1:10" x14ac:dyDescent="0.3">
      <c r="A381" s="69">
        <f t="shared" si="4"/>
        <v>40631</v>
      </c>
      <c r="B381" s="88"/>
      <c r="C381" s="88">
        <v>511.66666666666669</v>
      </c>
      <c r="D381" s="88">
        <v>506.66666666666669</v>
      </c>
      <c r="E381" s="88">
        <v>383.33333333333331</v>
      </c>
      <c r="F381" s="88">
        <v>456.66666666666669</v>
      </c>
      <c r="G381" s="88">
        <v>456.66666666666669</v>
      </c>
      <c r="H381" s="88">
        <v>331.66666666666669</v>
      </c>
      <c r="I381" s="88">
        <v>454.77438136826783</v>
      </c>
    </row>
    <row r="382" spans="1:10" x14ac:dyDescent="0.3">
      <c r="A382" s="69">
        <f t="shared" si="4"/>
        <v>40638</v>
      </c>
      <c r="B382" s="88"/>
      <c r="C382" s="88">
        <v>466.66666666666669</v>
      </c>
      <c r="D382" s="88">
        <v>471.66666666666669</v>
      </c>
      <c r="E382" s="88">
        <v>363.33333333333331</v>
      </c>
      <c r="F382" s="88">
        <v>488.33333333333331</v>
      </c>
      <c r="G382" s="88">
        <v>488.33333333333331</v>
      </c>
      <c r="H382" s="88">
        <v>333.33333333333331</v>
      </c>
      <c r="I382" s="88">
        <v>457.05967976710332</v>
      </c>
    </row>
    <row r="383" spans="1:10" x14ac:dyDescent="0.3">
      <c r="A383" s="69">
        <f t="shared" si="4"/>
        <v>40645</v>
      </c>
      <c r="B383" s="88"/>
      <c r="C383" s="88">
        <v>418.75</v>
      </c>
      <c r="D383" s="88">
        <v>428.75</v>
      </c>
      <c r="E383" s="88">
        <v>313.75</v>
      </c>
      <c r="F383" s="88">
        <v>433.75</v>
      </c>
      <c r="G383" s="88">
        <v>433.75</v>
      </c>
      <c r="H383" s="88">
        <v>282.5</v>
      </c>
      <c r="I383" s="88">
        <v>387.35807860262008</v>
      </c>
    </row>
    <row r="384" spans="1:10" x14ac:dyDescent="0.3">
      <c r="A384" s="69">
        <f t="shared" si="4"/>
        <v>40652</v>
      </c>
      <c r="B384" s="88"/>
      <c r="C384" s="88"/>
      <c r="D384" s="88">
        <v>413.33333333333331</v>
      </c>
      <c r="E384" s="88">
        <v>300</v>
      </c>
      <c r="F384" s="88">
        <v>411.66666666666669</v>
      </c>
      <c r="G384" s="88">
        <v>416.66666666666669</v>
      </c>
      <c r="H384" s="88">
        <v>265</v>
      </c>
      <c r="I384" s="88">
        <v>363.36244541484712</v>
      </c>
    </row>
    <row r="385" spans="1:9" x14ac:dyDescent="0.3">
      <c r="A385" s="69">
        <f t="shared" si="4"/>
        <v>40659</v>
      </c>
      <c r="B385" s="88"/>
      <c r="C385" s="88"/>
      <c r="D385" s="88">
        <v>402</v>
      </c>
      <c r="E385" s="88">
        <v>300</v>
      </c>
      <c r="F385" s="88"/>
      <c r="G385" s="88"/>
      <c r="H385" s="88"/>
      <c r="I385" s="88"/>
    </row>
    <row r="386" spans="1:9" x14ac:dyDescent="0.3">
      <c r="A386" s="69">
        <f t="shared" si="4"/>
        <v>40666</v>
      </c>
      <c r="B386" s="88"/>
      <c r="C386" s="88">
        <v>465</v>
      </c>
      <c r="D386" s="88">
        <v>460</v>
      </c>
      <c r="E386" s="88">
        <v>327.5</v>
      </c>
      <c r="F386" s="88">
        <v>386.66666666666669</v>
      </c>
      <c r="G386" s="88">
        <v>386.66666666666669</v>
      </c>
      <c r="H386" s="88"/>
      <c r="I386" s="88"/>
    </row>
    <row r="387" spans="1:9" x14ac:dyDescent="0.3">
      <c r="A387" s="69">
        <f t="shared" si="4"/>
        <v>40673</v>
      </c>
      <c r="B387" s="115">
        <v>555</v>
      </c>
      <c r="C387" s="115">
        <v>445</v>
      </c>
      <c r="D387" s="115">
        <v>425</v>
      </c>
      <c r="E387" s="115">
        <v>325</v>
      </c>
      <c r="F387" s="115">
        <v>400</v>
      </c>
      <c r="G387" s="115">
        <v>405</v>
      </c>
      <c r="H387" s="115">
        <v>300</v>
      </c>
      <c r="I387" s="88"/>
    </row>
    <row r="388" spans="1:9" x14ac:dyDescent="0.3">
      <c r="A388" s="69">
        <f t="shared" si="4"/>
        <v>40680</v>
      </c>
      <c r="B388" s="115">
        <v>550</v>
      </c>
      <c r="C388" s="115">
        <v>433.33333333333331</v>
      </c>
      <c r="D388" s="115">
        <v>421.66666666666669</v>
      </c>
      <c r="E388" s="115">
        <v>315</v>
      </c>
      <c r="F388" s="115">
        <v>425</v>
      </c>
      <c r="G388" s="115">
        <v>425</v>
      </c>
      <c r="H388" s="115">
        <v>292</v>
      </c>
      <c r="I388" s="115"/>
    </row>
    <row r="389" spans="1:9" x14ac:dyDescent="0.3">
      <c r="A389" s="69">
        <f t="shared" si="4"/>
        <v>40687</v>
      </c>
      <c r="B389" s="68">
        <v>530</v>
      </c>
      <c r="C389" s="68">
        <v>453.33333333333331</v>
      </c>
      <c r="D389" s="68">
        <v>448.75</v>
      </c>
      <c r="E389" s="68">
        <v>331.25</v>
      </c>
      <c r="F389" s="68">
        <v>435</v>
      </c>
      <c r="G389" s="68">
        <v>435</v>
      </c>
      <c r="H389" s="68">
        <v>295</v>
      </c>
      <c r="I389" s="115"/>
    </row>
    <row r="390" spans="1:9" x14ac:dyDescent="0.3">
      <c r="A390" s="69">
        <f t="shared" si="4"/>
        <v>40694</v>
      </c>
      <c r="B390" s="115">
        <v>542</v>
      </c>
      <c r="C390" s="115">
        <v>485</v>
      </c>
      <c r="D390" s="115">
        <v>463</v>
      </c>
      <c r="E390" s="115">
        <v>350</v>
      </c>
      <c r="F390" s="115">
        <v>438</v>
      </c>
      <c r="G390" s="115">
        <v>438</v>
      </c>
      <c r="H390" s="115">
        <v>308</v>
      </c>
      <c r="I390" s="115"/>
    </row>
    <row r="391" spans="1:9" x14ac:dyDescent="0.3">
      <c r="A391" s="69">
        <f t="shared" si="4"/>
        <v>40701</v>
      </c>
      <c r="B391" s="68">
        <v>550</v>
      </c>
      <c r="C391" s="68">
        <v>471.66666666666669</v>
      </c>
      <c r="D391" s="68">
        <v>446.66666666666669</v>
      </c>
      <c r="E391" s="68">
        <v>343.33333333333331</v>
      </c>
      <c r="F391" s="68">
        <v>411.25</v>
      </c>
      <c r="G391" s="68">
        <v>411.25</v>
      </c>
      <c r="H391" s="68">
        <v>312.5</v>
      </c>
    </row>
    <row r="392" spans="1:9" x14ac:dyDescent="0.3">
      <c r="A392" s="69">
        <f t="shared" si="4"/>
        <v>40708</v>
      </c>
      <c r="B392" s="68">
        <v>535</v>
      </c>
      <c r="C392" s="68">
        <v>475</v>
      </c>
      <c r="D392" s="68">
        <v>446.25</v>
      </c>
      <c r="E392" s="68">
        <v>337.5</v>
      </c>
      <c r="F392" s="68">
        <v>395</v>
      </c>
      <c r="G392" s="68">
        <v>395</v>
      </c>
      <c r="H392" s="68">
        <v>308.75</v>
      </c>
    </row>
    <row r="393" spans="1:9" x14ac:dyDescent="0.3">
      <c r="A393" s="69">
        <f t="shared" si="4"/>
        <v>40715</v>
      </c>
      <c r="B393" s="21">
        <v>557.5</v>
      </c>
      <c r="C393" s="21">
        <v>485</v>
      </c>
      <c r="D393" s="21">
        <v>450</v>
      </c>
      <c r="E393" s="21">
        <v>361.66666666666669</v>
      </c>
      <c r="F393" s="21">
        <v>393.33333333333331</v>
      </c>
      <c r="G393" s="21">
        <v>393.33333333333331</v>
      </c>
      <c r="H393" s="21">
        <v>323.33333333333331</v>
      </c>
      <c r="I393" s="21">
        <v>443.34788937409024</v>
      </c>
    </row>
    <row r="394" spans="1:9" x14ac:dyDescent="0.3">
      <c r="A394" s="69">
        <f t="shared" si="4"/>
        <v>40722</v>
      </c>
      <c r="B394" s="68">
        <v>550</v>
      </c>
      <c r="C394" s="68">
        <v>468.33333333333331</v>
      </c>
      <c r="D394" s="68">
        <v>445</v>
      </c>
      <c r="E394" s="68">
        <v>336.66666666666669</v>
      </c>
      <c r="F394" s="68">
        <v>405</v>
      </c>
      <c r="G394" s="68">
        <v>405</v>
      </c>
      <c r="H394" s="68">
        <v>303.33333333333331</v>
      </c>
      <c r="I394" s="68">
        <v>415.92430858806398</v>
      </c>
    </row>
    <row r="395" spans="1:9" x14ac:dyDescent="0.3">
      <c r="A395" s="69">
        <f t="shared" si="4"/>
        <v>40729</v>
      </c>
      <c r="B395" s="68">
        <v>548.33333333333337</v>
      </c>
      <c r="C395" s="68">
        <v>476.66666666666669</v>
      </c>
      <c r="D395" s="68">
        <v>460</v>
      </c>
      <c r="E395" s="68">
        <v>341.66666666666669</v>
      </c>
      <c r="F395" s="68">
        <v>398.33333333333331</v>
      </c>
      <c r="G395" s="68">
        <v>395</v>
      </c>
      <c r="H395" s="68">
        <v>311.66666666666669</v>
      </c>
      <c r="I395" s="68">
        <v>427.35080058224162</v>
      </c>
    </row>
    <row r="396" spans="1:9" x14ac:dyDescent="0.3">
      <c r="A396" s="69">
        <f t="shared" si="4"/>
        <v>40736</v>
      </c>
      <c r="B396" s="68">
        <v>533.33333333333337</v>
      </c>
      <c r="C396" s="68">
        <v>461.25</v>
      </c>
      <c r="D396" s="68">
        <v>448.75</v>
      </c>
      <c r="E396" s="68">
        <v>333.75</v>
      </c>
      <c r="F396" s="68">
        <v>400</v>
      </c>
      <c r="G396" s="68">
        <v>400</v>
      </c>
      <c r="H396" s="68">
        <v>308.33333333333331</v>
      </c>
      <c r="I396" s="68">
        <v>418.20960698689953</v>
      </c>
    </row>
    <row r="397" spans="1:9" x14ac:dyDescent="0.3">
      <c r="A397" s="69">
        <f t="shared" si="4"/>
        <v>40743</v>
      </c>
      <c r="B397" s="68">
        <v>515</v>
      </c>
      <c r="C397" s="68">
        <v>433.33333333333331</v>
      </c>
      <c r="D397" s="68">
        <v>431</v>
      </c>
      <c r="E397" s="68">
        <v>313</v>
      </c>
      <c r="F397" s="68">
        <v>395</v>
      </c>
      <c r="G397" s="68">
        <v>395</v>
      </c>
      <c r="H397" s="68">
        <v>300</v>
      </c>
      <c r="I397" s="68">
        <v>411.35371179039299</v>
      </c>
    </row>
    <row r="398" spans="1:9" x14ac:dyDescent="0.3">
      <c r="A398" s="69">
        <f t="shared" si="4"/>
        <v>40750</v>
      </c>
      <c r="B398" s="68">
        <v>465</v>
      </c>
      <c r="C398" s="68">
        <v>396.66666666666669</v>
      </c>
      <c r="D398" s="68">
        <v>390</v>
      </c>
      <c r="E398" s="68">
        <v>281.66666666666669</v>
      </c>
      <c r="F398" s="68">
        <v>375</v>
      </c>
      <c r="G398" s="68">
        <v>375</v>
      </c>
      <c r="H398" s="68">
        <v>270</v>
      </c>
      <c r="I398" s="68">
        <v>370.21834061135377</v>
      </c>
    </row>
    <row r="399" spans="1:9" x14ac:dyDescent="0.3">
      <c r="A399" s="69">
        <f t="shared" si="4"/>
        <v>40757</v>
      </c>
      <c r="B399" s="68">
        <v>445</v>
      </c>
      <c r="C399" s="68">
        <v>371.66666666666669</v>
      </c>
      <c r="D399" s="68">
        <v>361.66666666666669</v>
      </c>
      <c r="E399" s="68">
        <v>258.33333333333331</v>
      </c>
      <c r="F399" s="68">
        <v>356.66666666666669</v>
      </c>
      <c r="G399" s="68">
        <v>356.66666666666669</v>
      </c>
      <c r="H399" s="68">
        <v>250</v>
      </c>
      <c r="I399" s="68">
        <v>342.7947598253275</v>
      </c>
    </row>
    <row r="400" spans="1:9" x14ac:dyDescent="0.3">
      <c r="A400" s="69">
        <f t="shared" si="4"/>
        <v>40764</v>
      </c>
      <c r="B400" s="68">
        <v>453.33333333333331</v>
      </c>
      <c r="C400" s="68">
        <v>393.33333333333331</v>
      </c>
      <c r="D400" s="68">
        <v>376.66666666666669</v>
      </c>
      <c r="E400" s="68">
        <v>290</v>
      </c>
      <c r="F400" s="68">
        <v>358.33333333333331</v>
      </c>
      <c r="G400" s="68">
        <v>358.33333333333331</v>
      </c>
      <c r="H400" s="68">
        <v>275</v>
      </c>
      <c r="I400" s="68">
        <v>377.07423580786025</v>
      </c>
    </row>
    <row r="401" spans="1:9" x14ac:dyDescent="0.3">
      <c r="A401" s="69">
        <f t="shared" si="4"/>
        <v>40771</v>
      </c>
      <c r="B401" s="68">
        <v>500</v>
      </c>
      <c r="C401" s="68">
        <v>431.25</v>
      </c>
      <c r="D401" s="68">
        <v>422.5</v>
      </c>
      <c r="E401" s="68">
        <v>365</v>
      </c>
      <c r="F401" s="68">
        <v>403.33333333333331</v>
      </c>
      <c r="G401" s="68">
        <v>403.33333333333331</v>
      </c>
      <c r="H401" s="68">
        <v>336.66666666666669</v>
      </c>
      <c r="I401" s="68">
        <v>461.63027656477431</v>
      </c>
    </row>
    <row r="402" spans="1:9" x14ac:dyDescent="0.3">
      <c r="A402" s="69">
        <f t="shared" si="4"/>
        <v>40778</v>
      </c>
      <c r="B402" s="68">
        <v>475</v>
      </c>
      <c r="C402" s="68">
        <v>435</v>
      </c>
      <c r="D402" s="68">
        <v>435</v>
      </c>
      <c r="E402" s="68">
        <v>380</v>
      </c>
      <c r="F402" s="68">
        <v>431.66666666666669</v>
      </c>
      <c r="G402" s="68">
        <v>431.66666666666669</v>
      </c>
      <c r="H402" s="68">
        <v>353.33333333333331</v>
      </c>
      <c r="I402" s="68">
        <v>479.91266375545848</v>
      </c>
    </row>
    <row r="403" spans="1:9" x14ac:dyDescent="0.3">
      <c r="A403" s="69">
        <f t="shared" si="4"/>
        <v>40785</v>
      </c>
      <c r="B403" s="68">
        <v>471.66666666666669</v>
      </c>
      <c r="C403" s="68">
        <v>438.33333333333331</v>
      </c>
      <c r="D403" s="68">
        <v>458.33333333333331</v>
      </c>
      <c r="E403" s="68">
        <v>370</v>
      </c>
      <c r="F403" s="68">
        <v>455</v>
      </c>
      <c r="G403" s="68">
        <v>455</v>
      </c>
      <c r="H403" s="68">
        <v>366.66666666666669</v>
      </c>
      <c r="I403" s="68">
        <v>473.03493449781655</v>
      </c>
    </row>
    <row r="404" spans="1:9" x14ac:dyDescent="0.3">
      <c r="A404" s="69">
        <f t="shared" si="4"/>
        <v>40792</v>
      </c>
      <c r="B404" s="68">
        <v>475</v>
      </c>
      <c r="C404" s="68">
        <v>460</v>
      </c>
      <c r="D404" s="68">
        <v>460</v>
      </c>
      <c r="E404" s="68">
        <v>410</v>
      </c>
      <c r="F404" s="68">
        <v>485</v>
      </c>
      <c r="G404" s="68">
        <v>485</v>
      </c>
      <c r="H404" s="68">
        <v>388.33333333333331</v>
      </c>
      <c r="I404" s="68">
        <v>531.33187772925771</v>
      </c>
    </row>
    <row r="405" spans="1:9" x14ac:dyDescent="0.3">
      <c r="A405" s="69">
        <f t="shared" si="4"/>
        <v>40799</v>
      </c>
      <c r="B405" s="68">
        <v>485</v>
      </c>
      <c r="C405" s="68">
        <v>477.5</v>
      </c>
      <c r="D405" s="68">
        <v>475</v>
      </c>
      <c r="E405" s="68">
        <v>400</v>
      </c>
      <c r="F405" s="68">
        <v>477.5</v>
      </c>
      <c r="G405" s="68">
        <v>477.5</v>
      </c>
      <c r="H405" s="68">
        <v>395</v>
      </c>
      <c r="I405" s="68">
        <v>539.33042212518194</v>
      </c>
    </row>
    <row r="406" spans="1:9" x14ac:dyDescent="0.3">
      <c r="A406" s="69">
        <f t="shared" si="4"/>
        <v>40806</v>
      </c>
      <c r="B406" s="116">
        <v>516.66666666666663</v>
      </c>
      <c r="C406" s="116">
        <v>516.66666666666663</v>
      </c>
      <c r="D406" s="116">
        <v>518.33333333333337</v>
      </c>
      <c r="E406" s="116">
        <v>406.66666666666669</v>
      </c>
      <c r="F406" s="116">
        <v>491.66666666666669</v>
      </c>
      <c r="G406" s="116">
        <v>491.66666666666669</v>
      </c>
      <c r="H406" s="116">
        <v>395</v>
      </c>
      <c r="I406" s="116">
        <v>541.61572052401743</v>
      </c>
    </row>
    <row r="407" spans="1:9" x14ac:dyDescent="0.3">
      <c r="A407" s="69">
        <f t="shared" si="4"/>
        <v>40813</v>
      </c>
      <c r="B407" s="116">
        <v>551.66666666666663</v>
      </c>
      <c r="C407" s="116">
        <v>563.33333333333337</v>
      </c>
      <c r="D407" s="116">
        <v>563.33333333333337</v>
      </c>
      <c r="E407" s="116">
        <v>456.66666666666669</v>
      </c>
      <c r="F407" s="116">
        <v>566.66666666666663</v>
      </c>
      <c r="G407" s="116">
        <v>566.66666666666663</v>
      </c>
      <c r="H407" s="116">
        <v>431.66666666666669</v>
      </c>
      <c r="I407" s="116">
        <v>591.89228529839886</v>
      </c>
    </row>
    <row r="408" spans="1:9" x14ac:dyDescent="0.3">
      <c r="A408" s="69">
        <f t="shared" si="4"/>
        <v>40820</v>
      </c>
      <c r="B408" s="115">
        <v>566.66666666666663</v>
      </c>
      <c r="C408" s="115">
        <v>556.66666666666663</v>
      </c>
      <c r="D408" s="115">
        <v>561.66666666666663</v>
      </c>
      <c r="E408" s="115">
        <v>475</v>
      </c>
      <c r="F408" s="115">
        <v>566.66666666666663</v>
      </c>
      <c r="G408" s="115">
        <v>566.66666666666663</v>
      </c>
      <c r="H408" s="115">
        <v>471.66666666666669</v>
      </c>
      <c r="I408" s="115">
        <v>646.73944687045116</v>
      </c>
    </row>
    <row r="409" spans="1:9" x14ac:dyDescent="0.3">
      <c r="A409" s="69">
        <f t="shared" si="4"/>
        <v>40827</v>
      </c>
      <c r="B409" s="116">
        <v>541.25</v>
      </c>
      <c r="C409" s="116">
        <v>525</v>
      </c>
      <c r="D409" s="116">
        <v>525</v>
      </c>
      <c r="E409" s="116">
        <v>458.75</v>
      </c>
      <c r="F409" s="116">
        <v>525</v>
      </c>
      <c r="G409" s="116">
        <v>525</v>
      </c>
      <c r="H409" s="116">
        <v>450</v>
      </c>
      <c r="I409" s="116">
        <v>617.03056768558952</v>
      </c>
    </row>
    <row r="410" spans="1:9" x14ac:dyDescent="0.3">
      <c r="A410" s="69">
        <f t="shared" si="4"/>
        <v>40834</v>
      </c>
      <c r="B410" s="117">
        <v>482</v>
      </c>
      <c r="C410" s="117">
        <v>486</v>
      </c>
      <c r="D410" s="117">
        <v>496</v>
      </c>
      <c r="E410" s="117">
        <v>428</v>
      </c>
      <c r="F410" s="117">
        <v>506</v>
      </c>
      <c r="G410" s="117">
        <v>506</v>
      </c>
      <c r="H410" s="117">
        <v>388</v>
      </c>
      <c r="I410" s="117">
        <v>526</v>
      </c>
    </row>
    <row r="411" spans="1:9" x14ac:dyDescent="0.3">
      <c r="A411" s="69">
        <f t="shared" si="4"/>
        <v>40841</v>
      </c>
      <c r="B411" s="117">
        <v>513.33333333333337</v>
      </c>
      <c r="C411" s="117">
        <v>498.33333333333331</v>
      </c>
      <c r="D411" s="117">
        <v>492.5</v>
      </c>
      <c r="E411" s="117">
        <v>387.5</v>
      </c>
      <c r="F411" s="117">
        <v>475</v>
      </c>
      <c r="G411" s="117">
        <v>475</v>
      </c>
      <c r="H411" s="117">
        <v>350</v>
      </c>
      <c r="I411" s="117">
        <v>479.91266375545848</v>
      </c>
    </row>
    <row r="412" spans="1:9" x14ac:dyDescent="0.3">
      <c r="A412" s="69">
        <f t="shared" si="4"/>
        <v>40848</v>
      </c>
      <c r="B412" s="117">
        <v>533</v>
      </c>
      <c r="C412" s="117">
        <v>550</v>
      </c>
      <c r="D412" s="117">
        <v>485</v>
      </c>
      <c r="E412" s="117">
        <v>410</v>
      </c>
      <c r="F412" s="117">
        <v>453</v>
      </c>
      <c r="G412" s="117">
        <v>453</v>
      </c>
      <c r="H412" s="117">
        <v>338</v>
      </c>
      <c r="I412" s="117">
        <v>464</v>
      </c>
    </row>
    <row r="413" spans="1:9" x14ac:dyDescent="0.3">
      <c r="A413" s="69">
        <f t="shared" si="4"/>
        <v>40855</v>
      </c>
      <c r="B413" s="117">
        <v>503.33333333333331</v>
      </c>
      <c r="C413" s="117">
        <v>463.33333333333331</v>
      </c>
      <c r="D413" s="117">
        <v>443.33333333333331</v>
      </c>
      <c r="E413" s="117">
        <v>356.66666666666669</v>
      </c>
      <c r="F413" s="117">
        <v>445</v>
      </c>
      <c r="G413" s="117">
        <v>445</v>
      </c>
      <c r="H413" s="117">
        <v>300</v>
      </c>
      <c r="I413" s="117">
        <v>411.35371179039299</v>
      </c>
    </row>
    <row r="414" spans="1:9" x14ac:dyDescent="0.3">
      <c r="A414" s="69">
        <f t="shared" si="4"/>
        <v>40862</v>
      </c>
      <c r="B414" s="117">
        <v>476.66666666666669</v>
      </c>
      <c r="C414" s="117">
        <v>440</v>
      </c>
      <c r="D414" s="117">
        <v>443.33333333333331</v>
      </c>
      <c r="E414" s="117">
        <v>346.66666666666669</v>
      </c>
      <c r="F414" s="117">
        <v>460</v>
      </c>
      <c r="G414" s="117">
        <v>460</v>
      </c>
      <c r="H414" s="117">
        <v>300</v>
      </c>
      <c r="I414" s="117">
        <v>411.35371179039299</v>
      </c>
    </row>
    <row r="415" spans="1:9" x14ac:dyDescent="0.3">
      <c r="A415" s="69">
        <f t="shared" si="4"/>
        <v>40869</v>
      </c>
      <c r="B415" s="117"/>
      <c r="C415" s="117">
        <v>423</v>
      </c>
      <c r="D415" s="117">
        <v>423</v>
      </c>
      <c r="E415" s="117">
        <v>312</v>
      </c>
      <c r="F415" s="117">
        <v>418</v>
      </c>
      <c r="G415" s="117">
        <v>418</v>
      </c>
      <c r="H415" s="117">
        <v>275</v>
      </c>
      <c r="I415" s="117">
        <v>377</v>
      </c>
    </row>
    <row r="416" spans="1:9" x14ac:dyDescent="0.3">
      <c r="A416" s="69">
        <f t="shared" si="4"/>
        <v>40876</v>
      </c>
      <c r="B416" s="117"/>
      <c r="C416" s="117"/>
      <c r="D416" s="117">
        <v>405</v>
      </c>
      <c r="E416" s="117">
        <v>291.66666666666669</v>
      </c>
      <c r="F416" s="117">
        <v>386.66666666666669</v>
      </c>
      <c r="G416" s="117">
        <v>386.66666666666669</v>
      </c>
      <c r="H416" s="117">
        <v>268.33333333333331</v>
      </c>
      <c r="I416" s="117">
        <v>367.93304221251816</v>
      </c>
    </row>
    <row r="417" spans="1:9" x14ac:dyDescent="0.3">
      <c r="A417" s="69">
        <f t="shared" si="4"/>
        <v>40883</v>
      </c>
      <c r="B417" s="117"/>
      <c r="C417" s="117"/>
      <c r="D417" s="117">
        <v>420</v>
      </c>
      <c r="E417" s="117">
        <v>303</v>
      </c>
      <c r="F417" s="117">
        <v>375</v>
      </c>
      <c r="G417" s="117">
        <v>375</v>
      </c>
      <c r="H417" s="117">
        <v>303</v>
      </c>
      <c r="I417" s="117">
        <v>416</v>
      </c>
    </row>
    <row r="418" spans="1:9" x14ac:dyDescent="0.3">
      <c r="A418" s="69">
        <f t="shared" si="4"/>
        <v>40890</v>
      </c>
      <c r="D418" s="117">
        <v>380</v>
      </c>
      <c r="E418" s="117">
        <v>278</v>
      </c>
      <c r="F418" s="117">
        <v>353</v>
      </c>
      <c r="G418" s="117">
        <v>353</v>
      </c>
      <c r="H418" s="117">
        <v>257</v>
      </c>
      <c r="I418" s="117">
        <f>AVERAGE(I398,I401,I404)</f>
        <v>454.39349830179526</v>
      </c>
    </row>
    <row r="419" spans="1:9" x14ac:dyDescent="0.3">
      <c r="A419" s="69">
        <f t="shared" si="4"/>
        <v>40897</v>
      </c>
      <c r="D419" s="117">
        <v>353</v>
      </c>
      <c r="E419" s="117">
        <v>260</v>
      </c>
      <c r="F419" s="117">
        <v>335</v>
      </c>
      <c r="G419" s="117">
        <v>335</v>
      </c>
      <c r="H419" s="117">
        <v>238</v>
      </c>
      <c r="I419" s="117">
        <v>327</v>
      </c>
    </row>
    <row r="420" spans="1:9" x14ac:dyDescent="0.3">
      <c r="A420" s="69">
        <f t="shared" si="4"/>
        <v>40904</v>
      </c>
      <c r="D420" s="117">
        <v>341.66666666666669</v>
      </c>
      <c r="E420" s="117">
        <v>241.66666666666666</v>
      </c>
      <c r="F420" s="117">
        <v>330</v>
      </c>
      <c r="G420" s="117">
        <v>330</v>
      </c>
      <c r="H420" s="117">
        <v>230</v>
      </c>
      <c r="I420" s="117">
        <v>315.3711790393013</v>
      </c>
    </row>
    <row r="421" spans="1:9" x14ac:dyDescent="0.3">
      <c r="A421" s="69">
        <f t="shared" si="4"/>
        <v>40911</v>
      </c>
      <c r="D421" s="116">
        <v>343.33333333333331</v>
      </c>
      <c r="E421" s="116">
        <v>248.33333333333334</v>
      </c>
      <c r="F421" s="116">
        <v>336.66666666666669</v>
      </c>
      <c r="G421" s="116">
        <v>336.66666666666669</v>
      </c>
      <c r="H421" s="116">
        <v>228.33333333333334</v>
      </c>
      <c r="I421" s="116">
        <v>313.0858806404658</v>
      </c>
    </row>
    <row r="422" spans="1:9" x14ac:dyDescent="0.3">
      <c r="A422" s="69">
        <f t="shared" si="4"/>
        <v>40918</v>
      </c>
      <c r="D422" s="116">
        <v>363.33333333333331</v>
      </c>
      <c r="E422" s="116">
        <v>266.66666666666669</v>
      </c>
      <c r="F422" s="116">
        <v>343.33333333333331</v>
      </c>
      <c r="G422" s="116">
        <v>343.33333333333331</v>
      </c>
      <c r="H422" s="116">
        <v>233.33333333333334</v>
      </c>
      <c r="I422" s="116">
        <v>319.94177583697234</v>
      </c>
    </row>
    <row r="423" spans="1:9" x14ac:dyDescent="0.3">
      <c r="A423" s="69">
        <f t="shared" si="4"/>
        <v>40925</v>
      </c>
      <c r="B423" s="116"/>
      <c r="C423" s="116"/>
      <c r="D423" s="116">
        <v>361.66666666666669</v>
      </c>
      <c r="E423" s="116">
        <v>296.66666666666669</v>
      </c>
      <c r="F423" s="116">
        <v>340</v>
      </c>
      <c r="G423" s="116">
        <v>340</v>
      </c>
      <c r="H423" s="116">
        <v>240</v>
      </c>
      <c r="I423" s="116">
        <v>329.08296943231443</v>
      </c>
    </row>
    <row r="424" spans="1:9" x14ac:dyDescent="0.3">
      <c r="A424" s="69">
        <f t="shared" si="4"/>
        <v>40932</v>
      </c>
      <c r="B424" s="116"/>
      <c r="C424" s="116"/>
      <c r="D424" s="117">
        <v>385</v>
      </c>
      <c r="E424" s="117">
        <v>310</v>
      </c>
      <c r="F424" s="117">
        <v>340</v>
      </c>
      <c r="G424" s="117">
        <v>340</v>
      </c>
      <c r="H424" s="117">
        <v>240</v>
      </c>
      <c r="I424" s="117">
        <v>329</v>
      </c>
    </row>
    <row r="425" spans="1:9" x14ac:dyDescent="0.3">
      <c r="A425" s="69">
        <f t="shared" si="4"/>
        <v>40939</v>
      </c>
      <c r="B425" s="116"/>
      <c r="C425" s="116"/>
      <c r="D425" s="116">
        <v>462</v>
      </c>
      <c r="E425" s="116">
        <v>357</v>
      </c>
      <c r="F425" s="116">
        <v>388</v>
      </c>
      <c r="G425" s="116">
        <v>388</v>
      </c>
      <c r="H425" s="116">
        <v>272</v>
      </c>
      <c r="I425" s="116">
        <v>373</v>
      </c>
    </row>
    <row r="426" spans="1:9" x14ac:dyDescent="0.3">
      <c r="A426" s="69">
        <f t="shared" si="4"/>
        <v>40946</v>
      </c>
      <c r="D426" s="118">
        <v>395</v>
      </c>
      <c r="E426" s="118">
        <v>295</v>
      </c>
      <c r="F426" s="118">
        <v>355</v>
      </c>
      <c r="G426" s="118">
        <v>355</v>
      </c>
      <c r="H426" s="118">
        <v>248.75</v>
      </c>
      <c r="I426" s="118">
        <v>340.50946142649201</v>
      </c>
    </row>
    <row r="427" spans="1:9" x14ac:dyDescent="0.3">
      <c r="A427" s="69">
        <f t="shared" si="4"/>
        <v>40953</v>
      </c>
      <c r="D427" s="118">
        <v>423.33333333333331</v>
      </c>
      <c r="E427" s="118">
        <v>336.66666666666669</v>
      </c>
      <c r="F427" s="118">
        <v>366.66666666666669</v>
      </c>
      <c r="G427" s="118">
        <v>366.66666666666669</v>
      </c>
      <c r="H427" s="118">
        <v>275</v>
      </c>
      <c r="I427" s="118">
        <v>377.07423580786025</v>
      </c>
    </row>
    <row r="428" spans="1:9" x14ac:dyDescent="0.3">
      <c r="A428" s="69">
        <f t="shared" si="4"/>
        <v>40960</v>
      </c>
      <c r="B428" s="118"/>
      <c r="C428" s="118"/>
      <c r="D428" s="118">
        <v>405</v>
      </c>
      <c r="E428" s="118">
        <v>300</v>
      </c>
      <c r="F428" s="118">
        <v>342</v>
      </c>
      <c r="G428" s="118">
        <v>342</v>
      </c>
      <c r="H428" s="118">
        <v>258</v>
      </c>
      <c r="I428" s="118">
        <v>354</v>
      </c>
    </row>
    <row r="429" spans="1:9" x14ac:dyDescent="0.3">
      <c r="A429" s="69">
        <f t="shared" si="4"/>
        <v>40967</v>
      </c>
      <c r="B429" s="118"/>
      <c r="C429" s="118"/>
      <c r="D429" s="118">
        <v>383</v>
      </c>
      <c r="E429" s="118">
        <v>282</v>
      </c>
      <c r="F429" s="118">
        <v>342</v>
      </c>
      <c r="G429" s="118">
        <v>342</v>
      </c>
      <c r="H429" s="118">
        <v>242</v>
      </c>
      <c r="I429" s="118">
        <v>331</v>
      </c>
    </row>
    <row r="430" spans="1:9" x14ac:dyDescent="0.3">
      <c r="A430" s="69">
        <f t="shared" si="4"/>
        <v>40974</v>
      </c>
      <c r="B430" s="118"/>
      <c r="C430" s="118"/>
      <c r="D430" s="118">
        <v>347</v>
      </c>
      <c r="E430" s="118">
        <v>255</v>
      </c>
      <c r="F430" s="118">
        <v>325</v>
      </c>
      <c r="G430" s="118">
        <v>325</v>
      </c>
      <c r="H430" s="118">
        <v>227</v>
      </c>
      <c r="I430" s="118">
        <v>311</v>
      </c>
    </row>
    <row r="431" spans="1:9" x14ac:dyDescent="0.3">
      <c r="A431" s="69">
        <f t="shared" si="4"/>
        <v>40981</v>
      </c>
      <c r="C431" s="63">
        <v>380</v>
      </c>
      <c r="D431" s="63">
        <v>345</v>
      </c>
      <c r="E431" s="63">
        <v>252</v>
      </c>
      <c r="F431" s="63">
        <v>313</v>
      </c>
      <c r="G431" s="63">
        <v>313</v>
      </c>
      <c r="H431" s="63">
        <v>222</v>
      </c>
      <c r="I431" s="63">
        <v>304</v>
      </c>
    </row>
    <row r="432" spans="1:9" x14ac:dyDescent="0.3">
      <c r="A432" s="69">
        <f t="shared" si="4"/>
        <v>40988</v>
      </c>
      <c r="B432" s="63">
        <v>433</v>
      </c>
      <c r="C432" s="63">
        <v>378</v>
      </c>
      <c r="D432" s="63">
        <v>362</v>
      </c>
      <c r="E432" s="63">
        <v>258</v>
      </c>
      <c r="F432" s="63">
        <v>310</v>
      </c>
      <c r="G432" s="63">
        <v>310</v>
      </c>
      <c r="H432" s="63">
        <v>223</v>
      </c>
      <c r="I432" s="63">
        <v>306</v>
      </c>
    </row>
    <row r="433" spans="1:9" x14ac:dyDescent="0.3">
      <c r="A433" s="69">
        <f t="shared" si="4"/>
        <v>40995</v>
      </c>
      <c r="B433" s="68">
        <v>425</v>
      </c>
      <c r="C433" s="68">
        <v>371</v>
      </c>
      <c r="D433" s="68">
        <v>353</v>
      </c>
      <c r="E433" s="68">
        <v>251</v>
      </c>
      <c r="F433" s="68">
        <v>302</v>
      </c>
      <c r="G433" s="68">
        <v>302</v>
      </c>
      <c r="H433" s="68">
        <v>220</v>
      </c>
      <c r="I433" s="68">
        <v>302</v>
      </c>
    </row>
    <row r="434" spans="1:9" x14ac:dyDescent="0.3">
      <c r="A434" s="69">
        <f t="shared" si="4"/>
        <v>41002</v>
      </c>
      <c r="B434" s="63">
        <v>428</v>
      </c>
      <c r="C434" s="63">
        <v>367</v>
      </c>
      <c r="D434" s="63">
        <v>325</v>
      </c>
      <c r="E434" s="63">
        <v>238</v>
      </c>
      <c r="F434" s="63">
        <v>285</v>
      </c>
      <c r="G434" s="63">
        <v>285</v>
      </c>
      <c r="H434" s="63">
        <v>212</v>
      </c>
      <c r="I434" s="63">
        <v>290</v>
      </c>
    </row>
    <row r="435" spans="1:9" x14ac:dyDescent="0.3">
      <c r="A435" s="69">
        <f t="shared" si="4"/>
        <v>41009</v>
      </c>
      <c r="B435" s="68">
        <v>427.5</v>
      </c>
      <c r="C435" s="68">
        <v>362.5</v>
      </c>
      <c r="D435" s="68">
        <v>320</v>
      </c>
      <c r="E435" s="68">
        <v>237.5</v>
      </c>
      <c r="F435" s="68">
        <v>282.5</v>
      </c>
      <c r="G435" s="68">
        <v>282.5</v>
      </c>
      <c r="H435" s="68">
        <v>207.5</v>
      </c>
      <c r="I435" s="68">
        <v>250.54585152838428</v>
      </c>
    </row>
    <row r="436" spans="1:9" x14ac:dyDescent="0.3">
      <c r="A436" s="69">
        <f t="shared" si="4"/>
        <v>41016</v>
      </c>
      <c r="B436" s="68">
        <v>423</v>
      </c>
      <c r="C436" s="68">
        <v>350</v>
      </c>
      <c r="D436" s="68">
        <v>328</v>
      </c>
      <c r="E436" s="68">
        <v>237</v>
      </c>
      <c r="F436" s="68">
        <v>287</v>
      </c>
      <c r="G436" s="68">
        <v>287</v>
      </c>
      <c r="H436" s="68">
        <v>207</v>
      </c>
      <c r="I436" s="68">
        <v>283</v>
      </c>
    </row>
    <row r="437" spans="1:9" x14ac:dyDescent="0.3">
      <c r="A437" s="69">
        <f t="shared" si="4"/>
        <v>41023</v>
      </c>
      <c r="B437" s="68">
        <v>423.33333333333331</v>
      </c>
      <c r="C437" s="68">
        <v>351.66666666666669</v>
      </c>
      <c r="D437" s="68">
        <v>323.33333333333331</v>
      </c>
      <c r="E437" s="68">
        <v>235</v>
      </c>
      <c r="F437" s="68">
        <v>275</v>
      </c>
      <c r="G437" s="68">
        <v>275</v>
      </c>
      <c r="H437" s="68">
        <v>205</v>
      </c>
      <c r="I437" s="68">
        <v>281.09170305676855</v>
      </c>
    </row>
    <row r="438" spans="1:9" x14ac:dyDescent="0.3">
      <c r="A438" s="69">
        <f t="shared" si="4"/>
        <v>41030</v>
      </c>
      <c r="B438" s="68">
        <v>427</v>
      </c>
      <c r="C438" s="68">
        <v>358</v>
      </c>
      <c r="D438" s="68">
        <v>337</v>
      </c>
      <c r="E438" s="68">
        <v>242</v>
      </c>
      <c r="F438" s="68">
        <v>285</v>
      </c>
      <c r="G438" s="68">
        <v>285</v>
      </c>
      <c r="H438" s="68">
        <v>212</v>
      </c>
      <c r="I438" s="68">
        <v>290</v>
      </c>
    </row>
    <row r="439" spans="1:9" x14ac:dyDescent="0.3">
      <c r="A439" s="69">
        <f t="shared" si="4"/>
        <v>41037</v>
      </c>
      <c r="B439" s="68">
        <v>438</v>
      </c>
      <c r="C439" s="68">
        <v>368</v>
      </c>
      <c r="D439" s="68">
        <v>350</v>
      </c>
      <c r="E439" s="68">
        <v>242</v>
      </c>
      <c r="F439" s="68">
        <v>280</v>
      </c>
      <c r="G439" s="68">
        <v>280</v>
      </c>
      <c r="H439" s="68">
        <v>210</v>
      </c>
      <c r="I439" s="68">
        <v>288</v>
      </c>
    </row>
    <row r="440" spans="1:9" x14ac:dyDescent="0.3">
      <c r="A440" s="69">
        <f t="shared" si="4"/>
        <v>41044</v>
      </c>
      <c r="B440" s="117">
        <v>436.66666666666669</v>
      </c>
      <c r="C440" s="117">
        <v>365</v>
      </c>
      <c r="D440" s="117">
        <v>343.33333333333331</v>
      </c>
      <c r="E440" s="121">
        <v>250</v>
      </c>
      <c r="F440" s="117">
        <v>276.66666666666669</v>
      </c>
      <c r="G440" s="117">
        <v>276.66666666666669</v>
      </c>
      <c r="H440" s="117">
        <v>218.33333333333334</v>
      </c>
      <c r="I440" s="117">
        <v>299.37409024745267</v>
      </c>
    </row>
    <row r="441" spans="1:9" x14ac:dyDescent="0.3">
      <c r="A441" s="69">
        <f t="shared" si="4"/>
        <v>41051</v>
      </c>
      <c r="B441" s="68">
        <v>423</v>
      </c>
      <c r="C441" s="68">
        <v>350</v>
      </c>
      <c r="D441" s="68">
        <v>323</v>
      </c>
      <c r="E441" s="68">
        <v>242</v>
      </c>
      <c r="F441" s="68">
        <v>277</v>
      </c>
      <c r="G441" s="68">
        <v>277</v>
      </c>
      <c r="H441" s="68">
        <v>210</v>
      </c>
      <c r="I441" s="68">
        <v>288</v>
      </c>
    </row>
    <row r="442" spans="1:9" x14ac:dyDescent="0.3">
      <c r="A442" s="69">
        <f t="shared" si="4"/>
        <v>41058</v>
      </c>
      <c r="B442" s="117">
        <v>422.5</v>
      </c>
      <c r="C442" s="117">
        <v>347.5</v>
      </c>
      <c r="D442" s="117">
        <v>330</v>
      </c>
      <c r="E442" s="121">
        <v>240</v>
      </c>
      <c r="F442" s="117">
        <v>272.5</v>
      </c>
      <c r="G442" s="117">
        <v>272.5</v>
      </c>
      <c r="H442" s="117">
        <v>205</v>
      </c>
      <c r="I442" s="117">
        <v>281.09170305676855</v>
      </c>
    </row>
    <row r="443" spans="1:9" x14ac:dyDescent="0.3">
      <c r="A443" s="69">
        <f t="shared" si="4"/>
        <v>41065</v>
      </c>
      <c r="B443" s="122">
        <v>388.75</v>
      </c>
      <c r="C443" s="122">
        <v>320</v>
      </c>
      <c r="D443" s="122">
        <v>285</v>
      </c>
      <c r="E443" s="122">
        <v>220</v>
      </c>
      <c r="F443" s="122">
        <v>263.75</v>
      </c>
      <c r="G443" s="122">
        <v>263.75</v>
      </c>
      <c r="H443" s="122">
        <v>203.75</v>
      </c>
      <c r="I443" s="122">
        <v>281.09170305676855</v>
      </c>
    </row>
    <row r="444" spans="1:9" x14ac:dyDescent="0.3">
      <c r="A444" s="69">
        <f t="shared" si="4"/>
        <v>41072</v>
      </c>
      <c r="B444" s="122">
        <v>386.25</v>
      </c>
      <c r="C444" s="122">
        <v>320</v>
      </c>
      <c r="D444" s="122">
        <v>283.75</v>
      </c>
      <c r="E444" s="122">
        <v>217.5</v>
      </c>
      <c r="F444" s="122">
        <v>266.25</v>
      </c>
      <c r="G444" s="122">
        <v>266.25</v>
      </c>
      <c r="H444" s="122">
        <v>200</v>
      </c>
      <c r="I444" s="122">
        <v>274.23580786026201</v>
      </c>
    </row>
    <row r="445" spans="1:9" x14ac:dyDescent="0.3">
      <c r="A445" s="69">
        <f t="shared" si="4"/>
        <v>41079</v>
      </c>
      <c r="B445" s="122">
        <v>375</v>
      </c>
      <c r="C445" s="122">
        <v>313.33333333333331</v>
      </c>
      <c r="D445" s="122">
        <v>276.66666666666669</v>
      </c>
      <c r="E445" s="122">
        <v>231.66666666666666</v>
      </c>
      <c r="F445" s="122">
        <v>265</v>
      </c>
      <c r="G445" s="122">
        <v>265</v>
      </c>
      <c r="H445" s="122">
        <v>197.5</v>
      </c>
      <c r="I445" s="122">
        <v>270.80786026200872</v>
      </c>
    </row>
    <row r="446" spans="1:9" x14ac:dyDescent="0.3">
      <c r="A446" s="69">
        <f t="shared" si="4"/>
        <v>41086</v>
      </c>
      <c r="B446" s="68">
        <v>375</v>
      </c>
      <c r="C446" s="68">
        <v>306.66666666666669</v>
      </c>
      <c r="D446" s="68">
        <v>270</v>
      </c>
      <c r="E446" s="68">
        <v>238.33333333333334</v>
      </c>
      <c r="F446" s="68">
        <v>250</v>
      </c>
      <c r="G446" s="68">
        <v>256.66666666666669</v>
      </c>
      <c r="H446" s="68">
        <v>196.66666666666666</v>
      </c>
      <c r="I446" s="68">
        <v>269.66521106259097</v>
      </c>
    </row>
    <row r="447" spans="1:9" x14ac:dyDescent="0.3">
      <c r="A447" s="69">
        <f t="shared" si="4"/>
        <v>41093</v>
      </c>
      <c r="B447" s="68">
        <v>400</v>
      </c>
      <c r="C447" s="68">
        <v>323</v>
      </c>
      <c r="D447" s="68">
        <v>320</v>
      </c>
      <c r="E447" s="68">
        <v>293</v>
      </c>
      <c r="F447" s="68">
        <v>265</v>
      </c>
      <c r="G447" s="68">
        <v>265</v>
      </c>
      <c r="H447" s="68">
        <v>223</v>
      </c>
      <c r="I447" s="68">
        <v>305</v>
      </c>
    </row>
    <row r="448" spans="1:9" x14ac:dyDescent="0.3">
      <c r="A448" s="69">
        <f t="shared" si="4"/>
        <v>41100</v>
      </c>
      <c r="B448" s="68">
        <v>475</v>
      </c>
      <c r="C448" s="68">
        <v>356.66666666666669</v>
      </c>
      <c r="D448" s="68">
        <v>353.33333333333331</v>
      </c>
      <c r="E448" s="68">
        <v>323.33333333333331</v>
      </c>
      <c r="F448" s="68">
        <v>285</v>
      </c>
      <c r="G448" s="68">
        <v>285</v>
      </c>
      <c r="H448" s="68">
        <v>250</v>
      </c>
      <c r="I448" s="68">
        <v>342.7947598253275</v>
      </c>
    </row>
    <row r="449" spans="1:9" x14ac:dyDescent="0.3">
      <c r="A449" s="69">
        <f t="shared" si="4"/>
        <v>41107</v>
      </c>
      <c r="B449" s="116">
        <v>512.5</v>
      </c>
      <c r="C449" s="116">
        <v>412.5</v>
      </c>
      <c r="D449" s="116">
        <v>408.75</v>
      </c>
      <c r="E449" s="116">
        <v>380</v>
      </c>
      <c r="F449" s="116">
        <v>350</v>
      </c>
      <c r="G449" s="116">
        <v>345</v>
      </c>
      <c r="H449" s="116">
        <v>312.5</v>
      </c>
      <c r="I449" s="116">
        <v>428.49344978165936</v>
      </c>
    </row>
    <row r="450" spans="1:9" x14ac:dyDescent="0.3">
      <c r="A450" s="69">
        <f t="shared" si="4"/>
        <v>41114</v>
      </c>
      <c r="B450" s="116">
        <v>478.33333333333331</v>
      </c>
      <c r="C450" s="116">
        <v>370</v>
      </c>
      <c r="D450" s="116">
        <v>356.66666666666669</v>
      </c>
      <c r="E450" s="116">
        <v>338.33333333333331</v>
      </c>
      <c r="F450" s="116">
        <v>330.66666666666669</v>
      </c>
      <c r="G450" s="116">
        <v>330.66666666666669</v>
      </c>
      <c r="H450" s="116">
        <v>301.66666666666669</v>
      </c>
      <c r="I450" s="116">
        <v>413.63901018922849</v>
      </c>
    </row>
    <row r="451" spans="1:9" x14ac:dyDescent="0.3">
      <c r="A451" s="69">
        <f t="shared" si="4"/>
        <v>41121</v>
      </c>
      <c r="B451" s="116">
        <v>445</v>
      </c>
      <c r="C451" s="116">
        <v>356.66666666666669</v>
      </c>
      <c r="D451" s="116">
        <v>355</v>
      </c>
      <c r="E451" s="116">
        <v>330</v>
      </c>
      <c r="F451" s="116">
        <v>333.33333333333331</v>
      </c>
      <c r="G451" s="116">
        <v>333.33333333333331</v>
      </c>
      <c r="H451" s="116">
        <v>311.66666666666669</v>
      </c>
      <c r="I451" s="116">
        <v>427.35080058224162</v>
      </c>
    </row>
    <row r="452" spans="1:9" x14ac:dyDescent="0.3">
      <c r="A452" s="69">
        <f t="shared" si="4"/>
        <v>41128</v>
      </c>
      <c r="B452" s="116">
        <v>395</v>
      </c>
      <c r="C452" s="116">
        <v>322</v>
      </c>
      <c r="D452" s="116">
        <v>305</v>
      </c>
      <c r="E452" s="116">
        <v>313</v>
      </c>
      <c r="F452" s="116">
        <v>328</v>
      </c>
      <c r="G452" s="116">
        <v>328</v>
      </c>
      <c r="H452" s="116">
        <v>325</v>
      </c>
      <c r="I452" s="116">
        <v>446</v>
      </c>
    </row>
    <row r="453" spans="1:9" x14ac:dyDescent="0.3">
      <c r="A453" s="69">
        <f t="shared" si="4"/>
        <v>41135</v>
      </c>
      <c r="B453" s="116">
        <v>400</v>
      </c>
      <c r="C453" s="116">
        <v>368.33333333333331</v>
      </c>
      <c r="D453" s="116">
        <v>365</v>
      </c>
      <c r="E453" s="116">
        <v>348.33333333333331</v>
      </c>
      <c r="F453" s="116">
        <v>348.33333333333331</v>
      </c>
      <c r="G453" s="116">
        <v>348.33333333333331</v>
      </c>
      <c r="H453" s="116">
        <v>386.66666666666669</v>
      </c>
      <c r="I453" s="116">
        <v>530.18922852983997</v>
      </c>
    </row>
    <row r="454" spans="1:9" x14ac:dyDescent="0.3">
      <c r="A454" s="123">
        <f t="shared" ref="A454:A496" si="5">7+A453</f>
        <v>41142</v>
      </c>
      <c r="B454" s="122">
        <v>401.66666666666669</v>
      </c>
      <c r="C454" s="122">
        <v>346.66666666666669</v>
      </c>
      <c r="D454" s="122">
        <v>330</v>
      </c>
      <c r="E454" s="122">
        <v>353.33333333333331</v>
      </c>
      <c r="F454" s="122">
        <v>343.33333333333331</v>
      </c>
      <c r="G454" s="122">
        <v>343.33333333333331</v>
      </c>
      <c r="H454" s="122">
        <v>380</v>
      </c>
      <c r="I454" s="122">
        <v>521.04803493449788</v>
      </c>
    </row>
    <row r="455" spans="1:9" x14ac:dyDescent="0.3">
      <c r="A455" s="123">
        <f t="shared" si="5"/>
        <v>41149</v>
      </c>
      <c r="B455" s="68">
        <v>425</v>
      </c>
      <c r="C455" s="68">
        <v>412.5</v>
      </c>
      <c r="D455" s="68">
        <v>437.5</v>
      </c>
      <c r="E455" s="68">
        <v>500</v>
      </c>
      <c r="F455" s="68">
        <v>437.5</v>
      </c>
      <c r="G455" s="68">
        <v>437.5</v>
      </c>
      <c r="H455" s="68">
        <v>525</v>
      </c>
      <c r="I455" s="68">
        <v>719.86899563318775</v>
      </c>
    </row>
    <row r="456" spans="1:9" x14ac:dyDescent="0.3">
      <c r="A456" s="123">
        <f t="shared" si="5"/>
        <v>41156</v>
      </c>
      <c r="B456" s="116">
        <v>475</v>
      </c>
      <c r="C456" s="116">
        <v>495</v>
      </c>
      <c r="D456" s="116">
        <v>500</v>
      </c>
      <c r="E456" s="116">
        <v>533.33333333333337</v>
      </c>
      <c r="F456" s="116">
        <v>495</v>
      </c>
      <c r="G456" s="116">
        <v>495</v>
      </c>
      <c r="H456" s="116">
        <v>587.5</v>
      </c>
      <c r="I456" s="116">
        <v>806</v>
      </c>
    </row>
    <row r="457" spans="1:9" x14ac:dyDescent="0.3">
      <c r="A457" s="123">
        <f t="shared" si="5"/>
        <v>41163</v>
      </c>
      <c r="B457" s="68">
        <v>537.5</v>
      </c>
      <c r="C457" s="68">
        <v>545</v>
      </c>
      <c r="D457" s="68">
        <v>550</v>
      </c>
      <c r="E457" s="68">
        <v>600</v>
      </c>
      <c r="F457" s="68">
        <v>587.5</v>
      </c>
      <c r="G457" s="68">
        <v>587.5</v>
      </c>
      <c r="H457" s="68">
        <v>700</v>
      </c>
      <c r="I457" s="68">
        <v>959.82532751091696</v>
      </c>
    </row>
    <row r="458" spans="1:9" x14ac:dyDescent="0.3">
      <c r="A458" s="123">
        <f t="shared" si="5"/>
        <v>41170</v>
      </c>
      <c r="B458" s="68">
        <v>600</v>
      </c>
      <c r="C458" s="68">
        <v>595</v>
      </c>
      <c r="D458" s="68">
        <v>625</v>
      </c>
      <c r="E458" s="68">
        <v>612.5</v>
      </c>
      <c r="F458" s="68">
        <v>625</v>
      </c>
      <c r="G458" s="68">
        <v>625</v>
      </c>
      <c r="H458" s="68">
        <v>750</v>
      </c>
      <c r="I458" s="68">
        <v>1028.3842794759826</v>
      </c>
    </row>
    <row r="459" spans="1:9" x14ac:dyDescent="0.3">
      <c r="A459" s="123">
        <f t="shared" si="5"/>
        <v>41177</v>
      </c>
      <c r="B459" s="68">
        <v>616.66666666666663</v>
      </c>
      <c r="C459" s="68">
        <v>605</v>
      </c>
      <c r="D459" s="68">
        <v>608.33333333333337</v>
      </c>
      <c r="E459" s="68">
        <v>600</v>
      </c>
      <c r="F459" s="68">
        <v>625</v>
      </c>
      <c r="G459" s="68">
        <v>625</v>
      </c>
      <c r="H459" s="68">
        <v>565</v>
      </c>
      <c r="I459" s="68">
        <v>774.71615720524017</v>
      </c>
    </row>
    <row r="460" spans="1:9" x14ac:dyDescent="0.3">
      <c r="A460" s="123">
        <f t="shared" si="5"/>
        <v>41184</v>
      </c>
      <c r="B460" s="122">
        <v>696.66666666666663</v>
      </c>
      <c r="C460" s="122">
        <v>690</v>
      </c>
      <c r="D460" s="122">
        <v>633.33333333333337</v>
      </c>
      <c r="E460" s="122">
        <v>600</v>
      </c>
      <c r="F460" s="122">
        <v>623.33333333333337</v>
      </c>
      <c r="G460" s="122">
        <v>623.33333333333337</v>
      </c>
      <c r="H460" s="122">
        <v>561.66666666666663</v>
      </c>
      <c r="I460" s="122">
        <v>770.14556040756906</v>
      </c>
    </row>
    <row r="461" spans="1:9" x14ac:dyDescent="0.3">
      <c r="A461" s="123">
        <f t="shared" si="5"/>
        <v>41191</v>
      </c>
      <c r="B461" s="122">
        <v>575</v>
      </c>
      <c r="C461" s="122">
        <v>537.5</v>
      </c>
      <c r="D461" s="122">
        <v>512.5</v>
      </c>
      <c r="E461" s="122">
        <v>495</v>
      </c>
      <c r="F461" s="122">
        <v>512.5</v>
      </c>
      <c r="G461" s="122">
        <v>512.5</v>
      </c>
      <c r="H461" s="122">
        <v>475</v>
      </c>
      <c r="I461" s="122">
        <v>651.31004366812226</v>
      </c>
    </row>
    <row r="462" spans="1:9" x14ac:dyDescent="0.3">
      <c r="A462" s="123">
        <f t="shared" si="5"/>
        <v>41198</v>
      </c>
      <c r="B462" s="122">
        <v>525</v>
      </c>
      <c r="C462" s="122">
        <v>500</v>
      </c>
      <c r="D462" s="122">
        <v>500</v>
      </c>
      <c r="E462" s="122">
        <v>500</v>
      </c>
      <c r="F462" s="122">
        <v>550</v>
      </c>
      <c r="G462" s="122">
        <v>550</v>
      </c>
      <c r="H462" s="122">
        <v>425</v>
      </c>
      <c r="I462" s="122">
        <v>582.75109170305677</v>
      </c>
    </row>
    <row r="463" spans="1:9" x14ac:dyDescent="0.3">
      <c r="A463" s="123">
        <f t="shared" si="5"/>
        <v>41205</v>
      </c>
      <c r="B463" s="122">
        <v>640</v>
      </c>
      <c r="C463" s="122">
        <v>562.5</v>
      </c>
      <c r="D463" s="122">
        <v>587.5</v>
      </c>
      <c r="E463" s="122">
        <v>612.5</v>
      </c>
      <c r="F463" s="122">
        <v>570</v>
      </c>
      <c r="G463" s="122">
        <v>570</v>
      </c>
      <c r="H463" s="122">
        <v>662.5</v>
      </c>
      <c r="I463" s="122">
        <v>908.40611353711779</v>
      </c>
    </row>
    <row r="464" spans="1:9" x14ac:dyDescent="0.3">
      <c r="A464" s="123">
        <f t="shared" si="5"/>
        <v>41212</v>
      </c>
      <c r="B464" s="126">
        <v>618.33333333333337</v>
      </c>
      <c r="C464" s="126">
        <v>550</v>
      </c>
      <c r="D464" s="126">
        <v>546.66666666666663</v>
      </c>
      <c r="E464" s="126">
        <v>633.33333333333337</v>
      </c>
      <c r="F464" s="126">
        <v>566.66666666666663</v>
      </c>
      <c r="G464" s="126">
        <v>566.66666666666663</v>
      </c>
      <c r="H464" s="126">
        <v>616.66666666666663</v>
      </c>
      <c r="I464" s="126">
        <v>845.56040756914115</v>
      </c>
    </row>
    <row r="465" spans="1:9" x14ac:dyDescent="0.3">
      <c r="A465" s="123">
        <f t="shared" si="5"/>
        <v>41219</v>
      </c>
      <c r="B465" s="126">
        <v>587.5</v>
      </c>
      <c r="C465" s="126">
        <v>625</v>
      </c>
      <c r="D465" s="126">
        <v>595</v>
      </c>
      <c r="E465" s="126">
        <v>625</v>
      </c>
      <c r="F465" s="126">
        <v>500</v>
      </c>
      <c r="G465" s="126">
        <v>500</v>
      </c>
      <c r="H465" s="126">
        <v>425</v>
      </c>
      <c r="I465" s="126">
        <v>582.75109170305677</v>
      </c>
    </row>
    <row r="466" spans="1:9" x14ac:dyDescent="0.3">
      <c r="A466" s="123">
        <f t="shared" si="5"/>
        <v>41226</v>
      </c>
      <c r="B466" s="68">
        <v>550</v>
      </c>
      <c r="C466" s="68">
        <v>558.33333333333337</v>
      </c>
      <c r="D466" s="68">
        <v>533.33333333333337</v>
      </c>
      <c r="E466" s="68">
        <v>500</v>
      </c>
      <c r="F466" s="68">
        <v>416.66666666666669</v>
      </c>
      <c r="G466" s="68">
        <v>416.66666666666669</v>
      </c>
      <c r="H466" s="68">
        <v>383.33333333333331</v>
      </c>
      <c r="I466" s="68">
        <v>525.61863173216886</v>
      </c>
    </row>
    <row r="467" spans="1:9" x14ac:dyDescent="0.3">
      <c r="A467" s="123">
        <f t="shared" si="5"/>
        <v>41233</v>
      </c>
      <c r="B467" s="68">
        <v>625</v>
      </c>
      <c r="C467" s="68">
        <v>600</v>
      </c>
      <c r="D467" s="68">
        <v>600</v>
      </c>
      <c r="E467" s="68">
        <v>533.33333333333337</v>
      </c>
      <c r="F467" s="68">
        <v>533.33333333333337</v>
      </c>
      <c r="G467" s="68">
        <v>533.33333333333337</v>
      </c>
      <c r="H467" s="68">
        <v>383.33333333333331</v>
      </c>
      <c r="I467" s="68">
        <v>525.61863173216886</v>
      </c>
    </row>
    <row r="468" spans="1:9" x14ac:dyDescent="0.3">
      <c r="A468" s="123">
        <f t="shared" si="5"/>
        <v>41240</v>
      </c>
      <c r="B468" s="68"/>
      <c r="C468" s="68">
        <v>588</v>
      </c>
      <c r="D468" s="68">
        <v>613</v>
      </c>
      <c r="E468" s="68">
        <v>513</v>
      </c>
      <c r="F468" s="68">
        <v>508</v>
      </c>
      <c r="G468" s="68">
        <v>508</v>
      </c>
      <c r="H468" s="68">
        <v>350</v>
      </c>
      <c r="I468" s="68">
        <v>480</v>
      </c>
    </row>
    <row r="469" spans="1:9" x14ac:dyDescent="0.3">
      <c r="A469" s="123">
        <f t="shared" si="5"/>
        <v>41247</v>
      </c>
      <c r="B469" s="68"/>
      <c r="C469" s="68"/>
      <c r="D469" s="122">
        <v>575</v>
      </c>
      <c r="E469" s="122">
        <v>525</v>
      </c>
      <c r="F469" s="122">
        <v>525</v>
      </c>
      <c r="G469" s="122">
        <v>525</v>
      </c>
      <c r="H469" s="122">
        <v>392</v>
      </c>
      <c r="I469" s="122">
        <v>537</v>
      </c>
    </row>
    <row r="470" spans="1:9" x14ac:dyDescent="0.3">
      <c r="A470" s="123">
        <f t="shared" si="5"/>
        <v>41254</v>
      </c>
      <c r="B470" s="68"/>
      <c r="C470" s="68"/>
      <c r="D470" s="122">
        <v>600</v>
      </c>
      <c r="E470" s="122">
        <v>500</v>
      </c>
      <c r="F470" s="122">
        <v>520</v>
      </c>
      <c r="G470" s="122">
        <v>520</v>
      </c>
      <c r="H470" s="122">
        <v>438</v>
      </c>
      <c r="I470" s="122">
        <v>600</v>
      </c>
    </row>
    <row r="471" spans="1:9" x14ac:dyDescent="0.3">
      <c r="A471" s="123">
        <f t="shared" si="5"/>
        <v>41261</v>
      </c>
      <c r="D471" s="122">
        <v>575</v>
      </c>
      <c r="E471" s="122">
        <v>500</v>
      </c>
      <c r="F471" s="122">
        <v>445</v>
      </c>
      <c r="G471" s="122">
        <v>445</v>
      </c>
      <c r="H471" s="122">
        <v>353</v>
      </c>
      <c r="I471" s="122">
        <v>483</v>
      </c>
    </row>
    <row r="472" spans="1:9" x14ac:dyDescent="0.3">
      <c r="A472" s="123">
        <f t="shared" si="5"/>
        <v>41268</v>
      </c>
      <c r="D472" s="63">
        <v>563</v>
      </c>
      <c r="E472" s="63">
        <v>500</v>
      </c>
      <c r="F472" s="63">
        <v>413</v>
      </c>
      <c r="G472" s="63">
        <v>413</v>
      </c>
      <c r="H472" s="63">
        <v>313</v>
      </c>
      <c r="I472" s="63">
        <v>428</v>
      </c>
    </row>
    <row r="473" spans="1:9" x14ac:dyDescent="0.3">
      <c r="A473" s="123">
        <f t="shared" si="5"/>
        <v>41275</v>
      </c>
      <c r="D473" s="68">
        <v>500</v>
      </c>
      <c r="E473" s="68">
        <v>450</v>
      </c>
      <c r="F473" s="68">
        <v>350</v>
      </c>
      <c r="G473" s="68">
        <v>350</v>
      </c>
      <c r="H473" s="68">
        <v>250</v>
      </c>
      <c r="I473" s="68">
        <v>342.7947598253275</v>
      </c>
    </row>
    <row r="474" spans="1:9" x14ac:dyDescent="0.3">
      <c r="A474" s="123">
        <f t="shared" si="5"/>
        <v>41282</v>
      </c>
      <c r="D474" s="68">
        <v>372.5</v>
      </c>
      <c r="E474" s="68">
        <v>340</v>
      </c>
      <c r="F474" s="68">
        <v>275</v>
      </c>
      <c r="G474" s="68">
        <v>275</v>
      </c>
      <c r="H474" s="68">
        <v>192.5</v>
      </c>
      <c r="I474" s="68">
        <v>263.95196506550218</v>
      </c>
    </row>
    <row r="475" spans="1:9" x14ac:dyDescent="0.3">
      <c r="A475" s="123">
        <f t="shared" si="5"/>
        <v>41289</v>
      </c>
      <c r="B475" s="68"/>
      <c r="C475" s="68"/>
      <c r="D475" s="68">
        <v>347.5</v>
      </c>
      <c r="E475" s="68">
        <v>282.5</v>
      </c>
      <c r="F475" s="68">
        <v>247.5</v>
      </c>
      <c r="G475" s="68">
        <v>247.5</v>
      </c>
      <c r="H475" s="68">
        <v>195</v>
      </c>
      <c r="I475" s="68">
        <v>267.37991266375548</v>
      </c>
    </row>
    <row r="476" spans="1:9" x14ac:dyDescent="0.3">
      <c r="A476" s="123">
        <f t="shared" si="5"/>
        <v>41296</v>
      </c>
      <c r="B476" s="68"/>
      <c r="C476" s="68"/>
      <c r="D476" s="68">
        <v>333</v>
      </c>
      <c r="E476" s="68">
        <v>280</v>
      </c>
      <c r="F476" s="68">
        <v>232</v>
      </c>
      <c r="G476" s="68">
        <v>232</v>
      </c>
      <c r="H476" s="68">
        <v>187</v>
      </c>
      <c r="I476" s="68">
        <v>256</v>
      </c>
    </row>
    <row r="477" spans="1:9" x14ac:dyDescent="0.3">
      <c r="A477" s="123">
        <f t="shared" si="5"/>
        <v>41303</v>
      </c>
      <c r="B477" s="68"/>
      <c r="C477" s="68"/>
      <c r="D477" s="116">
        <v>330</v>
      </c>
      <c r="E477" s="116">
        <v>272.5</v>
      </c>
      <c r="F477" s="118">
        <v>225</v>
      </c>
      <c r="G477" s="116">
        <v>225</v>
      </c>
      <c r="H477" s="116">
        <v>182.5</v>
      </c>
      <c r="I477" s="116">
        <v>250.2401746724891</v>
      </c>
    </row>
    <row r="478" spans="1:9" x14ac:dyDescent="0.3">
      <c r="A478" s="123">
        <f t="shared" si="5"/>
        <v>41310</v>
      </c>
      <c r="B478" s="68"/>
      <c r="C478" s="68"/>
      <c r="D478" s="68">
        <v>323.33333333333331</v>
      </c>
      <c r="E478" s="68">
        <v>248.33333333333334</v>
      </c>
      <c r="F478" s="68">
        <v>208.33333333333334</v>
      </c>
      <c r="G478" s="68">
        <v>208.33333333333334</v>
      </c>
      <c r="H478" s="68">
        <v>191.66666666666666</v>
      </c>
      <c r="I478" s="68">
        <v>262.80931586608443</v>
      </c>
    </row>
    <row r="479" spans="1:9" x14ac:dyDescent="0.3">
      <c r="A479" s="123">
        <f t="shared" si="5"/>
        <v>41317</v>
      </c>
      <c r="B479" s="116"/>
      <c r="C479" s="116"/>
      <c r="D479" s="116">
        <v>325</v>
      </c>
      <c r="E479" s="116">
        <v>250</v>
      </c>
      <c r="F479" s="116">
        <v>215</v>
      </c>
      <c r="G479" s="116">
        <v>211.66666666666666</v>
      </c>
      <c r="H479" s="116">
        <v>183.33333333333334</v>
      </c>
      <c r="I479" s="116">
        <v>251.38282387190688</v>
      </c>
    </row>
    <row r="480" spans="1:9" x14ac:dyDescent="0.3">
      <c r="A480" s="123">
        <f t="shared" si="5"/>
        <v>41324</v>
      </c>
      <c r="B480" s="116"/>
      <c r="C480" s="116"/>
      <c r="D480" s="68">
        <v>325</v>
      </c>
      <c r="E480" s="68">
        <v>250</v>
      </c>
      <c r="F480" s="68">
        <v>220</v>
      </c>
      <c r="G480" s="68">
        <v>220</v>
      </c>
      <c r="H480" s="68">
        <v>185</v>
      </c>
      <c r="I480" s="68">
        <v>169.11208151382823</v>
      </c>
    </row>
    <row r="481" spans="1:9" x14ac:dyDescent="0.3">
      <c r="A481" s="123">
        <f t="shared" si="5"/>
        <v>41331</v>
      </c>
      <c r="B481" s="122"/>
      <c r="C481" s="122"/>
      <c r="D481" s="68">
        <v>326.66666666666669</v>
      </c>
      <c r="E481" s="68">
        <v>254</v>
      </c>
      <c r="F481" s="68">
        <v>220</v>
      </c>
      <c r="G481" s="68">
        <v>220</v>
      </c>
      <c r="H481" s="68">
        <v>185</v>
      </c>
      <c r="I481" s="68">
        <v>253.66812227074234</v>
      </c>
    </row>
    <row r="482" spans="1:9" x14ac:dyDescent="0.3">
      <c r="A482" s="123">
        <f t="shared" si="5"/>
        <v>41338</v>
      </c>
      <c r="B482" s="122"/>
      <c r="C482" s="122">
        <v>345</v>
      </c>
      <c r="D482" s="21">
        <v>325</v>
      </c>
      <c r="E482" s="21">
        <v>250</v>
      </c>
      <c r="F482" s="21">
        <v>230</v>
      </c>
      <c r="G482" s="21">
        <v>230</v>
      </c>
      <c r="H482" s="21">
        <v>185</v>
      </c>
      <c r="I482" s="21">
        <v>253.66812227074234</v>
      </c>
    </row>
    <row r="483" spans="1:9" x14ac:dyDescent="0.3">
      <c r="A483" s="123">
        <f t="shared" si="5"/>
        <v>41345</v>
      </c>
      <c r="B483" s="122"/>
      <c r="C483" s="21">
        <v>340</v>
      </c>
      <c r="D483" s="21">
        <v>325</v>
      </c>
      <c r="E483" s="21">
        <v>250</v>
      </c>
      <c r="F483" s="21">
        <v>223.33333333333334</v>
      </c>
      <c r="G483" s="21">
        <v>223.33333333333334</v>
      </c>
      <c r="H483" s="21">
        <v>185</v>
      </c>
      <c r="I483" s="122">
        <v>254</v>
      </c>
    </row>
    <row r="484" spans="1:9" x14ac:dyDescent="0.3">
      <c r="A484" s="123">
        <f t="shared" si="5"/>
        <v>41352</v>
      </c>
      <c r="B484" s="21"/>
      <c r="C484" s="21">
        <v>312</v>
      </c>
      <c r="D484" s="21">
        <v>307</v>
      </c>
      <c r="E484" s="21">
        <v>250</v>
      </c>
      <c r="F484" s="21">
        <v>208</v>
      </c>
      <c r="G484" s="21">
        <v>208</v>
      </c>
      <c r="H484" s="21">
        <v>185</v>
      </c>
      <c r="I484" s="21">
        <v>254</v>
      </c>
    </row>
    <row r="485" spans="1:9" x14ac:dyDescent="0.3">
      <c r="A485" s="123">
        <f t="shared" si="5"/>
        <v>41359</v>
      </c>
      <c r="B485" s="21"/>
      <c r="C485" s="21">
        <v>298.33333333333331</v>
      </c>
      <c r="D485" s="21">
        <v>293.33333333333331</v>
      </c>
      <c r="E485" s="21">
        <v>245</v>
      </c>
      <c r="F485" s="21">
        <v>205</v>
      </c>
      <c r="G485" s="21">
        <v>205</v>
      </c>
      <c r="H485" s="21">
        <v>176.66666666666666</v>
      </c>
      <c r="I485" s="21">
        <v>242.24163027656479</v>
      </c>
    </row>
    <row r="486" spans="1:9" x14ac:dyDescent="0.3">
      <c r="A486" s="123">
        <f t="shared" si="5"/>
        <v>41366</v>
      </c>
      <c r="B486" s="68"/>
      <c r="C486" s="68">
        <v>290</v>
      </c>
      <c r="D486" s="68">
        <v>262.5</v>
      </c>
      <c r="E486" s="68">
        <v>232.5</v>
      </c>
      <c r="F486" s="68">
        <v>193.5</v>
      </c>
      <c r="G486" s="68">
        <v>193.5</v>
      </c>
      <c r="H486" s="68">
        <v>180</v>
      </c>
      <c r="I486" s="68">
        <v>246.81222707423584</v>
      </c>
    </row>
    <row r="487" spans="1:9" x14ac:dyDescent="0.3">
      <c r="A487" s="123">
        <f t="shared" si="5"/>
        <v>41373</v>
      </c>
      <c r="B487" s="68">
        <v>355</v>
      </c>
      <c r="C487" s="68">
        <v>292.5</v>
      </c>
      <c r="D487" s="68">
        <v>285</v>
      </c>
      <c r="E487" s="68">
        <v>227.5</v>
      </c>
      <c r="F487" s="68">
        <v>197.5</v>
      </c>
      <c r="G487" s="68">
        <v>197.5</v>
      </c>
      <c r="H487" s="68">
        <v>180</v>
      </c>
      <c r="I487" s="68">
        <v>246.81222707423584</v>
      </c>
    </row>
    <row r="488" spans="1:9" x14ac:dyDescent="0.3">
      <c r="A488" s="123">
        <f t="shared" si="5"/>
        <v>41380</v>
      </c>
      <c r="B488" s="68">
        <v>391.66666666666669</v>
      </c>
      <c r="C488" s="68">
        <v>311.66666666666669</v>
      </c>
      <c r="D488" s="68">
        <v>273.33333333333331</v>
      </c>
      <c r="E488" s="68">
        <v>225</v>
      </c>
      <c r="F488" s="68">
        <v>196.66666666666666</v>
      </c>
      <c r="G488" s="68">
        <v>196.66666666666666</v>
      </c>
      <c r="H488" s="68">
        <v>181.66666666666666</v>
      </c>
      <c r="I488" s="68">
        <v>249.09752547307133</v>
      </c>
    </row>
    <row r="489" spans="1:9" x14ac:dyDescent="0.3">
      <c r="A489" s="123">
        <f t="shared" si="5"/>
        <v>41387</v>
      </c>
      <c r="B489" s="68"/>
      <c r="C489" s="68"/>
      <c r="D489" s="68"/>
      <c r="E489" s="68">
        <v>223</v>
      </c>
      <c r="F489" s="68">
        <v>195</v>
      </c>
      <c r="G489" s="68">
        <v>195</v>
      </c>
      <c r="H489" s="68">
        <v>180</v>
      </c>
      <c r="I489" s="68">
        <v>247</v>
      </c>
    </row>
    <row r="490" spans="1:9" x14ac:dyDescent="0.3">
      <c r="A490" s="123">
        <f t="shared" si="5"/>
        <v>41394</v>
      </c>
      <c r="B490" s="68">
        <v>425</v>
      </c>
      <c r="C490" s="68">
        <v>312.5</v>
      </c>
      <c r="D490" s="68">
        <v>0</v>
      </c>
      <c r="E490" s="68">
        <v>220</v>
      </c>
      <c r="F490" s="68">
        <v>192.5</v>
      </c>
      <c r="G490" s="68">
        <v>192.5</v>
      </c>
      <c r="H490" s="68">
        <v>180</v>
      </c>
      <c r="I490" s="68">
        <v>246.81222707423584</v>
      </c>
    </row>
    <row r="491" spans="1:9" x14ac:dyDescent="0.3">
      <c r="A491" s="123">
        <f t="shared" si="5"/>
        <v>41401</v>
      </c>
      <c r="B491" s="21">
        <v>387.5</v>
      </c>
      <c r="C491" s="21">
        <v>305</v>
      </c>
      <c r="D491" s="21">
        <v>287.5</v>
      </c>
      <c r="E491" s="21">
        <v>220</v>
      </c>
      <c r="F491" s="21">
        <v>190</v>
      </c>
      <c r="G491" s="21">
        <v>190</v>
      </c>
      <c r="H491" s="21">
        <v>180</v>
      </c>
      <c r="I491" s="21">
        <v>246.81222707423584</v>
      </c>
    </row>
    <row r="492" spans="1:9" x14ac:dyDescent="0.3">
      <c r="A492" s="123">
        <f t="shared" si="5"/>
        <v>41408</v>
      </c>
      <c r="B492" s="21">
        <v>362.5</v>
      </c>
      <c r="C492" s="21">
        <v>290</v>
      </c>
      <c r="D492" s="21">
        <v>277.5</v>
      </c>
      <c r="E492" s="21">
        <v>220</v>
      </c>
      <c r="F492" s="21">
        <v>190</v>
      </c>
      <c r="G492" s="21">
        <v>190</v>
      </c>
      <c r="H492" s="21">
        <v>177.5</v>
      </c>
      <c r="I492" s="21">
        <v>243.38427947598254</v>
      </c>
    </row>
    <row r="493" spans="1:9" x14ac:dyDescent="0.3">
      <c r="A493" s="123">
        <f t="shared" si="5"/>
        <v>41415</v>
      </c>
      <c r="B493" s="21">
        <v>343.33333333333331</v>
      </c>
      <c r="C493" s="21">
        <v>286.66666666666669</v>
      </c>
      <c r="D493" s="21">
        <v>273.33333333333331</v>
      </c>
      <c r="E493" s="21">
        <v>218.33333333333334</v>
      </c>
      <c r="F493" s="21">
        <v>190</v>
      </c>
      <c r="G493" s="21">
        <v>190</v>
      </c>
      <c r="H493" s="21">
        <v>180</v>
      </c>
      <c r="I493" s="21">
        <v>246.81222707423584</v>
      </c>
    </row>
    <row r="494" spans="1:9" x14ac:dyDescent="0.3">
      <c r="A494" s="123">
        <f t="shared" si="5"/>
        <v>41422</v>
      </c>
      <c r="B494" s="21">
        <v>361.66666666666669</v>
      </c>
      <c r="C494" s="21">
        <v>296.66666666666669</v>
      </c>
      <c r="D494" s="21">
        <v>310</v>
      </c>
      <c r="E494" s="21">
        <v>216.66666666666666</v>
      </c>
      <c r="F494" s="21">
        <v>190</v>
      </c>
      <c r="G494" s="21">
        <v>190</v>
      </c>
      <c r="H494" s="21">
        <v>180</v>
      </c>
      <c r="I494" s="21">
        <v>246.81222707423584</v>
      </c>
    </row>
    <row r="495" spans="1:9" x14ac:dyDescent="0.3">
      <c r="A495" s="123">
        <f t="shared" si="5"/>
        <v>41429</v>
      </c>
      <c r="B495" s="68">
        <v>396.66666666666669</v>
      </c>
      <c r="C495" s="68">
        <v>316.66666666666669</v>
      </c>
      <c r="D495" s="68">
        <v>315</v>
      </c>
      <c r="E495" s="68">
        <v>221.66666666666666</v>
      </c>
      <c r="F495" s="68">
        <v>193.33333333333334</v>
      </c>
      <c r="G495" s="68">
        <v>193.33333333333334</v>
      </c>
      <c r="H495" s="68">
        <v>181.66666666666666</v>
      </c>
      <c r="I495" s="68">
        <v>249.09752547307133</v>
      </c>
    </row>
    <row r="496" spans="1:9" x14ac:dyDescent="0.3">
      <c r="A496" s="123">
        <f t="shared" si="5"/>
        <v>41436</v>
      </c>
      <c r="B496" s="21">
        <v>355</v>
      </c>
      <c r="C496" s="21">
        <v>305</v>
      </c>
      <c r="D496" s="21">
        <v>292.5</v>
      </c>
      <c r="E496" s="21">
        <v>217.5</v>
      </c>
      <c r="F496" s="21">
        <v>190</v>
      </c>
      <c r="G496" s="21">
        <v>190</v>
      </c>
      <c r="H496" s="21">
        <v>187.5</v>
      </c>
      <c r="I496" s="21">
        <v>171.39737991266375</v>
      </c>
    </row>
    <row r="497" spans="1:9" x14ac:dyDescent="0.3">
      <c r="A497" s="69">
        <v>41443</v>
      </c>
      <c r="B497" s="21">
        <v>360</v>
      </c>
      <c r="C497" s="21">
        <v>300</v>
      </c>
      <c r="D497" s="21">
        <v>295</v>
      </c>
      <c r="E497" s="21">
        <v>220</v>
      </c>
      <c r="F497" s="21">
        <v>190</v>
      </c>
      <c r="G497" s="21">
        <v>190</v>
      </c>
      <c r="H497" s="21">
        <v>192.5</v>
      </c>
      <c r="I497" s="21">
        <v>175.96797671033482</v>
      </c>
    </row>
    <row r="498" spans="1:9" x14ac:dyDescent="0.3">
      <c r="A498" s="69">
        <f t="shared" ref="A498:A567" si="6">7+A497</f>
        <v>41450</v>
      </c>
      <c r="B498" s="21">
        <v>386.66666666666669</v>
      </c>
      <c r="C498" s="21">
        <v>335</v>
      </c>
      <c r="D498" s="21">
        <v>323.33333333333331</v>
      </c>
      <c r="E498" s="21">
        <v>233.33333333333334</v>
      </c>
      <c r="F498" s="21">
        <v>211.66666666666666</v>
      </c>
      <c r="G498" s="21">
        <v>211.66666666666666</v>
      </c>
      <c r="H498" s="21">
        <v>196.66666666666666</v>
      </c>
      <c r="I498" s="21">
        <v>269.66521106259097</v>
      </c>
    </row>
    <row r="499" spans="1:9" x14ac:dyDescent="0.3">
      <c r="A499" s="69">
        <f t="shared" si="6"/>
        <v>41457</v>
      </c>
      <c r="B499" s="68">
        <v>380</v>
      </c>
      <c r="C499" s="68">
        <v>310</v>
      </c>
      <c r="D499" s="68">
        <v>306.66666666666669</v>
      </c>
      <c r="E499" s="68">
        <v>225</v>
      </c>
      <c r="F499" s="68">
        <v>210</v>
      </c>
      <c r="G499" s="68">
        <v>210</v>
      </c>
      <c r="H499" s="68">
        <v>191.66666666666666</v>
      </c>
      <c r="I499" s="68">
        <v>262.80931586608443</v>
      </c>
    </row>
    <row r="500" spans="1:9" x14ac:dyDescent="0.3">
      <c r="A500" s="69">
        <f t="shared" si="6"/>
        <v>41464</v>
      </c>
      <c r="B500" s="68">
        <v>363.33333333333331</v>
      </c>
      <c r="C500" s="68">
        <v>298.33333333333331</v>
      </c>
      <c r="D500" s="68">
        <v>288.33333333333331</v>
      </c>
      <c r="E500" s="68">
        <v>226.66666666666666</v>
      </c>
      <c r="F500" s="68">
        <v>211.66666666666666</v>
      </c>
      <c r="G500" s="68">
        <v>211.66666666666666</v>
      </c>
      <c r="H500" s="68">
        <v>191.66666666666666</v>
      </c>
      <c r="I500" s="68">
        <v>262.80931586608443</v>
      </c>
    </row>
    <row r="501" spans="1:9" x14ac:dyDescent="0.3">
      <c r="A501" s="69">
        <f t="shared" si="6"/>
        <v>41471</v>
      </c>
      <c r="B501" s="68">
        <v>356.66666666666703</v>
      </c>
      <c r="C501" s="68">
        <v>300</v>
      </c>
      <c r="D501" s="68">
        <v>281.66666666666669</v>
      </c>
      <c r="E501" s="68">
        <v>223.33333333333334</v>
      </c>
      <c r="F501" s="68">
        <v>200</v>
      </c>
      <c r="G501" s="68">
        <v>200</v>
      </c>
      <c r="H501" s="68">
        <v>185</v>
      </c>
      <c r="I501" s="68">
        <v>253.66812227074237</v>
      </c>
    </row>
    <row r="502" spans="1:9" x14ac:dyDescent="0.3">
      <c r="A502" s="69">
        <f t="shared" si="6"/>
        <v>41478</v>
      </c>
      <c r="B502" s="68">
        <v>340</v>
      </c>
      <c r="C502" s="68">
        <v>293.33333333333331</v>
      </c>
      <c r="D502" s="68">
        <v>265</v>
      </c>
      <c r="E502" s="68">
        <v>220</v>
      </c>
      <c r="F502" s="68">
        <v>200</v>
      </c>
      <c r="G502" s="68">
        <v>200</v>
      </c>
      <c r="H502" s="68">
        <v>185</v>
      </c>
      <c r="I502" s="68">
        <v>253.66812227074237</v>
      </c>
    </row>
    <row r="503" spans="1:9" x14ac:dyDescent="0.3">
      <c r="A503" s="69">
        <f t="shared" si="6"/>
        <v>41485</v>
      </c>
      <c r="B503" s="68">
        <v>328.33333333333331</v>
      </c>
      <c r="C503" s="68">
        <v>278.33333333333331</v>
      </c>
      <c r="D503" s="68">
        <v>258.33333333333331</v>
      </c>
      <c r="E503" s="68">
        <v>216.66666666666666</v>
      </c>
      <c r="F503" s="68">
        <v>206.66666666666666</v>
      </c>
      <c r="G503" s="68">
        <v>206.66666666666666</v>
      </c>
      <c r="H503" s="68">
        <v>188.33333333333334</v>
      </c>
      <c r="I503" s="68">
        <v>258.23871906841345</v>
      </c>
    </row>
    <row r="504" spans="1:9" x14ac:dyDescent="0.3">
      <c r="A504" s="69">
        <f t="shared" si="6"/>
        <v>41492</v>
      </c>
      <c r="B504" s="68">
        <v>336.66666666666669</v>
      </c>
      <c r="C504" s="68">
        <v>296.66666666666669</v>
      </c>
      <c r="D504" s="68">
        <v>285</v>
      </c>
      <c r="E504" s="68">
        <v>230</v>
      </c>
      <c r="F504" s="68">
        <v>276.66666666666669</v>
      </c>
      <c r="G504" s="68">
        <v>276.66666666666669</v>
      </c>
      <c r="H504" s="68">
        <v>203.33333333333334</v>
      </c>
      <c r="I504" s="68">
        <v>278.806404657933</v>
      </c>
    </row>
    <row r="505" spans="1:9" x14ac:dyDescent="0.3">
      <c r="A505" s="69">
        <f t="shared" si="6"/>
        <v>41499</v>
      </c>
      <c r="B505" s="68">
        <v>370</v>
      </c>
      <c r="C505" s="68">
        <v>353.33333333333331</v>
      </c>
      <c r="D505" s="68">
        <v>351.66666666666669</v>
      </c>
      <c r="E505" s="68">
        <v>308.33333333333331</v>
      </c>
      <c r="F505" s="68">
        <v>360</v>
      </c>
      <c r="G505" s="68">
        <v>360</v>
      </c>
      <c r="H505" s="68">
        <v>278.33333333333331</v>
      </c>
      <c r="I505" s="68">
        <v>381.64483260553129</v>
      </c>
    </row>
    <row r="506" spans="1:9" x14ac:dyDescent="0.3">
      <c r="A506" s="69">
        <f t="shared" si="6"/>
        <v>41506</v>
      </c>
      <c r="B506" s="68">
        <v>368.33333333333331</v>
      </c>
      <c r="C506" s="68">
        <v>358.33333333333331</v>
      </c>
      <c r="D506" s="68">
        <v>355</v>
      </c>
      <c r="E506" s="68">
        <v>308.33333333333331</v>
      </c>
      <c r="F506" s="68">
        <v>363.33333333333331</v>
      </c>
      <c r="G506" s="68">
        <v>363.33333333333331</v>
      </c>
      <c r="H506" s="68">
        <v>290</v>
      </c>
      <c r="I506" s="68">
        <v>397.64192139737992</v>
      </c>
    </row>
    <row r="507" spans="1:9" x14ac:dyDescent="0.3">
      <c r="A507" s="69">
        <f t="shared" si="6"/>
        <v>41513</v>
      </c>
      <c r="B507" s="68">
        <v>383.33333333333331</v>
      </c>
      <c r="C507" s="68">
        <v>383.33333333333331</v>
      </c>
      <c r="D507" s="68">
        <v>391.66666666666669</v>
      </c>
      <c r="E507" s="68">
        <v>355</v>
      </c>
      <c r="F507" s="68">
        <v>391.66666666666669</v>
      </c>
      <c r="G507" s="68">
        <v>391.66666666666669</v>
      </c>
      <c r="H507" s="68">
        <v>325</v>
      </c>
      <c r="I507" s="68">
        <v>445.63318777292574</v>
      </c>
    </row>
    <row r="508" spans="1:9" x14ac:dyDescent="0.3">
      <c r="A508" s="69">
        <f t="shared" si="6"/>
        <v>41520</v>
      </c>
      <c r="B508" s="68">
        <v>418.75</v>
      </c>
      <c r="C508" s="68">
        <v>421.25</v>
      </c>
      <c r="D508" s="68">
        <v>425</v>
      </c>
      <c r="E508" s="68">
        <v>387.5</v>
      </c>
      <c r="F508" s="68">
        <v>431.25</v>
      </c>
      <c r="G508" s="68">
        <v>431.25</v>
      </c>
      <c r="H508" s="68">
        <v>387.5</v>
      </c>
      <c r="I508" s="68">
        <v>525.61863173216886</v>
      </c>
    </row>
    <row r="509" spans="1:9" x14ac:dyDescent="0.3">
      <c r="A509" s="69">
        <f t="shared" si="6"/>
        <v>41527</v>
      </c>
      <c r="B509" s="122">
        <v>446.66666666666669</v>
      </c>
      <c r="C509" s="122">
        <v>446.66666666666669</v>
      </c>
      <c r="D509" s="122">
        <v>453.33333333333331</v>
      </c>
      <c r="E509" s="122">
        <v>441.66666666666669</v>
      </c>
      <c r="F509" s="122">
        <v>458.33333333333331</v>
      </c>
      <c r="G509" s="122">
        <v>458.33333333333331</v>
      </c>
      <c r="H509" s="122">
        <v>425</v>
      </c>
      <c r="I509" s="122">
        <v>582.75109170305677</v>
      </c>
    </row>
    <row r="510" spans="1:9" x14ac:dyDescent="0.3">
      <c r="A510" s="69">
        <f t="shared" si="6"/>
        <v>41534</v>
      </c>
      <c r="B510" s="116">
        <v>550</v>
      </c>
      <c r="C510" s="116">
        <v>555</v>
      </c>
      <c r="D510" s="116">
        <v>550</v>
      </c>
      <c r="E510" s="116">
        <v>538.33333333333337</v>
      </c>
      <c r="F510" s="116">
        <v>630</v>
      </c>
      <c r="G510" s="116">
        <v>630</v>
      </c>
      <c r="H510" s="116">
        <v>558.33333333333337</v>
      </c>
      <c r="I510" s="116">
        <v>765.57496360989808</v>
      </c>
    </row>
    <row r="511" spans="1:9" x14ac:dyDescent="0.3">
      <c r="A511" s="69">
        <f t="shared" si="6"/>
        <v>41541</v>
      </c>
      <c r="B511" s="68">
        <v>555</v>
      </c>
      <c r="C511" s="68">
        <v>570</v>
      </c>
      <c r="D511" s="68">
        <v>558.33333333333337</v>
      </c>
      <c r="E511" s="68">
        <v>591.66666666666663</v>
      </c>
      <c r="F511" s="68">
        <v>675</v>
      </c>
      <c r="G511" s="68">
        <v>675</v>
      </c>
      <c r="H511" s="68">
        <v>616.66666666666663</v>
      </c>
      <c r="I511" s="68">
        <v>845.56040756914115</v>
      </c>
    </row>
    <row r="512" spans="1:9" x14ac:dyDescent="0.3">
      <c r="A512" s="69">
        <f t="shared" si="6"/>
        <v>41548</v>
      </c>
      <c r="B512" s="122">
        <v>610</v>
      </c>
      <c r="C512" s="122">
        <v>610</v>
      </c>
      <c r="D512" s="122">
        <v>595</v>
      </c>
      <c r="E512" s="122">
        <v>590</v>
      </c>
      <c r="F512" s="122">
        <v>660</v>
      </c>
      <c r="G512" s="122">
        <v>660</v>
      </c>
      <c r="H512" s="122">
        <v>575</v>
      </c>
      <c r="I512" s="68">
        <v>788</v>
      </c>
    </row>
    <row r="513" spans="1:9" x14ac:dyDescent="0.3">
      <c r="A513" s="69">
        <f t="shared" si="6"/>
        <v>41555</v>
      </c>
      <c r="B513" s="122">
        <v>575</v>
      </c>
      <c r="C513" s="122">
        <v>570</v>
      </c>
      <c r="D513" s="122">
        <v>550</v>
      </c>
      <c r="E513" s="122">
        <v>525</v>
      </c>
      <c r="F513" s="122">
        <v>590</v>
      </c>
      <c r="G513" s="122">
        <v>590</v>
      </c>
      <c r="H513" s="122">
        <v>475</v>
      </c>
      <c r="I513" s="68">
        <v>651</v>
      </c>
    </row>
    <row r="514" spans="1:9" x14ac:dyDescent="0.3">
      <c r="A514" s="69">
        <f t="shared" si="6"/>
        <v>41562</v>
      </c>
      <c r="B514" s="122">
        <v>615</v>
      </c>
      <c r="C514" s="122">
        <v>625</v>
      </c>
      <c r="D514" s="122">
        <v>625</v>
      </c>
      <c r="E514" s="122">
        <v>545</v>
      </c>
      <c r="F514" s="122">
        <v>630</v>
      </c>
      <c r="G514" s="122">
        <v>630</v>
      </c>
      <c r="H514" s="122">
        <v>480</v>
      </c>
      <c r="I514" s="68">
        <v>658</v>
      </c>
    </row>
    <row r="515" spans="1:9" x14ac:dyDescent="0.3">
      <c r="A515" s="69">
        <f t="shared" si="6"/>
        <v>41569</v>
      </c>
      <c r="B515" s="122">
        <v>616.66666666666663</v>
      </c>
      <c r="C515" s="122">
        <v>630.66666666666663</v>
      </c>
      <c r="D515" s="122">
        <v>640.66666666666663</v>
      </c>
      <c r="E515" s="122">
        <v>568.33333333333337</v>
      </c>
      <c r="F515" s="122">
        <v>694</v>
      </c>
      <c r="G515" s="122">
        <v>694</v>
      </c>
      <c r="H515" s="122">
        <v>511.66666666666669</v>
      </c>
      <c r="I515" s="122">
        <v>700</v>
      </c>
    </row>
    <row r="516" spans="1:9" x14ac:dyDescent="0.3">
      <c r="A516" s="69">
        <f t="shared" si="6"/>
        <v>41576</v>
      </c>
      <c r="B516" s="122">
        <v>563.33333333333337</v>
      </c>
      <c r="C516" s="122">
        <v>591.66666666666663</v>
      </c>
      <c r="D516" s="122">
        <v>618.33333333333337</v>
      </c>
      <c r="E516" s="122">
        <v>560</v>
      </c>
      <c r="F516" s="122">
        <v>725</v>
      </c>
      <c r="G516" s="122">
        <v>725</v>
      </c>
      <c r="H516" s="122">
        <v>600</v>
      </c>
      <c r="I516" s="68"/>
    </row>
    <row r="517" spans="1:9" x14ac:dyDescent="0.3">
      <c r="A517" s="69">
        <f t="shared" si="6"/>
        <v>41583</v>
      </c>
      <c r="B517" s="68">
        <v>503.33333333333331</v>
      </c>
      <c r="C517" s="68">
        <v>546.66666666666663</v>
      </c>
      <c r="D517" s="68">
        <v>583.33333333333337</v>
      </c>
      <c r="E517" s="68">
        <v>540</v>
      </c>
      <c r="F517" s="68">
        <v>575</v>
      </c>
      <c r="G517" s="68">
        <v>575</v>
      </c>
      <c r="H517" s="68">
        <v>456.66666666666669</v>
      </c>
      <c r="I517" s="68">
        <v>570.49490538573502</v>
      </c>
    </row>
    <row r="518" spans="1:9" x14ac:dyDescent="0.3">
      <c r="A518" s="69">
        <f t="shared" si="6"/>
        <v>41590</v>
      </c>
      <c r="B518" s="68">
        <v>475</v>
      </c>
      <c r="C518" s="68">
        <v>536.66666666666663</v>
      </c>
      <c r="D518" s="68">
        <v>691.66666666666663</v>
      </c>
      <c r="E518" s="68">
        <v>600</v>
      </c>
      <c r="F518" s="68">
        <v>750</v>
      </c>
      <c r="G518" s="68">
        <v>750</v>
      </c>
      <c r="H518" s="68">
        <v>566.66666666666663</v>
      </c>
      <c r="I518" s="68">
        <v>675.61863173216886</v>
      </c>
    </row>
    <row r="519" spans="1:9" x14ac:dyDescent="0.3">
      <c r="A519" s="69">
        <f t="shared" si="6"/>
        <v>41597</v>
      </c>
      <c r="B519" s="68">
        <v>520</v>
      </c>
      <c r="C519" s="68">
        <v>545</v>
      </c>
      <c r="D519" s="68">
        <v>650</v>
      </c>
      <c r="E519" s="68">
        <v>616.66666666666663</v>
      </c>
      <c r="F519" s="68">
        <v>700</v>
      </c>
      <c r="G519" s="68">
        <v>700</v>
      </c>
      <c r="H519" s="68">
        <v>558.33333333333337</v>
      </c>
      <c r="I519" s="68">
        <v>765.57496360989808</v>
      </c>
    </row>
    <row r="520" spans="1:9" x14ac:dyDescent="0.3">
      <c r="A520" s="69">
        <f t="shared" si="6"/>
        <v>41604</v>
      </c>
      <c r="B520" s="122">
        <v>500</v>
      </c>
      <c r="C520" s="122">
        <v>542.5</v>
      </c>
      <c r="D520" s="122">
        <v>530</v>
      </c>
      <c r="E520" s="122">
        <v>460</v>
      </c>
      <c r="F520" s="122">
        <v>537.5</v>
      </c>
      <c r="G520" s="122">
        <v>537.5</v>
      </c>
      <c r="H520" s="122">
        <v>362.5</v>
      </c>
      <c r="I520" s="122">
        <v>502.76564774381376</v>
      </c>
    </row>
    <row r="521" spans="1:9" x14ac:dyDescent="0.3">
      <c r="A521" s="69">
        <f t="shared" si="6"/>
        <v>41611</v>
      </c>
      <c r="B521" s="122"/>
      <c r="C521" s="122"/>
      <c r="D521" s="68">
        <v>541.66666666666663</v>
      </c>
      <c r="E521" s="68">
        <v>461.66666666666669</v>
      </c>
      <c r="F521" s="68">
        <v>541.66666666666663</v>
      </c>
      <c r="G521" s="68">
        <v>541.66666666666663</v>
      </c>
      <c r="H521" s="68">
        <v>336.66666666666669</v>
      </c>
      <c r="I521" s="68">
        <v>461.63027656477442</v>
      </c>
    </row>
    <row r="522" spans="1:9" x14ac:dyDescent="0.3">
      <c r="A522" s="69">
        <f t="shared" si="6"/>
        <v>41618</v>
      </c>
      <c r="B522" s="122"/>
      <c r="C522" s="122"/>
      <c r="D522" s="68">
        <v>538.33333333333337</v>
      </c>
      <c r="E522" s="68">
        <v>430</v>
      </c>
      <c r="F522" s="68">
        <v>510</v>
      </c>
      <c r="G522" s="68">
        <v>510</v>
      </c>
      <c r="H522" s="68">
        <v>315</v>
      </c>
      <c r="I522" s="68">
        <v>431.92139737991266</v>
      </c>
    </row>
    <row r="523" spans="1:9" x14ac:dyDescent="0.3">
      <c r="A523" s="69">
        <f t="shared" si="6"/>
        <v>41625</v>
      </c>
      <c r="B523" s="68"/>
      <c r="C523" s="68"/>
      <c r="D523" s="116">
        <v>576.66666666666663</v>
      </c>
      <c r="E523" s="116">
        <v>475</v>
      </c>
      <c r="F523" s="116">
        <v>430</v>
      </c>
      <c r="G523" s="116">
        <v>430</v>
      </c>
      <c r="H523" s="116">
        <v>298.33333333333331</v>
      </c>
      <c r="I523" s="116">
        <v>409.0684133915575</v>
      </c>
    </row>
    <row r="524" spans="1:9" x14ac:dyDescent="0.3">
      <c r="A524" s="69">
        <f t="shared" si="6"/>
        <v>41632</v>
      </c>
      <c r="B524" s="68"/>
      <c r="C524" s="68"/>
      <c r="D524" s="116">
        <v>590</v>
      </c>
      <c r="E524" s="116">
        <v>490</v>
      </c>
      <c r="F524" s="116">
        <v>428.33333333333331</v>
      </c>
      <c r="G524" s="116">
        <v>428.33333333333331</v>
      </c>
      <c r="H524" s="116">
        <v>308.33333333333331</v>
      </c>
      <c r="I524" s="116">
        <v>422.78020378457057</v>
      </c>
    </row>
    <row r="525" spans="1:9" x14ac:dyDescent="0.3">
      <c r="A525" s="69">
        <f t="shared" si="6"/>
        <v>41639</v>
      </c>
      <c r="B525" s="116"/>
      <c r="C525" s="116"/>
      <c r="D525" s="116">
        <v>586.66666666666663</v>
      </c>
      <c r="E525" s="116">
        <v>450</v>
      </c>
      <c r="F525" s="116">
        <v>433.33333333333331</v>
      </c>
      <c r="G525" s="116">
        <v>433.33333333333331</v>
      </c>
      <c r="H525" s="116">
        <v>298.33333333333331</v>
      </c>
      <c r="I525" s="116">
        <v>409.0684133915575</v>
      </c>
    </row>
    <row r="526" spans="1:9" x14ac:dyDescent="0.3">
      <c r="A526" s="69">
        <f t="shared" si="6"/>
        <v>41646</v>
      </c>
      <c r="B526" s="116"/>
      <c r="C526" s="116"/>
      <c r="D526" s="116">
        <v>567.5</v>
      </c>
      <c r="E526" s="116">
        <v>425</v>
      </c>
      <c r="F526" s="116">
        <v>411.66666666666669</v>
      </c>
      <c r="G526" s="116">
        <v>411.66666666666669</v>
      </c>
      <c r="H526" s="116">
        <v>270</v>
      </c>
      <c r="I526" s="116">
        <v>370.21834061135377</v>
      </c>
    </row>
    <row r="527" spans="1:9" x14ac:dyDescent="0.3">
      <c r="A527" s="69">
        <f t="shared" si="6"/>
        <v>41653</v>
      </c>
      <c r="B527" s="68"/>
      <c r="C527" s="68"/>
      <c r="D527" s="68">
        <v>560</v>
      </c>
      <c r="E527" s="68">
        <v>385</v>
      </c>
      <c r="F527" s="68">
        <v>395</v>
      </c>
      <c r="G527" s="68">
        <v>395</v>
      </c>
      <c r="H527" s="68">
        <v>260</v>
      </c>
      <c r="I527" s="68">
        <v>356.50655021834064</v>
      </c>
    </row>
    <row r="528" spans="1:9" x14ac:dyDescent="0.3">
      <c r="A528" s="69">
        <f t="shared" si="6"/>
        <v>41660</v>
      </c>
      <c r="B528" s="68"/>
      <c r="C528" s="68"/>
      <c r="D528" s="68">
        <v>555</v>
      </c>
      <c r="E528" s="68">
        <v>443.33333333333331</v>
      </c>
      <c r="F528" s="68">
        <v>443.33333333333331</v>
      </c>
      <c r="G528" s="68">
        <v>443.33333333333331</v>
      </c>
      <c r="H528" s="68">
        <v>308.33333333333331</v>
      </c>
      <c r="I528" s="68">
        <v>422.78020378457063</v>
      </c>
    </row>
    <row r="529" spans="1:9" x14ac:dyDescent="0.3">
      <c r="A529" s="69">
        <f t="shared" si="6"/>
        <v>41667</v>
      </c>
      <c r="B529" s="68"/>
      <c r="C529" s="68"/>
      <c r="D529" s="68">
        <v>590</v>
      </c>
      <c r="E529" s="68">
        <v>491.66666666666669</v>
      </c>
      <c r="F529" s="68">
        <v>475</v>
      </c>
      <c r="G529" s="68">
        <v>475</v>
      </c>
      <c r="H529" s="68">
        <v>325</v>
      </c>
      <c r="I529" s="68">
        <v>445.63318777292579</v>
      </c>
    </row>
    <row r="530" spans="1:9" x14ac:dyDescent="0.3">
      <c r="A530" s="69">
        <f t="shared" si="6"/>
        <v>41674</v>
      </c>
      <c r="B530" s="68"/>
      <c r="C530" s="68"/>
      <c r="D530" s="68">
        <v>0</v>
      </c>
      <c r="E530" s="68">
        <v>491.66666666666669</v>
      </c>
      <c r="F530" s="68">
        <v>491.66666666666669</v>
      </c>
      <c r="G530" s="68">
        <v>491.66666666666669</v>
      </c>
      <c r="H530" s="68">
        <v>341.66666666666669</v>
      </c>
      <c r="I530" s="68">
        <v>468.48617176128096</v>
      </c>
    </row>
    <row r="531" spans="1:9" x14ac:dyDescent="0.3">
      <c r="A531" s="69">
        <f t="shared" si="6"/>
        <v>41681</v>
      </c>
      <c r="B531" s="68"/>
      <c r="C531" s="68"/>
      <c r="D531" s="68">
        <v>597</v>
      </c>
      <c r="E531" s="68">
        <v>457</v>
      </c>
      <c r="F531" s="68">
        <v>472</v>
      </c>
      <c r="G531" s="68">
        <v>472</v>
      </c>
      <c r="H531" s="68">
        <v>315</v>
      </c>
      <c r="I531" s="68">
        <v>432</v>
      </c>
    </row>
    <row r="532" spans="1:9" x14ac:dyDescent="0.3">
      <c r="A532" s="69">
        <f t="shared" si="6"/>
        <v>41688</v>
      </c>
      <c r="B532" s="68"/>
      <c r="C532" s="68"/>
      <c r="D532" s="68">
        <v>600</v>
      </c>
      <c r="E532" s="68">
        <v>463.33333333333331</v>
      </c>
      <c r="F532" s="68">
        <v>456.66666666666669</v>
      </c>
      <c r="G532" s="68">
        <v>456.66666666666669</v>
      </c>
      <c r="H532" s="68">
        <v>308.33333333333331</v>
      </c>
      <c r="I532" s="68">
        <v>422.78020378457057</v>
      </c>
    </row>
    <row r="533" spans="1:9" x14ac:dyDescent="0.3">
      <c r="A533" s="69">
        <f t="shared" si="6"/>
        <v>41695</v>
      </c>
      <c r="B533" s="68"/>
      <c r="C533" s="68"/>
      <c r="D533" s="68">
        <v>591.66666666666663</v>
      </c>
      <c r="E533" s="68">
        <v>485</v>
      </c>
      <c r="F533" s="68">
        <v>483.33333333333331</v>
      </c>
      <c r="G533" s="68">
        <v>483.33333333333331</v>
      </c>
      <c r="H533" s="68">
        <v>363.33333333333331</v>
      </c>
      <c r="I533" s="68">
        <v>498.19505094614266</v>
      </c>
    </row>
    <row r="534" spans="1:9" x14ac:dyDescent="0.3">
      <c r="A534" s="69">
        <f t="shared" si="6"/>
        <v>41702</v>
      </c>
      <c r="B534" s="68"/>
      <c r="C534" s="68"/>
      <c r="D534" s="68">
        <v>620</v>
      </c>
      <c r="E534" s="68">
        <v>595</v>
      </c>
      <c r="F534" s="68">
        <v>591.66666666666663</v>
      </c>
      <c r="G534" s="68">
        <v>591.66666666666663</v>
      </c>
      <c r="H534" s="68">
        <v>500</v>
      </c>
      <c r="I534" s="68">
        <v>685.58951965065501</v>
      </c>
    </row>
    <row r="535" spans="1:9" x14ac:dyDescent="0.3">
      <c r="A535" s="69">
        <f t="shared" si="6"/>
        <v>41709</v>
      </c>
      <c r="B535" s="68"/>
      <c r="C535" s="68"/>
      <c r="D535" s="68">
        <v>625</v>
      </c>
      <c r="E535" s="68">
        <v>595</v>
      </c>
      <c r="F535" s="68">
        <v>612.5</v>
      </c>
      <c r="G535" s="68">
        <v>612.5</v>
      </c>
      <c r="H535" s="68">
        <v>500</v>
      </c>
      <c r="I535" s="68">
        <v>685.58951965065501</v>
      </c>
    </row>
    <row r="536" spans="1:9" x14ac:dyDescent="0.3">
      <c r="A536" s="69">
        <f t="shared" si="6"/>
        <v>41716</v>
      </c>
      <c r="B536" s="68"/>
      <c r="C536" s="68"/>
      <c r="D536" s="68">
        <v>578.33333333333337</v>
      </c>
      <c r="E536" s="68">
        <v>463.33333333333331</v>
      </c>
      <c r="F536" s="68">
        <v>483.33333333333331</v>
      </c>
      <c r="G536" s="68">
        <v>483.33333333333331</v>
      </c>
      <c r="H536" s="68">
        <v>376.66666666666669</v>
      </c>
      <c r="I536" s="68">
        <v>516.47743813682689</v>
      </c>
    </row>
    <row r="537" spans="1:9" x14ac:dyDescent="0.3">
      <c r="A537" s="69">
        <f t="shared" si="6"/>
        <v>41723</v>
      </c>
      <c r="B537" s="68"/>
      <c r="C537" s="68">
        <v>467.5</v>
      </c>
      <c r="D537" s="68">
        <v>468.75</v>
      </c>
      <c r="E537" s="68">
        <v>350</v>
      </c>
      <c r="F537" s="68">
        <v>381.25</v>
      </c>
      <c r="G537" s="68">
        <v>381.25</v>
      </c>
      <c r="H537" s="68">
        <v>281.25</v>
      </c>
      <c r="I537" s="68">
        <v>388.50072780203783</v>
      </c>
    </row>
    <row r="538" spans="1:9" x14ac:dyDescent="0.3">
      <c r="A538" s="69">
        <f t="shared" si="6"/>
        <v>41730</v>
      </c>
      <c r="B538" s="68"/>
      <c r="C538" s="133">
        <v>421.25</v>
      </c>
      <c r="D538" s="133">
        <v>416.25</v>
      </c>
      <c r="E538" s="133">
        <v>300</v>
      </c>
      <c r="F538" s="133">
        <v>336.25</v>
      </c>
      <c r="G538" s="133">
        <v>336.25</v>
      </c>
      <c r="H538" s="133">
        <v>250</v>
      </c>
      <c r="I538" s="133">
        <v>342.7947598253275</v>
      </c>
    </row>
    <row r="539" spans="1:9" x14ac:dyDescent="0.3">
      <c r="A539" s="69">
        <f t="shared" si="6"/>
        <v>41737</v>
      </c>
      <c r="B539" s="68"/>
      <c r="C539" s="133">
        <v>390</v>
      </c>
      <c r="D539" s="133">
        <v>370</v>
      </c>
      <c r="E539" s="133">
        <v>251.66666666666666</v>
      </c>
      <c r="F539" s="133">
        <v>311.66666666666669</v>
      </c>
      <c r="G539" s="133">
        <v>311.66666666666669</v>
      </c>
      <c r="H539" s="133">
        <v>221.66666666666666</v>
      </c>
      <c r="I539" s="133">
        <v>303.94468704512371</v>
      </c>
    </row>
    <row r="540" spans="1:9" x14ac:dyDescent="0.3">
      <c r="A540" s="69">
        <f t="shared" si="6"/>
        <v>41744</v>
      </c>
      <c r="B540" s="133"/>
      <c r="C540" s="133">
        <v>388.75</v>
      </c>
      <c r="D540" s="133">
        <v>383.75</v>
      </c>
      <c r="E540" s="133">
        <v>263.75</v>
      </c>
      <c r="F540" s="133">
        <v>296.25</v>
      </c>
      <c r="G540" s="133">
        <v>296.25</v>
      </c>
      <c r="H540" s="133">
        <v>216.25</v>
      </c>
      <c r="I540" s="133">
        <v>294.80349344978168</v>
      </c>
    </row>
    <row r="541" spans="1:9" x14ac:dyDescent="0.3">
      <c r="A541" s="69">
        <f t="shared" si="6"/>
        <v>41751</v>
      </c>
      <c r="B541" s="68">
        <v>475</v>
      </c>
      <c r="C541" s="68">
        <v>402</v>
      </c>
      <c r="D541" s="68">
        <v>377</v>
      </c>
      <c r="E541" s="68">
        <v>238</v>
      </c>
      <c r="F541" s="68">
        <v>282</v>
      </c>
      <c r="G541" s="68">
        <v>282</v>
      </c>
      <c r="H541" s="68">
        <v>208</v>
      </c>
      <c r="I541" s="68">
        <v>285.6622998544396</v>
      </c>
    </row>
    <row r="542" spans="1:9" x14ac:dyDescent="0.3">
      <c r="A542" s="69">
        <f t="shared" si="6"/>
        <v>41758</v>
      </c>
      <c r="B542" s="68">
        <v>463.33333333333331</v>
      </c>
      <c r="C542" s="68">
        <v>375</v>
      </c>
      <c r="D542" s="68">
        <v>360</v>
      </c>
      <c r="E542" s="68">
        <v>243.33333333333334</v>
      </c>
      <c r="F542" s="68">
        <v>272.5</v>
      </c>
      <c r="G542" s="68">
        <v>272.5</v>
      </c>
      <c r="H542" s="68">
        <v>206.66666666666666</v>
      </c>
      <c r="I542" s="68">
        <v>283.3770014556041</v>
      </c>
    </row>
    <row r="543" spans="1:9" x14ac:dyDescent="0.3">
      <c r="A543" s="69">
        <f t="shared" si="6"/>
        <v>41765</v>
      </c>
      <c r="B543" s="68">
        <v>453.33333333333331</v>
      </c>
      <c r="C543" s="68">
        <v>373.33333333333331</v>
      </c>
      <c r="D543" s="68">
        <v>365</v>
      </c>
      <c r="E543" s="68">
        <v>243.33333333333334</v>
      </c>
      <c r="F543" s="68">
        <v>246.66666666666666</v>
      </c>
      <c r="G543" s="68">
        <v>246.66666666666666</v>
      </c>
      <c r="H543" s="68">
        <v>203.33333333333334</v>
      </c>
      <c r="I543" s="68">
        <v>278.806404657933</v>
      </c>
    </row>
    <row r="544" spans="1:9" x14ac:dyDescent="0.3">
      <c r="A544" s="69">
        <f t="shared" si="6"/>
        <v>41772</v>
      </c>
      <c r="B544" s="68">
        <v>442.5</v>
      </c>
      <c r="C544" s="68">
        <v>360</v>
      </c>
      <c r="D544" s="68">
        <v>355</v>
      </c>
      <c r="E544" s="68">
        <v>247.5</v>
      </c>
      <c r="F544" s="68">
        <v>247.5</v>
      </c>
      <c r="G544" s="68">
        <v>247.5</v>
      </c>
      <c r="H544" s="68">
        <v>202.5</v>
      </c>
      <c r="I544" s="68">
        <v>277.66375545851531</v>
      </c>
    </row>
    <row r="545" spans="1:10" x14ac:dyDescent="0.3">
      <c r="A545" s="69">
        <f t="shared" si="6"/>
        <v>41779</v>
      </c>
      <c r="B545" s="68">
        <v>462.5</v>
      </c>
      <c r="C545" s="68">
        <v>367.5</v>
      </c>
      <c r="D545" s="68">
        <v>372.5</v>
      </c>
      <c r="E545" s="68">
        <v>242.5</v>
      </c>
      <c r="F545" s="68">
        <v>230</v>
      </c>
      <c r="G545" s="68">
        <v>230</v>
      </c>
      <c r="H545" s="68">
        <v>200</v>
      </c>
      <c r="I545" s="68">
        <v>274.23580786026201</v>
      </c>
    </row>
    <row r="546" spans="1:10" x14ac:dyDescent="0.3">
      <c r="A546" s="69">
        <f t="shared" si="6"/>
        <v>41786</v>
      </c>
      <c r="B546" s="68">
        <v>446.66666666666669</v>
      </c>
      <c r="C546" s="68">
        <v>360</v>
      </c>
      <c r="D546" s="68">
        <v>360</v>
      </c>
      <c r="E546" s="68">
        <v>238.33333333333334</v>
      </c>
      <c r="F546" s="68">
        <v>231.66666666666666</v>
      </c>
      <c r="G546" s="68">
        <v>231.66666666666666</v>
      </c>
      <c r="H546" s="68">
        <v>200</v>
      </c>
      <c r="I546" s="68">
        <v>274</v>
      </c>
    </row>
    <row r="547" spans="1:10" x14ac:dyDescent="0.3">
      <c r="A547" s="69">
        <f t="shared" si="6"/>
        <v>41793</v>
      </c>
      <c r="B547" s="116">
        <v>420</v>
      </c>
      <c r="C547" s="116">
        <v>355</v>
      </c>
      <c r="D547" s="116">
        <v>353.33333333333331</v>
      </c>
      <c r="E547" s="116">
        <v>240</v>
      </c>
      <c r="F547" s="116">
        <v>231.66666666666666</v>
      </c>
      <c r="G547" s="116">
        <v>231.66666666666666</v>
      </c>
      <c r="H547" s="116">
        <v>200</v>
      </c>
      <c r="I547" s="116">
        <v>274.23580786026201</v>
      </c>
    </row>
    <row r="548" spans="1:10" x14ac:dyDescent="0.3">
      <c r="A548" s="69">
        <f t="shared" si="6"/>
        <v>41800</v>
      </c>
      <c r="B548" s="116">
        <v>421.66666666666669</v>
      </c>
      <c r="C548" s="116">
        <v>363.33333333333331</v>
      </c>
      <c r="D548" s="116">
        <v>373.33333333333331</v>
      </c>
      <c r="E548" s="116">
        <v>245</v>
      </c>
      <c r="F548" s="116">
        <v>231.66666666666666</v>
      </c>
      <c r="G548" s="116">
        <v>231.66666666666666</v>
      </c>
      <c r="H548" s="116">
        <v>200</v>
      </c>
      <c r="I548" s="116">
        <v>274.23580786026201</v>
      </c>
    </row>
    <row r="549" spans="1:10" x14ac:dyDescent="0.3">
      <c r="A549" s="69">
        <f t="shared" si="6"/>
        <v>41807</v>
      </c>
      <c r="B549" s="68">
        <v>430</v>
      </c>
      <c r="C549" s="68">
        <v>366.66666666666669</v>
      </c>
      <c r="D549" s="68">
        <v>366.66666666666669</v>
      </c>
      <c r="E549" s="68">
        <v>248.33333333333334</v>
      </c>
      <c r="F549" s="68">
        <v>226.66666666666666</v>
      </c>
      <c r="G549" s="68">
        <v>226.66666666666666</v>
      </c>
      <c r="H549" s="68">
        <v>206.66666666666666</v>
      </c>
      <c r="I549" s="68">
        <v>283.3770014556041</v>
      </c>
    </row>
    <row r="550" spans="1:10" x14ac:dyDescent="0.3">
      <c r="A550" s="69">
        <f t="shared" si="6"/>
        <v>41814</v>
      </c>
      <c r="B550" s="68"/>
      <c r="C550" s="122">
        <v>370</v>
      </c>
      <c r="D550" s="122">
        <v>368.75</v>
      </c>
      <c r="E550" s="122">
        <v>248.75</v>
      </c>
      <c r="F550" s="122">
        <v>237.5</v>
      </c>
      <c r="G550" s="122">
        <v>231.25</v>
      </c>
      <c r="H550" s="122">
        <v>213.75</v>
      </c>
      <c r="I550" s="122">
        <v>294.80349344978163</v>
      </c>
      <c r="J550" s="63" t="s">
        <v>65</v>
      </c>
    </row>
    <row r="551" spans="1:10" x14ac:dyDescent="0.3">
      <c r="A551" s="69">
        <f t="shared" si="6"/>
        <v>41821</v>
      </c>
      <c r="B551" s="68"/>
      <c r="C551" s="68"/>
      <c r="D551" s="122">
        <v>378.33333333333331</v>
      </c>
      <c r="E551" s="122">
        <v>260</v>
      </c>
      <c r="F551" s="122">
        <v>243.33333333333334</v>
      </c>
      <c r="G551" s="122">
        <v>243.33333333333334</v>
      </c>
      <c r="H551" s="122">
        <v>213.33333333333334</v>
      </c>
      <c r="I551" s="122">
        <v>292.51819505094613</v>
      </c>
      <c r="J551" s="63" t="s">
        <v>65</v>
      </c>
    </row>
    <row r="552" spans="1:10" x14ac:dyDescent="0.3">
      <c r="A552" s="69">
        <f t="shared" si="6"/>
        <v>41828</v>
      </c>
      <c r="B552" s="122"/>
      <c r="C552" s="122"/>
      <c r="D552" s="122">
        <v>345</v>
      </c>
      <c r="E552" s="122">
        <v>245</v>
      </c>
      <c r="F552" s="122">
        <v>242.5</v>
      </c>
      <c r="G552" s="122">
        <v>242.5</v>
      </c>
      <c r="H552" s="122">
        <v>207.5</v>
      </c>
      <c r="I552" s="122">
        <v>284.51965065502185</v>
      </c>
      <c r="J552" s="63" t="s">
        <v>65</v>
      </c>
    </row>
    <row r="553" spans="1:10" x14ac:dyDescent="0.3">
      <c r="A553" s="69">
        <f t="shared" si="6"/>
        <v>41835</v>
      </c>
      <c r="B553" s="122">
        <v>508.33333333333331</v>
      </c>
      <c r="C553" s="122">
        <v>401.66666666666669</v>
      </c>
      <c r="D553" s="122">
        <v>405</v>
      </c>
      <c r="E553" s="122">
        <v>280</v>
      </c>
      <c r="F553" s="122">
        <v>286.66666666666669</v>
      </c>
      <c r="G553" s="122">
        <v>286.66666666666669</v>
      </c>
      <c r="H553" s="122">
        <v>226.66666666666666</v>
      </c>
      <c r="I553" s="122">
        <v>310.80058224163025</v>
      </c>
      <c r="J553" s="63" t="s">
        <v>66</v>
      </c>
    </row>
    <row r="554" spans="1:10" x14ac:dyDescent="0.3">
      <c r="A554" s="69">
        <f t="shared" si="6"/>
        <v>41842</v>
      </c>
      <c r="B554" s="68">
        <v>595</v>
      </c>
      <c r="C554" s="68">
        <v>538.33333333333337</v>
      </c>
      <c r="D554" s="68">
        <v>546.66666666666663</v>
      </c>
      <c r="E554" s="68">
        <v>395</v>
      </c>
      <c r="F554" s="68">
        <v>446.66666666666669</v>
      </c>
      <c r="G554" s="68">
        <v>446.66666666666669</v>
      </c>
      <c r="H554" s="68">
        <v>322.66666666666669</v>
      </c>
      <c r="I554" s="68">
        <v>442.43377001455605</v>
      </c>
    </row>
    <row r="555" spans="1:10" x14ac:dyDescent="0.3">
      <c r="A555" s="69">
        <f t="shared" si="6"/>
        <v>41849</v>
      </c>
      <c r="B555" s="68"/>
      <c r="C555" s="68">
        <v>568.33333333333337</v>
      </c>
      <c r="D555" s="68">
        <v>560</v>
      </c>
      <c r="E555" s="68">
        <v>408.33333333333331</v>
      </c>
      <c r="F555" s="68">
        <v>455</v>
      </c>
      <c r="G555" s="68">
        <v>455</v>
      </c>
      <c r="H555" s="68">
        <v>366.66666666666669</v>
      </c>
      <c r="I555" s="68">
        <v>502.76564774381364</v>
      </c>
      <c r="J555" s="63" t="s">
        <v>67</v>
      </c>
    </row>
    <row r="556" spans="1:10" x14ac:dyDescent="0.3">
      <c r="A556" s="69">
        <f t="shared" si="6"/>
        <v>41856</v>
      </c>
      <c r="B556" s="68"/>
      <c r="C556" s="68">
        <v>495</v>
      </c>
      <c r="D556" s="68">
        <v>467.5</v>
      </c>
      <c r="E556" s="68">
        <v>417.5</v>
      </c>
      <c r="F556" s="68">
        <v>460</v>
      </c>
      <c r="G556" s="68">
        <v>460</v>
      </c>
      <c r="H556" s="68">
        <v>387.5</v>
      </c>
      <c r="I556" s="68">
        <v>531.33187772925771</v>
      </c>
    </row>
    <row r="557" spans="1:10" x14ac:dyDescent="0.3">
      <c r="A557" s="69">
        <f t="shared" si="6"/>
        <v>41863</v>
      </c>
      <c r="B557" s="68">
        <v>631.66666666666663</v>
      </c>
      <c r="C557" s="68">
        <v>470</v>
      </c>
      <c r="D557" s="68">
        <v>441.66666666666669</v>
      </c>
      <c r="E557" s="68">
        <v>388.33333333333331</v>
      </c>
      <c r="F557" s="68">
        <v>442.5</v>
      </c>
      <c r="G557" s="68">
        <v>442.5</v>
      </c>
      <c r="H557" s="68">
        <v>377.5</v>
      </c>
      <c r="I557" s="68">
        <v>530.18922852983985</v>
      </c>
    </row>
    <row r="558" spans="1:10" x14ac:dyDescent="0.3">
      <c r="A558" s="69">
        <f t="shared" si="6"/>
        <v>41870</v>
      </c>
      <c r="B558" s="68">
        <v>555</v>
      </c>
      <c r="C558" s="68">
        <v>488.33333333333331</v>
      </c>
      <c r="D558" s="68">
        <v>466.66666666666669</v>
      </c>
      <c r="E558" s="68">
        <v>400</v>
      </c>
      <c r="F558" s="68">
        <v>450</v>
      </c>
      <c r="G558" s="68">
        <v>450</v>
      </c>
      <c r="H558" s="68">
        <v>408</v>
      </c>
      <c r="I558" s="68">
        <v>605.60407569141182</v>
      </c>
    </row>
    <row r="559" spans="1:10" x14ac:dyDescent="0.3">
      <c r="A559" s="69">
        <f t="shared" si="6"/>
        <v>41877</v>
      </c>
      <c r="B559" s="68">
        <v>525</v>
      </c>
      <c r="C559" s="68">
        <v>498.75</v>
      </c>
      <c r="D559" s="68">
        <v>468.75</v>
      </c>
      <c r="E559" s="68">
        <v>456.25</v>
      </c>
      <c r="F559" s="68">
        <v>493.75</v>
      </c>
      <c r="G559" s="68">
        <v>493.75</v>
      </c>
      <c r="H559" s="68">
        <v>452.5</v>
      </c>
      <c r="I559" s="68">
        <v>621.60116448326062</v>
      </c>
    </row>
    <row r="560" spans="1:10" x14ac:dyDescent="0.3">
      <c r="A560" s="69">
        <f t="shared" si="6"/>
        <v>41884</v>
      </c>
      <c r="B560" s="68">
        <v>555</v>
      </c>
      <c r="C560" s="68">
        <v>585</v>
      </c>
      <c r="D560" s="68">
        <v>596.25</v>
      </c>
      <c r="E560" s="68">
        <v>583.33333333333337</v>
      </c>
      <c r="F560" s="68">
        <v>575</v>
      </c>
      <c r="G560" s="68">
        <v>575</v>
      </c>
      <c r="H560" s="68">
        <v>582.5</v>
      </c>
      <c r="I560" s="68">
        <v>790.71324599708885</v>
      </c>
    </row>
    <row r="561" spans="1:9" x14ac:dyDescent="0.3">
      <c r="A561" s="69">
        <f t="shared" si="6"/>
        <v>41891</v>
      </c>
      <c r="B561" s="68">
        <v>587.5</v>
      </c>
      <c r="C561" s="68">
        <v>575</v>
      </c>
      <c r="D561" s="68">
        <v>666.66666666666663</v>
      </c>
      <c r="E561" s="68">
        <v>608.33333333333337</v>
      </c>
      <c r="F561" s="68">
        <v>641.66666666666663</v>
      </c>
      <c r="G561" s="68">
        <v>641.66666666666663</v>
      </c>
      <c r="H561" s="68">
        <v>632.5</v>
      </c>
      <c r="I561" s="68">
        <v>867.27074235807856</v>
      </c>
    </row>
    <row r="562" spans="1:9" x14ac:dyDescent="0.3">
      <c r="A562" s="69">
        <f t="shared" si="6"/>
        <v>41898</v>
      </c>
      <c r="B562" s="68">
        <v>550</v>
      </c>
      <c r="C562" s="68">
        <v>583.33333333333337</v>
      </c>
      <c r="D562" s="68">
        <v>633.33333333333337</v>
      </c>
      <c r="E562" s="68">
        <v>658.33333333333337</v>
      </c>
      <c r="F562" s="68">
        <v>691.66666666666663</v>
      </c>
      <c r="G562" s="68">
        <v>691.66666666666663</v>
      </c>
      <c r="H562" s="68">
        <v>641.66666666666663</v>
      </c>
      <c r="I562" s="68">
        <v>879.83988355167401</v>
      </c>
    </row>
    <row r="563" spans="1:9" x14ac:dyDescent="0.3">
      <c r="A563" s="69">
        <f t="shared" si="6"/>
        <v>41905</v>
      </c>
      <c r="B563" s="68">
        <v>762.5</v>
      </c>
      <c r="C563" s="68">
        <v>828.75</v>
      </c>
      <c r="D563" s="68">
        <v>825</v>
      </c>
      <c r="E563" s="68">
        <v>868.75</v>
      </c>
      <c r="F563" s="68">
        <v>896.25</v>
      </c>
      <c r="G563" s="68">
        <v>896.25</v>
      </c>
      <c r="H563" s="68">
        <v>896.25</v>
      </c>
      <c r="I563" s="68">
        <v>1234.061135371179</v>
      </c>
    </row>
    <row r="564" spans="1:9" x14ac:dyDescent="0.3">
      <c r="A564" s="69">
        <f t="shared" si="6"/>
        <v>41912</v>
      </c>
      <c r="B564" s="68">
        <v>883.33333333333337</v>
      </c>
      <c r="C564" s="68">
        <v>1016.6666666666666</v>
      </c>
      <c r="D564" s="68">
        <v>1066.6666666666667</v>
      </c>
      <c r="E564" s="68">
        <v>1033.3333333333333</v>
      </c>
      <c r="F564" s="68">
        <v>1100</v>
      </c>
      <c r="G564" s="68">
        <v>1100</v>
      </c>
      <c r="H564" s="68">
        <v>1066.6666666666667</v>
      </c>
      <c r="I564" s="68">
        <v>1462.5909752547307</v>
      </c>
    </row>
    <row r="565" spans="1:9" x14ac:dyDescent="0.3">
      <c r="A565" s="69">
        <f t="shared" si="6"/>
        <v>41919</v>
      </c>
      <c r="B565" s="68">
        <v>791.66666666666663</v>
      </c>
      <c r="C565" s="68">
        <v>900</v>
      </c>
      <c r="D565" s="68">
        <v>891.66666666666663</v>
      </c>
      <c r="E565" s="68">
        <v>833.33333333333337</v>
      </c>
      <c r="F565" s="68">
        <v>933.33333333333337</v>
      </c>
      <c r="G565" s="68">
        <v>933.33333333333337</v>
      </c>
      <c r="H565" s="68">
        <v>826.66666666666663</v>
      </c>
      <c r="I565" s="68">
        <v>1133.5080058224164</v>
      </c>
    </row>
    <row r="566" spans="1:9" x14ac:dyDescent="0.3">
      <c r="A566" s="69">
        <f t="shared" si="6"/>
        <v>41926</v>
      </c>
      <c r="B566" s="68">
        <v>741.66666666666663</v>
      </c>
      <c r="C566" s="68">
        <v>836.66666666666663</v>
      </c>
      <c r="D566" s="68">
        <v>833.33333333333337</v>
      </c>
      <c r="E566" s="68">
        <v>683.33333333333337</v>
      </c>
      <c r="F566" s="68">
        <v>808.33333333333337</v>
      </c>
      <c r="G566" s="68">
        <v>808.33333333333337</v>
      </c>
      <c r="H566" s="68">
        <v>616.66666666666663</v>
      </c>
      <c r="I566" s="68">
        <v>845.56040756914115</v>
      </c>
    </row>
    <row r="567" spans="1:9" x14ac:dyDescent="0.3">
      <c r="A567" s="69">
        <f t="shared" si="6"/>
        <v>41933</v>
      </c>
      <c r="B567" s="68">
        <v>793.75</v>
      </c>
      <c r="C567" s="68">
        <v>856.25</v>
      </c>
      <c r="D567" s="68">
        <v>872.5</v>
      </c>
      <c r="E567" s="68">
        <v>731.25</v>
      </c>
      <c r="F567" s="68">
        <v>887.5</v>
      </c>
      <c r="G567" s="68">
        <v>887.5</v>
      </c>
      <c r="H567" s="68">
        <v>650</v>
      </c>
      <c r="I567" s="68">
        <v>868.41339155749631</v>
      </c>
    </row>
    <row r="568" spans="1:9" x14ac:dyDescent="0.3">
      <c r="B568" s="68"/>
      <c r="C568" s="68"/>
      <c r="D568" s="68"/>
      <c r="E568" s="68"/>
      <c r="F568" s="68"/>
      <c r="G568" s="68"/>
      <c r="H568" s="68"/>
      <c r="I568" s="68"/>
    </row>
    <row r="569" spans="1:9" x14ac:dyDescent="0.3">
      <c r="B569" s="68"/>
      <c r="C569" s="68"/>
      <c r="D569" s="68"/>
      <c r="E569" s="68"/>
      <c r="F569" s="68"/>
      <c r="G569" s="68"/>
      <c r="H569" s="68"/>
      <c r="I569" s="68"/>
    </row>
    <row r="570" spans="1:9" x14ac:dyDescent="0.3">
      <c r="B570" s="68">
        <v>793.75</v>
      </c>
      <c r="C570" s="68">
        <v>856.25</v>
      </c>
      <c r="D570" s="68">
        <v>872.5</v>
      </c>
      <c r="E570" s="68">
        <v>731.25</v>
      </c>
      <c r="F570" s="68">
        <v>887.5</v>
      </c>
      <c r="G570" s="68">
        <v>887.5</v>
      </c>
      <c r="H570" s="68">
        <v>650</v>
      </c>
      <c r="I570" s="68">
        <v>868.41339155749631</v>
      </c>
    </row>
    <row r="571" spans="1:9" x14ac:dyDescent="0.3">
      <c r="B571" s="68">
        <v>775</v>
      </c>
      <c r="C571" s="68">
        <v>787.5</v>
      </c>
      <c r="D571" s="68">
        <v>756.25</v>
      </c>
      <c r="E571" s="68">
        <v>625</v>
      </c>
      <c r="F571" s="68">
        <v>743.75</v>
      </c>
      <c r="G571" s="68">
        <v>766.66666666666663</v>
      </c>
      <c r="H571" s="68">
        <v>558.33333333333337</v>
      </c>
      <c r="I571" s="68">
        <v>737.00873362445418</v>
      </c>
    </row>
    <row r="572" spans="1:9" x14ac:dyDescent="0.3">
      <c r="B572" s="68" t="e">
        <v>#DIV/0!</v>
      </c>
      <c r="C572" s="68" t="e">
        <v>#DIV/0!</v>
      </c>
      <c r="D572" s="68">
        <v>600</v>
      </c>
      <c r="E572" s="68">
        <v>468.75</v>
      </c>
      <c r="F572" s="68">
        <v>520</v>
      </c>
      <c r="G572" s="68">
        <v>545</v>
      </c>
      <c r="H572" s="68">
        <v>431.25</v>
      </c>
      <c r="I572" s="68">
        <v>582.75109170305677</v>
      </c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7"/>
  <sheetViews>
    <sheetView workbookViewId="0">
      <pane xSplit="2" ySplit="3" topLeftCell="C557" activePane="bottomRight" state="frozen"/>
      <selection pane="topRight" activeCell="C1" sqref="C1"/>
      <selection pane="bottomLeft" activeCell="A4" sqref="A4"/>
      <selection pane="bottomRight" activeCell="A567" sqref="A567:B567"/>
    </sheetView>
  </sheetViews>
  <sheetFormatPr defaultColWidth="9.08984375" defaultRowHeight="14" x14ac:dyDescent="0.3"/>
  <cols>
    <col min="1" max="1" width="11.54296875" style="69" bestFit="1" customWidth="1"/>
    <col min="2" max="4" width="9.08984375" style="63"/>
    <col min="5" max="10" width="9.08984375" style="68"/>
    <col min="11" max="16384" width="9.08984375" style="63"/>
  </cols>
  <sheetData>
    <row r="1" spans="1:11" x14ac:dyDescent="0.3">
      <c r="A1" s="83" t="s">
        <v>51</v>
      </c>
      <c r="B1" s="84"/>
      <c r="C1" s="84"/>
      <c r="D1" s="84"/>
      <c r="E1" s="89"/>
      <c r="F1" s="89"/>
      <c r="G1" s="90"/>
      <c r="H1" s="90"/>
      <c r="I1" s="90"/>
      <c r="J1" s="90"/>
    </row>
    <row r="2" spans="1:11" x14ac:dyDescent="0.3">
      <c r="A2" s="83" t="s">
        <v>0</v>
      </c>
      <c r="B2" s="84"/>
      <c r="C2" s="84"/>
      <c r="D2" s="84"/>
      <c r="E2" s="89"/>
      <c r="F2" s="89"/>
      <c r="G2" s="90"/>
      <c r="H2" s="90"/>
      <c r="I2" s="90"/>
      <c r="J2" s="90"/>
    </row>
    <row r="3" spans="1:11" x14ac:dyDescent="0.3">
      <c r="A3" s="69" t="s">
        <v>4</v>
      </c>
      <c r="B3" s="85" t="s">
        <v>8</v>
      </c>
      <c r="C3" s="85" t="s">
        <v>10</v>
      </c>
      <c r="D3" s="85" t="s">
        <v>7</v>
      </c>
      <c r="E3" s="91" t="s">
        <v>5</v>
      </c>
      <c r="F3" s="91" t="s">
        <v>9</v>
      </c>
      <c r="G3" s="91" t="s">
        <v>3</v>
      </c>
      <c r="H3" s="91" t="s">
        <v>6</v>
      </c>
      <c r="I3" s="91" t="s">
        <v>2</v>
      </c>
      <c r="J3" s="91" t="s">
        <v>11</v>
      </c>
    </row>
    <row r="4" spans="1:11" x14ac:dyDescent="0.3">
      <c r="A4" s="66">
        <v>37993</v>
      </c>
      <c r="B4" s="63">
        <v>2</v>
      </c>
      <c r="C4" s="68">
        <v>0</v>
      </c>
      <c r="D4" s="68">
        <v>0</v>
      </c>
      <c r="E4" s="68">
        <v>202.5</v>
      </c>
      <c r="F4" s="68">
        <v>158.161</v>
      </c>
      <c r="G4" s="68">
        <v>161</v>
      </c>
      <c r="H4" s="68">
        <v>161</v>
      </c>
      <c r="I4" s="68">
        <v>145</v>
      </c>
      <c r="J4" s="68">
        <v>191.67</v>
      </c>
    </row>
    <row r="5" spans="1:11" x14ac:dyDescent="0.3">
      <c r="A5" s="66">
        <v>38000</v>
      </c>
      <c r="B5" s="63">
        <v>2</v>
      </c>
      <c r="C5" s="68">
        <v>0</v>
      </c>
      <c r="D5" s="68">
        <v>0</v>
      </c>
      <c r="E5" s="68">
        <v>199.2</v>
      </c>
      <c r="F5" s="68">
        <v>155.9</v>
      </c>
      <c r="G5" s="68">
        <v>159</v>
      </c>
      <c r="H5" s="68">
        <v>159</v>
      </c>
      <c r="I5" s="68">
        <v>144</v>
      </c>
      <c r="J5" s="68">
        <v>191.67</v>
      </c>
    </row>
    <row r="6" spans="1:11" x14ac:dyDescent="0.3">
      <c r="A6" s="66">
        <v>38007</v>
      </c>
      <c r="B6" s="63">
        <v>2</v>
      </c>
      <c r="C6" s="63">
        <v>0</v>
      </c>
      <c r="D6" s="63">
        <v>0</v>
      </c>
      <c r="E6" s="68">
        <v>194</v>
      </c>
      <c r="F6" s="68">
        <v>151</v>
      </c>
      <c r="G6" s="68">
        <v>159</v>
      </c>
      <c r="H6" s="68">
        <v>158</v>
      </c>
      <c r="I6" s="68">
        <v>140</v>
      </c>
      <c r="J6" s="68">
        <v>180</v>
      </c>
    </row>
    <row r="7" spans="1:11" x14ac:dyDescent="0.3">
      <c r="A7" s="66">
        <v>38014</v>
      </c>
      <c r="B7" s="63">
        <v>2</v>
      </c>
      <c r="C7" s="63">
        <v>0</v>
      </c>
      <c r="D7" s="63">
        <v>0</v>
      </c>
      <c r="E7" s="68">
        <v>201</v>
      </c>
      <c r="F7" s="68">
        <v>147</v>
      </c>
      <c r="G7" s="68">
        <v>155</v>
      </c>
      <c r="H7" s="68">
        <v>153</v>
      </c>
      <c r="I7" s="68">
        <v>141</v>
      </c>
      <c r="J7" s="68">
        <v>164</v>
      </c>
    </row>
    <row r="8" spans="1:11" x14ac:dyDescent="0.3">
      <c r="A8" s="66">
        <v>38021</v>
      </c>
      <c r="B8" s="86">
        <v>3</v>
      </c>
      <c r="C8" s="63">
        <v>0</v>
      </c>
      <c r="D8" s="63">
        <v>189</v>
      </c>
      <c r="E8" s="68">
        <v>179</v>
      </c>
      <c r="F8" s="68">
        <v>148</v>
      </c>
      <c r="G8" s="68">
        <v>153</v>
      </c>
      <c r="H8" s="68">
        <v>152</v>
      </c>
      <c r="I8" s="68">
        <v>131</v>
      </c>
      <c r="J8" s="68">
        <v>180</v>
      </c>
      <c r="K8" s="63" t="s">
        <v>12</v>
      </c>
    </row>
    <row r="9" spans="1:11" x14ac:dyDescent="0.3">
      <c r="A9" s="66">
        <v>38028</v>
      </c>
      <c r="B9" s="86">
        <v>3</v>
      </c>
      <c r="C9" s="63">
        <v>0</v>
      </c>
      <c r="D9" s="63">
        <v>187</v>
      </c>
      <c r="E9" s="68">
        <v>167</v>
      </c>
      <c r="F9" s="68">
        <v>144</v>
      </c>
      <c r="G9" s="68">
        <v>141</v>
      </c>
      <c r="H9" s="68">
        <v>141</v>
      </c>
      <c r="I9" s="68">
        <v>123</v>
      </c>
      <c r="J9" s="68">
        <v>167</v>
      </c>
    </row>
    <row r="10" spans="1:11" x14ac:dyDescent="0.3">
      <c r="A10" s="66">
        <v>38035</v>
      </c>
      <c r="B10" s="86">
        <v>3</v>
      </c>
      <c r="C10" s="63">
        <v>0</v>
      </c>
      <c r="D10" s="63">
        <v>184</v>
      </c>
      <c r="E10" s="68">
        <v>173</v>
      </c>
      <c r="F10" s="68">
        <v>137</v>
      </c>
      <c r="G10" s="68">
        <v>137</v>
      </c>
      <c r="H10" s="68">
        <v>136</v>
      </c>
      <c r="I10" s="68">
        <v>123</v>
      </c>
      <c r="J10" s="68">
        <v>177</v>
      </c>
    </row>
    <row r="11" spans="1:11" x14ac:dyDescent="0.3">
      <c r="A11" s="66">
        <v>38042</v>
      </c>
      <c r="B11" s="63">
        <v>3</v>
      </c>
      <c r="C11" s="68">
        <v>0</v>
      </c>
      <c r="D11" s="68">
        <v>181</v>
      </c>
      <c r="E11" s="68">
        <v>164</v>
      </c>
      <c r="F11" s="68">
        <v>134</v>
      </c>
      <c r="G11" s="68">
        <v>129</v>
      </c>
      <c r="H11" s="68">
        <v>128</v>
      </c>
      <c r="I11" s="68">
        <v>118</v>
      </c>
      <c r="J11" s="68">
        <v>168</v>
      </c>
    </row>
    <row r="12" spans="1:11" x14ac:dyDescent="0.3">
      <c r="A12" s="66">
        <v>38049</v>
      </c>
      <c r="B12" s="63">
        <v>4</v>
      </c>
      <c r="C12" s="63">
        <v>195</v>
      </c>
      <c r="D12" s="63">
        <v>171</v>
      </c>
      <c r="E12" s="68">
        <v>159</v>
      </c>
      <c r="F12" s="68">
        <v>133</v>
      </c>
      <c r="G12" s="68">
        <v>130</v>
      </c>
      <c r="H12" s="68">
        <v>129</v>
      </c>
      <c r="I12" s="68">
        <v>120</v>
      </c>
      <c r="J12" s="68">
        <v>167</v>
      </c>
    </row>
    <row r="13" spans="1:11" x14ac:dyDescent="0.3">
      <c r="A13" s="69">
        <v>38056</v>
      </c>
      <c r="B13" s="63">
        <v>4</v>
      </c>
      <c r="C13" s="63">
        <v>193</v>
      </c>
      <c r="D13" s="63">
        <v>166</v>
      </c>
      <c r="E13" s="68">
        <v>153</v>
      </c>
      <c r="F13" s="68">
        <v>129</v>
      </c>
      <c r="G13" s="68">
        <v>128</v>
      </c>
      <c r="H13" s="68">
        <v>127</v>
      </c>
      <c r="I13" s="68">
        <v>118</v>
      </c>
      <c r="J13" s="68">
        <v>165</v>
      </c>
    </row>
    <row r="14" spans="1:11" x14ac:dyDescent="0.3">
      <c r="A14" s="69">
        <v>38063</v>
      </c>
      <c r="B14" s="63">
        <v>4</v>
      </c>
      <c r="C14" s="63">
        <v>189</v>
      </c>
      <c r="D14" s="63">
        <v>163</v>
      </c>
      <c r="E14" s="68">
        <v>150</v>
      </c>
      <c r="F14" s="68">
        <v>123</v>
      </c>
      <c r="G14" s="68">
        <v>126</v>
      </c>
      <c r="H14" s="68">
        <v>125</v>
      </c>
      <c r="I14" s="68">
        <v>117</v>
      </c>
      <c r="J14" s="68">
        <v>163</v>
      </c>
    </row>
    <row r="15" spans="1:11" x14ac:dyDescent="0.3">
      <c r="A15" s="69">
        <v>38070</v>
      </c>
      <c r="B15" s="63">
        <v>4</v>
      </c>
      <c r="C15" s="63">
        <v>180</v>
      </c>
      <c r="D15" s="63">
        <v>153</v>
      </c>
      <c r="E15" s="68">
        <v>146</v>
      </c>
      <c r="F15" s="68">
        <v>122</v>
      </c>
      <c r="G15" s="68">
        <v>123</v>
      </c>
      <c r="H15" s="68">
        <v>123</v>
      </c>
      <c r="I15" s="68">
        <v>114</v>
      </c>
      <c r="J15" s="68">
        <v>155</v>
      </c>
    </row>
    <row r="16" spans="1:11" x14ac:dyDescent="0.3">
      <c r="A16" s="69">
        <v>38077</v>
      </c>
      <c r="B16" s="63">
        <v>4</v>
      </c>
      <c r="C16" s="63">
        <v>184</v>
      </c>
      <c r="D16" s="63">
        <v>155</v>
      </c>
      <c r="E16" s="68">
        <v>151</v>
      </c>
      <c r="F16" s="68">
        <v>120</v>
      </c>
      <c r="G16" s="68">
        <v>123</v>
      </c>
      <c r="H16" s="68">
        <v>122</v>
      </c>
      <c r="I16" s="68">
        <v>114</v>
      </c>
      <c r="J16" s="68">
        <v>168</v>
      </c>
    </row>
    <row r="17" spans="1:10" x14ac:dyDescent="0.3">
      <c r="A17" s="69">
        <v>38084</v>
      </c>
      <c r="B17" s="63">
        <v>5</v>
      </c>
      <c r="C17" s="63">
        <v>184</v>
      </c>
      <c r="D17" s="63">
        <v>152</v>
      </c>
      <c r="E17" s="68">
        <v>147</v>
      </c>
      <c r="F17" s="68">
        <v>118</v>
      </c>
      <c r="G17" s="68">
        <v>122</v>
      </c>
      <c r="H17" s="68">
        <v>123</v>
      </c>
      <c r="I17" s="68">
        <v>114</v>
      </c>
      <c r="J17" s="68">
        <v>167</v>
      </c>
    </row>
    <row r="18" spans="1:10" x14ac:dyDescent="0.3">
      <c r="A18" s="69">
        <v>38091</v>
      </c>
      <c r="B18" s="63">
        <v>5</v>
      </c>
      <c r="C18" s="63">
        <v>183</v>
      </c>
      <c r="D18" s="63">
        <v>152</v>
      </c>
      <c r="E18" s="68">
        <v>196</v>
      </c>
      <c r="F18" s="68">
        <v>121</v>
      </c>
      <c r="G18" s="68">
        <v>121</v>
      </c>
      <c r="H18" s="68">
        <v>122</v>
      </c>
      <c r="I18" s="68">
        <v>113</v>
      </c>
      <c r="J18" s="68">
        <v>157</v>
      </c>
    </row>
    <row r="19" spans="1:10" x14ac:dyDescent="0.3">
      <c r="A19" s="69">
        <v>38098</v>
      </c>
      <c r="B19" s="63">
        <v>5</v>
      </c>
      <c r="C19" s="63">
        <v>178</v>
      </c>
      <c r="D19" s="63">
        <v>148</v>
      </c>
      <c r="E19" s="68">
        <v>142</v>
      </c>
      <c r="F19" s="68">
        <v>116</v>
      </c>
      <c r="G19" s="68">
        <v>118</v>
      </c>
      <c r="H19" s="68">
        <v>118</v>
      </c>
      <c r="I19" s="68">
        <v>111</v>
      </c>
      <c r="J19" s="68">
        <v>155</v>
      </c>
    </row>
    <row r="20" spans="1:10" x14ac:dyDescent="0.3">
      <c r="A20" s="69">
        <v>38105</v>
      </c>
      <c r="B20" s="63">
        <v>5</v>
      </c>
      <c r="C20" s="63">
        <v>175</v>
      </c>
      <c r="D20" s="63">
        <v>145</v>
      </c>
      <c r="E20" s="68">
        <v>140</v>
      </c>
      <c r="F20" s="68">
        <v>117</v>
      </c>
      <c r="G20" s="68">
        <v>117</v>
      </c>
      <c r="H20" s="68">
        <v>117</v>
      </c>
      <c r="I20" s="68">
        <v>112</v>
      </c>
      <c r="J20" s="68">
        <v>152</v>
      </c>
    </row>
    <row r="21" spans="1:10" x14ac:dyDescent="0.3">
      <c r="A21" s="69">
        <v>38112</v>
      </c>
      <c r="B21" s="63">
        <v>6</v>
      </c>
      <c r="C21" s="63">
        <v>178</v>
      </c>
      <c r="D21" s="63">
        <v>149</v>
      </c>
      <c r="E21" s="68">
        <v>144</v>
      </c>
      <c r="F21" s="68">
        <v>121</v>
      </c>
      <c r="G21" s="68">
        <v>127</v>
      </c>
      <c r="H21" s="68">
        <v>127</v>
      </c>
      <c r="I21" s="68">
        <v>115</v>
      </c>
      <c r="J21" s="68">
        <v>167</v>
      </c>
    </row>
    <row r="22" spans="1:10" x14ac:dyDescent="0.3">
      <c r="A22" s="69">
        <v>38119</v>
      </c>
      <c r="B22" s="63">
        <v>6</v>
      </c>
      <c r="C22" s="63">
        <v>185</v>
      </c>
      <c r="D22" s="63">
        <v>160</v>
      </c>
      <c r="E22" s="68">
        <v>155</v>
      </c>
      <c r="F22" s="68">
        <v>123</v>
      </c>
      <c r="G22" s="68">
        <v>127</v>
      </c>
      <c r="H22" s="68">
        <v>127</v>
      </c>
      <c r="I22" s="68">
        <v>119</v>
      </c>
      <c r="J22" s="68">
        <v>163</v>
      </c>
    </row>
    <row r="23" spans="1:10" x14ac:dyDescent="0.3">
      <c r="A23" s="69">
        <v>38126</v>
      </c>
      <c r="B23" s="63">
        <v>6</v>
      </c>
      <c r="C23" s="63">
        <v>205</v>
      </c>
      <c r="D23" s="63">
        <v>173</v>
      </c>
      <c r="E23" s="68">
        <v>173</v>
      </c>
      <c r="F23" s="68">
        <v>128</v>
      </c>
      <c r="G23" s="68">
        <v>127</v>
      </c>
      <c r="H23" s="68">
        <v>127</v>
      </c>
      <c r="I23" s="68">
        <v>119</v>
      </c>
      <c r="J23" s="68">
        <v>160</v>
      </c>
    </row>
    <row r="24" spans="1:10" x14ac:dyDescent="0.3">
      <c r="A24" s="69">
        <v>38133</v>
      </c>
      <c r="B24" s="63">
        <v>6</v>
      </c>
      <c r="C24" s="63">
        <v>212</v>
      </c>
      <c r="D24" s="63">
        <v>176</v>
      </c>
      <c r="E24" s="68">
        <v>173</v>
      </c>
      <c r="F24" s="68">
        <v>135</v>
      </c>
      <c r="G24" s="68">
        <v>127</v>
      </c>
      <c r="H24" s="68">
        <v>127</v>
      </c>
      <c r="I24" s="68">
        <v>123</v>
      </c>
      <c r="J24" s="68">
        <v>175</v>
      </c>
    </row>
    <row r="25" spans="1:10" x14ac:dyDescent="0.3">
      <c r="A25" s="69">
        <v>38140</v>
      </c>
      <c r="B25" s="63">
        <v>7</v>
      </c>
      <c r="C25" s="63">
        <v>216</v>
      </c>
      <c r="D25" s="63">
        <v>180</v>
      </c>
      <c r="E25" s="68">
        <v>176</v>
      </c>
      <c r="F25" s="68">
        <v>137</v>
      </c>
      <c r="G25" s="68">
        <v>140</v>
      </c>
      <c r="H25" s="68">
        <v>140</v>
      </c>
      <c r="I25" s="68">
        <v>131</v>
      </c>
      <c r="J25" s="68">
        <v>177</v>
      </c>
    </row>
    <row r="26" spans="1:10" x14ac:dyDescent="0.3">
      <c r="A26" s="69">
        <v>38147</v>
      </c>
      <c r="B26" s="63">
        <v>7</v>
      </c>
      <c r="C26" s="63">
        <v>214</v>
      </c>
      <c r="D26" s="63">
        <v>177</v>
      </c>
      <c r="E26" s="68">
        <v>172</v>
      </c>
      <c r="F26" s="68">
        <v>136</v>
      </c>
      <c r="G26" s="68">
        <v>138</v>
      </c>
      <c r="H26" s="68">
        <v>138</v>
      </c>
      <c r="I26" s="68">
        <v>131</v>
      </c>
      <c r="J26" s="68">
        <v>185</v>
      </c>
    </row>
    <row r="27" spans="1:10" x14ac:dyDescent="0.3">
      <c r="A27" s="66">
        <v>38154</v>
      </c>
      <c r="B27" s="63">
        <v>7</v>
      </c>
      <c r="C27" s="63">
        <v>207</v>
      </c>
      <c r="D27" s="63">
        <v>171</v>
      </c>
      <c r="E27" s="68">
        <v>167</v>
      </c>
      <c r="F27" s="68">
        <v>136</v>
      </c>
      <c r="G27" s="68">
        <v>136</v>
      </c>
      <c r="H27" s="68">
        <v>136</v>
      </c>
      <c r="I27" s="68">
        <v>130</v>
      </c>
      <c r="J27" s="68">
        <v>188</v>
      </c>
    </row>
    <row r="28" spans="1:10" x14ac:dyDescent="0.3">
      <c r="A28" s="70">
        <v>38161</v>
      </c>
      <c r="B28" s="63">
        <v>7</v>
      </c>
      <c r="C28" s="63">
        <v>196</v>
      </c>
      <c r="D28" s="63">
        <v>164</v>
      </c>
      <c r="E28" s="68">
        <v>162</v>
      </c>
      <c r="F28" s="68">
        <v>131</v>
      </c>
      <c r="G28" s="68">
        <v>126</v>
      </c>
      <c r="H28" s="68">
        <v>126</v>
      </c>
      <c r="I28" s="68">
        <v>126</v>
      </c>
      <c r="J28" s="68">
        <v>185</v>
      </c>
    </row>
    <row r="29" spans="1:10" x14ac:dyDescent="0.3">
      <c r="A29" s="70">
        <v>38168</v>
      </c>
      <c r="B29" s="63">
        <v>7</v>
      </c>
      <c r="C29" s="63">
        <v>197</v>
      </c>
      <c r="D29" s="63">
        <v>165</v>
      </c>
      <c r="E29" s="68">
        <v>162</v>
      </c>
      <c r="F29" s="68">
        <v>131</v>
      </c>
      <c r="G29" s="68">
        <v>129</v>
      </c>
      <c r="H29" s="68">
        <v>129</v>
      </c>
      <c r="I29" s="68">
        <v>123</v>
      </c>
      <c r="J29" s="68">
        <v>177</v>
      </c>
    </row>
    <row r="30" spans="1:10" x14ac:dyDescent="0.3">
      <c r="A30" s="70">
        <v>38175</v>
      </c>
      <c r="B30" s="63">
        <v>8</v>
      </c>
      <c r="C30" s="63">
        <v>211</v>
      </c>
      <c r="D30" s="63">
        <v>188</v>
      </c>
      <c r="E30" s="68">
        <v>187</v>
      </c>
      <c r="F30" s="68">
        <v>170</v>
      </c>
      <c r="G30" s="68">
        <v>176</v>
      </c>
      <c r="H30" s="68">
        <v>174</v>
      </c>
      <c r="I30" s="68">
        <v>167</v>
      </c>
      <c r="J30" s="68">
        <v>217</v>
      </c>
    </row>
    <row r="31" spans="1:10" x14ac:dyDescent="0.3">
      <c r="A31" s="70">
        <v>38182</v>
      </c>
      <c r="B31" s="63">
        <v>8</v>
      </c>
      <c r="C31" s="63">
        <v>206</v>
      </c>
      <c r="D31" s="63">
        <v>184</v>
      </c>
      <c r="E31" s="68">
        <v>182</v>
      </c>
      <c r="F31" s="68">
        <v>175</v>
      </c>
      <c r="G31" s="68">
        <v>177</v>
      </c>
      <c r="H31" s="68">
        <v>178</v>
      </c>
      <c r="I31" s="68">
        <v>170</v>
      </c>
      <c r="J31" s="68">
        <v>213</v>
      </c>
    </row>
    <row r="32" spans="1:10" x14ac:dyDescent="0.3">
      <c r="A32" s="66">
        <v>38189</v>
      </c>
      <c r="B32" s="63">
        <v>8</v>
      </c>
      <c r="C32" s="63">
        <v>217</v>
      </c>
      <c r="D32" s="63">
        <v>198</v>
      </c>
      <c r="E32" s="68">
        <v>195</v>
      </c>
      <c r="F32" s="68">
        <v>181</v>
      </c>
      <c r="G32" s="68">
        <v>188</v>
      </c>
      <c r="H32" s="68">
        <v>189</v>
      </c>
      <c r="I32" s="68">
        <v>183</v>
      </c>
      <c r="J32" s="68">
        <v>220</v>
      </c>
    </row>
    <row r="33" spans="1:10" x14ac:dyDescent="0.3">
      <c r="A33" s="66">
        <v>38196</v>
      </c>
      <c r="B33" s="63">
        <v>8</v>
      </c>
      <c r="C33" s="63">
        <v>229</v>
      </c>
      <c r="D33" s="63">
        <v>219</v>
      </c>
      <c r="E33" s="68">
        <v>219</v>
      </c>
      <c r="F33" s="68">
        <v>194</v>
      </c>
      <c r="G33" s="68">
        <v>207</v>
      </c>
      <c r="H33" s="68">
        <v>206</v>
      </c>
      <c r="I33" s="68">
        <v>193</v>
      </c>
      <c r="J33" s="68">
        <v>255</v>
      </c>
    </row>
    <row r="34" spans="1:10" x14ac:dyDescent="0.3">
      <c r="A34" s="66">
        <v>38203</v>
      </c>
      <c r="B34" s="63">
        <v>9</v>
      </c>
      <c r="C34" s="63">
        <v>279</v>
      </c>
      <c r="D34" s="63">
        <v>270</v>
      </c>
      <c r="E34" s="68">
        <v>268</v>
      </c>
      <c r="F34" s="68">
        <v>258</v>
      </c>
      <c r="G34" s="68">
        <v>268</v>
      </c>
      <c r="H34" s="68">
        <v>268</v>
      </c>
      <c r="I34" s="68">
        <v>251</v>
      </c>
      <c r="J34" s="68">
        <v>310</v>
      </c>
    </row>
    <row r="35" spans="1:10" x14ac:dyDescent="0.3">
      <c r="A35" s="66">
        <v>38210</v>
      </c>
      <c r="B35" s="63">
        <v>9</v>
      </c>
      <c r="C35" s="63">
        <v>284</v>
      </c>
      <c r="D35" s="63">
        <v>278</v>
      </c>
      <c r="E35" s="68">
        <v>276</v>
      </c>
      <c r="F35" s="68">
        <v>262</v>
      </c>
      <c r="G35" s="68">
        <v>271</v>
      </c>
      <c r="H35" s="68">
        <v>271</v>
      </c>
      <c r="I35" s="68">
        <v>258</v>
      </c>
      <c r="J35" s="68">
        <v>317</v>
      </c>
    </row>
    <row r="36" spans="1:10" x14ac:dyDescent="0.3">
      <c r="A36" s="66">
        <v>38217</v>
      </c>
      <c r="B36" s="63">
        <v>9</v>
      </c>
      <c r="C36" s="63">
        <v>283</v>
      </c>
      <c r="D36" s="63">
        <v>279</v>
      </c>
      <c r="E36" s="68">
        <v>278</v>
      </c>
      <c r="F36" s="68">
        <v>265</v>
      </c>
      <c r="G36" s="68">
        <v>277</v>
      </c>
      <c r="H36" s="68">
        <v>277</v>
      </c>
      <c r="I36" s="68">
        <v>261</v>
      </c>
      <c r="J36" s="68">
        <v>332</v>
      </c>
    </row>
    <row r="37" spans="1:10" x14ac:dyDescent="0.3">
      <c r="A37" s="66">
        <v>38224</v>
      </c>
      <c r="B37" s="63">
        <v>9</v>
      </c>
      <c r="C37" s="63">
        <v>281</v>
      </c>
      <c r="D37" s="63">
        <v>275</v>
      </c>
      <c r="E37" s="68">
        <v>275</v>
      </c>
      <c r="F37" s="68">
        <v>271</v>
      </c>
      <c r="G37" s="68">
        <v>281</v>
      </c>
      <c r="H37" s="68">
        <v>281</v>
      </c>
      <c r="I37" s="68">
        <v>263</v>
      </c>
      <c r="J37" s="68">
        <v>330</v>
      </c>
    </row>
    <row r="38" spans="1:10" x14ac:dyDescent="0.3">
      <c r="A38" s="66">
        <v>38231</v>
      </c>
      <c r="B38" s="63">
        <v>10</v>
      </c>
      <c r="C38" s="63">
        <v>301</v>
      </c>
      <c r="D38" s="63">
        <v>297</v>
      </c>
      <c r="E38" s="68">
        <v>293</v>
      </c>
      <c r="F38" s="68">
        <v>270</v>
      </c>
      <c r="G38" s="68">
        <v>294</v>
      </c>
      <c r="H38" s="68">
        <v>293</v>
      </c>
      <c r="I38" s="68">
        <v>266</v>
      </c>
      <c r="J38" s="68">
        <v>335</v>
      </c>
    </row>
    <row r="39" spans="1:10" x14ac:dyDescent="0.3">
      <c r="A39" s="66">
        <v>38238</v>
      </c>
      <c r="B39" s="63">
        <v>10</v>
      </c>
      <c r="C39" s="63">
        <v>301</v>
      </c>
      <c r="D39" s="63">
        <v>297</v>
      </c>
      <c r="E39" s="68">
        <v>295</v>
      </c>
      <c r="F39" s="68">
        <v>275</v>
      </c>
      <c r="G39" s="68">
        <v>289</v>
      </c>
      <c r="H39" s="68">
        <v>291</v>
      </c>
      <c r="I39" s="68">
        <v>271</v>
      </c>
      <c r="J39" s="68">
        <v>357</v>
      </c>
    </row>
    <row r="40" spans="1:10" x14ac:dyDescent="0.3">
      <c r="A40" s="66">
        <v>38245</v>
      </c>
      <c r="B40" s="63">
        <v>10</v>
      </c>
      <c r="C40" s="63">
        <v>337</v>
      </c>
      <c r="D40" s="63">
        <v>335</v>
      </c>
      <c r="E40" s="68">
        <v>336</v>
      </c>
      <c r="F40" s="68">
        <v>320</v>
      </c>
      <c r="G40" s="68">
        <v>329</v>
      </c>
      <c r="H40" s="68">
        <v>329</v>
      </c>
      <c r="I40" s="68">
        <v>318</v>
      </c>
      <c r="J40" s="68">
        <v>425</v>
      </c>
    </row>
    <row r="41" spans="1:10" x14ac:dyDescent="0.3">
      <c r="A41" s="66">
        <v>38252</v>
      </c>
      <c r="B41" s="63">
        <v>10</v>
      </c>
      <c r="C41" s="63">
        <v>347</v>
      </c>
      <c r="D41" s="63">
        <v>343</v>
      </c>
      <c r="E41" s="68">
        <v>343</v>
      </c>
      <c r="F41" s="68">
        <v>328</v>
      </c>
      <c r="G41" s="68">
        <v>340</v>
      </c>
      <c r="H41" s="68">
        <v>343</v>
      </c>
      <c r="I41" s="68">
        <v>326</v>
      </c>
      <c r="J41" s="68">
        <v>400</v>
      </c>
    </row>
    <row r="42" spans="1:10" x14ac:dyDescent="0.3">
      <c r="A42" s="66">
        <v>38259</v>
      </c>
      <c r="B42" s="63">
        <v>10</v>
      </c>
      <c r="C42" s="63">
        <v>383</v>
      </c>
      <c r="D42" s="63">
        <v>373</v>
      </c>
      <c r="E42" s="68">
        <v>367</v>
      </c>
      <c r="F42" s="68">
        <v>344</v>
      </c>
      <c r="G42" s="68">
        <v>361</v>
      </c>
      <c r="H42" s="68">
        <v>360</v>
      </c>
      <c r="I42" s="68">
        <v>339</v>
      </c>
      <c r="J42" s="68">
        <v>443</v>
      </c>
    </row>
    <row r="43" spans="1:10" x14ac:dyDescent="0.3">
      <c r="A43" s="66">
        <v>38266</v>
      </c>
      <c r="B43" s="63">
        <v>11</v>
      </c>
      <c r="C43" s="63">
        <v>336</v>
      </c>
      <c r="D43" s="63">
        <v>283</v>
      </c>
      <c r="E43" s="68">
        <v>273</v>
      </c>
      <c r="F43" s="68">
        <v>233</v>
      </c>
      <c r="G43" s="68">
        <v>264</v>
      </c>
      <c r="H43" s="68">
        <v>265</v>
      </c>
      <c r="I43" s="68">
        <v>223</v>
      </c>
      <c r="J43" s="68">
        <v>268</v>
      </c>
    </row>
    <row r="44" spans="1:10" x14ac:dyDescent="0.3">
      <c r="A44" s="66">
        <v>38273</v>
      </c>
      <c r="B44" s="63">
        <v>11</v>
      </c>
      <c r="C44" s="63">
        <v>313</v>
      </c>
      <c r="D44" s="63">
        <v>278</v>
      </c>
      <c r="E44" s="68">
        <v>273</v>
      </c>
      <c r="F44" s="68">
        <v>233</v>
      </c>
      <c r="G44" s="68">
        <v>257</v>
      </c>
      <c r="H44" s="68">
        <v>257</v>
      </c>
      <c r="I44" s="68">
        <v>222</v>
      </c>
      <c r="J44" s="68">
        <v>273</v>
      </c>
    </row>
    <row r="45" spans="1:10" x14ac:dyDescent="0.3">
      <c r="A45" s="66">
        <v>38280</v>
      </c>
      <c r="B45" s="63">
        <v>11</v>
      </c>
      <c r="C45" s="63">
        <v>322</v>
      </c>
      <c r="D45" s="63">
        <v>289</v>
      </c>
      <c r="E45" s="68">
        <v>283</v>
      </c>
      <c r="F45" s="68">
        <v>241</v>
      </c>
      <c r="G45" s="68">
        <v>271</v>
      </c>
      <c r="H45" s="68">
        <v>273</v>
      </c>
      <c r="I45" s="68">
        <v>225</v>
      </c>
      <c r="J45" s="68">
        <v>300</v>
      </c>
    </row>
    <row r="46" spans="1:10" x14ac:dyDescent="0.3">
      <c r="A46" s="66">
        <v>38287</v>
      </c>
      <c r="B46" s="63">
        <v>11</v>
      </c>
      <c r="C46" s="63">
        <v>359</v>
      </c>
      <c r="D46" s="63">
        <v>325</v>
      </c>
      <c r="E46" s="68">
        <v>323</v>
      </c>
      <c r="F46" s="68">
        <v>274</v>
      </c>
      <c r="G46" s="68">
        <v>297</v>
      </c>
      <c r="H46" s="68">
        <v>313</v>
      </c>
      <c r="I46" s="68">
        <v>248</v>
      </c>
      <c r="J46" s="68">
        <v>298</v>
      </c>
    </row>
    <row r="47" spans="1:10" x14ac:dyDescent="0.3">
      <c r="A47" s="66">
        <v>38294</v>
      </c>
      <c r="B47" s="63">
        <v>12</v>
      </c>
      <c r="E47" s="68">
        <v>261</v>
      </c>
      <c r="F47" s="68">
        <v>196</v>
      </c>
      <c r="G47" s="68">
        <v>222</v>
      </c>
      <c r="H47" s="68">
        <v>222</v>
      </c>
      <c r="I47" s="68">
        <v>189</v>
      </c>
      <c r="J47" s="68">
        <v>255</v>
      </c>
    </row>
    <row r="48" spans="1:10" x14ac:dyDescent="0.3">
      <c r="A48" s="66">
        <v>38301</v>
      </c>
      <c r="B48" s="63">
        <v>12</v>
      </c>
      <c r="C48" s="87"/>
      <c r="D48" s="87"/>
      <c r="E48" s="68">
        <v>263</v>
      </c>
      <c r="F48" s="68">
        <v>200</v>
      </c>
      <c r="G48" s="68">
        <v>225</v>
      </c>
      <c r="H48" s="68">
        <v>225</v>
      </c>
      <c r="I48" s="68">
        <v>188</v>
      </c>
      <c r="J48" s="68">
        <v>275</v>
      </c>
    </row>
    <row r="49" spans="1:10" x14ac:dyDescent="0.3">
      <c r="A49" s="66">
        <v>38308</v>
      </c>
      <c r="B49" s="63">
        <v>12</v>
      </c>
      <c r="E49" s="68">
        <v>249</v>
      </c>
      <c r="F49" s="68">
        <v>201</v>
      </c>
      <c r="G49" s="68">
        <v>220</v>
      </c>
      <c r="H49" s="68">
        <v>220</v>
      </c>
      <c r="I49" s="68">
        <v>187</v>
      </c>
      <c r="J49" s="68">
        <v>240</v>
      </c>
    </row>
    <row r="50" spans="1:10" x14ac:dyDescent="0.3">
      <c r="A50" s="66">
        <v>38315</v>
      </c>
      <c r="B50" s="63">
        <v>12</v>
      </c>
      <c r="E50" s="68">
        <v>240</v>
      </c>
      <c r="F50" s="68">
        <v>184</v>
      </c>
      <c r="G50" s="68">
        <v>202</v>
      </c>
      <c r="H50" s="68">
        <v>202</v>
      </c>
      <c r="I50" s="68">
        <v>169</v>
      </c>
      <c r="J50" s="68">
        <v>225</v>
      </c>
    </row>
    <row r="51" spans="1:10" x14ac:dyDescent="0.3">
      <c r="A51" s="66">
        <v>38322</v>
      </c>
      <c r="B51" s="63">
        <v>1</v>
      </c>
      <c r="E51" s="68">
        <v>246</v>
      </c>
      <c r="F51" s="68">
        <v>180</v>
      </c>
      <c r="G51" s="68">
        <v>191</v>
      </c>
      <c r="H51" s="68">
        <v>191</v>
      </c>
      <c r="I51" s="68">
        <v>173</v>
      </c>
      <c r="J51" s="68">
        <v>218</v>
      </c>
    </row>
    <row r="52" spans="1:10" x14ac:dyDescent="0.3">
      <c r="A52" s="66">
        <v>38329</v>
      </c>
      <c r="B52" s="63">
        <v>1</v>
      </c>
      <c r="E52" s="68">
        <v>254</v>
      </c>
      <c r="F52" s="68">
        <v>185</v>
      </c>
      <c r="G52" s="68">
        <v>192</v>
      </c>
      <c r="H52" s="68">
        <v>192</v>
      </c>
      <c r="I52" s="68">
        <v>172</v>
      </c>
      <c r="J52" s="68">
        <v>228</v>
      </c>
    </row>
    <row r="53" spans="1:10" x14ac:dyDescent="0.3">
      <c r="A53" s="66">
        <v>38336</v>
      </c>
      <c r="B53" s="63">
        <v>1</v>
      </c>
      <c r="C53" s="68"/>
      <c r="D53" s="68"/>
      <c r="E53" s="68">
        <v>278</v>
      </c>
      <c r="F53" s="68">
        <v>220</v>
      </c>
      <c r="G53" s="68">
        <v>229</v>
      </c>
      <c r="H53" s="68">
        <v>228</v>
      </c>
      <c r="I53" s="68">
        <v>205</v>
      </c>
      <c r="J53" s="68">
        <v>282</v>
      </c>
    </row>
    <row r="54" spans="1:10" x14ac:dyDescent="0.3">
      <c r="A54" s="66">
        <v>38343</v>
      </c>
      <c r="B54" s="63">
        <v>1</v>
      </c>
      <c r="E54" s="68">
        <v>313</v>
      </c>
      <c r="F54" s="68">
        <v>236</v>
      </c>
      <c r="G54" s="68">
        <v>247</v>
      </c>
      <c r="H54" s="68">
        <v>249</v>
      </c>
      <c r="I54" s="68">
        <v>228</v>
      </c>
      <c r="J54" s="68">
        <v>310</v>
      </c>
    </row>
    <row r="55" spans="1:10" x14ac:dyDescent="0.3">
      <c r="A55" s="66">
        <v>38350</v>
      </c>
      <c r="B55" s="63">
        <v>1</v>
      </c>
      <c r="E55" s="68">
        <v>288</v>
      </c>
      <c r="F55" s="68">
        <v>234</v>
      </c>
      <c r="G55" s="68">
        <v>246</v>
      </c>
      <c r="H55" s="68">
        <v>246</v>
      </c>
      <c r="I55" s="68">
        <v>214</v>
      </c>
      <c r="J55" s="68">
        <v>290</v>
      </c>
    </row>
    <row r="56" spans="1:10" x14ac:dyDescent="0.3">
      <c r="A56" s="66">
        <v>38357</v>
      </c>
      <c r="B56" s="63">
        <v>2</v>
      </c>
      <c r="E56" s="68">
        <v>253</v>
      </c>
      <c r="F56" s="68">
        <v>195</v>
      </c>
      <c r="G56" s="68">
        <v>216</v>
      </c>
      <c r="H56" s="68">
        <v>216</v>
      </c>
      <c r="I56" s="68">
        <v>185</v>
      </c>
      <c r="J56" s="68">
        <v>237</v>
      </c>
    </row>
    <row r="57" spans="1:10" x14ac:dyDescent="0.3">
      <c r="A57" s="66">
        <v>38364</v>
      </c>
      <c r="B57" s="63">
        <v>2</v>
      </c>
      <c r="E57" s="68">
        <v>274</v>
      </c>
      <c r="F57" s="68">
        <v>216</v>
      </c>
      <c r="G57" s="68">
        <v>223</v>
      </c>
      <c r="H57" s="68">
        <v>223</v>
      </c>
      <c r="I57" s="68">
        <v>199</v>
      </c>
      <c r="J57" s="68">
        <v>258</v>
      </c>
    </row>
    <row r="58" spans="1:10" x14ac:dyDescent="0.3">
      <c r="A58" s="66">
        <v>38371</v>
      </c>
      <c r="B58" s="63">
        <v>2</v>
      </c>
      <c r="E58" s="68">
        <v>281</v>
      </c>
      <c r="F58" s="68">
        <v>232</v>
      </c>
      <c r="G58" s="68">
        <v>241</v>
      </c>
      <c r="H58" s="68">
        <v>241</v>
      </c>
      <c r="I58" s="68">
        <v>221</v>
      </c>
      <c r="J58" s="68">
        <v>275</v>
      </c>
    </row>
    <row r="59" spans="1:10" x14ac:dyDescent="0.3">
      <c r="A59" s="66">
        <v>38378</v>
      </c>
      <c r="B59" s="63">
        <v>2</v>
      </c>
      <c r="E59" s="68">
        <v>276</v>
      </c>
      <c r="F59" s="68">
        <v>238</v>
      </c>
      <c r="G59" s="68">
        <v>260</v>
      </c>
      <c r="H59" s="68">
        <v>260</v>
      </c>
      <c r="I59" s="68">
        <v>238</v>
      </c>
      <c r="J59" s="68">
        <v>310</v>
      </c>
    </row>
    <row r="60" spans="1:10" x14ac:dyDescent="0.3">
      <c r="A60" s="66">
        <v>38385</v>
      </c>
      <c r="B60" s="63">
        <v>3</v>
      </c>
      <c r="D60" s="63">
        <v>253</v>
      </c>
      <c r="E60" s="68">
        <v>238</v>
      </c>
      <c r="F60" s="68">
        <v>198</v>
      </c>
      <c r="G60" s="68">
        <v>205</v>
      </c>
      <c r="H60" s="68">
        <v>205</v>
      </c>
      <c r="I60" s="68">
        <v>184</v>
      </c>
      <c r="J60" s="68">
        <v>245</v>
      </c>
    </row>
    <row r="61" spans="1:10" x14ac:dyDescent="0.3">
      <c r="A61" s="66">
        <v>38392</v>
      </c>
      <c r="B61" s="63">
        <v>3</v>
      </c>
      <c r="D61" s="63">
        <v>241</v>
      </c>
      <c r="E61" s="68">
        <v>225</v>
      </c>
      <c r="F61" s="68">
        <v>186</v>
      </c>
      <c r="G61" s="68">
        <v>197</v>
      </c>
      <c r="H61" s="68">
        <v>197</v>
      </c>
      <c r="I61" s="68">
        <v>173</v>
      </c>
      <c r="J61" s="68">
        <v>240</v>
      </c>
    </row>
    <row r="62" spans="1:10" x14ac:dyDescent="0.3">
      <c r="A62" s="66">
        <v>38399</v>
      </c>
      <c r="B62" s="63">
        <v>3</v>
      </c>
      <c r="D62" s="63">
        <v>256</v>
      </c>
      <c r="E62" s="68">
        <v>242</v>
      </c>
      <c r="F62" s="68">
        <v>218</v>
      </c>
      <c r="G62" s="68">
        <v>208</v>
      </c>
      <c r="H62" s="68">
        <v>211</v>
      </c>
      <c r="I62" s="68">
        <v>217</v>
      </c>
      <c r="J62" s="68">
        <v>270</v>
      </c>
    </row>
    <row r="63" spans="1:10" x14ac:dyDescent="0.3">
      <c r="A63" s="66">
        <v>38406</v>
      </c>
      <c r="B63" s="63">
        <v>3</v>
      </c>
      <c r="D63" s="63">
        <v>283</v>
      </c>
      <c r="E63" s="68">
        <v>276</v>
      </c>
      <c r="F63" s="68">
        <v>244</v>
      </c>
      <c r="G63" s="68">
        <v>243</v>
      </c>
      <c r="H63" s="68">
        <v>243</v>
      </c>
      <c r="I63" s="68">
        <v>231</v>
      </c>
      <c r="J63" s="68">
        <v>325</v>
      </c>
    </row>
    <row r="64" spans="1:10" x14ac:dyDescent="0.3">
      <c r="A64" s="66">
        <v>38413</v>
      </c>
      <c r="B64" s="63">
        <v>4</v>
      </c>
      <c r="C64" s="63">
        <v>303</v>
      </c>
      <c r="D64" s="63">
        <v>284</v>
      </c>
      <c r="E64" s="68">
        <v>270</v>
      </c>
      <c r="F64" s="68">
        <v>239</v>
      </c>
      <c r="G64" s="68">
        <v>253</v>
      </c>
      <c r="H64" s="68">
        <v>253</v>
      </c>
      <c r="I64" s="68">
        <v>231</v>
      </c>
      <c r="J64" s="68">
        <v>305</v>
      </c>
    </row>
    <row r="65" spans="1:10" x14ac:dyDescent="0.3">
      <c r="A65" s="66">
        <v>38420</v>
      </c>
      <c r="B65" s="63">
        <v>4</v>
      </c>
      <c r="C65" s="63">
        <v>294</v>
      </c>
      <c r="D65" s="63">
        <v>265</v>
      </c>
      <c r="E65" s="68">
        <v>255</v>
      </c>
      <c r="F65" s="68">
        <v>226</v>
      </c>
      <c r="G65" s="68">
        <v>240</v>
      </c>
      <c r="H65" s="68">
        <v>242</v>
      </c>
      <c r="I65" s="68">
        <v>216</v>
      </c>
      <c r="J65" s="68">
        <v>295</v>
      </c>
    </row>
    <row r="66" spans="1:10" x14ac:dyDescent="0.3">
      <c r="A66" s="66">
        <v>38427</v>
      </c>
      <c r="B66" s="63">
        <v>4</v>
      </c>
      <c r="C66" s="63">
        <v>317</v>
      </c>
      <c r="D66" s="63">
        <v>289</v>
      </c>
      <c r="E66" s="68">
        <v>278</v>
      </c>
      <c r="F66" s="68">
        <v>251</v>
      </c>
      <c r="G66" s="68">
        <v>270</v>
      </c>
      <c r="H66" s="68">
        <v>270</v>
      </c>
      <c r="I66" s="68">
        <v>237</v>
      </c>
      <c r="J66" s="68">
        <v>313</v>
      </c>
    </row>
    <row r="67" spans="1:10" x14ac:dyDescent="0.3">
      <c r="A67" s="66">
        <v>38434</v>
      </c>
      <c r="B67" s="63">
        <v>4</v>
      </c>
      <c r="C67" s="63">
        <v>291</v>
      </c>
      <c r="D67" s="63">
        <v>254</v>
      </c>
      <c r="E67" s="68">
        <v>242</v>
      </c>
      <c r="F67" s="68">
        <v>204</v>
      </c>
      <c r="G67" s="68">
        <v>227</v>
      </c>
      <c r="H67" s="68">
        <v>227</v>
      </c>
      <c r="I67" s="68">
        <v>199</v>
      </c>
      <c r="J67" s="68">
        <v>268</v>
      </c>
    </row>
    <row r="68" spans="1:10" x14ac:dyDescent="0.3">
      <c r="A68" s="66">
        <v>38441</v>
      </c>
      <c r="B68" s="63">
        <v>4</v>
      </c>
      <c r="C68" s="63">
        <v>269</v>
      </c>
      <c r="D68" s="63">
        <v>238</v>
      </c>
      <c r="E68" s="68">
        <v>228</v>
      </c>
      <c r="F68" s="68">
        <v>175</v>
      </c>
      <c r="G68" s="68">
        <v>206</v>
      </c>
      <c r="H68" s="68">
        <v>207</v>
      </c>
      <c r="I68" s="68">
        <v>169</v>
      </c>
      <c r="J68" s="68">
        <v>235</v>
      </c>
    </row>
    <row r="69" spans="1:10" x14ac:dyDescent="0.3">
      <c r="A69" s="66">
        <v>38448</v>
      </c>
      <c r="B69" s="63">
        <v>5</v>
      </c>
      <c r="C69" s="63">
        <v>282</v>
      </c>
      <c r="D69" s="63">
        <v>264</v>
      </c>
      <c r="E69" s="68">
        <v>252</v>
      </c>
      <c r="F69" s="68">
        <v>196</v>
      </c>
      <c r="G69" s="68">
        <v>210</v>
      </c>
      <c r="H69" s="68">
        <v>210</v>
      </c>
      <c r="I69" s="68">
        <v>187</v>
      </c>
      <c r="J69" s="68">
        <v>268</v>
      </c>
    </row>
    <row r="70" spans="1:10" x14ac:dyDescent="0.3">
      <c r="A70" s="66">
        <v>38455</v>
      </c>
      <c r="B70" s="63">
        <v>5</v>
      </c>
      <c r="C70" s="63">
        <v>275</v>
      </c>
      <c r="D70" s="63">
        <v>251</v>
      </c>
      <c r="E70" s="68">
        <v>243</v>
      </c>
      <c r="F70" s="68">
        <v>192</v>
      </c>
      <c r="G70" s="68">
        <v>198</v>
      </c>
      <c r="H70" s="68">
        <v>198</v>
      </c>
      <c r="I70" s="68">
        <v>178</v>
      </c>
      <c r="J70" s="68">
        <v>255</v>
      </c>
    </row>
    <row r="71" spans="1:10" x14ac:dyDescent="0.3">
      <c r="A71" s="66">
        <v>38462</v>
      </c>
      <c r="B71" s="63">
        <v>5</v>
      </c>
      <c r="C71" s="63">
        <v>275</v>
      </c>
      <c r="D71" s="63">
        <v>256</v>
      </c>
      <c r="E71" s="68">
        <v>243</v>
      </c>
      <c r="F71" s="68">
        <v>182</v>
      </c>
      <c r="G71" s="68">
        <v>193</v>
      </c>
      <c r="H71" s="68">
        <v>193</v>
      </c>
      <c r="I71" s="68">
        <v>173</v>
      </c>
      <c r="J71" s="68">
        <v>234</v>
      </c>
    </row>
    <row r="72" spans="1:10" x14ac:dyDescent="0.3">
      <c r="A72" s="66">
        <v>38469</v>
      </c>
      <c r="B72" s="63">
        <v>5</v>
      </c>
      <c r="C72" s="63">
        <v>266</v>
      </c>
      <c r="D72" s="63">
        <v>240</v>
      </c>
      <c r="E72" s="68">
        <v>233</v>
      </c>
      <c r="F72" s="68">
        <v>174</v>
      </c>
      <c r="G72" s="68">
        <v>183</v>
      </c>
      <c r="H72" s="68">
        <v>183</v>
      </c>
      <c r="I72" s="68">
        <v>166</v>
      </c>
      <c r="J72" s="68">
        <v>238</v>
      </c>
    </row>
    <row r="73" spans="1:10" x14ac:dyDescent="0.3">
      <c r="A73" s="66">
        <v>38476</v>
      </c>
      <c r="B73" s="63">
        <v>6</v>
      </c>
      <c r="C73" s="63">
        <v>273</v>
      </c>
      <c r="D73" s="63">
        <v>253</v>
      </c>
      <c r="E73" s="68">
        <v>249</v>
      </c>
      <c r="F73" s="68">
        <v>209</v>
      </c>
      <c r="G73" s="68">
        <v>206</v>
      </c>
      <c r="H73" s="68">
        <v>206</v>
      </c>
      <c r="I73" s="68">
        <v>189</v>
      </c>
      <c r="J73" s="68">
        <v>265</v>
      </c>
    </row>
    <row r="74" spans="1:10" x14ac:dyDescent="0.3">
      <c r="A74" s="66">
        <v>38483</v>
      </c>
      <c r="B74" s="63">
        <v>6</v>
      </c>
      <c r="C74" s="63">
        <v>269</v>
      </c>
      <c r="D74" s="63">
        <v>250</v>
      </c>
      <c r="E74" s="68">
        <v>244</v>
      </c>
      <c r="F74" s="68">
        <v>208</v>
      </c>
      <c r="G74" s="68">
        <v>208</v>
      </c>
      <c r="H74" s="68">
        <v>208</v>
      </c>
      <c r="I74" s="68">
        <v>188</v>
      </c>
      <c r="J74" s="68">
        <v>260</v>
      </c>
    </row>
    <row r="75" spans="1:10" x14ac:dyDescent="0.3">
      <c r="A75" s="66">
        <v>38490</v>
      </c>
      <c r="B75" s="63">
        <v>6</v>
      </c>
      <c r="C75" s="63">
        <v>271</v>
      </c>
      <c r="D75" s="63">
        <v>256</v>
      </c>
      <c r="E75" s="68">
        <v>258</v>
      </c>
      <c r="F75" s="68">
        <v>198</v>
      </c>
      <c r="G75" s="68">
        <v>204</v>
      </c>
      <c r="H75" s="68">
        <v>204</v>
      </c>
      <c r="I75" s="68">
        <v>183</v>
      </c>
      <c r="J75" s="68">
        <v>253</v>
      </c>
    </row>
    <row r="76" spans="1:10" x14ac:dyDescent="0.3">
      <c r="A76" s="66">
        <v>38497</v>
      </c>
      <c r="B76" s="63">
        <v>6</v>
      </c>
      <c r="C76" s="63">
        <v>289</v>
      </c>
      <c r="D76" s="63">
        <v>276</v>
      </c>
      <c r="E76" s="68">
        <v>270</v>
      </c>
      <c r="F76" s="68">
        <v>199</v>
      </c>
      <c r="G76" s="68">
        <v>199</v>
      </c>
      <c r="H76" s="68">
        <v>199</v>
      </c>
      <c r="I76" s="68">
        <v>184</v>
      </c>
      <c r="J76" s="68">
        <v>260</v>
      </c>
    </row>
    <row r="77" spans="1:10" x14ac:dyDescent="0.3">
      <c r="A77" s="66">
        <v>38504</v>
      </c>
      <c r="B77" s="63">
        <v>7</v>
      </c>
      <c r="C77" s="63">
        <v>292</v>
      </c>
      <c r="D77" s="63">
        <v>277</v>
      </c>
      <c r="E77" s="68">
        <v>269</v>
      </c>
      <c r="F77" s="68">
        <v>216</v>
      </c>
      <c r="G77" s="68">
        <v>218</v>
      </c>
      <c r="H77" s="68">
        <v>218</v>
      </c>
      <c r="I77" s="68">
        <v>205</v>
      </c>
      <c r="J77" s="68">
        <v>275</v>
      </c>
    </row>
    <row r="78" spans="1:10" x14ac:dyDescent="0.3">
      <c r="A78" s="66">
        <v>38511</v>
      </c>
      <c r="B78" s="63">
        <v>7</v>
      </c>
      <c r="C78" s="63">
        <v>295</v>
      </c>
      <c r="D78" s="63">
        <v>269</v>
      </c>
      <c r="E78" s="68">
        <v>256</v>
      </c>
      <c r="F78" s="68">
        <v>207</v>
      </c>
      <c r="G78" s="68">
        <v>207</v>
      </c>
      <c r="H78" s="68">
        <v>207</v>
      </c>
      <c r="I78" s="68">
        <v>200</v>
      </c>
      <c r="J78" s="68">
        <v>288</v>
      </c>
    </row>
    <row r="79" spans="1:10" x14ac:dyDescent="0.3">
      <c r="A79" s="66">
        <v>38518</v>
      </c>
      <c r="B79" s="63">
        <v>7</v>
      </c>
      <c r="C79" s="63">
        <v>293</v>
      </c>
      <c r="D79" s="63">
        <v>253</v>
      </c>
      <c r="E79" s="68">
        <v>244</v>
      </c>
      <c r="F79" s="68">
        <v>195</v>
      </c>
      <c r="G79" s="68">
        <v>192</v>
      </c>
      <c r="H79" s="68">
        <v>192</v>
      </c>
      <c r="I79" s="68">
        <v>186</v>
      </c>
      <c r="J79" s="68">
        <v>268</v>
      </c>
    </row>
    <row r="80" spans="1:10" x14ac:dyDescent="0.3">
      <c r="A80" s="66">
        <v>38525</v>
      </c>
      <c r="B80" s="63">
        <v>7</v>
      </c>
      <c r="C80" s="63">
        <v>290</v>
      </c>
      <c r="D80" s="63">
        <v>249</v>
      </c>
      <c r="E80" s="68">
        <v>233</v>
      </c>
      <c r="F80" s="68">
        <v>190</v>
      </c>
      <c r="G80" s="68">
        <v>192</v>
      </c>
      <c r="H80" s="68">
        <v>193</v>
      </c>
      <c r="I80" s="68">
        <v>184</v>
      </c>
      <c r="J80" s="68">
        <v>265</v>
      </c>
    </row>
    <row r="81" spans="1:10" x14ac:dyDescent="0.3">
      <c r="A81" s="66">
        <v>38532</v>
      </c>
      <c r="B81" s="63">
        <v>7</v>
      </c>
      <c r="C81" s="63">
        <v>296</v>
      </c>
      <c r="D81" s="63">
        <v>256</v>
      </c>
      <c r="E81" s="68">
        <v>247</v>
      </c>
      <c r="F81" s="68">
        <v>193</v>
      </c>
      <c r="G81" s="68">
        <v>192</v>
      </c>
      <c r="H81" s="68">
        <v>196</v>
      </c>
      <c r="I81" s="68">
        <v>178</v>
      </c>
      <c r="J81" s="68">
        <v>252</v>
      </c>
    </row>
    <row r="82" spans="1:10" x14ac:dyDescent="0.3">
      <c r="A82" s="66">
        <v>38539</v>
      </c>
      <c r="B82" s="63">
        <v>8</v>
      </c>
      <c r="C82" s="63">
        <v>311</v>
      </c>
      <c r="D82" s="63">
        <v>286</v>
      </c>
      <c r="E82" s="68">
        <v>276</v>
      </c>
      <c r="F82" s="68">
        <v>248</v>
      </c>
      <c r="G82" s="68">
        <v>251</v>
      </c>
      <c r="H82" s="68">
        <v>251</v>
      </c>
      <c r="I82" s="68">
        <v>237</v>
      </c>
      <c r="J82" s="68">
        <v>305</v>
      </c>
    </row>
    <row r="83" spans="1:10" x14ac:dyDescent="0.3">
      <c r="A83" s="66">
        <v>38546</v>
      </c>
      <c r="B83" s="63">
        <v>8</v>
      </c>
      <c r="C83" s="63">
        <v>325</v>
      </c>
      <c r="D83" s="63">
        <v>288</v>
      </c>
      <c r="E83" s="68">
        <v>280</v>
      </c>
      <c r="F83" s="68">
        <v>240</v>
      </c>
      <c r="G83" s="68">
        <v>251</v>
      </c>
      <c r="H83" s="68">
        <v>251</v>
      </c>
      <c r="I83" s="68">
        <v>236</v>
      </c>
      <c r="J83" s="68">
        <v>308</v>
      </c>
    </row>
    <row r="84" spans="1:10" x14ac:dyDescent="0.3">
      <c r="A84" s="66">
        <v>38553</v>
      </c>
      <c r="B84" s="63">
        <v>8</v>
      </c>
      <c r="C84" s="63">
        <v>398</v>
      </c>
      <c r="D84" s="63">
        <v>346</v>
      </c>
      <c r="E84" s="68">
        <v>326</v>
      </c>
      <c r="F84" s="68">
        <v>279</v>
      </c>
      <c r="G84" s="68">
        <v>290</v>
      </c>
      <c r="H84" s="68">
        <v>289</v>
      </c>
      <c r="I84" s="68">
        <v>275</v>
      </c>
      <c r="J84" s="68">
        <v>336</v>
      </c>
    </row>
    <row r="85" spans="1:10" x14ac:dyDescent="0.3">
      <c r="A85" s="66">
        <v>38560</v>
      </c>
      <c r="B85" s="63">
        <v>8</v>
      </c>
      <c r="C85" s="63">
        <v>395</v>
      </c>
      <c r="D85" s="63">
        <v>327</v>
      </c>
      <c r="E85" s="68">
        <v>311</v>
      </c>
      <c r="F85" s="68">
        <v>276</v>
      </c>
      <c r="G85" s="68">
        <v>283</v>
      </c>
      <c r="H85" s="68">
        <v>283</v>
      </c>
      <c r="I85" s="68">
        <v>274</v>
      </c>
      <c r="J85" s="68">
        <v>386</v>
      </c>
    </row>
    <row r="86" spans="1:10" x14ac:dyDescent="0.3">
      <c r="A86" s="66">
        <v>38567</v>
      </c>
      <c r="B86" s="63">
        <v>9</v>
      </c>
      <c r="C86" s="63">
        <v>381</v>
      </c>
      <c r="D86" s="63">
        <v>337</v>
      </c>
      <c r="E86" s="68">
        <v>323</v>
      </c>
      <c r="F86" s="68">
        <v>310</v>
      </c>
      <c r="G86" s="68">
        <v>323</v>
      </c>
      <c r="H86" s="68">
        <v>323</v>
      </c>
      <c r="I86" s="68">
        <v>309</v>
      </c>
      <c r="J86" s="68">
        <v>410</v>
      </c>
    </row>
    <row r="87" spans="1:10" x14ac:dyDescent="0.3">
      <c r="A87" s="66">
        <v>38574</v>
      </c>
      <c r="B87" s="63">
        <v>9</v>
      </c>
      <c r="C87" s="63">
        <v>396</v>
      </c>
      <c r="D87" s="63">
        <v>335</v>
      </c>
      <c r="E87" s="68">
        <v>330</v>
      </c>
      <c r="F87" s="68">
        <v>331</v>
      </c>
      <c r="G87" s="68">
        <v>332</v>
      </c>
      <c r="H87" s="68">
        <v>332</v>
      </c>
      <c r="I87" s="68">
        <v>331</v>
      </c>
      <c r="J87" s="68">
        <v>427</v>
      </c>
    </row>
    <row r="88" spans="1:10" x14ac:dyDescent="0.3">
      <c r="A88" s="66">
        <v>38581</v>
      </c>
      <c r="B88" s="63">
        <v>9</v>
      </c>
      <c r="C88" s="63">
        <v>407</v>
      </c>
      <c r="D88" s="63">
        <v>361</v>
      </c>
      <c r="E88" s="68">
        <v>356</v>
      </c>
      <c r="F88" s="68">
        <v>363</v>
      </c>
      <c r="G88" s="68">
        <v>364</v>
      </c>
      <c r="H88" s="68">
        <v>364</v>
      </c>
      <c r="I88" s="68">
        <v>374</v>
      </c>
      <c r="J88" s="68">
        <v>524</v>
      </c>
    </row>
    <row r="89" spans="1:10" x14ac:dyDescent="0.3">
      <c r="A89" s="66">
        <v>38588</v>
      </c>
      <c r="B89" s="63">
        <v>9</v>
      </c>
      <c r="C89" s="63">
        <v>406</v>
      </c>
      <c r="D89" s="63">
        <v>372</v>
      </c>
      <c r="E89" s="68">
        <v>367</v>
      </c>
      <c r="F89" s="68">
        <v>373</v>
      </c>
      <c r="G89" s="68">
        <v>374</v>
      </c>
      <c r="H89" s="68">
        <v>374</v>
      </c>
      <c r="I89" s="68">
        <v>383</v>
      </c>
      <c r="J89" s="68">
        <v>531</v>
      </c>
    </row>
    <row r="90" spans="1:10" x14ac:dyDescent="0.3">
      <c r="A90" s="66">
        <v>38595</v>
      </c>
      <c r="B90" s="63">
        <v>9</v>
      </c>
      <c r="C90" s="63">
        <v>506</v>
      </c>
      <c r="D90" s="63">
        <v>500</v>
      </c>
      <c r="E90" s="68">
        <v>495</v>
      </c>
      <c r="F90" s="68">
        <v>550</v>
      </c>
      <c r="G90" s="68">
        <v>500</v>
      </c>
      <c r="H90" s="68">
        <v>507</v>
      </c>
      <c r="I90" s="68">
        <v>538</v>
      </c>
      <c r="J90" s="68">
        <v>770</v>
      </c>
    </row>
    <row r="91" spans="1:10" x14ac:dyDescent="0.3">
      <c r="A91" s="66">
        <v>38602</v>
      </c>
      <c r="B91" s="63">
        <v>10</v>
      </c>
      <c r="C91" s="63">
        <v>558</v>
      </c>
      <c r="D91" s="63">
        <v>556</v>
      </c>
      <c r="E91" s="68">
        <v>569</v>
      </c>
      <c r="F91" s="68">
        <v>567</v>
      </c>
      <c r="G91" s="68">
        <v>617</v>
      </c>
      <c r="H91" s="68">
        <v>617</v>
      </c>
      <c r="I91" s="68">
        <v>608</v>
      </c>
      <c r="J91" s="68">
        <v>875</v>
      </c>
    </row>
    <row r="92" spans="1:10" x14ac:dyDescent="0.3">
      <c r="A92" s="66">
        <v>38609</v>
      </c>
      <c r="B92" s="63">
        <v>10</v>
      </c>
      <c r="C92" s="63">
        <v>602</v>
      </c>
      <c r="D92" s="63">
        <v>608</v>
      </c>
      <c r="E92" s="68">
        <v>621</v>
      </c>
      <c r="F92" s="68">
        <v>610</v>
      </c>
      <c r="G92" s="68">
        <v>615</v>
      </c>
      <c r="H92" s="68">
        <v>615</v>
      </c>
      <c r="I92" s="68">
        <v>615</v>
      </c>
      <c r="J92" s="68">
        <v>830</v>
      </c>
    </row>
    <row r="93" spans="1:10" x14ac:dyDescent="0.3">
      <c r="A93" s="66">
        <v>38616</v>
      </c>
      <c r="B93" s="63">
        <v>10</v>
      </c>
      <c r="C93" s="63">
        <v>538</v>
      </c>
      <c r="D93" s="63">
        <v>560</v>
      </c>
      <c r="E93" s="68">
        <v>560</v>
      </c>
      <c r="F93" s="68">
        <v>563</v>
      </c>
      <c r="G93" s="68">
        <v>551</v>
      </c>
      <c r="H93" s="68">
        <v>551</v>
      </c>
      <c r="I93" s="68">
        <v>519</v>
      </c>
      <c r="J93" s="68">
        <v>727</v>
      </c>
    </row>
    <row r="94" spans="1:10" x14ac:dyDescent="0.3">
      <c r="A94" s="66">
        <v>38623</v>
      </c>
      <c r="B94" s="63">
        <v>10</v>
      </c>
      <c r="C94" s="63">
        <v>580</v>
      </c>
      <c r="D94" s="63">
        <v>604</v>
      </c>
      <c r="E94" s="68">
        <v>617</v>
      </c>
      <c r="F94" s="68">
        <v>600</v>
      </c>
      <c r="G94" s="68">
        <v>600</v>
      </c>
      <c r="H94" s="68">
        <v>600</v>
      </c>
      <c r="I94" s="68">
        <v>600</v>
      </c>
      <c r="J94" s="68">
        <v>766</v>
      </c>
    </row>
    <row r="95" spans="1:10" x14ac:dyDescent="0.3">
      <c r="A95" s="66">
        <v>38630</v>
      </c>
      <c r="B95" s="63">
        <v>11</v>
      </c>
      <c r="C95" s="63">
        <v>532</v>
      </c>
      <c r="D95" s="63">
        <v>492</v>
      </c>
      <c r="E95" s="68">
        <v>486</v>
      </c>
      <c r="F95" s="68">
        <v>472</v>
      </c>
      <c r="G95" s="68">
        <v>477</v>
      </c>
      <c r="H95" s="68">
        <v>477</v>
      </c>
      <c r="I95" s="68">
        <v>455</v>
      </c>
      <c r="J95" s="68">
        <v>600</v>
      </c>
    </row>
    <row r="96" spans="1:10" x14ac:dyDescent="0.3">
      <c r="A96" s="66">
        <v>38637</v>
      </c>
      <c r="B96" s="63">
        <v>11</v>
      </c>
      <c r="C96" s="63">
        <v>580</v>
      </c>
      <c r="D96" s="63">
        <v>542</v>
      </c>
      <c r="E96" s="68">
        <v>523</v>
      </c>
      <c r="F96" s="68">
        <v>480</v>
      </c>
      <c r="G96" s="68">
        <v>505</v>
      </c>
      <c r="H96" s="68">
        <v>510</v>
      </c>
      <c r="I96" s="68">
        <v>470</v>
      </c>
      <c r="J96" s="68">
        <v>704</v>
      </c>
    </row>
    <row r="97" spans="1:10" x14ac:dyDescent="0.3">
      <c r="A97" s="66">
        <v>38644</v>
      </c>
      <c r="B97" s="63">
        <v>11</v>
      </c>
      <c r="C97" s="63">
        <v>568</v>
      </c>
      <c r="D97" s="63">
        <v>509</v>
      </c>
      <c r="E97" s="68">
        <v>495</v>
      </c>
      <c r="F97" s="68">
        <v>473</v>
      </c>
      <c r="G97" s="68">
        <v>488</v>
      </c>
      <c r="H97" s="68">
        <v>488</v>
      </c>
      <c r="I97" s="68">
        <v>455</v>
      </c>
      <c r="J97" s="68">
        <v>608</v>
      </c>
    </row>
    <row r="98" spans="1:10" x14ac:dyDescent="0.3">
      <c r="A98" s="66">
        <v>38651</v>
      </c>
      <c r="B98" s="63">
        <v>11</v>
      </c>
      <c r="C98" s="63">
        <v>645</v>
      </c>
      <c r="D98" s="63">
        <v>498</v>
      </c>
      <c r="E98" s="68">
        <v>492</v>
      </c>
      <c r="F98" s="68">
        <v>437</v>
      </c>
      <c r="G98" s="68">
        <v>442</v>
      </c>
      <c r="H98" s="68">
        <v>442</v>
      </c>
      <c r="I98" s="68">
        <v>400</v>
      </c>
      <c r="J98" s="68">
        <v>558</v>
      </c>
    </row>
    <row r="99" spans="1:10" x14ac:dyDescent="0.3">
      <c r="A99" s="66">
        <v>38658</v>
      </c>
      <c r="B99" s="63">
        <v>12</v>
      </c>
      <c r="E99" s="68">
        <v>371</v>
      </c>
      <c r="F99" s="68">
        <v>330</v>
      </c>
      <c r="G99" s="68">
        <v>351</v>
      </c>
      <c r="H99" s="68">
        <v>351</v>
      </c>
      <c r="I99" s="68">
        <v>303</v>
      </c>
      <c r="J99" s="68">
        <v>407</v>
      </c>
    </row>
    <row r="100" spans="1:10" x14ac:dyDescent="0.3">
      <c r="A100" s="66">
        <v>38665</v>
      </c>
      <c r="B100" s="63">
        <v>12</v>
      </c>
      <c r="E100" s="68">
        <v>359</v>
      </c>
      <c r="F100" s="68">
        <v>296</v>
      </c>
      <c r="G100" s="68">
        <v>341</v>
      </c>
      <c r="H100" s="68">
        <v>341</v>
      </c>
      <c r="I100" s="68">
        <v>276</v>
      </c>
      <c r="J100" s="68">
        <v>375</v>
      </c>
    </row>
    <row r="101" spans="1:10" x14ac:dyDescent="0.3">
      <c r="A101" s="66">
        <v>38672</v>
      </c>
      <c r="B101" s="63">
        <v>12</v>
      </c>
      <c r="E101" s="68">
        <v>373</v>
      </c>
      <c r="F101" s="68">
        <v>328</v>
      </c>
      <c r="G101" s="68">
        <v>355</v>
      </c>
      <c r="H101" s="68">
        <v>355</v>
      </c>
      <c r="I101" s="68">
        <v>300</v>
      </c>
      <c r="J101" s="68">
        <v>399</v>
      </c>
    </row>
    <row r="102" spans="1:10" x14ac:dyDescent="0.3">
      <c r="A102" s="66">
        <v>38679</v>
      </c>
      <c r="B102" s="63">
        <v>12</v>
      </c>
      <c r="E102" s="68">
        <v>375</v>
      </c>
      <c r="F102" s="68">
        <v>319</v>
      </c>
      <c r="G102" s="68">
        <v>334</v>
      </c>
      <c r="H102" s="68">
        <v>334</v>
      </c>
      <c r="I102" s="68">
        <v>291</v>
      </c>
      <c r="J102" s="68">
        <v>391</v>
      </c>
    </row>
    <row r="103" spans="1:10" x14ac:dyDescent="0.3">
      <c r="A103" s="66">
        <v>38686</v>
      </c>
      <c r="B103" s="63">
        <v>12</v>
      </c>
      <c r="E103" s="68">
        <v>373</v>
      </c>
      <c r="F103" s="68">
        <v>317</v>
      </c>
      <c r="G103" s="68">
        <v>332</v>
      </c>
      <c r="H103" s="68">
        <v>332</v>
      </c>
      <c r="I103" s="68">
        <v>284</v>
      </c>
      <c r="J103" s="68">
        <v>383</v>
      </c>
    </row>
    <row r="104" spans="1:10" x14ac:dyDescent="0.3">
      <c r="A104" s="66">
        <v>38693</v>
      </c>
      <c r="B104" s="63">
        <v>1</v>
      </c>
      <c r="E104" s="68">
        <v>478</v>
      </c>
      <c r="F104" s="68">
        <v>376</v>
      </c>
      <c r="G104" s="68">
        <v>376</v>
      </c>
      <c r="H104" s="68">
        <v>376</v>
      </c>
      <c r="I104" s="68">
        <v>330</v>
      </c>
      <c r="J104" s="68">
        <v>436</v>
      </c>
    </row>
    <row r="105" spans="1:10" x14ac:dyDescent="0.3">
      <c r="A105" s="66">
        <v>38700</v>
      </c>
      <c r="B105" s="63">
        <v>1</v>
      </c>
      <c r="E105" s="68">
        <v>530</v>
      </c>
      <c r="F105" s="68">
        <v>407</v>
      </c>
      <c r="G105" s="68">
        <v>392</v>
      </c>
      <c r="H105" s="68">
        <v>392</v>
      </c>
      <c r="I105" s="68">
        <v>350</v>
      </c>
      <c r="J105" s="68">
        <v>450</v>
      </c>
    </row>
    <row r="106" spans="1:10" x14ac:dyDescent="0.3">
      <c r="A106" s="66">
        <v>38707</v>
      </c>
      <c r="B106" s="63">
        <v>1</v>
      </c>
      <c r="E106" s="68">
        <v>487</v>
      </c>
      <c r="F106" s="68">
        <v>413</v>
      </c>
      <c r="G106" s="68">
        <v>398</v>
      </c>
      <c r="H106" s="68">
        <v>398</v>
      </c>
      <c r="I106" s="68">
        <v>348</v>
      </c>
      <c r="J106" s="68">
        <v>474</v>
      </c>
    </row>
    <row r="107" spans="1:10" x14ac:dyDescent="0.3">
      <c r="A107" s="66">
        <v>38714</v>
      </c>
      <c r="B107" s="63">
        <v>1</v>
      </c>
      <c r="E107" s="68">
        <v>447</v>
      </c>
      <c r="F107" s="68">
        <v>398</v>
      </c>
      <c r="G107" s="68">
        <v>382</v>
      </c>
      <c r="H107" s="68">
        <v>377</v>
      </c>
      <c r="I107" s="68">
        <v>343</v>
      </c>
      <c r="J107" s="68">
        <v>455</v>
      </c>
    </row>
    <row r="108" spans="1:10" x14ac:dyDescent="0.3">
      <c r="A108" s="66">
        <v>38721</v>
      </c>
      <c r="B108" s="63">
        <v>2</v>
      </c>
      <c r="E108" s="68">
        <v>396</v>
      </c>
      <c r="F108" s="68">
        <v>360</v>
      </c>
      <c r="G108" s="68">
        <v>361</v>
      </c>
      <c r="H108" s="68">
        <v>363</v>
      </c>
      <c r="I108" s="68">
        <v>333</v>
      </c>
      <c r="J108" s="68">
        <v>444</v>
      </c>
    </row>
    <row r="109" spans="1:10" x14ac:dyDescent="0.3">
      <c r="A109" s="66">
        <v>38728</v>
      </c>
      <c r="B109" s="63">
        <v>2</v>
      </c>
      <c r="E109" s="68">
        <v>368</v>
      </c>
      <c r="F109" s="68">
        <v>346</v>
      </c>
      <c r="G109" s="68">
        <v>351</v>
      </c>
      <c r="H109" s="68">
        <v>351</v>
      </c>
      <c r="I109" s="68">
        <v>339</v>
      </c>
      <c r="J109" s="68">
        <v>436</v>
      </c>
    </row>
    <row r="110" spans="1:10" x14ac:dyDescent="0.3">
      <c r="A110" s="66">
        <v>38735</v>
      </c>
      <c r="B110" s="63">
        <v>2</v>
      </c>
      <c r="E110" s="68">
        <v>378</v>
      </c>
      <c r="F110" s="68">
        <v>354</v>
      </c>
      <c r="G110" s="68">
        <v>347</v>
      </c>
      <c r="H110" s="68">
        <v>348</v>
      </c>
      <c r="I110" s="68">
        <v>334</v>
      </c>
      <c r="J110" s="68">
        <v>439</v>
      </c>
    </row>
    <row r="111" spans="1:10" x14ac:dyDescent="0.3">
      <c r="A111" s="66">
        <v>38742</v>
      </c>
      <c r="B111" s="63">
        <v>2</v>
      </c>
      <c r="E111" s="68">
        <v>370</v>
      </c>
      <c r="F111" s="68">
        <v>333</v>
      </c>
      <c r="G111" s="68">
        <v>306</v>
      </c>
      <c r="H111" s="68">
        <v>312</v>
      </c>
      <c r="I111" s="68">
        <v>281</v>
      </c>
      <c r="J111" s="68">
        <v>395</v>
      </c>
    </row>
    <row r="112" spans="1:10" x14ac:dyDescent="0.3">
      <c r="A112" s="66">
        <v>38749</v>
      </c>
      <c r="B112" s="63">
        <v>3</v>
      </c>
      <c r="D112" s="63">
        <v>365</v>
      </c>
      <c r="E112" s="68">
        <v>361</v>
      </c>
      <c r="F112" s="68">
        <v>334</v>
      </c>
      <c r="G112" s="68">
        <v>323</v>
      </c>
      <c r="H112" s="68">
        <v>321</v>
      </c>
      <c r="I112" s="68">
        <v>302</v>
      </c>
      <c r="J112" s="68">
        <v>410</v>
      </c>
    </row>
    <row r="113" spans="1:10" x14ac:dyDescent="0.3">
      <c r="A113" s="66">
        <v>38756</v>
      </c>
      <c r="B113" s="63">
        <v>3</v>
      </c>
      <c r="C113" s="63">
        <v>395</v>
      </c>
      <c r="D113" s="63">
        <v>390</v>
      </c>
      <c r="E113" s="68">
        <v>383</v>
      </c>
      <c r="F113" s="68">
        <v>358</v>
      </c>
      <c r="G113" s="68">
        <v>357</v>
      </c>
      <c r="H113" s="68">
        <v>351</v>
      </c>
      <c r="I113" s="68">
        <v>330</v>
      </c>
      <c r="J113" s="68">
        <v>431</v>
      </c>
    </row>
    <row r="114" spans="1:10" x14ac:dyDescent="0.3">
      <c r="A114" s="66">
        <v>38763</v>
      </c>
      <c r="B114" s="63">
        <v>3</v>
      </c>
      <c r="C114" s="63">
        <v>393</v>
      </c>
      <c r="D114" s="63">
        <v>385</v>
      </c>
      <c r="E114" s="68">
        <v>383</v>
      </c>
      <c r="F114" s="68">
        <v>352</v>
      </c>
      <c r="G114" s="68">
        <v>325</v>
      </c>
      <c r="H114" s="68">
        <v>325</v>
      </c>
      <c r="I114" s="68">
        <v>320</v>
      </c>
      <c r="J114" s="68">
        <v>408</v>
      </c>
    </row>
    <row r="115" spans="1:10" x14ac:dyDescent="0.3">
      <c r="A115" s="66">
        <v>38770</v>
      </c>
      <c r="B115" s="63">
        <v>3</v>
      </c>
      <c r="C115" s="63">
        <v>400</v>
      </c>
      <c r="D115" s="63">
        <v>382</v>
      </c>
      <c r="E115" s="68">
        <v>369</v>
      </c>
      <c r="F115" s="68">
        <v>330</v>
      </c>
      <c r="G115" s="68">
        <v>306</v>
      </c>
      <c r="H115" s="68">
        <v>306</v>
      </c>
      <c r="I115" s="68">
        <v>292</v>
      </c>
      <c r="J115" s="68">
        <v>408</v>
      </c>
    </row>
    <row r="116" spans="1:10" x14ac:dyDescent="0.3">
      <c r="A116" s="66">
        <v>38777</v>
      </c>
      <c r="B116" s="63">
        <v>4</v>
      </c>
      <c r="C116" s="63">
        <v>396</v>
      </c>
      <c r="D116" s="63">
        <v>362</v>
      </c>
      <c r="E116" s="68">
        <v>351</v>
      </c>
      <c r="F116" s="68">
        <v>313</v>
      </c>
      <c r="G116" s="68">
        <v>304</v>
      </c>
      <c r="H116" s="68">
        <v>304</v>
      </c>
      <c r="I116" s="68">
        <v>291</v>
      </c>
      <c r="J116" s="68">
        <v>413</v>
      </c>
    </row>
    <row r="117" spans="1:10" x14ac:dyDescent="0.3">
      <c r="A117" s="66">
        <v>38784</v>
      </c>
      <c r="B117" s="63">
        <v>4</v>
      </c>
      <c r="C117" s="63">
        <v>398</v>
      </c>
      <c r="D117" s="63">
        <v>368</v>
      </c>
      <c r="E117" s="68">
        <v>357</v>
      </c>
      <c r="F117" s="68">
        <v>305</v>
      </c>
      <c r="G117" s="68">
        <v>300</v>
      </c>
      <c r="H117" s="68">
        <v>300</v>
      </c>
      <c r="I117" s="68">
        <v>284</v>
      </c>
      <c r="J117" s="68">
        <v>405</v>
      </c>
    </row>
    <row r="118" spans="1:10" x14ac:dyDescent="0.3">
      <c r="A118" s="66">
        <v>38791</v>
      </c>
      <c r="B118" s="63">
        <v>4</v>
      </c>
      <c r="C118" s="63">
        <v>387</v>
      </c>
      <c r="D118" s="63">
        <v>354</v>
      </c>
      <c r="E118" s="68">
        <v>340</v>
      </c>
      <c r="F118" s="68">
        <v>300</v>
      </c>
      <c r="G118" s="68">
        <v>298</v>
      </c>
      <c r="H118" s="68">
        <v>300</v>
      </c>
      <c r="I118" s="68">
        <v>269</v>
      </c>
      <c r="J118" s="68">
        <v>382</v>
      </c>
    </row>
    <row r="119" spans="1:10" x14ac:dyDescent="0.3">
      <c r="A119" s="66">
        <v>38798</v>
      </c>
      <c r="B119" s="63">
        <v>4</v>
      </c>
      <c r="C119" s="63">
        <v>385</v>
      </c>
      <c r="D119" s="63">
        <v>343</v>
      </c>
      <c r="E119" s="68">
        <v>328</v>
      </c>
      <c r="F119" s="68">
        <v>283</v>
      </c>
      <c r="G119" s="68">
        <v>279</v>
      </c>
      <c r="H119" s="68">
        <v>280</v>
      </c>
      <c r="I119" s="68">
        <v>241</v>
      </c>
      <c r="J119" s="68">
        <v>321</v>
      </c>
    </row>
    <row r="120" spans="1:10" x14ac:dyDescent="0.3">
      <c r="A120" s="66">
        <v>38805</v>
      </c>
      <c r="B120" s="63">
        <v>4</v>
      </c>
      <c r="C120" s="63">
        <v>373</v>
      </c>
      <c r="D120" s="63">
        <v>330</v>
      </c>
      <c r="E120" s="68">
        <v>323</v>
      </c>
      <c r="F120" s="68">
        <v>267</v>
      </c>
      <c r="G120" s="68">
        <v>255</v>
      </c>
      <c r="H120" s="68">
        <v>253</v>
      </c>
      <c r="I120" s="68">
        <v>243</v>
      </c>
      <c r="J120" s="68">
        <v>270</v>
      </c>
    </row>
    <row r="121" spans="1:10" x14ac:dyDescent="0.3">
      <c r="A121" s="66">
        <v>38812</v>
      </c>
      <c r="B121" s="63">
        <v>5</v>
      </c>
      <c r="C121" s="63">
        <v>375</v>
      </c>
      <c r="D121" s="63">
        <v>342</v>
      </c>
      <c r="E121" s="68">
        <v>330</v>
      </c>
      <c r="F121" s="68">
        <v>264</v>
      </c>
      <c r="G121" s="68">
        <v>257</v>
      </c>
      <c r="H121" s="68">
        <v>257</v>
      </c>
      <c r="I121" s="68">
        <v>237</v>
      </c>
      <c r="J121" s="68">
        <v>313</v>
      </c>
    </row>
    <row r="122" spans="1:10" x14ac:dyDescent="0.3">
      <c r="A122" s="66">
        <v>38819</v>
      </c>
      <c r="B122" s="63">
        <v>5</v>
      </c>
      <c r="C122" s="63">
        <v>374</v>
      </c>
      <c r="D122" s="63">
        <v>336</v>
      </c>
      <c r="E122" s="68">
        <v>328</v>
      </c>
      <c r="F122" s="68">
        <v>269</v>
      </c>
      <c r="G122" s="68">
        <v>251</v>
      </c>
      <c r="H122" s="68">
        <v>251</v>
      </c>
      <c r="I122" s="68">
        <v>236</v>
      </c>
      <c r="J122" s="68">
        <v>315</v>
      </c>
    </row>
    <row r="123" spans="1:10" x14ac:dyDescent="0.3">
      <c r="A123" s="66">
        <v>38826</v>
      </c>
      <c r="B123" s="63">
        <v>5</v>
      </c>
      <c r="C123" s="63">
        <v>368</v>
      </c>
      <c r="D123" s="63">
        <v>321</v>
      </c>
      <c r="E123" s="68">
        <v>305</v>
      </c>
      <c r="F123" s="68">
        <v>236</v>
      </c>
      <c r="G123" s="68">
        <v>249</v>
      </c>
      <c r="H123" s="68">
        <v>249</v>
      </c>
      <c r="I123" s="68">
        <v>226</v>
      </c>
      <c r="J123" s="68">
        <v>315</v>
      </c>
    </row>
    <row r="124" spans="1:10" x14ac:dyDescent="0.3">
      <c r="A124" s="66">
        <v>38833</v>
      </c>
      <c r="B124" s="63">
        <v>5</v>
      </c>
      <c r="C124" s="63">
        <v>361</v>
      </c>
      <c r="D124" s="63">
        <v>316</v>
      </c>
      <c r="E124" s="68">
        <v>303</v>
      </c>
      <c r="F124" s="68">
        <v>226</v>
      </c>
      <c r="G124" s="68">
        <v>241</v>
      </c>
      <c r="H124" s="68">
        <v>242</v>
      </c>
      <c r="I124" s="68">
        <v>216</v>
      </c>
      <c r="J124" s="68">
        <v>290</v>
      </c>
    </row>
    <row r="125" spans="1:10" x14ac:dyDescent="0.3">
      <c r="A125" s="66">
        <v>38840</v>
      </c>
      <c r="B125" s="63">
        <v>6</v>
      </c>
      <c r="C125" s="63">
        <v>379</v>
      </c>
      <c r="D125" s="63">
        <v>339</v>
      </c>
      <c r="E125" s="68">
        <v>328</v>
      </c>
      <c r="F125" s="68">
        <v>274</v>
      </c>
      <c r="G125" s="68">
        <v>268</v>
      </c>
      <c r="H125" s="68">
        <v>268</v>
      </c>
      <c r="I125" s="68">
        <v>244</v>
      </c>
      <c r="J125" s="68">
        <v>318</v>
      </c>
    </row>
    <row r="126" spans="1:10" x14ac:dyDescent="0.3">
      <c r="A126" s="66">
        <v>38847</v>
      </c>
      <c r="B126" s="63">
        <v>6</v>
      </c>
      <c r="C126" s="63">
        <v>400</v>
      </c>
      <c r="D126" s="63">
        <v>370</v>
      </c>
      <c r="E126" s="68">
        <v>361</v>
      </c>
      <c r="F126" s="68">
        <v>312</v>
      </c>
      <c r="G126" s="68">
        <v>296</v>
      </c>
      <c r="H126" s="68">
        <v>296</v>
      </c>
      <c r="I126" s="68">
        <v>277</v>
      </c>
      <c r="J126" s="68">
        <v>380</v>
      </c>
    </row>
    <row r="127" spans="1:10" x14ac:dyDescent="0.3">
      <c r="A127" s="66">
        <v>38854</v>
      </c>
      <c r="B127" s="63">
        <v>6</v>
      </c>
      <c r="C127" s="63">
        <v>446</v>
      </c>
      <c r="D127" s="63">
        <v>408</v>
      </c>
      <c r="E127" s="68">
        <v>395</v>
      </c>
      <c r="F127" s="68">
        <v>336</v>
      </c>
      <c r="G127" s="68">
        <v>323</v>
      </c>
      <c r="H127" s="68">
        <v>323</v>
      </c>
      <c r="I127" s="68">
        <v>303</v>
      </c>
      <c r="J127" s="68">
        <v>395</v>
      </c>
    </row>
    <row r="128" spans="1:10" x14ac:dyDescent="0.3">
      <c r="A128" s="66">
        <v>38861</v>
      </c>
      <c r="B128" s="63">
        <v>6</v>
      </c>
      <c r="C128" s="63">
        <v>458</v>
      </c>
      <c r="D128" s="63">
        <v>416</v>
      </c>
      <c r="E128" s="68">
        <v>399</v>
      </c>
      <c r="F128" s="68">
        <v>348</v>
      </c>
      <c r="G128" s="68">
        <v>344</v>
      </c>
      <c r="H128" s="68">
        <v>344</v>
      </c>
      <c r="I128" s="68">
        <v>326</v>
      </c>
      <c r="J128" s="68">
        <v>438</v>
      </c>
    </row>
    <row r="129" spans="1:10" x14ac:dyDescent="0.3">
      <c r="A129" s="66">
        <v>38868</v>
      </c>
      <c r="B129" s="63">
        <v>6</v>
      </c>
      <c r="C129" s="63">
        <v>453</v>
      </c>
      <c r="D129" s="63">
        <v>400</v>
      </c>
      <c r="E129" s="68">
        <v>382</v>
      </c>
      <c r="F129" s="68">
        <v>311</v>
      </c>
      <c r="G129" s="68">
        <v>319</v>
      </c>
      <c r="H129" s="68">
        <v>319</v>
      </c>
      <c r="I129" s="68">
        <v>305</v>
      </c>
      <c r="J129" s="68">
        <v>428</v>
      </c>
    </row>
    <row r="130" spans="1:10" x14ac:dyDescent="0.3">
      <c r="A130" s="66">
        <v>38875</v>
      </c>
      <c r="B130" s="63">
        <v>7</v>
      </c>
      <c r="C130" s="63">
        <v>474</v>
      </c>
      <c r="D130" s="63">
        <v>416</v>
      </c>
      <c r="E130" s="68">
        <v>402</v>
      </c>
      <c r="F130" s="68">
        <v>337</v>
      </c>
      <c r="G130" s="68">
        <v>344</v>
      </c>
      <c r="H130" s="68">
        <v>345</v>
      </c>
      <c r="I130" s="68">
        <v>325</v>
      </c>
      <c r="J130" s="68">
        <v>432</v>
      </c>
    </row>
    <row r="131" spans="1:10" x14ac:dyDescent="0.3">
      <c r="A131" s="66">
        <v>38882</v>
      </c>
      <c r="B131" s="63">
        <v>7</v>
      </c>
      <c r="C131" s="63">
        <v>477</v>
      </c>
      <c r="D131" s="63">
        <v>414</v>
      </c>
      <c r="E131" s="68">
        <v>403</v>
      </c>
      <c r="F131" s="68">
        <v>320</v>
      </c>
      <c r="G131" s="68">
        <v>347</v>
      </c>
      <c r="H131" s="68">
        <v>347</v>
      </c>
      <c r="I131" s="68">
        <v>321</v>
      </c>
      <c r="J131" s="68">
        <v>435</v>
      </c>
    </row>
    <row r="132" spans="1:10" x14ac:dyDescent="0.3">
      <c r="A132" s="66">
        <v>38889</v>
      </c>
      <c r="B132" s="63">
        <v>7</v>
      </c>
      <c r="C132" s="63">
        <v>462</v>
      </c>
      <c r="D132" s="63">
        <v>403</v>
      </c>
      <c r="E132" s="68">
        <v>401</v>
      </c>
      <c r="F132" s="68">
        <v>328</v>
      </c>
      <c r="G132" s="68">
        <v>346</v>
      </c>
      <c r="H132" s="68">
        <v>346</v>
      </c>
      <c r="I132" s="68">
        <v>309</v>
      </c>
      <c r="J132" s="68">
        <v>425</v>
      </c>
    </row>
    <row r="133" spans="1:10" x14ac:dyDescent="0.3">
      <c r="A133" s="66">
        <v>38896</v>
      </c>
      <c r="B133" s="63">
        <v>7</v>
      </c>
      <c r="C133" s="63">
        <v>492</v>
      </c>
      <c r="D133" s="63">
        <v>438</v>
      </c>
      <c r="E133" s="68">
        <v>430</v>
      </c>
      <c r="F133" s="68">
        <v>361</v>
      </c>
      <c r="G133" s="68">
        <v>403</v>
      </c>
      <c r="H133" s="68">
        <v>403</v>
      </c>
      <c r="I133" s="68">
        <v>352</v>
      </c>
      <c r="J133" s="68">
        <v>460</v>
      </c>
    </row>
    <row r="134" spans="1:10" x14ac:dyDescent="0.3">
      <c r="A134" s="66">
        <v>38903</v>
      </c>
      <c r="B134" s="63">
        <v>8</v>
      </c>
      <c r="C134" s="63">
        <v>569</v>
      </c>
      <c r="D134" s="63">
        <v>520</v>
      </c>
      <c r="E134" s="68">
        <v>513</v>
      </c>
      <c r="F134" s="68">
        <v>505</v>
      </c>
      <c r="G134" s="68">
        <v>525</v>
      </c>
      <c r="H134" s="68">
        <v>525</v>
      </c>
      <c r="I134" s="68">
        <v>500</v>
      </c>
      <c r="J134" s="68">
        <v>643</v>
      </c>
    </row>
    <row r="135" spans="1:10" x14ac:dyDescent="0.3">
      <c r="A135" s="66">
        <v>38910</v>
      </c>
      <c r="B135" s="63">
        <v>8</v>
      </c>
      <c r="C135" s="63">
        <v>605</v>
      </c>
      <c r="D135" s="63">
        <v>542</v>
      </c>
      <c r="E135" s="68">
        <v>533</v>
      </c>
      <c r="F135" s="68">
        <v>513</v>
      </c>
      <c r="G135" s="68">
        <v>530</v>
      </c>
      <c r="H135" s="68">
        <v>530</v>
      </c>
      <c r="I135" s="68">
        <v>524</v>
      </c>
      <c r="J135" s="68">
        <v>718</v>
      </c>
    </row>
    <row r="136" spans="1:10" x14ac:dyDescent="0.3">
      <c r="A136" s="66">
        <v>38917</v>
      </c>
      <c r="B136" s="63">
        <v>8</v>
      </c>
      <c r="C136" s="63">
        <v>650</v>
      </c>
      <c r="D136" s="63">
        <v>563</v>
      </c>
      <c r="E136" s="68">
        <v>548</v>
      </c>
      <c r="F136" s="68">
        <v>552</v>
      </c>
      <c r="G136" s="68">
        <v>551</v>
      </c>
      <c r="H136" s="68">
        <v>554</v>
      </c>
      <c r="I136" s="68">
        <v>556</v>
      </c>
      <c r="J136" s="68">
        <v>762</v>
      </c>
    </row>
    <row r="137" spans="1:10" x14ac:dyDescent="0.3">
      <c r="A137" s="66">
        <v>38924</v>
      </c>
      <c r="B137" s="63">
        <v>8</v>
      </c>
      <c r="C137" s="63">
        <v>609</v>
      </c>
      <c r="D137" s="63">
        <v>537</v>
      </c>
      <c r="E137" s="68">
        <v>532</v>
      </c>
      <c r="F137" s="68">
        <v>534</v>
      </c>
      <c r="G137" s="68">
        <v>537</v>
      </c>
      <c r="H137" s="68">
        <v>537</v>
      </c>
      <c r="I137" s="68">
        <v>561</v>
      </c>
      <c r="J137" s="68">
        <v>758</v>
      </c>
    </row>
    <row r="138" spans="1:10" x14ac:dyDescent="0.3">
      <c r="A138" s="66">
        <v>38931</v>
      </c>
      <c r="B138" s="63">
        <v>9</v>
      </c>
      <c r="C138" s="63">
        <v>645</v>
      </c>
      <c r="D138" s="63">
        <v>626</v>
      </c>
      <c r="E138" s="68">
        <v>623</v>
      </c>
      <c r="F138" s="68">
        <v>637</v>
      </c>
      <c r="G138" s="68">
        <v>635</v>
      </c>
      <c r="H138" s="68">
        <v>635</v>
      </c>
      <c r="I138" s="68">
        <v>636</v>
      </c>
      <c r="J138" s="68">
        <v>861</v>
      </c>
    </row>
    <row r="139" spans="1:10" x14ac:dyDescent="0.3">
      <c r="A139" s="66">
        <v>38938</v>
      </c>
      <c r="B139" s="63">
        <v>9</v>
      </c>
      <c r="C139" s="63">
        <v>638</v>
      </c>
      <c r="D139" s="63">
        <v>644</v>
      </c>
      <c r="E139" s="68">
        <v>648</v>
      </c>
      <c r="F139" s="68">
        <v>639</v>
      </c>
      <c r="G139" s="68">
        <v>651</v>
      </c>
      <c r="H139" s="68">
        <v>641</v>
      </c>
      <c r="I139" s="68">
        <v>652</v>
      </c>
      <c r="J139" s="68">
        <v>860</v>
      </c>
    </row>
    <row r="140" spans="1:10" x14ac:dyDescent="0.3">
      <c r="A140" s="66">
        <v>38945</v>
      </c>
      <c r="B140" s="63">
        <v>9</v>
      </c>
      <c r="C140" s="63">
        <v>636</v>
      </c>
      <c r="D140" s="63">
        <v>640</v>
      </c>
      <c r="E140" s="68">
        <v>638</v>
      </c>
      <c r="F140" s="68">
        <v>638</v>
      </c>
      <c r="G140" s="68">
        <v>650</v>
      </c>
      <c r="H140" s="68">
        <v>651</v>
      </c>
      <c r="I140" s="68">
        <v>646</v>
      </c>
      <c r="J140" s="68">
        <v>837</v>
      </c>
    </row>
    <row r="141" spans="1:10" x14ac:dyDescent="0.3">
      <c r="A141" s="66">
        <v>38952</v>
      </c>
      <c r="B141" s="63">
        <v>9</v>
      </c>
      <c r="C141" s="63">
        <v>637</v>
      </c>
      <c r="D141" s="63">
        <v>641</v>
      </c>
      <c r="E141" s="68">
        <v>638</v>
      </c>
      <c r="F141" s="68">
        <v>628</v>
      </c>
      <c r="G141" s="68">
        <v>641</v>
      </c>
      <c r="H141" s="68">
        <v>641</v>
      </c>
      <c r="I141" s="68">
        <v>624</v>
      </c>
      <c r="J141" s="68">
        <v>803</v>
      </c>
    </row>
    <row r="142" spans="1:10" x14ac:dyDescent="0.3">
      <c r="A142" s="66">
        <v>38959</v>
      </c>
      <c r="B142" s="63">
        <v>9</v>
      </c>
      <c r="C142" s="63">
        <v>626</v>
      </c>
      <c r="D142" s="63">
        <v>628</v>
      </c>
      <c r="E142" s="68">
        <v>627</v>
      </c>
      <c r="F142" s="68">
        <v>611</v>
      </c>
      <c r="G142" s="68">
        <v>634</v>
      </c>
      <c r="H142" s="68">
        <v>634</v>
      </c>
      <c r="I142" s="68">
        <v>608</v>
      </c>
      <c r="J142" s="68">
        <v>712</v>
      </c>
    </row>
    <row r="143" spans="1:10" x14ac:dyDescent="0.3">
      <c r="A143" s="66">
        <v>38966</v>
      </c>
      <c r="B143" s="63">
        <v>10</v>
      </c>
      <c r="C143" s="63">
        <v>622</v>
      </c>
      <c r="D143" s="63">
        <v>614</v>
      </c>
      <c r="E143" s="68">
        <v>607</v>
      </c>
      <c r="F143" s="68">
        <v>572</v>
      </c>
      <c r="G143" s="68">
        <v>622</v>
      </c>
      <c r="H143" s="68">
        <v>622</v>
      </c>
      <c r="I143" s="68">
        <v>555</v>
      </c>
      <c r="J143" s="68">
        <v>773</v>
      </c>
    </row>
    <row r="144" spans="1:10" x14ac:dyDescent="0.3">
      <c r="A144" s="66">
        <v>38973</v>
      </c>
      <c r="B144" s="63">
        <v>10</v>
      </c>
      <c r="C144" s="63">
        <v>622</v>
      </c>
      <c r="D144" s="63">
        <v>611</v>
      </c>
      <c r="E144" s="68">
        <v>609</v>
      </c>
      <c r="F144" s="68">
        <v>587</v>
      </c>
      <c r="G144" s="68">
        <v>637</v>
      </c>
      <c r="H144" s="68">
        <v>637</v>
      </c>
      <c r="I144" s="68">
        <v>554</v>
      </c>
      <c r="J144" s="68">
        <v>702</v>
      </c>
    </row>
    <row r="145" spans="1:10" x14ac:dyDescent="0.3">
      <c r="A145" s="66">
        <v>38979</v>
      </c>
      <c r="B145" s="63">
        <v>10</v>
      </c>
      <c r="C145" s="63">
        <v>620</v>
      </c>
      <c r="D145" s="63">
        <v>603</v>
      </c>
      <c r="E145" s="68">
        <v>593</v>
      </c>
      <c r="F145" s="68">
        <v>558</v>
      </c>
      <c r="G145" s="68">
        <v>607</v>
      </c>
      <c r="H145" s="68">
        <v>607</v>
      </c>
      <c r="I145" s="68">
        <v>527</v>
      </c>
      <c r="J145" s="68">
        <v>675</v>
      </c>
    </row>
    <row r="146" spans="1:10" x14ac:dyDescent="0.3">
      <c r="A146" s="66">
        <v>38986</v>
      </c>
      <c r="B146" s="63">
        <v>10</v>
      </c>
      <c r="C146" s="63">
        <v>618</v>
      </c>
      <c r="D146" s="63">
        <v>602</v>
      </c>
      <c r="E146" s="68">
        <v>597</v>
      </c>
      <c r="F146" s="68">
        <v>546</v>
      </c>
      <c r="G146" s="68">
        <v>600</v>
      </c>
      <c r="H146" s="68">
        <v>600</v>
      </c>
      <c r="I146" s="68">
        <v>499</v>
      </c>
      <c r="J146" s="68">
        <v>658</v>
      </c>
    </row>
    <row r="147" spans="1:10" x14ac:dyDescent="0.3">
      <c r="A147" s="69">
        <f>+A146+7</f>
        <v>38993</v>
      </c>
      <c r="B147" s="63">
        <v>11</v>
      </c>
      <c r="C147" s="68">
        <v>598.75</v>
      </c>
      <c r="D147" s="68">
        <v>528</v>
      </c>
      <c r="E147" s="68">
        <v>518</v>
      </c>
      <c r="F147" s="68">
        <v>497</v>
      </c>
      <c r="G147" s="68">
        <v>517</v>
      </c>
      <c r="H147" s="68">
        <v>522</v>
      </c>
      <c r="I147" s="68">
        <v>457</v>
      </c>
      <c r="J147" s="68">
        <v>587</v>
      </c>
    </row>
    <row r="148" spans="1:10" x14ac:dyDescent="0.3">
      <c r="A148" s="66">
        <v>39000</v>
      </c>
      <c r="B148" s="63">
        <v>11</v>
      </c>
      <c r="C148" s="63">
        <v>580</v>
      </c>
      <c r="D148" s="63">
        <v>519</v>
      </c>
      <c r="E148" s="68">
        <v>508</v>
      </c>
      <c r="F148" s="68">
        <v>481</v>
      </c>
      <c r="G148" s="68">
        <v>514</v>
      </c>
      <c r="H148" s="68">
        <v>520</v>
      </c>
      <c r="I148" s="68">
        <v>444</v>
      </c>
      <c r="J148" s="68">
        <v>597</v>
      </c>
    </row>
    <row r="149" spans="1:10" x14ac:dyDescent="0.3">
      <c r="A149" s="69">
        <f>+A148+7</f>
        <v>39007</v>
      </c>
      <c r="B149" s="63">
        <v>11</v>
      </c>
      <c r="C149" s="63">
        <v>575</v>
      </c>
      <c r="D149" s="63">
        <v>496</v>
      </c>
      <c r="E149" s="68">
        <v>488</v>
      </c>
      <c r="F149" s="68">
        <v>453</v>
      </c>
      <c r="G149" s="68">
        <v>513</v>
      </c>
      <c r="H149" s="68">
        <v>513</v>
      </c>
      <c r="I149" s="68">
        <v>411</v>
      </c>
      <c r="J149" s="68">
        <v>540</v>
      </c>
    </row>
    <row r="150" spans="1:10" x14ac:dyDescent="0.3">
      <c r="A150" s="66">
        <v>39014</v>
      </c>
      <c r="B150" s="63">
        <v>11</v>
      </c>
      <c r="C150" s="63">
        <v>490</v>
      </c>
      <c r="D150" s="63">
        <v>464</v>
      </c>
      <c r="E150" s="68">
        <v>456</v>
      </c>
      <c r="F150" s="68">
        <v>360</v>
      </c>
      <c r="G150" s="68">
        <v>411</v>
      </c>
      <c r="H150" s="68">
        <v>411</v>
      </c>
      <c r="I150" s="68">
        <v>320</v>
      </c>
      <c r="J150" s="68">
        <v>433</v>
      </c>
    </row>
    <row r="151" spans="1:10" x14ac:dyDescent="0.3">
      <c r="A151" s="66">
        <v>39021</v>
      </c>
      <c r="B151" s="63">
        <v>11</v>
      </c>
      <c r="C151" s="63">
        <v>620</v>
      </c>
      <c r="D151" s="63">
        <v>513</v>
      </c>
      <c r="E151" s="68">
        <v>488</v>
      </c>
      <c r="F151" s="68">
        <v>389</v>
      </c>
      <c r="G151" s="68">
        <v>398</v>
      </c>
      <c r="H151" s="68">
        <v>398</v>
      </c>
      <c r="I151" s="68">
        <v>322</v>
      </c>
      <c r="J151" s="68">
        <v>417</v>
      </c>
    </row>
    <row r="152" spans="1:10" x14ac:dyDescent="0.3">
      <c r="A152" s="69">
        <v>39028</v>
      </c>
      <c r="B152" s="63">
        <v>12</v>
      </c>
      <c r="E152" s="68">
        <v>465</v>
      </c>
      <c r="F152" s="68">
        <v>373</v>
      </c>
      <c r="G152" s="68">
        <v>398</v>
      </c>
      <c r="H152" s="68">
        <v>398</v>
      </c>
      <c r="I152" s="68">
        <v>315</v>
      </c>
      <c r="J152" s="68">
        <v>414</v>
      </c>
    </row>
    <row r="153" spans="1:10" x14ac:dyDescent="0.3">
      <c r="A153" s="66">
        <v>39035</v>
      </c>
      <c r="B153" s="63">
        <v>12</v>
      </c>
      <c r="E153" s="68">
        <v>450</v>
      </c>
      <c r="F153" s="68">
        <v>380</v>
      </c>
      <c r="G153" s="68">
        <v>388</v>
      </c>
      <c r="H153" s="68">
        <v>388</v>
      </c>
      <c r="I153" s="68">
        <v>295</v>
      </c>
      <c r="J153" s="68">
        <v>403</v>
      </c>
    </row>
    <row r="154" spans="1:10" x14ac:dyDescent="0.3">
      <c r="A154" s="69">
        <v>39042</v>
      </c>
      <c r="B154" s="63">
        <v>12</v>
      </c>
      <c r="E154" s="68">
        <v>467</v>
      </c>
      <c r="F154" s="68">
        <v>380</v>
      </c>
      <c r="G154" s="68">
        <v>381</v>
      </c>
      <c r="H154" s="68">
        <v>381</v>
      </c>
      <c r="I154" s="68">
        <v>291</v>
      </c>
      <c r="J154" s="68">
        <v>388</v>
      </c>
    </row>
    <row r="155" spans="1:10" x14ac:dyDescent="0.3">
      <c r="A155" s="69">
        <v>39049</v>
      </c>
      <c r="B155" s="86">
        <v>12</v>
      </c>
      <c r="E155" s="68">
        <v>452</v>
      </c>
      <c r="F155" s="68">
        <v>371</v>
      </c>
      <c r="G155" s="68">
        <v>380</v>
      </c>
      <c r="H155" s="68">
        <v>380</v>
      </c>
      <c r="I155" s="68">
        <v>283</v>
      </c>
      <c r="J155" s="68">
        <v>381</v>
      </c>
    </row>
    <row r="156" spans="1:10" x14ac:dyDescent="0.3">
      <c r="A156" s="66">
        <v>39056</v>
      </c>
      <c r="B156" s="63">
        <v>1</v>
      </c>
      <c r="E156" s="68">
        <v>418</v>
      </c>
      <c r="F156" s="68">
        <v>305</v>
      </c>
      <c r="G156" s="68">
        <v>331</v>
      </c>
      <c r="H156" s="68">
        <v>331</v>
      </c>
      <c r="I156" s="68">
        <v>249</v>
      </c>
      <c r="J156" s="68">
        <v>345</v>
      </c>
    </row>
    <row r="157" spans="1:10" x14ac:dyDescent="0.3">
      <c r="A157" s="69">
        <v>39063</v>
      </c>
      <c r="B157" s="63">
        <v>1</v>
      </c>
      <c r="E157" s="68">
        <v>413</v>
      </c>
      <c r="F157" s="68">
        <v>303</v>
      </c>
      <c r="G157" s="68">
        <v>320</v>
      </c>
      <c r="H157" s="68">
        <v>320</v>
      </c>
      <c r="I157" s="68">
        <v>248</v>
      </c>
      <c r="J157" s="68">
        <v>338</v>
      </c>
    </row>
    <row r="158" spans="1:10" x14ac:dyDescent="0.3">
      <c r="A158" s="69">
        <v>39070</v>
      </c>
      <c r="B158" s="63">
        <v>1</v>
      </c>
      <c r="E158" s="68">
        <v>344</v>
      </c>
      <c r="F158" s="68">
        <v>256</v>
      </c>
      <c r="G158" s="68">
        <v>275</v>
      </c>
      <c r="H158" s="68">
        <v>275</v>
      </c>
      <c r="I158" s="68">
        <v>218</v>
      </c>
      <c r="J158" s="68">
        <v>296</v>
      </c>
    </row>
    <row r="159" spans="1:10" x14ac:dyDescent="0.3">
      <c r="A159" s="69">
        <v>39077</v>
      </c>
      <c r="B159" s="63">
        <v>1</v>
      </c>
      <c r="E159" s="68">
        <v>328</v>
      </c>
      <c r="F159" s="68">
        <v>239</v>
      </c>
      <c r="G159" s="68">
        <v>258</v>
      </c>
      <c r="H159" s="68">
        <v>258</v>
      </c>
      <c r="I159" s="68">
        <v>212</v>
      </c>
      <c r="J159" s="68">
        <v>286</v>
      </c>
    </row>
    <row r="160" spans="1:10" x14ac:dyDescent="0.3">
      <c r="A160" s="69">
        <v>39084</v>
      </c>
      <c r="B160" s="63">
        <v>2</v>
      </c>
      <c r="E160" s="68">
        <v>310</v>
      </c>
      <c r="F160" s="68">
        <v>229</v>
      </c>
      <c r="G160" s="68">
        <v>247</v>
      </c>
      <c r="H160" s="68">
        <v>247</v>
      </c>
      <c r="I160" s="68">
        <v>209</v>
      </c>
      <c r="J160" s="68">
        <v>302</v>
      </c>
    </row>
    <row r="161" spans="1:10" x14ac:dyDescent="0.3">
      <c r="A161" s="69">
        <v>39091</v>
      </c>
      <c r="B161" s="63">
        <v>2</v>
      </c>
      <c r="E161" s="68">
        <v>304</v>
      </c>
      <c r="F161" s="68">
        <v>236</v>
      </c>
      <c r="G161" s="68">
        <v>268</v>
      </c>
      <c r="H161" s="68">
        <v>268</v>
      </c>
      <c r="I161" s="68">
        <v>221</v>
      </c>
      <c r="J161" s="68">
        <v>305</v>
      </c>
    </row>
    <row r="162" spans="1:10" x14ac:dyDescent="0.3">
      <c r="A162" s="69">
        <v>39098</v>
      </c>
      <c r="B162" s="63">
        <v>2</v>
      </c>
      <c r="E162" s="68">
        <v>368</v>
      </c>
      <c r="F162" s="68">
        <v>332</v>
      </c>
      <c r="G162" s="68">
        <v>338</v>
      </c>
      <c r="H162" s="68">
        <v>338</v>
      </c>
      <c r="I162" s="68">
        <v>301</v>
      </c>
      <c r="J162" s="68">
        <v>410</v>
      </c>
    </row>
    <row r="163" spans="1:10" x14ac:dyDescent="0.3">
      <c r="A163" s="69">
        <v>39105</v>
      </c>
      <c r="B163" s="63">
        <v>2</v>
      </c>
      <c r="E163" s="68">
        <v>295</v>
      </c>
      <c r="F163" s="68">
        <v>263</v>
      </c>
      <c r="G163" s="68">
        <v>316</v>
      </c>
      <c r="H163" s="68">
        <v>316</v>
      </c>
      <c r="I163" s="68">
        <v>259</v>
      </c>
      <c r="J163" s="68">
        <v>356</v>
      </c>
    </row>
    <row r="164" spans="1:10" x14ac:dyDescent="0.3">
      <c r="A164" s="69">
        <v>39112</v>
      </c>
      <c r="B164" s="63">
        <v>2</v>
      </c>
      <c r="E164" s="68">
        <v>309</v>
      </c>
      <c r="F164" s="68">
        <v>263</v>
      </c>
      <c r="G164" s="68">
        <v>299</v>
      </c>
      <c r="H164" s="68">
        <v>299</v>
      </c>
      <c r="I164" s="68">
        <v>241</v>
      </c>
      <c r="J164" s="68">
        <v>329</v>
      </c>
    </row>
    <row r="165" spans="1:10" x14ac:dyDescent="0.3">
      <c r="A165" s="69">
        <v>39119</v>
      </c>
      <c r="B165" s="63">
        <v>3</v>
      </c>
      <c r="D165" s="63">
        <v>338</v>
      </c>
      <c r="E165" s="68">
        <v>321</v>
      </c>
      <c r="F165" s="68">
        <v>268</v>
      </c>
      <c r="G165" s="68">
        <v>282</v>
      </c>
      <c r="H165" s="68">
        <v>282</v>
      </c>
      <c r="I165" s="68">
        <v>227</v>
      </c>
      <c r="J165" s="68">
        <v>314</v>
      </c>
    </row>
    <row r="166" spans="1:10" x14ac:dyDescent="0.3">
      <c r="A166" s="69">
        <v>39126</v>
      </c>
      <c r="B166" s="63">
        <v>3</v>
      </c>
      <c r="D166" s="68">
        <v>339</v>
      </c>
      <c r="E166" s="68">
        <v>328</v>
      </c>
      <c r="F166" s="68">
        <v>288</v>
      </c>
      <c r="G166" s="68">
        <v>288</v>
      </c>
      <c r="H166" s="68">
        <v>288</v>
      </c>
      <c r="I166" s="68">
        <v>233</v>
      </c>
      <c r="J166" s="68">
        <v>324</v>
      </c>
    </row>
    <row r="167" spans="1:10" x14ac:dyDescent="0.3">
      <c r="A167" s="69">
        <v>39133</v>
      </c>
      <c r="B167" s="63">
        <v>3</v>
      </c>
      <c r="D167" s="63">
        <v>341</v>
      </c>
      <c r="E167" s="68">
        <v>326</v>
      </c>
      <c r="F167" s="68">
        <v>269</v>
      </c>
      <c r="G167" s="68">
        <v>267</v>
      </c>
      <c r="H167" s="68">
        <v>267</v>
      </c>
      <c r="I167" s="68">
        <v>228</v>
      </c>
      <c r="J167" s="68">
        <v>315</v>
      </c>
    </row>
    <row r="168" spans="1:10" x14ac:dyDescent="0.3">
      <c r="A168" s="69">
        <v>39140</v>
      </c>
      <c r="B168" s="63">
        <v>3</v>
      </c>
      <c r="D168" s="63">
        <v>336</v>
      </c>
      <c r="E168" s="68">
        <v>319</v>
      </c>
      <c r="F168" s="68">
        <v>253</v>
      </c>
      <c r="G168" s="68">
        <v>260</v>
      </c>
      <c r="H168" s="68">
        <v>260</v>
      </c>
      <c r="I168" s="68">
        <v>218</v>
      </c>
      <c r="J168" s="68">
        <v>298</v>
      </c>
    </row>
    <row r="169" spans="1:10" x14ac:dyDescent="0.3">
      <c r="A169" s="69">
        <v>39147</v>
      </c>
      <c r="B169" s="63">
        <v>4</v>
      </c>
      <c r="C169" s="63">
        <v>365</v>
      </c>
      <c r="D169" s="63">
        <v>318</v>
      </c>
      <c r="E169" s="68">
        <v>300</v>
      </c>
      <c r="F169" s="68">
        <v>248</v>
      </c>
      <c r="G169" s="68">
        <v>254</v>
      </c>
      <c r="H169" s="68">
        <v>254</v>
      </c>
      <c r="I169" s="68">
        <v>224</v>
      </c>
      <c r="J169" s="68">
        <v>307</v>
      </c>
    </row>
    <row r="170" spans="1:10" x14ac:dyDescent="0.3">
      <c r="A170" s="69">
        <v>39154</v>
      </c>
      <c r="B170" s="63">
        <v>4</v>
      </c>
      <c r="C170" s="63">
        <v>359</v>
      </c>
      <c r="D170" s="63">
        <v>309</v>
      </c>
      <c r="E170" s="68">
        <v>294</v>
      </c>
      <c r="F170" s="68">
        <v>226</v>
      </c>
      <c r="G170" s="68">
        <v>251</v>
      </c>
      <c r="H170" s="68">
        <v>251</v>
      </c>
      <c r="I170" s="68">
        <v>204</v>
      </c>
      <c r="J170" s="68">
        <v>281</v>
      </c>
    </row>
    <row r="171" spans="1:10" x14ac:dyDescent="0.3">
      <c r="A171" s="69">
        <v>39161</v>
      </c>
      <c r="B171" s="63">
        <v>4</v>
      </c>
      <c r="C171" s="63">
        <v>339</v>
      </c>
      <c r="D171" s="63">
        <v>280</v>
      </c>
      <c r="E171" s="68">
        <v>270</v>
      </c>
      <c r="F171" s="68">
        <v>201</v>
      </c>
      <c r="G171" s="68">
        <v>233</v>
      </c>
      <c r="H171" s="68">
        <v>233</v>
      </c>
      <c r="I171" s="68">
        <v>183</v>
      </c>
      <c r="J171" s="68">
        <v>250</v>
      </c>
    </row>
    <row r="172" spans="1:10" x14ac:dyDescent="0.3">
      <c r="A172" s="69">
        <v>39168</v>
      </c>
      <c r="B172" s="63">
        <v>4</v>
      </c>
      <c r="C172" s="63">
        <v>329</v>
      </c>
      <c r="D172" s="63">
        <v>274</v>
      </c>
      <c r="E172" s="68">
        <v>255</v>
      </c>
      <c r="F172" s="68">
        <v>187</v>
      </c>
      <c r="G172" s="68">
        <v>217</v>
      </c>
      <c r="H172" s="68">
        <v>217</v>
      </c>
      <c r="I172" s="68">
        <v>169</v>
      </c>
      <c r="J172" s="68">
        <v>213</v>
      </c>
    </row>
    <row r="173" spans="1:10" x14ac:dyDescent="0.3">
      <c r="A173" s="69">
        <v>39175</v>
      </c>
      <c r="B173" s="63">
        <v>5</v>
      </c>
      <c r="C173" s="68">
        <v>312</v>
      </c>
      <c r="D173" s="68">
        <v>277.5</v>
      </c>
      <c r="E173" s="68">
        <v>253.75</v>
      </c>
      <c r="F173" s="68">
        <v>201.25</v>
      </c>
      <c r="G173" s="68">
        <v>218.75</v>
      </c>
      <c r="H173" s="68">
        <v>218.75</v>
      </c>
      <c r="I173" s="68">
        <v>193.33333333333334</v>
      </c>
      <c r="J173" s="68">
        <v>265.09461426491998</v>
      </c>
    </row>
    <row r="174" spans="1:10" x14ac:dyDescent="0.3">
      <c r="A174" s="69">
        <f>+A173+7</f>
        <v>39182</v>
      </c>
      <c r="B174" s="63">
        <v>5</v>
      </c>
      <c r="C174" s="68">
        <v>316.66666666666669</v>
      </c>
      <c r="D174" s="68">
        <v>277.5</v>
      </c>
      <c r="E174" s="68">
        <v>245</v>
      </c>
      <c r="F174" s="68">
        <v>198</v>
      </c>
      <c r="G174" s="68">
        <v>210</v>
      </c>
      <c r="H174" s="68">
        <v>210</v>
      </c>
      <c r="I174" s="68">
        <v>192.5</v>
      </c>
      <c r="J174" s="68">
        <v>231.35917030567686</v>
      </c>
    </row>
    <row r="175" spans="1:10" x14ac:dyDescent="0.3">
      <c r="A175" s="69">
        <f>+A174+7</f>
        <v>39189</v>
      </c>
      <c r="B175" s="63">
        <v>5</v>
      </c>
      <c r="C175" s="68">
        <v>295</v>
      </c>
      <c r="D175" s="68">
        <v>257</v>
      </c>
      <c r="E175" s="68">
        <v>234</v>
      </c>
      <c r="F175" s="68">
        <v>185</v>
      </c>
      <c r="G175" s="68">
        <v>211.25</v>
      </c>
      <c r="H175" s="68">
        <v>211.25</v>
      </c>
      <c r="I175" s="68">
        <v>175</v>
      </c>
      <c r="J175" s="68">
        <v>237.46724890829694</v>
      </c>
    </row>
    <row r="176" spans="1:10" x14ac:dyDescent="0.3">
      <c r="A176" s="69">
        <f>+A175+7</f>
        <v>39196</v>
      </c>
      <c r="B176" s="86">
        <v>5</v>
      </c>
      <c r="C176" s="68">
        <v>297.5</v>
      </c>
      <c r="D176" s="68">
        <v>257</v>
      </c>
      <c r="E176" s="68">
        <v>233</v>
      </c>
      <c r="F176" s="68">
        <v>181.25</v>
      </c>
      <c r="G176" s="68">
        <v>212.5</v>
      </c>
      <c r="H176" s="68">
        <v>212.5</v>
      </c>
      <c r="I176" s="68">
        <v>166.25</v>
      </c>
      <c r="J176" s="68">
        <v>231.8613537117904</v>
      </c>
    </row>
    <row r="177" spans="1:10" x14ac:dyDescent="0.3">
      <c r="A177" s="69">
        <f>+A176+7</f>
        <v>39203</v>
      </c>
      <c r="B177" s="86">
        <v>6</v>
      </c>
      <c r="C177" s="68">
        <v>314</v>
      </c>
      <c r="D177" s="68">
        <v>262.5</v>
      </c>
      <c r="E177" s="68">
        <v>248</v>
      </c>
      <c r="F177" s="68">
        <v>209</v>
      </c>
      <c r="G177" s="68">
        <v>228</v>
      </c>
      <c r="H177" s="68">
        <v>228</v>
      </c>
      <c r="I177" s="68">
        <v>206</v>
      </c>
      <c r="J177" s="68">
        <v>257.19213973799123</v>
      </c>
    </row>
    <row r="178" spans="1:10" x14ac:dyDescent="0.3">
      <c r="A178" s="69">
        <f>7+A177</f>
        <v>39210</v>
      </c>
      <c r="B178" s="86">
        <v>6</v>
      </c>
      <c r="C178" s="68">
        <v>301</v>
      </c>
      <c r="D178" s="68">
        <v>256.66666666666669</v>
      </c>
      <c r="E178" s="68">
        <v>240.83333333333334</v>
      </c>
      <c r="F178" s="68">
        <v>198</v>
      </c>
      <c r="G178" s="68">
        <v>220</v>
      </c>
      <c r="H178" s="68">
        <v>220</v>
      </c>
      <c r="I178" s="68">
        <v>189</v>
      </c>
      <c r="J178" s="68">
        <v>258.82096069868993</v>
      </c>
    </row>
    <row r="179" spans="1:10" x14ac:dyDescent="0.3">
      <c r="A179" s="69">
        <v>39217</v>
      </c>
      <c r="B179" s="63">
        <v>6</v>
      </c>
      <c r="C179" s="68">
        <v>323</v>
      </c>
      <c r="D179" s="68">
        <v>274</v>
      </c>
      <c r="E179" s="68">
        <v>253</v>
      </c>
      <c r="F179" s="68">
        <v>212</v>
      </c>
      <c r="G179" s="68">
        <v>226</v>
      </c>
      <c r="H179" s="68">
        <v>226</v>
      </c>
      <c r="I179" s="68">
        <v>193</v>
      </c>
      <c r="J179" s="68">
        <v>264.30567685589523</v>
      </c>
    </row>
    <row r="180" spans="1:10" x14ac:dyDescent="0.3">
      <c r="A180" s="69">
        <f>7+A179</f>
        <v>39224</v>
      </c>
      <c r="B180" s="63">
        <v>6</v>
      </c>
      <c r="C180" s="68">
        <v>336</v>
      </c>
      <c r="D180" s="68">
        <v>295.83333333333331</v>
      </c>
      <c r="E180" s="68">
        <v>285</v>
      </c>
      <c r="F180" s="68">
        <v>215</v>
      </c>
      <c r="G180" s="68">
        <v>221</v>
      </c>
      <c r="H180" s="68">
        <v>221</v>
      </c>
      <c r="I180" s="68">
        <v>196</v>
      </c>
      <c r="J180" s="68">
        <v>270.90393013100436</v>
      </c>
    </row>
    <row r="181" spans="1:10" x14ac:dyDescent="0.3">
      <c r="A181" s="69">
        <f>7+A180</f>
        <v>39231</v>
      </c>
      <c r="B181" s="86">
        <v>6</v>
      </c>
      <c r="C181" s="68">
        <v>388.75</v>
      </c>
      <c r="D181" s="68">
        <v>339</v>
      </c>
      <c r="E181" s="68">
        <v>329</v>
      </c>
      <c r="F181" s="68">
        <v>258.75</v>
      </c>
      <c r="G181" s="68">
        <v>235</v>
      </c>
      <c r="H181" s="68">
        <v>237.5</v>
      </c>
      <c r="I181" s="68">
        <v>252.5</v>
      </c>
      <c r="J181" s="68">
        <v>306</v>
      </c>
    </row>
    <row r="182" spans="1:10" x14ac:dyDescent="0.3">
      <c r="A182" s="69">
        <f>7+A181</f>
        <v>39238</v>
      </c>
      <c r="B182" s="86">
        <v>7</v>
      </c>
      <c r="C182" s="68">
        <v>400</v>
      </c>
      <c r="D182" s="68">
        <v>351.66666666666669</v>
      </c>
      <c r="E182" s="68">
        <v>346.66666666666669</v>
      </c>
      <c r="F182" s="68">
        <v>293.33333333333331</v>
      </c>
      <c r="G182" s="68">
        <v>285</v>
      </c>
      <c r="H182" s="68">
        <v>285</v>
      </c>
      <c r="I182" s="68">
        <v>260</v>
      </c>
      <c r="J182" s="68">
        <v>350</v>
      </c>
    </row>
    <row r="183" spans="1:10" x14ac:dyDescent="0.3">
      <c r="A183" s="69">
        <f>7+A182</f>
        <v>39245</v>
      </c>
      <c r="B183" s="86">
        <v>7</v>
      </c>
      <c r="C183" s="68">
        <v>400</v>
      </c>
      <c r="D183" s="68">
        <v>339</v>
      </c>
      <c r="E183" s="68">
        <v>328</v>
      </c>
      <c r="F183" s="68">
        <v>271.25</v>
      </c>
      <c r="G183" s="68">
        <v>283.75</v>
      </c>
      <c r="H183" s="68">
        <v>283.75</v>
      </c>
      <c r="I183" s="68">
        <v>266.25</v>
      </c>
      <c r="J183" s="68">
        <v>372.01965065502179</v>
      </c>
    </row>
    <row r="184" spans="1:10" x14ac:dyDescent="0.3">
      <c r="A184" s="69">
        <v>39252</v>
      </c>
      <c r="B184" s="86">
        <v>7</v>
      </c>
      <c r="C184" s="88">
        <v>400</v>
      </c>
      <c r="D184" s="88">
        <v>348</v>
      </c>
      <c r="E184" s="88">
        <v>333</v>
      </c>
      <c r="F184" s="88">
        <v>283</v>
      </c>
      <c r="G184" s="88">
        <v>292</v>
      </c>
      <c r="H184" s="88">
        <v>293</v>
      </c>
      <c r="I184" s="88">
        <v>277</v>
      </c>
      <c r="J184" s="88">
        <v>379</v>
      </c>
    </row>
    <row r="185" spans="1:10" x14ac:dyDescent="0.3">
      <c r="A185" s="69">
        <v>39259</v>
      </c>
      <c r="B185" s="63">
        <v>7</v>
      </c>
      <c r="C185" s="68">
        <v>412.5</v>
      </c>
      <c r="D185" s="68">
        <v>368</v>
      </c>
      <c r="E185" s="68">
        <v>359</v>
      </c>
      <c r="F185" s="68">
        <v>305</v>
      </c>
      <c r="G185" s="68">
        <v>306.25</v>
      </c>
      <c r="H185" s="68">
        <v>306.25</v>
      </c>
      <c r="I185" s="68">
        <v>280</v>
      </c>
      <c r="J185" s="68">
        <v>383.93013100436679</v>
      </c>
    </row>
    <row r="186" spans="1:10" x14ac:dyDescent="0.3">
      <c r="A186" s="69">
        <v>39266</v>
      </c>
      <c r="B186" s="63">
        <v>8</v>
      </c>
      <c r="C186" s="88">
        <v>439</v>
      </c>
      <c r="D186" s="88">
        <v>401</v>
      </c>
      <c r="E186" s="88">
        <v>391</v>
      </c>
      <c r="F186" s="88">
        <v>381</v>
      </c>
      <c r="G186" s="88">
        <v>392</v>
      </c>
      <c r="H186" s="88">
        <v>387</v>
      </c>
      <c r="I186" s="88">
        <v>398</v>
      </c>
      <c r="J186" s="88">
        <v>510</v>
      </c>
    </row>
    <row r="187" spans="1:10" x14ac:dyDescent="0.3">
      <c r="A187" s="69">
        <v>39273</v>
      </c>
      <c r="B187" s="63">
        <v>8</v>
      </c>
      <c r="C187" s="88">
        <v>439</v>
      </c>
      <c r="D187" s="88">
        <v>408</v>
      </c>
      <c r="E187" s="88">
        <v>402</v>
      </c>
      <c r="F187" s="88">
        <v>388</v>
      </c>
      <c r="G187" s="88">
        <v>388</v>
      </c>
      <c r="H187" s="88">
        <v>388</v>
      </c>
      <c r="I187" s="88">
        <v>432</v>
      </c>
      <c r="J187" s="88">
        <v>576</v>
      </c>
    </row>
    <row r="188" spans="1:10" x14ac:dyDescent="0.3">
      <c r="A188" s="69">
        <v>39280</v>
      </c>
      <c r="B188" s="63">
        <v>8</v>
      </c>
      <c r="C188" s="88">
        <v>529</v>
      </c>
      <c r="D188" s="88">
        <v>470</v>
      </c>
      <c r="E188" s="88">
        <v>460</v>
      </c>
      <c r="F188" s="88">
        <v>464</v>
      </c>
      <c r="G188" s="88">
        <v>453</v>
      </c>
      <c r="H188" s="88">
        <v>453</v>
      </c>
      <c r="I188" s="88">
        <v>472</v>
      </c>
      <c r="J188" s="88">
        <v>635</v>
      </c>
    </row>
    <row r="189" spans="1:10" x14ac:dyDescent="0.3">
      <c r="A189" s="69">
        <v>39287</v>
      </c>
      <c r="B189" s="63">
        <v>8</v>
      </c>
      <c r="C189" s="88">
        <v>516</v>
      </c>
      <c r="D189" s="88">
        <v>480</v>
      </c>
      <c r="E189" s="88">
        <v>475</v>
      </c>
      <c r="F189" s="88">
        <v>486</v>
      </c>
      <c r="G189" s="88">
        <v>475</v>
      </c>
      <c r="H189" s="88">
        <v>475</v>
      </c>
      <c r="I189" s="88">
        <v>505</v>
      </c>
      <c r="J189" s="88">
        <v>600</v>
      </c>
    </row>
    <row r="190" spans="1:10" x14ac:dyDescent="0.3">
      <c r="A190" s="69">
        <v>39294</v>
      </c>
      <c r="B190" s="63">
        <v>8</v>
      </c>
      <c r="C190" s="88">
        <v>475</v>
      </c>
      <c r="D190" s="88">
        <v>454</v>
      </c>
      <c r="E190" s="88">
        <v>448</v>
      </c>
      <c r="F190" s="88">
        <v>443</v>
      </c>
      <c r="G190" s="88">
        <v>446</v>
      </c>
      <c r="H190" s="88">
        <v>446</v>
      </c>
      <c r="I190" s="88">
        <v>463</v>
      </c>
      <c r="J190" s="88">
        <v>634</v>
      </c>
    </row>
    <row r="191" spans="1:10" x14ac:dyDescent="0.3">
      <c r="A191" s="69">
        <v>39301</v>
      </c>
      <c r="B191" s="63">
        <v>9</v>
      </c>
      <c r="C191" s="88">
        <v>544</v>
      </c>
      <c r="D191" s="88">
        <v>562</v>
      </c>
      <c r="E191" s="88">
        <v>561</v>
      </c>
      <c r="F191" s="88">
        <v>558</v>
      </c>
      <c r="G191" s="88">
        <v>563</v>
      </c>
      <c r="H191" s="88">
        <v>563</v>
      </c>
      <c r="I191" s="88">
        <v>560</v>
      </c>
      <c r="J191" s="88">
        <v>707</v>
      </c>
    </row>
    <row r="192" spans="1:10" x14ac:dyDescent="0.3">
      <c r="A192" s="69">
        <v>39308</v>
      </c>
      <c r="B192" s="63">
        <v>9</v>
      </c>
      <c r="C192" s="68">
        <v>597.5</v>
      </c>
      <c r="D192" s="68">
        <v>626</v>
      </c>
      <c r="E192" s="68">
        <v>620</v>
      </c>
      <c r="F192" s="68">
        <v>637.5</v>
      </c>
      <c r="G192" s="68">
        <v>618.75</v>
      </c>
      <c r="H192" s="68">
        <v>618.75</v>
      </c>
      <c r="I192" s="68">
        <v>637.5</v>
      </c>
      <c r="J192" s="68">
        <v>838.81004366812226</v>
      </c>
    </row>
    <row r="193" spans="1:11" x14ac:dyDescent="0.3">
      <c r="A193" s="69">
        <v>39315</v>
      </c>
      <c r="B193" s="63">
        <v>9</v>
      </c>
      <c r="C193" s="88">
        <v>619</v>
      </c>
      <c r="D193" s="88">
        <v>646</v>
      </c>
      <c r="E193" s="88">
        <v>645</v>
      </c>
      <c r="F193" s="88">
        <v>727</v>
      </c>
      <c r="G193" s="88">
        <v>650</v>
      </c>
      <c r="H193" s="88">
        <v>650</v>
      </c>
      <c r="I193" s="88">
        <v>740</v>
      </c>
      <c r="J193" s="88">
        <v>964</v>
      </c>
    </row>
    <row r="194" spans="1:11" x14ac:dyDescent="0.3">
      <c r="A194" s="69">
        <v>39322</v>
      </c>
      <c r="B194" s="63">
        <v>9</v>
      </c>
      <c r="C194" s="88">
        <v>618</v>
      </c>
      <c r="D194" s="88">
        <v>722</v>
      </c>
      <c r="E194" s="88">
        <v>722</v>
      </c>
      <c r="F194" s="88">
        <v>781</v>
      </c>
      <c r="G194" s="88">
        <v>750</v>
      </c>
      <c r="H194" s="88">
        <v>750</v>
      </c>
      <c r="I194" s="88">
        <v>856</v>
      </c>
      <c r="J194" s="88">
        <v>1077</v>
      </c>
    </row>
    <row r="195" spans="1:11" x14ac:dyDescent="0.3">
      <c r="A195" s="69">
        <f>7+A194</f>
        <v>39329</v>
      </c>
      <c r="B195" s="63">
        <v>10</v>
      </c>
      <c r="C195" s="88">
        <v>643</v>
      </c>
      <c r="D195" s="88">
        <v>690</v>
      </c>
      <c r="E195" s="88">
        <v>695</v>
      </c>
      <c r="F195" s="88">
        <v>638</v>
      </c>
      <c r="G195" s="88">
        <v>681</v>
      </c>
      <c r="H195" s="88">
        <v>681</v>
      </c>
      <c r="I195" s="88">
        <v>613</v>
      </c>
      <c r="J195" s="88">
        <v>820</v>
      </c>
    </row>
    <row r="196" spans="1:11" x14ac:dyDescent="0.3">
      <c r="A196" s="69">
        <f>7+A195</f>
        <v>39336</v>
      </c>
      <c r="B196" s="63">
        <v>10</v>
      </c>
      <c r="C196" s="88">
        <v>633</v>
      </c>
      <c r="D196" s="88">
        <v>669</v>
      </c>
      <c r="E196" s="88">
        <v>675</v>
      </c>
      <c r="F196" s="88">
        <v>617</v>
      </c>
      <c r="G196" s="88">
        <v>465</v>
      </c>
      <c r="H196" s="88">
        <v>675</v>
      </c>
      <c r="I196" s="88">
        <v>600</v>
      </c>
      <c r="J196" s="88">
        <v>823</v>
      </c>
    </row>
    <row r="197" spans="1:11" x14ac:dyDescent="0.3">
      <c r="A197" s="69">
        <f>7+A196</f>
        <v>39343</v>
      </c>
      <c r="B197" s="63">
        <v>10</v>
      </c>
      <c r="C197" s="88">
        <v>705</v>
      </c>
      <c r="D197" s="88">
        <v>600</v>
      </c>
      <c r="E197" s="88">
        <v>705</v>
      </c>
      <c r="F197" s="88">
        <v>635</v>
      </c>
      <c r="G197" s="88">
        <v>675</v>
      </c>
      <c r="H197" s="88">
        <v>675</v>
      </c>
      <c r="I197" s="88">
        <v>590</v>
      </c>
      <c r="J197" s="88">
        <v>794</v>
      </c>
    </row>
    <row r="198" spans="1:11" x14ac:dyDescent="0.3">
      <c r="A198" s="69">
        <f>7+A197</f>
        <v>39350</v>
      </c>
      <c r="B198" s="63">
        <v>10</v>
      </c>
      <c r="C198" s="88">
        <v>685</v>
      </c>
      <c r="D198" s="88">
        <v>676</v>
      </c>
      <c r="E198" s="88">
        <v>661</v>
      </c>
      <c r="F198" s="88">
        <v>600</v>
      </c>
      <c r="G198" s="88">
        <v>625</v>
      </c>
      <c r="H198" s="88">
        <v>625</v>
      </c>
      <c r="I198" s="88">
        <v>548</v>
      </c>
      <c r="J198" s="88">
        <v>657</v>
      </c>
    </row>
    <row r="199" spans="1:11" x14ac:dyDescent="0.3">
      <c r="A199" s="69">
        <f>7+A198</f>
        <v>39357</v>
      </c>
      <c r="B199" s="63">
        <v>10</v>
      </c>
      <c r="C199" s="88">
        <v>585</v>
      </c>
      <c r="D199" s="88">
        <v>500</v>
      </c>
      <c r="E199" s="88">
        <v>520</v>
      </c>
      <c r="F199" s="88">
        <v>434</v>
      </c>
      <c r="G199" s="88">
        <v>460</v>
      </c>
      <c r="H199" s="88">
        <v>460</v>
      </c>
      <c r="I199" s="88">
        <v>413</v>
      </c>
      <c r="J199" s="88">
        <v>553</v>
      </c>
    </row>
    <row r="200" spans="1:11" x14ac:dyDescent="0.3">
      <c r="A200" s="69">
        <v>39364</v>
      </c>
      <c r="B200" s="63">
        <v>11</v>
      </c>
      <c r="C200" s="68">
        <v>576.25</v>
      </c>
      <c r="D200" s="68">
        <v>499.16666666666669</v>
      </c>
      <c r="E200" s="68">
        <v>497.5</v>
      </c>
      <c r="F200" s="68">
        <v>443</v>
      </c>
      <c r="G200" s="68">
        <v>466</v>
      </c>
      <c r="H200" s="68">
        <v>466</v>
      </c>
      <c r="I200" s="68">
        <v>416</v>
      </c>
      <c r="J200" s="68">
        <v>562.1834061135371</v>
      </c>
    </row>
    <row r="201" spans="1:11" x14ac:dyDescent="0.3">
      <c r="A201" s="69">
        <f t="shared" ref="A201:A206" si="0">7+A200</f>
        <v>39371</v>
      </c>
      <c r="B201" s="63">
        <v>11</v>
      </c>
      <c r="C201" s="88">
        <v>503</v>
      </c>
      <c r="D201" s="88">
        <v>475</v>
      </c>
      <c r="E201" s="88">
        <v>468</v>
      </c>
      <c r="F201" s="88">
        <v>390</v>
      </c>
      <c r="G201" s="88">
        <v>445</v>
      </c>
      <c r="H201" s="88">
        <v>445</v>
      </c>
      <c r="I201" s="88">
        <v>347</v>
      </c>
      <c r="J201" s="88">
        <v>463</v>
      </c>
    </row>
    <row r="202" spans="1:11" x14ac:dyDescent="0.3">
      <c r="A202" s="69">
        <f t="shared" si="0"/>
        <v>39378</v>
      </c>
      <c r="B202" s="63">
        <v>11</v>
      </c>
      <c r="C202" s="68">
        <v>502</v>
      </c>
      <c r="D202" s="68">
        <v>473.33333333333331</v>
      </c>
      <c r="E202" s="68">
        <v>458.33333333333331</v>
      </c>
      <c r="F202" s="68">
        <v>373</v>
      </c>
      <c r="G202" s="68">
        <v>436</v>
      </c>
      <c r="H202" s="68">
        <v>436</v>
      </c>
      <c r="I202" s="68">
        <v>348</v>
      </c>
      <c r="J202" s="68">
        <v>440.2052401746725</v>
      </c>
    </row>
    <row r="203" spans="1:11" x14ac:dyDescent="0.3">
      <c r="A203" s="69">
        <f t="shared" si="0"/>
        <v>39385</v>
      </c>
      <c r="B203" s="63">
        <v>11</v>
      </c>
      <c r="C203" s="68">
        <v>525</v>
      </c>
      <c r="D203" s="68">
        <v>467</v>
      </c>
      <c r="E203" s="68">
        <v>452</v>
      </c>
      <c r="F203" s="68">
        <v>322</v>
      </c>
      <c r="G203" s="68">
        <v>360</v>
      </c>
      <c r="H203" s="68">
        <v>360</v>
      </c>
      <c r="I203" s="68">
        <v>305</v>
      </c>
      <c r="J203" s="68">
        <v>420</v>
      </c>
    </row>
    <row r="204" spans="1:11" x14ac:dyDescent="0.3">
      <c r="A204" s="69">
        <f t="shared" si="0"/>
        <v>39392</v>
      </c>
      <c r="B204" s="63">
        <v>12</v>
      </c>
      <c r="E204" s="68">
        <v>421.25</v>
      </c>
      <c r="F204" s="68">
        <v>315.33333333333331</v>
      </c>
      <c r="G204" s="68">
        <v>346.66666666666669</v>
      </c>
      <c r="H204" s="68">
        <v>346.66666666666669</v>
      </c>
      <c r="I204" s="68">
        <v>285</v>
      </c>
      <c r="J204" s="68">
        <v>390.78602620087332</v>
      </c>
    </row>
    <row r="205" spans="1:11" x14ac:dyDescent="0.3">
      <c r="A205" s="69">
        <f t="shared" si="0"/>
        <v>39399</v>
      </c>
      <c r="B205" s="63">
        <v>12</v>
      </c>
      <c r="E205" s="68">
        <v>440</v>
      </c>
      <c r="F205" s="68">
        <v>346</v>
      </c>
      <c r="G205" s="68">
        <v>375</v>
      </c>
      <c r="H205" s="68">
        <v>375</v>
      </c>
      <c r="I205" s="68">
        <v>310</v>
      </c>
      <c r="J205" s="68">
        <v>407</v>
      </c>
    </row>
    <row r="206" spans="1:11" x14ac:dyDescent="0.3">
      <c r="A206" s="69">
        <f t="shared" si="0"/>
        <v>39406</v>
      </c>
      <c r="B206" s="63">
        <v>12</v>
      </c>
      <c r="E206" s="68">
        <v>424</v>
      </c>
      <c r="F206" s="68">
        <v>332.5</v>
      </c>
      <c r="G206" s="68">
        <v>368.75</v>
      </c>
      <c r="H206" s="68">
        <v>368.75</v>
      </c>
      <c r="I206" s="68">
        <v>305</v>
      </c>
      <c r="J206" s="68">
        <v>404.58515283842792</v>
      </c>
      <c r="K206" s="68"/>
    </row>
    <row r="207" spans="1:11" x14ac:dyDescent="0.3">
      <c r="A207" s="69">
        <f t="shared" ref="A207:A213" si="1">7+A206</f>
        <v>39413</v>
      </c>
      <c r="B207" s="63">
        <v>12</v>
      </c>
      <c r="D207" s="68">
        <v>400</v>
      </c>
      <c r="E207" s="68">
        <v>406</v>
      </c>
      <c r="F207" s="68">
        <v>320</v>
      </c>
      <c r="G207" s="68">
        <v>370</v>
      </c>
      <c r="H207" s="68">
        <v>370</v>
      </c>
      <c r="I207" s="68">
        <v>288.75</v>
      </c>
      <c r="J207" s="68">
        <v>382.30349344978168</v>
      </c>
    </row>
    <row r="208" spans="1:11" x14ac:dyDescent="0.3">
      <c r="A208" s="69">
        <f t="shared" si="1"/>
        <v>39420</v>
      </c>
      <c r="B208" s="63">
        <v>1</v>
      </c>
      <c r="E208" s="68">
        <v>426.66666666666669</v>
      </c>
      <c r="F208" s="68">
        <v>330</v>
      </c>
      <c r="G208" s="68">
        <v>367.5</v>
      </c>
      <c r="H208" s="68">
        <v>367.5</v>
      </c>
      <c r="I208" s="68">
        <v>295</v>
      </c>
      <c r="J208" s="68">
        <v>386.33187772925766</v>
      </c>
    </row>
    <row r="209" spans="1:10" x14ac:dyDescent="0.3">
      <c r="A209" s="69">
        <f t="shared" si="1"/>
        <v>39427</v>
      </c>
      <c r="B209" s="63">
        <v>1</v>
      </c>
      <c r="E209" s="68">
        <v>427</v>
      </c>
      <c r="F209" s="68">
        <v>336.25</v>
      </c>
      <c r="G209" s="68">
        <v>361.25</v>
      </c>
      <c r="H209" s="68">
        <v>361.25</v>
      </c>
      <c r="I209" s="68">
        <v>310</v>
      </c>
      <c r="J209" s="68">
        <v>411.44104803493451</v>
      </c>
    </row>
    <row r="210" spans="1:10" x14ac:dyDescent="0.3">
      <c r="A210" s="69">
        <f t="shared" si="1"/>
        <v>39434</v>
      </c>
      <c r="B210" s="63">
        <v>1</v>
      </c>
      <c r="E210" s="68">
        <v>400</v>
      </c>
      <c r="F210" s="68">
        <v>307</v>
      </c>
      <c r="G210" s="68">
        <v>343</v>
      </c>
      <c r="H210" s="68">
        <v>343</v>
      </c>
      <c r="I210" s="68">
        <v>253</v>
      </c>
      <c r="J210" s="68">
        <v>347</v>
      </c>
    </row>
    <row r="211" spans="1:10" x14ac:dyDescent="0.3">
      <c r="A211" s="69">
        <f t="shared" si="1"/>
        <v>39441</v>
      </c>
      <c r="B211" s="63">
        <v>1</v>
      </c>
      <c r="E211" s="68">
        <v>398</v>
      </c>
      <c r="F211" s="68">
        <v>302</v>
      </c>
      <c r="G211" s="68">
        <v>342</v>
      </c>
      <c r="H211" s="68">
        <v>342</v>
      </c>
      <c r="I211" s="68">
        <v>257</v>
      </c>
      <c r="J211" s="68">
        <v>352</v>
      </c>
    </row>
    <row r="212" spans="1:10" x14ac:dyDescent="0.3">
      <c r="A212" s="69">
        <f t="shared" si="1"/>
        <v>39448</v>
      </c>
      <c r="B212" s="63">
        <v>2</v>
      </c>
      <c r="E212" s="68">
        <v>376.66666666666669</v>
      </c>
      <c r="F212" s="68">
        <v>286.66666666666669</v>
      </c>
      <c r="G212" s="68">
        <v>333.33333333333331</v>
      </c>
      <c r="H212" s="68">
        <v>333.33333333333331</v>
      </c>
      <c r="I212" s="68">
        <v>241.66666666666666</v>
      </c>
      <c r="J212" s="68">
        <v>331.36826783114992</v>
      </c>
    </row>
    <row r="213" spans="1:10" x14ac:dyDescent="0.3">
      <c r="A213" s="69">
        <f t="shared" si="1"/>
        <v>39455</v>
      </c>
      <c r="B213" s="63">
        <v>2</v>
      </c>
      <c r="E213" s="68">
        <v>366</v>
      </c>
      <c r="F213" s="68">
        <v>279</v>
      </c>
      <c r="G213" s="68">
        <v>331</v>
      </c>
      <c r="H213" s="68">
        <v>331</v>
      </c>
      <c r="I213" s="68">
        <v>241</v>
      </c>
      <c r="J213" s="68">
        <v>331</v>
      </c>
    </row>
    <row r="214" spans="1:10" x14ac:dyDescent="0.3">
      <c r="A214" s="69">
        <f t="shared" ref="A214:A219" si="2">7+A213</f>
        <v>39462</v>
      </c>
      <c r="B214" s="63">
        <v>2</v>
      </c>
      <c r="E214" s="68">
        <v>348</v>
      </c>
      <c r="F214" s="68">
        <v>312</v>
      </c>
      <c r="G214" s="68">
        <v>328</v>
      </c>
      <c r="H214" s="68">
        <v>328</v>
      </c>
      <c r="I214" s="68">
        <v>273</v>
      </c>
      <c r="J214" s="68">
        <v>349</v>
      </c>
    </row>
    <row r="215" spans="1:10" x14ac:dyDescent="0.3">
      <c r="A215" s="69">
        <f t="shared" si="2"/>
        <v>39469</v>
      </c>
      <c r="B215" s="63">
        <v>2</v>
      </c>
      <c r="E215" s="68">
        <v>389</v>
      </c>
      <c r="F215" s="68">
        <v>361</v>
      </c>
      <c r="G215" s="68">
        <v>368</v>
      </c>
      <c r="H215" s="68">
        <v>368</v>
      </c>
      <c r="I215" s="68">
        <v>334</v>
      </c>
      <c r="J215" s="68">
        <v>445</v>
      </c>
    </row>
    <row r="216" spans="1:10" x14ac:dyDescent="0.3">
      <c r="A216" s="69">
        <f t="shared" si="2"/>
        <v>39476</v>
      </c>
      <c r="B216" s="63">
        <v>2</v>
      </c>
      <c r="E216" s="68">
        <v>394</v>
      </c>
      <c r="F216" s="68">
        <v>338</v>
      </c>
      <c r="G216" s="68">
        <v>342</v>
      </c>
      <c r="H216" s="68">
        <v>342</v>
      </c>
      <c r="I216" s="68">
        <v>303</v>
      </c>
      <c r="J216" s="68">
        <v>416</v>
      </c>
    </row>
    <row r="217" spans="1:10" x14ac:dyDescent="0.3">
      <c r="A217" s="69">
        <f t="shared" si="2"/>
        <v>39483</v>
      </c>
      <c r="B217" s="63">
        <v>3</v>
      </c>
      <c r="D217" s="63">
        <v>386</v>
      </c>
      <c r="E217" s="68">
        <v>371</v>
      </c>
      <c r="F217" s="68">
        <v>320</v>
      </c>
      <c r="G217" s="68">
        <v>344</v>
      </c>
      <c r="H217" s="68">
        <v>344</v>
      </c>
      <c r="I217" s="68">
        <v>288</v>
      </c>
      <c r="J217" s="68">
        <v>380</v>
      </c>
    </row>
    <row r="218" spans="1:10" x14ac:dyDescent="0.3">
      <c r="A218" s="69">
        <f t="shared" si="2"/>
        <v>39490</v>
      </c>
      <c r="B218" s="63">
        <v>3</v>
      </c>
      <c r="D218" s="63">
        <v>398</v>
      </c>
      <c r="E218" s="68">
        <v>378</v>
      </c>
      <c r="F218" s="68">
        <v>337</v>
      </c>
      <c r="G218" s="68">
        <v>353</v>
      </c>
      <c r="H218" s="68">
        <v>353</v>
      </c>
      <c r="I218" s="68">
        <v>303</v>
      </c>
      <c r="J218" s="68">
        <v>414</v>
      </c>
    </row>
    <row r="219" spans="1:10" x14ac:dyDescent="0.3">
      <c r="A219" s="69">
        <f t="shared" si="2"/>
        <v>39497</v>
      </c>
      <c r="B219" s="63">
        <v>3</v>
      </c>
      <c r="D219" s="63">
        <v>404</v>
      </c>
      <c r="E219" s="68">
        <v>404</v>
      </c>
      <c r="F219" s="68">
        <v>345</v>
      </c>
      <c r="G219" s="68">
        <v>356</v>
      </c>
      <c r="H219" s="68">
        <v>357</v>
      </c>
      <c r="I219" s="68">
        <v>314</v>
      </c>
      <c r="J219" s="68">
        <v>413</v>
      </c>
    </row>
    <row r="220" spans="1:10" x14ac:dyDescent="0.3">
      <c r="A220" s="69">
        <f t="shared" ref="A220:A225" si="3">7+A219</f>
        <v>39504</v>
      </c>
      <c r="B220" s="63">
        <v>3</v>
      </c>
      <c r="D220" s="63">
        <v>453</v>
      </c>
      <c r="E220" s="68">
        <v>436</v>
      </c>
      <c r="F220" s="68">
        <v>368</v>
      </c>
      <c r="G220" s="68">
        <v>372</v>
      </c>
      <c r="H220" s="68">
        <v>372</v>
      </c>
      <c r="I220" s="68">
        <v>347</v>
      </c>
      <c r="J220" s="68">
        <v>475</v>
      </c>
    </row>
    <row r="221" spans="1:10" x14ac:dyDescent="0.3">
      <c r="A221" s="69">
        <f t="shared" si="3"/>
        <v>39511</v>
      </c>
      <c r="B221" s="63">
        <v>4</v>
      </c>
      <c r="C221" s="81">
        <v>436.66666666666669</v>
      </c>
      <c r="D221" s="81">
        <v>402.5</v>
      </c>
      <c r="E221" s="81">
        <v>387.5</v>
      </c>
      <c r="F221" s="81">
        <v>336.25</v>
      </c>
      <c r="G221" s="81">
        <v>348.75</v>
      </c>
      <c r="H221" s="81">
        <v>348.75</v>
      </c>
      <c r="I221" s="81">
        <v>306.25</v>
      </c>
      <c r="J221" s="81">
        <v>419.92358078602621</v>
      </c>
    </row>
    <row r="222" spans="1:10" x14ac:dyDescent="0.3">
      <c r="A222" s="69">
        <f t="shared" si="3"/>
        <v>39518</v>
      </c>
      <c r="B222" s="63">
        <v>4</v>
      </c>
      <c r="C222" s="63">
        <v>448</v>
      </c>
      <c r="D222" s="63">
        <v>430</v>
      </c>
      <c r="E222" s="68">
        <v>416</v>
      </c>
      <c r="F222" s="68">
        <v>352</v>
      </c>
      <c r="G222" s="68">
        <v>378</v>
      </c>
      <c r="H222" s="68">
        <v>412</v>
      </c>
      <c r="I222" s="68">
        <v>313</v>
      </c>
      <c r="J222" s="68">
        <v>430</v>
      </c>
    </row>
    <row r="223" spans="1:10" x14ac:dyDescent="0.3">
      <c r="A223" s="69">
        <f t="shared" si="3"/>
        <v>39525</v>
      </c>
      <c r="B223" s="63">
        <v>4</v>
      </c>
      <c r="C223" s="68">
        <v>458.33333333333331</v>
      </c>
      <c r="D223" s="68">
        <v>424.16666666666669</v>
      </c>
      <c r="E223" s="68">
        <v>413.33333333333331</v>
      </c>
      <c r="F223" s="68">
        <v>338</v>
      </c>
      <c r="G223" s="68">
        <v>370</v>
      </c>
      <c r="H223" s="68">
        <v>370</v>
      </c>
      <c r="I223" s="68">
        <v>323</v>
      </c>
      <c r="J223" s="68">
        <v>429.65065502183404</v>
      </c>
    </row>
    <row r="224" spans="1:10" x14ac:dyDescent="0.3">
      <c r="A224" s="69">
        <f t="shared" si="3"/>
        <v>39532</v>
      </c>
      <c r="B224" s="63">
        <v>4</v>
      </c>
      <c r="C224" s="63">
        <v>470</v>
      </c>
      <c r="D224" s="63">
        <v>457</v>
      </c>
      <c r="E224" s="68">
        <v>429</v>
      </c>
      <c r="F224" s="68">
        <v>329</v>
      </c>
      <c r="G224" s="68">
        <v>375</v>
      </c>
      <c r="H224" s="68">
        <v>375</v>
      </c>
      <c r="I224" s="68">
        <v>301</v>
      </c>
      <c r="J224" s="68">
        <v>413</v>
      </c>
    </row>
    <row r="225" spans="1:10" x14ac:dyDescent="0.3">
      <c r="A225" s="69">
        <f t="shared" si="3"/>
        <v>39539</v>
      </c>
      <c r="B225" s="86">
        <v>5</v>
      </c>
      <c r="C225" s="63">
        <v>441</v>
      </c>
      <c r="D225" s="68">
        <v>408</v>
      </c>
      <c r="E225" s="68">
        <v>413</v>
      </c>
      <c r="F225" s="68">
        <v>335</v>
      </c>
      <c r="G225" s="68">
        <v>361</v>
      </c>
      <c r="H225" s="68">
        <v>361</v>
      </c>
      <c r="I225" s="68">
        <v>310</v>
      </c>
      <c r="J225" s="68">
        <v>425</v>
      </c>
    </row>
    <row r="226" spans="1:10" x14ac:dyDescent="0.3">
      <c r="A226" s="69">
        <f t="shared" ref="A226:A231" si="4">7+A225</f>
        <v>39546</v>
      </c>
      <c r="B226" s="86">
        <v>5</v>
      </c>
      <c r="C226" s="68">
        <v>432.5</v>
      </c>
      <c r="D226" s="68">
        <v>395</v>
      </c>
      <c r="E226" s="68">
        <v>393.75</v>
      </c>
      <c r="F226" s="68">
        <v>313.75</v>
      </c>
      <c r="G226" s="68">
        <v>363.75</v>
      </c>
      <c r="H226" s="68">
        <v>363.75</v>
      </c>
      <c r="I226" s="68">
        <v>301.25</v>
      </c>
      <c r="J226" s="68">
        <v>413.06768558951961</v>
      </c>
    </row>
    <row r="227" spans="1:10" x14ac:dyDescent="0.3">
      <c r="A227" s="69">
        <f t="shared" si="4"/>
        <v>39553</v>
      </c>
      <c r="B227" s="86">
        <v>5</v>
      </c>
      <c r="C227" s="68">
        <v>435</v>
      </c>
      <c r="D227" s="68">
        <v>411.25</v>
      </c>
      <c r="E227" s="68">
        <v>395</v>
      </c>
      <c r="F227" s="68">
        <v>335</v>
      </c>
      <c r="G227" s="68">
        <v>350</v>
      </c>
      <c r="H227" s="68">
        <v>351.66666666666669</v>
      </c>
      <c r="I227" s="68">
        <v>291.66666666666669</v>
      </c>
      <c r="J227" s="68">
        <v>399.92721979621547</v>
      </c>
    </row>
    <row r="228" spans="1:10" x14ac:dyDescent="0.3">
      <c r="A228" s="69">
        <f t="shared" si="4"/>
        <v>39560</v>
      </c>
      <c r="B228" s="86">
        <v>5</v>
      </c>
      <c r="C228" s="63">
        <v>477</v>
      </c>
      <c r="D228" s="63">
        <v>425</v>
      </c>
      <c r="E228" s="68">
        <v>411</v>
      </c>
      <c r="F228" s="68">
        <v>312</v>
      </c>
      <c r="G228" s="68">
        <v>347</v>
      </c>
      <c r="H228" s="68">
        <v>347</v>
      </c>
      <c r="I228" s="68">
        <v>305</v>
      </c>
      <c r="J228" s="68">
        <v>418</v>
      </c>
    </row>
    <row r="229" spans="1:10" x14ac:dyDescent="0.3">
      <c r="A229" s="69">
        <f t="shared" si="4"/>
        <v>39567</v>
      </c>
      <c r="B229" s="86">
        <v>5</v>
      </c>
      <c r="C229" s="63">
        <v>474</v>
      </c>
      <c r="D229" s="63">
        <v>420</v>
      </c>
      <c r="E229" s="68">
        <v>396</v>
      </c>
      <c r="F229" s="68">
        <v>315</v>
      </c>
      <c r="G229" s="68">
        <v>329</v>
      </c>
      <c r="H229" s="68">
        <v>328</v>
      </c>
      <c r="I229" s="68">
        <v>303</v>
      </c>
      <c r="J229" s="68">
        <v>415</v>
      </c>
    </row>
    <row r="230" spans="1:10" x14ac:dyDescent="0.3">
      <c r="A230" s="69">
        <f t="shared" si="4"/>
        <v>39574</v>
      </c>
      <c r="B230" s="86">
        <v>6</v>
      </c>
      <c r="C230" s="63">
        <v>470</v>
      </c>
      <c r="D230" s="63">
        <v>427</v>
      </c>
      <c r="E230" s="68">
        <v>416</v>
      </c>
      <c r="F230" s="68">
        <v>341</v>
      </c>
      <c r="G230" s="68">
        <v>375</v>
      </c>
      <c r="H230" s="68">
        <v>375</v>
      </c>
      <c r="I230" s="68">
        <v>313</v>
      </c>
      <c r="J230" s="68">
        <v>414</v>
      </c>
    </row>
    <row r="231" spans="1:10" x14ac:dyDescent="0.3">
      <c r="A231" s="69">
        <f t="shared" si="4"/>
        <v>39581</v>
      </c>
      <c r="B231" s="86">
        <v>6</v>
      </c>
      <c r="C231" s="63">
        <v>468</v>
      </c>
      <c r="D231" s="63">
        <v>425</v>
      </c>
      <c r="E231" s="68">
        <v>405</v>
      </c>
      <c r="F231" s="68">
        <v>327</v>
      </c>
      <c r="G231" s="68">
        <v>337</v>
      </c>
      <c r="H231" s="68">
        <v>337</v>
      </c>
      <c r="I231" s="68">
        <v>285</v>
      </c>
      <c r="J231" s="68">
        <v>391</v>
      </c>
    </row>
    <row r="232" spans="1:10" x14ac:dyDescent="0.3">
      <c r="A232" s="69">
        <f t="shared" ref="A232:A237" si="5">7+A231</f>
        <v>39588</v>
      </c>
      <c r="B232" s="86">
        <v>6</v>
      </c>
      <c r="C232" s="63">
        <v>465</v>
      </c>
      <c r="D232" s="63">
        <v>421</v>
      </c>
      <c r="E232" s="68">
        <v>410</v>
      </c>
      <c r="F232" s="68">
        <v>337</v>
      </c>
      <c r="G232" s="68">
        <v>348</v>
      </c>
      <c r="H232" s="68">
        <v>348</v>
      </c>
      <c r="I232" s="68">
        <v>318</v>
      </c>
      <c r="J232" s="68">
        <v>427</v>
      </c>
    </row>
    <row r="233" spans="1:10" x14ac:dyDescent="0.3">
      <c r="A233" s="69">
        <f t="shared" si="5"/>
        <v>39595</v>
      </c>
      <c r="B233" s="86">
        <v>6</v>
      </c>
      <c r="C233" s="63">
        <v>483</v>
      </c>
      <c r="D233" s="63">
        <v>442</v>
      </c>
      <c r="E233" s="68">
        <v>431</v>
      </c>
      <c r="F233" s="68">
        <v>379</v>
      </c>
      <c r="G233" s="68">
        <v>369</v>
      </c>
      <c r="H233" s="68">
        <v>369</v>
      </c>
      <c r="I233" s="68">
        <v>370</v>
      </c>
      <c r="J233" s="68">
        <v>494</v>
      </c>
    </row>
    <row r="234" spans="1:10" x14ac:dyDescent="0.3">
      <c r="A234" s="69">
        <f t="shared" si="5"/>
        <v>39602</v>
      </c>
      <c r="B234" s="63">
        <v>7</v>
      </c>
      <c r="C234" s="63">
        <v>512</v>
      </c>
      <c r="D234" s="63">
        <v>470</v>
      </c>
      <c r="E234" s="68">
        <v>471</v>
      </c>
      <c r="F234" s="68">
        <v>435</v>
      </c>
      <c r="G234" s="68">
        <v>422</v>
      </c>
      <c r="H234" s="68">
        <v>422</v>
      </c>
      <c r="I234" s="68">
        <v>423</v>
      </c>
      <c r="J234" s="68">
        <v>553</v>
      </c>
    </row>
    <row r="235" spans="1:10" x14ac:dyDescent="0.3">
      <c r="A235" s="69">
        <f t="shared" si="5"/>
        <v>39609</v>
      </c>
      <c r="B235" s="63">
        <v>7</v>
      </c>
      <c r="C235" s="63">
        <v>533</v>
      </c>
      <c r="D235" s="63">
        <v>537</v>
      </c>
      <c r="E235" s="68">
        <v>538</v>
      </c>
      <c r="F235" s="68">
        <v>471</v>
      </c>
      <c r="G235" s="68">
        <v>474</v>
      </c>
      <c r="H235" s="68">
        <v>474</v>
      </c>
      <c r="I235" s="68">
        <v>452</v>
      </c>
      <c r="J235" s="68">
        <v>578</v>
      </c>
    </row>
    <row r="236" spans="1:10" x14ac:dyDescent="0.3">
      <c r="A236" s="69">
        <f t="shared" si="5"/>
        <v>39616</v>
      </c>
      <c r="B236" s="63">
        <v>7</v>
      </c>
      <c r="C236" s="63">
        <v>615</v>
      </c>
      <c r="D236" s="63">
        <v>584</v>
      </c>
      <c r="E236" s="68">
        <v>575</v>
      </c>
      <c r="F236" s="68">
        <v>492</v>
      </c>
      <c r="G236" s="68">
        <v>585</v>
      </c>
      <c r="H236" s="68">
        <v>585</v>
      </c>
      <c r="I236" s="68">
        <v>483</v>
      </c>
      <c r="J236" s="68">
        <v>459</v>
      </c>
    </row>
    <row r="237" spans="1:10" x14ac:dyDescent="0.3">
      <c r="A237" s="69">
        <f t="shared" si="5"/>
        <v>39623</v>
      </c>
      <c r="B237" s="63">
        <v>7</v>
      </c>
      <c r="C237" s="63">
        <v>583</v>
      </c>
      <c r="D237" s="63">
        <v>567</v>
      </c>
      <c r="E237" s="68">
        <v>563</v>
      </c>
      <c r="F237" s="68">
        <v>508</v>
      </c>
      <c r="G237" s="68">
        <v>575</v>
      </c>
      <c r="H237" s="68">
        <v>575</v>
      </c>
      <c r="I237" s="68">
        <v>428</v>
      </c>
      <c r="J237" s="68">
        <v>572</v>
      </c>
    </row>
    <row r="238" spans="1:10" x14ac:dyDescent="0.3">
      <c r="A238" s="69">
        <f t="shared" ref="A238:A243" si="6">7+A237</f>
        <v>39630</v>
      </c>
      <c r="B238" s="63">
        <v>8</v>
      </c>
      <c r="C238" s="63">
        <v>625</v>
      </c>
      <c r="D238" s="63">
        <v>595</v>
      </c>
      <c r="E238" s="68">
        <v>600</v>
      </c>
      <c r="F238" s="68">
        <v>542</v>
      </c>
      <c r="G238" s="68">
        <v>533</v>
      </c>
      <c r="H238" s="68">
        <v>533</v>
      </c>
      <c r="I238" s="68">
        <v>483</v>
      </c>
      <c r="J238" s="68">
        <v>663</v>
      </c>
    </row>
    <row r="239" spans="1:10" x14ac:dyDescent="0.3">
      <c r="A239" s="69">
        <f t="shared" si="6"/>
        <v>39637</v>
      </c>
      <c r="B239" s="63">
        <v>8</v>
      </c>
      <c r="C239" s="63">
        <v>588</v>
      </c>
      <c r="D239" s="63">
        <v>561</v>
      </c>
      <c r="E239" s="68">
        <v>563</v>
      </c>
      <c r="F239" s="68">
        <v>491</v>
      </c>
      <c r="G239" s="68">
        <v>504</v>
      </c>
      <c r="H239" s="68">
        <v>504</v>
      </c>
      <c r="I239" s="68">
        <v>431</v>
      </c>
      <c r="J239" s="68">
        <v>591</v>
      </c>
    </row>
    <row r="240" spans="1:10" x14ac:dyDescent="0.3">
      <c r="A240" s="69">
        <f t="shared" si="6"/>
        <v>39644</v>
      </c>
      <c r="B240" s="63">
        <v>8</v>
      </c>
      <c r="C240" s="63">
        <v>580</v>
      </c>
      <c r="D240" s="63">
        <v>534</v>
      </c>
      <c r="E240" s="68">
        <v>519</v>
      </c>
      <c r="F240" s="68">
        <v>434</v>
      </c>
      <c r="G240" s="68">
        <v>449</v>
      </c>
      <c r="H240" s="68">
        <v>449</v>
      </c>
      <c r="I240" s="68">
        <v>391</v>
      </c>
      <c r="J240" s="68">
        <v>536</v>
      </c>
    </row>
    <row r="241" spans="1:10" x14ac:dyDescent="0.3">
      <c r="A241" s="69">
        <f t="shared" si="6"/>
        <v>39651</v>
      </c>
      <c r="B241" s="63">
        <v>8</v>
      </c>
      <c r="C241" s="63">
        <v>586</v>
      </c>
      <c r="D241" s="63">
        <v>516</v>
      </c>
      <c r="E241" s="68">
        <v>494</v>
      </c>
      <c r="F241" s="68">
        <v>425</v>
      </c>
      <c r="G241" s="68">
        <v>438</v>
      </c>
      <c r="H241" s="68">
        <v>438</v>
      </c>
      <c r="I241" s="68">
        <v>425</v>
      </c>
      <c r="J241" s="68">
        <v>562</v>
      </c>
    </row>
    <row r="242" spans="1:10" x14ac:dyDescent="0.3">
      <c r="A242" s="69">
        <f t="shared" si="6"/>
        <v>39658</v>
      </c>
      <c r="B242" s="63">
        <v>8</v>
      </c>
      <c r="C242" s="63">
        <v>605</v>
      </c>
      <c r="D242" s="63">
        <v>567</v>
      </c>
      <c r="E242" s="68">
        <v>528</v>
      </c>
      <c r="F242" s="68">
        <v>458</v>
      </c>
      <c r="G242" s="68">
        <v>447</v>
      </c>
      <c r="H242" s="68">
        <v>447</v>
      </c>
      <c r="I242" s="68">
        <v>433</v>
      </c>
      <c r="J242" s="68">
        <v>594</v>
      </c>
    </row>
    <row r="243" spans="1:10" x14ac:dyDescent="0.3">
      <c r="A243" s="69">
        <f t="shared" si="6"/>
        <v>39665</v>
      </c>
      <c r="B243" s="63">
        <v>9</v>
      </c>
      <c r="C243" s="63">
        <v>615</v>
      </c>
      <c r="D243" s="63">
        <v>593</v>
      </c>
      <c r="E243" s="68">
        <v>592</v>
      </c>
      <c r="F243" s="68">
        <v>570</v>
      </c>
      <c r="G243" s="68">
        <v>586</v>
      </c>
      <c r="H243" s="68">
        <v>586</v>
      </c>
      <c r="I243" s="68">
        <v>573</v>
      </c>
      <c r="J243" s="68">
        <v>757</v>
      </c>
    </row>
    <row r="244" spans="1:10" x14ac:dyDescent="0.3">
      <c r="A244" s="69">
        <f t="shared" ref="A244:A249" si="7">7+A243</f>
        <v>39672</v>
      </c>
      <c r="B244" s="63">
        <v>9</v>
      </c>
      <c r="C244" s="63">
        <v>570</v>
      </c>
      <c r="D244" s="63">
        <v>567</v>
      </c>
      <c r="E244" s="68">
        <v>562</v>
      </c>
      <c r="F244" s="68">
        <v>542</v>
      </c>
      <c r="G244" s="68">
        <v>560</v>
      </c>
      <c r="H244" s="68">
        <v>560</v>
      </c>
      <c r="I244" s="68">
        <v>542</v>
      </c>
      <c r="J244" s="68">
        <v>707</v>
      </c>
    </row>
    <row r="245" spans="1:10" x14ac:dyDescent="0.3">
      <c r="A245" s="69">
        <f t="shared" si="7"/>
        <v>39679</v>
      </c>
      <c r="B245" s="63">
        <v>9</v>
      </c>
      <c r="C245" s="63">
        <v>575</v>
      </c>
      <c r="D245" s="63">
        <v>578</v>
      </c>
      <c r="E245" s="68">
        <v>579</v>
      </c>
      <c r="F245" s="68">
        <v>578</v>
      </c>
      <c r="G245" s="68">
        <v>563</v>
      </c>
      <c r="H245" s="68">
        <v>563</v>
      </c>
      <c r="I245" s="68">
        <v>572</v>
      </c>
      <c r="J245" s="68">
        <v>784</v>
      </c>
    </row>
    <row r="246" spans="1:10" x14ac:dyDescent="0.3">
      <c r="A246" s="69">
        <f t="shared" si="7"/>
        <v>39686</v>
      </c>
      <c r="B246" s="63">
        <v>9</v>
      </c>
      <c r="C246" s="63">
        <v>587</v>
      </c>
      <c r="D246" s="63">
        <v>585</v>
      </c>
      <c r="E246" s="68">
        <v>590</v>
      </c>
      <c r="F246" s="68">
        <v>600</v>
      </c>
      <c r="G246" s="68">
        <v>592</v>
      </c>
      <c r="H246" s="68">
        <v>592</v>
      </c>
      <c r="I246" s="68">
        <v>563</v>
      </c>
      <c r="J246" s="68">
        <v>741</v>
      </c>
    </row>
    <row r="247" spans="1:10" x14ac:dyDescent="0.3">
      <c r="A247" s="69">
        <f t="shared" si="7"/>
        <v>39693</v>
      </c>
      <c r="B247" s="63">
        <v>10</v>
      </c>
      <c r="C247" s="63">
        <v>675</v>
      </c>
      <c r="D247" s="63">
        <v>694</v>
      </c>
      <c r="E247" s="68">
        <v>687</v>
      </c>
      <c r="F247" s="68">
        <v>665</v>
      </c>
      <c r="G247" s="68">
        <v>675</v>
      </c>
      <c r="H247" s="68">
        <v>675</v>
      </c>
      <c r="I247" s="68">
        <v>636</v>
      </c>
      <c r="J247" s="68">
        <v>844</v>
      </c>
    </row>
    <row r="248" spans="1:10" x14ac:dyDescent="0.3">
      <c r="A248" s="69">
        <f t="shared" si="7"/>
        <v>39700</v>
      </c>
      <c r="B248" s="63">
        <v>10</v>
      </c>
      <c r="C248" s="63">
        <v>658</v>
      </c>
      <c r="D248" s="63">
        <v>684</v>
      </c>
      <c r="E248" s="68">
        <v>686</v>
      </c>
      <c r="F248" s="68">
        <v>667</v>
      </c>
      <c r="G248" s="68">
        <v>673</v>
      </c>
      <c r="H248" s="68">
        <v>673</v>
      </c>
      <c r="I248" s="68">
        <v>650</v>
      </c>
      <c r="J248" s="68">
        <v>891</v>
      </c>
    </row>
    <row r="249" spans="1:10" x14ac:dyDescent="0.3">
      <c r="A249" s="69">
        <f t="shared" si="7"/>
        <v>39707</v>
      </c>
      <c r="B249" s="63">
        <v>10</v>
      </c>
      <c r="C249" s="63">
        <v>663</v>
      </c>
      <c r="D249" s="63">
        <v>657</v>
      </c>
      <c r="E249" s="68">
        <v>662</v>
      </c>
      <c r="F249" s="68">
        <v>650</v>
      </c>
      <c r="G249" s="68">
        <v>675</v>
      </c>
      <c r="H249" s="68">
        <v>675</v>
      </c>
      <c r="I249" s="68">
        <v>638</v>
      </c>
      <c r="J249" s="68">
        <v>874</v>
      </c>
    </row>
    <row r="250" spans="1:10" x14ac:dyDescent="0.3">
      <c r="A250" s="69">
        <f t="shared" ref="A250:A255" si="8">7+A249</f>
        <v>39714</v>
      </c>
      <c r="B250" s="63">
        <v>10</v>
      </c>
      <c r="C250" s="63">
        <v>639</v>
      </c>
      <c r="D250" s="63">
        <v>661</v>
      </c>
      <c r="E250" s="68">
        <v>666</v>
      </c>
      <c r="F250" s="68">
        <v>669</v>
      </c>
      <c r="G250" s="68">
        <v>733</v>
      </c>
      <c r="H250" s="68">
        <v>733</v>
      </c>
      <c r="I250" s="68">
        <v>653</v>
      </c>
      <c r="J250" s="68">
        <v>859</v>
      </c>
    </row>
    <row r="251" spans="1:10" x14ac:dyDescent="0.3">
      <c r="A251" s="69">
        <f t="shared" si="8"/>
        <v>39721</v>
      </c>
      <c r="B251" s="63">
        <v>10</v>
      </c>
      <c r="C251" s="63">
        <v>613</v>
      </c>
      <c r="D251" s="63">
        <v>656</v>
      </c>
      <c r="E251" s="68">
        <v>654</v>
      </c>
      <c r="F251" s="68">
        <v>670</v>
      </c>
      <c r="G251" s="68">
        <v>725</v>
      </c>
      <c r="H251" s="68">
        <v>725</v>
      </c>
      <c r="I251" s="68">
        <v>665</v>
      </c>
      <c r="J251" s="68">
        <v>857</v>
      </c>
    </row>
    <row r="252" spans="1:10" x14ac:dyDescent="0.3">
      <c r="A252" s="69">
        <f t="shared" si="8"/>
        <v>39728</v>
      </c>
      <c r="B252" s="63">
        <v>11</v>
      </c>
      <c r="C252" s="63">
        <v>654</v>
      </c>
      <c r="D252" s="63">
        <v>600</v>
      </c>
      <c r="E252" s="68">
        <v>584</v>
      </c>
      <c r="F252" s="68">
        <v>567</v>
      </c>
      <c r="G252" s="68">
        <v>585</v>
      </c>
      <c r="H252" s="68">
        <v>585</v>
      </c>
      <c r="I252" s="68">
        <v>543</v>
      </c>
      <c r="J252" s="68">
        <v>730</v>
      </c>
    </row>
    <row r="253" spans="1:10" x14ac:dyDescent="0.3">
      <c r="A253" s="69">
        <f t="shared" si="8"/>
        <v>39735</v>
      </c>
      <c r="B253" s="63">
        <v>11</v>
      </c>
      <c r="C253" s="63">
        <v>616</v>
      </c>
      <c r="D253" s="63">
        <v>580</v>
      </c>
      <c r="E253" s="68">
        <v>557</v>
      </c>
      <c r="F253" s="68">
        <v>556</v>
      </c>
      <c r="G253" s="68">
        <v>589</v>
      </c>
      <c r="H253" s="68">
        <v>585</v>
      </c>
      <c r="I253" s="68">
        <v>540</v>
      </c>
      <c r="J253" s="68">
        <v>706</v>
      </c>
    </row>
    <row r="254" spans="1:10" x14ac:dyDescent="0.3">
      <c r="A254" s="69">
        <f t="shared" si="8"/>
        <v>39742</v>
      </c>
      <c r="B254" s="63">
        <v>11</v>
      </c>
      <c r="C254" s="63">
        <v>543</v>
      </c>
      <c r="D254" s="63">
        <v>511</v>
      </c>
      <c r="E254" s="68">
        <v>486</v>
      </c>
      <c r="F254" s="68">
        <v>503</v>
      </c>
      <c r="G254" s="68">
        <v>525</v>
      </c>
      <c r="H254" s="68">
        <v>525</v>
      </c>
      <c r="I254" s="68">
        <v>517</v>
      </c>
      <c r="J254" s="68">
        <v>708</v>
      </c>
    </row>
    <row r="255" spans="1:10" x14ac:dyDescent="0.3">
      <c r="A255" s="69">
        <f t="shared" si="8"/>
        <v>39749</v>
      </c>
      <c r="B255" s="63">
        <v>11</v>
      </c>
      <c r="C255" s="63">
        <v>533</v>
      </c>
      <c r="D255" s="63">
        <v>544</v>
      </c>
      <c r="E255" s="68">
        <v>569</v>
      </c>
      <c r="F255" s="68">
        <v>642</v>
      </c>
      <c r="G255" s="68">
        <v>594</v>
      </c>
      <c r="H255" s="68">
        <v>592</v>
      </c>
      <c r="I255" s="68">
        <v>533</v>
      </c>
      <c r="J255" s="68">
        <v>692</v>
      </c>
    </row>
    <row r="256" spans="1:10" x14ac:dyDescent="0.3">
      <c r="A256" s="69">
        <f t="shared" ref="A256:A274" si="9">7+A255</f>
        <v>39756</v>
      </c>
      <c r="B256" s="63">
        <v>12</v>
      </c>
      <c r="D256" s="63">
        <v>600</v>
      </c>
      <c r="E256" s="68">
        <v>506</v>
      </c>
      <c r="F256" s="68">
        <v>450</v>
      </c>
      <c r="G256" s="68">
        <v>483</v>
      </c>
      <c r="H256" s="68">
        <v>483</v>
      </c>
      <c r="I256" s="68">
        <v>417</v>
      </c>
      <c r="J256" s="68">
        <v>571</v>
      </c>
    </row>
    <row r="257" spans="1:10" x14ac:dyDescent="0.3">
      <c r="A257" s="69">
        <f t="shared" si="9"/>
        <v>39763</v>
      </c>
      <c r="B257" s="63">
        <v>12</v>
      </c>
      <c r="E257" s="68">
        <v>431</v>
      </c>
      <c r="F257" s="68">
        <v>392</v>
      </c>
      <c r="G257" s="68">
        <v>417</v>
      </c>
      <c r="H257" s="68">
        <v>417</v>
      </c>
      <c r="I257" s="68">
        <v>367</v>
      </c>
      <c r="J257" s="68">
        <v>503</v>
      </c>
    </row>
    <row r="258" spans="1:10" x14ac:dyDescent="0.3">
      <c r="A258" s="69">
        <f t="shared" si="9"/>
        <v>39770</v>
      </c>
      <c r="B258" s="63">
        <v>12</v>
      </c>
      <c r="E258" s="68">
        <v>397</v>
      </c>
      <c r="F258" s="68">
        <v>350</v>
      </c>
      <c r="G258" s="68">
        <v>375</v>
      </c>
      <c r="H258" s="68">
        <v>375</v>
      </c>
      <c r="I258" s="68">
        <v>295</v>
      </c>
      <c r="J258" s="68">
        <v>404</v>
      </c>
    </row>
    <row r="259" spans="1:10" x14ac:dyDescent="0.3">
      <c r="A259" s="69">
        <f t="shared" si="9"/>
        <v>39777</v>
      </c>
      <c r="B259" s="63">
        <v>12</v>
      </c>
      <c r="E259" s="68">
        <v>398</v>
      </c>
      <c r="F259" s="68">
        <v>310</v>
      </c>
      <c r="G259" s="68">
        <v>280</v>
      </c>
      <c r="H259" s="68">
        <v>275</v>
      </c>
      <c r="I259" s="68">
        <v>292</v>
      </c>
      <c r="J259" s="68">
        <v>376</v>
      </c>
    </row>
    <row r="260" spans="1:10" x14ac:dyDescent="0.3">
      <c r="A260" s="69">
        <f t="shared" si="9"/>
        <v>39784</v>
      </c>
      <c r="B260" s="63">
        <v>1</v>
      </c>
      <c r="E260" s="68">
        <v>399</v>
      </c>
      <c r="F260" s="68">
        <v>327</v>
      </c>
      <c r="G260" s="68">
        <v>317</v>
      </c>
      <c r="H260" s="68">
        <v>317</v>
      </c>
      <c r="I260" s="68">
        <v>300</v>
      </c>
      <c r="J260" s="68">
        <v>411</v>
      </c>
    </row>
    <row r="261" spans="1:10" x14ac:dyDescent="0.3">
      <c r="A261" s="69">
        <f t="shared" si="9"/>
        <v>39791</v>
      </c>
      <c r="B261" s="63">
        <v>1</v>
      </c>
      <c r="E261" s="68">
        <v>454</v>
      </c>
      <c r="F261" s="68">
        <v>384</v>
      </c>
      <c r="G261" s="68">
        <v>386</v>
      </c>
      <c r="H261" s="68">
        <v>386</v>
      </c>
      <c r="I261" s="68">
        <v>329</v>
      </c>
      <c r="J261" s="68">
        <v>437</v>
      </c>
    </row>
    <row r="262" spans="1:10" x14ac:dyDescent="0.3">
      <c r="A262" s="69">
        <f t="shared" si="9"/>
        <v>39798</v>
      </c>
      <c r="B262" s="63">
        <v>1</v>
      </c>
      <c r="E262" s="68">
        <v>454</v>
      </c>
      <c r="F262" s="68">
        <v>371</v>
      </c>
      <c r="G262" s="68">
        <v>375</v>
      </c>
      <c r="H262" s="68">
        <v>375</v>
      </c>
      <c r="I262" s="68">
        <v>306</v>
      </c>
      <c r="J262" s="68">
        <v>406</v>
      </c>
    </row>
    <row r="263" spans="1:10" x14ac:dyDescent="0.3">
      <c r="A263" s="69">
        <f t="shared" si="9"/>
        <v>39805</v>
      </c>
      <c r="B263" s="63">
        <v>1</v>
      </c>
      <c r="E263" s="68">
        <v>475</v>
      </c>
      <c r="F263" s="68">
        <v>370</v>
      </c>
      <c r="G263" s="68">
        <v>372.5</v>
      </c>
      <c r="H263" s="68">
        <v>372.5</v>
      </c>
      <c r="I263" s="68">
        <v>288.75</v>
      </c>
      <c r="J263" s="68">
        <v>406.19541484716154</v>
      </c>
    </row>
    <row r="264" spans="1:10" x14ac:dyDescent="0.3">
      <c r="A264" s="69">
        <f t="shared" si="9"/>
        <v>39812</v>
      </c>
      <c r="B264" s="63">
        <v>1</v>
      </c>
      <c r="E264" s="68">
        <v>442</v>
      </c>
      <c r="F264" s="68">
        <v>308</v>
      </c>
      <c r="G264" s="68">
        <v>335</v>
      </c>
      <c r="H264" s="68">
        <v>350</v>
      </c>
      <c r="I264" s="68">
        <v>262</v>
      </c>
      <c r="J264" s="68">
        <v>359</v>
      </c>
    </row>
    <row r="265" spans="1:10" x14ac:dyDescent="0.3">
      <c r="A265" s="69">
        <f t="shared" si="9"/>
        <v>39819</v>
      </c>
      <c r="B265" s="63">
        <v>2</v>
      </c>
      <c r="E265" s="68">
        <v>368</v>
      </c>
      <c r="F265" s="68">
        <v>271</v>
      </c>
      <c r="G265" s="68">
        <v>326</v>
      </c>
      <c r="H265" s="68">
        <v>326</v>
      </c>
      <c r="I265" s="68">
        <v>241</v>
      </c>
      <c r="J265" s="68">
        <v>331</v>
      </c>
    </row>
    <row r="266" spans="1:10" x14ac:dyDescent="0.3">
      <c r="A266" s="69">
        <f t="shared" si="9"/>
        <v>39826</v>
      </c>
      <c r="B266" s="63">
        <v>2</v>
      </c>
      <c r="E266" s="68">
        <v>413</v>
      </c>
      <c r="F266" s="68">
        <v>350</v>
      </c>
      <c r="G266" s="68">
        <v>340</v>
      </c>
      <c r="H266" s="68">
        <v>340</v>
      </c>
      <c r="I266" s="68">
        <v>302</v>
      </c>
      <c r="J266" s="68">
        <v>414</v>
      </c>
    </row>
    <row r="267" spans="1:10" x14ac:dyDescent="0.3">
      <c r="A267" s="69">
        <f t="shared" si="9"/>
        <v>39833</v>
      </c>
      <c r="B267" s="63">
        <v>2</v>
      </c>
      <c r="E267" s="68">
        <v>453</v>
      </c>
      <c r="F267" s="68">
        <v>378</v>
      </c>
      <c r="G267" s="68">
        <v>377</v>
      </c>
      <c r="H267" s="68">
        <v>377</v>
      </c>
      <c r="I267" s="68">
        <v>338</v>
      </c>
      <c r="J267" s="68">
        <v>443</v>
      </c>
    </row>
    <row r="268" spans="1:10" x14ac:dyDescent="0.3">
      <c r="A268" s="69">
        <f t="shared" si="9"/>
        <v>39840</v>
      </c>
      <c r="B268" s="63">
        <v>2</v>
      </c>
      <c r="E268" s="68">
        <v>445</v>
      </c>
      <c r="F268" s="68">
        <v>373</v>
      </c>
      <c r="G268" s="68">
        <v>369</v>
      </c>
      <c r="H268" s="68">
        <v>369</v>
      </c>
      <c r="I268" s="68">
        <v>331</v>
      </c>
      <c r="J268" s="68">
        <v>454</v>
      </c>
    </row>
    <row r="269" spans="1:10" x14ac:dyDescent="0.3">
      <c r="A269" s="69">
        <f t="shared" si="9"/>
        <v>39847</v>
      </c>
      <c r="B269" s="63">
        <v>3</v>
      </c>
      <c r="D269" s="63">
        <v>377</v>
      </c>
      <c r="E269" s="68">
        <v>372</v>
      </c>
      <c r="F269" s="68">
        <v>308</v>
      </c>
      <c r="G269" s="68">
        <v>330</v>
      </c>
      <c r="H269" s="68">
        <v>330</v>
      </c>
      <c r="I269" s="68">
        <v>300</v>
      </c>
      <c r="J269" s="68">
        <v>411</v>
      </c>
    </row>
    <row r="270" spans="1:10" x14ac:dyDescent="0.3">
      <c r="A270" s="69">
        <f t="shared" si="9"/>
        <v>39854</v>
      </c>
      <c r="B270" s="63">
        <v>3</v>
      </c>
      <c r="D270" s="63">
        <v>365</v>
      </c>
      <c r="E270" s="68">
        <v>348</v>
      </c>
      <c r="F270" s="68">
        <v>260</v>
      </c>
      <c r="G270" s="68">
        <v>278</v>
      </c>
      <c r="H270" s="68">
        <v>278</v>
      </c>
      <c r="I270" s="68">
        <v>237</v>
      </c>
      <c r="J270" s="68">
        <v>325</v>
      </c>
    </row>
    <row r="271" spans="1:10" x14ac:dyDescent="0.3">
      <c r="A271" s="69">
        <f t="shared" si="9"/>
        <v>39861</v>
      </c>
      <c r="B271" s="63">
        <v>3</v>
      </c>
      <c r="C271" s="68">
        <v>375</v>
      </c>
      <c r="D271" s="68">
        <v>320</v>
      </c>
      <c r="E271" s="68">
        <v>313.33333333333331</v>
      </c>
      <c r="F271" s="68">
        <v>228.33333333333334</v>
      </c>
      <c r="G271" s="68">
        <v>231.66666666666666</v>
      </c>
      <c r="H271" s="68">
        <v>231.66666666666666</v>
      </c>
      <c r="I271" s="68">
        <v>203.33333333333334</v>
      </c>
      <c r="J271" s="68">
        <v>287.39446870451235</v>
      </c>
    </row>
    <row r="272" spans="1:10" x14ac:dyDescent="0.3">
      <c r="A272" s="69">
        <f t="shared" si="9"/>
        <v>39868</v>
      </c>
      <c r="B272" s="63">
        <v>3</v>
      </c>
      <c r="C272" s="63">
        <v>370</v>
      </c>
      <c r="D272" s="63">
        <v>307</v>
      </c>
      <c r="E272" s="68">
        <v>307</v>
      </c>
      <c r="F272" s="68">
        <v>325</v>
      </c>
      <c r="G272" s="68">
        <v>225</v>
      </c>
      <c r="H272" s="68">
        <v>225</v>
      </c>
      <c r="I272" s="68">
        <v>208</v>
      </c>
      <c r="J272" s="68">
        <v>286</v>
      </c>
    </row>
    <row r="273" spans="1:10" x14ac:dyDescent="0.3">
      <c r="A273" s="69">
        <f t="shared" si="9"/>
        <v>39875</v>
      </c>
      <c r="B273" s="63">
        <v>4</v>
      </c>
      <c r="C273" s="63">
        <v>340</v>
      </c>
      <c r="D273" s="63">
        <v>289</v>
      </c>
      <c r="E273" s="68">
        <v>283</v>
      </c>
      <c r="F273" s="68">
        <v>223</v>
      </c>
      <c r="G273" s="68">
        <v>221</v>
      </c>
      <c r="H273" s="68">
        <v>221</v>
      </c>
      <c r="I273" s="68">
        <v>200</v>
      </c>
      <c r="J273" s="68">
        <v>274</v>
      </c>
    </row>
    <row r="274" spans="1:10" x14ac:dyDescent="0.3">
      <c r="A274" s="69">
        <f t="shared" si="9"/>
        <v>39882</v>
      </c>
      <c r="B274" s="63">
        <v>4</v>
      </c>
      <c r="C274" s="63">
        <v>320</v>
      </c>
      <c r="D274" s="63">
        <v>275</v>
      </c>
      <c r="E274" s="68">
        <v>265</v>
      </c>
      <c r="F274" s="68">
        <v>210</v>
      </c>
      <c r="G274" s="68">
        <v>215</v>
      </c>
      <c r="H274" s="68">
        <v>215</v>
      </c>
      <c r="I274" s="68">
        <v>190</v>
      </c>
      <c r="J274" s="68">
        <v>261</v>
      </c>
    </row>
    <row r="275" spans="1:10" x14ac:dyDescent="0.3">
      <c r="A275" s="69">
        <f t="shared" ref="A275:A382" si="10">7+A274</f>
        <v>39889</v>
      </c>
      <c r="B275" s="63">
        <v>4</v>
      </c>
      <c r="C275" s="68">
        <v>325</v>
      </c>
      <c r="D275" s="68">
        <v>276</v>
      </c>
      <c r="E275" s="68">
        <v>265</v>
      </c>
      <c r="F275" s="68">
        <v>218</v>
      </c>
      <c r="G275" s="68">
        <v>219</v>
      </c>
      <c r="H275" s="68">
        <v>219</v>
      </c>
      <c r="I275" s="68">
        <v>194</v>
      </c>
      <c r="J275" s="68">
        <v>266</v>
      </c>
    </row>
    <row r="276" spans="1:10" x14ac:dyDescent="0.3">
      <c r="A276" s="69">
        <f t="shared" si="10"/>
        <v>39896</v>
      </c>
      <c r="B276" s="63">
        <v>4</v>
      </c>
      <c r="C276" s="68">
        <v>327.5</v>
      </c>
      <c r="D276" s="68">
        <v>282.5</v>
      </c>
      <c r="E276" s="68">
        <v>271.25</v>
      </c>
      <c r="F276" s="68">
        <v>226.25</v>
      </c>
      <c r="G276" s="68">
        <v>217.5</v>
      </c>
      <c r="H276" s="68">
        <v>217.5</v>
      </c>
      <c r="I276" s="68">
        <v>203.75</v>
      </c>
      <c r="J276" s="68">
        <v>222.65502183406116</v>
      </c>
    </row>
    <row r="277" spans="1:10" x14ac:dyDescent="0.3">
      <c r="A277" s="69">
        <f t="shared" si="10"/>
        <v>39903</v>
      </c>
      <c r="B277" s="63">
        <v>4</v>
      </c>
      <c r="C277" s="68">
        <v>318.33333333333331</v>
      </c>
      <c r="D277" s="68">
        <v>272.5</v>
      </c>
      <c r="E277" s="68">
        <v>258.75</v>
      </c>
      <c r="F277" s="68">
        <v>211.66666666666666</v>
      </c>
      <c r="G277" s="68">
        <v>210</v>
      </c>
      <c r="H277" s="68">
        <v>210</v>
      </c>
      <c r="I277" s="68">
        <v>191.66666666666666</v>
      </c>
      <c r="J277" s="68">
        <v>264.60698689956331</v>
      </c>
    </row>
    <row r="278" spans="1:10" x14ac:dyDescent="0.3">
      <c r="A278" s="69">
        <f t="shared" si="10"/>
        <v>39910</v>
      </c>
      <c r="B278" s="63">
        <v>5</v>
      </c>
      <c r="C278" s="68">
        <v>306.25</v>
      </c>
      <c r="D278" s="68">
        <v>272</v>
      </c>
      <c r="E278" s="68">
        <v>255</v>
      </c>
      <c r="F278" s="68">
        <v>210</v>
      </c>
      <c r="G278" s="68">
        <v>212.5</v>
      </c>
      <c r="H278" s="68">
        <v>212.5</v>
      </c>
      <c r="I278" s="68">
        <v>188.75</v>
      </c>
      <c r="J278" s="68">
        <v>258.67903930131007</v>
      </c>
    </row>
    <row r="279" spans="1:10" x14ac:dyDescent="0.3">
      <c r="A279" s="69">
        <f t="shared" si="10"/>
        <v>39917</v>
      </c>
      <c r="B279" s="63">
        <v>5</v>
      </c>
      <c r="C279" s="68">
        <v>308.33333333333331</v>
      </c>
      <c r="D279" s="68">
        <v>275</v>
      </c>
      <c r="E279" s="68">
        <v>261.25</v>
      </c>
      <c r="F279" s="68">
        <v>211.66666666666666</v>
      </c>
      <c r="G279" s="68">
        <v>220</v>
      </c>
      <c r="H279" s="68">
        <v>220</v>
      </c>
      <c r="I279" s="68">
        <v>190</v>
      </c>
      <c r="J279" s="68">
        <v>260.52401746724894</v>
      </c>
    </row>
    <row r="280" spans="1:10" x14ac:dyDescent="0.3">
      <c r="A280" s="69">
        <f t="shared" si="10"/>
        <v>39924</v>
      </c>
      <c r="B280" s="63">
        <v>5</v>
      </c>
      <c r="C280" s="68">
        <v>303.33333333333331</v>
      </c>
      <c r="D280" s="68">
        <v>268.75</v>
      </c>
      <c r="E280" s="68">
        <v>257.5</v>
      </c>
      <c r="F280" s="68">
        <v>203.33333333333334</v>
      </c>
      <c r="G280" s="68">
        <v>218.33333333333334</v>
      </c>
      <c r="H280" s="68">
        <v>218.33333333333334</v>
      </c>
      <c r="I280" s="68">
        <v>186.66666666666666</v>
      </c>
      <c r="J280" s="68">
        <v>255.95342066957789</v>
      </c>
    </row>
    <row r="281" spans="1:10" x14ac:dyDescent="0.3">
      <c r="A281" s="69">
        <f t="shared" si="10"/>
        <v>39931</v>
      </c>
      <c r="B281" s="63">
        <v>5</v>
      </c>
      <c r="C281" s="63">
        <v>297</v>
      </c>
      <c r="D281" s="63">
        <v>261</v>
      </c>
      <c r="E281" s="68">
        <v>251</v>
      </c>
      <c r="F281" s="68">
        <v>202</v>
      </c>
      <c r="G281" s="68">
        <v>213</v>
      </c>
      <c r="H281" s="68">
        <v>213</v>
      </c>
      <c r="I281" s="68">
        <v>187</v>
      </c>
      <c r="J281" s="68">
        <v>256</v>
      </c>
    </row>
    <row r="282" spans="1:10" x14ac:dyDescent="0.3">
      <c r="A282" s="69">
        <f t="shared" si="10"/>
        <v>39938</v>
      </c>
      <c r="B282" s="63">
        <v>6</v>
      </c>
      <c r="C282" s="68">
        <v>301.66666666666669</v>
      </c>
      <c r="D282" s="68">
        <v>266.25</v>
      </c>
      <c r="E282" s="68">
        <v>261.25</v>
      </c>
      <c r="F282" s="68">
        <v>220</v>
      </c>
      <c r="G282" s="68">
        <v>226.66666666666666</v>
      </c>
      <c r="H282" s="68">
        <v>226.66666666666666</v>
      </c>
      <c r="I282" s="68">
        <v>210</v>
      </c>
      <c r="J282" s="68">
        <v>287.94759825327509</v>
      </c>
    </row>
    <row r="283" spans="1:10" x14ac:dyDescent="0.3">
      <c r="A283" s="69">
        <f t="shared" si="10"/>
        <v>39945</v>
      </c>
      <c r="B283" s="63">
        <v>6</v>
      </c>
      <c r="C283" s="68">
        <v>332.5</v>
      </c>
      <c r="D283" s="68">
        <v>282</v>
      </c>
      <c r="E283" s="68">
        <v>278</v>
      </c>
      <c r="F283" s="68">
        <v>223.75</v>
      </c>
      <c r="G283" s="68">
        <v>228.75</v>
      </c>
      <c r="H283" s="68">
        <v>228.75</v>
      </c>
      <c r="I283" s="68">
        <v>211.25</v>
      </c>
      <c r="J283" s="68">
        <v>278.60262008733622</v>
      </c>
    </row>
    <row r="284" spans="1:10" x14ac:dyDescent="0.3">
      <c r="A284" s="69">
        <f t="shared" si="10"/>
        <v>39952</v>
      </c>
      <c r="B284" s="63">
        <v>6</v>
      </c>
      <c r="C284" s="68">
        <v>350</v>
      </c>
      <c r="D284" s="68">
        <v>300</v>
      </c>
      <c r="E284" s="68">
        <v>270</v>
      </c>
      <c r="F284" s="68">
        <v>212.5</v>
      </c>
      <c r="G284" s="68">
        <v>222.5</v>
      </c>
      <c r="H284" s="68">
        <v>222.5</v>
      </c>
      <c r="I284" s="68">
        <v>200</v>
      </c>
      <c r="J284" s="68">
        <v>274.23580786026201</v>
      </c>
    </row>
    <row r="285" spans="1:10" x14ac:dyDescent="0.3">
      <c r="A285" s="69">
        <f t="shared" si="10"/>
        <v>39959</v>
      </c>
      <c r="B285" s="63">
        <v>6</v>
      </c>
      <c r="C285" s="68">
        <v>368.75</v>
      </c>
      <c r="D285" s="68">
        <v>305</v>
      </c>
      <c r="E285" s="68">
        <v>287.5</v>
      </c>
      <c r="F285" s="68">
        <v>211.25</v>
      </c>
      <c r="G285" s="68">
        <v>231.25</v>
      </c>
      <c r="H285" s="68">
        <v>231.25</v>
      </c>
      <c r="I285" s="68">
        <v>203.75</v>
      </c>
      <c r="J285" s="68">
        <v>279.37772925764193</v>
      </c>
    </row>
    <row r="286" spans="1:10" x14ac:dyDescent="0.3">
      <c r="A286" s="69">
        <f t="shared" si="10"/>
        <v>39966</v>
      </c>
      <c r="B286" s="63">
        <v>7</v>
      </c>
      <c r="C286" s="68">
        <v>373.33333333333331</v>
      </c>
      <c r="D286" s="68">
        <v>307.5</v>
      </c>
      <c r="E286" s="68">
        <v>292.5</v>
      </c>
      <c r="F286" s="68">
        <v>246.66666666666666</v>
      </c>
      <c r="G286" s="68">
        <v>265</v>
      </c>
      <c r="H286" s="68">
        <v>385</v>
      </c>
      <c r="I286" s="68">
        <v>238.33333333333334</v>
      </c>
      <c r="J286" s="68">
        <v>318.34061135371178</v>
      </c>
    </row>
    <row r="287" spans="1:10" x14ac:dyDescent="0.3">
      <c r="A287" s="69">
        <f t="shared" si="10"/>
        <v>39973</v>
      </c>
      <c r="B287" s="63">
        <v>7</v>
      </c>
      <c r="C287" s="68">
        <v>371.66666666666669</v>
      </c>
      <c r="D287" s="68">
        <v>306.66666666666669</v>
      </c>
      <c r="E287" s="68">
        <v>295</v>
      </c>
      <c r="F287" s="68">
        <v>228.33333333333334</v>
      </c>
      <c r="G287" s="68">
        <v>253.33333333333334</v>
      </c>
      <c r="H287" s="68">
        <v>253.33333333333334</v>
      </c>
      <c r="I287" s="68">
        <v>225</v>
      </c>
      <c r="J287" s="68">
        <v>309.19941775836975</v>
      </c>
    </row>
    <row r="288" spans="1:10" x14ac:dyDescent="0.3">
      <c r="A288" s="69">
        <f t="shared" si="10"/>
        <v>39980</v>
      </c>
      <c r="B288" s="63">
        <v>7</v>
      </c>
      <c r="C288" s="68">
        <v>363.33333333333331</v>
      </c>
      <c r="D288" s="68">
        <v>311.66666666666669</v>
      </c>
      <c r="E288" s="68">
        <v>301.66666666666669</v>
      </c>
      <c r="F288" s="68">
        <v>231.66666666666666</v>
      </c>
      <c r="G288" s="68">
        <v>236.66666666666666</v>
      </c>
      <c r="H288" s="68">
        <v>236.66666666666666</v>
      </c>
      <c r="I288" s="68">
        <v>231.66666666666666</v>
      </c>
      <c r="J288" s="68">
        <v>317.65647743813679</v>
      </c>
    </row>
    <row r="289" spans="1:10" x14ac:dyDescent="0.3">
      <c r="A289" s="69">
        <f t="shared" si="10"/>
        <v>39987</v>
      </c>
      <c r="B289" s="63">
        <v>7</v>
      </c>
      <c r="C289" s="68">
        <v>350</v>
      </c>
      <c r="D289" s="68">
        <v>298.33333333333331</v>
      </c>
      <c r="E289" s="68">
        <v>290</v>
      </c>
      <c r="F289" s="68">
        <v>238.33333333333334</v>
      </c>
      <c r="G289" s="68">
        <v>230</v>
      </c>
      <c r="H289" s="68">
        <v>230</v>
      </c>
      <c r="I289" s="68">
        <v>226.66666666666666</v>
      </c>
      <c r="J289" s="68">
        <v>310.80058224163031</v>
      </c>
    </row>
    <row r="290" spans="1:10" x14ac:dyDescent="0.3">
      <c r="A290" s="69">
        <f t="shared" si="10"/>
        <v>39994</v>
      </c>
      <c r="B290" s="63">
        <v>7</v>
      </c>
      <c r="C290" s="63">
        <v>340</v>
      </c>
      <c r="D290" s="63">
        <v>292</v>
      </c>
      <c r="E290" s="68">
        <v>275</v>
      </c>
      <c r="F290" s="68">
        <v>240</v>
      </c>
      <c r="G290" s="68">
        <v>220</v>
      </c>
      <c r="H290" s="68">
        <v>220</v>
      </c>
      <c r="I290" s="68">
        <v>220</v>
      </c>
      <c r="J290" s="68">
        <v>302</v>
      </c>
    </row>
    <row r="291" spans="1:10" x14ac:dyDescent="0.3">
      <c r="A291" s="69">
        <f t="shared" si="10"/>
        <v>40001</v>
      </c>
      <c r="B291" s="63">
        <v>8</v>
      </c>
      <c r="C291" s="63">
        <v>345</v>
      </c>
      <c r="D291" s="63">
        <v>325</v>
      </c>
      <c r="E291" s="68">
        <v>293</v>
      </c>
      <c r="F291" s="68">
        <v>290</v>
      </c>
      <c r="G291" s="68">
        <v>313</v>
      </c>
      <c r="H291" s="68">
        <v>313</v>
      </c>
      <c r="I291" s="68">
        <v>290</v>
      </c>
      <c r="J291" s="68">
        <v>398</v>
      </c>
    </row>
    <row r="292" spans="1:10" x14ac:dyDescent="0.3">
      <c r="A292" s="69">
        <f t="shared" si="10"/>
        <v>40008</v>
      </c>
      <c r="B292" s="63">
        <v>8</v>
      </c>
      <c r="C292" s="68">
        <v>376.25</v>
      </c>
      <c r="D292" s="68">
        <v>365</v>
      </c>
      <c r="E292" s="68">
        <v>318</v>
      </c>
      <c r="F292" s="68">
        <v>263.75</v>
      </c>
      <c r="G292" s="68">
        <v>278.75</v>
      </c>
      <c r="H292" s="68">
        <v>278.75</v>
      </c>
      <c r="I292" s="68">
        <v>275</v>
      </c>
      <c r="J292" s="68">
        <v>377.07423580786025</v>
      </c>
    </row>
    <row r="293" spans="1:10" x14ac:dyDescent="0.3">
      <c r="A293" s="69">
        <f t="shared" si="10"/>
        <v>40015</v>
      </c>
      <c r="B293" s="63">
        <v>8</v>
      </c>
      <c r="C293" s="63">
        <v>388</v>
      </c>
      <c r="D293" s="63">
        <v>335</v>
      </c>
      <c r="E293" s="68">
        <v>328</v>
      </c>
      <c r="F293" s="68">
        <v>295</v>
      </c>
      <c r="G293" s="68">
        <v>278</v>
      </c>
      <c r="H293" s="68">
        <v>278</v>
      </c>
      <c r="I293" s="68">
        <v>288</v>
      </c>
      <c r="J293" s="68">
        <v>394</v>
      </c>
    </row>
    <row r="294" spans="1:10" x14ac:dyDescent="0.3">
      <c r="A294" s="69">
        <f t="shared" si="10"/>
        <v>40022</v>
      </c>
      <c r="B294" s="63">
        <v>8</v>
      </c>
      <c r="C294" s="68">
        <v>350</v>
      </c>
      <c r="D294" s="68">
        <v>315</v>
      </c>
      <c r="E294" s="68">
        <v>317.5</v>
      </c>
      <c r="F294" s="68">
        <v>263.33333333333331</v>
      </c>
      <c r="G294" s="68">
        <v>290</v>
      </c>
      <c r="H294" s="68">
        <v>290</v>
      </c>
      <c r="I294" s="68">
        <v>260</v>
      </c>
      <c r="J294" s="68">
        <v>356.50655021834064</v>
      </c>
    </row>
    <row r="295" spans="1:10" x14ac:dyDescent="0.3">
      <c r="A295" s="69">
        <f t="shared" si="10"/>
        <v>40029</v>
      </c>
      <c r="B295" s="63">
        <v>9</v>
      </c>
      <c r="C295" s="68">
        <v>450</v>
      </c>
      <c r="D295" s="68">
        <v>423.75</v>
      </c>
      <c r="E295" s="68">
        <v>431.25</v>
      </c>
      <c r="F295" s="68">
        <v>404</v>
      </c>
      <c r="G295" s="68">
        <v>432.33333333333331</v>
      </c>
      <c r="H295" s="68">
        <v>449</v>
      </c>
      <c r="I295" s="68">
        <v>410</v>
      </c>
      <c r="J295" s="68">
        <v>562.18340611353722</v>
      </c>
    </row>
    <row r="296" spans="1:10" x14ac:dyDescent="0.3">
      <c r="A296" s="69">
        <f t="shared" si="10"/>
        <v>40036</v>
      </c>
      <c r="B296" s="63">
        <v>9</v>
      </c>
      <c r="C296" s="68">
        <v>437.5</v>
      </c>
      <c r="D296" s="68">
        <v>425</v>
      </c>
      <c r="E296" s="68">
        <v>425</v>
      </c>
      <c r="F296" s="68">
        <v>398.75</v>
      </c>
      <c r="G296" s="68">
        <v>438.75</v>
      </c>
      <c r="H296" s="68">
        <v>438.75</v>
      </c>
      <c r="I296" s="68">
        <v>380</v>
      </c>
      <c r="J296" s="68">
        <v>493.28602620087338</v>
      </c>
    </row>
    <row r="297" spans="1:10" x14ac:dyDescent="0.3">
      <c r="A297" s="69">
        <f t="shared" si="10"/>
        <v>40043</v>
      </c>
      <c r="B297" s="63">
        <v>9</v>
      </c>
      <c r="C297" s="63">
        <v>466</v>
      </c>
      <c r="D297" s="63">
        <v>455</v>
      </c>
      <c r="E297" s="68">
        <v>452</v>
      </c>
      <c r="F297" s="68">
        <v>418</v>
      </c>
      <c r="G297" s="68">
        <v>453</v>
      </c>
      <c r="H297" s="68">
        <v>453</v>
      </c>
      <c r="I297" s="68">
        <v>411</v>
      </c>
      <c r="J297" s="68">
        <v>564</v>
      </c>
    </row>
    <row r="298" spans="1:10" x14ac:dyDescent="0.3">
      <c r="A298" s="69">
        <f t="shared" si="10"/>
        <v>40050</v>
      </c>
      <c r="B298" s="63">
        <v>9</v>
      </c>
      <c r="C298" s="68">
        <v>461.66666666666669</v>
      </c>
      <c r="D298" s="68">
        <v>433.75</v>
      </c>
      <c r="E298" s="68">
        <v>452.5</v>
      </c>
      <c r="F298" s="68">
        <v>416.66666666666669</v>
      </c>
      <c r="G298" s="68">
        <v>453.33333333333331</v>
      </c>
      <c r="H298" s="68">
        <v>453.33333333333331</v>
      </c>
      <c r="I298" s="68">
        <v>420</v>
      </c>
      <c r="J298" s="68">
        <v>575.89519650655018</v>
      </c>
    </row>
    <row r="299" spans="1:10" x14ac:dyDescent="0.3">
      <c r="A299" s="69">
        <f t="shared" si="10"/>
        <v>40057</v>
      </c>
      <c r="B299" s="63">
        <v>10</v>
      </c>
      <c r="C299" s="68">
        <v>525</v>
      </c>
      <c r="D299" s="68">
        <v>523.75</v>
      </c>
      <c r="E299" s="68">
        <v>523.75</v>
      </c>
      <c r="F299" s="68">
        <v>496.25</v>
      </c>
      <c r="G299" s="68">
        <v>557.5</v>
      </c>
      <c r="H299" s="68">
        <v>557.5</v>
      </c>
      <c r="I299" s="68">
        <v>457.5</v>
      </c>
      <c r="J299" s="68">
        <v>627.31441048034935</v>
      </c>
    </row>
    <row r="300" spans="1:10" x14ac:dyDescent="0.3">
      <c r="A300" s="69">
        <f t="shared" si="10"/>
        <v>40064</v>
      </c>
      <c r="B300" s="63">
        <v>10</v>
      </c>
      <c r="C300" s="68">
        <v>485</v>
      </c>
      <c r="D300" s="68">
        <v>485</v>
      </c>
      <c r="E300" s="68">
        <v>490</v>
      </c>
      <c r="F300" s="68">
        <v>471.25</v>
      </c>
      <c r="G300" s="68">
        <v>521.25</v>
      </c>
      <c r="H300" s="68">
        <v>521.25</v>
      </c>
      <c r="I300" s="68">
        <v>446.66666666666669</v>
      </c>
      <c r="J300" s="68">
        <v>612.45997088791853</v>
      </c>
    </row>
    <row r="301" spans="1:10" x14ac:dyDescent="0.3">
      <c r="A301" s="69">
        <f t="shared" si="10"/>
        <v>40071</v>
      </c>
      <c r="B301" s="63">
        <v>10</v>
      </c>
      <c r="C301" s="68">
        <v>483.33333333333331</v>
      </c>
      <c r="D301" s="68">
        <v>481.66666666666669</v>
      </c>
      <c r="E301" s="68">
        <v>483.33333333333331</v>
      </c>
      <c r="F301" s="68">
        <v>455</v>
      </c>
      <c r="G301" s="68">
        <v>523.33333333333337</v>
      </c>
      <c r="H301" s="68">
        <v>525</v>
      </c>
      <c r="I301" s="68">
        <v>395</v>
      </c>
      <c r="J301" s="68">
        <v>406.21179039301308</v>
      </c>
    </row>
    <row r="302" spans="1:10" x14ac:dyDescent="0.3">
      <c r="A302" s="69">
        <f t="shared" si="10"/>
        <v>40078</v>
      </c>
      <c r="B302" s="63">
        <v>10</v>
      </c>
      <c r="C302" s="68">
        <v>497.5</v>
      </c>
      <c r="D302" s="68">
        <v>508.75</v>
      </c>
      <c r="E302" s="68">
        <v>505.5</v>
      </c>
      <c r="F302" s="68">
        <v>451.25</v>
      </c>
      <c r="G302" s="68">
        <v>510</v>
      </c>
      <c r="H302" s="68">
        <v>510</v>
      </c>
      <c r="I302" s="68">
        <v>425</v>
      </c>
      <c r="J302" s="68">
        <v>582.75109170305677</v>
      </c>
    </row>
    <row r="303" spans="1:10" x14ac:dyDescent="0.3">
      <c r="A303" s="69">
        <f t="shared" si="10"/>
        <v>40085</v>
      </c>
      <c r="B303" s="63">
        <v>10</v>
      </c>
      <c r="C303" s="68">
        <v>513.33333333333337</v>
      </c>
      <c r="D303" s="68">
        <v>513.75</v>
      </c>
      <c r="E303" s="68">
        <v>521.25</v>
      </c>
      <c r="F303" s="68">
        <v>466.66666666666669</v>
      </c>
      <c r="G303" s="68">
        <v>526.66666666666663</v>
      </c>
      <c r="H303" s="68">
        <v>526.66666666666663</v>
      </c>
      <c r="I303" s="68">
        <v>423.33333333333331</v>
      </c>
      <c r="J303" s="68">
        <v>580.46579330422128</v>
      </c>
    </row>
    <row r="304" spans="1:10" x14ac:dyDescent="0.3">
      <c r="A304" s="69">
        <f t="shared" si="10"/>
        <v>40092</v>
      </c>
      <c r="B304" s="63">
        <v>11</v>
      </c>
      <c r="C304" s="68">
        <v>512.5</v>
      </c>
      <c r="D304" s="68">
        <v>480</v>
      </c>
      <c r="E304" s="68">
        <v>476.25</v>
      </c>
      <c r="F304" s="68">
        <v>428.33333333333331</v>
      </c>
      <c r="G304" s="68">
        <v>473.33333333333331</v>
      </c>
      <c r="H304" s="68">
        <v>473.33333333333331</v>
      </c>
      <c r="I304" s="68">
        <v>385</v>
      </c>
      <c r="J304" s="68">
        <v>527.90393013100436</v>
      </c>
    </row>
    <row r="305" spans="1:10" x14ac:dyDescent="0.3">
      <c r="A305" s="69">
        <f t="shared" si="10"/>
        <v>40099</v>
      </c>
      <c r="B305" s="63">
        <v>11</v>
      </c>
      <c r="C305" s="68">
        <v>467.5</v>
      </c>
      <c r="D305" s="68">
        <v>460</v>
      </c>
      <c r="E305" s="68">
        <v>458</v>
      </c>
      <c r="F305" s="68">
        <v>385</v>
      </c>
      <c r="G305" s="68">
        <v>453.75</v>
      </c>
      <c r="H305" s="68">
        <v>453.75</v>
      </c>
      <c r="I305" s="68">
        <v>340</v>
      </c>
      <c r="J305" s="68">
        <v>466.20087336244541</v>
      </c>
    </row>
    <row r="306" spans="1:10" x14ac:dyDescent="0.3">
      <c r="A306" s="69">
        <f t="shared" si="10"/>
        <v>40106</v>
      </c>
      <c r="B306" s="63">
        <v>11</v>
      </c>
      <c r="C306" s="68">
        <v>475</v>
      </c>
      <c r="D306" s="68">
        <v>465</v>
      </c>
      <c r="E306" s="68">
        <v>463.33333333333331</v>
      </c>
      <c r="F306" s="68">
        <v>378.33333333333331</v>
      </c>
      <c r="G306" s="68">
        <v>468.33333333333331</v>
      </c>
      <c r="H306" s="68">
        <v>468.33333333333331</v>
      </c>
      <c r="I306" s="68">
        <v>346.66666666666669</v>
      </c>
      <c r="J306" s="68">
        <v>475.34206695778749</v>
      </c>
    </row>
    <row r="307" spans="1:10" x14ac:dyDescent="0.3">
      <c r="A307" s="69">
        <f t="shared" si="10"/>
        <v>40113</v>
      </c>
      <c r="B307" s="63">
        <v>11</v>
      </c>
      <c r="C307" s="68">
        <v>465</v>
      </c>
      <c r="D307" s="68">
        <v>448.75</v>
      </c>
      <c r="E307" s="68">
        <v>448.75</v>
      </c>
      <c r="F307" s="68">
        <v>362.5</v>
      </c>
      <c r="G307" s="68">
        <v>453.75</v>
      </c>
      <c r="H307" s="68">
        <v>453.75</v>
      </c>
      <c r="I307" s="68">
        <v>336.25</v>
      </c>
      <c r="J307" s="68">
        <v>461.05895196506549</v>
      </c>
    </row>
    <row r="308" spans="1:10" x14ac:dyDescent="0.3">
      <c r="A308" s="69">
        <f t="shared" si="10"/>
        <v>40120</v>
      </c>
      <c r="B308" s="63">
        <v>12</v>
      </c>
      <c r="D308" s="68">
        <v>420</v>
      </c>
      <c r="E308" s="68">
        <v>390</v>
      </c>
      <c r="F308" s="68">
        <v>308.75</v>
      </c>
      <c r="G308" s="68">
        <v>358.75</v>
      </c>
      <c r="H308" s="68">
        <v>358.75</v>
      </c>
      <c r="I308" s="68">
        <v>285</v>
      </c>
      <c r="J308" s="68">
        <v>390.78602620087338</v>
      </c>
    </row>
    <row r="309" spans="1:10" x14ac:dyDescent="0.3">
      <c r="A309" s="69">
        <f t="shared" si="10"/>
        <v>40127</v>
      </c>
      <c r="B309" s="63">
        <v>12</v>
      </c>
      <c r="E309" s="68">
        <v>431</v>
      </c>
      <c r="F309" s="68">
        <v>350</v>
      </c>
      <c r="G309" s="68">
        <v>406</v>
      </c>
      <c r="H309" s="68">
        <v>406</v>
      </c>
      <c r="I309" s="68">
        <v>346</v>
      </c>
      <c r="J309" s="68">
        <v>475</v>
      </c>
    </row>
    <row r="310" spans="1:10" x14ac:dyDescent="0.3">
      <c r="A310" s="69">
        <f t="shared" si="10"/>
        <v>40134</v>
      </c>
      <c r="B310" s="63">
        <v>12</v>
      </c>
      <c r="E310" s="68">
        <v>391.25</v>
      </c>
      <c r="F310" s="68">
        <v>318.75</v>
      </c>
      <c r="G310" s="68">
        <v>370</v>
      </c>
      <c r="H310" s="68">
        <v>370</v>
      </c>
      <c r="I310" s="68">
        <v>300</v>
      </c>
      <c r="J310" s="68">
        <v>411.35371179039299</v>
      </c>
    </row>
    <row r="311" spans="1:10" x14ac:dyDescent="0.3">
      <c r="A311" s="69">
        <f t="shared" si="10"/>
        <v>40141</v>
      </c>
      <c r="B311" s="63">
        <v>12</v>
      </c>
      <c r="E311" s="68">
        <v>380</v>
      </c>
      <c r="F311" s="68">
        <v>290</v>
      </c>
      <c r="G311" s="68">
        <v>355</v>
      </c>
      <c r="H311" s="68">
        <v>355</v>
      </c>
      <c r="I311" s="68">
        <v>277.5</v>
      </c>
      <c r="J311" s="68">
        <v>380.50218340611355</v>
      </c>
    </row>
    <row r="312" spans="1:10" x14ac:dyDescent="0.3">
      <c r="A312" s="69">
        <f t="shared" si="10"/>
        <v>40148</v>
      </c>
      <c r="B312" s="63">
        <v>1</v>
      </c>
      <c r="E312" s="68">
        <v>391.25</v>
      </c>
      <c r="F312" s="68">
        <v>286.25</v>
      </c>
      <c r="G312" s="68">
        <v>355</v>
      </c>
      <c r="H312" s="68">
        <v>355</v>
      </c>
      <c r="I312" s="68">
        <v>267.5</v>
      </c>
      <c r="J312" s="68">
        <v>366.79039301310047</v>
      </c>
    </row>
    <row r="313" spans="1:10" x14ac:dyDescent="0.3">
      <c r="A313" s="69">
        <f t="shared" si="10"/>
        <v>40155</v>
      </c>
      <c r="B313" s="63">
        <v>1</v>
      </c>
      <c r="E313" s="68">
        <v>385</v>
      </c>
      <c r="F313" s="68">
        <v>275</v>
      </c>
      <c r="G313" s="68">
        <v>340</v>
      </c>
      <c r="H313" s="68">
        <v>340</v>
      </c>
      <c r="I313" s="68">
        <v>250</v>
      </c>
      <c r="J313" s="68">
        <v>342.7947598253275</v>
      </c>
    </row>
    <row r="314" spans="1:10" x14ac:dyDescent="0.3">
      <c r="A314" s="69">
        <f t="shared" si="10"/>
        <v>40162</v>
      </c>
      <c r="B314" s="63">
        <v>1</v>
      </c>
      <c r="E314" s="68">
        <v>371.66666666666669</v>
      </c>
      <c r="F314" s="68">
        <v>260</v>
      </c>
      <c r="G314" s="68">
        <v>321.66666666666669</v>
      </c>
      <c r="H314" s="68">
        <v>321.66666666666669</v>
      </c>
      <c r="I314" s="68">
        <v>235</v>
      </c>
      <c r="J314" s="68">
        <v>322.22707423580783</v>
      </c>
    </row>
    <row r="315" spans="1:10" x14ac:dyDescent="0.3">
      <c r="A315" s="69">
        <f t="shared" si="10"/>
        <v>40169</v>
      </c>
      <c r="B315" s="63">
        <v>1</v>
      </c>
      <c r="E315" s="68">
        <v>364</v>
      </c>
      <c r="F315" s="68">
        <v>279</v>
      </c>
      <c r="G315" s="68">
        <v>314</v>
      </c>
      <c r="H315" s="68">
        <v>314</v>
      </c>
      <c r="I315" s="68">
        <v>246</v>
      </c>
      <c r="J315" s="68">
        <v>337.31004366812232</v>
      </c>
    </row>
    <row r="316" spans="1:10" x14ac:dyDescent="0.3">
      <c r="A316" s="69">
        <f t="shared" si="10"/>
        <v>40176</v>
      </c>
      <c r="B316" s="63">
        <v>1</v>
      </c>
      <c r="E316" s="68">
        <v>365</v>
      </c>
      <c r="F316" s="68">
        <v>275</v>
      </c>
      <c r="G316" s="68">
        <v>307</v>
      </c>
      <c r="H316" s="68">
        <v>307</v>
      </c>
      <c r="I316" s="68">
        <v>243</v>
      </c>
      <c r="J316" s="68">
        <v>334</v>
      </c>
    </row>
    <row r="317" spans="1:10" x14ac:dyDescent="0.3">
      <c r="A317" s="69">
        <f t="shared" si="10"/>
        <v>40183</v>
      </c>
      <c r="B317" s="63">
        <v>2</v>
      </c>
      <c r="E317" s="68">
        <v>355</v>
      </c>
      <c r="F317" s="68">
        <v>271.66666666666669</v>
      </c>
      <c r="G317" s="68">
        <v>306.66666666666669</v>
      </c>
      <c r="H317" s="68">
        <v>306.66666666666669</v>
      </c>
      <c r="I317" s="68">
        <v>235</v>
      </c>
      <c r="J317" s="68">
        <v>322.22707423580783</v>
      </c>
    </row>
    <row r="318" spans="1:10" x14ac:dyDescent="0.3">
      <c r="A318" s="69">
        <f t="shared" si="10"/>
        <v>40190</v>
      </c>
      <c r="B318" s="63">
        <v>2</v>
      </c>
      <c r="E318" s="68">
        <v>346.25</v>
      </c>
      <c r="F318" s="68">
        <v>263.75</v>
      </c>
      <c r="G318" s="68">
        <v>307.5</v>
      </c>
      <c r="H318" s="68">
        <v>307.5</v>
      </c>
      <c r="I318" s="68">
        <v>225</v>
      </c>
      <c r="J318" s="68">
        <v>308.51528384279482</v>
      </c>
    </row>
    <row r="319" spans="1:10" x14ac:dyDescent="0.3">
      <c r="A319" s="69">
        <f t="shared" si="10"/>
        <v>40197</v>
      </c>
      <c r="B319" s="63">
        <v>2</v>
      </c>
      <c r="E319" s="68">
        <v>360</v>
      </c>
      <c r="F319" s="68">
        <v>272.5</v>
      </c>
      <c r="G319" s="68">
        <v>315</v>
      </c>
      <c r="H319" s="68">
        <v>315</v>
      </c>
      <c r="I319" s="68">
        <v>238.75</v>
      </c>
      <c r="J319" s="68">
        <v>327.36899563318775</v>
      </c>
    </row>
    <row r="320" spans="1:10" x14ac:dyDescent="0.3">
      <c r="A320" s="69">
        <f t="shared" si="10"/>
        <v>40204</v>
      </c>
      <c r="B320" s="63">
        <v>2</v>
      </c>
      <c r="E320" s="68">
        <v>366.66666666666669</v>
      </c>
      <c r="F320" s="68">
        <v>281.66666666666669</v>
      </c>
      <c r="G320" s="68">
        <v>321.66666666666669</v>
      </c>
      <c r="H320" s="68">
        <v>321.66666666666669</v>
      </c>
      <c r="I320" s="68">
        <v>243.33333333333334</v>
      </c>
      <c r="J320" s="68">
        <v>333.65356622998547</v>
      </c>
    </row>
    <row r="321" spans="1:10" x14ac:dyDescent="0.3">
      <c r="A321" s="69">
        <f t="shared" si="10"/>
        <v>40211</v>
      </c>
      <c r="B321" s="63">
        <v>3</v>
      </c>
      <c r="E321" s="68">
        <v>321.66666666666669</v>
      </c>
      <c r="F321" s="68">
        <v>260</v>
      </c>
      <c r="G321" s="68">
        <v>308.33333333333331</v>
      </c>
      <c r="H321" s="68">
        <v>308.33333333333331</v>
      </c>
      <c r="I321" s="68">
        <v>240</v>
      </c>
      <c r="J321" s="68">
        <v>329.08296943231443</v>
      </c>
    </row>
    <row r="322" spans="1:10" x14ac:dyDescent="0.3">
      <c r="A322" s="69">
        <f t="shared" si="10"/>
        <v>40218</v>
      </c>
      <c r="B322" s="63">
        <v>3</v>
      </c>
      <c r="E322" s="68">
        <v>323</v>
      </c>
      <c r="F322" s="68">
        <v>250</v>
      </c>
      <c r="G322" s="68">
        <v>297</v>
      </c>
      <c r="H322" s="68">
        <v>297</v>
      </c>
      <c r="I322" s="68">
        <v>237</v>
      </c>
      <c r="J322" s="68">
        <v>325</v>
      </c>
    </row>
    <row r="323" spans="1:10" x14ac:dyDescent="0.3">
      <c r="A323" s="69">
        <f t="shared" si="10"/>
        <v>40225</v>
      </c>
      <c r="B323" s="63">
        <v>3</v>
      </c>
      <c r="E323" s="68">
        <v>308</v>
      </c>
      <c r="F323" s="68">
        <v>230</v>
      </c>
      <c r="G323" s="68">
        <v>268</v>
      </c>
      <c r="H323" s="68">
        <v>268</v>
      </c>
      <c r="I323" s="68">
        <v>207</v>
      </c>
      <c r="J323" s="68">
        <v>283</v>
      </c>
    </row>
    <row r="324" spans="1:10" x14ac:dyDescent="0.3">
      <c r="A324" s="69">
        <f t="shared" si="10"/>
        <v>40232</v>
      </c>
      <c r="B324" s="63">
        <v>3</v>
      </c>
      <c r="E324" s="68">
        <v>305</v>
      </c>
      <c r="F324" s="68">
        <v>211</v>
      </c>
      <c r="G324" s="68">
        <v>250</v>
      </c>
      <c r="H324" s="68">
        <v>250</v>
      </c>
      <c r="I324" s="68">
        <v>192</v>
      </c>
      <c r="J324" s="68">
        <v>263.26637554585153</v>
      </c>
    </row>
    <row r="325" spans="1:10" x14ac:dyDescent="0.3">
      <c r="A325" s="69">
        <f t="shared" si="10"/>
        <v>40239</v>
      </c>
      <c r="B325" s="63">
        <v>4</v>
      </c>
      <c r="C325" s="68">
        <v>347.5</v>
      </c>
      <c r="D325" s="68">
        <v>327.5</v>
      </c>
      <c r="E325" s="68">
        <v>312</v>
      </c>
      <c r="F325" s="68">
        <v>233.75</v>
      </c>
      <c r="G325" s="68">
        <v>258.75</v>
      </c>
      <c r="H325" s="68">
        <v>258.75</v>
      </c>
      <c r="I325" s="68">
        <v>203.75</v>
      </c>
      <c r="J325" s="68">
        <v>278.80640465793306</v>
      </c>
    </row>
    <row r="326" spans="1:10" x14ac:dyDescent="0.3">
      <c r="A326" s="69">
        <f t="shared" si="10"/>
        <v>40246</v>
      </c>
      <c r="B326" s="63">
        <v>4</v>
      </c>
      <c r="C326" s="68">
        <v>350</v>
      </c>
      <c r="D326" s="68">
        <v>318.75</v>
      </c>
      <c r="E326" s="68">
        <v>311.25</v>
      </c>
      <c r="F326" s="68">
        <v>230</v>
      </c>
      <c r="G326" s="68">
        <v>266.66666666666669</v>
      </c>
      <c r="H326" s="68">
        <v>266.66666666666669</v>
      </c>
      <c r="I326" s="68">
        <v>206.66666666666666</v>
      </c>
      <c r="J326" s="68">
        <v>283.3770014556041</v>
      </c>
    </row>
    <row r="327" spans="1:10" x14ac:dyDescent="0.3">
      <c r="A327" s="69">
        <f t="shared" si="10"/>
        <v>40253</v>
      </c>
      <c r="B327" s="63">
        <v>4</v>
      </c>
      <c r="C327" s="68">
        <v>351.66666666666669</v>
      </c>
      <c r="D327" s="68">
        <v>313.33333333333331</v>
      </c>
      <c r="E327" s="68">
        <v>295</v>
      </c>
      <c r="F327" s="68">
        <v>202.5</v>
      </c>
      <c r="G327" s="68">
        <v>247.5</v>
      </c>
      <c r="H327" s="68">
        <v>247.5</v>
      </c>
      <c r="I327" s="68">
        <v>187.5</v>
      </c>
      <c r="J327" s="68">
        <v>257.09606986899564</v>
      </c>
    </row>
    <row r="328" spans="1:10" x14ac:dyDescent="0.3">
      <c r="A328" s="69">
        <f t="shared" si="10"/>
        <v>40260</v>
      </c>
      <c r="B328" s="63">
        <v>4</v>
      </c>
      <c r="C328" s="68">
        <v>350</v>
      </c>
      <c r="D328" s="68">
        <v>303.33333333333331</v>
      </c>
      <c r="E328" s="68">
        <v>283.33333333333331</v>
      </c>
      <c r="F328" s="68">
        <v>203.33333333333334</v>
      </c>
      <c r="G328" s="68">
        <v>240</v>
      </c>
      <c r="H328" s="68">
        <v>240</v>
      </c>
      <c r="I328" s="68">
        <v>201.66666666666666</v>
      </c>
      <c r="J328" s="68">
        <v>276.52110625909751</v>
      </c>
    </row>
    <row r="329" spans="1:10" x14ac:dyDescent="0.3">
      <c r="A329" s="69">
        <f t="shared" si="10"/>
        <v>40267</v>
      </c>
      <c r="B329" s="63">
        <v>4</v>
      </c>
      <c r="C329" s="68">
        <v>336.66666666666669</v>
      </c>
      <c r="D329" s="68">
        <v>295</v>
      </c>
      <c r="E329" s="68">
        <v>277.5</v>
      </c>
      <c r="F329" s="68">
        <v>200</v>
      </c>
      <c r="G329" s="68">
        <v>233.75</v>
      </c>
      <c r="H329" s="68">
        <v>233.75</v>
      </c>
      <c r="I329" s="68">
        <v>181.25</v>
      </c>
      <c r="J329" s="68">
        <v>248.52620087336246</v>
      </c>
    </row>
    <row r="330" spans="1:10" x14ac:dyDescent="0.3">
      <c r="A330" s="69">
        <f t="shared" si="10"/>
        <v>40274</v>
      </c>
      <c r="B330" s="63">
        <v>5</v>
      </c>
      <c r="C330" s="68">
        <v>333.75</v>
      </c>
      <c r="D330" s="68">
        <v>295</v>
      </c>
      <c r="E330" s="68">
        <v>278.75</v>
      </c>
      <c r="F330" s="68">
        <v>200</v>
      </c>
      <c r="G330" s="68">
        <v>236.25</v>
      </c>
      <c r="H330" s="68">
        <v>236.25</v>
      </c>
      <c r="I330" s="68">
        <v>185</v>
      </c>
      <c r="J330" s="68">
        <v>253.66812227074237</v>
      </c>
    </row>
    <row r="331" spans="1:10" x14ac:dyDescent="0.3">
      <c r="A331" s="69">
        <f t="shared" si="10"/>
        <v>40281</v>
      </c>
      <c r="B331" s="63">
        <v>5</v>
      </c>
      <c r="C331" s="68">
        <v>328.75</v>
      </c>
      <c r="D331" s="68">
        <v>290</v>
      </c>
      <c r="E331" s="68">
        <v>277.5</v>
      </c>
      <c r="F331" s="68">
        <v>201.25</v>
      </c>
      <c r="G331" s="68">
        <v>230</v>
      </c>
      <c r="H331" s="68">
        <v>230</v>
      </c>
      <c r="I331" s="68">
        <v>187.5</v>
      </c>
      <c r="J331" s="68">
        <v>256.96506550218339</v>
      </c>
    </row>
    <row r="332" spans="1:10" x14ac:dyDescent="0.3">
      <c r="A332" s="69">
        <f t="shared" si="10"/>
        <v>40288</v>
      </c>
      <c r="B332" s="63">
        <v>5</v>
      </c>
      <c r="C332" s="68">
        <v>306.66666666666669</v>
      </c>
      <c r="D332" s="68">
        <v>275</v>
      </c>
      <c r="E332" s="68">
        <v>275</v>
      </c>
      <c r="F332" s="68">
        <v>221.66666666666666</v>
      </c>
      <c r="G332" s="68">
        <v>213.33333333333334</v>
      </c>
      <c r="H332" s="68">
        <v>220</v>
      </c>
      <c r="I332" s="68">
        <v>181.66666666666666</v>
      </c>
      <c r="J332" s="68">
        <v>249.09752547307133</v>
      </c>
    </row>
    <row r="333" spans="1:10" x14ac:dyDescent="0.3">
      <c r="A333" s="69">
        <f t="shared" si="10"/>
        <v>40295</v>
      </c>
      <c r="B333" s="63">
        <v>5</v>
      </c>
      <c r="C333" s="68">
        <v>328.33333333333331</v>
      </c>
      <c r="D333" s="68">
        <v>303.33333333333331</v>
      </c>
      <c r="E333" s="68">
        <v>305</v>
      </c>
      <c r="F333" s="68">
        <v>211.66666666666666</v>
      </c>
      <c r="G333" s="68">
        <v>233.33333333333334</v>
      </c>
      <c r="H333" s="68">
        <v>233.33333333333334</v>
      </c>
      <c r="I333" s="68">
        <v>190</v>
      </c>
      <c r="J333" s="68">
        <v>260.52401746724894</v>
      </c>
    </row>
    <row r="334" spans="1:10" x14ac:dyDescent="0.3">
      <c r="A334" s="69">
        <f t="shared" si="10"/>
        <v>40302</v>
      </c>
      <c r="B334" s="63">
        <v>6</v>
      </c>
      <c r="C334" s="68">
        <v>360</v>
      </c>
      <c r="D334" s="68">
        <v>335</v>
      </c>
      <c r="E334" s="68">
        <v>333.33333333333331</v>
      </c>
      <c r="F334" s="68">
        <v>236.66666666666666</v>
      </c>
      <c r="G334" s="68">
        <v>238.33333333333334</v>
      </c>
      <c r="H334" s="68">
        <v>238.33333333333334</v>
      </c>
      <c r="I334" s="68">
        <v>215</v>
      </c>
      <c r="J334" s="68">
        <v>294.80349344978168</v>
      </c>
    </row>
    <row r="335" spans="1:10" x14ac:dyDescent="0.3">
      <c r="A335" s="69">
        <f t="shared" si="10"/>
        <v>40309</v>
      </c>
      <c r="B335" s="63">
        <v>6</v>
      </c>
      <c r="C335" s="68">
        <v>415</v>
      </c>
      <c r="D335" s="68">
        <v>375</v>
      </c>
      <c r="E335" s="68">
        <v>373.75</v>
      </c>
      <c r="F335" s="68">
        <v>277.5</v>
      </c>
      <c r="G335" s="68">
        <v>278.75</v>
      </c>
      <c r="H335" s="68">
        <v>278.75</v>
      </c>
      <c r="I335" s="68">
        <v>260</v>
      </c>
      <c r="J335" s="68">
        <v>316.16812227074234</v>
      </c>
    </row>
    <row r="336" spans="1:10" x14ac:dyDescent="0.3">
      <c r="A336" s="69">
        <f t="shared" si="10"/>
        <v>40316</v>
      </c>
      <c r="B336" s="63">
        <v>6</v>
      </c>
      <c r="C336" s="68">
        <v>468.33333333333331</v>
      </c>
      <c r="D336" s="68">
        <v>391.66666666666669</v>
      </c>
      <c r="E336" s="68">
        <v>390</v>
      </c>
      <c r="F336" s="68">
        <v>296.66666666666669</v>
      </c>
      <c r="G336" s="68">
        <v>346.66666666666669</v>
      </c>
      <c r="H336" s="68">
        <v>346.66666666666669</v>
      </c>
      <c r="I336" s="68">
        <v>281.66666666666669</v>
      </c>
      <c r="J336" s="68">
        <v>386.21542940320234</v>
      </c>
    </row>
    <row r="337" spans="1:10" x14ac:dyDescent="0.3">
      <c r="A337" s="69">
        <f t="shared" si="10"/>
        <v>40323</v>
      </c>
      <c r="B337" s="63">
        <v>6</v>
      </c>
      <c r="C337" s="68">
        <v>395</v>
      </c>
      <c r="D337" s="68">
        <v>327.5</v>
      </c>
      <c r="E337" s="68">
        <v>328.75</v>
      </c>
      <c r="F337" s="68">
        <v>236.25</v>
      </c>
      <c r="G337" s="68">
        <v>313.75</v>
      </c>
      <c r="H337" s="68">
        <v>313.75</v>
      </c>
      <c r="I337" s="68">
        <v>225</v>
      </c>
      <c r="J337" s="68">
        <v>308.51528384279476</v>
      </c>
    </row>
    <row r="338" spans="1:10" x14ac:dyDescent="0.3">
      <c r="A338" s="69">
        <f t="shared" si="10"/>
        <v>40330</v>
      </c>
      <c r="B338" s="63">
        <v>7</v>
      </c>
      <c r="C338" s="63">
        <v>385</v>
      </c>
      <c r="D338" s="63">
        <v>325</v>
      </c>
      <c r="E338" s="68">
        <v>323</v>
      </c>
      <c r="F338" s="68">
        <v>240</v>
      </c>
      <c r="G338" s="68">
        <v>312</v>
      </c>
      <c r="H338" s="68">
        <v>312</v>
      </c>
      <c r="I338" s="68">
        <v>240</v>
      </c>
      <c r="J338" s="68">
        <v>329</v>
      </c>
    </row>
    <row r="339" spans="1:10" x14ac:dyDescent="0.3">
      <c r="A339" s="69">
        <f t="shared" si="10"/>
        <v>40337</v>
      </c>
      <c r="B339" s="63">
        <v>7</v>
      </c>
      <c r="C339" s="68">
        <v>381.25</v>
      </c>
      <c r="D339" s="68">
        <v>318.75</v>
      </c>
      <c r="E339" s="68">
        <v>313.75</v>
      </c>
      <c r="F339" s="68">
        <v>223.75</v>
      </c>
      <c r="G339" s="68">
        <v>286.25</v>
      </c>
      <c r="H339" s="68">
        <v>286.25</v>
      </c>
      <c r="I339" s="68">
        <v>218.75</v>
      </c>
      <c r="J339" s="68">
        <v>299.94541484716154</v>
      </c>
    </row>
    <row r="340" spans="1:10" x14ac:dyDescent="0.3">
      <c r="A340" s="69">
        <f t="shared" si="10"/>
        <v>40344</v>
      </c>
      <c r="B340" s="63">
        <v>7</v>
      </c>
      <c r="C340" s="68">
        <v>371.25</v>
      </c>
      <c r="D340" s="68">
        <v>318.75</v>
      </c>
      <c r="E340" s="68">
        <v>315</v>
      </c>
      <c r="F340" s="68">
        <v>227.5</v>
      </c>
      <c r="G340" s="68">
        <v>288.75</v>
      </c>
      <c r="H340" s="68">
        <v>288.75</v>
      </c>
      <c r="I340" s="68">
        <v>221.25</v>
      </c>
      <c r="J340" s="68">
        <v>303.37336244541484</v>
      </c>
    </row>
    <row r="341" spans="1:10" x14ac:dyDescent="0.3">
      <c r="A341" s="69">
        <f t="shared" si="10"/>
        <v>40351</v>
      </c>
      <c r="B341" s="63">
        <v>7</v>
      </c>
      <c r="C341" s="68">
        <v>368.33333333333331</v>
      </c>
      <c r="D341" s="68">
        <v>311.66666666666669</v>
      </c>
      <c r="E341" s="68">
        <v>313.33333333333331</v>
      </c>
      <c r="F341" s="68">
        <v>215</v>
      </c>
      <c r="G341" s="68">
        <v>250</v>
      </c>
      <c r="H341" s="68">
        <v>250</v>
      </c>
      <c r="I341" s="68">
        <v>218.33333333333334</v>
      </c>
      <c r="J341" s="68">
        <v>299.37409024745267</v>
      </c>
    </row>
    <row r="342" spans="1:10" x14ac:dyDescent="0.3">
      <c r="A342" s="69">
        <f t="shared" si="10"/>
        <v>40358</v>
      </c>
      <c r="B342" s="63">
        <v>7</v>
      </c>
      <c r="C342" s="68">
        <v>389</v>
      </c>
      <c r="D342" s="68">
        <v>321</v>
      </c>
      <c r="E342" s="68">
        <v>311</v>
      </c>
      <c r="F342" s="68">
        <v>225</v>
      </c>
      <c r="G342" s="68">
        <v>242</v>
      </c>
      <c r="H342" s="68">
        <v>242</v>
      </c>
      <c r="I342" s="68">
        <v>221</v>
      </c>
      <c r="J342" s="68">
        <v>303.03056768558952</v>
      </c>
    </row>
    <row r="343" spans="1:10" x14ac:dyDescent="0.3">
      <c r="A343" s="69">
        <f t="shared" si="10"/>
        <v>40365</v>
      </c>
      <c r="B343" s="63">
        <v>8</v>
      </c>
      <c r="C343" s="63">
        <v>422</v>
      </c>
      <c r="D343" s="63">
        <v>399</v>
      </c>
      <c r="E343" s="68">
        <v>400</v>
      </c>
      <c r="F343" s="68">
        <v>362</v>
      </c>
      <c r="G343" s="68">
        <v>392</v>
      </c>
      <c r="H343" s="68">
        <v>392</v>
      </c>
      <c r="I343" s="68">
        <v>374</v>
      </c>
      <c r="J343" s="68">
        <v>512</v>
      </c>
    </row>
    <row r="344" spans="1:10" x14ac:dyDescent="0.3">
      <c r="A344" s="69">
        <f t="shared" si="10"/>
        <v>40372</v>
      </c>
      <c r="B344" s="63">
        <v>8</v>
      </c>
      <c r="C344" s="68">
        <v>475</v>
      </c>
      <c r="D344" s="68">
        <v>431.25</v>
      </c>
      <c r="E344" s="68">
        <v>428.75</v>
      </c>
      <c r="F344" s="68">
        <v>402.5</v>
      </c>
      <c r="G344" s="68">
        <v>412.5</v>
      </c>
      <c r="H344" s="68">
        <v>412.5</v>
      </c>
      <c r="I344" s="68">
        <v>395</v>
      </c>
      <c r="J344" s="68">
        <v>541.61572052401743</v>
      </c>
    </row>
    <row r="345" spans="1:10" x14ac:dyDescent="0.3">
      <c r="A345" s="69">
        <f t="shared" si="10"/>
        <v>40379</v>
      </c>
      <c r="B345" s="63">
        <v>8</v>
      </c>
      <c r="C345" s="68">
        <v>500</v>
      </c>
      <c r="D345" s="68">
        <v>450</v>
      </c>
      <c r="E345" s="68">
        <v>445</v>
      </c>
      <c r="F345" s="68">
        <v>406.25</v>
      </c>
      <c r="G345" s="68">
        <v>452.5</v>
      </c>
      <c r="H345" s="68">
        <v>452.5</v>
      </c>
      <c r="I345" s="68">
        <v>423.75</v>
      </c>
      <c r="J345" s="68">
        <v>581.03711790393004</v>
      </c>
    </row>
    <row r="346" spans="1:10" x14ac:dyDescent="0.3">
      <c r="A346" s="69">
        <f t="shared" si="10"/>
        <v>40386</v>
      </c>
      <c r="B346" s="63">
        <v>8</v>
      </c>
      <c r="C346" s="68">
        <v>473.33333333333331</v>
      </c>
      <c r="D346" s="68">
        <v>435</v>
      </c>
      <c r="E346" s="68">
        <v>430</v>
      </c>
      <c r="F346" s="68">
        <v>395</v>
      </c>
      <c r="G346" s="68">
        <v>425</v>
      </c>
      <c r="H346" s="68">
        <v>425</v>
      </c>
      <c r="I346" s="68">
        <v>416.66666666666669</v>
      </c>
      <c r="J346" s="68">
        <v>557.31441048034935</v>
      </c>
    </row>
    <row r="347" spans="1:10" x14ac:dyDescent="0.3">
      <c r="A347" s="69">
        <f t="shared" si="10"/>
        <v>40393</v>
      </c>
      <c r="B347" s="63">
        <v>9</v>
      </c>
      <c r="C347" s="68">
        <v>567.5</v>
      </c>
      <c r="D347" s="68">
        <v>563.75</v>
      </c>
      <c r="E347" s="68">
        <v>566.25</v>
      </c>
      <c r="F347" s="68">
        <v>527.5</v>
      </c>
      <c r="G347" s="68">
        <v>565</v>
      </c>
      <c r="H347" s="68">
        <v>565</v>
      </c>
      <c r="I347" s="68">
        <v>538.75</v>
      </c>
      <c r="J347" s="68">
        <v>738.72270742358069</v>
      </c>
    </row>
    <row r="348" spans="1:10" x14ac:dyDescent="0.3">
      <c r="A348" s="69">
        <f t="shared" si="10"/>
        <v>40400</v>
      </c>
      <c r="B348" s="63">
        <v>9</v>
      </c>
      <c r="C348" s="68">
        <v>620</v>
      </c>
      <c r="D348" s="68">
        <v>613</v>
      </c>
      <c r="E348" s="68">
        <v>615</v>
      </c>
      <c r="F348" s="68">
        <v>578</v>
      </c>
      <c r="G348" s="68">
        <v>623</v>
      </c>
      <c r="H348" s="68">
        <v>623</v>
      </c>
      <c r="I348" s="68">
        <v>575</v>
      </c>
      <c r="J348" s="68">
        <v>788.42794759825324</v>
      </c>
    </row>
    <row r="349" spans="1:10" x14ac:dyDescent="0.3">
      <c r="A349" s="69">
        <f t="shared" si="10"/>
        <v>40407</v>
      </c>
      <c r="B349" s="63">
        <v>9</v>
      </c>
      <c r="C349" s="63">
        <v>600</v>
      </c>
      <c r="D349" s="68">
        <v>608.75</v>
      </c>
      <c r="E349" s="68">
        <v>615</v>
      </c>
      <c r="F349" s="68">
        <v>568.75</v>
      </c>
      <c r="G349" s="68">
        <v>622.5</v>
      </c>
      <c r="H349" s="68">
        <v>622.5</v>
      </c>
      <c r="I349" s="68">
        <v>566.25</v>
      </c>
      <c r="J349" s="68">
        <v>731.71397379912651</v>
      </c>
    </row>
    <row r="350" spans="1:10" x14ac:dyDescent="0.3">
      <c r="A350" s="69">
        <f t="shared" si="10"/>
        <v>40414</v>
      </c>
      <c r="B350" s="63">
        <v>9</v>
      </c>
      <c r="C350" s="68">
        <v>620</v>
      </c>
      <c r="D350" s="68">
        <v>603.75</v>
      </c>
      <c r="E350" s="68">
        <v>618.75</v>
      </c>
      <c r="F350" s="68">
        <v>565</v>
      </c>
      <c r="G350" s="68">
        <v>628.75</v>
      </c>
      <c r="H350" s="68">
        <v>628.75</v>
      </c>
      <c r="I350" s="68">
        <v>562.5</v>
      </c>
      <c r="J350" s="68">
        <v>617.03056768558952</v>
      </c>
    </row>
    <row r="351" spans="1:10" x14ac:dyDescent="0.3">
      <c r="A351" s="69">
        <f t="shared" si="10"/>
        <v>40421</v>
      </c>
      <c r="B351" s="63">
        <v>9</v>
      </c>
      <c r="C351" s="68">
        <v>616.25</v>
      </c>
      <c r="D351" s="68">
        <v>610</v>
      </c>
      <c r="E351" s="68">
        <v>620</v>
      </c>
      <c r="F351" s="68">
        <v>580</v>
      </c>
      <c r="G351" s="68">
        <v>683.75</v>
      </c>
      <c r="H351" s="68">
        <v>683.75</v>
      </c>
      <c r="I351" s="68">
        <v>562.5</v>
      </c>
      <c r="J351" s="68">
        <v>771.28820960698692</v>
      </c>
    </row>
    <row r="352" spans="1:10" x14ac:dyDescent="0.3">
      <c r="A352" s="69">
        <f t="shared" si="10"/>
        <v>40428</v>
      </c>
      <c r="B352" s="63">
        <v>10</v>
      </c>
      <c r="C352" s="68">
        <v>637.5</v>
      </c>
      <c r="D352" s="68">
        <v>625</v>
      </c>
      <c r="E352" s="68">
        <v>617.5</v>
      </c>
      <c r="F352" s="68">
        <v>548.75</v>
      </c>
      <c r="G352" s="68">
        <v>633.75</v>
      </c>
      <c r="H352" s="68">
        <v>633.75</v>
      </c>
      <c r="I352" s="68">
        <v>521.25</v>
      </c>
      <c r="J352" s="68">
        <v>714.72707423580778</v>
      </c>
    </row>
    <row r="353" spans="1:10" x14ac:dyDescent="0.3">
      <c r="A353" s="69">
        <f t="shared" si="10"/>
        <v>40435</v>
      </c>
      <c r="B353" s="63">
        <v>10</v>
      </c>
      <c r="C353" s="68">
        <v>591.66666666666663</v>
      </c>
      <c r="D353" s="68">
        <v>546.66666666666663</v>
      </c>
      <c r="E353" s="68">
        <v>542.5</v>
      </c>
      <c r="F353" s="68">
        <v>516.66666666666663</v>
      </c>
      <c r="G353" s="68">
        <v>622.5</v>
      </c>
      <c r="H353" s="68">
        <v>622.5</v>
      </c>
      <c r="I353" s="68">
        <v>503.33333333333331</v>
      </c>
      <c r="J353" s="68">
        <v>517.62008733624452</v>
      </c>
    </row>
    <row r="354" spans="1:10" x14ac:dyDescent="0.3">
      <c r="A354" s="69">
        <f t="shared" si="10"/>
        <v>40442</v>
      </c>
      <c r="B354" s="63">
        <v>10</v>
      </c>
      <c r="C354" s="68">
        <v>583.33333333333337</v>
      </c>
      <c r="D354" s="68">
        <v>565</v>
      </c>
      <c r="E354" s="68">
        <v>548.75</v>
      </c>
      <c r="F354" s="68">
        <v>531.66666666666663</v>
      </c>
      <c r="G354" s="68">
        <v>590</v>
      </c>
      <c r="H354" s="68">
        <v>590</v>
      </c>
      <c r="I354" s="68">
        <v>500</v>
      </c>
      <c r="J354" s="68">
        <v>514.19213973799128</v>
      </c>
    </row>
    <row r="355" spans="1:10" x14ac:dyDescent="0.3">
      <c r="A355" s="69">
        <f t="shared" si="10"/>
        <v>40449</v>
      </c>
      <c r="B355" s="63">
        <v>10</v>
      </c>
      <c r="C355" s="68">
        <v>583.33333333333337</v>
      </c>
      <c r="D355" s="68">
        <v>543.75</v>
      </c>
      <c r="E355" s="68">
        <v>543.75</v>
      </c>
      <c r="F355" s="68">
        <v>481.25</v>
      </c>
      <c r="G355" s="68">
        <v>568.75</v>
      </c>
      <c r="H355" s="68">
        <v>568.75</v>
      </c>
      <c r="I355" s="68">
        <v>443.75</v>
      </c>
      <c r="J355" s="68">
        <v>608.4606986899563</v>
      </c>
    </row>
    <row r="356" spans="1:10" x14ac:dyDescent="0.3">
      <c r="A356" s="69">
        <f t="shared" si="10"/>
        <v>40456</v>
      </c>
      <c r="B356" s="63">
        <v>11</v>
      </c>
      <c r="C356" s="68">
        <v>572.5</v>
      </c>
      <c r="D356" s="68">
        <v>460</v>
      </c>
      <c r="E356" s="68">
        <v>423.75</v>
      </c>
      <c r="F356" s="68">
        <v>358.33333333333331</v>
      </c>
      <c r="G356" s="68">
        <v>445</v>
      </c>
      <c r="H356" s="68">
        <v>445</v>
      </c>
      <c r="I356" s="68">
        <v>361.25</v>
      </c>
      <c r="J356" s="68">
        <v>495.33842794759829</v>
      </c>
    </row>
    <row r="357" spans="1:10" x14ac:dyDescent="0.3">
      <c r="A357" s="69">
        <f t="shared" si="10"/>
        <v>40463</v>
      </c>
      <c r="B357" s="63">
        <v>11</v>
      </c>
      <c r="C357" s="68">
        <v>591.25</v>
      </c>
      <c r="D357" s="68">
        <v>446.25</v>
      </c>
      <c r="E357" s="68">
        <v>421.25</v>
      </c>
      <c r="F357" s="68">
        <v>373.75</v>
      </c>
      <c r="G357" s="68">
        <v>448.75</v>
      </c>
      <c r="H357" s="68">
        <v>448.75</v>
      </c>
      <c r="I357" s="68">
        <v>352.5</v>
      </c>
      <c r="J357" s="68">
        <v>483.34061135371184</v>
      </c>
    </row>
    <row r="358" spans="1:10" x14ac:dyDescent="0.3">
      <c r="A358" s="69">
        <f t="shared" si="10"/>
        <v>40470</v>
      </c>
      <c r="B358" s="63">
        <v>11</v>
      </c>
      <c r="C358" s="68">
        <v>600</v>
      </c>
      <c r="D358" s="68">
        <v>447.5</v>
      </c>
      <c r="E358" s="68">
        <v>426.25</v>
      </c>
      <c r="F358" s="68">
        <v>370</v>
      </c>
      <c r="G358" s="68">
        <v>436.66666666666669</v>
      </c>
      <c r="H358" s="68">
        <v>437</v>
      </c>
      <c r="I358" s="68">
        <v>333.75</v>
      </c>
      <c r="J358" s="68">
        <v>457.63100436681219</v>
      </c>
    </row>
    <row r="359" spans="1:10" x14ac:dyDescent="0.3">
      <c r="A359" s="69">
        <f t="shared" si="10"/>
        <v>40477</v>
      </c>
      <c r="B359" s="63">
        <v>11</v>
      </c>
      <c r="C359" s="68">
        <v>582.5</v>
      </c>
      <c r="D359" s="68">
        <v>446.25</v>
      </c>
      <c r="E359" s="68">
        <v>432.5</v>
      </c>
      <c r="F359" s="68">
        <v>368.75</v>
      </c>
      <c r="G359" s="68">
        <v>431.25</v>
      </c>
      <c r="H359" s="68">
        <v>431.25</v>
      </c>
      <c r="I359" s="68">
        <v>325</v>
      </c>
      <c r="J359" s="68">
        <v>445.63318777292574</v>
      </c>
    </row>
    <row r="360" spans="1:10" x14ac:dyDescent="0.3">
      <c r="A360" s="69">
        <f t="shared" si="10"/>
        <v>40484</v>
      </c>
      <c r="B360" s="63">
        <v>12</v>
      </c>
      <c r="C360" s="68"/>
      <c r="D360" s="68"/>
      <c r="E360" s="68">
        <v>410</v>
      </c>
      <c r="F360" s="68">
        <v>308.75</v>
      </c>
      <c r="G360" s="68">
        <v>362.5</v>
      </c>
      <c r="H360" s="68">
        <v>362.5</v>
      </c>
      <c r="I360" s="68">
        <v>278.75</v>
      </c>
      <c r="J360" s="68">
        <v>382.21615720524017</v>
      </c>
    </row>
    <row r="361" spans="1:10" x14ac:dyDescent="0.3">
      <c r="A361" s="69">
        <f t="shared" si="10"/>
        <v>40491</v>
      </c>
      <c r="B361" s="63">
        <v>12</v>
      </c>
      <c r="E361" s="68">
        <v>420</v>
      </c>
      <c r="F361" s="68">
        <v>325</v>
      </c>
      <c r="G361" s="68">
        <v>370</v>
      </c>
      <c r="H361" s="68">
        <v>370</v>
      </c>
      <c r="I361" s="68">
        <v>316.66666666666669</v>
      </c>
      <c r="J361" s="68">
        <v>434.20669577874816</v>
      </c>
    </row>
    <row r="362" spans="1:10" x14ac:dyDescent="0.3">
      <c r="A362" s="69">
        <f t="shared" si="10"/>
        <v>40498</v>
      </c>
      <c r="B362" s="63">
        <v>12</v>
      </c>
      <c r="E362" s="68">
        <v>412.5</v>
      </c>
      <c r="F362" s="68">
        <v>317.5</v>
      </c>
      <c r="G362" s="68">
        <v>355</v>
      </c>
      <c r="H362" s="68">
        <v>363.75</v>
      </c>
      <c r="I362" s="68">
        <v>308.75</v>
      </c>
      <c r="J362" s="68">
        <v>423.35152838427945</v>
      </c>
    </row>
    <row r="363" spans="1:10" x14ac:dyDescent="0.3">
      <c r="A363" s="69">
        <f t="shared" si="10"/>
        <v>40505</v>
      </c>
      <c r="B363" s="63">
        <v>12</v>
      </c>
      <c r="E363" s="68">
        <v>452.5</v>
      </c>
      <c r="F363" s="68">
        <v>352.5</v>
      </c>
      <c r="G363" s="68">
        <v>406.25</v>
      </c>
      <c r="H363" s="68">
        <v>406.25</v>
      </c>
      <c r="I363" s="68">
        <v>322.5</v>
      </c>
      <c r="J363" s="68">
        <v>442.2052401746725</v>
      </c>
    </row>
    <row r="364" spans="1:10" x14ac:dyDescent="0.3">
      <c r="A364" s="69">
        <f t="shared" si="10"/>
        <v>40512</v>
      </c>
      <c r="B364" s="63">
        <v>12</v>
      </c>
      <c r="E364" s="68">
        <v>450</v>
      </c>
      <c r="F364" s="68">
        <v>345</v>
      </c>
      <c r="G364" s="68">
        <v>447.5</v>
      </c>
      <c r="H364" s="68">
        <v>447.5</v>
      </c>
      <c r="I364" s="68">
        <v>338.75</v>
      </c>
      <c r="J364" s="68">
        <v>464.48689956331879</v>
      </c>
    </row>
    <row r="365" spans="1:10" x14ac:dyDescent="0.3">
      <c r="A365" s="69">
        <f t="shared" si="10"/>
        <v>40519</v>
      </c>
      <c r="B365" s="63">
        <v>1</v>
      </c>
      <c r="E365" s="68">
        <v>463</v>
      </c>
      <c r="F365" s="68">
        <v>375</v>
      </c>
      <c r="G365" s="68">
        <v>451</v>
      </c>
      <c r="H365" s="68">
        <v>451</v>
      </c>
      <c r="I365" s="68">
        <v>344</v>
      </c>
      <c r="J365" s="68">
        <v>471</v>
      </c>
    </row>
    <row r="366" spans="1:10" x14ac:dyDescent="0.3">
      <c r="A366" s="69">
        <f t="shared" si="10"/>
        <v>40526</v>
      </c>
      <c r="B366" s="63">
        <v>1</v>
      </c>
      <c r="E366" s="68">
        <v>481.25</v>
      </c>
      <c r="F366" s="68">
        <v>392.5</v>
      </c>
      <c r="G366" s="68">
        <v>442.5</v>
      </c>
      <c r="H366" s="68">
        <v>442.5</v>
      </c>
      <c r="I366" s="68">
        <v>365</v>
      </c>
      <c r="J366" s="68">
        <v>500.48034934497815</v>
      </c>
    </row>
    <row r="367" spans="1:10" x14ac:dyDescent="0.3">
      <c r="A367" s="69">
        <f t="shared" si="10"/>
        <v>40533</v>
      </c>
      <c r="B367" s="63">
        <v>1</v>
      </c>
      <c r="E367" s="68">
        <v>455</v>
      </c>
      <c r="F367" s="68">
        <v>350</v>
      </c>
      <c r="G367" s="68">
        <v>402.5</v>
      </c>
      <c r="H367" s="68">
        <v>402.5</v>
      </c>
      <c r="I367" s="68">
        <v>331.25</v>
      </c>
      <c r="J367" s="68">
        <v>454.20305676855895</v>
      </c>
    </row>
    <row r="368" spans="1:10" x14ac:dyDescent="0.3">
      <c r="A368" s="69">
        <f t="shared" si="10"/>
        <v>40540</v>
      </c>
      <c r="B368" s="63">
        <v>1</v>
      </c>
      <c r="E368" s="68">
        <v>450</v>
      </c>
      <c r="F368" s="68">
        <v>326.66666666666669</v>
      </c>
      <c r="G368" s="68">
        <v>395</v>
      </c>
      <c r="H368" s="68">
        <v>395</v>
      </c>
      <c r="I368" s="68">
        <v>290</v>
      </c>
      <c r="J368" s="68">
        <v>397.64192139737992</v>
      </c>
    </row>
    <row r="369" spans="1:10" x14ac:dyDescent="0.3">
      <c r="A369" s="69">
        <f t="shared" si="10"/>
        <v>40547</v>
      </c>
      <c r="B369" s="63">
        <v>2</v>
      </c>
      <c r="E369" s="68">
        <v>400</v>
      </c>
      <c r="F369" s="68">
        <v>295</v>
      </c>
      <c r="G369" s="68">
        <v>356.25</v>
      </c>
      <c r="H369" s="68">
        <v>356.25</v>
      </c>
      <c r="I369" s="68">
        <v>261.25</v>
      </c>
      <c r="J369" s="68">
        <v>358.22052401746726</v>
      </c>
    </row>
    <row r="370" spans="1:10" x14ac:dyDescent="0.3">
      <c r="A370" s="69">
        <f t="shared" si="10"/>
        <v>40554</v>
      </c>
      <c r="B370" s="63">
        <v>2</v>
      </c>
      <c r="E370" s="68">
        <v>417.5</v>
      </c>
      <c r="F370" s="68">
        <v>318.75</v>
      </c>
      <c r="G370" s="68">
        <v>378.75</v>
      </c>
      <c r="H370" s="68">
        <v>378.75</v>
      </c>
      <c r="I370" s="68">
        <v>285</v>
      </c>
      <c r="J370" s="68">
        <v>390.78602620087332</v>
      </c>
    </row>
    <row r="371" spans="1:10" x14ac:dyDescent="0.3">
      <c r="A371" s="69">
        <f t="shared" si="10"/>
        <v>40561</v>
      </c>
      <c r="B371" s="63">
        <v>2</v>
      </c>
      <c r="E371" s="88">
        <v>426.25</v>
      </c>
      <c r="F371" s="88">
        <v>331.25</v>
      </c>
      <c r="G371" s="88">
        <v>383.75</v>
      </c>
      <c r="H371" s="88">
        <v>383.75</v>
      </c>
      <c r="I371" s="88">
        <v>301.25</v>
      </c>
      <c r="J371" s="88">
        <v>413.06768558951967</v>
      </c>
    </row>
    <row r="372" spans="1:10" x14ac:dyDescent="0.3">
      <c r="A372" s="69">
        <f t="shared" si="10"/>
        <v>40568</v>
      </c>
      <c r="B372" s="63">
        <v>2</v>
      </c>
      <c r="E372" s="68">
        <v>426</v>
      </c>
      <c r="F372" s="68">
        <v>331</v>
      </c>
      <c r="G372" s="68">
        <v>384</v>
      </c>
      <c r="H372" s="68">
        <v>384</v>
      </c>
      <c r="I372" s="68">
        <v>301</v>
      </c>
      <c r="J372" s="68">
        <v>413</v>
      </c>
    </row>
    <row r="373" spans="1:10" x14ac:dyDescent="0.3">
      <c r="A373" s="69">
        <f t="shared" si="10"/>
        <v>40575</v>
      </c>
      <c r="B373" s="63">
        <v>3</v>
      </c>
      <c r="E373" s="68">
        <v>417.5</v>
      </c>
      <c r="F373" s="68">
        <v>325</v>
      </c>
      <c r="G373" s="68">
        <v>371.25</v>
      </c>
      <c r="H373" s="68">
        <v>371.25</v>
      </c>
      <c r="I373" s="68">
        <v>306.25</v>
      </c>
      <c r="J373" s="68">
        <v>419.92358078602621</v>
      </c>
    </row>
    <row r="374" spans="1:10" x14ac:dyDescent="0.3">
      <c r="A374" s="69">
        <f t="shared" si="10"/>
        <v>40582</v>
      </c>
      <c r="B374" s="63">
        <v>3</v>
      </c>
      <c r="D374" s="63">
        <v>435</v>
      </c>
      <c r="E374" s="68">
        <v>428.33333333333331</v>
      </c>
      <c r="F374" s="68">
        <v>341.66666666666669</v>
      </c>
      <c r="G374" s="68">
        <v>380</v>
      </c>
      <c r="H374" s="68">
        <v>380</v>
      </c>
      <c r="I374" s="68">
        <v>331.66666666666669</v>
      </c>
      <c r="J374" s="68">
        <v>454.77438136826783</v>
      </c>
    </row>
    <row r="375" spans="1:10" x14ac:dyDescent="0.3">
      <c r="A375" s="69">
        <f t="shared" si="10"/>
        <v>40589</v>
      </c>
      <c r="B375" s="63">
        <v>3</v>
      </c>
      <c r="D375" s="68">
        <v>445</v>
      </c>
      <c r="E375" s="68">
        <v>467.5</v>
      </c>
      <c r="F375" s="68">
        <v>380</v>
      </c>
      <c r="G375" s="68">
        <v>428.75</v>
      </c>
      <c r="H375" s="68">
        <v>425.75</v>
      </c>
      <c r="I375" s="68">
        <v>342.5</v>
      </c>
      <c r="J375" s="68">
        <v>469.6288209606987</v>
      </c>
    </row>
    <row r="376" spans="1:10" x14ac:dyDescent="0.3">
      <c r="A376" s="69">
        <f t="shared" si="10"/>
        <v>40596</v>
      </c>
      <c r="B376" s="63">
        <v>3</v>
      </c>
      <c r="D376" s="68">
        <v>475</v>
      </c>
      <c r="E376" s="68">
        <v>470</v>
      </c>
      <c r="F376" s="68">
        <v>375</v>
      </c>
      <c r="G376" s="68">
        <v>441.66666666666669</v>
      </c>
      <c r="H376" s="68">
        <v>441.66666666666669</v>
      </c>
      <c r="I376" s="68">
        <v>345</v>
      </c>
      <c r="J376" s="68">
        <v>473.056768558952</v>
      </c>
    </row>
    <row r="377" spans="1:10" x14ac:dyDescent="0.3">
      <c r="A377" s="69">
        <f t="shared" si="10"/>
        <v>40603</v>
      </c>
      <c r="B377" s="63">
        <v>4</v>
      </c>
      <c r="C377" s="88">
        <v>471.66666666666669</v>
      </c>
      <c r="D377" s="88">
        <v>433.75</v>
      </c>
      <c r="E377" s="88">
        <v>436.66666666666669</v>
      </c>
      <c r="F377" s="88">
        <v>323.33333333333331</v>
      </c>
      <c r="G377" s="88">
        <v>391.66666666666669</v>
      </c>
      <c r="H377" s="88">
        <v>391.66666666666669</v>
      </c>
      <c r="I377" s="88">
        <v>298.33333333333331</v>
      </c>
      <c r="J377" s="88">
        <v>409.0684133915575</v>
      </c>
    </row>
    <row r="378" spans="1:10" x14ac:dyDescent="0.3">
      <c r="A378" s="69">
        <f t="shared" si="10"/>
        <v>40610</v>
      </c>
      <c r="B378" s="63">
        <v>4</v>
      </c>
      <c r="C378" s="88">
        <v>530</v>
      </c>
      <c r="D378" s="88">
        <v>495</v>
      </c>
      <c r="E378" s="88">
        <v>513.33333333333337</v>
      </c>
      <c r="F378" s="88">
        <v>400</v>
      </c>
      <c r="G378" s="88">
        <v>466.66666666666669</v>
      </c>
      <c r="H378" s="88">
        <v>466.66666666666669</v>
      </c>
      <c r="I378" s="88">
        <v>375</v>
      </c>
      <c r="J378" s="88">
        <v>514.19213973799128</v>
      </c>
    </row>
    <row r="379" spans="1:10" x14ac:dyDescent="0.3">
      <c r="A379" s="69">
        <f t="shared" si="10"/>
        <v>40617</v>
      </c>
      <c r="B379" s="63">
        <v>4</v>
      </c>
      <c r="C379" s="88">
        <v>550</v>
      </c>
      <c r="D379" s="88">
        <v>495</v>
      </c>
      <c r="E379" s="88">
        <v>508.33333333333331</v>
      </c>
      <c r="F379" s="88">
        <v>400</v>
      </c>
      <c r="G379" s="88">
        <v>465</v>
      </c>
      <c r="H379" s="88">
        <v>465</v>
      </c>
      <c r="I379" s="88">
        <v>366.66666666666669</v>
      </c>
      <c r="J379" s="88">
        <v>502.76564774381376</v>
      </c>
    </row>
    <row r="380" spans="1:10" x14ac:dyDescent="0.3">
      <c r="A380" s="69">
        <f t="shared" si="10"/>
        <v>40624</v>
      </c>
      <c r="B380" s="63">
        <v>4</v>
      </c>
      <c r="C380" s="88">
        <v>545</v>
      </c>
      <c r="D380" s="88">
        <v>481.66666666666669</v>
      </c>
      <c r="E380" s="88">
        <v>473.33333333333331</v>
      </c>
      <c r="F380" s="88">
        <v>360</v>
      </c>
      <c r="G380" s="88">
        <v>426.66666666666669</v>
      </c>
      <c r="H380" s="88">
        <v>426.66666666666669</v>
      </c>
      <c r="I380" s="88">
        <v>333.33333333333331</v>
      </c>
      <c r="J380" s="88">
        <v>457.05967976710343</v>
      </c>
    </row>
    <row r="381" spans="1:10" x14ac:dyDescent="0.3">
      <c r="A381" s="69">
        <f t="shared" si="10"/>
        <v>40631</v>
      </c>
      <c r="B381" s="63">
        <v>4</v>
      </c>
      <c r="C381" s="113">
        <v>536.66666666666663</v>
      </c>
      <c r="D381" s="113">
        <v>481.66666666666669</v>
      </c>
      <c r="E381" s="113">
        <v>480</v>
      </c>
      <c r="F381" s="113">
        <v>366.66666666666669</v>
      </c>
      <c r="G381" s="113">
        <v>445</v>
      </c>
      <c r="H381" s="113">
        <v>445</v>
      </c>
      <c r="I381" s="113">
        <v>325</v>
      </c>
      <c r="J381" s="113">
        <v>445.63318777292579</v>
      </c>
    </row>
    <row r="382" spans="1:10" x14ac:dyDescent="0.3">
      <c r="A382" s="69">
        <f t="shared" si="10"/>
        <v>40638</v>
      </c>
      <c r="B382" s="63">
        <v>5</v>
      </c>
      <c r="C382" s="68">
        <v>540</v>
      </c>
      <c r="D382" s="68">
        <v>466.66666666666669</v>
      </c>
      <c r="E382" s="68">
        <v>466.66666666666669</v>
      </c>
      <c r="F382" s="68">
        <v>366.66666666666669</v>
      </c>
      <c r="G382" s="68">
        <v>453.33333333333331</v>
      </c>
      <c r="H382" s="68">
        <v>453.33333333333331</v>
      </c>
      <c r="I382" s="68">
        <v>328.33333333333331</v>
      </c>
      <c r="J382" s="68">
        <v>450.20378457059678</v>
      </c>
    </row>
    <row r="383" spans="1:10" x14ac:dyDescent="0.3">
      <c r="A383" s="69">
        <f t="shared" ref="A383:A453" si="11">7+A382</f>
        <v>40645</v>
      </c>
      <c r="B383" s="63">
        <v>5</v>
      </c>
      <c r="C383" s="88">
        <v>516.66666666666663</v>
      </c>
      <c r="D383" s="88">
        <v>470</v>
      </c>
      <c r="E383" s="88">
        <v>448.33333333333331</v>
      </c>
      <c r="F383" s="88">
        <v>331.66666666666669</v>
      </c>
      <c r="G383" s="88">
        <v>433.33333333333331</v>
      </c>
      <c r="H383" s="88">
        <v>433.33333333333331</v>
      </c>
      <c r="I383" s="88">
        <v>303.33333333333331</v>
      </c>
      <c r="J383" s="88">
        <v>415.92430858806398</v>
      </c>
    </row>
    <row r="384" spans="1:10" x14ac:dyDescent="0.3">
      <c r="A384" s="69">
        <f t="shared" si="11"/>
        <v>40652</v>
      </c>
      <c r="B384" s="63">
        <v>5</v>
      </c>
      <c r="C384" s="68">
        <v>491.66666666666669</v>
      </c>
      <c r="D384" s="68">
        <v>451.66666666666669</v>
      </c>
      <c r="E384" s="68">
        <v>426.66666666666669</v>
      </c>
      <c r="F384" s="68">
        <v>308.33333333333331</v>
      </c>
      <c r="G384" s="68">
        <v>401.66666666666669</v>
      </c>
      <c r="H384" s="68">
        <v>401.66666666666669</v>
      </c>
      <c r="I384" s="68">
        <v>283.33333333333331</v>
      </c>
      <c r="J384" s="68">
        <v>388.50072780203783</v>
      </c>
    </row>
    <row r="385" spans="1:10" x14ac:dyDescent="0.3">
      <c r="A385" s="69">
        <f t="shared" si="11"/>
        <v>40659</v>
      </c>
      <c r="B385" s="63">
        <v>5</v>
      </c>
      <c r="C385" s="63">
        <v>505</v>
      </c>
      <c r="D385" s="63">
        <v>442</v>
      </c>
      <c r="E385" s="68">
        <v>430</v>
      </c>
      <c r="F385" s="68">
        <v>320</v>
      </c>
      <c r="G385" s="68">
        <v>400</v>
      </c>
      <c r="H385" s="68">
        <v>400</v>
      </c>
    </row>
    <row r="386" spans="1:10" x14ac:dyDescent="0.3">
      <c r="A386" s="69">
        <f t="shared" si="11"/>
        <v>40666</v>
      </c>
      <c r="B386" s="63">
        <v>6</v>
      </c>
      <c r="C386" s="68">
        <v>542</v>
      </c>
      <c r="D386" s="68">
        <v>454</v>
      </c>
      <c r="E386" s="68">
        <v>458</v>
      </c>
      <c r="F386" s="68">
        <v>325</v>
      </c>
      <c r="G386" s="68">
        <v>417</v>
      </c>
      <c r="H386" s="68">
        <v>417</v>
      </c>
      <c r="I386" s="68">
        <v>325</v>
      </c>
      <c r="J386" s="68">
        <v>446</v>
      </c>
    </row>
    <row r="387" spans="1:10" x14ac:dyDescent="0.3">
      <c r="A387" s="69">
        <f t="shared" si="11"/>
        <v>40673</v>
      </c>
      <c r="B387" s="63">
        <v>6</v>
      </c>
      <c r="C387" s="68">
        <v>553</v>
      </c>
      <c r="D387" s="68">
        <v>467</v>
      </c>
      <c r="E387" s="68">
        <v>458</v>
      </c>
      <c r="F387" s="68">
        <v>347</v>
      </c>
      <c r="G387" s="68">
        <v>438</v>
      </c>
      <c r="H387" s="68">
        <v>438</v>
      </c>
      <c r="I387" s="68">
        <v>333</v>
      </c>
    </row>
    <row r="388" spans="1:10" x14ac:dyDescent="0.3">
      <c r="A388" s="69">
        <f t="shared" si="11"/>
        <v>40680</v>
      </c>
      <c r="B388" s="63">
        <v>6</v>
      </c>
      <c r="C388" s="115">
        <v>550</v>
      </c>
      <c r="D388" s="115">
        <v>451.66666666666669</v>
      </c>
      <c r="E388" s="115">
        <v>451.66666666666669</v>
      </c>
      <c r="F388" s="115">
        <v>325</v>
      </c>
      <c r="G388" s="115">
        <v>445</v>
      </c>
      <c r="H388" s="115">
        <v>445</v>
      </c>
      <c r="I388" s="115">
        <v>305</v>
      </c>
    </row>
    <row r="389" spans="1:10" x14ac:dyDescent="0.3">
      <c r="A389" s="69">
        <f t="shared" si="11"/>
        <v>40687</v>
      </c>
      <c r="B389" s="63">
        <v>6</v>
      </c>
      <c r="C389" s="68">
        <v>527.5</v>
      </c>
      <c r="D389" s="68">
        <v>455</v>
      </c>
      <c r="E389" s="68">
        <v>450</v>
      </c>
      <c r="F389" s="68">
        <v>327.5</v>
      </c>
      <c r="G389" s="68">
        <v>437.5</v>
      </c>
      <c r="H389" s="68">
        <v>437.5</v>
      </c>
      <c r="I389" s="68">
        <v>312.5</v>
      </c>
    </row>
    <row r="390" spans="1:10" x14ac:dyDescent="0.3">
      <c r="A390" s="69">
        <f t="shared" si="11"/>
        <v>40694</v>
      </c>
      <c r="B390" s="63">
        <v>6</v>
      </c>
      <c r="C390" s="63">
        <v>538</v>
      </c>
      <c r="D390" s="63">
        <v>468</v>
      </c>
      <c r="E390" s="68">
        <v>455</v>
      </c>
      <c r="F390" s="68">
        <v>355</v>
      </c>
      <c r="G390" s="68">
        <v>430</v>
      </c>
      <c r="H390" s="68">
        <v>430</v>
      </c>
      <c r="I390" s="68">
        <v>300</v>
      </c>
    </row>
    <row r="391" spans="1:10" x14ac:dyDescent="0.3">
      <c r="A391" s="69">
        <f t="shared" si="11"/>
        <v>40701</v>
      </c>
      <c r="B391" s="63">
        <v>6</v>
      </c>
      <c r="C391" s="68">
        <v>542.5</v>
      </c>
      <c r="D391" s="68">
        <v>452.5</v>
      </c>
      <c r="E391" s="68">
        <v>442.5</v>
      </c>
      <c r="F391" s="68">
        <v>345</v>
      </c>
      <c r="G391" s="68">
        <v>412.5</v>
      </c>
      <c r="H391" s="68">
        <v>412.5</v>
      </c>
      <c r="I391" s="68">
        <v>330</v>
      </c>
    </row>
    <row r="392" spans="1:10" x14ac:dyDescent="0.3">
      <c r="A392" s="69">
        <f t="shared" si="11"/>
        <v>40708</v>
      </c>
      <c r="B392" s="63">
        <v>7</v>
      </c>
      <c r="C392" s="68">
        <v>526.66666666666663</v>
      </c>
      <c r="D392" s="68">
        <v>445</v>
      </c>
      <c r="E392" s="68">
        <v>441.25</v>
      </c>
      <c r="F392" s="68">
        <v>335</v>
      </c>
      <c r="G392" s="68">
        <v>396.66666666666669</v>
      </c>
      <c r="H392" s="68">
        <v>396.66666666666669</v>
      </c>
      <c r="I392" s="68">
        <v>301.66666666666669</v>
      </c>
    </row>
    <row r="393" spans="1:10" x14ac:dyDescent="0.3">
      <c r="A393" s="69">
        <f t="shared" si="11"/>
        <v>40715</v>
      </c>
      <c r="B393" s="63">
        <v>7</v>
      </c>
      <c r="C393" s="57">
        <v>535</v>
      </c>
      <c r="D393" s="57">
        <v>450</v>
      </c>
      <c r="E393" s="57">
        <v>430</v>
      </c>
      <c r="F393" s="57">
        <v>345</v>
      </c>
      <c r="G393" s="57">
        <v>400</v>
      </c>
      <c r="H393" s="57">
        <v>400</v>
      </c>
      <c r="I393" s="57">
        <v>325</v>
      </c>
      <c r="J393" s="21">
        <v>445.63318777292574</v>
      </c>
    </row>
    <row r="394" spans="1:10" x14ac:dyDescent="0.3">
      <c r="A394" s="69">
        <f t="shared" si="11"/>
        <v>40722</v>
      </c>
      <c r="B394" s="63">
        <v>7</v>
      </c>
      <c r="C394" s="68">
        <v>548.33333333333337</v>
      </c>
      <c r="D394" s="63">
        <v>455</v>
      </c>
      <c r="E394" s="68">
        <v>445</v>
      </c>
      <c r="F394" s="68">
        <v>338.33333333333331</v>
      </c>
      <c r="G394" s="68">
        <v>406.66666666666669</v>
      </c>
      <c r="H394" s="68">
        <v>406.66666666666669</v>
      </c>
      <c r="I394" s="68">
        <v>308.33333333333331</v>
      </c>
      <c r="J394" s="68">
        <v>422.78020378457057</v>
      </c>
    </row>
    <row r="395" spans="1:10" x14ac:dyDescent="0.3">
      <c r="A395" s="69">
        <f t="shared" si="11"/>
        <v>40729</v>
      </c>
      <c r="B395" s="63">
        <v>8</v>
      </c>
      <c r="C395" s="68">
        <v>541.66666666666663</v>
      </c>
      <c r="D395" s="68">
        <v>490</v>
      </c>
      <c r="E395" s="68">
        <v>483.33333333333331</v>
      </c>
      <c r="F395" s="68">
        <v>400</v>
      </c>
      <c r="G395" s="68">
        <v>475</v>
      </c>
      <c r="H395" s="68">
        <v>475</v>
      </c>
      <c r="I395" s="68">
        <v>391.66666666666669</v>
      </c>
      <c r="J395" s="68">
        <v>537.04512372634645</v>
      </c>
    </row>
    <row r="396" spans="1:10" x14ac:dyDescent="0.3">
      <c r="A396" s="69">
        <f t="shared" si="11"/>
        <v>40736</v>
      </c>
      <c r="B396" s="63">
        <v>8</v>
      </c>
      <c r="C396" s="68">
        <v>527.5</v>
      </c>
      <c r="D396" s="68">
        <v>471.66666666666669</v>
      </c>
      <c r="E396" s="68">
        <v>470</v>
      </c>
      <c r="F396" s="68">
        <v>387.5</v>
      </c>
      <c r="G396" s="68">
        <v>455</v>
      </c>
      <c r="H396" s="68">
        <v>455</v>
      </c>
      <c r="I396" s="68">
        <v>485</v>
      </c>
      <c r="J396" s="68">
        <v>548.47161572052403</v>
      </c>
    </row>
    <row r="397" spans="1:10" x14ac:dyDescent="0.3">
      <c r="A397" s="69">
        <f t="shared" si="11"/>
        <v>40743</v>
      </c>
      <c r="B397" s="63">
        <v>8</v>
      </c>
      <c r="C397" s="68">
        <v>515</v>
      </c>
      <c r="D397" s="68">
        <v>433.33333333333331</v>
      </c>
      <c r="E397" s="68">
        <v>433.33333333333331</v>
      </c>
      <c r="F397" s="68">
        <v>350</v>
      </c>
      <c r="G397" s="68">
        <v>402.5</v>
      </c>
      <c r="H397" s="68">
        <v>402.5</v>
      </c>
      <c r="I397" s="68">
        <v>330</v>
      </c>
      <c r="J397" s="68">
        <v>452.48908296943227</v>
      </c>
    </row>
    <row r="398" spans="1:10" x14ac:dyDescent="0.3">
      <c r="A398" s="69">
        <f t="shared" si="11"/>
        <v>40750</v>
      </c>
      <c r="B398" s="63">
        <v>8</v>
      </c>
      <c r="C398" s="68">
        <v>500</v>
      </c>
      <c r="D398" s="68">
        <v>445</v>
      </c>
      <c r="E398" s="68">
        <v>440</v>
      </c>
      <c r="F398" s="68">
        <v>387.5</v>
      </c>
      <c r="G398" s="68">
        <v>425</v>
      </c>
      <c r="H398" s="68">
        <v>425</v>
      </c>
      <c r="I398" s="68">
        <v>350</v>
      </c>
      <c r="J398" s="68">
        <v>479.91266375545848</v>
      </c>
    </row>
    <row r="399" spans="1:10" x14ac:dyDescent="0.3">
      <c r="A399" s="69">
        <f t="shared" si="11"/>
        <v>40757</v>
      </c>
      <c r="B399" s="63">
        <v>9</v>
      </c>
      <c r="C399" s="68">
        <v>445</v>
      </c>
      <c r="D399" s="68">
        <v>426.66666666666669</v>
      </c>
      <c r="E399" s="68">
        <v>420</v>
      </c>
      <c r="F399" s="68">
        <v>358.33333333333331</v>
      </c>
      <c r="G399" s="68">
        <v>421.66666666666669</v>
      </c>
      <c r="H399" s="68">
        <v>421.66666666666669</v>
      </c>
      <c r="I399" s="68">
        <v>328.33333333333331</v>
      </c>
      <c r="J399" s="68">
        <v>450.20378457059678</v>
      </c>
    </row>
    <row r="400" spans="1:10" x14ac:dyDescent="0.3">
      <c r="A400" s="69">
        <f t="shared" si="11"/>
        <v>40764</v>
      </c>
      <c r="B400" s="63">
        <v>9</v>
      </c>
      <c r="C400" s="68">
        <v>533.33333333333337</v>
      </c>
      <c r="D400" s="68">
        <v>541.66666666666663</v>
      </c>
      <c r="E400" s="68">
        <v>550</v>
      </c>
      <c r="F400" s="68">
        <v>450</v>
      </c>
      <c r="G400" s="68">
        <v>538.33333333333337</v>
      </c>
      <c r="H400" s="68">
        <v>538.33333333333337</v>
      </c>
      <c r="I400" s="68">
        <v>423.33333333333331</v>
      </c>
      <c r="J400" s="68">
        <v>580.46579330422128</v>
      </c>
    </row>
    <row r="401" spans="1:10" x14ac:dyDescent="0.3">
      <c r="A401" s="69">
        <f t="shared" si="11"/>
        <v>40771</v>
      </c>
      <c r="B401" s="63">
        <v>9</v>
      </c>
      <c r="C401" s="68">
        <v>600</v>
      </c>
      <c r="D401" s="68">
        <v>575</v>
      </c>
      <c r="E401" s="68">
        <v>568.75</v>
      </c>
      <c r="F401" s="68">
        <v>526.66666666666663</v>
      </c>
      <c r="G401" s="68">
        <v>583.33333333333337</v>
      </c>
      <c r="H401" s="68">
        <v>583.33333333333337</v>
      </c>
      <c r="I401" s="68">
        <v>513.33333333333337</v>
      </c>
      <c r="J401" s="68">
        <v>703.87190684133918</v>
      </c>
    </row>
    <row r="402" spans="1:10" x14ac:dyDescent="0.3">
      <c r="A402" s="69">
        <f t="shared" si="11"/>
        <v>40778</v>
      </c>
      <c r="B402" s="63">
        <v>9</v>
      </c>
      <c r="C402" s="68">
        <v>588.33333333333337</v>
      </c>
      <c r="D402" s="63">
        <v>585</v>
      </c>
      <c r="E402" s="68">
        <v>568.33333333333337</v>
      </c>
      <c r="F402" s="68">
        <v>508.33333333333331</v>
      </c>
      <c r="G402" s="68">
        <v>580</v>
      </c>
      <c r="H402" s="68">
        <v>580</v>
      </c>
      <c r="I402" s="68">
        <v>503.33333333333331</v>
      </c>
      <c r="J402" s="68">
        <v>675.30567685589517</v>
      </c>
    </row>
    <row r="403" spans="1:10" x14ac:dyDescent="0.3">
      <c r="A403" s="69">
        <f t="shared" si="11"/>
        <v>40785</v>
      </c>
      <c r="B403" s="63">
        <v>9</v>
      </c>
      <c r="C403" s="68">
        <v>558.33333333333337</v>
      </c>
      <c r="D403" s="68">
        <v>476.66666666666669</v>
      </c>
      <c r="E403" s="68">
        <v>538.33333333333337</v>
      </c>
      <c r="F403" s="68">
        <v>501.66666666666669</v>
      </c>
      <c r="G403" s="68">
        <v>558.33333333333337</v>
      </c>
      <c r="H403" s="68">
        <v>558.33333333333337</v>
      </c>
      <c r="I403" s="68">
        <v>473.33333333333331</v>
      </c>
      <c r="J403" s="68">
        <v>649.02474526928665</v>
      </c>
    </row>
    <row r="404" spans="1:10" x14ac:dyDescent="0.3">
      <c r="A404" s="69">
        <f t="shared" si="11"/>
        <v>40792</v>
      </c>
      <c r="B404" s="63">
        <v>10</v>
      </c>
      <c r="C404" s="68">
        <v>620</v>
      </c>
      <c r="D404" s="68">
        <v>587.5</v>
      </c>
      <c r="E404" s="68">
        <v>577.5</v>
      </c>
      <c r="F404" s="68">
        <v>520</v>
      </c>
      <c r="G404" s="68">
        <v>575</v>
      </c>
      <c r="H404" s="68">
        <v>575</v>
      </c>
      <c r="I404" s="68">
        <v>500</v>
      </c>
      <c r="J404" s="68">
        <v>685.58951965065501</v>
      </c>
    </row>
    <row r="405" spans="1:10" x14ac:dyDescent="0.3">
      <c r="A405" s="69">
        <f t="shared" si="11"/>
        <v>40799</v>
      </c>
      <c r="B405" s="63">
        <v>10</v>
      </c>
      <c r="C405" s="68">
        <v>485</v>
      </c>
      <c r="D405" s="68">
        <v>477.5</v>
      </c>
      <c r="E405" s="68">
        <v>475</v>
      </c>
      <c r="F405" s="68">
        <v>400</v>
      </c>
      <c r="G405" s="68">
        <v>477.5</v>
      </c>
      <c r="H405" s="68">
        <v>477.5</v>
      </c>
      <c r="I405" s="68">
        <v>395</v>
      </c>
      <c r="J405" s="68">
        <v>539.33042212518194</v>
      </c>
    </row>
    <row r="406" spans="1:10" x14ac:dyDescent="0.3">
      <c r="A406" s="69">
        <f t="shared" si="11"/>
        <v>40806</v>
      </c>
      <c r="B406" s="63">
        <v>10</v>
      </c>
      <c r="C406" s="116">
        <v>590</v>
      </c>
      <c r="D406" s="116">
        <v>571.66666666666663</v>
      </c>
      <c r="E406" s="116">
        <v>566.66666666666663</v>
      </c>
      <c r="F406" s="116">
        <v>480</v>
      </c>
      <c r="G406" s="116">
        <v>580</v>
      </c>
      <c r="H406" s="116">
        <v>580</v>
      </c>
      <c r="I406" s="116">
        <v>455</v>
      </c>
      <c r="J406" s="116">
        <v>623.886462882096</v>
      </c>
    </row>
    <row r="407" spans="1:10" x14ac:dyDescent="0.3">
      <c r="A407" s="69">
        <f t="shared" si="11"/>
        <v>40813</v>
      </c>
      <c r="B407" s="63">
        <v>10</v>
      </c>
      <c r="C407" s="116">
        <v>583.33333333333337</v>
      </c>
      <c r="D407" s="116">
        <v>585</v>
      </c>
      <c r="E407" s="116">
        <v>585</v>
      </c>
      <c r="F407" s="116">
        <v>491.66666666666669</v>
      </c>
      <c r="G407" s="116">
        <v>586.66666666666663</v>
      </c>
      <c r="H407" s="116">
        <v>586.66666666666663</v>
      </c>
      <c r="I407" s="116">
        <v>475</v>
      </c>
      <c r="J407" s="116">
        <v>651.31004366812238</v>
      </c>
    </row>
    <row r="408" spans="1:10" x14ac:dyDescent="0.3">
      <c r="A408" s="69">
        <f t="shared" si="11"/>
        <v>40820</v>
      </c>
      <c r="B408" s="63">
        <v>11</v>
      </c>
      <c r="C408" s="115">
        <v>541.66666666666663</v>
      </c>
      <c r="D408" s="115">
        <v>466.66666666666669</v>
      </c>
      <c r="E408" s="115">
        <v>455</v>
      </c>
      <c r="F408" s="115">
        <v>388.33333333333331</v>
      </c>
      <c r="G408" s="115">
        <v>486.66666666666669</v>
      </c>
      <c r="H408" s="115">
        <v>486.66666666666669</v>
      </c>
      <c r="I408" s="115">
        <v>365</v>
      </c>
      <c r="J408" s="115">
        <v>500.48034934497826</v>
      </c>
    </row>
    <row r="409" spans="1:10" x14ac:dyDescent="0.3">
      <c r="A409" s="69">
        <f t="shared" si="11"/>
        <v>40827</v>
      </c>
      <c r="B409" s="63">
        <v>11</v>
      </c>
      <c r="C409" s="115">
        <v>500</v>
      </c>
      <c r="D409" s="115">
        <v>452.5</v>
      </c>
      <c r="E409" s="115">
        <v>450</v>
      </c>
      <c r="F409" s="115">
        <v>378.75</v>
      </c>
      <c r="G409" s="115">
        <v>480</v>
      </c>
      <c r="H409" s="115">
        <v>480</v>
      </c>
      <c r="I409" s="115">
        <v>357.5</v>
      </c>
      <c r="J409" s="115">
        <v>505.05094614264914</v>
      </c>
    </row>
    <row r="410" spans="1:10" x14ac:dyDescent="0.3">
      <c r="A410" s="69">
        <f t="shared" si="11"/>
        <v>40834</v>
      </c>
      <c r="B410" s="63">
        <v>11</v>
      </c>
      <c r="C410" s="117">
        <v>480</v>
      </c>
      <c r="D410" s="117">
        <v>430</v>
      </c>
      <c r="E410" s="117">
        <v>422</v>
      </c>
      <c r="F410" s="117">
        <v>353</v>
      </c>
      <c r="G410" s="117">
        <v>462</v>
      </c>
      <c r="H410" s="117">
        <v>462</v>
      </c>
      <c r="I410" s="117">
        <v>337</v>
      </c>
      <c r="J410" s="117">
        <v>462</v>
      </c>
    </row>
    <row r="411" spans="1:10" x14ac:dyDescent="0.3">
      <c r="A411" s="69">
        <f t="shared" si="11"/>
        <v>40841</v>
      </c>
      <c r="B411" s="63">
        <v>11</v>
      </c>
      <c r="C411" s="117">
        <v>485</v>
      </c>
      <c r="D411" s="117">
        <v>443.33333333333331</v>
      </c>
      <c r="E411" s="117">
        <v>438.33333333333331</v>
      </c>
      <c r="F411" s="117">
        <v>353.33333333333331</v>
      </c>
      <c r="G411" s="117">
        <v>421.66666666666669</v>
      </c>
      <c r="H411" s="117">
        <v>421.66666666666669</v>
      </c>
      <c r="I411" s="117">
        <v>308.33333333333331</v>
      </c>
      <c r="J411" s="117">
        <v>422.78020378457063</v>
      </c>
    </row>
    <row r="412" spans="1:10" x14ac:dyDescent="0.3">
      <c r="A412" s="69">
        <f t="shared" si="11"/>
        <v>40848</v>
      </c>
      <c r="B412" s="63">
        <v>12</v>
      </c>
      <c r="E412" s="68">
        <v>438</v>
      </c>
      <c r="F412" s="68">
        <v>335</v>
      </c>
      <c r="G412" s="68">
        <v>405</v>
      </c>
      <c r="H412" s="68">
        <v>405</v>
      </c>
      <c r="I412" s="68">
        <v>307</v>
      </c>
      <c r="J412" s="68">
        <v>420</v>
      </c>
    </row>
    <row r="413" spans="1:10" x14ac:dyDescent="0.3">
      <c r="A413" s="69">
        <f t="shared" si="11"/>
        <v>40855</v>
      </c>
      <c r="B413" s="63">
        <v>12</v>
      </c>
      <c r="E413" s="68">
        <v>438.33333333333331</v>
      </c>
      <c r="F413" s="68">
        <v>330</v>
      </c>
      <c r="G413" s="68">
        <v>411.66666666666669</v>
      </c>
      <c r="H413" s="68">
        <v>411.66666666666669</v>
      </c>
      <c r="I413" s="68">
        <v>300</v>
      </c>
      <c r="J413" s="68">
        <v>411.35371179039299</v>
      </c>
    </row>
    <row r="414" spans="1:10" x14ac:dyDescent="0.3">
      <c r="A414" s="69">
        <f t="shared" si="11"/>
        <v>40862</v>
      </c>
      <c r="B414" s="63">
        <v>12</v>
      </c>
      <c r="E414" s="119">
        <v>435</v>
      </c>
      <c r="F414" s="119">
        <v>325</v>
      </c>
      <c r="G414" s="119">
        <v>402</v>
      </c>
      <c r="H414" s="119">
        <v>402</v>
      </c>
      <c r="I414" s="119">
        <v>297</v>
      </c>
      <c r="J414" s="119">
        <v>407</v>
      </c>
    </row>
    <row r="415" spans="1:10" x14ac:dyDescent="0.3">
      <c r="A415" s="69">
        <f t="shared" si="11"/>
        <v>40869</v>
      </c>
      <c r="B415" s="63">
        <v>12</v>
      </c>
      <c r="E415" s="68">
        <v>425</v>
      </c>
      <c r="F415" s="68">
        <v>300</v>
      </c>
      <c r="G415" s="68">
        <v>395</v>
      </c>
      <c r="H415" s="68">
        <v>395</v>
      </c>
      <c r="I415" s="68">
        <v>275</v>
      </c>
      <c r="J415" s="68">
        <v>377</v>
      </c>
    </row>
    <row r="416" spans="1:10" x14ac:dyDescent="0.3">
      <c r="A416" s="69">
        <f t="shared" si="11"/>
        <v>40876</v>
      </c>
      <c r="B416" s="63">
        <v>12</v>
      </c>
      <c r="E416" s="117">
        <v>400</v>
      </c>
      <c r="F416" s="117">
        <v>295</v>
      </c>
      <c r="G416" s="117">
        <v>385</v>
      </c>
      <c r="H416" s="117">
        <v>385</v>
      </c>
      <c r="I416" s="117">
        <v>270</v>
      </c>
      <c r="J416" s="117">
        <v>370.21834061135365</v>
      </c>
    </row>
    <row r="417" spans="1:10" x14ac:dyDescent="0.3">
      <c r="A417" s="69">
        <f t="shared" si="11"/>
        <v>40883</v>
      </c>
      <c r="B417" s="63">
        <v>1</v>
      </c>
      <c r="E417" s="117">
        <v>428</v>
      </c>
      <c r="F417" s="117">
        <v>302</v>
      </c>
      <c r="G417" s="117">
        <v>380</v>
      </c>
      <c r="H417" s="117">
        <v>380</v>
      </c>
      <c r="I417" s="117">
        <v>303</v>
      </c>
      <c r="J417" s="117">
        <v>416</v>
      </c>
    </row>
    <row r="418" spans="1:10" x14ac:dyDescent="0.3">
      <c r="A418" s="69">
        <f t="shared" si="11"/>
        <v>40890</v>
      </c>
      <c r="B418" s="63">
        <v>1</v>
      </c>
      <c r="E418" s="117">
        <v>415</v>
      </c>
      <c r="F418" s="117">
        <v>287</v>
      </c>
      <c r="G418" s="117">
        <v>367</v>
      </c>
      <c r="H418" s="117">
        <v>367</v>
      </c>
      <c r="I418" s="117">
        <v>265</v>
      </c>
      <c r="J418" s="117">
        <v>363</v>
      </c>
    </row>
    <row r="419" spans="1:10" x14ac:dyDescent="0.3">
      <c r="A419" s="69">
        <f t="shared" si="11"/>
        <v>40897</v>
      </c>
      <c r="B419" s="63">
        <v>1</v>
      </c>
      <c r="E419" s="68">
        <v>375</v>
      </c>
      <c r="F419" s="68">
        <v>278</v>
      </c>
      <c r="G419" s="68">
        <v>358</v>
      </c>
      <c r="H419" s="68">
        <v>358</v>
      </c>
      <c r="I419" s="68">
        <v>243</v>
      </c>
      <c r="J419" s="68">
        <v>334</v>
      </c>
    </row>
    <row r="420" spans="1:10" x14ac:dyDescent="0.3">
      <c r="A420" s="69">
        <f t="shared" si="11"/>
        <v>40904</v>
      </c>
      <c r="B420" s="63">
        <v>1</v>
      </c>
      <c r="E420" s="63">
        <v>355</v>
      </c>
      <c r="F420" s="63">
        <v>250</v>
      </c>
      <c r="G420" s="63">
        <v>335</v>
      </c>
      <c r="H420" s="63">
        <v>335</v>
      </c>
      <c r="I420" s="63">
        <v>235</v>
      </c>
      <c r="J420" s="68">
        <v>322.22707423580789</v>
      </c>
    </row>
    <row r="421" spans="1:10" x14ac:dyDescent="0.3">
      <c r="A421" s="69">
        <f t="shared" si="11"/>
        <v>40911</v>
      </c>
      <c r="B421" s="63">
        <v>2</v>
      </c>
      <c r="E421" s="116">
        <v>370</v>
      </c>
      <c r="F421" s="116">
        <v>266.66666666666669</v>
      </c>
      <c r="G421" s="116">
        <v>345</v>
      </c>
      <c r="H421" s="116">
        <v>345</v>
      </c>
      <c r="I421" s="116">
        <v>240</v>
      </c>
      <c r="J421" s="116">
        <v>329.08296943231443</v>
      </c>
    </row>
    <row r="422" spans="1:10" x14ac:dyDescent="0.3">
      <c r="A422" s="69">
        <f t="shared" si="11"/>
        <v>40918</v>
      </c>
      <c r="B422" s="63">
        <v>2</v>
      </c>
      <c r="E422" s="116">
        <v>370</v>
      </c>
      <c r="F422" s="116">
        <v>276.66666666666669</v>
      </c>
      <c r="G422" s="116">
        <v>350</v>
      </c>
      <c r="H422" s="116">
        <v>350</v>
      </c>
      <c r="I422" s="116">
        <v>236.66666666666666</v>
      </c>
      <c r="J422" s="116">
        <v>324.51237263464333</v>
      </c>
    </row>
    <row r="423" spans="1:10" x14ac:dyDescent="0.3">
      <c r="A423" s="69">
        <f t="shared" si="11"/>
        <v>40925</v>
      </c>
      <c r="B423" s="63">
        <v>2</v>
      </c>
      <c r="E423" s="68">
        <v>365</v>
      </c>
      <c r="F423" s="68">
        <v>293.33333333333331</v>
      </c>
      <c r="G423" s="68">
        <v>340</v>
      </c>
      <c r="H423" s="68">
        <v>340</v>
      </c>
      <c r="I423" s="68">
        <v>240</v>
      </c>
      <c r="J423" s="68">
        <v>329.08296943231443</v>
      </c>
    </row>
    <row r="424" spans="1:10" x14ac:dyDescent="0.3">
      <c r="A424" s="69">
        <f t="shared" si="11"/>
        <v>40932</v>
      </c>
      <c r="B424" s="63">
        <v>2</v>
      </c>
      <c r="E424" s="68">
        <v>380</v>
      </c>
      <c r="F424" s="68">
        <v>307</v>
      </c>
      <c r="G424" s="68">
        <v>342</v>
      </c>
      <c r="H424" s="68">
        <v>342</v>
      </c>
      <c r="I424" s="68">
        <v>237</v>
      </c>
      <c r="J424" s="68">
        <v>325</v>
      </c>
    </row>
    <row r="425" spans="1:10" x14ac:dyDescent="0.3">
      <c r="A425" s="69">
        <f t="shared" si="11"/>
        <v>40939</v>
      </c>
      <c r="B425" s="63">
        <v>2</v>
      </c>
      <c r="E425" s="68">
        <v>430</v>
      </c>
      <c r="F425" s="68">
        <v>337</v>
      </c>
      <c r="G425" s="68">
        <v>372</v>
      </c>
      <c r="H425" s="68">
        <v>372</v>
      </c>
      <c r="I425" s="68">
        <v>265</v>
      </c>
      <c r="J425" s="68">
        <v>363</v>
      </c>
    </row>
    <row r="426" spans="1:10" x14ac:dyDescent="0.3">
      <c r="A426" s="69">
        <f t="shared" si="11"/>
        <v>40946</v>
      </c>
      <c r="B426" s="63">
        <v>3</v>
      </c>
      <c r="D426" s="118">
        <v>390</v>
      </c>
      <c r="E426" s="118">
        <v>382.5</v>
      </c>
      <c r="F426" s="118">
        <v>290</v>
      </c>
      <c r="G426" s="118">
        <v>347.5</v>
      </c>
      <c r="H426" s="118">
        <v>347.5</v>
      </c>
      <c r="I426" s="118">
        <v>247.5</v>
      </c>
      <c r="J426" s="118">
        <v>338.22416302765646</v>
      </c>
    </row>
    <row r="427" spans="1:10" x14ac:dyDescent="0.3">
      <c r="A427" s="69">
        <f t="shared" si="11"/>
        <v>40953</v>
      </c>
      <c r="B427" s="63">
        <v>3</v>
      </c>
      <c r="D427" s="118">
        <v>408.33333333333331</v>
      </c>
      <c r="E427" s="118">
        <v>398.33333333333331</v>
      </c>
      <c r="F427" s="118">
        <v>305</v>
      </c>
      <c r="G427" s="118">
        <v>348.33333333333331</v>
      </c>
      <c r="H427" s="118">
        <v>348.33333333333331</v>
      </c>
      <c r="I427" s="118">
        <v>253</v>
      </c>
      <c r="J427" s="118">
        <v>363.36244541484712</v>
      </c>
    </row>
    <row r="428" spans="1:10" x14ac:dyDescent="0.3">
      <c r="A428" s="69">
        <f t="shared" si="11"/>
        <v>40960</v>
      </c>
      <c r="B428" s="63">
        <v>3</v>
      </c>
      <c r="D428" s="63">
        <v>422</v>
      </c>
      <c r="E428" s="68">
        <v>395</v>
      </c>
      <c r="F428" s="68">
        <v>287</v>
      </c>
      <c r="G428" s="68">
        <v>333</v>
      </c>
      <c r="H428" s="68">
        <v>333</v>
      </c>
      <c r="I428" s="68">
        <v>253</v>
      </c>
      <c r="J428" s="68">
        <v>347</v>
      </c>
    </row>
    <row r="429" spans="1:10" x14ac:dyDescent="0.3">
      <c r="A429" s="69">
        <f t="shared" si="11"/>
        <v>40967</v>
      </c>
      <c r="B429" s="63">
        <v>3</v>
      </c>
      <c r="D429" s="63">
        <v>407</v>
      </c>
      <c r="E429" s="68">
        <v>382</v>
      </c>
      <c r="F429" s="68">
        <v>282</v>
      </c>
      <c r="G429" s="68">
        <v>342</v>
      </c>
      <c r="H429" s="68">
        <v>3342</v>
      </c>
      <c r="I429" s="68">
        <v>243</v>
      </c>
      <c r="J429" s="68">
        <v>334</v>
      </c>
    </row>
    <row r="430" spans="1:10" x14ac:dyDescent="0.3">
      <c r="A430" s="69">
        <f t="shared" si="11"/>
        <v>40974</v>
      </c>
      <c r="B430" s="63">
        <v>4</v>
      </c>
      <c r="C430" s="63">
        <v>427</v>
      </c>
      <c r="D430" s="63">
        <v>382</v>
      </c>
      <c r="E430" s="68">
        <v>350</v>
      </c>
      <c r="F430" s="68">
        <v>258</v>
      </c>
      <c r="G430" s="68">
        <v>335</v>
      </c>
      <c r="H430" s="68">
        <v>335</v>
      </c>
      <c r="I430" s="68">
        <v>232</v>
      </c>
      <c r="J430" s="68">
        <v>318</v>
      </c>
    </row>
    <row r="431" spans="1:10" x14ac:dyDescent="0.3">
      <c r="A431" s="69">
        <f t="shared" si="11"/>
        <v>40981</v>
      </c>
      <c r="B431" s="63">
        <v>4</v>
      </c>
      <c r="C431" s="63">
        <v>433</v>
      </c>
      <c r="D431" s="63">
        <v>378</v>
      </c>
      <c r="E431" s="68">
        <v>355</v>
      </c>
      <c r="F431" s="68">
        <v>257</v>
      </c>
      <c r="G431" s="68">
        <v>327</v>
      </c>
      <c r="H431" s="68">
        <v>327</v>
      </c>
      <c r="I431" s="68">
        <v>230</v>
      </c>
      <c r="J431" s="68">
        <v>315</v>
      </c>
    </row>
    <row r="432" spans="1:10" x14ac:dyDescent="0.3">
      <c r="A432" s="69">
        <f t="shared" si="11"/>
        <v>40988</v>
      </c>
      <c r="B432" s="63">
        <v>4</v>
      </c>
      <c r="C432" s="63">
        <v>435</v>
      </c>
      <c r="D432" s="63">
        <v>377</v>
      </c>
      <c r="E432" s="68">
        <v>358</v>
      </c>
      <c r="F432" s="68">
        <v>258</v>
      </c>
      <c r="G432" s="68">
        <v>317</v>
      </c>
      <c r="H432" s="68">
        <v>317</v>
      </c>
      <c r="I432" s="68">
        <v>223</v>
      </c>
      <c r="J432" s="68">
        <v>306</v>
      </c>
    </row>
    <row r="433" spans="1:10" x14ac:dyDescent="0.3">
      <c r="A433" s="69">
        <f t="shared" si="11"/>
        <v>40995</v>
      </c>
      <c r="B433" s="63">
        <v>4</v>
      </c>
      <c r="C433" s="63">
        <v>425</v>
      </c>
      <c r="D433" s="63">
        <v>367.5</v>
      </c>
      <c r="E433" s="68">
        <v>340</v>
      </c>
      <c r="F433" s="68">
        <v>250</v>
      </c>
      <c r="G433" s="68">
        <v>305</v>
      </c>
      <c r="H433" s="68">
        <v>305</v>
      </c>
      <c r="I433" s="68">
        <v>222.5</v>
      </c>
      <c r="J433" s="68">
        <v>203.391557496361</v>
      </c>
    </row>
    <row r="434" spans="1:10" x14ac:dyDescent="0.3">
      <c r="A434" s="69">
        <f t="shared" si="11"/>
        <v>41002</v>
      </c>
      <c r="B434" s="63">
        <v>5</v>
      </c>
      <c r="C434" s="63">
        <v>427</v>
      </c>
      <c r="D434" s="63">
        <v>368</v>
      </c>
      <c r="E434" s="68">
        <v>333</v>
      </c>
      <c r="F434" s="68">
        <v>247</v>
      </c>
      <c r="G434" s="68">
        <v>292</v>
      </c>
      <c r="H434" s="68">
        <v>292</v>
      </c>
      <c r="I434" s="68">
        <v>218</v>
      </c>
      <c r="J434" s="68">
        <v>299</v>
      </c>
    </row>
    <row r="435" spans="1:10" x14ac:dyDescent="0.3">
      <c r="A435" s="69">
        <f t="shared" si="11"/>
        <v>41009</v>
      </c>
      <c r="B435" s="63">
        <v>5</v>
      </c>
      <c r="C435" s="68">
        <v>427.5</v>
      </c>
      <c r="D435" s="68">
        <v>360</v>
      </c>
      <c r="E435" s="68">
        <v>325</v>
      </c>
      <c r="F435" s="68">
        <v>237.5</v>
      </c>
      <c r="G435" s="68">
        <v>290</v>
      </c>
      <c r="H435" s="68">
        <v>290</v>
      </c>
      <c r="I435" s="68">
        <v>212.5</v>
      </c>
      <c r="J435" s="68">
        <v>291.37554585152839</v>
      </c>
    </row>
    <row r="436" spans="1:10" x14ac:dyDescent="0.3">
      <c r="A436" s="69">
        <f t="shared" si="11"/>
        <v>41016</v>
      </c>
      <c r="B436" s="63">
        <v>5</v>
      </c>
      <c r="C436" s="63">
        <v>423</v>
      </c>
      <c r="D436" s="63">
        <v>353</v>
      </c>
      <c r="E436" s="68">
        <v>330</v>
      </c>
      <c r="F436" s="68">
        <v>243</v>
      </c>
      <c r="G436" s="68">
        <v>283</v>
      </c>
      <c r="H436" s="68">
        <v>283</v>
      </c>
      <c r="I436" s="68">
        <v>215</v>
      </c>
      <c r="J436" s="68">
        <v>295</v>
      </c>
    </row>
    <row r="437" spans="1:10" x14ac:dyDescent="0.3">
      <c r="A437" s="69">
        <f t="shared" si="11"/>
        <v>41023</v>
      </c>
      <c r="B437" s="63">
        <v>5</v>
      </c>
      <c r="C437" s="63">
        <v>425</v>
      </c>
      <c r="D437" s="68">
        <v>351.66666666666669</v>
      </c>
      <c r="E437" s="68">
        <v>323.33333333333331</v>
      </c>
      <c r="F437" s="68">
        <v>235</v>
      </c>
      <c r="G437" s="68">
        <v>283.33333333333331</v>
      </c>
      <c r="H437" s="68">
        <v>283.33333333333331</v>
      </c>
      <c r="I437" s="68">
        <v>210</v>
      </c>
      <c r="J437" s="68">
        <v>287.94759825327515</v>
      </c>
    </row>
    <row r="438" spans="1:10" x14ac:dyDescent="0.3">
      <c r="A438" s="69">
        <f t="shared" si="11"/>
        <v>41030</v>
      </c>
      <c r="B438" s="63">
        <v>6</v>
      </c>
      <c r="C438" s="63">
        <v>432</v>
      </c>
      <c r="D438" s="63">
        <v>363</v>
      </c>
      <c r="E438" s="68">
        <v>348</v>
      </c>
      <c r="F438" s="68">
        <v>250</v>
      </c>
      <c r="G438" s="68">
        <v>297</v>
      </c>
      <c r="H438" s="68">
        <v>297</v>
      </c>
      <c r="I438" s="68">
        <v>228</v>
      </c>
      <c r="J438" s="68">
        <v>313</v>
      </c>
    </row>
    <row r="439" spans="1:10" x14ac:dyDescent="0.3">
      <c r="A439" s="69">
        <f t="shared" si="11"/>
        <v>41037</v>
      </c>
      <c r="B439" s="63">
        <v>6</v>
      </c>
      <c r="C439" s="63">
        <v>443</v>
      </c>
      <c r="D439" s="63">
        <v>372</v>
      </c>
      <c r="E439" s="68">
        <v>353</v>
      </c>
      <c r="F439" s="68">
        <v>258</v>
      </c>
      <c r="G439" s="68">
        <v>292</v>
      </c>
      <c r="H439" s="68">
        <v>292</v>
      </c>
      <c r="I439" s="68">
        <v>225</v>
      </c>
      <c r="J439" s="68">
        <v>309</v>
      </c>
    </row>
    <row r="440" spans="1:10" x14ac:dyDescent="0.3">
      <c r="A440" s="69">
        <f t="shared" si="11"/>
        <v>41044</v>
      </c>
      <c r="B440" s="63">
        <v>6</v>
      </c>
      <c r="C440" s="117">
        <v>438.33333333333331</v>
      </c>
      <c r="D440" s="117">
        <v>366.66666666666669</v>
      </c>
      <c r="E440" s="117">
        <v>348.33333333333331</v>
      </c>
      <c r="F440" s="121">
        <v>253.33333333333334</v>
      </c>
      <c r="G440" s="117">
        <v>276.66666666666669</v>
      </c>
      <c r="H440" s="117">
        <v>276.66666666666669</v>
      </c>
      <c r="I440" s="117">
        <v>223.33333333333334</v>
      </c>
      <c r="J440" s="117">
        <v>306.22998544395927</v>
      </c>
    </row>
    <row r="441" spans="1:10" x14ac:dyDescent="0.3">
      <c r="A441" s="69">
        <f t="shared" si="11"/>
        <v>41051</v>
      </c>
      <c r="B441" s="63">
        <v>6</v>
      </c>
      <c r="C441" s="63">
        <v>423</v>
      </c>
      <c r="D441" s="63">
        <v>353</v>
      </c>
      <c r="E441" s="68">
        <v>330</v>
      </c>
      <c r="F441" s="68">
        <v>240</v>
      </c>
      <c r="G441" s="68">
        <v>278</v>
      </c>
      <c r="H441" s="68">
        <v>278</v>
      </c>
      <c r="I441" s="68">
        <v>215</v>
      </c>
      <c r="J441" s="68">
        <v>295</v>
      </c>
    </row>
    <row r="442" spans="1:10" x14ac:dyDescent="0.3">
      <c r="A442" s="69">
        <f t="shared" si="11"/>
        <v>41058</v>
      </c>
      <c r="B442" s="63">
        <v>6</v>
      </c>
      <c r="C442" s="68">
        <v>422.5</v>
      </c>
      <c r="D442" s="68">
        <v>355</v>
      </c>
      <c r="E442" s="68">
        <v>432.5</v>
      </c>
      <c r="F442" s="68">
        <v>242.5</v>
      </c>
      <c r="G442" s="68">
        <v>280</v>
      </c>
      <c r="H442" s="68">
        <v>280</v>
      </c>
      <c r="I442" s="68">
        <v>212.5</v>
      </c>
      <c r="J442" s="68">
        <v>291.37554585152839</v>
      </c>
    </row>
    <row r="443" spans="1:10" x14ac:dyDescent="0.3">
      <c r="A443" s="69">
        <f t="shared" si="11"/>
        <v>41065</v>
      </c>
      <c r="B443" s="63">
        <v>7</v>
      </c>
      <c r="C443" s="122">
        <v>412.5</v>
      </c>
      <c r="D443" s="122">
        <v>335</v>
      </c>
      <c r="E443" s="122">
        <v>315</v>
      </c>
      <c r="F443" s="122">
        <v>240</v>
      </c>
      <c r="G443" s="122">
        <v>275</v>
      </c>
      <c r="H443" s="122">
        <v>275</v>
      </c>
      <c r="I443" s="122">
        <v>216.25</v>
      </c>
      <c r="J443" s="122">
        <v>299.37409024745267</v>
      </c>
    </row>
    <row r="444" spans="1:10" x14ac:dyDescent="0.3">
      <c r="A444" s="69">
        <f t="shared" si="11"/>
        <v>41072</v>
      </c>
      <c r="B444" s="63">
        <v>7</v>
      </c>
      <c r="C444" s="68">
        <v>407.5</v>
      </c>
      <c r="D444" s="68">
        <v>335</v>
      </c>
      <c r="E444" s="68">
        <v>307.5</v>
      </c>
      <c r="F444" s="68">
        <v>235</v>
      </c>
      <c r="G444" s="68">
        <v>283.75</v>
      </c>
      <c r="H444" s="68">
        <v>283.75</v>
      </c>
      <c r="I444" s="68">
        <v>217.5</v>
      </c>
      <c r="J444" s="68">
        <v>306.22998544395927</v>
      </c>
    </row>
    <row r="445" spans="1:10" x14ac:dyDescent="0.3">
      <c r="A445" s="69">
        <f t="shared" si="11"/>
        <v>41079</v>
      </c>
      <c r="B445" s="63">
        <v>7</v>
      </c>
      <c r="C445" s="68">
        <v>385</v>
      </c>
      <c r="D445" s="68">
        <v>312.5</v>
      </c>
      <c r="E445" s="68">
        <v>295</v>
      </c>
      <c r="F445" s="68">
        <v>250</v>
      </c>
      <c r="G445" s="68">
        <v>275</v>
      </c>
      <c r="H445" s="68">
        <v>275</v>
      </c>
      <c r="I445" s="68">
        <v>225</v>
      </c>
      <c r="J445" s="68">
        <v>308.51528384279476</v>
      </c>
    </row>
    <row r="446" spans="1:10" x14ac:dyDescent="0.3">
      <c r="A446" s="69">
        <f t="shared" si="11"/>
        <v>41086</v>
      </c>
      <c r="B446" s="63">
        <v>7</v>
      </c>
      <c r="C446" s="68">
        <v>385</v>
      </c>
      <c r="D446" s="68">
        <v>303.33333333333331</v>
      </c>
      <c r="E446" s="68">
        <v>296.66666666666669</v>
      </c>
      <c r="F446" s="68">
        <v>250</v>
      </c>
      <c r="G446" s="68">
        <v>268.33333333333331</v>
      </c>
      <c r="H446" s="68">
        <v>268.33333333333331</v>
      </c>
      <c r="I446" s="68">
        <v>226.66666666666666</v>
      </c>
      <c r="J446" s="68">
        <v>310.80058224163025</v>
      </c>
    </row>
    <row r="447" spans="1:10" x14ac:dyDescent="0.3">
      <c r="A447" s="69">
        <f t="shared" si="11"/>
        <v>41093</v>
      </c>
      <c r="B447" s="63">
        <v>8</v>
      </c>
      <c r="C447" s="68">
        <v>425</v>
      </c>
      <c r="D447" s="68">
        <v>373</v>
      </c>
      <c r="E447" s="68">
        <v>360</v>
      </c>
      <c r="F447" s="68">
        <v>350</v>
      </c>
      <c r="G447" s="68">
        <v>348</v>
      </c>
      <c r="H447" s="68">
        <v>348</v>
      </c>
      <c r="I447" s="68">
        <v>325</v>
      </c>
      <c r="J447" s="68">
        <v>446</v>
      </c>
    </row>
    <row r="448" spans="1:10" x14ac:dyDescent="0.3">
      <c r="A448" s="69">
        <f t="shared" si="11"/>
        <v>41100</v>
      </c>
      <c r="B448" s="63">
        <v>8</v>
      </c>
      <c r="C448" s="68">
        <v>470</v>
      </c>
      <c r="D448" s="68">
        <v>396.66666666666669</v>
      </c>
      <c r="E448" s="68">
        <v>405</v>
      </c>
      <c r="F448" s="68">
        <v>350</v>
      </c>
      <c r="G448" s="68">
        <v>373.33333333333331</v>
      </c>
      <c r="H448" s="68">
        <v>373.33333333333331</v>
      </c>
      <c r="I448" s="68">
        <v>310</v>
      </c>
      <c r="J448" s="68">
        <v>425.06550218340612</v>
      </c>
    </row>
    <row r="449" spans="1:10" x14ac:dyDescent="0.3">
      <c r="A449" s="69">
        <f t="shared" si="11"/>
        <v>41107</v>
      </c>
      <c r="B449" s="63">
        <v>8</v>
      </c>
      <c r="C449" s="116">
        <v>517.5</v>
      </c>
      <c r="D449" s="116">
        <v>425</v>
      </c>
      <c r="E449" s="116">
        <v>417.5</v>
      </c>
      <c r="F449" s="116">
        <v>395</v>
      </c>
      <c r="G449" s="116">
        <v>400</v>
      </c>
      <c r="H449" s="116">
        <v>400</v>
      </c>
      <c r="I449" s="116">
        <v>345</v>
      </c>
      <c r="J449" s="116">
        <v>473.05676855895194</v>
      </c>
    </row>
    <row r="450" spans="1:10" x14ac:dyDescent="0.3">
      <c r="A450" s="69">
        <f t="shared" si="11"/>
        <v>41114</v>
      </c>
      <c r="B450" s="63">
        <v>8</v>
      </c>
      <c r="C450" s="116">
        <v>486.66666666666669</v>
      </c>
      <c r="D450" s="116">
        <v>415</v>
      </c>
      <c r="E450" s="116">
        <v>415</v>
      </c>
      <c r="F450" s="116">
        <v>373.33333333333331</v>
      </c>
      <c r="G450" s="116">
        <v>406.66666666666669</v>
      </c>
      <c r="H450" s="116">
        <v>406.66666666666669</v>
      </c>
      <c r="I450" s="116">
        <v>363.33333333333331</v>
      </c>
      <c r="J450" s="116">
        <v>498.19505094614266</v>
      </c>
    </row>
    <row r="451" spans="1:10" x14ac:dyDescent="0.3">
      <c r="A451" s="69">
        <f t="shared" si="11"/>
        <v>41121</v>
      </c>
      <c r="B451" s="63">
        <v>8</v>
      </c>
      <c r="C451" s="116">
        <v>455</v>
      </c>
      <c r="D451" s="116">
        <v>386.66666666666669</v>
      </c>
      <c r="E451" s="116">
        <v>383.33333333333331</v>
      </c>
      <c r="F451" s="116">
        <v>360</v>
      </c>
      <c r="G451" s="116">
        <v>358.33333333333331</v>
      </c>
      <c r="H451" s="116">
        <v>358.33333333333331</v>
      </c>
      <c r="I451" s="116">
        <v>341.66666666666669</v>
      </c>
      <c r="J451" s="116">
        <v>468.4861717612809</v>
      </c>
    </row>
    <row r="452" spans="1:10" x14ac:dyDescent="0.3">
      <c r="A452" s="69">
        <f t="shared" si="11"/>
        <v>41128</v>
      </c>
      <c r="B452" s="63">
        <v>9</v>
      </c>
      <c r="C452" s="116">
        <v>458.33333333333331</v>
      </c>
      <c r="D452" s="116">
        <v>436.66666666666669</v>
      </c>
      <c r="E452" s="116">
        <v>420</v>
      </c>
      <c r="F452" s="116">
        <v>393.33333333333331</v>
      </c>
      <c r="G452" s="116">
        <v>413.33333333333331</v>
      </c>
      <c r="H452" s="116">
        <v>413.33333333333331</v>
      </c>
      <c r="I452" s="116">
        <v>368.33333333333331</v>
      </c>
      <c r="J452" s="116">
        <v>505.05094614264925</v>
      </c>
    </row>
    <row r="453" spans="1:10" x14ac:dyDescent="0.3">
      <c r="A453" s="69">
        <f t="shared" si="11"/>
        <v>41135</v>
      </c>
      <c r="B453" s="63">
        <v>9</v>
      </c>
      <c r="C453" s="68">
        <v>475</v>
      </c>
      <c r="D453" s="68">
        <v>457</v>
      </c>
      <c r="E453" s="68">
        <v>455</v>
      </c>
      <c r="F453" s="68">
        <v>458</v>
      </c>
      <c r="G453" s="68">
        <v>437</v>
      </c>
      <c r="H453" s="68">
        <v>437</v>
      </c>
      <c r="I453" s="68">
        <v>425</v>
      </c>
      <c r="J453" s="68">
        <v>583</v>
      </c>
    </row>
    <row r="454" spans="1:10" x14ac:dyDescent="0.3">
      <c r="A454" s="124">
        <f t="shared" ref="A454:A567" si="12">7+A453</f>
        <v>41142</v>
      </c>
      <c r="B454" s="57">
        <v>9</v>
      </c>
      <c r="C454" s="125">
        <v>471.66666666666669</v>
      </c>
      <c r="D454" s="125">
        <v>431.66666666666669</v>
      </c>
      <c r="E454" s="125">
        <v>428.33333333333331</v>
      </c>
      <c r="F454" s="125">
        <v>403.33333333333331</v>
      </c>
      <c r="G454" s="125">
        <v>383.33333333333331</v>
      </c>
      <c r="H454" s="125">
        <v>383.33333333333331</v>
      </c>
      <c r="I454" s="125">
        <v>396.66666666666669</v>
      </c>
      <c r="J454" s="125">
        <v>543.90101892285293</v>
      </c>
    </row>
    <row r="455" spans="1:10" x14ac:dyDescent="0.3">
      <c r="A455" s="124">
        <f t="shared" si="12"/>
        <v>41149</v>
      </c>
      <c r="B455" s="57">
        <v>9</v>
      </c>
      <c r="C455" s="68">
        <v>492.5</v>
      </c>
      <c r="D455" s="68">
        <v>500</v>
      </c>
      <c r="E455" s="68">
        <v>500</v>
      </c>
      <c r="F455" s="68">
        <v>500</v>
      </c>
      <c r="G455" s="68">
        <v>462.5</v>
      </c>
      <c r="H455" s="68">
        <v>462.5</v>
      </c>
      <c r="I455" s="68">
        <v>500</v>
      </c>
      <c r="J455" s="68">
        <v>685.58951965065501</v>
      </c>
    </row>
    <row r="456" spans="1:10" x14ac:dyDescent="0.3">
      <c r="A456" s="124">
        <f t="shared" si="12"/>
        <v>41156</v>
      </c>
      <c r="B456" s="57">
        <v>10</v>
      </c>
      <c r="C456" s="68">
        <v>575</v>
      </c>
      <c r="D456" s="68">
        <v>537.5</v>
      </c>
      <c r="E456" s="68">
        <v>550</v>
      </c>
      <c r="F456" s="68">
        <v>507.5</v>
      </c>
      <c r="G456" s="68">
        <v>532.5</v>
      </c>
      <c r="H456" s="68">
        <v>532.5</v>
      </c>
      <c r="I456" s="68">
        <v>550</v>
      </c>
      <c r="J456" s="68">
        <v>754</v>
      </c>
    </row>
    <row r="457" spans="1:10" x14ac:dyDescent="0.3">
      <c r="A457" s="124">
        <f t="shared" si="12"/>
        <v>41163</v>
      </c>
      <c r="B457" s="57">
        <v>10</v>
      </c>
      <c r="C457" s="68">
        <v>587.5</v>
      </c>
      <c r="D457" s="68">
        <v>585</v>
      </c>
      <c r="E457" s="68">
        <v>590</v>
      </c>
      <c r="F457" s="68">
        <v>562.5</v>
      </c>
      <c r="G457" s="68">
        <v>570</v>
      </c>
      <c r="H457" s="68">
        <v>570</v>
      </c>
      <c r="I457" s="68">
        <v>575</v>
      </c>
      <c r="J457" s="68">
        <v>788.42794759825324</v>
      </c>
    </row>
    <row r="458" spans="1:10" x14ac:dyDescent="0.3">
      <c r="A458" s="124">
        <f t="shared" si="12"/>
        <v>41170</v>
      </c>
      <c r="B458" s="57">
        <v>10</v>
      </c>
      <c r="C458" s="68">
        <v>657.5</v>
      </c>
      <c r="D458" s="68">
        <v>620</v>
      </c>
      <c r="E458" s="68">
        <v>632.5</v>
      </c>
      <c r="F458" s="68">
        <v>625</v>
      </c>
      <c r="G458" s="68">
        <v>637.5</v>
      </c>
      <c r="H458" s="68">
        <v>637.5</v>
      </c>
      <c r="I458" s="68">
        <v>612.5</v>
      </c>
      <c r="J458" s="68">
        <v>839.8471615720523</v>
      </c>
    </row>
    <row r="459" spans="1:10" x14ac:dyDescent="0.3">
      <c r="A459" s="124">
        <f t="shared" si="12"/>
        <v>41177</v>
      </c>
      <c r="B459" s="57">
        <v>10</v>
      </c>
      <c r="C459" s="68">
        <v>630</v>
      </c>
      <c r="D459" s="68">
        <v>610</v>
      </c>
      <c r="E459" s="68">
        <v>621.66666666666663</v>
      </c>
      <c r="F459" s="68">
        <v>558.33333333333337</v>
      </c>
      <c r="G459" s="68">
        <v>616.66666666666663</v>
      </c>
      <c r="H459" s="68">
        <v>616.66666666666663</v>
      </c>
      <c r="I459" s="68">
        <v>500</v>
      </c>
      <c r="J459" s="68">
        <v>685.58951965065501</v>
      </c>
    </row>
    <row r="460" spans="1:10" x14ac:dyDescent="0.3">
      <c r="A460" s="124">
        <f t="shared" si="12"/>
        <v>41184</v>
      </c>
      <c r="B460" s="57">
        <v>11</v>
      </c>
      <c r="C460" s="122">
        <v>593</v>
      </c>
      <c r="D460" s="122">
        <v>513</v>
      </c>
      <c r="E460" s="122">
        <v>498</v>
      </c>
      <c r="F460" s="122">
        <v>417</v>
      </c>
      <c r="G460" s="122">
        <v>508</v>
      </c>
      <c r="H460" s="122">
        <v>508</v>
      </c>
      <c r="I460" s="122">
        <v>392</v>
      </c>
      <c r="J460" s="122">
        <v>537</v>
      </c>
    </row>
    <row r="461" spans="1:10" x14ac:dyDescent="0.3">
      <c r="A461" s="124">
        <f t="shared" si="12"/>
        <v>41191</v>
      </c>
      <c r="B461" s="57">
        <v>11</v>
      </c>
      <c r="C461" s="21">
        <v>487.5</v>
      </c>
      <c r="D461" s="21">
        <v>452.5</v>
      </c>
      <c r="E461" s="116">
        <v>425</v>
      </c>
      <c r="F461" s="116">
        <v>362.5</v>
      </c>
      <c r="G461" s="116">
        <v>412.5</v>
      </c>
      <c r="H461" s="116">
        <v>412.5</v>
      </c>
      <c r="I461" s="116">
        <v>332.5</v>
      </c>
      <c r="J461" s="116">
        <v>455.91703056768563</v>
      </c>
    </row>
    <row r="462" spans="1:10" x14ac:dyDescent="0.3">
      <c r="A462" s="124">
        <f t="shared" si="12"/>
        <v>41198</v>
      </c>
      <c r="B462" s="57">
        <v>11</v>
      </c>
      <c r="C462" s="122">
        <v>475</v>
      </c>
      <c r="D462" s="122">
        <v>450</v>
      </c>
      <c r="E462" s="122">
        <v>412.5</v>
      </c>
      <c r="F462" s="122">
        <v>400</v>
      </c>
      <c r="G462" s="122">
        <v>487.5</v>
      </c>
      <c r="H462" s="122">
        <v>487.5</v>
      </c>
      <c r="I462" s="122">
        <v>362.5</v>
      </c>
      <c r="J462" s="122">
        <v>497.05240174672485</v>
      </c>
    </row>
    <row r="463" spans="1:10" x14ac:dyDescent="0.3">
      <c r="A463" s="124">
        <f t="shared" si="12"/>
        <v>41205</v>
      </c>
      <c r="B463" s="63">
        <v>11</v>
      </c>
      <c r="C463" s="68">
        <v>562.5</v>
      </c>
      <c r="D463" s="68">
        <v>472.5</v>
      </c>
      <c r="E463" s="68">
        <v>457.5</v>
      </c>
      <c r="F463" s="68">
        <v>422.5</v>
      </c>
      <c r="G463" s="68">
        <v>452.5</v>
      </c>
      <c r="H463" s="68">
        <v>452.5</v>
      </c>
      <c r="I463" s="68">
        <v>387.5</v>
      </c>
      <c r="J463" s="68">
        <v>531.33187772925771</v>
      </c>
    </row>
    <row r="464" spans="1:10" x14ac:dyDescent="0.3">
      <c r="A464" s="124">
        <f t="shared" si="12"/>
        <v>41212</v>
      </c>
      <c r="B464" s="63">
        <v>11</v>
      </c>
      <c r="C464" s="126">
        <v>575</v>
      </c>
      <c r="D464" s="126">
        <v>513.33333333333337</v>
      </c>
      <c r="E464" s="126">
        <v>491.66666666666669</v>
      </c>
      <c r="F464" s="126">
        <v>480</v>
      </c>
      <c r="G464" s="126">
        <v>491.66666666666669</v>
      </c>
      <c r="H464" s="126">
        <v>491.66666666666669</v>
      </c>
      <c r="I464" s="126">
        <v>455</v>
      </c>
      <c r="J464" s="126">
        <v>623.88646288209611</v>
      </c>
    </row>
    <row r="465" spans="1:10" x14ac:dyDescent="0.3">
      <c r="A465" s="124">
        <f t="shared" si="12"/>
        <v>41219</v>
      </c>
      <c r="B465" s="63">
        <v>12</v>
      </c>
      <c r="E465" s="68">
        <v>452.5</v>
      </c>
      <c r="F465" s="68">
        <v>400</v>
      </c>
      <c r="G465" s="68">
        <v>367.5</v>
      </c>
      <c r="H465" s="68">
        <v>367.5</v>
      </c>
      <c r="I465" s="68">
        <v>320</v>
      </c>
      <c r="J465" s="68">
        <v>438.7772925764192</v>
      </c>
    </row>
    <row r="466" spans="1:10" x14ac:dyDescent="0.3">
      <c r="A466" s="124">
        <f t="shared" si="12"/>
        <v>41226</v>
      </c>
      <c r="B466" s="63">
        <v>12</v>
      </c>
      <c r="E466" s="68">
        <v>476.66666666666669</v>
      </c>
      <c r="F466" s="68">
        <v>446.66666666666669</v>
      </c>
      <c r="G466" s="68">
        <v>368.33333333333331</v>
      </c>
      <c r="H466" s="68">
        <v>368.33333333333331</v>
      </c>
      <c r="I466" s="68">
        <v>325</v>
      </c>
      <c r="J466" s="68">
        <v>445.63318777292574</v>
      </c>
    </row>
    <row r="467" spans="1:10" x14ac:dyDescent="0.3">
      <c r="A467" s="124">
        <f t="shared" si="12"/>
        <v>41233</v>
      </c>
      <c r="B467" s="63">
        <v>12</v>
      </c>
      <c r="C467" s="68"/>
      <c r="D467" s="68"/>
      <c r="E467" s="68">
        <v>567</v>
      </c>
      <c r="F467" s="68">
        <v>508</v>
      </c>
      <c r="G467" s="68">
        <v>450</v>
      </c>
      <c r="H467" s="68">
        <v>450</v>
      </c>
      <c r="I467" s="68">
        <v>350</v>
      </c>
      <c r="J467" s="68">
        <v>480</v>
      </c>
    </row>
    <row r="468" spans="1:10" x14ac:dyDescent="0.3">
      <c r="A468" s="124">
        <f t="shared" si="12"/>
        <v>41240</v>
      </c>
      <c r="B468" s="63">
        <v>12</v>
      </c>
      <c r="E468" s="68">
        <v>563</v>
      </c>
      <c r="F468" s="68">
        <v>470</v>
      </c>
      <c r="G468" s="68">
        <v>450</v>
      </c>
      <c r="H468" s="68">
        <v>450</v>
      </c>
      <c r="I468" s="68">
        <v>343</v>
      </c>
      <c r="J468" s="68">
        <v>470</v>
      </c>
    </row>
    <row r="469" spans="1:10" x14ac:dyDescent="0.3">
      <c r="A469" s="124">
        <f t="shared" si="12"/>
        <v>41247</v>
      </c>
      <c r="B469" s="63">
        <v>1</v>
      </c>
      <c r="G469" s="122">
        <v>422</v>
      </c>
      <c r="H469" s="122">
        <v>422</v>
      </c>
      <c r="I469" s="122">
        <v>350</v>
      </c>
      <c r="J469" s="122">
        <v>480</v>
      </c>
    </row>
    <row r="470" spans="1:10" x14ac:dyDescent="0.3">
      <c r="A470" s="124">
        <f t="shared" si="12"/>
        <v>41254</v>
      </c>
      <c r="B470" s="63">
        <v>1</v>
      </c>
      <c r="G470" s="68">
        <v>435</v>
      </c>
      <c r="H470" s="68">
        <v>435</v>
      </c>
      <c r="I470" s="68">
        <v>370</v>
      </c>
      <c r="J470" s="68">
        <v>507</v>
      </c>
    </row>
    <row r="471" spans="1:10" x14ac:dyDescent="0.3">
      <c r="A471" s="124">
        <f t="shared" si="12"/>
        <v>41261</v>
      </c>
      <c r="B471" s="63">
        <v>1</v>
      </c>
      <c r="G471" s="68">
        <v>425</v>
      </c>
      <c r="H471" s="68">
        <v>425</v>
      </c>
      <c r="I471" s="68">
        <v>325</v>
      </c>
      <c r="J471" s="68">
        <v>446</v>
      </c>
    </row>
    <row r="472" spans="1:10" x14ac:dyDescent="0.3">
      <c r="A472" s="124">
        <f t="shared" si="12"/>
        <v>41268</v>
      </c>
      <c r="B472" s="63">
        <v>1</v>
      </c>
      <c r="G472" s="68">
        <v>388</v>
      </c>
      <c r="H472" s="68">
        <v>388</v>
      </c>
      <c r="I472" s="68">
        <v>300</v>
      </c>
      <c r="J472" s="68">
        <v>411</v>
      </c>
    </row>
    <row r="473" spans="1:10" x14ac:dyDescent="0.3">
      <c r="A473" s="124">
        <f t="shared" si="12"/>
        <v>41275</v>
      </c>
      <c r="B473" s="63">
        <v>2</v>
      </c>
      <c r="E473" s="68">
        <v>462.5</v>
      </c>
      <c r="F473" s="68">
        <v>387.5</v>
      </c>
      <c r="G473" s="68">
        <v>350</v>
      </c>
      <c r="H473" s="68">
        <v>350</v>
      </c>
      <c r="I473" s="68">
        <v>250</v>
      </c>
      <c r="J473" s="68">
        <v>342.7947598253275</v>
      </c>
    </row>
    <row r="474" spans="1:10" x14ac:dyDescent="0.3">
      <c r="A474" s="124">
        <f t="shared" si="12"/>
        <v>41282</v>
      </c>
      <c r="B474" s="63">
        <v>2</v>
      </c>
      <c r="E474" s="68">
        <v>367.5</v>
      </c>
      <c r="F474" s="68">
        <v>337.5</v>
      </c>
      <c r="G474" s="68">
        <v>267.5</v>
      </c>
      <c r="H474" s="68">
        <v>267.5</v>
      </c>
      <c r="I474" s="68">
        <v>195</v>
      </c>
      <c r="J474" s="68">
        <v>267.37991266375548</v>
      </c>
    </row>
    <row r="475" spans="1:10" x14ac:dyDescent="0.3">
      <c r="A475" s="124">
        <f t="shared" si="12"/>
        <v>41289</v>
      </c>
      <c r="B475" s="63">
        <v>2</v>
      </c>
      <c r="E475" s="68">
        <v>345</v>
      </c>
      <c r="F475" s="68">
        <v>275</v>
      </c>
      <c r="G475" s="68">
        <v>250</v>
      </c>
      <c r="H475" s="68">
        <v>250</v>
      </c>
      <c r="I475" s="68">
        <v>195</v>
      </c>
      <c r="J475" s="68">
        <v>267.37991266375548</v>
      </c>
    </row>
    <row r="476" spans="1:10" x14ac:dyDescent="0.3">
      <c r="A476" s="124">
        <f t="shared" si="12"/>
        <v>41296</v>
      </c>
      <c r="B476" s="63">
        <v>2</v>
      </c>
      <c r="E476" s="68">
        <v>327</v>
      </c>
      <c r="F476" s="68">
        <v>275</v>
      </c>
      <c r="G476" s="68">
        <v>247</v>
      </c>
      <c r="H476" s="68">
        <v>247</v>
      </c>
      <c r="I476" s="68">
        <v>195</v>
      </c>
      <c r="J476" s="68">
        <v>267</v>
      </c>
    </row>
    <row r="477" spans="1:10" x14ac:dyDescent="0.3">
      <c r="A477" s="124">
        <f t="shared" si="12"/>
        <v>41303</v>
      </c>
      <c r="B477" s="63">
        <v>2</v>
      </c>
      <c r="E477" s="68">
        <v>327.5</v>
      </c>
      <c r="F477" s="68">
        <v>272.5</v>
      </c>
      <c r="G477" s="68">
        <v>220</v>
      </c>
      <c r="H477" s="68">
        <v>220</v>
      </c>
      <c r="I477" s="68">
        <v>182.5</v>
      </c>
      <c r="J477" s="68">
        <v>250.2401746724891</v>
      </c>
    </row>
    <row r="478" spans="1:10" x14ac:dyDescent="0.3">
      <c r="A478" s="124">
        <f t="shared" si="12"/>
        <v>41310</v>
      </c>
      <c r="B478" s="63">
        <v>3</v>
      </c>
      <c r="E478" s="68">
        <v>315</v>
      </c>
      <c r="F478" s="68">
        <v>250</v>
      </c>
      <c r="G478" s="68">
        <v>210</v>
      </c>
      <c r="H478" s="68">
        <v>210</v>
      </c>
      <c r="I478" s="68">
        <v>190</v>
      </c>
      <c r="J478" s="68">
        <v>260.52401746724894</v>
      </c>
    </row>
    <row r="479" spans="1:10" x14ac:dyDescent="0.3">
      <c r="A479" s="124">
        <f t="shared" si="12"/>
        <v>41317</v>
      </c>
      <c r="B479" s="63">
        <v>3</v>
      </c>
      <c r="E479" s="116">
        <v>313.33333333333331</v>
      </c>
      <c r="F479" s="116">
        <v>250</v>
      </c>
      <c r="G479" s="116">
        <v>215</v>
      </c>
      <c r="H479" s="116">
        <v>215</v>
      </c>
      <c r="I479" s="116">
        <v>185</v>
      </c>
      <c r="J479" s="116"/>
    </row>
    <row r="480" spans="1:10" x14ac:dyDescent="0.3">
      <c r="A480" s="124">
        <f t="shared" si="12"/>
        <v>41324</v>
      </c>
      <c r="B480" s="63">
        <v>3</v>
      </c>
      <c r="E480" s="68">
        <v>315</v>
      </c>
      <c r="F480" s="68">
        <v>250</v>
      </c>
      <c r="G480" s="68">
        <v>222.5</v>
      </c>
      <c r="H480" s="68">
        <v>222.5</v>
      </c>
      <c r="I480" s="68">
        <v>185</v>
      </c>
    </row>
    <row r="481" spans="1:10" x14ac:dyDescent="0.3">
      <c r="A481" s="124">
        <f t="shared" si="12"/>
        <v>41331</v>
      </c>
      <c r="B481" s="63">
        <v>3</v>
      </c>
      <c r="E481" s="68">
        <v>322.5</v>
      </c>
      <c r="F481" s="68">
        <v>250</v>
      </c>
      <c r="G481" s="68">
        <v>222.5</v>
      </c>
      <c r="H481" s="68">
        <v>222.5</v>
      </c>
      <c r="I481" s="68">
        <v>185</v>
      </c>
    </row>
    <row r="482" spans="1:10" x14ac:dyDescent="0.3">
      <c r="A482" s="124">
        <f t="shared" si="12"/>
        <v>41338</v>
      </c>
      <c r="B482" s="63">
        <v>4</v>
      </c>
      <c r="C482" s="63">
        <v>355</v>
      </c>
      <c r="D482" s="63">
        <v>315</v>
      </c>
      <c r="E482" s="21">
        <v>307.5</v>
      </c>
      <c r="F482" s="21">
        <v>250</v>
      </c>
      <c r="G482" s="21">
        <v>210</v>
      </c>
      <c r="H482" s="21">
        <v>197.5</v>
      </c>
      <c r="I482" s="21">
        <v>192.5</v>
      </c>
      <c r="J482" s="21"/>
    </row>
    <row r="483" spans="1:10" x14ac:dyDescent="0.3">
      <c r="A483" s="124">
        <f t="shared" si="12"/>
        <v>41345</v>
      </c>
      <c r="B483" s="63">
        <v>4</v>
      </c>
      <c r="C483" s="21">
        <v>356.66666666666669</v>
      </c>
      <c r="D483" s="21">
        <v>310</v>
      </c>
      <c r="E483" s="21">
        <v>300</v>
      </c>
      <c r="F483" s="21">
        <v>250</v>
      </c>
      <c r="G483" s="21">
        <v>221.66666666666666</v>
      </c>
      <c r="H483" s="21">
        <v>221.66666666666666</v>
      </c>
      <c r="I483" s="21">
        <v>185</v>
      </c>
    </row>
    <row r="484" spans="1:10" x14ac:dyDescent="0.3">
      <c r="A484" s="124">
        <f t="shared" si="12"/>
        <v>41352</v>
      </c>
      <c r="B484" s="63">
        <v>4</v>
      </c>
      <c r="C484" s="21">
        <v>330</v>
      </c>
      <c r="D484" s="21">
        <v>298</v>
      </c>
      <c r="E484" s="21">
        <v>285</v>
      </c>
      <c r="F484" s="21">
        <v>245</v>
      </c>
      <c r="G484" s="21">
        <v>205</v>
      </c>
      <c r="H484" s="21">
        <v>205</v>
      </c>
      <c r="I484" s="21">
        <v>185</v>
      </c>
      <c r="J484" s="21"/>
    </row>
    <row r="485" spans="1:10" x14ac:dyDescent="0.3">
      <c r="A485" s="124">
        <f t="shared" si="12"/>
        <v>41359</v>
      </c>
      <c r="B485" s="63">
        <v>4</v>
      </c>
      <c r="C485" s="21"/>
      <c r="D485" s="68">
        <v>292.5</v>
      </c>
      <c r="E485" s="68">
        <v>292.5</v>
      </c>
      <c r="F485" s="68">
        <v>240</v>
      </c>
      <c r="G485" s="68">
        <v>205</v>
      </c>
      <c r="H485" s="68">
        <v>205</v>
      </c>
      <c r="I485" s="68">
        <v>180</v>
      </c>
      <c r="J485" s="68">
        <v>246.81222707423584</v>
      </c>
    </row>
    <row r="486" spans="1:10" x14ac:dyDescent="0.3">
      <c r="A486" s="124">
        <f t="shared" si="12"/>
        <v>41366</v>
      </c>
      <c r="B486" s="63">
        <v>5</v>
      </c>
      <c r="C486" s="68">
        <v>330</v>
      </c>
      <c r="D486" s="68">
        <v>277.5</v>
      </c>
      <c r="E486" s="68">
        <v>262.5</v>
      </c>
      <c r="F486" s="68">
        <v>227.5</v>
      </c>
      <c r="G486" s="68">
        <v>198.5</v>
      </c>
      <c r="H486" s="68">
        <v>198.5</v>
      </c>
      <c r="I486" s="68">
        <v>180</v>
      </c>
      <c r="J486" s="68">
        <v>246.81222707423584</v>
      </c>
    </row>
    <row r="487" spans="1:10" x14ac:dyDescent="0.3">
      <c r="A487" s="124">
        <f t="shared" si="12"/>
        <v>41373</v>
      </c>
      <c r="B487" s="63">
        <v>5</v>
      </c>
      <c r="C487" s="68">
        <v>340</v>
      </c>
      <c r="D487" s="68">
        <v>285</v>
      </c>
      <c r="E487" s="68">
        <v>265</v>
      </c>
      <c r="F487" s="68">
        <v>225</v>
      </c>
      <c r="G487" s="68">
        <v>200</v>
      </c>
      <c r="H487" s="68">
        <v>200</v>
      </c>
      <c r="I487" s="68">
        <v>180</v>
      </c>
      <c r="J487" s="68">
        <v>246.81222707423584</v>
      </c>
    </row>
    <row r="488" spans="1:10" x14ac:dyDescent="0.3">
      <c r="A488" s="124">
        <f t="shared" si="12"/>
        <v>41380</v>
      </c>
      <c r="B488" s="63">
        <v>5</v>
      </c>
      <c r="C488" s="68">
        <v>375</v>
      </c>
      <c r="D488" s="68">
        <v>291.66666666666669</v>
      </c>
      <c r="E488" s="68">
        <v>271.66666666666669</v>
      </c>
      <c r="F488" s="68">
        <v>223.33333333333334</v>
      </c>
      <c r="G488" s="68">
        <v>196.66666666666666</v>
      </c>
      <c r="H488" s="68">
        <v>196.66666666666666</v>
      </c>
      <c r="I488" s="68">
        <v>180</v>
      </c>
      <c r="J488" s="68">
        <v>246.81222707423584</v>
      </c>
    </row>
    <row r="489" spans="1:10" x14ac:dyDescent="0.3">
      <c r="A489" s="124">
        <f t="shared" si="12"/>
        <v>41387</v>
      </c>
      <c r="B489" s="63">
        <v>5</v>
      </c>
      <c r="C489" s="63">
        <v>380</v>
      </c>
      <c r="D489" s="63">
        <v>300</v>
      </c>
      <c r="E489" s="68">
        <v>273</v>
      </c>
      <c r="F489" s="68">
        <v>238</v>
      </c>
      <c r="G489" s="68">
        <v>200</v>
      </c>
      <c r="H489" s="68">
        <v>200</v>
      </c>
      <c r="I489" s="68">
        <v>185</v>
      </c>
      <c r="J489" s="68">
        <v>254</v>
      </c>
    </row>
    <row r="490" spans="1:10" x14ac:dyDescent="0.3">
      <c r="A490" s="124">
        <f t="shared" si="12"/>
        <v>41394</v>
      </c>
      <c r="B490" s="63">
        <v>5</v>
      </c>
      <c r="C490" s="68">
        <v>387.5</v>
      </c>
      <c r="D490" s="68">
        <v>300</v>
      </c>
      <c r="E490" s="68">
        <v>267.5</v>
      </c>
      <c r="F490" s="68">
        <v>220</v>
      </c>
      <c r="G490" s="68">
        <v>192.5</v>
      </c>
      <c r="H490" s="68">
        <v>192.5</v>
      </c>
      <c r="I490" s="68">
        <v>180</v>
      </c>
      <c r="J490" s="68">
        <v>246.81222707423584</v>
      </c>
    </row>
    <row r="491" spans="1:10" x14ac:dyDescent="0.3">
      <c r="A491" s="124">
        <f t="shared" si="12"/>
        <v>41401</v>
      </c>
      <c r="B491" s="63">
        <v>6</v>
      </c>
      <c r="C491" s="21">
        <v>360</v>
      </c>
      <c r="D491" s="21">
        <v>285</v>
      </c>
      <c r="E491" s="21">
        <v>262.5</v>
      </c>
      <c r="F491" s="21">
        <v>230</v>
      </c>
      <c r="G491" s="21">
        <v>190</v>
      </c>
      <c r="H491" s="21">
        <v>190</v>
      </c>
      <c r="I491" s="21">
        <v>180</v>
      </c>
      <c r="J491" s="21">
        <v>246.81222707423584</v>
      </c>
    </row>
    <row r="492" spans="1:10" x14ac:dyDescent="0.3">
      <c r="A492" s="124">
        <f t="shared" si="12"/>
        <v>41408</v>
      </c>
      <c r="B492" s="63">
        <v>6</v>
      </c>
      <c r="C492" s="21">
        <v>345</v>
      </c>
      <c r="D492" s="21">
        <v>287.5</v>
      </c>
      <c r="E492" s="21">
        <v>275</v>
      </c>
      <c r="F492" s="21">
        <v>220</v>
      </c>
      <c r="G492" s="21">
        <v>197.5</v>
      </c>
      <c r="H492" s="21">
        <v>197.5</v>
      </c>
      <c r="I492" s="21">
        <v>180</v>
      </c>
      <c r="J492" s="21">
        <v>246.81222707423584</v>
      </c>
    </row>
    <row r="493" spans="1:10" x14ac:dyDescent="0.3">
      <c r="A493" s="124">
        <f t="shared" si="12"/>
        <v>41415</v>
      </c>
      <c r="B493" s="63">
        <v>6</v>
      </c>
      <c r="C493" s="21">
        <v>335</v>
      </c>
      <c r="D493" s="21">
        <v>283.33333333333331</v>
      </c>
      <c r="E493" s="21">
        <v>270</v>
      </c>
      <c r="F493" s="21">
        <v>220</v>
      </c>
      <c r="G493" s="21">
        <v>200</v>
      </c>
      <c r="H493" s="21">
        <v>200</v>
      </c>
      <c r="I493" s="21">
        <v>186.66666666666666</v>
      </c>
      <c r="J493" s="21">
        <v>255.95342066957789</v>
      </c>
    </row>
    <row r="494" spans="1:10" x14ac:dyDescent="0.3">
      <c r="A494" s="124">
        <f t="shared" si="12"/>
        <v>41422</v>
      </c>
      <c r="B494" s="63">
        <v>6</v>
      </c>
      <c r="C494" s="21">
        <v>353.33333333333331</v>
      </c>
      <c r="D494" s="21">
        <v>296.66666666666669</v>
      </c>
      <c r="E494" s="21">
        <v>300</v>
      </c>
      <c r="F494" s="21">
        <v>216.66666666666666</v>
      </c>
      <c r="G494" s="21">
        <v>201.66666666666666</v>
      </c>
      <c r="H494" s="21">
        <v>201.66666666666666</v>
      </c>
      <c r="I494" s="21">
        <v>190</v>
      </c>
      <c r="J494" s="21">
        <v>260.52401746724894</v>
      </c>
    </row>
    <row r="495" spans="1:10" x14ac:dyDescent="0.3">
      <c r="A495" s="124">
        <f t="shared" si="12"/>
        <v>41429</v>
      </c>
      <c r="B495" s="63">
        <v>7</v>
      </c>
      <c r="C495" s="68">
        <v>373.33333333333331</v>
      </c>
      <c r="D495" s="68">
        <v>303.33333333333331</v>
      </c>
      <c r="E495" s="68">
        <v>290</v>
      </c>
      <c r="F495" s="68">
        <v>235</v>
      </c>
      <c r="G495" s="68">
        <v>211.66666666666666</v>
      </c>
      <c r="H495" s="68">
        <v>211.66666666666666</v>
      </c>
      <c r="I495" s="68">
        <v>203.33333333333334</v>
      </c>
      <c r="J495" s="68">
        <v>278.806404657933</v>
      </c>
    </row>
    <row r="496" spans="1:10" x14ac:dyDescent="0.3">
      <c r="A496" s="124">
        <f t="shared" si="12"/>
        <v>41436</v>
      </c>
      <c r="B496" s="63">
        <v>7</v>
      </c>
      <c r="C496" s="21">
        <v>350</v>
      </c>
      <c r="D496" s="21">
        <v>295</v>
      </c>
      <c r="E496" s="21">
        <v>280</v>
      </c>
      <c r="F496" s="21">
        <v>232.5</v>
      </c>
      <c r="G496" s="21">
        <v>200</v>
      </c>
      <c r="H496" s="21">
        <v>200</v>
      </c>
      <c r="I496" s="21">
        <v>192.5</v>
      </c>
      <c r="J496" s="21">
        <v>151.22270742358077</v>
      </c>
    </row>
    <row r="497" spans="1:10" x14ac:dyDescent="0.3">
      <c r="A497" s="124">
        <f t="shared" si="12"/>
        <v>41443</v>
      </c>
      <c r="B497" s="63">
        <v>7</v>
      </c>
      <c r="C497" s="63">
        <v>355</v>
      </c>
      <c r="D497" s="63">
        <v>295</v>
      </c>
      <c r="E497" s="68">
        <v>290</v>
      </c>
      <c r="F497" s="68">
        <v>220</v>
      </c>
      <c r="G497" s="68">
        <v>200</v>
      </c>
      <c r="H497" s="68">
        <v>200</v>
      </c>
      <c r="I497" s="68">
        <v>208</v>
      </c>
      <c r="J497" s="68">
        <v>154</v>
      </c>
    </row>
    <row r="498" spans="1:10" x14ac:dyDescent="0.3">
      <c r="A498" s="124">
        <f t="shared" si="12"/>
        <v>41450</v>
      </c>
      <c r="B498" s="63">
        <v>7</v>
      </c>
      <c r="C498" s="68">
        <v>376.66666666666669</v>
      </c>
      <c r="D498" s="68">
        <v>315</v>
      </c>
      <c r="E498" s="68">
        <v>306.66666666666669</v>
      </c>
      <c r="F498" s="68">
        <v>245</v>
      </c>
      <c r="G498" s="68">
        <v>220</v>
      </c>
      <c r="H498" s="68">
        <v>220</v>
      </c>
      <c r="I498" s="68">
        <v>208.33333333333334</v>
      </c>
      <c r="J498" s="68">
        <v>249.49053857350802</v>
      </c>
    </row>
    <row r="499" spans="1:10" x14ac:dyDescent="0.3">
      <c r="A499" s="124">
        <f t="shared" si="12"/>
        <v>41457</v>
      </c>
      <c r="B499" s="63">
        <v>8</v>
      </c>
      <c r="C499" s="68">
        <v>386.66666666666669</v>
      </c>
      <c r="D499" s="68">
        <v>331.66666666666669</v>
      </c>
      <c r="E499" s="68">
        <v>338.33333333333331</v>
      </c>
      <c r="F499" s="68">
        <v>283.33333333333331</v>
      </c>
      <c r="G499" s="68">
        <v>338.33333333333331</v>
      </c>
      <c r="H499" s="68">
        <v>338.33333333333331</v>
      </c>
      <c r="I499" s="68">
        <v>258.33333333333331</v>
      </c>
      <c r="J499" s="68">
        <v>295.19650655021832</v>
      </c>
    </row>
    <row r="500" spans="1:10" x14ac:dyDescent="0.3">
      <c r="A500" s="124">
        <f t="shared" si="12"/>
        <v>41464</v>
      </c>
      <c r="B500" s="63">
        <v>8</v>
      </c>
      <c r="C500" s="68">
        <v>416.66666666666669</v>
      </c>
      <c r="D500" s="68">
        <v>328.33333333333331</v>
      </c>
      <c r="E500" s="68">
        <v>325</v>
      </c>
      <c r="F500" s="68">
        <v>316.66666666666669</v>
      </c>
      <c r="G500" s="68">
        <v>341.66666666666669</v>
      </c>
      <c r="H500" s="68">
        <v>341.66666666666669</v>
      </c>
      <c r="I500" s="68">
        <v>251.66666666666666</v>
      </c>
      <c r="J500" s="68">
        <v>345.080058224163</v>
      </c>
    </row>
    <row r="501" spans="1:10" x14ac:dyDescent="0.3">
      <c r="A501" s="124">
        <f t="shared" si="12"/>
        <v>41471</v>
      </c>
      <c r="B501" s="63">
        <v>8</v>
      </c>
      <c r="C501" s="63">
        <v>388</v>
      </c>
      <c r="D501" s="63">
        <v>325</v>
      </c>
      <c r="E501" s="68">
        <v>308</v>
      </c>
      <c r="F501" s="68">
        <v>275</v>
      </c>
      <c r="G501" s="68">
        <v>313</v>
      </c>
      <c r="H501" s="68">
        <v>313</v>
      </c>
      <c r="I501" s="68">
        <v>275</v>
      </c>
      <c r="J501" s="68">
        <v>377</v>
      </c>
    </row>
    <row r="502" spans="1:10" x14ac:dyDescent="0.3">
      <c r="A502" s="124">
        <f t="shared" si="12"/>
        <v>41478</v>
      </c>
      <c r="B502" s="63">
        <v>8</v>
      </c>
      <c r="C502" s="68">
        <v>363.33333333333331</v>
      </c>
      <c r="D502" s="68">
        <v>311.66666666666669</v>
      </c>
      <c r="E502" s="68">
        <v>306.66666666666669</v>
      </c>
      <c r="F502" s="68">
        <v>260</v>
      </c>
      <c r="G502" s="68">
        <v>266.66666666666669</v>
      </c>
      <c r="H502" s="68">
        <v>266.66666666666669</v>
      </c>
      <c r="I502" s="68">
        <v>231.66666666666666</v>
      </c>
      <c r="J502" s="68">
        <v>317.65647743813685</v>
      </c>
    </row>
    <row r="503" spans="1:10" x14ac:dyDescent="0.3">
      <c r="A503" s="124">
        <f t="shared" si="12"/>
        <v>41485</v>
      </c>
      <c r="B503" s="63">
        <v>8</v>
      </c>
      <c r="C503" s="68">
        <v>366.66666666666669</v>
      </c>
      <c r="D503" s="68">
        <v>306.66666666666669</v>
      </c>
      <c r="E503" s="68">
        <v>298.33333333333331</v>
      </c>
      <c r="F503" s="68">
        <v>271.66666666666669</v>
      </c>
      <c r="G503" s="68">
        <v>296.66666666666669</v>
      </c>
      <c r="H503" s="68">
        <v>296.66666666666669</v>
      </c>
      <c r="I503" s="68">
        <v>245</v>
      </c>
      <c r="J503" s="68">
        <v>335.93886462882097</v>
      </c>
    </row>
    <row r="504" spans="1:10" x14ac:dyDescent="0.3">
      <c r="A504" s="124">
        <f t="shared" si="12"/>
        <v>41492</v>
      </c>
      <c r="B504" s="63">
        <v>9</v>
      </c>
      <c r="C504" s="68">
        <v>495</v>
      </c>
      <c r="D504" s="68">
        <v>461.66666666666669</v>
      </c>
      <c r="E504" s="68">
        <v>455</v>
      </c>
      <c r="F504" s="68">
        <v>420</v>
      </c>
      <c r="G504" s="68">
        <v>468.33333333333331</v>
      </c>
      <c r="H504" s="68">
        <v>468.33333333333331</v>
      </c>
      <c r="I504" s="68">
        <v>401.66666666666669</v>
      </c>
      <c r="J504" s="68">
        <v>550.75691411935952</v>
      </c>
    </row>
    <row r="505" spans="1:10" x14ac:dyDescent="0.3">
      <c r="A505" s="124">
        <f t="shared" si="12"/>
        <v>41499</v>
      </c>
      <c r="B505" s="63">
        <v>9</v>
      </c>
      <c r="C505" s="68">
        <v>515</v>
      </c>
      <c r="D505" s="68">
        <v>483.33333333333331</v>
      </c>
      <c r="E505" s="68">
        <v>483.33333333333331</v>
      </c>
      <c r="F505" s="68">
        <v>461.66666666666669</v>
      </c>
      <c r="G505" s="68">
        <v>486.66666666666669</v>
      </c>
      <c r="H505" s="68">
        <v>486.66666666666669</v>
      </c>
      <c r="I505" s="68">
        <v>430</v>
      </c>
      <c r="J505" s="68">
        <v>533.9301310043669</v>
      </c>
    </row>
    <row r="506" spans="1:10" x14ac:dyDescent="0.3">
      <c r="A506" s="124">
        <f t="shared" si="12"/>
        <v>41506</v>
      </c>
      <c r="B506" s="63">
        <v>9</v>
      </c>
      <c r="C506" s="68">
        <v>491.66666666666669</v>
      </c>
      <c r="D506" s="68">
        <v>476.66666666666669</v>
      </c>
      <c r="E506" s="68">
        <v>491.66666666666669</v>
      </c>
      <c r="F506" s="68">
        <v>471.66666666666669</v>
      </c>
      <c r="G506" s="68">
        <v>506.66666666666669</v>
      </c>
      <c r="H506" s="68">
        <v>506.66666666666669</v>
      </c>
      <c r="I506" s="68">
        <v>435</v>
      </c>
      <c r="J506" s="68">
        <v>596.46288209606985</v>
      </c>
    </row>
    <row r="507" spans="1:10" x14ac:dyDescent="0.3">
      <c r="A507" s="124">
        <f t="shared" si="12"/>
        <v>41513</v>
      </c>
      <c r="B507" s="63">
        <v>9</v>
      </c>
      <c r="C507" s="68">
        <v>500</v>
      </c>
      <c r="D507" s="68">
        <v>491.66666666666669</v>
      </c>
      <c r="E507" s="68">
        <v>491.66666666666669</v>
      </c>
      <c r="F507" s="68">
        <v>470</v>
      </c>
      <c r="G507" s="68">
        <v>486.66666666666669</v>
      </c>
      <c r="H507" s="68">
        <v>486.66666666666669</v>
      </c>
      <c r="I507" s="68">
        <v>415</v>
      </c>
      <c r="J507" s="68">
        <v>569.0393013100437</v>
      </c>
    </row>
    <row r="508" spans="1:10" x14ac:dyDescent="0.3">
      <c r="A508" s="124">
        <f t="shared" si="12"/>
        <v>41520</v>
      </c>
      <c r="B508" s="63">
        <v>10</v>
      </c>
      <c r="C508" s="68">
        <v>618.75</v>
      </c>
      <c r="D508" s="68">
        <v>592.5</v>
      </c>
      <c r="E508" s="68">
        <v>596.25</v>
      </c>
      <c r="F508" s="68">
        <v>555</v>
      </c>
      <c r="G508" s="68">
        <v>606.25</v>
      </c>
      <c r="H508" s="68">
        <v>606.25</v>
      </c>
      <c r="I508" s="68">
        <v>515</v>
      </c>
      <c r="J508" s="68">
        <v>690.16011644832599</v>
      </c>
    </row>
    <row r="509" spans="1:10" x14ac:dyDescent="0.3">
      <c r="A509" s="124">
        <f t="shared" si="12"/>
        <v>41527</v>
      </c>
      <c r="B509" s="63">
        <v>10</v>
      </c>
      <c r="C509" s="122">
        <v>625</v>
      </c>
      <c r="D509" s="122">
        <v>606.66666666666663</v>
      </c>
      <c r="E509" s="122">
        <v>600</v>
      </c>
      <c r="F509" s="122">
        <v>531.66666666666663</v>
      </c>
      <c r="G509" s="122">
        <v>633.33333333333337</v>
      </c>
      <c r="H509" s="122">
        <v>633.33333333333337</v>
      </c>
      <c r="I509" s="122">
        <v>543.33333333333337</v>
      </c>
      <c r="J509" s="122">
        <v>745.00727802037852</v>
      </c>
    </row>
    <row r="510" spans="1:10" x14ac:dyDescent="0.3">
      <c r="A510" s="124">
        <f t="shared" si="12"/>
        <v>41534</v>
      </c>
      <c r="B510" s="63">
        <v>10</v>
      </c>
      <c r="C510" s="116">
        <v>625</v>
      </c>
      <c r="D510" s="116">
        <v>616.66666666666663</v>
      </c>
      <c r="E510" s="116">
        <v>611.66666666666663</v>
      </c>
      <c r="F510" s="116">
        <v>590</v>
      </c>
      <c r="G510" s="116">
        <v>680</v>
      </c>
      <c r="H510" s="116">
        <v>680</v>
      </c>
      <c r="I510" s="116">
        <v>576.66666666666663</v>
      </c>
      <c r="J510" s="116">
        <v>790.71324599708885</v>
      </c>
    </row>
    <row r="511" spans="1:10" x14ac:dyDescent="0.3">
      <c r="A511" s="124">
        <f t="shared" si="12"/>
        <v>41541</v>
      </c>
      <c r="B511" s="63">
        <v>10</v>
      </c>
      <c r="C511" s="68">
        <v>611.66666666666663</v>
      </c>
      <c r="D511" s="68">
        <v>615</v>
      </c>
      <c r="E511" s="68">
        <v>613.33333333333337</v>
      </c>
      <c r="F511" s="68">
        <v>611.66666666666663</v>
      </c>
      <c r="G511" s="68">
        <v>708.33333333333337</v>
      </c>
      <c r="H511" s="68">
        <v>708.33333333333337</v>
      </c>
      <c r="I511" s="68">
        <v>586.66666666666663</v>
      </c>
      <c r="J511" s="68">
        <v>804.42503639010192</v>
      </c>
    </row>
    <row r="512" spans="1:10" x14ac:dyDescent="0.3">
      <c r="A512" s="124">
        <f t="shared" si="12"/>
        <v>41548</v>
      </c>
      <c r="B512" s="63">
        <v>11</v>
      </c>
      <c r="C512" s="119">
        <v>600</v>
      </c>
      <c r="D512" s="119">
        <v>533</v>
      </c>
      <c r="E512" s="119">
        <v>470</v>
      </c>
      <c r="F512" s="119">
        <v>430</v>
      </c>
      <c r="G512" s="119">
        <v>525</v>
      </c>
      <c r="H512" s="119">
        <v>525</v>
      </c>
      <c r="I512" s="119">
        <v>402</v>
      </c>
      <c r="J512" s="63">
        <v>551</v>
      </c>
    </row>
    <row r="513" spans="1:11" x14ac:dyDescent="0.3">
      <c r="A513" s="124">
        <f t="shared" si="12"/>
        <v>41555</v>
      </c>
      <c r="B513" s="63">
        <v>11</v>
      </c>
      <c r="C513" s="128">
        <v>594</v>
      </c>
      <c r="D513" s="128">
        <v>548</v>
      </c>
      <c r="E513" s="128">
        <v>516</v>
      </c>
      <c r="F513" s="128">
        <v>456</v>
      </c>
      <c r="G513" s="128">
        <v>531</v>
      </c>
      <c r="H513" s="128">
        <v>531</v>
      </c>
      <c r="I513" s="128">
        <v>413</v>
      </c>
      <c r="J513" s="130">
        <v>566</v>
      </c>
      <c r="K513" s="63" t="s">
        <v>62</v>
      </c>
    </row>
    <row r="514" spans="1:11" x14ac:dyDescent="0.3">
      <c r="A514" s="124">
        <f t="shared" si="12"/>
        <v>41562</v>
      </c>
      <c r="B514" s="63">
        <v>11</v>
      </c>
      <c r="C514" s="128">
        <v>594</v>
      </c>
      <c r="D514" s="128">
        <v>548</v>
      </c>
      <c r="E514" s="128">
        <v>516</v>
      </c>
      <c r="F514" s="128">
        <v>456</v>
      </c>
      <c r="G514" s="128">
        <v>531</v>
      </c>
      <c r="H514" s="128">
        <v>531</v>
      </c>
      <c r="I514" s="128">
        <v>413</v>
      </c>
      <c r="J514" s="130">
        <v>566</v>
      </c>
      <c r="K514" s="63" t="s">
        <v>62</v>
      </c>
    </row>
    <row r="515" spans="1:11" x14ac:dyDescent="0.3">
      <c r="A515" s="124">
        <f t="shared" si="12"/>
        <v>41569</v>
      </c>
      <c r="B515" s="63">
        <v>11</v>
      </c>
      <c r="C515" s="122">
        <v>587.5</v>
      </c>
      <c r="D515" s="122">
        <v>562.5</v>
      </c>
      <c r="E515" s="122">
        <v>562.5</v>
      </c>
      <c r="F515" s="122">
        <v>482.5</v>
      </c>
      <c r="G515" s="122">
        <v>537.5</v>
      </c>
      <c r="H515" s="122">
        <v>537.5</v>
      </c>
      <c r="I515" s="122">
        <v>425</v>
      </c>
      <c r="J515" s="63">
        <v>583</v>
      </c>
    </row>
    <row r="516" spans="1:11" x14ac:dyDescent="0.3">
      <c r="A516" s="124">
        <f t="shared" si="12"/>
        <v>41576</v>
      </c>
      <c r="B516" s="63">
        <v>11</v>
      </c>
      <c r="C516" s="122">
        <v>563.33333333333337</v>
      </c>
      <c r="D516" s="122">
        <v>550</v>
      </c>
      <c r="E516" s="122">
        <v>541.66666666666663</v>
      </c>
      <c r="F516" s="122">
        <v>475</v>
      </c>
      <c r="G516" s="122">
        <v>556.66666666666663</v>
      </c>
      <c r="H516" s="122">
        <v>556.66666666666663</v>
      </c>
      <c r="I516" s="122">
        <v>430</v>
      </c>
      <c r="J516" s="68">
        <v>534</v>
      </c>
    </row>
    <row r="517" spans="1:11" x14ac:dyDescent="0.3">
      <c r="A517" s="124">
        <f t="shared" si="12"/>
        <v>41583</v>
      </c>
      <c r="B517" s="63">
        <v>12</v>
      </c>
      <c r="E517" s="68">
        <v>463.33333333333331</v>
      </c>
      <c r="F517" s="68">
        <v>358.33333333333331</v>
      </c>
      <c r="G517" s="68">
        <v>431.66666666666669</v>
      </c>
      <c r="H517" s="68">
        <v>431.66666666666669</v>
      </c>
      <c r="I517" s="68">
        <v>315</v>
      </c>
      <c r="J517" s="68">
        <v>431.92139737991266</v>
      </c>
    </row>
    <row r="518" spans="1:11" x14ac:dyDescent="0.3">
      <c r="A518" s="124">
        <f t="shared" si="12"/>
        <v>41590</v>
      </c>
      <c r="B518" s="63">
        <v>12</v>
      </c>
      <c r="E518" s="68">
        <v>505</v>
      </c>
      <c r="F518" s="68">
        <v>395</v>
      </c>
      <c r="G518" s="68">
        <v>475</v>
      </c>
      <c r="H518" s="68">
        <v>475</v>
      </c>
      <c r="I518" s="68">
        <v>348.33333333333331</v>
      </c>
      <c r="J518" s="68">
        <v>477.62736535662299</v>
      </c>
    </row>
    <row r="519" spans="1:11" x14ac:dyDescent="0.3">
      <c r="A519" s="124">
        <f t="shared" si="12"/>
        <v>41597</v>
      </c>
      <c r="B519" s="63">
        <v>12</v>
      </c>
      <c r="E519" s="68">
        <v>533.33333333333337</v>
      </c>
      <c r="F519" s="68">
        <v>466.66666666666669</v>
      </c>
      <c r="G519" s="68">
        <v>508.33333333333331</v>
      </c>
      <c r="H519" s="68">
        <v>508.33333333333331</v>
      </c>
      <c r="I519" s="68">
        <v>375</v>
      </c>
      <c r="J519" s="68">
        <v>514.1921397379914</v>
      </c>
    </row>
    <row r="520" spans="1:11" x14ac:dyDescent="0.3">
      <c r="A520" s="124">
        <f t="shared" si="12"/>
        <v>41604</v>
      </c>
      <c r="B520" s="63">
        <v>12</v>
      </c>
      <c r="E520" s="68">
        <v>523.75</v>
      </c>
      <c r="F520" s="68">
        <v>422.5</v>
      </c>
      <c r="G520" s="68">
        <v>491.25</v>
      </c>
      <c r="H520" s="68">
        <v>491.25</v>
      </c>
      <c r="I520" s="68">
        <v>346.25</v>
      </c>
      <c r="J520" s="68">
        <v>468.4861717612809</v>
      </c>
    </row>
    <row r="521" spans="1:11" x14ac:dyDescent="0.3">
      <c r="A521" s="124">
        <f t="shared" si="12"/>
        <v>41611</v>
      </c>
      <c r="B521" s="63">
        <v>1</v>
      </c>
      <c r="E521" s="68">
        <v>508.33333333333331</v>
      </c>
      <c r="F521" s="68">
        <v>400</v>
      </c>
      <c r="G521" s="68">
        <v>486.66666666666669</v>
      </c>
      <c r="H521" s="68">
        <v>486.66666666666669</v>
      </c>
      <c r="I521" s="68">
        <v>325</v>
      </c>
      <c r="J521" s="68">
        <v>445.63318777292574</v>
      </c>
    </row>
    <row r="522" spans="1:11" x14ac:dyDescent="0.3">
      <c r="A522" s="124">
        <f t="shared" si="12"/>
        <v>41618</v>
      </c>
      <c r="B522" s="63">
        <v>1</v>
      </c>
      <c r="E522" s="68">
        <v>520</v>
      </c>
      <c r="F522" s="68">
        <v>396.66666666666669</v>
      </c>
      <c r="G522" s="68">
        <v>453.33333333333331</v>
      </c>
      <c r="H522" s="68">
        <v>453.33333333333331</v>
      </c>
      <c r="I522" s="68">
        <v>310</v>
      </c>
      <c r="J522" s="68">
        <v>425.06550218340612</v>
      </c>
    </row>
    <row r="523" spans="1:11" x14ac:dyDescent="0.3">
      <c r="A523" s="124">
        <f t="shared" si="12"/>
        <v>41625</v>
      </c>
      <c r="B523" s="63">
        <v>1</v>
      </c>
      <c r="E523" s="116">
        <v>516.66666666666663</v>
      </c>
      <c r="F523" s="116">
        <v>408.33333333333331</v>
      </c>
      <c r="G523" s="116">
        <v>416.66666666666669</v>
      </c>
      <c r="H523" s="116">
        <v>416.66666666666669</v>
      </c>
      <c r="I523" s="116">
        <v>293.33333333333331</v>
      </c>
      <c r="J523" s="116">
        <v>402.21251819505096</v>
      </c>
    </row>
    <row r="524" spans="1:11" x14ac:dyDescent="0.3">
      <c r="A524" s="124">
        <f t="shared" si="12"/>
        <v>41632</v>
      </c>
      <c r="B524" s="63">
        <v>1</v>
      </c>
      <c r="E524" s="116">
        <v>525</v>
      </c>
      <c r="F524" s="116">
        <v>438.33333333333331</v>
      </c>
      <c r="G524" s="116">
        <v>420</v>
      </c>
      <c r="H524" s="116">
        <v>420</v>
      </c>
      <c r="I524" s="116">
        <v>293.33333333333331</v>
      </c>
      <c r="J524" s="116">
        <v>402.21251819505096</v>
      </c>
    </row>
    <row r="525" spans="1:11" x14ac:dyDescent="0.3">
      <c r="A525" s="124">
        <f t="shared" si="12"/>
        <v>41639</v>
      </c>
      <c r="B525" s="63">
        <v>1</v>
      </c>
      <c r="E525" s="68">
        <v>545</v>
      </c>
      <c r="F525" s="68">
        <v>428.33333333333331</v>
      </c>
      <c r="G525" s="68">
        <v>420</v>
      </c>
      <c r="H525" s="68">
        <v>420</v>
      </c>
      <c r="I525" s="68">
        <v>283.33333333333331</v>
      </c>
      <c r="J525" s="68">
        <v>388.50072780203783</v>
      </c>
    </row>
    <row r="526" spans="1:11" x14ac:dyDescent="0.3">
      <c r="A526" s="124">
        <f t="shared" si="12"/>
        <v>41646</v>
      </c>
      <c r="B526" s="63">
        <v>2</v>
      </c>
      <c r="E526" s="68">
        <v>478.33333333333331</v>
      </c>
      <c r="F526" s="68">
        <v>381.66666666666669</v>
      </c>
      <c r="G526" s="68">
        <v>391.66666666666669</v>
      </c>
      <c r="H526" s="68">
        <v>391.66666666666669</v>
      </c>
      <c r="I526" s="68">
        <v>266.66666666666669</v>
      </c>
      <c r="J526" s="68">
        <v>365.64774381368267</v>
      </c>
    </row>
    <row r="527" spans="1:11" x14ac:dyDescent="0.3">
      <c r="A527" s="124">
        <f t="shared" si="12"/>
        <v>41653</v>
      </c>
      <c r="B527" s="63">
        <v>2</v>
      </c>
      <c r="E527" s="68">
        <v>430</v>
      </c>
      <c r="F527" s="68">
        <v>361.66666666666669</v>
      </c>
      <c r="G527" s="68">
        <v>370</v>
      </c>
      <c r="H527" s="68">
        <v>370</v>
      </c>
      <c r="I527" s="68">
        <v>256.66666666666669</v>
      </c>
      <c r="J527" s="68">
        <v>351.93595342066959</v>
      </c>
    </row>
    <row r="528" spans="1:11" x14ac:dyDescent="0.3">
      <c r="A528" s="124">
        <f t="shared" si="12"/>
        <v>41660</v>
      </c>
      <c r="B528" s="63">
        <v>2</v>
      </c>
      <c r="E528" s="68">
        <v>488.33333333333331</v>
      </c>
      <c r="F528" s="68">
        <v>401.66666666666669</v>
      </c>
      <c r="G528" s="68">
        <v>395</v>
      </c>
      <c r="H528" s="68">
        <v>395</v>
      </c>
      <c r="I528" s="68">
        <v>281.66666666666669</v>
      </c>
      <c r="J528" s="68">
        <v>386.21542940320234</v>
      </c>
    </row>
    <row r="529" spans="1:10" x14ac:dyDescent="0.3">
      <c r="A529" s="124">
        <f t="shared" si="12"/>
        <v>41667</v>
      </c>
      <c r="B529" s="63">
        <v>2</v>
      </c>
      <c r="E529" s="68">
        <v>513.33333333333337</v>
      </c>
      <c r="F529" s="68">
        <v>441.66666666666669</v>
      </c>
      <c r="G529" s="68">
        <v>430</v>
      </c>
      <c r="H529" s="68">
        <v>430</v>
      </c>
      <c r="I529" s="68">
        <v>308.33333333333331</v>
      </c>
      <c r="J529" s="68">
        <v>422.78020378457057</v>
      </c>
    </row>
    <row r="530" spans="1:10" x14ac:dyDescent="0.3">
      <c r="A530" s="124">
        <f t="shared" si="12"/>
        <v>41674</v>
      </c>
      <c r="B530" s="63">
        <v>3</v>
      </c>
      <c r="D530" s="68">
        <v>457.5</v>
      </c>
      <c r="E530" s="68">
        <v>445</v>
      </c>
      <c r="F530" s="68">
        <v>381.66666666666669</v>
      </c>
      <c r="G530" s="68">
        <v>396.66666666666669</v>
      </c>
      <c r="H530" s="68">
        <v>396.66666666666669</v>
      </c>
      <c r="I530" s="68">
        <v>296.66666666666669</v>
      </c>
      <c r="J530" s="68">
        <v>406.78311499272195</v>
      </c>
    </row>
    <row r="531" spans="1:10" x14ac:dyDescent="0.3">
      <c r="A531" s="124">
        <f t="shared" si="12"/>
        <v>41681</v>
      </c>
      <c r="B531" s="63">
        <v>3</v>
      </c>
      <c r="D531" s="63">
        <v>463</v>
      </c>
      <c r="E531" s="68">
        <v>470</v>
      </c>
      <c r="F531" s="68">
        <v>410</v>
      </c>
      <c r="G531" s="68">
        <v>417</v>
      </c>
      <c r="H531" s="68">
        <v>417</v>
      </c>
      <c r="I531" s="68">
        <v>307</v>
      </c>
      <c r="J531" s="68">
        <v>420</v>
      </c>
    </row>
    <row r="532" spans="1:10" x14ac:dyDescent="0.3">
      <c r="A532" s="124">
        <f t="shared" si="12"/>
        <v>41688</v>
      </c>
      <c r="B532" s="63">
        <v>3</v>
      </c>
      <c r="D532" s="68">
        <v>473.33333333333331</v>
      </c>
      <c r="E532" s="68">
        <v>470</v>
      </c>
      <c r="F532" s="68">
        <v>385</v>
      </c>
      <c r="G532" s="68">
        <v>403.33333333333331</v>
      </c>
      <c r="H532" s="68">
        <v>403.33333333333331</v>
      </c>
      <c r="I532" s="68">
        <v>291.66666666666669</v>
      </c>
      <c r="J532" s="68">
        <v>399.92721979621541</v>
      </c>
    </row>
    <row r="533" spans="1:10" x14ac:dyDescent="0.3">
      <c r="A533" s="124">
        <f t="shared" si="12"/>
        <v>41695</v>
      </c>
      <c r="B533" s="63">
        <v>3</v>
      </c>
      <c r="D533" s="68">
        <v>508.33333333333331</v>
      </c>
      <c r="E533" s="68">
        <v>513.33333333333337</v>
      </c>
      <c r="F533" s="68">
        <v>418.75</v>
      </c>
      <c r="G533" s="68">
        <v>423.33333333333331</v>
      </c>
      <c r="H533" s="68">
        <v>423.33333333333331</v>
      </c>
      <c r="I533" s="68">
        <v>315</v>
      </c>
      <c r="J533" s="68">
        <v>431.92139737991266</v>
      </c>
    </row>
    <row r="534" spans="1:10" x14ac:dyDescent="0.3">
      <c r="A534" s="124">
        <f t="shared" si="12"/>
        <v>41702</v>
      </c>
      <c r="B534" s="63">
        <v>4</v>
      </c>
      <c r="C534" s="68">
        <v>550</v>
      </c>
      <c r="D534" s="68">
        <v>517.5</v>
      </c>
      <c r="E534" s="68">
        <v>476.66666666666669</v>
      </c>
      <c r="F534" s="68">
        <v>400</v>
      </c>
      <c r="G534" s="68">
        <v>430</v>
      </c>
      <c r="H534" s="68">
        <v>430</v>
      </c>
      <c r="I534" s="68">
        <v>358.33333333333331</v>
      </c>
      <c r="J534" s="68">
        <v>491.33915574963612</v>
      </c>
    </row>
    <row r="535" spans="1:10" x14ac:dyDescent="0.3">
      <c r="A535" s="124">
        <f t="shared" si="12"/>
        <v>41709</v>
      </c>
      <c r="B535" s="63">
        <v>4</v>
      </c>
      <c r="C535" s="68">
        <v>562.5</v>
      </c>
      <c r="D535" s="68">
        <v>567.5</v>
      </c>
      <c r="E535" s="68">
        <v>505</v>
      </c>
      <c r="F535" s="68">
        <v>425</v>
      </c>
      <c r="G535" s="68">
        <v>475</v>
      </c>
      <c r="H535" s="68">
        <v>475</v>
      </c>
      <c r="I535" s="68">
        <v>375</v>
      </c>
      <c r="J535" s="68">
        <v>514.19213973799128</v>
      </c>
    </row>
    <row r="536" spans="1:10" x14ac:dyDescent="0.3">
      <c r="A536" s="124">
        <f t="shared" si="12"/>
        <v>41716</v>
      </c>
      <c r="B536" s="63">
        <v>4</v>
      </c>
      <c r="C536" s="68">
        <v>561.66666666666663</v>
      </c>
      <c r="D536" s="68">
        <v>508.33333333333331</v>
      </c>
      <c r="E536" s="68">
        <v>483.33333333333331</v>
      </c>
      <c r="F536" s="68">
        <v>391.66666666666669</v>
      </c>
      <c r="G536" s="68">
        <v>433.33333333333331</v>
      </c>
      <c r="H536" s="68">
        <v>433.33333333333331</v>
      </c>
      <c r="I536" s="68">
        <v>316.66666666666669</v>
      </c>
      <c r="J536" s="68">
        <v>387.08879184861712</v>
      </c>
    </row>
    <row r="537" spans="1:10" x14ac:dyDescent="0.3">
      <c r="A537" s="124">
        <f t="shared" si="12"/>
        <v>41723</v>
      </c>
      <c r="B537" s="63">
        <v>4</v>
      </c>
      <c r="C537" s="68">
        <v>518.75</v>
      </c>
      <c r="D537" s="68">
        <v>452.5</v>
      </c>
      <c r="E537" s="68">
        <v>437.5</v>
      </c>
      <c r="F537" s="68">
        <v>338.75</v>
      </c>
      <c r="G537" s="68">
        <v>368.75</v>
      </c>
      <c r="H537" s="68">
        <v>368.75</v>
      </c>
      <c r="I537" s="68">
        <v>281.25</v>
      </c>
      <c r="J537" s="68">
        <v>388.50072780203783</v>
      </c>
    </row>
    <row r="538" spans="1:10" x14ac:dyDescent="0.3">
      <c r="A538" s="134">
        <f t="shared" si="12"/>
        <v>41730</v>
      </c>
      <c r="B538" s="63">
        <v>5</v>
      </c>
      <c r="C538" s="133">
        <v>460</v>
      </c>
      <c r="D538" s="133">
        <v>406.25</v>
      </c>
      <c r="E538" s="133">
        <v>390</v>
      </c>
      <c r="F538" s="133">
        <v>282.5</v>
      </c>
      <c r="G538" s="133">
        <v>325</v>
      </c>
      <c r="H538" s="133">
        <v>325</v>
      </c>
      <c r="I538" s="133">
        <v>245</v>
      </c>
      <c r="J538" s="133">
        <v>318.52983988355163</v>
      </c>
    </row>
    <row r="539" spans="1:10" x14ac:dyDescent="0.3">
      <c r="A539" s="134">
        <f t="shared" si="12"/>
        <v>41737</v>
      </c>
      <c r="B539" s="63">
        <v>5</v>
      </c>
      <c r="C539" s="133">
        <v>446.66666666666669</v>
      </c>
      <c r="D539" s="133">
        <v>375</v>
      </c>
      <c r="E539" s="133">
        <v>363.33333333333331</v>
      </c>
      <c r="F539" s="133">
        <v>253.33333333333334</v>
      </c>
      <c r="G539" s="133">
        <v>303.33333333333331</v>
      </c>
      <c r="H539" s="133">
        <v>303.33333333333331</v>
      </c>
      <c r="I539" s="133">
        <v>221.66666666666666</v>
      </c>
      <c r="J539" s="133">
        <v>293.39155749636103</v>
      </c>
    </row>
    <row r="540" spans="1:10" x14ac:dyDescent="0.3">
      <c r="A540" s="134">
        <f t="shared" si="12"/>
        <v>41744</v>
      </c>
      <c r="B540" s="63">
        <v>5</v>
      </c>
      <c r="C540" s="133">
        <v>431.25</v>
      </c>
      <c r="D540" s="133">
        <v>370</v>
      </c>
      <c r="E540" s="133">
        <v>366.25</v>
      </c>
      <c r="F540" s="133">
        <v>242.5</v>
      </c>
      <c r="G540" s="133">
        <v>292.5</v>
      </c>
      <c r="H540" s="133">
        <v>292.5</v>
      </c>
      <c r="I540" s="133">
        <v>216.25</v>
      </c>
      <c r="J540" s="133">
        <v>293.39155749636097</v>
      </c>
    </row>
    <row r="541" spans="1:10" x14ac:dyDescent="0.3">
      <c r="A541" s="134">
        <f t="shared" si="12"/>
        <v>41751</v>
      </c>
      <c r="B541" s="63">
        <v>5</v>
      </c>
      <c r="C541" s="68">
        <v>456.66666666666669</v>
      </c>
      <c r="D541" s="68">
        <v>386.66666666666669</v>
      </c>
      <c r="E541" s="68">
        <v>373.33333333333331</v>
      </c>
      <c r="F541" s="68">
        <v>238.33333333333334</v>
      </c>
      <c r="G541" s="68">
        <v>271.66666666666669</v>
      </c>
      <c r="H541" s="68">
        <v>271.66666666666669</v>
      </c>
      <c r="I541" s="68">
        <v>206.66666666666666</v>
      </c>
      <c r="J541" s="68">
        <v>277.39446870451235</v>
      </c>
    </row>
    <row r="542" spans="1:10" x14ac:dyDescent="0.3">
      <c r="A542" s="134">
        <f t="shared" si="12"/>
        <v>41758</v>
      </c>
      <c r="B542" s="63">
        <v>5</v>
      </c>
      <c r="C542" s="68">
        <v>455</v>
      </c>
      <c r="D542" s="68">
        <v>362.5</v>
      </c>
      <c r="E542" s="68">
        <v>355</v>
      </c>
      <c r="F542" s="68">
        <v>235</v>
      </c>
      <c r="G542" s="68">
        <v>272.5</v>
      </c>
      <c r="H542" s="68">
        <v>272.5</v>
      </c>
      <c r="I542" s="68">
        <v>210</v>
      </c>
      <c r="J542" s="68">
        <v>287.94759825327509</v>
      </c>
    </row>
    <row r="543" spans="1:10" x14ac:dyDescent="0.3">
      <c r="A543" s="134">
        <f t="shared" si="12"/>
        <v>41765</v>
      </c>
      <c r="B543" s="63">
        <v>6</v>
      </c>
      <c r="C543" s="68">
        <v>450</v>
      </c>
      <c r="D543" s="68">
        <v>370</v>
      </c>
      <c r="E543" s="68">
        <v>358.33333333333331</v>
      </c>
      <c r="F543" s="68">
        <v>245</v>
      </c>
      <c r="G543" s="68">
        <v>250</v>
      </c>
      <c r="H543" s="68">
        <v>250</v>
      </c>
      <c r="I543" s="68">
        <v>210</v>
      </c>
      <c r="J543" s="68">
        <v>287.94759825327509</v>
      </c>
    </row>
    <row r="544" spans="1:10" x14ac:dyDescent="0.3">
      <c r="A544" s="134">
        <f t="shared" si="12"/>
        <v>41772</v>
      </c>
      <c r="B544" s="63">
        <v>6</v>
      </c>
      <c r="C544" s="68">
        <v>445</v>
      </c>
      <c r="D544" s="68">
        <v>365</v>
      </c>
      <c r="E544" s="68">
        <v>357.5</v>
      </c>
      <c r="F544" s="68">
        <v>242.5</v>
      </c>
      <c r="G544" s="68">
        <v>250</v>
      </c>
      <c r="H544" s="68">
        <v>250</v>
      </c>
      <c r="I544" s="68">
        <v>207.5</v>
      </c>
      <c r="J544" s="68">
        <v>284.51965065502185</v>
      </c>
    </row>
    <row r="545" spans="1:10" x14ac:dyDescent="0.3">
      <c r="A545" s="134">
        <f t="shared" si="12"/>
        <v>41779</v>
      </c>
      <c r="B545" s="63">
        <v>6</v>
      </c>
      <c r="C545" s="68">
        <v>452.5</v>
      </c>
      <c r="D545" s="68">
        <v>362.5</v>
      </c>
      <c r="E545" s="68">
        <v>365</v>
      </c>
      <c r="F545" s="68">
        <v>247.5</v>
      </c>
      <c r="G545" s="68">
        <v>237.5</v>
      </c>
      <c r="H545" s="68">
        <v>237.5</v>
      </c>
      <c r="I545" s="68">
        <v>207.5</v>
      </c>
      <c r="J545" s="68">
        <v>284.51965065502185</v>
      </c>
    </row>
    <row r="546" spans="1:10" x14ac:dyDescent="0.3">
      <c r="A546" s="134">
        <f t="shared" si="12"/>
        <v>41786</v>
      </c>
      <c r="B546" s="63">
        <v>6</v>
      </c>
      <c r="C546" s="68">
        <v>443.33333333333331</v>
      </c>
      <c r="D546" s="68">
        <v>360</v>
      </c>
      <c r="E546" s="68">
        <v>360</v>
      </c>
      <c r="F546" s="68">
        <v>240</v>
      </c>
      <c r="G546" s="68">
        <v>231.66666666666666</v>
      </c>
      <c r="H546" s="68">
        <v>231.66666666666666</v>
      </c>
      <c r="I546" s="68">
        <v>208.33333333333334</v>
      </c>
      <c r="J546" s="63">
        <v>286</v>
      </c>
    </row>
    <row r="547" spans="1:10" x14ac:dyDescent="0.3">
      <c r="A547" s="134">
        <f t="shared" si="12"/>
        <v>41793</v>
      </c>
      <c r="B547" s="63">
        <v>7</v>
      </c>
      <c r="C547" s="116">
        <v>426.66666666666669</v>
      </c>
      <c r="D547" s="116">
        <v>355</v>
      </c>
      <c r="E547" s="116">
        <v>360</v>
      </c>
      <c r="F547" s="116">
        <v>250</v>
      </c>
      <c r="G547" s="116">
        <v>255</v>
      </c>
      <c r="H547" s="116">
        <v>255</v>
      </c>
      <c r="I547" s="116">
        <v>230</v>
      </c>
      <c r="J547" s="116">
        <v>315.3711790393013</v>
      </c>
    </row>
    <row r="548" spans="1:10" x14ac:dyDescent="0.3">
      <c r="A548" s="134">
        <f t="shared" si="12"/>
        <v>41800</v>
      </c>
      <c r="B548" s="63">
        <v>7</v>
      </c>
      <c r="C548" s="68">
        <v>435</v>
      </c>
      <c r="D548" s="68">
        <v>365</v>
      </c>
      <c r="E548" s="68">
        <v>370</v>
      </c>
      <c r="F548" s="68">
        <v>255</v>
      </c>
      <c r="G548" s="68">
        <v>251.66666666666666</v>
      </c>
      <c r="H548" s="68">
        <v>251.66666666666666</v>
      </c>
      <c r="I548" s="68">
        <v>226.66666666666666</v>
      </c>
      <c r="J548" s="68">
        <v>310.80058224163031</v>
      </c>
    </row>
    <row r="549" spans="1:10" x14ac:dyDescent="0.3">
      <c r="A549" s="134">
        <f t="shared" si="12"/>
        <v>41807</v>
      </c>
      <c r="B549" s="63">
        <v>7</v>
      </c>
      <c r="C549" s="68">
        <v>433.33333333333331</v>
      </c>
      <c r="D549" s="68">
        <v>361.66666666666669</v>
      </c>
      <c r="E549" s="68">
        <v>358.33333333333331</v>
      </c>
      <c r="F549" s="68">
        <v>250</v>
      </c>
      <c r="G549" s="68">
        <v>253.33333333333334</v>
      </c>
      <c r="H549" s="68">
        <v>253.33333333333334</v>
      </c>
      <c r="I549" s="68">
        <v>225</v>
      </c>
      <c r="J549" s="68">
        <v>308.51528384279476</v>
      </c>
    </row>
    <row r="550" spans="1:10" x14ac:dyDescent="0.3">
      <c r="A550" s="134">
        <f t="shared" si="12"/>
        <v>41814</v>
      </c>
      <c r="B550" s="63">
        <v>7</v>
      </c>
      <c r="C550" s="122">
        <v>437.5</v>
      </c>
      <c r="D550" s="122">
        <v>367.5</v>
      </c>
      <c r="E550" s="122">
        <v>363.75</v>
      </c>
      <c r="F550" s="122">
        <v>253.75</v>
      </c>
      <c r="G550" s="122">
        <v>251.25</v>
      </c>
      <c r="H550" s="122">
        <v>251.25</v>
      </c>
      <c r="I550" s="122">
        <v>230</v>
      </c>
      <c r="J550" s="122">
        <v>324.51237263464333</v>
      </c>
    </row>
    <row r="551" spans="1:10" x14ac:dyDescent="0.3">
      <c r="A551" s="134">
        <f t="shared" si="12"/>
        <v>41821</v>
      </c>
      <c r="B551" s="63">
        <v>8</v>
      </c>
      <c r="C551" s="122">
        <v>471.66666666666669</v>
      </c>
      <c r="D551" s="122">
        <v>423.33333333333331</v>
      </c>
      <c r="E551" s="122">
        <v>418.33333333333331</v>
      </c>
      <c r="F551" s="122">
        <v>345</v>
      </c>
      <c r="G551" s="122">
        <v>406.66666666666669</v>
      </c>
      <c r="H551" s="122">
        <v>406.66666666666669</v>
      </c>
      <c r="I551" s="122">
        <v>335</v>
      </c>
      <c r="J551" s="122">
        <v>459.34497816593881</v>
      </c>
    </row>
    <row r="552" spans="1:10" x14ac:dyDescent="0.3">
      <c r="A552" s="134">
        <f t="shared" si="12"/>
        <v>41828</v>
      </c>
      <c r="B552" s="63">
        <v>8</v>
      </c>
      <c r="C552" s="68">
        <v>460</v>
      </c>
      <c r="D552" s="68">
        <v>420</v>
      </c>
      <c r="E552" s="68">
        <v>422.5</v>
      </c>
      <c r="F552" s="68">
        <v>375</v>
      </c>
      <c r="G552" s="68">
        <v>375</v>
      </c>
      <c r="H552" s="68">
        <v>375</v>
      </c>
      <c r="I552" s="68">
        <v>355</v>
      </c>
      <c r="J552" s="68">
        <v>486.76855895196508</v>
      </c>
    </row>
    <row r="553" spans="1:10" x14ac:dyDescent="0.3">
      <c r="A553" s="134">
        <f t="shared" si="12"/>
        <v>41835</v>
      </c>
      <c r="B553" s="63">
        <v>8</v>
      </c>
      <c r="C553" s="68">
        <v>503.33333333333331</v>
      </c>
      <c r="D553" s="68">
        <v>456.66666666666669</v>
      </c>
      <c r="E553" s="68">
        <v>436.66666666666669</v>
      </c>
      <c r="F553" s="68">
        <v>391.66666666666669</v>
      </c>
      <c r="G553" s="68">
        <v>391.66666666666669</v>
      </c>
      <c r="H553" s="68">
        <v>391.66666666666669</v>
      </c>
      <c r="I553" s="68">
        <v>373.33333333333331</v>
      </c>
      <c r="J553" s="68">
        <v>511.90684133915573</v>
      </c>
    </row>
    <row r="554" spans="1:10" x14ac:dyDescent="0.3">
      <c r="A554" s="134">
        <f t="shared" si="12"/>
        <v>41842</v>
      </c>
      <c r="B554" s="63">
        <v>8</v>
      </c>
      <c r="C554" s="68">
        <v>563.33333333333337</v>
      </c>
      <c r="D554" s="68">
        <v>550</v>
      </c>
      <c r="E554" s="68">
        <v>568.33333333333337</v>
      </c>
      <c r="F554" s="68">
        <v>455</v>
      </c>
      <c r="G554" s="68">
        <v>500</v>
      </c>
      <c r="H554" s="68">
        <v>500</v>
      </c>
      <c r="I554" s="68">
        <v>437.66666666666669</v>
      </c>
      <c r="J554" s="68">
        <v>600.11935953420664</v>
      </c>
    </row>
    <row r="555" spans="1:10" x14ac:dyDescent="0.3">
      <c r="A555" s="134">
        <f t="shared" si="12"/>
        <v>41849</v>
      </c>
      <c r="B555" s="63">
        <v>8</v>
      </c>
      <c r="C555" s="68">
        <v>588.33333333333337</v>
      </c>
      <c r="D555" s="68">
        <v>556.66666666666663</v>
      </c>
      <c r="E555" s="68">
        <v>558.33333333333337</v>
      </c>
      <c r="F555" s="68">
        <v>491.66666666666669</v>
      </c>
      <c r="G555" s="68">
        <v>533.33333333333337</v>
      </c>
      <c r="H555" s="68">
        <v>533.33333333333337</v>
      </c>
      <c r="I555" s="68">
        <v>463.33333333333331</v>
      </c>
      <c r="J555" s="68">
        <v>635.31295487627369</v>
      </c>
    </row>
    <row r="556" spans="1:10" x14ac:dyDescent="0.3">
      <c r="A556" s="134">
        <f t="shared" si="12"/>
        <v>41856</v>
      </c>
      <c r="B556" s="63">
        <v>9</v>
      </c>
      <c r="C556" s="68">
        <v>612.5</v>
      </c>
      <c r="D556" s="68">
        <v>570</v>
      </c>
      <c r="E556" s="68">
        <v>632.5</v>
      </c>
      <c r="F556" s="68">
        <v>637.5</v>
      </c>
      <c r="G556" s="68">
        <v>667.5</v>
      </c>
      <c r="H556" s="68">
        <v>667.5</v>
      </c>
      <c r="I556" s="68">
        <v>635</v>
      </c>
      <c r="J556" s="68">
        <v>870.69868995633192</v>
      </c>
    </row>
    <row r="557" spans="1:10" x14ac:dyDescent="0.3">
      <c r="A557" s="134">
        <f t="shared" si="12"/>
        <v>41863</v>
      </c>
      <c r="B557" s="63">
        <v>9</v>
      </c>
      <c r="C557" s="68">
        <v>675</v>
      </c>
      <c r="D557" s="68">
        <v>676.66666666666663</v>
      </c>
      <c r="E557" s="68">
        <v>663.33333333333337</v>
      </c>
      <c r="F557" s="68">
        <v>628.33333333333337</v>
      </c>
      <c r="G557" s="68">
        <v>680</v>
      </c>
      <c r="H557" s="68">
        <v>680</v>
      </c>
      <c r="I557" s="68">
        <v>630</v>
      </c>
      <c r="J557" s="68">
        <v>863.84279475982532</v>
      </c>
    </row>
    <row r="558" spans="1:10" x14ac:dyDescent="0.3">
      <c r="A558" s="134">
        <f t="shared" si="12"/>
        <v>41870</v>
      </c>
      <c r="B558" s="63">
        <v>9</v>
      </c>
      <c r="C558" s="68">
        <v>666.66666666666663</v>
      </c>
      <c r="D558" s="68">
        <v>633.33333333333337</v>
      </c>
      <c r="E558" s="68">
        <v>625</v>
      </c>
      <c r="F558" s="68">
        <v>591.66666666666663</v>
      </c>
      <c r="G558" s="68">
        <v>625</v>
      </c>
      <c r="H558" s="68">
        <v>625</v>
      </c>
      <c r="I558" s="68">
        <v>633.33333333333337</v>
      </c>
      <c r="J558" s="68">
        <v>868.41339155749631</v>
      </c>
    </row>
    <row r="559" spans="1:10" x14ac:dyDescent="0.3">
      <c r="A559" s="134">
        <f t="shared" si="12"/>
        <v>41877</v>
      </c>
      <c r="B559" s="63">
        <v>9</v>
      </c>
      <c r="C559" s="63">
        <v>643.75</v>
      </c>
      <c r="D559" s="63">
        <v>641.25</v>
      </c>
      <c r="E559" s="68">
        <v>640</v>
      </c>
      <c r="F559" s="68">
        <v>662.5</v>
      </c>
      <c r="G559" s="68">
        <v>668.75</v>
      </c>
      <c r="H559" s="68">
        <v>668.75</v>
      </c>
      <c r="I559" s="68">
        <v>656.25</v>
      </c>
      <c r="J559" s="68">
        <v>902.69286754002906</v>
      </c>
    </row>
    <row r="560" spans="1:10" x14ac:dyDescent="0.3">
      <c r="A560" s="134">
        <f t="shared" si="12"/>
        <v>41884</v>
      </c>
      <c r="B560" s="63">
        <v>10</v>
      </c>
      <c r="C560" s="68">
        <v>762.5</v>
      </c>
      <c r="D560" s="68">
        <v>772.5</v>
      </c>
      <c r="E560" s="68">
        <v>772.5</v>
      </c>
      <c r="F560" s="68">
        <v>762.5</v>
      </c>
      <c r="G560" s="68">
        <v>800</v>
      </c>
      <c r="H560" s="68">
        <v>800</v>
      </c>
      <c r="I560" s="68">
        <v>758.75</v>
      </c>
      <c r="J560" s="68">
        <v>1032.9548762736538</v>
      </c>
    </row>
    <row r="561" spans="1:10" x14ac:dyDescent="0.3">
      <c r="A561" s="134">
        <f t="shared" si="12"/>
        <v>41891</v>
      </c>
      <c r="B561" s="63">
        <v>10</v>
      </c>
      <c r="C561" s="68">
        <v>733.33333333333337</v>
      </c>
      <c r="D561" s="68">
        <v>775</v>
      </c>
      <c r="E561" s="68">
        <v>775</v>
      </c>
      <c r="F561" s="68">
        <v>766.66666666666663</v>
      </c>
      <c r="G561" s="68">
        <v>808.33333333333337</v>
      </c>
      <c r="H561" s="68">
        <v>808.33333333333337</v>
      </c>
      <c r="I561" s="68">
        <v>761.66666666666663</v>
      </c>
      <c r="J561" s="68">
        <v>1044.381368267831</v>
      </c>
    </row>
    <row r="562" spans="1:10" x14ac:dyDescent="0.3">
      <c r="A562" s="134">
        <f t="shared" si="12"/>
        <v>41898</v>
      </c>
      <c r="B562" s="63">
        <v>10</v>
      </c>
      <c r="C562" s="68">
        <v>728.33333333333337</v>
      </c>
      <c r="D562" s="68">
        <v>766.66666666666663</v>
      </c>
      <c r="E562" s="68">
        <v>775</v>
      </c>
      <c r="F562" s="68">
        <v>775</v>
      </c>
      <c r="G562" s="68">
        <v>805</v>
      </c>
      <c r="H562" s="68">
        <v>805</v>
      </c>
      <c r="I562" s="68">
        <v>761.66666666666663</v>
      </c>
      <c r="J562" s="68">
        <v>1044.381368267831</v>
      </c>
    </row>
    <row r="563" spans="1:10" x14ac:dyDescent="0.3">
      <c r="A563" s="134">
        <f t="shared" si="12"/>
        <v>41905</v>
      </c>
      <c r="B563" s="63">
        <v>10</v>
      </c>
      <c r="C563" s="68">
        <v>808.33333333333337</v>
      </c>
      <c r="D563" s="68">
        <v>891.66666666666663</v>
      </c>
      <c r="E563" s="68">
        <v>900</v>
      </c>
      <c r="F563" s="68">
        <v>900</v>
      </c>
      <c r="G563" s="68">
        <v>950</v>
      </c>
      <c r="H563" s="68">
        <v>950</v>
      </c>
      <c r="I563" s="68">
        <v>916.66666666666663</v>
      </c>
      <c r="J563" s="68">
        <v>1256.9141193595342</v>
      </c>
    </row>
    <row r="564" spans="1:10" x14ac:dyDescent="0.3">
      <c r="A564" s="134">
        <f t="shared" si="12"/>
        <v>41912</v>
      </c>
      <c r="B564" s="63">
        <v>10</v>
      </c>
      <c r="C564" s="68">
        <v>916.66666666666663</v>
      </c>
      <c r="D564" s="68">
        <v>1100</v>
      </c>
      <c r="E564" s="68">
        <v>1116.6666666666667</v>
      </c>
      <c r="F564" s="68">
        <v>1000</v>
      </c>
      <c r="G564" s="68">
        <v>1050</v>
      </c>
      <c r="H564" s="68">
        <v>1083.3333333333333</v>
      </c>
      <c r="I564" s="68">
        <v>1000</v>
      </c>
      <c r="J564" s="68">
        <v>1371.17903930131</v>
      </c>
    </row>
    <row r="565" spans="1:10" x14ac:dyDescent="0.3">
      <c r="A565" s="134">
        <f t="shared" si="12"/>
        <v>41919</v>
      </c>
      <c r="B565" s="63">
        <v>10</v>
      </c>
      <c r="C565" s="68">
        <v>791.66666666666663</v>
      </c>
      <c r="D565" s="68">
        <v>766.66666666666663</v>
      </c>
      <c r="E565" s="68">
        <v>733.33333333333337</v>
      </c>
      <c r="F565" s="68">
        <v>633.33333333333337</v>
      </c>
      <c r="G565" s="68">
        <v>766.66666666666663</v>
      </c>
      <c r="H565" s="68">
        <v>766.66666666666663</v>
      </c>
      <c r="I565" s="68">
        <v>583.33333333333337</v>
      </c>
      <c r="J565" s="68">
        <v>799.85443959243082</v>
      </c>
    </row>
    <row r="566" spans="1:10" x14ac:dyDescent="0.3">
      <c r="A566" s="134">
        <f t="shared" si="12"/>
        <v>41926</v>
      </c>
      <c r="B566" s="63">
        <v>10</v>
      </c>
      <c r="C566" s="68">
        <v>733.33333333333337</v>
      </c>
      <c r="D566" s="68">
        <v>750</v>
      </c>
      <c r="E566" s="68">
        <v>733.33333333333337</v>
      </c>
      <c r="F566" s="68">
        <v>591.66666666666663</v>
      </c>
      <c r="G566" s="68">
        <v>708.33333333333337</v>
      </c>
      <c r="H566" s="68">
        <v>708.33333333333337</v>
      </c>
      <c r="I566" s="68">
        <v>525</v>
      </c>
      <c r="J566" s="68">
        <v>719.86899563318775</v>
      </c>
    </row>
    <row r="567" spans="1:10" x14ac:dyDescent="0.3">
      <c r="A567" s="134">
        <f t="shared" si="12"/>
        <v>41933</v>
      </c>
      <c r="B567" s="63">
        <v>10</v>
      </c>
      <c r="C567" s="68">
        <v>775</v>
      </c>
      <c r="D567" s="68">
        <v>787.5</v>
      </c>
      <c r="E567" s="68">
        <v>756.25</v>
      </c>
      <c r="F567" s="68">
        <v>625</v>
      </c>
      <c r="G567" s="68">
        <v>743.75</v>
      </c>
      <c r="H567" s="68">
        <v>766.66666666666663</v>
      </c>
      <c r="I567" s="68">
        <v>558.33333333333337</v>
      </c>
      <c r="J567" s="68">
        <v>737.00873362445418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7"/>
  <sheetViews>
    <sheetView workbookViewId="0">
      <pane xSplit="1" ySplit="3" topLeftCell="B557" activePane="bottomRight" state="frozen"/>
      <selection pane="topRight" activeCell="B1" sqref="B1"/>
      <selection pane="bottomLeft" activeCell="A4" sqref="A4"/>
      <selection pane="bottomRight" activeCell="A567" sqref="A567:B567"/>
    </sheetView>
  </sheetViews>
  <sheetFormatPr defaultColWidth="9.08984375" defaultRowHeight="14" x14ac:dyDescent="0.3"/>
  <cols>
    <col min="1" max="1" width="10.6328125" style="69" customWidth="1"/>
    <col min="2" max="4" width="9.08984375" style="63"/>
    <col min="5" max="10" width="9.08984375" style="68"/>
    <col min="11" max="16384" width="9.08984375" style="63"/>
  </cols>
  <sheetData>
    <row r="1" spans="1:10" x14ac:dyDescent="0.3">
      <c r="A1" s="83" t="s">
        <v>50</v>
      </c>
      <c r="B1" s="84"/>
      <c r="C1" s="84"/>
      <c r="D1" s="84"/>
      <c r="E1" s="89"/>
      <c r="F1" s="90"/>
      <c r="G1" s="90"/>
      <c r="H1" s="90"/>
      <c r="I1" s="90"/>
      <c r="J1" s="90"/>
    </row>
    <row r="2" spans="1:10" x14ac:dyDescent="0.3">
      <c r="A2" s="83" t="s">
        <v>1</v>
      </c>
      <c r="B2" s="84"/>
      <c r="C2" s="84"/>
      <c r="D2" s="84"/>
      <c r="E2" s="89"/>
      <c r="F2" s="90"/>
      <c r="G2" s="90"/>
      <c r="H2" s="90"/>
      <c r="I2" s="90"/>
      <c r="J2" s="90"/>
    </row>
    <row r="3" spans="1:10" x14ac:dyDescent="0.3">
      <c r="A3" s="69" t="s">
        <v>4</v>
      </c>
      <c r="B3" s="85" t="s">
        <v>8</v>
      </c>
      <c r="C3" s="85" t="s">
        <v>10</v>
      </c>
      <c r="D3" s="85" t="s">
        <v>7</v>
      </c>
      <c r="E3" s="91" t="s">
        <v>5</v>
      </c>
      <c r="F3" s="91" t="s">
        <v>9</v>
      </c>
      <c r="G3" s="91" t="s">
        <v>3</v>
      </c>
      <c r="H3" s="91" t="s">
        <v>6</v>
      </c>
      <c r="I3" s="91" t="s">
        <v>2</v>
      </c>
      <c r="J3" s="91" t="s">
        <v>11</v>
      </c>
    </row>
    <row r="4" spans="1:10" x14ac:dyDescent="0.3">
      <c r="A4" s="66">
        <v>37993</v>
      </c>
      <c r="B4" s="63">
        <v>4</v>
      </c>
      <c r="C4" s="68">
        <v>203.75</v>
      </c>
      <c r="D4" s="68">
        <v>174.16</v>
      </c>
      <c r="E4" s="68">
        <v>170</v>
      </c>
      <c r="F4" s="68">
        <v>144</v>
      </c>
      <c r="G4" s="68">
        <v>146.5</v>
      </c>
      <c r="H4" s="68">
        <v>146.5</v>
      </c>
      <c r="I4" s="68">
        <v>130.5</v>
      </c>
      <c r="J4" s="68">
        <v>183.3</v>
      </c>
    </row>
    <row r="5" spans="1:10" x14ac:dyDescent="0.3">
      <c r="A5" s="66">
        <v>38000</v>
      </c>
      <c r="B5" s="63">
        <v>4</v>
      </c>
      <c r="C5" s="68">
        <v>198.75</v>
      </c>
      <c r="D5" s="68">
        <v>185</v>
      </c>
      <c r="E5" s="68">
        <v>171.25</v>
      </c>
      <c r="F5" s="68">
        <v>144</v>
      </c>
      <c r="G5" s="68">
        <v>144.5</v>
      </c>
      <c r="H5" s="68">
        <v>144.5</v>
      </c>
      <c r="I5" s="68">
        <v>130.5</v>
      </c>
      <c r="J5" s="68">
        <v>183.3</v>
      </c>
    </row>
    <row r="6" spans="1:10" x14ac:dyDescent="0.3">
      <c r="A6" s="66">
        <v>38007</v>
      </c>
      <c r="B6" s="63">
        <v>4</v>
      </c>
      <c r="C6" s="63">
        <v>201</v>
      </c>
      <c r="D6" s="63">
        <v>179</v>
      </c>
      <c r="E6" s="68">
        <v>168</v>
      </c>
      <c r="F6" s="68">
        <v>137</v>
      </c>
      <c r="G6" s="68">
        <v>141</v>
      </c>
      <c r="H6" s="68">
        <v>140</v>
      </c>
      <c r="I6" s="68">
        <v>126</v>
      </c>
      <c r="J6" s="68">
        <v>172</v>
      </c>
    </row>
    <row r="7" spans="1:10" x14ac:dyDescent="0.3">
      <c r="A7" s="66">
        <v>38014</v>
      </c>
      <c r="B7" s="63">
        <v>4</v>
      </c>
      <c r="C7" s="63">
        <v>203</v>
      </c>
      <c r="D7" s="63">
        <v>177</v>
      </c>
      <c r="E7" s="68">
        <v>167</v>
      </c>
      <c r="F7" s="68">
        <v>138</v>
      </c>
      <c r="G7" s="68">
        <v>140</v>
      </c>
      <c r="H7" s="68">
        <v>141</v>
      </c>
      <c r="I7" s="68">
        <v>130</v>
      </c>
      <c r="J7" s="68">
        <v>158</v>
      </c>
    </row>
    <row r="8" spans="1:10" x14ac:dyDescent="0.3">
      <c r="A8" s="66">
        <v>38021</v>
      </c>
      <c r="B8" s="86">
        <v>5</v>
      </c>
      <c r="C8" s="63">
        <v>193</v>
      </c>
      <c r="D8" s="63">
        <v>172</v>
      </c>
      <c r="E8" s="68">
        <v>160</v>
      </c>
      <c r="F8" s="68">
        <v>136</v>
      </c>
      <c r="G8" s="68">
        <v>135</v>
      </c>
      <c r="H8" s="68">
        <v>135</v>
      </c>
      <c r="I8" s="68">
        <v>124</v>
      </c>
      <c r="J8" s="68">
        <v>180</v>
      </c>
    </row>
    <row r="9" spans="1:10" x14ac:dyDescent="0.3">
      <c r="A9" s="66">
        <v>38028</v>
      </c>
      <c r="B9" s="86">
        <v>5</v>
      </c>
      <c r="C9" s="63">
        <v>192</v>
      </c>
      <c r="D9" s="63">
        <v>167</v>
      </c>
      <c r="E9" s="68">
        <v>153</v>
      </c>
      <c r="F9" s="68">
        <v>139</v>
      </c>
      <c r="G9" s="68">
        <v>136</v>
      </c>
      <c r="H9" s="68">
        <v>136</v>
      </c>
      <c r="I9" s="68">
        <v>123</v>
      </c>
      <c r="J9" s="68">
        <v>167</v>
      </c>
    </row>
    <row r="10" spans="1:10" x14ac:dyDescent="0.3">
      <c r="A10" s="66">
        <v>38035</v>
      </c>
      <c r="B10" s="86">
        <v>5</v>
      </c>
      <c r="C10" s="63">
        <v>191</v>
      </c>
      <c r="D10" s="63">
        <v>168</v>
      </c>
      <c r="E10" s="68">
        <v>158</v>
      </c>
      <c r="F10" s="68">
        <v>131</v>
      </c>
      <c r="G10" s="68">
        <v>128</v>
      </c>
      <c r="H10" s="68">
        <v>127</v>
      </c>
      <c r="I10" s="68">
        <v>118</v>
      </c>
      <c r="J10" s="68">
        <v>175</v>
      </c>
    </row>
    <row r="11" spans="1:10" x14ac:dyDescent="0.3">
      <c r="A11" s="66">
        <v>38042</v>
      </c>
      <c r="B11" s="63">
        <v>5</v>
      </c>
      <c r="C11" s="63">
        <v>189</v>
      </c>
      <c r="D11" s="63">
        <v>166</v>
      </c>
      <c r="E11" s="68">
        <v>155</v>
      </c>
      <c r="F11" s="68">
        <v>131</v>
      </c>
      <c r="G11" s="68">
        <v>126</v>
      </c>
      <c r="H11" s="68">
        <v>125</v>
      </c>
      <c r="I11" s="68">
        <v>121</v>
      </c>
      <c r="J11" s="68">
        <v>167</v>
      </c>
    </row>
    <row r="12" spans="1:10" x14ac:dyDescent="0.3">
      <c r="A12" s="66">
        <v>38049</v>
      </c>
      <c r="B12" s="63">
        <v>6</v>
      </c>
      <c r="C12" s="63">
        <v>190</v>
      </c>
      <c r="D12" s="63">
        <v>168</v>
      </c>
      <c r="E12" s="68">
        <v>158</v>
      </c>
      <c r="F12" s="68">
        <v>135</v>
      </c>
      <c r="G12" s="68">
        <v>131</v>
      </c>
      <c r="H12" s="68">
        <v>130</v>
      </c>
      <c r="I12" s="68">
        <v>124</v>
      </c>
      <c r="J12" s="68">
        <v>167</v>
      </c>
    </row>
    <row r="13" spans="1:10" x14ac:dyDescent="0.3">
      <c r="A13" s="69">
        <v>38056</v>
      </c>
      <c r="B13" s="63">
        <v>6</v>
      </c>
      <c r="C13" s="63">
        <v>190</v>
      </c>
      <c r="D13" s="63">
        <v>166</v>
      </c>
      <c r="E13" s="68">
        <v>155</v>
      </c>
      <c r="F13" s="68">
        <v>133</v>
      </c>
      <c r="G13" s="68">
        <v>134</v>
      </c>
      <c r="H13" s="68">
        <v>133</v>
      </c>
      <c r="I13" s="68">
        <v>125</v>
      </c>
      <c r="J13" s="68">
        <v>170</v>
      </c>
    </row>
    <row r="14" spans="1:10" x14ac:dyDescent="0.3">
      <c r="A14" s="69">
        <v>38063</v>
      </c>
      <c r="B14" s="63">
        <v>6</v>
      </c>
      <c r="C14" s="68">
        <v>189</v>
      </c>
      <c r="D14" s="68">
        <v>163</v>
      </c>
      <c r="E14" s="68">
        <v>155</v>
      </c>
      <c r="F14" s="68">
        <v>129</v>
      </c>
      <c r="G14" s="68">
        <v>134</v>
      </c>
      <c r="H14" s="68">
        <v>133</v>
      </c>
      <c r="I14" s="68">
        <v>122</v>
      </c>
      <c r="J14" s="68">
        <v>163</v>
      </c>
    </row>
    <row r="15" spans="1:10" x14ac:dyDescent="0.3">
      <c r="A15" s="69">
        <v>38070</v>
      </c>
      <c r="B15" s="63">
        <v>6</v>
      </c>
      <c r="C15" s="63">
        <v>183</v>
      </c>
      <c r="D15" s="63">
        <v>159</v>
      </c>
      <c r="E15" s="68">
        <v>152</v>
      </c>
      <c r="F15" s="68">
        <v>130</v>
      </c>
      <c r="G15" s="68">
        <v>132</v>
      </c>
      <c r="H15" s="68">
        <v>132</v>
      </c>
      <c r="I15" s="68">
        <v>122</v>
      </c>
      <c r="J15" s="68">
        <v>165</v>
      </c>
    </row>
    <row r="16" spans="1:10" x14ac:dyDescent="0.3">
      <c r="A16" s="69">
        <v>38077</v>
      </c>
      <c r="B16" s="63">
        <v>6</v>
      </c>
      <c r="C16" s="63">
        <v>188</v>
      </c>
      <c r="D16" s="63">
        <v>160</v>
      </c>
      <c r="E16" s="68">
        <v>155</v>
      </c>
      <c r="F16" s="68">
        <v>129</v>
      </c>
      <c r="G16" s="68">
        <v>130</v>
      </c>
      <c r="H16" s="68">
        <v>130</v>
      </c>
      <c r="I16" s="68">
        <v>121</v>
      </c>
      <c r="J16" s="68">
        <v>177</v>
      </c>
    </row>
    <row r="17" spans="1:10" x14ac:dyDescent="0.3">
      <c r="A17" s="69">
        <v>38084</v>
      </c>
      <c r="B17" s="63">
        <v>7</v>
      </c>
      <c r="C17" s="63">
        <v>190</v>
      </c>
      <c r="D17" s="63">
        <v>161</v>
      </c>
      <c r="E17" s="68">
        <v>159</v>
      </c>
      <c r="F17" s="68">
        <v>134</v>
      </c>
      <c r="G17" s="68">
        <v>140</v>
      </c>
      <c r="H17" s="68">
        <v>140</v>
      </c>
      <c r="I17" s="68">
        <v>130</v>
      </c>
      <c r="J17" s="68">
        <v>185</v>
      </c>
    </row>
    <row r="18" spans="1:10" x14ac:dyDescent="0.3">
      <c r="A18" s="69">
        <v>38091</v>
      </c>
      <c r="B18" s="63">
        <v>7</v>
      </c>
      <c r="C18" s="63">
        <v>189</v>
      </c>
      <c r="D18" s="63">
        <v>164</v>
      </c>
      <c r="E18" s="68">
        <v>156</v>
      </c>
      <c r="F18" s="68">
        <v>134</v>
      </c>
      <c r="G18" s="68">
        <v>139</v>
      </c>
      <c r="H18" s="68">
        <v>139</v>
      </c>
      <c r="I18" s="68">
        <v>128</v>
      </c>
      <c r="J18" s="68">
        <v>175</v>
      </c>
    </row>
    <row r="19" spans="1:10" x14ac:dyDescent="0.3">
      <c r="A19" s="69">
        <v>38098</v>
      </c>
      <c r="B19" s="63">
        <v>7</v>
      </c>
      <c r="C19" s="63">
        <v>185</v>
      </c>
      <c r="D19" s="63">
        <v>162</v>
      </c>
      <c r="E19" s="68">
        <v>151</v>
      </c>
      <c r="F19" s="68">
        <v>135</v>
      </c>
      <c r="G19" s="68">
        <v>139</v>
      </c>
      <c r="H19" s="68">
        <v>139</v>
      </c>
      <c r="I19" s="68">
        <v>135</v>
      </c>
      <c r="J19" s="68">
        <v>177</v>
      </c>
    </row>
    <row r="20" spans="1:10" x14ac:dyDescent="0.3">
      <c r="A20" s="69">
        <v>38105</v>
      </c>
      <c r="B20" s="63">
        <v>7</v>
      </c>
      <c r="C20" s="63">
        <v>186</v>
      </c>
      <c r="D20" s="63">
        <v>159</v>
      </c>
      <c r="E20" s="68">
        <v>153</v>
      </c>
      <c r="F20" s="68">
        <v>135</v>
      </c>
      <c r="G20" s="68">
        <v>137</v>
      </c>
      <c r="H20" s="68">
        <v>137</v>
      </c>
      <c r="I20" s="68">
        <v>127</v>
      </c>
      <c r="J20" s="68">
        <v>173</v>
      </c>
    </row>
    <row r="21" spans="1:10" x14ac:dyDescent="0.3">
      <c r="A21" s="69">
        <v>38112</v>
      </c>
      <c r="B21" s="63">
        <v>8</v>
      </c>
      <c r="C21" s="63">
        <v>196</v>
      </c>
      <c r="D21" s="63">
        <v>172</v>
      </c>
      <c r="E21" s="68">
        <v>167</v>
      </c>
      <c r="F21" s="68">
        <v>160</v>
      </c>
      <c r="G21" s="68">
        <v>164</v>
      </c>
      <c r="H21" s="68">
        <v>164</v>
      </c>
      <c r="I21" s="68">
        <v>155</v>
      </c>
      <c r="J21" s="68">
        <v>195</v>
      </c>
    </row>
    <row r="22" spans="1:10" x14ac:dyDescent="0.3">
      <c r="A22" s="69">
        <v>38119</v>
      </c>
      <c r="B22" s="63">
        <v>8</v>
      </c>
      <c r="C22" s="63">
        <v>199</v>
      </c>
      <c r="D22" s="63">
        <v>178</v>
      </c>
      <c r="E22" s="68">
        <v>174</v>
      </c>
      <c r="F22" s="68">
        <v>164</v>
      </c>
      <c r="G22" s="68">
        <v>167</v>
      </c>
      <c r="H22" s="68">
        <v>167</v>
      </c>
      <c r="I22" s="68">
        <v>159</v>
      </c>
      <c r="J22" s="68">
        <v>213</v>
      </c>
    </row>
    <row r="23" spans="1:10" x14ac:dyDescent="0.3">
      <c r="A23" s="69">
        <v>38126</v>
      </c>
      <c r="B23" s="63">
        <v>8</v>
      </c>
      <c r="C23" s="63">
        <v>220</v>
      </c>
      <c r="D23" s="63">
        <v>192</v>
      </c>
      <c r="E23" s="68">
        <v>186</v>
      </c>
      <c r="F23" s="68">
        <v>174</v>
      </c>
      <c r="G23" s="68">
        <v>170</v>
      </c>
      <c r="H23" s="68">
        <v>170</v>
      </c>
      <c r="I23" s="68">
        <v>167</v>
      </c>
      <c r="J23" s="68">
        <v>210</v>
      </c>
    </row>
    <row r="24" spans="1:10" x14ac:dyDescent="0.3">
      <c r="A24" s="69">
        <v>38133</v>
      </c>
      <c r="B24" s="63">
        <v>8</v>
      </c>
      <c r="C24" s="63">
        <v>228</v>
      </c>
      <c r="D24" s="63">
        <v>194</v>
      </c>
      <c r="E24" s="68">
        <v>187</v>
      </c>
      <c r="F24" s="68">
        <v>174</v>
      </c>
      <c r="G24" s="68">
        <v>174</v>
      </c>
      <c r="H24" s="68">
        <v>174</v>
      </c>
      <c r="I24" s="68">
        <v>170</v>
      </c>
      <c r="J24" s="68">
        <v>222</v>
      </c>
    </row>
    <row r="25" spans="1:10" x14ac:dyDescent="0.3">
      <c r="A25" s="69">
        <v>38140</v>
      </c>
      <c r="B25" s="63">
        <v>9</v>
      </c>
      <c r="C25" s="63">
        <v>264</v>
      </c>
      <c r="D25" s="63">
        <v>243</v>
      </c>
      <c r="E25" s="68">
        <v>240</v>
      </c>
      <c r="F25" s="68">
        <v>221</v>
      </c>
      <c r="G25" s="68">
        <v>239</v>
      </c>
      <c r="H25" s="68">
        <v>238</v>
      </c>
      <c r="I25" s="68">
        <v>218</v>
      </c>
      <c r="J25" s="68">
        <v>278</v>
      </c>
    </row>
    <row r="26" spans="1:10" x14ac:dyDescent="0.3">
      <c r="A26" s="69">
        <v>38147</v>
      </c>
      <c r="B26" s="63">
        <v>9</v>
      </c>
      <c r="C26" s="63">
        <v>261</v>
      </c>
      <c r="D26" s="63">
        <v>242</v>
      </c>
      <c r="E26" s="68">
        <v>238</v>
      </c>
      <c r="F26" s="68">
        <v>223</v>
      </c>
      <c r="G26" s="68">
        <v>240</v>
      </c>
      <c r="H26" s="68">
        <v>239</v>
      </c>
      <c r="I26" s="68">
        <v>219</v>
      </c>
      <c r="J26" s="68">
        <v>280</v>
      </c>
    </row>
    <row r="27" spans="1:10" x14ac:dyDescent="0.3">
      <c r="A27" s="69">
        <v>38154</v>
      </c>
      <c r="B27" s="63">
        <v>9</v>
      </c>
      <c r="C27" s="63">
        <v>254</v>
      </c>
      <c r="D27" s="63">
        <v>237</v>
      </c>
      <c r="E27" s="68">
        <v>235</v>
      </c>
      <c r="F27" s="68">
        <v>220</v>
      </c>
      <c r="G27" s="68">
        <v>237</v>
      </c>
      <c r="H27" s="68">
        <v>238</v>
      </c>
      <c r="I27" s="68">
        <v>215</v>
      </c>
      <c r="J27" s="68">
        <v>275</v>
      </c>
    </row>
    <row r="28" spans="1:10" x14ac:dyDescent="0.3">
      <c r="A28" s="69">
        <v>38161</v>
      </c>
      <c r="B28" s="63">
        <v>9</v>
      </c>
      <c r="C28" s="63">
        <v>255</v>
      </c>
      <c r="D28" s="63">
        <v>236</v>
      </c>
      <c r="E28" s="68">
        <v>232</v>
      </c>
      <c r="F28" s="68">
        <v>223</v>
      </c>
      <c r="G28" s="68">
        <v>239</v>
      </c>
      <c r="H28" s="68">
        <v>239</v>
      </c>
      <c r="I28" s="68">
        <v>220</v>
      </c>
      <c r="J28" s="68">
        <v>283</v>
      </c>
    </row>
    <row r="29" spans="1:10" x14ac:dyDescent="0.3">
      <c r="A29" s="69">
        <v>38168</v>
      </c>
      <c r="B29" s="63">
        <v>9</v>
      </c>
      <c r="C29" s="63">
        <v>257</v>
      </c>
      <c r="D29" s="63">
        <v>241</v>
      </c>
      <c r="E29" s="68">
        <v>239</v>
      </c>
      <c r="F29" s="68">
        <v>225</v>
      </c>
      <c r="G29" s="68">
        <v>235</v>
      </c>
      <c r="H29" s="68">
        <v>235</v>
      </c>
      <c r="I29" s="68">
        <v>220</v>
      </c>
      <c r="J29" s="68">
        <v>275</v>
      </c>
    </row>
    <row r="30" spans="1:10" x14ac:dyDescent="0.3">
      <c r="A30" s="70">
        <v>38175</v>
      </c>
      <c r="B30" s="63">
        <v>10</v>
      </c>
      <c r="C30" s="63">
        <v>296</v>
      </c>
      <c r="D30" s="63">
        <v>281</v>
      </c>
      <c r="E30" s="68">
        <v>278</v>
      </c>
      <c r="F30" s="68">
        <v>242</v>
      </c>
      <c r="G30" s="68">
        <v>275</v>
      </c>
      <c r="H30" s="68">
        <v>275</v>
      </c>
      <c r="I30" s="68">
        <v>240</v>
      </c>
      <c r="J30" s="68">
        <v>303</v>
      </c>
    </row>
    <row r="31" spans="1:10" x14ac:dyDescent="0.3">
      <c r="A31" s="70">
        <v>38182</v>
      </c>
      <c r="B31" s="63">
        <v>10</v>
      </c>
      <c r="C31" s="63">
        <v>294</v>
      </c>
      <c r="D31" s="63">
        <v>280</v>
      </c>
      <c r="E31" s="68">
        <v>277</v>
      </c>
      <c r="F31" s="68">
        <v>244</v>
      </c>
      <c r="G31" s="68">
        <v>275</v>
      </c>
      <c r="H31" s="68">
        <v>275</v>
      </c>
      <c r="I31" s="68">
        <v>235</v>
      </c>
      <c r="J31" s="68">
        <v>305</v>
      </c>
    </row>
    <row r="32" spans="1:10" x14ac:dyDescent="0.3">
      <c r="A32" s="70">
        <v>38189</v>
      </c>
      <c r="B32" s="63">
        <v>10</v>
      </c>
      <c r="C32" s="63">
        <v>301</v>
      </c>
      <c r="D32" s="63">
        <v>290</v>
      </c>
      <c r="E32" s="68">
        <v>285</v>
      </c>
      <c r="F32" s="68">
        <v>245</v>
      </c>
      <c r="G32" s="68">
        <v>287</v>
      </c>
      <c r="H32" s="68">
        <v>286</v>
      </c>
      <c r="I32" s="68">
        <v>244</v>
      </c>
      <c r="J32" s="68">
        <v>303</v>
      </c>
    </row>
    <row r="33" spans="1:10" x14ac:dyDescent="0.3">
      <c r="A33" s="70">
        <v>38196</v>
      </c>
      <c r="B33" s="63">
        <v>10</v>
      </c>
      <c r="C33" s="63">
        <v>301</v>
      </c>
      <c r="D33" s="63">
        <v>294</v>
      </c>
      <c r="E33" s="68">
        <v>293</v>
      </c>
      <c r="F33" s="68">
        <v>261</v>
      </c>
      <c r="G33" s="68">
        <v>291</v>
      </c>
      <c r="H33" s="68">
        <v>291</v>
      </c>
      <c r="I33" s="68">
        <v>250</v>
      </c>
      <c r="J33" s="68">
        <v>308</v>
      </c>
    </row>
    <row r="34" spans="1:10" x14ac:dyDescent="0.3">
      <c r="A34" s="70">
        <v>38203</v>
      </c>
      <c r="B34" s="63">
        <v>11</v>
      </c>
      <c r="C34" s="63">
        <v>279</v>
      </c>
      <c r="D34" s="63">
        <v>241</v>
      </c>
      <c r="E34" s="68">
        <v>229</v>
      </c>
      <c r="F34" s="68">
        <v>187</v>
      </c>
      <c r="G34" s="68">
        <v>198</v>
      </c>
      <c r="H34" s="68">
        <v>198</v>
      </c>
      <c r="I34" s="68">
        <v>187</v>
      </c>
      <c r="J34" s="68">
        <v>208</v>
      </c>
    </row>
    <row r="35" spans="1:10" x14ac:dyDescent="0.3">
      <c r="A35" s="66">
        <v>38210</v>
      </c>
      <c r="B35" s="63">
        <v>11</v>
      </c>
      <c r="C35" s="63">
        <v>280</v>
      </c>
      <c r="D35" s="63">
        <v>241</v>
      </c>
      <c r="E35" s="68">
        <v>230</v>
      </c>
      <c r="F35" s="68">
        <v>187</v>
      </c>
      <c r="G35" s="68">
        <v>203</v>
      </c>
      <c r="H35" s="68">
        <v>202</v>
      </c>
      <c r="I35" s="68">
        <v>177</v>
      </c>
      <c r="J35" s="68">
        <v>218</v>
      </c>
    </row>
    <row r="36" spans="1:10" x14ac:dyDescent="0.3">
      <c r="A36" s="66">
        <v>38217</v>
      </c>
      <c r="B36" s="63">
        <v>11</v>
      </c>
      <c r="C36" s="63">
        <v>281</v>
      </c>
      <c r="D36" s="63">
        <v>242</v>
      </c>
      <c r="E36" s="68">
        <v>231</v>
      </c>
      <c r="F36" s="68">
        <v>186</v>
      </c>
      <c r="G36" s="68">
        <v>219</v>
      </c>
      <c r="H36" s="68">
        <v>208</v>
      </c>
      <c r="I36" s="68">
        <v>177</v>
      </c>
      <c r="J36" s="68">
        <v>222</v>
      </c>
    </row>
    <row r="37" spans="1:10" x14ac:dyDescent="0.3">
      <c r="A37" s="66">
        <v>38224</v>
      </c>
      <c r="B37" s="63">
        <v>11</v>
      </c>
      <c r="C37" s="63">
        <v>283</v>
      </c>
      <c r="D37" s="63">
        <v>242</v>
      </c>
      <c r="E37" s="68">
        <v>230</v>
      </c>
      <c r="F37" s="68">
        <v>186</v>
      </c>
      <c r="G37" s="68">
        <v>199</v>
      </c>
      <c r="H37" s="68">
        <v>199</v>
      </c>
      <c r="I37" s="68">
        <v>175</v>
      </c>
      <c r="J37" s="68">
        <v>238</v>
      </c>
    </row>
    <row r="38" spans="1:10" x14ac:dyDescent="0.3">
      <c r="A38" s="66">
        <v>38231</v>
      </c>
      <c r="B38" s="63">
        <v>12</v>
      </c>
      <c r="E38" s="68">
        <v>199</v>
      </c>
      <c r="F38" s="68">
        <v>158</v>
      </c>
      <c r="G38" s="68">
        <v>167</v>
      </c>
      <c r="H38" s="68">
        <v>167</v>
      </c>
      <c r="I38" s="68">
        <v>150</v>
      </c>
      <c r="J38" s="68">
        <v>193</v>
      </c>
    </row>
    <row r="39" spans="1:10" x14ac:dyDescent="0.3">
      <c r="A39" s="66">
        <v>38238</v>
      </c>
      <c r="B39" s="63">
        <v>12</v>
      </c>
      <c r="E39" s="68">
        <v>204</v>
      </c>
      <c r="F39" s="68">
        <v>161</v>
      </c>
      <c r="G39" s="68">
        <v>170</v>
      </c>
      <c r="H39" s="68">
        <v>170</v>
      </c>
      <c r="I39" s="68">
        <v>153</v>
      </c>
      <c r="J39" s="68">
        <v>202</v>
      </c>
    </row>
    <row r="40" spans="1:10" x14ac:dyDescent="0.3">
      <c r="A40" s="66">
        <v>38245</v>
      </c>
      <c r="B40" s="63">
        <v>12</v>
      </c>
      <c r="E40" s="68">
        <v>208</v>
      </c>
      <c r="F40" s="68">
        <v>165</v>
      </c>
      <c r="G40" s="68">
        <v>171</v>
      </c>
      <c r="H40" s="68">
        <v>171</v>
      </c>
      <c r="I40" s="68">
        <v>156</v>
      </c>
      <c r="J40" s="68">
        <v>200</v>
      </c>
    </row>
    <row r="41" spans="1:10" x14ac:dyDescent="0.3">
      <c r="A41" s="66">
        <v>38252</v>
      </c>
      <c r="B41" s="63">
        <v>12</v>
      </c>
      <c r="E41" s="68">
        <v>208</v>
      </c>
      <c r="F41" s="68">
        <v>166</v>
      </c>
      <c r="G41" s="68">
        <v>174</v>
      </c>
      <c r="H41" s="68">
        <v>172</v>
      </c>
      <c r="I41" s="68">
        <v>155</v>
      </c>
      <c r="J41" s="68">
        <v>190</v>
      </c>
    </row>
    <row r="42" spans="1:10" x14ac:dyDescent="0.3">
      <c r="A42" s="66">
        <v>38259</v>
      </c>
      <c r="B42" s="63">
        <v>12</v>
      </c>
      <c r="E42" s="68">
        <v>224</v>
      </c>
      <c r="F42" s="68">
        <v>176</v>
      </c>
      <c r="G42" s="68">
        <v>185</v>
      </c>
      <c r="H42" s="68">
        <v>185</v>
      </c>
      <c r="I42" s="68">
        <v>169</v>
      </c>
      <c r="J42" s="68">
        <v>217</v>
      </c>
    </row>
    <row r="43" spans="1:10" x14ac:dyDescent="0.3">
      <c r="A43" s="66">
        <v>38266</v>
      </c>
      <c r="B43" s="63">
        <v>1</v>
      </c>
      <c r="E43" s="68">
        <v>252</v>
      </c>
      <c r="F43" s="68">
        <v>181</v>
      </c>
      <c r="G43" s="68">
        <v>195</v>
      </c>
      <c r="H43" s="68">
        <v>196</v>
      </c>
      <c r="I43" s="68">
        <v>170</v>
      </c>
      <c r="J43" s="68">
        <v>212</v>
      </c>
    </row>
    <row r="44" spans="1:10" x14ac:dyDescent="0.3">
      <c r="A44" s="66">
        <v>38273</v>
      </c>
      <c r="B44" s="63">
        <v>1</v>
      </c>
      <c r="E44" s="68">
        <v>243</v>
      </c>
      <c r="F44" s="68">
        <v>175</v>
      </c>
      <c r="G44" s="68">
        <v>191</v>
      </c>
      <c r="H44" s="68">
        <v>192</v>
      </c>
      <c r="I44" s="68">
        <v>169</v>
      </c>
      <c r="J44" s="68">
        <v>210</v>
      </c>
    </row>
    <row r="45" spans="1:10" x14ac:dyDescent="0.3">
      <c r="A45" s="66">
        <v>38280</v>
      </c>
      <c r="B45" s="63">
        <v>1</v>
      </c>
      <c r="E45" s="68">
        <v>247</v>
      </c>
      <c r="F45" s="68">
        <v>182</v>
      </c>
      <c r="G45" s="68">
        <v>200</v>
      </c>
      <c r="H45" s="68">
        <v>200</v>
      </c>
      <c r="I45" s="68">
        <v>176</v>
      </c>
      <c r="J45" s="68">
        <v>213</v>
      </c>
    </row>
    <row r="46" spans="1:10" x14ac:dyDescent="0.3">
      <c r="A46" s="66">
        <v>38287</v>
      </c>
      <c r="B46" s="63">
        <v>1</v>
      </c>
      <c r="E46" s="68">
        <v>265</v>
      </c>
      <c r="F46" s="68">
        <v>198</v>
      </c>
      <c r="G46" s="68">
        <v>216</v>
      </c>
      <c r="H46" s="68">
        <v>216</v>
      </c>
      <c r="I46" s="68">
        <v>185</v>
      </c>
      <c r="J46" s="68">
        <v>223</v>
      </c>
    </row>
    <row r="47" spans="1:10" x14ac:dyDescent="0.3">
      <c r="A47" s="66">
        <v>38294</v>
      </c>
      <c r="B47" s="63">
        <v>2</v>
      </c>
      <c r="E47" s="68">
        <v>245</v>
      </c>
      <c r="F47" s="68">
        <v>189</v>
      </c>
      <c r="G47" s="68">
        <v>202</v>
      </c>
      <c r="H47" s="68">
        <v>202</v>
      </c>
      <c r="I47" s="68">
        <v>180</v>
      </c>
      <c r="J47" s="68">
        <v>227</v>
      </c>
    </row>
    <row r="48" spans="1:10" x14ac:dyDescent="0.3">
      <c r="A48" s="66">
        <v>38301</v>
      </c>
      <c r="B48" s="63">
        <v>2</v>
      </c>
      <c r="E48" s="68">
        <v>251</v>
      </c>
      <c r="F48" s="68">
        <v>194</v>
      </c>
      <c r="G48" s="68">
        <v>213</v>
      </c>
      <c r="H48" s="68">
        <v>213</v>
      </c>
      <c r="I48" s="68">
        <v>180</v>
      </c>
      <c r="J48" s="68">
        <v>240</v>
      </c>
    </row>
    <row r="49" spans="1:10" x14ac:dyDescent="0.3">
      <c r="A49" s="66">
        <v>38308</v>
      </c>
      <c r="B49" s="63">
        <v>2</v>
      </c>
      <c r="E49" s="68">
        <v>242</v>
      </c>
      <c r="F49" s="68">
        <v>191</v>
      </c>
      <c r="G49" s="68">
        <v>207</v>
      </c>
      <c r="H49" s="68">
        <v>207</v>
      </c>
      <c r="I49" s="68">
        <v>180</v>
      </c>
      <c r="J49" s="68">
        <v>218</v>
      </c>
    </row>
    <row r="50" spans="1:10" x14ac:dyDescent="0.3">
      <c r="A50" s="66">
        <v>38315</v>
      </c>
      <c r="B50" s="63">
        <v>2</v>
      </c>
      <c r="E50" s="68">
        <v>242</v>
      </c>
      <c r="F50" s="68">
        <v>191</v>
      </c>
      <c r="G50" s="68">
        <v>198</v>
      </c>
      <c r="H50" s="68">
        <v>198</v>
      </c>
      <c r="I50" s="68">
        <v>173</v>
      </c>
      <c r="J50" s="68">
        <v>225</v>
      </c>
    </row>
    <row r="51" spans="1:10" x14ac:dyDescent="0.3">
      <c r="A51" s="66">
        <v>38322</v>
      </c>
      <c r="B51" s="63">
        <v>3</v>
      </c>
      <c r="C51" s="71"/>
      <c r="D51" s="71">
        <v>225</v>
      </c>
      <c r="E51" s="68">
        <v>220</v>
      </c>
      <c r="F51" s="68">
        <v>179</v>
      </c>
      <c r="G51" s="68">
        <v>190</v>
      </c>
      <c r="H51" s="68">
        <v>190</v>
      </c>
      <c r="I51" s="68">
        <v>169</v>
      </c>
      <c r="J51" s="68">
        <v>208</v>
      </c>
    </row>
    <row r="52" spans="1:10" x14ac:dyDescent="0.3">
      <c r="A52" s="66">
        <v>38329</v>
      </c>
      <c r="B52" s="63">
        <v>3</v>
      </c>
      <c r="D52" s="63">
        <v>225</v>
      </c>
      <c r="E52" s="68">
        <v>220</v>
      </c>
      <c r="F52" s="68">
        <v>180</v>
      </c>
      <c r="G52" s="68">
        <v>189</v>
      </c>
      <c r="H52" s="68">
        <v>189</v>
      </c>
      <c r="I52" s="68">
        <v>168</v>
      </c>
      <c r="J52" s="68">
        <v>208</v>
      </c>
    </row>
    <row r="53" spans="1:10" x14ac:dyDescent="0.3">
      <c r="A53" s="66">
        <v>38336</v>
      </c>
      <c r="B53" s="63">
        <v>3</v>
      </c>
      <c r="D53" s="63">
        <v>225</v>
      </c>
      <c r="E53" s="68">
        <v>219</v>
      </c>
      <c r="F53" s="68">
        <v>186</v>
      </c>
      <c r="G53" s="68">
        <v>195</v>
      </c>
      <c r="H53" s="68">
        <v>195</v>
      </c>
      <c r="I53" s="68">
        <v>171</v>
      </c>
      <c r="J53" s="68">
        <v>213</v>
      </c>
    </row>
    <row r="54" spans="1:10" x14ac:dyDescent="0.3">
      <c r="A54" s="66">
        <v>38343</v>
      </c>
      <c r="B54" s="63">
        <v>3</v>
      </c>
      <c r="D54" s="63">
        <v>242</v>
      </c>
      <c r="E54" s="68">
        <v>228</v>
      </c>
      <c r="F54" s="68">
        <v>195</v>
      </c>
      <c r="G54" s="68">
        <v>206</v>
      </c>
      <c r="H54" s="68">
        <v>212</v>
      </c>
      <c r="I54" s="68">
        <v>181</v>
      </c>
      <c r="J54" s="68">
        <v>232</v>
      </c>
    </row>
    <row r="55" spans="1:10" x14ac:dyDescent="0.3">
      <c r="A55" s="66">
        <v>38350</v>
      </c>
      <c r="B55" s="63">
        <v>3</v>
      </c>
      <c r="C55" s="68"/>
      <c r="D55" s="68">
        <v>236</v>
      </c>
      <c r="E55" s="68">
        <v>228</v>
      </c>
      <c r="F55" s="68">
        <v>195</v>
      </c>
      <c r="G55" s="68">
        <v>206</v>
      </c>
      <c r="H55" s="68">
        <v>210</v>
      </c>
      <c r="I55" s="68">
        <v>181</v>
      </c>
      <c r="J55" s="68">
        <v>220</v>
      </c>
    </row>
    <row r="56" spans="1:10" x14ac:dyDescent="0.3">
      <c r="A56" s="66">
        <v>38357</v>
      </c>
      <c r="B56" s="63">
        <v>4</v>
      </c>
      <c r="C56" s="68">
        <v>246</v>
      </c>
      <c r="D56" s="68">
        <v>226</v>
      </c>
      <c r="E56" s="68">
        <v>214</v>
      </c>
      <c r="F56" s="68">
        <v>178</v>
      </c>
      <c r="G56" s="68">
        <v>188</v>
      </c>
      <c r="H56" s="68">
        <v>188</v>
      </c>
      <c r="I56" s="68">
        <v>168</v>
      </c>
      <c r="J56" s="68">
        <v>218</v>
      </c>
    </row>
    <row r="57" spans="1:10" x14ac:dyDescent="0.3">
      <c r="A57" s="66">
        <v>38364</v>
      </c>
      <c r="B57" s="63">
        <v>4</v>
      </c>
      <c r="C57" s="63">
        <v>252</v>
      </c>
      <c r="D57" s="63">
        <v>228</v>
      </c>
      <c r="E57" s="68">
        <v>216</v>
      </c>
      <c r="F57" s="68">
        <v>182</v>
      </c>
      <c r="G57" s="68">
        <v>193</v>
      </c>
      <c r="H57" s="68">
        <v>193</v>
      </c>
      <c r="I57" s="68">
        <v>170</v>
      </c>
      <c r="J57" s="68">
        <v>223</v>
      </c>
    </row>
    <row r="58" spans="1:10" x14ac:dyDescent="0.3">
      <c r="A58" s="66">
        <v>38371</v>
      </c>
      <c r="B58" s="63">
        <v>4</v>
      </c>
      <c r="C58" s="63">
        <v>254</v>
      </c>
      <c r="D58" s="63">
        <v>229</v>
      </c>
      <c r="E58" s="68">
        <v>217</v>
      </c>
      <c r="F58" s="68">
        <v>180</v>
      </c>
      <c r="G58" s="68">
        <v>202</v>
      </c>
      <c r="H58" s="68">
        <v>198</v>
      </c>
      <c r="I58" s="68">
        <v>171</v>
      </c>
      <c r="J58" s="68">
        <v>228</v>
      </c>
    </row>
    <row r="59" spans="1:10" x14ac:dyDescent="0.3">
      <c r="A59" s="66">
        <v>38378</v>
      </c>
      <c r="B59" s="63">
        <v>4</v>
      </c>
      <c r="C59" s="63">
        <v>260</v>
      </c>
      <c r="D59" s="63">
        <v>238</v>
      </c>
      <c r="E59" s="68">
        <v>228</v>
      </c>
      <c r="F59" s="68">
        <v>193</v>
      </c>
      <c r="G59" s="68">
        <v>200</v>
      </c>
      <c r="H59" s="68">
        <v>200</v>
      </c>
      <c r="I59" s="68">
        <v>189</v>
      </c>
      <c r="J59" s="68">
        <v>240</v>
      </c>
    </row>
    <row r="60" spans="1:10" x14ac:dyDescent="0.3">
      <c r="A60" s="66">
        <v>38385</v>
      </c>
      <c r="B60" s="63">
        <v>5</v>
      </c>
      <c r="C60" s="63">
        <v>240</v>
      </c>
      <c r="D60" s="63">
        <v>232</v>
      </c>
      <c r="E60" s="68">
        <v>218</v>
      </c>
      <c r="F60" s="68">
        <v>181</v>
      </c>
      <c r="G60" s="68">
        <v>188</v>
      </c>
      <c r="H60" s="68">
        <v>188</v>
      </c>
      <c r="I60" s="68">
        <v>169</v>
      </c>
      <c r="J60" s="68">
        <v>225</v>
      </c>
    </row>
    <row r="61" spans="1:10" x14ac:dyDescent="0.3">
      <c r="A61" s="66">
        <v>38392</v>
      </c>
      <c r="B61" s="63">
        <v>5</v>
      </c>
      <c r="C61" s="63">
        <v>237</v>
      </c>
      <c r="D61" s="63">
        <v>222</v>
      </c>
      <c r="E61" s="68">
        <v>212</v>
      </c>
      <c r="F61" s="68">
        <v>174</v>
      </c>
      <c r="G61" s="68">
        <v>185</v>
      </c>
      <c r="H61" s="68">
        <v>185</v>
      </c>
      <c r="I61" s="68">
        <v>162</v>
      </c>
      <c r="J61" s="68">
        <v>220</v>
      </c>
    </row>
    <row r="62" spans="1:10" x14ac:dyDescent="0.3">
      <c r="A62" s="66">
        <v>38399</v>
      </c>
      <c r="B62" s="63">
        <v>5</v>
      </c>
      <c r="C62" s="63">
        <v>248</v>
      </c>
      <c r="D62" s="63">
        <v>227</v>
      </c>
      <c r="E62" s="68">
        <v>216</v>
      </c>
      <c r="F62" s="68">
        <v>184</v>
      </c>
      <c r="G62" s="68">
        <v>186</v>
      </c>
      <c r="H62" s="68">
        <v>186</v>
      </c>
      <c r="I62" s="68">
        <v>170</v>
      </c>
      <c r="J62" s="68">
        <v>220</v>
      </c>
    </row>
    <row r="63" spans="1:10" x14ac:dyDescent="0.3">
      <c r="A63" s="66">
        <v>38406</v>
      </c>
      <c r="B63" s="63">
        <v>5</v>
      </c>
      <c r="C63" s="63">
        <v>249</v>
      </c>
      <c r="D63" s="63">
        <v>234</v>
      </c>
      <c r="E63" s="68">
        <v>225</v>
      </c>
      <c r="F63" s="68">
        <v>189</v>
      </c>
      <c r="G63" s="68">
        <v>193</v>
      </c>
      <c r="H63" s="68">
        <v>193</v>
      </c>
      <c r="I63" s="68">
        <v>176</v>
      </c>
      <c r="J63" s="68">
        <v>250</v>
      </c>
    </row>
    <row r="64" spans="1:10" x14ac:dyDescent="0.3">
      <c r="A64" s="66">
        <v>38413</v>
      </c>
      <c r="B64" s="63">
        <v>6</v>
      </c>
      <c r="C64" s="63">
        <v>291</v>
      </c>
      <c r="D64" s="63">
        <v>276</v>
      </c>
      <c r="E64" s="68">
        <v>264</v>
      </c>
      <c r="F64" s="68">
        <v>225</v>
      </c>
      <c r="G64" s="68">
        <v>235</v>
      </c>
      <c r="H64" s="68">
        <v>235</v>
      </c>
      <c r="I64" s="68">
        <v>209</v>
      </c>
      <c r="J64" s="68">
        <v>285</v>
      </c>
    </row>
    <row r="65" spans="1:10" x14ac:dyDescent="0.3">
      <c r="A65" s="66">
        <v>38420</v>
      </c>
      <c r="B65" s="63">
        <v>6</v>
      </c>
      <c r="C65" s="63">
        <v>284</v>
      </c>
      <c r="D65" s="63">
        <v>268</v>
      </c>
      <c r="E65" s="68">
        <v>256</v>
      </c>
      <c r="F65" s="68">
        <v>228</v>
      </c>
      <c r="G65" s="68">
        <v>240</v>
      </c>
      <c r="H65" s="68">
        <v>241</v>
      </c>
      <c r="I65" s="68">
        <v>212</v>
      </c>
      <c r="J65" s="68">
        <v>308</v>
      </c>
    </row>
    <row r="66" spans="1:10" x14ac:dyDescent="0.3">
      <c r="A66" s="66">
        <v>38427</v>
      </c>
      <c r="B66" s="63">
        <v>6</v>
      </c>
      <c r="C66" s="63">
        <v>293</v>
      </c>
      <c r="D66" s="63">
        <v>272</v>
      </c>
      <c r="E66" s="68">
        <v>262</v>
      </c>
      <c r="F66" s="68">
        <v>230</v>
      </c>
      <c r="G66" s="68">
        <v>237</v>
      </c>
      <c r="H66" s="68">
        <v>239</v>
      </c>
      <c r="I66" s="68">
        <v>213</v>
      </c>
      <c r="J66" s="68">
        <v>278</v>
      </c>
    </row>
    <row r="67" spans="1:10" x14ac:dyDescent="0.3">
      <c r="A67" s="66">
        <v>38434</v>
      </c>
      <c r="B67" s="63">
        <v>6</v>
      </c>
      <c r="C67" s="63">
        <v>282</v>
      </c>
      <c r="D67" s="63">
        <v>254</v>
      </c>
      <c r="E67" s="68">
        <v>246</v>
      </c>
      <c r="F67" s="68">
        <v>213</v>
      </c>
      <c r="G67" s="68">
        <v>234</v>
      </c>
      <c r="H67" s="68">
        <v>234</v>
      </c>
      <c r="I67" s="68">
        <v>208</v>
      </c>
      <c r="J67" s="68">
        <v>273</v>
      </c>
    </row>
    <row r="68" spans="1:10" x14ac:dyDescent="0.3">
      <c r="A68" s="66">
        <v>38441</v>
      </c>
      <c r="B68" s="63">
        <v>6</v>
      </c>
      <c r="C68" s="63">
        <v>266</v>
      </c>
      <c r="D68" s="63">
        <v>245</v>
      </c>
      <c r="E68" s="68">
        <v>234</v>
      </c>
      <c r="F68" s="68">
        <v>191</v>
      </c>
      <c r="G68" s="68">
        <v>220</v>
      </c>
      <c r="H68" s="68">
        <v>220</v>
      </c>
      <c r="I68" s="68">
        <v>187</v>
      </c>
      <c r="J68" s="68">
        <v>235</v>
      </c>
    </row>
    <row r="69" spans="1:10" x14ac:dyDescent="0.3">
      <c r="A69" s="66">
        <v>38448</v>
      </c>
      <c r="B69" s="63">
        <v>7</v>
      </c>
      <c r="C69" s="63">
        <v>290</v>
      </c>
      <c r="D69" s="63">
        <v>274</v>
      </c>
      <c r="E69" s="68">
        <v>263</v>
      </c>
      <c r="F69" s="68">
        <v>216</v>
      </c>
      <c r="G69" s="68">
        <v>225</v>
      </c>
      <c r="H69" s="68">
        <v>223</v>
      </c>
      <c r="I69" s="68">
        <v>206</v>
      </c>
      <c r="J69" s="68">
        <v>275</v>
      </c>
    </row>
    <row r="70" spans="1:10" x14ac:dyDescent="0.3">
      <c r="A70" s="66">
        <v>38455</v>
      </c>
      <c r="B70" s="63">
        <v>7</v>
      </c>
      <c r="C70" s="63">
        <v>284</v>
      </c>
      <c r="D70" s="63">
        <v>265</v>
      </c>
      <c r="E70" s="68">
        <v>256</v>
      </c>
      <c r="F70" s="68">
        <v>211</v>
      </c>
      <c r="G70" s="68">
        <v>222</v>
      </c>
      <c r="H70" s="68">
        <v>222</v>
      </c>
      <c r="I70" s="68">
        <v>201</v>
      </c>
      <c r="J70" s="68">
        <v>288</v>
      </c>
    </row>
    <row r="71" spans="1:10" x14ac:dyDescent="0.3">
      <c r="A71" s="66">
        <v>38462</v>
      </c>
      <c r="B71" s="63">
        <v>7</v>
      </c>
      <c r="C71" s="63">
        <v>284</v>
      </c>
      <c r="D71" s="63">
        <v>270</v>
      </c>
      <c r="E71" s="68">
        <v>259</v>
      </c>
      <c r="F71" s="68">
        <v>208</v>
      </c>
      <c r="G71" s="68">
        <v>222</v>
      </c>
      <c r="H71" s="68">
        <v>222</v>
      </c>
      <c r="I71" s="68">
        <v>206</v>
      </c>
      <c r="J71" s="68">
        <v>283</v>
      </c>
    </row>
    <row r="72" spans="1:10" x14ac:dyDescent="0.3">
      <c r="A72" s="66">
        <v>38469</v>
      </c>
      <c r="B72" s="63">
        <v>7</v>
      </c>
      <c r="C72" s="63">
        <v>282</v>
      </c>
      <c r="D72" s="63">
        <v>263</v>
      </c>
      <c r="E72" s="68">
        <v>255</v>
      </c>
      <c r="F72" s="68">
        <v>204</v>
      </c>
      <c r="G72" s="68">
        <v>215</v>
      </c>
      <c r="H72" s="68">
        <v>215</v>
      </c>
      <c r="I72" s="68">
        <v>196</v>
      </c>
      <c r="J72" s="68">
        <v>275</v>
      </c>
    </row>
    <row r="73" spans="1:10" x14ac:dyDescent="0.3">
      <c r="A73" s="66">
        <v>38476</v>
      </c>
      <c r="B73" s="63">
        <v>8</v>
      </c>
      <c r="C73" s="63">
        <v>305</v>
      </c>
      <c r="D73" s="63">
        <v>290</v>
      </c>
      <c r="E73" s="68">
        <v>275</v>
      </c>
      <c r="F73" s="68">
        <v>253</v>
      </c>
      <c r="G73" s="68">
        <v>261</v>
      </c>
      <c r="H73" s="68">
        <v>261</v>
      </c>
      <c r="I73" s="68">
        <v>250</v>
      </c>
      <c r="J73" s="68">
        <v>343</v>
      </c>
    </row>
    <row r="74" spans="1:10" x14ac:dyDescent="0.3">
      <c r="A74" s="66">
        <v>38483</v>
      </c>
      <c r="B74" s="63">
        <v>8</v>
      </c>
      <c r="C74" s="63">
        <v>307</v>
      </c>
      <c r="D74" s="63">
        <v>290</v>
      </c>
      <c r="E74" s="68">
        <v>274</v>
      </c>
      <c r="F74" s="68">
        <v>259</v>
      </c>
      <c r="G74" s="68">
        <v>263</v>
      </c>
      <c r="H74" s="68">
        <v>263</v>
      </c>
      <c r="I74" s="68">
        <v>249</v>
      </c>
      <c r="J74" s="68">
        <v>345</v>
      </c>
    </row>
    <row r="75" spans="1:10" x14ac:dyDescent="0.3">
      <c r="A75" s="66">
        <v>38490</v>
      </c>
      <c r="B75" s="63">
        <v>8</v>
      </c>
      <c r="C75" s="63">
        <v>305</v>
      </c>
      <c r="D75" s="63">
        <v>289</v>
      </c>
      <c r="E75" s="68">
        <v>279</v>
      </c>
      <c r="F75" s="68">
        <v>258</v>
      </c>
      <c r="G75" s="68">
        <v>264</v>
      </c>
      <c r="H75" s="68">
        <v>264</v>
      </c>
      <c r="I75" s="68">
        <v>253</v>
      </c>
      <c r="J75" s="68">
        <v>340</v>
      </c>
    </row>
    <row r="76" spans="1:10" x14ac:dyDescent="0.3">
      <c r="A76" s="66">
        <v>38497</v>
      </c>
      <c r="B76" s="63">
        <v>8</v>
      </c>
      <c r="C76" s="63">
        <v>309</v>
      </c>
      <c r="D76" s="63">
        <v>300</v>
      </c>
      <c r="E76" s="68">
        <v>294</v>
      </c>
      <c r="F76" s="68">
        <v>265</v>
      </c>
      <c r="G76" s="68">
        <v>270</v>
      </c>
      <c r="H76" s="68">
        <v>270</v>
      </c>
      <c r="I76" s="68">
        <v>266</v>
      </c>
      <c r="J76" s="68">
        <v>353</v>
      </c>
    </row>
    <row r="77" spans="1:10" x14ac:dyDescent="0.3">
      <c r="A77" s="66">
        <v>38504</v>
      </c>
      <c r="B77" s="63">
        <v>9</v>
      </c>
      <c r="C77" s="63">
        <v>336</v>
      </c>
      <c r="D77" s="63">
        <v>323</v>
      </c>
      <c r="E77" s="68">
        <v>321</v>
      </c>
      <c r="F77" s="68">
        <v>307</v>
      </c>
      <c r="G77" s="68">
        <v>316</v>
      </c>
      <c r="H77" s="68">
        <v>311</v>
      </c>
      <c r="I77" s="68">
        <v>311</v>
      </c>
      <c r="J77" s="68">
        <v>415</v>
      </c>
    </row>
    <row r="78" spans="1:10" x14ac:dyDescent="0.3">
      <c r="A78" s="66">
        <v>38511</v>
      </c>
      <c r="B78" s="63">
        <v>9</v>
      </c>
      <c r="C78" s="63">
        <v>340</v>
      </c>
      <c r="D78" s="63">
        <v>327</v>
      </c>
      <c r="E78" s="68">
        <v>324</v>
      </c>
      <c r="F78" s="68">
        <v>321</v>
      </c>
      <c r="G78" s="68">
        <v>324</v>
      </c>
      <c r="H78" s="68">
        <v>325</v>
      </c>
      <c r="I78" s="68">
        <v>314</v>
      </c>
      <c r="J78" s="68">
        <v>420</v>
      </c>
    </row>
    <row r="79" spans="1:10" x14ac:dyDescent="0.3">
      <c r="A79" s="66">
        <v>38518</v>
      </c>
      <c r="B79" s="63">
        <v>9</v>
      </c>
      <c r="C79" s="63">
        <v>344</v>
      </c>
      <c r="D79" s="63">
        <v>326</v>
      </c>
      <c r="E79" s="68">
        <v>322</v>
      </c>
      <c r="F79" s="68">
        <v>313</v>
      </c>
      <c r="G79" s="68">
        <v>319</v>
      </c>
      <c r="H79" s="68">
        <v>320</v>
      </c>
      <c r="I79" s="68">
        <v>312</v>
      </c>
      <c r="J79" s="68">
        <v>413</v>
      </c>
    </row>
    <row r="80" spans="1:10" x14ac:dyDescent="0.3">
      <c r="A80" s="66">
        <v>38525</v>
      </c>
      <c r="B80" s="63">
        <v>9</v>
      </c>
      <c r="C80" s="63">
        <v>341</v>
      </c>
      <c r="D80" s="63">
        <v>320</v>
      </c>
      <c r="E80" s="68">
        <v>319</v>
      </c>
      <c r="F80" s="68">
        <v>306</v>
      </c>
      <c r="G80" s="68">
        <v>316</v>
      </c>
      <c r="H80" s="68">
        <v>319</v>
      </c>
      <c r="I80" s="68">
        <v>301</v>
      </c>
      <c r="J80" s="68">
        <v>385</v>
      </c>
    </row>
    <row r="81" spans="1:10" x14ac:dyDescent="0.3">
      <c r="A81" s="66">
        <v>38532</v>
      </c>
      <c r="B81" s="63">
        <v>9</v>
      </c>
      <c r="C81" s="63">
        <v>342</v>
      </c>
      <c r="D81" s="63">
        <v>322</v>
      </c>
      <c r="E81" s="68">
        <v>320</v>
      </c>
      <c r="F81" s="68">
        <v>310</v>
      </c>
      <c r="G81" s="68">
        <v>318</v>
      </c>
      <c r="H81" s="68">
        <v>321</v>
      </c>
      <c r="I81" s="68">
        <v>305</v>
      </c>
      <c r="J81" s="68">
        <v>403</v>
      </c>
    </row>
    <row r="82" spans="1:10" x14ac:dyDescent="0.3">
      <c r="A82" s="66">
        <v>38539</v>
      </c>
      <c r="B82" s="63">
        <v>10</v>
      </c>
      <c r="C82" s="63">
        <v>370</v>
      </c>
      <c r="D82" s="63">
        <v>358</v>
      </c>
      <c r="E82" s="68">
        <v>351</v>
      </c>
      <c r="F82" s="68">
        <v>329</v>
      </c>
      <c r="G82" s="68">
        <v>350</v>
      </c>
      <c r="H82" s="68">
        <v>350</v>
      </c>
      <c r="I82" s="68">
        <v>323</v>
      </c>
      <c r="J82" s="68">
        <v>430</v>
      </c>
    </row>
    <row r="83" spans="1:10" x14ac:dyDescent="0.3">
      <c r="A83" s="66">
        <v>38546</v>
      </c>
      <c r="B83" s="63">
        <v>10</v>
      </c>
      <c r="C83" s="63">
        <v>374</v>
      </c>
      <c r="D83" s="63">
        <v>360</v>
      </c>
      <c r="E83" s="68">
        <v>353</v>
      </c>
      <c r="F83" s="68">
        <v>327</v>
      </c>
      <c r="G83" s="68">
        <v>352</v>
      </c>
      <c r="H83" s="68">
        <v>352</v>
      </c>
      <c r="I83" s="68">
        <v>325</v>
      </c>
      <c r="J83" s="68">
        <v>435</v>
      </c>
    </row>
    <row r="84" spans="1:10" x14ac:dyDescent="0.3">
      <c r="A84" s="66">
        <v>38553</v>
      </c>
      <c r="B84" s="63">
        <v>10</v>
      </c>
      <c r="C84" s="63">
        <v>410</v>
      </c>
      <c r="D84" s="63">
        <v>380</v>
      </c>
      <c r="E84" s="68">
        <v>366</v>
      </c>
      <c r="F84" s="68">
        <v>339</v>
      </c>
      <c r="G84" s="68">
        <v>361</v>
      </c>
      <c r="H84" s="68">
        <v>362</v>
      </c>
      <c r="I84" s="68">
        <v>335</v>
      </c>
      <c r="J84" s="68">
        <v>445</v>
      </c>
    </row>
    <row r="85" spans="1:10" x14ac:dyDescent="0.3">
      <c r="A85" s="66">
        <v>38560</v>
      </c>
      <c r="B85" s="63">
        <v>10</v>
      </c>
      <c r="C85" s="63">
        <v>411</v>
      </c>
      <c r="D85" s="63">
        <v>378</v>
      </c>
      <c r="E85" s="68">
        <v>364</v>
      </c>
      <c r="F85" s="68">
        <v>336</v>
      </c>
      <c r="G85" s="68">
        <v>359</v>
      </c>
      <c r="H85" s="68">
        <v>359</v>
      </c>
      <c r="I85" s="68">
        <v>335</v>
      </c>
      <c r="J85" s="68">
        <v>459</v>
      </c>
    </row>
    <row r="86" spans="1:10" x14ac:dyDescent="0.3">
      <c r="A86" s="66">
        <v>38567</v>
      </c>
      <c r="B86" s="63">
        <v>11</v>
      </c>
      <c r="C86" s="63">
        <v>361</v>
      </c>
      <c r="D86" s="63">
        <v>319</v>
      </c>
      <c r="E86" s="68">
        <v>306</v>
      </c>
      <c r="F86" s="68">
        <v>274</v>
      </c>
      <c r="G86" s="68">
        <v>286</v>
      </c>
      <c r="H86" s="68">
        <v>286</v>
      </c>
      <c r="I86" s="68">
        <v>262</v>
      </c>
      <c r="J86" s="68">
        <v>342</v>
      </c>
    </row>
    <row r="87" spans="1:10" x14ac:dyDescent="0.3">
      <c r="A87" s="66">
        <v>38574</v>
      </c>
      <c r="B87" s="63">
        <v>11</v>
      </c>
      <c r="C87" s="63">
        <v>365</v>
      </c>
      <c r="D87" s="63">
        <v>322</v>
      </c>
      <c r="E87" s="68">
        <v>306</v>
      </c>
      <c r="F87" s="68">
        <v>282</v>
      </c>
      <c r="G87" s="68">
        <v>294</v>
      </c>
      <c r="H87" s="68">
        <v>294</v>
      </c>
      <c r="I87" s="68">
        <v>271</v>
      </c>
      <c r="J87" s="68">
        <v>358</v>
      </c>
    </row>
    <row r="88" spans="1:10" x14ac:dyDescent="0.3">
      <c r="A88" s="66">
        <v>38581</v>
      </c>
      <c r="B88" s="63">
        <v>11</v>
      </c>
      <c r="C88" s="63">
        <v>365</v>
      </c>
      <c r="D88" s="63">
        <v>329</v>
      </c>
      <c r="E88" s="68">
        <v>313</v>
      </c>
      <c r="F88" s="68">
        <v>281</v>
      </c>
      <c r="G88" s="68">
        <v>295</v>
      </c>
      <c r="H88" s="68">
        <v>295</v>
      </c>
      <c r="I88" s="68">
        <v>274</v>
      </c>
      <c r="J88" s="68">
        <v>378</v>
      </c>
    </row>
    <row r="89" spans="1:10" x14ac:dyDescent="0.3">
      <c r="A89" s="66">
        <v>38588</v>
      </c>
      <c r="B89" s="63">
        <v>11</v>
      </c>
      <c r="C89" s="63">
        <v>371</v>
      </c>
      <c r="D89" s="63">
        <v>332</v>
      </c>
      <c r="E89" s="68">
        <v>316</v>
      </c>
      <c r="F89" s="68">
        <v>284</v>
      </c>
      <c r="G89" s="68">
        <v>301</v>
      </c>
      <c r="H89" s="68">
        <v>301</v>
      </c>
      <c r="I89" s="68">
        <v>276</v>
      </c>
      <c r="J89" s="68">
        <v>378</v>
      </c>
    </row>
    <row r="90" spans="1:10" x14ac:dyDescent="0.3">
      <c r="A90" s="66">
        <v>38595</v>
      </c>
      <c r="B90" s="63">
        <v>11</v>
      </c>
      <c r="C90" s="63">
        <v>438</v>
      </c>
      <c r="D90" s="63">
        <v>412</v>
      </c>
      <c r="E90" s="68">
        <v>375</v>
      </c>
      <c r="F90" s="68">
        <v>343</v>
      </c>
      <c r="G90" s="68">
        <v>350</v>
      </c>
      <c r="H90" s="68">
        <v>350</v>
      </c>
      <c r="I90" s="68">
        <v>331</v>
      </c>
      <c r="J90" s="68">
        <v>493</v>
      </c>
    </row>
    <row r="91" spans="1:10" x14ac:dyDescent="0.3">
      <c r="A91" s="66">
        <v>38602</v>
      </c>
      <c r="B91" s="63">
        <v>12</v>
      </c>
      <c r="E91" s="68">
        <v>350</v>
      </c>
      <c r="F91" s="68">
        <v>325</v>
      </c>
      <c r="G91" s="68">
        <v>330</v>
      </c>
      <c r="H91" s="68">
        <v>330</v>
      </c>
      <c r="I91" s="68">
        <v>308</v>
      </c>
      <c r="J91" s="68">
        <v>400</v>
      </c>
    </row>
    <row r="92" spans="1:10" x14ac:dyDescent="0.3">
      <c r="A92" s="66">
        <v>38609</v>
      </c>
      <c r="B92" s="63">
        <v>12</v>
      </c>
      <c r="E92" s="68">
        <v>368</v>
      </c>
      <c r="F92" s="68">
        <v>338</v>
      </c>
      <c r="G92" s="68">
        <v>352</v>
      </c>
      <c r="H92" s="68">
        <v>352</v>
      </c>
      <c r="I92" s="68">
        <v>330</v>
      </c>
      <c r="J92" s="68">
        <v>440</v>
      </c>
    </row>
    <row r="93" spans="1:10" x14ac:dyDescent="0.3">
      <c r="A93" s="66">
        <v>38616</v>
      </c>
      <c r="B93" s="63">
        <v>12</v>
      </c>
      <c r="E93" s="68">
        <v>363</v>
      </c>
      <c r="F93" s="68">
        <v>330</v>
      </c>
      <c r="G93" s="68">
        <v>350</v>
      </c>
      <c r="H93" s="68">
        <v>350</v>
      </c>
      <c r="I93" s="68">
        <v>313</v>
      </c>
      <c r="J93" s="68">
        <v>440</v>
      </c>
    </row>
    <row r="94" spans="1:10" x14ac:dyDescent="0.3">
      <c r="A94" s="66">
        <v>38623</v>
      </c>
      <c r="B94" s="63">
        <v>12</v>
      </c>
      <c r="E94" s="68">
        <v>367</v>
      </c>
      <c r="F94" s="68">
        <v>334</v>
      </c>
      <c r="G94" s="68">
        <v>351</v>
      </c>
      <c r="H94" s="68">
        <v>351</v>
      </c>
      <c r="I94" s="68">
        <v>327</v>
      </c>
      <c r="J94" s="68">
        <v>443</v>
      </c>
    </row>
    <row r="95" spans="1:10" x14ac:dyDescent="0.3">
      <c r="A95" s="66">
        <v>38630</v>
      </c>
      <c r="B95" s="63">
        <v>1</v>
      </c>
      <c r="E95" s="68">
        <v>375</v>
      </c>
      <c r="F95" s="68">
        <v>343</v>
      </c>
      <c r="G95" s="68">
        <v>345</v>
      </c>
      <c r="H95" s="68">
        <v>345</v>
      </c>
      <c r="I95" s="68">
        <v>328</v>
      </c>
      <c r="J95" s="68">
        <v>438</v>
      </c>
    </row>
    <row r="96" spans="1:10" x14ac:dyDescent="0.3">
      <c r="A96" s="66">
        <v>38637</v>
      </c>
      <c r="B96" s="63">
        <v>1</v>
      </c>
      <c r="E96" s="68">
        <v>407</v>
      </c>
      <c r="F96" s="68">
        <v>354</v>
      </c>
      <c r="G96" s="68">
        <v>368</v>
      </c>
      <c r="H96" s="68">
        <v>368</v>
      </c>
      <c r="I96" s="68">
        <v>336</v>
      </c>
      <c r="J96" s="68">
        <v>456</v>
      </c>
    </row>
    <row r="97" spans="1:10" x14ac:dyDescent="0.3">
      <c r="A97" s="66">
        <v>38644</v>
      </c>
      <c r="B97" s="63">
        <v>1</v>
      </c>
      <c r="E97" s="68">
        <v>398</v>
      </c>
      <c r="F97" s="68">
        <v>359</v>
      </c>
      <c r="G97" s="68">
        <v>359</v>
      </c>
      <c r="H97" s="68">
        <v>359</v>
      </c>
      <c r="I97" s="68">
        <v>339</v>
      </c>
      <c r="J97" s="68">
        <v>450</v>
      </c>
    </row>
    <row r="98" spans="1:10" x14ac:dyDescent="0.3">
      <c r="A98" s="66">
        <v>38651</v>
      </c>
      <c r="B98" s="63">
        <v>1</v>
      </c>
      <c r="E98" s="68">
        <v>405</v>
      </c>
      <c r="F98" s="68">
        <v>354</v>
      </c>
      <c r="G98" s="68">
        <v>361</v>
      </c>
      <c r="H98" s="68">
        <v>361</v>
      </c>
      <c r="I98" s="68">
        <v>315</v>
      </c>
      <c r="J98" s="68">
        <v>423</v>
      </c>
    </row>
    <row r="99" spans="1:10" x14ac:dyDescent="0.3">
      <c r="A99" s="66">
        <v>38658</v>
      </c>
      <c r="B99" s="63">
        <v>2</v>
      </c>
      <c r="E99" s="68">
        <v>358</v>
      </c>
      <c r="F99" s="68">
        <v>318</v>
      </c>
      <c r="G99" s="68">
        <v>342</v>
      </c>
      <c r="H99" s="68">
        <v>342</v>
      </c>
      <c r="I99" s="68">
        <v>297</v>
      </c>
      <c r="J99" s="68">
        <v>399</v>
      </c>
    </row>
    <row r="100" spans="1:10" x14ac:dyDescent="0.3">
      <c r="A100" s="66">
        <v>38665</v>
      </c>
      <c r="B100" s="63">
        <v>2</v>
      </c>
      <c r="E100" s="68">
        <v>352</v>
      </c>
      <c r="F100" s="68">
        <v>294</v>
      </c>
      <c r="G100" s="68">
        <v>338</v>
      </c>
      <c r="H100" s="68">
        <v>338</v>
      </c>
      <c r="I100" s="68">
        <v>281</v>
      </c>
      <c r="J100" s="68">
        <v>382</v>
      </c>
    </row>
    <row r="101" spans="1:10" x14ac:dyDescent="0.3">
      <c r="A101" s="66">
        <v>38672</v>
      </c>
      <c r="B101" s="63">
        <v>2</v>
      </c>
      <c r="E101" s="68">
        <v>368</v>
      </c>
      <c r="F101" s="68">
        <v>313</v>
      </c>
      <c r="G101" s="68">
        <v>347</v>
      </c>
      <c r="H101" s="68">
        <v>347</v>
      </c>
      <c r="I101" s="68">
        <v>287</v>
      </c>
      <c r="J101" s="68">
        <v>385</v>
      </c>
    </row>
    <row r="102" spans="1:10" x14ac:dyDescent="0.3">
      <c r="A102" s="66">
        <v>38679</v>
      </c>
      <c r="B102" s="63">
        <v>2</v>
      </c>
      <c r="E102" s="68">
        <v>371</v>
      </c>
      <c r="F102" s="68">
        <v>313</v>
      </c>
      <c r="G102" s="68">
        <v>330</v>
      </c>
      <c r="H102" s="68">
        <v>330</v>
      </c>
      <c r="I102" s="68">
        <v>287</v>
      </c>
      <c r="J102" s="68">
        <v>390</v>
      </c>
    </row>
    <row r="103" spans="1:10" x14ac:dyDescent="0.3">
      <c r="A103" s="66">
        <v>38686</v>
      </c>
      <c r="B103" s="63">
        <v>2</v>
      </c>
      <c r="E103" s="68">
        <v>370</v>
      </c>
      <c r="F103" s="68">
        <v>317</v>
      </c>
      <c r="G103" s="68">
        <v>333</v>
      </c>
      <c r="H103" s="68">
        <v>333</v>
      </c>
      <c r="I103" s="68">
        <v>280</v>
      </c>
      <c r="J103" s="68">
        <v>388</v>
      </c>
    </row>
    <row r="104" spans="1:10" x14ac:dyDescent="0.3">
      <c r="A104" s="66">
        <v>38693</v>
      </c>
      <c r="B104" s="63">
        <v>3</v>
      </c>
      <c r="D104" s="63">
        <v>366</v>
      </c>
      <c r="E104" s="68">
        <v>359</v>
      </c>
      <c r="F104" s="68">
        <v>320</v>
      </c>
      <c r="G104" s="68">
        <v>338</v>
      </c>
      <c r="H104" s="68">
        <v>332</v>
      </c>
      <c r="I104" s="68">
        <v>306</v>
      </c>
      <c r="J104" s="68">
        <v>419</v>
      </c>
    </row>
    <row r="105" spans="1:10" x14ac:dyDescent="0.3">
      <c r="A105" s="66">
        <v>38700</v>
      </c>
      <c r="B105" s="63">
        <v>3</v>
      </c>
      <c r="D105" s="63">
        <v>375</v>
      </c>
      <c r="E105" s="68">
        <v>378</v>
      </c>
      <c r="F105" s="68">
        <v>336</v>
      </c>
      <c r="G105" s="68">
        <v>344</v>
      </c>
      <c r="H105" s="68">
        <v>354</v>
      </c>
      <c r="I105" s="68">
        <v>310</v>
      </c>
      <c r="J105" s="68">
        <v>413</v>
      </c>
    </row>
    <row r="106" spans="1:10" x14ac:dyDescent="0.3">
      <c r="A106" s="66">
        <v>38707</v>
      </c>
      <c r="B106" s="63">
        <v>3</v>
      </c>
      <c r="D106" s="63">
        <v>375</v>
      </c>
      <c r="E106" s="68">
        <v>361</v>
      </c>
      <c r="F106" s="68">
        <v>337</v>
      </c>
      <c r="G106" s="68">
        <v>350</v>
      </c>
      <c r="H106" s="68">
        <v>350</v>
      </c>
      <c r="I106" s="68">
        <v>306</v>
      </c>
      <c r="J106" s="68">
        <v>414</v>
      </c>
    </row>
    <row r="107" spans="1:10" x14ac:dyDescent="0.3">
      <c r="A107" s="66">
        <v>38714</v>
      </c>
      <c r="B107" s="63">
        <v>3</v>
      </c>
      <c r="D107" s="63">
        <v>362</v>
      </c>
      <c r="E107" s="68">
        <v>363</v>
      </c>
      <c r="F107" s="68">
        <v>340</v>
      </c>
      <c r="G107" s="68">
        <v>348</v>
      </c>
      <c r="H107" s="68">
        <v>342</v>
      </c>
      <c r="I107" s="68">
        <v>309</v>
      </c>
      <c r="J107" s="68">
        <v>420</v>
      </c>
    </row>
    <row r="108" spans="1:10" x14ac:dyDescent="0.3">
      <c r="A108" s="66">
        <v>38721</v>
      </c>
      <c r="B108" s="63">
        <v>4</v>
      </c>
      <c r="C108" s="63">
        <v>378</v>
      </c>
      <c r="D108" s="63">
        <v>342</v>
      </c>
      <c r="E108" s="68">
        <v>337</v>
      </c>
      <c r="F108" s="68">
        <v>303</v>
      </c>
      <c r="G108" s="68">
        <v>326</v>
      </c>
      <c r="H108" s="68">
        <v>326</v>
      </c>
      <c r="I108" s="68">
        <v>296</v>
      </c>
      <c r="J108" s="68">
        <v>402</v>
      </c>
    </row>
    <row r="109" spans="1:10" x14ac:dyDescent="0.3">
      <c r="A109" s="66">
        <v>38728</v>
      </c>
      <c r="B109" s="63">
        <v>4</v>
      </c>
      <c r="C109" s="63">
        <v>375</v>
      </c>
      <c r="D109" s="63">
        <v>339</v>
      </c>
      <c r="E109" s="68">
        <v>330</v>
      </c>
      <c r="F109" s="68">
        <v>307</v>
      </c>
      <c r="G109" s="68">
        <v>328</v>
      </c>
      <c r="H109" s="68">
        <v>328</v>
      </c>
      <c r="I109" s="68">
        <v>300</v>
      </c>
      <c r="J109" s="68">
        <v>417</v>
      </c>
    </row>
    <row r="110" spans="1:10" x14ac:dyDescent="0.3">
      <c r="A110" s="66">
        <v>38735</v>
      </c>
      <c r="B110" s="63">
        <v>4</v>
      </c>
      <c r="C110" s="63">
        <v>369</v>
      </c>
      <c r="D110" s="63">
        <v>339</v>
      </c>
      <c r="E110" s="68">
        <v>326</v>
      </c>
      <c r="F110" s="68">
        <v>310</v>
      </c>
      <c r="G110" s="68">
        <v>324</v>
      </c>
      <c r="H110" s="68">
        <v>324</v>
      </c>
      <c r="I110" s="68">
        <v>298</v>
      </c>
      <c r="J110" s="68">
        <v>415</v>
      </c>
    </row>
    <row r="111" spans="1:10" x14ac:dyDescent="0.3">
      <c r="A111" s="66">
        <v>38742</v>
      </c>
      <c r="B111" s="63">
        <v>4</v>
      </c>
      <c r="C111" s="63">
        <v>368</v>
      </c>
      <c r="D111" s="63">
        <v>317</v>
      </c>
      <c r="E111" s="68">
        <v>323</v>
      </c>
      <c r="F111" s="68">
        <v>307</v>
      </c>
      <c r="G111" s="68">
        <v>311</v>
      </c>
      <c r="H111" s="68">
        <v>311</v>
      </c>
      <c r="I111" s="68">
        <v>287</v>
      </c>
      <c r="J111" s="68">
        <v>398</v>
      </c>
    </row>
    <row r="112" spans="1:10" x14ac:dyDescent="0.3">
      <c r="A112" s="66">
        <v>38749</v>
      </c>
      <c r="B112" s="63">
        <v>5</v>
      </c>
      <c r="C112" s="63">
        <v>354</v>
      </c>
      <c r="D112" s="63">
        <v>330</v>
      </c>
      <c r="E112" s="68">
        <v>320</v>
      </c>
      <c r="F112" s="68">
        <v>302</v>
      </c>
      <c r="G112" s="68">
        <v>303</v>
      </c>
      <c r="H112" s="68">
        <v>305</v>
      </c>
      <c r="I112" s="68">
        <v>288</v>
      </c>
      <c r="J112" s="68">
        <v>395</v>
      </c>
    </row>
    <row r="113" spans="1:10" x14ac:dyDescent="0.3">
      <c r="A113" s="66">
        <v>38756</v>
      </c>
      <c r="B113" s="63">
        <v>5</v>
      </c>
      <c r="C113" s="63">
        <v>370</v>
      </c>
      <c r="D113" s="63">
        <v>349</v>
      </c>
      <c r="E113" s="68">
        <v>340</v>
      </c>
      <c r="F113" s="68">
        <v>314</v>
      </c>
      <c r="G113" s="68">
        <v>317</v>
      </c>
      <c r="H113" s="68">
        <v>317</v>
      </c>
      <c r="I113" s="68">
        <v>297</v>
      </c>
      <c r="J113" s="68">
        <v>414</v>
      </c>
    </row>
    <row r="114" spans="1:10" x14ac:dyDescent="0.3">
      <c r="A114" s="66">
        <v>38763</v>
      </c>
      <c r="B114" s="63">
        <v>5</v>
      </c>
      <c r="C114" s="63">
        <v>381</v>
      </c>
      <c r="D114" s="63">
        <v>346</v>
      </c>
      <c r="E114" s="68">
        <v>338</v>
      </c>
      <c r="F114" s="68">
        <v>314</v>
      </c>
      <c r="G114" s="68">
        <v>312</v>
      </c>
      <c r="H114" s="68">
        <v>312</v>
      </c>
      <c r="I114" s="68">
        <v>303</v>
      </c>
      <c r="J114" s="68">
        <v>402</v>
      </c>
    </row>
    <row r="115" spans="1:10" x14ac:dyDescent="0.3">
      <c r="A115" s="66">
        <v>38770</v>
      </c>
      <c r="B115" s="63">
        <v>5</v>
      </c>
      <c r="C115" s="63">
        <v>379</v>
      </c>
      <c r="D115" s="63">
        <v>340</v>
      </c>
      <c r="E115" s="68">
        <v>331</v>
      </c>
      <c r="F115" s="68">
        <v>304</v>
      </c>
      <c r="G115" s="68">
        <v>302</v>
      </c>
      <c r="H115" s="68">
        <v>302</v>
      </c>
      <c r="I115" s="68">
        <v>292</v>
      </c>
      <c r="J115" s="68">
        <v>413</v>
      </c>
    </row>
    <row r="116" spans="1:10" x14ac:dyDescent="0.3">
      <c r="A116" s="66">
        <v>38777</v>
      </c>
      <c r="B116" s="63">
        <v>6</v>
      </c>
      <c r="C116" s="63">
        <v>386</v>
      </c>
      <c r="D116" s="63">
        <v>353</v>
      </c>
      <c r="E116" s="68">
        <v>342</v>
      </c>
      <c r="F116" s="68">
        <v>307</v>
      </c>
      <c r="G116" s="68">
        <v>305</v>
      </c>
      <c r="H116" s="68">
        <v>305</v>
      </c>
      <c r="I116" s="68">
        <v>299</v>
      </c>
      <c r="J116" s="68">
        <v>418</v>
      </c>
    </row>
    <row r="117" spans="1:10" x14ac:dyDescent="0.3">
      <c r="A117" s="66">
        <v>38784</v>
      </c>
      <c r="B117" s="63">
        <v>6</v>
      </c>
      <c r="C117" s="63">
        <v>390</v>
      </c>
      <c r="D117" s="63">
        <v>356</v>
      </c>
      <c r="E117" s="68">
        <v>348</v>
      </c>
      <c r="F117" s="68">
        <v>304</v>
      </c>
      <c r="G117" s="68">
        <v>303</v>
      </c>
      <c r="H117" s="68">
        <v>303</v>
      </c>
      <c r="I117" s="68">
        <v>286</v>
      </c>
      <c r="J117" s="68">
        <v>413</v>
      </c>
    </row>
    <row r="118" spans="1:10" x14ac:dyDescent="0.3">
      <c r="A118" s="66">
        <v>38791</v>
      </c>
      <c r="B118" s="63">
        <v>6</v>
      </c>
      <c r="C118" s="63">
        <v>382</v>
      </c>
      <c r="D118" s="63">
        <v>348</v>
      </c>
      <c r="E118" s="68">
        <v>343</v>
      </c>
      <c r="F118" s="68">
        <v>303</v>
      </c>
      <c r="G118" s="68">
        <v>303</v>
      </c>
      <c r="H118" s="68">
        <v>305</v>
      </c>
      <c r="I118" s="68">
        <v>273</v>
      </c>
      <c r="J118" s="68">
        <v>393</v>
      </c>
    </row>
    <row r="119" spans="1:10" x14ac:dyDescent="0.3">
      <c r="A119" s="66">
        <v>38798</v>
      </c>
      <c r="B119" s="63">
        <v>6</v>
      </c>
      <c r="C119" s="63">
        <v>381</v>
      </c>
      <c r="D119" s="63">
        <v>343</v>
      </c>
      <c r="E119" s="68">
        <v>339</v>
      </c>
      <c r="F119" s="68">
        <v>297</v>
      </c>
      <c r="G119" s="68">
        <v>295</v>
      </c>
      <c r="H119" s="68">
        <v>296</v>
      </c>
      <c r="I119" s="68">
        <v>266</v>
      </c>
      <c r="J119" s="68">
        <v>366</v>
      </c>
    </row>
    <row r="120" spans="1:10" x14ac:dyDescent="0.3">
      <c r="A120" s="66">
        <v>38805</v>
      </c>
      <c r="B120" s="63">
        <v>6</v>
      </c>
      <c r="C120" s="63">
        <v>375</v>
      </c>
      <c r="D120" s="63">
        <v>338</v>
      </c>
      <c r="E120" s="68">
        <v>333</v>
      </c>
      <c r="F120" s="68">
        <v>290</v>
      </c>
      <c r="G120" s="68">
        <v>285</v>
      </c>
      <c r="H120" s="68">
        <v>285</v>
      </c>
      <c r="I120" s="68">
        <v>270</v>
      </c>
      <c r="J120" s="68">
        <v>380</v>
      </c>
    </row>
    <row r="121" spans="1:10" x14ac:dyDescent="0.3">
      <c r="A121" s="66">
        <v>38812</v>
      </c>
      <c r="B121" s="63">
        <v>7</v>
      </c>
      <c r="C121" s="63">
        <v>383</v>
      </c>
      <c r="D121" s="63">
        <v>349</v>
      </c>
      <c r="E121" s="68">
        <v>339</v>
      </c>
      <c r="F121" s="68">
        <v>284</v>
      </c>
      <c r="G121" s="68">
        <v>289</v>
      </c>
      <c r="H121" s="68">
        <v>289</v>
      </c>
      <c r="I121" s="68">
        <v>270</v>
      </c>
      <c r="J121" s="68">
        <v>370</v>
      </c>
    </row>
    <row r="122" spans="1:10" x14ac:dyDescent="0.3">
      <c r="A122" s="66">
        <v>38819</v>
      </c>
      <c r="B122" s="63">
        <v>7</v>
      </c>
      <c r="C122" s="63">
        <v>384</v>
      </c>
      <c r="D122" s="63">
        <v>353</v>
      </c>
      <c r="E122" s="68">
        <v>343</v>
      </c>
      <c r="F122" s="68">
        <v>300</v>
      </c>
      <c r="G122" s="68">
        <v>288</v>
      </c>
      <c r="H122" s="68">
        <v>288</v>
      </c>
      <c r="I122" s="68">
        <v>287</v>
      </c>
      <c r="J122" s="68">
        <v>393</v>
      </c>
    </row>
    <row r="123" spans="1:10" x14ac:dyDescent="0.3">
      <c r="A123" s="66">
        <v>38826</v>
      </c>
      <c r="B123" s="63">
        <v>7</v>
      </c>
      <c r="C123" s="63">
        <v>385</v>
      </c>
      <c r="D123" s="63">
        <v>338</v>
      </c>
      <c r="E123" s="68">
        <v>337</v>
      </c>
      <c r="F123" s="68">
        <v>290</v>
      </c>
      <c r="G123" s="68">
        <v>296</v>
      </c>
      <c r="H123" s="68">
        <v>296</v>
      </c>
      <c r="I123" s="68">
        <v>280</v>
      </c>
      <c r="J123" s="68">
        <v>390</v>
      </c>
    </row>
    <row r="124" spans="1:10" x14ac:dyDescent="0.3">
      <c r="A124" s="66">
        <v>38833</v>
      </c>
      <c r="B124" s="63">
        <v>7</v>
      </c>
      <c r="C124" s="63">
        <v>378</v>
      </c>
      <c r="D124" s="63">
        <v>330</v>
      </c>
      <c r="E124" s="68">
        <v>326</v>
      </c>
      <c r="F124" s="68">
        <v>281</v>
      </c>
      <c r="G124" s="68">
        <v>292</v>
      </c>
      <c r="H124" s="68">
        <v>292</v>
      </c>
      <c r="I124" s="68">
        <v>281</v>
      </c>
      <c r="J124" s="68">
        <v>375</v>
      </c>
    </row>
    <row r="125" spans="1:10" x14ac:dyDescent="0.3">
      <c r="A125" s="66">
        <v>38840</v>
      </c>
      <c r="B125" s="63">
        <v>8</v>
      </c>
      <c r="C125" s="63">
        <v>418</v>
      </c>
      <c r="D125" s="63">
        <v>383</v>
      </c>
      <c r="E125" s="68">
        <v>378</v>
      </c>
      <c r="F125" s="68">
        <v>373</v>
      </c>
      <c r="G125" s="68">
        <v>368</v>
      </c>
      <c r="H125" s="68">
        <v>368</v>
      </c>
      <c r="I125" s="68">
        <v>372</v>
      </c>
      <c r="J125" s="68">
        <v>480</v>
      </c>
    </row>
    <row r="126" spans="1:10" x14ac:dyDescent="0.3">
      <c r="A126" s="66">
        <v>38847</v>
      </c>
      <c r="B126" s="63">
        <v>8</v>
      </c>
      <c r="C126" s="63">
        <v>433</v>
      </c>
      <c r="D126" s="63">
        <v>404</v>
      </c>
      <c r="E126" s="68">
        <v>403</v>
      </c>
      <c r="F126" s="68">
        <v>385</v>
      </c>
      <c r="G126" s="68">
        <v>387</v>
      </c>
      <c r="H126" s="68">
        <v>387</v>
      </c>
      <c r="I126" s="68">
        <v>389</v>
      </c>
      <c r="J126" s="68">
        <v>525</v>
      </c>
    </row>
    <row r="127" spans="1:10" x14ac:dyDescent="0.3">
      <c r="A127" s="66">
        <v>38854</v>
      </c>
      <c r="B127" s="63">
        <v>8</v>
      </c>
      <c r="C127" s="63">
        <v>481</v>
      </c>
      <c r="D127" s="63">
        <v>446</v>
      </c>
      <c r="E127" s="68">
        <v>433</v>
      </c>
      <c r="F127" s="68">
        <v>405</v>
      </c>
      <c r="G127" s="68">
        <v>406</v>
      </c>
      <c r="H127" s="68">
        <v>406</v>
      </c>
      <c r="I127" s="68">
        <v>413</v>
      </c>
      <c r="J127" s="68">
        <v>538</v>
      </c>
    </row>
    <row r="128" spans="1:10" x14ac:dyDescent="0.3">
      <c r="A128" s="66">
        <v>38861</v>
      </c>
      <c r="B128" s="63">
        <v>8</v>
      </c>
      <c r="C128" s="63">
        <v>512</v>
      </c>
      <c r="D128" s="63">
        <v>473</v>
      </c>
      <c r="E128" s="68">
        <v>466</v>
      </c>
      <c r="F128" s="68">
        <v>416</v>
      </c>
      <c r="G128" s="68">
        <v>421</v>
      </c>
      <c r="H128" s="68">
        <v>421</v>
      </c>
      <c r="I128" s="68">
        <v>409</v>
      </c>
      <c r="J128" s="68">
        <v>550</v>
      </c>
    </row>
    <row r="129" spans="1:10" x14ac:dyDescent="0.3">
      <c r="A129" s="66">
        <v>38868</v>
      </c>
      <c r="B129" s="63">
        <v>8</v>
      </c>
      <c r="C129" s="63">
        <v>510</v>
      </c>
      <c r="D129" s="63">
        <v>474</v>
      </c>
      <c r="E129" s="68">
        <v>463</v>
      </c>
      <c r="F129" s="68">
        <v>419</v>
      </c>
      <c r="G129" s="68">
        <v>424</v>
      </c>
      <c r="H129" s="68">
        <v>424</v>
      </c>
      <c r="I129" s="68">
        <v>423</v>
      </c>
      <c r="J129" s="68">
        <v>550</v>
      </c>
    </row>
    <row r="130" spans="1:10" x14ac:dyDescent="0.3">
      <c r="A130" s="66">
        <v>38875</v>
      </c>
      <c r="B130" s="63">
        <v>9</v>
      </c>
      <c r="C130" s="63">
        <v>592</v>
      </c>
      <c r="D130" s="63">
        <v>566</v>
      </c>
      <c r="E130" s="68">
        <v>564</v>
      </c>
      <c r="F130" s="68">
        <v>545</v>
      </c>
      <c r="G130" s="68">
        <v>555</v>
      </c>
      <c r="H130" s="68">
        <v>555</v>
      </c>
      <c r="I130" s="68">
        <v>539</v>
      </c>
      <c r="J130" s="68">
        <v>732</v>
      </c>
    </row>
    <row r="131" spans="1:10" x14ac:dyDescent="0.3">
      <c r="A131" s="66">
        <v>38882</v>
      </c>
      <c r="B131" s="63">
        <v>9</v>
      </c>
      <c r="C131" s="63">
        <v>582</v>
      </c>
      <c r="D131" s="63">
        <v>570</v>
      </c>
      <c r="E131" s="68">
        <v>558</v>
      </c>
      <c r="F131" s="68">
        <v>531</v>
      </c>
      <c r="G131" s="68">
        <v>552</v>
      </c>
      <c r="H131" s="68">
        <v>552</v>
      </c>
      <c r="I131" s="68">
        <v>528</v>
      </c>
      <c r="J131" s="68">
        <v>725</v>
      </c>
    </row>
    <row r="132" spans="1:10" x14ac:dyDescent="0.3">
      <c r="A132" s="66">
        <v>38889</v>
      </c>
      <c r="B132" s="63">
        <v>9</v>
      </c>
      <c r="C132" s="63">
        <v>594</v>
      </c>
      <c r="D132" s="63">
        <v>567</v>
      </c>
      <c r="E132" s="68">
        <v>561</v>
      </c>
      <c r="F132" s="68">
        <v>549</v>
      </c>
      <c r="G132" s="68">
        <v>563</v>
      </c>
      <c r="H132" s="68">
        <v>563</v>
      </c>
      <c r="I132" s="68">
        <v>540</v>
      </c>
      <c r="J132" s="68">
        <v>713</v>
      </c>
    </row>
    <row r="133" spans="1:10" x14ac:dyDescent="0.3">
      <c r="A133" s="66">
        <v>38896</v>
      </c>
      <c r="B133" s="63">
        <v>9</v>
      </c>
      <c r="C133" s="63">
        <v>593</v>
      </c>
      <c r="D133" s="63">
        <v>573</v>
      </c>
      <c r="E133" s="68">
        <v>571</v>
      </c>
      <c r="F133" s="68">
        <v>566</v>
      </c>
      <c r="G133" s="68">
        <v>575</v>
      </c>
      <c r="H133" s="68">
        <v>575</v>
      </c>
      <c r="I133" s="68">
        <v>553</v>
      </c>
      <c r="J133" s="68">
        <v>725</v>
      </c>
    </row>
    <row r="134" spans="1:10" x14ac:dyDescent="0.3">
      <c r="A134" s="66">
        <v>38903</v>
      </c>
      <c r="B134" s="63">
        <v>10</v>
      </c>
      <c r="C134" s="63">
        <v>648</v>
      </c>
      <c r="D134" s="63">
        <v>619</v>
      </c>
      <c r="E134" s="68">
        <v>621</v>
      </c>
      <c r="F134" s="68">
        <v>613</v>
      </c>
      <c r="G134" s="68">
        <v>624</v>
      </c>
      <c r="H134" s="68">
        <v>624</v>
      </c>
      <c r="I134" s="68">
        <v>605</v>
      </c>
      <c r="J134" s="68">
        <v>785</v>
      </c>
    </row>
    <row r="135" spans="1:10" x14ac:dyDescent="0.3">
      <c r="A135" s="66">
        <v>38910</v>
      </c>
      <c r="B135" s="63">
        <v>10</v>
      </c>
      <c r="C135" s="63">
        <v>648</v>
      </c>
      <c r="D135" s="63">
        <v>624</v>
      </c>
      <c r="E135" s="68">
        <v>623</v>
      </c>
      <c r="F135" s="68">
        <v>607</v>
      </c>
      <c r="G135" s="68">
        <v>615</v>
      </c>
      <c r="H135" s="68">
        <v>615</v>
      </c>
      <c r="I135" s="68">
        <v>610</v>
      </c>
      <c r="J135" s="68">
        <v>813</v>
      </c>
    </row>
    <row r="136" spans="1:10" x14ac:dyDescent="0.3">
      <c r="A136" s="66">
        <v>38917</v>
      </c>
      <c r="B136" s="63">
        <v>10</v>
      </c>
      <c r="C136" s="63">
        <v>679</v>
      </c>
      <c r="D136" s="63">
        <v>641</v>
      </c>
      <c r="E136" s="68">
        <v>637</v>
      </c>
      <c r="F136" s="68">
        <v>646</v>
      </c>
      <c r="G136" s="68">
        <v>637</v>
      </c>
      <c r="H136" s="68">
        <v>638</v>
      </c>
      <c r="I136" s="68">
        <v>653</v>
      </c>
      <c r="J136" s="68">
        <v>882</v>
      </c>
    </row>
    <row r="137" spans="1:10" x14ac:dyDescent="0.3">
      <c r="A137" s="66">
        <v>38924</v>
      </c>
      <c r="B137" s="63">
        <v>10</v>
      </c>
      <c r="C137" s="63">
        <v>653</v>
      </c>
      <c r="D137" s="63">
        <v>640</v>
      </c>
      <c r="E137" s="68">
        <v>634</v>
      </c>
      <c r="F137" s="68">
        <v>640</v>
      </c>
      <c r="G137" s="68">
        <v>643</v>
      </c>
      <c r="H137" s="68">
        <v>643</v>
      </c>
      <c r="I137" s="68">
        <v>648</v>
      </c>
      <c r="J137" s="68">
        <v>867</v>
      </c>
    </row>
    <row r="138" spans="1:10" x14ac:dyDescent="0.3">
      <c r="A138" s="66">
        <v>38931</v>
      </c>
      <c r="B138" s="63">
        <v>11</v>
      </c>
      <c r="C138" s="63">
        <v>601</v>
      </c>
      <c r="D138" s="63">
        <v>554</v>
      </c>
      <c r="E138" s="68">
        <v>536</v>
      </c>
      <c r="F138" s="68">
        <v>507</v>
      </c>
      <c r="G138" s="68">
        <v>534</v>
      </c>
      <c r="H138" s="68">
        <v>534</v>
      </c>
      <c r="I138" s="68">
        <v>491</v>
      </c>
      <c r="J138" s="68">
        <v>664</v>
      </c>
    </row>
    <row r="139" spans="1:10" x14ac:dyDescent="0.3">
      <c r="A139" s="66">
        <v>38938</v>
      </c>
      <c r="B139" s="63">
        <v>11</v>
      </c>
      <c r="C139" s="63">
        <v>624</v>
      </c>
      <c r="D139" s="63">
        <v>554</v>
      </c>
      <c r="E139" s="68">
        <v>545</v>
      </c>
      <c r="F139" s="68">
        <v>503</v>
      </c>
      <c r="G139" s="68">
        <v>514</v>
      </c>
      <c r="H139" s="68">
        <v>514</v>
      </c>
      <c r="I139" s="68">
        <v>486</v>
      </c>
      <c r="J139" s="68">
        <v>640</v>
      </c>
    </row>
    <row r="140" spans="1:10" x14ac:dyDescent="0.3">
      <c r="A140" s="66">
        <v>38945</v>
      </c>
      <c r="B140" s="63">
        <v>11</v>
      </c>
      <c r="C140" s="63">
        <v>594</v>
      </c>
      <c r="D140" s="63">
        <v>552</v>
      </c>
      <c r="E140" s="68">
        <v>534</v>
      </c>
      <c r="F140" s="68">
        <v>503</v>
      </c>
      <c r="G140" s="68">
        <v>522</v>
      </c>
      <c r="H140" s="68">
        <v>522</v>
      </c>
      <c r="I140" s="68">
        <v>487</v>
      </c>
      <c r="J140" s="68">
        <v>642</v>
      </c>
    </row>
    <row r="141" spans="1:10" x14ac:dyDescent="0.3">
      <c r="A141" s="66">
        <v>38952</v>
      </c>
      <c r="B141" s="63">
        <v>11</v>
      </c>
      <c r="C141" s="63">
        <v>596</v>
      </c>
      <c r="D141" s="63">
        <v>551</v>
      </c>
      <c r="E141" s="68">
        <v>537</v>
      </c>
      <c r="F141" s="68">
        <v>510</v>
      </c>
      <c r="G141" s="68">
        <v>526</v>
      </c>
      <c r="H141" s="68">
        <v>526</v>
      </c>
      <c r="I141" s="68">
        <v>482</v>
      </c>
      <c r="J141" s="68">
        <v>643</v>
      </c>
    </row>
    <row r="142" spans="1:10" x14ac:dyDescent="0.3">
      <c r="A142" s="66">
        <v>38959</v>
      </c>
      <c r="B142" s="63">
        <v>11</v>
      </c>
      <c r="C142" s="63">
        <v>592</v>
      </c>
      <c r="D142" s="63">
        <v>548</v>
      </c>
      <c r="E142" s="68">
        <v>538</v>
      </c>
      <c r="F142" s="68">
        <v>510</v>
      </c>
      <c r="G142" s="68">
        <v>533</v>
      </c>
      <c r="H142" s="68">
        <v>533</v>
      </c>
      <c r="I142" s="68">
        <v>491</v>
      </c>
      <c r="J142" s="68">
        <v>610</v>
      </c>
    </row>
    <row r="143" spans="1:10" x14ac:dyDescent="0.3">
      <c r="A143" s="66">
        <v>38966</v>
      </c>
      <c r="B143" s="63">
        <v>12</v>
      </c>
      <c r="E143" s="68">
        <v>459</v>
      </c>
      <c r="F143" s="68">
        <v>429</v>
      </c>
      <c r="G143" s="68">
        <v>444</v>
      </c>
      <c r="H143" s="68">
        <v>444</v>
      </c>
      <c r="I143" s="68">
        <v>404</v>
      </c>
      <c r="J143" s="68">
        <v>537</v>
      </c>
    </row>
    <row r="144" spans="1:10" x14ac:dyDescent="0.3">
      <c r="A144" s="66">
        <v>38973</v>
      </c>
      <c r="B144" s="63">
        <v>12</v>
      </c>
      <c r="E144" s="68">
        <v>458</v>
      </c>
      <c r="F144" s="68">
        <v>425</v>
      </c>
      <c r="G144" s="68">
        <v>437</v>
      </c>
      <c r="H144" s="68">
        <v>437</v>
      </c>
      <c r="I144" s="68">
        <v>398</v>
      </c>
      <c r="J144" s="68">
        <v>517</v>
      </c>
    </row>
    <row r="145" spans="1:10" x14ac:dyDescent="0.3">
      <c r="A145" s="66">
        <v>38979</v>
      </c>
      <c r="B145" s="63">
        <v>12</v>
      </c>
      <c r="E145" s="68">
        <v>456</v>
      </c>
      <c r="F145" s="68">
        <v>421</v>
      </c>
      <c r="G145" s="68">
        <v>438</v>
      </c>
      <c r="H145" s="68">
        <v>438</v>
      </c>
      <c r="I145" s="68">
        <v>397</v>
      </c>
      <c r="J145" s="68">
        <v>508</v>
      </c>
    </row>
    <row r="146" spans="1:10" x14ac:dyDescent="0.3">
      <c r="A146" s="66">
        <v>38986</v>
      </c>
      <c r="B146" s="63">
        <v>12</v>
      </c>
      <c r="E146" s="68">
        <v>460</v>
      </c>
      <c r="F146" s="68">
        <v>415</v>
      </c>
      <c r="G146" s="68">
        <v>437</v>
      </c>
      <c r="H146" s="68">
        <v>437</v>
      </c>
      <c r="I146" s="68">
        <v>395</v>
      </c>
      <c r="J146" s="68">
        <v>520</v>
      </c>
    </row>
    <row r="147" spans="1:10" x14ac:dyDescent="0.3">
      <c r="A147" s="69">
        <f>+A146+7</f>
        <v>38993</v>
      </c>
      <c r="B147" s="63">
        <v>1</v>
      </c>
      <c r="C147" s="68"/>
      <c r="D147" s="68"/>
      <c r="E147" s="68">
        <v>478</v>
      </c>
      <c r="F147" s="68">
        <v>405</v>
      </c>
      <c r="G147" s="68">
        <v>440</v>
      </c>
      <c r="H147" s="68">
        <v>440</v>
      </c>
      <c r="I147" s="68">
        <v>389</v>
      </c>
      <c r="J147" s="68">
        <v>495</v>
      </c>
    </row>
    <row r="148" spans="1:10" x14ac:dyDescent="0.3">
      <c r="A148" s="66">
        <v>39000</v>
      </c>
      <c r="B148" s="63">
        <v>1</v>
      </c>
      <c r="E148" s="68">
        <v>470</v>
      </c>
      <c r="F148" s="68">
        <v>394</v>
      </c>
      <c r="G148" s="68">
        <v>428</v>
      </c>
      <c r="H148" s="68">
        <v>428</v>
      </c>
      <c r="I148" s="68">
        <v>375</v>
      </c>
      <c r="J148" s="68">
        <v>500</v>
      </c>
    </row>
    <row r="149" spans="1:10" x14ac:dyDescent="0.3">
      <c r="A149" s="69">
        <f>+A148+7</f>
        <v>39007</v>
      </c>
      <c r="B149" s="63">
        <v>1</v>
      </c>
      <c r="E149" s="68">
        <v>479</v>
      </c>
      <c r="F149" s="68">
        <v>396</v>
      </c>
      <c r="G149" s="68">
        <v>431</v>
      </c>
      <c r="H149" s="68">
        <v>431</v>
      </c>
      <c r="I149" s="68">
        <v>376</v>
      </c>
      <c r="J149" s="68">
        <v>489</v>
      </c>
    </row>
    <row r="150" spans="1:10" x14ac:dyDescent="0.3">
      <c r="A150" s="69">
        <f>+A149+7</f>
        <v>39014</v>
      </c>
      <c r="B150" s="63">
        <v>1</v>
      </c>
      <c r="E150" s="68">
        <v>470</v>
      </c>
      <c r="F150" s="68">
        <v>370</v>
      </c>
      <c r="G150" s="68">
        <v>414</v>
      </c>
      <c r="H150" s="68">
        <v>414</v>
      </c>
      <c r="I150" s="68">
        <v>326</v>
      </c>
      <c r="J150" s="68">
        <v>427</v>
      </c>
    </row>
    <row r="151" spans="1:10" x14ac:dyDescent="0.3">
      <c r="A151" s="66">
        <v>39021</v>
      </c>
      <c r="B151" s="63">
        <v>1</v>
      </c>
      <c r="E151" s="68">
        <v>483</v>
      </c>
      <c r="F151" s="68">
        <v>382</v>
      </c>
      <c r="G151" s="68">
        <v>406</v>
      </c>
      <c r="H151" s="68">
        <v>406</v>
      </c>
      <c r="I151" s="68">
        <v>331</v>
      </c>
      <c r="J151" s="68">
        <v>425</v>
      </c>
    </row>
    <row r="152" spans="1:10" x14ac:dyDescent="0.3">
      <c r="A152" s="69">
        <v>39028</v>
      </c>
      <c r="B152" s="63">
        <v>2</v>
      </c>
      <c r="E152" s="68">
        <v>455</v>
      </c>
      <c r="F152" s="68">
        <v>374</v>
      </c>
      <c r="G152" s="68">
        <v>395</v>
      </c>
      <c r="H152" s="68">
        <v>395</v>
      </c>
      <c r="I152" s="68">
        <v>316</v>
      </c>
      <c r="J152" s="68">
        <v>423</v>
      </c>
    </row>
    <row r="153" spans="1:10" x14ac:dyDescent="0.3">
      <c r="A153" s="66">
        <v>39035</v>
      </c>
      <c r="B153" s="63">
        <v>2</v>
      </c>
      <c r="E153" s="68">
        <v>444</v>
      </c>
      <c r="F153" s="68">
        <v>374</v>
      </c>
      <c r="G153" s="68">
        <v>384</v>
      </c>
      <c r="H153" s="68">
        <v>384</v>
      </c>
      <c r="I153" s="68">
        <v>296</v>
      </c>
      <c r="J153" s="68">
        <v>403</v>
      </c>
    </row>
    <row r="154" spans="1:10" x14ac:dyDescent="0.3">
      <c r="A154" s="69">
        <v>39042</v>
      </c>
      <c r="B154" s="63">
        <v>2</v>
      </c>
      <c r="E154" s="68">
        <v>445</v>
      </c>
      <c r="F154" s="68">
        <v>374</v>
      </c>
      <c r="G154" s="68">
        <v>377</v>
      </c>
      <c r="H154" s="68">
        <v>377</v>
      </c>
      <c r="I154" s="68">
        <v>291</v>
      </c>
      <c r="J154" s="68">
        <v>388</v>
      </c>
    </row>
    <row r="155" spans="1:10" x14ac:dyDescent="0.3">
      <c r="A155" s="69">
        <v>39049</v>
      </c>
      <c r="B155" s="86">
        <v>2</v>
      </c>
      <c r="E155" s="68">
        <v>441</v>
      </c>
      <c r="F155" s="68">
        <v>371</v>
      </c>
      <c r="G155" s="68">
        <v>380</v>
      </c>
      <c r="H155" s="68">
        <v>380</v>
      </c>
      <c r="I155" s="68">
        <v>283</v>
      </c>
      <c r="J155" s="68">
        <v>386</v>
      </c>
    </row>
    <row r="156" spans="1:10" x14ac:dyDescent="0.3">
      <c r="A156" s="69">
        <v>39056</v>
      </c>
      <c r="B156" s="63">
        <v>3</v>
      </c>
      <c r="D156" s="63">
        <v>387</v>
      </c>
      <c r="E156" s="68">
        <v>367</v>
      </c>
      <c r="F156" s="68">
        <v>315</v>
      </c>
      <c r="G156" s="68">
        <v>329</v>
      </c>
      <c r="H156" s="68">
        <v>329</v>
      </c>
      <c r="I156" s="68">
        <v>265</v>
      </c>
      <c r="J156" s="68">
        <v>370</v>
      </c>
    </row>
    <row r="157" spans="1:10" x14ac:dyDescent="0.3">
      <c r="A157" s="69">
        <v>39063</v>
      </c>
      <c r="B157" s="63">
        <v>3</v>
      </c>
      <c r="D157" s="63">
        <v>374</v>
      </c>
      <c r="E157" s="68">
        <v>360</v>
      </c>
      <c r="F157" s="68">
        <v>306</v>
      </c>
      <c r="G157" s="68">
        <v>318</v>
      </c>
      <c r="H157" s="68">
        <v>318</v>
      </c>
      <c r="I157" s="68">
        <v>252</v>
      </c>
      <c r="J157" s="68">
        <v>343</v>
      </c>
    </row>
    <row r="158" spans="1:10" x14ac:dyDescent="0.3">
      <c r="A158" s="69">
        <v>39070</v>
      </c>
      <c r="B158" s="63">
        <v>3</v>
      </c>
      <c r="D158" s="63">
        <v>345</v>
      </c>
      <c r="E158" s="68">
        <v>333</v>
      </c>
      <c r="F158" s="68">
        <v>262</v>
      </c>
      <c r="G158" s="68">
        <v>281</v>
      </c>
      <c r="H158" s="68">
        <v>281</v>
      </c>
      <c r="I158" s="68">
        <v>237</v>
      </c>
      <c r="J158" s="68">
        <v>331</v>
      </c>
    </row>
    <row r="159" spans="1:10" x14ac:dyDescent="0.3">
      <c r="A159" s="69">
        <v>39077</v>
      </c>
      <c r="B159" s="63">
        <v>3</v>
      </c>
      <c r="D159" s="63">
        <v>344</v>
      </c>
      <c r="E159" s="68">
        <v>328</v>
      </c>
      <c r="F159" s="68">
        <v>264</v>
      </c>
      <c r="G159" s="68">
        <v>271</v>
      </c>
      <c r="H159" s="68">
        <v>271</v>
      </c>
      <c r="I159" s="68">
        <v>231</v>
      </c>
      <c r="J159" s="68">
        <v>321</v>
      </c>
    </row>
    <row r="160" spans="1:10" x14ac:dyDescent="0.3">
      <c r="A160" s="69">
        <v>39084</v>
      </c>
      <c r="B160" s="63">
        <v>4</v>
      </c>
      <c r="C160" s="63">
        <v>372</v>
      </c>
      <c r="D160" s="63">
        <v>327</v>
      </c>
      <c r="E160" s="68">
        <v>315</v>
      </c>
      <c r="F160" s="68">
        <v>255</v>
      </c>
      <c r="G160" s="68">
        <v>265</v>
      </c>
      <c r="H160" s="68">
        <v>265</v>
      </c>
      <c r="I160" s="68">
        <v>234</v>
      </c>
      <c r="J160" s="68">
        <v>358</v>
      </c>
    </row>
    <row r="161" spans="1:10" x14ac:dyDescent="0.3">
      <c r="A161" s="69">
        <v>39091</v>
      </c>
      <c r="B161" s="63">
        <v>4</v>
      </c>
      <c r="C161" s="63">
        <v>370</v>
      </c>
      <c r="D161" s="63">
        <v>330</v>
      </c>
      <c r="E161" s="68">
        <v>318</v>
      </c>
      <c r="F161" s="68">
        <v>254</v>
      </c>
      <c r="G161" s="68">
        <v>267</v>
      </c>
      <c r="H161" s="68">
        <v>267</v>
      </c>
      <c r="I161" s="68">
        <v>234</v>
      </c>
      <c r="J161" s="68">
        <v>324</v>
      </c>
    </row>
    <row r="162" spans="1:10" x14ac:dyDescent="0.3">
      <c r="A162" s="69">
        <v>39098</v>
      </c>
      <c r="B162" s="63">
        <v>4</v>
      </c>
      <c r="C162" s="63">
        <v>387</v>
      </c>
      <c r="D162" s="63">
        <v>355</v>
      </c>
      <c r="E162" s="68">
        <v>345</v>
      </c>
      <c r="F162" s="68">
        <v>312</v>
      </c>
      <c r="G162" s="68">
        <v>314</v>
      </c>
      <c r="H162" s="68">
        <v>314</v>
      </c>
      <c r="I162" s="68">
        <v>287</v>
      </c>
      <c r="J162" s="68">
        <v>394</v>
      </c>
    </row>
    <row r="163" spans="1:10" x14ac:dyDescent="0.3">
      <c r="A163" s="69">
        <v>39105</v>
      </c>
      <c r="B163" s="63">
        <v>4</v>
      </c>
      <c r="C163" s="63">
        <v>381</v>
      </c>
      <c r="D163" s="63">
        <v>338</v>
      </c>
      <c r="E163" s="68">
        <v>326</v>
      </c>
      <c r="F163" s="68">
        <v>290</v>
      </c>
      <c r="G163" s="68">
        <v>297</v>
      </c>
      <c r="H163" s="68">
        <v>297</v>
      </c>
      <c r="I163" s="68">
        <v>270</v>
      </c>
      <c r="J163" s="68">
        <v>368</v>
      </c>
    </row>
    <row r="164" spans="1:10" x14ac:dyDescent="0.3">
      <c r="A164" s="69">
        <v>39112</v>
      </c>
      <c r="B164" s="63">
        <v>4</v>
      </c>
      <c r="C164" s="63">
        <v>370</v>
      </c>
      <c r="D164" s="63">
        <v>328</v>
      </c>
      <c r="E164" s="68">
        <v>316</v>
      </c>
      <c r="F164" s="68">
        <v>281</v>
      </c>
      <c r="G164" s="68">
        <v>294</v>
      </c>
      <c r="H164" s="68">
        <v>294</v>
      </c>
      <c r="I164" s="68">
        <v>257</v>
      </c>
      <c r="J164" s="68">
        <v>353</v>
      </c>
    </row>
    <row r="165" spans="1:10" x14ac:dyDescent="0.3">
      <c r="A165" s="69">
        <v>39119</v>
      </c>
      <c r="B165" s="63">
        <v>5</v>
      </c>
      <c r="C165" s="63">
        <v>365</v>
      </c>
      <c r="D165" s="63">
        <v>325</v>
      </c>
      <c r="E165" s="68">
        <v>316</v>
      </c>
      <c r="F165" s="68">
        <v>268</v>
      </c>
      <c r="G165" s="68">
        <v>280</v>
      </c>
      <c r="H165" s="68">
        <v>280</v>
      </c>
      <c r="I165" s="68">
        <v>241</v>
      </c>
      <c r="J165" s="68">
        <v>335</v>
      </c>
    </row>
    <row r="166" spans="1:10" x14ac:dyDescent="0.3">
      <c r="A166" s="69">
        <v>39126</v>
      </c>
      <c r="B166" s="63">
        <v>5</v>
      </c>
      <c r="C166" s="68">
        <v>365</v>
      </c>
      <c r="D166" s="68">
        <v>327</v>
      </c>
      <c r="E166" s="68">
        <v>316</v>
      </c>
      <c r="F166" s="68">
        <v>278</v>
      </c>
      <c r="G166" s="68">
        <v>280</v>
      </c>
      <c r="H166" s="68">
        <v>280</v>
      </c>
      <c r="I166" s="68">
        <v>241</v>
      </c>
      <c r="J166" s="68">
        <v>329</v>
      </c>
    </row>
    <row r="167" spans="1:10" x14ac:dyDescent="0.3">
      <c r="A167" s="69">
        <v>39133</v>
      </c>
      <c r="B167" s="63">
        <v>5</v>
      </c>
      <c r="C167" s="63">
        <v>366</v>
      </c>
      <c r="D167" s="63">
        <v>325</v>
      </c>
      <c r="E167" s="68">
        <v>313</v>
      </c>
      <c r="F167" s="68">
        <v>270</v>
      </c>
      <c r="G167" s="68">
        <v>273</v>
      </c>
      <c r="H167" s="68">
        <v>273</v>
      </c>
      <c r="I167" s="68">
        <v>239</v>
      </c>
      <c r="J167" s="68">
        <v>326</v>
      </c>
    </row>
    <row r="168" spans="1:10" x14ac:dyDescent="0.3">
      <c r="A168" s="69">
        <v>39140</v>
      </c>
      <c r="B168" s="63">
        <v>5</v>
      </c>
      <c r="C168" s="63">
        <v>365</v>
      </c>
      <c r="D168" s="63">
        <v>324</v>
      </c>
      <c r="E168" s="68">
        <v>312</v>
      </c>
      <c r="F168" s="68">
        <v>264</v>
      </c>
      <c r="G168" s="68">
        <v>263</v>
      </c>
      <c r="H168" s="68">
        <v>263</v>
      </c>
      <c r="I168" s="68">
        <v>235</v>
      </c>
      <c r="J168" s="68">
        <v>325</v>
      </c>
    </row>
    <row r="169" spans="1:10" x14ac:dyDescent="0.3">
      <c r="A169" s="69">
        <v>39147</v>
      </c>
      <c r="B169" s="63">
        <v>6</v>
      </c>
      <c r="C169" s="63">
        <v>369</v>
      </c>
      <c r="D169" s="63">
        <v>320</v>
      </c>
      <c r="E169" s="68">
        <v>306</v>
      </c>
      <c r="F169" s="68">
        <v>262</v>
      </c>
      <c r="G169" s="68">
        <v>273</v>
      </c>
      <c r="H169" s="68">
        <v>276</v>
      </c>
      <c r="I169" s="68">
        <v>250</v>
      </c>
      <c r="J169" s="68">
        <v>357</v>
      </c>
    </row>
    <row r="170" spans="1:10" x14ac:dyDescent="0.3">
      <c r="A170" s="69">
        <v>39154</v>
      </c>
      <c r="B170" s="63">
        <v>6</v>
      </c>
      <c r="C170" s="63">
        <v>358</v>
      </c>
      <c r="D170" s="63">
        <v>309</v>
      </c>
      <c r="E170" s="68">
        <v>299</v>
      </c>
      <c r="F170" s="68">
        <v>244</v>
      </c>
      <c r="G170" s="68">
        <v>275</v>
      </c>
      <c r="H170" s="68">
        <v>275</v>
      </c>
      <c r="I170" s="68">
        <v>238</v>
      </c>
      <c r="J170" s="68">
        <v>329</v>
      </c>
    </row>
    <row r="171" spans="1:10" x14ac:dyDescent="0.3">
      <c r="A171" s="69">
        <v>39161</v>
      </c>
      <c r="B171" s="63">
        <v>6</v>
      </c>
      <c r="C171" s="63">
        <v>347</v>
      </c>
      <c r="D171" s="63">
        <v>296</v>
      </c>
      <c r="E171" s="68">
        <v>287</v>
      </c>
      <c r="F171" s="68">
        <v>236</v>
      </c>
      <c r="G171" s="68">
        <v>259</v>
      </c>
      <c r="H171" s="68">
        <v>259</v>
      </c>
      <c r="I171" s="68">
        <v>221</v>
      </c>
      <c r="J171" s="68">
        <v>306</v>
      </c>
    </row>
    <row r="172" spans="1:10" x14ac:dyDescent="0.3">
      <c r="A172" s="69">
        <v>39168</v>
      </c>
      <c r="B172" s="63">
        <v>6</v>
      </c>
      <c r="C172" s="63">
        <v>337</v>
      </c>
      <c r="D172" s="63">
        <v>281</v>
      </c>
      <c r="E172" s="68">
        <v>267</v>
      </c>
      <c r="F172" s="68">
        <v>224</v>
      </c>
      <c r="G172" s="68">
        <v>244</v>
      </c>
      <c r="H172" s="68">
        <v>244</v>
      </c>
      <c r="I172" s="68">
        <v>207</v>
      </c>
      <c r="J172" s="68">
        <v>273</v>
      </c>
    </row>
    <row r="173" spans="1:10" x14ac:dyDescent="0.3">
      <c r="A173" s="69">
        <f t="shared" ref="A173:A178" si="0">7+A172</f>
        <v>39175</v>
      </c>
      <c r="B173" s="63">
        <v>7</v>
      </c>
      <c r="C173" s="68">
        <v>341</v>
      </c>
      <c r="D173" s="68">
        <v>294</v>
      </c>
      <c r="E173" s="68">
        <v>275</v>
      </c>
      <c r="F173" s="68">
        <v>241</v>
      </c>
      <c r="G173" s="68">
        <v>263</v>
      </c>
      <c r="H173" s="68">
        <v>263</v>
      </c>
      <c r="I173" s="68">
        <v>245</v>
      </c>
      <c r="J173" s="68">
        <v>336</v>
      </c>
    </row>
    <row r="174" spans="1:10" x14ac:dyDescent="0.3">
      <c r="A174" s="69">
        <f t="shared" si="0"/>
        <v>39182</v>
      </c>
      <c r="B174" s="63">
        <v>7</v>
      </c>
      <c r="C174" s="68">
        <v>358.33333333333331</v>
      </c>
      <c r="D174" s="68">
        <v>293.75</v>
      </c>
      <c r="E174" s="68">
        <v>278.75</v>
      </c>
      <c r="F174" s="68">
        <v>257.5</v>
      </c>
      <c r="G174" s="68">
        <v>267.5</v>
      </c>
      <c r="H174" s="68">
        <v>267.5</v>
      </c>
      <c r="I174" s="68">
        <v>240</v>
      </c>
      <c r="J174" s="68">
        <v>330.88427947598257</v>
      </c>
    </row>
    <row r="175" spans="1:10" x14ac:dyDescent="0.3">
      <c r="A175" s="69">
        <f t="shared" si="0"/>
        <v>39189</v>
      </c>
      <c r="B175" s="86">
        <v>7</v>
      </c>
      <c r="C175" s="68">
        <v>337.5</v>
      </c>
      <c r="D175" s="68">
        <v>288</v>
      </c>
      <c r="E175" s="68">
        <v>270</v>
      </c>
      <c r="F175" s="68">
        <v>246.25</v>
      </c>
      <c r="G175" s="68">
        <v>250</v>
      </c>
      <c r="H175" s="68">
        <v>250</v>
      </c>
      <c r="I175" s="68">
        <v>230</v>
      </c>
      <c r="J175" s="68">
        <v>319.49235807860259</v>
      </c>
    </row>
    <row r="176" spans="1:10" x14ac:dyDescent="0.3">
      <c r="A176" s="69">
        <f t="shared" si="0"/>
        <v>39196</v>
      </c>
      <c r="B176" s="86">
        <v>7</v>
      </c>
      <c r="C176" s="68">
        <v>343</v>
      </c>
      <c r="D176" s="68">
        <v>291</v>
      </c>
      <c r="E176" s="68">
        <v>279</v>
      </c>
      <c r="F176" s="68">
        <v>240</v>
      </c>
      <c r="G176" s="68">
        <v>255</v>
      </c>
      <c r="H176" s="68">
        <v>255</v>
      </c>
      <c r="I176" s="68">
        <v>228</v>
      </c>
      <c r="J176" s="68">
        <v>316</v>
      </c>
    </row>
    <row r="177" spans="1:10" x14ac:dyDescent="0.3">
      <c r="A177" s="69">
        <f t="shared" si="0"/>
        <v>39203</v>
      </c>
      <c r="B177" s="63">
        <v>8</v>
      </c>
      <c r="C177" s="68">
        <v>360</v>
      </c>
      <c r="D177" s="68">
        <v>320</v>
      </c>
      <c r="E177" s="68">
        <v>311</v>
      </c>
      <c r="F177" s="68">
        <v>320</v>
      </c>
      <c r="G177" s="68">
        <v>324</v>
      </c>
      <c r="H177" s="68">
        <v>326</v>
      </c>
      <c r="I177" s="68">
        <v>359</v>
      </c>
      <c r="J177" s="68">
        <v>428.99126637554582</v>
      </c>
    </row>
    <row r="178" spans="1:10" x14ac:dyDescent="0.3">
      <c r="A178" s="69">
        <f t="shared" si="0"/>
        <v>39210</v>
      </c>
      <c r="B178" s="86">
        <v>8</v>
      </c>
      <c r="C178" s="68">
        <v>332</v>
      </c>
      <c r="D178" s="68">
        <v>310</v>
      </c>
      <c r="E178" s="68">
        <v>301</v>
      </c>
      <c r="F178" s="68">
        <v>313</v>
      </c>
      <c r="G178" s="68">
        <v>310</v>
      </c>
      <c r="H178" s="68">
        <v>310</v>
      </c>
      <c r="I178" s="68">
        <v>325</v>
      </c>
      <c r="J178" s="68">
        <v>452</v>
      </c>
    </row>
    <row r="179" spans="1:10" x14ac:dyDescent="0.3">
      <c r="A179" s="69">
        <f>7+A178</f>
        <v>39217</v>
      </c>
      <c r="B179" s="63">
        <v>8</v>
      </c>
      <c r="C179" s="68">
        <v>364</v>
      </c>
      <c r="D179" s="68">
        <v>317</v>
      </c>
      <c r="E179" s="68">
        <v>311</v>
      </c>
      <c r="F179" s="68">
        <v>326</v>
      </c>
      <c r="G179" s="68">
        <v>325</v>
      </c>
      <c r="H179" s="68">
        <v>325</v>
      </c>
      <c r="I179" s="68">
        <v>334</v>
      </c>
      <c r="J179" s="68">
        <v>463.84716157205241</v>
      </c>
    </row>
    <row r="180" spans="1:10" x14ac:dyDescent="0.3">
      <c r="A180" s="69">
        <f>7+A179</f>
        <v>39224</v>
      </c>
      <c r="B180" s="86">
        <v>8</v>
      </c>
      <c r="C180" s="68">
        <v>378</v>
      </c>
      <c r="D180" s="68">
        <v>333.33333333333331</v>
      </c>
      <c r="E180" s="68">
        <v>325</v>
      </c>
      <c r="F180" s="68">
        <v>328</v>
      </c>
      <c r="G180" s="68">
        <v>330</v>
      </c>
      <c r="H180" s="68">
        <v>330</v>
      </c>
      <c r="I180" s="68">
        <v>342</v>
      </c>
      <c r="J180" s="68">
        <v>474.81659388646284</v>
      </c>
    </row>
    <row r="181" spans="1:10" x14ac:dyDescent="0.3">
      <c r="A181" s="69">
        <f>7+A180</f>
        <v>39231</v>
      </c>
      <c r="B181" s="86">
        <v>8</v>
      </c>
      <c r="C181" s="68">
        <v>398.75</v>
      </c>
      <c r="D181" s="68">
        <v>359</v>
      </c>
      <c r="E181" s="68">
        <v>353</v>
      </c>
      <c r="F181" s="68">
        <v>348.75</v>
      </c>
      <c r="G181" s="68">
        <v>343.75</v>
      </c>
      <c r="H181" s="68">
        <v>343.75</v>
      </c>
      <c r="I181" s="68">
        <v>355</v>
      </c>
      <c r="J181" s="68">
        <v>483</v>
      </c>
    </row>
    <row r="182" spans="1:10" x14ac:dyDescent="0.3">
      <c r="A182" s="69">
        <f>7+A181</f>
        <v>39238</v>
      </c>
      <c r="B182" s="86">
        <v>9</v>
      </c>
      <c r="C182" s="68">
        <v>471.66666666666669</v>
      </c>
      <c r="D182" s="68">
        <v>453.33333333333331</v>
      </c>
      <c r="E182" s="68">
        <v>448.33333333333331</v>
      </c>
      <c r="F182" s="68">
        <v>471.66666666666669</v>
      </c>
      <c r="G182" s="68">
        <v>468.33333333333331</v>
      </c>
      <c r="H182" s="68">
        <v>468.33333333333331</v>
      </c>
      <c r="I182" s="68">
        <v>473.33333333333331</v>
      </c>
      <c r="J182" s="68">
        <v>630</v>
      </c>
    </row>
    <row r="183" spans="1:10" x14ac:dyDescent="0.3">
      <c r="A183" s="69">
        <f>7+A182</f>
        <v>39245</v>
      </c>
      <c r="B183" s="86">
        <v>9</v>
      </c>
      <c r="C183" s="68">
        <v>485</v>
      </c>
      <c r="D183" s="68">
        <v>452</v>
      </c>
      <c r="E183" s="68">
        <v>448</v>
      </c>
      <c r="F183" s="68">
        <v>463.75</v>
      </c>
      <c r="G183" s="68">
        <v>470</v>
      </c>
      <c r="H183" s="68">
        <v>470</v>
      </c>
      <c r="I183" s="68">
        <v>475</v>
      </c>
      <c r="J183" s="68">
        <v>636.76855895196502</v>
      </c>
    </row>
    <row r="184" spans="1:10" x14ac:dyDescent="0.3">
      <c r="A184" s="69">
        <v>39252</v>
      </c>
      <c r="B184" s="86">
        <v>9</v>
      </c>
      <c r="C184" s="88">
        <v>485</v>
      </c>
      <c r="D184" s="88">
        <v>453</v>
      </c>
      <c r="E184" s="88">
        <v>450</v>
      </c>
      <c r="F184" s="88">
        <v>480</v>
      </c>
      <c r="G184" s="88">
        <v>483</v>
      </c>
      <c r="H184" s="88">
        <v>483</v>
      </c>
      <c r="I184" s="88">
        <v>485</v>
      </c>
      <c r="J184" s="88">
        <v>665</v>
      </c>
    </row>
    <row r="185" spans="1:10" x14ac:dyDescent="0.3">
      <c r="A185" s="69">
        <v>39259</v>
      </c>
      <c r="B185" s="63">
        <v>9</v>
      </c>
      <c r="C185" s="88">
        <v>500</v>
      </c>
      <c r="D185" s="68">
        <v>464</v>
      </c>
      <c r="E185" s="68">
        <v>458</v>
      </c>
      <c r="F185" s="68">
        <v>480</v>
      </c>
      <c r="G185" s="68">
        <v>483.75</v>
      </c>
      <c r="H185" s="68">
        <v>482.5</v>
      </c>
      <c r="I185" s="68">
        <v>493.75</v>
      </c>
      <c r="J185" s="68">
        <v>677.01965065502191</v>
      </c>
    </row>
    <row r="186" spans="1:10" x14ac:dyDescent="0.3">
      <c r="A186" s="69">
        <v>39266</v>
      </c>
      <c r="B186" s="63">
        <v>10</v>
      </c>
      <c r="C186" s="88">
        <v>550</v>
      </c>
      <c r="D186" s="88">
        <v>532</v>
      </c>
      <c r="E186" s="88">
        <v>532</v>
      </c>
      <c r="F186" s="88">
        <v>498</v>
      </c>
      <c r="G186" s="88">
        <v>534</v>
      </c>
      <c r="H186" s="88">
        <v>534</v>
      </c>
      <c r="I186" s="88">
        <v>505</v>
      </c>
      <c r="J186" s="88">
        <v>600</v>
      </c>
    </row>
    <row r="187" spans="1:10" x14ac:dyDescent="0.3">
      <c r="A187" s="69">
        <v>39273</v>
      </c>
      <c r="B187" s="63">
        <v>10</v>
      </c>
      <c r="C187" s="88">
        <v>570</v>
      </c>
      <c r="D187" s="88">
        <v>543</v>
      </c>
      <c r="E187" s="88">
        <v>542</v>
      </c>
      <c r="F187" s="88">
        <v>521</v>
      </c>
      <c r="G187" s="88">
        <v>536</v>
      </c>
      <c r="H187" s="88">
        <v>536</v>
      </c>
      <c r="I187" s="88">
        <v>525</v>
      </c>
      <c r="J187" s="88">
        <v>690</v>
      </c>
    </row>
    <row r="188" spans="1:10" x14ac:dyDescent="0.3">
      <c r="A188" s="69">
        <v>39280</v>
      </c>
      <c r="B188" s="63">
        <v>10</v>
      </c>
      <c r="C188" s="88">
        <v>629</v>
      </c>
      <c r="D188" s="88">
        <v>596</v>
      </c>
      <c r="E188" s="88">
        <v>590</v>
      </c>
      <c r="F188" s="88">
        <v>560</v>
      </c>
      <c r="G188" s="88">
        <v>590</v>
      </c>
      <c r="H188" s="88">
        <v>590</v>
      </c>
      <c r="I188" s="88">
        <v>556</v>
      </c>
      <c r="J188" s="88">
        <v>741</v>
      </c>
    </row>
    <row r="189" spans="1:10" x14ac:dyDescent="0.3">
      <c r="A189" s="69">
        <v>39287</v>
      </c>
      <c r="B189" s="63">
        <v>10</v>
      </c>
      <c r="C189" s="88">
        <v>624</v>
      </c>
      <c r="D189" s="88">
        <v>598</v>
      </c>
      <c r="E189" s="88">
        <v>599</v>
      </c>
      <c r="F189" s="88">
        <v>575</v>
      </c>
      <c r="G189" s="88">
        <v>599</v>
      </c>
      <c r="H189" s="88">
        <v>599</v>
      </c>
      <c r="I189" s="88">
        <v>564</v>
      </c>
      <c r="J189" s="88">
        <v>668</v>
      </c>
    </row>
    <row r="190" spans="1:10" x14ac:dyDescent="0.3">
      <c r="A190" s="69">
        <v>39294</v>
      </c>
      <c r="B190" s="63">
        <v>10</v>
      </c>
      <c r="C190" s="88">
        <v>610</v>
      </c>
      <c r="D190" s="88">
        <v>592</v>
      </c>
      <c r="E190" s="88">
        <v>588</v>
      </c>
      <c r="F190" s="88">
        <v>562</v>
      </c>
      <c r="G190" s="88">
        <v>592</v>
      </c>
      <c r="H190" s="88">
        <v>592</v>
      </c>
      <c r="I190" s="88">
        <v>550</v>
      </c>
      <c r="J190" s="88">
        <v>724</v>
      </c>
    </row>
    <row r="191" spans="1:10" x14ac:dyDescent="0.3">
      <c r="A191" s="69">
        <v>39301</v>
      </c>
      <c r="B191" s="63">
        <v>11</v>
      </c>
      <c r="C191" s="88">
        <v>565</v>
      </c>
      <c r="D191" s="88">
        <v>476</v>
      </c>
      <c r="E191" s="88">
        <v>468</v>
      </c>
      <c r="F191" s="88">
        <v>436</v>
      </c>
      <c r="G191" s="88">
        <v>445</v>
      </c>
      <c r="H191" s="88">
        <v>445</v>
      </c>
      <c r="I191" s="88">
        <v>423</v>
      </c>
      <c r="J191" s="88">
        <v>575</v>
      </c>
    </row>
    <row r="192" spans="1:10" x14ac:dyDescent="0.3">
      <c r="A192" s="69">
        <v>39308</v>
      </c>
      <c r="B192" s="63">
        <v>11</v>
      </c>
      <c r="C192" s="68">
        <v>561.25</v>
      </c>
      <c r="D192" s="68">
        <v>492</v>
      </c>
      <c r="E192" s="68">
        <v>479</v>
      </c>
      <c r="F192" s="68">
        <v>462.5</v>
      </c>
      <c r="G192" s="68">
        <v>473.75</v>
      </c>
      <c r="H192" s="68">
        <v>473.75</v>
      </c>
      <c r="I192" s="68">
        <v>433.75</v>
      </c>
      <c r="J192" s="68">
        <v>577.99126637554582</v>
      </c>
    </row>
    <row r="193" spans="1:10" x14ac:dyDescent="0.3">
      <c r="A193" s="69">
        <f t="shared" ref="A193:A198" si="1">7+A192</f>
        <v>39315</v>
      </c>
      <c r="B193" s="63">
        <v>11</v>
      </c>
      <c r="C193" s="88">
        <v>555</v>
      </c>
      <c r="D193" s="88">
        <v>492</v>
      </c>
      <c r="E193" s="88">
        <v>484</v>
      </c>
      <c r="F193" s="88">
        <v>480</v>
      </c>
      <c r="G193" s="88">
        <v>480</v>
      </c>
      <c r="H193" s="88">
        <v>480</v>
      </c>
      <c r="I193" s="88">
        <v>465</v>
      </c>
      <c r="J193" s="88">
        <v>612</v>
      </c>
    </row>
    <row r="194" spans="1:10" x14ac:dyDescent="0.3">
      <c r="A194" s="69">
        <f t="shared" si="1"/>
        <v>39322</v>
      </c>
      <c r="B194" s="63">
        <v>11</v>
      </c>
      <c r="C194" s="88">
        <v>589</v>
      </c>
      <c r="D194" s="88">
        <v>522</v>
      </c>
      <c r="E194" s="88">
        <v>503</v>
      </c>
      <c r="F194" s="88">
        <v>478</v>
      </c>
      <c r="G194" s="88">
        <v>501</v>
      </c>
      <c r="H194" s="88">
        <v>501</v>
      </c>
      <c r="I194" s="88">
        <v>463</v>
      </c>
      <c r="J194" s="88">
        <v>606</v>
      </c>
    </row>
    <row r="195" spans="1:10" x14ac:dyDescent="0.3">
      <c r="A195" s="69">
        <f t="shared" si="1"/>
        <v>39329</v>
      </c>
      <c r="B195" s="63">
        <v>12</v>
      </c>
      <c r="E195" s="88">
        <v>465</v>
      </c>
      <c r="F195" s="88">
        <v>378</v>
      </c>
      <c r="G195" s="88">
        <v>393</v>
      </c>
      <c r="H195" s="88">
        <v>393</v>
      </c>
      <c r="I195" s="88">
        <v>360</v>
      </c>
      <c r="J195" s="88">
        <v>442</v>
      </c>
    </row>
    <row r="196" spans="1:10" x14ac:dyDescent="0.3">
      <c r="A196" s="69">
        <f t="shared" si="1"/>
        <v>39336</v>
      </c>
      <c r="B196" s="63">
        <v>12</v>
      </c>
      <c r="E196" s="88">
        <v>474</v>
      </c>
      <c r="F196" s="88">
        <v>387</v>
      </c>
      <c r="G196" s="88">
        <v>397</v>
      </c>
      <c r="H196" s="88">
        <v>397</v>
      </c>
      <c r="I196" s="88">
        <v>353</v>
      </c>
      <c r="J196" s="88">
        <v>484</v>
      </c>
    </row>
    <row r="197" spans="1:10" x14ac:dyDescent="0.3">
      <c r="A197" s="69">
        <f t="shared" si="1"/>
        <v>39343</v>
      </c>
      <c r="B197" s="63">
        <v>12</v>
      </c>
      <c r="E197" s="88">
        <v>473</v>
      </c>
      <c r="F197" s="88">
        <v>368</v>
      </c>
      <c r="G197" s="88">
        <v>389</v>
      </c>
      <c r="H197" s="88">
        <v>389</v>
      </c>
      <c r="I197" s="88">
        <v>348</v>
      </c>
      <c r="J197" s="88">
        <v>473</v>
      </c>
    </row>
    <row r="198" spans="1:10" x14ac:dyDescent="0.3">
      <c r="A198" s="69">
        <f t="shared" si="1"/>
        <v>39350</v>
      </c>
      <c r="B198" s="63">
        <v>12</v>
      </c>
      <c r="E198" s="68">
        <v>464</v>
      </c>
      <c r="F198" s="68">
        <v>367</v>
      </c>
      <c r="G198" s="68">
        <v>388</v>
      </c>
      <c r="H198" s="68">
        <v>388</v>
      </c>
      <c r="I198" s="68">
        <v>328</v>
      </c>
      <c r="J198" s="68">
        <v>432</v>
      </c>
    </row>
    <row r="199" spans="1:10" x14ac:dyDescent="0.3">
      <c r="A199" s="69">
        <f>7+A198</f>
        <v>39357</v>
      </c>
      <c r="B199" s="63">
        <v>12</v>
      </c>
      <c r="E199" s="68">
        <v>460</v>
      </c>
      <c r="F199" s="68">
        <v>368</v>
      </c>
      <c r="G199" s="68">
        <v>385</v>
      </c>
      <c r="H199" s="68">
        <v>385</v>
      </c>
      <c r="I199" s="68">
        <v>344</v>
      </c>
      <c r="J199" s="68">
        <v>448</v>
      </c>
    </row>
    <row r="200" spans="1:10" x14ac:dyDescent="0.3">
      <c r="A200" s="69">
        <v>39364</v>
      </c>
      <c r="B200" s="63">
        <v>1</v>
      </c>
      <c r="C200" s="68"/>
      <c r="D200" s="68"/>
      <c r="E200" s="68">
        <v>476</v>
      </c>
      <c r="F200" s="68">
        <v>352</v>
      </c>
      <c r="G200" s="68">
        <v>381</v>
      </c>
      <c r="H200" s="68">
        <v>381</v>
      </c>
      <c r="I200" s="68">
        <v>326</v>
      </c>
      <c r="J200" s="68">
        <v>459.34497816593893</v>
      </c>
    </row>
    <row r="201" spans="1:10" x14ac:dyDescent="0.3">
      <c r="A201" s="69">
        <f t="shared" ref="A201:A206" si="2">7+A200</f>
        <v>39371</v>
      </c>
      <c r="B201" s="63">
        <v>1</v>
      </c>
      <c r="E201" s="68">
        <v>471</v>
      </c>
      <c r="F201" s="68">
        <v>358</v>
      </c>
      <c r="G201" s="68">
        <v>382</v>
      </c>
      <c r="H201" s="68">
        <v>382</v>
      </c>
      <c r="I201" s="68">
        <v>309</v>
      </c>
      <c r="J201" s="68">
        <v>414</v>
      </c>
    </row>
    <row r="202" spans="1:10" x14ac:dyDescent="0.3">
      <c r="A202" s="69">
        <f t="shared" si="2"/>
        <v>39378</v>
      </c>
      <c r="B202" s="63">
        <v>1</v>
      </c>
      <c r="E202" s="68">
        <v>460</v>
      </c>
      <c r="F202" s="68">
        <v>343</v>
      </c>
      <c r="G202" s="68">
        <v>371</v>
      </c>
      <c r="H202" s="68">
        <v>371</v>
      </c>
      <c r="I202" s="68">
        <v>320</v>
      </c>
      <c r="J202" s="68">
        <v>401.26637554585153</v>
      </c>
    </row>
    <row r="203" spans="1:10" x14ac:dyDescent="0.3">
      <c r="A203" s="69">
        <f t="shared" si="2"/>
        <v>39385</v>
      </c>
      <c r="B203" s="63">
        <v>1</v>
      </c>
      <c r="E203" s="68">
        <v>454</v>
      </c>
      <c r="F203" s="68">
        <v>326</v>
      </c>
      <c r="G203" s="68">
        <v>358</v>
      </c>
      <c r="H203" s="68">
        <v>358</v>
      </c>
      <c r="I203" s="68">
        <v>309</v>
      </c>
      <c r="J203" s="68">
        <v>427</v>
      </c>
    </row>
    <row r="204" spans="1:10" x14ac:dyDescent="0.3">
      <c r="A204" s="69">
        <f t="shared" si="2"/>
        <v>39392</v>
      </c>
      <c r="B204" s="63">
        <v>2</v>
      </c>
      <c r="E204" s="68">
        <v>403.33333333333331</v>
      </c>
      <c r="F204" s="68">
        <v>315</v>
      </c>
      <c r="G204" s="68">
        <v>345</v>
      </c>
      <c r="H204" s="68">
        <v>345</v>
      </c>
      <c r="I204" s="68">
        <v>280</v>
      </c>
      <c r="J204" s="68">
        <v>383.93013100436679</v>
      </c>
    </row>
    <row r="205" spans="1:10" x14ac:dyDescent="0.3">
      <c r="A205" s="69">
        <f t="shared" si="2"/>
        <v>39399</v>
      </c>
      <c r="B205" s="63">
        <v>2</v>
      </c>
      <c r="E205" s="68">
        <v>427</v>
      </c>
      <c r="F205" s="68">
        <v>343</v>
      </c>
      <c r="G205" s="68">
        <v>373</v>
      </c>
      <c r="H205" s="68">
        <v>373</v>
      </c>
      <c r="I205" s="68">
        <v>306</v>
      </c>
      <c r="J205" s="68">
        <v>398</v>
      </c>
    </row>
    <row r="206" spans="1:10" x14ac:dyDescent="0.3">
      <c r="A206" s="69">
        <f t="shared" si="2"/>
        <v>39406</v>
      </c>
      <c r="B206" s="63">
        <v>2</v>
      </c>
      <c r="E206" s="68">
        <v>415</v>
      </c>
      <c r="F206" s="68">
        <v>341.25</v>
      </c>
      <c r="G206" s="68">
        <v>368.75</v>
      </c>
      <c r="H206" s="68">
        <v>368.75</v>
      </c>
      <c r="I206" s="68">
        <v>308.75</v>
      </c>
      <c r="J206" s="68">
        <v>408.01310043668121</v>
      </c>
    </row>
    <row r="207" spans="1:10" x14ac:dyDescent="0.3">
      <c r="A207" s="69">
        <f t="shared" ref="A207:A214" si="3">7+A206</f>
        <v>39413</v>
      </c>
      <c r="B207" s="63">
        <v>2</v>
      </c>
      <c r="E207" s="68">
        <v>407.5</v>
      </c>
      <c r="F207" s="68">
        <v>321.25</v>
      </c>
      <c r="G207" s="68">
        <v>368.75</v>
      </c>
      <c r="H207" s="68">
        <v>368.75</v>
      </c>
      <c r="I207" s="68">
        <v>290</v>
      </c>
      <c r="J207" s="68">
        <v>382.30349344978168</v>
      </c>
    </row>
    <row r="208" spans="1:10" x14ac:dyDescent="0.3">
      <c r="A208" s="69">
        <f t="shared" si="3"/>
        <v>39420</v>
      </c>
      <c r="B208" s="63">
        <v>2</v>
      </c>
      <c r="E208" s="68">
        <v>367.5</v>
      </c>
      <c r="F208" s="68">
        <v>327.5</v>
      </c>
      <c r="G208" s="68">
        <v>357.5</v>
      </c>
      <c r="H208" s="68">
        <v>357.5</v>
      </c>
      <c r="I208" s="68">
        <v>287.5</v>
      </c>
      <c r="J208" s="68">
        <v>379.47598253275106</v>
      </c>
    </row>
    <row r="209" spans="1:10" x14ac:dyDescent="0.3">
      <c r="A209" s="69">
        <f t="shared" si="3"/>
        <v>39427</v>
      </c>
      <c r="B209" s="63">
        <v>2</v>
      </c>
      <c r="E209" s="68">
        <v>377</v>
      </c>
      <c r="F209" s="68">
        <v>331.25</v>
      </c>
      <c r="G209" s="68">
        <v>356.25</v>
      </c>
      <c r="H209" s="68">
        <v>356.25</v>
      </c>
      <c r="I209" s="68">
        <v>305</v>
      </c>
      <c r="J209" s="68">
        <v>380.58951965065501</v>
      </c>
    </row>
    <row r="210" spans="1:10" x14ac:dyDescent="0.3">
      <c r="A210" s="69">
        <f t="shared" si="3"/>
        <v>39434</v>
      </c>
      <c r="B210" s="63">
        <v>2</v>
      </c>
      <c r="D210" s="63">
        <v>382</v>
      </c>
      <c r="E210" s="68">
        <v>367</v>
      </c>
      <c r="F210" s="68">
        <v>307</v>
      </c>
      <c r="G210" s="68">
        <v>343</v>
      </c>
      <c r="H210" s="68">
        <v>343</v>
      </c>
      <c r="I210" s="68">
        <v>262</v>
      </c>
      <c r="J210" s="68">
        <v>359</v>
      </c>
    </row>
    <row r="211" spans="1:10" x14ac:dyDescent="0.3">
      <c r="A211" s="69">
        <f t="shared" si="3"/>
        <v>39441</v>
      </c>
      <c r="B211" s="63">
        <v>2</v>
      </c>
      <c r="D211" s="63">
        <v>383</v>
      </c>
      <c r="E211" s="68">
        <v>368</v>
      </c>
      <c r="F211" s="68">
        <v>295</v>
      </c>
      <c r="G211" s="68">
        <v>342</v>
      </c>
      <c r="H211" s="68">
        <v>342</v>
      </c>
      <c r="I211" s="68">
        <v>265</v>
      </c>
      <c r="J211" s="68">
        <v>363</v>
      </c>
    </row>
    <row r="212" spans="1:10" x14ac:dyDescent="0.3">
      <c r="A212" s="69">
        <f t="shared" si="3"/>
        <v>39448</v>
      </c>
      <c r="B212" s="63">
        <v>3</v>
      </c>
      <c r="C212" s="68">
        <v>395</v>
      </c>
      <c r="D212" s="68">
        <v>361.66666666666669</v>
      </c>
      <c r="E212" s="68">
        <v>356.66666666666669</v>
      </c>
      <c r="F212" s="68">
        <v>291.66666666666669</v>
      </c>
      <c r="G212" s="68">
        <v>326.66666666666669</v>
      </c>
      <c r="H212" s="68">
        <v>326.66666666666669</v>
      </c>
      <c r="I212" s="68">
        <v>251.66666666666666</v>
      </c>
      <c r="J212" s="68">
        <v>345.080058224163</v>
      </c>
    </row>
    <row r="213" spans="1:10" x14ac:dyDescent="0.3">
      <c r="A213" s="69">
        <f t="shared" si="3"/>
        <v>39455</v>
      </c>
      <c r="B213" s="63">
        <v>3</v>
      </c>
      <c r="C213" s="63">
        <v>393</v>
      </c>
      <c r="D213" s="63">
        <v>360</v>
      </c>
      <c r="E213" s="68">
        <v>355</v>
      </c>
      <c r="F213" s="68">
        <v>285</v>
      </c>
      <c r="G213" s="68">
        <v>325</v>
      </c>
      <c r="H213" s="68">
        <v>325</v>
      </c>
      <c r="I213" s="68">
        <v>250</v>
      </c>
      <c r="J213" s="68">
        <v>345</v>
      </c>
    </row>
    <row r="214" spans="1:10" x14ac:dyDescent="0.3">
      <c r="A214" s="69">
        <f t="shared" si="3"/>
        <v>39462</v>
      </c>
      <c r="B214" s="63">
        <v>3</v>
      </c>
      <c r="C214" s="63">
        <v>403</v>
      </c>
      <c r="D214" s="63">
        <v>363</v>
      </c>
      <c r="E214" s="68">
        <v>353</v>
      </c>
      <c r="F214" s="68">
        <v>308</v>
      </c>
      <c r="G214" s="68">
        <v>335</v>
      </c>
      <c r="H214" s="68">
        <v>335</v>
      </c>
      <c r="I214" s="68">
        <v>273</v>
      </c>
      <c r="J214" s="68">
        <v>360</v>
      </c>
    </row>
    <row r="215" spans="1:10" x14ac:dyDescent="0.3">
      <c r="A215" s="69">
        <f t="shared" ref="A215:A221" si="4">7+A214</f>
        <v>39469</v>
      </c>
      <c r="B215" s="63">
        <v>3</v>
      </c>
      <c r="C215" s="63">
        <v>414</v>
      </c>
      <c r="D215" s="63">
        <v>375</v>
      </c>
      <c r="E215" s="68">
        <v>364</v>
      </c>
      <c r="F215" s="68">
        <v>331</v>
      </c>
      <c r="G215" s="68">
        <v>350</v>
      </c>
      <c r="H215" s="68">
        <v>350</v>
      </c>
      <c r="I215" s="68">
        <v>314</v>
      </c>
      <c r="J215" s="68">
        <v>419</v>
      </c>
    </row>
    <row r="216" spans="1:10" x14ac:dyDescent="0.3">
      <c r="A216" s="69">
        <f t="shared" si="4"/>
        <v>39476</v>
      </c>
      <c r="B216" s="63">
        <v>3</v>
      </c>
      <c r="C216" s="63">
        <v>400</v>
      </c>
      <c r="D216" s="63">
        <v>367</v>
      </c>
      <c r="E216" s="68">
        <v>359</v>
      </c>
      <c r="F216" s="68">
        <v>317</v>
      </c>
      <c r="G216" s="68">
        <v>330</v>
      </c>
      <c r="H216" s="68">
        <v>330</v>
      </c>
      <c r="I216" s="68">
        <v>290</v>
      </c>
      <c r="J216" s="68">
        <v>398</v>
      </c>
    </row>
    <row r="217" spans="1:10" x14ac:dyDescent="0.3">
      <c r="A217" s="69">
        <f t="shared" si="4"/>
        <v>39483</v>
      </c>
      <c r="B217" s="63">
        <v>5</v>
      </c>
      <c r="C217" s="63">
        <v>400</v>
      </c>
      <c r="D217" s="63">
        <v>368</v>
      </c>
      <c r="E217" s="68">
        <v>357</v>
      </c>
      <c r="F217" s="68">
        <v>303</v>
      </c>
      <c r="G217" s="68">
        <v>336</v>
      </c>
      <c r="H217" s="68">
        <v>336</v>
      </c>
      <c r="I217" s="68">
        <v>281</v>
      </c>
      <c r="J217" s="68">
        <v>369</v>
      </c>
    </row>
    <row r="218" spans="1:10" x14ac:dyDescent="0.3">
      <c r="A218" s="69">
        <f t="shared" si="4"/>
        <v>39490</v>
      </c>
      <c r="B218" s="63">
        <v>5</v>
      </c>
      <c r="C218" s="63">
        <v>398</v>
      </c>
      <c r="D218" s="63">
        <v>370</v>
      </c>
      <c r="E218" s="68">
        <v>358</v>
      </c>
      <c r="F218" s="68">
        <v>318</v>
      </c>
      <c r="G218" s="68">
        <v>332</v>
      </c>
      <c r="H218" s="68">
        <v>332</v>
      </c>
      <c r="I218" s="68">
        <v>288</v>
      </c>
      <c r="J218" s="68">
        <v>397</v>
      </c>
    </row>
    <row r="219" spans="1:10" x14ac:dyDescent="0.3">
      <c r="A219" s="69">
        <f t="shared" si="4"/>
        <v>39497</v>
      </c>
      <c r="B219" s="63">
        <v>5</v>
      </c>
      <c r="C219" s="63">
        <v>406</v>
      </c>
      <c r="D219" s="63">
        <v>374</v>
      </c>
      <c r="E219" s="68">
        <v>363</v>
      </c>
      <c r="F219" s="68">
        <v>322</v>
      </c>
      <c r="G219" s="68">
        <v>344</v>
      </c>
      <c r="H219" s="68">
        <v>345</v>
      </c>
      <c r="I219" s="68">
        <v>300</v>
      </c>
      <c r="J219" s="68">
        <v>394</v>
      </c>
    </row>
    <row r="220" spans="1:10" x14ac:dyDescent="0.3">
      <c r="A220" s="69">
        <f t="shared" si="4"/>
        <v>39504</v>
      </c>
      <c r="B220" s="63">
        <v>5</v>
      </c>
      <c r="C220" s="63">
        <v>418</v>
      </c>
      <c r="D220" s="63">
        <v>398</v>
      </c>
      <c r="E220" s="68">
        <v>385</v>
      </c>
      <c r="F220" s="68">
        <v>335</v>
      </c>
      <c r="G220" s="68">
        <v>352</v>
      </c>
      <c r="H220" s="68">
        <v>352</v>
      </c>
      <c r="I220" s="68">
        <v>317</v>
      </c>
      <c r="J220" s="68">
        <v>434</v>
      </c>
    </row>
    <row r="221" spans="1:10" x14ac:dyDescent="0.3">
      <c r="A221" s="69">
        <f t="shared" si="4"/>
        <v>39511</v>
      </c>
      <c r="B221" s="63">
        <v>6</v>
      </c>
      <c r="C221" s="68">
        <v>415</v>
      </c>
      <c r="D221" s="68">
        <v>392.5</v>
      </c>
      <c r="E221" s="68">
        <v>385</v>
      </c>
      <c r="F221" s="68">
        <v>350</v>
      </c>
      <c r="G221" s="68">
        <v>362.5</v>
      </c>
      <c r="H221" s="68">
        <v>362.5</v>
      </c>
      <c r="I221" s="68">
        <v>318.75</v>
      </c>
      <c r="J221" s="68">
        <v>437.06331877729258</v>
      </c>
    </row>
    <row r="222" spans="1:10" x14ac:dyDescent="0.3">
      <c r="A222" s="69">
        <f t="shared" ref="A222:A228" si="5">7+A221</f>
        <v>39518</v>
      </c>
      <c r="B222" s="63">
        <v>6</v>
      </c>
      <c r="C222" s="63">
        <v>437</v>
      </c>
      <c r="D222" s="63">
        <v>417</v>
      </c>
      <c r="E222" s="68">
        <v>414</v>
      </c>
      <c r="F222" s="68">
        <v>347</v>
      </c>
      <c r="G222" s="68">
        <v>385</v>
      </c>
      <c r="H222" s="68">
        <v>385</v>
      </c>
      <c r="I222" s="68">
        <v>328</v>
      </c>
      <c r="J222" s="68">
        <v>450</v>
      </c>
    </row>
    <row r="223" spans="1:10" x14ac:dyDescent="0.3">
      <c r="A223" s="69">
        <f t="shared" si="5"/>
        <v>39525</v>
      </c>
      <c r="B223" s="63">
        <v>6</v>
      </c>
      <c r="C223" s="68">
        <v>448</v>
      </c>
      <c r="D223" s="68">
        <v>416.66666666666669</v>
      </c>
      <c r="E223" s="68">
        <v>408.33333333333331</v>
      </c>
      <c r="F223" s="68">
        <v>353</v>
      </c>
      <c r="G223" s="68">
        <v>379</v>
      </c>
      <c r="H223" s="68">
        <v>380</v>
      </c>
      <c r="I223" s="68">
        <v>342</v>
      </c>
      <c r="J223" s="68">
        <v>457.9606986899563</v>
      </c>
    </row>
    <row r="224" spans="1:10" x14ac:dyDescent="0.3">
      <c r="A224" s="69">
        <f t="shared" si="5"/>
        <v>39532</v>
      </c>
      <c r="B224" s="63">
        <v>6</v>
      </c>
      <c r="C224" s="63">
        <v>453</v>
      </c>
      <c r="D224" s="63">
        <v>420</v>
      </c>
      <c r="E224" s="68">
        <v>412</v>
      </c>
      <c r="F224" s="68">
        <v>339</v>
      </c>
      <c r="G224" s="68">
        <v>376</v>
      </c>
      <c r="H224" s="68">
        <v>376</v>
      </c>
      <c r="I224" s="68">
        <v>324</v>
      </c>
      <c r="J224" s="68">
        <v>444</v>
      </c>
    </row>
    <row r="225" spans="1:10" x14ac:dyDescent="0.3">
      <c r="A225" s="69">
        <f t="shared" si="5"/>
        <v>39539</v>
      </c>
      <c r="B225" s="86">
        <v>7</v>
      </c>
      <c r="C225" s="63">
        <v>466</v>
      </c>
      <c r="D225" s="63">
        <v>426</v>
      </c>
      <c r="E225" s="68">
        <v>424</v>
      </c>
      <c r="F225" s="68">
        <v>360</v>
      </c>
      <c r="G225" s="68">
        <v>401</v>
      </c>
      <c r="H225" s="68">
        <v>401</v>
      </c>
      <c r="I225" s="68">
        <v>345</v>
      </c>
      <c r="J225" s="68">
        <v>473</v>
      </c>
    </row>
    <row r="226" spans="1:10" x14ac:dyDescent="0.3">
      <c r="A226" s="69">
        <f t="shared" si="5"/>
        <v>39546</v>
      </c>
      <c r="B226" s="86">
        <v>7</v>
      </c>
      <c r="C226" s="68">
        <v>457.5</v>
      </c>
      <c r="D226" s="68">
        <v>410</v>
      </c>
      <c r="E226" s="68">
        <v>406.25</v>
      </c>
      <c r="F226" s="68">
        <v>343.75</v>
      </c>
      <c r="G226" s="68">
        <v>383.75</v>
      </c>
      <c r="H226" s="68">
        <v>385</v>
      </c>
      <c r="I226" s="68">
        <v>330</v>
      </c>
      <c r="J226" s="68">
        <v>452.48908296943227</v>
      </c>
    </row>
    <row r="227" spans="1:10" x14ac:dyDescent="0.3">
      <c r="A227" s="69">
        <f t="shared" si="5"/>
        <v>39553</v>
      </c>
      <c r="B227" s="86">
        <v>7</v>
      </c>
      <c r="C227" s="68">
        <v>458.33333333333331</v>
      </c>
      <c r="D227" s="68">
        <v>431.25</v>
      </c>
      <c r="E227" s="68">
        <v>415</v>
      </c>
      <c r="F227" s="68">
        <v>373.33333333333331</v>
      </c>
      <c r="G227" s="68">
        <v>405</v>
      </c>
      <c r="H227" s="68">
        <v>405</v>
      </c>
      <c r="I227" s="68">
        <v>368.33333333333331</v>
      </c>
      <c r="J227" s="68">
        <v>505.05094614264925</v>
      </c>
    </row>
    <row r="228" spans="1:10" x14ac:dyDescent="0.3">
      <c r="A228" s="69">
        <f t="shared" si="5"/>
        <v>39560</v>
      </c>
      <c r="B228" s="63">
        <v>7</v>
      </c>
      <c r="C228" s="63">
        <v>485</v>
      </c>
      <c r="D228" s="63">
        <v>441</v>
      </c>
      <c r="E228" s="68">
        <v>430</v>
      </c>
      <c r="F228" s="68">
        <v>357</v>
      </c>
      <c r="G228" s="68">
        <v>387</v>
      </c>
      <c r="H228" s="68">
        <v>387</v>
      </c>
      <c r="I228" s="68">
        <v>343</v>
      </c>
      <c r="J228" s="68">
        <v>471</v>
      </c>
    </row>
    <row r="229" spans="1:10" x14ac:dyDescent="0.3">
      <c r="A229" s="69">
        <f t="shared" ref="A229:A234" si="6">7+A228</f>
        <v>39567</v>
      </c>
      <c r="B229" s="63">
        <v>7</v>
      </c>
      <c r="C229" s="63">
        <v>483</v>
      </c>
      <c r="D229" s="63">
        <v>439</v>
      </c>
      <c r="E229" s="68">
        <v>429</v>
      </c>
      <c r="F229" s="68">
        <v>368</v>
      </c>
      <c r="G229" s="68">
        <v>380</v>
      </c>
      <c r="H229" s="68">
        <v>380</v>
      </c>
      <c r="I229" s="68">
        <v>340</v>
      </c>
      <c r="J229" s="68">
        <v>466</v>
      </c>
    </row>
    <row r="230" spans="1:10" x14ac:dyDescent="0.3">
      <c r="A230" s="69">
        <f t="shared" si="6"/>
        <v>39574</v>
      </c>
      <c r="B230" s="63">
        <v>8</v>
      </c>
      <c r="C230" s="63">
        <v>508</v>
      </c>
      <c r="D230" s="63">
        <v>462</v>
      </c>
      <c r="E230" s="68">
        <v>456</v>
      </c>
      <c r="F230" s="68">
        <v>449</v>
      </c>
      <c r="G230" s="68">
        <v>463</v>
      </c>
      <c r="H230" s="68">
        <v>459</v>
      </c>
      <c r="I230" s="68">
        <v>443</v>
      </c>
      <c r="J230" s="68">
        <v>594</v>
      </c>
    </row>
    <row r="231" spans="1:10" x14ac:dyDescent="0.3">
      <c r="A231" s="69">
        <f t="shared" si="6"/>
        <v>39581</v>
      </c>
      <c r="B231" s="63">
        <v>8</v>
      </c>
      <c r="C231" s="63">
        <v>490</v>
      </c>
      <c r="D231" s="63">
        <v>463</v>
      </c>
      <c r="E231" s="68">
        <v>462</v>
      </c>
      <c r="F231" s="68">
        <v>447</v>
      </c>
      <c r="G231" s="68">
        <v>447</v>
      </c>
      <c r="H231" s="68">
        <v>447</v>
      </c>
      <c r="I231" s="68">
        <v>442</v>
      </c>
      <c r="J231" s="68">
        <v>606</v>
      </c>
    </row>
    <row r="232" spans="1:10" x14ac:dyDescent="0.3">
      <c r="A232" s="69">
        <f t="shared" si="6"/>
        <v>39588</v>
      </c>
      <c r="B232" s="63">
        <v>8</v>
      </c>
      <c r="C232" s="63">
        <v>513</v>
      </c>
      <c r="D232" s="63">
        <v>468</v>
      </c>
      <c r="E232" s="68">
        <v>464</v>
      </c>
      <c r="F232" s="68">
        <v>465</v>
      </c>
      <c r="G232" s="68">
        <v>468</v>
      </c>
      <c r="H232" s="68">
        <v>468</v>
      </c>
      <c r="I232" s="68">
        <v>472</v>
      </c>
      <c r="J232" s="68">
        <v>618</v>
      </c>
    </row>
    <row r="233" spans="1:10" x14ac:dyDescent="0.3">
      <c r="A233" s="69">
        <f t="shared" si="6"/>
        <v>39595</v>
      </c>
      <c r="B233" s="63">
        <v>8</v>
      </c>
      <c r="C233" s="63">
        <v>541</v>
      </c>
      <c r="D233" s="63">
        <v>504</v>
      </c>
      <c r="E233" s="68">
        <v>494</v>
      </c>
      <c r="F233" s="68">
        <v>495</v>
      </c>
      <c r="G233" s="68">
        <v>503</v>
      </c>
      <c r="H233" s="68">
        <v>503</v>
      </c>
      <c r="I233" s="68">
        <v>484</v>
      </c>
      <c r="J233" s="68">
        <v>642</v>
      </c>
    </row>
    <row r="234" spans="1:10" x14ac:dyDescent="0.3">
      <c r="A234" s="69">
        <f t="shared" si="6"/>
        <v>39602</v>
      </c>
      <c r="B234" s="63">
        <v>9</v>
      </c>
      <c r="C234" s="63">
        <v>653</v>
      </c>
      <c r="D234" s="63">
        <v>623</v>
      </c>
      <c r="E234" s="68">
        <v>623</v>
      </c>
      <c r="F234" s="68">
        <v>578</v>
      </c>
      <c r="G234" s="68">
        <v>622</v>
      </c>
      <c r="H234" s="68">
        <v>622</v>
      </c>
      <c r="I234" s="68">
        <v>600</v>
      </c>
      <c r="J234" s="68">
        <v>787</v>
      </c>
    </row>
    <row r="235" spans="1:10" x14ac:dyDescent="0.3">
      <c r="A235" s="69">
        <f t="shared" ref="A235:A240" si="7">7+A234</f>
        <v>39609</v>
      </c>
      <c r="B235" s="63">
        <v>9</v>
      </c>
      <c r="C235" s="63">
        <v>680</v>
      </c>
      <c r="D235" s="63">
        <v>675</v>
      </c>
      <c r="E235" s="68">
        <v>673</v>
      </c>
      <c r="F235" s="68">
        <v>659</v>
      </c>
      <c r="G235" s="68">
        <v>708</v>
      </c>
      <c r="H235" s="68">
        <v>708</v>
      </c>
      <c r="I235" s="68">
        <v>677</v>
      </c>
      <c r="J235" s="68">
        <v>875</v>
      </c>
    </row>
    <row r="236" spans="1:10" x14ac:dyDescent="0.3">
      <c r="A236" s="69">
        <f t="shared" si="7"/>
        <v>39616</v>
      </c>
      <c r="B236" s="63">
        <v>9</v>
      </c>
      <c r="C236" s="63">
        <v>693</v>
      </c>
      <c r="D236" s="63">
        <v>691</v>
      </c>
      <c r="E236" s="68">
        <v>704</v>
      </c>
      <c r="F236" s="68">
        <v>687</v>
      </c>
      <c r="G236" s="68">
        <v>710</v>
      </c>
      <c r="H236" s="68">
        <v>710</v>
      </c>
      <c r="I236" s="68">
        <v>685</v>
      </c>
      <c r="J236" s="68">
        <v>661</v>
      </c>
    </row>
    <row r="237" spans="1:10" x14ac:dyDescent="0.3">
      <c r="A237" s="69">
        <f t="shared" si="7"/>
        <v>39623</v>
      </c>
      <c r="B237" s="63">
        <v>9</v>
      </c>
      <c r="C237" s="63">
        <v>662</v>
      </c>
      <c r="D237" s="63">
        <v>637</v>
      </c>
      <c r="E237" s="68">
        <v>642</v>
      </c>
      <c r="F237" s="68">
        <v>633</v>
      </c>
      <c r="G237" s="68">
        <v>650</v>
      </c>
      <c r="H237" s="68">
        <v>650</v>
      </c>
      <c r="I237" s="68">
        <v>608</v>
      </c>
      <c r="J237" s="68">
        <v>787</v>
      </c>
    </row>
    <row r="238" spans="1:10" x14ac:dyDescent="0.3">
      <c r="A238" s="69">
        <f t="shared" si="7"/>
        <v>39630</v>
      </c>
      <c r="B238" s="63">
        <v>10</v>
      </c>
      <c r="C238" s="63">
        <v>685</v>
      </c>
      <c r="D238" s="63">
        <v>676</v>
      </c>
      <c r="E238" s="68">
        <v>644</v>
      </c>
      <c r="F238" s="68">
        <v>650</v>
      </c>
      <c r="G238" s="68">
        <v>675</v>
      </c>
      <c r="H238" s="68">
        <v>675</v>
      </c>
      <c r="I238" s="68">
        <v>650</v>
      </c>
      <c r="J238" s="68">
        <v>891</v>
      </c>
    </row>
    <row r="239" spans="1:10" x14ac:dyDescent="0.3">
      <c r="A239" s="69">
        <f t="shared" si="7"/>
        <v>39637</v>
      </c>
      <c r="B239" s="63">
        <v>10</v>
      </c>
      <c r="C239" s="63">
        <v>682</v>
      </c>
      <c r="D239" s="63">
        <v>660</v>
      </c>
      <c r="E239" s="68">
        <v>663</v>
      </c>
      <c r="F239" s="68">
        <v>638</v>
      </c>
      <c r="G239" s="68">
        <v>641</v>
      </c>
      <c r="H239" s="68">
        <v>641</v>
      </c>
      <c r="I239" s="68">
        <v>619</v>
      </c>
      <c r="J239" s="68">
        <v>848</v>
      </c>
    </row>
    <row r="240" spans="1:10" x14ac:dyDescent="0.3">
      <c r="A240" s="69">
        <f t="shared" si="7"/>
        <v>39644</v>
      </c>
      <c r="B240" s="63">
        <v>10</v>
      </c>
      <c r="C240" s="63">
        <v>678</v>
      </c>
      <c r="D240" s="63">
        <v>670</v>
      </c>
      <c r="E240" s="68">
        <v>656</v>
      </c>
      <c r="F240" s="68">
        <v>619</v>
      </c>
      <c r="G240" s="68">
        <v>668</v>
      </c>
      <c r="H240" s="68">
        <v>668</v>
      </c>
      <c r="I240" s="68">
        <v>610</v>
      </c>
      <c r="J240" s="68">
        <v>836</v>
      </c>
    </row>
    <row r="241" spans="1:10" x14ac:dyDescent="0.3">
      <c r="A241" s="69">
        <f t="shared" ref="A241:A246" si="8">7+A240</f>
        <v>39651</v>
      </c>
      <c r="B241" s="63">
        <v>10</v>
      </c>
      <c r="C241" s="63">
        <v>653</v>
      </c>
      <c r="D241" s="63">
        <v>645</v>
      </c>
      <c r="E241" s="68">
        <v>641</v>
      </c>
      <c r="F241" s="68">
        <v>581</v>
      </c>
      <c r="G241" s="68">
        <v>638</v>
      </c>
      <c r="H241" s="68">
        <v>638</v>
      </c>
      <c r="I241" s="68">
        <v>575</v>
      </c>
      <c r="J241" s="68">
        <v>779</v>
      </c>
    </row>
    <row r="242" spans="1:10" x14ac:dyDescent="0.3">
      <c r="A242" s="69">
        <f t="shared" si="8"/>
        <v>39658</v>
      </c>
      <c r="B242" s="63">
        <v>10</v>
      </c>
      <c r="C242" s="63">
        <v>675</v>
      </c>
      <c r="D242" s="63">
        <v>665</v>
      </c>
      <c r="E242" s="68">
        <v>657</v>
      </c>
      <c r="F242" s="68">
        <v>625</v>
      </c>
      <c r="G242" s="68">
        <v>663</v>
      </c>
      <c r="H242" s="68">
        <v>663</v>
      </c>
      <c r="I242" s="68">
        <v>610</v>
      </c>
      <c r="J242" s="68">
        <v>835</v>
      </c>
    </row>
    <row r="243" spans="1:10" x14ac:dyDescent="0.3">
      <c r="A243" s="69">
        <f t="shared" si="8"/>
        <v>39665</v>
      </c>
      <c r="B243" s="63">
        <v>11</v>
      </c>
      <c r="C243" s="63">
        <v>613</v>
      </c>
      <c r="D243" s="63">
        <v>567</v>
      </c>
      <c r="E243" s="68">
        <v>535</v>
      </c>
      <c r="F243" s="68">
        <v>478</v>
      </c>
      <c r="G243" s="68">
        <v>515</v>
      </c>
      <c r="H243" s="68">
        <v>515</v>
      </c>
      <c r="I243" s="68">
        <v>452</v>
      </c>
      <c r="J243" s="68">
        <v>595</v>
      </c>
    </row>
    <row r="244" spans="1:10" x14ac:dyDescent="0.3">
      <c r="A244" s="69">
        <f t="shared" si="8"/>
        <v>39672</v>
      </c>
      <c r="B244" s="63">
        <v>11</v>
      </c>
      <c r="C244" s="63">
        <v>605</v>
      </c>
      <c r="D244" s="63">
        <v>537</v>
      </c>
      <c r="E244" s="68">
        <v>527</v>
      </c>
      <c r="F244" s="68">
        <v>478</v>
      </c>
      <c r="G244" s="68">
        <v>515</v>
      </c>
      <c r="H244" s="68">
        <v>515</v>
      </c>
      <c r="I244" s="68">
        <v>458</v>
      </c>
      <c r="J244" s="68">
        <v>595</v>
      </c>
    </row>
    <row r="245" spans="1:10" x14ac:dyDescent="0.3">
      <c r="A245" s="69">
        <f t="shared" si="8"/>
        <v>39679</v>
      </c>
      <c r="B245" s="63">
        <v>11</v>
      </c>
      <c r="C245" s="63">
        <v>612</v>
      </c>
      <c r="D245" s="63">
        <v>545</v>
      </c>
      <c r="E245" s="68">
        <v>533</v>
      </c>
      <c r="F245" s="68">
        <v>512</v>
      </c>
      <c r="G245" s="68">
        <v>528</v>
      </c>
      <c r="H245" s="68">
        <v>528</v>
      </c>
      <c r="I245" s="68">
        <v>452</v>
      </c>
      <c r="J245" s="68">
        <v>619</v>
      </c>
    </row>
    <row r="246" spans="1:10" x14ac:dyDescent="0.3">
      <c r="A246" s="69">
        <f t="shared" si="8"/>
        <v>39686</v>
      </c>
      <c r="B246" s="63">
        <v>11</v>
      </c>
      <c r="C246" s="63">
        <v>613</v>
      </c>
      <c r="D246" s="63">
        <v>546</v>
      </c>
      <c r="E246" s="68">
        <v>534</v>
      </c>
      <c r="F246" s="68">
        <v>480</v>
      </c>
      <c r="G246" s="68">
        <v>545</v>
      </c>
      <c r="H246" s="68">
        <v>545</v>
      </c>
      <c r="I246" s="68">
        <v>453</v>
      </c>
      <c r="J246" s="68">
        <v>581</v>
      </c>
    </row>
    <row r="247" spans="1:10" x14ac:dyDescent="0.3">
      <c r="A247" s="69">
        <f t="shared" ref="A247:A252" si="9">7+A246</f>
        <v>39693</v>
      </c>
      <c r="B247" s="63">
        <v>12</v>
      </c>
      <c r="E247" s="68">
        <v>515</v>
      </c>
      <c r="F247" s="68">
        <v>451</v>
      </c>
      <c r="G247" s="68">
        <v>490</v>
      </c>
      <c r="H247" s="68">
        <v>490</v>
      </c>
      <c r="I247" s="68">
        <v>400</v>
      </c>
      <c r="J247" s="68">
        <v>532</v>
      </c>
    </row>
    <row r="248" spans="1:10" x14ac:dyDescent="0.3">
      <c r="A248" s="69">
        <f t="shared" si="9"/>
        <v>39700</v>
      </c>
      <c r="B248" s="63">
        <v>12</v>
      </c>
      <c r="E248" s="68">
        <v>531</v>
      </c>
      <c r="F248" s="68">
        <v>447</v>
      </c>
      <c r="G248" s="68">
        <v>482</v>
      </c>
      <c r="H248" s="68">
        <v>482</v>
      </c>
      <c r="I248" s="68">
        <v>400</v>
      </c>
      <c r="J248" s="68">
        <v>548</v>
      </c>
    </row>
    <row r="249" spans="1:10" x14ac:dyDescent="0.3">
      <c r="A249" s="69">
        <f t="shared" si="9"/>
        <v>39707</v>
      </c>
      <c r="B249" s="63">
        <v>12</v>
      </c>
      <c r="E249" s="68">
        <v>510</v>
      </c>
      <c r="F249" s="68">
        <v>423</v>
      </c>
      <c r="G249" s="68">
        <v>468</v>
      </c>
      <c r="H249" s="68">
        <v>468</v>
      </c>
      <c r="I249" s="68">
        <v>383</v>
      </c>
      <c r="J249" s="68">
        <v>524</v>
      </c>
    </row>
    <row r="250" spans="1:10" x14ac:dyDescent="0.3">
      <c r="A250" s="69">
        <f t="shared" si="9"/>
        <v>39714</v>
      </c>
      <c r="B250" s="63">
        <v>12</v>
      </c>
      <c r="E250" s="68">
        <v>522</v>
      </c>
      <c r="F250" s="68">
        <v>425</v>
      </c>
      <c r="G250" s="68">
        <v>469</v>
      </c>
      <c r="H250" s="68">
        <v>469</v>
      </c>
      <c r="I250" s="68">
        <v>386</v>
      </c>
      <c r="J250" s="68">
        <v>508</v>
      </c>
    </row>
    <row r="251" spans="1:10" x14ac:dyDescent="0.3">
      <c r="A251" s="69">
        <f t="shared" si="9"/>
        <v>39721</v>
      </c>
      <c r="B251" s="63">
        <v>12</v>
      </c>
      <c r="E251" s="68">
        <v>504</v>
      </c>
      <c r="F251" s="68">
        <v>425</v>
      </c>
      <c r="G251" s="68">
        <v>473</v>
      </c>
      <c r="H251" s="68">
        <v>473</v>
      </c>
      <c r="I251" s="68">
        <v>389</v>
      </c>
      <c r="J251" s="68">
        <v>532</v>
      </c>
    </row>
    <row r="252" spans="1:10" x14ac:dyDescent="0.3">
      <c r="A252" s="69">
        <f t="shared" si="9"/>
        <v>39728</v>
      </c>
      <c r="B252" s="63">
        <v>1</v>
      </c>
      <c r="E252" s="68">
        <v>543</v>
      </c>
      <c r="F252" s="68">
        <v>447</v>
      </c>
      <c r="G252" s="68">
        <v>488</v>
      </c>
      <c r="H252" s="68">
        <v>508</v>
      </c>
      <c r="I252" s="68">
        <v>422</v>
      </c>
      <c r="J252" s="68">
        <v>557</v>
      </c>
    </row>
    <row r="253" spans="1:10" x14ac:dyDescent="0.3">
      <c r="A253" s="69">
        <f t="shared" ref="A253:A258" si="10">7+A252</f>
        <v>39735</v>
      </c>
      <c r="B253" s="63">
        <v>1</v>
      </c>
      <c r="E253" s="68">
        <v>510</v>
      </c>
      <c r="F253" s="68">
        <v>440</v>
      </c>
      <c r="G253" s="68">
        <v>456</v>
      </c>
      <c r="H253" s="68">
        <v>481</v>
      </c>
      <c r="I253" s="68">
        <v>378</v>
      </c>
      <c r="J253" s="68">
        <v>519</v>
      </c>
    </row>
    <row r="254" spans="1:10" x14ac:dyDescent="0.3">
      <c r="A254" s="69">
        <f t="shared" si="10"/>
        <v>39742</v>
      </c>
      <c r="B254" s="63">
        <v>1</v>
      </c>
      <c r="E254" s="68">
        <v>429</v>
      </c>
      <c r="F254" s="68">
        <v>403</v>
      </c>
      <c r="G254" s="68">
        <v>433</v>
      </c>
      <c r="H254" s="68">
        <v>433</v>
      </c>
      <c r="I254" s="68">
        <v>370</v>
      </c>
      <c r="J254" s="68">
        <v>507</v>
      </c>
    </row>
    <row r="255" spans="1:10" x14ac:dyDescent="0.3">
      <c r="A255" s="69">
        <f t="shared" si="10"/>
        <v>39749</v>
      </c>
      <c r="B255" s="63">
        <v>1</v>
      </c>
      <c r="E255" s="68">
        <v>454</v>
      </c>
      <c r="F255" s="68">
        <v>437</v>
      </c>
      <c r="G255" s="68">
        <v>458</v>
      </c>
      <c r="H255" s="68">
        <v>458</v>
      </c>
      <c r="I255" s="68">
        <v>385</v>
      </c>
      <c r="J255" s="68">
        <v>493</v>
      </c>
    </row>
    <row r="256" spans="1:10" x14ac:dyDescent="0.3">
      <c r="A256" s="69">
        <f t="shared" si="10"/>
        <v>39756</v>
      </c>
      <c r="B256" s="63">
        <v>2</v>
      </c>
      <c r="E256" s="68">
        <v>475</v>
      </c>
      <c r="F256" s="68">
        <v>433</v>
      </c>
      <c r="G256" s="68">
        <v>475</v>
      </c>
      <c r="H256" s="68">
        <v>475</v>
      </c>
      <c r="I256" s="68">
        <v>408</v>
      </c>
      <c r="J256" s="68">
        <v>560</v>
      </c>
    </row>
    <row r="257" spans="1:10" x14ac:dyDescent="0.3">
      <c r="A257" s="69">
        <f t="shared" si="10"/>
        <v>39763</v>
      </c>
      <c r="B257" s="63">
        <v>2</v>
      </c>
      <c r="E257" s="68">
        <v>433</v>
      </c>
      <c r="F257" s="68">
        <v>392</v>
      </c>
      <c r="G257" s="68">
        <v>417</v>
      </c>
      <c r="H257" s="68">
        <v>417</v>
      </c>
      <c r="I257" s="68">
        <v>333</v>
      </c>
      <c r="J257" s="68">
        <v>457</v>
      </c>
    </row>
    <row r="258" spans="1:10" x14ac:dyDescent="0.3">
      <c r="A258" s="69">
        <f t="shared" si="10"/>
        <v>39770</v>
      </c>
      <c r="B258" s="63">
        <v>2</v>
      </c>
      <c r="E258" s="68">
        <v>420</v>
      </c>
      <c r="F258" s="68">
        <v>350</v>
      </c>
      <c r="G258" s="68">
        <v>375</v>
      </c>
      <c r="H258" s="68">
        <v>375</v>
      </c>
      <c r="I258" s="68">
        <v>295</v>
      </c>
      <c r="J258" s="68">
        <v>404</v>
      </c>
    </row>
    <row r="259" spans="1:10" x14ac:dyDescent="0.3">
      <c r="A259" s="69">
        <f t="shared" ref="A259:A274" si="11">7+A258</f>
        <v>39777</v>
      </c>
      <c r="B259" s="63">
        <v>2</v>
      </c>
      <c r="E259" s="68">
        <v>400</v>
      </c>
      <c r="F259" s="68">
        <v>313</v>
      </c>
      <c r="G259" s="68">
        <v>342</v>
      </c>
      <c r="H259" s="68">
        <v>342</v>
      </c>
      <c r="I259" s="68">
        <v>283</v>
      </c>
      <c r="J259" s="68">
        <v>368</v>
      </c>
    </row>
    <row r="260" spans="1:10" x14ac:dyDescent="0.3">
      <c r="A260" s="69">
        <f t="shared" si="11"/>
        <v>39784</v>
      </c>
      <c r="B260" s="63">
        <v>3</v>
      </c>
      <c r="E260" s="68">
        <v>375</v>
      </c>
      <c r="F260" s="68">
        <v>320</v>
      </c>
      <c r="G260" s="68">
        <v>332</v>
      </c>
      <c r="H260" s="68">
        <v>332</v>
      </c>
      <c r="I260" s="68">
        <v>292</v>
      </c>
      <c r="J260" s="68">
        <v>400</v>
      </c>
    </row>
    <row r="261" spans="1:10" x14ac:dyDescent="0.3">
      <c r="A261" s="69">
        <f t="shared" si="11"/>
        <v>39791</v>
      </c>
      <c r="B261" s="63">
        <v>3</v>
      </c>
      <c r="E261" s="68">
        <v>400</v>
      </c>
      <c r="F261" s="68">
        <v>360</v>
      </c>
      <c r="G261" s="68">
        <v>364</v>
      </c>
      <c r="H261" s="68">
        <v>364</v>
      </c>
      <c r="I261" s="68">
        <v>319</v>
      </c>
      <c r="J261" s="68">
        <v>430</v>
      </c>
    </row>
    <row r="262" spans="1:10" x14ac:dyDescent="0.3">
      <c r="A262" s="69">
        <f t="shared" si="11"/>
        <v>39798</v>
      </c>
      <c r="B262" s="63">
        <v>3</v>
      </c>
      <c r="D262" s="63">
        <v>425</v>
      </c>
      <c r="E262" s="68">
        <v>400</v>
      </c>
      <c r="F262" s="68">
        <v>366</v>
      </c>
      <c r="G262" s="68">
        <v>381</v>
      </c>
      <c r="H262" s="68">
        <v>381</v>
      </c>
      <c r="I262" s="68">
        <v>304</v>
      </c>
      <c r="J262" s="68">
        <v>409</v>
      </c>
    </row>
    <row r="263" spans="1:10" x14ac:dyDescent="0.3">
      <c r="A263" s="69">
        <f t="shared" si="11"/>
        <v>39805</v>
      </c>
      <c r="B263" s="63">
        <v>3</v>
      </c>
      <c r="E263" s="68">
        <v>376.25</v>
      </c>
      <c r="F263" s="68">
        <v>336.25</v>
      </c>
      <c r="G263" s="68">
        <v>348.75</v>
      </c>
      <c r="H263" s="68">
        <v>348.75</v>
      </c>
      <c r="I263" s="68">
        <v>290</v>
      </c>
      <c r="J263" s="68">
        <v>415.87336244541484</v>
      </c>
    </row>
    <row r="264" spans="1:10" x14ac:dyDescent="0.3">
      <c r="A264" s="69">
        <f t="shared" si="11"/>
        <v>39812</v>
      </c>
      <c r="B264" s="63">
        <v>3</v>
      </c>
      <c r="D264" s="63">
        <v>390</v>
      </c>
      <c r="E264" s="68">
        <v>372</v>
      </c>
      <c r="F264" s="68">
        <v>300</v>
      </c>
      <c r="G264" s="68">
        <v>342</v>
      </c>
      <c r="H264" s="68">
        <v>350</v>
      </c>
      <c r="I264" s="68">
        <v>258</v>
      </c>
      <c r="J264" s="68">
        <v>354</v>
      </c>
    </row>
    <row r="265" spans="1:10" x14ac:dyDescent="0.3">
      <c r="A265" s="69">
        <f t="shared" si="11"/>
        <v>39819</v>
      </c>
      <c r="B265" s="63">
        <v>4</v>
      </c>
      <c r="C265" s="63">
        <v>393</v>
      </c>
      <c r="D265" s="63">
        <v>355</v>
      </c>
      <c r="E265" s="68">
        <v>346</v>
      </c>
      <c r="F265" s="68">
        <v>271</v>
      </c>
      <c r="G265" s="68">
        <v>324</v>
      </c>
      <c r="H265" s="68">
        <v>324</v>
      </c>
      <c r="I265" s="68">
        <v>244</v>
      </c>
      <c r="J265" s="68">
        <v>334</v>
      </c>
    </row>
    <row r="266" spans="1:10" x14ac:dyDescent="0.3">
      <c r="A266" s="69">
        <f t="shared" si="11"/>
        <v>39826</v>
      </c>
      <c r="B266" s="63">
        <v>4</v>
      </c>
      <c r="C266" s="63">
        <v>385</v>
      </c>
      <c r="D266" s="63">
        <v>362</v>
      </c>
      <c r="E266" s="68">
        <v>353</v>
      </c>
      <c r="F266" s="68">
        <v>302</v>
      </c>
      <c r="G266" s="68">
        <v>298</v>
      </c>
      <c r="H266" s="68">
        <v>298</v>
      </c>
      <c r="I266" s="68">
        <v>268</v>
      </c>
      <c r="J266" s="68">
        <v>368</v>
      </c>
    </row>
    <row r="267" spans="1:10" x14ac:dyDescent="0.3">
      <c r="A267" s="69">
        <f t="shared" si="11"/>
        <v>39833</v>
      </c>
      <c r="B267" s="63">
        <v>4</v>
      </c>
      <c r="C267" s="63">
        <v>408</v>
      </c>
      <c r="D267" s="63">
        <v>355</v>
      </c>
      <c r="E267" s="68">
        <v>353</v>
      </c>
      <c r="F267" s="68">
        <v>350</v>
      </c>
      <c r="G267" s="68">
        <v>330</v>
      </c>
      <c r="H267" s="68">
        <v>330</v>
      </c>
      <c r="I267" s="68">
        <v>300</v>
      </c>
      <c r="J267" s="68">
        <v>388</v>
      </c>
    </row>
    <row r="268" spans="1:10" x14ac:dyDescent="0.3">
      <c r="A268" s="69">
        <f t="shared" si="11"/>
        <v>39840</v>
      </c>
      <c r="B268" s="63">
        <v>4</v>
      </c>
      <c r="C268" s="63">
        <v>383</v>
      </c>
      <c r="D268" s="63">
        <v>343</v>
      </c>
      <c r="E268" s="68">
        <v>345</v>
      </c>
      <c r="F268" s="68">
        <v>299</v>
      </c>
      <c r="G268" s="68">
        <v>310</v>
      </c>
      <c r="H268" s="68">
        <v>310</v>
      </c>
      <c r="I268" s="68">
        <v>280</v>
      </c>
      <c r="J268" s="68">
        <v>384</v>
      </c>
    </row>
    <row r="269" spans="1:10" x14ac:dyDescent="0.3">
      <c r="A269" s="69">
        <f t="shared" si="11"/>
        <v>39847</v>
      </c>
      <c r="B269" s="63">
        <v>5</v>
      </c>
      <c r="C269" s="63">
        <v>370</v>
      </c>
      <c r="D269" s="63">
        <v>340</v>
      </c>
      <c r="E269" s="68">
        <v>345</v>
      </c>
      <c r="F269" s="68">
        <v>308</v>
      </c>
      <c r="G269" s="68">
        <v>330</v>
      </c>
      <c r="H269" s="68">
        <v>330</v>
      </c>
      <c r="I269" s="68">
        <v>292</v>
      </c>
      <c r="J269" s="68">
        <v>400</v>
      </c>
    </row>
    <row r="270" spans="1:10" x14ac:dyDescent="0.3">
      <c r="A270" s="69">
        <f t="shared" si="11"/>
        <v>39854</v>
      </c>
      <c r="B270" s="63">
        <v>5</v>
      </c>
      <c r="C270" s="63">
        <v>357</v>
      </c>
      <c r="D270" s="63">
        <v>327</v>
      </c>
      <c r="E270" s="68">
        <v>323</v>
      </c>
      <c r="F270" s="68">
        <v>267</v>
      </c>
      <c r="G270" s="68">
        <v>293</v>
      </c>
      <c r="H270" s="68">
        <v>293</v>
      </c>
      <c r="I270" s="68">
        <v>243</v>
      </c>
      <c r="J270" s="68">
        <v>334</v>
      </c>
    </row>
    <row r="271" spans="1:10" x14ac:dyDescent="0.3">
      <c r="A271" s="69">
        <f t="shared" si="11"/>
        <v>39861</v>
      </c>
      <c r="B271" s="63">
        <v>5</v>
      </c>
      <c r="C271" s="68">
        <v>346.66666666666669</v>
      </c>
      <c r="D271" s="68">
        <v>313.33333333333331</v>
      </c>
      <c r="E271" s="68">
        <v>308.33333333333331</v>
      </c>
      <c r="F271" s="68">
        <v>240</v>
      </c>
      <c r="G271" s="68">
        <v>240</v>
      </c>
      <c r="H271" s="68">
        <v>240</v>
      </c>
      <c r="I271" s="68">
        <v>211.66666666666666</v>
      </c>
      <c r="J271" s="68">
        <v>287.39446870451235</v>
      </c>
    </row>
    <row r="272" spans="1:10" x14ac:dyDescent="0.3">
      <c r="A272" s="69">
        <f t="shared" si="11"/>
        <v>39868</v>
      </c>
      <c r="B272" s="63">
        <v>5</v>
      </c>
      <c r="C272" s="63">
        <v>337</v>
      </c>
      <c r="D272" s="63">
        <v>303</v>
      </c>
      <c r="E272" s="68">
        <v>303</v>
      </c>
      <c r="F272" s="68">
        <v>232</v>
      </c>
      <c r="G272" s="68">
        <v>228</v>
      </c>
      <c r="H272" s="68">
        <v>228</v>
      </c>
      <c r="I272" s="68">
        <v>212</v>
      </c>
      <c r="J272" s="68">
        <v>290</v>
      </c>
    </row>
    <row r="273" spans="1:10" x14ac:dyDescent="0.3">
      <c r="A273" s="69">
        <f t="shared" si="11"/>
        <v>39875</v>
      </c>
      <c r="B273" s="63">
        <v>6</v>
      </c>
      <c r="C273" s="63">
        <v>341</v>
      </c>
      <c r="D273" s="63">
        <v>304</v>
      </c>
      <c r="E273" s="68">
        <v>299</v>
      </c>
      <c r="F273" s="68">
        <v>246</v>
      </c>
      <c r="G273" s="68">
        <v>255</v>
      </c>
      <c r="H273" s="68">
        <v>255</v>
      </c>
      <c r="I273" s="68">
        <v>229</v>
      </c>
      <c r="J273" s="68">
        <v>317</v>
      </c>
    </row>
    <row r="274" spans="1:10" x14ac:dyDescent="0.3">
      <c r="A274" s="69">
        <f t="shared" si="11"/>
        <v>39882</v>
      </c>
      <c r="B274" s="63">
        <v>6</v>
      </c>
      <c r="C274" s="63">
        <v>340</v>
      </c>
      <c r="D274" s="63">
        <v>293</v>
      </c>
      <c r="E274" s="68">
        <v>285</v>
      </c>
      <c r="F274" s="68">
        <v>238</v>
      </c>
      <c r="G274" s="68">
        <v>250</v>
      </c>
      <c r="H274" s="68">
        <v>250</v>
      </c>
      <c r="I274" s="68">
        <v>223</v>
      </c>
      <c r="J274" s="68">
        <v>305</v>
      </c>
    </row>
    <row r="275" spans="1:10" x14ac:dyDescent="0.3">
      <c r="A275" s="69">
        <f t="shared" ref="A275:A353" si="12">7+A274</f>
        <v>39889</v>
      </c>
      <c r="B275" s="63">
        <v>6</v>
      </c>
      <c r="C275" s="68">
        <v>330</v>
      </c>
      <c r="D275" s="68">
        <v>289</v>
      </c>
      <c r="E275" s="68">
        <v>281</v>
      </c>
      <c r="F275" s="68">
        <v>238</v>
      </c>
      <c r="G275" s="68">
        <v>248</v>
      </c>
      <c r="H275" s="68">
        <v>248</v>
      </c>
      <c r="I275" s="68">
        <v>234</v>
      </c>
      <c r="J275" s="68">
        <v>321</v>
      </c>
    </row>
    <row r="276" spans="1:10" x14ac:dyDescent="0.3">
      <c r="A276" s="69">
        <f t="shared" si="12"/>
        <v>39896</v>
      </c>
      <c r="B276" s="63">
        <v>6</v>
      </c>
      <c r="C276" s="68">
        <v>335</v>
      </c>
      <c r="D276" s="68">
        <v>295</v>
      </c>
      <c r="E276" s="68">
        <v>292.5</v>
      </c>
      <c r="F276" s="68">
        <v>251.25</v>
      </c>
      <c r="G276" s="68">
        <v>256.25</v>
      </c>
      <c r="H276" s="68">
        <v>256.25</v>
      </c>
      <c r="I276" s="68">
        <v>230</v>
      </c>
      <c r="J276" s="68">
        <v>244.85152838427948</v>
      </c>
    </row>
    <row r="277" spans="1:10" x14ac:dyDescent="0.3">
      <c r="A277" s="69">
        <f t="shared" si="12"/>
        <v>39903</v>
      </c>
      <c r="B277" s="63">
        <v>6</v>
      </c>
      <c r="C277" s="68">
        <v>325</v>
      </c>
      <c r="D277" s="68">
        <v>283.75</v>
      </c>
      <c r="E277" s="68">
        <v>280</v>
      </c>
      <c r="F277" s="68">
        <v>236.66666666666666</v>
      </c>
      <c r="G277" s="68">
        <v>236.66666666666666</v>
      </c>
      <c r="H277" s="68">
        <v>236.66666666666666</v>
      </c>
      <c r="I277" s="68">
        <v>221.66666666666666</v>
      </c>
      <c r="J277" s="68">
        <v>299.20851528384276</v>
      </c>
    </row>
    <row r="278" spans="1:10" x14ac:dyDescent="0.3">
      <c r="A278" s="69">
        <f t="shared" si="12"/>
        <v>39910</v>
      </c>
      <c r="B278" s="63">
        <v>7</v>
      </c>
      <c r="C278" s="68">
        <v>333.75</v>
      </c>
      <c r="D278" s="68">
        <v>296</v>
      </c>
      <c r="E278" s="68">
        <v>294</v>
      </c>
      <c r="F278" s="68">
        <v>250</v>
      </c>
      <c r="G278" s="68">
        <v>251.25</v>
      </c>
      <c r="H278" s="68">
        <v>251.25</v>
      </c>
      <c r="I278" s="68">
        <v>236.25</v>
      </c>
      <c r="J278" s="68">
        <v>318.38427947598251</v>
      </c>
    </row>
    <row r="279" spans="1:10" x14ac:dyDescent="0.3">
      <c r="A279" s="69">
        <f t="shared" si="12"/>
        <v>39917</v>
      </c>
      <c r="B279" s="63">
        <v>7</v>
      </c>
      <c r="C279" s="68">
        <v>333.33333333333331</v>
      </c>
      <c r="D279" s="68">
        <v>296.25</v>
      </c>
      <c r="E279" s="68">
        <v>292.5</v>
      </c>
      <c r="F279" s="68">
        <v>251.66666666666666</v>
      </c>
      <c r="G279" s="68">
        <v>255</v>
      </c>
      <c r="H279" s="68">
        <v>255</v>
      </c>
      <c r="I279" s="68">
        <v>236.66666666666666</v>
      </c>
      <c r="J279" s="68">
        <v>324.51237263464333</v>
      </c>
    </row>
    <row r="280" spans="1:10" x14ac:dyDescent="0.3">
      <c r="A280" s="69">
        <f t="shared" si="12"/>
        <v>39924</v>
      </c>
      <c r="B280" s="63">
        <v>7</v>
      </c>
      <c r="C280" s="68">
        <v>330</v>
      </c>
      <c r="D280" s="68">
        <v>298.75</v>
      </c>
      <c r="E280" s="68">
        <v>296.25</v>
      </c>
      <c r="F280" s="68">
        <v>255</v>
      </c>
      <c r="G280" s="68">
        <v>281.66666666666669</v>
      </c>
      <c r="H280" s="68">
        <v>281.66666666666669</v>
      </c>
      <c r="I280" s="68">
        <v>255</v>
      </c>
      <c r="J280" s="68">
        <v>349.6506550218341</v>
      </c>
    </row>
    <row r="281" spans="1:10" x14ac:dyDescent="0.3">
      <c r="A281" s="69">
        <f t="shared" si="12"/>
        <v>39931</v>
      </c>
      <c r="B281" s="63">
        <v>7</v>
      </c>
      <c r="C281" s="63">
        <v>323</v>
      </c>
      <c r="D281" s="63">
        <v>288</v>
      </c>
      <c r="E281" s="68">
        <v>285</v>
      </c>
      <c r="F281" s="68">
        <v>268</v>
      </c>
      <c r="G281" s="68">
        <v>258</v>
      </c>
      <c r="H281" s="68">
        <v>258</v>
      </c>
      <c r="I281" s="68">
        <v>243</v>
      </c>
      <c r="J281" s="68">
        <v>326</v>
      </c>
    </row>
    <row r="282" spans="1:10" x14ac:dyDescent="0.3">
      <c r="A282" s="69">
        <f t="shared" si="12"/>
        <v>39938</v>
      </c>
      <c r="B282" s="63">
        <v>8</v>
      </c>
      <c r="C282" s="68">
        <v>358.33333333333331</v>
      </c>
      <c r="D282" s="68">
        <v>336.25</v>
      </c>
      <c r="E282" s="68">
        <v>337.5</v>
      </c>
      <c r="F282" s="68">
        <v>325</v>
      </c>
      <c r="G282" s="68">
        <v>340</v>
      </c>
      <c r="H282" s="68">
        <v>340</v>
      </c>
      <c r="I282" s="68">
        <v>348.33333333333331</v>
      </c>
      <c r="J282" s="68">
        <v>477.62736535662299</v>
      </c>
    </row>
    <row r="283" spans="1:10" x14ac:dyDescent="0.3">
      <c r="A283" s="69">
        <f t="shared" si="12"/>
        <v>39945</v>
      </c>
      <c r="B283" s="63">
        <v>8</v>
      </c>
      <c r="C283" s="68">
        <v>380</v>
      </c>
      <c r="D283" s="68">
        <v>288</v>
      </c>
      <c r="E283" s="68">
        <v>346</v>
      </c>
      <c r="F283" s="68">
        <v>345</v>
      </c>
      <c r="G283" s="68">
        <v>347.5</v>
      </c>
      <c r="H283" s="68">
        <v>347.5</v>
      </c>
      <c r="I283" s="68">
        <v>345</v>
      </c>
      <c r="J283" s="68">
        <v>447.75655021834064</v>
      </c>
    </row>
    <row r="284" spans="1:10" x14ac:dyDescent="0.3">
      <c r="A284" s="69">
        <f t="shared" si="12"/>
        <v>39952</v>
      </c>
      <c r="B284" s="63">
        <v>8</v>
      </c>
      <c r="C284" s="68">
        <f t="shared" ref="C284:J284" si="13">AVERAGE(C263,C266,C269,C272,C275,C278)</f>
        <v>351.15</v>
      </c>
      <c r="D284" s="68">
        <f t="shared" si="13"/>
        <v>318</v>
      </c>
      <c r="E284" s="68">
        <f t="shared" si="13"/>
        <v>325.375</v>
      </c>
      <c r="F284" s="68">
        <f t="shared" si="13"/>
        <v>277.70833333333331</v>
      </c>
      <c r="G284" s="68">
        <f t="shared" si="13"/>
        <v>284</v>
      </c>
      <c r="H284" s="68">
        <f t="shared" si="13"/>
        <v>284</v>
      </c>
      <c r="I284" s="68">
        <f t="shared" si="13"/>
        <v>255.375</v>
      </c>
      <c r="J284" s="68">
        <f t="shared" si="13"/>
        <v>352.20960698689959</v>
      </c>
    </row>
    <row r="285" spans="1:10" x14ac:dyDescent="0.3">
      <c r="A285" s="69">
        <f t="shared" si="12"/>
        <v>39959</v>
      </c>
      <c r="B285" s="63">
        <v>8</v>
      </c>
      <c r="C285" s="81">
        <v>396.25</v>
      </c>
      <c r="D285" s="81">
        <v>348.75</v>
      </c>
      <c r="E285" s="81">
        <v>345</v>
      </c>
      <c r="F285" s="81">
        <v>330</v>
      </c>
      <c r="G285" s="81">
        <v>346.25</v>
      </c>
      <c r="H285" s="81">
        <v>346.25</v>
      </c>
      <c r="I285" s="81">
        <v>345</v>
      </c>
      <c r="J285" s="81">
        <v>473.056768558952</v>
      </c>
    </row>
    <row r="286" spans="1:10" x14ac:dyDescent="0.3">
      <c r="A286" s="69">
        <f t="shared" si="12"/>
        <v>39966</v>
      </c>
      <c r="B286" s="63">
        <v>9</v>
      </c>
      <c r="C286" s="68">
        <v>491.66666666666669</v>
      </c>
      <c r="D286" s="68">
        <v>476.25</v>
      </c>
      <c r="E286" s="68">
        <v>477.5</v>
      </c>
      <c r="F286" s="68">
        <v>470</v>
      </c>
      <c r="G286" s="68">
        <v>475</v>
      </c>
      <c r="H286" s="68">
        <v>475</v>
      </c>
      <c r="I286" s="68">
        <v>475</v>
      </c>
      <c r="J286" s="68">
        <v>625.87336244541484</v>
      </c>
    </row>
    <row r="287" spans="1:10" x14ac:dyDescent="0.3">
      <c r="A287" s="69">
        <f t="shared" si="12"/>
        <v>39973</v>
      </c>
      <c r="B287" s="63">
        <v>9</v>
      </c>
      <c r="C287" s="81">
        <v>473.33333333333331</v>
      </c>
      <c r="D287" s="81">
        <v>465</v>
      </c>
      <c r="E287" s="81">
        <v>473.33333333333331</v>
      </c>
      <c r="F287" s="81">
        <v>461.66666666666669</v>
      </c>
      <c r="G287" s="81">
        <v>485</v>
      </c>
      <c r="H287" s="81">
        <v>485</v>
      </c>
      <c r="I287" s="81">
        <v>463.33333333333331</v>
      </c>
      <c r="J287" s="81">
        <v>614.44687045123726</v>
      </c>
    </row>
    <row r="288" spans="1:10" x14ac:dyDescent="0.3">
      <c r="A288" s="69">
        <f t="shared" si="12"/>
        <v>39980</v>
      </c>
      <c r="B288" s="63">
        <v>9</v>
      </c>
      <c r="C288" s="81">
        <v>465</v>
      </c>
      <c r="D288" s="81">
        <v>466.66666666666669</v>
      </c>
      <c r="E288" s="81">
        <v>460</v>
      </c>
      <c r="F288" s="81">
        <v>455</v>
      </c>
      <c r="G288" s="81">
        <v>466.66666666666669</v>
      </c>
      <c r="H288" s="81">
        <v>466.66666666666669</v>
      </c>
      <c r="I288" s="81">
        <v>471.66666666666669</v>
      </c>
      <c r="J288" s="68">
        <v>646.73944687045116</v>
      </c>
    </row>
    <row r="289" spans="1:10" x14ac:dyDescent="0.3">
      <c r="A289" s="69">
        <f t="shared" si="12"/>
        <v>39987</v>
      </c>
      <c r="B289" s="63">
        <v>9</v>
      </c>
      <c r="C289" s="81">
        <v>470</v>
      </c>
      <c r="D289" s="81">
        <v>458.33333333333331</v>
      </c>
      <c r="E289" s="81">
        <v>451.66666666666669</v>
      </c>
      <c r="F289" s="81">
        <v>451.66666666666669</v>
      </c>
      <c r="G289" s="81">
        <v>471.66666666666669</v>
      </c>
      <c r="H289" s="81">
        <v>471.66666666666669</v>
      </c>
      <c r="I289" s="81">
        <v>461.66666666666669</v>
      </c>
      <c r="J289" s="81">
        <v>633.0276564774382</v>
      </c>
    </row>
    <row r="290" spans="1:10" x14ac:dyDescent="0.3">
      <c r="A290" s="69">
        <f t="shared" si="12"/>
        <v>39994</v>
      </c>
      <c r="B290" s="63">
        <v>9</v>
      </c>
      <c r="C290" s="63">
        <v>453</v>
      </c>
      <c r="D290" s="63">
        <v>437</v>
      </c>
      <c r="E290" s="68">
        <v>440</v>
      </c>
      <c r="F290" s="68">
        <v>425</v>
      </c>
      <c r="G290" s="68">
        <v>425</v>
      </c>
      <c r="H290" s="68">
        <v>425</v>
      </c>
      <c r="I290" s="68">
        <v>438</v>
      </c>
      <c r="J290" s="68">
        <v>600</v>
      </c>
    </row>
    <row r="291" spans="1:10" x14ac:dyDescent="0.3">
      <c r="A291" s="69">
        <f t="shared" si="12"/>
        <v>40001</v>
      </c>
      <c r="B291" s="63">
        <v>10</v>
      </c>
      <c r="C291" s="63">
        <v>532</v>
      </c>
      <c r="D291" s="63">
        <v>508</v>
      </c>
      <c r="E291" s="68">
        <v>512</v>
      </c>
      <c r="F291" s="68">
        <v>497</v>
      </c>
      <c r="G291" s="68">
        <v>517</v>
      </c>
      <c r="H291" s="68">
        <v>517</v>
      </c>
      <c r="I291" s="68">
        <v>470</v>
      </c>
      <c r="J291" s="68">
        <v>644</v>
      </c>
    </row>
    <row r="292" spans="1:10" x14ac:dyDescent="0.3">
      <c r="A292" s="69">
        <f t="shared" si="12"/>
        <v>40008</v>
      </c>
      <c r="B292" s="63">
        <v>10</v>
      </c>
      <c r="C292" s="81">
        <v>527.5</v>
      </c>
      <c r="D292" s="81">
        <v>510</v>
      </c>
      <c r="E292" s="81">
        <v>505</v>
      </c>
      <c r="F292" s="81">
        <v>462.5</v>
      </c>
      <c r="G292" s="81">
        <v>496.25</v>
      </c>
      <c r="H292" s="81">
        <v>496.25</v>
      </c>
      <c r="I292" s="81">
        <v>460</v>
      </c>
      <c r="J292" s="81">
        <v>630.74235807860259</v>
      </c>
    </row>
    <row r="293" spans="1:10" x14ac:dyDescent="0.3">
      <c r="A293" s="69">
        <f t="shared" si="12"/>
        <v>40015</v>
      </c>
      <c r="B293" s="63">
        <v>10</v>
      </c>
      <c r="C293" s="63">
        <v>525</v>
      </c>
      <c r="D293" s="63">
        <v>525</v>
      </c>
      <c r="E293" s="68">
        <v>522</v>
      </c>
      <c r="F293" s="68">
        <v>488</v>
      </c>
      <c r="G293" s="68">
        <v>525</v>
      </c>
      <c r="H293" s="68">
        <v>525</v>
      </c>
      <c r="I293" s="68">
        <v>488</v>
      </c>
      <c r="J293" s="68">
        <v>668</v>
      </c>
    </row>
    <row r="294" spans="1:10" x14ac:dyDescent="0.3">
      <c r="A294" s="69">
        <f t="shared" si="12"/>
        <v>40022</v>
      </c>
      <c r="B294" s="63">
        <v>10</v>
      </c>
      <c r="C294" s="68">
        <v>525</v>
      </c>
      <c r="D294" s="68">
        <v>520</v>
      </c>
      <c r="E294" s="68">
        <v>526.25</v>
      </c>
      <c r="F294" s="68">
        <v>500</v>
      </c>
      <c r="G294" s="68">
        <v>530</v>
      </c>
      <c r="H294" s="68">
        <v>530</v>
      </c>
      <c r="I294" s="68">
        <v>478.33333333333331</v>
      </c>
      <c r="J294" s="68">
        <v>655.88064046579336</v>
      </c>
    </row>
    <row r="295" spans="1:10" x14ac:dyDescent="0.3">
      <c r="A295" s="69">
        <f t="shared" si="12"/>
        <v>40029</v>
      </c>
      <c r="B295" s="63">
        <v>11</v>
      </c>
      <c r="C295" s="68">
        <v>495</v>
      </c>
      <c r="D295" s="68">
        <v>433.75</v>
      </c>
      <c r="E295" s="68">
        <v>425</v>
      </c>
      <c r="F295" s="68">
        <v>375</v>
      </c>
      <c r="G295" s="68">
        <v>508.33333333333331</v>
      </c>
      <c r="H295" s="68">
        <v>508.33333333333331</v>
      </c>
      <c r="I295" s="68">
        <v>351.66666666666669</v>
      </c>
      <c r="J295" s="68">
        <v>482.19796215429409</v>
      </c>
    </row>
    <row r="296" spans="1:10" x14ac:dyDescent="0.3">
      <c r="A296" s="69">
        <f t="shared" si="12"/>
        <v>40036</v>
      </c>
      <c r="B296" s="63">
        <v>11</v>
      </c>
      <c r="C296" s="68">
        <v>495</v>
      </c>
      <c r="D296" s="68">
        <v>439</v>
      </c>
      <c r="E296" s="68">
        <v>423</v>
      </c>
      <c r="F296" s="68">
        <v>358.75</v>
      </c>
      <c r="G296" s="68">
        <v>408.75</v>
      </c>
      <c r="H296" s="68">
        <v>408.75</v>
      </c>
      <c r="I296" s="68">
        <v>356.25</v>
      </c>
      <c r="J296" s="68">
        <v>451.36462882096072</v>
      </c>
    </row>
    <row r="297" spans="1:10" x14ac:dyDescent="0.3">
      <c r="A297" s="69">
        <f t="shared" si="12"/>
        <v>40043</v>
      </c>
      <c r="B297" s="63">
        <v>11</v>
      </c>
      <c r="C297" s="63">
        <v>490</v>
      </c>
      <c r="D297" s="63">
        <v>432</v>
      </c>
      <c r="E297" s="68">
        <v>431</v>
      </c>
      <c r="F297" s="68">
        <v>384</v>
      </c>
      <c r="G297" s="68">
        <v>424</v>
      </c>
      <c r="H297" s="68">
        <v>424</v>
      </c>
      <c r="I297" s="68">
        <v>363</v>
      </c>
      <c r="J297" s="68">
        <v>497</v>
      </c>
    </row>
    <row r="298" spans="1:10" x14ac:dyDescent="0.3">
      <c r="A298" s="69">
        <f t="shared" si="12"/>
        <v>40050</v>
      </c>
      <c r="B298" s="63">
        <v>11</v>
      </c>
      <c r="C298" s="68">
        <v>495</v>
      </c>
      <c r="D298" s="68">
        <v>442.5</v>
      </c>
      <c r="E298" s="68">
        <v>435</v>
      </c>
      <c r="F298" s="68">
        <v>376.66666666666669</v>
      </c>
      <c r="G298" s="68">
        <v>426.66666666666669</v>
      </c>
      <c r="H298" s="68">
        <v>426.66666666666669</v>
      </c>
      <c r="I298" s="68">
        <v>350</v>
      </c>
      <c r="J298" s="68">
        <v>479.91266375545848</v>
      </c>
    </row>
    <row r="299" spans="1:10" x14ac:dyDescent="0.3">
      <c r="A299" s="69">
        <f t="shared" si="12"/>
        <v>40057</v>
      </c>
      <c r="B299" s="63">
        <v>12</v>
      </c>
      <c r="E299" s="68">
        <v>386.25</v>
      </c>
      <c r="F299" s="68">
        <v>310</v>
      </c>
      <c r="G299" s="68">
        <v>352.5</v>
      </c>
      <c r="H299" s="68">
        <v>352.5</v>
      </c>
      <c r="I299" s="68">
        <v>280</v>
      </c>
      <c r="J299" s="68">
        <v>383.93013100436679</v>
      </c>
    </row>
    <row r="300" spans="1:10" x14ac:dyDescent="0.3">
      <c r="A300" s="69">
        <f t="shared" si="12"/>
        <v>40064</v>
      </c>
      <c r="B300" s="63">
        <v>12</v>
      </c>
      <c r="E300" s="68">
        <v>385</v>
      </c>
      <c r="F300" s="68">
        <v>321.25</v>
      </c>
      <c r="G300" s="68">
        <v>355</v>
      </c>
      <c r="H300" s="68">
        <v>355</v>
      </c>
      <c r="I300" s="68">
        <v>283.33333333333331</v>
      </c>
      <c r="J300" s="68">
        <v>388.50072780203783</v>
      </c>
    </row>
    <row r="301" spans="1:10" x14ac:dyDescent="0.3">
      <c r="A301" s="69">
        <f t="shared" si="12"/>
        <v>40071</v>
      </c>
      <c r="B301" s="63">
        <v>12</v>
      </c>
      <c r="E301" s="68">
        <v>383.33333333333331</v>
      </c>
      <c r="F301" s="68">
        <v>320</v>
      </c>
      <c r="G301" s="68">
        <v>353.33333333333331</v>
      </c>
      <c r="H301" s="68">
        <v>350</v>
      </c>
      <c r="I301" s="68">
        <v>278.33333333333331</v>
      </c>
      <c r="J301" s="68">
        <v>286.23362445414847</v>
      </c>
    </row>
    <row r="302" spans="1:10" x14ac:dyDescent="0.3">
      <c r="A302" s="69">
        <f t="shared" si="12"/>
        <v>40078</v>
      </c>
      <c r="B302" s="63">
        <v>12</v>
      </c>
      <c r="C302" s="68"/>
      <c r="D302" s="68"/>
      <c r="E302" s="68">
        <v>386.25</v>
      </c>
      <c r="F302" s="68">
        <v>313.75</v>
      </c>
      <c r="G302" s="68">
        <v>353.75</v>
      </c>
      <c r="H302" s="68">
        <v>353.75</v>
      </c>
      <c r="I302" s="68">
        <v>282.5</v>
      </c>
      <c r="J302" s="68">
        <v>387.35807860262008</v>
      </c>
    </row>
    <row r="303" spans="1:10" x14ac:dyDescent="0.3">
      <c r="A303" s="69">
        <f t="shared" si="12"/>
        <v>40085</v>
      </c>
      <c r="B303" s="63">
        <v>12</v>
      </c>
      <c r="E303" s="68">
        <v>398.75</v>
      </c>
      <c r="F303" s="68">
        <v>326.66666666666669</v>
      </c>
      <c r="G303" s="68">
        <v>360</v>
      </c>
      <c r="H303" s="68">
        <v>360</v>
      </c>
      <c r="I303" s="68">
        <v>288.33333333333331</v>
      </c>
      <c r="J303" s="68">
        <v>395.35662299854442</v>
      </c>
    </row>
    <row r="304" spans="1:10" x14ac:dyDescent="0.3">
      <c r="A304" s="69">
        <f t="shared" si="12"/>
        <v>40092</v>
      </c>
      <c r="B304" s="63">
        <v>1</v>
      </c>
      <c r="E304" s="68">
        <v>406.66666666666669</v>
      </c>
      <c r="F304" s="68">
        <v>315</v>
      </c>
      <c r="G304" s="68">
        <v>350</v>
      </c>
      <c r="H304" s="68">
        <v>350</v>
      </c>
      <c r="I304" s="68">
        <v>276.66666666666669</v>
      </c>
      <c r="J304" s="68">
        <v>379.3595342066958</v>
      </c>
    </row>
    <row r="305" spans="1:10" x14ac:dyDescent="0.3">
      <c r="A305" s="69">
        <f t="shared" si="12"/>
        <v>40099</v>
      </c>
      <c r="B305" s="63">
        <v>1</v>
      </c>
      <c r="E305" s="68">
        <v>396.66666666666669</v>
      </c>
      <c r="F305" s="68">
        <v>310</v>
      </c>
      <c r="G305" s="68">
        <v>350</v>
      </c>
      <c r="H305" s="68">
        <v>350</v>
      </c>
      <c r="I305" s="68">
        <v>273.33333333333331</v>
      </c>
      <c r="J305" s="68">
        <v>374.78893740902475</v>
      </c>
    </row>
    <row r="306" spans="1:10" x14ac:dyDescent="0.3">
      <c r="A306" s="69">
        <f t="shared" si="12"/>
        <v>40106</v>
      </c>
      <c r="B306" s="63">
        <v>1</v>
      </c>
      <c r="E306" s="68">
        <v>400</v>
      </c>
      <c r="F306" s="68">
        <v>310</v>
      </c>
      <c r="G306" s="68">
        <v>351.66666666666669</v>
      </c>
      <c r="H306" s="68">
        <v>351.66666666666669</v>
      </c>
      <c r="I306" s="68">
        <v>273.33333333333331</v>
      </c>
      <c r="J306" s="68">
        <v>374.78893740902475</v>
      </c>
    </row>
    <row r="307" spans="1:10" x14ac:dyDescent="0.3">
      <c r="A307" s="69">
        <f t="shared" si="12"/>
        <v>40113</v>
      </c>
      <c r="B307" s="63">
        <v>1</v>
      </c>
      <c r="E307" s="68">
        <v>396.25</v>
      </c>
      <c r="F307" s="68">
        <v>302.5</v>
      </c>
      <c r="G307" s="68">
        <v>352.5</v>
      </c>
      <c r="H307" s="68">
        <v>352.5</v>
      </c>
      <c r="I307" s="68">
        <v>278.75</v>
      </c>
      <c r="J307" s="68">
        <v>382.21615720524022</v>
      </c>
    </row>
    <row r="308" spans="1:10" x14ac:dyDescent="0.3">
      <c r="A308" s="69">
        <f t="shared" si="12"/>
        <v>40120</v>
      </c>
      <c r="B308" s="63">
        <v>2</v>
      </c>
      <c r="E308" s="68">
        <v>393.75</v>
      </c>
      <c r="F308" s="68">
        <v>302.5</v>
      </c>
      <c r="G308" s="68">
        <v>353.75</v>
      </c>
      <c r="H308" s="68">
        <v>353.75</v>
      </c>
      <c r="I308" s="68">
        <v>278.75</v>
      </c>
      <c r="J308" s="68">
        <v>382.21615720524017</v>
      </c>
    </row>
    <row r="309" spans="1:10" x14ac:dyDescent="0.3">
      <c r="A309" s="69">
        <f t="shared" si="12"/>
        <v>40127</v>
      </c>
      <c r="B309" s="63">
        <v>2</v>
      </c>
      <c r="E309" s="68">
        <v>413</v>
      </c>
      <c r="F309" s="68">
        <v>336</v>
      </c>
      <c r="G309" s="68">
        <v>395</v>
      </c>
      <c r="H309" s="68">
        <v>395</v>
      </c>
      <c r="I309" s="68">
        <v>331</v>
      </c>
      <c r="J309" s="68">
        <v>454</v>
      </c>
    </row>
    <row r="310" spans="1:10" x14ac:dyDescent="0.3">
      <c r="A310" s="69">
        <f t="shared" si="12"/>
        <v>40134</v>
      </c>
      <c r="B310" s="63">
        <v>2</v>
      </c>
      <c r="E310" s="68">
        <v>396.25</v>
      </c>
      <c r="F310" s="68">
        <v>310</v>
      </c>
      <c r="G310" s="68">
        <v>356.25</v>
      </c>
      <c r="H310" s="68">
        <v>356.25</v>
      </c>
      <c r="I310" s="68">
        <v>288.75</v>
      </c>
      <c r="J310" s="68">
        <v>395.92794759825324</v>
      </c>
    </row>
    <row r="311" spans="1:10" x14ac:dyDescent="0.3">
      <c r="A311" s="69">
        <f t="shared" si="12"/>
        <v>40141</v>
      </c>
      <c r="B311" s="63">
        <v>2</v>
      </c>
      <c r="E311" s="68">
        <v>375</v>
      </c>
      <c r="F311" s="68">
        <v>280</v>
      </c>
      <c r="G311" s="68">
        <v>350</v>
      </c>
      <c r="H311" s="68">
        <v>350</v>
      </c>
      <c r="I311" s="68">
        <v>265</v>
      </c>
      <c r="J311" s="68">
        <v>363.36244541484717</v>
      </c>
    </row>
    <row r="312" spans="1:10" x14ac:dyDescent="0.3">
      <c r="A312" s="69">
        <f t="shared" si="12"/>
        <v>40148</v>
      </c>
      <c r="B312" s="63">
        <v>3</v>
      </c>
      <c r="E312" s="68">
        <v>370</v>
      </c>
      <c r="F312" s="68">
        <v>272.5</v>
      </c>
      <c r="G312" s="68">
        <v>342.5</v>
      </c>
      <c r="H312" s="68">
        <v>342.5</v>
      </c>
      <c r="I312" s="68">
        <v>263.75</v>
      </c>
      <c r="J312" s="68">
        <v>361.6484716157205</v>
      </c>
    </row>
    <row r="313" spans="1:10" x14ac:dyDescent="0.3">
      <c r="A313" s="69">
        <f t="shared" si="12"/>
        <v>40155</v>
      </c>
      <c r="B313" s="63">
        <v>3</v>
      </c>
      <c r="E313" s="68">
        <v>370</v>
      </c>
      <c r="F313" s="68">
        <v>288.33333333333331</v>
      </c>
      <c r="G313" s="68">
        <v>335</v>
      </c>
      <c r="H313" s="68">
        <v>335</v>
      </c>
      <c r="I313" s="68">
        <v>253.33333333333334</v>
      </c>
      <c r="J313" s="68">
        <v>347.36535662299849</v>
      </c>
    </row>
    <row r="314" spans="1:10" x14ac:dyDescent="0.3">
      <c r="A314" s="69">
        <f t="shared" si="12"/>
        <v>40162</v>
      </c>
      <c r="B314" s="63">
        <v>3</v>
      </c>
      <c r="E314" s="68">
        <v>356.66666666666669</v>
      </c>
      <c r="F314" s="68">
        <v>270</v>
      </c>
      <c r="G314" s="68">
        <v>316.66666666666669</v>
      </c>
      <c r="H314" s="68">
        <v>316.66666666666669</v>
      </c>
      <c r="I314" s="68">
        <v>241.66666666666666</v>
      </c>
      <c r="J314" s="68">
        <v>331.36826783114992</v>
      </c>
    </row>
    <row r="315" spans="1:10" x14ac:dyDescent="0.3">
      <c r="A315" s="69">
        <f t="shared" si="12"/>
        <v>40169</v>
      </c>
      <c r="B315" s="63">
        <v>3</v>
      </c>
      <c r="E315" s="68">
        <v>344</v>
      </c>
      <c r="F315" s="68">
        <v>266</v>
      </c>
      <c r="G315" s="68">
        <v>306</v>
      </c>
      <c r="H315" s="68">
        <v>306</v>
      </c>
      <c r="I315" s="68">
        <v>239</v>
      </c>
      <c r="J315" s="68">
        <v>327.71179039301308</v>
      </c>
    </row>
    <row r="316" spans="1:10" x14ac:dyDescent="0.3">
      <c r="A316" s="69">
        <f t="shared" si="12"/>
        <v>40176</v>
      </c>
      <c r="B316" s="63">
        <v>3</v>
      </c>
      <c r="E316" s="68">
        <v>355</v>
      </c>
      <c r="F316" s="68">
        <v>262</v>
      </c>
      <c r="G316" s="68">
        <v>300</v>
      </c>
      <c r="H316" s="68">
        <v>300</v>
      </c>
      <c r="I316" s="68">
        <v>238</v>
      </c>
      <c r="J316" s="68">
        <v>327</v>
      </c>
    </row>
    <row r="317" spans="1:10" x14ac:dyDescent="0.3">
      <c r="A317" s="69">
        <f t="shared" si="12"/>
        <v>40183</v>
      </c>
      <c r="B317" s="63">
        <v>4</v>
      </c>
      <c r="C317" s="68">
        <v>366.66666666666669</v>
      </c>
      <c r="D317" s="68">
        <v>335</v>
      </c>
      <c r="E317" s="68">
        <v>316.66666666666669</v>
      </c>
      <c r="F317" s="68">
        <v>253.33333333333334</v>
      </c>
      <c r="G317" s="68">
        <v>285</v>
      </c>
      <c r="H317" s="68">
        <v>285</v>
      </c>
      <c r="I317" s="68">
        <v>238.33333333333334</v>
      </c>
      <c r="J317" s="68">
        <v>326.79767103347893</v>
      </c>
    </row>
    <row r="318" spans="1:10" x14ac:dyDescent="0.3">
      <c r="A318" s="69">
        <f t="shared" si="12"/>
        <v>40190</v>
      </c>
      <c r="B318" s="63">
        <v>4</v>
      </c>
      <c r="C318" s="68">
        <v>373.33333333333331</v>
      </c>
      <c r="D318" s="68">
        <v>337.5</v>
      </c>
      <c r="E318" s="68">
        <v>316.25</v>
      </c>
      <c r="F318" s="68">
        <v>248.75</v>
      </c>
      <c r="G318" s="68">
        <v>290</v>
      </c>
      <c r="H318" s="68">
        <v>290</v>
      </c>
      <c r="I318" s="68">
        <v>223.75</v>
      </c>
      <c r="J318" s="68">
        <v>306.80131004366808</v>
      </c>
    </row>
    <row r="319" spans="1:10" x14ac:dyDescent="0.3">
      <c r="A319" s="69">
        <f t="shared" si="12"/>
        <v>40197</v>
      </c>
      <c r="B319" s="63">
        <v>4</v>
      </c>
      <c r="C319" s="68">
        <v>358.75</v>
      </c>
      <c r="D319" s="68">
        <v>328.75</v>
      </c>
      <c r="E319" s="68">
        <v>321.25</v>
      </c>
      <c r="F319" s="68">
        <v>252.5</v>
      </c>
      <c r="G319" s="68">
        <v>300</v>
      </c>
      <c r="H319" s="68">
        <v>300</v>
      </c>
      <c r="I319" s="68">
        <v>228.75</v>
      </c>
      <c r="J319" s="68">
        <v>313.65720524017468</v>
      </c>
    </row>
    <row r="320" spans="1:10" x14ac:dyDescent="0.3">
      <c r="A320" s="69">
        <f t="shared" si="12"/>
        <v>40204</v>
      </c>
      <c r="B320" s="63">
        <v>4</v>
      </c>
      <c r="C320" s="68">
        <v>375</v>
      </c>
      <c r="D320" s="68">
        <v>327.5</v>
      </c>
      <c r="E320" s="68">
        <v>315</v>
      </c>
      <c r="F320" s="68">
        <v>263.33333333333331</v>
      </c>
      <c r="G320" s="68">
        <v>300</v>
      </c>
      <c r="H320" s="68">
        <v>300</v>
      </c>
      <c r="I320" s="68">
        <v>243.33333333333334</v>
      </c>
      <c r="J320" s="68">
        <v>333.65356622998542</v>
      </c>
    </row>
    <row r="321" spans="1:10" x14ac:dyDescent="0.3">
      <c r="A321" s="69">
        <f t="shared" si="12"/>
        <v>40211</v>
      </c>
      <c r="B321" s="63">
        <v>5</v>
      </c>
      <c r="C321" s="68">
        <v>361.66666666666669</v>
      </c>
      <c r="D321" s="68">
        <v>325</v>
      </c>
      <c r="E321" s="68">
        <v>313.33333333333331</v>
      </c>
      <c r="F321" s="68">
        <v>261.66666666666669</v>
      </c>
      <c r="G321" s="68">
        <v>296.66666666666669</v>
      </c>
      <c r="H321" s="68">
        <v>296.66666666666669</v>
      </c>
      <c r="I321" s="68">
        <v>238.33333333333334</v>
      </c>
      <c r="J321" s="68">
        <v>326.79767103347893</v>
      </c>
    </row>
    <row r="322" spans="1:10" x14ac:dyDescent="0.3">
      <c r="A322" s="69">
        <f t="shared" si="12"/>
        <v>40218</v>
      </c>
      <c r="B322" s="63">
        <v>5</v>
      </c>
      <c r="C322" s="63">
        <v>350</v>
      </c>
      <c r="D322" s="63">
        <v>318</v>
      </c>
      <c r="E322" s="68">
        <v>305</v>
      </c>
      <c r="F322" s="68">
        <v>250</v>
      </c>
      <c r="G322" s="68">
        <v>290</v>
      </c>
      <c r="H322" s="68">
        <v>290</v>
      </c>
      <c r="I322" s="68">
        <v>237</v>
      </c>
      <c r="J322" s="68">
        <v>325</v>
      </c>
    </row>
    <row r="323" spans="1:10" x14ac:dyDescent="0.3">
      <c r="A323" s="69">
        <f t="shared" si="12"/>
        <v>40225</v>
      </c>
      <c r="B323" s="63">
        <v>5</v>
      </c>
      <c r="C323" s="63">
        <v>343</v>
      </c>
      <c r="D323" s="63">
        <v>318</v>
      </c>
      <c r="E323" s="68">
        <v>305</v>
      </c>
      <c r="F323" s="68">
        <v>240</v>
      </c>
      <c r="G323" s="68">
        <v>273</v>
      </c>
      <c r="H323" s="68">
        <v>273</v>
      </c>
      <c r="I323" s="68">
        <v>210</v>
      </c>
      <c r="J323" s="68">
        <v>288</v>
      </c>
    </row>
    <row r="324" spans="1:10" x14ac:dyDescent="0.3">
      <c r="A324" s="69">
        <f t="shared" si="12"/>
        <v>40232</v>
      </c>
      <c r="B324" s="63">
        <v>5</v>
      </c>
      <c r="C324" s="68">
        <v>340</v>
      </c>
      <c r="D324" s="68">
        <v>313.75</v>
      </c>
      <c r="E324" s="68">
        <v>300</v>
      </c>
      <c r="F324" s="68">
        <v>211</v>
      </c>
      <c r="G324" s="68">
        <v>246</v>
      </c>
      <c r="H324" s="68">
        <v>246</v>
      </c>
      <c r="I324" s="68">
        <v>191</v>
      </c>
      <c r="J324" s="68">
        <v>261.89519650655023</v>
      </c>
    </row>
    <row r="325" spans="1:10" x14ac:dyDescent="0.3">
      <c r="A325" s="69">
        <f t="shared" si="12"/>
        <v>40239</v>
      </c>
      <c r="B325" s="63">
        <v>6</v>
      </c>
      <c r="C325" s="68">
        <v>342.5</v>
      </c>
      <c r="D325" s="68">
        <v>322.5</v>
      </c>
      <c r="E325" s="68">
        <v>311</v>
      </c>
      <c r="F325" s="68">
        <v>245</v>
      </c>
      <c r="G325" s="68">
        <v>250</v>
      </c>
      <c r="H325" s="68">
        <v>250</v>
      </c>
      <c r="I325" s="68">
        <v>220</v>
      </c>
      <c r="J325" s="68">
        <v>299.37409024745267</v>
      </c>
    </row>
    <row r="326" spans="1:10" x14ac:dyDescent="0.3">
      <c r="A326" s="69">
        <f t="shared" si="12"/>
        <v>40246</v>
      </c>
      <c r="B326" s="63">
        <v>6</v>
      </c>
      <c r="C326" s="68">
        <v>350</v>
      </c>
      <c r="D326" s="68">
        <v>318.75</v>
      </c>
      <c r="E326" s="68">
        <v>318.33333333333331</v>
      </c>
      <c r="F326" s="68">
        <v>251.66666666666666</v>
      </c>
      <c r="G326" s="68">
        <v>281.66666666666669</v>
      </c>
      <c r="H326" s="68">
        <v>281.66666666666669</v>
      </c>
      <c r="I326" s="68">
        <v>231.66666666666666</v>
      </c>
      <c r="J326" s="68">
        <v>317.65647743813679</v>
      </c>
    </row>
    <row r="327" spans="1:10" x14ac:dyDescent="0.3">
      <c r="A327" s="69">
        <f t="shared" si="12"/>
        <v>40253</v>
      </c>
      <c r="B327" s="63">
        <v>6</v>
      </c>
      <c r="C327" s="68">
        <v>346.66666666666669</v>
      </c>
      <c r="D327" s="68">
        <v>310</v>
      </c>
      <c r="E327" s="68">
        <v>300</v>
      </c>
      <c r="F327" s="68">
        <v>222.5</v>
      </c>
      <c r="G327" s="68">
        <v>257.5</v>
      </c>
      <c r="H327" s="68">
        <v>257.5</v>
      </c>
      <c r="I327" s="68">
        <v>220</v>
      </c>
      <c r="J327" s="68">
        <v>301.65938864628822</v>
      </c>
    </row>
    <row r="328" spans="1:10" x14ac:dyDescent="0.3">
      <c r="A328" s="69">
        <f t="shared" si="12"/>
        <v>40260</v>
      </c>
      <c r="B328" s="63">
        <v>6</v>
      </c>
      <c r="C328" s="68">
        <v>347.5</v>
      </c>
      <c r="D328" s="68">
        <v>305</v>
      </c>
      <c r="E328" s="68">
        <v>296.66666666666669</v>
      </c>
      <c r="F328" s="68">
        <v>226.66666666666666</v>
      </c>
      <c r="G328" s="68">
        <v>272.5</v>
      </c>
      <c r="H328" s="68">
        <v>272.5</v>
      </c>
      <c r="I328" s="68">
        <v>225</v>
      </c>
      <c r="J328" s="68">
        <v>308.51528384279476</v>
      </c>
    </row>
    <row r="329" spans="1:10" x14ac:dyDescent="0.3">
      <c r="A329" s="69">
        <f t="shared" si="12"/>
        <v>40267</v>
      </c>
      <c r="B329" s="63">
        <v>6</v>
      </c>
      <c r="C329" s="68">
        <v>338.33333333333331</v>
      </c>
      <c r="D329" s="68">
        <v>300</v>
      </c>
      <c r="E329" s="68">
        <v>285</v>
      </c>
      <c r="F329" s="68">
        <v>207.5</v>
      </c>
      <c r="G329" s="68">
        <v>241.25</v>
      </c>
      <c r="H329" s="68">
        <v>241.25</v>
      </c>
      <c r="I329" s="68">
        <v>197.5</v>
      </c>
      <c r="J329" s="68">
        <v>270.80786026200872</v>
      </c>
    </row>
    <row r="330" spans="1:10" x14ac:dyDescent="0.3">
      <c r="A330" s="69">
        <f t="shared" si="12"/>
        <v>40274</v>
      </c>
      <c r="B330" s="63">
        <v>7</v>
      </c>
      <c r="C330" s="68">
        <v>346.25</v>
      </c>
      <c r="D330" s="68">
        <v>311.25</v>
      </c>
      <c r="E330" s="68">
        <v>295</v>
      </c>
      <c r="F330" s="68">
        <v>228.75</v>
      </c>
      <c r="G330" s="68">
        <v>257.5</v>
      </c>
      <c r="H330" s="68">
        <v>257.5</v>
      </c>
      <c r="I330" s="68">
        <v>222.5</v>
      </c>
      <c r="J330" s="68">
        <v>305.08733624454152</v>
      </c>
    </row>
    <row r="331" spans="1:10" x14ac:dyDescent="0.3">
      <c r="A331" s="69">
        <f t="shared" si="12"/>
        <v>40281</v>
      </c>
      <c r="B331" s="63">
        <v>7</v>
      </c>
      <c r="C331" s="68">
        <v>343.75</v>
      </c>
      <c r="D331" s="68">
        <v>303.75</v>
      </c>
      <c r="E331" s="68">
        <v>296.25</v>
      </c>
      <c r="F331" s="68">
        <v>222.5</v>
      </c>
      <c r="G331" s="68">
        <v>256.25</v>
      </c>
      <c r="H331" s="68">
        <v>256.25</v>
      </c>
      <c r="I331" s="68">
        <v>212.5</v>
      </c>
      <c r="J331" s="68">
        <v>291.74672489082968</v>
      </c>
    </row>
    <row r="332" spans="1:10" x14ac:dyDescent="0.3">
      <c r="A332" s="69">
        <f t="shared" si="12"/>
        <v>40288</v>
      </c>
      <c r="B332" s="63">
        <v>7</v>
      </c>
      <c r="C332" s="68">
        <v>338.33333333333331</v>
      </c>
      <c r="D332" s="68">
        <v>300</v>
      </c>
      <c r="E332" s="68">
        <v>298.33333333333331</v>
      </c>
      <c r="F332" s="68">
        <v>228.33333333333334</v>
      </c>
      <c r="G332" s="68">
        <v>243.33333333333334</v>
      </c>
      <c r="H332" s="68">
        <v>243.33333333333334</v>
      </c>
      <c r="I332" s="68">
        <v>225</v>
      </c>
      <c r="J332" s="68">
        <v>308.51528384279476</v>
      </c>
    </row>
    <row r="333" spans="1:10" x14ac:dyDescent="0.3">
      <c r="A333" s="69">
        <f t="shared" si="12"/>
        <v>40295</v>
      </c>
      <c r="B333" s="63">
        <v>7</v>
      </c>
      <c r="C333" s="68">
        <v>346.66666666666669</v>
      </c>
      <c r="D333" s="68">
        <v>321.66666666666669</v>
      </c>
      <c r="E333" s="68">
        <v>318.33333333333331</v>
      </c>
      <c r="F333" s="68">
        <v>238.33333333333334</v>
      </c>
      <c r="G333" s="68">
        <v>291.66666666666669</v>
      </c>
      <c r="H333" s="68">
        <v>291.66666666666669</v>
      </c>
      <c r="I333" s="68">
        <v>221.66666666666666</v>
      </c>
      <c r="J333" s="68">
        <v>303.94468704512377</v>
      </c>
    </row>
    <row r="334" spans="1:10" x14ac:dyDescent="0.3">
      <c r="A334" s="69">
        <f t="shared" si="12"/>
        <v>40302</v>
      </c>
      <c r="B334" s="63">
        <v>8</v>
      </c>
      <c r="C334" s="68">
        <v>386.66666666666669</v>
      </c>
      <c r="D334" s="68">
        <v>378.33333333333331</v>
      </c>
      <c r="E334" s="68">
        <v>378.33333333333331</v>
      </c>
      <c r="F334" s="68">
        <v>303.33333333333331</v>
      </c>
      <c r="G334" s="68">
        <v>386.66666666666669</v>
      </c>
      <c r="H334" s="68">
        <v>386.66666666666669</v>
      </c>
      <c r="I334" s="68">
        <v>335</v>
      </c>
      <c r="J334" s="68">
        <v>459.34497816593893</v>
      </c>
    </row>
    <row r="335" spans="1:10" x14ac:dyDescent="0.3">
      <c r="A335" s="69">
        <f t="shared" si="12"/>
        <v>40309</v>
      </c>
      <c r="B335" s="63">
        <v>8</v>
      </c>
      <c r="C335" s="68">
        <v>437.5</v>
      </c>
      <c r="D335" s="68">
        <v>411.25</v>
      </c>
      <c r="E335" s="68">
        <v>411.25</v>
      </c>
      <c r="F335" s="68">
        <v>362.5</v>
      </c>
      <c r="G335" s="68">
        <v>402.5</v>
      </c>
      <c r="H335" s="68">
        <v>402.5</v>
      </c>
      <c r="I335" s="68">
        <v>357.5</v>
      </c>
      <c r="J335" s="68">
        <v>490.19650655021837</v>
      </c>
    </row>
    <row r="336" spans="1:10" x14ac:dyDescent="0.3">
      <c r="A336" s="69">
        <f t="shared" si="12"/>
        <v>40316</v>
      </c>
      <c r="B336" s="63">
        <v>8</v>
      </c>
      <c r="C336" s="68">
        <v>478.33333333333331</v>
      </c>
      <c r="D336" s="68">
        <v>433.33333333333331</v>
      </c>
      <c r="E336" s="68">
        <v>430</v>
      </c>
      <c r="F336" s="68">
        <v>370</v>
      </c>
      <c r="G336" s="68">
        <v>421.66666666666669</v>
      </c>
      <c r="H336" s="68">
        <v>421.66666666666669</v>
      </c>
      <c r="I336" s="68">
        <v>375</v>
      </c>
      <c r="J336" s="68">
        <v>514.19213973799128</v>
      </c>
    </row>
    <row r="337" spans="1:10" x14ac:dyDescent="0.3">
      <c r="A337" s="69">
        <f t="shared" si="12"/>
        <v>40323</v>
      </c>
      <c r="B337" s="63">
        <v>8</v>
      </c>
      <c r="C337" s="68">
        <v>445</v>
      </c>
      <c r="D337" s="68">
        <v>418.75</v>
      </c>
      <c r="E337" s="68">
        <v>418.75</v>
      </c>
      <c r="F337" s="68">
        <v>356.25</v>
      </c>
      <c r="G337" s="68">
        <v>406.25</v>
      </c>
      <c r="H337" s="68">
        <v>406.25</v>
      </c>
      <c r="I337" s="68">
        <v>361.25</v>
      </c>
      <c r="J337" s="68">
        <v>495.33842794759823</v>
      </c>
    </row>
    <row r="338" spans="1:10" x14ac:dyDescent="0.3">
      <c r="A338" s="69">
        <f t="shared" si="12"/>
        <v>40330</v>
      </c>
      <c r="B338" s="63">
        <v>9</v>
      </c>
      <c r="C338" s="68">
        <v>523</v>
      </c>
      <c r="D338" s="68">
        <v>518</v>
      </c>
      <c r="E338" s="68">
        <v>520</v>
      </c>
      <c r="F338" s="68">
        <v>493</v>
      </c>
      <c r="G338" s="68">
        <v>518</v>
      </c>
      <c r="H338" s="68">
        <v>518</v>
      </c>
      <c r="I338" s="68">
        <v>486</v>
      </c>
      <c r="J338" s="68">
        <v>667</v>
      </c>
    </row>
    <row r="339" spans="1:10" x14ac:dyDescent="0.3">
      <c r="A339" s="69">
        <f t="shared" si="12"/>
        <v>40337</v>
      </c>
      <c r="B339" s="63">
        <v>9</v>
      </c>
      <c r="C339" s="68">
        <v>525</v>
      </c>
      <c r="D339" s="68">
        <v>516.25</v>
      </c>
      <c r="E339" s="68">
        <v>512.5</v>
      </c>
      <c r="F339" s="68">
        <v>485</v>
      </c>
      <c r="G339" s="68">
        <v>517.5</v>
      </c>
      <c r="H339" s="68">
        <v>517.5</v>
      </c>
      <c r="I339" s="68">
        <v>488.75</v>
      </c>
      <c r="J339" s="68">
        <v>670.16375545851531</v>
      </c>
    </row>
    <row r="340" spans="1:10" x14ac:dyDescent="0.3">
      <c r="A340" s="69">
        <f t="shared" si="12"/>
        <v>40344</v>
      </c>
      <c r="B340" s="63">
        <v>9</v>
      </c>
      <c r="C340" s="68">
        <v>528.75</v>
      </c>
      <c r="D340" s="68">
        <v>518.75</v>
      </c>
      <c r="E340" s="68">
        <v>518.75</v>
      </c>
      <c r="F340" s="68">
        <v>495</v>
      </c>
      <c r="G340" s="68">
        <v>521.25</v>
      </c>
      <c r="H340" s="68">
        <v>521.25</v>
      </c>
      <c r="I340" s="68">
        <v>488.75</v>
      </c>
      <c r="J340" s="68">
        <v>670.16375545851531</v>
      </c>
    </row>
    <row r="341" spans="1:10" x14ac:dyDescent="0.3">
      <c r="A341" s="69">
        <f t="shared" si="12"/>
        <v>40351</v>
      </c>
      <c r="B341" s="63">
        <v>9</v>
      </c>
      <c r="C341" s="68">
        <v>531.66666666666663</v>
      </c>
      <c r="D341" s="68">
        <v>521.66666666666663</v>
      </c>
      <c r="E341" s="68">
        <v>521.66666666666663</v>
      </c>
      <c r="F341" s="68">
        <v>493.33333333333331</v>
      </c>
      <c r="G341" s="68">
        <v>526.66666666666663</v>
      </c>
      <c r="H341" s="68">
        <v>526.66666666666663</v>
      </c>
      <c r="I341" s="68">
        <v>485</v>
      </c>
      <c r="J341" s="68">
        <v>665.02183406113545</v>
      </c>
    </row>
    <row r="342" spans="1:10" x14ac:dyDescent="0.3">
      <c r="A342" s="69">
        <f t="shared" si="12"/>
        <v>40358</v>
      </c>
      <c r="B342" s="63">
        <v>9</v>
      </c>
      <c r="C342" s="68">
        <v>533</v>
      </c>
      <c r="D342" s="68">
        <v>519</v>
      </c>
      <c r="E342" s="68">
        <v>517</v>
      </c>
      <c r="F342" s="68">
        <v>489</v>
      </c>
      <c r="G342" s="68">
        <v>522</v>
      </c>
      <c r="H342" s="68">
        <v>522</v>
      </c>
      <c r="I342" s="68">
        <v>498</v>
      </c>
      <c r="J342" s="68">
        <v>682.84716157205241</v>
      </c>
    </row>
    <row r="343" spans="1:10" x14ac:dyDescent="0.3">
      <c r="A343" s="69">
        <f t="shared" si="12"/>
        <v>40365</v>
      </c>
      <c r="B343" s="63">
        <v>10</v>
      </c>
      <c r="C343" s="63">
        <v>550</v>
      </c>
      <c r="D343" s="63">
        <v>539</v>
      </c>
      <c r="E343" s="68">
        <v>541</v>
      </c>
      <c r="F343" s="68">
        <v>497</v>
      </c>
      <c r="G343" s="68">
        <v>539</v>
      </c>
      <c r="H343" s="68">
        <v>539</v>
      </c>
      <c r="I343" s="68">
        <v>490</v>
      </c>
      <c r="J343" s="68">
        <v>672</v>
      </c>
    </row>
    <row r="344" spans="1:10" x14ac:dyDescent="0.3">
      <c r="A344" s="69">
        <f t="shared" si="12"/>
        <v>40372</v>
      </c>
      <c r="B344" s="63">
        <v>10</v>
      </c>
      <c r="C344" s="68">
        <v>573.75</v>
      </c>
      <c r="D344" s="68">
        <v>552.5</v>
      </c>
      <c r="E344" s="68">
        <v>550</v>
      </c>
      <c r="F344" s="68">
        <v>517.5</v>
      </c>
      <c r="G344" s="68">
        <v>547.5</v>
      </c>
      <c r="H344" s="68">
        <v>547.5</v>
      </c>
      <c r="I344" s="68">
        <v>500</v>
      </c>
      <c r="J344" s="68">
        <v>685.58951965065512</v>
      </c>
    </row>
    <row r="345" spans="1:10" x14ac:dyDescent="0.3">
      <c r="A345" s="69">
        <f t="shared" si="12"/>
        <v>40379</v>
      </c>
      <c r="B345" s="63">
        <v>10</v>
      </c>
      <c r="C345" s="68">
        <v>541.25</v>
      </c>
      <c r="D345" s="68">
        <v>557.5</v>
      </c>
      <c r="E345" s="68">
        <v>557.5</v>
      </c>
      <c r="F345" s="68">
        <v>532.5</v>
      </c>
      <c r="G345" s="68">
        <v>560</v>
      </c>
      <c r="H345" s="68">
        <v>560</v>
      </c>
      <c r="I345" s="68">
        <v>526.25</v>
      </c>
      <c r="J345" s="68">
        <v>721.58296943231437</v>
      </c>
    </row>
    <row r="346" spans="1:10" x14ac:dyDescent="0.3">
      <c r="A346" s="69">
        <f t="shared" si="12"/>
        <v>40386</v>
      </c>
      <c r="B346" s="63">
        <v>10</v>
      </c>
      <c r="C346" s="68">
        <v>570</v>
      </c>
      <c r="D346" s="68">
        <v>556.66666666666663</v>
      </c>
      <c r="E346" s="68">
        <v>555</v>
      </c>
      <c r="F346" s="68">
        <v>536.66666666666663</v>
      </c>
      <c r="G346" s="68">
        <v>558.33333333333337</v>
      </c>
      <c r="H346" s="68">
        <v>558.33333333333337</v>
      </c>
      <c r="I346" s="68">
        <v>528.33333333333337</v>
      </c>
      <c r="J346" s="68">
        <v>695.53129548762729</v>
      </c>
    </row>
    <row r="347" spans="1:10" x14ac:dyDescent="0.3">
      <c r="A347" s="69">
        <f t="shared" si="12"/>
        <v>40393</v>
      </c>
      <c r="B347" s="63">
        <v>11</v>
      </c>
      <c r="C347" s="68">
        <v>522.5</v>
      </c>
      <c r="D347" s="68">
        <v>453.75</v>
      </c>
      <c r="E347" s="68">
        <v>450</v>
      </c>
      <c r="F347" s="68">
        <v>380</v>
      </c>
      <c r="G347" s="68">
        <v>447.5</v>
      </c>
      <c r="H347" s="68">
        <v>447.5</v>
      </c>
      <c r="I347" s="68">
        <v>385</v>
      </c>
      <c r="J347" s="68">
        <v>527.90393013100436</v>
      </c>
    </row>
    <row r="348" spans="1:10" x14ac:dyDescent="0.3">
      <c r="A348" s="69">
        <f t="shared" si="12"/>
        <v>40400</v>
      </c>
      <c r="B348" s="63">
        <v>11</v>
      </c>
      <c r="C348" s="68">
        <v>591.25</v>
      </c>
      <c r="D348" s="68">
        <v>471</v>
      </c>
      <c r="E348" s="68">
        <v>468</v>
      </c>
      <c r="F348" s="68">
        <v>384</v>
      </c>
      <c r="G348" s="68">
        <v>462</v>
      </c>
      <c r="H348" s="68">
        <v>462</v>
      </c>
      <c r="I348" s="68">
        <v>365</v>
      </c>
      <c r="J348" s="68">
        <v>500.48034934497821</v>
      </c>
    </row>
    <row r="349" spans="1:10" x14ac:dyDescent="0.3">
      <c r="A349" s="69">
        <f t="shared" si="12"/>
        <v>40407</v>
      </c>
      <c r="B349" s="63">
        <v>11</v>
      </c>
      <c r="C349" s="68">
        <v>535</v>
      </c>
      <c r="D349" s="68">
        <v>468.75</v>
      </c>
      <c r="E349" s="68">
        <v>462.5</v>
      </c>
      <c r="F349" s="68">
        <v>367.5</v>
      </c>
      <c r="G349" s="68">
        <v>466.25</v>
      </c>
      <c r="H349" s="68">
        <v>466.25</v>
      </c>
      <c r="I349" s="68">
        <v>397.5</v>
      </c>
      <c r="J349" s="68">
        <v>466.20633187772927</v>
      </c>
    </row>
    <row r="350" spans="1:10" x14ac:dyDescent="0.3">
      <c r="A350" s="69">
        <f t="shared" si="12"/>
        <v>40414</v>
      </c>
      <c r="B350" s="63">
        <v>11</v>
      </c>
      <c r="C350" s="68">
        <v>608.33333333333337</v>
      </c>
      <c r="D350" s="68">
        <v>470</v>
      </c>
      <c r="E350" s="68">
        <v>462.5</v>
      </c>
      <c r="F350" s="68">
        <v>386.25</v>
      </c>
      <c r="G350" s="68">
        <v>460</v>
      </c>
      <c r="H350" s="68">
        <v>460</v>
      </c>
      <c r="I350" s="68">
        <v>366.25</v>
      </c>
      <c r="J350" s="68">
        <v>401.75545851528386</v>
      </c>
    </row>
    <row r="351" spans="1:10" x14ac:dyDescent="0.3">
      <c r="A351" s="69">
        <f t="shared" si="12"/>
        <v>40421</v>
      </c>
      <c r="B351" s="63">
        <v>11</v>
      </c>
      <c r="C351" s="68">
        <v>616.66666666666663</v>
      </c>
      <c r="D351" s="68">
        <v>468.75</v>
      </c>
      <c r="E351" s="68">
        <v>458.75</v>
      </c>
      <c r="F351" s="68">
        <v>386.25</v>
      </c>
      <c r="G351" s="68">
        <v>463.75</v>
      </c>
      <c r="H351" s="68">
        <v>463.75</v>
      </c>
      <c r="I351" s="68">
        <v>366.25</v>
      </c>
      <c r="J351" s="68">
        <v>502.19432314410477</v>
      </c>
    </row>
    <row r="352" spans="1:10" x14ac:dyDescent="0.3">
      <c r="A352" s="69">
        <f t="shared" si="12"/>
        <v>40428</v>
      </c>
      <c r="B352" s="63">
        <v>12</v>
      </c>
      <c r="C352" s="68"/>
      <c r="D352" s="68"/>
      <c r="E352" s="68">
        <v>418.75</v>
      </c>
      <c r="F352" s="68">
        <v>325</v>
      </c>
      <c r="G352" s="68">
        <v>371.25</v>
      </c>
      <c r="H352" s="68">
        <v>371.25</v>
      </c>
      <c r="I352" s="68">
        <v>302.5</v>
      </c>
      <c r="J352" s="68">
        <v>414.78165938864629</v>
      </c>
    </row>
    <row r="353" spans="1:10" x14ac:dyDescent="0.3">
      <c r="A353" s="69">
        <f t="shared" si="12"/>
        <v>40435</v>
      </c>
      <c r="B353" s="63">
        <v>12</v>
      </c>
      <c r="E353" s="68">
        <v>419</v>
      </c>
      <c r="F353" s="68">
        <v>323</v>
      </c>
      <c r="G353" s="68">
        <v>372</v>
      </c>
      <c r="H353" s="68">
        <v>372</v>
      </c>
      <c r="I353" s="68">
        <v>307</v>
      </c>
      <c r="J353" s="68">
        <v>420</v>
      </c>
    </row>
    <row r="354" spans="1:10" x14ac:dyDescent="0.3">
      <c r="A354" s="69">
        <f t="shared" ref="A354:A359" si="14">7+A353</f>
        <v>40442</v>
      </c>
      <c r="B354" s="63">
        <v>12</v>
      </c>
      <c r="E354" s="68">
        <v>405</v>
      </c>
      <c r="F354" s="68">
        <v>320</v>
      </c>
      <c r="G354" s="68">
        <v>366.25</v>
      </c>
      <c r="H354" s="68">
        <v>366.25</v>
      </c>
      <c r="I354" s="68">
        <v>311.25</v>
      </c>
      <c r="J354" s="68">
        <v>426.77947598253274</v>
      </c>
    </row>
    <row r="355" spans="1:10" x14ac:dyDescent="0.3">
      <c r="A355" s="69">
        <f t="shared" si="14"/>
        <v>40449</v>
      </c>
      <c r="B355" s="63">
        <v>12</v>
      </c>
      <c r="E355" s="68">
        <v>405</v>
      </c>
      <c r="F355" s="68">
        <v>308.75</v>
      </c>
      <c r="G355" s="68">
        <v>360</v>
      </c>
      <c r="H355" s="68">
        <v>360</v>
      </c>
      <c r="I355" s="68">
        <v>290</v>
      </c>
      <c r="J355" s="68">
        <v>397.64192139737992</v>
      </c>
    </row>
    <row r="356" spans="1:10" x14ac:dyDescent="0.3">
      <c r="A356" s="69">
        <f t="shared" si="14"/>
        <v>40456</v>
      </c>
      <c r="B356" s="63">
        <v>1</v>
      </c>
      <c r="E356" s="68">
        <v>406.25</v>
      </c>
      <c r="F356" s="68">
        <v>305</v>
      </c>
      <c r="G356" s="68">
        <v>363.75</v>
      </c>
      <c r="H356" s="68">
        <v>363.75</v>
      </c>
      <c r="I356" s="68">
        <v>286.25</v>
      </c>
      <c r="J356" s="68">
        <v>392.5</v>
      </c>
    </row>
    <row r="357" spans="1:10" x14ac:dyDescent="0.3">
      <c r="A357" s="69">
        <f t="shared" si="14"/>
        <v>40463</v>
      </c>
      <c r="B357" s="63">
        <v>1</v>
      </c>
      <c r="E357" s="68">
        <v>411.25</v>
      </c>
      <c r="F357" s="68">
        <v>302.5</v>
      </c>
      <c r="G357" s="68">
        <v>367.5</v>
      </c>
      <c r="H357" s="68">
        <v>367.5</v>
      </c>
      <c r="I357" s="68">
        <v>287.5</v>
      </c>
      <c r="J357" s="68">
        <v>394.21397379912662</v>
      </c>
    </row>
    <row r="358" spans="1:10" x14ac:dyDescent="0.3">
      <c r="A358" s="69">
        <f t="shared" si="14"/>
        <v>40470</v>
      </c>
      <c r="B358" s="63">
        <v>1</v>
      </c>
      <c r="E358" s="68">
        <v>410</v>
      </c>
      <c r="F358" s="68">
        <v>306.66666666666669</v>
      </c>
      <c r="G358" s="68">
        <v>365</v>
      </c>
      <c r="H358" s="68">
        <v>365</v>
      </c>
      <c r="I358" s="68">
        <v>280</v>
      </c>
      <c r="J358" s="68">
        <v>287.94759825327509</v>
      </c>
    </row>
    <row r="359" spans="1:10" x14ac:dyDescent="0.3">
      <c r="A359" s="69">
        <f t="shared" si="14"/>
        <v>40477</v>
      </c>
      <c r="B359" s="63">
        <v>1</v>
      </c>
      <c r="E359" s="68">
        <v>408.75</v>
      </c>
      <c r="F359" s="68">
        <v>301.25</v>
      </c>
      <c r="G359" s="68">
        <v>362.5</v>
      </c>
      <c r="H359" s="68">
        <v>362.5</v>
      </c>
      <c r="I359" s="68">
        <v>275</v>
      </c>
      <c r="J359" s="68">
        <v>377.07423580786025</v>
      </c>
    </row>
    <row r="360" spans="1:10" x14ac:dyDescent="0.3">
      <c r="A360" s="69">
        <f t="shared" ref="A360:A411" si="15">7+A359</f>
        <v>40484</v>
      </c>
      <c r="B360" s="63">
        <v>2</v>
      </c>
      <c r="E360" s="68">
        <v>393.75</v>
      </c>
      <c r="F360" s="68">
        <v>303.75</v>
      </c>
      <c r="G360" s="68">
        <v>347.5</v>
      </c>
      <c r="H360" s="68">
        <v>347.5</v>
      </c>
      <c r="I360" s="68">
        <v>273.75</v>
      </c>
      <c r="J360" s="68">
        <v>375.36026200873363</v>
      </c>
    </row>
    <row r="361" spans="1:10" x14ac:dyDescent="0.3">
      <c r="A361" s="69">
        <f t="shared" si="15"/>
        <v>40491</v>
      </c>
      <c r="B361" s="63">
        <v>2</v>
      </c>
      <c r="E361" s="68">
        <v>401.66666666666669</v>
      </c>
      <c r="F361" s="68">
        <v>313.33333333333331</v>
      </c>
      <c r="G361" s="68">
        <v>356.66666666666669</v>
      </c>
      <c r="H361" s="68">
        <v>356.66666666666669</v>
      </c>
      <c r="I361" s="68">
        <v>286.66666666666669</v>
      </c>
      <c r="J361" s="68">
        <v>393.07132459970893</v>
      </c>
    </row>
    <row r="362" spans="1:10" x14ac:dyDescent="0.3">
      <c r="A362" s="69">
        <f t="shared" si="15"/>
        <v>40498</v>
      </c>
      <c r="B362" s="63">
        <v>2</v>
      </c>
      <c r="E362" s="68">
        <v>397.5</v>
      </c>
      <c r="F362" s="68">
        <v>307.5</v>
      </c>
      <c r="G362" s="68">
        <v>355</v>
      </c>
      <c r="H362" s="68">
        <v>355</v>
      </c>
      <c r="I362" s="68">
        <v>276.25</v>
      </c>
      <c r="J362" s="68">
        <v>378.78820960698692</v>
      </c>
    </row>
    <row r="363" spans="1:10" x14ac:dyDescent="0.3">
      <c r="A363" s="69">
        <f t="shared" si="15"/>
        <v>40505</v>
      </c>
      <c r="B363" s="63">
        <v>2</v>
      </c>
      <c r="E363" s="68">
        <v>412.5</v>
      </c>
      <c r="F363" s="68">
        <v>328.75</v>
      </c>
      <c r="G363" s="68">
        <v>385</v>
      </c>
      <c r="H363" s="68">
        <v>385</v>
      </c>
      <c r="I363" s="68">
        <v>305</v>
      </c>
      <c r="J363" s="68">
        <v>418.20960698689953</v>
      </c>
    </row>
    <row r="364" spans="1:10" x14ac:dyDescent="0.3">
      <c r="A364" s="69">
        <f t="shared" si="15"/>
        <v>40512</v>
      </c>
      <c r="B364" s="63">
        <v>2</v>
      </c>
      <c r="E364" s="68">
        <v>431.25</v>
      </c>
      <c r="F364" s="68">
        <v>333.75</v>
      </c>
      <c r="G364" s="68">
        <v>391.25</v>
      </c>
      <c r="H364" s="68">
        <v>385</v>
      </c>
      <c r="I364" s="68">
        <v>316.25</v>
      </c>
      <c r="J364" s="68">
        <v>433.63537117903928</v>
      </c>
    </row>
    <row r="365" spans="1:10" x14ac:dyDescent="0.3">
      <c r="A365" s="69">
        <f t="shared" si="15"/>
        <v>40519</v>
      </c>
      <c r="B365" s="63">
        <v>3</v>
      </c>
      <c r="D365" s="63">
        <v>392</v>
      </c>
      <c r="E365" s="68">
        <v>385</v>
      </c>
      <c r="F365" s="68">
        <v>300</v>
      </c>
      <c r="G365" s="68">
        <v>370</v>
      </c>
      <c r="H365" s="68">
        <v>370</v>
      </c>
      <c r="I365" s="68">
        <v>289</v>
      </c>
      <c r="J365" s="68">
        <v>396</v>
      </c>
    </row>
    <row r="366" spans="1:10" x14ac:dyDescent="0.3">
      <c r="A366" s="69">
        <f t="shared" si="15"/>
        <v>40526</v>
      </c>
      <c r="B366" s="63">
        <v>3</v>
      </c>
      <c r="E366" s="68">
        <v>378.75</v>
      </c>
      <c r="F366" s="68">
        <v>310</v>
      </c>
      <c r="G366" s="68">
        <v>380</v>
      </c>
      <c r="H366" s="68">
        <v>380</v>
      </c>
      <c r="I366" s="68">
        <v>296.25</v>
      </c>
      <c r="J366" s="68">
        <v>406.21179039301313</v>
      </c>
    </row>
    <row r="367" spans="1:10" x14ac:dyDescent="0.3">
      <c r="A367" s="69">
        <f t="shared" si="15"/>
        <v>40533</v>
      </c>
      <c r="B367" s="63">
        <v>3</v>
      </c>
      <c r="D367" s="63">
        <v>380</v>
      </c>
      <c r="E367" s="68">
        <v>373.75</v>
      </c>
      <c r="F367" s="68">
        <v>312.5</v>
      </c>
      <c r="G367" s="68">
        <v>342.5</v>
      </c>
      <c r="H367" s="68">
        <v>342.5</v>
      </c>
      <c r="I367" s="68">
        <v>278.75</v>
      </c>
      <c r="J367" s="68">
        <v>382.21615720524022</v>
      </c>
    </row>
    <row r="368" spans="1:10" x14ac:dyDescent="0.3">
      <c r="A368" s="69">
        <f t="shared" si="15"/>
        <v>40540</v>
      </c>
      <c r="B368" s="63">
        <v>3</v>
      </c>
      <c r="D368" s="68">
        <v>376.66666666666669</v>
      </c>
      <c r="E368" s="68">
        <v>365</v>
      </c>
      <c r="F368" s="68">
        <v>295</v>
      </c>
      <c r="G368" s="68">
        <v>358.33333333333331</v>
      </c>
      <c r="H368" s="68">
        <v>358.33333333333331</v>
      </c>
      <c r="I368" s="68">
        <v>275</v>
      </c>
      <c r="J368" s="68">
        <v>377.07423580786025</v>
      </c>
    </row>
    <row r="369" spans="1:10" x14ac:dyDescent="0.3">
      <c r="A369" s="69">
        <f t="shared" si="15"/>
        <v>40547</v>
      </c>
      <c r="B369" s="63">
        <v>4</v>
      </c>
      <c r="C369" s="68">
        <v>412.5</v>
      </c>
      <c r="D369" s="68">
        <v>371.25</v>
      </c>
      <c r="E369" s="68">
        <v>358.75</v>
      </c>
      <c r="F369" s="68">
        <v>280</v>
      </c>
      <c r="G369" s="68">
        <v>343.75</v>
      </c>
      <c r="H369" s="68">
        <v>343.75</v>
      </c>
      <c r="I369" s="68">
        <v>253.75</v>
      </c>
      <c r="J369" s="68">
        <v>347.93668122270742</v>
      </c>
    </row>
    <row r="370" spans="1:10" x14ac:dyDescent="0.3">
      <c r="A370" s="69">
        <f t="shared" si="15"/>
        <v>40554</v>
      </c>
      <c r="B370" s="63">
        <v>4</v>
      </c>
      <c r="C370" s="68">
        <v>412.5</v>
      </c>
      <c r="D370" s="68">
        <v>370</v>
      </c>
      <c r="E370" s="68">
        <v>362.5</v>
      </c>
      <c r="F370" s="68">
        <v>283.75</v>
      </c>
      <c r="G370" s="68">
        <v>340</v>
      </c>
      <c r="H370" s="68">
        <v>340</v>
      </c>
      <c r="I370" s="68">
        <v>262.5</v>
      </c>
      <c r="J370" s="68">
        <v>359.93449781659393</v>
      </c>
    </row>
    <row r="371" spans="1:10" x14ac:dyDescent="0.3">
      <c r="A371" s="69">
        <f t="shared" si="15"/>
        <v>40561</v>
      </c>
      <c r="B371" s="63">
        <v>4</v>
      </c>
      <c r="C371" s="88">
        <v>410</v>
      </c>
      <c r="D371" s="88">
        <v>380</v>
      </c>
      <c r="E371" s="88">
        <v>367.5</v>
      </c>
      <c r="F371" s="88">
        <v>290</v>
      </c>
      <c r="G371" s="88">
        <v>338.75</v>
      </c>
      <c r="H371" s="88">
        <v>338.75</v>
      </c>
      <c r="I371" s="88">
        <v>272.5</v>
      </c>
      <c r="J371" s="88">
        <v>373.64628820960695</v>
      </c>
    </row>
    <row r="372" spans="1:10" x14ac:dyDescent="0.3">
      <c r="A372" s="69">
        <f t="shared" si="15"/>
        <v>40568</v>
      </c>
      <c r="B372" s="63">
        <v>4</v>
      </c>
      <c r="C372" s="88">
        <v>425</v>
      </c>
      <c r="D372" s="88">
        <v>387.5</v>
      </c>
      <c r="E372" s="88">
        <v>377.5</v>
      </c>
      <c r="F372" s="88">
        <v>283.75</v>
      </c>
      <c r="G372" s="88">
        <v>343.75</v>
      </c>
      <c r="H372" s="88">
        <v>343.75</v>
      </c>
      <c r="I372" s="88">
        <v>277.5</v>
      </c>
      <c r="J372" s="88">
        <v>380.50218340611355</v>
      </c>
    </row>
    <row r="373" spans="1:10" x14ac:dyDescent="0.3">
      <c r="A373" s="69">
        <f t="shared" si="15"/>
        <v>40575</v>
      </c>
      <c r="B373" s="63">
        <v>5</v>
      </c>
      <c r="C373" s="68">
        <v>395</v>
      </c>
      <c r="D373" s="68">
        <v>293.75</v>
      </c>
      <c r="E373" s="68">
        <v>333.75</v>
      </c>
      <c r="F373" s="68">
        <v>333.75</v>
      </c>
      <c r="G373" s="68">
        <v>278.75</v>
      </c>
      <c r="H373" s="68">
        <v>382.21615720524017</v>
      </c>
      <c r="I373" s="68">
        <v>278.75</v>
      </c>
      <c r="J373" s="68">
        <v>382.21615720524017</v>
      </c>
    </row>
    <row r="374" spans="1:10" x14ac:dyDescent="0.3">
      <c r="A374" s="69">
        <f t="shared" si="15"/>
        <v>40582</v>
      </c>
      <c r="B374" s="63">
        <v>5</v>
      </c>
      <c r="C374" s="68">
        <v>440</v>
      </c>
      <c r="D374" s="68">
        <v>403.33333333333331</v>
      </c>
      <c r="E374" s="68">
        <v>393.33333333333331</v>
      </c>
      <c r="F374" s="68">
        <v>300</v>
      </c>
      <c r="G374" s="68">
        <v>358.33333333333331</v>
      </c>
      <c r="H374" s="68">
        <v>358.33333333333331</v>
      </c>
      <c r="I374" s="68">
        <v>276.66666666666669</v>
      </c>
      <c r="J374" s="68">
        <v>379.3595342066958</v>
      </c>
    </row>
    <row r="375" spans="1:10" x14ac:dyDescent="0.3">
      <c r="A375" s="69">
        <f t="shared" si="15"/>
        <v>40589</v>
      </c>
      <c r="B375" s="63">
        <v>5</v>
      </c>
      <c r="C375" s="88">
        <v>452.5</v>
      </c>
      <c r="D375" s="88">
        <v>421.25</v>
      </c>
      <c r="E375" s="88">
        <v>402.5</v>
      </c>
      <c r="F375" s="88">
        <v>331.25</v>
      </c>
      <c r="G375" s="88">
        <v>398.75</v>
      </c>
      <c r="H375" s="88">
        <v>398.75</v>
      </c>
      <c r="I375" s="88">
        <v>298.75</v>
      </c>
      <c r="J375" s="88">
        <v>409.63973799126637</v>
      </c>
    </row>
    <row r="376" spans="1:10" x14ac:dyDescent="0.3">
      <c r="A376" s="69">
        <f t="shared" si="15"/>
        <v>40596</v>
      </c>
      <c r="B376" s="63">
        <v>5</v>
      </c>
      <c r="C376" s="88">
        <v>455</v>
      </c>
      <c r="D376" s="88">
        <v>416.66666666666669</v>
      </c>
      <c r="E376" s="88">
        <v>412.5</v>
      </c>
      <c r="F376" s="88">
        <v>318.33333333333331</v>
      </c>
      <c r="G376" s="88">
        <v>400</v>
      </c>
      <c r="H376" s="88">
        <v>400</v>
      </c>
      <c r="I376" s="88">
        <v>295</v>
      </c>
      <c r="J376" s="88">
        <v>404.49781659388645</v>
      </c>
    </row>
    <row r="377" spans="1:10" x14ac:dyDescent="0.3">
      <c r="A377" s="69">
        <f t="shared" si="15"/>
        <v>40603</v>
      </c>
      <c r="B377" s="63">
        <v>6</v>
      </c>
      <c r="C377" s="88">
        <v>466.66666666666669</v>
      </c>
      <c r="D377" s="88">
        <v>415</v>
      </c>
      <c r="E377" s="88">
        <v>416.66666666666669</v>
      </c>
      <c r="F377" s="88">
        <v>311.66666666666669</v>
      </c>
      <c r="G377" s="88">
        <v>378.33333333333331</v>
      </c>
      <c r="H377" s="88">
        <v>378.33333333333331</v>
      </c>
      <c r="I377" s="88">
        <v>295</v>
      </c>
      <c r="J377" s="88">
        <v>404.49781659388645</v>
      </c>
    </row>
    <row r="378" spans="1:10" x14ac:dyDescent="0.3">
      <c r="A378" s="69">
        <f t="shared" si="15"/>
        <v>40610</v>
      </c>
      <c r="B378" s="63">
        <v>6</v>
      </c>
      <c r="C378" s="88">
        <v>521.66666666666663</v>
      </c>
      <c r="D378" s="88">
        <v>475</v>
      </c>
      <c r="E378" s="88">
        <v>465</v>
      </c>
      <c r="F378" s="88">
        <v>396.66666666666669</v>
      </c>
      <c r="G378" s="88">
        <v>453.33333333333331</v>
      </c>
      <c r="H378" s="88">
        <v>453.33333333333331</v>
      </c>
      <c r="I378" s="88">
        <v>361.66666666666669</v>
      </c>
      <c r="J378" s="88">
        <v>495.90975254730711</v>
      </c>
    </row>
    <row r="379" spans="1:10" x14ac:dyDescent="0.3">
      <c r="A379" s="69">
        <f t="shared" si="15"/>
        <v>40617</v>
      </c>
      <c r="B379" s="63">
        <v>6</v>
      </c>
      <c r="C379" s="88">
        <v>521.66666666666663</v>
      </c>
      <c r="D379" s="88">
        <v>475</v>
      </c>
      <c r="E379" s="88">
        <v>463.33333333333331</v>
      </c>
      <c r="F379" s="88">
        <v>376.66666666666669</v>
      </c>
      <c r="G379" s="88">
        <v>441.66666666666669</v>
      </c>
      <c r="H379" s="88">
        <v>441.66666666666669</v>
      </c>
      <c r="I379" s="88">
        <v>358.33333333333331</v>
      </c>
      <c r="J379" s="88">
        <v>491.33915574963612</v>
      </c>
    </row>
    <row r="380" spans="1:10" x14ac:dyDescent="0.3">
      <c r="A380" s="69">
        <f t="shared" si="15"/>
        <v>40624</v>
      </c>
      <c r="B380" s="63">
        <v>6</v>
      </c>
      <c r="C380" s="88">
        <v>526.66666666666663</v>
      </c>
      <c r="D380" s="88">
        <v>480</v>
      </c>
      <c r="E380" s="88">
        <v>468.33333333333331</v>
      </c>
      <c r="F380" s="88">
        <v>361.66666666666669</v>
      </c>
      <c r="G380" s="88">
        <v>416.66666666666669</v>
      </c>
      <c r="H380" s="88">
        <v>416.66666666666669</v>
      </c>
      <c r="I380" s="88">
        <v>338.33333333333331</v>
      </c>
      <c r="J380" s="88">
        <v>463.91557496360991</v>
      </c>
    </row>
    <row r="381" spans="1:10" x14ac:dyDescent="0.3">
      <c r="A381" s="69">
        <f t="shared" si="15"/>
        <v>40631</v>
      </c>
      <c r="B381" s="63">
        <v>6</v>
      </c>
      <c r="C381" s="113">
        <v>533.33333333333337</v>
      </c>
      <c r="D381" s="113">
        <v>473.33333333333331</v>
      </c>
      <c r="E381" s="113">
        <v>468.33333333333331</v>
      </c>
      <c r="F381" s="113">
        <v>353.33333333333331</v>
      </c>
      <c r="G381" s="113">
        <v>436.66666666666669</v>
      </c>
      <c r="H381" s="113">
        <v>436.66666666666669</v>
      </c>
      <c r="I381" s="113">
        <v>331.66666666666669</v>
      </c>
      <c r="J381" s="113">
        <v>454.77438136826783</v>
      </c>
    </row>
    <row r="382" spans="1:10" x14ac:dyDescent="0.3">
      <c r="A382" s="69">
        <f t="shared" si="15"/>
        <v>40638</v>
      </c>
      <c r="B382" s="63">
        <v>7</v>
      </c>
      <c r="C382" s="68">
        <v>536.66666666666663</v>
      </c>
      <c r="D382" s="68">
        <v>471.66666666666669</v>
      </c>
      <c r="E382" s="68">
        <v>471.66666666666669</v>
      </c>
      <c r="F382" s="68">
        <v>363.33333333333331</v>
      </c>
      <c r="G382" s="68">
        <v>466.66666666666669</v>
      </c>
      <c r="H382" s="68">
        <v>466.66666666666669</v>
      </c>
      <c r="I382" s="68">
        <v>350</v>
      </c>
      <c r="J382" s="68">
        <v>479.91266375545848</v>
      </c>
    </row>
    <row r="383" spans="1:10" x14ac:dyDescent="0.3">
      <c r="A383" s="69">
        <f t="shared" si="15"/>
        <v>40645</v>
      </c>
      <c r="B383" s="63">
        <v>7</v>
      </c>
      <c r="C383" s="88">
        <v>541.66666666666663</v>
      </c>
      <c r="D383" s="88">
        <v>495</v>
      </c>
      <c r="E383" s="88">
        <v>486.66666666666669</v>
      </c>
      <c r="F383" s="88">
        <v>373.33333333333331</v>
      </c>
      <c r="G383" s="88">
        <v>466.66666666666669</v>
      </c>
      <c r="H383" s="88">
        <v>466.66666666666669</v>
      </c>
      <c r="I383" s="88">
        <v>341.66666666666669</v>
      </c>
      <c r="J383" s="88">
        <v>468.4861717612809</v>
      </c>
    </row>
    <row r="384" spans="1:10" x14ac:dyDescent="0.3">
      <c r="A384" s="69">
        <f t="shared" si="15"/>
        <v>40652</v>
      </c>
      <c r="B384" s="63">
        <v>7</v>
      </c>
      <c r="C384" s="68">
        <v>516.66666666666663</v>
      </c>
      <c r="D384" s="68">
        <v>475</v>
      </c>
      <c r="E384" s="68">
        <v>475</v>
      </c>
      <c r="F384" s="68">
        <v>375</v>
      </c>
      <c r="G384" s="68">
        <v>441.66666666666669</v>
      </c>
      <c r="H384" s="68">
        <v>441.66666666666669</v>
      </c>
      <c r="I384" s="68">
        <v>341.66666666666669</v>
      </c>
      <c r="J384" s="68">
        <v>468.4861717612809</v>
      </c>
    </row>
    <row r="385" spans="1:10" x14ac:dyDescent="0.3">
      <c r="A385" s="69">
        <f t="shared" si="15"/>
        <v>40659</v>
      </c>
      <c r="B385" s="63">
        <v>7</v>
      </c>
      <c r="C385" s="63">
        <v>533</v>
      </c>
      <c r="D385" s="63">
        <v>470</v>
      </c>
      <c r="E385" s="68">
        <v>453</v>
      </c>
      <c r="F385" s="68">
        <v>362</v>
      </c>
      <c r="G385" s="68">
        <v>400</v>
      </c>
      <c r="H385" s="68">
        <v>400</v>
      </c>
    </row>
    <row r="386" spans="1:10" x14ac:dyDescent="0.3">
      <c r="A386" s="69">
        <f t="shared" si="15"/>
        <v>40666</v>
      </c>
      <c r="B386" s="63">
        <v>8</v>
      </c>
      <c r="C386" s="63">
        <v>550</v>
      </c>
      <c r="D386" s="63">
        <v>492</v>
      </c>
      <c r="E386" s="68">
        <v>502</v>
      </c>
      <c r="F386" s="68">
        <v>375</v>
      </c>
      <c r="G386" s="68">
        <v>475</v>
      </c>
      <c r="H386" s="68">
        <v>475</v>
      </c>
    </row>
    <row r="387" spans="1:10" x14ac:dyDescent="0.3">
      <c r="A387" s="69">
        <f t="shared" si="15"/>
        <v>40673</v>
      </c>
      <c r="B387" s="63">
        <v>8</v>
      </c>
      <c r="C387" s="115">
        <v>575</v>
      </c>
      <c r="D387" s="115">
        <v>541.66666666666663</v>
      </c>
      <c r="E387" s="115">
        <v>533.33333333333337</v>
      </c>
      <c r="F387" s="115">
        <v>491.66666666666669</v>
      </c>
      <c r="G387" s="115">
        <v>550</v>
      </c>
      <c r="H387" s="115">
        <v>550</v>
      </c>
      <c r="I387" s="115">
        <v>483.33333333333331</v>
      </c>
    </row>
    <row r="388" spans="1:10" x14ac:dyDescent="0.3">
      <c r="A388" s="69">
        <f t="shared" si="15"/>
        <v>40680</v>
      </c>
      <c r="B388" s="63">
        <v>8</v>
      </c>
      <c r="C388" s="115">
        <v>600</v>
      </c>
      <c r="D388" s="115">
        <v>525</v>
      </c>
      <c r="E388" s="115">
        <v>525</v>
      </c>
      <c r="F388" s="115">
        <v>420</v>
      </c>
      <c r="G388" s="115">
        <v>537.5</v>
      </c>
      <c r="H388" s="115">
        <v>537.5</v>
      </c>
      <c r="I388" s="115">
        <v>432.5</v>
      </c>
    </row>
    <row r="389" spans="1:10" x14ac:dyDescent="0.3">
      <c r="A389" s="69">
        <f t="shared" si="15"/>
        <v>40687</v>
      </c>
      <c r="B389" s="63">
        <v>8</v>
      </c>
      <c r="C389" s="68">
        <v>537.5</v>
      </c>
      <c r="D389" s="68">
        <v>483.33333333333331</v>
      </c>
      <c r="E389" s="68">
        <v>483.33333333333331</v>
      </c>
      <c r="F389" s="68">
        <v>425</v>
      </c>
      <c r="G389" s="68">
        <v>480</v>
      </c>
      <c r="H389" s="68">
        <v>480</v>
      </c>
      <c r="I389" s="68">
        <v>412.5</v>
      </c>
    </row>
    <row r="390" spans="1:10" x14ac:dyDescent="0.3">
      <c r="A390" s="69">
        <f t="shared" si="15"/>
        <v>40694</v>
      </c>
      <c r="B390" s="63">
        <v>8</v>
      </c>
      <c r="C390" s="63">
        <v>563</v>
      </c>
      <c r="D390" s="63">
        <v>500</v>
      </c>
      <c r="E390" s="68">
        <v>498</v>
      </c>
      <c r="F390" s="68">
        <v>423</v>
      </c>
      <c r="G390" s="68">
        <v>500</v>
      </c>
      <c r="H390" s="68">
        <v>500</v>
      </c>
      <c r="I390" s="68">
        <v>413</v>
      </c>
    </row>
    <row r="391" spans="1:10" x14ac:dyDescent="0.3">
      <c r="A391" s="69">
        <f t="shared" si="15"/>
        <v>40701</v>
      </c>
      <c r="B391" s="63">
        <v>9</v>
      </c>
      <c r="C391" s="68">
        <v>650</v>
      </c>
      <c r="D391" s="68">
        <v>637.5</v>
      </c>
      <c r="E391" s="68">
        <v>637.5</v>
      </c>
      <c r="F391" s="68">
        <v>602.5</v>
      </c>
      <c r="G391" s="68">
        <v>645</v>
      </c>
      <c r="H391" s="68">
        <v>645</v>
      </c>
      <c r="I391" s="68">
        <v>600</v>
      </c>
    </row>
    <row r="392" spans="1:10" x14ac:dyDescent="0.3">
      <c r="A392" s="69">
        <f t="shared" si="15"/>
        <v>40708</v>
      </c>
      <c r="B392" s="63">
        <v>9</v>
      </c>
      <c r="C392" s="63">
        <v>585</v>
      </c>
      <c r="D392" s="63">
        <v>612.5</v>
      </c>
      <c r="E392" s="63">
        <v>662.5</v>
      </c>
      <c r="F392" s="63">
        <v>625</v>
      </c>
      <c r="G392" s="63">
        <v>600</v>
      </c>
      <c r="H392" s="63">
        <v>600</v>
      </c>
      <c r="I392" s="63">
        <v>455</v>
      </c>
    </row>
    <row r="393" spans="1:10" x14ac:dyDescent="0.3">
      <c r="A393" s="69">
        <f t="shared" si="15"/>
        <v>40715</v>
      </c>
      <c r="B393" s="63">
        <v>9</v>
      </c>
      <c r="C393" s="115">
        <v>605</v>
      </c>
      <c r="D393" s="115">
        <v>562.5</v>
      </c>
      <c r="E393" s="115">
        <v>577.5</v>
      </c>
      <c r="F393" s="115">
        <v>562.5</v>
      </c>
      <c r="G393" s="115">
        <v>537.5</v>
      </c>
      <c r="H393" s="115">
        <v>537.5</v>
      </c>
      <c r="I393" s="115">
        <v>485</v>
      </c>
      <c r="J393" s="115">
        <v>665.02183406113545</v>
      </c>
    </row>
    <row r="394" spans="1:10" x14ac:dyDescent="0.3">
      <c r="A394" s="69">
        <f t="shared" si="15"/>
        <v>40722</v>
      </c>
      <c r="B394" s="63">
        <v>9</v>
      </c>
      <c r="C394" s="68">
        <v>658.33333333333337</v>
      </c>
      <c r="D394" s="68">
        <v>596.66666666666663</v>
      </c>
      <c r="E394" s="68">
        <v>596.66666666666663</v>
      </c>
      <c r="F394" s="68">
        <v>560</v>
      </c>
      <c r="G394" s="68">
        <v>618.33333333333337</v>
      </c>
      <c r="H394" s="68">
        <v>618.33333333333337</v>
      </c>
      <c r="I394" s="68">
        <v>558.33333333333337</v>
      </c>
      <c r="J394" s="68">
        <v>574.18122270742356</v>
      </c>
    </row>
    <row r="395" spans="1:10" x14ac:dyDescent="0.3">
      <c r="A395" s="69">
        <f t="shared" si="15"/>
        <v>40729</v>
      </c>
      <c r="B395" s="63">
        <v>10</v>
      </c>
      <c r="C395" s="68">
        <v>708.33333333333337</v>
      </c>
      <c r="D395" s="68">
        <v>670</v>
      </c>
      <c r="E395" s="68">
        <v>666.66666666666663</v>
      </c>
      <c r="F395" s="68">
        <v>608.33333333333337</v>
      </c>
      <c r="G395" s="68">
        <v>666.66666666666663</v>
      </c>
      <c r="H395" s="68">
        <v>666.66666666666663</v>
      </c>
      <c r="I395" s="68">
        <v>600</v>
      </c>
      <c r="J395" s="68">
        <v>617.03056768558952</v>
      </c>
    </row>
    <row r="396" spans="1:10" x14ac:dyDescent="0.3">
      <c r="A396" s="69">
        <f t="shared" si="15"/>
        <v>40736</v>
      </c>
      <c r="B396" s="63">
        <v>10</v>
      </c>
      <c r="C396" s="68">
        <v>700</v>
      </c>
      <c r="D396" s="68">
        <v>692.5</v>
      </c>
      <c r="E396" s="68">
        <v>680</v>
      </c>
      <c r="F396" s="68">
        <v>635</v>
      </c>
      <c r="G396" s="68">
        <v>700</v>
      </c>
      <c r="H396" s="68">
        <v>700</v>
      </c>
      <c r="I396" s="68">
        <v>575</v>
      </c>
      <c r="J396" s="68">
        <v>788.42794759825324</v>
      </c>
    </row>
    <row r="397" spans="1:10" x14ac:dyDescent="0.3">
      <c r="A397" s="69">
        <f t="shared" si="15"/>
        <v>40743</v>
      </c>
      <c r="B397" s="63">
        <v>10</v>
      </c>
      <c r="C397" s="68">
        <v>662.5</v>
      </c>
      <c r="D397" s="68">
        <v>651.66666666666663</v>
      </c>
      <c r="E397" s="68">
        <v>646.66666666666663</v>
      </c>
      <c r="F397" s="68">
        <v>600</v>
      </c>
      <c r="G397" s="68">
        <v>637.5</v>
      </c>
      <c r="H397" s="68">
        <v>675</v>
      </c>
      <c r="I397" s="68">
        <v>595</v>
      </c>
      <c r="J397" s="68">
        <v>815.8515283842795</v>
      </c>
    </row>
    <row r="398" spans="1:10" x14ac:dyDescent="0.3">
      <c r="A398" s="69">
        <f t="shared" si="15"/>
        <v>40750</v>
      </c>
      <c r="B398" s="63">
        <v>10</v>
      </c>
      <c r="C398" s="68">
        <v>712.5</v>
      </c>
      <c r="D398" s="68">
        <v>650</v>
      </c>
      <c r="E398" s="68">
        <v>650</v>
      </c>
      <c r="F398" s="68">
        <v>592.5</v>
      </c>
      <c r="G398" s="68">
        <v>690</v>
      </c>
      <c r="H398" s="68">
        <v>690</v>
      </c>
      <c r="I398" s="68">
        <v>570</v>
      </c>
      <c r="J398" s="68">
        <v>781.57205240174676</v>
      </c>
    </row>
    <row r="399" spans="1:10" x14ac:dyDescent="0.3">
      <c r="A399" s="69">
        <f t="shared" si="15"/>
        <v>40757</v>
      </c>
      <c r="B399" s="63">
        <v>11</v>
      </c>
      <c r="C399" s="68">
        <v>688.33333333333337</v>
      </c>
      <c r="D399" s="68">
        <v>661.66666666666663</v>
      </c>
      <c r="E399" s="68">
        <v>658.33333333333337</v>
      </c>
      <c r="F399" s="68">
        <v>613.33333333333337</v>
      </c>
      <c r="G399" s="68">
        <v>666.66666666666663</v>
      </c>
      <c r="H399" s="68">
        <v>666.66666666666663</v>
      </c>
      <c r="I399" s="68">
        <v>566.66666666666663</v>
      </c>
      <c r="J399" s="68">
        <v>777.00145560407566</v>
      </c>
    </row>
    <row r="400" spans="1:10" x14ac:dyDescent="0.3">
      <c r="A400" s="69">
        <f t="shared" si="15"/>
        <v>40764</v>
      </c>
      <c r="B400" s="63">
        <v>11</v>
      </c>
      <c r="C400" s="68">
        <v>662.5</v>
      </c>
      <c r="D400" s="68">
        <v>575</v>
      </c>
      <c r="E400" s="68">
        <v>537.5</v>
      </c>
      <c r="F400" s="68">
        <v>487.5</v>
      </c>
      <c r="G400" s="68">
        <v>487.5</v>
      </c>
      <c r="H400" s="68">
        <v>487.5</v>
      </c>
      <c r="I400" s="68">
        <v>375</v>
      </c>
      <c r="J400" s="68">
        <v>514</v>
      </c>
    </row>
    <row r="401" spans="1:10" x14ac:dyDescent="0.3">
      <c r="A401" s="69">
        <f t="shared" si="15"/>
        <v>40771</v>
      </c>
      <c r="B401" s="63">
        <v>11</v>
      </c>
      <c r="C401" s="68">
        <v>612.5</v>
      </c>
      <c r="D401" s="68">
        <v>525</v>
      </c>
      <c r="E401" s="68">
        <v>533.33333333333337</v>
      </c>
      <c r="F401" s="68">
        <v>442.5</v>
      </c>
      <c r="G401" s="68">
        <v>502.5</v>
      </c>
      <c r="H401" s="68">
        <v>502.5</v>
      </c>
      <c r="I401" s="68">
        <v>405</v>
      </c>
      <c r="J401" s="68">
        <v>555.32751091703062</v>
      </c>
    </row>
    <row r="402" spans="1:10" x14ac:dyDescent="0.3">
      <c r="A402" s="69">
        <f t="shared" si="15"/>
        <v>40778</v>
      </c>
      <c r="B402" s="63">
        <v>11</v>
      </c>
      <c r="C402" s="63">
        <v>620</v>
      </c>
      <c r="D402" s="68">
        <v>561.66666666666663</v>
      </c>
      <c r="E402" s="68">
        <v>546.66666666666663</v>
      </c>
      <c r="F402" s="68">
        <v>443.33333333333331</v>
      </c>
      <c r="G402" s="68">
        <v>505</v>
      </c>
      <c r="H402" s="68">
        <v>505</v>
      </c>
      <c r="I402" s="68">
        <v>421.66666666666669</v>
      </c>
      <c r="J402" s="68">
        <v>565.61135371179034</v>
      </c>
    </row>
    <row r="403" spans="1:10" x14ac:dyDescent="0.3">
      <c r="A403" s="69">
        <f t="shared" si="15"/>
        <v>40785</v>
      </c>
      <c r="B403" s="63">
        <v>11</v>
      </c>
      <c r="C403" s="68">
        <v>583.33333333333337</v>
      </c>
      <c r="D403" s="68">
        <v>530</v>
      </c>
      <c r="E403" s="68">
        <v>508.33333333333331</v>
      </c>
      <c r="F403" s="68">
        <v>423.33333333333331</v>
      </c>
      <c r="G403" s="68">
        <v>491.66666666666669</v>
      </c>
      <c r="H403" s="68">
        <v>491.66666666666669</v>
      </c>
      <c r="I403" s="68">
        <v>393.33333333333331</v>
      </c>
      <c r="J403" s="68">
        <v>539.33042212518194</v>
      </c>
    </row>
    <row r="404" spans="1:10" x14ac:dyDescent="0.3">
      <c r="A404" s="69">
        <f t="shared" si="15"/>
        <v>40792</v>
      </c>
      <c r="B404" s="63">
        <v>12</v>
      </c>
      <c r="C404" s="68"/>
      <c r="D404" s="68"/>
      <c r="E404" s="68">
        <v>450</v>
      </c>
      <c r="F404" s="68">
        <v>400</v>
      </c>
      <c r="G404" s="68">
        <v>445</v>
      </c>
      <c r="H404" s="68">
        <v>445</v>
      </c>
      <c r="I404" s="68">
        <v>355</v>
      </c>
      <c r="J404" s="68">
        <v>486.76855895196508</v>
      </c>
    </row>
    <row r="405" spans="1:10" x14ac:dyDescent="0.3">
      <c r="A405" s="69">
        <f t="shared" si="15"/>
        <v>40799</v>
      </c>
      <c r="B405" s="63">
        <v>12</v>
      </c>
      <c r="E405" s="68">
        <v>452.5</v>
      </c>
      <c r="F405" s="68">
        <v>385</v>
      </c>
      <c r="G405" s="68">
        <v>443.75</v>
      </c>
      <c r="H405" s="68">
        <v>443.75</v>
      </c>
      <c r="I405" s="68">
        <v>350</v>
      </c>
      <c r="J405" s="68">
        <v>479.91266375545848</v>
      </c>
    </row>
    <row r="406" spans="1:10" x14ac:dyDescent="0.3">
      <c r="A406" s="69">
        <f t="shared" si="15"/>
        <v>40806</v>
      </c>
      <c r="B406" s="63">
        <v>12</v>
      </c>
      <c r="E406" s="116">
        <v>470</v>
      </c>
      <c r="F406" s="116">
        <v>388.33333333333331</v>
      </c>
      <c r="G406" s="116">
        <v>453.33333333333331</v>
      </c>
      <c r="H406" s="116">
        <v>453.33333333333331</v>
      </c>
      <c r="I406" s="116">
        <v>350</v>
      </c>
      <c r="J406" s="116">
        <v>479.91266375545848</v>
      </c>
    </row>
    <row r="407" spans="1:10" x14ac:dyDescent="0.3">
      <c r="A407" s="69">
        <f t="shared" si="15"/>
        <v>40813</v>
      </c>
      <c r="B407" s="63">
        <v>12</v>
      </c>
      <c r="E407" s="116">
        <v>461.66666666666669</v>
      </c>
      <c r="F407" s="116">
        <v>380</v>
      </c>
      <c r="G407" s="116">
        <v>446.66666666666669</v>
      </c>
      <c r="H407" s="116">
        <v>446.66666666666669</v>
      </c>
      <c r="I407" s="116">
        <v>360</v>
      </c>
      <c r="J407" s="116">
        <v>493.62445414847161</v>
      </c>
    </row>
    <row r="408" spans="1:10" x14ac:dyDescent="0.3">
      <c r="A408" s="69">
        <f t="shared" si="15"/>
        <v>40820</v>
      </c>
      <c r="B408" s="63">
        <v>1</v>
      </c>
      <c r="E408" s="115">
        <v>465</v>
      </c>
      <c r="F408" s="115">
        <v>370</v>
      </c>
      <c r="G408" s="115">
        <v>451.66666666666669</v>
      </c>
      <c r="H408" s="115">
        <v>451.66666666666669</v>
      </c>
      <c r="I408" s="115">
        <v>343.33333333333331</v>
      </c>
      <c r="J408" s="115">
        <v>470.77147016011645</v>
      </c>
    </row>
    <row r="409" spans="1:10" x14ac:dyDescent="0.3">
      <c r="A409" s="69">
        <f t="shared" si="15"/>
        <v>40827</v>
      </c>
      <c r="B409" s="63">
        <v>1</v>
      </c>
      <c r="E409" s="115">
        <v>450</v>
      </c>
      <c r="F409" s="115">
        <v>360</v>
      </c>
      <c r="G409" s="115">
        <v>443.75</v>
      </c>
      <c r="H409" s="115">
        <v>443.75</v>
      </c>
      <c r="I409" s="115">
        <v>337.5</v>
      </c>
      <c r="J409" s="115">
        <v>468.4861717612809</v>
      </c>
    </row>
    <row r="410" spans="1:10" x14ac:dyDescent="0.3">
      <c r="A410" s="69">
        <f t="shared" si="15"/>
        <v>40834</v>
      </c>
      <c r="B410" s="63">
        <v>1</v>
      </c>
      <c r="E410" s="117">
        <v>447</v>
      </c>
      <c r="F410" s="117">
        <v>363</v>
      </c>
      <c r="G410" s="117">
        <v>425</v>
      </c>
      <c r="H410" s="117">
        <v>425</v>
      </c>
      <c r="I410" s="117">
        <v>327</v>
      </c>
      <c r="J410" s="117">
        <v>448</v>
      </c>
    </row>
    <row r="411" spans="1:10" x14ac:dyDescent="0.3">
      <c r="A411" s="69">
        <f t="shared" si="15"/>
        <v>40841</v>
      </c>
      <c r="B411" s="63">
        <v>1</v>
      </c>
      <c r="E411" s="118">
        <v>450</v>
      </c>
      <c r="F411" s="118">
        <v>330</v>
      </c>
      <c r="G411" s="118">
        <v>413.33333333333331</v>
      </c>
      <c r="H411" s="118">
        <v>413.33333333333331</v>
      </c>
      <c r="I411" s="118">
        <v>281.66666666666669</v>
      </c>
      <c r="J411" s="118">
        <v>386.21542940320234</v>
      </c>
    </row>
    <row r="412" spans="1:10" x14ac:dyDescent="0.3">
      <c r="A412" s="69">
        <f t="shared" ref="A412:A417" si="16">7+A411</f>
        <v>40848</v>
      </c>
      <c r="B412" s="63">
        <v>2</v>
      </c>
      <c r="E412" s="68">
        <v>433</v>
      </c>
      <c r="F412" s="68">
        <v>328</v>
      </c>
      <c r="G412" s="68">
        <v>353</v>
      </c>
      <c r="H412" s="68">
        <v>377</v>
      </c>
      <c r="I412" s="68">
        <v>302</v>
      </c>
      <c r="J412" s="68">
        <v>414</v>
      </c>
    </row>
    <row r="413" spans="1:10" x14ac:dyDescent="0.3">
      <c r="A413" s="69">
        <f t="shared" si="16"/>
        <v>40855</v>
      </c>
      <c r="B413" s="63">
        <v>2</v>
      </c>
      <c r="E413" s="68">
        <v>430</v>
      </c>
      <c r="F413" s="68">
        <v>338.33333333333331</v>
      </c>
      <c r="G413" s="68">
        <v>391.66666666666669</v>
      </c>
      <c r="H413" s="68">
        <v>391.66666666666669</v>
      </c>
      <c r="I413" s="68">
        <v>300</v>
      </c>
      <c r="J413" s="68">
        <v>411.35371179039299</v>
      </c>
    </row>
    <row r="414" spans="1:10" x14ac:dyDescent="0.3">
      <c r="A414" s="69">
        <f t="shared" si="16"/>
        <v>40862</v>
      </c>
      <c r="B414" s="63">
        <v>2</v>
      </c>
      <c r="E414" s="119">
        <v>428</v>
      </c>
      <c r="F414" s="119">
        <v>320</v>
      </c>
      <c r="G414" s="119">
        <v>380</v>
      </c>
      <c r="H414" s="119">
        <v>380</v>
      </c>
      <c r="I414" s="119">
        <v>292</v>
      </c>
      <c r="J414" s="119">
        <v>400</v>
      </c>
    </row>
    <row r="415" spans="1:10" x14ac:dyDescent="0.3">
      <c r="A415" s="69">
        <f t="shared" si="16"/>
        <v>40869</v>
      </c>
      <c r="B415" s="63">
        <v>2</v>
      </c>
      <c r="E415" s="68">
        <v>428</v>
      </c>
      <c r="F415" s="68">
        <v>295</v>
      </c>
      <c r="G415" s="68">
        <v>395</v>
      </c>
      <c r="H415" s="68">
        <v>395</v>
      </c>
      <c r="I415" s="68">
        <v>273</v>
      </c>
      <c r="J415" s="68">
        <v>374</v>
      </c>
    </row>
    <row r="416" spans="1:10" x14ac:dyDescent="0.3">
      <c r="A416" s="69">
        <f t="shared" si="16"/>
        <v>40876</v>
      </c>
      <c r="B416" s="63">
        <v>2</v>
      </c>
      <c r="E416" s="68">
        <v>413.33333333333331</v>
      </c>
      <c r="F416" s="68">
        <v>301.66666666666669</v>
      </c>
      <c r="G416" s="68">
        <v>378.33333333333331</v>
      </c>
      <c r="H416" s="68">
        <v>378.33333333333331</v>
      </c>
      <c r="I416" s="68">
        <v>278.33333333333331</v>
      </c>
      <c r="J416" s="68">
        <v>381.64483260553129</v>
      </c>
    </row>
    <row r="417" spans="1:10" x14ac:dyDescent="0.3">
      <c r="A417" s="69">
        <f t="shared" si="16"/>
        <v>40883</v>
      </c>
      <c r="B417" s="63">
        <v>3</v>
      </c>
      <c r="D417" s="63">
        <v>418</v>
      </c>
      <c r="E417" s="68">
        <v>420</v>
      </c>
      <c r="F417" s="68">
        <v>300</v>
      </c>
      <c r="G417" s="68">
        <v>375</v>
      </c>
      <c r="H417" s="68">
        <v>375</v>
      </c>
      <c r="I417" s="68">
        <v>300</v>
      </c>
      <c r="J417" s="68">
        <v>411</v>
      </c>
    </row>
    <row r="418" spans="1:10" x14ac:dyDescent="0.3">
      <c r="A418" s="69">
        <f t="shared" ref="A418:A477" si="17">7+A417</f>
        <v>40890</v>
      </c>
      <c r="B418" s="63">
        <v>3</v>
      </c>
      <c r="D418" s="63">
        <v>398</v>
      </c>
      <c r="E418" s="117">
        <v>397</v>
      </c>
      <c r="F418" s="117">
        <v>285</v>
      </c>
      <c r="G418" s="117">
        <v>358</v>
      </c>
      <c r="H418" s="117">
        <v>358</v>
      </c>
      <c r="I418" s="117">
        <v>258</v>
      </c>
      <c r="J418" s="117">
        <v>354</v>
      </c>
    </row>
    <row r="419" spans="1:10" x14ac:dyDescent="0.3">
      <c r="A419" s="69">
        <f t="shared" si="17"/>
        <v>40897</v>
      </c>
      <c r="B419" s="63">
        <v>3</v>
      </c>
      <c r="D419" s="63">
        <v>403</v>
      </c>
      <c r="E419" s="68">
        <v>393</v>
      </c>
      <c r="F419" s="68">
        <v>277</v>
      </c>
      <c r="G419" s="68">
        <v>352</v>
      </c>
      <c r="H419" s="68">
        <v>352</v>
      </c>
      <c r="I419" s="68">
        <v>242</v>
      </c>
      <c r="J419" s="68">
        <v>331</v>
      </c>
    </row>
    <row r="420" spans="1:10" x14ac:dyDescent="0.3">
      <c r="A420" s="69">
        <f t="shared" si="17"/>
        <v>40904</v>
      </c>
      <c r="B420" s="63">
        <v>3</v>
      </c>
      <c r="D420" s="63">
        <v>400</v>
      </c>
      <c r="E420" s="63">
        <v>350</v>
      </c>
      <c r="F420" s="63">
        <v>245</v>
      </c>
      <c r="G420" s="63">
        <v>325</v>
      </c>
      <c r="H420" s="63">
        <v>325</v>
      </c>
      <c r="I420" s="63">
        <v>232.5</v>
      </c>
      <c r="J420" s="63">
        <v>318.79912663755459</v>
      </c>
    </row>
    <row r="421" spans="1:10" x14ac:dyDescent="0.3">
      <c r="A421" s="69">
        <f t="shared" si="17"/>
        <v>40911</v>
      </c>
      <c r="B421" s="63">
        <v>4</v>
      </c>
      <c r="C421" s="116">
        <v>425</v>
      </c>
      <c r="D421" s="116">
        <v>386.66666666666669</v>
      </c>
      <c r="E421" s="116">
        <v>331.66666666666669</v>
      </c>
      <c r="F421" s="116">
        <v>260</v>
      </c>
      <c r="G421" s="116">
        <v>338.33333333333331</v>
      </c>
      <c r="H421" s="116">
        <v>338.33333333333331</v>
      </c>
      <c r="I421" s="116">
        <v>235</v>
      </c>
      <c r="J421" s="116">
        <v>322.22707423580783</v>
      </c>
    </row>
    <row r="422" spans="1:10" x14ac:dyDescent="0.3">
      <c r="A422" s="69">
        <f t="shared" si="17"/>
        <v>40918</v>
      </c>
      <c r="B422" s="63">
        <v>4</v>
      </c>
      <c r="C422" s="116">
        <v>433.33333333333331</v>
      </c>
      <c r="D422" s="116">
        <v>381.66666666666669</v>
      </c>
      <c r="E422" s="116">
        <v>358.33333333333331</v>
      </c>
      <c r="F422" s="116">
        <v>265</v>
      </c>
      <c r="G422" s="116">
        <v>336.66666666666669</v>
      </c>
      <c r="H422" s="116">
        <v>336.66666666666669</v>
      </c>
      <c r="I422" s="116">
        <v>235</v>
      </c>
      <c r="J422" s="116">
        <v>322.22707423580783</v>
      </c>
    </row>
    <row r="423" spans="1:10" x14ac:dyDescent="0.3">
      <c r="A423" s="69">
        <f t="shared" si="17"/>
        <v>40925</v>
      </c>
      <c r="B423" s="63">
        <v>4</v>
      </c>
      <c r="C423" s="68">
        <v>421.66666666666669</v>
      </c>
      <c r="D423" s="68">
        <v>383.33333333333331</v>
      </c>
      <c r="E423" s="68">
        <v>373.33333333333331</v>
      </c>
      <c r="F423" s="68">
        <v>278.33333333333331</v>
      </c>
      <c r="G423" s="68">
        <v>335</v>
      </c>
      <c r="H423" s="68">
        <v>335</v>
      </c>
      <c r="I423" s="68">
        <v>243.33333333333334</v>
      </c>
      <c r="J423" s="68">
        <v>333.65356622998547</v>
      </c>
    </row>
    <row r="424" spans="1:10" x14ac:dyDescent="0.3">
      <c r="A424" s="69">
        <f t="shared" si="17"/>
        <v>40932</v>
      </c>
      <c r="B424" s="63">
        <v>4</v>
      </c>
      <c r="C424" s="63">
        <v>422</v>
      </c>
      <c r="D424" s="63">
        <v>383</v>
      </c>
      <c r="E424" s="68">
        <v>368</v>
      </c>
      <c r="F424" s="68">
        <v>315</v>
      </c>
      <c r="G424" s="68">
        <v>343</v>
      </c>
      <c r="H424" s="68">
        <v>343</v>
      </c>
      <c r="I424" s="68">
        <v>235</v>
      </c>
      <c r="J424" s="68">
        <v>293</v>
      </c>
    </row>
    <row r="425" spans="1:10" x14ac:dyDescent="0.3">
      <c r="A425" s="69">
        <f t="shared" si="17"/>
        <v>40939</v>
      </c>
      <c r="B425" s="63">
        <v>4</v>
      </c>
      <c r="C425" s="63">
        <v>432</v>
      </c>
      <c r="D425" s="63">
        <v>388</v>
      </c>
      <c r="E425" s="68">
        <v>380</v>
      </c>
      <c r="F425" s="68">
        <v>298</v>
      </c>
      <c r="G425" s="68">
        <v>347</v>
      </c>
      <c r="H425" s="68">
        <v>347</v>
      </c>
      <c r="I425" s="68">
        <v>245</v>
      </c>
      <c r="J425" s="68">
        <v>302</v>
      </c>
    </row>
    <row r="426" spans="1:10" x14ac:dyDescent="0.3">
      <c r="A426" s="69">
        <f t="shared" si="17"/>
        <v>40946</v>
      </c>
      <c r="B426" s="63">
        <v>5</v>
      </c>
      <c r="C426" s="118">
        <v>426.25</v>
      </c>
      <c r="D426" s="118">
        <v>380</v>
      </c>
      <c r="E426" s="118">
        <v>377.5</v>
      </c>
      <c r="F426" s="118">
        <v>283.75</v>
      </c>
      <c r="G426" s="118">
        <v>343.75</v>
      </c>
      <c r="H426" s="118">
        <v>371.25</v>
      </c>
      <c r="I426" s="118">
        <v>243.75</v>
      </c>
      <c r="J426" s="118">
        <v>308.52983988355169</v>
      </c>
    </row>
    <row r="427" spans="1:10" x14ac:dyDescent="0.3">
      <c r="A427" s="69">
        <f t="shared" si="17"/>
        <v>40953</v>
      </c>
      <c r="B427" s="63">
        <v>5</v>
      </c>
      <c r="C427" s="118">
        <v>431.66666666666669</v>
      </c>
      <c r="D427" s="118">
        <v>386.66666666666669</v>
      </c>
      <c r="E427" s="118">
        <v>385</v>
      </c>
      <c r="F427" s="118">
        <v>280</v>
      </c>
      <c r="G427" s="118">
        <v>343.33333333333331</v>
      </c>
      <c r="H427" s="118">
        <v>343.33333333333331</v>
      </c>
      <c r="I427" s="118">
        <v>250</v>
      </c>
      <c r="J427" s="118">
        <v>342.7947598253275</v>
      </c>
    </row>
    <row r="428" spans="1:10" x14ac:dyDescent="0.3">
      <c r="A428" s="69">
        <f t="shared" si="17"/>
        <v>40960</v>
      </c>
      <c r="B428" s="63">
        <v>5</v>
      </c>
      <c r="C428" s="63">
        <v>447</v>
      </c>
      <c r="D428" s="63">
        <v>403</v>
      </c>
      <c r="E428" s="68">
        <v>387</v>
      </c>
      <c r="F428" s="68">
        <v>260</v>
      </c>
      <c r="G428" s="68">
        <v>330</v>
      </c>
      <c r="H428" s="68">
        <v>335</v>
      </c>
      <c r="I428" s="68">
        <v>247</v>
      </c>
      <c r="J428" s="68">
        <v>338</v>
      </c>
    </row>
    <row r="429" spans="1:10" x14ac:dyDescent="0.3">
      <c r="A429" s="69">
        <f t="shared" si="17"/>
        <v>40967</v>
      </c>
      <c r="B429" s="63">
        <v>5</v>
      </c>
      <c r="C429" s="63">
        <v>435</v>
      </c>
      <c r="D429" s="63">
        <v>392</v>
      </c>
      <c r="E429" s="68">
        <v>377</v>
      </c>
      <c r="F429" s="68">
        <v>272</v>
      </c>
      <c r="G429" s="68">
        <v>337</v>
      </c>
      <c r="H429" s="68">
        <v>337</v>
      </c>
      <c r="I429" s="68">
        <v>237</v>
      </c>
      <c r="J429" s="68">
        <v>325</v>
      </c>
    </row>
    <row r="430" spans="1:10" x14ac:dyDescent="0.3">
      <c r="A430" s="69">
        <f t="shared" si="17"/>
        <v>40974</v>
      </c>
      <c r="B430" s="63">
        <v>6</v>
      </c>
      <c r="C430" s="63">
        <v>428</v>
      </c>
      <c r="D430" s="63">
        <v>385</v>
      </c>
      <c r="E430" s="68">
        <v>355</v>
      </c>
      <c r="F430" s="68">
        <v>267</v>
      </c>
      <c r="G430" s="68">
        <v>342</v>
      </c>
      <c r="H430" s="68">
        <v>342</v>
      </c>
      <c r="I430" s="68">
        <v>242</v>
      </c>
      <c r="J430" s="68">
        <v>331</v>
      </c>
    </row>
    <row r="431" spans="1:10" x14ac:dyDescent="0.3">
      <c r="A431" s="69">
        <f t="shared" si="17"/>
        <v>40981</v>
      </c>
      <c r="B431" s="63">
        <v>6</v>
      </c>
      <c r="C431" s="63">
        <v>430</v>
      </c>
      <c r="D431" s="63">
        <v>378</v>
      </c>
      <c r="E431" s="68">
        <v>358</v>
      </c>
      <c r="F431" s="68">
        <v>263</v>
      </c>
      <c r="G431" s="68">
        <v>338</v>
      </c>
      <c r="H431" s="68">
        <v>335</v>
      </c>
      <c r="I431" s="68">
        <v>243</v>
      </c>
      <c r="J431" s="68">
        <v>222</v>
      </c>
    </row>
    <row r="432" spans="1:10" x14ac:dyDescent="0.3">
      <c r="A432" s="69">
        <f t="shared" si="17"/>
        <v>40988</v>
      </c>
      <c r="B432" s="63">
        <v>6</v>
      </c>
      <c r="C432" s="63">
        <v>428</v>
      </c>
      <c r="D432" s="63">
        <v>378</v>
      </c>
      <c r="E432" s="68">
        <v>358</v>
      </c>
      <c r="F432" s="68">
        <v>260</v>
      </c>
      <c r="G432" s="68">
        <v>322</v>
      </c>
      <c r="H432" s="68">
        <v>322</v>
      </c>
      <c r="I432" s="68">
        <v>240</v>
      </c>
      <c r="J432" s="68">
        <v>329</v>
      </c>
    </row>
    <row r="433" spans="1:10" x14ac:dyDescent="0.3">
      <c r="A433" s="69">
        <f t="shared" si="17"/>
        <v>40995</v>
      </c>
      <c r="B433" s="63">
        <v>6</v>
      </c>
      <c r="C433" s="63">
        <v>425</v>
      </c>
      <c r="D433" s="63">
        <v>370</v>
      </c>
      <c r="E433" s="68">
        <v>345</v>
      </c>
      <c r="F433" s="68">
        <v>257.5</v>
      </c>
      <c r="G433" s="68">
        <v>317.5</v>
      </c>
      <c r="H433" s="68">
        <v>317.5</v>
      </c>
      <c r="I433" s="68">
        <v>235</v>
      </c>
      <c r="J433" s="68">
        <v>214.81804949053858</v>
      </c>
    </row>
    <row r="434" spans="1:10" x14ac:dyDescent="0.3">
      <c r="A434" s="69">
        <f t="shared" si="17"/>
        <v>41002</v>
      </c>
      <c r="B434" s="63">
        <v>7</v>
      </c>
      <c r="C434" s="63">
        <v>432</v>
      </c>
      <c r="D434" s="63">
        <v>373</v>
      </c>
      <c r="E434" s="68">
        <v>348</v>
      </c>
      <c r="F434" s="68">
        <v>277</v>
      </c>
      <c r="G434" s="68">
        <v>308</v>
      </c>
      <c r="H434" s="68">
        <v>308</v>
      </c>
      <c r="I434" s="68">
        <v>237</v>
      </c>
      <c r="J434" s="68">
        <v>325</v>
      </c>
    </row>
    <row r="435" spans="1:10" x14ac:dyDescent="0.3">
      <c r="A435" s="69">
        <f t="shared" si="17"/>
        <v>41009</v>
      </c>
      <c r="B435" s="63">
        <v>7</v>
      </c>
      <c r="C435" s="68">
        <v>430</v>
      </c>
      <c r="D435" s="68">
        <v>365</v>
      </c>
      <c r="E435" s="68">
        <v>335</v>
      </c>
      <c r="F435" s="68">
        <v>247.5</v>
      </c>
      <c r="G435" s="68">
        <v>307.5</v>
      </c>
      <c r="H435" s="68">
        <v>307.5</v>
      </c>
      <c r="I435" s="68">
        <v>227.5</v>
      </c>
      <c r="J435" s="68">
        <v>311.94323144104806</v>
      </c>
    </row>
    <row r="436" spans="1:10" x14ac:dyDescent="0.3">
      <c r="A436" s="69">
        <f t="shared" si="17"/>
        <v>41016</v>
      </c>
      <c r="B436" s="63">
        <v>7</v>
      </c>
      <c r="C436" s="63">
        <v>430</v>
      </c>
      <c r="D436" s="63">
        <v>368</v>
      </c>
      <c r="E436" s="68">
        <v>345</v>
      </c>
      <c r="F436" s="68">
        <v>258</v>
      </c>
      <c r="G436" s="68">
        <v>303</v>
      </c>
      <c r="H436" s="68">
        <v>303</v>
      </c>
      <c r="I436" s="68">
        <v>230</v>
      </c>
      <c r="J436" s="68">
        <v>315</v>
      </c>
    </row>
    <row r="437" spans="1:10" x14ac:dyDescent="0.3">
      <c r="A437" s="69">
        <f t="shared" si="17"/>
        <v>41023</v>
      </c>
      <c r="B437" s="63">
        <v>7</v>
      </c>
      <c r="C437" s="68">
        <v>435</v>
      </c>
      <c r="D437" s="68">
        <v>363.33333333333331</v>
      </c>
      <c r="E437" s="68">
        <v>340</v>
      </c>
      <c r="F437" s="68">
        <v>255</v>
      </c>
      <c r="G437" s="68">
        <v>296.66666666666669</v>
      </c>
      <c r="H437" s="68">
        <v>296.66666666666669</v>
      </c>
      <c r="I437" s="68">
        <v>231.66666666666666</v>
      </c>
      <c r="J437" s="68">
        <v>317.65647743813679</v>
      </c>
    </row>
    <row r="438" spans="1:10" x14ac:dyDescent="0.3">
      <c r="A438" s="69">
        <f t="shared" si="17"/>
        <v>41030</v>
      </c>
      <c r="B438" s="63">
        <v>8</v>
      </c>
      <c r="C438" s="63">
        <v>467</v>
      </c>
      <c r="D438" s="63">
        <v>432</v>
      </c>
      <c r="E438" s="68">
        <v>437</v>
      </c>
      <c r="F438" s="68">
        <v>383</v>
      </c>
      <c r="G438" s="68">
        <v>455</v>
      </c>
      <c r="H438" s="68">
        <v>455</v>
      </c>
      <c r="I438" s="68">
        <v>385</v>
      </c>
      <c r="J438" s="68">
        <v>480</v>
      </c>
    </row>
    <row r="439" spans="1:10" x14ac:dyDescent="0.3">
      <c r="A439" s="69">
        <f t="shared" si="17"/>
        <v>41037</v>
      </c>
      <c r="B439" s="63">
        <v>8</v>
      </c>
      <c r="C439" s="63">
        <v>475</v>
      </c>
      <c r="D439" s="63">
        <v>455</v>
      </c>
      <c r="E439" s="68">
        <v>432</v>
      </c>
      <c r="F439" s="68">
        <v>383</v>
      </c>
      <c r="G439" s="68">
        <v>463</v>
      </c>
      <c r="H439" s="68">
        <v>463</v>
      </c>
      <c r="I439" s="68">
        <v>375</v>
      </c>
      <c r="J439" s="68">
        <v>514</v>
      </c>
    </row>
    <row r="440" spans="1:10" x14ac:dyDescent="0.3">
      <c r="A440" s="69">
        <f t="shared" si="17"/>
        <v>41044</v>
      </c>
      <c r="B440" s="63">
        <v>8</v>
      </c>
      <c r="C440" s="117">
        <v>475</v>
      </c>
      <c r="D440" s="117">
        <v>445</v>
      </c>
      <c r="E440" s="117">
        <v>451.66666666666669</v>
      </c>
      <c r="F440" s="121">
        <v>391.66666666666669</v>
      </c>
      <c r="G440" s="117">
        <v>455</v>
      </c>
      <c r="H440" s="117">
        <v>455</v>
      </c>
      <c r="I440" s="117">
        <v>385</v>
      </c>
      <c r="J440" s="117">
        <v>527.90393013100436</v>
      </c>
    </row>
    <row r="441" spans="1:10" x14ac:dyDescent="0.3">
      <c r="A441" s="69">
        <f t="shared" si="17"/>
        <v>41051</v>
      </c>
      <c r="B441" s="63">
        <v>8</v>
      </c>
      <c r="C441" s="63">
        <v>483</v>
      </c>
      <c r="D441" s="63">
        <v>470</v>
      </c>
      <c r="E441" s="68">
        <v>433</v>
      </c>
      <c r="F441" s="68">
        <v>400</v>
      </c>
      <c r="G441" s="68">
        <v>445</v>
      </c>
      <c r="H441" s="68">
        <v>445</v>
      </c>
      <c r="I441" s="68">
        <v>373</v>
      </c>
      <c r="J441" s="68">
        <v>511</v>
      </c>
    </row>
    <row r="442" spans="1:10" x14ac:dyDescent="0.3">
      <c r="A442" s="69">
        <f t="shared" si="17"/>
        <v>41058</v>
      </c>
      <c r="B442" s="63">
        <v>8</v>
      </c>
      <c r="C442" s="68">
        <v>455</v>
      </c>
      <c r="D442" s="68">
        <v>440</v>
      </c>
      <c r="E442" s="68">
        <v>445</v>
      </c>
      <c r="F442" s="68">
        <v>382.5</v>
      </c>
      <c r="G442" s="68">
        <v>450</v>
      </c>
      <c r="H442" s="68">
        <v>450</v>
      </c>
      <c r="I442" s="68">
        <v>355</v>
      </c>
      <c r="J442" s="68">
        <v>486.76855895196508</v>
      </c>
    </row>
    <row r="443" spans="1:10" x14ac:dyDescent="0.3">
      <c r="A443" s="69">
        <f t="shared" si="17"/>
        <v>41065</v>
      </c>
      <c r="B443" s="63">
        <v>9</v>
      </c>
      <c r="C443" s="122">
        <v>571.25</v>
      </c>
      <c r="D443" s="122">
        <v>562.5</v>
      </c>
      <c r="E443" s="122">
        <v>556.25</v>
      </c>
      <c r="F443" s="122">
        <v>478.75</v>
      </c>
      <c r="G443" s="122">
        <v>565</v>
      </c>
      <c r="H443" s="122">
        <v>565</v>
      </c>
      <c r="I443" s="122">
        <v>467.5</v>
      </c>
      <c r="J443" s="122">
        <v>649.02474526928665</v>
      </c>
    </row>
    <row r="444" spans="1:10" x14ac:dyDescent="0.3">
      <c r="A444" s="69">
        <f t="shared" si="17"/>
        <v>41072</v>
      </c>
      <c r="B444" s="63">
        <v>9</v>
      </c>
      <c r="C444" s="68">
        <v>568.75</v>
      </c>
      <c r="D444" s="68">
        <v>542.5</v>
      </c>
      <c r="E444" s="68">
        <v>545</v>
      </c>
      <c r="F444" s="68">
        <v>456.25</v>
      </c>
      <c r="G444" s="68">
        <v>547.5</v>
      </c>
      <c r="H444" s="68">
        <v>547.5</v>
      </c>
      <c r="I444" s="68">
        <v>431.25</v>
      </c>
      <c r="J444" s="68">
        <v>582.75109170305677</v>
      </c>
    </row>
    <row r="445" spans="1:10" x14ac:dyDescent="0.3">
      <c r="A445" s="69">
        <f t="shared" si="17"/>
        <v>41079</v>
      </c>
      <c r="B445" s="63">
        <v>9</v>
      </c>
      <c r="C445" s="68">
        <v>540</v>
      </c>
      <c r="D445" s="68">
        <v>480</v>
      </c>
      <c r="E445" s="68">
        <v>480</v>
      </c>
      <c r="F445" s="68">
        <v>407.5</v>
      </c>
      <c r="G445" s="68">
        <v>495</v>
      </c>
      <c r="H445" s="68">
        <v>495</v>
      </c>
      <c r="I445" s="68">
        <v>425</v>
      </c>
      <c r="J445" s="68">
        <v>582.75109170305677</v>
      </c>
    </row>
    <row r="446" spans="1:10" x14ac:dyDescent="0.3">
      <c r="A446" s="69">
        <f t="shared" si="17"/>
        <v>41086</v>
      </c>
      <c r="B446" s="63">
        <v>9</v>
      </c>
      <c r="C446" s="68">
        <v>530</v>
      </c>
      <c r="D446" s="68">
        <v>480</v>
      </c>
      <c r="E446" s="68">
        <v>465</v>
      </c>
      <c r="F446" s="68">
        <v>421.66666666666669</v>
      </c>
      <c r="G446" s="68">
        <v>476.66666666666669</v>
      </c>
      <c r="H446" s="68">
        <v>476.66666666666669</v>
      </c>
      <c r="I446" s="68">
        <v>262.5</v>
      </c>
      <c r="J446" s="68">
        <v>359.93449781659388</v>
      </c>
    </row>
    <row r="447" spans="1:10" x14ac:dyDescent="0.3">
      <c r="A447" s="69">
        <f t="shared" si="17"/>
        <v>41093</v>
      </c>
      <c r="B447" s="63">
        <v>10</v>
      </c>
      <c r="C447" s="68">
        <v>538</v>
      </c>
      <c r="D447" s="68">
        <v>475</v>
      </c>
      <c r="E447" s="68">
        <v>473</v>
      </c>
      <c r="F447" s="68">
        <v>395</v>
      </c>
      <c r="G447" s="68">
        <v>458</v>
      </c>
      <c r="H447" s="68">
        <v>458</v>
      </c>
      <c r="I447" s="68">
        <v>375</v>
      </c>
      <c r="J447" s="68">
        <v>514</v>
      </c>
    </row>
    <row r="448" spans="1:10" x14ac:dyDescent="0.3">
      <c r="A448" s="69">
        <f t="shared" si="17"/>
        <v>41100</v>
      </c>
      <c r="B448" s="63">
        <v>10</v>
      </c>
      <c r="C448" s="68">
        <v>581.66666666666663</v>
      </c>
      <c r="D448" s="68">
        <v>525</v>
      </c>
      <c r="E448" s="68">
        <v>525</v>
      </c>
      <c r="F448" s="68">
        <v>450</v>
      </c>
      <c r="G448" s="68">
        <v>513.33333333333337</v>
      </c>
      <c r="H448" s="68">
        <v>513.33333333333337</v>
      </c>
      <c r="I448" s="68">
        <v>421.66666666666669</v>
      </c>
      <c r="J448" s="68">
        <v>578.18049490538579</v>
      </c>
    </row>
    <row r="449" spans="1:10" x14ac:dyDescent="0.3">
      <c r="A449" s="69">
        <f t="shared" si="17"/>
        <v>41107</v>
      </c>
      <c r="B449" s="63">
        <v>10</v>
      </c>
      <c r="C449" s="116">
        <v>575</v>
      </c>
      <c r="D449" s="116">
        <v>510</v>
      </c>
      <c r="E449" s="116">
        <v>510</v>
      </c>
      <c r="F449" s="116">
        <v>462.5</v>
      </c>
      <c r="G449" s="116">
        <v>462.5</v>
      </c>
      <c r="H449" s="116">
        <v>462.5</v>
      </c>
      <c r="I449" s="116">
        <v>425</v>
      </c>
      <c r="J449" s="116">
        <v>582.75109170305677</v>
      </c>
    </row>
    <row r="450" spans="1:10" x14ac:dyDescent="0.3">
      <c r="A450" s="69">
        <f t="shared" si="17"/>
        <v>41114</v>
      </c>
      <c r="B450" s="63">
        <v>10</v>
      </c>
      <c r="C450" s="116">
        <v>576.66666666666663</v>
      </c>
      <c r="D450" s="116">
        <v>518.33333333333337</v>
      </c>
      <c r="E450" s="116">
        <v>516.66666666666663</v>
      </c>
      <c r="F450" s="116">
        <v>466.66666666666669</v>
      </c>
      <c r="G450" s="116">
        <v>518.33333333333337</v>
      </c>
      <c r="H450" s="116">
        <v>518.33333333333337</v>
      </c>
      <c r="I450" s="116">
        <v>440</v>
      </c>
      <c r="J450" s="116">
        <v>603.31877729257633</v>
      </c>
    </row>
    <row r="451" spans="1:10" x14ac:dyDescent="0.3">
      <c r="A451" s="69">
        <f t="shared" si="17"/>
        <v>41121</v>
      </c>
      <c r="B451" s="63">
        <v>10</v>
      </c>
      <c r="C451" s="116">
        <v>546.66666666666663</v>
      </c>
      <c r="D451" s="116">
        <v>488.33333333333331</v>
      </c>
      <c r="E451" s="116">
        <v>475</v>
      </c>
      <c r="F451" s="116">
        <v>420</v>
      </c>
      <c r="G451" s="116">
        <v>466.66666666666669</v>
      </c>
      <c r="H451" s="116">
        <v>466.66666666666669</v>
      </c>
      <c r="I451" s="116">
        <v>386.66666666666669</v>
      </c>
      <c r="J451" s="116">
        <v>530.18922852983985</v>
      </c>
    </row>
    <row r="452" spans="1:10" x14ac:dyDescent="0.3">
      <c r="A452" s="69">
        <f t="shared" si="17"/>
        <v>41128</v>
      </c>
      <c r="B452" s="63">
        <v>11</v>
      </c>
      <c r="C452" s="116">
        <v>466.66666666666703</v>
      </c>
      <c r="D452" s="116">
        <v>418.33333333333331</v>
      </c>
      <c r="E452" s="116">
        <v>415</v>
      </c>
      <c r="F452" s="116">
        <v>333.33333333333331</v>
      </c>
      <c r="G452" s="116">
        <v>400</v>
      </c>
      <c r="H452" s="116">
        <v>400</v>
      </c>
      <c r="I452" s="116">
        <v>303.33333333333331</v>
      </c>
      <c r="J452" s="116">
        <v>415.92430858806409</v>
      </c>
    </row>
    <row r="453" spans="1:10" x14ac:dyDescent="0.3">
      <c r="A453" s="69">
        <f t="shared" si="17"/>
        <v>41135</v>
      </c>
      <c r="B453" s="63">
        <v>11</v>
      </c>
      <c r="C453" s="122">
        <v>450</v>
      </c>
      <c r="D453" s="122">
        <v>406.66666666666669</v>
      </c>
      <c r="E453" s="122">
        <v>411.66666666666669</v>
      </c>
      <c r="F453" s="122">
        <v>361.66666666666669</v>
      </c>
      <c r="G453" s="122">
        <v>378.33333333333331</v>
      </c>
      <c r="H453" s="122">
        <v>378.33333333333331</v>
      </c>
      <c r="I453" s="122">
        <v>338.33333333333331</v>
      </c>
      <c r="J453" s="122">
        <v>463.91557496360991</v>
      </c>
    </row>
    <row r="454" spans="1:10" x14ac:dyDescent="0.3">
      <c r="A454" s="124">
        <f t="shared" si="17"/>
        <v>41142</v>
      </c>
      <c r="B454" s="57">
        <v>11</v>
      </c>
      <c r="C454" s="21">
        <v>482.5</v>
      </c>
      <c r="D454" s="21">
        <v>411.66666666666669</v>
      </c>
      <c r="E454" s="21">
        <v>396.66666666666669</v>
      </c>
      <c r="F454" s="21">
        <v>338.33333333333331</v>
      </c>
      <c r="G454" s="21">
        <v>381.66666666666669</v>
      </c>
      <c r="H454" s="21">
        <v>381.66666666666669</v>
      </c>
      <c r="I454" s="21">
        <v>323.33333333333331</v>
      </c>
      <c r="J454" s="21">
        <v>443.3478893740903</v>
      </c>
    </row>
    <row r="455" spans="1:10" x14ac:dyDescent="0.3">
      <c r="A455" s="124">
        <f t="shared" si="17"/>
        <v>41149</v>
      </c>
      <c r="B455" s="68">
        <v>11</v>
      </c>
      <c r="C455" s="68">
        <v>485</v>
      </c>
      <c r="D455" s="68">
        <v>430</v>
      </c>
      <c r="E455" s="68">
        <v>417.5</v>
      </c>
      <c r="F455" s="68">
        <v>357.5</v>
      </c>
      <c r="G455" s="68">
        <v>412.5</v>
      </c>
      <c r="H455" s="68">
        <v>412.5</v>
      </c>
      <c r="I455" s="68">
        <v>345</v>
      </c>
      <c r="J455" s="68">
        <v>473.05676855895194</v>
      </c>
    </row>
    <row r="456" spans="1:10" x14ac:dyDescent="0.3">
      <c r="A456" s="124">
        <f t="shared" si="17"/>
        <v>41156</v>
      </c>
      <c r="B456" s="68">
        <v>12</v>
      </c>
      <c r="C456" s="68"/>
      <c r="D456" s="68"/>
      <c r="E456" s="68">
        <v>412.5</v>
      </c>
      <c r="F456" s="68">
        <v>325</v>
      </c>
      <c r="G456" s="68">
        <v>400</v>
      </c>
      <c r="H456" s="68">
        <v>400</v>
      </c>
      <c r="I456" s="68">
        <v>300</v>
      </c>
      <c r="J456" s="68">
        <v>411</v>
      </c>
    </row>
    <row r="457" spans="1:10" x14ac:dyDescent="0.3">
      <c r="A457" s="124">
        <f t="shared" si="17"/>
        <v>41163</v>
      </c>
      <c r="B457" s="68">
        <v>12</v>
      </c>
      <c r="E457" s="68">
        <v>405</v>
      </c>
      <c r="F457" s="68">
        <v>342.5</v>
      </c>
      <c r="G457" s="68">
        <v>375</v>
      </c>
      <c r="H457" s="68">
        <v>375</v>
      </c>
      <c r="I457" s="68">
        <v>307.5</v>
      </c>
      <c r="J457" s="68">
        <v>421.63755458515283</v>
      </c>
    </row>
    <row r="458" spans="1:10" x14ac:dyDescent="0.3">
      <c r="A458" s="124">
        <f t="shared" si="17"/>
        <v>41170</v>
      </c>
      <c r="B458" s="68">
        <v>12</v>
      </c>
      <c r="E458" s="68">
        <v>417.5</v>
      </c>
      <c r="F458" s="68">
        <v>350</v>
      </c>
      <c r="G458" s="68">
        <v>395</v>
      </c>
      <c r="H458" s="68">
        <v>395</v>
      </c>
      <c r="I458" s="68">
        <v>312.5</v>
      </c>
      <c r="J458" s="68">
        <v>428.49344978165936</v>
      </c>
    </row>
    <row r="459" spans="1:10" x14ac:dyDescent="0.3">
      <c r="A459" s="124">
        <f t="shared" si="17"/>
        <v>41177</v>
      </c>
      <c r="B459" s="68">
        <v>12</v>
      </c>
      <c r="E459" s="68">
        <v>403.33333333333331</v>
      </c>
      <c r="F459" s="68">
        <v>333.33333333333331</v>
      </c>
      <c r="G459" s="68">
        <v>380</v>
      </c>
      <c r="H459" s="68">
        <v>380</v>
      </c>
      <c r="I459" s="68">
        <v>308.33333333333331</v>
      </c>
      <c r="J459" s="68">
        <v>422.78020378457057</v>
      </c>
    </row>
    <row r="460" spans="1:10" x14ac:dyDescent="0.3">
      <c r="A460" s="124">
        <f t="shared" si="17"/>
        <v>41184</v>
      </c>
      <c r="B460" s="68">
        <v>1</v>
      </c>
      <c r="E460" s="116">
        <v>400</v>
      </c>
      <c r="F460" s="116">
        <v>342</v>
      </c>
      <c r="G460" s="116">
        <v>382</v>
      </c>
      <c r="H460" s="116">
        <v>382</v>
      </c>
      <c r="I460" s="116">
        <v>303</v>
      </c>
      <c r="J460" s="116">
        <v>416</v>
      </c>
    </row>
    <row r="461" spans="1:10" x14ac:dyDescent="0.3">
      <c r="A461" s="124">
        <f t="shared" si="17"/>
        <v>41191</v>
      </c>
      <c r="B461" s="68">
        <v>1</v>
      </c>
      <c r="E461" s="68">
        <v>400</v>
      </c>
      <c r="F461" s="68">
        <v>312.5</v>
      </c>
      <c r="G461" s="68">
        <v>370</v>
      </c>
      <c r="H461" s="68">
        <v>370</v>
      </c>
      <c r="I461" s="68">
        <v>300</v>
      </c>
      <c r="J461" s="68">
        <v>411.35371179039299</v>
      </c>
    </row>
    <row r="462" spans="1:10" x14ac:dyDescent="0.3">
      <c r="A462" s="124">
        <f t="shared" si="17"/>
        <v>41198</v>
      </c>
      <c r="B462" s="68">
        <v>1</v>
      </c>
      <c r="E462" s="122">
        <v>362.5</v>
      </c>
      <c r="F462" s="122">
        <v>350</v>
      </c>
      <c r="G462" s="122">
        <v>365</v>
      </c>
      <c r="H462" s="122">
        <v>365</v>
      </c>
      <c r="I462" s="122">
        <v>312.5</v>
      </c>
      <c r="J462" s="122">
        <v>428.49344978165936</v>
      </c>
    </row>
    <row r="463" spans="1:10" x14ac:dyDescent="0.3">
      <c r="A463" s="124">
        <f t="shared" si="17"/>
        <v>41205</v>
      </c>
      <c r="B463" s="68">
        <v>1</v>
      </c>
      <c r="E463" s="68">
        <v>430</v>
      </c>
      <c r="F463" s="68">
        <v>345</v>
      </c>
      <c r="G463" s="68">
        <v>397.5</v>
      </c>
      <c r="H463" s="68">
        <v>397.5</v>
      </c>
      <c r="I463" s="68">
        <v>325</v>
      </c>
      <c r="J463" s="68">
        <v>445.63318777292574</v>
      </c>
    </row>
    <row r="464" spans="1:10" x14ac:dyDescent="0.3">
      <c r="A464" s="124">
        <f t="shared" si="17"/>
        <v>41212</v>
      </c>
      <c r="B464" s="68">
        <v>1</v>
      </c>
      <c r="E464" s="126">
        <v>431.66666666666669</v>
      </c>
      <c r="F464" s="126">
        <v>366.66666666666669</v>
      </c>
      <c r="G464" s="126">
        <v>378.33333333333331</v>
      </c>
      <c r="H464" s="126">
        <v>378.33333333333331</v>
      </c>
      <c r="I464" s="126">
        <v>333.33333333333331</v>
      </c>
      <c r="J464" s="126">
        <v>457.05967976710332</v>
      </c>
    </row>
    <row r="465" spans="1:10" x14ac:dyDescent="0.3">
      <c r="A465" s="124">
        <f t="shared" si="17"/>
        <v>41219</v>
      </c>
      <c r="B465" s="68">
        <v>2</v>
      </c>
      <c r="E465" s="68">
        <v>432.5</v>
      </c>
      <c r="F465" s="68">
        <v>370</v>
      </c>
      <c r="G465" s="68">
        <v>357.5</v>
      </c>
      <c r="H465" s="68">
        <v>357.5</v>
      </c>
      <c r="I465" s="68">
        <v>315</v>
      </c>
      <c r="J465" s="68">
        <v>431.92139737991266</v>
      </c>
    </row>
    <row r="466" spans="1:10" x14ac:dyDescent="0.3">
      <c r="A466" s="124">
        <f t="shared" si="17"/>
        <v>41226</v>
      </c>
      <c r="B466" s="68">
        <v>2</v>
      </c>
      <c r="E466" s="68">
        <v>450</v>
      </c>
      <c r="F466" s="68">
        <v>375</v>
      </c>
      <c r="G466" s="68">
        <v>340</v>
      </c>
      <c r="H466" s="68">
        <v>340</v>
      </c>
      <c r="I466" s="68">
        <v>303.33333333333331</v>
      </c>
      <c r="J466" s="68">
        <v>415.92430858806398</v>
      </c>
    </row>
    <row r="467" spans="1:10" x14ac:dyDescent="0.3">
      <c r="A467" s="124">
        <f t="shared" si="17"/>
        <v>41233</v>
      </c>
      <c r="B467" s="68">
        <v>2</v>
      </c>
      <c r="E467" s="68">
        <v>466.66666666666669</v>
      </c>
      <c r="F467" s="68">
        <v>408.33333333333331</v>
      </c>
      <c r="G467" s="68">
        <v>400</v>
      </c>
      <c r="H467" s="68">
        <v>400</v>
      </c>
      <c r="I467" s="68">
        <v>328.33333333333331</v>
      </c>
      <c r="J467" s="68">
        <v>450.20378457059678</v>
      </c>
    </row>
    <row r="468" spans="1:10" x14ac:dyDescent="0.3">
      <c r="A468" s="124">
        <f t="shared" si="17"/>
        <v>41240</v>
      </c>
      <c r="B468" s="68">
        <v>2</v>
      </c>
      <c r="E468" s="68">
        <v>425</v>
      </c>
      <c r="F468" s="68">
        <v>408</v>
      </c>
      <c r="G468" s="68">
        <v>388</v>
      </c>
      <c r="H468" s="68">
        <v>388</v>
      </c>
      <c r="I468" s="68">
        <v>318</v>
      </c>
      <c r="J468" s="68">
        <v>435</v>
      </c>
    </row>
    <row r="469" spans="1:10" x14ac:dyDescent="0.3">
      <c r="A469" s="124">
        <f t="shared" si="17"/>
        <v>41247</v>
      </c>
      <c r="B469" s="63">
        <v>3</v>
      </c>
      <c r="E469" s="122">
        <v>368</v>
      </c>
      <c r="F469" s="122">
        <v>338</v>
      </c>
      <c r="G469" s="122">
        <v>387</v>
      </c>
      <c r="H469" s="122">
        <v>387</v>
      </c>
      <c r="I469" s="122">
        <v>328</v>
      </c>
      <c r="J469" s="122">
        <v>450</v>
      </c>
    </row>
    <row r="470" spans="1:10" x14ac:dyDescent="0.3">
      <c r="A470" s="124">
        <f t="shared" si="17"/>
        <v>41254</v>
      </c>
      <c r="B470" s="63">
        <v>3</v>
      </c>
      <c r="E470" s="68">
        <v>368</v>
      </c>
      <c r="F470" s="68">
        <v>328</v>
      </c>
      <c r="G470" s="68">
        <v>385</v>
      </c>
      <c r="H470" s="68">
        <v>385</v>
      </c>
      <c r="I470" s="68">
        <v>330</v>
      </c>
      <c r="J470" s="68">
        <v>452</v>
      </c>
    </row>
    <row r="471" spans="1:10" x14ac:dyDescent="0.3">
      <c r="A471" s="124">
        <f t="shared" si="17"/>
        <v>41261</v>
      </c>
      <c r="B471" s="63">
        <v>3</v>
      </c>
      <c r="E471" s="68">
        <v>383</v>
      </c>
      <c r="F471" s="68">
        <v>330</v>
      </c>
      <c r="G471" s="68">
        <v>365</v>
      </c>
      <c r="H471" s="68">
        <v>365</v>
      </c>
      <c r="I471" s="68">
        <v>313</v>
      </c>
      <c r="J471" s="68">
        <v>428</v>
      </c>
    </row>
    <row r="472" spans="1:10" x14ac:dyDescent="0.3">
      <c r="A472" s="124">
        <f t="shared" si="17"/>
        <v>41268</v>
      </c>
      <c r="B472" s="63">
        <v>3</v>
      </c>
      <c r="E472" s="68">
        <v>395</v>
      </c>
      <c r="F472" s="68">
        <v>325</v>
      </c>
      <c r="G472" s="68">
        <v>358</v>
      </c>
      <c r="H472" s="68">
        <v>358</v>
      </c>
      <c r="I472" s="68">
        <v>263</v>
      </c>
      <c r="J472" s="68">
        <v>360</v>
      </c>
    </row>
    <row r="473" spans="1:10" x14ac:dyDescent="0.3">
      <c r="A473" s="124">
        <f t="shared" si="17"/>
        <v>41275</v>
      </c>
      <c r="B473" s="63">
        <v>4</v>
      </c>
      <c r="C473" s="68">
        <v>412.5</v>
      </c>
      <c r="D473" s="68">
        <v>362.5</v>
      </c>
      <c r="E473" s="68">
        <v>357.5</v>
      </c>
      <c r="F473" s="68">
        <v>292.5</v>
      </c>
      <c r="G473" s="68">
        <v>357.5</v>
      </c>
      <c r="H473" s="68">
        <v>357.5</v>
      </c>
      <c r="I473" s="68">
        <v>237.5</v>
      </c>
      <c r="J473" s="68">
        <v>325.65502183406113</v>
      </c>
    </row>
    <row r="474" spans="1:10" x14ac:dyDescent="0.3">
      <c r="A474" s="124">
        <f t="shared" si="17"/>
        <v>41282</v>
      </c>
      <c r="B474" s="63">
        <v>4</v>
      </c>
      <c r="C474" s="63">
        <v>405</v>
      </c>
      <c r="D474" s="63">
        <v>342.5</v>
      </c>
      <c r="E474" s="68">
        <v>335</v>
      </c>
      <c r="F474" s="68">
        <v>295</v>
      </c>
      <c r="G474" s="68">
        <v>262.5</v>
      </c>
      <c r="H474" s="68">
        <v>262.5</v>
      </c>
      <c r="I474" s="68">
        <v>182.5</v>
      </c>
      <c r="J474" s="68">
        <v>250.2401746724891</v>
      </c>
    </row>
    <row r="475" spans="1:10" x14ac:dyDescent="0.3">
      <c r="A475" s="124">
        <f t="shared" si="17"/>
        <v>41289</v>
      </c>
      <c r="B475" s="63">
        <v>4</v>
      </c>
      <c r="C475" s="68">
        <v>405</v>
      </c>
      <c r="D475" s="68">
        <v>350</v>
      </c>
      <c r="E475" s="68">
        <v>337.5</v>
      </c>
      <c r="F475" s="68">
        <v>275</v>
      </c>
      <c r="G475" s="68">
        <v>250</v>
      </c>
      <c r="H475" s="68">
        <v>250</v>
      </c>
      <c r="I475" s="68">
        <v>195</v>
      </c>
      <c r="J475" s="68">
        <v>267.37991266375548</v>
      </c>
    </row>
    <row r="476" spans="1:10" x14ac:dyDescent="0.3">
      <c r="A476" s="124">
        <f t="shared" si="17"/>
        <v>41296</v>
      </c>
      <c r="B476" s="63">
        <v>4</v>
      </c>
      <c r="C476" s="68">
        <v>375</v>
      </c>
      <c r="D476" s="68">
        <v>332</v>
      </c>
      <c r="E476" s="68">
        <v>325</v>
      </c>
      <c r="F476" s="68">
        <v>275</v>
      </c>
      <c r="G476" s="68">
        <v>255</v>
      </c>
      <c r="H476" s="68">
        <v>255</v>
      </c>
      <c r="I476" s="68">
        <v>187</v>
      </c>
      <c r="J476" s="68">
        <v>256</v>
      </c>
    </row>
    <row r="477" spans="1:10" x14ac:dyDescent="0.3">
      <c r="A477" s="124">
        <f t="shared" si="17"/>
        <v>41303</v>
      </c>
      <c r="B477" s="63">
        <v>4</v>
      </c>
      <c r="C477" s="116">
        <v>387.5</v>
      </c>
      <c r="D477" s="116">
        <v>320</v>
      </c>
      <c r="E477" s="116">
        <v>305</v>
      </c>
      <c r="F477" s="116">
        <v>260</v>
      </c>
      <c r="G477" s="116">
        <v>217.5</v>
      </c>
      <c r="H477" s="116">
        <v>217.5</v>
      </c>
      <c r="I477" s="116">
        <v>177.5</v>
      </c>
      <c r="J477" s="116">
        <v>243.38427947598254</v>
      </c>
    </row>
    <row r="478" spans="1:10" x14ac:dyDescent="0.3">
      <c r="A478" s="124">
        <f t="shared" ref="A478:A483" si="18">7+A477</f>
        <v>41310</v>
      </c>
      <c r="B478" s="63">
        <v>5</v>
      </c>
      <c r="C478" s="68">
        <v>373.33333333333331</v>
      </c>
      <c r="D478" s="68">
        <v>308.33333333333331</v>
      </c>
      <c r="E478" s="68">
        <v>315</v>
      </c>
      <c r="F478" s="68">
        <v>250</v>
      </c>
      <c r="G478" s="68">
        <v>213.33333333333334</v>
      </c>
      <c r="H478" s="68">
        <v>213.33333333333334</v>
      </c>
      <c r="I478" s="68">
        <v>181.66666666666666</v>
      </c>
      <c r="J478" s="68">
        <v>249.09752547307133</v>
      </c>
    </row>
    <row r="479" spans="1:10" x14ac:dyDescent="0.3">
      <c r="A479" s="124">
        <f t="shared" si="18"/>
        <v>41317</v>
      </c>
      <c r="B479" s="63">
        <v>5</v>
      </c>
      <c r="C479" s="68">
        <v>350</v>
      </c>
      <c r="D479" s="68">
        <v>308.33333333333331</v>
      </c>
      <c r="E479" s="68">
        <v>301.66666666666669</v>
      </c>
      <c r="F479" s="68">
        <v>246.66666666666666</v>
      </c>
      <c r="G479" s="68">
        <v>216.66666666666666</v>
      </c>
      <c r="H479" s="68">
        <v>215</v>
      </c>
      <c r="I479" s="68">
        <v>185</v>
      </c>
      <c r="J479" s="68">
        <v>253.66812227074237</v>
      </c>
    </row>
    <row r="480" spans="1:10" x14ac:dyDescent="0.3">
      <c r="A480" s="124">
        <f t="shared" si="18"/>
        <v>41324</v>
      </c>
      <c r="B480" s="63">
        <v>5</v>
      </c>
      <c r="C480" s="68">
        <v>332.5</v>
      </c>
      <c r="D480" s="68">
        <v>305</v>
      </c>
      <c r="E480" s="68">
        <v>305</v>
      </c>
      <c r="F480" s="68">
        <v>250</v>
      </c>
      <c r="G480" s="68">
        <v>222.5</v>
      </c>
      <c r="H480" s="68">
        <v>222.5</v>
      </c>
      <c r="I480" s="68">
        <v>185</v>
      </c>
      <c r="J480" s="68">
        <v>169.11208151382823</v>
      </c>
    </row>
    <row r="481" spans="1:10" x14ac:dyDescent="0.3">
      <c r="A481" s="124">
        <f t="shared" si="18"/>
        <v>41331</v>
      </c>
      <c r="B481" s="63">
        <v>5</v>
      </c>
      <c r="C481" s="68">
        <v>342.5</v>
      </c>
      <c r="D481" s="68">
        <v>307.5</v>
      </c>
      <c r="E481" s="68">
        <v>300</v>
      </c>
      <c r="F481" s="68">
        <v>250</v>
      </c>
      <c r="G481" s="68">
        <v>217.5</v>
      </c>
      <c r="H481" s="68">
        <v>217.5</v>
      </c>
      <c r="I481" s="68">
        <v>185</v>
      </c>
      <c r="J481" s="68">
        <v>253.66812227074234</v>
      </c>
    </row>
    <row r="482" spans="1:10" x14ac:dyDescent="0.3">
      <c r="A482" s="124">
        <f t="shared" si="18"/>
        <v>41338</v>
      </c>
      <c r="B482" s="63">
        <v>6</v>
      </c>
      <c r="C482" s="21">
        <v>342.5</v>
      </c>
      <c r="D482" s="21">
        <v>305</v>
      </c>
      <c r="E482" s="21">
        <v>300</v>
      </c>
      <c r="F482" s="21">
        <v>250</v>
      </c>
      <c r="G482" s="21">
        <v>225</v>
      </c>
      <c r="H482" s="21">
        <v>225</v>
      </c>
      <c r="I482" s="21">
        <v>202.5</v>
      </c>
      <c r="J482" s="21">
        <v>277.66375545851531</v>
      </c>
    </row>
    <row r="483" spans="1:10" x14ac:dyDescent="0.3">
      <c r="A483" s="124">
        <f t="shared" si="18"/>
        <v>41345</v>
      </c>
      <c r="B483" s="63">
        <v>6</v>
      </c>
      <c r="C483" s="21">
        <v>343.33333333333331</v>
      </c>
      <c r="D483" s="21">
        <v>303.33333333333331</v>
      </c>
      <c r="E483" s="21">
        <v>303.33333333333331</v>
      </c>
      <c r="F483" s="21">
        <v>250</v>
      </c>
      <c r="G483" s="21">
        <v>228.33333333333334</v>
      </c>
      <c r="H483" s="21">
        <v>228.33333333333334</v>
      </c>
      <c r="I483" s="21">
        <v>195</v>
      </c>
      <c r="J483" s="68">
        <v>267</v>
      </c>
    </row>
    <row r="484" spans="1:10" x14ac:dyDescent="0.3">
      <c r="A484" s="124">
        <f t="shared" ref="A484:A511" si="19">7+A483</f>
        <v>41352</v>
      </c>
      <c r="B484" s="63">
        <v>6</v>
      </c>
      <c r="C484" s="63">
        <v>335</v>
      </c>
      <c r="D484" s="63">
        <v>295</v>
      </c>
      <c r="E484" s="68">
        <v>280</v>
      </c>
      <c r="F484" s="68">
        <v>248</v>
      </c>
      <c r="G484" s="68">
        <v>210</v>
      </c>
      <c r="H484" s="68">
        <v>210</v>
      </c>
      <c r="I484" s="68">
        <v>185</v>
      </c>
      <c r="J484" s="68">
        <v>254</v>
      </c>
    </row>
    <row r="485" spans="1:10" x14ac:dyDescent="0.3">
      <c r="A485" s="124">
        <f t="shared" si="19"/>
        <v>41359</v>
      </c>
      <c r="B485" s="63">
        <v>6</v>
      </c>
      <c r="C485" s="68">
        <v>330.83333333333331</v>
      </c>
      <c r="D485" s="68">
        <v>290</v>
      </c>
      <c r="E485" s="68">
        <v>287.5</v>
      </c>
      <c r="F485" s="68">
        <v>240</v>
      </c>
      <c r="G485" s="68">
        <v>205</v>
      </c>
      <c r="H485" s="68">
        <v>205</v>
      </c>
      <c r="I485" s="68">
        <v>182.5</v>
      </c>
      <c r="J485" s="68">
        <v>250.2401746724891</v>
      </c>
    </row>
    <row r="486" spans="1:10" x14ac:dyDescent="0.3">
      <c r="A486" s="124">
        <f t="shared" si="19"/>
        <v>41366</v>
      </c>
      <c r="B486" s="63">
        <v>7</v>
      </c>
      <c r="C486" s="68">
        <v>340</v>
      </c>
      <c r="D486" s="68">
        <v>295</v>
      </c>
      <c r="E486" s="68">
        <v>267.5</v>
      </c>
      <c r="F486" s="68">
        <v>232.5</v>
      </c>
      <c r="G486" s="68">
        <v>203.5</v>
      </c>
      <c r="H486" s="68">
        <v>203.5</v>
      </c>
      <c r="I486" s="68">
        <v>190</v>
      </c>
      <c r="J486" s="68">
        <v>260.52401746724894</v>
      </c>
    </row>
    <row r="487" spans="1:10" x14ac:dyDescent="0.3">
      <c r="A487" s="124">
        <f t="shared" si="19"/>
        <v>41373</v>
      </c>
      <c r="B487" s="63">
        <v>7</v>
      </c>
      <c r="C487" s="68">
        <v>350</v>
      </c>
      <c r="D487" s="68">
        <v>295</v>
      </c>
      <c r="E487" s="68">
        <v>280</v>
      </c>
      <c r="F487" s="68">
        <v>245</v>
      </c>
      <c r="G487" s="68">
        <v>227.5</v>
      </c>
      <c r="H487" s="68">
        <v>227.5</v>
      </c>
      <c r="I487" s="68">
        <v>200</v>
      </c>
      <c r="J487" s="68">
        <v>274.23580786026201</v>
      </c>
    </row>
    <row r="488" spans="1:10" x14ac:dyDescent="0.3">
      <c r="A488" s="124">
        <f t="shared" si="19"/>
        <v>41380</v>
      </c>
      <c r="B488" s="63">
        <v>7</v>
      </c>
      <c r="C488" s="68">
        <v>370</v>
      </c>
      <c r="D488" s="68">
        <v>298.33333333333331</v>
      </c>
      <c r="E488" s="68">
        <v>273.33333333333331</v>
      </c>
      <c r="F488" s="68">
        <v>231.66666666666666</v>
      </c>
      <c r="G488" s="68">
        <v>205</v>
      </c>
      <c r="H488" s="68">
        <v>205</v>
      </c>
      <c r="I488" s="68">
        <v>183.33333333333334</v>
      </c>
      <c r="J488" s="68">
        <v>251.38282387190688</v>
      </c>
    </row>
    <row r="489" spans="1:10" x14ac:dyDescent="0.3">
      <c r="A489" s="124">
        <f t="shared" si="19"/>
        <v>41387</v>
      </c>
      <c r="B489" s="63">
        <v>7</v>
      </c>
      <c r="C489" s="63">
        <v>430</v>
      </c>
      <c r="D489" s="63">
        <v>338</v>
      </c>
      <c r="E489" s="68">
        <v>323</v>
      </c>
      <c r="F489" s="68">
        <v>375</v>
      </c>
      <c r="G489" s="68">
        <v>343</v>
      </c>
      <c r="H489" s="68">
        <v>343</v>
      </c>
      <c r="I489" s="68">
        <v>288</v>
      </c>
      <c r="J489" s="68">
        <v>394</v>
      </c>
    </row>
    <row r="490" spans="1:10" x14ac:dyDescent="0.3">
      <c r="A490" s="124">
        <f t="shared" si="19"/>
        <v>41394</v>
      </c>
      <c r="B490" s="63">
        <v>7</v>
      </c>
      <c r="C490" s="68">
        <v>355</v>
      </c>
      <c r="D490" s="68">
        <v>287.5</v>
      </c>
      <c r="E490" s="68">
        <v>267.5</v>
      </c>
      <c r="F490" s="68">
        <v>225</v>
      </c>
      <c r="G490" s="68">
        <v>197.5</v>
      </c>
      <c r="H490" s="68">
        <v>197.5</v>
      </c>
      <c r="I490" s="68">
        <v>185</v>
      </c>
      <c r="J490" s="68">
        <v>253.6681222707424</v>
      </c>
    </row>
    <row r="491" spans="1:10" x14ac:dyDescent="0.3">
      <c r="A491" s="124">
        <f t="shared" si="19"/>
        <v>41401</v>
      </c>
      <c r="B491" s="63">
        <v>8</v>
      </c>
      <c r="C491" s="21">
        <v>412.5</v>
      </c>
      <c r="D491" s="21">
        <v>332.5</v>
      </c>
      <c r="E491" s="21">
        <v>325</v>
      </c>
      <c r="F491" s="21">
        <v>317.5</v>
      </c>
      <c r="G491" s="21">
        <v>325</v>
      </c>
      <c r="H491" s="21">
        <v>325</v>
      </c>
      <c r="I491" s="21">
        <v>295</v>
      </c>
      <c r="J491" s="21">
        <v>404.49781659388645</v>
      </c>
    </row>
    <row r="492" spans="1:10" x14ac:dyDescent="0.3">
      <c r="A492" s="124">
        <f t="shared" si="19"/>
        <v>41408</v>
      </c>
      <c r="B492" s="63">
        <v>8</v>
      </c>
      <c r="C492" s="21">
        <v>400</v>
      </c>
      <c r="D492" s="21">
        <v>337.5</v>
      </c>
      <c r="E492" s="21">
        <v>325</v>
      </c>
      <c r="F492" s="21">
        <v>287.5</v>
      </c>
      <c r="G492" s="21">
        <v>317.5</v>
      </c>
      <c r="H492" s="21">
        <v>317.5</v>
      </c>
      <c r="I492" s="21">
        <v>255</v>
      </c>
      <c r="J492" s="21">
        <v>349.65065502183404</v>
      </c>
    </row>
    <row r="493" spans="1:10" x14ac:dyDescent="0.3">
      <c r="A493" s="124">
        <f t="shared" si="19"/>
        <v>41415</v>
      </c>
      <c r="B493" s="63">
        <v>8</v>
      </c>
      <c r="C493" s="68">
        <v>396.66666666666669</v>
      </c>
      <c r="D493" s="68">
        <v>366.66666666666669</v>
      </c>
      <c r="E493" s="68">
        <v>348.33333333333331</v>
      </c>
      <c r="F493" s="68">
        <v>321.66666666666669</v>
      </c>
      <c r="G493" s="68">
        <v>341.66666666666669</v>
      </c>
      <c r="H493" s="68">
        <v>341.66666666666669</v>
      </c>
      <c r="I493" s="68">
        <v>291.66666666666669</v>
      </c>
      <c r="J493" s="68">
        <v>399.92721979621541</v>
      </c>
    </row>
    <row r="494" spans="1:10" x14ac:dyDescent="0.3">
      <c r="A494" s="124">
        <f t="shared" si="19"/>
        <v>41422</v>
      </c>
      <c r="B494" s="63">
        <v>8</v>
      </c>
      <c r="C494" s="68">
        <v>408.33333333333331</v>
      </c>
      <c r="D494" s="68">
        <v>355</v>
      </c>
      <c r="E494" s="68">
        <v>355</v>
      </c>
      <c r="F494" s="68">
        <v>330</v>
      </c>
      <c r="G494" s="68">
        <v>351.66666666666669</v>
      </c>
      <c r="H494" s="68">
        <v>351.66666666666669</v>
      </c>
      <c r="I494" s="68">
        <v>320</v>
      </c>
      <c r="J494" s="68">
        <v>438.77729257641926</v>
      </c>
    </row>
    <row r="495" spans="1:10" x14ac:dyDescent="0.3">
      <c r="A495" s="124">
        <f t="shared" si="19"/>
        <v>41429</v>
      </c>
      <c r="B495" s="63">
        <v>8</v>
      </c>
      <c r="C495" s="68">
        <v>500</v>
      </c>
      <c r="D495" s="68">
        <v>458.33333333333331</v>
      </c>
      <c r="E495" s="68">
        <v>458.33333333333331</v>
      </c>
      <c r="F495" s="68">
        <v>421.66666666666669</v>
      </c>
      <c r="G495" s="68">
        <v>471.66666666666669</v>
      </c>
      <c r="H495" s="68">
        <v>471.66666666666669</v>
      </c>
      <c r="I495" s="68">
        <v>388.33333333333331</v>
      </c>
      <c r="J495" s="68">
        <v>532.47452692867535</v>
      </c>
    </row>
    <row r="496" spans="1:10" x14ac:dyDescent="0.3">
      <c r="A496" s="124">
        <f t="shared" si="19"/>
        <v>41436</v>
      </c>
      <c r="B496" s="63">
        <v>9</v>
      </c>
      <c r="C496" s="21">
        <v>492.5</v>
      </c>
      <c r="D496" s="21">
        <v>447.5</v>
      </c>
      <c r="E496" s="21">
        <v>437.5</v>
      </c>
      <c r="F496" s="21">
        <v>375</v>
      </c>
      <c r="G496" s="21">
        <v>437.5</v>
      </c>
      <c r="H496" s="21">
        <v>437.5</v>
      </c>
      <c r="I496" s="21">
        <v>350</v>
      </c>
      <c r="J496" s="21">
        <v>319.94177583697234</v>
      </c>
    </row>
    <row r="497" spans="1:10" x14ac:dyDescent="0.3">
      <c r="A497" s="124">
        <f t="shared" si="19"/>
        <v>41443</v>
      </c>
      <c r="B497" s="63">
        <v>9</v>
      </c>
      <c r="C497" s="63">
        <v>475</v>
      </c>
      <c r="D497" s="63">
        <v>440</v>
      </c>
      <c r="E497" s="68">
        <v>438</v>
      </c>
      <c r="F497" s="68">
        <v>388</v>
      </c>
      <c r="G497" s="68">
        <v>425</v>
      </c>
      <c r="H497" s="68">
        <v>425</v>
      </c>
      <c r="I497" s="68">
        <v>368</v>
      </c>
      <c r="J497" s="68">
        <v>336</v>
      </c>
    </row>
    <row r="498" spans="1:10" x14ac:dyDescent="0.3">
      <c r="A498" s="124">
        <f t="shared" si="19"/>
        <v>41450</v>
      </c>
      <c r="B498" s="63">
        <v>9</v>
      </c>
      <c r="C498" s="68">
        <v>465</v>
      </c>
      <c r="D498" s="68">
        <v>446.66666666666669</v>
      </c>
      <c r="E498" s="68">
        <v>443.33333333333331</v>
      </c>
      <c r="F498" s="68">
        <v>406.66666666666669</v>
      </c>
      <c r="G498" s="68">
        <v>441.66666666666669</v>
      </c>
      <c r="H498" s="68">
        <v>441.66666666666669</v>
      </c>
      <c r="I498" s="68">
        <v>386.66666666666669</v>
      </c>
      <c r="J498" s="68">
        <v>530.18922852983985</v>
      </c>
    </row>
    <row r="499" spans="1:10" x14ac:dyDescent="0.3">
      <c r="A499" s="124">
        <f t="shared" si="19"/>
        <v>41457</v>
      </c>
      <c r="B499" s="63">
        <v>10</v>
      </c>
      <c r="C499" s="68">
        <v>566.66666666666663</v>
      </c>
      <c r="D499" s="68">
        <v>558.33333333333337</v>
      </c>
      <c r="E499" s="68">
        <v>555</v>
      </c>
      <c r="F499" s="68">
        <v>491.66666666666669</v>
      </c>
      <c r="G499" s="68">
        <v>563.33333333333337</v>
      </c>
      <c r="H499" s="68">
        <v>563.33333333333337</v>
      </c>
      <c r="I499" s="68">
        <v>471.66666666666669</v>
      </c>
      <c r="J499" s="68">
        <v>646.73944687045127</v>
      </c>
    </row>
    <row r="500" spans="1:10" x14ac:dyDescent="0.3">
      <c r="A500" s="124">
        <f t="shared" si="19"/>
        <v>41464</v>
      </c>
      <c r="B500" s="63">
        <v>10</v>
      </c>
      <c r="C500" s="68">
        <v>595</v>
      </c>
      <c r="D500" s="68">
        <v>550.33333333333337</v>
      </c>
      <c r="E500" s="68">
        <v>556.66666666666663</v>
      </c>
      <c r="F500" s="68">
        <v>495</v>
      </c>
      <c r="G500" s="68">
        <v>575</v>
      </c>
      <c r="H500" s="68">
        <v>575</v>
      </c>
      <c r="I500" s="68">
        <v>463.33333333333331</v>
      </c>
      <c r="J500" s="68">
        <v>635.31295487627369</v>
      </c>
    </row>
    <row r="501" spans="1:10" x14ac:dyDescent="0.3">
      <c r="A501" s="124">
        <f t="shared" si="19"/>
        <v>41471</v>
      </c>
      <c r="B501" s="63">
        <v>10</v>
      </c>
      <c r="C501" s="68">
        <v>590</v>
      </c>
      <c r="D501" s="68">
        <v>563.33333333333337</v>
      </c>
      <c r="E501" s="68">
        <v>560</v>
      </c>
      <c r="F501" s="68">
        <v>491.66666666666669</v>
      </c>
      <c r="G501" s="68">
        <v>565</v>
      </c>
      <c r="H501" s="68">
        <v>565</v>
      </c>
      <c r="I501" s="68">
        <v>480</v>
      </c>
      <c r="J501" s="68">
        <v>658.16593886462886</v>
      </c>
    </row>
    <row r="502" spans="1:10" x14ac:dyDescent="0.3">
      <c r="A502" s="124">
        <f t="shared" si="19"/>
        <v>41478</v>
      </c>
      <c r="B502" s="63">
        <v>10</v>
      </c>
      <c r="C502" s="68">
        <v>573.33333333333337</v>
      </c>
      <c r="D502" s="68">
        <v>568.33333333333337</v>
      </c>
      <c r="E502" s="68">
        <v>560</v>
      </c>
      <c r="F502" s="68">
        <v>511.66666666666669</v>
      </c>
      <c r="G502" s="68">
        <v>566.66666666666663</v>
      </c>
      <c r="H502" s="68">
        <v>566.66666666666663</v>
      </c>
      <c r="I502" s="68">
        <v>508.33333333333331</v>
      </c>
      <c r="J502" s="68">
        <v>697.0160116448327</v>
      </c>
    </row>
    <row r="503" spans="1:10" x14ac:dyDescent="0.3">
      <c r="A503" s="124">
        <f t="shared" si="19"/>
        <v>41485</v>
      </c>
      <c r="B503" s="63">
        <v>10</v>
      </c>
      <c r="C503" s="68">
        <v>595</v>
      </c>
      <c r="D503" s="68">
        <v>558.33333333333337</v>
      </c>
      <c r="E503" s="68">
        <v>558.33333333333337</v>
      </c>
      <c r="F503" s="68">
        <v>511.66666666666669</v>
      </c>
      <c r="G503" s="68">
        <v>565</v>
      </c>
      <c r="H503" s="68">
        <v>565</v>
      </c>
      <c r="I503" s="68">
        <v>466.66666666666669</v>
      </c>
      <c r="J503" s="68">
        <v>639.88355167394468</v>
      </c>
    </row>
    <row r="504" spans="1:10" x14ac:dyDescent="0.3">
      <c r="A504" s="124">
        <f t="shared" si="19"/>
        <v>41492</v>
      </c>
      <c r="B504" s="63">
        <v>11</v>
      </c>
      <c r="C504" s="68">
        <v>563.33333333333337</v>
      </c>
      <c r="D504" s="68">
        <v>521.66666666666663</v>
      </c>
      <c r="E504" s="68">
        <v>505</v>
      </c>
      <c r="F504" s="68">
        <v>463.33333333333331</v>
      </c>
      <c r="G504" s="68">
        <v>495</v>
      </c>
      <c r="H504" s="68">
        <v>495</v>
      </c>
      <c r="I504" s="68">
        <v>400</v>
      </c>
      <c r="J504" s="68">
        <v>548.47161572052403</v>
      </c>
    </row>
    <row r="505" spans="1:10" x14ac:dyDescent="0.3">
      <c r="A505" s="124">
        <f t="shared" si="19"/>
        <v>41499</v>
      </c>
      <c r="B505" s="63">
        <v>11</v>
      </c>
      <c r="C505" s="68">
        <v>613.33333333333337</v>
      </c>
      <c r="D505" s="68">
        <v>513.33333333333337</v>
      </c>
      <c r="E505" s="68">
        <v>505</v>
      </c>
      <c r="F505" s="68">
        <v>430</v>
      </c>
      <c r="G505" s="68">
        <v>478.33333333333331</v>
      </c>
      <c r="H505" s="68">
        <v>478.33333333333331</v>
      </c>
      <c r="I505" s="68">
        <v>403.33333333333331</v>
      </c>
      <c r="J505" s="68">
        <v>553.04221251819502</v>
      </c>
    </row>
    <row r="506" spans="1:10" x14ac:dyDescent="0.3">
      <c r="A506" s="124">
        <f t="shared" si="19"/>
        <v>41506</v>
      </c>
      <c r="B506" s="63">
        <v>11</v>
      </c>
      <c r="C506" s="68">
        <v>591.66666666666663</v>
      </c>
      <c r="D506" s="68">
        <v>521.66666666666663</v>
      </c>
      <c r="E506" s="68">
        <v>481.66666666666669</v>
      </c>
      <c r="F506" s="68">
        <v>450</v>
      </c>
      <c r="G506" s="68">
        <v>496.66666666666669</v>
      </c>
      <c r="H506" s="68">
        <v>496.66666666666669</v>
      </c>
      <c r="I506" s="68">
        <v>400</v>
      </c>
      <c r="J506" s="68">
        <v>548.47161572052403</v>
      </c>
    </row>
    <row r="507" spans="1:10" x14ac:dyDescent="0.3">
      <c r="A507" s="124">
        <f t="shared" si="19"/>
        <v>41513</v>
      </c>
      <c r="B507" s="63">
        <v>11</v>
      </c>
      <c r="C507" s="68">
        <v>591.66666666666663</v>
      </c>
      <c r="D507" s="68">
        <v>535</v>
      </c>
      <c r="E507" s="68">
        <v>503.33333333333331</v>
      </c>
      <c r="F507" s="68">
        <v>463.33333333333331</v>
      </c>
      <c r="G507" s="68">
        <v>483.33333333333331</v>
      </c>
      <c r="H507" s="68">
        <v>483.33333333333331</v>
      </c>
      <c r="I507" s="68">
        <v>396.66666666666669</v>
      </c>
      <c r="J507" s="68">
        <v>543.90101892285293</v>
      </c>
    </row>
    <row r="508" spans="1:10" x14ac:dyDescent="0.3">
      <c r="A508" s="124">
        <f t="shared" si="19"/>
        <v>41520</v>
      </c>
      <c r="B508" s="63">
        <v>12</v>
      </c>
      <c r="C508" s="68"/>
      <c r="D508" s="68"/>
      <c r="E508" s="68">
        <v>436.25</v>
      </c>
      <c r="F508" s="68">
        <v>350</v>
      </c>
      <c r="G508" s="68">
        <v>426.25</v>
      </c>
      <c r="H508" s="68">
        <v>426.25</v>
      </c>
      <c r="I508" s="68">
        <v>316.25</v>
      </c>
      <c r="J508" s="68">
        <v>436.49199417758365</v>
      </c>
    </row>
    <row r="509" spans="1:10" x14ac:dyDescent="0.3">
      <c r="A509" s="124">
        <f t="shared" si="19"/>
        <v>41527</v>
      </c>
      <c r="B509" s="63">
        <v>12</v>
      </c>
      <c r="E509" s="122">
        <v>443.33333333333331</v>
      </c>
      <c r="F509" s="122">
        <v>345</v>
      </c>
      <c r="G509" s="122">
        <v>426.66666666666669</v>
      </c>
      <c r="H509" s="122">
        <v>426.66666666666669</v>
      </c>
      <c r="I509" s="122">
        <v>323.33333333333331</v>
      </c>
      <c r="J509" s="122">
        <v>443.34788937409024</v>
      </c>
    </row>
    <row r="510" spans="1:10" x14ac:dyDescent="0.3">
      <c r="A510" s="124">
        <f t="shared" si="19"/>
        <v>41534</v>
      </c>
      <c r="B510" s="63">
        <v>12</v>
      </c>
      <c r="C510" s="116"/>
      <c r="D510" s="116"/>
      <c r="E510" s="116">
        <v>451.66666666666669</v>
      </c>
      <c r="F510" s="116">
        <v>355</v>
      </c>
      <c r="G510" s="116">
        <v>431.66666666666669</v>
      </c>
      <c r="H510" s="116">
        <v>431.66666666666669</v>
      </c>
      <c r="I510" s="116">
        <v>286.66666666666669</v>
      </c>
      <c r="J510" s="116">
        <v>393.07132459970893</v>
      </c>
    </row>
    <row r="511" spans="1:10" x14ac:dyDescent="0.3">
      <c r="A511" s="124">
        <f t="shared" si="19"/>
        <v>41541</v>
      </c>
      <c r="B511" s="63">
        <v>12</v>
      </c>
      <c r="C511" s="68"/>
      <c r="D511" s="68"/>
      <c r="E511" s="68">
        <v>450</v>
      </c>
      <c r="F511" s="68">
        <v>353.33333333333331</v>
      </c>
      <c r="G511" s="68">
        <v>396.66666666666669</v>
      </c>
      <c r="H511" s="68">
        <v>421.66666666666669</v>
      </c>
      <c r="I511" s="68">
        <v>323.33333333333331</v>
      </c>
      <c r="J511" s="68">
        <v>443.34788937409024</v>
      </c>
    </row>
    <row r="512" spans="1:10" x14ac:dyDescent="0.3">
      <c r="A512" s="124">
        <f t="shared" ref="A512" si="20">7+A511</f>
        <v>41548</v>
      </c>
      <c r="B512" s="63">
        <v>1</v>
      </c>
      <c r="C512" s="68"/>
      <c r="D512" s="68"/>
      <c r="E512" s="119">
        <v>448</v>
      </c>
      <c r="F512" s="119">
        <v>347</v>
      </c>
      <c r="G512" s="119">
        <v>420</v>
      </c>
      <c r="H512" s="119">
        <v>420</v>
      </c>
      <c r="I512" s="119">
        <v>320</v>
      </c>
      <c r="J512" s="68">
        <v>439</v>
      </c>
    </row>
    <row r="513" spans="1:10" x14ac:dyDescent="0.3">
      <c r="A513" s="124">
        <f t="shared" ref="A513" si="21">7+A512</f>
        <v>41555</v>
      </c>
      <c r="B513" s="63">
        <v>1</v>
      </c>
      <c r="C513" s="68"/>
      <c r="D513" s="68"/>
      <c r="E513" s="131">
        <v>452</v>
      </c>
      <c r="F513" s="131">
        <v>355</v>
      </c>
      <c r="G513" s="131">
        <v>418</v>
      </c>
      <c r="H513" s="131">
        <v>418</v>
      </c>
      <c r="I513" s="131">
        <f t="shared" ref="I513" si="22">+(I512+I515)/2</f>
        <v>320</v>
      </c>
      <c r="J513" s="129">
        <v>439</v>
      </c>
    </row>
    <row r="514" spans="1:10" x14ac:dyDescent="0.3">
      <c r="A514" s="124">
        <f t="shared" ref="A514" si="23">7+A513</f>
        <v>41562</v>
      </c>
      <c r="B514" s="63">
        <v>1</v>
      </c>
      <c r="E514" s="128">
        <v>452</v>
      </c>
      <c r="F514" s="128">
        <v>355</v>
      </c>
      <c r="G514" s="128">
        <v>418</v>
      </c>
      <c r="H514" s="128">
        <v>418</v>
      </c>
      <c r="I514" s="128">
        <v>320</v>
      </c>
      <c r="J514" s="129">
        <v>439</v>
      </c>
    </row>
    <row r="515" spans="1:10" x14ac:dyDescent="0.3">
      <c r="A515" s="124">
        <f t="shared" ref="A515:A567" si="24">7+A514</f>
        <v>41569</v>
      </c>
      <c r="B515" s="63">
        <v>1</v>
      </c>
      <c r="E515" s="122">
        <v>455</v>
      </c>
      <c r="F515" s="122">
        <v>362.5</v>
      </c>
      <c r="G515" s="122">
        <v>415</v>
      </c>
      <c r="H515" s="122">
        <v>415</v>
      </c>
      <c r="I515" s="122">
        <v>320</v>
      </c>
      <c r="J515" s="68">
        <v>439</v>
      </c>
    </row>
    <row r="516" spans="1:10" x14ac:dyDescent="0.3">
      <c r="A516" s="124">
        <f t="shared" si="24"/>
        <v>41576</v>
      </c>
      <c r="B516" s="63">
        <v>1</v>
      </c>
      <c r="E516" s="122">
        <v>441.66666666666669</v>
      </c>
      <c r="F516" s="122">
        <v>361.66666666666669</v>
      </c>
      <c r="G516" s="122">
        <v>410</v>
      </c>
      <c r="H516" s="122">
        <v>410</v>
      </c>
      <c r="I516" s="122">
        <v>321.66666666666669</v>
      </c>
      <c r="J516" s="68">
        <v>441</v>
      </c>
    </row>
    <row r="517" spans="1:10" x14ac:dyDescent="0.3">
      <c r="A517" s="124">
        <f t="shared" si="24"/>
        <v>41583</v>
      </c>
      <c r="B517" s="63">
        <v>2</v>
      </c>
      <c r="E517" s="68">
        <v>411.66666666666669</v>
      </c>
      <c r="F517" s="68">
        <v>346.66666666666669</v>
      </c>
      <c r="G517" s="68">
        <v>383</v>
      </c>
      <c r="H517" s="68">
        <v>383.33333333333331</v>
      </c>
      <c r="I517" s="68">
        <v>296.66666666666669</v>
      </c>
      <c r="J517" s="68">
        <v>406.78311499272195</v>
      </c>
    </row>
    <row r="518" spans="1:10" x14ac:dyDescent="0.3">
      <c r="A518" s="124">
        <f t="shared" si="24"/>
        <v>41590</v>
      </c>
      <c r="B518" s="63">
        <v>2</v>
      </c>
      <c r="E518" s="68">
        <v>466.66666666666669</v>
      </c>
      <c r="F518" s="68">
        <v>366.66666666666669</v>
      </c>
      <c r="G518" s="68">
        <v>383</v>
      </c>
      <c r="H518" s="68">
        <v>430</v>
      </c>
      <c r="I518" s="68">
        <v>320</v>
      </c>
      <c r="J518" s="68">
        <v>438.77729257641914</v>
      </c>
    </row>
    <row r="519" spans="1:10" x14ac:dyDescent="0.3">
      <c r="A519" s="124">
        <f t="shared" si="24"/>
        <v>41597</v>
      </c>
      <c r="B519" s="63">
        <v>2</v>
      </c>
      <c r="E519" s="68">
        <v>458.33333333333331</v>
      </c>
      <c r="F519" s="68">
        <v>386.66666666666669</v>
      </c>
      <c r="G519" s="68">
        <v>435</v>
      </c>
      <c r="H519" s="68">
        <v>435</v>
      </c>
      <c r="I519" s="68">
        <v>320</v>
      </c>
      <c r="J519" s="68">
        <v>438.77729257641926</v>
      </c>
    </row>
    <row r="520" spans="1:10" x14ac:dyDescent="0.3">
      <c r="A520" s="124">
        <f t="shared" si="24"/>
        <v>41604</v>
      </c>
      <c r="B520" s="63">
        <v>2</v>
      </c>
      <c r="E520" s="68">
        <v>455</v>
      </c>
      <c r="F520" s="68">
        <v>366.25</v>
      </c>
      <c r="G520" s="68">
        <v>428.75</v>
      </c>
      <c r="H520" s="68">
        <v>428.75</v>
      </c>
      <c r="I520" s="68">
        <v>301.25</v>
      </c>
      <c r="J520" s="68">
        <v>413.63901018922849</v>
      </c>
    </row>
    <row r="521" spans="1:10" x14ac:dyDescent="0.3">
      <c r="A521" s="124">
        <f t="shared" si="24"/>
        <v>41611</v>
      </c>
      <c r="B521" s="63">
        <v>3</v>
      </c>
      <c r="D521" s="68">
        <v>415</v>
      </c>
      <c r="E521" s="68">
        <v>405</v>
      </c>
      <c r="F521" s="68">
        <v>361.66666666666669</v>
      </c>
      <c r="G521" s="68">
        <v>396.66666666666669</v>
      </c>
      <c r="H521" s="68">
        <v>396.66666666666669</v>
      </c>
      <c r="I521" s="68">
        <v>301.66666666666669</v>
      </c>
      <c r="J521" s="68">
        <v>413.63901018922849</v>
      </c>
    </row>
    <row r="522" spans="1:10" x14ac:dyDescent="0.3">
      <c r="A522" s="69">
        <f t="shared" si="24"/>
        <v>41618</v>
      </c>
      <c r="B522" s="63">
        <v>3</v>
      </c>
      <c r="C522" s="68">
        <v>425</v>
      </c>
      <c r="D522" s="68">
        <v>413.33333333333331</v>
      </c>
      <c r="E522" s="68">
        <v>400</v>
      </c>
      <c r="F522" s="68">
        <v>326.66666666666669</v>
      </c>
      <c r="G522" s="68">
        <v>375</v>
      </c>
      <c r="H522" s="68">
        <v>375</v>
      </c>
      <c r="I522" s="68">
        <v>300</v>
      </c>
      <c r="J522" s="68">
        <v>411.35371179039299</v>
      </c>
    </row>
    <row r="523" spans="1:10" x14ac:dyDescent="0.3">
      <c r="A523" s="69">
        <f t="shared" si="24"/>
        <v>41625</v>
      </c>
      <c r="B523" s="63">
        <v>3</v>
      </c>
      <c r="D523" s="116">
        <v>418.33333333333331</v>
      </c>
      <c r="E523" s="116">
        <v>400</v>
      </c>
      <c r="F523" s="116">
        <v>353.33333333333331</v>
      </c>
      <c r="G523" s="116">
        <v>380</v>
      </c>
      <c r="H523" s="116">
        <v>380</v>
      </c>
      <c r="I523" s="116">
        <v>280</v>
      </c>
      <c r="J523" s="116">
        <v>383.93013100436679</v>
      </c>
    </row>
    <row r="524" spans="1:10" x14ac:dyDescent="0.3">
      <c r="A524" s="69">
        <f t="shared" si="24"/>
        <v>41632</v>
      </c>
      <c r="B524" s="63">
        <v>3</v>
      </c>
      <c r="D524" s="116">
        <v>411.66666666666669</v>
      </c>
      <c r="E524" s="116">
        <v>408.33333333333331</v>
      </c>
      <c r="F524" s="116">
        <v>358.33333333333331</v>
      </c>
      <c r="G524" s="116">
        <v>378.33333333333331</v>
      </c>
      <c r="H524" s="116">
        <v>378.33333333333331</v>
      </c>
      <c r="I524" s="116">
        <v>270</v>
      </c>
      <c r="J524" s="116">
        <v>370.21834061135365</v>
      </c>
    </row>
    <row r="525" spans="1:10" x14ac:dyDescent="0.3">
      <c r="A525" s="69">
        <f t="shared" si="24"/>
        <v>41639</v>
      </c>
      <c r="B525" s="63">
        <v>3</v>
      </c>
      <c r="D525" s="68">
        <v>416.66666666666669</v>
      </c>
      <c r="E525" s="68">
        <v>403.33333333333331</v>
      </c>
      <c r="F525" s="68">
        <v>353.33333333333331</v>
      </c>
      <c r="G525" s="68">
        <v>383.33333333333331</v>
      </c>
      <c r="H525" s="68">
        <v>383.33333333333331</v>
      </c>
      <c r="I525" s="68">
        <v>270</v>
      </c>
      <c r="J525" s="68">
        <v>370.21834061135377</v>
      </c>
    </row>
    <row r="526" spans="1:10" x14ac:dyDescent="0.3">
      <c r="A526" s="69">
        <f t="shared" si="24"/>
        <v>41646</v>
      </c>
      <c r="B526" s="63">
        <v>4</v>
      </c>
      <c r="C526" s="68">
        <v>430</v>
      </c>
      <c r="D526" s="68">
        <v>380</v>
      </c>
      <c r="E526" s="68">
        <v>360</v>
      </c>
      <c r="F526" s="68">
        <v>333.33333333333331</v>
      </c>
      <c r="G526" s="68">
        <v>340</v>
      </c>
      <c r="H526" s="68">
        <v>340</v>
      </c>
      <c r="I526" s="68">
        <v>258.33333333333331</v>
      </c>
      <c r="J526" s="68">
        <v>354.22125181950508</v>
      </c>
    </row>
    <row r="527" spans="1:10" x14ac:dyDescent="0.3">
      <c r="A527" s="69">
        <f t="shared" si="24"/>
        <v>41653</v>
      </c>
      <c r="B527" s="63">
        <v>4</v>
      </c>
      <c r="C527" s="68">
        <v>423.33333333333331</v>
      </c>
      <c r="D527" s="68">
        <v>385</v>
      </c>
      <c r="E527" s="68">
        <v>363.33333333333331</v>
      </c>
      <c r="F527" s="68">
        <v>321.66666666666669</v>
      </c>
      <c r="G527" s="68">
        <v>346.66666666666669</v>
      </c>
      <c r="H527" s="68">
        <v>346.66666666666669</v>
      </c>
      <c r="I527" s="68">
        <v>250</v>
      </c>
      <c r="J527" s="68">
        <v>342.7947598253275</v>
      </c>
    </row>
    <row r="528" spans="1:10" x14ac:dyDescent="0.3">
      <c r="A528" s="69">
        <f t="shared" si="24"/>
        <v>41660</v>
      </c>
      <c r="B528" s="63">
        <v>4</v>
      </c>
      <c r="C528" s="68">
        <v>430</v>
      </c>
      <c r="D528" s="68">
        <v>386.66666666666669</v>
      </c>
      <c r="E528" s="68">
        <v>365</v>
      </c>
      <c r="F528" s="68">
        <v>343.33333333333331</v>
      </c>
      <c r="G528" s="68">
        <v>363.33333333333331</v>
      </c>
      <c r="H528" s="68">
        <v>363.33333333333331</v>
      </c>
      <c r="I528" s="68">
        <v>261.66666666666669</v>
      </c>
      <c r="J528" s="68">
        <v>358.79184861717613</v>
      </c>
    </row>
    <row r="529" spans="1:10" x14ac:dyDescent="0.3">
      <c r="A529" s="69">
        <f t="shared" si="24"/>
        <v>41667</v>
      </c>
      <c r="B529" s="63">
        <v>4</v>
      </c>
      <c r="C529" s="68">
        <v>445</v>
      </c>
      <c r="D529" s="68">
        <v>415</v>
      </c>
      <c r="E529" s="68">
        <v>400</v>
      </c>
      <c r="F529" s="68">
        <v>335</v>
      </c>
      <c r="G529" s="68">
        <v>365</v>
      </c>
      <c r="H529" s="68">
        <v>365</v>
      </c>
      <c r="I529" s="68">
        <v>271.66666666666669</v>
      </c>
      <c r="J529" s="68">
        <v>372.50363901018926</v>
      </c>
    </row>
    <row r="530" spans="1:10" x14ac:dyDescent="0.3">
      <c r="A530" s="69">
        <f t="shared" si="24"/>
        <v>41674</v>
      </c>
      <c r="B530" s="63">
        <v>5</v>
      </c>
      <c r="C530" s="68">
        <v>436.66666666666669</v>
      </c>
      <c r="D530" s="68">
        <v>423.33333333333331</v>
      </c>
      <c r="E530" s="68">
        <v>406.66666666666669</v>
      </c>
      <c r="F530" s="68">
        <v>325</v>
      </c>
      <c r="G530" s="68">
        <v>355</v>
      </c>
      <c r="H530" s="68">
        <v>355</v>
      </c>
      <c r="I530" s="68">
        <v>275</v>
      </c>
      <c r="J530" s="68">
        <v>377.07423580786025</v>
      </c>
    </row>
    <row r="531" spans="1:10" x14ac:dyDescent="0.3">
      <c r="A531" s="69">
        <f t="shared" si="24"/>
        <v>41681</v>
      </c>
      <c r="B531" s="63">
        <v>5</v>
      </c>
      <c r="C531" s="63">
        <v>440</v>
      </c>
      <c r="D531" s="63">
        <v>420</v>
      </c>
      <c r="E531" s="68">
        <v>418</v>
      </c>
      <c r="F531" s="68">
        <v>317</v>
      </c>
      <c r="G531" s="68">
        <v>353</v>
      </c>
      <c r="H531" s="68">
        <v>353</v>
      </c>
      <c r="I531" s="68">
        <v>272</v>
      </c>
      <c r="J531" s="68">
        <v>373</v>
      </c>
    </row>
    <row r="532" spans="1:10" x14ac:dyDescent="0.3">
      <c r="A532" s="69">
        <f t="shared" si="24"/>
        <v>41688</v>
      </c>
      <c r="B532" s="63">
        <v>5</v>
      </c>
      <c r="C532" s="68">
        <v>445</v>
      </c>
      <c r="D532" s="68">
        <v>416.66666666666669</v>
      </c>
      <c r="E532" s="68">
        <v>410</v>
      </c>
      <c r="F532" s="68">
        <v>341.66666666666669</v>
      </c>
      <c r="G532" s="68">
        <v>365</v>
      </c>
      <c r="H532" s="68">
        <v>365</v>
      </c>
      <c r="I532" s="68">
        <v>276.66666666666669</v>
      </c>
      <c r="J532" s="68">
        <v>379.3595342066958</v>
      </c>
    </row>
    <row r="533" spans="1:10" x14ac:dyDescent="0.3">
      <c r="A533" s="69">
        <f t="shared" si="24"/>
        <v>41695</v>
      </c>
      <c r="B533" s="63">
        <v>5</v>
      </c>
      <c r="C533" s="68">
        <v>461.66666666666669</v>
      </c>
      <c r="D533" s="68">
        <v>433.33333333333331</v>
      </c>
      <c r="E533" s="68">
        <v>433.33333333333331</v>
      </c>
      <c r="F533" s="68">
        <v>343.75</v>
      </c>
      <c r="G533" s="68">
        <v>368.33333333333331</v>
      </c>
      <c r="H533" s="68">
        <v>368.33333333333331</v>
      </c>
      <c r="I533" s="68">
        <v>291.66666666666669</v>
      </c>
      <c r="J533" s="68">
        <v>399.92721979621541</v>
      </c>
    </row>
    <row r="534" spans="1:10" x14ac:dyDescent="0.3">
      <c r="A534" s="69">
        <f t="shared" si="24"/>
        <v>41702</v>
      </c>
      <c r="B534" s="63">
        <v>6</v>
      </c>
      <c r="C534" s="68">
        <v>508.33333333333331</v>
      </c>
      <c r="D534" s="68">
        <v>456.66666666666669</v>
      </c>
      <c r="E534" s="68">
        <v>446.66666666666669</v>
      </c>
      <c r="F534" s="68">
        <v>376.66666666666669</v>
      </c>
      <c r="G534" s="68">
        <v>396.66666666666669</v>
      </c>
      <c r="H534" s="68">
        <v>396.66666666666669</v>
      </c>
      <c r="I534" s="68">
        <v>333.33333333333331</v>
      </c>
      <c r="J534" s="68">
        <v>457.05967976710332</v>
      </c>
    </row>
    <row r="535" spans="1:10" x14ac:dyDescent="0.3">
      <c r="A535" s="69">
        <f t="shared" si="24"/>
        <v>41709</v>
      </c>
      <c r="B535" s="63">
        <v>6</v>
      </c>
      <c r="C535" s="68">
        <v>500</v>
      </c>
      <c r="D535" s="68">
        <v>467.5</v>
      </c>
      <c r="E535" s="68">
        <v>450</v>
      </c>
      <c r="F535" s="68">
        <v>400</v>
      </c>
      <c r="G535" s="68">
        <v>420</v>
      </c>
      <c r="H535" s="68">
        <v>420</v>
      </c>
      <c r="I535" s="68">
        <v>325</v>
      </c>
      <c r="J535" s="68">
        <v>445.63318777292574</v>
      </c>
    </row>
    <row r="536" spans="1:10" x14ac:dyDescent="0.3">
      <c r="A536" s="69">
        <f t="shared" si="24"/>
        <v>41716</v>
      </c>
      <c r="B536" s="63">
        <v>6</v>
      </c>
      <c r="C536" s="68">
        <v>491.66666666666669</v>
      </c>
      <c r="D536" s="68">
        <v>455</v>
      </c>
      <c r="E536" s="68">
        <v>436.66666666666669</v>
      </c>
      <c r="F536" s="68">
        <v>370</v>
      </c>
      <c r="G536" s="68">
        <v>375</v>
      </c>
      <c r="H536" s="68">
        <v>375</v>
      </c>
      <c r="I536" s="68">
        <v>290</v>
      </c>
      <c r="J536" s="68">
        <v>397.64192139737992</v>
      </c>
    </row>
    <row r="537" spans="1:10" x14ac:dyDescent="0.3">
      <c r="A537" s="69">
        <f t="shared" si="24"/>
        <v>41723</v>
      </c>
      <c r="B537" s="63">
        <v>6</v>
      </c>
      <c r="C537" s="68">
        <v>471.25</v>
      </c>
      <c r="D537" s="68">
        <v>412.5</v>
      </c>
      <c r="E537" s="68">
        <v>405</v>
      </c>
      <c r="F537" s="68">
        <v>325</v>
      </c>
      <c r="G537" s="68">
        <v>362.5</v>
      </c>
      <c r="H537" s="68">
        <v>362.5</v>
      </c>
      <c r="I537" s="68">
        <v>277.5</v>
      </c>
      <c r="J537" s="68">
        <v>381.64483260553129</v>
      </c>
    </row>
    <row r="538" spans="1:10" x14ac:dyDescent="0.3">
      <c r="A538" s="69">
        <f t="shared" si="24"/>
        <v>41730</v>
      </c>
      <c r="B538" s="63">
        <v>7</v>
      </c>
      <c r="C538" s="133">
        <v>465</v>
      </c>
      <c r="D538" s="133">
        <v>400</v>
      </c>
      <c r="E538" s="133">
        <v>392.5</v>
      </c>
      <c r="F538" s="133">
        <v>292.5</v>
      </c>
      <c r="G538" s="133">
        <v>337.5</v>
      </c>
      <c r="H538" s="133">
        <v>337.5</v>
      </c>
      <c r="I538" s="133">
        <v>261.25</v>
      </c>
      <c r="J538" s="133">
        <v>363.36244541484712</v>
      </c>
    </row>
    <row r="539" spans="1:10" x14ac:dyDescent="0.3">
      <c r="A539" s="69">
        <f t="shared" si="24"/>
        <v>41737</v>
      </c>
      <c r="B539" s="63">
        <v>7</v>
      </c>
      <c r="C539" s="133">
        <v>465</v>
      </c>
      <c r="D539" s="133">
        <v>400</v>
      </c>
      <c r="E539" s="133">
        <v>392.5</v>
      </c>
      <c r="F539" s="133">
        <v>292.5</v>
      </c>
      <c r="G539" s="133">
        <v>337.5</v>
      </c>
      <c r="H539" s="133">
        <v>337.5</v>
      </c>
      <c r="I539" s="133">
        <v>261.25</v>
      </c>
      <c r="J539" s="133">
        <v>363.36244541484712</v>
      </c>
    </row>
    <row r="540" spans="1:10" x14ac:dyDescent="0.3">
      <c r="A540" s="69">
        <f t="shared" si="24"/>
        <v>41744</v>
      </c>
      <c r="B540" s="63">
        <v>7</v>
      </c>
      <c r="C540" s="68">
        <v>446.66666666666669</v>
      </c>
      <c r="D540" s="68">
        <v>375</v>
      </c>
      <c r="E540" s="68">
        <v>363.33333333333331</v>
      </c>
      <c r="F540" s="68">
        <v>261.66666666666669</v>
      </c>
      <c r="G540" s="68">
        <v>303.33333333333331</v>
      </c>
      <c r="H540" s="68">
        <v>303.33333333333331</v>
      </c>
      <c r="I540" s="68">
        <v>233.33333333333334</v>
      </c>
      <c r="J540" s="68">
        <v>319.94177583697234</v>
      </c>
    </row>
    <row r="541" spans="1:10" x14ac:dyDescent="0.3">
      <c r="A541" s="69">
        <f t="shared" si="24"/>
        <v>41751</v>
      </c>
      <c r="B541" s="63">
        <v>7</v>
      </c>
      <c r="C541" s="68">
        <v>428.75</v>
      </c>
      <c r="D541" s="68">
        <v>370</v>
      </c>
      <c r="E541" s="68">
        <v>367.5</v>
      </c>
      <c r="F541" s="68">
        <v>251.25</v>
      </c>
      <c r="G541" s="68">
        <v>296.25</v>
      </c>
      <c r="H541" s="68">
        <v>296.25</v>
      </c>
      <c r="I541" s="68">
        <v>217.5</v>
      </c>
      <c r="J541" s="68">
        <v>294.80349344978168</v>
      </c>
    </row>
    <row r="542" spans="1:10" x14ac:dyDescent="0.3">
      <c r="A542" s="69">
        <f t="shared" si="24"/>
        <v>41758</v>
      </c>
      <c r="B542" s="63">
        <v>7</v>
      </c>
      <c r="C542" s="68">
        <v>452.5</v>
      </c>
      <c r="D542" s="68">
        <v>360</v>
      </c>
      <c r="E542" s="68">
        <v>355</v>
      </c>
      <c r="F542" s="68">
        <v>245</v>
      </c>
      <c r="G542" s="68">
        <v>290</v>
      </c>
      <c r="H542" s="68">
        <v>290</v>
      </c>
      <c r="I542" s="68">
        <v>240</v>
      </c>
      <c r="J542" s="68">
        <v>329.08296943231443</v>
      </c>
    </row>
    <row r="543" spans="1:10" x14ac:dyDescent="0.3">
      <c r="A543" s="69">
        <f t="shared" si="24"/>
        <v>41765</v>
      </c>
      <c r="B543" s="63">
        <v>8</v>
      </c>
      <c r="C543" s="68">
        <v>466.66666666666669</v>
      </c>
      <c r="D543" s="68">
        <v>405</v>
      </c>
      <c r="E543" s="68">
        <v>393.33333333333331</v>
      </c>
      <c r="F543" s="68">
        <v>333.33333333333331</v>
      </c>
      <c r="G543" s="68">
        <v>358.33333333333331</v>
      </c>
      <c r="H543" s="68">
        <v>358.33333333333331</v>
      </c>
      <c r="I543" s="68">
        <v>280</v>
      </c>
      <c r="J543" s="68">
        <v>383.93013100436679</v>
      </c>
    </row>
    <row r="544" spans="1:10" x14ac:dyDescent="0.3">
      <c r="A544" s="69">
        <f t="shared" si="24"/>
        <v>41772</v>
      </c>
      <c r="B544" s="63">
        <v>8</v>
      </c>
      <c r="C544" s="68">
        <v>467.5</v>
      </c>
      <c r="D544" s="68">
        <v>402.5</v>
      </c>
      <c r="E544" s="68">
        <v>382.5</v>
      </c>
      <c r="F544" s="68">
        <v>325</v>
      </c>
      <c r="G544" s="68">
        <v>335</v>
      </c>
      <c r="H544" s="68">
        <v>335</v>
      </c>
      <c r="I544" s="68">
        <v>300</v>
      </c>
      <c r="J544" s="68">
        <v>411.35371179039299</v>
      </c>
    </row>
    <row r="545" spans="1:10" x14ac:dyDescent="0.3">
      <c r="A545" s="69">
        <f t="shared" si="24"/>
        <v>41779</v>
      </c>
      <c r="B545" s="63">
        <v>8</v>
      </c>
      <c r="C545" s="68">
        <v>465</v>
      </c>
      <c r="D545" s="68">
        <v>380</v>
      </c>
      <c r="E545" s="68">
        <v>380</v>
      </c>
      <c r="F545" s="68">
        <v>317.5</v>
      </c>
      <c r="G545" s="68">
        <v>370</v>
      </c>
      <c r="H545" s="68">
        <v>370</v>
      </c>
      <c r="I545" s="68">
        <v>300</v>
      </c>
      <c r="J545" s="68">
        <v>411.35371179039299</v>
      </c>
    </row>
    <row r="546" spans="1:10" x14ac:dyDescent="0.3">
      <c r="A546" s="69">
        <f t="shared" si="24"/>
        <v>41786</v>
      </c>
      <c r="B546" s="63">
        <v>8</v>
      </c>
      <c r="C546" s="68">
        <v>475</v>
      </c>
      <c r="D546" s="68">
        <v>408.33333333333331</v>
      </c>
      <c r="E546" s="68">
        <v>396.66666666666669</v>
      </c>
      <c r="F546" s="68">
        <v>348.33333333333331</v>
      </c>
      <c r="G546" s="68">
        <v>383.33333333333331</v>
      </c>
      <c r="H546" s="68">
        <v>383.33333333333331</v>
      </c>
      <c r="I546" s="68">
        <v>320</v>
      </c>
      <c r="J546" s="63">
        <v>439</v>
      </c>
    </row>
    <row r="547" spans="1:10" x14ac:dyDescent="0.3">
      <c r="A547" s="69">
        <f t="shared" si="24"/>
        <v>41793</v>
      </c>
      <c r="B547" s="63">
        <v>9</v>
      </c>
      <c r="C547" s="116">
        <v>561.66666666666663</v>
      </c>
      <c r="D547" s="116">
        <v>525</v>
      </c>
      <c r="E547" s="116">
        <v>521.66666666666663</v>
      </c>
      <c r="F547" s="116">
        <v>466.66666666666669</v>
      </c>
      <c r="G547" s="116">
        <v>515</v>
      </c>
      <c r="H547" s="116">
        <v>515</v>
      </c>
      <c r="I547" s="116">
        <v>436.66666666666669</v>
      </c>
      <c r="J547" s="116">
        <v>598.74818049490534</v>
      </c>
    </row>
    <row r="548" spans="1:10" x14ac:dyDescent="0.3">
      <c r="A548" s="69">
        <f t="shared" si="24"/>
        <v>41800</v>
      </c>
      <c r="B548" s="63">
        <v>9</v>
      </c>
      <c r="C548" s="68">
        <v>541.66666666666663</v>
      </c>
      <c r="D548" s="68">
        <v>525</v>
      </c>
      <c r="E548" s="68">
        <v>523.33333333333337</v>
      </c>
      <c r="F548" s="68">
        <v>458.33333333333331</v>
      </c>
      <c r="G548" s="68">
        <v>508.33333333333331</v>
      </c>
      <c r="H548" s="68">
        <v>508.33333333333331</v>
      </c>
      <c r="I548" s="68">
        <v>463.33333333333331</v>
      </c>
      <c r="J548" s="68">
        <v>556.78311499272206</v>
      </c>
    </row>
    <row r="549" spans="1:10" x14ac:dyDescent="0.3">
      <c r="A549" s="69">
        <f t="shared" si="24"/>
        <v>41807</v>
      </c>
      <c r="B549" s="63">
        <v>9</v>
      </c>
      <c r="C549" s="68">
        <v>538.33333333333337</v>
      </c>
      <c r="D549" s="68">
        <v>526.66666666666663</v>
      </c>
      <c r="E549" s="68">
        <v>523.33333333333337</v>
      </c>
      <c r="F549" s="68">
        <v>465</v>
      </c>
      <c r="G549" s="68">
        <v>523.33333333333337</v>
      </c>
      <c r="H549" s="68">
        <v>523.33333333333337</v>
      </c>
      <c r="I549" s="68">
        <v>443.33333333333331</v>
      </c>
      <c r="J549" s="68">
        <v>556.78311499272206</v>
      </c>
    </row>
    <row r="550" spans="1:10" x14ac:dyDescent="0.3">
      <c r="A550" s="69">
        <f t="shared" si="24"/>
        <v>41814</v>
      </c>
      <c r="B550" s="63">
        <v>9</v>
      </c>
      <c r="C550" s="122">
        <v>568.75</v>
      </c>
      <c r="D550" s="122">
        <v>547.5</v>
      </c>
      <c r="E550" s="122">
        <v>546.25</v>
      </c>
      <c r="F550" s="122">
        <v>501.25</v>
      </c>
      <c r="G550" s="122">
        <v>550</v>
      </c>
      <c r="H550" s="122">
        <v>550</v>
      </c>
      <c r="I550" s="122">
        <v>466.25</v>
      </c>
      <c r="J550" s="122">
        <v>561.35371179039305</v>
      </c>
    </row>
    <row r="551" spans="1:10" x14ac:dyDescent="0.3">
      <c r="A551" s="69">
        <f t="shared" si="24"/>
        <v>41821</v>
      </c>
      <c r="B551" s="63">
        <v>10</v>
      </c>
      <c r="C551" s="122">
        <v>641.66666666666663</v>
      </c>
      <c r="D551" s="122">
        <v>641.66666666666663</v>
      </c>
      <c r="E551" s="122">
        <v>641.66666666666663</v>
      </c>
      <c r="F551" s="122">
        <v>600</v>
      </c>
      <c r="G551" s="122">
        <v>646.66666666666663</v>
      </c>
      <c r="H551" s="122">
        <v>646.66666666666663</v>
      </c>
      <c r="I551" s="122">
        <v>561.66666666666663</v>
      </c>
      <c r="J551" s="122">
        <v>770.14556040756906</v>
      </c>
    </row>
    <row r="552" spans="1:10" x14ac:dyDescent="0.3">
      <c r="A552" s="69">
        <f t="shared" si="24"/>
        <v>41828</v>
      </c>
      <c r="B552" s="63">
        <v>10</v>
      </c>
      <c r="C552" s="68">
        <v>637.5</v>
      </c>
      <c r="D552" s="68">
        <v>637.5</v>
      </c>
      <c r="E552" s="68">
        <v>645</v>
      </c>
      <c r="F552" s="68">
        <v>607.5</v>
      </c>
      <c r="G552" s="68">
        <v>647.5</v>
      </c>
      <c r="H552" s="68">
        <v>647.5</v>
      </c>
      <c r="I552" s="68">
        <v>580</v>
      </c>
      <c r="J552" s="68">
        <v>795.28384279475983</v>
      </c>
    </row>
    <row r="553" spans="1:10" x14ac:dyDescent="0.3">
      <c r="A553" s="69">
        <f t="shared" si="24"/>
        <v>41835</v>
      </c>
      <c r="B553" s="63">
        <v>10</v>
      </c>
      <c r="C553" s="68">
        <v>683.33333333333337</v>
      </c>
      <c r="D553" s="68">
        <v>680</v>
      </c>
      <c r="E553" s="68">
        <v>663.33333333333337</v>
      </c>
      <c r="F553" s="68">
        <v>641.66666666666663</v>
      </c>
      <c r="G553" s="68">
        <v>683.33333333333337</v>
      </c>
      <c r="H553" s="68">
        <v>683.33333333333337</v>
      </c>
      <c r="I553" s="68">
        <v>600</v>
      </c>
      <c r="J553" s="68">
        <v>822.70742358078598</v>
      </c>
    </row>
    <row r="554" spans="1:10" x14ac:dyDescent="0.3">
      <c r="A554" s="69">
        <f t="shared" si="24"/>
        <v>41842</v>
      </c>
      <c r="B554" s="63">
        <v>10</v>
      </c>
      <c r="C554" s="68">
        <v>758.33333333333337</v>
      </c>
      <c r="D554" s="68">
        <v>746.66666666666663</v>
      </c>
      <c r="E554" s="68">
        <v>746.66666666666663</v>
      </c>
      <c r="F554" s="68">
        <v>647.5</v>
      </c>
      <c r="G554" s="68">
        <v>763.33333333333337</v>
      </c>
      <c r="H554" s="68">
        <v>763.33333333333337</v>
      </c>
      <c r="I554" s="68">
        <v>625</v>
      </c>
      <c r="J554" s="68">
        <v>856.98689956331873</v>
      </c>
    </row>
    <row r="555" spans="1:10" x14ac:dyDescent="0.3">
      <c r="A555" s="69">
        <f t="shared" si="24"/>
        <v>41849</v>
      </c>
      <c r="B555" s="63">
        <v>10</v>
      </c>
      <c r="C555" s="68">
        <v>775</v>
      </c>
      <c r="D555" s="68">
        <v>758.33333333333337</v>
      </c>
      <c r="E555" s="68">
        <v>766.66666666666663</v>
      </c>
      <c r="F555" s="68">
        <v>675</v>
      </c>
      <c r="G555" s="68">
        <v>780</v>
      </c>
      <c r="H555" s="68">
        <v>780</v>
      </c>
      <c r="I555" s="68">
        <v>641.66666666666663</v>
      </c>
      <c r="J555" s="68">
        <v>879.83988355167401</v>
      </c>
    </row>
    <row r="556" spans="1:10" x14ac:dyDescent="0.3">
      <c r="A556" s="69">
        <f t="shared" si="24"/>
        <v>41856</v>
      </c>
      <c r="B556" s="63">
        <v>11</v>
      </c>
      <c r="C556" s="68">
        <v>732.5</v>
      </c>
      <c r="D556" s="68">
        <v>657.5</v>
      </c>
      <c r="E556" s="68">
        <v>657.5</v>
      </c>
      <c r="F556" s="68">
        <v>555</v>
      </c>
      <c r="G556" s="68">
        <v>657.5</v>
      </c>
      <c r="H556" s="68">
        <v>657.5</v>
      </c>
      <c r="I556" s="68">
        <v>532.5</v>
      </c>
      <c r="J556" s="68">
        <v>730.15283842794759</v>
      </c>
    </row>
    <row r="557" spans="1:10" x14ac:dyDescent="0.3">
      <c r="A557" s="69">
        <f t="shared" si="24"/>
        <v>41863</v>
      </c>
      <c r="B557" s="63">
        <v>11</v>
      </c>
      <c r="C557" s="68">
        <v>731.25</v>
      </c>
      <c r="D557" s="68">
        <v>662.5</v>
      </c>
      <c r="E557" s="68">
        <v>658.33333333333337</v>
      </c>
      <c r="F557" s="68">
        <v>562.5</v>
      </c>
      <c r="G557" s="68">
        <v>651.66666666666663</v>
      </c>
      <c r="H557" s="68">
        <v>651.66666666666663</v>
      </c>
      <c r="I557" s="68">
        <v>483.33333333333331</v>
      </c>
      <c r="J557" s="68">
        <v>662.73653566229984</v>
      </c>
    </row>
    <row r="558" spans="1:10" x14ac:dyDescent="0.3">
      <c r="A558" s="69">
        <f t="shared" si="24"/>
        <v>41870</v>
      </c>
      <c r="B558" s="63">
        <v>11</v>
      </c>
      <c r="C558" s="68">
        <v>641.66666666666663</v>
      </c>
      <c r="D558" s="68">
        <v>666.66666666666663</v>
      </c>
      <c r="E558" s="68">
        <v>666.66666666666663</v>
      </c>
      <c r="F558" s="68">
        <v>591.66666666666663</v>
      </c>
      <c r="G558" s="68">
        <v>633.33333333333337</v>
      </c>
      <c r="H558" s="68">
        <v>633.33333333333337</v>
      </c>
      <c r="I558" s="68">
        <v>541.66666666666663</v>
      </c>
      <c r="J558" s="68">
        <v>742.7219796215428</v>
      </c>
    </row>
    <row r="559" spans="1:10" x14ac:dyDescent="0.3">
      <c r="A559" s="69">
        <f t="shared" si="24"/>
        <v>41877</v>
      </c>
      <c r="B559" s="63">
        <v>11</v>
      </c>
      <c r="C559" s="68">
        <v>693.75</v>
      </c>
      <c r="D559" s="63">
        <v>685</v>
      </c>
      <c r="E559" s="68">
        <v>672.5</v>
      </c>
      <c r="F559" s="68">
        <v>593.75</v>
      </c>
      <c r="G559" s="68">
        <v>658.75</v>
      </c>
      <c r="H559" s="68">
        <v>658.75</v>
      </c>
      <c r="I559" s="68">
        <v>565</v>
      </c>
      <c r="J559" s="68">
        <v>770.14556040756906</v>
      </c>
    </row>
    <row r="560" spans="1:10" x14ac:dyDescent="0.3">
      <c r="A560" s="69">
        <f t="shared" si="24"/>
        <v>41884</v>
      </c>
      <c r="B560" s="63">
        <v>12</v>
      </c>
      <c r="C560" s="68"/>
      <c r="D560" s="68"/>
      <c r="E560" s="68">
        <v>595</v>
      </c>
      <c r="F560" s="68">
        <v>495</v>
      </c>
      <c r="G560" s="68">
        <v>555</v>
      </c>
      <c r="H560" s="68">
        <v>555</v>
      </c>
      <c r="I560" s="68">
        <v>442.5</v>
      </c>
      <c r="J560" s="68">
        <v>607.88937409024754</v>
      </c>
    </row>
    <row r="561" spans="1:10" x14ac:dyDescent="0.3">
      <c r="A561" s="69">
        <f t="shared" si="24"/>
        <v>41891</v>
      </c>
      <c r="B561" s="63">
        <v>12</v>
      </c>
      <c r="C561" s="68"/>
      <c r="D561" s="68"/>
      <c r="E561" s="68">
        <v>600</v>
      </c>
      <c r="F561" s="68">
        <v>496.66666666666669</v>
      </c>
      <c r="G561" s="68">
        <v>566.66666666666663</v>
      </c>
      <c r="H561" s="68">
        <v>566.66666666666663</v>
      </c>
      <c r="I561" s="68">
        <v>456.66666666666669</v>
      </c>
      <c r="J561" s="68">
        <v>626.17176128093161</v>
      </c>
    </row>
    <row r="562" spans="1:10" x14ac:dyDescent="0.3">
      <c r="A562" s="69">
        <f t="shared" si="24"/>
        <v>41898</v>
      </c>
      <c r="B562" s="63">
        <v>12</v>
      </c>
      <c r="E562" s="68">
        <v>610</v>
      </c>
      <c r="F562" s="68">
        <v>503.33333333333331</v>
      </c>
      <c r="G562" s="68">
        <v>556.66666666666663</v>
      </c>
      <c r="H562" s="68">
        <v>556.66666666666663</v>
      </c>
      <c r="I562" s="68">
        <v>460</v>
      </c>
      <c r="J562" s="68">
        <v>630.74235807860271</v>
      </c>
    </row>
    <row r="563" spans="1:10" x14ac:dyDescent="0.3">
      <c r="A563" s="69">
        <f t="shared" si="24"/>
        <v>41905</v>
      </c>
      <c r="B563" s="63">
        <v>12</v>
      </c>
      <c r="E563" s="68">
        <v>650</v>
      </c>
      <c r="F563" s="68">
        <v>538.33333333333337</v>
      </c>
      <c r="G563" s="68">
        <v>616.66666666666663</v>
      </c>
      <c r="H563" s="68">
        <v>616.66666666666663</v>
      </c>
      <c r="I563" s="68">
        <v>516.66666666666663</v>
      </c>
      <c r="J563" s="68">
        <v>708.44250363901028</v>
      </c>
    </row>
    <row r="564" spans="1:10" x14ac:dyDescent="0.3">
      <c r="A564" s="69">
        <f t="shared" si="24"/>
        <v>41912</v>
      </c>
      <c r="B564" s="63">
        <v>12</v>
      </c>
      <c r="E564" s="68">
        <v>658.33333333333337</v>
      </c>
      <c r="F564" s="68">
        <v>550</v>
      </c>
      <c r="G564" s="68">
        <v>616.66666666666663</v>
      </c>
      <c r="H564" s="68">
        <v>616.66666666666663</v>
      </c>
      <c r="I564" s="68">
        <v>516.66666666666663</v>
      </c>
      <c r="J564" s="68">
        <v>708.44250363901017</v>
      </c>
    </row>
    <row r="565" spans="1:10" x14ac:dyDescent="0.3">
      <c r="A565" s="69">
        <f t="shared" si="24"/>
        <v>41919</v>
      </c>
      <c r="B565" s="63">
        <v>12</v>
      </c>
      <c r="E565" s="68">
        <v>625</v>
      </c>
      <c r="F565" s="68">
        <v>508.33333333333331</v>
      </c>
      <c r="G565" s="68">
        <v>575</v>
      </c>
      <c r="H565" s="68">
        <v>575</v>
      </c>
      <c r="I565" s="68">
        <v>481.66666666666669</v>
      </c>
      <c r="J565" s="68">
        <v>660.45123726346435</v>
      </c>
    </row>
    <row r="566" spans="1:10" x14ac:dyDescent="0.3">
      <c r="A566" s="69">
        <f t="shared" si="24"/>
        <v>41926</v>
      </c>
      <c r="B566" s="63">
        <v>12</v>
      </c>
      <c r="E566" s="68">
        <v>608.33333333333337</v>
      </c>
      <c r="F566" s="68">
        <v>466.66666666666669</v>
      </c>
      <c r="G566" s="68">
        <v>558.33333333333337</v>
      </c>
      <c r="H566" s="68">
        <v>558.33333333333337</v>
      </c>
      <c r="I566" s="68">
        <v>433.33333333333331</v>
      </c>
      <c r="J566" s="68">
        <v>594.17758369723435</v>
      </c>
    </row>
    <row r="567" spans="1:10" x14ac:dyDescent="0.3">
      <c r="A567" s="69">
        <f t="shared" si="24"/>
        <v>41933</v>
      </c>
      <c r="B567" s="63">
        <v>12</v>
      </c>
      <c r="E567" s="68">
        <v>600</v>
      </c>
      <c r="F567" s="68">
        <v>468.75</v>
      </c>
      <c r="G567" s="68">
        <v>520</v>
      </c>
      <c r="H567" s="68">
        <v>545</v>
      </c>
      <c r="I567" s="68">
        <v>431.25</v>
      </c>
      <c r="J567" s="68">
        <v>582.75109170305677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1"/>
  </sheetPr>
  <dimension ref="A1:K29"/>
  <sheetViews>
    <sheetView tabSelected="1" zoomScale="120" zoomScaleNormal="120" workbookViewId="0">
      <selection activeCell="A2" sqref="A2:J17"/>
    </sheetView>
  </sheetViews>
  <sheetFormatPr defaultRowHeight="12.5" x14ac:dyDescent="0.25"/>
  <cols>
    <col min="1" max="8" width="10" customWidth="1"/>
    <col min="9" max="9" width="2.54296875" customWidth="1"/>
    <col min="10" max="10" width="4.08984375" customWidth="1"/>
  </cols>
  <sheetData>
    <row r="1" spans="1:11" s="57" customFormat="1" x14ac:dyDescent="0.25">
      <c r="A1" s="59" t="s">
        <v>55</v>
      </c>
    </row>
    <row r="2" spans="1:11" ht="13" x14ac:dyDescent="0.3">
      <c r="A2" s="17" t="s">
        <v>53</v>
      </c>
      <c r="B2" s="18"/>
      <c r="C2" s="18"/>
      <c r="D2" s="18"/>
      <c r="E2" s="18"/>
      <c r="F2" s="18"/>
      <c r="G2" s="18"/>
      <c r="H2" s="18"/>
      <c r="I2" s="18"/>
      <c r="J2" s="18"/>
      <c r="K2" s="15"/>
    </row>
    <row r="3" spans="1:11" ht="15" x14ac:dyDescent="0.3">
      <c r="A3" s="19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5"/>
    </row>
    <row r="4" spans="1:11" ht="15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5"/>
      <c r="K4" s="15"/>
    </row>
    <row r="5" spans="1:11" ht="15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5"/>
      <c r="K5" s="15"/>
    </row>
    <row r="6" spans="1:11" ht="15.75" customHeight="1" x14ac:dyDescent="0.3">
      <c r="A6" s="1"/>
      <c r="B6" s="1"/>
      <c r="C6" s="1"/>
      <c r="D6" s="1"/>
      <c r="E6" s="1"/>
      <c r="F6" s="1"/>
      <c r="G6" s="1"/>
      <c r="H6" s="1"/>
      <c r="I6" s="1"/>
      <c r="J6" s="15"/>
      <c r="K6" s="15"/>
    </row>
    <row r="7" spans="1:11" ht="15.75" customHeight="1" x14ac:dyDescent="0.3">
      <c r="A7" s="1"/>
      <c r="B7" s="1"/>
      <c r="C7" s="1"/>
      <c r="D7" s="1"/>
      <c r="E7" s="1"/>
      <c r="F7" s="1"/>
      <c r="G7" s="1"/>
      <c r="H7" s="1"/>
      <c r="I7" s="1"/>
      <c r="J7" s="15"/>
      <c r="K7" s="15"/>
    </row>
    <row r="8" spans="1:11" ht="15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5"/>
      <c r="K8" s="15"/>
    </row>
    <row r="9" spans="1:11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5"/>
      <c r="K9" s="15"/>
    </row>
    <row r="10" spans="1:11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5"/>
      <c r="K10" s="15"/>
    </row>
    <row r="11" spans="1:11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5"/>
      <c r="K11" s="15"/>
    </row>
    <row r="12" spans="1:11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5"/>
      <c r="K12" s="15"/>
    </row>
    <row r="13" spans="1:11" ht="13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5"/>
      <c r="K13" s="15"/>
    </row>
    <row r="14" spans="1:11" ht="13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5"/>
      <c r="K14" s="15"/>
    </row>
    <row r="15" spans="1:11" ht="13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5" t="s">
        <v>12</v>
      </c>
      <c r="K15" s="15"/>
    </row>
    <row r="16" spans="1:11" ht="13" x14ac:dyDescent="0.3">
      <c r="A16" s="45" t="s">
        <v>49</v>
      </c>
      <c r="B16" s="1"/>
      <c r="C16" s="1"/>
      <c r="D16" s="1"/>
      <c r="E16" s="1"/>
      <c r="F16" s="1"/>
      <c r="G16" s="1"/>
      <c r="H16" s="1"/>
      <c r="I16" s="1"/>
      <c r="J16" s="15"/>
      <c r="K16" s="15"/>
    </row>
    <row r="17" spans="1:11" ht="13" x14ac:dyDescent="0.3">
      <c r="A17" s="14" t="s">
        <v>16</v>
      </c>
      <c r="B17" s="1"/>
      <c r="C17" s="1"/>
      <c r="D17" s="1"/>
      <c r="E17" s="1"/>
      <c r="F17" s="1"/>
      <c r="G17" s="1"/>
      <c r="H17" s="1"/>
      <c r="I17" s="1"/>
      <c r="J17" s="15"/>
      <c r="K17" s="15"/>
    </row>
    <row r="18" spans="1:11" x14ac:dyDescent="0.25">
      <c r="A18" s="4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x14ac:dyDescent="0.25">
      <c r="A23" s="132" t="s">
        <v>63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9" spans="1:11" x14ac:dyDescent="0.25">
      <c r="A29" s="132"/>
    </row>
  </sheetData>
  <phoneticPr fontId="6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4"/>
  <sheetViews>
    <sheetView workbookViewId="0">
      <pane ySplit="5" topLeftCell="A816" activePane="bottomLeft" state="frozen"/>
      <selection pane="bottomLeft" activeCell="A834" sqref="A834:XFD834"/>
    </sheetView>
  </sheetViews>
  <sheetFormatPr defaultColWidth="9.08984375" defaultRowHeight="13" x14ac:dyDescent="0.3"/>
  <cols>
    <col min="1" max="1" width="13.6328125" style="13" customWidth="1"/>
    <col min="2" max="2" width="12.08984375" style="7" customWidth="1"/>
    <col min="3" max="6" width="9.08984375" style="7"/>
    <col min="7" max="7" width="10.6328125" style="8" customWidth="1"/>
    <col min="8" max="9" width="9.08984375" style="8"/>
    <col min="10" max="16384" width="9.08984375" style="7"/>
  </cols>
  <sheetData>
    <row r="1" spans="1:9" s="9" customFormat="1" x14ac:dyDescent="0.3">
      <c r="A1" s="53" t="s">
        <v>21</v>
      </c>
      <c r="B1" s="10"/>
      <c r="C1" s="10"/>
      <c r="E1" s="10"/>
      <c r="G1" s="10"/>
      <c r="H1" s="10"/>
      <c r="I1" s="10"/>
    </row>
    <row r="2" spans="1:9" s="9" customFormat="1" ht="7.5" customHeight="1" x14ac:dyDescent="0.3">
      <c r="A2" s="53"/>
      <c r="B2" s="10"/>
      <c r="C2" s="10"/>
      <c r="E2" s="10"/>
      <c r="G2" s="10"/>
      <c r="H2" s="10"/>
      <c r="I2" s="10"/>
    </row>
    <row r="3" spans="1:9" s="9" customFormat="1" x14ac:dyDescent="0.3">
      <c r="A3" s="52" t="s">
        <v>17</v>
      </c>
      <c r="B3" s="10" t="s">
        <v>18</v>
      </c>
      <c r="E3" s="10"/>
      <c r="G3" s="10" t="s">
        <v>31</v>
      </c>
      <c r="H3" s="10"/>
      <c r="I3" s="10"/>
    </row>
    <row r="4" spans="1:9" s="9" customFormat="1" x14ac:dyDescent="0.3">
      <c r="A4" s="53" t="s">
        <v>19</v>
      </c>
      <c r="C4" s="11" t="s">
        <v>20</v>
      </c>
      <c r="E4" s="10"/>
      <c r="G4" s="143" t="s">
        <v>27</v>
      </c>
      <c r="H4" s="143"/>
      <c r="I4" s="143"/>
    </row>
    <row r="5" spans="1:9" x14ac:dyDescent="0.3">
      <c r="A5" s="13">
        <v>36131</v>
      </c>
      <c r="B5" s="7">
        <v>142</v>
      </c>
      <c r="D5" s="10" t="s">
        <v>26</v>
      </c>
      <c r="E5" s="8"/>
      <c r="G5" s="139" t="s">
        <v>28</v>
      </c>
      <c r="H5" s="140" t="s">
        <v>29</v>
      </c>
      <c r="I5" s="140" t="s">
        <v>30</v>
      </c>
    </row>
    <row r="6" spans="1:9" x14ac:dyDescent="0.3">
      <c r="A6" s="13">
        <v>36138</v>
      </c>
      <c r="B6" s="7">
        <v>126</v>
      </c>
      <c r="C6" s="8"/>
      <c r="D6" s="12" t="s">
        <v>22</v>
      </c>
      <c r="E6" s="8"/>
      <c r="G6" s="8" t="s">
        <v>59</v>
      </c>
    </row>
    <row r="7" spans="1:9" x14ac:dyDescent="0.3">
      <c r="A7" s="13">
        <v>36145</v>
      </c>
      <c r="B7" s="7">
        <v>126</v>
      </c>
      <c r="C7" s="8"/>
      <c r="D7" s="12" t="s">
        <v>22</v>
      </c>
      <c r="E7" s="8"/>
    </row>
    <row r="8" spans="1:9" x14ac:dyDescent="0.3">
      <c r="A8" s="13">
        <v>36152</v>
      </c>
      <c r="B8" s="7">
        <v>144</v>
      </c>
      <c r="C8" s="8">
        <f>AVERAGE(B5:B8)</f>
        <v>134.5</v>
      </c>
      <c r="D8" s="12" t="s">
        <v>22</v>
      </c>
      <c r="E8" s="8">
        <v>51</v>
      </c>
    </row>
    <row r="9" spans="1:9" x14ac:dyDescent="0.3">
      <c r="A9" s="13">
        <v>36159</v>
      </c>
      <c r="B9" s="7">
        <v>161</v>
      </c>
      <c r="C9" s="8">
        <f>AVERAGE(B6:B9)</f>
        <v>139.25</v>
      </c>
      <c r="D9" s="12" t="s">
        <v>22</v>
      </c>
      <c r="E9" s="8">
        <v>52</v>
      </c>
    </row>
    <row r="10" spans="1:9" x14ac:dyDescent="0.3">
      <c r="A10" s="13">
        <v>36166</v>
      </c>
      <c r="B10" s="8">
        <v>221</v>
      </c>
      <c r="C10" s="8">
        <f>AVERAGE(B7:B10)</f>
        <v>163</v>
      </c>
      <c r="D10" s="12" t="s">
        <v>22</v>
      </c>
      <c r="E10" s="8">
        <v>1</v>
      </c>
    </row>
    <row r="11" spans="1:9" x14ac:dyDescent="0.3">
      <c r="A11" s="13">
        <v>36173</v>
      </c>
      <c r="B11" s="8">
        <v>187</v>
      </c>
      <c r="C11" s="8">
        <f t="shared" ref="C11:C74" si="0">AVERAGE(B8:B11)</f>
        <v>178.25</v>
      </c>
      <c r="D11" s="12" t="s">
        <v>22</v>
      </c>
      <c r="E11" s="8">
        <v>2</v>
      </c>
    </row>
    <row r="12" spans="1:9" x14ac:dyDescent="0.3">
      <c r="A12" s="13">
        <v>36180</v>
      </c>
      <c r="B12" s="8">
        <v>164</v>
      </c>
      <c r="C12" s="8">
        <f t="shared" si="0"/>
        <v>183.25</v>
      </c>
      <c r="D12" s="12" t="s">
        <v>22</v>
      </c>
      <c r="E12" s="8">
        <v>3</v>
      </c>
    </row>
    <row r="13" spans="1:9" x14ac:dyDescent="0.3">
      <c r="A13" s="13">
        <v>36187</v>
      </c>
      <c r="B13" s="8">
        <v>158</v>
      </c>
      <c r="C13" s="8">
        <f t="shared" si="0"/>
        <v>182.5</v>
      </c>
      <c r="D13" s="12" t="s">
        <v>22</v>
      </c>
      <c r="E13" s="8">
        <v>4</v>
      </c>
    </row>
    <row r="14" spans="1:9" x14ac:dyDescent="0.3">
      <c r="A14" s="13">
        <v>36194</v>
      </c>
      <c r="B14" s="8">
        <v>157</v>
      </c>
      <c r="C14" s="8">
        <f t="shared" si="0"/>
        <v>166.5</v>
      </c>
      <c r="D14" s="12" t="s">
        <v>22</v>
      </c>
      <c r="E14" s="8">
        <v>5</v>
      </c>
    </row>
    <row r="15" spans="1:9" x14ac:dyDescent="0.3">
      <c r="A15" s="13">
        <v>36201</v>
      </c>
      <c r="B15" s="8">
        <v>154</v>
      </c>
      <c r="C15" s="8">
        <f t="shared" si="0"/>
        <v>158.25</v>
      </c>
      <c r="D15" s="12" t="s">
        <v>22</v>
      </c>
      <c r="E15" s="8">
        <v>6</v>
      </c>
    </row>
    <row r="16" spans="1:9" x14ac:dyDescent="0.3">
      <c r="A16" s="13">
        <v>36208</v>
      </c>
      <c r="B16" s="8">
        <v>141</v>
      </c>
      <c r="C16" s="8">
        <f t="shared" si="0"/>
        <v>152.5</v>
      </c>
      <c r="D16" s="12" t="s">
        <v>22</v>
      </c>
      <c r="E16" s="8">
        <v>7</v>
      </c>
    </row>
    <row r="17" spans="1:5" x14ac:dyDescent="0.3">
      <c r="A17" s="13">
        <v>36215</v>
      </c>
      <c r="B17" s="8">
        <v>127</v>
      </c>
      <c r="C17" s="8">
        <f t="shared" si="0"/>
        <v>144.75</v>
      </c>
      <c r="D17" s="12" t="s">
        <v>22</v>
      </c>
      <c r="E17" s="8">
        <v>8</v>
      </c>
    </row>
    <row r="18" spans="1:5" x14ac:dyDescent="0.3">
      <c r="A18" s="13">
        <v>36222</v>
      </c>
      <c r="B18" s="8">
        <v>140</v>
      </c>
      <c r="C18" s="8">
        <f t="shared" si="0"/>
        <v>140.5</v>
      </c>
      <c r="D18" s="12" t="s">
        <v>22</v>
      </c>
      <c r="E18" s="8">
        <v>9</v>
      </c>
    </row>
    <row r="19" spans="1:5" x14ac:dyDescent="0.3">
      <c r="A19" s="13">
        <v>36229</v>
      </c>
      <c r="B19" s="8">
        <v>134</v>
      </c>
      <c r="C19" s="8">
        <f t="shared" si="0"/>
        <v>135.5</v>
      </c>
      <c r="D19" s="12" t="s">
        <v>22</v>
      </c>
      <c r="E19" s="8">
        <v>10</v>
      </c>
    </row>
    <row r="20" spans="1:5" x14ac:dyDescent="0.3">
      <c r="A20" s="13">
        <v>36236</v>
      </c>
      <c r="B20" s="8">
        <v>154</v>
      </c>
      <c r="C20" s="8">
        <f t="shared" si="0"/>
        <v>138.75</v>
      </c>
      <c r="D20" s="12" t="s">
        <v>22</v>
      </c>
      <c r="E20" s="8">
        <v>11</v>
      </c>
    </row>
    <row r="21" spans="1:5" x14ac:dyDescent="0.3">
      <c r="A21" s="13">
        <v>36243</v>
      </c>
      <c r="B21" s="8">
        <v>183</v>
      </c>
      <c r="C21" s="8">
        <f t="shared" si="0"/>
        <v>152.75</v>
      </c>
      <c r="D21" s="12" t="s">
        <v>22</v>
      </c>
      <c r="E21" s="8">
        <v>12</v>
      </c>
    </row>
    <row r="22" spans="1:5" x14ac:dyDescent="0.3">
      <c r="A22" s="13">
        <v>36250</v>
      </c>
      <c r="B22" s="8">
        <v>155</v>
      </c>
      <c r="C22" s="8">
        <f t="shared" si="0"/>
        <v>156.5</v>
      </c>
      <c r="D22" s="12" t="s">
        <v>22</v>
      </c>
      <c r="E22" s="8">
        <v>13</v>
      </c>
    </row>
    <row r="23" spans="1:5" x14ac:dyDescent="0.3">
      <c r="A23" s="13">
        <v>36257</v>
      </c>
      <c r="B23" s="8">
        <v>139</v>
      </c>
      <c r="C23" s="8">
        <f t="shared" si="0"/>
        <v>157.75</v>
      </c>
      <c r="D23" s="12" t="s">
        <v>22</v>
      </c>
      <c r="E23" s="8">
        <v>14</v>
      </c>
    </row>
    <row r="24" spans="1:5" x14ac:dyDescent="0.3">
      <c r="A24" s="13">
        <v>36264</v>
      </c>
      <c r="B24" s="8">
        <v>140</v>
      </c>
      <c r="C24" s="8">
        <f t="shared" si="0"/>
        <v>154.25</v>
      </c>
      <c r="D24" s="12" t="s">
        <v>22</v>
      </c>
      <c r="E24" s="8">
        <v>15</v>
      </c>
    </row>
    <row r="25" spans="1:5" x14ac:dyDescent="0.3">
      <c r="A25" s="13">
        <v>36271</v>
      </c>
      <c r="B25" s="8">
        <v>134</v>
      </c>
      <c r="C25" s="8">
        <f t="shared" si="0"/>
        <v>142</v>
      </c>
      <c r="D25" s="12" t="s">
        <v>22</v>
      </c>
      <c r="E25" s="8">
        <v>16</v>
      </c>
    </row>
    <row r="26" spans="1:5" x14ac:dyDescent="0.3">
      <c r="A26" s="13">
        <v>36278</v>
      </c>
      <c r="B26" s="8">
        <v>128</v>
      </c>
      <c r="C26" s="8">
        <f t="shared" si="0"/>
        <v>135.25</v>
      </c>
      <c r="D26" s="12" t="s">
        <v>22</v>
      </c>
      <c r="E26" s="8">
        <v>17</v>
      </c>
    </row>
    <row r="27" spans="1:5" x14ac:dyDescent="0.3">
      <c r="A27" s="13">
        <v>36285</v>
      </c>
      <c r="B27" s="8">
        <v>131</v>
      </c>
      <c r="C27" s="8">
        <f t="shared" si="0"/>
        <v>133.25</v>
      </c>
      <c r="D27" s="12" t="s">
        <v>22</v>
      </c>
      <c r="E27" s="8">
        <v>18</v>
      </c>
    </row>
    <row r="28" spans="1:5" x14ac:dyDescent="0.3">
      <c r="A28" s="13">
        <v>36292</v>
      </c>
      <c r="B28" s="8">
        <v>121</v>
      </c>
      <c r="C28" s="8">
        <f t="shared" si="0"/>
        <v>128.5</v>
      </c>
      <c r="D28" s="12" t="s">
        <v>22</v>
      </c>
      <c r="E28" s="8">
        <v>19</v>
      </c>
    </row>
    <row r="29" spans="1:5" x14ac:dyDescent="0.3">
      <c r="A29" s="13">
        <v>36299</v>
      </c>
      <c r="B29" s="8">
        <v>126</v>
      </c>
      <c r="C29" s="8">
        <f t="shared" si="0"/>
        <v>126.5</v>
      </c>
      <c r="D29" s="12" t="s">
        <v>22</v>
      </c>
      <c r="E29" s="8">
        <v>20</v>
      </c>
    </row>
    <row r="30" spans="1:5" x14ac:dyDescent="0.3">
      <c r="A30" s="13">
        <v>36306</v>
      </c>
      <c r="B30" s="8">
        <v>130</v>
      </c>
      <c r="C30" s="8">
        <f t="shared" si="0"/>
        <v>127</v>
      </c>
      <c r="D30" s="12" t="s">
        <v>22</v>
      </c>
      <c r="E30" s="8">
        <v>21</v>
      </c>
    </row>
    <row r="31" spans="1:5" x14ac:dyDescent="0.3">
      <c r="A31" s="13">
        <v>36313</v>
      </c>
      <c r="B31" s="8">
        <v>129</v>
      </c>
      <c r="C31" s="8">
        <f t="shared" si="0"/>
        <v>126.5</v>
      </c>
      <c r="D31" s="12" t="s">
        <v>22</v>
      </c>
      <c r="E31" s="8">
        <v>22</v>
      </c>
    </row>
    <row r="32" spans="1:5" x14ac:dyDescent="0.3">
      <c r="A32" s="13">
        <v>36320</v>
      </c>
      <c r="B32" s="8">
        <v>160</v>
      </c>
      <c r="C32" s="8">
        <f t="shared" si="0"/>
        <v>136.25</v>
      </c>
      <c r="D32" s="12" t="s">
        <v>22</v>
      </c>
      <c r="E32" s="8">
        <v>23</v>
      </c>
    </row>
    <row r="33" spans="1:5" x14ac:dyDescent="0.3">
      <c r="A33" s="13">
        <v>36327</v>
      </c>
      <c r="B33" s="8">
        <v>179</v>
      </c>
      <c r="C33" s="8">
        <f t="shared" si="0"/>
        <v>149.5</v>
      </c>
      <c r="D33" s="12" t="s">
        <v>22</v>
      </c>
      <c r="E33" s="8">
        <v>24</v>
      </c>
    </row>
    <row r="34" spans="1:5" x14ac:dyDescent="0.3">
      <c r="A34" s="13">
        <v>36334</v>
      </c>
      <c r="B34" s="8">
        <v>184</v>
      </c>
      <c r="C34" s="8">
        <f t="shared" si="0"/>
        <v>163</v>
      </c>
      <c r="D34" s="12" t="s">
        <v>22</v>
      </c>
      <c r="E34" s="8">
        <v>25</v>
      </c>
    </row>
    <row r="35" spans="1:5" x14ac:dyDescent="0.3">
      <c r="A35" s="13">
        <v>36341</v>
      </c>
      <c r="B35" s="8">
        <v>189</v>
      </c>
      <c r="C35" s="8">
        <f t="shared" si="0"/>
        <v>178</v>
      </c>
      <c r="D35" s="12" t="s">
        <v>22</v>
      </c>
      <c r="E35" s="8">
        <v>26</v>
      </c>
    </row>
    <row r="36" spans="1:5" x14ac:dyDescent="0.3">
      <c r="A36" s="13">
        <v>36348</v>
      </c>
      <c r="B36" s="8">
        <v>207</v>
      </c>
      <c r="C36" s="8">
        <f t="shared" si="0"/>
        <v>189.75</v>
      </c>
      <c r="D36" s="12" t="s">
        <v>22</v>
      </c>
      <c r="E36" s="8">
        <v>27</v>
      </c>
    </row>
    <row r="37" spans="1:5" x14ac:dyDescent="0.3">
      <c r="A37" s="13">
        <v>36355</v>
      </c>
      <c r="B37" s="8">
        <v>238</v>
      </c>
      <c r="C37" s="8">
        <f t="shared" si="0"/>
        <v>204.5</v>
      </c>
      <c r="D37" s="12" t="s">
        <v>22</v>
      </c>
      <c r="E37" s="8">
        <v>28</v>
      </c>
    </row>
    <row r="38" spans="1:5" x14ac:dyDescent="0.3">
      <c r="A38" s="13">
        <v>36362</v>
      </c>
      <c r="B38" s="8">
        <v>279</v>
      </c>
      <c r="C38" s="8">
        <f t="shared" si="0"/>
        <v>228.25</v>
      </c>
      <c r="D38" s="12" t="s">
        <v>22</v>
      </c>
      <c r="E38" s="8">
        <v>29</v>
      </c>
    </row>
    <row r="39" spans="1:5" x14ac:dyDescent="0.3">
      <c r="A39" s="13">
        <v>36369</v>
      </c>
      <c r="B39" s="8">
        <v>237</v>
      </c>
      <c r="C39" s="8">
        <f t="shared" si="0"/>
        <v>240.25</v>
      </c>
      <c r="D39" s="12" t="s">
        <v>22</v>
      </c>
      <c r="E39" s="8">
        <v>30</v>
      </c>
    </row>
    <row r="40" spans="1:5" x14ac:dyDescent="0.3">
      <c r="A40" s="13">
        <v>36376</v>
      </c>
      <c r="B40" s="8">
        <v>239</v>
      </c>
      <c r="C40" s="8">
        <f t="shared" si="0"/>
        <v>248.25</v>
      </c>
      <c r="D40" s="12" t="s">
        <v>22</v>
      </c>
      <c r="E40" s="8">
        <v>31</v>
      </c>
    </row>
    <row r="41" spans="1:5" x14ac:dyDescent="0.3">
      <c r="A41" s="13">
        <v>36383</v>
      </c>
      <c r="B41" s="8">
        <v>211</v>
      </c>
      <c r="C41" s="8">
        <f t="shared" si="0"/>
        <v>241.5</v>
      </c>
      <c r="D41" s="12" t="s">
        <v>22</v>
      </c>
      <c r="E41" s="8">
        <v>32</v>
      </c>
    </row>
    <row r="42" spans="1:5" x14ac:dyDescent="0.3">
      <c r="A42" s="13">
        <v>36390</v>
      </c>
      <c r="B42" s="8">
        <v>233</v>
      </c>
      <c r="C42" s="8">
        <f t="shared" si="0"/>
        <v>230</v>
      </c>
      <c r="D42" s="12" t="s">
        <v>22</v>
      </c>
      <c r="E42" s="8">
        <v>33</v>
      </c>
    </row>
    <row r="43" spans="1:5" x14ac:dyDescent="0.3">
      <c r="A43" s="13">
        <v>36397</v>
      </c>
      <c r="B43" s="8">
        <v>213</v>
      </c>
      <c r="C43" s="8">
        <f t="shared" si="0"/>
        <v>224</v>
      </c>
      <c r="D43" s="12" t="s">
        <v>22</v>
      </c>
      <c r="E43" s="8">
        <v>34</v>
      </c>
    </row>
    <row r="44" spans="1:5" x14ac:dyDescent="0.3">
      <c r="A44" s="13">
        <v>36404</v>
      </c>
      <c r="B44" s="8">
        <v>233</v>
      </c>
      <c r="C44" s="8">
        <f t="shared" si="0"/>
        <v>222.5</v>
      </c>
      <c r="D44" s="12" t="s">
        <v>22</v>
      </c>
      <c r="E44" s="8">
        <v>35</v>
      </c>
    </row>
    <row r="45" spans="1:5" x14ac:dyDescent="0.3">
      <c r="A45" s="13">
        <v>36411</v>
      </c>
      <c r="B45" s="8">
        <v>238</v>
      </c>
      <c r="C45" s="8">
        <f t="shared" si="0"/>
        <v>229.25</v>
      </c>
      <c r="D45" s="12" t="s">
        <v>22</v>
      </c>
      <c r="E45" s="8">
        <v>36</v>
      </c>
    </row>
    <row r="46" spans="1:5" x14ac:dyDescent="0.3">
      <c r="A46" s="13">
        <v>36418</v>
      </c>
      <c r="B46" s="8">
        <v>239</v>
      </c>
      <c r="C46" s="8">
        <f t="shared" si="0"/>
        <v>230.75</v>
      </c>
      <c r="D46" s="12" t="s">
        <v>22</v>
      </c>
      <c r="E46" s="8">
        <v>37</v>
      </c>
    </row>
    <row r="47" spans="1:5" x14ac:dyDescent="0.3">
      <c r="A47" s="13">
        <v>36425</v>
      </c>
      <c r="B47" s="8">
        <v>271</v>
      </c>
      <c r="C47" s="8">
        <f t="shared" si="0"/>
        <v>245.25</v>
      </c>
      <c r="D47" s="12" t="s">
        <v>22</v>
      </c>
      <c r="E47" s="8">
        <v>38</v>
      </c>
    </row>
    <row r="48" spans="1:5" x14ac:dyDescent="0.3">
      <c r="A48" s="13">
        <v>36432</v>
      </c>
      <c r="B48" s="8">
        <v>244</v>
      </c>
      <c r="C48" s="8">
        <f t="shared" si="0"/>
        <v>248</v>
      </c>
      <c r="D48" s="12" t="s">
        <v>22</v>
      </c>
      <c r="E48" s="8">
        <v>39</v>
      </c>
    </row>
    <row r="49" spans="1:5" x14ac:dyDescent="0.3">
      <c r="A49" s="13">
        <v>36439</v>
      </c>
      <c r="B49" s="8">
        <v>268</v>
      </c>
      <c r="C49" s="8">
        <f t="shared" si="0"/>
        <v>255.5</v>
      </c>
      <c r="D49" s="12" t="s">
        <v>22</v>
      </c>
      <c r="E49" s="8">
        <v>40</v>
      </c>
    </row>
    <row r="50" spans="1:5" x14ac:dyDescent="0.3">
      <c r="A50" s="13">
        <v>36446</v>
      </c>
      <c r="B50" s="8">
        <v>270</v>
      </c>
      <c r="C50" s="8">
        <f t="shared" si="0"/>
        <v>263.25</v>
      </c>
      <c r="D50" s="12" t="s">
        <v>22</v>
      </c>
      <c r="E50" s="8">
        <v>41</v>
      </c>
    </row>
    <row r="51" spans="1:5" x14ac:dyDescent="0.3">
      <c r="A51" s="13">
        <v>36453</v>
      </c>
      <c r="B51" s="8">
        <v>260</v>
      </c>
      <c r="C51" s="8">
        <f t="shared" si="0"/>
        <v>260.5</v>
      </c>
      <c r="D51" s="12" t="s">
        <v>22</v>
      </c>
      <c r="E51" s="8">
        <v>42</v>
      </c>
    </row>
    <row r="52" spans="1:5" x14ac:dyDescent="0.3">
      <c r="A52" s="13">
        <v>36460</v>
      </c>
      <c r="B52" s="8">
        <v>243</v>
      </c>
      <c r="C52" s="8">
        <f t="shared" si="0"/>
        <v>260.25</v>
      </c>
      <c r="D52" s="12" t="s">
        <v>22</v>
      </c>
      <c r="E52" s="8">
        <v>43</v>
      </c>
    </row>
    <row r="53" spans="1:5" x14ac:dyDescent="0.3">
      <c r="A53" s="13">
        <v>36467</v>
      </c>
      <c r="B53" s="8">
        <v>193</v>
      </c>
      <c r="C53" s="8">
        <f t="shared" si="0"/>
        <v>241.5</v>
      </c>
      <c r="D53" s="12" t="s">
        <v>22</v>
      </c>
      <c r="E53" s="8">
        <v>44</v>
      </c>
    </row>
    <row r="54" spans="1:5" x14ac:dyDescent="0.3">
      <c r="A54" s="13">
        <v>36474</v>
      </c>
      <c r="B54" s="8">
        <v>163</v>
      </c>
      <c r="C54" s="8">
        <f t="shared" si="0"/>
        <v>214.75</v>
      </c>
      <c r="D54" s="12" t="s">
        <v>22</v>
      </c>
      <c r="E54" s="8">
        <v>45</v>
      </c>
    </row>
    <row r="55" spans="1:5" x14ac:dyDescent="0.3">
      <c r="A55" s="13">
        <v>36481</v>
      </c>
      <c r="B55" s="8">
        <v>149</v>
      </c>
      <c r="C55" s="8">
        <f t="shared" si="0"/>
        <v>187</v>
      </c>
      <c r="D55" s="12" t="s">
        <v>22</v>
      </c>
      <c r="E55" s="8">
        <v>46</v>
      </c>
    </row>
    <row r="56" spans="1:5" x14ac:dyDescent="0.3">
      <c r="A56" s="13">
        <v>36488</v>
      </c>
      <c r="B56" s="8">
        <v>130</v>
      </c>
      <c r="C56" s="8">
        <f t="shared" si="0"/>
        <v>158.75</v>
      </c>
      <c r="D56" s="12" t="s">
        <v>22</v>
      </c>
      <c r="E56" s="8">
        <v>47</v>
      </c>
    </row>
    <row r="57" spans="1:5" x14ac:dyDescent="0.3">
      <c r="A57" s="13">
        <v>36495</v>
      </c>
      <c r="B57" s="8">
        <v>141</v>
      </c>
      <c r="C57" s="8">
        <f t="shared" si="0"/>
        <v>145.75</v>
      </c>
      <c r="D57" s="12" t="s">
        <v>22</v>
      </c>
      <c r="E57" s="8">
        <v>48</v>
      </c>
    </row>
    <row r="58" spans="1:5" x14ac:dyDescent="0.3">
      <c r="A58" s="13">
        <v>36502</v>
      </c>
      <c r="B58" s="8">
        <v>160</v>
      </c>
      <c r="C58" s="8">
        <f t="shared" si="0"/>
        <v>145</v>
      </c>
      <c r="D58" s="12" t="s">
        <v>22</v>
      </c>
      <c r="E58" s="8">
        <v>49</v>
      </c>
    </row>
    <row r="59" spans="1:5" x14ac:dyDescent="0.3">
      <c r="A59" s="13">
        <v>36509</v>
      </c>
      <c r="B59" s="8">
        <v>163</v>
      </c>
      <c r="C59" s="8">
        <f t="shared" si="0"/>
        <v>148.5</v>
      </c>
      <c r="D59" s="12" t="s">
        <v>22</v>
      </c>
      <c r="E59" s="8">
        <v>50</v>
      </c>
    </row>
    <row r="60" spans="1:5" x14ac:dyDescent="0.3">
      <c r="A60" s="13">
        <v>36516</v>
      </c>
      <c r="B60" s="8">
        <v>202</v>
      </c>
      <c r="C60" s="8">
        <f t="shared" si="0"/>
        <v>166.5</v>
      </c>
      <c r="D60" s="12" t="s">
        <v>22</v>
      </c>
      <c r="E60" s="8">
        <v>51</v>
      </c>
    </row>
    <row r="61" spans="1:5" x14ac:dyDescent="0.3">
      <c r="A61" s="13">
        <v>36523</v>
      </c>
      <c r="B61" s="8">
        <v>176</v>
      </c>
      <c r="C61" s="8">
        <f t="shared" si="0"/>
        <v>175.25</v>
      </c>
      <c r="D61" s="12" t="s">
        <v>22</v>
      </c>
      <c r="E61" s="8">
        <v>52</v>
      </c>
    </row>
    <row r="62" spans="1:5" x14ac:dyDescent="0.3">
      <c r="A62" s="13">
        <v>36530</v>
      </c>
      <c r="B62" s="8">
        <v>167</v>
      </c>
      <c r="C62" s="8">
        <f t="shared" si="0"/>
        <v>177</v>
      </c>
      <c r="D62" s="12" t="s">
        <v>22</v>
      </c>
      <c r="E62" s="8">
        <v>1</v>
      </c>
    </row>
    <row r="63" spans="1:5" x14ac:dyDescent="0.3">
      <c r="A63" s="13">
        <v>36537</v>
      </c>
      <c r="B63" s="8">
        <v>184</v>
      </c>
      <c r="C63" s="8">
        <f t="shared" si="0"/>
        <v>182.25</v>
      </c>
      <c r="D63" s="12" t="s">
        <v>22</v>
      </c>
      <c r="E63" s="8">
        <v>2</v>
      </c>
    </row>
    <row r="64" spans="1:5" x14ac:dyDescent="0.3">
      <c r="A64" s="13">
        <v>36544</v>
      </c>
      <c r="B64" s="8">
        <v>190</v>
      </c>
      <c r="C64" s="8">
        <f t="shared" si="0"/>
        <v>179.25</v>
      </c>
      <c r="D64" s="12" t="s">
        <v>22</v>
      </c>
      <c r="E64" s="8">
        <v>3</v>
      </c>
    </row>
    <row r="65" spans="1:5" x14ac:dyDescent="0.3">
      <c r="A65" s="13">
        <v>36551</v>
      </c>
      <c r="B65" s="8">
        <v>276</v>
      </c>
      <c r="C65" s="8">
        <f t="shared" si="0"/>
        <v>204.25</v>
      </c>
      <c r="D65" s="12" t="s">
        <v>22</v>
      </c>
      <c r="E65" s="8">
        <v>4</v>
      </c>
    </row>
    <row r="66" spans="1:5" x14ac:dyDescent="0.3">
      <c r="A66" s="13">
        <v>36558</v>
      </c>
      <c r="B66" s="8">
        <v>221</v>
      </c>
      <c r="C66" s="8">
        <f t="shared" si="0"/>
        <v>217.75</v>
      </c>
      <c r="D66" s="12" t="s">
        <v>22</v>
      </c>
      <c r="E66" s="8">
        <v>5</v>
      </c>
    </row>
    <row r="67" spans="1:5" x14ac:dyDescent="0.3">
      <c r="A67" s="13">
        <v>36565</v>
      </c>
      <c r="B67" s="8">
        <v>161</v>
      </c>
      <c r="C67" s="8">
        <f t="shared" si="0"/>
        <v>212</v>
      </c>
      <c r="D67" s="12" t="s">
        <v>22</v>
      </c>
      <c r="E67" s="8">
        <v>6</v>
      </c>
    </row>
    <row r="68" spans="1:5" x14ac:dyDescent="0.3">
      <c r="A68" s="13">
        <v>36572</v>
      </c>
      <c r="B68" s="8">
        <v>188</v>
      </c>
      <c r="C68" s="8">
        <f t="shared" si="0"/>
        <v>211.5</v>
      </c>
      <c r="D68" s="12" t="s">
        <v>22</v>
      </c>
      <c r="E68" s="8">
        <v>7</v>
      </c>
    </row>
    <row r="69" spans="1:5" x14ac:dyDescent="0.3">
      <c r="A69" s="13">
        <v>36579</v>
      </c>
      <c r="B69" s="8">
        <v>171</v>
      </c>
      <c r="C69" s="8">
        <f t="shared" si="0"/>
        <v>185.25</v>
      </c>
      <c r="D69" s="12" t="s">
        <v>22</v>
      </c>
      <c r="E69" s="8">
        <v>8</v>
      </c>
    </row>
    <row r="70" spans="1:5" x14ac:dyDescent="0.3">
      <c r="A70" s="13">
        <v>36586</v>
      </c>
      <c r="B70" s="8">
        <v>168</v>
      </c>
      <c r="C70" s="8">
        <f t="shared" si="0"/>
        <v>172</v>
      </c>
      <c r="D70" s="12" t="s">
        <v>22</v>
      </c>
      <c r="E70" s="8">
        <v>9</v>
      </c>
    </row>
    <row r="71" spans="1:5" x14ac:dyDescent="0.3">
      <c r="A71" s="13">
        <v>36593</v>
      </c>
      <c r="B71" s="8">
        <v>183</v>
      </c>
      <c r="C71" s="8">
        <f t="shared" si="0"/>
        <v>177.5</v>
      </c>
      <c r="D71" s="12" t="s">
        <v>22</v>
      </c>
      <c r="E71" s="8">
        <v>10</v>
      </c>
    </row>
    <row r="72" spans="1:5" x14ac:dyDescent="0.3">
      <c r="A72" s="13">
        <v>36600</v>
      </c>
      <c r="B72" s="8">
        <v>177</v>
      </c>
      <c r="C72" s="8">
        <f t="shared" si="0"/>
        <v>174.75</v>
      </c>
      <c r="D72" s="12" t="s">
        <v>22</v>
      </c>
      <c r="E72" s="8">
        <v>11</v>
      </c>
    </row>
    <row r="73" spans="1:5" x14ac:dyDescent="0.3">
      <c r="A73" s="13">
        <v>36607</v>
      </c>
      <c r="B73" s="8">
        <v>165</v>
      </c>
      <c r="C73" s="8">
        <f t="shared" si="0"/>
        <v>173.25</v>
      </c>
      <c r="D73" s="12" t="s">
        <v>22</v>
      </c>
      <c r="E73" s="8">
        <v>12</v>
      </c>
    </row>
    <row r="74" spans="1:5" x14ac:dyDescent="0.3">
      <c r="A74" s="13">
        <v>36614</v>
      </c>
      <c r="B74" s="8">
        <v>143</v>
      </c>
      <c r="C74" s="8">
        <f t="shared" si="0"/>
        <v>167</v>
      </c>
      <c r="D74" s="12" t="s">
        <v>22</v>
      </c>
      <c r="E74" s="8">
        <v>13</v>
      </c>
    </row>
    <row r="75" spans="1:5" x14ac:dyDescent="0.3">
      <c r="A75" s="13">
        <v>36621</v>
      </c>
      <c r="B75" s="8">
        <v>140</v>
      </c>
      <c r="C75" s="8">
        <f t="shared" ref="C75:C138" si="1">AVERAGE(B72:B75)</f>
        <v>156.25</v>
      </c>
      <c r="D75" s="12" t="s">
        <v>22</v>
      </c>
      <c r="E75" s="8">
        <v>14</v>
      </c>
    </row>
    <row r="76" spans="1:5" x14ac:dyDescent="0.3">
      <c r="A76" s="13">
        <v>36628</v>
      </c>
      <c r="B76" s="8">
        <v>134</v>
      </c>
      <c r="C76" s="8">
        <f t="shared" si="1"/>
        <v>145.5</v>
      </c>
      <c r="D76" s="12" t="s">
        <v>22</v>
      </c>
      <c r="E76" s="8">
        <v>15</v>
      </c>
    </row>
    <row r="77" spans="1:5" x14ac:dyDescent="0.3">
      <c r="A77" s="13">
        <v>36635</v>
      </c>
      <c r="B77" s="8">
        <v>134</v>
      </c>
      <c r="C77" s="8">
        <f t="shared" si="1"/>
        <v>137.75</v>
      </c>
      <c r="D77" s="12" t="s">
        <v>22</v>
      </c>
      <c r="E77" s="8">
        <v>16</v>
      </c>
    </row>
    <row r="78" spans="1:5" x14ac:dyDescent="0.3">
      <c r="A78" s="13">
        <v>36642</v>
      </c>
      <c r="B78" s="8">
        <v>134</v>
      </c>
      <c r="C78" s="8">
        <f t="shared" si="1"/>
        <v>135.5</v>
      </c>
      <c r="D78" s="12" t="s">
        <v>22</v>
      </c>
      <c r="E78" s="8">
        <v>17</v>
      </c>
    </row>
    <row r="79" spans="1:5" x14ac:dyDescent="0.3">
      <c r="A79" s="13">
        <v>36649</v>
      </c>
      <c r="B79" s="8">
        <v>136</v>
      </c>
      <c r="C79" s="8">
        <f t="shared" si="1"/>
        <v>134.5</v>
      </c>
      <c r="D79" s="12" t="s">
        <v>22</v>
      </c>
      <c r="E79" s="8">
        <v>18</v>
      </c>
    </row>
    <row r="80" spans="1:5" x14ac:dyDescent="0.3">
      <c r="A80" s="13">
        <v>36656</v>
      </c>
      <c r="B80" s="8">
        <v>127</v>
      </c>
      <c r="C80" s="8">
        <f t="shared" si="1"/>
        <v>132.75</v>
      </c>
      <c r="D80" s="12" t="s">
        <v>22</v>
      </c>
      <c r="E80" s="8">
        <v>19</v>
      </c>
    </row>
    <row r="81" spans="1:5" x14ac:dyDescent="0.3">
      <c r="A81" s="13">
        <v>36663</v>
      </c>
      <c r="B81" s="8">
        <v>121</v>
      </c>
      <c r="C81" s="8">
        <f t="shared" si="1"/>
        <v>129.5</v>
      </c>
      <c r="D81" s="12" t="s">
        <v>22</v>
      </c>
      <c r="E81" s="8">
        <v>20</v>
      </c>
    </row>
    <row r="82" spans="1:5" x14ac:dyDescent="0.3">
      <c r="A82" s="13">
        <v>36670</v>
      </c>
      <c r="B82" s="8">
        <v>122</v>
      </c>
      <c r="C82" s="8">
        <f t="shared" si="1"/>
        <v>126.5</v>
      </c>
      <c r="D82" s="12" t="s">
        <v>22</v>
      </c>
      <c r="E82" s="8">
        <v>21</v>
      </c>
    </row>
    <row r="83" spans="1:5" x14ac:dyDescent="0.3">
      <c r="A83" s="13">
        <v>36677</v>
      </c>
      <c r="B83" s="8">
        <v>119</v>
      </c>
      <c r="C83" s="8">
        <f t="shared" si="1"/>
        <v>122.25</v>
      </c>
      <c r="D83" s="12" t="s">
        <v>22</v>
      </c>
      <c r="E83" s="8">
        <v>22</v>
      </c>
    </row>
    <row r="84" spans="1:5" x14ac:dyDescent="0.3">
      <c r="A84" s="13">
        <v>36684</v>
      </c>
      <c r="B84" s="8">
        <v>115</v>
      </c>
      <c r="C84" s="8">
        <f t="shared" si="1"/>
        <v>119.25</v>
      </c>
      <c r="D84" s="12" t="s">
        <v>22</v>
      </c>
      <c r="E84" s="8">
        <v>23</v>
      </c>
    </row>
    <row r="85" spans="1:5" x14ac:dyDescent="0.3">
      <c r="A85" s="13">
        <v>36691</v>
      </c>
      <c r="B85" s="8">
        <v>138</v>
      </c>
      <c r="C85" s="8">
        <f t="shared" si="1"/>
        <v>123.5</v>
      </c>
      <c r="D85" s="12" t="s">
        <v>22</v>
      </c>
      <c r="E85" s="8">
        <v>24</v>
      </c>
    </row>
    <row r="86" spans="1:5" x14ac:dyDescent="0.3">
      <c r="A86" s="13">
        <v>36698</v>
      </c>
      <c r="B86" s="8">
        <v>142</v>
      </c>
      <c r="C86" s="8">
        <f t="shared" si="1"/>
        <v>128.5</v>
      </c>
      <c r="D86" s="12" t="s">
        <v>22</v>
      </c>
      <c r="E86" s="8">
        <v>25</v>
      </c>
    </row>
    <row r="87" spans="1:5" x14ac:dyDescent="0.3">
      <c r="A87" s="13">
        <v>36705</v>
      </c>
      <c r="B87" s="8">
        <v>178</v>
      </c>
      <c r="C87" s="8">
        <f t="shared" si="1"/>
        <v>143.25</v>
      </c>
      <c r="D87" s="12" t="s">
        <v>22</v>
      </c>
      <c r="E87" s="8">
        <v>26</v>
      </c>
    </row>
    <row r="88" spans="1:5" x14ac:dyDescent="0.3">
      <c r="A88" s="13">
        <v>36712</v>
      </c>
      <c r="B88" s="8">
        <v>178</v>
      </c>
      <c r="C88" s="8">
        <f t="shared" si="1"/>
        <v>159</v>
      </c>
      <c r="D88" s="12" t="s">
        <v>22</v>
      </c>
      <c r="E88" s="8">
        <v>27</v>
      </c>
    </row>
    <row r="89" spans="1:5" x14ac:dyDescent="0.3">
      <c r="A89" s="13">
        <v>36719</v>
      </c>
      <c r="B89" s="8">
        <v>183</v>
      </c>
      <c r="C89" s="8">
        <f t="shared" si="1"/>
        <v>170.25</v>
      </c>
      <c r="D89" s="12" t="s">
        <v>22</v>
      </c>
      <c r="E89" s="8">
        <v>28</v>
      </c>
    </row>
    <row r="90" spans="1:5" x14ac:dyDescent="0.3">
      <c r="A90" s="13">
        <v>36726</v>
      </c>
      <c r="B90" s="8">
        <v>195</v>
      </c>
      <c r="C90" s="8">
        <f t="shared" si="1"/>
        <v>183.5</v>
      </c>
      <c r="D90" s="12" t="s">
        <v>22</v>
      </c>
      <c r="E90" s="8">
        <v>29</v>
      </c>
    </row>
    <row r="91" spans="1:5" x14ac:dyDescent="0.3">
      <c r="A91" s="13">
        <v>36733</v>
      </c>
      <c r="B91" s="8">
        <v>213</v>
      </c>
      <c r="C91" s="8">
        <f t="shared" si="1"/>
        <v>192.25</v>
      </c>
      <c r="D91" s="12" t="s">
        <v>22</v>
      </c>
      <c r="E91" s="8">
        <v>30</v>
      </c>
    </row>
    <row r="92" spans="1:5" x14ac:dyDescent="0.3">
      <c r="A92" s="13">
        <v>36740</v>
      </c>
      <c r="B92" s="8">
        <v>186</v>
      </c>
      <c r="C92" s="8">
        <f t="shared" si="1"/>
        <v>194.25</v>
      </c>
      <c r="D92" s="12" t="s">
        <v>22</v>
      </c>
      <c r="E92" s="8">
        <v>31</v>
      </c>
    </row>
    <row r="93" spans="1:5" x14ac:dyDescent="0.3">
      <c r="A93" s="13">
        <v>36747</v>
      </c>
      <c r="B93" s="8">
        <v>170</v>
      </c>
      <c r="C93" s="8">
        <f t="shared" si="1"/>
        <v>191</v>
      </c>
      <c r="D93" s="12" t="s">
        <v>22</v>
      </c>
      <c r="E93" s="8">
        <v>32</v>
      </c>
    </row>
    <row r="94" spans="1:5" x14ac:dyDescent="0.3">
      <c r="A94" s="13">
        <v>36754</v>
      </c>
      <c r="B94" s="8">
        <v>163</v>
      </c>
      <c r="C94" s="8">
        <f t="shared" si="1"/>
        <v>183</v>
      </c>
      <c r="D94" s="12" t="s">
        <v>22</v>
      </c>
      <c r="E94" s="8">
        <v>33</v>
      </c>
    </row>
    <row r="95" spans="1:5" x14ac:dyDescent="0.3">
      <c r="A95" s="13">
        <v>36761</v>
      </c>
      <c r="B95" s="8">
        <v>206</v>
      </c>
      <c r="C95" s="8">
        <f t="shared" si="1"/>
        <v>181.25</v>
      </c>
      <c r="D95" s="12" t="s">
        <v>22</v>
      </c>
      <c r="E95" s="8">
        <v>34</v>
      </c>
    </row>
    <row r="96" spans="1:5" x14ac:dyDescent="0.3">
      <c r="A96" s="13">
        <v>36768</v>
      </c>
      <c r="B96" s="8">
        <v>239</v>
      </c>
      <c r="C96" s="8">
        <f t="shared" si="1"/>
        <v>194.5</v>
      </c>
      <c r="D96" s="12" t="s">
        <v>22</v>
      </c>
      <c r="E96" s="8">
        <v>35</v>
      </c>
    </row>
    <row r="97" spans="1:5" x14ac:dyDescent="0.3">
      <c r="A97" s="13">
        <v>36775</v>
      </c>
      <c r="B97" s="8">
        <v>249</v>
      </c>
      <c r="C97" s="8">
        <f t="shared" si="1"/>
        <v>214.25</v>
      </c>
      <c r="D97" s="12" t="s">
        <v>22</v>
      </c>
      <c r="E97" s="8">
        <v>36</v>
      </c>
    </row>
    <row r="98" spans="1:5" x14ac:dyDescent="0.3">
      <c r="A98" s="13">
        <v>36782</v>
      </c>
      <c r="B98" s="8">
        <v>270</v>
      </c>
      <c r="C98" s="8">
        <f t="shared" si="1"/>
        <v>241</v>
      </c>
      <c r="D98" s="12" t="s">
        <v>22</v>
      </c>
      <c r="E98" s="8">
        <v>37</v>
      </c>
    </row>
    <row r="99" spans="1:5" x14ac:dyDescent="0.3">
      <c r="A99" s="13">
        <v>36789</v>
      </c>
      <c r="B99" s="8">
        <v>320</v>
      </c>
      <c r="C99" s="8">
        <f t="shared" si="1"/>
        <v>269.5</v>
      </c>
      <c r="D99" s="12" t="s">
        <v>22</v>
      </c>
      <c r="E99" s="8">
        <v>38</v>
      </c>
    </row>
    <row r="100" spans="1:5" x14ac:dyDescent="0.3">
      <c r="A100" s="13">
        <v>36796</v>
      </c>
      <c r="B100" s="8">
        <v>307</v>
      </c>
      <c r="C100" s="8">
        <f t="shared" si="1"/>
        <v>286.5</v>
      </c>
      <c r="D100" s="12" t="s">
        <v>22</v>
      </c>
      <c r="E100" s="8">
        <v>39</v>
      </c>
    </row>
    <row r="101" spans="1:5" x14ac:dyDescent="0.3">
      <c r="A101" s="13">
        <v>36803</v>
      </c>
      <c r="B101" s="8">
        <v>227</v>
      </c>
      <c r="C101" s="8">
        <f t="shared" si="1"/>
        <v>281</v>
      </c>
      <c r="D101" s="12" t="s">
        <v>22</v>
      </c>
      <c r="E101" s="8">
        <v>40</v>
      </c>
    </row>
    <row r="102" spans="1:5" x14ac:dyDescent="0.3">
      <c r="A102" s="13">
        <v>36810</v>
      </c>
      <c r="B102" s="8">
        <v>197</v>
      </c>
      <c r="C102" s="8">
        <f t="shared" si="1"/>
        <v>262.75</v>
      </c>
      <c r="D102" s="12" t="s">
        <v>22</v>
      </c>
      <c r="E102" s="8">
        <v>41</v>
      </c>
    </row>
    <row r="103" spans="1:5" x14ac:dyDescent="0.3">
      <c r="A103" s="13">
        <v>36817</v>
      </c>
      <c r="B103" s="8">
        <v>174</v>
      </c>
      <c r="C103" s="8">
        <f t="shared" si="1"/>
        <v>226.25</v>
      </c>
      <c r="D103" s="12" t="s">
        <v>22</v>
      </c>
      <c r="E103" s="8">
        <v>42</v>
      </c>
    </row>
    <row r="104" spans="1:5" x14ac:dyDescent="0.3">
      <c r="A104" s="13">
        <v>36824</v>
      </c>
      <c r="B104" s="8">
        <v>154</v>
      </c>
      <c r="C104" s="8">
        <f t="shared" si="1"/>
        <v>188</v>
      </c>
      <c r="D104" s="12" t="s">
        <v>22</v>
      </c>
      <c r="E104" s="8">
        <v>43</v>
      </c>
    </row>
    <row r="105" spans="1:5" x14ac:dyDescent="0.3">
      <c r="A105" s="13">
        <v>36831</v>
      </c>
      <c r="B105" s="8">
        <v>158</v>
      </c>
      <c r="C105" s="8">
        <f t="shared" si="1"/>
        <v>170.75</v>
      </c>
      <c r="D105" s="12" t="s">
        <v>22</v>
      </c>
      <c r="E105" s="8">
        <v>44</v>
      </c>
    </row>
    <row r="106" spans="1:5" x14ac:dyDescent="0.3">
      <c r="A106" s="13">
        <v>36838</v>
      </c>
      <c r="B106" s="8">
        <v>154</v>
      </c>
      <c r="C106" s="8">
        <f t="shared" si="1"/>
        <v>160</v>
      </c>
      <c r="D106" s="12" t="s">
        <v>22</v>
      </c>
      <c r="E106" s="8">
        <v>45</v>
      </c>
    </row>
    <row r="107" spans="1:5" x14ac:dyDescent="0.3">
      <c r="A107" s="13">
        <v>36845</v>
      </c>
      <c r="B107" s="8">
        <v>132</v>
      </c>
      <c r="C107" s="8">
        <f t="shared" si="1"/>
        <v>149.5</v>
      </c>
      <c r="D107" s="12" t="s">
        <v>22</v>
      </c>
      <c r="E107" s="8">
        <v>46</v>
      </c>
    </row>
    <row r="108" spans="1:5" x14ac:dyDescent="0.3">
      <c r="A108" s="13">
        <v>36852</v>
      </c>
      <c r="B108" s="8">
        <v>138</v>
      </c>
      <c r="C108" s="8">
        <f t="shared" si="1"/>
        <v>145.5</v>
      </c>
      <c r="D108" s="12" t="s">
        <v>22</v>
      </c>
      <c r="E108" s="8">
        <v>47</v>
      </c>
    </row>
    <row r="109" spans="1:5" x14ac:dyDescent="0.3">
      <c r="A109" s="13">
        <v>36859</v>
      </c>
      <c r="B109" s="8">
        <v>142</v>
      </c>
      <c r="C109" s="8">
        <f t="shared" si="1"/>
        <v>141.5</v>
      </c>
      <c r="D109" s="12" t="s">
        <v>22</v>
      </c>
      <c r="E109" s="8">
        <v>48</v>
      </c>
    </row>
    <row r="110" spans="1:5" x14ac:dyDescent="0.3">
      <c r="A110" s="13">
        <v>36866</v>
      </c>
      <c r="B110" s="8">
        <v>177</v>
      </c>
      <c r="C110" s="8">
        <f t="shared" si="1"/>
        <v>147.25</v>
      </c>
      <c r="D110" s="12" t="s">
        <v>22</v>
      </c>
      <c r="E110" s="8">
        <v>49</v>
      </c>
    </row>
    <row r="111" spans="1:5" x14ac:dyDescent="0.3">
      <c r="A111" s="13">
        <v>36873</v>
      </c>
      <c r="B111" s="8">
        <v>202</v>
      </c>
      <c r="C111" s="8">
        <f t="shared" si="1"/>
        <v>164.75</v>
      </c>
      <c r="D111" s="12" t="s">
        <v>22</v>
      </c>
      <c r="E111" s="8">
        <v>50</v>
      </c>
    </row>
    <row r="112" spans="1:5" x14ac:dyDescent="0.3">
      <c r="A112" s="13">
        <v>36880</v>
      </c>
      <c r="B112" s="8">
        <v>241</v>
      </c>
      <c r="C112" s="8">
        <f t="shared" si="1"/>
        <v>190.5</v>
      </c>
      <c r="D112" s="12" t="s">
        <v>22</v>
      </c>
      <c r="E112" s="8">
        <v>51</v>
      </c>
    </row>
    <row r="113" spans="1:5" x14ac:dyDescent="0.3">
      <c r="A113" s="13">
        <v>36887</v>
      </c>
      <c r="B113" s="8">
        <v>260</v>
      </c>
      <c r="C113" s="8">
        <f t="shared" si="1"/>
        <v>220</v>
      </c>
      <c r="D113" s="12" t="s">
        <v>22</v>
      </c>
      <c r="E113" s="8">
        <v>52</v>
      </c>
    </row>
    <row r="114" spans="1:5" x14ac:dyDescent="0.3">
      <c r="A114" s="13">
        <v>36894</v>
      </c>
      <c r="B114" s="8">
        <v>255</v>
      </c>
      <c r="C114" s="8">
        <f t="shared" si="1"/>
        <v>239.5</v>
      </c>
      <c r="D114" s="12" t="s">
        <v>22</v>
      </c>
      <c r="E114" s="8">
        <v>1</v>
      </c>
    </row>
    <row r="115" spans="1:5" x14ac:dyDescent="0.3">
      <c r="A115" s="13">
        <v>36901</v>
      </c>
      <c r="B115" s="8">
        <v>233</v>
      </c>
      <c r="C115" s="8">
        <f t="shared" si="1"/>
        <v>247.25</v>
      </c>
      <c r="D115" s="12" t="s">
        <v>22</v>
      </c>
      <c r="E115" s="8">
        <v>2</v>
      </c>
    </row>
    <row r="116" spans="1:5" x14ac:dyDescent="0.3">
      <c r="A116" s="13">
        <v>36908</v>
      </c>
      <c r="B116" s="8">
        <v>238</v>
      </c>
      <c r="C116" s="8">
        <f t="shared" si="1"/>
        <v>246.5</v>
      </c>
      <c r="D116" s="12" t="s">
        <v>22</v>
      </c>
      <c r="E116" s="8">
        <v>3</v>
      </c>
    </row>
    <row r="117" spans="1:5" x14ac:dyDescent="0.3">
      <c r="A117" s="13">
        <v>36915</v>
      </c>
      <c r="B117" s="8">
        <v>240</v>
      </c>
      <c r="C117" s="8">
        <f t="shared" si="1"/>
        <v>241.5</v>
      </c>
      <c r="D117" s="12" t="s">
        <v>22</v>
      </c>
      <c r="E117" s="8">
        <v>4</v>
      </c>
    </row>
    <row r="118" spans="1:5" x14ac:dyDescent="0.3">
      <c r="A118" s="13">
        <v>36922</v>
      </c>
      <c r="B118" s="8">
        <v>204</v>
      </c>
      <c r="C118" s="8">
        <f t="shared" si="1"/>
        <v>228.75</v>
      </c>
      <c r="D118" s="12" t="s">
        <v>22</v>
      </c>
      <c r="E118" s="8">
        <v>5</v>
      </c>
    </row>
    <row r="119" spans="1:5" x14ac:dyDescent="0.3">
      <c r="A119" s="13">
        <v>36929</v>
      </c>
      <c r="B119" s="8">
        <v>209</v>
      </c>
      <c r="C119" s="8">
        <f t="shared" si="1"/>
        <v>222.75</v>
      </c>
      <c r="D119" s="12" t="s">
        <v>22</v>
      </c>
      <c r="E119" s="8">
        <v>6</v>
      </c>
    </row>
    <row r="120" spans="1:5" x14ac:dyDescent="0.3">
      <c r="A120" s="13">
        <v>36936</v>
      </c>
      <c r="B120" s="8">
        <v>184</v>
      </c>
      <c r="C120" s="8">
        <f t="shared" si="1"/>
        <v>209.25</v>
      </c>
      <c r="D120" s="12" t="s">
        <v>22</v>
      </c>
      <c r="E120" s="8">
        <v>7</v>
      </c>
    </row>
    <row r="121" spans="1:5" x14ac:dyDescent="0.3">
      <c r="A121" s="13">
        <v>36943</v>
      </c>
      <c r="B121" s="8">
        <v>167</v>
      </c>
      <c r="C121" s="8">
        <f t="shared" si="1"/>
        <v>191</v>
      </c>
      <c r="D121" s="12" t="s">
        <v>22</v>
      </c>
      <c r="E121" s="8">
        <v>8</v>
      </c>
    </row>
    <row r="122" spans="1:5" x14ac:dyDescent="0.3">
      <c r="A122" s="13">
        <v>36950</v>
      </c>
      <c r="B122" s="8">
        <v>193</v>
      </c>
      <c r="C122" s="8">
        <f t="shared" si="1"/>
        <v>188.25</v>
      </c>
      <c r="D122" s="12" t="s">
        <v>22</v>
      </c>
      <c r="E122" s="8">
        <v>9</v>
      </c>
    </row>
    <row r="123" spans="1:5" x14ac:dyDescent="0.3">
      <c r="A123" s="13">
        <v>36957</v>
      </c>
      <c r="B123" s="8">
        <v>198</v>
      </c>
      <c r="C123" s="8">
        <f t="shared" si="1"/>
        <v>185.5</v>
      </c>
      <c r="D123" s="12" t="s">
        <v>22</v>
      </c>
      <c r="E123" s="8">
        <v>10</v>
      </c>
    </row>
    <row r="124" spans="1:5" x14ac:dyDescent="0.3">
      <c r="A124" s="13">
        <v>36964</v>
      </c>
      <c r="B124" s="8">
        <v>195</v>
      </c>
      <c r="C124" s="8">
        <f t="shared" si="1"/>
        <v>188.25</v>
      </c>
      <c r="D124" s="12" t="s">
        <v>22</v>
      </c>
      <c r="E124" s="8">
        <v>11</v>
      </c>
    </row>
    <row r="125" spans="1:5" x14ac:dyDescent="0.3">
      <c r="A125" s="13">
        <v>36971</v>
      </c>
      <c r="B125" s="8">
        <v>206</v>
      </c>
      <c r="C125" s="8">
        <f t="shared" si="1"/>
        <v>198</v>
      </c>
      <c r="D125" s="12" t="s">
        <v>22</v>
      </c>
      <c r="E125" s="8">
        <v>12</v>
      </c>
    </row>
    <row r="126" spans="1:5" x14ac:dyDescent="0.3">
      <c r="A126" s="13">
        <v>36978</v>
      </c>
      <c r="B126" s="8">
        <v>208</v>
      </c>
      <c r="C126" s="8">
        <f t="shared" si="1"/>
        <v>201.75</v>
      </c>
      <c r="D126" s="12" t="s">
        <v>22</v>
      </c>
      <c r="E126" s="8">
        <v>13</v>
      </c>
    </row>
    <row r="127" spans="1:5" x14ac:dyDescent="0.3">
      <c r="A127" s="13">
        <v>36985</v>
      </c>
      <c r="B127" s="8">
        <v>178</v>
      </c>
      <c r="C127" s="8">
        <f t="shared" si="1"/>
        <v>196.75</v>
      </c>
      <c r="D127" s="12" t="s">
        <v>22</v>
      </c>
      <c r="E127" s="8">
        <v>14</v>
      </c>
    </row>
    <row r="128" spans="1:5" x14ac:dyDescent="0.3">
      <c r="A128" s="13">
        <v>36992</v>
      </c>
      <c r="B128" s="8">
        <v>158</v>
      </c>
      <c r="C128" s="8">
        <f t="shared" si="1"/>
        <v>187.5</v>
      </c>
      <c r="D128" s="12" t="s">
        <v>22</v>
      </c>
      <c r="E128" s="8">
        <v>15</v>
      </c>
    </row>
    <row r="129" spans="1:5" x14ac:dyDescent="0.3">
      <c r="A129" s="13">
        <v>36999</v>
      </c>
      <c r="B129" s="8">
        <v>153</v>
      </c>
      <c r="C129" s="8">
        <f t="shared" si="1"/>
        <v>174.25</v>
      </c>
      <c r="D129" s="12" t="s">
        <v>22</v>
      </c>
      <c r="E129" s="8">
        <v>16</v>
      </c>
    </row>
    <row r="130" spans="1:5" x14ac:dyDescent="0.3">
      <c r="A130" s="13">
        <v>37006</v>
      </c>
      <c r="B130" s="8">
        <v>145</v>
      </c>
      <c r="C130" s="8">
        <f t="shared" si="1"/>
        <v>158.5</v>
      </c>
      <c r="D130" s="12" t="s">
        <v>22</v>
      </c>
      <c r="E130" s="8">
        <v>17</v>
      </c>
    </row>
    <row r="131" spans="1:5" x14ac:dyDescent="0.3">
      <c r="A131" s="13">
        <v>37013</v>
      </c>
      <c r="B131" s="8">
        <v>140</v>
      </c>
      <c r="C131" s="8">
        <f t="shared" si="1"/>
        <v>149</v>
      </c>
      <c r="D131" s="12" t="s">
        <v>22</v>
      </c>
      <c r="E131" s="8">
        <v>18</v>
      </c>
    </row>
    <row r="132" spans="1:5" x14ac:dyDescent="0.3">
      <c r="A132" s="13">
        <v>37020</v>
      </c>
      <c r="B132" s="8">
        <v>136</v>
      </c>
      <c r="C132" s="8">
        <f t="shared" si="1"/>
        <v>143.5</v>
      </c>
      <c r="D132" s="12" t="s">
        <v>22</v>
      </c>
      <c r="E132" s="8">
        <v>19</v>
      </c>
    </row>
    <row r="133" spans="1:5" x14ac:dyDescent="0.3">
      <c r="A133" s="13">
        <v>37027</v>
      </c>
      <c r="B133" s="8">
        <v>151</v>
      </c>
      <c r="C133" s="8">
        <f t="shared" si="1"/>
        <v>143</v>
      </c>
      <c r="D133" s="12" t="s">
        <v>22</v>
      </c>
      <c r="E133" s="8">
        <v>20</v>
      </c>
    </row>
    <row r="134" spans="1:5" x14ac:dyDescent="0.3">
      <c r="A134" s="13">
        <v>37034</v>
      </c>
      <c r="B134" s="8">
        <v>168</v>
      </c>
      <c r="C134" s="8">
        <f t="shared" si="1"/>
        <v>148.75</v>
      </c>
      <c r="D134" s="12" t="s">
        <v>22</v>
      </c>
      <c r="E134" s="8">
        <v>21</v>
      </c>
    </row>
    <row r="135" spans="1:5" x14ac:dyDescent="0.3">
      <c r="A135" s="13">
        <v>37041</v>
      </c>
      <c r="B135" s="8">
        <v>164</v>
      </c>
      <c r="C135" s="8">
        <f t="shared" si="1"/>
        <v>154.75</v>
      </c>
      <c r="D135" s="12" t="s">
        <v>22</v>
      </c>
      <c r="E135" s="8">
        <v>22</v>
      </c>
    </row>
    <row r="136" spans="1:5" x14ac:dyDescent="0.3">
      <c r="A136" s="13">
        <v>37048</v>
      </c>
      <c r="B136" s="8">
        <v>161</v>
      </c>
      <c r="C136" s="8">
        <f t="shared" si="1"/>
        <v>161</v>
      </c>
      <c r="D136" s="12" t="s">
        <v>22</v>
      </c>
      <c r="E136" s="8">
        <v>23</v>
      </c>
    </row>
    <row r="137" spans="1:5" x14ac:dyDescent="0.3">
      <c r="A137" s="13">
        <v>37055</v>
      </c>
      <c r="B137" s="8">
        <v>180</v>
      </c>
      <c r="C137" s="8">
        <f t="shared" si="1"/>
        <v>168.25</v>
      </c>
      <c r="D137" s="12" t="s">
        <v>22</v>
      </c>
      <c r="E137" s="8">
        <v>24</v>
      </c>
    </row>
    <row r="138" spans="1:5" x14ac:dyDescent="0.3">
      <c r="A138" s="13">
        <v>37062</v>
      </c>
      <c r="B138" s="8">
        <v>168</v>
      </c>
      <c r="C138" s="8">
        <f t="shared" si="1"/>
        <v>168.25</v>
      </c>
      <c r="D138" s="12" t="s">
        <v>22</v>
      </c>
      <c r="E138" s="8">
        <v>25</v>
      </c>
    </row>
    <row r="139" spans="1:5" x14ac:dyDescent="0.3">
      <c r="A139" s="13">
        <v>37069</v>
      </c>
      <c r="B139" s="8">
        <v>171</v>
      </c>
      <c r="C139" s="8">
        <f t="shared" ref="C139:C202" si="2">AVERAGE(B136:B139)</f>
        <v>170</v>
      </c>
      <c r="D139" s="12" t="s">
        <v>22</v>
      </c>
      <c r="E139" s="8">
        <v>26</v>
      </c>
    </row>
    <row r="140" spans="1:5" x14ac:dyDescent="0.3">
      <c r="A140" s="13">
        <v>37076</v>
      </c>
      <c r="B140" s="8">
        <v>169</v>
      </c>
      <c r="C140" s="8">
        <f t="shared" si="2"/>
        <v>172</v>
      </c>
      <c r="D140" s="12" t="s">
        <v>22</v>
      </c>
      <c r="E140" s="8">
        <v>27</v>
      </c>
    </row>
    <row r="141" spans="1:5" x14ac:dyDescent="0.3">
      <c r="A141" s="13">
        <v>37083</v>
      </c>
      <c r="B141" s="8">
        <v>171</v>
      </c>
      <c r="C141" s="8">
        <f t="shared" si="2"/>
        <v>169.75</v>
      </c>
      <c r="D141" s="12" t="s">
        <v>22</v>
      </c>
      <c r="E141" s="8">
        <v>28</v>
      </c>
    </row>
    <row r="142" spans="1:5" x14ac:dyDescent="0.3">
      <c r="A142" s="13">
        <v>37090</v>
      </c>
      <c r="B142" s="8">
        <v>181</v>
      </c>
      <c r="C142" s="8">
        <f t="shared" si="2"/>
        <v>173</v>
      </c>
      <c r="D142" s="12" t="s">
        <v>22</v>
      </c>
      <c r="E142" s="8">
        <v>29</v>
      </c>
    </row>
    <row r="143" spans="1:5" x14ac:dyDescent="0.3">
      <c r="A143" s="13">
        <v>37097</v>
      </c>
      <c r="B143" s="8">
        <v>175</v>
      </c>
      <c r="C143" s="8">
        <f t="shared" si="2"/>
        <v>174</v>
      </c>
      <c r="D143" s="12" t="s">
        <v>22</v>
      </c>
      <c r="E143" s="8">
        <v>30</v>
      </c>
    </row>
    <row r="144" spans="1:5" x14ac:dyDescent="0.3">
      <c r="A144" s="13">
        <v>37104</v>
      </c>
      <c r="B144" s="8">
        <v>168</v>
      </c>
      <c r="C144" s="8">
        <f t="shared" si="2"/>
        <v>173.75</v>
      </c>
      <c r="D144" s="12" t="s">
        <v>22</v>
      </c>
      <c r="E144" s="8">
        <v>31</v>
      </c>
    </row>
    <row r="145" spans="1:5" x14ac:dyDescent="0.3">
      <c r="A145" s="13">
        <v>37111</v>
      </c>
      <c r="B145" s="8">
        <v>163</v>
      </c>
      <c r="C145" s="8">
        <f t="shared" si="2"/>
        <v>171.75</v>
      </c>
      <c r="D145" s="12" t="s">
        <v>22</v>
      </c>
      <c r="E145" s="8">
        <v>32</v>
      </c>
    </row>
    <row r="146" spans="1:5" x14ac:dyDescent="0.3">
      <c r="A146" s="13">
        <v>37118</v>
      </c>
      <c r="B146" s="8">
        <v>187</v>
      </c>
      <c r="C146" s="8">
        <f t="shared" si="2"/>
        <v>173.25</v>
      </c>
      <c r="D146" s="12" t="s">
        <v>22</v>
      </c>
      <c r="E146" s="8">
        <v>33</v>
      </c>
    </row>
    <row r="147" spans="1:5" x14ac:dyDescent="0.3">
      <c r="A147" s="13">
        <v>37125</v>
      </c>
      <c r="B147" s="8">
        <v>178</v>
      </c>
      <c r="C147" s="8">
        <f t="shared" si="2"/>
        <v>174</v>
      </c>
      <c r="D147" s="12" t="s">
        <v>22</v>
      </c>
      <c r="E147" s="8">
        <v>34</v>
      </c>
    </row>
    <row r="148" spans="1:5" x14ac:dyDescent="0.3">
      <c r="A148" s="13">
        <v>37132</v>
      </c>
      <c r="B148" s="8">
        <v>198</v>
      </c>
      <c r="C148" s="8">
        <f t="shared" si="2"/>
        <v>181.5</v>
      </c>
      <c r="D148" s="12" t="s">
        <v>22</v>
      </c>
      <c r="E148" s="8">
        <v>35</v>
      </c>
    </row>
    <row r="149" spans="1:5" x14ac:dyDescent="0.3">
      <c r="A149" s="13">
        <v>37139</v>
      </c>
      <c r="B149" s="8">
        <v>209</v>
      </c>
      <c r="C149" s="8">
        <f t="shared" si="2"/>
        <v>193</v>
      </c>
      <c r="D149" s="12" t="s">
        <v>22</v>
      </c>
      <c r="E149" s="8">
        <v>36</v>
      </c>
    </row>
    <row r="150" spans="1:5" x14ac:dyDescent="0.3">
      <c r="A150" s="13">
        <v>37146</v>
      </c>
      <c r="B150" s="8">
        <v>185</v>
      </c>
      <c r="C150" s="8">
        <f t="shared" si="2"/>
        <v>192.5</v>
      </c>
      <c r="D150" s="12" t="s">
        <v>22</v>
      </c>
      <c r="E150" s="8">
        <v>37</v>
      </c>
    </row>
    <row r="151" spans="1:5" x14ac:dyDescent="0.3">
      <c r="A151" s="13">
        <v>37153</v>
      </c>
      <c r="B151" s="8">
        <v>178</v>
      </c>
      <c r="C151" s="8">
        <f t="shared" si="2"/>
        <v>192.5</v>
      </c>
      <c r="D151" s="12" t="s">
        <v>22</v>
      </c>
      <c r="E151" s="8">
        <v>38</v>
      </c>
    </row>
    <row r="152" spans="1:5" x14ac:dyDescent="0.3">
      <c r="A152" s="13">
        <v>37160</v>
      </c>
      <c r="B152" s="8">
        <v>209</v>
      </c>
      <c r="C152" s="8">
        <f t="shared" si="2"/>
        <v>195.25</v>
      </c>
      <c r="D152" s="12" t="s">
        <v>22</v>
      </c>
      <c r="E152" s="8">
        <v>39</v>
      </c>
    </row>
    <row r="153" spans="1:5" x14ac:dyDescent="0.3">
      <c r="A153" s="13">
        <v>37167</v>
      </c>
      <c r="B153" s="8">
        <v>218</v>
      </c>
      <c r="C153" s="8">
        <f t="shared" si="2"/>
        <v>197.5</v>
      </c>
      <c r="E153" s="8">
        <v>40</v>
      </c>
    </row>
    <row r="154" spans="1:5" x14ac:dyDescent="0.3">
      <c r="A154" s="13">
        <v>37174</v>
      </c>
      <c r="B154" s="8">
        <v>204</v>
      </c>
      <c r="C154" s="8">
        <f t="shared" si="2"/>
        <v>202.25</v>
      </c>
      <c r="D154" s="8"/>
      <c r="E154" s="8">
        <v>41</v>
      </c>
    </row>
    <row r="155" spans="1:5" x14ac:dyDescent="0.3">
      <c r="A155" s="13">
        <v>37181</v>
      </c>
      <c r="B155" s="8">
        <v>198</v>
      </c>
      <c r="C155" s="8">
        <f t="shared" si="2"/>
        <v>207.25</v>
      </c>
      <c r="D155" s="8"/>
      <c r="E155" s="8">
        <v>42</v>
      </c>
    </row>
    <row r="156" spans="1:5" x14ac:dyDescent="0.3">
      <c r="A156" s="13">
        <v>37188</v>
      </c>
      <c r="B156" s="8">
        <v>248</v>
      </c>
      <c r="C156" s="8">
        <f t="shared" si="2"/>
        <v>217</v>
      </c>
      <c r="D156" s="8"/>
      <c r="E156" s="8">
        <v>43</v>
      </c>
    </row>
    <row r="157" spans="1:5" x14ac:dyDescent="0.3">
      <c r="A157" s="13">
        <v>37195</v>
      </c>
      <c r="B157" s="8">
        <v>260</v>
      </c>
      <c r="C157" s="8">
        <f t="shared" si="2"/>
        <v>227.5</v>
      </c>
      <c r="D157" s="8"/>
      <c r="E157" s="8">
        <v>44</v>
      </c>
    </row>
    <row r="158" spans="1:5" x14ac:dyDescent="0.3">
      <c r="A158" s="13">
        <v>37202</v>
      </c>
      <c r="B158" s="8">
        <v>179</v>
      </c>
      <c r="C158" s="8">
        <f t="shared" si="2"/>
        <v>221.25</v>
      </c>
      <c r="D158" s="8"/>
      <c r="E158" s="8">
        <v>45</v>
      </c>
    </row>
    <row r="159" spans="1:5" x14ac:dyDescent="0.3">
      <c r="A159" s="13">
        <v>37209</v>
      </c>
      <c r="B159" s="8">
        <v>136</v>
      </c>
      <c r="C159" s="8">
        <f t="shared" si="2"/>
        <v>205.75</v>
      </c>
      <c r="D159" s="8"/>
      <c r="E159" s="8">
        <v>46</v>
      </c>
    </row>
    <row r="160" spans="1:5" x14ac:dyDescent="0.3">
      <c r="A160" s="13">
        <v>37216</v>
      </c>
      <c r="B160" s="8">
        <v>153</v>
      </c>
      <c r="C160" s="8">
        <f t="shared" si="2"/>
        <v>182</v>
      </c>
      <c r="D160" s="8"/>
      <c r="E160" s="8">
        <v>47</v>
      </c>
    </row>
    <row r="161" spans="1:5" x14ac:dyDescent="0.3">
      <c r="A161" s="13">
        <v>37223</v>
      </c>
      <c r="B161" s="8">
        <v>150</v>
      </c>
      <c r="C161" s="8">
        <f t="shared" si="2"/>
        <v>154.5</v>
      </c>
      <c r="D161" s="8"/>
      <c r="E161" s="8">
        <v>48</v>
      </c>
    </row>
    <row r="162" spans="1:5" x14ac:dyDescent="0.3">
      <c r="A162" s="13">
        <v>37230</v>
      </c>
      <c r="B162" s="8">
        <v>165</v>
      </c>
      <c r="C162" s="8">
        <f t="shared" si="2"/>
        <v>151</v>
      </c>
      <c r="D162" s="8"/>
      <c r="E162" s="8">
        <v>49</v>
      </c>
    </row>
    <row r="163" spans="1:5" x14ac:dyDescent="0.3">
      <c r="A163" s="13">
        <v>37237</v>
      </c>
      <c r="B163" s="8">
        <v>180</v>
      </c>
      <c r="C163" s="8">
        <f t="shared" si="2"/>
        <v>162</v>
      </c>
      <c r="D163" s="8"/>
      <c r="E163" s="8">
        <v>50</v>
      </c>
    </row>
    <row r="164" spans="1:5" x14ac:dyDescent="0.3">
      <c r="A164" s="13">
        <v>37244</v>
      </c>
      <c r="B164" s="8">
        <v>167</v>
      </c>
      <c r="C164" s="8">
        <f t="shared" si="2"/>
        <v>165.5</v>
      </c>
      <c r="D164" s="8">
        <f t="shared" ref="D164:D217" si="3">(C8+C60+C112)/3</f>
        <v>163.83333333333334</v>
      </c>
      <c r="E164" s="8">
        <v>51</v>
      </c>
    </row>
    <row r="165" spans="1:5" x14ac:dyDescent="0.3">
      <c r="A165" s="13">
        <v>37251</v>
      </c>
      <c r="B165" s="8">
        <v>195</v>
      </c>
      <c r="C165" s="8">
        <f t="shared" si="2"/>
        <v>176.75</v>
      </c>
      <c r="D165" s="8">
        <f t="shared" si="3"/>
        <v>178.16666666666666</v>
      </c>
      <c r="E165" s="8">
        <v>52</v>
      </c>
    </row>
    <row r="166" spans="1:5" x14ac:dyDescent="0.3">
      <c r="A166" s="13">
        <v>37258</v>
      </c>
      <c r="B166" s="8">
        <v>194</v>
      </c>
      <c r="C166" s="8">
        <f t="shared" si="2"/>
        <v>184</v>
      </c>
      <c r="D166" s="8">
        <f t="shared" si="3"/>
        <v>193.16666666666666</v>
      </c>
      <c r="E166" s="8">
        <v>1</v>
      </c>
    </row>
    <row r="167" spans="1:5" x14ac:dyDescent="0.3">
      <c r="A167" s="13">
        <v>37265</v>
      </c>
      <c r="B167" s="8">
        <v>171</v>
      </c>
      <c r="C167" s="8">
        <f t="shared" si="2"/>
        <v>181.75</v>
      </c>
      <c r="D167" s="8">
        <f t="shared" si="3"/>
        <v>202.58333333333334</v>
      </c>
      <c r="E167" s="8">
        <v>2</v>
      </c>
    </row>
    <row r="168" spans="1:5" x14ac:dyDescent="0.3">
      <c r="A168" s="13">
        <v>37272</v>
      </c>
      <c r="B168" s="8">
        <v>173</v>
      </c>
      <c r="C168" s="8">
        <f t="shared" si="2"/>
        <v>183.25</v>
      </c>
      <c r="D168" s="8">
        <f t="shared" si="3"/>
        <v>203</v>
      </c>
      <c r="E168" s="8">
        <v>3</v>
      </c>
    </row>
    <row r="169" spans="1:5" x14ac:dyDescent="0.3">
      <c r="A169" s="13">
        <v>37279</v>
      </c>
      <c r="B169" s="8">
        <v>158</v>
      </c>
      <c r="C169" s="8">
        <f t="shared" si="2"/>
        <v>174</v>
      </c>
      <c r="D169" s="8">
        <f t="shared" si="3"/>
        <v>209.41666666666666</v>
      </c>
      <c r="E169" s="8">
        <v>4</v>
      </c>
    </row>
    <row r="170" spans="1:5" x14ac:dyDescent="0.3">
      <c r="A170" s="13">
        <v>37286</v>
      </c>
      <c r="B170" s="8">
        <v>153</v>
      </c>
      <c r="C170" s="8">
        <f t="shared" si="2"/>
        <v>163.75</v>
      </c>
      <c r="D170" s="8">
        <f t="shared" si="3"/>
        <v>204.33333333333334</v>
      </c>
      <c r="E170" s="8">
        <v>5</v>
      </c>
    </row>
    <row r="171" spans="1:5" x14ac:dyDescent="0.3">
      <c r="A171" s="13">
        <v>37293</v>
      </c>
      <c r="B171" s="8">
        <v>146</v>
      </c>
      <c r="C171" s="8">
        <f t="shared" si="2"/>
        <v>157.5</v>
      </c>
      <c r="D171" s="8">
        <f t="shared" si="3"/>
        <v>197.66666666666666</v>
      </c>
      <c r="E171" s="8">
        <v>6</v>
      </c>
    </row>
    <row r="172" spans="1:5" x14ac:dyDescent="0.3">
      <c r="A172" s="13">
        <v>37300</v>
      </c>
      <c r="B172" s="8">
        <v>145</v>
      </c>
      <c r="C172" s="8">
        <f t="shared" si="2"/>
        <v>150.5</v>
      </c>
      <c r="D172" s="8">
        <f t="shared" si="3"/>
        <v>191.08333333333334</v>
      </c>
      <c r="E172" s="8">
        <v>7</v>
      </c>
    </row>
    <row r="173" spans="1:5" x14ac:dyDescent="0.3">
      <c r="A173" s="13">
        <v>37307</v>
      </c>
      <c r="B173" s="8">
        <v>146</v>
      </c>
      <c r="C173" s="8">
        <f t="shared" si="2"/>
        <v>147.5</v>
      </c>
      <c r="D173" s="8">
        <f t="shared" si="3"/>
        <v>173.66666666666666</v>
      </c>
      <c r="E173" s="8">
        <v>8</v>
      </c>
    </row>
    <row r="174" spans="1:5" x14ac:dyDescent="0.3">
      <c r="A174" s="13">
        <v>37314</v>
      </c>
      <c r="B174" s="8">
        <v>141</v>
      </c>
      <c r="C174" s="8">
        <f t="shared" si="2"/>
        <v>144.5</v>
      </c>
      <c r="D174" s="8">
        <f t="shared" si="3"/>
        <v>166.91666666666666</v>
      </c>
      <c r="E174" s="8">
        <v>9</v>
      </c>
    </row>
    <row r="175" spans="1:5" x14ac:dyDescent="0.3">
      <c r="A175" s="13">
        <v>37321</v>
      </c>
      <c r="B175" s="8">
        <v>140</v>
      </c>
      <c r="C175" s="8">
        <f t="shared" si="2"/>
        <v>143</v>
      </c>
      <c r="D175" s="8">
        <f t="shared" si="3"/>
        <v>166.16666666666666</v>
      </c>
      <c r="E175" s="8">
        <v>10</v>
      </c>
    </row>
    <row r="176" spans="1:5" x14ac:dyDescent="0.3">
      <c r="A176" s="13">
        <v>37328</v>
      </c>
      <c r="B176" s="8">
        <v>134</v>
      </c>
      <c r="C176" s="8">
        <f t="shared" si="2"/>
        <v>140.25</v>
      </c>
      <c r="D176" s="8">
        <f t="shared" si="3"/>
        <v>167.25</v>
      </c>
      <c r="E176" s="8">
        <v>11</v>
      </c>
    </row>
    <row r="177" spans="1:5" x14ac:dyDescent="0.3">
      <c r="A177" s="13">
        <v>37335</v>
      </c>
      <c r="B177" s="8">
        <v>134</v>
      </c>
      <c r="C177" s="8">
        <f t="shared" si="2"/>
        <v>137.25</v>
      </c>
      <c r="D177" s="8">
        <f t="shared" si="3"/>
        <v>174.66666666666666</v>
      </c>
      <c r="E177" s="8">
        <v>12</v>
      </c>
    </row>
    <row r="178" spans="1:5" x14ac:dyDescent="0.3">
      <c r="A178" s="13">
        <v>37342</v>
      </c>
      <c r="B178" s="8">
        <v>129</v>
      </c>
      <c r="C178" s="8">
        <f t="shared" si="2"/>
        <v>134.25</v>
      </c>
      <c r="D178" s="8">
        <f t="shared" si="3"/>
        <v>175.08333333333334</v>
      </c>
      <c r="E178" s="8">
        <v>13</v>
      </c>
    </row>
    <row r="179" spans="1:5" x14ac:dyDescent="0.3">
      <c r="A179" s="13">
        <v>37349</v>
      </c>
      <c r="B179" s="8">
        <v>125</v>
      </c>
      <c r="C179" s="8">
        <f t="shared" si="2"/>
        <v>130.5</v>
      </c>
      <c r="D179" s="8">
        <f t="shared" si="3"/>
        <v>170.25</v>
      </c>
      <c r="E179" s="8">
        <v>14</v>
      </c>
    </row>
    <row r="180" spans="1:5" x14ac:dyDescent="0.3">
      <c r="A180" s="13">
        <v>37356</v>
      </c>
      <c r="B180" s="8">
        <v>121</v>
      </c>
      <c r="C180" s="8">
        <f t="shared" si="2"/>
        <v>127.25</v>
      </c>
      <c r="D180" s="8">
        <f t="shared" si="3"/>
        <v>162.41666666666666</v>
      </c>
      <c r="E180" s="8">
        <v>15</v>
      </c>
    </row>
    <row r="181" spans="1:5" x14ac:dyDescent="0.3">
      <c r="A181" s="13">
        <v>37363</v>
      </c>
      <c r="B181" s="8">
        <v>119</v>
      </c>
      <c r="C181" s="8">
        <f t="shared" si="2"/>
        <v>123.5</v>
      </c>
      <c r="D181" s="8">
        <f t="shared" si="3"/>
        <v>151.33333333333334</v>
      </c>
      <c r="E181" s="8">
        <v>16</v>
      </c>
    </row>
    <row r="182" spans="1:5" x14ac:dyDescent="0.3">
      <c r="A182" s="13">
        <v>37370</v>
      </c>
      <c r="B182" s="8">
        <v>115</v>
      </c>
      <c r="C182" s="8">
        <f t="shared" si="2"/>
        <v>120</v>
      </c>
      <c r="D182" s="8">
        <f t="shared" si="3"/>
        <v>143.08333333333334</v>
      </c>
      <c r="E182" s="8">
        <v>17</v>
      </c>
    </row>
    <row r="183" spans="1:5" x14ac:dyDescent="0.3">
      <c r="A183" s="13">
        <v>37377</v>
      </c>
      <c r="B183" s="8">
        <v>121</v>
      </c>
      <c r="C183" s="8">
        <f t="shared" si="2"/>
        <v>119</v>
      </c>
      <c r="D183" s="8">
        <f t="shared" si="3"/>
        <v>138.91666666666666</v>
      </c>
      <c r="E183" s="8">
        <v>18</v>
      </c>
    </row>
    <row r="184" spans="1:5" x14ac:dyDescent="0.3">
      <c r="A184" s="13">
        <v>37384</v>
      </c>
      <c r="B184" s="8">
        <v>128</v>
      </c>
      <c r="C184" s="8">
        <f t="shared" si="2"/>
        <v>120.75</v>
      </c>
      <c r="D184" s="8">
        <f t="shared" si="3"/>
        <v>134.91666666666666</v>
      </c>
      <c r="E184" s="8">
        <v>19</v>
      </c>
    </row>
    <row r="185" spans="1:5" x14ac:dyDescent="0.3">
      <c r="A185" s="13">
        <v>37391</v>
      </c>
      <c r="B185" s="8">
        <v>146</v>
      </c>
      <c r="C185" s="8">
        <f t="shared" si="2"/>
        <v>127.5</v>
      </c>
      <c r="D185" s="8">
        <f t="shared" si="3"/>
        <v>133</v>
      </c>
      <c r="E185" s="8">
        <v>20</v>
      </c>
    </row>
    <row r="186" spans="1:5" x14ac:dyDescent="0.3">
      <c r="A186" s="13">
        <v>37398</v>
      </c>
      <c r="B186" s="8">
        <v>148</v>
      </c>
      <c r="C186" s="8">
        <f t="shared" si="2"/>
        <v>135.75</v>
      </c>
      <c r="D186" s="8">
        <f t="shared" si="3"/>
        <v>134.08333333333334</v>
      </c>
      <c r="E186" s="8">
        <v>21</v>
      </c>
    </row>
    <row r="187" spans="1:5" x14ac:dyDescent="0.3">
      <c r="A187" s="13">
        <v>37405</v>
      </c>
      <c r="B187" s="8">
        <v>131</v>
      </c>
      <c r="C187" s="8">
        <f t="shared" si="2"/>
        <v>138.25</v>
      </c>
      <c r="D187" s="8">
        <f t="shared" si="3"/>
        <v>134.5</v>
      </c>
      <c r="E187" s="8">
        <v>22</v>
      </c>
    </row>
    <row r="188" spans="1:5" x14ac:dyDescent="0.3">
      <c r="A188" s="13">
        <v>37412</v>
      </c>
      <c r="B188" s="8">
        <v>131</v>
      </c>
      <c r="C188" s="8">
        <f t="shared" si="2"/>
        <v>139</v>
      </c>
      <c r="D188" s="8">
        <f t="shared" si="3"/>
        <v>138.83333333333334</v>
      </c>
      <c r="E188" s="8">
        <v>23</v>
      </c>
    </row>
    <row r="189" spans="1:5" x14ac:dyDescent="0.3">
      <c r="A189" s="13">
        <v>37419</v>
      </c>
      <c r="B189" s="8">
        <v>131</v>
      </c>
      <c r="C189" s="8">
        <f t="shared" si="2"/>
        <v>135.25</v>
      </c>
      <c r="D189" s="8">
        <f t="shared" si="3"/>
        <v>147.08333333333334</v>
      </c>
      <c r="E189" s="8">
        <v>24</v>
      </c>
    </row>
    <row r="190" spans="1:5" x14ac:dyDescent="0.3">
      <c r="A190" s="13">
        <v>37426</v>
      </c>
      <c r="B190" s="8">
        <v>138</v>
      </c>
      <c r="C190" s="8">
        <f t="shared" si="2"/>
        <v>132.75</v>
      </c>
      <c r="D190" s="8">
        <f t="shared" si="3"/>
        <v>153.25</v>
      </c>
      <c r="E190" s="8">
        <v>25</v>
      </c>
    </row>
    <row r="191" spans="1:5" x14ac:dyDescent="0.3">
      <c r="A191" s="13">
        <v>37433</v>
      </c>
      <c r="B191" s="8">
        <v>151</v>
      </c>
      <c r="C191" s="8">
        <f t="shared" si="2"/>
        <v>137.75</v>
      </c>
      <c r="D191" s="8">
        <f t="shared" si="3"/>
        <v>163.75</v>
      </c>
      <c r="E191" s="8">
        <v>26</v>
      </c>
    </row>
    <row r="192" spans="1:5" x14ac:dyDescent="0.3">
      <c r="A192" s="13">
        <v>37440</v>
      </c>
      <c r="B192" s="8">
        <v>147</v>
      </c>
      <c r="C192" s="8">
        <f t="shared" si="2"/>
        <v>141.75</v>
      </c>
      <c r="D192" s="8">
        <f t="shared" si="3"/>
        <v>173.58333333333334</v>
      </c>
      <c r="E192" s="8">
        <v>27</v>
      </c>
    </row>
    <row r="193" spans="1:5" x14ac:dyDescent="0.3">
      <c r="A193" s="13">
        <v>37447</v>
      </c>
      <c r="B193" s="8">
        <v>139</v>
      </c>
      <c r="C193" s="8">
        <f t="shared" si="2"/>
        <v>143.75</v>
      </c>
      <c r="D193" s="8">
        <f t="shared" si="3"/>
        <v>181.5</v>
      </c>
      <c r="E193" s="8">
        <v>28</v>
      </c>
    </row>
    <row r="194" spans="1:5" x14ac:dyDescent="0.3">
      <c r="A194" s="13">
        <v>37454</v>
      </c>
      <c r="B194" s="8">
        <v>134</v>
      </c>
      <c r="C194" s="8">
        <f t="shared" si="2"/>
        <v>142.75</v>
      </c>
      <c r="D194" s="8">
        <f t="shared" si="3"/>
        <v>194.91666666666666</v>
      </c>
      <c r="E194" s="8">
        <v>29</v>
      </c>
    </row>
    <row r="195" spans="1:5" x14ac:dyDescent="0.3">
      <c r="A195" s="13">
        <v>37461</v>
      </c>
      <c r="B195" s="8">
        <v>130</v>
      </c>
      <c r="C195" s="8">
        <f t="shared" si="2"/>
        <v>137.5</v>
      </c>
      <c r="D195" s="8">
        <f t="shared" si="3"/>
        <v>202.16666666666666</v>
      </c>
      <c r="E195" s="8">
        <v>30</v>
      </c>
    </row>
    <row r="196" spans="1:5" x14ac:dyDescent="0.3">
      <c r="A196" s="13">
        <v>37468</v>
      </c>
      <c r="B196" s="8">
        <v>121</v>
      </c>
      <c r="C196" s="8">
        <f t="shared" si="2"/>
        <v>131</v>
      </c>
      <c r="D196" s="8">
        <f t="shared" si="3"/>
        <v>205.41666666666666</v>
      </c>
      <c r="E196" s="8">
        <v>31</v>
      </c>
    </row>
    <row r="197" spans="1:5" x14ac:dyDescent="0.3">
      <c r="A197" s="13">
        <v>37475</v>
      </c>
      <c r="B197" s="8">
        <v>120</v>
      </c>
      <c r="C197" s="8">
        <f t="shared" si="2"/>
        <v>126.25</v>
      </c>
      <c r="D197" s="8">
        <f t="shared" si="3"/>
        <v>201.41666666666666</v>
      </c>
      <c r="E197" s="8">
        <v>32</v>
      </c>
    </row>
    <row r="198" spans="1:5" x14ac:dyDescent="0.3">
      <c r="A198" s="13">
        <v>37482</v>
      </c>
      <c r="B198" s="8">
        <v>120</v>
      </c>
      <c r="C198" s="8">
        <f t="shared" si="2"/>
        <v>122.75</v>
      </c>
      <c r="D198" s="8">
        <f t="shared" si="3"/>
        <v>195.41666666666666</v>
      </c>
      <c r="E198" s="8">
        <v>33</v>
      </c>
    </row>
    <row r="199" spans="1:5" x14ac:dyDescent="0.3">
      <c r="A199" s="13">
        <v>37489</v>
      </c>
      <c r="B199" s="8">
        <v>128</v>
      </c>
      <c r="C199" s="8">
        <f t="shared" si="2"/>
        <v>122.25</v>
      </c>
      <c r="D199" s="8">
        <f t="shared" si="3"/>
        <v>193.08333333333334</v>
      </c>
      <c r="E199" s="8">
        <v>34</v>
      </c>
    </row>
    <row r="200" spans="1:5" x14ac:dyDescent="0.3">
      <c r="A200" s="13">
        <v>37496</v>
      </c>
      <c r="B200" s="8">
        <v>128</v>
      </c>
      <c r="C200" s="8">
        <f t="shared" si="2"/>
        <v>124</v>
      </c>
      <c r="D200" s="8">
        <f t="shared" si="3"/>
        <v>199.5</v>
      </c>
      <c r="E200" s="8">
        <v>35</v>
      </c>
    </row>
    <row r="201" spans="1:5" x14ac:dyDescent="0.3">
      <c r="A201" s="13">
        <v>37503</v>
      </c>
      <c r="B201" s="8">
        <v>139</v>
      </c>
      <c r="C201" s="8">
        <f t="shared" si="2"/>
        <v>128.75</v>
      </c>
      <c r="D201" s="8">
        <f t="shared" si="3"/>
        <v>212.16666666666666</v>
      </c>
      <c r="E201" s="8">
        <v>36</v>
      </c>
    </row>
    <row r="202" spans="1:5" x14ac:dyDescent="0.3">
      <c r="A202" s="13">
        <v>37510</v>
      </c>
      <c r="B202" s="8">
        <v>145</v>
      </c>
      <c r="C202" s="8">
        <f t="shared" si="2"/>
        <v>135</v>
      </c>
      <c r="D202" s="8">
        <f t="shared" si="3"/>
        <v>221.41666666666666</v>
      </c>
      <c r="E202" s="8">
        <v>37</v>
      </c>
    </row>
    <row r="203" spans="1:5" x14ac:dyDescent="0.3">
      <c r="A203" s="13">
        <v>37517</v>
      </c>
      <c r="B203" s="8">
        <v>150</v>
      </c>
      <c r="C203" s="8">
        <f t="shared" ref="C203:C264" si="4">AVERAGE(B200:B203)</f>
        <v>140.5</v>
      </c>
      <c r="D203" s="8">
        <f t="shared" si="3"/>
        <v>235.75</v>
      </c>
      <c r="E203" s="8">
        <v>38</v>
      </c>
    </row>
    <row r="204" spans="1:5" x14ac:dyDescent="0.3">
      <c r="A204" s="13">
        <v>37524</v>
      </c>
      <c r="B204" s="8">
        <v>157</v>
      </c>
      <c r="C204" s="8">
        <f t="shared" si="4"/>
        <v>147.75</v>
      </c>
      <c r="D204" s="8">
        <f t="shared" si="3"/>
        <v>243.25</v>
      </c>
      <c r="E204" s="8">
        <v>39</v>
      </c>
    </row>
    <row r="205" spans="1:5" x14ac:dyDescent="0.3">
      <c r="A205" s="13">
        <v>37531</v>
      </c>
      <c r="B205" s="8">
        <v>178</v>
      </c>
      <c r="C205" s="8">
        <f t="shared" si="4"/>
        <v>157.5</v>
      </c>
      <c r="D205" s="8">
        <f t="shared" si="3"/>
        <v>244.66666666666666</v>
      </c>
      <c r="E205" s="8">
        <v>40</v>
      </c>
    </row>
    <row r="206" spans="1:5" x14ac:dyDescent="0.3">
      <c r="A206" s="13">
        <v>37538</v>
      </c>
      <c r="B206" s="8">
        <v>200</v>
      </c>
      <c r="C206" s="8">
        <f t="shared" si="4"/>
        <v>171.25</v>
      </c>
      <c r="D206" s="8">
        <f t="shared" si="3"/>
        <v>242.75</v>
      </c>
      <c r="E206" s="8">
        <v>41</v>
      </c>
    </row>
    <row r="207" spans="1:5" x14ac:dyDescent="0.3">
      <c r="A207" s="13">
        <v>37545</v>
      </c>
      <c r="B207" s="8">
        <v>206</v>
      </c>
      <c r="C207" s="8">
        <f t="shared" si="4"/>
        <v>185.25</v>
      </c>
      <c r="D207" s="8">
        <f t="shared" si="3"/>
        <v>231.33333333333334</v>
      </c>
      <c r="E207" s="8">
        <v>42</v>
      </c>
    </row>
    <row r="208" spans="1:5" x14ac:dyDescent="0.3">
      <c r="A208" s="13">
        <v>37552</v>
      </c>
      <c r="B208" s="8">
        <v>209</v>
      </c>
      <c r="C208" s="8">
        <f t="shared" si="4"/>
        <v>198.25</v>
      </c>
      <c r="D208" s="8">
        <f t="shared" si="3"/>
        <v>221.75</v>
      </c>
      <c r="E208" s="8">
        <v>43</v>
      </c>
    </row>
    <row r="209" spans="1:5" x14ac:dyDescent="0.3">
      <c r="A209" s="13">
        <v>37559</v>
      </c>
      <c r="B209" s="8">
        <v>209</v>
      </c>
      <c r="C209" s="8">
        <f t="shared" si="4"/>
        <v>206</v>
      </c>
      <c r="D209" s="8">
        <f t="shared" si="3"/>
        <v>213.25</v>
      </c>
      <c r="E209" s="8">
        <v>44</v>
      </c>
    </row>
    <row r="210" spans="1:5" x14ac:dyDescent="0.3">
      <c r="A210" s="13">
        <v>37566</v>
      </c>
      <c r="B210" s="8">
        <v>217</v>
      </c>
      <c r="C210" s="8">
        <f t="shared" si="4"/>
        <v>210.25</v>
      </c>
      <c r="D210" s="8">
        <f t="shared" si="3"/>
        <v>198.66666666666666</v>
      </c>
      <c r="E210" s="8">
        <v>45</v>
      </c>
    </row>
    <row r="211" spans="1:5" x14ac:dyDescent="0.3">
      <c r="A211" s="13">
        <v>37573</v>
      </c>
      <c r="B211" s="8">
        <v>223</v>
      </c>
      <c r="C211" s="8">
        <f t="shared" si="4"/>
        <v>214.5</v>
      </c>
      <c r="D211" s="8">
        <f t="shared" si="3"/>
        <v>180.75</v>
      </c>
      <c r="E211" s="8">
        <v>46</v>
      </c>
    </row>
    <row r="212" spans="1:5" x14ac:dyDescent="0.3">
      <c r="A212" s="13">
        <v>37580</v>
      </c>
      <c r="B212" s="8">
        <v>214</v>
      </c>
      <c r="C212" s="8">
        <f t="shared" si="4"/>
        <v>215.75</v>
      </c>
      <c r="D212" s="8">
        <f t="shared" si="3"/>
        <v>162.08333333333334</v>
      </c>
      <c r="E212" s="8">
        <v>47</v>
      </c>
    </row>
    <row r="213" spans="1:5" x14ac:dyDescent="0.3">
      <c r="A213" s="13">
        <v>37587</v>
      </c>
      <c r="B213" s="8">
        <v>241</v>
      </c>
      <c r="C213" s="8">
        <f t="shared" si="4"/>
        <v>223.75</v>
      </c>
      <c r="D213" s="8">
        <f t="shared" si="3"/>
        <v>147.25</v>
      </c>
      <c r="E213" s="8">
        <v>48</v>
      </c>
    </row>
    <row r="214" spans="1:5" x14ac:dyDescent="0.3">
      <c r="A214" s="13">
        <v>37594</v>
      </c>
      <c r="B214" s="8">
        <v>216</v>
      </c>
      <c r="C214" s="8">
        <f t="shared" si="4"/>
        <v>223.5</v>
      </c>
      <c r="D214" s="8">
        <f t="shared" si="3"/>
        <v>147.75</v>
      </c>
      <c r="E214" s="8">
        <v>49</v>
      </c>
    </row>
    <row r="215" spans="1:5" x14ac:dyDescent="0.3">
      <c r="A215" s="13">
        <v>37601</v>
      </c>
      <c r="B215" s="8">
        <v>228</v>
      </c>
      <c r="C215" s="8">
        <f t="shared" si="4"/>
        <v>224.75</v>
      </c>
      <c r="D215" s="8">
        <f t="shared" si="3"/>
        <v>158.41666666666666</v>
      </c>
      <c r="E215" s="8">
        <v>50</v>
      </c>
    </row>
    <row r="216" spans="1:5" x14ac:dyDescent="0.3">
      <c r="A216" s="13">
        <v>37608</v>
      </c>
      <c r="B216" s="8">
        <v>173</v>
      </c>
      <c r="C216" s="8">
        <f t="shared" si="4"/>
        <v>214.5</v>
      </c>
      <c r="D216" s="8">
        <f t="shared" si="3"/>
        <v>174.16666666666666</v>
      </c>
      <c r="E216" s="8">
        <v>51</v>
      </c>
    </row>
    <row r="217" spans="1:5" x14ac:dyDescent="0.3">
      <c r="A217" s="13">
        <v>37615</v>
      </c>
      <c r="B217" s="8">
        <v>166</v>
      </c>
      <c r="C217" s="8">
        <f t="shared" si="4"/>
        <v>195.75</v>
      </c>
      <c r="D217" s="8">
        <f t="shared" si="3"/>
        <v>190.66666666666666</v>
      </c>
      <c r="E217" s="8">
        <v>52</v>
      </c>
    </row>
    <row r="218" spans="1:5" x14ac:dyDescent="0.3">
      <c r="A218" s="13">
        <v>37622</v>
      </c>
      <c r="B218" s="8">
        <v>160</v>
      </c>
      <c r="C218" s="8">
        <f t="shared" si="4"/>
        <v>181.75</v>
      </c>
      <c r="D218" s="8">
        <f t="shared" ref="D218:D270" si="5">(C62+C114+C166)/3</f>
        <v>200.16666666666666</v>
      </c>
      <c r="E218" s="8">
        <v>1</v>
      </c>
    </row>
    <row r="219" spans="1:5" x14ac:dyDescent="0.3">
      <c r="A219" s="13">
        <v>37629</v>
      </c>
      <c r="B219" s="8">
        <v>160</v>
      </c>
      <c r="C219" s="8">
        <f t="shared" si="4"/>
        <v>164.75</v>
      </c>
      <c r="D219" s="8">
        <f t="shared" si="5"/>
        <v>203.75</v>
      </c>
      <c r="E219" s="8">
        <v>2</v>
      </c>
    </row>
    <row r="220" spans="1:5" x14ac:dyDescent="0.3">
      <c r="A220" s="13">
        <v>37636</v>
      </c>
      <c r="B220" s="8">
        <v>237</v>
      </c>
      <c r="C220" s="8">
        <f t="shared" si="4"/>
        <v>180.75</v>
      </c>
      <c r="D220" s="8">
        <f t="shared" si="5"/>
        <v>203</v>
      </c>
      <c r="E220" s="8">
        <v>3</v>
      </c>
    </row>
    <row r="221" spans="1:5" x14ac:dyDescent="0.3">
      <c r="A221" s="13">
        <v>37643</v>
      </c>
      <c r="B221" s="8">
        <v>239</v>
      </c>
      <c r="C221" s="8">
        <f t="shared" si="4"/>
        <v>199</v>
      </c>
      <c r="D221" s="8">
        <f t="shared" si="5"/>
        <v>206.58333333333334</v>
      </c>
      <c r="E221" s="8">
        <v>4</v>
      </c>
    </row>
    <row r="222" spans="1:5" x14ac:dyDescent="0.3">
      <c r="A222" s="13">
        <v>37650</v>
      </c>
      <c r="B222" s="8">
        <v>223</v>
      </c>
      <c r="C222" s="8">
        <f t="shared" si="4"/>
        <v>214.75</v>
      </c>
      <c r="D222" s="8">
        <f t="shared" si="5"/>
        <v>203.41666666666666</v>
      </c>
      <c r="E222" s="8">
        <v>5</v>
      </c>
    </row>
    <row r="223" spans="1:5" x14ac:dyDescent="0.3">
      <c r="A223" s="13">
        <v>37657</v>
      </c>
      <c r="B223" s="8">
        <v>205</v>
      </c>
      <c r="C223" s="8">
        <f t="shared" si="4"/>
        <v>226</v>
      </c>
      <c r="D223" s="8">
        <f t="shared" si="5"/>
        <v>197.41666666666666</v>
      </c>
      <c r="E223" s="8">
        <v>6</v>
      </c>
    </row>
    <row r="224" spans="1:5" x14ac:dyDescent="0.3">
      <c r="A224" s="13">
        <v>37664</v>
      </c>
      <c r="B224" s="8">
        <v>178</v>
      </c>
      <c r="C224" s="8">
        <f t="shared" si="4"/>
        <v>211.25</v>
      </c>
      <c r="D224" s="8">
        <f t="shared" si="5"/>
        <v>190.41666666666666</v>
      </c>
      <c r="E224" s="8">
        <v>7</v>
      </c>
    </row>
    <row r="225" spans="1:5" x14ac:dyDescent="0.3">
      <c r="A225" s="13">
        <v>37671</v>
      </c>
      <c r="B225" s="8">
        <v>165</v>
      </c>
      <c r="C225" s="8">
        <f t="shared" si="4"/>
        <v>192.75</v>
      </c>
      <c r="D225" s="8">
        <f t="shared" si="5"/>
        <v>174.58333333333334</v>
      </c>
      <c r="E225" s="8">
        <v>8</v>
      </c>
    </row>
    <row r="226" spans="1:5" x14ac:dyDescent="0.3">
      <c r="A226" s="13">
        <v>37678</v>
      </c>
      <c r="B226" s="8">
        <v>168</v>
      </c>
      <c r="C226" s="8">
        <f t="shared" si="4"/>
        <v>179</v>
      </c>
      <c r="D226" s="8">
        <f t="shared" si="5"/>
        <v>168.25</v>
      </c>
      <c r="E226" s="8">
        <v>9</v>
      </c>
    </row>
    <row r="227" spans="1:5" x14ac:dyDescent="0.3">
      <c r="A227" s="13">
        <v>37685</v>
      </c>
      <c r="B227" s="8">
        <v>182</v>
      </c>
      <c r="C227" s="8">
        <f t="shared" si="4"/>
        <v>173.25</v>
      </c>
      <c r="D227" s="8">
        <f t="shared" si="5"/>
        <v>168.66666666666666</v>
      </c>
      <c r="E227" s="8">
        <v>10</v>
      </c>
    </row>
    <row r="228" spans="1:5" x14ac:dyDescent="0.3">
      <c r="A228" s="13">
        <v>37692</v>
      </c>
      <c r="B228" s="8">
        <v>189</v>
      </c>
      <c r="C228" s="8">
        <f t="shared" si="4"/>
        <v>176</v>
      </c>
      <c r="D228" s="8">
        <f t="shared" si="5"/>
        <v>167.75</v>
      </c>
      <c r="E228" s="8">
        <v>11</v>
      </c>
    </row>
    <row r="229" spans="1:5" x14ac:dyDescent="0.3">
      <c r="A229" s="13">
        <v>37699</v>
      </c>
      <c r="B229" s="8">
        <v>175</v>
      </c>
      <c r="C229" s="8">
        <f t="shared" si="4"/>
        <v>178.5</v>
      </c>
      <c r="D229" s="8">
        <f t="shared" si="5"/>
        <v>169.5</v>
      </c>
      <c r="E229" s="8">
        <v>12</v>
      </c>
    </row>
    <row r="230" spans="1:5" x14ac:dyDescent="0.3">
      <c r="A230" s="13">
        <v>37706</v>
      </c>
      <c r="B230" s="8">
        <v>154</v>
      </c>
      <c r="C230" s="8">
        <f t="shared" si="4"/>
        <v>175</v>
      </c>
      <c r="D230" s="8">
        <f t="shared" si="5"/>
        <v>167.66666666666666</v>
      </c>
      <c r="E230" s="8">
        <v>13</v>
      </c>
    </row>
    <row r="231" spans="1:5" x14ac:dyDescent="0.3">
      <c r="A231" s="13">
        <v>37713</v>
      </c>
      <c r="B231" s="8">
        <v>145</v>
      </c>
      <c r="C231" s="8">
        <f t="shared" si="4"/>
        <v>165.75</v>
      </c>
      <c r="D231" s="8">
        <f t="shared" si="5"/>
        <v>161.16666666666666</v>
      </c>
      <c r="E231" s="8">
        <v>14</v>
      </c>
    </row>
    <row r="232" spans="1:5" x14ac:dyDescent="0.3">
      <c r="A232" s="13">
        <v>37720</v>
      </c>
      <c r="B232" s="8">
        <v>143</v>
      </c>
      <c r="C232" s="8">
        <f t="shared" si="4"/>
        <v>154.25</v>
      </c>
      <c r="D232" s="8">
        <f t="shared" si="5"/>
        <v>153.41666666666666</v>
      </c>
      <c r="E232" s="8">
        <v>15</v>
      </c>
    </row>
    <row r="233" spans="1:5" x14ac:dyDescent="0.3">
      <c r="A233" s="13">
        <v>37727</v>
      </c>
      <c r="B233" s="8">
        <v>138</v>
      </c>
      <c r="C233" s="8">
        <f t="shared" si="4"/>
        <v>145</v>
      </c>
      <c r="D233" s="8">
        <f t="shared" si="5"/>
        <v>145.16666666666666</v>
      </c>
      <c r="E233" s="8">
        <v>16</v>
      </c>
    </row>
    <row r="234" spans="1:5" x14ac:dyDescent="0.3">
      <c r="A234" s="13">
        <v>37734</v>
      </c>
      <c r="B234" s="8">
        <v>129</v>
      </c>
      <c r="C234" s="8">
        <f t="shared" si="4"/>
        <v>138.75</v>
      </c>
      <c r="D234" s="8">
        <f t="shared" si="5"/>
        <v>138</v>
      </c>
      <c r="E234" s="8">
        <v>17</v>
      </c>
    </row>
    <row r="235" spans="1:5" x14ac:dyDescent="0.3">
      <c r="A235" s="13">
        <v>37741</v>
      </c>
      <c r="B235" s="8">
        <v>126</v>
      </c>
      <c r="C235" s="8">
        <f t="shared" si="4"/>
        <v>134</v>
      </c>
      <c r="D235" s="8">
        <f t="shared" si="5"/>
        <v>134.16666666666666</v>
      </c>
      <c r="E235" s="8">
        <v>18</v>
      </c>
    </row>
    <row r="236" spans="1:5" x14ac:dyDescent="0.3">
      <c r="A236" s="13">
        <v>37748</v>
      </c>
      <c r="B236" s="8">
        <v>128</v>
      </c>
      <c r="C236" s="8">
        <f t="shared" si="4"/>
        <v>130.25</v>
      </c>
      <c r="D236" s="8">
        <f t="shared" si="5"/>
        <v>132.33333333333334</v>
      </c>
      <c r="E236" s="8">
        <v>19</v>
      </c>
    </row>
    <row r="237" spans="1:5" x14ac:dyDescent="0.3">
      <c r="A237" s="13">
        <v>37755</v>
      </c>
      <c r="B237" s="8">
        <v>148</v>
      </c>
      <c r="C237" s="8">
        <f t="shared" si="4"/>
        <v>132.75</v>
      </c>
      <c r="D237" s="8">
        <f t="shared" si="5"/>
        <v>133.33333333333334</v>
      </c>
      <c r="E237" s="8">
        <v>20</v>
      </c>
    </row>
    <row r="238" spans="1:5" x14ac:dyDescent="0.3">
      <c r="A238" s="13">
        <v>37762</v>
      </c>
      <c r="B238" s="8">
        <v>141</v>
      </c>
      <c r="C238" s="8">
        <f t="shared" si="4"/>
        <v>135.75</v>
      </c>
      <c r="D238" s="8">
        <f t="shared" si="5"/>
        <v>137</v>
      </c>
      <c r="E238" s="8">
        <v>21</v>
      </c>
    </row>
    <row r="239" spans="1:5" x14ac:dyDescent="0.3">
      <c r="A239" s="13">
        <v>37769</v>
      </c>
      <c r="B239" s="8">
        <v>135</v>
      </c>
      <c r="C239" s="8">
        <f t="shared" si="4"/>
        <v>138</v>
      </c>
      <c r="D239" s="8">
        <f t="shared" si="5"/>
        <v>138.41666666666666</v>
      </c>
      <c r="E239" s="8">
        <v>22</v>
      </c>
    </row>
    <row r="240" spans="1:5" x14ac:dyDescent="0.3">
      <c r="A240" s="13">
        <v>37776</v>
      </c>
      <c r="B240" s="8">
        <v>133</v>
      </c>
      <c r="C240" s="8">
        <f t="shared" si="4"/>
        <v>139.25</v>
      </c>
      <c r="D240" s="8">
        <f t="shared" si="5"/>
        <v>139.75</v>
      </c>
      <c r="E240" s="8">
        <v>23</v>
      </c>
    </row>
    <row r="241" spans="1:5" x14ac:dyDescent="0.3">
      <c r="A241" s="13">
        <v>37783</v>
      </c>
      <c r="B241" s="8">
        <v>140</v>
      </c>
      <c r="C241" s="8">
        <f t="shared" si="4"/>
        <v>137.25</v>
      </c>
      <c r="D241" s="8">
        <f t="shared" si="5"/>
        <v>142.33333333333334</v>
      </c>
      <c r="E241" s="8">
        <v>24</v>
      </c>
    </row>
    <row r="242" spans="1:5" x14ac:dyDescent="0.3">
      <c r="A242" s="13">
        <v>37790</v>
      </c>
      <c r="B242" s="8">
        <v>150</v>
      </c>
      <c r="C242" s="8">
        <f t="shared" si="4"/>
        <v>139.5</v>
      </c>
      <c r="D242" s="8">
        <f t="shared" si="5"/>
        <v>143.16666666666666</v>
      </c>
      <c r="E242" s="8">
        <v>25</v>
      </c>
    </row>
    <row r="243" spans="1:5" x14ac:dyDescent="0.3">
      <c r="A243" s="13">
        <v>37797</v>
      </c>
      <c r="B243" s="8">
        <v>157</v>
      </c>
      <c r="C243" s="8">
        <f t="shared" si="4"/>
        <v>145</v>
      </c>
      <c r="D243" s="8">
        <f t="shared" si="5"/>
        <v>150.33333333333334</v>
      </c>
      <c r="E243" s="8">
        <v>26</v>
      </c>
    </row>
    <row r="244" spans="1:5" x14ac:dyDescent="0.3">
      <c r="A244" s="13">
        <v>37804</v>
      </c>
      <c r="B244" s="8">
        <v>160</v>
      </c>
      <c r="C244" s="8">
        <f t="shared" si="4"/>
        <v>151.75</v>
      </c>
      <c r="D244" s="8">
        <f t="shared" si="5"/>
        <v>157.58333333333334</v>
      </c>
      <c r="E244" s="8">
        <v>27</v>
      </c>
    </row>
    <row r="245" spans="1:5" x14ac:dyDescent="0.3">
      <c r="A245" s="13">
        <v>37811</v>
      </c>
      <c r="B245" s="8">
        <v>155</v>
      </c>
      <c r="C245" s="8">
        <f t="shared" si="4"/>
        <v>155.5</v>
      </c>
      <c r="D245" s="8">
        <f t="shared" si="5"/>
        <v>161.25</v>
      </c>
      <c r="E245" s="8">
        <v>28</v>
      </c>
    </row>
    <row r="246" spans="1:5" x14ac:dyDescent="0.3">
      <c r="A246" s="13">
        <v>37818</v>
      </c>
      <c r="B246" s="8">
        <v>154</v>
      </c>
      <c r="C246" s="8">
        <f t="shared" si="4"/>
        <v>156.5</v>
      </c>
      <c r="D246" s="8">
        <f t="shared" si="5"/>
        <v>166.41666666666666</v>
      </c>
      <c r="E246" s="8">
        <v>29</v>
      </c>
    </row>
    <row r="247" spans="1:5" x14ac:dyDescent="0.3">
      <c r="A247" s="13">
        <v>37825</v>
      </c>
      <c r="B247" s="8">
        <v>148</v>
      </c>
      <c r="C247" s="8">
        <f t="shared" si="4"/>
        <v>154.25</v>
      </c>
      <c r="D247" s="8">
        <f t="shared" si="5"/>
        <v>167.91666666666666</v>
      </c>
      <c r="E247" s="8">
        <v>30</v>
      </c>
    </row>
    <row r="248" spans="1:5" x14ac:dyDescent="0.3">
      <c r="A248" s="13">
        <v>37832</v>
      </c>
      <c r="B248" s="8">
        <v>151</v>
      </c>
      <c r="C248" s="8">
        <f t="shared" si="4"/>
        <v>152</v>
      </c>
      <c r="D248" s="8">
        <f t="shared" si="5"/>
        <v>166.33333333333334</v>
      </c>
      <c r="E248" s="8">
        <v>31</v>
      </c>
    </row>
    <row r="249" spans="1:5" x14ac:dyDescent="0.3">
      <c r="A249" s="13">
        <v>37839</v>
      </c>
      <c r="B249" s="8">
        <v>151</v>
      </c>
      <c r="C249" s="8">
        <f t="shared" si="4"/>
        <v>151</v>
      </c>
      <c r="D249" s="8">
        <f t="shared" si="5"/>
        <v>163</v>
      </c>
      <c r="E249" s="8">
        <v>32</v>
      </c>
    </row>
    <row r="250" spans="1:5" x14ac:dyDescent="0.3">
      <c r="A250" s="13">
        <v>37846</v>
      </c>
      <c r="B250" s="8">
        <v>160</v>
      </c>
      <c r="C250" s="8">
        <f t="shared" si="4"/>
        <v>152.5</v>
      </c>
      <c r="D250" s="8">
        <f t="shared" si="5"/>
        <v>159.66666666666666</v>
      </c>
      <c r="E250" s="8">
        <v>33</v>
      </c>
    </row>
    <row r="251" spans="1:5" x14ac:dyDescent="0.3">
      <c r="A251" s="13">
        <v>37853</v>
      </c>
      <c r="B251" s="8">
        <v>170</v>
      </c>
      <c r="C251" s="8">
        <f t="shared" si="4"/>
        <v>158</v>
      </c>
      <c r="D251" s="8">
        <f t="shared" si="5"/>
        <v>159.16666666666666</v>
      </c>
      <c r="E251" s="8">
        <v>34</v>
      </c>
    </row>
    <row r="252" spans="1:5" x14ac:dyDescent="0.3">
      <c r="A252" s="13">
        <v>37860</v>
      </c>
      <c r="B252" s="8">
        <v>188</v>
      </c>
      <c r="C252" s="8">
        <f t="shared" si="4"/>
        <v>167.25</v>
      </c>
      <c r="D252" s="8">
        <f t="shared" si="5"/>
        <v>166.66666666666666</v>
      </c>
      <c r="E252" s="8">
        <v>35</v>
      </c>
    </row>
    <row r="253" spans="1:5" x14ac:dyDescent="0.3">
      <c r="A253" s="13">
        <v>37867</v>
      </c>
      <c r="B253" s="8">
        <v>190</v>
      </c>
      <c r="C253" s="8">
        <f t="shared" si="4"/>
        <v>177</v>
      </c>
      <c r="D253" s="8">
        <f t="shared" si="5"/>
        <v>178.66666666666666</v>
      </c>
      <c r="E253" s="8">
        <v>36</v>
      </c>
    </row>
    <row r="254" spans="1:5" x14ac:dyDescent="0.3">
      <c r="A254" s="13">
        <v>37874</v>
      </c>
      <c r="B254" s="8">
        <v>198</v>
      </c>
      <c r="C254" s="8">
        <f t="shared" si="4"/>
        <v>186.5</v>
      </c>
      <c r="D254" s="8">
        <f t="shared" si="5"/>
        <v>189.5</v>
      </c>
      <c r="E254" s="8">
        <v>37</v>
      </c>
    </row>
    <row r="255" spans="1:5" x14ac:dyDescent="0.3">
      <c r="A255" s="13">
        <v>37881</v>
      </c>
      <c r="B255" s="8">
        <v>248</v>
      </c>
      <c r="C255" s="8">
        <f t="shared" si="4"/>
        <v>206</v>
      </c>
      <c r="D255" s="8">
        <f t="shared" si="5"/>
        <v>200.83333333333334</v>
      </c>
      <c r="E255" s="8">
        <v>38</v>
      </c>
    </row>
    <row r="256" spans="1:5" x14ac:dyDescent="0.3">
      <c r="A256" s="13">
        <v>37888</v>
      </c>
      <c r="B256" s="8">
        <v>275</v>
      </c>
      <c r="C256" s="8">
        <f t="shared" si="4"/>
        <v>227.75</v>
      </c>
      <c r="D256" s="8">
        <f t="shared" si="5"/>
        <v>209.83333333333334</v>
      </c>
      <c r="E256" s="8">
        <v>39</v>
      </c>
    </row>
    <row r="257" spans="1:5" x14ac:dyDescent="0.3">
      <c r="A257" s="13">
        <v>37895</v>
      </c>
      <c r="B257" s="8">
        <v>303</v>
      </c>
      <c r="C257" s="8">
        <f t="shared" si="4"/>
        <v>256</v>
      </c>
      <c r="D257" s="8">
        <f t="shared" si="5"/>
        <v>212</v>
      </c>
      <c r="E257" s="8">
        <v>40</v>
      </c>
    </row>
    <row r="258" spans="1:5" x14ac:dyDescent="0.3">
      <c r="A258" s="13">
        <v>37902</v>
      </c>
      <c r="B258" s="8">
        <v>298</v>
      </c>
      <c r="C258" s="8">
        <f t="shared" si="4"/>
        <v>281</v>
      </c>
      <c r="D258" s="8">
        <f t="shared" si="5"/>
        <v>212.08333333333334</v>
      </c>
      <c r="E258" s="8">
        <v>41</v>
      </c>
    </row>
    <row r="259" spans="1:5" x14ac:dyDescent="0.3">
      <c r="A259" s="13">
        <v>37909</v>
      </c>
      <c r="B259" s="8">
        <v>268</v>
      </c>
      <c r="C259" s="8">
        <f t="shared" si="4"/>
        <v>286</v>
      </c>
      <c r="D259" s="8">
        <f t="shared" si="5"/>
        <v>206.25</v>
      </c>
      <c r="E259" s="8">
        <v>42</v>
      </c>
    </row>
    <row r="260" spans="1:5" x14ac:dyDescent="0.3">
      <c r="A260" s="13">
        <v>37916</v>
      </c>
      <c r="B260" s="8">
        <v>304</v>
      </c>
      <c r="C260" s="8">
        <f t="shared" si="4"/>
        <v>293.25</v>
      </c>
      <c r="D260" s="8">
        <f t="shared" si="5"/>
        <v>201.08333333333334</v>
      </c>
      <c r="E260" s="8">
        <v>43</v>
      </c>
    </row>
    <row r="261" spans="1:5" x14ac:dyDescent="0.3">
      <c r="A261" s="13">
        <v>37923</v>
      </c>
      <c r="B261" s="8">
        <v>352</v>
      </c>
      <c r="C261" s="8">
        <f t="shared" si="4"/>
        <v>305.5</v>
      </c>
      <c r="D261" s="8">
        <f t="shared" si="5"/>
        <v>201.41666666666666</v>
      </c>
      <c r="E261" s="8">
        <v>44</v>
      </c>
    </row>
    <row r="262" spans="1:5" x14ac:dyDescent="0.3">
      <c r="A262" s="13">
        <v>37930</v>
      </c>
      <c r="B262" s="8">
        <v>277</v>
      </c>
      <c r="C262" s="8">
        <f t="shared" si="4"/>
        <v>300.25</v>
      </c>
      <c r="D262" s="8">
        <f t="shared" si="5"/>
        <v>197.16666666666666</v>
      </c>
      <c r="E262" s="8">
        <v>45</v>
      </c>
    </row>
    <row r="263" spans="1:5" x14ac:dyDescent="0.3">
      <c r="A263" s="13">
        <v>37937</v>
      </c>
      <c r="B263" s="7">
        <v>214</v>
      </c>
      <c r="C263" s="8">
        <f t="shared" si="4"/>
        <v>286.75</v>
      </c>
      <c r="D263" s="8">
        <f t="shared" si="5"/>
        <v>189.91666666666666</v>
      </c>
      <c r="E263" s="8">
        <v>46</v>
      </c>
    </row>
    <row r="264" spans="1:5" x14ac:dyDescent="0.3">
      <c r="A264" s="13">
        <v>37944</v>
      </c>
      <c r="B264" s="7">
        <v>193</v>
      </c>
      <c r="C264" s="8">
        <f t="shared" si="4"/>
        <v>259</v>
      </c>
      <c r="D264" s="8">
        <f t="shared" si="5"/>
        <v>181.08333333333334</v>
      </c>
      <c r="E264" s="8">
        <v>47</v>
      </c>
    </row>
    <row r="265" spans="1:5" x14ac:dyDescent="0.3">
      <c r="A265" s="13">
        <v>37951</v>
      </c>
      <c r="B265" s="7">
        <v>188</v>
      </c>
      <c r="C265" s="8">
        <f t="shared" ref="C265:C292" si="6">AVERAGE(B262:B265)</f>
        <v>218</v>
      </c>
      <c r="D265" s="8">
        <f t="shared" si="5"/>
        <v>173.25</v>
      </c>
      <c r="E265" s="8">
        <v>48</v>
      </c>
    </row>
    <row r="266" spans="1:5" x14ac:dyDescent="0.3">
      <c r="A266" s="13">
        <v>37958</v>
      </c>
      <c r="B266" s="7">
        <v>200</v>
      </c>
      <c r="C266" s="8">
        <f t="shared" si="6"/>
        <v>198.75</v>
      </c>
      <c r="D266" s="8">
        <f t="shared" si="5"/>
        <v>173.91666666666666</v>
      </c>
      <c r="E266" s="8">
        <v>49</v>
      </c>
    </row>
    <row r="267" spans="1:5" x14ac:dyDescent="0.3">
      <c r="A267" s="13">
        <v>37965</v>
      </c>
      <c r="B267" s="8">
        <v>218</v>
      </c>
      <c r="C267" s="8">
        <f t="shared" si="6"/>
        <v>199.75</v>
      </c>
      <c r="D267" s="8">
        <f t="shared" si="5"/>
        <v>183.83333333333334</v>
      </c>
      <c r="E267" s="8">
        <v>50</v>
      </c>
    </row>
    <row r="268" spans="1:5" x14ac:dyDescent="0.3">
      <c r="A268" s="13">
        <v>37972</v>
      </c>
      <c r="B268" s="8">
        <v>214</v>
      </c>
      <c r="C268" s="8">
        <f t="shared" si="6"/>
        <v>205</v>
      </c>
      <c r="D268" s="8">
        <f t="shared" si="5"/>
        <v>190.16666666666666</v>
      </c>
      <c r="E268" s="8">
        <v>51</v>
      </c>
    </row>
    <row r="269" spans="1:5" x14ac:dyDescent="0.3">
      <c r="A269" s="13">
        <v>37979</v>
      </c>
      <c r="B269" s="8">
        <v>215</v>
      </c>
      <c r="C269" s="8">
        <f t="shared" si="6"/>
        <v>211.75</v>
      </c>
      <c r="D269" s="8">
        <f t="shared" si="5"/>
        <v>197.5</v>
      </c>
      <c r="E269" s="8">
        <v>52</v>
      </c>
    </row>
    <row r="270" spans="1:5" x14ac:dyDescent="0.3">
      <c r="A270" s="13">
        <v>37986</v>
      </c>
      <c r="B270" s="8">
        <v>201</v>
      </c>
      <c r="C270" s="8">
        <f t="shared" si="6"/>
        <v>212</v>
      </c>
      <c r="D270" s="8">
        <f t="shared" si="5"/>
        <v>201.75</v>
      </c>
      <c r="E270" s="8">
        <v>53</v>
      </c>
    </row>
    <row r="271" spans="1:5" x14ac:dyDescent="0.3">
      <c r="A271" s="13">
        <v>37993</v>
      </c>
      <c r="B271" s="8">
        <f>TWK!D4</f>
        <v>200</v>
      </c>
      <c r="C271" s="8">
        <f t="shared" si="6"/>
        <v>207.5</v>
      </c>
      <c r="D271" s="8">
        <f t="shared" ref="D271:D337" si="7">(C114+C166+C218)/3</f>
        <v>201.75</v>
      </c>
      <c r="E271" s="8">
        <v>1</v>
      </c>
    </row>
    <row r="272" spans="1:5" x14ac:dyDescent="0.3">
      <c r="A272" s="13">
        <v>38000</v>
      </c>
      <c r="B272" s="8">
        <f>TWK!D5</f>
        <v>200</v>
      </c>
      <c r="C272" s="8">
        <f t="shared" si="6"/>
        <v>204</v>
      </c>
      <c r="D272" s="8">
        <f t="shared" si="7"/>
        <v>197.91666666666666</v>
      </c>
      <c r="E272" s="8">
        <v>2</v>
      </c>
    </row>
    <row r="273" spans="1:5" x14ac:dyDescent="0.3">
      <c r="A273" s="13">
        <v>38007</v>
      </c>
      <c r="B273" s="8">
        <f>TWK!D6</f>
        <v>194</v>
      </c>
      <c r="C273" s="8">
        <f t="shared" si="6"/>
        <v>198.75</v>
      </c>
      <c r="D273" s="8">
        <f t="shared" si="7"/>
        <v>203.5</v>
      </c>
      <c r="E273" s="8">
        <v>3</v>
      </c>
    </row>
    <row r="274" spans="1:5" x14ac:dyDescent="0.3">
      <c r="A274" s="13">
        <v>38014</v>
      </c>
      <c r="B274" s="8">
        <f>TWK!D7</f>
        <v>208</v>
      </c>
      <c r="C274" s="8">
        <f t="shared" si="6"/>
        <v>200.5</v>
      </c>
      <c r="D274" s="8">
        <f t="shared" si="7"/>
        <v>204.83333333333334</v>
      </c>
      <c r="E274" s="8">
        <v>4</v>
      </c>
    </row>
    <row r="275" spans="1:5" x14ac:dyDescent="0.3">
      <c r="A275" s="13">
        <v>38021</v>
      </c>
      <c r="B275" s="8">
        <f>TWK!D8</f>
        <v>214</v>
      </c>
      <c r="C275" s="8">
        <f t="shared" si="6"/>
        <v>204</v>
      </c>
      <c r="D275" s="8">
        <f t="shared" si="7"/>
        <v>202.41666666666666</v>
      </c>
      <c r="E275" s="8">
        <v>5</v>
      </c>
    </row>
    <row r="276" spans="1:5" x14ac:dyDescent="0.3">
      <c r="A276" s="13">
        <v>38028</v>
      </c>
      <c r="B276" s="8">
        <f>TWK!D9</f>
        <v>183</v>
      </c>
      <c r="C276" s="8">
        <f t="shared" si="6"/>
        <v>199.75</v>
      </c>
      <c r="D276" s="8">
        <f t="shared" si="7"/>
        <v>202.08333333333334</v>
      </c>
      <c r="E276" s="8">
        <v>6</v>
      </c>
    </row>
    <row r="277" spans="1:5" x14ac:dyDescent="0.3">
      <c r="A277" s="13">
        <v>38035</v>
      </c>
      <c r="B277" s="8">
        <f>TWK!D10</f>
        <v>181</v>
      </c>
      <c r="C277" s="8">
        <f t="shared" si="6"/>
        <v>196.5</v>
      </c>
      <c r="D277" s="8">
        <f t="shared" si="7"/>
        <v>190.33333333333334</v>
      </c>
      <c r="E277" s="8">
        <v>7</v>
      </c>
    </row>
    <row r="278" spans="1:5" x14ac:dyDescent="0.3">
      <c r="A278" s="13">
        <v>38042</v>
      </c>
      <c r="B278" s="8">
        <f>TWK!D11</f>
        <v>161</v>
      </c>
      <c r="C278" s="8">
        <f t="shared" si="6"/>
        <v>184.75</v>
      </c>
      <c r="D278" s="8">
        <f t="shared" si="7"/>
        <v>177.08333333333334</v>
      </c>
      <c r="E278" s="8">
        <v>8</v>
      </c>
    </row>
    <row r="279" spans="1:5" x14ac:dyDescent="0.3">
      <c r="A279" s="13">
        <v>38049</v>
      </c>
      <c r="B279" s="8">
        <f>TWK!D12</f>
        <v>160</v>
      </c>
      <c r="C279" s="8">
        <f t="shared" si="6"/>
        <v>171.25</v>
      </c>
      <c r="D279" s="8">
        <f t="shared" si="7"/>
        <v>170.58333333333334</v>
      </c>
      <c r="E279" s="8">
        <v>9</v>
      </c>
    </row>
    <row r="280" spans="1:5" x14ac:dyDescent="0.3">
      <c r="A280" s="13">
        <v>38056</v>
      </c>
      <c r="B280" s="8">
        <f>TWK!D13</f>
        <v>149</v>
      </c>
      <c r="C280" s="8">
        <f t="shared" si="6"/>
        <v>162.75</v>
      </c>
      <c r="D280" s="8">
        <f t="shared" si="7"/>
        <v>167.25</v>
      </c>
      <c r="E280" s="8">
        <v>10</v>
      </c>
    </row>
    <row r="281" spans="1:5" x14ac:dyDescent="0.3">
      <c r="A281" s="13">
        <v>38063</v>
      </c>
      <c r="B281" s="8">
        <f>TWK!D14</f>
        <v>151</v>
      </c>
      <c r="C281" s="8">
        <f t="shared" si="6"/>
        <v>155.25</v>
      </c>
      <c r="D281" s="8">
        <f t="shared" si="7"/>
        <v>168.16666666666666</v>
      </c>
      <c r="E281" s="8">
        <v>11</v>
      </c>
    </row>
    <row r="282" spans="1:5" x14ac:dyDescent="0.3">
      <c r="A282" s="13">
        <v>38070</v>
      </c>
      <c r="B282" s="8">
        <f>TWK!D15</f>
        <v>143</v>
      </c>
      <c r="C282" s="8">
        <f t="shared" si="6"/>
        <v>150.75</v>
      </c>
      <c r="D282" s="8">
        <f t="shared" si="7"/>
        <v>171.25</v>
      </c>
      <c r="E282" s="8">
        <v>12</v>
      </c>
    </row>
    <row r="283" spans="1:5" x14ac:dyDescent="0.3">
      <c r="A283" s="13">
        <v>38077</v>
      </c>
      <c r="B283" s="8">
        <f>TWK!D16</f>
        <v>151</v>
      </c>
      <c r="C283" s="8">
        <f t="shared" si="6"/>
        <v>148.5</v>
      </c>
      <c r="D283" s="8">
        <f t="shared" si="7"/>
        <v>170.33333333333334</v>
      </c>
      <c r="E283" s="8">
        <v>13</v>
      </c>
    </row>
    <row r="284" spans="1:5" x14ac:dyDescent="0.3">
      <c r="A284" s="13">
        <v>38084</v>
      </c>
      <c r="B284" s="8">
        <f>TWK!D17</f>
        <v>147</v>
      </c>
      <c r="C284" s="8">
        <f t="shared" si="6"/>
        <v>148</v>
      </c>
      <c r="D284" s="8">
        <f t="shared" si="7"/>
        <v>164.33333333333334</v>
      </c>
      <c r="E284" s="8">
        <v>14</v>
      </c>
    </row>
    <row r="285" spans="1:5" x14ac:dyDescent="0.3">
      <c r="A285" s="13">
        <v>38091</v>
      </c>
      <c r="B285" s="8">
        <f>TWK!D18</f>
        <v>146</v>
      </c>
      <c r="C285" s="8">
        <f t="shared" si="6"/>
        <v>146.75</v>
      </c>
      <c r="D285" s="8">
        <f t="shared" si="7"/>
        <v>156.33333333333334</v>
      </c>
      <c r="E285" s="8">
        <v>15</v>
      </c>
    </row>
    <row r="286" spans="1:5" x14ac:dyDescent="0.3">
      <c r="A286" s="13">
        <v>38098</v>
      </c>
      <c r="B286" s="8">
        <f>TWK!D19</f>
        <v>140</v>
      </c>
      <c r="C286" s="8">
        <f t="shared" si="6"/>
        <v>146</v>
      </c>
      <c r="D286" s="8">
        <f t="shared" si="7"/>
        <v>147.58333333333334</v>
      </c>
      <c r="E286" s="8">
        <v>16</v>
      </c>
    </row>
    <row r="287" spans="1:5" x14ac:dyDescent="0.3">
      <c r="A287" s="13">
        <v>38105</v>
      </c>
      <c r="B287" s="8">
        <f>TWK!D20</f>
        <v>136</v>
      </c>
      <c r="C287" s="8">
        <f t="shared" si="6"/>
        <v>142.25</v>
      </c>
      <c r="D287" s="8">
        <f t="shared" si="7"/>
        <v>139.08333333333334</v>
      </c>
      <c r="E287" s="8">
        <v>17</v>
      </c>
    </row>
    <row r="288" spans="1:5" x14ac:dyDescent="0.3">
      <c r="A288" s="13">
        <v>38112</v>
      </c>
      <c r="B288" s="8">
        <f>TWK!D21</f>
        <v>136</v>
      </c>
      <c r="C288" s="8">
        <f t="shared" si="6"/>
        <v>139.5</v>
      </c>
      <c r="D288" s="8">
        <f t="shared" si="7"/>
        <v>134</v>
      </c>
      <c r="E288" s="8">
        <v>18</v>
      </c>
    </row>
    <row r="289" spans="1:5" x14ac:dyDescent="0.3">
      <c r="A289" s="13">
        <v>38119</v>
      </c>
      <c r="B289" s="8">
        <f>TWK!D22</f>
        <v>152</v>
      </c>
      <c r="C289" s="8">
        <f t="shared" si="6"/>
        <v>141</v>
      </c>
      <c r="D289" s="8">
        <f t="shared" si="7"/>
        <v>131.5</v>
      </c>
      <c r="E289" s="8">
        <v>19</v>
      </c>
    </row>
    <row r="290" spans="1:5" x14ac:dyDescent="0.3">
      <c r="A290" s="13">
        <v>38126</v>
      </c>
      <c r="B290" s="8">
        <v>169</v>
      </c>
      <c r="C290" s="8">
        <f t="shared" si="6"/>
        <v>148.25</v>
      </c>
      <c r="D290" s="8">
        <f t="shared" si="7"/>
        <v>134.41666666666666</v>
      </c>
      <c r="E290" s="8">
        <v>20</v>
      </c>
    </row>
    <row r="291" spans="1:5" x14ac:dyDescent="0.3">
      <c r="A291" s="13">
        <v>38133</v>
      </c>
      <c r="B291" s="8">
        <f>TWK!D24</f>
        <v>174</v>
      </c>
      <c r="C291" s="8">
        <f t="shared" si="6"/>
        <v>157.75</v>
      </c>
      <c r="D291" s="8">
        <f t="shared" si="7"/>
        <v>140.08333333333334</v>
      </c>
      <c r="E291" s="8">
        <v>21</v>
      </c>
    </row>
    <row r="292" spans="1:5" x14ac:dyDescent="0.3">
      <c r="A292" s="13">
        <v>38140</v>
      </c>
      <c r="B292" s="8">
        <f>TWK!D25</f>
        <v>169</v>
      </c>
      <c r="C292" s="8">
        <f t="shared" si="6"/>
        <v>166</v>
      </c>
      <c r="D292" s="8">
        <f t="shared" si="7"/>
        <v>143.66666666666666</v>
      </c>
      <c r="E292" s="8">
        <v>22</v>
      </c>
    </row>
    <row r="293" spans="1:5" x14ac:dyDescent="0.3">
      <c r="A293" s="13">
        <v>38147</v>
      </c>
      <c r="B293" s="8">
        <f>TWK!D26</f>
        <v>163</v>
      </c>
      <c r="C293" s="8">
        <f t="shared" ref="C293:C337" si="8">AVERAGE(B290:B293)</f>
        <v>168.75</v>
      </c>
      <c r="D293" s="8">
        <f t="shared" si="7"/>
        <v>146.41666666666666</v>
      </c>
      <c r="E293" s="8">
        <v>23</v>
      </c>
    </row>
    <row r="294" spans="1:5" x14ac:dyDescent="0.3">
      <c r="A294" s="13">
        <v>38154</v>
      </c>
      <c r="B294" s="8">
        <v>152</v>
      </c>
      <c r="C294" s="8">
        <f t="shared" si="8"/>
        <v>164.5</v>
      </c>
      <c r="D294" s="8">
        <f t="shared" si="7"/>
        <v>146.91666666666666</v>
      </c>
      <c r="E294" s="8">
        <v>24</v>
      </c>
    </row>
    <row r="295" spans="1:5" x14ac:dyDescent="0.3">
      <c r="A295" s="13">
        <v>38161</v>
      </c>
      <c r="B295" s="8">
        <v>150</v>
      </c>
      <c r="C295" s="8">
        <f t="shared" si="8"/>
        <v>158.5</v>
      </c>
      <c r="D295" s="8">
        <f t="shared" si="7"/>
        <v>146.83333333333334</v>
      </c>
      <c r="E295" s="8">
        <v>25</v>
      </c>
    </row>
    <row r="296" spans="1:5" x14ac:dyDescent="0.3">
      <c r="A296" s="13">
        <v>38168</v>
      </c>
      <c r="B296" s="8">
        <f>TWK!D29</f>
        <v>151</v>
      </c>
      <c r="C296" s="8">
        <f t="shared" si="8"/>
        <v>154</v>
      </c>
      <c r="D296" s="8">
        <f t="shared" si="7"/>
        <v>150.91666666666666</v>
      </c>
      <c r="E296" s="8">
        <v>26</v>
      </c>
    </row>
    <row r="297" spans="1:5" x14ac:dyDescent="0.3">
      <c r="A297" s="13">
        <v>38175</v>
      </c>
      <c r="B297" s="8">
        <f>TWK!D30</f>
        <v>151</v>
      </c>
      <c r="C297" s="8">
        <f t="shared" si="8"/>
        <v>151</v>
      </c>
      <c r="D297" s="8">
        <f t="shared" si="7"/>
        <v>155.16666666666666</v>
      </c>
      <c r="E297" s="8">
        <v>27</v>
      </c>
    </row>
    <row r="298" spans="1:5" x14ac:dyDescent="0.3">
      <c r="A298" s="13">
        <v>38182</v>
      </c>
      <c r="B298" s="8">
        <f>TWK!D31</f>
        <v>146</v>
      </c>
      <c r="C298" s="8">
        <f t="shared" si="8"/>
        <v>149.5</v>
      </c>
      <c r="D298" s="8">
        <f t="shared" si="7"/>
        <v>156.33333333333334</v>
      </c>
      <c r="E298" s="8">
        <v>28</v>
      </c>
    </row>
    <row r="299" spans="1:5" x14ac:dyDescent="0.3">
      <c r="A299" s="13">
        <v>38189</v>
      </c>
      <c r="B299" s="8">
        <f>TWK!D32</f>
        <v>153</v>
      </c>
      <c r="C299" s="8">
        <f t="shared" si="8"/>
        <v>150.25</v>
      </c>
      <c r="D299" s="8">
        <f t="shared" si="7"/>
        <v>157.41666666666666</v>
      </c>
      <c r="E299" s="8">
        <v>29</v>
      </c>
    </row>
    <row r="300" spans="1:5" x14ac:dyDescent="0.3">
      <c r="A300" s="13">
        <v>38196</v>
      </c>
      <c r="B300" s="8">
        <f>TWK!D33</f>
        <v>194</v>
      </c>
      <c r="C300" s="8">
        <f t="shared" si="8"/>
        <v>161</v>
      </c>
      <c r="D300" s="8">
        <f t="shared" si="7"/>
        <v>155.25</v>
      </c>
      <c r="E300" s="8">
        <v>30</v>
      </c>
    </row>
    <row r="301" spans="1:5" x14ac:dyDescent="0.3">
      <c r="A301" s="13">
        <v>38203</v>
      </c>
      <c r="B301" s="8">
        <f>TWK!D34</f>
        <v>210</v>
      </c>
      <c r="C301" s="8">
        <f t="shared" si="8"/>
        <v>175.75</v>
      </c>
      <c r="D301" s="8">
        <f>(C144+C196+C248)/3</f>
        <v>152.25</v>
      </c>
      <c r="E301" s="8">
        <v>31</v>
      </c>
    </row>
    <row r="302" spans="1:5" x14ac:dyDescent="0.3">
      <c r="A302" s="13">
        <v>38210</v>
      </c>
      <c r="B302" s="8">
        <f>TWK!D35</f>
        <v>220</v>
      </c>
      <c r="C302" s="8">
        <f t="shared" si="8"/>
        <v>194.25</v>
      </c>
      <c r="D302" s="8">
        <f t="shared" si="7"/>
        <v>149.66666666666666</v>
      </c>
      <c r="E302" s="8">
        <v>32</v>
      </c>
    </row>
    <row r="303" spans="1:5" x14ac:dyDescent="0.3">
      <c r="A303" s="13">
        <v>38217</v>
      </c>
      <c r="B303" s="8">
        <f>TWK!D36</f>
        <v>228</v>
      </c>
      <c r="C303" s="8">
        <f t="shared" si="8"/>
        <v>213</v>
      </c>
      <c r="D303" s="8">
        <f t="shared" si="7"/>
        <v>149.5</v>
      </c>
      <c r="E303" s="8">
        <v>33</v>
      </c>
    </row>
    <row r="304" spans="1:5" x14ac:dyDescent="0.3">
      <c r="A304" s="13">
        <v>38224</v>
      </c>
      <c r="B304" s="8">
        <f>TWK!D37</f>
        <v>224</v>
      </c>
      <c r="C304" s="8">
        <f t="shared" si="8"/>
        <v>220.5</v>
      </c>
      <c r="D304" s="8">
        <f t="shared" si="7"/>
        <v>151.41666666666666</v>
      </c>
      <c r="E304" s="8">
        <v>34</v>
      </c>
    </row>
    <row r="305" spans="1:5" x14ac:dyDescent="0.3">
      <c r="A305" s="13">
        <v>38231</v>
      </c>
      <c r="B305" s="8">
        <f>TWK!D38</f>
        <v>221</v>
      </c>
      <c r="C305" s="8">
        <f t="shared" si="8"/>
        <v>223.25</v>
      </c>
      <c r="D305" s="8">
        <f t="shared" si="7"/>
        <v>157.58333333333334</v>
      </c>
      <c r="E305" s="8">
        <v>35</v>
      </c>
    </row>
    <row r="306" spans="1:5" x14ac:dyDescent="0.3">
      <c r="A306" s="13">
        <v>38238</v>
      </c>
      <c r="B306" s="8">
        <f>TWK!D39</f>
        <v>228</v>
      </c>
      <c r="C306" s="8">
        <f t="shared" si="8"/>
        <v>225.25</v>
      </c>
      <c r="D306" s="8">
        <f t="shared" si="7"/>
        <v>166.25</v>
      </c>
      <c r="E306" s="8">
        <v>36</v>
      </c>
    </row>
    <row r="307" spans="1:5" x14ac:dyDescent="0.3">
      <c r="A307" s="13">
        <v>38245</v>
      </c>
      <c r="B307" s="8">
        <f>TWK!D40</f>
        <v>355</v>
      </c>
      <c r="C307" s="8">
        <f t="shared" si="8"/>
        <v>257</v>
      </c>
      <c r="D307" s="8">
        <f t="shared" si="7"/>
        <v>171.33333333333334</v>
      </c>
      <c r="E307" s="8">
        <v>37</v>
      </c>
    </row>
    <row r="308" spans="1:5" x14ac:dyDescent="0.3">
      <c r="A308" s="13">
        <v>38252</v>
      </c>
      <c r="B308" s="8">
        <f>TWK!D41</f>
        <v>383</v>
      </c>
      <c r="C308" s="8">
        <f t="shared" si="8"/>
        <v>296.75</v>
      </c>
      <c r="D308" s="8">
        <f t="shared" si="7"/>
        <v>179.66666666666666</v>
      </c>
      <c r="E308" s="8">
        <v>38</v>
      </c>
    </row>
    <row r="309" spans="1:5" x14ac:dyDescent="0.3">
      <c r="A309" s="13">
        <v>38259</v>
      </c>
      <c r="B309" s="8">
        <f>TWK!D42</f>
        <v>426</v>
      </c>
      <c r="C309" s="8">
        <f t="shared" si="8"/>
        <v>348</v>
      </c>
      <c r="D309" s="8">
        <f t="shared" si="7"/>
        <v>190.25</v>
      </c>
      <c r="E309" s="8">
        <v>39</v>
      </c>
    </row>
    <row r="310" spans="1:5" x14ac:dyDescent="0.3">
      <c r="A310" s="13">
        <v>38266</v>
      </c>
      <c r="B310" s="8">
        <f>TWK!D43</f>
        <v>419</v>
      </c>
      <c r="C310" s="8">
        <f t="shared" si="8"/>
        <v>395.75</v>
      </c>
      <c r="D310" s="8">
        <f t="shared" si="7"/>
        <v>203.66666666666666</v>
      </c>
      <c r="E310" s="8">
        <v>40</v>
      </c>
    </row>
    <row r="311" spans="1:5" x14ac:dyDescent="0.3">
      <c r="A311" s="13">
        <v>38273</v>
      </c>
      <c r="B311" s="8">
        <f>TWK!D44</f>
        <v>340</v>
      </c>
      <c r="C311" s="8">
        <f t="shared" si="8"/>
        <v>392</v>
      </c>
      <c r="D311" s="8">
        <f t="shared" si="7"/>
        <v>218.16666666666666</v>
      </c>
      <c r="E311" s="8">
        <v>41</v>
      </c>
    </row>
    <row r="312" spans="1:5" x14ac:dyDescent="0.3">
      <c r="A312" s="13">
        <v>38280</v>
      </c>
      <c r="B312" s="8">
        <f>TWK!D45</f>
        <v>333</v>
      </c>
      <c r="C312" s="8">
        <f t="shared" si="8"/>
        <v>379.5</v>
      </c>
      <c r="D312" s="8">
        <f t="shared" si="7"/>
        <v>226.16666666666666</v>
      </c>
      <c r="E312" s="8">
        <v>42</v>
      </c>
    </row>
    <row r="313" spans="1:5" x14ac:dyDescent="0.3">
      <c r="A313" s="13">
        <v>38287</v>
      </c>
      <c r="B313" s="8">
        <f>TWK!D46</f>
        <v>423</v>
      </c>
      <c r="C313" s="8">
        <f t="shared" si="8"/>
        <v>378.75</v>
      </c>
      <c r="D313" s="8">
        <f t="shared" si="7"/>
        <v>236.16666666666666</v>
      </c>
      <c r="E313" s="8">
        <v>43</v>
      </c>
    </row>
    <row r="314" spans="1:5" x14ac:dyDescent="0.3">
      <c r="A314" s="13">
        <v>38294</v>
      </c>
      <c r="B314" s="8">
        <f>TWK!D47</f>
        <v>369</v>
      </c>
      <c r="C314" s="8">
        <f t="shared" si="8"/>
        <v>366.25</v>
      </c>
      <c r="D314" s="8">
        <f t="shared" si="7"/>
        <v>246.33333333333334</v>
      </c>
      <c r="E314" s="8">
        <v>44</v>
      </c>
    </row>
    <row r="315" spans="1:5" x14ac:dyDescent="0.3">
      <c r="A315" s="13">
        <v>38301</v>
      </c>
      <c r="B315" s="8">
        <f>TWK!D48</f>
        <v>371</v>
      </c>
      <c r="C315" s="8">
        <f t="shared" si="8"/>
        <v>374</v>
      </c>
      <c r="D315" s="8">
        <f t="shared" si="7"/>
        <v>243.91666666666666</v>
      </c>
      <c r="E315" s="8">
        <v>45</v>
      </c>
    </row>
    <row r="316" spans="1:5" x14ac:dyDescent="0.3">
      <c r="A316" s="13">
        <v>38308</v>
      </c>
      <c r="B316" s="8">
        <f>TWK!D49</f>
        <v>298</v>
      </c>
      <c r="C316" s="8">
        <f t="shared" si="8"/>
        <v>365.25</v>
      </c>
      <c r="D316" s="8">
        <f t="shared" si="7"/>
        <v>235.66666666666666</v>
      </c>
      <c r="E316" s="8">
        <v>46</v>
      </c>
    </row>
    <row r="317" spans="1:5" x14ac:dyDescent="0.3">
      <c r="A317" s="13">
        <v>38315</v>
      </c>
      <c r="B317" s="8">
        <f>TWK!D50</f>
        <v>236</v>
      </c>
      <c r="C317" s="8">
        <f t="shared" si="8"/>
        <v>318.5</v>
      </c>
      <c r="D317" s="8">
        <f t="shared" si="7"/>
        <v>218.91666666666666</v>
      </c>
      <c r="E317" s="8">
        <v>47</v>
      </c>
    </row>
    <row r="318" spans="1:5" x14ac:dyDescent="0.3">
      <c r="A318" s="13">
        <v>38322</v>
      </c>
      <c r="B318" s="8">
        <f>TWK!D51</f>
        <v>240</v>
      </c>
      <c r="C318" s="8">
        <f t="shared" si="8"/>
        <v>286.25</v>
      </c>
      <c r="D318" s="8">
        <f>(C161+C213+C265)/3</f>
        <v>198.75</v>
      </c>
      <c r="E318" s="8">
        <v>48</v>
      </c>
    </row>
    <row r="319" spans="1:5" x14ac:dyDescent="0.3">
      <c r="A319" s="13">
        <v>38329</v>
      </c>
      <c r="B319" s="8">
        <f>TWK!D52</f>
        <v>245</v>
      </c>
      <c r="C319" s="8">
        <f>AVERAGE(B316:B319)</f>
        <v>254.75</v>
      </c>
      <c r="D319" s="8">
        <f t="shared" si="7"/>
        <v>191.08333333333334</v>
      </c>
      <c r="E319" s="8">
        <v>49</v>
      </c>
    </row>
    <row r="320" spans="1:5" x14ac:dyDescent="0.3">
      <c r="A320" s="13">
        <v>38336</v>
      </c>
      <c r="B320" s="8">
        <f>TWK!D53</f>
        <v>301</v>
      </c>
      <c r="C320" s="8">
        <f t="shared" si="8"/>
        <v>255.5</v>
      </c>
      <c r="D320" s="8">
        <f t="shared" si="7"/>
        <v>195.5</v>
      </c>
      <c r="E320" s="8">
        <v>50</v>
      </c>
    </row>
    <row r="321" spans="1:5" x14ac:dyDescent="0.3">
      <c r="A321" s="13">
        <v>38343</v>
      </c>
      <c r="B321" s="8">
        <f>TWK!D54</f>
        <v>346</v>
      </c>
      <c r="C321" s="8">
        <f t="shared" si="8"/>
        <v>283</v>
      </c>
      <c r="D321" s="8">
        <f t="shared" si="7"/>
        <v>195</v>
      </c>
      <c r="E321" s="8">
        <v>51</v>
      </c>
    </row>
    <row r="322" spans="1:5" x14ac:dyDescent="0.3">
      <c r="A322" s="13">
        <v>38350</v>
      </c>
      <c r="B322" s="8">
        <f>TWK!D55</f>
        <v>300</v>
      </c>
      <c r="C322" s="8">
        <f t="shared" si="8"/>
        <v>298</v>
      </c>
      <c r="D322" s="8">
        <f t="shared" si="7"/>
        <v>194.75</v>
      </c>
      <c r="E322" s="8">
        <v>52</v>
      </c>
    </row>
    <row r="323" spans="1:5" x14ac:dyDescent="0.3">
      <c r="A323" s="13">
        <v>38357</v>
      </c>
      <c r="B323" s="8">
        <f>TWK!D56</f>
        <v>261</v>
      </c>
      <c r="C323" s="8">
        <f t="shared" si="8"/>
        <v>302</v>
      </c>
      <c r="D323" s="8">
        <f t="shared" si="7"/>
        <v>192.58333333333334</v>
      </c>
      <c r="E323" s="8">
        <v>1</v>
      </c>
    </row>
    <row r="324" spans="1:5" x14ac:dyDescent="0.3">
      <c r="A324" s="13">
        <v>38364</v>
      </c>
      <c r="B324" s="8">
        <f>TWK!D57</f>
        <v>324</v>
      </c>
      <c r="C324" s="8">
        <f t="shared" si="8"/>
        <v>307.75</v>
      </c>
      <c r="D324" s="8">
        <f t="shared" si="7"/>
        <v>184.66666666666666</v>
      </c>
      <c r="E324" s="7">
        <v>2</v>
      </c>
    </row>
    <row r="325" spans="1:5" x14ac:dyDescent="0.3">
      <c r="A325" s="13">
        <v>38371</v>
      </c>
      <c r="B325" s="8">
        <f>TWK!D58</f>
        <v>361</v>
      </c>
      <c r="C325" s="8">
        <f t="shared" si="8"/>
        <v>311.5</v>
      </c>
      <c r="D325" s="8">
        <f t="shared" si="7"/>
        <v>189.33333333333334</v>
      </c>
      <c r="E325" s="7">
        <v>3</v>
      </c>
    </row>
    <row r="326" spans="1:5" x14ac:dyDescent="0.3">
      <c r="A326" s="13">
        <v>38378</v>
      </c>
      <c r="B326" s="8">
        <f>TWK!D59</f>
        <v>293</v>
      </c>
      <c r="C326" s="8">
        <f t="shared" si="8"/>
        <v>309.75</v>
      </c>
      <c r="D326" s="8">
        <f t="shared" si="7"/>
        <v>190.58333333333334</v>
      </c>
      <c r="E326" s="7">
        <v>4</v>
      </c>
    </row>
    <row r="327" spans="1:5" x14ac:dyDescent="0.3">
      <c r="A327" s="13">
        <v>38385</v>
      </c>
      <c r="B327" s="8">
        <f>TWK!D60</f>
        <v>263</v>
      </c>
      <c r="C327" s="8">
        <f t="shared" si="8"/>
        <v>310.25</v>
      </c>
      <c r="D327" s="8">
        <f t="shared" si="7"/>
        <v>193</v>
      </c>
      <c r="E327" s="7">
        <v>5</v>
      </c>
    </row>
    <row r="328" spans="1:5" x14ac:dyDescent="0.3">
      <c r="A328" s="13">
        <v>38392</v>
      </c>
      <c r="B328" s="8">
        <f>TWK!D61</f>
        <v>233</v>
      </c>
      <c r="C328" s="8">
        <f t="shared" si="8"/>
        <v>287.5</v>
      </c>
      <c r="D328" s="8">
        <f t="shared" si="7"/>
        <v>195.83333333333334</v>
      </c>
      <c r="E328" s="7">
        <v>6</v>
      </c>
    </row>
    <row r="329" spans="1:5" x14ac:dyDescent="0.3">
      <c r="A329" s="13">
        <v>38399</v>
      </c>
      <c r="B329" s="8">
        <f>TWK!D62</f>
        <v>278</v>
      </c>
      <c r="C329" s="8">
        <f t="shared" si="8"/>
        <v>266.75</v>
      </c>
      <c r="D329" s="8">
        <f t="shared" si="7"/>
        <v>187.16666666666666</v>
      </c>
      <c r="E329" s="7">
        <v>7</v>
      </c>
    </row>
    <row r="330" spans="1:5" x14ac:dyDescent="0.3">
      <c r="A330" s="13">
        <v>38406</v>
      </c>
      <c r="B330" s="8">
        <f>TWK!D63</f>
        <v>320</v>
      </c>
      <c r="C330" s="8">
        <f t="shared" si="8"/>
        <v>273.5</v>
      </c>
      <c r="D330" s="8">
        <f t="shared" si="7"/>
        <v>178.91666666666666</v>
      </c>
      <c r="E330" s="7">
        <v>8</v>
      </c>
    </row>
    <row r="331" spans="1:5" x14ac:dyDescent="0.3">
      <c r="A331" s="13">
        <v>38413</v>
      </c>
      <c r="B331" s="8">
        <f>TWK!D64</f>
        <v>369</v>
      </c>
      <c r="C331" s="8">
        <f t="shared" si="8"/>
        <v>300</v>
      </c>
      <c r="D331" s="8">
        <f t="shared" si="7"/>
        <v>169.41666666666666</v>
      </c>
      <c r="E331" s="7">
        <v>9</v>
      </c>
    </row>
    <row r="332" spans="1:5" x14ac:dyDescent="0.3">
      <c r="A332" s="13">
        <v>38420</v>
      </c>
      <c r="B332" s="8">
        <f>TWK!D65</f>
        <v>278</v>
      </c>
      <c r="C332" s="8">
        <f t="shared" si="8"/>
        <v>311.25</v>
      </c>
      <c r="D332" s="8">
        <f t="shared" si="7"/>
        <v>162.5</v>
      </c>
      <c r="E332" s="7">
        <v>10</v>
      </c>
    </row>
    <row r="333" spans="1:5" x14ac:dyDescent="0.3">
      <c r="A333" s="13">
        <v>38427</v>
      </c>
      <c r="B333" s="8">
        <f>TWK!D66</f>
        <v>344</v>
      </c>
      <c r="C333" s="8">
        <f t="shared" si="8"/>
        <v>327.75</v>
      </c>
      <c r="D333" s="8">
        <f t="shared" si="7"/>
        <v>159.66666666666666</v>
      </c>
      <c r="E333" s="7">
        <v>11</v>
      </c>
    </row>
    <row r="334" spans="1:5" x14ac:dyDescent="0.3">
      <c r="A334" s="13">
        <v>38434</v>
      </c>
      <c r="B334" s="8">
        <f>TWK!D67</f>
        <v>250</v>
      </c>
      <c r="C334" s="8">
        <f t="shared" si="8"/>
        <v>310.25</v>
      </c>
      <c r="D334" s="8">
        <f t="shared" si="7"/>
        <v>157</v>
      </c>
      <c r="E334" s="7">
        <v>12</v>
      </c>
    </row>
    <row r="335" spans="1:5" x14ac:dyDescent="0.3">
      <c r="A335" s="13">
        <v>38441</v>
      </c>
      <c r="B335" s="8">
        <f>TWK!D68</f>
        <v>231</v>
      </c>
      <c r="C335" s="8">
        <f t="shared" si="8"/>
        <v>275.75</v>
      </c>
      <c r="D335" s="8">
        <f t="shared" si="7"/>
        <v>153.33333333333334</v>
      </c>
      <c r="E335" s="7">
        <v>13</v>
      </c>
    </row>
    <row r="336" spans="1:5" x14ac:dyDescent="0.3">
      <c r="A336" s="13">
        <v>38448</v>
      </c>
      <c r="B336" s="8">
        <f>TWK!D69</f>
        <v>313</v>
      </c>
      <c r="C336" s="8">
        <f t="shared" si="8"/>
        <v>284.5</v>
      </c>
      <c r="D336" s="8">
        <f t="shared" si="7"/>
        <v>148.25</v>
      </c>
      <c r="E336" s="7">
        <v>14</v>
      </c>
    </row>
    <row r="337" spans="1:5" x14ac:dyDescent="0.3">
      <c r="A337" s="13">
        <v>38455</v>
      </c>
      <c r="B337" s="8">
        <f>TWK!D70</f>
        <v>241</v>
      </c>
      <c r="C337" s="8">
        <f t="shared" si="8"/>
        <v>258.75</v>
      </c>
      <c r="D337" s="8">
        <f t="shared" si="7"/>
        <v>143.16666666666666</v>
      </c>
      <c r="E337" s="7">
        <v>15</v>
      </c>
    </row>
    <row r="338" spans="1:5" x14ac:dyDescent="0.3">
      <c r="A338" s="13">
        <v>38462</v>
      </c>
      <c r="B338" s="8">
        <f>TWK!D71</f>
        <v>238</v>
      </c>
      <c r="C338" s="8">
        <f t="shared" ref="C338:C389" si="9">AVERAGE(B335:B338)</f>
        <v>255.75</v>
      </c>
      <c r="D338" s="8">
        <f t="shared" ref="D338:D388" si="10">(C181+C233+C285)/3</f>
        <v>138.41666666666666</v>
      </c>
      <c r="E338" s="7">
        <v>16</v>
      </c>
    </row>
    <row r="339" spans="1:5" x14ac:dyDescent="0.3">
      <c r="A339" s="13">
        <v>38469</v>
      </c>
      <c r="B339" s="8">
        <f>TWK!D72</f>
        <v>223</v>
      </c>
      <c r="C339" s="8">
        <f t="shared" si="9"/>
        <v>253.75</v>
      </c>
      <c r="D339" s="8">
        <f t="shared" si="10"/>
        <v>134.91666666666666</v>
      </c>
      <c r="E339" s="7">
        <v>17</v>
      </c>
    </row>
    <row r="340" spans="1:5" x14ac:dyDescent="0.3">
      <c r="A340" s="13">
        <v>38476</v>
      </c>
      <c r="B340" s="8">
        <f>TWK!D73</f>
        <v>245</v>
      </c>
      <c r="C340" s="8">
        <f t="shared" si="9"/>
        <v>236.75</v>
      </c>
      <c r="D340" s="8">
        <f t="shared" si="10"/>
        <v>131.75</v>
      </c>
      <c r="E340" s="7">
        <v>18</v>
      </c>
    </row>
    <row r="341" spans="1:5" x14ac:dyDescent="0.3">
      <c r="A341" s="13">
        <v>38483</v>
      </c>
      <c r="B341" s="8">
        <f>TWK!D74</f>
        <v>229</v>
      </c>
      <c r="C341" s="8">
        <f t="shared" si="9"/>
        <v>233.75</v>
      </c>
      <c r="D341" s="8">
        <f t="shared" si="10"/>
        <v>130.16666666666666</v>
      </c>
      <c r="E341" s="7">
        <v>19</v>
      </c>
    </row>
    <row r="342" spans="1:5" ht="13.5" customHeight="1" x14ac:dyDescent="0.3">
      <c r="A342" s="13">
        <v>38490</v>
      </c>
      <c r="B342" s="8">
        <f>TWK!D75</f>
        <v>249</v>
      </c>
      <c r="C342" s="8">
        <f t="shared" si="9"/>
        <v>236.5</v>
      </c>
      <c r="D342" s="8">
        <f t="shared" si="10"/>
        <v>133.75</v>
      </c>
      <c r="E342" s="7">
        <v>20</v>
      </c>
    </row>
    <row r="343" spans="1:5" x14ac:dyDescent="0.3">
      <c r="A343" s="13">
        <v>38497</v>
      </c>
      <c r="B343" s="8">
        <f>TWK!D76</f>
        <v>265</v>
      </c>
      <c r="C343" s="8">
        <f t="shared" si="9"/>
        <v>247</v>
      </c>
      <c r="D343" s="8">
        <f t="shared" si="10"/>
        <v>139.91666666666666</v>
      </c>
      <c r="E343" s="7">
        <v>21</v>
      </c>
    </row>
    <row r="344" spans="1:5" x14ac:dyDescent="0.3">
      <c r="A344" s="13">
        <v>38504</v>
      </c>
      <c r="B344" s="8">
        <f>TWK!D77</f>
        <v>253</v>
      </c>
      <c r="C344" s="8">
        <f t="shared" si="9"/>
        <v>249</v>
      </c>
      <c r="D344" s="8">
        <f t="shared" si="10"/>
        <v>144.66666666666666</v>
      </c>
      <c r="E344" s="7">
        <v>22</v>
      </c>
    </row>
    <row r="345" spans="1:5" x14ac:dyDescent="0.3">
      <c r="A345" s="13">
        <v>38511</v>
      </c>
      <c r="B345" s="8">
        <f>TWK!D78</f>
        <v>233</v>
      </c>
      <c r="C345" s="8">
        <f t="shared" si="9"/>
        <v>250</v>
      </c>
      <c r="D345" s="8">
        <f t="shared" si="10"/>
        <v>148.08333333333334</v>
      </c>
      <c r="E345" s="7">
        <v>23</v>
      </c>
    </row>
    <row r="346" spans="1:5" x14ac:dyDescent="0.3">
      <c r="A346" s="13">
        <v>38518</v>
      </c>
      <c r="B346" s="8">
        <f>TWK!D79</f>
        <v>221</v>
      </c>
      <c r="C346" s="8">
        <f t="shared" si="9"/>
        <v>243</v>
      </c>
      <c r="D346" s="8">
        <f t="shared" si="10"/>
        <v>147.08333333333334</v>
      </c>
      <c r="E346" s="7">
        <v>24</v>
      </c>
    </row>
    <row r="347" spans="1:5" x14ac:dyDescent="0.3">
      <c r="A347" s="13">
        <v>38525</v>
      </c>
      <c r="B347" s="8">
        <f>TWK!D80</f>
        <v>209</v>
      </c>
      <c r="C347" s="8">
        <f t="shared" si="9"/>
        <v>229</v>
      </c>
      <c r="D347" s="8">
        <f t="shared" si="10"/>
        <v>145.58333333333334</v>
      </c>
      <c r="E347" s="7">
        <v>25</v>
      </c>
    </row>
    <row r="348" spans="1:5" x14ac:dyDescent="0.3">
      <c r="A348" s="13">
        <v>38532</v>
      </c>
      <c r="B348" s="8">
        <f>TWK!D81</f>
        <v>236</v>
      </c>
      <c r="C348" s="8">
        <f t="shared" si="9"/>
        <v>224.75</v>
      </c>
      <c r="D348" s="8">
        <f t="shared" si="10"/>
        <v>147.08333333333334</v>
      </c>
      <c r="E348" s="7">
        <v>26</v>
      </c>
    </row>
    <row r="349" spans="1:5" x14ac:dyDescent="0.3">
      <c r="A349" s="13">
        <v>38539</v>
      </c>
      <c r="B349" s="8">
        <f>TWK!D82</f>
        <v>248</v>
      </c>
      <c r="C349" s="8">
        <f t="shared" si="9"/>
        <v>228.5</v>
      </c>
      <c r="D349" s="8">
        <f t="shared" si="10"/>
        <v>149.16666666666666</v>
      </c>
      <c r="E349" s="7">
        <v>27</v>
      </c>
    </row>
    <row r="350" spans="1:5" x14ac:dyDescent="0.3">
      <c r="A350" s="13">
        <v>38546</v>
      </c>
      <c r="B350" s="8">
        <f>TWK!D83</f>
        <v>258</v>
      </c>
      <c r="C350" s="8">
        <f t="shared" si="9"/>
        <v>237.75</v>
      </c>
      <c r="D350" s="8">
        <f t="shared" si="10"/>
        <v>150.08333333333334</v>
      </c>
      <c r="E350" s="7">
        <v>28</v>
      </c>
    </row>
    <row r="351" spans="1:5" x14ac:dyDescent="0.3">
      <c r="A351" s="13">
        <v>38553</v>
      </c>
      <c r="B351" s="8">
        <f>TWK!D84</f>
        <v>311</v>
      </c>
      <c r="C351" s="8">
        <f t="shared" si="9"/>
        <v>263.25</v>
      </c>
      <c r="D351" s="8">
        <f t="shared" si="10"/>
        <v>149.58333333333334</v>
      </c>
      <c r="E351" s="7">
        <v>29</v>
      </c>
    </row>
    <row r="352" spans="1:5" x14ac:dyDescent="0.3">
      <c r="A352" s="13">
        <v>38560</v>
      </c>
      <c r="B352" s="8">
        <f>TWK!D85</f>
        <v>276</v>
      </c>
      <c r="C352" s="8">
        <f t="shared" si="9"/>
        <v>273.25</v>
      </c>
      <c r="D352" s="8">
        <f t="shared" si="10"/>
        <v>147.33333333333334</v>
      </c>
      <c r="E352" s="7">
        <v>30</v>
      </c>
    </row>
    <row r="353" spans="1:6" x14ac:dyDescent="0.3">
      <c r="A353" s="13">
        <v>38567</v>
      </c>
      <c r="B353" s="8">
        <f>TWK!D86</f>
        <v>253</v>
      </c>
      <c r="C353" s="8">
        <f t="shared" si="9"/>
        <v>274.5</v>
      </c>
      <c r="D353" s="8">
        <f t="shared" si="10"/>
        <v>148</v>
      </c>
      <c r="E353" s="7">
        <v>31</v>
      </c>
    </row>
    <row r="354" spans="1:6" x14ac:dyDescent="0.3">
      <c r="A354" s="13">
        <v>38574</v>
      </c>
      <c r="B354" s="8">
        <f>TWK!D87</f>
        <v>273</v>
      </c>
      <c r="C354" s="8">
        <f t="shared" si="9"/>
        <v>278.25</v>
      </c>
      <c r="D354" s="8">
        <f t="shared" si="10"/>
        <v>151</v>
      </c>
      <c r="E354" s="7">
        <v>32</v>
      </c>
    </row>
    <row r="355" spans="1:6" x14ac:dyDescent="0.3">
      <c r="A355" s="13">
        <v>38581</v>
      </c>
      <c r="B355" s="8">
        <f>TWK!D88</f>
        <v>317</v>
      </c>
      <c r="C355" s="8">
        <f t="shared" si="9"/>
        <v>279.75</v>
      </c>
      <c r="D355" s="8">
        <f t="shared" si="10"/>
        <v>156.5</v>
      </c>
      <c r="E355" s="7">
        <v>33</v>
      </c>
    </row>
    <row r="356" spans="1:6" x14ac:dyDescent="0.3">
      <c r="A356" s="13">
        <v>38588</v>
      </c>
      <c r="B356" s="8">
        <f>TWK!D89</f>
        <v>328</v>
      </c>
      <c r="C356" s="8">
        <f t="shared" si="9"/>
        <v>292.75</v>
      </c>
      <c r="D356" s="8">
        <f t="shared" si="10"/>
        <v>164.41666666666666</v>
      </c>
      <c r="E356" s="7">
        <v>34</v>
      </c>
    </row>
    <row r="357" spans="1:6" x14ac:dyDescent="0.3">
      <c r="A357" s="13">
        <v>38595</v>
      </c>
      <c r="B357" s="8">
        <f>TWK!D90</f>
        <v>500</v>
      </c>
      <c r="C357" s="8">
        <f t="shared" si="9"/>
        <v>354.5</v>
      </c>
      <c r="D357" s="8">
        <f t="shared" si="10"/>
        <v>170.58333333333334</v>
      </c>
      <c r="E357" s="7">
        <v>35</v>
      </c>
    </row>
    <row r="358" spans="1:6" x14ac:dyDescent="0.3">
      <c r="A358" s="13">
        <v>38602</v>
      </c>
      <c r="B358" s="8">
        <f>TWK!D91</f>
        <v>560</v>
      </c>
      <c r="C358" s="8">
        <f t="shared" si="9"/>
        <v>426.25</v>
      </c>
      <c r="D358" s="8">
        <f t="shared" si="10"/>
        <v>176.33333333333334</v>
      </c>
      <c r="E358" s="7">
        <v>36</v>
      </c>
    </row>
    <row r="359" spans="1:6" x14ac:dyDescent="0.3">
      <c r="A359" s="13">
        <v>38609</v>
      </c>
      <c r="B359" s="8">
        <f>TWK!D92</f>
        <v>670</v>
      </c>
      <c r="C359" s="8">
        <f t="shared" si="9"/>
        <v>514.5</v>
      </c>
      <c r="D359" s="8">
        <f t="shared" si="10"/>
        <v>182.25</v>
      </c>
      <c r="E359" s="7">
        <v>37</v>
      </c>
    </row>
    <row r="360" spans="1:6" x14ac:dyDescent="0.3">
      <c r="A360" s="13">
        <v>38616</v>
      </c>
      <c r="B360" s="8">
        <f>TWK!D93</f>
        <v>542</v>
      </c>
      <c r="C360" s="8">
        <f t="shared" si="9"/>
        <v>568</v>
      </c>
      <c r="D360" s="8">
        <f t="shared" si="10"/>
        <v>201.16666666666666</v>
      </c>
      <c r="E360" s="7">
        <v>38</v>
      </c>
    </row>
    <row r="361" spans="1:6" x14ac:dyDescent="0.3">
      <c r="A361" s="13">
        <v>38623</v>
      </c>
      <c r="B361" s="8">
        <f>TWK!D94</f>
        <v>633</v>
      </c>
      <c r="C361" s="8">
        <f t="shared" si="9"/>
        <v>601.25</v>
      </c>
      <c r="D361" s="8">
        <f t="shared" si="10"/>
        <v>224.08333333333334</v>
      </c>
      <c r="E361" s="7">
        <v>39</v>
      </c>
    </row>
    <row r="362" spans="1:6" x14ac:dyDescent="0.3">
      <c r="A362" s="13">
        <v>38630</v>
      </c>
      <c r="B362" s="8">
        <f>TWK!D95</f>
        <v>717</v>
      </c>
      <c r="C362" s="8">
        <f t="shared" si="9"/>
        <v>640.5</v>
      </c>
      <c r="D362" s="8">
        <f t="shared" si="10"/>
        <v>253.83333333333334</v>
      </c>
      <c r="E362" s="7">
        <v>40</v>
      </c>
    </row>
    <row r="363" spans="1:6" x14ac:dyDescent="0.3">
      <c r="A363" s="13">
        <v>38637</v>
      </c>
      <c r="B363" s="8">
        <f>TWK!D96</f>
        <v>838</v>
      </c>
      <c r="C363" s="8">
        <f t="shared" si="9"/>
        <v>682.5</v>
      </c>
      <c r="D363" s="8">
        <f t="shared" si="10"/>
        <v>282.66666666666669</v>
      </c>
      <c r="E363" s="7">
        <v>41</v>
      </c>
      <c r="F363" s="7" t="s">
        <v>23</v>
      </c>
    </row>
    <row r="364" spans="1:6" x14ac:dyDescent="0.3">
      <c r="A364" s="13">
        <v>38644</v>
      </c>
      <c r="B364" s="8">
        <f>TWK!D97</f>
        <v>654</v>
      </c>
      <c r="C364" s="8">
        <f t="shared" si="9"/>
        <v>710.5</v>
      </c>
      <c r="D364" s="8">
        <f t="shared" si="10"/>
        <v>287.75</v>
      </c>
      <c r="E364" s="7">
        <v>42</v>
      </c>
      <c r="F364" s="8">
        <f>SUM(D364-B364)</f>
        <v>-366.25</v>
      </c>
    </row>
    <row r="365" spans="1:6" x14ac:dyDescent="0.3">
      <c r="A365" s="13">
        <v>38651</v>
      </c>
      <c r="B365" s="8">
        <f>TWK!D98</f>
        <v>586</v>
      </c>
      <c r="C365" s="8">
        <f t="shared" si="9"/>
        <v>698.75</v>
      </c>
      <c r="D365" s="8">
        <f t="shared" si="10"/>
        <v>290.33333333333331</v>
      </c>
      <c r="E365" s="7">
        <v>43</v>
      </c>
      <c r="F365" s="8">
        <f t="shared" ref="F365:F388" si="11">SUM(D365-B365)</f>
        <v>-295.66666666666669</v>
      </c>
    </row>
    <row r="366" spans="1:6" x14ac:dyDescent="0.3">
      <c r="A366" s="13">
        <v>38658</v>
      </c>
      <c r="B366" s="8">
        <f>TWK!D99</f>
        <v>450</v>
      </c>
      <c r="C366" s="8">
        <f t="shared" si="9"/>
        <v>632</v>
      </c>
      <c r="D366" s="8">
        <f t="shared" si="10"/>
        <v>296.75</v>
      </c>
      <c r="E366" s="7">
        <v>44</v>
      </c>
      <c r="F366" s="8">
        <f t="shared" si="11"/>
        <v>-153.25</v>
      </c>
    </row>
    <row r="367" spans="1:6" x14ac:dyDescent="0.3">
      <c r="A367" s="13">
        <v>38665</v>
      </c>
      <c r="B367" s="8">
        <f>TWK!D100</f>
        <v>359</v>
      </c>
      <c r="C367" s="8">
        <f t="shared" si="9"/>
        <v>512.25</v>
      </c>
      <c r="D367" s="8">
        <f t="shared" si="10"/>
        <v>292.25</v>
      </c>
      <c r="E367" s="7">
        <v>45</v>
      </c>
      <c r="F367" s="8">
        <f t="shared" si="11"/>
        <v>-66.75</v>
      </c>
    </row>
    <row r="368" spans="1:6" x14ac:dyDescent="0.3">
      <c r="A368" s="13">
        <v>38672</v>
      </c>
      <c r="B368" s="8">
        <f>TWK!D101</f>
        <v>375</v>
      </c>
      <c r="C368" s="8">
        <f t="shared" si="9"/>
        <v>442.5</v>
      </c>
      <c r="D368" s="8">
        <f t="shared" si="10"/>
        <v>291.75</v>
      </c>
      <c r="E368" s="7">
        <v>46</v>
      </c>
      <c r="F368" s="8">
        <f t="shared" si="11"/>
        <v>-83.25</v>
      </c>
    </row>
    <row r="369" spans="1:6" x14ac:dyDescent="0.3">
      <c r="A369" s="13">
        <v>38679</v>
      </c>
      <c r="B369" s="8">
        <f>TWK!D102</f>
        <v>367</v>
      </c>
      <c r="C369" s="8">
        <f t="shared" si="9"/>
        <v>387.75</v>
      </c>
      <c r="D369" s="8">
        <f t="shared" si="10"/>
        <v>280</v>
      </c>
      <c r="E369" s="7">
        <v>47</v>
      </c>
      <c r="F369" s="8">
        <f t="shared" si="11"/>
        <v>-87</v>
      </c>
    </row>
    <row r="370" spans="1:6" x14ac:dyDescent="0.3">
      <c r="A370" s="13">
        <v>38686</v>
      </c>
      <c r="B370" s="8">
        <f>TWK!D103</f>
        <v>366</v>
      </c>
      <c r="C370" s="8">
        <f t="shared" si="9"/>
        <v>366.75</v>
      </c>
      <c r="D370" s="8">
        <f t="shared" si="10"/>
        <v>253.41666666666666</v>
      </c>
      <c r="E370" s="7">
        <v>48</v>
      </c>
      <c r="F370" s="8">
        <f t="shared" si="11"/>
        <v>-112.58333333333334</v>
      </c>
    </row>
    <row r="371" spans="1:6" x14ac:dyDescent="0.3">
      <c r="A371" s="13">
        <v>38693</v>
      </c>
      <c r="B371" s="8">
        <f>TWK!D104</f>
        <v>478</v>
      </c>
      <c r="C371" s="8">
        <f t="shared" si="9"/>
        <v>396.5</v>
      </c>
      <c r="D371" s="8">
        <f t="shared" si="10"/>
        <v>236.16666666666666</v>
      </c>
      <c r="E371" s="7">
        <v>49</v>
      </c>
      <c r="F371" s="8">
        <f t="shared" si="11"/>
        <v>-241.83333333333334</v>
      </c>
    </row>
    <row r="372" spans="1:6" x14ac:dyDescent="0.3">
      <c r="A372" s="13">
        <v>38700</v>
      </c>
      <c r="B372" s="8">
        <f>TWK!D105</f>
        <v>552</v>
      </c>
      <c r="C372" s="8">
        <f t="shared" si="9"/>
        <v>440.75</v>
      </c>
      <c r="D372" s="8">
        <f t="shared" si="10"/>
        <v>226.41666666666666</v>
      </c>
      <c r="E372" s="7">
        <v>50</v>
      </c>
      <c r="F372" s="8">
        <f t="shared" si="11"/>
        <v>-325.58333333333337</v>
      </c>
    </row>
    <row r="373" spans="1:6" x14ac:dyDescent="0.3">
      <c r="A373" s="13">
        <v>38707</v>
      </c>
      <c r="B373" s="8">
        <f>TWK!D106</f>
        <v>508</v>
      </c>
      <c r="C373" s="8">
        <f t="shared" si="9"/>
        <v>476</v>
      </c>
      <c r="D373" s="8">
        <f t="shared" si="10"/>
        <v>225</v>
      </c>
      <c r="E373" s="7">
        <v>51</v>
      </c>
      <c r="F373" s="8">
        <f t="shared" si="11"/>
        <v>-283</v>
      </c>
    </row>
    <row r="374" spans="1:6" x14ac:dyDescent="0.3">
      <c r="A374" s="13">
        <v>38714</v>
      </c>
      <c r="B374" s="8">
        <f>TWK!D107</f>
        <v>443</v>
      </c>
      <c r="C374" s="8">
        <f t="shared" si="9"/>
        <v>495.25</v>
      </c>
      <c r="D374" s="8">
        <f t="shared" si="10"/>
        <v>230.16666666666666</v>
      </c>
      <c r="E374" s="7">
        <v>52</v>
      </c>
      <c r="F374" s="8">
        <f t="shared" si="11"/>
        <v>-212.83333333333334</v>
      </c>
    </row>
    <row r="375" spans="1:6" x14ac:dyDescent="0.3">
      <c r="A375" s="13">
        <v>38721</v>
      </c>
      <c r="B375" s="8">
        <f>TWK!D108</f>
        <v>409</v>
      </c>
      <c r="C375" s="8">
        <f t="shared" si="9"/>
        <v>478</v>
      </c>
      <c r="D375" s="8">
        <f t="shared" si="10"/>
        <v>230.58333333333334</v>
      </c>
      <c r="E375" s="7">
        <v>1</v>
      </c>
      <c r="F375" s="8">
        <f t="shared" si="11"/>
        <v>-178.41666666666666</v>
      </c>
    </row>
    <row r="376" spans="1:6" x14ac:dyDescent="0.3">
      <c r="A376" s="13">
        <v>38728</v>
      </c>
      <c r="B376" s="8">
        <f>TWK!D109</f>
        <v>379</v>
      </c>
      <c r="C376" s="8">
        <f t="shared" si="9"/>
        <v>434.75</v>
      </c>
      <c r="D376" s="8">
        <f t="shared" si="10"/>
        <v>224.75</v>
      </c>
      <c r="E376" s="7">
        <v>2</v>
      </c>
      <c r="F376" s="8">
        <f t="shared" si="11"/>
        <v>-154.25</v>
      </c>
    </row>
    <row r="377" spans="1:6" x14ac:dyDescent="0.3">
      <c r="A377" s="13">
        <v>38735</v>
      </c>
      <c r="B377" s="8">
        <f>TWK!D110</f>
        <v>400</v>
      </c>
      <c r="C377" s="8">
        <f t="shared" si="9"/>
        <v>407.75</v>
      </c>
      <c r="D377" s="8">
        <f t="shared" si="10"/>
        <v>230.83333333333334</v>
      </c>
      <c r="E377" s="7">
        <v>3</v>
      </c>
      <c r="F377" s="8">
        <f t="shared" si="11"/>
        <v>-169.16666666666666</v>
      </c>
    </row>
    <row r="378" spans="1:6" x14ac:dyDescent="0.3">
      <c r="A378" s="13">
        <v>38742</v>
      </c>
      <c r="B378" s="8">
        <f>TWK!D111</f>
        <v>383</v>
      </c>
      <c r="C378" s="8">
        <f t="shared" si="9"/>
        <v>392.75</v>
      </c>
      <c r="D378" s="8">
        <f t="shared" si="10"/>
        <v>236.41666666666666</v>
      </c>
      <c r="E378" s="7">
        <v>4</v>
      </c>
      <c r="F378" s="8">
        <f t="shared" si="11"/>
        <v>-146.58333333333334</v>
      </c>
    </row>
    <row r="379" spans="1:6" x14ac:dyDescent="0.3">
      <c r="A379" s="13">
        <v>38749</v>
      </c>
      <c r="B379" s="8">
        <f>TWK!D112</f>
        <v>413</v>
      </c>
      <c r="C379" s="8">
        <f t="shared" si="9"/>
        <v>393.75</v>
      </c>
      <c r="D379" s="8">
        <f t="shared" si="10"/>
        <v>241.66666666666666</v>
      </c>
      <c r="E379" s="7">
        <v>5</v>
      </c>
      <c r="F379" s="8">
        <f t="shared" si="11"/>
        <v>-171.33333333333334</v>
      </c>
    </row>
    <row r="380" spans="1:6" x14ac:dyDescent="0.3">
      <c r="A380" s="13">
        <v>38756</v>
      </c>
      <c r="B380" s="8">
        <f>TWK!D113</f>
        <v>475</v>
      </c>
      <c r="C380" s="8">
        <f t="shared" si="9"/>
        <v>417.75</v>
      </c>
      <c r="D380" s="8">
        <f t="shared" si="10"/>
        <v>246.75</v>
      </c>
      <c r="E380" s="7">
        <v>6</v>
      </c>
      <c r="F380" s="8">
        <f t="shared" si="11"/>
        <v>-228.25</v>
      </c>
    </row>
    <row r="381" spans="1:6" x14ac:dyDescent="0.3">
      <c r="A381" s="13">
        <v>38763</v>
      </c>
      <c r="B381" s="8">
        <f>TWK!D114</f>
        <v>427</v>
      </c>
      <c r="C381" s="8">
        <f t="shared" si="9"/>
        <v>424.5</v>
      </c>
      <c r="D381" s="8">
        <f t="shared" si="10"/>
        <v>232.83333333333334</v>
      </c>
      <c r="E381" s="7">
        <v>7</v>
      </c>
      <c r="F381" s="8">
        <f t="shared" si="11"/>
        <v>-194.16666666666666</v>
      </c>
    </row>
    <row r="382" spans="1:6" x14ac:dyDescent="0.3">
      <c r="A382" s="13">
        <v>38770</v>
      </c>
      <c r="B382" s="8">
        <f>TWK!D115</f>
        <v>375</v>
      </c>
      <c r="C382" s="8">
        <f t="shared" si="9"/>
        <v>422.5</v>
      </c>
      <c r="D382" s="8">
        <f t="shared" si="10"/>
        <v>218.66666666666666</v>
      </c>
      <c r="E382" s="7">
        <v>8</v>
      </c>
      <c r="F382" s="8">
        <f t="shared" si="11"/>
        <v>-156.33333333333334</v>
      </c>
    </row>
    <row r="383" spans="1:6" x14ac:dyDescent="0.3">
      <c r="A383" s="13">
        <v>38777</v>
      </c>
      <c r="B383" s="8">
        <f>TWK!D116</f>
        <v>384</v>
      </c>
      <c r="C383" s="8">
        <f t="shared" si="9"/>
        <v>415.25</v>
      </c>
      <c r="D383" s="8">
        <f t="shared" si="10"/>
        <v>212.41666666666666</v>
      </c>
      <c r="E383" s="7">
        <v>9</v>
      </c>
      <c r="F383" s="8">
        <f t="shared" si="11"/>
        <v>-171.58333333333334</v>
      </c>
    </row>
    <row r="384" spans="1:6" x14ac:dyDescent="0.3">
      <c r="A384" s="13">
        <v>38784</v>
      </c>
      <c r="B384" s="8">
        <f>TWK!D117</f>
        <v>377</v>
      </c>
      <c r="C384" s="8">
        <f t="shared" si="9"/>
        <v>390.75</v>
      </c>
      <c r="D384" s="8">
        <f t="shared" si="10"/>
        <v>214.83333333333334</v>
      </c>
      <c r="E384" s="7">
        <v>10</v>
      </c>
      <c r="F384" s="8">
        <f t="shared" si="11"/>
        <v>-162.16666666666666</v>
      </c>
    </row>
    <row r="385" spans="1:9" x14ac:dyDescent="0.3">
      <c r="A385" s="13">
        <v>38791</v>
      </c>
      <c r="B385" s="8">
        <f>TWK!D118</f>
        <v>337</v>
      </c>
      <c r="C385" s="8">
        <f t="shared" si="9"/>
        <v>368.25</v>
      </c>
      <c r="D385" s="8">
        <f t="shared" si="10"/>
        <v>216.66666666666666</v>
      </c>
      <c r="E385" s="7">
        <v>11</v>
      </c>
      <c r="F385" s="8">
        <f t="shared" si="11"/>
        <v>-120.33333333333334</v>
      </c>
    </row>
    <row r="386" spans="1:9" x14ac:dyDescent="0.3">
      <c r="A386" s="13">
        <v>38798</v>
      </c>
      <c r="B386" s="8">
        <f>TWK!D119</f>
        <v>333</v>
      </c>
      <c r="C386" s="8">
        <f t="shared" si="9"/>
        <v>357.75</v>
      </c>
      <c r="D386" s="8">
        <f t="shared" si="10"/>
        <v>220.5</v>
      </c>
      <c r="E386" s="7">
        <v>12</v>
      </c>
      <c r="F386" s="8">
        <f t="shared" si="11"/>
        <v>-112.5</v>
      </c>
    </row>
    <row r="387" spans="1:9" x14ac:dyDescent="0.3">
      <c r="A387" s="13">
        <v>38805</v>
      </c>
      <c r="B387" s="8">
        <f>TWK!D120</f>
        <v>322</v>
      </c>
      <c r="C387" s="8">
        <f t="shared" si="9"/>
        <v>342.25</v>
      </c>
      <c r="D387" s="8">
        <f t="shared" si="10"/>
        <v>212</v>
      </c>
      <c r="E387" s="7">
        <v>13</v>
      </c>
      <c r="F387" s="8">
        <f t="shared" si="11"/>
        <v>-110</v>
      </c>
    </row>
    <row r="388" spans="1:9" x14ac:dyDescent="0.3">
      <c r="A388" s="13">
        <v>38812</v>
      </c>
      <c r="B388" s="8">
        <f>TWK!D121</f>
        <v>343</v>
      </c>
      <c r="C388" s="8">
        <f t="shared" si="9"/>
        <v>333.75</v>
      </c>
      <c r="D388" s="8">
        <f t="shared" si="10"/>
        <v>196.66666666666666</v>
      </c>
      <c r="E388" s="7">
        <v>14</v>
      </c>
      <c r="F388" s="8">
        <f t="shared" si="11"/>
        <v>-146.33333333333334</v>
      </c>
    </row>
    <row r="389" spans="1:9" x14ac:dyDescent="0.3">
      <c r="A389" s="13">
        <v>38819</v>
      </c>
      <c r="B389" s="8">
        <f>TWK!D122</f>
        <v>328</v>
      </c>
      <c r="C389" s="8">
        <f t="shared" si="9"/>
        <v>331.5</v>
      </c>
      <c r="D389" s="8">
        <f t="shared" ref="D389:D397" si="12">(C233+C285+C337)/3</f>
        <v>183.5</v>
      </c>
      <c r="E389" s="7">
        <v>15</v>
      </c>
      <c r="F389" s="8">
        <f t="shared" ref="F389:F398" si="13">SUM(D389-B389)</f>
        <v>-144.5</v>
      </c>
    </row>
    <row r="390" spans="1:9" x14ac:dyDescent="0.3">
      <c r="A390" s="13">
        <v>38826</v>
      </c>
      <c r="B390" s="8">
        <f>TWK!D123</f>
        <v>295</v>
      </c>
      <c r="C390" s="8">
        <f t="shared" ref="C390:C398" si="14">AVERAGE(B387:B390)</f>
        <v>322</v>
      </c>
      <c r="D390" s="8">
        <f t="shared" si="12"/>
        <v>180.16666666666666</v>
      </c>
      <c r="E390" s="7">
        <v>16</v>
      </c>
      <c r="F390" s="8">
        <f t="shared" si="13"/>
        <v>-114.83333333333334</v>
      </c>
    </row>
    <row r="391" spans="1:9" x14ac:dyDescent="0.3">
      <c r="A391" s="13">
        <v>38833</v>
      </c>
      <c r="B391" s="8">
        <f>TWK!D124</f>
        <v>288</v>
      </c>
      <c r="C391" s="8">
        <f t="shared" si="14"/>
        <v>313.5</v>
      </c>
      <c r="D391" s="8">
        <f t="shared" si="12"/>
        <v>176.66666666666666</v>
      </c>
      <c r="E391" s="7">
        <v>17</v>
      </c>
      <c r="F391" s="8">
        <f t="shared" si="13"/>
        <v>-111.33333333333334</v>
      </c>
    </row>
    <row r="392" spans="1:9" x14ac:dyDescent="0.3">
      <c r="A392" s="13">
        <v>38840</v>
      </c>
      <c r="B392" s="8">
        <f>TWK!D125</f>
        <v>311</v>
      </c>
      <c r="C392" s="8">
        <f t="shared" si="14"/>
        <v>305.5</v>
      </c>
      <c r="D392" s="8">
        <f t="shared" si="12"/>
        <v>168.83333333333334</v>
      </c>
      <c r="E392" s="7">
        <v>18</v>
      </c>
      <c r="F392" s="8">
        <f t="shared" si="13"/>
        <v>-142.16666666666666</v>
      </c>
    </row>
    <row r="393" spans="1:9" x14ac:dyDescent="0.3">
      <c r="A393" s="13">
        <v>38847</v>
      </c>
      <c r="B393" s="8">
        <f>TWK!D126</f>
        <v>354</v>
      </c>
      <c r="C393" s="8">
        <f t="shared" si="14"/>
        <v>312</v>
      </c>
      <c r="D393" s="8">
        <f t="shared" si="12"/>
        <v>169.16666666666666</v>
      </c>
      <c r="E393" s="7">
        <v>19</v>
      </c>
      <c r="F393" s="8">
        <f t="shared" si="13"/>
        <v>-184.83333333333334</v>
      </c>
    </row>
    <row r="394" spans="1:9" x14ac:dyDescent="0.3">
      <c r="A394" s="13">
        <v>38854</v>
      </c>
      <c r="B394" s="8">
        <f>TWK!D127</f>
        <v>393</v>
      </c>
      <c r="C394" s="8">
        <f t="shared" si="14"/>
        <v>336.5</v>
      </c>
      <c r="D394" s="8">
        <f t="shared" si="12"/>
        <v>173.5</v>
      </c>
      <c r="E394" s="7">
        <v>20</v>
      </c>
      <c r="F394" s="8">
        <f t="shared" si="13"/>
        <v>-219.5</v>
      </c>
    </row>
    <row r="395" spans="1:9" x14ac:dyDescent="0.3">
      <c r="A395" s="13">
        <v>38861</v>
      </c>
      <c r="B395" s="8">
        <f>TWK!D128</f>
        <v>384</v>
      </c>
      <c r="C395" s="8">
        <f t="shared" si="14"/>
        <v>360.5</v>
      </c>
      <c r="D395" s="8">
        <f t="shared" si="12"/>
        <v>180.91666666666666</v>
      </c>
      <c r="E395" s="7">
        <v>21</v>
      </c>
      <c r="F395" s="8">
        <f t="shared" si="13"/>
        <v>-203.08333333333334</v>
      </c>
    </row>
    <row r="396" spans="1:9" x14ac:dyDescent="0.3">
      <c r="A396" s="13">
        <v>38868</v>
      </c>
      <c r="B396" s="8">
        <f>TWK!D129</f>
        <v>351</v>
      </c>
      <c r="C396" s="8">
        <f t="shared" si="14"/>
        <v>370.5</v>
      </c>
      <c r="D396" s="8">
        <f t="shared" si="12"/>
        <v>184.75</v>
      </c>
      <c r="E396" s="7">
        <v>22</v>
      </c>
      <c r="F396" s="8">
        <f t="shared" si="13"/>
        <v>-166.25</v>
      </c>
      <c r="G396" s="20">
        <f t="shared" ref="G396:G406" si="15">(B396/B395-1)*100</f>
        <v>-8.59375</v>
      </c>
      <c r="H396" s="20">
        <f t="shared" ref="H396:H406" si="16">(B396/B344-1)*100</f>
        <v>38.735177865612648</v>
      </c>
      <c r="I396" s="20">
        <f t="shared" ref="I396:I407" si="17">(B396/D396-1)*100</f>
        <v>89.986468200270636</v>
      </c>
    </row>
    <row r="397" spans="1:9" x14ac:dyDescent="0.3">
      <c r="A397" s="13">
        <v>38875</v>
      </c>
      <c r="B397" s="8">
        <f>TWK!D130</f>
        <v>374</v>
      </c>
      <c r="C397" s="8">
        <f t="shared" si="14"/>
        <v>375.5</v>
      </c>
      <c r="D397" s="8">
        <f t="shared" si="12"/>
        <v>185.33333333333334</v>
      </c>
      <c r="E397" s="7">
        <v>22</v>
      </c>
      <c r="F397" s="8">
        <f t="shared" si="13"/>
        <v>-188.66666666666666</v>
      </c>
      <c r="G397" s="20">
        <f t="shared" si="15"/>
        <v>6.5527065527065442</v>
      </c>
      <c r="H397" s="20">
        <f t="shared" si="16"/>
        <v>60.515021459227469</v>
      </c>
      <c r="I397" s="20">
        <f t="shared" si="17"/>
        <v>101.79856115107913</v>
      </c>
    </row>
    <row r="398" spans="1:9" x14ac:dyDescent="0.3">
      <c r="A398" s="13">
        <v>38882</v>
      </c>
      <c r="B398" s="8">
        <f>TWK!D131</f>
        <v>387</v>
      </c>
      <c r="C398" s="8">
        <f t="shared" si="14"/>
        <v>374</v>
      </c>
      <c r="D398" s="8">
        <f t="shared" ref="D398:D413" si="18">(C242+C294+C346)/3</f>
        <v>182.33333333333334</v>
      </c>
      <c r="E398" s="7">
        <v>22</v>
      </c>
      <c r="F398" s="8">
        <f t="shared" si="13"/>
        <v>-204.66666666666666</v>
      </c>
      <c r="G398" s="20">
        <f t="shared" si="15"/>
        <v>3.475935828876997</v>
      </c>
      <c r="H398" s="20">
        <f t="shared" si="16"/>
        <v>75.113122171945705</v>
      </c>
      <c r="I398" s="20">
        <f t="shared" si="17"/>
        <v>112.2486288848263</v>
      </c>
    </row>
    <row r="399" spans="1:9" x14ac:dyDescent="0.3">
      <c r="A399" s="13">
        <v>38889</v>
      </c>
      <c r="B399" s="8">
        <f>TWK!D132</f>
        <v>382</v>
      </c>
      <c r="C399" s="8">
        <f t="shared" ref="C399:C413" si="19">AVERAGE(B396:B399)</f>
        <v>373.5</v>
      </c>
      <c r="D399" s="8">
        <f t="shared" si="18"/>
        <v>177.5</v>
      </c>
      <c r="E399" s="7">
        <v>23</v>
      </c>
      <c r="F399" s="8">
        <f t="shared" ref="F399:F413" si="20">SUM(D399-B399)</f>
        <v>-204.5</v>
      </c>
      <c r="G399" s="20">
        <f t="shared" si="15"/>
        <v>-1.2919896640826822</v>
      </c>
      <c r="H399" s="20">
        <f t="shared" si="16"/>
        <v>82.775119617224874</v>
      </c>
      <c r="I399" s="20">
        <f t="shared" si="17"/>
        <v>115.21126760563378</v>
      </c>
    </row>
    <row r="400" spans="1:9" x14ac:dyDescent="0.3">
      <c r="A400" s="13">
        <v>38896</v>
      </c>
      <c r="B400" s="8">
        <f>TWK!D133</f>
        <v>416</v>
      </c>
      <c r="C400" s="8">
        <f t="shared" si="19"/>
        <v>389.75</v>
      </c>
      <c r="D400" s="8">
        <f t="shared" si="18"/>
        <v>176.83333333333334</v>
      </c>
      <c r="E400" s="7">
        <v>24</v>
      </c>
      <c r="F400" s="8">
        <f t="shared" si="20"/>
        <v>-239.16666666666666</v>
      </c>
      <c r="G400" s="20">
        <f t="shared" si="15"/>
        <v>8.9005235602094288</v>
      </c>
      <c r="H400" s="20">
        <f t="shared" si="16"/>
        <v>76.271186440677965</v>
      </c>
      <c r="I400" s="20">
        <f t="shared" si="17"/>
        <v>135.24976437323281</v>
      </c>
    </row>
    <row r="401" spans="1:9" x14ac:dyDescent="0.3">
      <c r="A401" s="13">
        <v>38903</v>
      </c>
      <c r="B401" s="8">
        <f>TWK!D134</f>
        <v>443</v>
      </c>
      <c r="C401" s="8">
        <f t="shared" si="19"/>
        <v>407</v>
      </c>
      <c r="D401" s="8">
        <f t="shared" si="18"/>
        <v>178.33333333333334</v>
      </c>
      <c r="E401" s="7">
        <v>25</v>
      </c>
      <c r="F401" s="8">
        <f t="shared" si="20"/>
        <v>-264.66666666666663</v>
      </c>
      <c r="G401" s="20">
        <f t="shared" si="15"/>
        <v>6.4903846153846256</v>
      </c>
      <c r="H401" s="20">
        <f t="shared" si="16"/>
        <v>78.629032258064527</v>
      </c>
      <c r="I401" s="20">
        <f t="shared" si="17"/>
        <v>148.41121495327104</v>
      </c>
    </row>
    <row r="402" spans="1:9" x14ac:dyDescent="0.3">
      <c r="A402" s="13">
        <v>38910</v>
      </c>
      <c r="B402" s="8">
        <f>TWK!D135</f>
        <v>493</v>
      </c>
      <c r="C402" s="8">
        <f t="shared" si="19"/>
        <v>433.5</v>
      </c>
      <c r="D402" s="8">
        <f t="shared" si="18"/>
        <v>181.25</v>
      </c>
      <c r="E402" s="7">
        <v>26</v>
      </c>
      <c r="F402" s="8">
        <f t="shared" si="20"/>
        <v>-311.75</v>
      </c>
      <c r="G402" s="20">
        <f>(B402/B401-1)*100</f>
        <v>11.28668171557563</v>
      </c>
      <c r="H402" s="20">
        <f>(B402/B350-1)*100</f>
        <v>91.085271317829466</v>
      </c>
      <c r="I402" s="20">
        <f>(B402/D402-1)*100</f>
        <v>172.00000000000003</v>
      </c>
    </row>
    <row r="403" spans="1:9" x14ac:dyDescent="0.3">
      <c r="A403" s="13">
        <v>38917</v>
      </c>
      <c r="B403" s="8">
        <f>TWK!D136</f>
        <v>526</v>
      </c>
      <c r="C403" s="8">
        <f t="shared" si="19"/>
        <v>469.5</v>
      </c>
      <c r="D403" s="8">
        <f t="shared" si="18"/>
        <v>189.25</v>
      </c>
      <c r="E403" s="7">
        <v>27</v>
      </c>
      <c r="F403" s="8">
        <f t="shared" si="20"/>
        <v>-336.75</v>
      </c>
      <c r="G403" s="20">
        <f t="shared" si="15"/>
        <v>6.6937119675456458</v>
      </c>
      <c r="H403" s="20">
        <f t="shared" si="16"/>
        <v>69.131832797427649</v>
      </c>
      <c r="I403" s="20">
        <f t="shared" si="17"/>
        <v>177.93923381770145</v>
      </c>
    </row>
    <row r="404" spans="1:9" x14ac:dyDescent="0.3">
      <c r="A404" s="13">
        <v>38924</v>
      </c>
      <c r="B404" s="8">
        <f>TWK!D137</f>
        <v>495</v>
      </c>
      <c r="C404" s="8">
        <f t="shared" si="19"/>
        <v>489.25</v>
      </c>
      <c r="D404" s="8">
        <f t="shared" si="18"/>
        <v>195.41666666666666</v>
      </c>
      <c r="E404" s="7">
        <v>28</v>
      </c>
      <c r="F404" s="8">
        <f t="shared" si="20"/>
        <v>-299.58333333333337</v>
      </c>
      <c r="G404" s="20">
        <f t="shared" si="15"/>
        <v>-5.8935361216730042</v>
      </c>
      <c r="H404" s="20">
        <f t="shared" si="16"/>
        <v>79.347826086956516</v>
      </c>
      <c r="I404" s="20">
        <f t="shared" si="17"/>
        <v>153.30490405117274</v>
      </c>
    </row>
    <row r="405" spans="1:9" x14ac:dyDescent="0.3">
      <c r="A405" s="13">
        <v>38931</v>
      </c>
      <c r="B405" s="8">
        <f>TWK!D138</f>
        <v>498</v>
      </c>
      <c r="C405" s="8">
        <f t="shared" si="19"/>
        <v>503</v>
      </c>
      <c r="D405" s="8">
        <f t="shared" si="18"/>
        <v>200.41666666666666</v>
      </c>
      <c r="E405" s="7">
        <v>29</v>
      </c>
      <c r="F405" s="8">
        <f t="shared" si="20"/>
        <v>-297.58333333333337</v>
      </c>
      <c r="G405" s="20">
        <f>(B405/B404-1)*100</f>
        <v>0.60606060606060996</v>
      </c>
      <c r="H405" s="20">
        <f>(B405/B353-1)*100</f>
        <v>96.83794466403161</v>
      </c>
      <c r="I405" s="20">
        <f>(B405/D405-1)*100</f>
        <v>148.48232848232848</v>
      </c>
    </row>
    <row r="406" spans="1:9" x14ac:dyDescent="0.3">
      <c r="A406" s="13">
        <v>38938</v>
      </c>
      <c r="B406" s="8">
        <f>TWK!D139</f>
        <v>572</v>
      </c>
      <c r="C406" s="8">
        <f t="shared" si="19"/>
        <v>522.75</v>
      </c>
      <c r="D406" s="8">
        <f t="shared" si="18"/>
        <v>208.33333333333334</v>
      </c>
      <c r="E406" s="7">
        <v>30</v>
      </c>
      <c r="F406" s="8">
        <f t="shared" si="20"/>
        <v>-363.66666666666663</v>
      </c>
      <c r="G406" s="20">
        <f t="shared" si="15"/>
        <v>14.859437751004023</v>
      </c>
      <c r="H406" s="20">
        <f t="shared" si="16"/>
        <v>109.52380952380953</v>
      </c>
      <c r="I406" s="20">
        <f t="shared" si="17"/>
        <v>174.56</v>
      </c>
    </row>
    <row r="407" spans="1:9" x14ac:dyDescent="0.3">
      <c r="A407" s="13">
        <v>38945</v>
      </c>
      <c r="B407" s="8">
        <f>TWK!D140</f>
        <v>569</v>
      </c>
      <c r="C407" s="8">
        <f t="shared" si="19"/>
        <v>533.5</v>
      </c>
      <c r="D407" s="8">
        <f t="shared" si="18"/>
        <v>216.91666666666666</v>
      </c>
      <c r="E407" s="7">
        <v>31</v>
      </c>
      <c r="F407" s="8">
        <f t="shared" si="20"/>
        <v>-352.08333333333337</v>
      </c>
      <c r="G407" s="20">
        <f t="shared" ref="G407:G413" si="21">(B407/B406-1)*100</f>
        <v>-0.52447552447552059</v>
      </c>
      <c r="H407" s="20">
        <f t="shared" ref="H407:H413" si="22">(B407/B355-1)*100</f>
        <v>79.495268138801251</v>
      </c>
      <c r="I407" s="20">
        <f t="shared" si="17"/>
        <v>162.31271609681136</v>
      </c>
    </row>
    <row r="408" spans="1:9" x14ac:dyDescent="0.3">
      <c r="A408" s="13">
        <v>38952</v>
      </c>
      <c r="B408" s="8">
        <f>TWK!D141</f>
        <v>579</v>
      </c>
      <c r="C408" s="8">
        <f t="shared" si="19"/>
        <v>554.5</v>
      </c>
      <c r="D408" s="8">
        <f t="shared" si="18"/>
        <v>226.83333333333334</v>
      </c>
      <c r="E408" s="7">
        <v>32</v>
      </c>
      <c r="F408" s="8">
        <f t="shared" si="20"/>
        <v>-352.16666666666663</v>
      </c>
      <c r="G408" s="20">
        <f t="shared" si="21"/>
        <v>1.7574692442882345</v>
      </c>
      <c r="H408" s="20">
        <f t="shared" si="22"/>
        <v>76.524390243902431</v>
      </c>
      <c r="I408" s="20">
        <f t="shared" ref="I408:I413" si="23">(B408/D408-1)*100</f>
        <v>155.2534900808229</v>
      </c>
    </row>
    <row r="409" spans="1:9" x14ac:dyDescent="0.3">
      <c r="A409" s="13">
        <v>38959</v>
      </c>
      <c r="B409" s="8">
        <f>TWK!D142</f>
        <v>569</v>
      </c>
      <c r="C409" s="8">
        <f t="shared" si="19"/>
        <v>572.25</v>
      </c>
      <c r="D409" s="8">
        <f t="shared" si="18"/>
        <v>251.58333333333334</v>
      </c>
      <c r="E409" s="7">
        <v>33</v>
      </c>
      <c r="F409" s="8">
        <f t="shared" si="20"/>
        <v>-317.41666666666663</v>
      </c>
      <c r="G409" s="20">
        <f t="shared" si="21"/>
        <v>-1.7271157167530249</v>
      </c>
      <c r="H409" s="20">
        <f t="shared" si="22"/>
        <v>13.79999999999999</v>
      </c>
      <c r="I409" s="20">
        <f t="shared" si="23"/>
        <v>126.16760516727395</v>
      </c>
    </row>
    <row r="410" spans="1:9" x14ac:dyDescent="0.3">
      <c r="A410" s="13">
        <v>38966</v>
      </c>
      <c r="B410" s="8">
        <f>TWK!D143</f>
        <v>504</v>
      </c>
      <c r="C410" s="8">
        <f t="shared" si="19"/>
        <v>555.25</v>
      </c>
      <c r="D410" s="8">
        <f t="shared" si="18"/>
        <v>279.33333333333331</v>
      </c>
      <c r="E410" s="7">
        <v>34</v>
      </c>
      <c r="F410" s="8">
        <f t="shared" si="20"/>
        <v>-224.66666666666669</v>
      </c>
      <c r="G410" s="20">
        <f t="shared" si="21"/>
        <v>-11.423550087873458</v>
      </c>
      <c r="H410" s="20">
        <f t="shared" si="22"/>
        <v>-9.9999999999999982</v>
      </c>
      <c r="I410" s="20">
        <f t="shared" si="23"/>
        <v>80.429594272076386</v>
      </c>
    </row>
    <row r="411" spans="1:9" x14ac:dyDescent="0.3">
      <c r="A411" s="13">
        <v>38973</v>
      </c>
      <c r="B411" s="8">
        <f>TWK!D144</f>
        <v>514</v>
      </c>
      <c r="C411" s="8">
        <f t="shared" si="19"/>
        <v>541.5</v>
      </c>
      <c r="D411" s="8">
        <f t="shared" si="18"/>
        <v>325.83333333333331</v>
      </c>
      <c r="E411" s="7">
        <v>35</v>
      </c>
      <c r="F411" s="8">
        <f t="shared" si="20"/>
        <v>-188.16666666666669</v>
      </c>
      <c r="G411" s="20">
        <f t="shared" si="21"/>
        <v>1.9841269841269771</v>
      </c>
      <c r="H411" s="20">
        <f t="shared" si="22"/>
        <v>-23.283582089552233</v>
      </c>
      <c r="I411" s="20">
        <f t="shared" si="23"/>
        <v>57.749360613810751</v>
      </c>
    </row>
    <row r="412" spans="1:9" x14ac:dyDescent="0.3">
      <c r="A412" s="13">
        <v>38980</v>
      </c>
      <c r="B412" s="8">
        <f>TWK!D145</f>
        <v>540</v>
      </c>
      <c r="C412" s="8">
        <f t="shared" si="19"/>
        <v>531.75</v>
      </c>
      <c r="D412" s="8">
        <f t="shared" si="18"/>
        <v>364.16666666666669</v>
      </c>
      <c r="E412" s="7">
        <v>36</v>
      </c>
      <c r="F412" s="8">
        <f t="shared" si="20"/>
        <v>-175.83333333333331</v>
      </c>
      <c r="G412" s="20">
        <f t="shared" si="21"/>
        <v>5.058365758754868</v>
      </c>
      <c r="H412" s="20">
        <f t="shared" si="22"/>
        <v>-0.36900369003689537</v>
      </c>
      <c r="I412" s="20">
        <f t="shared" si="23"/>
        <v>48.283752860411887</v>
      </c>
    </row>
    <row r="413" spans="1:9" x14ac:dyDescent="0.3">
      <c r="A413" s="13">
        <v>38986</v>
      </c>
      <c r="B413" s="8">
        <f>TWK!D146</f>
        <v>581</v>
      </c>
      <c r="C413" s="8">
        <f t="shared" si="19"/>
        <v>534.75</v>
      </c>
      <c r="D413" s="8">
        <f t="shared" si="18"/>
        <v>401.75</v>
      </c>
      <c r="E413" s="7">
        <v>37</v>
      </c>
      <c r="F413" s="8">
        <f t="shared" si="20"/>
        <v>-179.25</v>
      </c>
      <c r="G413" s="20">
        <f t="shared" si="21"/>
        <v>7.5925925925925952</v>
      </c>
      <c r="H413" s="20">
        <f t="shared" si="22"/>
        <v>-8.2148499210110586</v>
      </c>
      <c r="I413" s="20">
        <f t="shared" si="23"/>
        <v>44.617299315494719</v>
      </c>
    </row>
    <row r="414" spans="1:9" x14ac:dyDescent="0.3">
      <c r="A414" s="13">
        <f>+A413+7</f>
        <v>38993</v>
      </c>
      <c r="B414" s="8">
        <f>TWK!D147</f>
        <v>608</v>
      </c>
      <c r="C414" s="8">
        <f t="shared" ref="C414:C426" si="24">AVERAGE(B411:B414)</f>
        <v>560.75</v>
      </c>
      <c r="D414" s="8">
        <f t="shared" ref="D414:D426" si="25">(C258+C310+C362)/3</f>
        <v>439.08333333333331</v>
      </c>
      <c r="E414" s="7">
        <v>38</v>
      </c>
      <c r="F414" s="8">
        <f t="shared" ref="F414:F426" si="26">SUM(D414-B414)</f>
        <v>-168.91666666666669</v>
      </c>
      <c r="G414" s="20">
        <f t="shared" ref="G414:G426" si="27">(B414/B413-1)*100</f>
        <v>4.6471600688468229</v>
      </c>
      <c r="H414" s="20">
        <f t="shared" ref="H414:H426" si="28">(B414/B362-1)*100</f>
        <v>-15.202231520223153</v>
      </c>
      <c r="I414" s="20">
        <f t="shared" ref="I414:I426" si="29">(B414/D414-1)*100</f>
        <v>38.47029796925414</v>
      </c>
    </row>
    <row r="415" spans="1:9" x14ac:dyDescent="0.3">
      <c r="A415" s="13">
        <f>A414+7</f>
        <v>39000</v>
      </c>
      <c r="B415" s="8">
        <f>TWK!D148</f>
        <v>562</v>
      </c>
      <c r="C415" s="8">
        <f t="shared" si="24"/>
        <v>572.75</v>
      </c>
      <c r="D415" s="8">
        <f t="shared" si="25"/>
        <v>453.5</v>
      </c>
      <c r="E415" s="7">
        <v>39</v>
      </c>
      <c r="F415" s="8">
        <f t="shared" si="26"/>
        <v>-108.5</v>
      </c>
      <c r="G415" s="20">
        <f t="shared" si="27"/>
        <v>-7.5657894736842142</v>
      </c>
      <c r="H415" s="20">
        <f t="shared" si="28"/>
        <v>-32.935560859188541</v>
      </c>
      <c r="I415" s="20">
        <f t="shared" si="29"/>
        <v>23.925027563395808</v>
      </c>
    </row>
    <row r="416" spans="1:9" x14ac:dyDescent="0.3">
      <c r="A416" s="13">
        <f>+A415+7</f>
        <v>39007</v>
      </c>
      <c r="B416" s="8">
        <f>TWK!D149</f>
        <v>554</v>
      </c>
      <c r="C416" s="8">
        <f t="shared" si="24"/>
        <v>576.25</v>
      </c>
      <c r="D416" s="8">
        <f t="shared" si="25"/>
        <v>461.08333333333331</v>
      </c>
      <c r="E416" s="7">
        <v>40</v>
      </c>
      <c r="F416" s="8">
        <f t="shared" si="26"/>
        <v>-92.916666666666686</v>
      </c>
      <c r="G416" s="20">
        <f t="shared" si="27"/>
        <v>-1.4234875444839812</v>
      </c>
      <c r="H416" s="20">
        <f t="shared" si="28"/>
        <v>-15.290519877675845</v>
      </c>
      <c r="I416" s="20">
        <f t="shared" si="29"/>
        <v>20.151816374480404</v>
      </c>
    </row>
    <row r="417" spans="1:9" x14ac:dyDescent="0.3">
      <c r="A417" s="13">
        <f>+A416+7</f>
        <v>39014</v>
      </c>
      <c r="B417" s="8">
        <f>TWK!D150</f>
        <v>450</v>
      </c>
      <c r="C417" s="8">
        <f t="shared" si="24"/>
        <v>543.5</v>
      </c>
      <c r="D417" s="8">
        <f t="shared" si="25"/>
        <v>461</v>
      </c>
      <c r="E417" s="7">
        <v>41</v>
      </c>
      <c r="F417" s="8">
        <f t="shared" si="26"/>
        <v>11</v>
      </c>
      <c r="G417" s="20">
        <f t="shared" si="27"/>
        <v>-18.772563176895307</v>
      </c>
      <c r="H417" s="20">
        <f t="shared" si="28"/>
        <v>-23.208191126279864</v>
      </c>
      <c r="I417" s="20">
        <f t="shared" si="29"/>
        <v>-2.386117136659438</v>
      </c>
    </row>
    <row r="418" spans="1:9" x14ac:dyDescent="0.3">
      <c r="A418" s="13">
        <v>39021</v>
      </c>
      <c r="B418" s="8">
        <f>TWK!D151</f>
        <v>528</v>
      </c>
      <c r="C418" s="8">
        <f t="shared" si="24"/>
        <v>523.5</v>
      </c>
      <c r="D418" s="8">
        <f t="shared" si="25"/>
        <v>432.83333333333331</v>
      </c>
      <c r="E418" s="7">
        <v>42</v>
      </c>
      <c r="F418" s="8">
        <f t="shared" si="26"/>
        <v>-95.166666666666686</v>
      </c>
      <c r="G418" s="20">
        <f t="shared" si="27"/>
        <v>17.333333333333336</v>
      </c>
      <c r="H418" s="20">
        <f t="shared" si="28"/>
        <v>17.333333333333336</v>
      </c>
      <c r="I418" s="20">
        <f t="shared" si="29"/>
        <v>21.986907970735459</v>
      </c>
    </row>
    <row r="419" spans="1:9" x14ac:dyDescent="0.3">
      <c r="A419" s="13">
        <v>39028</v>
      </c>
      <c r="B419" s="8">
        <f>TWK!D152</f>
        <v>459</v>
      </c>
      <c r="C419" s="8">
        <f t="shared" si="24"/>
        <v>497.75</v>
      </c>
      <c r="D419" s="8">
        <f t="shared" si="25"/>
        <v>391</v>
      </c>
      <c r="E419" s="7">
        <v>43</v>
      </c>
      <c r="F419" s="8">
        <f t="shared" si="26"/>
        <v>-68</v>
      </c>
      <c r="G419" s="20">
        <f t="shared" si="27"/>
        <v>-13.068181818181824</v>
      </c>
      <c r="H419" s="20">
        <f t="shared" si="28"/>
        <v>27.855153203342621</v>
      </c>
      <c r="I419" s="20">
        <f t="shared" si="29"/>
        <v>17.391304347826097</v>
      </c>
    </row>
    <row r="420" spans="1:9" x14ac:dyDescent="0.3">
      <c r="A420" s="13">
        <v>39035</v>
      </c>
      <c r="B420" s="8">
        <f>TWK!D153</f>
        <v>445</v>
      </c>
      <c r="C420" s="8">
        <f t="shared" si="24"/>
        <v>470.5</v>
      </c>
      <c r="D420" s="8">
        <f t="shared" si="25"/>
        <v>355.58333333333331</v>
      </c>
      <c r="E420" s="7">
        <v>44</v>
      </c>
      <c r="F420" s="8">
        <f t="shared" si="26"/>
        <v>-89.416666666666686</v>
      </c>
      <c r="G420" s="20">
        <f t="shared" si="27"/>
        <v>-3.0501089324618702</v>
      </c>
      <c r="H420" s="20">
        <f t="shared" si="28"/>
        <v>18.666666666666675</v>
      </c>
      <c r="I420" s="20">
        <f t="shared" si="29"/>
        <v>25.146472931802212</v>
      </c>
    </row>
    <row r="421" spans="1:9" x14ac:dyDescent="0.3">
      <c r="A421" s="13">
        <v>39042</v>
      </c>
      <c r="B421" s="8">
        <f>TWK!D154</f>
        <v>464</v>
      </c>
      <c r="C421" s="8">
        <f t="shared" si="24"/>
        <v>474</v>
      </c>
      <c r="D421" s="8">
        <f t="shared" si="25"/>
        <v>308.08333333333331</v>
      </c>
      <c r="E421" s="7">
        <v>45</v>
      </c>
      <c r="F421" s="8">
        <f t="shared" si="26"/>
        <v>-155.91666666666669</v>
      </c>
      <c r="G421" s="20">
        <f t="shared" si="27"/>
        <v>4.2696629213483162</v>
      </c>
      <c r="H421" s="20">
        <f t="shared" si="28"/>
        <v>26.430517711171664</v>
      </c>
      <c r="I421" s="20">
        <f t="shared" si="29"/>
        <v>50.608601568839617</v>
      </c>
    </row>
    <row r="422" spans="1:9" x14ac:dyDescent="0.3">
      <c r="A422" s="13">
        <v>39049</v>
      </c>
      <c r="B422" s="8">
        <f>TWK!D155</f>
        <v>445</v>
      </c>
      <c r="C422" s="8">
        <f>AVERAGE(B419:B422)</f>
        <v>453.25</v>
      </c>
      <c r="D422" s="8">
        <f>(C266+C318+C370)/3</f>
        <v>283.91666666666669</v>
      </c>
      <c r="E422" s="7">
        <v>46</v>
      </c>
      <c r="F422" s="8">
        <f>SUM(D422-B422)</f>
        <v>-161.08333333333331</v>
      </c>
      <c r="G422" s="20">
        <f>(B422/B421-1)*100</f>
        <v>-4.094827586206895</v>
      </c>
      <c r="H422" s="20">
        <f>(B422/B370-1)*100</f>
        <v>21.584699453551902</v>
      </c>
      <c r="I422" s="20">
        <f>(B422/D422-1)*100</f>
        <v>56.736131493982953</v>
      </c>
    </row>
    <row r="423" spans="1:9" x14ac:dyDescent="0.3">
      <c r="A423" s="13">
        <v>39056</v>
      </c>
      <c r="B423" s="8">
        <f>TWK!D156</f>
        <v>377</v>
      </c>
      <c r="C423" s="8">
        <f t="shared" si="24"/>
        <v>432.75</v>
      </c>
      <c r="D423" s="8">
        <f t="shared" si="25"/>
        <v>283.66666666666669</v>
      </c>
      <c r="E423" s="7">
        <v>47</v>
      </c>
      <c r="F423" s="8">
        <f t="shared" si="26"/>
        <v>-93.333333333333314</v>
      </c>
      <c r="G423" s="20">
        <f t="shared" si="27"/>
        <v>-15.280898876404493</v>
      </c>
      <c r="H423" s="20">
        <f t="shared" si="28"/>
        <v>-21.129707112970706</v>
      </c>
      <c r="I423" s="20">
        <f t="shared" si="29"/>
        <v>32.902467685076367</v>
      </c>
    </row>
    <row r="424" spans="1:9" x14ac:dyDescent="0.3">
      <c r="A424" s="13">
        <v>39063</v>
      </c>
      <c r="B424" s="8">
        <f>TWK!D157</f>
        <v>378</v>
      </c>
      <c r="C424" s="8">
        <f t="shared" si="24"/>
        <v>416</v>
      </c>
      <c r="D424" s="8">
        <f t="shared" si="25"/>
        <v>300.41666666666669</v>
      </c>
      <c r="E424" s="7">
        <v>48</v>
      </c>
      <c r="F424" s="8">
        <f t="shared" si="26"/>
        <v>-77.583333333333314</v>
      </c>
      <c r="G424" s="20">
        <f t="shared" si="27"/>
        <v>0.26525198938991412</v>
      </c>
      <c r="H424" s="20">
        <f t="shared" si="28"/>
        <v>-31.521739130434778</v>
      </c>
      <c r="I424" s="20">
        <f t="shared" si="29"/>
        <v>25.825242718446596</v>
      </c>
    </row>
    <row r="425" spans="1:9" x14ac:dyDescent="0.3">
      <c r="A425" s="13">
        <v>39070</v>
      </c>
      <c r="B425" s="8">
        <f>TWK!D158</f>
        <v>285</v>
      </c>
      <c r="C425" s="8">
        <f>AVERAGE(B422:B425)</f>
        <v>371.25</v>
      </c>
      <c r="D425" s="8">
        <f>(C269+C321+C373)/3</f>
        <v>323.58333333333331</v>
      </c>
      <c r="E425" s="7">
        <v>49</v>
      </c>
      <c r="F425" s="8">
        <f>SUM(D425-B425)</f>
        <v>38.583333333333314</v>
      </c>
      <c r="G425" s="20">
        <f>(B425/B424-1)*100</f>
        <v>-24.603174603174605</v>
      </c>
      <c r="H425" s="20">
        <f>(B425/B373-1)*100</f>
        <v>-43.897637795275593</v>
      </c>
      <c r="I425" s="20">
        <f>(B425/D425-1)*100</f>
        <v>-11.923770280710787</v>
      </c>
    </row>
    <row r="426" spans="1:9" x14ac:dyDescent="0.3">
      <c r="A426" s="13">
        <v>39077</v>
      </c>
      <c r="B426" s="8">
        <f>TWK!D159</f>
        <v>274</v>
      </c>
      <c r="C426" s="8">
        <f t="shared" si="24"/>
        <v>328.5</v>
      </c>
      <c r="D426" s="8">
        <f t="shared" si="25"/>
        <v>335.08333333333331</v>
      </c>
      <c r="E426" s="7">
        <v>50</v>
      </c>
      <c r="F426" s="8">
        <f t="shared" si="26"/>
        <v>61.083333333333314</v>
      </c>
      <c r="G426" s="20">
        <f t="shared" si="27"/>
        <v>-3.8596491228070184</v>
      </c>
      <c r="H426" s="20">
        <f t="shared" si="28"/>
        <v>-38.1489841986456</v>
      </c>
      <c r="I426" s="20">
        <f t="shared" si="29"/>
        <v>-18.229296194976374</v>
      </c>
    </row>
    <row r="427" spans="1:9" x14ac:dyDescent="0.3">
      <c r="A427" s="13">
        <v>39084</v>
      </c>
      <c r="B427" s="8">
        <f>TWK!D160</f>
        <v>268</v>
      </c>
      <c r="C427" s="8">
        <f t="shared" ref="C427:C438" si="30">AVERAGE(B424:B427)</f>
        <v>301.25</v>
      </c>
      <c r="D427" s="8">
        <f t="shared" ref="D427:D439" si="31">(C271+C323+C375)/3</f>
        <v>329.16666666666669</v>
      </c>
      <c r="E427" s="7">
        <v>51</v>
      </c>
      <c r="F427" s="8">
        <f t="shared" ref="F427:F439" si="32">SUM(D427-B427)</f>
        <v>61.166666666666686</v>
      </c>
      <c r="G427" s="20">
        <f t="shared" ref="G427:G438" si="33">(B427/B426-1)*100</f>
        <v>-2.1897810218978075</v>
      </c>
      <c r="H427" s="20">
        <f t="shared" ref="H427:H438" si="34">(B427/B375-1)*100</f>
        <v>-34.474327628361856</v>
      </c>
      <c r="I427" s="20">
        <f t="shared" ref="I427:I438" si="35">(B427/D427-1)*100</f>
        <v>-18.582278481012658</v>
      </c>
    </row>
    <row r="428" spans="1:9" x14ac:dyDescent="0.3">
      <c r="A428" s="13">
        <v>39091</v>
      </c>
      <c r="B428" s="8">
        <f>TWK!D161</f>
        <v>268</v>
      </c>
      <c r="C428" s="8">
        <f t="shared" si="30"/>
        <v>273.75</v>
      </c>
      <c r="D428" s="8">
        <f t="shared" si="31"/>
        <v>315.5</v>
      </c>
      <c r="E428" s="7">
        <v>1</v>
      </c>
      <c r="F428" s="8">
        <f t="shared" si="32"/>
        <v>47.5</v>
      </c>
      <c r="G428" s="20">
        <f t="shared" si="33"/>
        <v>0</v>
      </c>
      <c r="H428" s="20">
        <f t="shared" si="34"/>
        <v>-29.287598944591032</v>
      </c>
      <c r="I428" s="20">
        <f t="shared" si="35"/>
        <v>-15.055467511885901</v>
      </c>
    </row>
    <row r="429" spans="1:9" x14ac:dyDescent="0.3">
      <c r="A429" s="13">
        <v>39098</v>
      </c>
      <c r="B429" s="8">
        <f>TWK!D162</f>
        <v>393</v>
      </c>
      <c r="C429" s="8">
        <f t="shared" si="30"/>
        <v>300.75</v>
      </c>
      <c r="D429" s="8">
        <f t="shared" si="31"/>
        <v>306</v>
      </c>
      <c r="E429" s="7">
        <v>2</v>
      </c>
      <c r="F429" s="8">
        <f t="shared" si="32"/>
        <v>-87</v>
      </c>
      <c r="G429" s="20">
        <f t="shared" si="33"/>
        <v>46.641791044776127</v>
      </c>
      <c r="H429" s="20">
        <f t="shared" si="34"/>
        <v>-1.749999999999996</v>
      </c>
      <c r="I429" s="20">
        <f t="shared" si="35"/>
        <v>28.431372549019617</v>
      </c>
    </row>
    <row r="430" spans="1:9" x14ac:dyDescent="0.3">
      <c r="A430" s="13">
        <v>39105</v>
      </c>
      <c r="B430" s="8">
        <f>TWK!D163</f>
        <v>286</v>
      </c>
      <c r="C430" s="8">
        <f t="shared" si="30"/>
        <v>303.75</v>
      </c>
      <c r="D430" s="8">
        <f t="shared" si="31"/>
        <v>301</v>
      </c>
      <c r="E430" s="7">
        <v>3</v>
      </c>
      <c r="F430" s="8">
        <f t="shared" si="32"/>
        <v>15</v>
      </c>
      <c r="G430" s="20">
        <f t="shared" si="33"/>
        <v>-27.226463104325703</v>
      </c>
      <c r="H430" s="20">
        <f t="shared" si="34"/>
        <v>-25.326370757180161</v>
      </c>
      <c r="I430" s="20">
        <f t="shared" si="35"/>
        <v>-4.9833887043189362</v>
      </c>
    </row>
    <row r="431" spans="1:9" x14ac:dyDescent="0.3">
      <c r="A431" s="13">
        <v>39112</v>
      </c>
      <c r="B431" s="8">
        <f>TWK!D164</f>
        <v>312</v>
      </c>
      <c r="C431" s="8">
        <f t="shared" si="30"/>
        <v>314.75</v>
      </c>
      <c r="D431" s="8">
        <f t="shared" si="31"/>
        <v>302.66666666666669</v>
      </c>
      <c r="E431" s="7">
        <v>4</v>
      </c>
      <c r="F431" s="8">
        <f t="shared" si="32"/>
        <v>-9.3333333333333144</v>
      </c>
      <c r="G431" s="20">
        <f t="shared" si="33"/>
        <v>9.0909090909090828</v>
      </c>
      <c r="H431" s="20">
        <f t="shared" si="34"/>
        <v>-24.455205811138015</v>
      </c>
      <c r="I431" s="20">
        <f t="shared" si="35"/>
        <v>3.0837004405286361</v>
      </c>
    </row>
    <row r="432" spans="1:9" x14ac:dyDescent="0.3">
      <c r="A432" s="13">
        <v>39119</v>
      </c>
      <c r="B432" s="8">
        <f>TWK!D165</f>
        <v>358</v>
      </c>
      <c r="C432" s="8">
        <f t="shared" si="30"/>
        <v>337.25</v>
      </c>
      <c r="D432" s="8">
        <f t="shared" si="31"/>
        <v>301.66666666666669</v>
      </c>
      <c r="E432" s="7">
        <v>5</v>
      </c>
      <c r="F432" s="8">
        <f t="shared" si="32"/>
        <v>-56.333333333333314</v>
      </c>
      <c r="G432" s="20">
        <f t="shared" si="33"/>
        <v>14.743589743589736</v>
      </c>
      <c r="H432" s="20">
        <f t="shared" si="34"/>
        <v>-24.631578947368425</v>
      </c>
      <c r="I432" s="20">
        <f t="shared" si="35"/>
        <v>18.674033149171265</v>
      </c>
    </row>
    <row r="433" spans="1:9" x14ac:dyDescent="0.3">
      <c r="A433" s="13">
        <v>39126</v>
      </c>
      <c r="B433" s="8">
        <f>TWK!D166</f>
        <v>370</v>
      </c>
      <c r="C433" s="8">
        <f>AVERAGE(B430:B433)</f>
        <v>331.5</v>
      </c>
      <c r="D433" s="8">
        <f>(C277+C329+C381)/3</f>
        <v>295.91666666666669</v>
      </c>
      <c r="E433" s="7">
        <v>6</v>
      </c>
      <c r="F433" s="8">
        <f>SUM(D433-B433)</f>
        <v>-74.083333333333314</v>
      </c>
      <c r="G433" s="20">
        <f>(B433/B432-1)*100</f>
        <v>3.3519553072625774</v>
      </c>
      <c r="H433" s="20">
        <f>(B433/B381-1)*100</f>
        <v>-13.348946135831385</v>
      </c>
      <c r="I433" s="20">
        <f>(B433/D433-1)*100</f>
        <v>25.035201351731896</v>
      </c>
    </row>
    <row r="434" spans="1:9" x14ac:dyDescent="0.3">
      <c r="A434" s="13">
        <v>39133</v>
      </c>
      <c r="B434" s="8">
        <f>TWK!D167</f>
        <v>364</v>
      </c>
      <c r="C434" s="8">
        <f t="shared" si="30"/>
        <v>351</v>
      </c>
      <c r="D434" s="8">
        <f t="shared" si="31"/>
        <v>293.58333333333331</v>
      </c>
      <c r="E434" s="7">
        <v>7</v>
      </c>
      <c r="F434" s="8">
        <f t="shared" si="32"/>
        <v>-70.416666666666686</v>
      </c>
      <c r="G434" s="20">
        <f t="shared" si="33"/>
        <v>-1.6216216216216162</v>
      </c>
      <c r="H434" s="20">
        <f t="shared" si="34"/>
        <v>-2.9333333333333322</v>
      </c>
      <c r="I434" s="20">
        <f t="shared" si="35"/>
        <v>23.985239852398532</v>
      </c>
    </row>
    <row r="435" spans="1:9" x14ac:dyDescent="0.3">
      <c r="A435" s="13">
        <v>39140</v>
      </c>
      <c r="B435" s="8">
        <f>TWK!D168</f>
        <v>320</v>
      </c>
      <c r="C435" s="8">
        <f t="shared" si="30"/>
        <v>353</v>
      </c>
      <c r="D435" s="8">
        <f t="shared" si="31"/>
        <v>295.5</v>
      </c>
      <c r="E435" s="7">
        <v>8</v>
      </c>
      <c r="F435" s="8">
        <f t="shared" si="32"/>
        <v>-24.5</v>
      </c>
      <c r="G435" s="20">
        <f t="shared" si="33"/>
        <v>-12.087912087912089</v>
      </c>
      <c r="H435" s="20">
        <f t="shared" si="34"/>
        <v>-16.666666666666664</v>
      </c>
      <c r="I435" s="20">
        <f t="shared" si="35"/>
        <v>8.2910321489001682</v>
      </c>
    </row>
    <row r="436" spans="1:9" x14ac:dyDescent="0.3">
      <c r="A436" s="13">
        <v>39147</v>
      </c>
      <c r="B436" s="8">
        <f>TWK!D169</f>
        <v>285</v>
      </c>
      <c r="C436" s="8">
        <f>AVERAGE(B433:B436)</f>
        <v>334.75</v>
      </c>
      <c r="D436" s="8">
        <f t="shared" si="31"/>
        <v>288.25</v>
      </c>
      <c r="E436" s="7">
        <v>9</v>
      </c>
      <c r="F436" s="8">
        <f t="shared" si="32"/>
        <v>3.25</v>
      </c>
      <c r="G436" s="20">
        <f>(B436/B435-1)*100</f>
        <v>-10.9375</v>
      </c>
      <c r="H436" s="20">
        <f>(B436/B384-1)*100</f>
        <v>-24.403183023872678</v>
      </c>
      <c r="I436" s="20">
        <f>(B436/D436-1)*100</f>
        <v>-1.1274934952298366</v>
      </c>
    </row>
    <row r="437" spans="1:9" x14ac:dyDescent="0.3">
      <c r="A437" s="13">
        <v>39154</v>
      </c>
      <c r="B437" s="8">
        <f>TWK!D170</f>
        <v>297</v>
      </c>
      <c r="C437" s="8">
        <f t="shared" si="30"/>
        <v>316.5</v>
      </c>
      <c r="D437" s="8">
        <f t="shared" si="31"/>
        <v>283.75</v>
      </c>
      <c r="E437" s="7">
        <v>10</v>
      </c>
      <c r="F437" s="8">
        <f t="shared" si="32"/>
        <v>-13.25</v>
      </c>
      <c r="G437" s="20">
        <f t="shared" si="33"/>
        <v>4.2105263157894646</v>
      </c>
      <c r="H437" s="20">
        <f t="shared" si="34"/>
        <v>-11.869436201780415</v>
      </c>
      <c r="I437" s="20">
        <f t="shared" si="35"/>
        <v>4.6696035242290712</v>
      </c>
    </row>
    <row r="438" spans="1:9" x14ac:dyDescent="0.3">
      <c r="A438" s="13">
        <v>39161</v>
      </c>
      <c r="B438" s="8">
        <f>TWK!D171</f>
        <v>268</v>
      </c>
      <c r="C438" s="8">
        <f t="shared" si="30"/>
        <v>292.5</v>
      </c>
      <c r="D438" s="8">
        <f t="shared" si="31"/>
        <v>272.91666666666669</v>
      </c>
      <c r="E438" s="7">
        <v>11</v>
      </c>
      <c r="F438" s="8">
        <f t="shared" si="32"/>
        <v>4.9166666666666856</v>
      </c>
      <c r="G438" s="20">
        <f t="shared" si="33"/>
        <v>-9.7643097643097647</v>
      </c>
      <c r="H438" s="20">
        <f t="shared" si="34"/>
        <v>-19.519519519519523</v>
      </c>
      <c r="I438" s="20">
        <f t="shared" si="35"/>
        <v>-1.8015267175572558</v>
      </c>
    </row>
    <row r="439" spans="1:9" x14ac:dyDescent="0.3">
      <c r="A439" s="13">
        <v>39168</v>
      </c>
      <c r="B439" s="8">
        <f>TWK!D172</f>
        <v>244</v>
      </c>
      <c r="C439" s="8">
        <f t="shared" ref="C439:C444" si="36">AVERAGE(B436:B439)</f>
        <v>273.5</v>
      </c>
      <c r="D439" s="8">
        <f t="shared" si="31"/>
        <v>255.5</v>
      </c>
      <c r="E439" s="7">
        <v>12</v>
      </c>
      <c r="F439" s="8">
        <f t="shared" si="32"/>
        <v>11.5</v>
      </c>
      <c r="G439" s="20">
        <f t="shared" ref="G439:G444" si="37">(B439/B438-1)*100</f>
        <v>-8.9552238805970177</v>
      </c>
      <c r="H439" s="20">
        <f t="shared" ref="H439:H444" si="38">(B439/B387-1)*100</f>
        <v>-24.22360248447205</v>
      </c>
      <c r="I439" s="20">
        <f t="shared" ref="I439:I444" si="39">(B439/D439-1)*100</f>
        <v>-4.5009784735812186</v>
      </c>
    </row>
    <row r="440" spans="1:9" x14ac:dyDescent="0.3">
      <c r="A440" s="13">
        <f t="shared" ref="A440:A445" si="40">7+A439</f>
        <v>39175</v>
      </c>
      <c r="B440" s="8">
        <f>TWK!D173</f>
        <v>237</v>
      </c>
      <c r="C440" s="8">
        <f t="shared" si="36"/>
        <v>261.5</v>
      </c>
      <c r="D440" s="8">
        <f t="shared" ref="D440:D445" si="41">(C284+C336+C388)/3</f>
        <v>255.41666666666666</v>
      </c>
      <c r="E440" s="8">
        <f>+E439+1</f>
        <v>13</v>
      </c>
      <c r="F440" s="8">
        <f t="shared" ref="F440:F445" si="42">SUM(D440-B440)</f>
        <v>18.416666666666657</v>
      </c>
      <c r="G440" s="20">
        <f t="shared" si="37"/>
        <v>-2.8688524590163911</v>
      </c>
      <c r="H440" s="20">
        <f t="shared" si="38"/>
        <v>-30.903790087463555</v>
      </c>
      <c r="I440" s="20">
        <f t="shared" si="39"/>
        <v>-7.2104404567699838</v>
      </c>
    </row>
    <row r="441" spans="1:9" x14ac:dyDescent="0.3">
      <c r="A441" s="13">
        <f t="shared" si="40"/>
        <v>39182</v>
      </c>
      <c r="B441" s="8">
        <f>TWK!D174</f>
        <v>231.25</v>
      </c>
      <c r="C441" s="8">
        <f t="shared" si="36"/>
        <v>245.0625</v>
      </c>
      <c r="D441" s="8">
        <f t="shared" si="41"/>
        <v>245.66666666666666</v>
      </c>
      <c r="E441" s="8">
        <f t="shared" ref="E441:E448" si="43">+E440+1</f>
        <v>14</v>
      </c>
      <c r="F441" s="8">
        <f t="shared" si="42"/>
        <v>14.416666666666657</v>
      </c>
      <c r="G441" s="20">
        <f t="shared" si="37"/>
        <v>-2.4261603375527407</v>
      </c>
      <c r="H441" s="20">
        <f t="shared" si="38"/>
        <v>-29.496951219512191</v>
      </c>
      <c r="I441" s="20">
        <f t="shared" si="39"/>
        <v>-5.8683853459972841</v>
      </c>
    </row>
    <row r="442" spans="1:9" x14ac:dyDescent="0.3">
      <c r="A442" s="13">
        <f t="shared" si="40"/>
        <v>39189</v>
      </c>
      <c r="B442" s="8">
        <f>TWK!D175</f>
        <v>224</v>
      </c>
      <c r="C442" s="8">
        <f t="shared" si="36"/>
        <v>234.0625</v>
      </c>
      <c r="D442" s="8">
        <f t="shared" si="41"/>
        <v>241.25</v>
      </c>
      <c r="E442" s="8">
        <f t="shared" si="43"/>
        <v>15</v>
      </c>
      <c r="F442" s="8">
        <f t="shared" si="42"/>
        <v>17.25</v>
      </c>
      <c r="G442" s="20">
        <f t="shared" si="37"/>
        <v>-3.1351351351351364</v>
      </c>
      <c r="H442" s="20">
        <f t="shared" si="38"/>
        <v>-24.067796610169488</v>
      </c>
      <c r="I442" s="20">
        <f t="shared" si="39"/>
        <v>-7.1502590673575117</v>
      </c>
    </row>
    <row r="443" spans="1:9" x14ac:dyDescent="0.3">
      <c r="A443" s="13">
        <f t="shared" si="40"/>
        <v>39196</v>
      </c>
      <c r="B443" s="8">
        <f>TWK!D176</f>
        <v>213</v>
      </c>
      <c r="C443" s="8">
        <f t="shared" si="36"/>
        <v>226.3125</v>
      </c>
      <c r="D443" s="8">
        <f t="shared" si="41"/>
        <v>236.5</v>
      </c>
      <c r="E443" s="8">
        <f t="shared" si="43"/>
        <v>16</v>
      </c>
      <c r="F443" s="8">
        <f t="shared" si="42"/>
        <v>23.5</v>
      </c>
      <c r="G443" s="20">
        <f t="shared" si="37"/>
        <v>-4.91071428571429</v>
      </c>
      <c r="H443" s="20">
        <f t="shared" si="38"/>
        <v>-26.041666666666664</v>
      </c>
      <c r="I443" s="20">
        <f t="shared" si="39"/>
        <v>-9.9365750528541241</v>
      </c>
    </row>
    <row r="444" spans="1:9" x14ac:dyDescent="0.3">
      <c r="A444" s="13">
        <f t="shared" si="40"/>
        <v>39203</v>
      </c>
      <c r="B444" s="8">
        <f>TWK!D177</f>
        <v>214.16666666666666</v>
      </c>
      <c r="C444" s="8">
        <f t="shared" si="36"/>
        <v>220.60416666666666</v>
      </c>
      <c r="D444" s="8">
        <f t="shared" si="41"/>
        <v>227.25</v>
      </c>
      <c r="E444" s="8">
        <f t="shared" si="43"/>
        <v>17</v>
      </c>
      <c r="F444" s="8">
        <f t="shared" si="42"/>
        <v>13.083333333333343</v>
      </c>
      <c r="G444" s="20">
        <f t="shared" si="37"/>
        <v>0.54773082942096707</v>
      </c>
      <c r="H444" s="20">
        <f t="shared" si="38"/>
        <v>-31.136120042872463</v>
      </c>
      <c r="I444" s="20">
        <f t="shared" si="39"/>
        <v>-5.7572423909057591</v>
      </c>
    </row>
    <row r="445" spans="1:9" x14ac:dyDescent="0.3">
      <c r="A445" s="13">
        <f t="shared" si="40"/>
        <v>39210</v>
      </c>
      <c r="B445" s="8">
        <f>TWK!D178</f>
        <v>209.16666666666666</v>
      </c>
      <c r="C445" s="8">
        <f t="shared" ref="C445:C451" si="44">AVERAGE(B442:B445)</f>
        <v>215.08333333333331</v>
      </c>
      <c r="D445" s="8">
        <f t="shared" si="41"/>
        <v>228.91666666666666</v>
      </c>
      <c r="E445" s="8">
        <f t="shared" si="43"/>
        <v>18</v>
      </c>
      <c r="F445" s="8">
        <f t="shared" si="42"/>
        <v>19.75</v>
      </c>
      <c r="G445" s="20">
        <f t="shared" ref="G445:G451" si="45">(B445/B444-1)*100</f>
        <v>-2.3346303501945553</v>
      </c>
      <c r="H445" s="20">
        <f t="shared" ref="H445:H451" si="46">(B445/B393-1)*100</f>
        <v>-40.913370998116761</v>
      </c>
      <c r="I445" s="20">
        <f t="shared" ref="I445:I451" si="47">(B445/D445-1)*100</f>
        <v>-8.6275937386239505</v>
      </c>
    </row>
    <row r="446" spans="1:9" x14ac:dyDescent="0.3">
      <c r="A446" s="13">
        <f t="shared" ref="A446:A451" si="48">7+A445</f>
        <v>39217</v>
      </c>
      <c r="B446" s="8">
        <f>TWK!D179</f>
        <v>227</v>
      </c>
      <c r="C446" s="8">
        <f t="shared" si="44"/>
        <v>215.83333333333331</v>
      </c>
      <c r="D446" s="8">
        <f t="shared" ref="D446:D451" si="49">(C290+C342+C394)/3</f>
        <v>240.41666666666666</v>
      </c>
      <c r="E446" s="8">
        <f t="shared" si="43"/>
        <v>19</v>
      </c>
      <c r="F446" s="8">
        <f t="shared" ref="F446:F451" si="50">SUM(D446-B446)</f>
        <v>13.416666666666657</v>
      </c>
      <c r="G446" s="20">
        <f t="shared" si="45"/>
        <v>8.5258964143426255</v>
      </c>
      <c r="H446" s="20">
        <f t="shared" si="46"/>
        <v>-42.239185750636132</v>
      </c>
      <c r="I446" s="20">
        <f t="shared" si="47"/>
        <v>-5.580589254766033</v>
      </c>
    </row>
    <row r="447" spans="1:9" x14ac:dyDescent="0.3">
      <c r="A447" s="13">
        <f t="shared" si="48"/>
        <v>39224</v>
      </c>
      <c r="B447" s="8">
        <f>TWK!D180</f>
        <v>275</v>
      </c>
      <c r="C447" s="8">
        <f t="shared" si="44"/>
        <v>231.33333333333331</v>
      </c>
      <c r="D447" s="8">
        <f t="shared" si="49"/>
        <v>255.08333333333334</v>
      </c>
      <c r="E447" s="8">
        <f t="shared" si="43"/>
        <v>20</v>
      </c>
      <c r="F447" s="8">
        <f t="shared" si="50"/>
        <v>-19.916666666666657</v>
      </c>
      <c r="G447" s="20">
        <f t="shared" si="45"/>
        <v>21.145374449339215</v>
      </c>
      <c r="H447" s="20">
        <f t="shared" si="46"/>
        <v>-28.385416666666664</v>
      </c>
      <c r="I447" s="20">
        <f t="shared" si="47"/>
        <v>7.8079059131002992</v>
      </c>
    </row>
    <row r="448" spans="1:9" x14ac:dyDescent="0.3">
      <c r="A448" s="13">
        <f t="shared" si="48"/>
        <v>39231</v>
      </c>
      <c r="B448" s="8">
        <f>TWK!D181</f>
        <v>326</v>
      </c>
      <c r="C448" s="8">
        <f t="shared" si="44"/>
        <v>259.29166666666663</v>
      </c>
      <c r="D448" s="8">
        <f t="shared" si="49"/>
        <v>261.83333333333331</v>
      </c>
      <c r="E448" s="8">
        <f t="shared" si="43"/>
        <v>21</v>
      </c>
      <c r="F448" s="8">
        <f t="shared" si="50"/>
        <v>-64.166666666666686</v>
      </c>
      <c r="G448" s="20">
        <f t="shared" si="45"/>
        <v>18.545454545454554</v>
      </c>
      <c r="H448" s="20">
        <f t="shared" si="46"/>
        <v>-7.1225071225071268</v>
      </c>
      <c r="I448" s="20">
        <f t="shared" si="47"/>
        <v>24.506683640993</v>
      </c>
    </row>
    <row r="449" spans="1:9" x14ac:dyDescent="0.3">
      <c r="A449" s="13">
        <f t="shared" si="48"/>
        <v>39238</v>
      </c>
      <c r="B449" s="8">
        <f>TWK!D182</f>
        <v>353.75</v>
      </c>
      <c r="C449" s="8">
        <f t="shared" si="44"/>
        <v>295.4375</v>
      </c>
      <c r="D449" s="8">
        <f t="shared" si="49"/>
        <v>264.75</v>
      </c>
      <c r="E449" s="8">
        <f t="shared" ref="E449:E455" si="51">+E448+1</f>
        <v>22</v>
      </c>
      <c r="F449" s="8">
        <f t="shared" si="50"/>
        <v>-89</v>
      </c>
      <c r="G449" s="20">
        <f t="shared" si="45"/>
        <v>8.5122699386503076</v>
      </c>
      <c r="H449" s="20">
        <f t="shared" si="46"/>
        <v>-5.4144385026738018</v>
      </c>
      <c r="I449" s="20">
        <f t="shared" si="47"/>
        <v>33.616619452313515</v>
      </c>
    </row>
    <row r="450" spans="1:9" x14ac:dyDescent="0.3">
      <c r="A450" s="13">
        <f t="shared" si="48"/>
        <v>39245</v>
      </c>
      <c r="B450" s="8">
        <v>330</v>
      </c>
      <c r="C450" s="8">
        <f t="shared" si="44"/>
        <v>321.1875</v>
      </c>
      <c r="D450" s="8">
        <f t="shared" si="49"/>
        <v>260.5</v>
      </c>
      <c r="E450" s="8">
        <f t="shared" si="51"/>
        <v>23</v>
      </c>
      <c r="F450" s="8">
        <f t="shared" si="50"/>
        <v>-69.5</v>
      </c>
      <c r="G450" s="20">
        <f t="shared" si="45"/>
        <v>-6.7137809187279185</v>
      </c>
      <c r="H450" s="20">
        <f t="shared" si="46"/>
        <v>-14.728682170542641</v>
      </c>
      <c r="I450" s="20">
        <f t="shared" si="47"/>
        <v>26.679462571976977</v>
      </c>
    </row>
    <row r="451" spans="1:9" x14ac:dyDescent="0.3">
      <c r="A451" s="13">
        <f t="shared" si="48"/>
        <v>39252</v>
      </c>
      <c r="B451" s="8">
        <v>345</v>
      </c>
      <c r="C451" s="8">
        <f t="shared" si="44"/>
        <v>338.6875</v>
      </c>
      <c r="D451" s="8">
        <f t="shared" si="49"/>
        <v>253.66666666666666</v>
      </c>
      <c r="E451" s="8">
        <f t="shared" si="51"/>
        <v>24</v>
      </c>
      <c r="F451" s="8">
        <f t="shared" si="50"/>
        <v>-91.333333333333343</v>
      </c>
      <c r="G451" s="20">
        <f t="shared" si="45"/>
        <v>4.5454545454545414</v>
      </c>
      <c r="H451" s="20">
        <f t="shared" si="46"/>
        <v>-9.6858638743455465</v>
      </c>
      <c r="I451" s="20">
        <f t="shared" si="47"/>
        <v>36.005256241787123</v>
      </c>
    </row>
    <row r="452" spans="1:9" x14ac:dyDescent="0.3">
      <c r="A452" s="13">
        <v>39259</v>
      </c>
      <c r="B452" s="8">
        <v>369</v>
      </c>
      <c r="C452" s="8">
        <f t="shared" ref="C452:C458" si="52">AVERAGE(B449:B452)</f>
        <v>349.4375</v>
      </c>
      <c r="D452" s="8">
        <f t="shared" ref="D452:D458" si="53">(C296+C348+C400)/3</f>
        <v>256.16666666666669</v>
      </c>
      <c r="E452" s="8">
        <f t="shared" si="51"/>
        <v>25</v>
      </c>
      <c r="F452" s="8">
        <f t="shared" ref="F452:F458" si="54">SUM(D452-B452)</f>
        <v>-112.83333333333331</v>
      </c>
      <c r="G452" s="20">
        <f t="shared" ref="G452:G458" si="55">(B452/B451-1)*100</f>
        <v>6.956521739130439</v>
      </c>
      <c r="H452" s="20">
        <f t="shared" ref="H452:H458" si="56">(B452/B400-1)*100</f>
        <v>-11.298076923076927</v>
      </c>
      <c r="I452" s="20">
        <f t="shared" ref="I452:I458" si="57">(B452/D452-1)*100</f>
        <v>44.04684450227716</v>
      </c>
    </row>
    <row r="453" spans="1:9" x14ac:dyDescent="0.3">
      <c r="A453" s="13">
        <v>39266</v>
      </c>
      <c r="B453" s="8">
        <v>360</v>
      </c>
      <c r="C453" s="8">
        <f t="shared" si="52"/>
        <v>351</v>
      </c>
      <c r="D453" s="8">
        <f t="shared" si="53"/>
        <v>262.16666666666669</v>
      </c>
      <c r="E453" s="8">
        <f t="shared" si="51"/>
        <v>26</v>
      </c>
      <c r="F453" s="8">
        <f t="shared" si="54"/>
        <v>-97.833333333333314</v>
      </c>
      <c r="G453" s="20">
        <f t="shared" si="55"/>
        <v>-2.4390243902439046</v>
      </c>
      <c r="H453" s="20">
        <f t="shared" si="56"/>
        <v>-18.735891647855528</v>
      </c>
      <c r="I453" s="20">
        <f t="shared" si="57"/>
        <v>37.317228226319131</v>
      </c>
    </row>
    <row r="454" spans="1:9" x14ac:dyDescent="0.3">
      <c r="A454" s="13">
        <v>39273</v>
      </c>
      <c r="B454" s="8">
        <v>356</v>
      </c>
      <c r="C454" s="8">
        <f t="shared" si="52"/>
        <v>357.5</v>
      </c>
      <c r="D454" s="8">
        <f t="shared" si="53"/>
        <v>273.58333333333331</v>
      </c>
      <c r="E454" s="8">
        <f t="shared" si="51"/>
        <v>27</v>
      </c>
      <c r="F454" s="8">
        <f t="shared" si="54"/>
        <v>-82.416666666666686</v>
      </c>
      <c r="G454" s="20">
        <f t="shared" si="55"/>
        <v>-1.1111111111111072</v>
      </c>
      <c r="H454" s="20">
        <f t="shared" si="56"/>
        <v>-27.789046653144013</v>
      </c>
      <c r="I454" s="20">
        <f t="shared" si="57"/>
        <v>30.124885775205623</v>
      </c>
    </row>
    <row r="455" spans="1:9" x14ac:dyDescent="0.3">
      <c r="A455" s="13">
        <v>39280</v>
      </c>
      <c r="B455" s="8">
        <v>439</v>
      </c>
      <c r="C455" s="8">
        <f t="shared" si="52"/>
        <v>381</v>
      </c>
      <c r="D455" s="8">
        <f t="shared" si="53"/>
        <v>294.33333333333331</v>
      </c>
      <c r="E455" s="8">
        <f t="shared" si="51"/>
        <v>28</v>
      </c>
      <c r="F455" s="8">
        <f t="shared" si="54"/>
        <v>-144.66666666666669</v>
      </c>
      <c r="G455" s="20">
        <f t="shared" si="55"/>
        <v>23.314606741573041</v>
      </c>
      <c r="H455" s="20">
        <f t="shared" si="56"/>
        <v>-16.539923954372625</v>
      </c>
      <c r="I455" s="20">
        <f t="shared" si="57"/>
        <v>49.150622876557208</v>
      </c>
    </row>
    <row r="456" spans="1:9" x14ac:dyDescent="0.3">
      <c r="A456" s="13">
        <v>39287</v>
      </c>
      <c r="B456" s="8">
        <v>458</v>
      </c>
      <c r="C456" s="8">
        <f t="shared" si="52"/>
        <v>403.25</v>
      </c>
      <c r="D456" s="8">
        <f t="shared" si="53"/>
        <v>307.83333333333331</v>
      </c>
      <c r="E456" s="8">
        <f t="shared" ref="E456:E461" si="58">+E455+1</f>
        <v>29</v>
      </c>
      <c r="F456" s="8">
        <f t="shared" si="54"/>
        <v>-150.16666666666669</v>
      </c>
      <c r="G456" s="20">
        <f t="shared" si="55"/>
        <v>4.3280182232346309</v>
      </c>
      <c r="H456" s="20">
        <f t="shared" si="56"/>
        <v>-7.4747474747474785</v>
      </c>
      <c r="I456" s="20">
        <f t="shared" si="57"/>
        <v>48.781808337845156</v>
      </c>
    </row>
    <row r="457" spans="1:9" x14ac:dyDescent="0.3">
      <c r="A457" s="13">
        <v>39294</v>
      </c>
      <c r="B457" s="8">
        <f>TWK!D190</f>
        <v>395</v>
      </c>
      <c r="C457" s="8">
        <f t="shared" si="52"/>
        <v>412</v>
      </c>
      <c r="D457" s="8">
        <f t="shared" si="53"/>
        <v>317.75</v>
      </c>
      <c r="E457" s="8">
        <f t="shared" si="58"/>
        <v>30</v>
      </c>
      <c r="F457" s="8">
        <f t="shared" si="54"/>
        <v>-77.25</v>
      </c>
      <c r="G457" s="20">
        <f t="shared" si="55"/>
        <v>-13.755458515283847</v>
      </c>
      <c r="H457" s="20">
        <f t="shared" si="56"/>
        <v>-20.682730923694781</v>
      </c>
      <c r="I457" s="20">
        <f t="shared" si="57"/>
        <v>24.311565696302129</v>
      </c>
    </row>
    <row r="458" spans="1:9" x14ac:dyDescent="0.3">
      <c r="A458" s="13">
        <v>39301</v>
      </c>
      <c r="B458" s="8">
        <f>TWK!D191</f>
        <v>446</v>
      </c>
      <c r="C458" s="8">
        <f t="shared" si="52"/>
        <v>434.5</v>
      </c>
      <c r="D458" s="8">
        <f t="shared" si="53"/>
        <v>331.75</v>
      </c>
      <c r="E458" s="8">
        <f t="shared" si="58"/>
        <v>31</v>
      </c>
      <c r="F458" s="8">
        <f t="shared" si="54"/>
        <v>-114.25</v>
      </c>
      <c r="G458" s="20">
        <f t="shared" si="55"/>
        <v>12.911392405063292</v>
      </c>
      <c r="H458" s="20">
        <f t="shared" si="56"/>
        <v>-22.02797202797203</v>
      </c>
      <c r="I458" s="20">
        <f t="shared" si="57"/>
        <v>34.438583270535041</v>
      </c>
    </row>
    <row r="459" spans="1:9" x14ac:dyDescent="0.3">
      <c r="A459" s="13">
        <f t="shared" ref="A459:A464" si="59">7+A458</f>
        <v>39308</v>
      </c>
      <c r="B459" s="8">
        <f>TWK!D192</f>
        <v>531</v>
      </c>
      <c r="C459" s="8">
        <f t="shared" ref="C459:C464" si="60">AVERAGE(B456:B459)</f>
        <v>457.5</v>
      </c>
      <c r="D459" s="8">
        <f t="shared" ref="D459:D464" si="61">(C303+C355+C407)/3</f>
        <v>342.08333333333331</v>
      </c>
      <c r="E459" s="8">
        <f t="shared" si="58"/>
        <v>32</v>
      </c>
      <c r="F459" s="8">
        <f t="shared" ref="F459:F464" si="62">SUM(D459-B459)</f>
        <v>-188.91666666666669</v>
      </c>
      <c r="G459" s="20">
        <f t="shared" ref="G459:G464" si="63">(B459/B458-1)*100</f>
        <v>19.058295964125559</v>
      </c>
      <c r="H459" s="20">
        <f t="shared" ref="H459:H464" si="64">(B459/B407-1)*100</f>
        <v>-6.678383128295251</v>
      </c>
      <c r="I459" s="20">
        <f t="shared" ref="I459:I464" si="65">(B459/D459-1)*100</f>
        <v>55.225334957369078</v>
      </c>
    </row>
    <row r="460" spans="1:9" x14ac:dyDescent="0.3">
      <c r="A460" s="13">
        <f t="shared" si="59"/>
        <v>39315</v>
      </c>
      <c r="B460" s="8">
        <f>TWK!D193</f>
        <v>578</v>
      </c>
      <c r="C460" s="8">
        <f t="shared" si="60"/>
        <v>487.5</v>
      </c>
      <c r="D460" s="8">
        <f t="shared" si="61"/>
        <v>355.91666666666669</v>
      </c>
      <c r="E460" s="8">
        <f t="shared" si="58"/>
        <v>33</v>
      </c>
      <c r="F460" s="8">
        <f t="shared" si="62"/>
        <v>-222.08333333333331</v>
      </c>
      <c r="G460" s="20">
        <f t="shared" si="63"/>
        <v>8.851224105461398</v>
      </c>
      <c r="H460" s="20">
        <f t="shared" si="64"/>
        <v>-0.17271157167529916</v>
      </c>
      <c r="I460" s="20">
        <f t="shared" si="65"/>
        <v>62.397564973074203</v>
      </c>
    </row>
    <row r="461" spans="1:9" x14ac:dyDescent="0.3">
      <c r="A461" s="13">
        <f t="shared" si="59"/>
        <v>39322</v>
      </c>
      <c r="B461" s="8">
        <f>TWK!D194</f>
        <v>698</v>
      </c>
      <c r="C461" s="8">
        <f t="shared" si="60"/>
        <v>563.25</v>
      </c>
      <c r="D461" s="8">
        <f t="shared" si="61"/>
        <v>383.33333333333331</v>
      </c>
      <c r="E461" s="8">
        <f t="shared" si="58"/>
        <v>34</v>
      </c>
      <c r="F461" s="8">
        <f t="shared" si="62"/>
        <v>-314.66666666666669</v>
      </c>
      <c r="G461" s="20">
        <f t="shared" si="63"/>
        <v>20.761245674740493</v>
      </c>
      <c r="H461" s="20">
        <f t="shared" si="64"/>
        <v>22.671353251318106</v>
      </c>
      <c r="I461" s="20">
        <f t="shared" si="65"/>
        <v>82.08695652173914</v>
      </c>
    </row>
    <row r="462" spans="1:9" x14ac:dyDescent="0.3">
      <c r="A462" s="13">
        <f t="shared" si="59"/>
        <v>39329</v>
      </c>
      <c r="B462" s="8">
        <f>TWK!D195</f>
        <v>810</v>
      </c>
      <c r="C462" s="8">
        <f t="shared" si="60"/>
        <v>654.25</v>
      </c>
      <c r="D462" s="8">
        <f t="shared" si="61"/>
        <v>402.25</v>
      </c>
      <c r="E462" s="8">
        <f t="shared" ref="E462:E467" si="66">+E461+1</f>
        <v>35</v>
      </c>
      <c r="F462" s="8">
        <f t="shared" si="62"/>
        <v>-407.75</v>
      </c>
      <c r="G462" s="20">
        <f t="shared" si="63"/>
        <v>16.045845272206293</v>
      </c>
      <c r="H462" s="20">
        <f t="shared" si="64"/>
        <v>60.714285714285722</v>
      </c>
      <c r="I462" s="20">
        <f t="shared" si="65"/>
        <v>101.36730888750778</v>
      </c>
    </row>
    <row r="463" spans="1:9" x14ac:dyDescent="0.3">
      <c r="A463" s="13">
        <f t="shared" si="59"/>
        <v>39336</v>
      </c>
      <c r="B463" s="8">
        <f>TWK!D196</f>
        <v>688</v>
      </c>
      <c r="C463" s="8">
        <f t="shared" si="60"/>
        <v>693.5</v>
      </c>
      <c r="D463" s="8">
        <f t="shared" si="61"/>
        <v>437.66666666666669</v>
      </c>
      <c r="E463" s="8">
        <f t="shared" si="66"/>
        <v>36</v>
      </c>
      <c r="F463" s="8">
        <f t="shared" si="62"/>
        <v>-250.33333333333331</v>
      </c>
      <c r="G463" s="20">
        <f t="shared" si="63"/>
        <v>-15.061728395061724</v>
      </c>
      <c r="H463" s="20">
        <f t="shared" si="64"/>
        <v>33.852140077821005</v>
      </c>
      <c r="I463" s="20">
        <f t="shared" si="65"/>
        <v>57.197258187357193</v>
      </c>
    </row>
    <row r="464" spans="1:9" x14ac:dyDescent="0.3">
      <c r="A464" s="13">
        <f t="shared" si="59"/>
        <v>39343</v>
      </c>
      <c r="B464" s="8">
        <f>TWK!D197</f>
        <v>746</v>
      </c>
      <c r="C464" s="8">
        <f t="shared" si="60"/>
        <v>735.5</v>
      </c>
      <c r="D464" s="8">
        <f t="shared" si="61"/>
        <v>465.5</v>
      </c>
      <c r="E464" s="8">
        <f t="shared" si="66"/>
        <v>37</v>
      </c>
      <c r="F464" s="8">
        <f t="shared" si="62"/>
        <v>-280.5</v>
      </c>
      <c r="G464" s="20">
        <f t="shared" si="63"/>
        <v>8.4302325581395277</v>
      </c>
      <c r="H464" s="20">
        <f t="shared" si="64"/>
        <v>38.148148148148152</v>
      </c>
      <c r="I464" s="20">
        <f t="shared" si="65"/>
        <v>60.257787325456505</v>
      </c>
    </row>
    <row r="465" spans="1:9" x14ac:dyDescent="0.3">
      <c r="A465" s="13">
        <f t="shared" ref="A465:A470" si="67">7+A464</f>
        <v>39350</v>
      </c>
      <c r="B465" s="8">
        <f>TWK!D198</f>
        <v>653</v>
      </c>
      <c r="C465" s="8">
        <f t="shared" ref="C465:C471" si="68">AVERAGE(B462:B465)</f>
        <v>724.25</v>
      </c>
      <c r="D465" s="8">
        <f t="shared" ref="D465:D472" si="69">(C309+C361+C413)/3</f>
        <v>494.66666666666669</v>
      </c>
      <c r="E465" s="8">
        <f t="shared" si="66"/>
        <v>38</v>
      </c>
      <c r="F465" s="8">
        <f t="shared" ref="F465:F471" si="70">SUM(D465-B465)</f>
        <v>-158.33333333333331</v>
      </c>
      <c r="G465" s="20">
        <f t="shared" ref="G465:G471" si="71">(B465/B464-1)*100</f>
        <v>-12.466487935656833</v>
      </c>
      <c r="H465" s="20">
        <f t="shared" ref="H465:H471" si="72">(B465/B413-1)*100</f>
        <v>12.392426850258165</v>
      </c>
      <c r="I465" s="20">
        <f t="shared" ref="I465:I471" si="73">(B465/D465-1)*100</f>
        <v>32.008086253369264</v>
      </c>
    </row>
    <row r="466" spans="1:9" x14ac:dyDescent="0.3">
      <c r="A466" s="13">
        <f t="shared" si="67"/>
        <v>39357</v>
      </c>
      <c r="B466" s="8">
        <f>TWK!D199</f>
        <v>671</v>
      </c>
      <c r="C466" s="8">
        <f t="shared" si="68"/>
        <v>689.5</v>
      </c>
      <c r="D466" s="8">
        <f t="shared" si="69"/>
        <v>532.33333333333337</v>
      </c>
      <c r="E466" s="8">
        <f t="shared" si="66"/>
        <v>39</v>
      </c>
      <c r="F466" s="8">
        <f t="shared" si="70"/>
        <v>-138.66666666666663</v>
      </c>
      <c r="G466" s="20">
        <f t="shared" si="71"/>
        <v>2.7565084226646164</v>
      </c>
      <c r="H466" s="20">
        <f t="shared" si="72"/>
        <v>10.361842105263165</v>
      </c>
      <c r="I466" s="20">
        <f t="shared" si="73"/>
        <v>26.048841577958658</v>
      </c>
    </row>
    <row r="467" spans="1:9" x14ac:dyDescent="0.3">
      <c r="A467" s="13">
        <f t="shared" si="67"/>
        <v>39364</v>
      </c>
      <c r="B467" s="8">
        <f>TWK!D200</f>
        <v>640</v>
      </c>
      <c r="C467" s="8">
        <f t="shared" si="68"/>
        <v>677.5</v>
      </c>
      <c r="D467" s="8">
        <f t="shared" si="69"/>
        <v>549.08333333333337</v>
      </c>
      <c r="E467" s="8">
        <f t="shared" si="66"/>
        <v>40</v>
      </c>
      <c r="F467" s="8">
        <f t="shared" si="70"/>
        <v>-90.916666666666629</v>
      </c>
      <c r="G467" s="20">
        <f t="shared" si="71"/>
        <v>-4.6199701937406861</v>
      </c>
      <c r="H467" s="20">
        <f t="shared" si="72"/>
        <v>13.879003558718871</v>
      </c>
      <c r="I467" s="20">
        <f t="shared" si="73"/>
        <v>16.557899529518892</v>
      </c>
    </row>
    <row r="468" spans="1:9" x14ac:dyDescent="0.3">
      <c r="A468" s="13">
        <f t="shared" si="67"/>
        <v>39371</v>
      </c>
      <c r="B468" s="8">
        <f>TWK!D201</f>
        <v>526</v>
      </c>
      <c r="C468" s="8">
        <f t="shared" si="68"/>
        <v>622.5</v>
      </c>
      <c r="D468" s="8">
        <f t="shared" si="69"/>
        <v>555.41666666666663</v>
      </c>
      <c r="E468" s="8">
        <f t="shared" ref="E468:E473" si="74">+E467+1</f>
        <v>41</v>
      </c>
      <c r="F468" s="8">
        <f t="shared" si="70"/>
        <v>29.416666666666629</v>
      </c>
      <c r="G468" s="20">
        <f t="shared" si="71"/>
        <v>-17.812499999999996</v>
      </c>
      <c r="H468" s="20">
        <f t="shared" si="72"/>
        <v>-5.0541516245487417</v>
      </c>
      <c r="I468" s="20">
        <f t="shared" si="73"/>
        <v>-5.2963240810202539</v>
      </c>
    </row>
    <row r="469" spans="1:9" x14ac:dyDescent="0.3">
      <c r="A469" s="13">
        <f t="shared" si="67"/>
        <v>39378</v>
      </c>
      <c r="B469" s="8">
        <f>TWK!D202</f>
        <v>533.33333333333337</v>
      </c>
      <c r="C469" s="8">
        <f t="shared" si="68"/>
        <v>592.58333333333337</v>
      </c>
      <c r="D469" s="8">
        <f t="shared" si="69"/>
        <v>540.33333333333337</v>
      </c>
      <c r="E469" s="8">
        <f t="shared" si="74"/>
        <v>42</v>
      </c>
      <c r="F469" s="8">
        <f t="shared" si="70"/>
        <v>7</v>
      </c>
      <c r="G469" s="20">
        <f t="shared" si="71"/>
        <v>1.3941698352344822</v>
      </c>
      <c r="H469" s="20">
        <f t="shared" si="72"/>
        <v>18.518518518518533</v>
      </c>
      <c r="I469" s="20">
        <f t="shared" si="73"/>
        <v>-1.2954966070326979</v>
      </c>
    </row>
    <row r="470" spans="1:9" x14ac:dyDescent="0.3">
      <c r="A470" s="13">
        <f t="shared" si="67"/>
        <v>39385</v>
      </c>
      <c r="B470" s="8">
        <f>TWK!D203</f>
        <v>456</v>
      </c>
      <c r="C470" s="8">
        <f t="shared" si="68"/>
        <v>538.83333333333337</v>
      </c>
      <c r="D470" s="8">
        <f t="shared" si="69"/>
        <v>507.25</v>
      </c>
      <c r="E470" s="8">
        <f t="shared" si="74"/>
        <v>43</v>
      </c>
      <c r="F470" s="8">
        <f t="shared" si="70"/>
        <v>51.25</v>
      </c>
      <c r="G470" s="20">
        <f t="shared" si="71"/>
        <v>-14.500000000000002</v>
      </c>
      <c r="H470" s="20">
        <f t="shared" si="72"/>
        <v>-13.636363636363635</v>
      </c>
      <c r="I470" s="20">
        <f t="shared" si="73"/>
        <v>-10.103499260719563</v>
      </c>
    </row>
    <row r="471" spans="1:9" x14ac:dyDescent="0.3">
      <c r="A471" s="13">
        <f t="shared" ref="A471:A476" si="75">7+A470</f>
        <v>39392</v>
      </c>
      <c r="B471" s="8">
        <f>TWK!D204</f>
        <v>417.5</v>
      </c>
      <c r="C471" s="8">
        <f t="shared" si="68"/>
        <v>483.20833333333337</v>
      </c>
      <c r="D471" s="8">
        <f t="shared" si="69"/>
        <v>461.33333333333331</v>
      </c>
      <c r="E471" s="8">
        <f t="shared" si="74"/>
        <v>44</v>
      </c>
      <c r="F471" s="8">
        <f t="shared" si="70"/>
        <v>43.833333333333314</v>
      </c>
      <c r="G471" s="20">
        <f t="shared" si="71"/>
        <v>-8.4429824561403457</v>
      </c>
      <c r="H471" s="20">
        <f t="shared" si="72"/>
        <v>-9.0413943355119883</v>
      </c>
      <c r="I471" s="20">
        <f t="shared" si="73"/>
        <v>-9.5014450867051963</v>
      </c>
    </row>
    <row r="472" spans="1:9" x14ac:dyDescent="0.3">
      <c r="A472" s="13">
        <f t="shared" si="75"/>
        <v>39399</v>
      </c>
      <c r="B472" s="8">
        <f>TWK!D205</f>
        <v>438</v>
      </c>
      <c r="C472" s="8">
        <f t="shared" ref="C472:C478" si="76">AVERAGE(B469:B472)</f>
        <v>461.20833333333337</v>
      </c>
      <c r="D472" s="8">
        <f t="shared" si="69"/>
        <v>426.08333333333331</v>
      </c>
      <c r="E472" s="8">
        <f t="shared" si="74"/>
        <v>45</v>
      </c>
      <c r="F472" s="8">
        <f t="shared" ref="F472:F478" si="77">SUM(D472-B472)</f>
        <v>-11.916666666666686</v>
      </c>
      <c r="G472" s="20">
        <f t="shared" ref="G472:G478" si="78">(B472/B471-1)*100</f>
        <v>4.9101796407185594</v>
      </c>
      <c r="H472" s="20">
        <f t="shared" ref="H472:H478" si="79">(B472/B420-1)*100</f>
        <v>-1.5730337078651679</v>
      </c>
      <c r="I472" s="20">
        <f t="shared" ref="I472:I478" si="80">(B472/D472-1)*100</f>
        <v>2.7967924897320584</v>
      </c>
    </row>
    <row r="473" spans="1:9" x14ac:dyDescent="0.3">
      <c r="A473" s="13">
        <f t="shared" si="75"/>
        <v>39406</v>
      </c>
      <c r="B473" s="8">
        <f>TWK!D206</f>
        <v>406</v>
      </c>
      <c r="C473" s="8">
        <f t="shared" si="76"/>
        <v>429.375</v>
      </c>
      <c r="D473" s="8">
        <f t="shared" ref="D473:D479" si="81">(C317+C369+C421)/3</f>
        <v>393.41666666666669</v>
      </c>
      <c r="E473" s="8">
        <f t="shared" si="74"/>
        <v>46</v>
      </c>
      <c r="F473" s="8">
        <f t="shared" si="77"/>
        <v>-12.583333333333314</v>
      </c>
      <c r="G473" s="20">
        <f t="shared" si="78"/>
        <v>-7.3059360730593603</v>
      </c>
      <c r="H473" s="20">
        <f t="shared" si="79"/>
        <v>-12.5</v>
      </c>
      <c r="I473" s="20">
        <f t="shared" si="80"/>
        <v>3.1984748993857171</v>
      </c>
    </row>
    <row r="474" spans="1:9" x14ac:dyDescent="0.3">
      <c r="A474" s="13">
        <f t="shared" si="75"/>
        <v>39413</v>
      </c>
      <c r="B474" s="8">
        <f>TWK!D207</f>
        <v>387</v>
      </c>
      <c r="C474" s="8">
        <f t="shared" si="76"/>
        <v>412.125</v>
      </c>
      <c r="D474" s="8">
        <f t="shared" si="81"/>
        <v>368.75</v>
      </c>
      <c r="E474" s="8">
        <f t="shared" ref="E474:E479" si="82">+E473+1</f>
        <v>47</v>
      </c>
      <c r="F474" s="8">
        <f t="shared" si="77"/>
        <v>-18.25</v>
      </c>
      <c r="G474" s="20">
        <f t="shared" si="78"/>
        <v>-4.6798029556650249</v>
      </c>
      <c r="H474" s="20">
        <f t="shared" si="79"/>
        <v>-13.033707865168543</v>
      </c>
      <c r="I474" s="20">
        <f t="shared" si="80"/>
        <v>4.9491525423728921</v>
      </c>
    </row>
    <row r="475" spans="1:9" x14ac:dyDescent="0.3">
      <c r="A475" s="13">
        <f t="shared" si="75"/>
        <v>39420</v>
      </c>
      <c r="B475" s="8">
        <f>TWK!D208</f>
        <v>386.66666666666669</v>
      </c>
      <c r="C475" s="8">
        <f t="shared" si="76"/>
        <v>404.41666666666669</v>
      </c>
      <c r="D475" s="8">
        <f t="shared" si="81"/>
        <v>361.33333333333331</v>
      </c>
      <c r="E475" s="8">
        <f t="shared" si="82"/>
        <v>48</v>
      </c>
      <c r="F475" s="8">
        <f t="shared" si="77"/>
        <v>-25.333333333333371</v>
      </c>
      <c r="G475" s="20">
        <f t="shared" si="78"/>
        <v>-8.6132644272174375E-2</v>
      </c>
      <c r="H475" s="20">
        <f t="shared" si="79"/>
        <v>2.5641025641025772</v>
      </c>
      <c r="I475" s="20">
        <f t="shared" si="80"/>
        <v>7.0110701107011231</v>
      </c>
    </row>
    <row r="476" spans="1:9" x14ac:dyDescent="0.3">
      <c r="A476" s="13">
        <f t="shared" si="75"/>
        <v>39427</v>
      </c>
      <c r="B476" s="8">
        <f>TWK!D209</f>
        <v>400</v>
      </c>
      <c r="C476" s="8">
        <f t="shared" si="76"/>
        <v>394.91666666666669</v>
      </c>
      <c r="D476" s="8">
        <f t="shared" si="81"/>
        <v>370.75</v>
      </c>
      <c r="E476" s="8">
        <f t="shared" si="82"/>
        <v>49</v>
      </c>
      <c r="F476" s="8">
        <f t="shared" si="77"/>
        <v>-29.25</v>
      </c>
      <c r="G476" s="20">
        <f t="shared" si="78"/>
        <v>3.4482758620689502</v>
      </c>
      <c r="H476" s="20">
        <f t="shared" si="79"/>
        <v>5.8201058201058142</v>
      </c>
      <c r="I476" s="20">
        <f t="shared" si="80"/>
        <v>7.8894133513149001</v>
      </c>
    </row>
    <row r="477" spans="1:9" x14ac:dyDescent="0.3">
      <c r="A477" s="13">
        <f t="shared" ref="A477:A482" si="83">7+A476</f>
        <v>39434</v>
      </c>
      <c r="B477" s="8">
        <f>TWK!D210</f>
        <v>377</v>
      </c>
      <c r="C477" s="8">
        <f t="shared" si="76"/>
        <v>387.66666666666669</v>
      </c>
      <c r="D477" s="8">
        <f t="shared" si="81"/>
        <v>376.75</v>
      </c>
      <c r="E477" s="8">
        <f t="shared" si="82"/>
        <v>50</v>
      </c>
      <c r="F477" s="8">
        <f t="shared" si="77"/>
        <v>-0.25</v>
      </c>
      <c r="G477" s="20">
        <f t="shared" si="78"/>
        <v>-5.75</v>
      </c>
      <c r="H477" s="20">
        <f t="shared" si="79"/>
        <v>32.280701754385952</v>
      </c>
      <c r="I477" s="20">
        <f t="shared" si="80"/>
        <v>6.6357000663574972E-2</v>
      </c>
    </row>
    <row r="478" spans="1:9" x14ac:dyDescent="0.3">
      <c r="A478" s="13">
        <f t="shared" si="83"/>
        <v>39441</v>
      </c>
      <c r="B478" s="8">
        <f>TWK!D211</f>
        <v>367</v>
      </c>
      <c r="C478" s="8">
        <f t="shared" si="76"/>
        <v>382.66666666666669</v>
      </c>
      <c r="D478" s="8">
        <f t="shared" si="81"/>
        <v>373.91666666666669</v>
      </c>
      <c r="E478" s="8">
        <f t="shared" si="82"/>
        <v>51</v>
      </c>
      <c r="F478" s="8">
        <f t="shared" si="77"/>
        <v>6.9166666666666856</v>
      </c>
      <c r="G478" s="20">
        <f t="shared" si="78"/>
        <v>-2.6525198938992078</v>
      </c>
      <c r="H478" s="20">
        <f t="shared" si="79"/>
        <v>33.941605839416056</v>
      </c>
      <c r="I478" s="20">
        <f t="shared" si="80"/>
        <v>-1.8497882772453789</v>
      </c>
    </row>
    <row r="479" spans="1:9" x14ac:dyDescent="0.3">
      <c r="A479" s="13">
        <f t="shared" si="83"/>
        <v>39448</v>
      </c>
      <c r="B479" s="8">
        <f>TWK!D212</f>
        <v>360</v>
      </c>
      <c r="C479" s="8">
        <f t="shared" ref="C479:C485" si="84">AVERAGE(B476:B479)</f>
        <v>376</v>
      </c>
      <c r="D479" s="8">
        <f t="shared" si="81"/>
        <v>360.41666666666669</v>
      </c>
      <c r="E479" s="8">
        <f t="shared" si="82"/>
        <v>52</v>
      </c>
      <c r="F479" s="8">
        <f t="shared" ref="F479:F485" si="85">SUM(D479-B479)</f>
        <v>0.41666666666668561</v>
      </c>
      <c r="G479" s="20">
        <f t="shared" ref="G479:G485" si="86">(B479/B478-1)*100</f>
        <v>-1.9073569482288777</v>
      </c>
      <c r="H479" s="20">
        <f t="shared" ref="H479:H485" si="87">(B479/B427-1)*100</f>
        <v>34.328358208955237</v>
      </c>
      <c r="I479" s="20">
        <f t="shared" ref="I479:I485" si="88">(B479/D479-1)*100</f>
        <v>-0.11560693641619046</v>
      </c>
    </row>
    <row r="480" spans="1:9" x14ac:dyDescent="0.3">
      <c r="A480" s="13">
        <f t="shared" si="83"/>
        <v>39455</v>
      </c>
      <c r="B480" s="8">
        <f>TWK!D213</f>
        <v>351</v>
      </c>
      <c r="C480" s="8">
        <f t="shared" si="84"/>
        <v>363.75</v>
      </c>
      <c r="D480" s="8">
        <f t="shared" ref="D480:D486" si="89">(C324+C376+C428)/3</f>
        <v>338.75</v>
      </c>
      <c r="E480" s="8">
        <v>1</v>
      </c>
      <c r="F480" s="8">
        <f t="shared" si="85"/>
        <v>-12.25</v>
      </c>
      <c r="G480" s="20">
        <f t="shared" si="86"/>
        <v>-2.5000000000000022</v>
      </c>
      <c r="H480" s="20">
        <f t="shared" si="87"/>
        <v>30.970149253731339</v>
      </c>
      <c r="I480" s="20">
        <f t="shared" si="88"/>
        <v>3.616236162361619</v>
      </c>
    </row>
    <row r="481" spans="1:9" x14ac:dyDescent="0.3">
      <c r="A481" s="13">
        <f t="shared" si="83"/>
        <v>39462</v>
      </c>
      <c r="B481" s="8">
        <f>TWK!D214</f>
        <v>325</v>
      </c>
      <c r="C481" s="8">
        <f t="shared" si="84"/>
        <v>350.75</v>
      </c>
      <c r="D481" s="8">
        <f t="shared" si="89"/>
        <v>340</v>
      </c>
      <c r="E481" s="8">
        <f t="shared" ref="E481:E485" si="90">+E480+1</f>
        <v>2</v>
      </c>
      <c r="F481" s="8">
        <f t="shared" si="85"/>
        <v>15</v>
      </c>
      <c r="G481" s="20">
        <f t="shared" si="86"/>
        <v>-7.4074074074074066</v>
      </c>
      <c r="H481" s="20">
        <f t="shared" si="87"/>
        <v>-17.302798982188293</v>
      </c>
      <c r="I481" s="20">
        <f t="shared" si="88"/>
        <v>-4.4117647058823479</v>
      </c>
    </row>
    <row r="482" spans="1:9" x14ac:dyDescent="0.3">
      <c r="A482" s="13">
        <f t="shared" si="83"/>
        <v>39469</v>
      </c>
      <c r="B482" s="8">
        <f>TWK!D215</f>
        <v>428</v>
      </c>
      <c r="C482" s="8">
        <f t="shared" si="84"/>
        <v>366</v>
      </c>
      <c r="D482" s="8">
        <f t="shared" si="89"/>
        <v>335.41666666666669</v>
      </c>
      <c r="E482" s="8">
        <f t="shared" si="90"/>
        <v>3</v>
      </c>
      <c r="F482" s="8">
        <f t="shared" si="85"/>
        <v>-92.583333333333314</v>
      </c>
      <c r="G482" s="20">
        <f t="shared" si="86"/>
        <v>31.692307692307686</v>
      </c>
      <c r="H482" s="20">
        <f t="shared" si="87"/>
        <v>49.650349650349646</v>
      </c>
      <c r="I482" s="20">
        <f t="shared" si="88"/>
        <v>27.602484472049692</v>
      </c>
    </row>
    <row r="483" spans="1:9" x14ac:dyDescent="0.3">
      <c r="A483" s="13">
        <f t="shared" ref="A483:A488" si="91">7+A482</f>
        <v>39476</v>
      </c>
      <c r="B483" s="8">
        <f>TWK!D216</f>
        <v>446</v>
      </c>
      <c r="C483" s="8">
        <f t="shared" si="84"/>
        <v>387.5</v>
      </c>
      <c r="D483" s="8">
        <f t="shared" si="89"/>
        <v>339.58333333333331</v>
      </c>
      <c r="E483" s="8">
        <f t="shared" si="90"/>
        <v>4</v>
      </c>
      <c r="F483" s="8">
        <f t="shared" si="85"/>
        <v>-106.41666666666669</v>
      </c>
      <c r="G483" s="20">
        <f t="shared" si="86"/>
        <v>4.20560747663552</v>
      </c>
      <c r="H483" s="20">
        <f t="shared" si="87"/>
        <v>42.948717948717949</v>
      </c>
      <c r="I483" s="20">
        <f t="shared" si="88"/>
        <v>31.337423312883452</v>
      </c>
    </row>
    <row r="484" spans="1:9" x14ac:dyDescent="0.3">
      <c r="A484" s="13">
        <f t="shared" si="91"/>
        <v>39483</v>
      </c>
      <c r="B484" s="8">
        <f>TWK!D217</f>
        <v>498</v>
      </c>
      <c r="C484" s="8">
        <f t="shared" si="84"/>
        <v>424.25</v>
      </c>
      <c r="D484" s="8">
        <f t="shared" si="89"/>
        <v>347.5</v>
      </c>
      <c r="E484" s="8">
        <f t="shared" si="90"/>
        <v>5</v>
      </c>
      <c r="F484" s="8">
        <f t="shared" si="85"/>
        <v>-150.5</v>
      </c>
      <c r="G484" s="20">
        <f t="shared" si="86"/>
        <v>11.659192825112097</v>
      </c>
      <c r="H484" s="20">
        <f t="shared" si="87"/>
        <v>39.10614525139664</v>
      </c>
      <c r="I484" s="20">
        <f t="shared" si="88"/>
        <v>43.309352517985623</v>
      </c>
    </row>
    <row r="485" spans="1:9" x14ac:dyDescent="0.3">
      <c r="A485" s="13">
        <f t="shared" si="91"/>
        <v>39490</v>
      </c>
      <c r="B485" s="8">
        <f>TWK!D218</f>
        <v>470</v>
      </c>
      <c r="C485" s="8">
        <f t="shared" si="84"/>
        <v>460.5</v>
      </c>
      <c r="D485" s="8">
        <f t="shared" si="89"/>
        <v>340.91666666666669</v>
      </c>
      <c r="E485" s="8">
        <f t="shared" si="90"/>
        <v>6</v>
      </c>
      <c r="F485" s="8">
        <f t="shared" si="85"/>
        <v>-129.08333333333331</v>
      </c>
      <c r="G485" s="20">
        <f t="shared" si="86"/>
        <v>-5.6224899598393607</v>
      </c>
      <c r="H485" s="20">
        <f t="shared" si="87"/>
        <v>27.027027027027017</v>
      </c>
      <c r="I485" s="20">
        <f t="shared" si="88"/>
        <v>37.863603031043745</v>
      </c>
    </row>
    <row r="486" spans="1:9" x14ac:dyDescent="0.3">
      <c r="A486" s="13">
        <f t="shared" si="91"/>
        <v>39497</v>
      </c>
      <c r="B486" s="8">
        <f>TWK!D219</f>
        <v>500</v>
      </c>
      <c r="C486" s="8">
        <f t="shared" ref="C486:C491" si="92">AVERAGE(B483:B486)</f>
        <v>478.5</v>
      </c>
      <c r="D486" s="8">
        <f t="shared" si="89"/>
        <v>349</v>
      </c>
      <c r="E486" s="8">
        <f>+E485+1</f>
        <v>7</v>
      </c>
      <c r="F486" s="8">
        <f t="shared" ref="F486:F491" si="93">SUM(D486-B486)</f>
        <v>-151</v>
      </c>
      <c r="G486" s="20">
        <f t="shared" ref="G486:G491" si="94">(B486/B485-1)*100</f>
        <v>6.3829787234042534</v>
      </c>
      <c r="H486" s="20">
        <f t="shared" ref="H486:H491" si="95">(B486/B434-1)*100</f>
        <v>37.362637362637365</v>
      </c>
      <c r="I486" s="20">
        <f t="shared" ref="I486:I491" si="96">(B486/D486-1)*100</f>
        <v>43.266475644699142</v>
      </c>
    </row>
    <row r="487" spans="1:9" x14ac:dyDescent="0.3">
      <c r="A487" s="13">
        <f t="shared" si="91"/>
        <v>39504</v>
      </c>
      <c r="B487" s="8">
        <f>TWK!D220</f>
        <v>529</v>
      </c>
      <c r="C487" s="8">
        <f t="shared" si="92"/>
        <v>499.25</v>
      </c>
      <c r="D487" s="8">
        <f t="shared" ref="D487:D493" si="97">(C331+C383+C435)/3</f>
        <v>356.08333333333331</v>
      </c>
      <c r="E487" s="8">
        <f>+E486+1</f>
        <v>8</v>
      </c>
      <c r="F487" s="8">
        <f t="shared" si="93"/>
        <v>-172.91666666666669</v>
      </c>
      <c r="G487" s="20">
        <f t="shared" si="94"/>
        <v>5.8000000000000052</v>
      </c>
      <c r="H487" s="20">
        <f t="shared" si="95"/>
        <v>65.3125</v>
      </c>
      <c r="I487" s="20">
        <f t="shared" si="96"/>
        <v>48.560730166159601</v>
      </c>
    </row>
    <row r="488" spans="1:9" x14ac:dyDescent="0.3">
      <c r="A488" s="13">
        <f t="shared" si="91"/>
        <v>39511</v>
      </c>
      <c r="B488" s="8">
        <f>TWK!D221</f>
        <v>443.75</v>
      </c>
      <c r="C488" s="8">
        <f t="shared" si="92"/>
        <v>485.6875</v>
      </c>
      <c r="D488" s="8">
        <f t="shared" si="97"/>
        <v>345.58333333333331</v>
      </c>
      <c r="E488" s="8">
        <f>+E487+1</f>
        <v>9</v>
      </c>
      <c r="F488" s="8">
        <f t="shared" si="93"/>
        <v>-98.166666666666686</v>
      </c>
      <c r="G488" s="20">
        <f t="shared" si="94"/>
        <v>-16.115311909262765</v>
      </c>
      <c r="H488" s="20">
        <f t="shared" si="95"/>
        <v>55.701754385964918</v>
      </c>
      <c r="I488" s="20">
        <f t="shared" si="96"/>
        <v>28.406076681938753</v>
      </c>
    </row>
    <row r="489" spans="1:9" x14ac:dyDescent="0.3">
      <c r="A489" s="13">
        <f t="shared" ref="A489:A494" si="98">7+A488</f>
        <v>39518</v>
      </c>
      <c r="B489" s="8">
        <f>TWK!D222</f>
        <v>485</v>
      </c>
      <c r="C489" s="8">
        <f t="shared" si="92"/>
        <v>489.4375</v>
      </c>
      <c r="D489" s="8">
        <f t="shared" si="97"/>
        <v>337.5</v>
      </c>
      <c r="E489" s="8">
        <f>+E488+1</f>
        <v>10</v>
      </c>
      <c r="F489" s="8">
        <f t="shared" si="93"/>
        <v>-147.5</v>
      </c>
      <c r="G489" s="20">
        <f t="shared" si="94"/>
        <v>9.2957746478873347</v>
      </c>
      <c r="H489" s="20">
        <f t="shared" si="95"/>
        <v>63.299663299663301</v>
      </c>
      <c r="I489" s="20">
        <f t="shared" si="96"/>
        <v>43.703703703703709</v>
      </c>
    </row>
    <row r="490" spans="1:9" x14ac:dyDescent="0.3">
      <c r="A490" s="13">
        <f t="shared" si="98"/>
        <v>39525</v>
      </c>
      <c r="B490" s="8">
        <f>TWK!D223</f>
        <v>430</v>
      </c>
      <c r="C490" s="8">
        <f t="shared" si="92"/>
        <v>471.9375</v>
      </c>
      <c r="D490" s="8">
        <f t="shared" si="97"/>
        <v>320.16666666666669</v>
      </c>
      <c r="E490" s="8">
        <f t="shared" ref="E490:E495" si="99">E489+1</f>
        <v>11</v>
      </c>
      <c r="F490" s="8">
        <f t="shared" si="93"/>
        <v>-109.83333333333331</v>
      </c>
      <c r="G490" s="20">
        <f t="shared" si="94"/>
        <v>-11.340206185567014</v>
      </c>
      <c r="H490" s="20">
        <f t="shared" si="95"/>
        <v>60.447761194029859</v>
      </c>
      <c r="I490" s="20">
        <f t="shared" si="96"/>
        <v>34.305049453409666</v>
      </c>
    </row>
    <row r="491" spans="1:9" x14ac:dyDescent="0.3">
      <c r="A491" s="13">
        <f t="shared" si="98"/>
        <v>39532</v>
      </c>
      <c r="B491" s="8">
        <f>TWK!D224</f>
        <v>469</v>
      </c>
      <c r="C491" s="8">
        <f t="shared" si="92"/>
        <v>456.9375</v>
      </c>
      <c r="D491" s="8">
        <f t="shared" si="97"/>
        <v>297.16666666666669</v>
      </c>
      <c r="E491" s="8">
        <f t="shared" si="99"/>
        <v>12</v>
      </c>
      <c r="F491" s="8">
        <f t="shared" si="93"/>
        <v>-171.83333333333331</v>
      </c>
      <c r="G491" s="20">
        <f t="shared" si="94"/>
        <v>9.0697674418604546</v>
      </c>
      <c r="H491" s="20">
        <f t="shared" si="95"/>
        <v>92.21311475409837</v>
      </c>
      <c r="I491" s="20">
        <f t="shared" si="96"/>
        <v>57.823892316320794</v>
      </c>
    </row>
    <row r="492" spans="1:9" x14ac:dyDescent="0.3">
      <c r="A492" s="13">
        <f t="shared" si="98"/>
        <v>39539</v>
      </c>
      <c r="B492" s="8">
        <f>TWK!D225</f>
        <v>434</v>
      </c>
      <c r="C492" s="8">
        <f t="shared" ref="C492:C497" si="100">AVERAGE(B489:B492)</f>
        <v>454.5</v>
      </c>
      <c r="D492" s="8">
        <f t="shared" si="97"/>
        <v>293.25</v>
      </c>
      <c r="E492" s="8">
        <f t="shared" si="99"/>
        <v>13</v>
      </c>
      <c r="F492" s="8">
        <f t="shared" ref="F492:F497" si="101">SUM(D492-B492)</f>
        <v>-140.75</v>
      </c>
      <c r="G492" s="20">
        <f t="shared" ref="G492:G497" si="102">(B492/B491-1)*100</f>
        <v>-7.4626865671641784</v>
      </c>
      <c r="H492" s="20">
        <f t="shared" ref="H492:H497" si="103">(B492/B440-1)*100</f>
        <v>83.122362869198312</v>
      </c>
      <c r="I492" s="20">
        <f t="shared" ref="I492:I497" si="104">(B492/D492-1)*100</f>
        <v>47.996589940323965</v>
      </c>
    </row>
    <row r="493" spans="1:9" x14ac:dyDescent="0.3">
      <c r="A493" s="13">
        <f t="shared" si="98"/>
        <v>39546</v>
      </c>
      <c r="B493" s="8">
        <f>TWK!D226</f>
        <v>416.25</v>
      </c>
      <c r="C493" s="8">
        <f t="shared" si="100"/>
        <v>437.3125</v>
      </c>
      <c r="D493" s="8">
        <f t="shared" si="97"/>
        <v>278.4375</v>
      </c>
      <c r="E493" s="8">
        <f t="shared" si="99"/>
        <v>14</v>
      </c>
      <c r="F493" s="8">
        <f t="shared" si="101"/>
        <v>-137.8125</v>
      </c>
      <c r="G493" s="20">
        <f t="shared" si="102"/>
        <v>-4.0898617511520685</v>
      </c>
      <c r="H493" s="20">
        <f t="shared" si="103"/>
        <v>80</v>
      </c>
      <c r="I493" s="20">
        <f t="shared" si="104"/>
        <v>49.494949494949502</v>
      </c>
    </row>
    <row r="494" spans="1:9" x14ac:dyDescent="0.3">
      <c r="A494" s="13">
        <f t="shared" si="98"/>
        <v>39553</v>
      </c>
      <c r="B494" s="8">
        <f>TWK!D227</f>
        <v>407.5</v>
      </c>
      <c r="C494" s="8">
        <f t="shared" si="100"/>
        <v>431.6875</v>
      </c>
      <c r="D494" s="8">
        <f t="shared" ref="D494:D499" si="105">(C338+C390+C442)/3</f>
        <v>270.60416666666669</v>
      </c>
      <c r="E494" s="8">
        <f t="shared" si="99"/>
        <v>15</v>
      </c>
      <c r="F494" s="8">
        <f t="shared" si="101"/>
        <v>-136.89583333333331</v>
      </c>
      <c r="G494" s="20">
        <f t="shared" si="102"/>
        <v>-2.1021021021020991</v>
      </c>
      <c r="H494" s="20">
        <f t="shared" si="103"/>
        <v>81.919642857142861</v>
      </c>
      <c r="I494" s="20">
        <f t="shared" si="104"/>
        <v>50.588959889136945</v>
      </c>
    </row>
    <row r="495" spans="1:9" x14ac:dyDescent="0.3">
      <c r="A495" s="13">
        <f t="shared" ref="A495:A500" si="106">7+A494</f>
        <v>39560</v>
      </c>
      <c r="B495" s="8">
        <f>TWK!D228</f>
        <v>421</v>
      </c>
      <c r="C495" s="8">
        <f t="shared" si="100"/>
        <v>419.6875</v>
      </c>
      <c r="D495" s="8">
        <f t="shared" si="105"/>
        <v>264.52083333333331</v>
      </c>
      <c r="E495" s="8">
        <f t="shared" si="99"/>
        <v>16</v>
      </c>
      <c r="F495" s="8">
        <f t="shared" si="101"/>
        <v>-156.47916666666669</v>
      </c>
      <c r="G495" s="20">
        <f t="shared" si="102"/>
        <v>3.3128834355828252</v>
      </c>
      <c r="H495" s="20">
        <f t="shared" si="103"/>
        <v>97.65258215962443</v>
      </c>
      <c r="I495" s="20">
        <f t="shared" si="104"/>
        <v>59.155706072300561</v>
      </c>
    </row>
    <row r="496" spans="1:9" x14ac:dyDescent="0.3">
      <c r="A496" s="13">
        <f t="shared" si="106"/>
        <v>39567</v>
      </c>
      <c r="B496" s="8">
        <f>TWK!D229</f>
        <v>388</v>
      </c>
      <c r="C496" s="8">
        <f t="shared" si="100"/>
        <v>408.1875</v>
      </c>
      <c r="D496" s="8">
        <f t="shared" si="105"/>
        <v>254.2847222222222</v>
      </c>
      <c r="E496" s="8">
        <f t="shared" ref="E496:E501" si="107">E495+1</f>
        <v>17</v>
      </c>
      <c r="F496" s="8">
        <f t="shared" si="101"/>
        <v>-133.7152777777778</v>
      </c>
      <c r="G496" s="20">
        <f t="shared" si="102"/>
        <v>-7.8384798099762509</v>
      </c>
      <c r="H496" s="20">
        <f t="shared" si="103"/>
        <v>81.167315175097272</v>
      </c>
      <c r="I496" s="20">
        <f t="shared" si="104"/>
        <v>52.584864953436949</v>
      </c>
    </row>
    <row r="497" spans="1:9" x14ac:dyDescent="0.3">
      <c r="A497" s="13">
        <f t="shared" si="106"/>
        <v>39574</v>
      </c>
      <c r="B497" s="8">
        <f>TWK!D230</f>
        <v>383</v>
      </c>
      <c r="C497" s="8">
        <f t="shared" si="100"/>
        <v>399.875</v>
      </c>
      <c r="D497" s="8">
        <f t="shared" si="105"/>
        <v>253.61111111111109</v>
      </c>
      <c r="E497" s="8">
        <f t="shared" si="107"/>
        <v>18</v>
      </c>
      <c r="F497" s="8">
        <f t="shared" si="101"/>
        <v>-129.38888888888891</v>
      </c>
      <c r="G497" s="20">
        <f t="shared" si="102"/>
        <v>-1.2886597938144284</v>
      </c>
      <c r="H497" s="20">
        <f t="shared" si="103"/>
        <v>83.107569721115553</v>
      </c>
      <c r="I497" s="20">
        <f t="shared" si="104"/>
        <v>51.018619934282604</v>
      </c>
    </row>
    <row r="498" spans="1:9" x14ac:dyDescent="0.3">
      <c r="A498" s="13">
        <f t="shared" si="106"/>
        <v>39581</v>
      </c>
      <c r="B498" s="8">
        <f>TWK!D231</f>
        <v>377</v>
      </c>
      <c r="C498" s="8">
        <f t="shared" ref="C498:C504" si="108">AVERAGE(B495:B498)</f>
        <v>392.25</v>
      </c>
      <c r="D498" s="8">
        <f t="shared" si="105"/>
        <v>262.9444444444444</v>
      </c>
      <c r="E498" s="8">
        <f t="shared" si="107"/>
        <v>19</v>
      </c>
      <c r="F498" s="8">
        <f t="shared" ref="F498:F503" si="109">SUM(D498-B498)</f>
        <v>-114.0555555555556</v>
      </c>
      <c r="G498" s="20">
        <f t="shared" ref="G498:G503" si="110">(B498/B497-1)*100</f>
        <v>-1.5665796344647487</v>
      </c>
      <c r="H498" s="20">
        <f t="shared" ref="H498:H503" si="111">(B498/B446-1)*100</f>
        <v>66.079295154185019</v>
      </c>
      <c r="I498" s="20">
        <f t="shared" ref="I498:I503" si="112">(B498/D498-1)*100</f>
        <v>43.376294105218705</v>
      </c>
    </row>
    <row r="499" spans="1:9" x14ac:dyDescent="0.3">
      <c r="A499" s="13">
        <f t="shared" si="106"/>
        <v>39588</v>
      </c>
      <c r="B499" s="8">
        <f>TWK!D232</f>
        <v>381</v>
      </c>
      <c r="C499" s="8">
        <f t="shared" si="108"/>
        <v>382.25</v>
      </c>
      <c r="D499" s="8">
        <f t="shared" si="105"/>
        <v>279.61111111111109</v>
      </c>
      <c r="E499" s="8">
        <f t="shared" si="107"/>
        <v>20</v>
      </c>
      <c r="F499" s="8">
        <f t="shared" si="109"/>
        <v>-101.38888888888891</v>
      </c>
      <c r="G499" s="20">
        <f t="shared" si="110"/>
        <v>1.0610079575596787</v>
      </c>
      <c r="H499" s="20">
        <f t="shared" si="111"/>
        <v>38.545454545454547</v>
      </c>
      <c r="I499" s="20">
        <f t="shared" si="112"/>
        <v>36.260679515199691</v>
      </c>
    </row>
    <row r="500" spans="1:9" x14ac:dyDescent="0.3">
      <c r="A500" s="13">
        <f t="shared" si="106"/>
        <v>39595</v>
      </c>
      <c r="B500" s="8">
        <f>TWK!D233</f>
        <v>405</v>
      </c>
      <c r="C500" s="8">
        <f t="shared" si="108"/>
        <v>386.5</v>
      </c>
      <c r="D500" s="8">
        <f t="shared" ref="D500:D506" si="113">(C344+C396+C448)/3</f>
        <v>292.93055555555554</v>
      </c>
      <c r="E500" s="8">
        <f t="shared" si="107"/>
        <v>21</v>
      </c>
      <c r="F500" s="8">
        <f t="shared" si="109"/>
        <v>-112.06944444444446</v>
      </c>
      <c r="G500" s="20">
        <f t="shared" si="110"/>
        <v>6.2992125984252079</v>
      </c>
      <c r="H500" s="20">
        <f t="shared" si="111"/>
        <v>24.233128834355821</v>
      </c>
      <c r="I500" s="20">
        <f t="shared" si="112"/>
        <v>38.258024749893323</v>
      </c>
    </row>
    <row r="501" spans="1:9" x14ac:dyDescent="0.3">
      <c r="A501" s="13">
        <f t="shared" ref="A501:A506" si="114">7+A500</f>
        <v>39602</v>
      </c>
      <c r="B501" s="8">
        <f>TWK!D234</f>
        <v>431</v>
      </c>
      <c r="C501" s="8">
        <f t="shared" si="108"/>
        <v>398.5</v>
      </c>
      <c r="D501" s="8">
        <f t="shared" si="113"/>
        <v>306.97916666666669</v>
      </c>
      <c r="E501" s="8">
        <f t="shared" si="107"/>
        <v>22</v>
      </c>
      <c r="F501" s="8">
        <f t="shared" si="109"/>
        <v>-124.02083333333331</v>
      </c>
      <c r="G501" s="20">
        <f t="shared" si="110"/>
        <v>6.419753086419755</v>
      </c>
      <c r="H501" s="20">
        <f t="shared" si="111"/>
        <v>21.837455830388699</v>
      </c>
      <c r="I501" s="20">
        <f t="shared" si="112"/>
        <v>40.400407193756351</v>
      </c>
    </row>
    <row r="502" spans="1:9" x14ac:dyDescent="0.3">
      <c r="A502" s="13">
        <f t="shared" si="114"/>
        <v>39609</v>
      </c>
      <c r="B502" s="8">
        <f>TWK!D235</f>
        <v>527</v>
      </c>
      <c r="C502" s="8">
        <f t="shared" si="108"/>
        <v>436</v>
      </c>
      <c r="D502" s="8">
        <f t="shared" si="113"/>
        <v>312.72916666666669</v>
      </c>
      <c r="E502" s="8">
        <f t="shared" ref="E502:E509" si="115">E501+1</f>
        <v>23</v>
      </c>
      <c r="F502" s="8">
        <f t="shared" si="109"/>
        <v>-214.27083333333331</v>
      </c>
      <c r="G502" s="20">
        <f t="shared" si="110"/>
        <v>22.273781902552201</v>
      </c>
      <c r="H502" s="20">
        <f t="shared" si="111"/>
        <v>59.696969696969695</v>
      </c>
      <c r="I502" s="20">
        <f t="shared" si="112"/>
        <v>68.51642129105322</v>
      </c>
    </row>
    <row r="503" spans="1:9" x14ac:dyDescent="0.3">
      <c r="A503" s="13">
        <f t="shared" si="114"/>
        <v>39616</v>
      </c>
      <c r="B503" s="8">
        <f>TWK!D236</f>
        <v>644</v>
      </c>
      <c r="C503" s="8">
        <f t="shared" si="108"/>
        <v>501.75</v>
      </c>
      <c r="D503" s="8">
        <f t="shared" si="113"/>
        <v>313.72916666666669</v>
      </c>
      <c r="E503" s="8">
        <f t="shared" si="115"/>
        <v>24</v>
      </c>
      <c r="F503" s="8">
        <f t="shared" si="109"/>
        <v>-330.27083333333331</v>
      </c>
      <c r="G503" s="20">
        <f t="shared" si="110"/>
        <v>22.20113851992409</v>
      </c>
      <c r="H503" s="20">
        <f t="shared" si="111"/>
        <v>86.666666666666671</v>
      </c>
      <c r="I503" s="20">
        <f t="shared" si="112"/>
        <v>105.27259446178365</v>
      </c>
    </row>
    <row r="504" spans="1:9" x14ac:dyDescent="0.3">
      <c r="A504" s="13">
        <f t="shared" si="114"/>
        <v>39623</v>
      </c>
      <c r="B504" s="8">
        <f>TWK!D237</f>
        <v>558</v>
      </c>
      <c r="C504" s="8">
        <f t="shared" si="108"/>
        <v>540</v>
      </c>
      <c r="D504" s="8">
        <f t="shared" si="113"/>
        <v>321.3125</v>
      </c>
      <c r="E504" s="8">
        <f t="shared" si="115"/>
        <v>25</v>
      </c>
      <c r="F504" s="8">
        <f t="shared" ref="F504:F509" si="116">SUM(D504-B504)</f>
        <v>-236.6875</v>
      </c>
      <c r="G504" s="20">
        <f t="shared" ref="G504:G509" si="117">(B504/B503-1)*100</f>
        <v>-13.354037267080743</v>
      </c>
      <c r="H504" s="20">
        <f t="shared" ref="H504:H509" si="118">(B504/B452-1)*100</f>
        <v>51.219512195121951</v>
      </c>
      <c r="I504" s="20">
        <f t="shared" ref="I504:I509" si="119">(B504/D504-1)*100</f>
        <v>73.662711534720884</v>
      </c>
    </row>
    <row r="505" spans="1:9" x14ac:dyDescent="0.3">
      <c r="A505" s="13">
        <f t="shared" si="114"/>
        <v>39630</v>
      </c>
      <c r="B505" s="8">
        <f>TWK!D238</f>
        <v>604</v>
      </c>
      <c r="C505" s="8">
        <f t="shared" ref="C505:C511" si="120">AVERAGE(B502:B505)</f>
        <v>583.25</v>
      </c>
      <c r="D505" s="8">
        <f t="shared" si="113"/>
        <v>328.83333333333331</v>
      </c>
      <c r="E505" s="8">
        <f t="shared" si="115"/>
        <v>26</v>
      </c>
      <c r="F505" s="8">
        <f t="shared" si="116"/>
        <v>-275.16666666666669</v>
      </c>
      <c r="G505" s="20">
        <f t="shared" si="117"/>
        <v>8.2437275985663092</v>
      </c>
      <c r="H505" s="20">
        <f t="shared" si="118"/>
        <v>67.777777777777786</v>
      </c>
      <c r="I505" s="20">
        <f t="shared" si="119"/>
        <v>83.679675620881923</v>
      </c>
    </row>
    <row r="506" spans="1:9" x14ac:dyDescent="0.3">
      <c r="A506" s="13">
        <f t="shared" si="114"/>
        <v>39637</v>
      </c>
      <c r="B506" s="8">
        <f>TWK!D239</f>
        <v>548</v>
      </c>
      <c r="C506" s="8">
        <f t="shared" si="120"/>
        <v>588.5</v>
      </c>
      <c r="D506" s="8">
        <f t="shared" si="113"/>
        <v>342.91666666666669</v>
      </c>
      <c r="E506" s="8">
        <f t="shared" si="115"/>
        <v>27</v>
      </c>
      <c r="F506" s="8">
        <f t="shared" si="116"/>
        <v>-205.08333333333331</v>
      </c>
      <c r="G506" s="20">
        <f t="shared" si="117"/>
        <v>-9.27152317880795</v>
      </c>
      <c r="H506" s="20">
        <f t="shared" si="118"/>
        <v>53.932584269662918</v>
      </c>
      <c r="I506" s="20">
        <f t="shared" si="119"/>
        <v>59.805589307411886</v>
      </c>
    </row>
    <row r="507" spans="1:9" x14ac:dyDescent="0.3">
      <c r="A507" s="13">
        <f t="shared" ref="A507:A512" si="121">7+A506</f>
        <v>39644</v>
      </c>
      <c r="B507" s="8">
        <f>TWK!D240</f>
        <v>466</v>
      </c>
      <c r="C507" s="8">
        <f t="shared" si="120"/>
        <v>544</v>
      </c>
      <c r="D507" s="8">
        <f t="shared" ref="D507:D512" si="122">(C351+C403+C455)/3</f>
        <v>371.25</v>
      </c>
      <c r="E507" s="8">
        <f t="shared" si="115"/>
        <v>28</v>
      </c>
      <c r="F507" s="8">
        <f t="shared" si="116"/>
        <v>-94.75</v>
      </c>
      <c r="G507" s="20">
        <f t="shared" si="117"/>
        <v>-14.963503649635035</v>
      </c>
      <c r="H507" s="20">
        <f t="shared" si="118"/>
        <v>6.1503416856492077</v>
      </c>
      <c r="I507" s="20">
        <f t="shared" si="119"/>
        <v>25.521885521885523</v>
      </c>
    </row>
    <row r="508" spans="1:9" x14ac:dyDescent="0.3">
      <c r="A508" s="13">
        <f t="shared" si="121"/>
        <v>39651</v>
      </c>
      <c r="B508" s="8">
        <f>TWK!D241</f>
        <v>453</v>
      </c>
      <c r="C508" s="8">
        <f t="shared" si="120"/>
        <v>517.75</v>
      </c>
      <c r="D508" s="8">
        <f t="shared" si="122"/>
        <v>388.58333333333331</v>
      </c>
      <c r="E508" s="8">
        <f t="shared" si="115"/>
        <v>29</v>
      </c>
      <c r="F508" s="8">
        <f t="shared" si="116"/>
        <v>-64.416666666666686</v>
      </c>
      <c r="G508" s="20">
        <f t="shared" si="117"/>
        <v>-2.7896995708154515</v>
      </c>
      <c r="H508" s="20">
        <f t="shared" si="118"/>
        <v>-1.0917030567685559</v>
      </c>
      <c r="I508" s="20">
        <f t="shared" si="119"/>
        <v>16.577310744156136</v>
      </c>
    </row>
    <row r="509" spans="1:9" x14ac:dyDescent="0.3">
      <c r="A509" s="13">
        <f t="shared" si="121"/>
        <v>39658</v>
      </c>
      <c r="B509" s="8">
        <f>TWK!D242</f>
        <v>492</v>
      </c>
      <c r="C509" s="8">
        <f t="shared" si="120"/>
        <v>489.75</v>
      </c>
      <c r="D509" s="8">
        <f t="shared" si="122"/>
        <v>396.5</v>
      </c>
      <c r="E509" s="8">
        <f t="shared" si="115"/>
        <v>30</v>
      </c>
      <c r="F509" s="8">
        <f t="shared" si="116"/>
        <v>-95.5</v>
      </c>
      <c r="G509" s="20">
        <f t="shared" si="117"/>
        <v>8.6092715231788084</v>
      </c>
      <c r="H509" s="20">
        <f t="shared" si="118"/>
        <v>24.556962025316452</v>
      </c>
      <c r="I509" s="20">
        <f t="shared" si="119"/>
        <v>24.085750315258501</v>
      </c>
    </row>
    <row r="510" spans="1:9" x14ac:dyDescent="0.3">
      <c r="A510" s="13">
        <f t="shared" si="121"/>
        <v>39665</v>
      </c>
      <c r="B510" s="8">
        <f>TWK!D243</f>
        <v>485</v>
      </c>
      <c r="C510" s="8">
        <f t="shared" si="120"/>
        <v>474</v>
      </c>
      <c r="D510" s="8">
        <f t="shared" si="122"/>
        <v>411.83333333333331</v>
      </c>
      <c r="E510" s="8">
        <f t="shared" ref="E510:E515" si="123">E509+1</f>
        <v>31</v>
      </c>
      <c r="F510" s="8">
        <f t="shared" ref="F510:F515" si="124">SUM(D510-B510)</f>
        <v>-73.166666666666686</v>
      </c>
      <c r="G510" s="20">
        <f t="shared" ref="G510:G515" si="125">(B510/B509-1)*100</f>
        <v>-1.4227642276422814</v>
      </c>
      <c r="H510" s="20">
        <f t="shared" ref="H510:H515" si="126">(B510/B458-1)*100</f>
        <v>8.7443946188340718</v>
      </c>
      <c r="I510" s="20">
        <f t="shared" ref="I510:I515" si="127">(B510/D510-1)*100</f>
        <v>17.76608660461352</v>
      </c>
    </row>
    <row r="511" spans="1:9" x14ac:dyDescent="0.3">
      <c r="A511" s="13">
        <f t="shared" si="121"/>
        <v>39672</v>
      </c>
      <c r="B511" s="8">
        <f>TWK!D244</f>
        <v>460</v>
      </c>
      <c r="C511" s="8">
        <f t="shared" si="120"/>
        <v>472.5</v>
      </c>
      <c r="D511" s="8">
        <f t="shared" si="122"/>
        <v>423.58333333333331</v>
      </c>
      <c r="E511" s="8">
        <f t="shared" si="123"/>
        <v>32</v>
      </c>
      <c r="F511" s="8">
        <f t="shared" si="124"/>
        <v>-36.416666666666686</v>
      </c>
      <c r="G511" s="20">
        <f t="shared" si="125"/>
        <v>-5.1546391752577359</v>
      </c>
      <c r="H511" s="20">
        <f t="shared" si="126"/>
        <v>-13.370998116760823</v>
      </c>
      <c r="I511" s="20">
        <f t="shared" si="127"/>
        <v>8.597285067873317</v>
      </c>
    </row>
    <row r="512" spans="1:9" x14ac:dyDescent="0.3">
      <c r="A512" s="13">
        <f t="shared" si="121"/>
        <v>39679</v>
      </c>
      <c r="B512" s="8">
        <f>TWK!D245</f>
        <v>515</v>
      </c>
      <c r="C512" s="8">
        <f t="shared" ref="C512:C518" si="128">AVERAGE(B509:B512)</f>
        <v>488</v>
      </c>
      <c r="D512" s="8">
        <f t="shared" si="122"/>
        <v>444.91666666666669</v>
      </c>
      <c r="E512" s="8">
        <f t="shared" si="123"/>
        <v>33</v>
      </c>
      <c r="F512" s="8">
        <f t="shared" si="124"/>
        <v>-70.083333333333314</v>
      </c>
      <c r="G512" s="20">
        <f t="shared" si="125"/>
        <v>11.956521739130444</v>
      </c>
      <c r="H512" s="20">
        <f t="shared" si="126"/>
        <v>-10.899653979238755</v>
      </c>
      <c r="I512" s="20">
        <f t="shared" si="127"/>
        <v>15.75201348567148</v>
      </c>
    </row>
    <row r="513" spans="1:9" x14ac:dyDescent="0.3">
      <c r="A513" s="13">
        <f t="shared" ref="A513:A518" si="129">7+A512</f>
        <v>39686</v>
      </c>
      <c r="B513" s="8">
        <f>TWK!D246</f>
        <v>566</v>
      </c>
      <c r="C513" s="8">
        <f t="shared" si="128"/>
        <v>506.5</v>
      </c>
      <c r="D513" s="8">
        <f t="shared" ref="D513:D518" si="130">(C357+C409+C461)/3</f>
        <v>496.66666666666669</v>
      </c>
      <c r="E513" s="8">
        <f t="shared" si="123"/>
        <v>34</v>
      </c>
      <c r="F513" s="8">
        <f t="shared" si="124"/>
        <v>-69.333333333333314</v>
      </c>
      <c r="G513" s="20">
        <f t="shared" si="125"/>
        <v>9.9029126213592278</v>
      </c>
      <c r="H513" s="20">
        <f t="shared" si="126"/>
        <v>-18.911174785100282</v>
      </c>
      <c r="I513" s="20">
        <f t="shared" si="127"/>
        <v>13.959731543624155</v>
      </c>
    </row>
    <row r="514" spans="1:9" x14ac:dyDescent="0.3">
      <c r="A514" s="13">
        <f t="shared" si="129"/>
        <v>39693</v>
      </c>
      <c r="B514" s="8">
        <f>TWK!D247</f>
        <v>595</v>
      </c>
      <c r="C514" s="8">
        <f t="shared" si="128"/>
        <v>534</v>
      </c>
      <c r="D514" s="8">
        <f t="shared" si="130"/>
        <v>545.25</v>
      </c>
      <c r="E514" s="8">
        <f t="shared" si="123"/>
        <v>35</v>
      </c>
      <c r="F514" s="8">
        <f t="shared" si="124"/>
        <v>-49.75</v>
      </c>
      <c r="G514" s="20">
        <f t="shared" si="125"/>
        <v>5.1236749116607694</v>
      </c>
      <c r="H514" s="20">
        <f t="shared" si="126"/>
        <v>-26.543209876543205</v>
      </c>
      <c r="I514" s="20">
        <f t="shared" si="127"/>
        <v>9.1242549289316734</v>
      </c>
    </row>
    <row r="515" spans="1:9" x14ac:dyDescent="0.3">
      <c r="A515" s="13">
        <f t="shared" si="129"/>
        <v>39700</v>
      </c>
      <c r="B515" s="8">
        <f>TWK!D248</f>
        <v>609</v>
      </c>
      <c r="C515" s="8">
        <f t="shared" si="128"/>
        <v>571.25</v>
      </c>
      <c r="D515" s="8">
        <f t="shared" si="130"/>
        <v>583.16666666666663</v>
      </c>
      <c r="E515" s="8">
        <f t="shared" si="123"/>
        <v>36</v>
      </c>
      <c r="F515" s="8">
        <f t="shared" si="124"/>
        <v>-25.833333333333371</v>
      </c>
      <c r="G515" s="20">
        <f t="shared" si="125"/>
        <v>2.3529411764705799</v>
      </c>
      <c r="H515" s="20">
        <f t="shared" si="126"/>
        <v>-11.482558139534882</v>
      </c>
      <c r="I515" s="20">
        <f t="shared" si="127"/>
        <v>4.4298370963132383</v>
      </c>
    </row>
    <row r="516" spans="1:9" x14ac:dyDescent="0.3">
      <c r="A516" s="13">
        <f t="shared" si="129"/>
        <v>39707</v>
      </c>
      <c r="B516" s="8">
        <f>TWK!D249</f>
        <v>612</v>
      </c>
      <c r="C516" s="8">
        <f t="shared" si="128"/>
        <v>595.5</v>
      </c>
      <c r="D516" s="8">
        <f t="shared" si="130"/>
        <v>611.75</v>
      </c>
      <c r="E516" s="8">
        <f t="shared" ref="E516:E521" si="131">E515+1</f>
        <v>37</v>
      </c>
      <c r="F516" s="8">
        <f t="shared" ref="F516:F521" si="132">SUM(D516-B516)</f>
        <v>-0.25</v>
      </c>
      <c r="G516" s="20">
        <f t="shared" ref="G516:G521" si="133">(B516/B515-1)*100</f>
        <v>0.49261083743843415</v>
      </c>
      <c r="H516" s="20">
        <f t="shared" ref="H516:H521" si="134">(B516/B464-1)*100</f>
        <v>-17.962466487935657</v>
      </c>
      <c r="I516" s="20">
        <f t="shared" ref="I516:I521" si="135">(B516/D516-1)*100</f>
        <v>4.08663669799747E-2</v>
      </c>
    </row>
    <row r="517" spans="1:9" x14ac:dyDescent="0.3">
      <c r="A517" s="13">
        <f t="shared" si="129"/>
        <v>39714</v>
      </c>
      <c r="B517" s="8">
        <f>TWK!D250</f>
        <v>596</v>
      </c>
      <c r="C517" s="8">
        <f t="shared" si="128"/>
        <v>603</v>
      </c>
      <c r="D517" s="8">
        <f t="shared" si="130"/>
        <v>620.08333333333337</v>
      </c>
      <c r="E517" s="8">
        <f t="shared" si="131"/>
        <v>38</v>
      </c>
      <c r="F517" s="8">
        <f t="shared" si="132"/>
        <v>24.083333333333371</v>
      </c>
      <c r="G517" s="20">
        <f t="shared" si="133"/>
        <v>-2.6143790849673221</v>
      </c>
      <c r="H517" s="20">
        <f t="shared" si="134"/>
        <v>-8.7289433384379773</v>
      </c>
      <c r="I517" s="20">
        <f t="shared" si="135"/>
        <v>-3.8838865743851647</v>
      </c>
    </row>
    <row r="518" spans="1:9" x14ac:dyDescent="0.3">
      <c r="A518" s="13">
        <f t="shared" si="129"/>
        <v>39721</v>
      </c>
      <c r="B518" s="8">
        <f>TWK!D251</f>
        <v>625</v>
      </c>
      <c r="C518" s="8">
        <f t="shared" si="128"/>
        <v>610.5</v>
      </c>
      <c r="D518" s="8">
        <f t="shared" si="130"/>
        <v>630.25</v>
      </c>
      <c r="E518" s="8">
        <f t="shared" si="131"/>
        <v>39</v>
      </c>
      <c r="F518" s="8">
        <f t="shared" si="132"/>
        <v>5.25</v>
      </c>
      <c r="G518" s="20">
        <f t="shared" si="133"/>
        <v>4.8657718120805438</v>
      </c>
      <c r="H518" s="20">
        <f t="shared" si="134"/>
        <v>-6.8554396423248898</v>
      </c>
      <c r="I518" s="20">
        <f t="shared" si="135"/>
        <v>-0.83300277667591738</v>
      </c>
    </row>
    <row r="519" spans="1:9" x14ac:dyDescent="0.3">
      <c r="A519" s="13">
        <f t="shared" ref="A519:A524" si="136">7+A518</f>
        <v>39728</v>
      </c>
      <c r="B519" s="8">
        <f>TWK!D252</f>
        <v>750</v>
      </c>
      <c r="C519" s="8">
        <f t="shared" ref="C519:C524" si="137">AVERAGE(B516:B519)</f>
        <v>645.75</v>
      </c>
      <c r="D519" s="8">
        <f t="shared" ref="D519:D524" si="138">(C363+C415+C467)/3</f>
        <v>644.25</v>
      </c>
      <c r="E519" s="8">
        <f t="shared" si="131"/>
        <v>40</v>
      </c>
      <c r="F519" s="8">
        <f t="shared" si="132"/>
        <v>-105.75</v>
      </c>
      <c r="G519" s="20">
        <f t="shared" si="133"/>
        <v>19.999999999999996</v>
      </c>
      <c r="H519" s="20">
        <f t="shared" si="134"/>
        <v>17.1875</v>
      </c>
      <c r="I519" s="20">
        <f t="shared" si="135"/>
        <v>16.41443538998837</v>
      </c>
    </row>
    <row r="520" spans="1:9" x14ac:dyDescent="0.3">
      <c r="A520" s="13">
        <f t="shared" si="136"/>
        <v>39735</v>
      </c>
      <c r="B520" s="8">
        <f>TWK!D253</f>
        <v>660</v>
      </c>
      <c r="C520" s="8">
        <f t="shared" si="137"/>
        <v>657.75</v>
      </c>
      <c r="D520" s="8">
        <f t="shared" si="138"/>
        <v>636.41666666666663</v>
      </c>
      <c r="E520" s="8">
        <f t="shared" si="131"/>
        <v>41</v>
      </c>
      <c r="F520" s="8">
        <f t="shared" si="132"/>
        <v>-23.583333333333371</v>
      </c>
      <c r="G520" s="20">
        <f t="shared" si="133"/>
        <v>-12</v>
      </c>
      <c r="H520" s="20">
        <f t="shared" si="134"/>
        <v>25.475285171102669</v>
      </c>
      <c r="I520" s="20">
        <f t="shared" si="135"/>
        <v>3.7056435773209495</v>
      </c>
    </row>
    <row r="521" spans="1:9" x14ac:dyDescent="0.3">
      <c r="A521" s="13">
        <f t="shared" si="136"/>
        <v>39742</v>
      </c>
      <c r="B521" s="8">
        <f>TWK!D254</f>
        <v>571</v>
      </c>
      <c r="C521" s="8">
        <f t="shared" si="137"/>
        <v>651.5</v>
      </c>
      <c r="D521" s="8">
        <f t="shared" si="138"/>
        <v>611.6111111111112</v>
      </c>
      <c r="E521" s="8">
        <f t="shared" si="131"/>
        <v>42</v>
      </c>
      <c r="F521" s="8">
        <f t="shared" si="132"/>
        <v>40.6111111111112</v>
      </c>
      <c r="G521" s="20">
        <f t="shared" si="133"/>
        <v>-13.484848484848488</v>
      </c>
      <c r="H521" s="20">
        <f t="shared" si="134"/>
        <v>7.0624999999999938</v>
      </c>
      <c r="I521" s="20">
        <f t="shared" si="135"/>
        <v>-6.6400218003451865</v>
      </c>
    </row>
    <row r="522" spans="1:9" x14ac:dyDescent="0.3">
      <c r="A522" s="13">
        <f t="shared" si="136"/>
        <v>39749</v>
      </c>
      <c r="B522" s="8">
        <f>TWK!D255</f>
        <v>694</v>
      </c>
      <c r="C522" s="8">
        <f t="shared" si="137"/>
        <v>668.75</v>
      </c>
      <c r="D522" s="8">
        <f t="shared" si="138"/>
        <v>564.77777777777783</v>
      </c>
      <c r="E522" s="8">
        <f t="shared" ref="E522:E527" si="139">E521+1</f>
        <v>43</v>
      </c>
      <c r="F522" s="8">
        <f t="shared" ref="F522:F527" si="140">SUM(D522-B522)</f>
        <v>-129.22222222222217</v>
      </c>
      <c r="G522" s="20">
        <f t="shared" ref="G522:G527" si="141">(B522/B521-1)*100</f>
        <v>21.541155866900176</v>
      </c>
      <c r="H522" s="20">
        <f t="shared" ref="H522:H527" si="142">(B522/B470-1)*100</f>
        <v>52.192982456140349</v>
      </c>
      <c r="I522" s="20">
        <f t="shared" ref="I522:I527" si="143">(B522/D522-1)*100</f>
        <v>22.880188864843575</v>
      </c>
    </row>
    <row r="523" spans="1:9" x14ac:dyDescent="0.3">
      <c r="A523" s="13">
        <f t="shared" si="136"/>
        <v>39756</v>
      </c>
      <c r="B523" s="8">
        <f>TWK!D256</f>
        <v>1050</v>
      </c>
      <c r="C523" s="8">
        <f t="shared" si="137"/>
        <v>743.75</v>
      </c>
      <c r="D523" s="8">
        <f t="shared" si="138"/>
        <v>497.73611111111114</v>
      </c>
      <c r="E523" s="8">
        <f t="shared" si="139"/>
        <v>44</v>
      </c>
      <c r="F523" s="8">
        <f t="shared" si="140"/>
        <v>-552.26388888888891</v>
      </c>
      <c r="G523" s="20">
        <f t="shared" si="141"/>
        <v>51.296829971181545</v>
      </c>
      <c r="H523" s="20">
        <f t="shared" si="142"/>
        <v>151.49700598802394</v>
      </c>
      <c r="I523" s="20">
        <f t="shared" si="143"/>
        <v>110.95515807684792</v>
      </c>
    </row>
    <row r="524" spans="1:9" x14ac:dyDescent="0.3">
      <c r="A524" s="13">
        <f t="shared" si="136"/>
        <v>39763</v>
      </c>
      <c r="B524" s="8">
        <f>TWK!D257</f>
        <v>550</v>
      </c>
      <c r="C524" s="8">
        <f t="shared" si="137"/>
        <v>716.25</v>
      </c>
      <c r="D524" s="8">
        <f t="shared" si="138"/>
        <v>458.06944444444451</v>
      </c>
      <c r="E524" s="8">
        <f t="shared" si="139"/>
        <v>45</v>
      </c>
      <c r="F524" s="8">
        <f t="shared" si="140"/>
        <v>-91.930555555555486</v>
      </c>
      <c r="G524" s="20">
        <f t="shared" si="141"/>
        <v>-47.619047619047613</v>
      </c>
      <c r="H524" s="20">
        <f t="shared" si="142"/>
        <v>25.570776255707763</v>
      </c>
      <c r="I524" s="20">
        <f t="shared" si="143"/>
        <v>20.069130711621817</v>
      </c>
    </row>
    <row r="525" spans="1:9" x14ac:dyDescent="0.3">
      <c r="A525" s="13">
        <f t="shared" ref="A525:A545" si="144">7+A524</f>
        <v>39770</v>
      </c>
      <c r="B525" s="8">
        <f>TWK!D258</f>
        <v>479</v>
      </c>
      <c r="C525" s="8">
        <f t="shared" ref="C525:C530" si="145">AVERAGE(B522:B525)</f>
        <v>693.25</v>
      </c>
      <c r="D525" s="8">
        <f t="shared" ref="D525:D530" si="146">(C369+C421+C473)/3</f>
        <v>430.375</v>
      </c>
      <c r="E525" s="8">
        <f t="shared" si="139"/>
        <v>46</v>
      </c>
      <c r="F525" s="8">
        <f t="shared" si="140"/>
        <v>-48.625</v>
      </c>
      <c r="G525" s="20">
        <f t="shared" si="141"/>
        <v>-12.909090909090914</v>
      </c>
      <c r="H525" s="20">
        <f t="shared" si="142"/>
        <v>17.98029556650247</v>
      </c>
      <c r="I525" s="20">
        <f t="shared" si="143"/>
        <v>11.298286378158572</v>
      </c>
    </row>
    <row r="526" spans="1:9" x14ac:dyDescent="0.3">
      <c r="A526" s="13">
        <f t="shared" si="144"/>
        <v>39777</v>
      </c>
      <c r="B526" s="8">
        <f>TWK!D259</f>
        <v>395</v>
      </c>
      <c r="C526" s="8">
        <f t="shared" si="145"/>
        <v>618.5</v>
      </c>
      <c r="D526" s="8">
        <f t="shared" si="146"/>
        <v>410.70833333333331</v>
      </c>
      <c r="E526" s="8">
        <f t="shared" si="139"/>
        <v>47</v>
      </c>
      <c r="F526" s="8">
        <f t="shared" si="140"/>
        <v>15.708333333333314</v>
      </c>
      <c r="G526" s="20">
        <f t="shared" si="141"/>
        <v>-17.536534446764097</v>
      </c>
      <c r="H526" s="20">
        <f t="shared" si="142"/>
        <v>2.067183462532296</v>
      </c>
      <c r="I526" s="20">
        <f t="shared" si="143"/>
        <v>-3.8246931114943705</v>
      </c>
    </row>
    <row r="527" spans="1:9" x14ac:dyDescent="0.3">
      <c r="A527" s="13">
        <f t="shared" si="144"/>
        <v>39784</v>
      </c>
      <c r="B527" s="8">
        <f>TWK!D260</f>
        <v>400</v>
      </c>
      <c r="C527" s="8">
        <f t="shared" si="145"/>
        <v>456</v>
      </c>
      <c r="D527" s="8">
        <f t="shared" si="146"/>
        <v>411.22222222222223</v>
      </c>
      <c r="E527" s="8">
        <f t="shared" si="139"/>
        <v>48</v>
      </c>
      <c r="F527" s="8">
        <f t="shared" si="140"/>
        <v>11.222222222222229</v>
      </c>
      <c r="G527" s="20">
        <f t="shared" si="141"/>
        <v>1.2658227848101333</v>
      </c>
      <c r="H527" s="20">
        <f t="shared" si="142"/>
        <v>3.4482758620689502</v>
      </c>
      <c r="I527" s="20">
        <f t="shared" si="143"/>
        <v>-2.7289921642799309</v>
      </c>
    </row>
    <row r="528" spans="1:9" x14ac:dyDescent="0.3">
      <c r="A528" s="13">
        <f t="shared" si="144"/>
        <v>39791</v>
      </c>
      <c r="B528" s="8">
        <f>TWK!D261</f>
        <v>500</v>
      </c>
      <c r="C528" s="8">
        <f t="shared" si="145"/>
        <v>443.5</v>
      </c>
      <c r="D528" s="8">
        <f t="shared" si="146"/>
        <v>417.22222222222223</v>
      </c>
      <c r="E528" s="8">
        <f>E527+1</f>
        <v>49</v>
      </c>
      <c r="F528" s="8">
        <f t="shared" ref="F528:F533" si="147">SUM(D528-B528)</f>
        <v>-82.777777777777771</v>
      </c>
      <c r="G528" s="20">
        <f t="shared" ref="G528:G533" si="148">(B528/B527-1)*100</f>
        <v>25</v>
      </c>
      <c r="H528" s="20">
        <f t="shared" ref="H528:H533" si="149">(B528/B476-1)*100</f>
        <v>25</v>
      </c>
      <c r="I528" s="20">
        <f t="shared" ref="I528:I533" si="150">(B528/D528-1)*100</f>
        <v>19.840213049267639</v>
      </c>
    </row>
    <row r="529" spans="1:9" x14ac:dyDescent="0.3">
      <c r="A529" s="13">
        <f t="shared" si="144"/>
        <v>39798</v>
      </c>
      <c r="B529" s="8">
        <f>TWK!D262</f>
        <v>470</v>
      </c>
      <c r="C529" s="8">
        <f t="shared" si="145"/>
        <v>441.25</v>
      </c>
      <c r="D529" s="8">
        <f t="shared" si="146"/>
        <v>411.63888888888891</v>
      </c>
      <c r="E529" s="8">
        <f>E528+1</f>
        <v>50</v>
      </c>
      <c r="F529" s="8">
        <f t="shared" si="147"/>
        <v>-58.361111111111086</v>
      </c>
      <c r="G529" s="20">
        <f t="shared" si="148"/>
        <v>-6.0000000000000053</v>
      </c>
      <c r="H529" s="20">
        <f t="shared" si="149"/>
        <v>24.668435013262592</v>
      </c>
      <c r="I529" s="20">
        <f t="shared" si="150"/>
        <v>14.177744787097634</v>
      </c>
    </row>
    <row r="530" spans="1:9" x14ac:dyDescent="0.3">
      <c r="A530" s="13">
        <f t="shared" si="144"/>
        <v>39805</v>
      </c>
      <c r="B530" s="8">
        <f>TWK!D263</f>
        <v>518.75</v>
      </c>
      <c r="C530" s="8">
        <f t="shared" si="145"/>
        <v>472.1875</v>
      </c>
      <c r="D530" s="8">
        <f t="shared" si="146"/>
        <v>402.13888888888891</v>
      </c>
      <c r="E530" s="8">
        <f>E529+1</f>
        <v>51</v>
      </c>
      <c r="F530" s="8">
        <f t="shared" si="147"/>
        <v>-116.61111111111109</v>
      </c>
      <c r="G530" s="20">
        <f t="shared" si="148"/>
        <v>10.372340425531924</v>
      </c>
      <c r="H530" s="20">
        <f t="shared" si="149"/>
        <v>41.348773841961851</v>
      </c>
      <c r="I530" s="20">
        <f t="shared" si="150"/>
        <v>28.997720522207636</v>
      </c>
    </row>
    <row r="531" spans="1:9" x14ac:dyDescent="0.3">
      <c r="A531" s="13">
        <f t="shared" si="144"/>
        <v>39812</v>
      </c>
      <c r="B531" s="8">
        <f>TWK!D264</f>
        <v>441</v>
      </c>
      <c r="C531" s="8">
        <f t="shared" ref="C531:C536" si="151">AVERAGE(B528:B531)</f>
        <v>482.4375</v>
      </c>
      <c r="D531" s="8">
        <f t="shared" ref="D531:D536" si="152">(C375+C427+C479)/3</f>
        <v>385.08333333333331</v>
      </c>
      <c r="E531" s="8">
        <v>0</v>
      </c>
      <c r="F531" s="8">
        <f t="shared" si="147"/>
        <v>-55.916666666666686</v>
      </c>
      <c r="G531" s="20">
        <f t="shared" si="148"/>
        <v>-14.987951807228917</v>
      </c>
      <c r="H531" s="20">
        <f t="shared" si="149"/>
        <v>22.500000000000007</v>
      </c>
      <c r="I531" s="20">
        <f t="shared" si="150"/>
        <v>14.520666522397763</v>
      </c>
    </row>
    <row r="532" spans="1:9" x14ac:dyDescent="0.3">
      <c r="A532" s="13">
        <f t="shared" si="144"/>
        <v>39819</v>
      </c>
      <c r="B532" s="8">
        <f>TWK!D265</f>
        <v>371</v>
      </c>
      <c r="C532" s="8">
        <f t="shared" si="151"/>
        <v>450.1875</v>
      </c>
      <c r="D532" s="8">
        <f t="shared" si="152"/>
        <v>357.41666666666669</v>
      </c>
      <c r="E532" s="8">
        <f t="shared" ref="E532:E668" si="153">E531+1</f>
        <v>1</v>
      </c>
      <c r="F532" s="8">
        <f t="shared" si="147"/>
        <v>-13.583333333333314</v>
      </c>
      <c r="G532" s="20">
        <f t="shared" si="148"/>
        <v>-15.873015873015872</v>
      </c>
      <c r="H532" s="20">
        <f t="shared" si="149"/>
        <v>5.6980056980056926</v>
      </c>
      <c r="I532" s="20">
        <f t="shared" si="150"/>
        <v>3.8004196782466693</v>
      </c>
    </row>
    <row r="533" spans="1:9" x14ac:dyDescent="0.3">
      <c r="A533" s="13">
        <f t="shared" si="144"/>
        <v>39826</v>
      </c>
      <c r="B533" s="8">
        <f>TWK!D266</f>
        <v>550</v>
      </c>
      <c r="C533" s="8">
        <f t="shared" si="151"/>
        <v>470.1875</v>
      </c>
      <c r="D533" s="8">
        <f t="shared" si="152"/>
        <v>353.08333333333331</v>
      </c>
      <c r="E533" s="8">
        <f t="shared" si="153"/>
        <v>2</v>
      </c>
      <c r="F533" s="8">
        <f t="shared" si="147"/>
        <v>-196.91666666666669</v>
      </c>
      <c r="G533" s="20">
        <f t="shared" si="148"/>
        <v>48.247978436657689</v>
      </c>
      <c r="H533" s="20">
        <f t="shared" si="149"/>
        <v>69.230769230769226</v>
      </c>
      <c r="I533" s="20">
        <f t="shared" si="150"/>
        <v>55.770592400283235</v>
      </c>
    </row>
    <row r="534" spans="1:9" x14ac:dyDescent="0.3">
      <c r="A534" s="13">
        <f t="shared" si="144"/>
        <v>39833</v>
      </c>
      <c r="B534" s="8">
        <f>TWK!D267</f>
        <v>563</v>
      </c>
      <c r="C534" s="8">
        <f t="shared" si="151"/>
        <v>481.25</v>
      </c>
      <c r="D534" s="8">
        <f t="shared" si="152"/>
        <v>354.16666666666669</v>
      </c>
      <c r="E534" s="8">
        <f t="shared" si="153"/>
        <v>3</v>
      </c>
      <c r="F534" s="8">
        <f t="shared" ref="F534:F539" si="154">SUM(D534-B534)</f>
        <v>-208.83333333333331</v>
      </c>
      <c r="G534" s="20">
        <f t="shared" ref="G534:G539" si="155">(B534/B533-1)*100</f>
        <v>2.3636363636363678</v>
      </c>
      <c r="H534" s="20">
        <f t="shared" ref="H534:H539" si="156">(B534/B482-1)*100</f>
        <v>31.542056074766343</v>
      </c>
      <c r="I534" s="20">
        <f t="shared" ref="I534:I539" si="157">(B534/D534-1)*100</f>
        <v>58.964705882352945</v>
      </c>
    </row>
    <row r="535" spans="1:9" x14ac:dyDescent="0.3">
      <c r="A535" s="13">
        <f t="shared" si="144"/>
        <v>39840</v>
      </c>
      <c r="B535" s="8">
        <f>TWK!D268</f>
        <v>560</v>
      </c>
      <c r="C535" s="8">
        <f t="shared" si="151"/>
        <v>511</v>
      </c>
      <c r="D535" s="8">
        <f t="shared" si="152"/>
        <v>365.33333333333331</v>
      </c>
      <c r="E535" s="8">
        <f t="shared" si="153"/>
        <v>4</v>
      </c>
      <c r="F535" s="8">
        <f t="shared" si="154"/>
        <v>-194.66666666666669</v>
      </c>
      <c r="G535" s="20">
        <f t="shared" si="155"/>
        <v>-0.53285968028419228</v>
      </c>
      <c r="H535" s="20">
        <f t="shared" si="156"/>
        <v>25.560538116591935</v>
      </c>
      <c r="I535" s="20">
        <f t="shared" si="157"/>
        <v>53.28467153284673</v>
      </c>
    </row>
    <row r="536" spans="1:9" x14ac:dyDescent="0.3">
      <c r="A536" s="13">
        <f t="shared" si="144"/>
        <v>39847</v>
      </c>
      <c r="B536" s="8">
        <f>TWK!D269</f>
        <v>456</v>
      </c>
      <c r="C536" s="8">
        <f t="shared" si="151"/>
        <v>532.25</v>
      </c>
      <c r="D536" s="8">
        <f t="shared" si="152"/>
        <v>393.08333333333331</v>
      </c>
      <c r="E536" s="8">
        <f t="shared" si="153"/>
        <v>5</v>
      </c>
      <c r="F536" s="8">
        <f t="shared" si="154"/>
        <v>-62.916666666666686</v>
      </c>
      <c r="G536" s="20">
        <f t="shared" si="155"/>
        <v>-18.571428571428573</v>
      </c>
      <c r="H536" s="20">
        <f t="shared" si="156"/>
        <v>-8.4337349397590415</v>
      </c>
      <c r="I536" s="20">
        <f t="shared" si="157"/>
        <v>16.005935976256104</v>
      </c>
    </row>
    <row r="537" spans="1:9" x14ac:dyDescent="0.3">
      <c r="A537" s="13">
        <f t="shared" si="144"/>
        <v>39854</v>
      </c>
      <c r="B537" s="8">
        <f>TWK!D270</f>
        <v>356</v>
      </c>
      <c r="C537" s="8">
        <f t="shared" ref="C537:C543" si="158">AVERAGE(B534:B537)</f>
        <v>483.75</v>
      </c>
      <c r="D537" s="8">
        <f t="shared" ref="D537:D543" si="159">(C381+C433+C485)/3</f>
        <v>405.5</v>
      </c>
      <c r="E537" s="8">
        <f t="shared" si="153"/>
        <v>6</v>
      </c>
      <c r="F537" s="8">
        <f t="shared" si="154"/>
        <v>49.5</v>
      </c>
      <c r="G537" s="20">
        <f t="shared" si="155"/>
        <v>-21.92982456140351</v>
      </c>
      <c r="H537" s="20">
        <f t="shared" si="156"/>
        <v>-24.255319148936174</v>
      </c>
      <c r="I537" s="20">
        <f t="shared" si="157"/>
        <v>-12.207151664611594</v>
      </c>
    </row>
    <row r="538" spans="1:9" x14ac:dyDescent="0.3">
      <c r="A538" s="13">
        <f t="shared" si="144"/>
        <v>39861</v>
      </c>
      <c r="B538" s="8">
        <f>TWK!D271</f>
        <v>310</v>
      </c>
      <c r="C538" s="8">
        <f t="shared" si="158"/>
        <v>420.5</v>
      </c>
      <c r="D538" s="8">
        <f t="shared" si="159"/>
        <v>417.33333333333331</v>
      </c>
      <c r="E538" s="8">
        <f t="shared" si="153"/>
        <v>7</v>
      </c>
      <c r="F538" s="8">
        <f t="shared" si="154"/>
        <v>107.33333333333331</v>
      </c>
      <c r="G538" s="20">
        <f t="shared" si="155"/>
        <v>-12.921348314606739</v>
      </c>
      <c r="H538" s="20">
        <f t="shared" si="156"/>
        <v>-38</v>
      </c>
      <c r="I538" s="20">
        <f t="shared" si="157"/>
        <v>-25.718849840255587</v>
      </c>
    </row>
    <row r="539" spans="1:9" x14ac:dyDescent="0.3">
      <c r="A539" s="13">
        <f t="shared" si="144"/>
        <v>39868</v>
      </c>
      <c r="B539" s="8">
        <f>TWK!D272</f>
        <v>305</v>
      </c>
      <c r="C539" s="8">
        <f t="shared" si="158"/>
        <v>356.75</v>
      </c>
      <c r="D539" s="8">
        <f t="shared" si="159"/>
        <v>422.5</v>
      </c>
      <c r="E539" s="8">
        <f t="shared" si="153"/>
        <v>8</v>
      </c>
      <c r="F539" s="8">
        <f t="shared" si="154"/>
        <v>117.5</v>
      </c>
      <c r="G539" s="20">
        <f t="shared" si="155"/>
        <v>-1.6129032258064502</v>
      </c>
      <c r="H539" s="20">
        <f t="shared" si="156"/>
        <v>-42.344045368620044</v>
      </c>
      <c r="I539" s="20">
        <f t="shared" si="157"/>
        <v>-27.810650887573964</v>
      </c>
    </row>
    <row r="540" spans="1:9" x14ac:dyDescent="0.3">
      <c r="A540" s="13">
        <f t="shared" si="144"/>
        <v>39875</v>
      </c>
      <c r="B540" s="8">
        <f>TWK!D273</f>
        <v>282</v>
      </c>
      <c r="C540" s="8">
        <f t="shared" si="158"/>
        <v>313.25</v>
      </c>
      <c r="D540" s="8">
        <f t="shared" si="159"/>
        <v>403.72916666666669</v>
      </c>
      <c r="E540" s="8">
        <f t="shared" si="153"/>
        <v>9</v>
      </c>
      <c r="F540" s="8">
        <f t="shared" ref="F540:F545" si="160">SUM(D540-B540)</f>
        <v>121.72916666666669</v>
      </c>
      <c r="G540" s="20">
        <f t="shared" ref="G540:G545" si="161">(B540/B539-1)*100</f>
        <v>-7.5409836065573721</v>
      </c>
      <c r="H540" s="20">
        <f t="shared" ref="H540:H545" si="162">(B540/B488-1)*100</f>
        <v>-36.450704225352112</v>
      </c>
      <c r="I540" s="20">
        <f t="shared" ref="I540:I545" si="163">(B540/D540-1)*100</f>
        <v>-30.151194592084217</v>
      </c>
    </row>
    <row r="541" spans="1:9" x14ac:dyDescent="0.3">
      <c r="A541" s="13">
        <f t="shared" si="144"/>
        <v>39882</v>
      </c>
      <c r="B541" s="8">
        <f>TWK!D274</f>
        <v>267</v>
      </c>
      <c r="C541" s="8">
        <f t="shared" si="158"/>
        <v>291</v>
      </c>
      <c r="D541" s="8">
        <f t="shared" si="159"/>
        <v>391.39583333333331</v>
      </c>
      <c r="E541" s="8">
        <f t="shared" si="153"/>
        <v>10</v>
      </c>
      <c r="F541" s="8">
        <f t="shared" si="160"/>
        <v>124.39583333333331</v>
      </c>
      <c r="G541" s="20">
        <f t="shared" si="161"/>
        <v>-5.3191489361702153</v>
      </c>
      <c r="H541" s="20">
        <f t="shared" si="162"/>
        <v>-44.948453608247419</v>
      </c>
      <c r="I541" s="20">
        <f t="shared" si="163"/>
        <v>-31.782615638473409</v>
      </c>
    </row>
    <row r="542" spans="1:9" x14ac:dyDescent="0.3">
      <c r="A542" s="13">
        <f t="shared" si="144"/>
        <v>39889</v>
      </c>
      <c r="B542" s="8">
        <f>TWK!D275</f>
        <v>265</v>
      </c>
      <c r="C542" s="8">
        <f t="shared" si="158"/>
        <v>279.75</v>
      </c>
      <c r="D542" s="8">
        <f t="shared" si="159"/>
        <v>374.0625</v>
      </c>
      <c r="E542" s="8">
        <f t="shared" si="153"/>
        <v>11</v>
      </c>
      <c r="F542" s="8">
        <f t="shared" si="160"/>
        <v>109.0625</v>
      </c>
      <c r="G542" s="20">
        <f t="shared" si="161"/>
        <v>-0.74906367041198685</v>
      </c>
      <c r="H542" s="20">
        <f t="shared" si="162"/>
        <v>-38.372093023255815</v>
      </c>
      <c r="I542" s="20">
        <f t="shared" si="163"/>
        <v>-29.156223893066002</v>
      </c>
    </row>
    <row r="543" spans="1:9" x14ac:dyDescent="0.3">
      <c r="A543" s="13">
        <f t="shared" si="144"/>
        <v>39896</v>
      </c>
      <c r="B543" s="8">
        <f>TWK!D276</f>
        <v>271</v>
      </c>
      <c r="C543" s="8">
        <f t="shared" si="158"/>
        <v>271.25</v>
      </c>
      <c r="D543" s="8">
        <f t="shared" si="159"/>
        <v>357.5625</v>
      </c>
      <c r="E543" s="8">
        <f t="shared" si="153"/>
        <v>12</v>
      </c>
      <c r="F543" s="8">
        <f t="shared" si="160"/>
        <v>86.5625</v>
      </c>
      <c r="G543" s="20">
        <f t="shared" si="161"/>
        <v>2.2641509433962259</v>
      </c>
      <c r="H543" s="20">
        <f t="shared" si="162"/>
        <v>-42.217484008528785</v>
      </c>
      <c r="I543" s="20">
        <f t="shared" si="163"/>
        <v>-24.209054361125681</v>
      </c>
    </row>
    <row r="544" spans="1:9" x14ac:dyDescent="0.3">
      <c r="A544" s="13">
        <f t="shared" si="144"/>
        <v>39903</v>
      </c>
      <c r="B544" s="8">
        <f>TWK!D277</f>
        <v>248.75</v>
      </c>
      <c r="C544" s="8">
        <f t="shared" ref="C544" si="164">AVERAGE(B541:B544)</f>
        <v>262.9375</v>
      </c>
      <c r="D544" s="8">
        <f t="shared" ref="D544" si="165">(C388+C440+C492)/3</f>
        <v>349.91666666666669</v>
      </c>
      <c r="E544" s="8">
        <f t="shared" si="153"/>
        <v>13</v>
      </c>
      <c r="F544" s="8">
        <f t="shared" si="160"/>
        <v>101.16666666666669</v>
      </c>
      <c r="G544" s="20">
        <f t="shared" si="161"/>
        <v>-8.2103321033210381</v>
      </c>
      <c r="H544" s="20">
        <f t="shared" si="162"/>
        <v>-42.684331797235018</v>
      </c>
      <c r="I544" s="20">
        <f t="shared" si="163"/>
        <v>-28.911645629911888</v>
      </c>
    </row>
    <row r="545" spans="1:9" x14ac:dyDescent="0.3">
      <c r="A545" s="13">
        <f t="shared" si="144"/>
        <v>39910</v>
      </c>
      <c r="B545" s="8">
        <f>TWK!D278</f>
        <v>253</v>
      </c>
      <c r="C545" s="8">
        <f t="shared" ref="C545" si="166">AVERAGE(B542:B545)</f>
        <v>259.4375</v>
      </c>
      <c r="D545" s="8">
        <f t="shared" ref="D545" si="167">(C389+C441+C493)/3</f>
        <v>337.95833333333331</v>
      </c>
      <c r="E545" s="8">
        <f t="shared" si="153"/>
        <v>14</v>
      </c>
      <c r="F545" s="8">
        <f t="shared" si="160"/>
        <v>84.958333333333314</v>
      </c>
      <c r="G545" s="20">
        <f t="shared" si="161"/>
        <v>1.7085427135678399</v>
      </c>
      <c r="H545" s="20">
        <f t="shared" si="162"/>
        <v>-39.219219219219212</v>
      </c>
      <c r="I545" s="20">
        <f t="shared" si="163"/>
        <v>-25.138700530144241</v>
      </c>
    </row>
    <row r="546" spans="1:9" ht="12.65" customHeight="1" x14ac:dyDescent="0.3">
      <c r="A546" s="13">
        <f t="shared" ref="A546:A551" si="168">7+A545</f>
        <v>39917</v>
      </c>
      <c r="B546" s="8">
        <f>TWK!D279</f>
        <v>262.5</v>
      </c>
      <c r="C546" s="8">
        <f t="shared" ref="C546" si="169">AVERAGE(B543:B546)</f>
        <v>258.8125</v>
      </c>
      <c r="D546" s="8">
        <f t="shared" ref="D546" si="170">(C390+C442+C494)/3</f>
        <v>329.25</v>
      </c>
      <c r="E546" s="8">
        <f t="shared" si="153"/>
        <v>15</v>
      </c>
      <c r="F546" s="8">
        <f t="shared" ref="F546" si="171">SUM(D546-B546)</f>
        <v>66.75</v>
      </c>
      <c r="G546" s="20">
        <f t="shared" ref="G546" si="172">(B546/B545-1)*100</f>
        <v>3.7549407114624511</v>
      </c>
      <c r="H546" s="20">
        <f t="shared" ref="H546" si="173">(B546/B494-1)*100</f>
        <v>-35.582822085889575</v>
      </c>
      <c r="I546" s="20">
        <f t="shared" ref="I546" si="174">(B546/D546-1)*100</f>
        <v>-20.273348519362187</v>
      </c>
    </row>
    <row r="547" spans="1:9" ht="12.65" customHeight="1" x14ac:dyDescent="0.3">
      <c r="A547" s="13">
        <f t="shared" si="168"/>
        <v>39924</v>
      </c>
      <c r="B547" s="8">
        <f>TWK!D280</f>
        <v>258.75</v>
      </c>
      <c r="C547" s="8">
        <f t="shared" ref="C547" si="175">AVERAGE(B544:B547)</f>
        <v>255.75</v>
      </c>
      <c r="D547" s="8">
        <f t="shared" ref="D547" si="176">(C391+C443+C495)/3</f>
        <v>319.83333333333331</v>
      </c>
      <c r="E547" s="8">
        <f t="shared" si="153"/>
        <v>16</v>
      </c>
      <c r="F547" s="8">
        <f t="shared" ref="F547" si="177">SUM(D547-B547)</f>
        <v>61.083333333333314</v>
      </c>
      <c r="G547" s="20">
        <f t="shared" ref="G547" si="178">(B547/B546-1)*100</f>
        <v>-1.4285714285714235</v>
      </c>
      <c r="H547" s="20">
        <f t="shared" ref="H547" si="179">(B547/B495-1)*100</f>
        <v>-38.539192399049881</v>
      </c>
      <c r="I547" s="20">
        <f t="shared" ref="I547" si="180">(B547/D547-1)*100</f>
        <v>-19.098488796248038</v>
      </c>
    </row>
    <row r="548" spans="1:9" ht="12.65" customHeight="1" x14ac:dyDescent="0.3">
      <c r="A548" s="13">
        <f t="shared" si="168"/>
        <v>39931</v>
      </c>
      <c r="B548" s="8">
        <f>TWK!D281</f>
        <v>249</v>
      </c>
      <c r="C548" s="8">
        <f t="shared" ref="C548" si="181">AVERAGE(B545:B548)</f>
        <v>255.8125</v>
      </c>
      <c r="D548" s="8">
        <f t="shared" ref="D548" si="182">(C392+C444+C496)/3</f>
        <v>311.43055555555554</v>
      </c>
      <c r="E548" s="8">
        <f t="shared" si="153"/>
        <v>17</v>
      </c>
      <c r="F548" s="8">
        <f t="shared" ref="F548" si="183">SUM(D548-B548)</f>
        <v>62.430555555555543</v>
      </c>
      <c r="G548" s="20">
        <f t="shared" ref="G548" si="184">(B548/B547-1)*100</f>
        <v>-3.7681159420289823</v>
      </c>
      <c r="H548" s="20">
        <f t="shared" ref="H548" si="185">(B548/B496-1)*100</f>
        <v>-35.824742268041234</v>
      </c>
      <c r="I548" s="20">
        <f t="shared" ref="I548" si="186">(B548/D548-1)*100</f>
        <v>-20.046380948133613</v>
      </c>
    </row>
    <row r="549" spans="1:9" x14ac:dyDescent="0.3">
      <c r="A549" s="13">
        <f t="shared" si="168"/>
        <v>39938</v>
      </c>
      <c r="B549" s="8">
        <f>TWK!D282</f>
        <v>249</v>
      </c>
      <c r="C549" s="8">
        <f t="shared" ref="C549" si="187">AVERAGE(B546:B549)</f>
        <v>254.8125</v>
      </c>
      <c r="D549" s="8">
        <f t="shared" ref="D549" si="188">(C393+C445+C497)/3</f>
        <v>308.98611111111109</v>
      </c>
      <c r="E549" s="8">
        <f t="shared" si="153"/>
        <v>18</v>
      </c>
      <c r="F549" s="8">
        <f t="shared" ref="F549" si="189">SUM(D549-B549)</f>
        <v>59.986111111111086</v>
      </c>
      <c r="G549" s="20">
        <f t="shared" ref="G549" si="190">(B549/B548-1)*100</f>
        <v>0</v>
      </c>
      <c r="H549" s="20">
        <f t="shared" ref="H549" si="191">(B549/B497-1)*100</f>
        <v>-34.98694516971279</v>
      </c>
      <c r="I549" s="20">
        <f t="shared" ref="I549" si="192">(B549/D549-1)*100</f>
        <v>-19.413853553288074</v>
      </c>
    </row>
    <row r="550" spans="1:9" x14ac:dyDescent="0.3">
      <c r="A550" s="13">
        <f t="shared" si="168"/>
        <v>39945</v>
      </c>
      <c r="B550" s="8">
        <f>TWK!D283</f>
        <v>273</v>
      </c>
      <c r="C550" s="8">
        <f t="shared" ref="C550" si="193">AVERAGE(B547:B550)</f>
        <v>257.4375</v>
      </c>
      <c r="D550" s="8">
        <f t="shared" ref="D550" si="194">(C394+C446+C498)/3</f>
        <v>314.86111111111109</v>
      </c>
      <c r="E550" s="8">
        <f t="shared" si="153"/>
        <v>19</v>
      </c>
      <c r="F550" s="8">
        <f t="shared" ref="F550" si="195">SUM(D550-B550)</f>
        <v>41.861111111111086</v>
      </c>
      <c r="G550" s="20">
        <f t="shared" ref="G550" si="196">(B550/B549-1)*100</f>
        <v>9.6385542168674796</v>
      </c>
      <c r="H550" s="20">
        <f t="shared" ref="H550" si="197">(B550/B498-1)*100</f>
        <v>-27.586206896551722</v>
      </c>
      <c r="I550" s="20">
        <f t="shared" ref="I550" si="198">(B550/D550-1)*100</f>
        <v>-13.295103661226282</v>
      </c>
    </row>
    <row r="551" spans="1:9" x14ac:dyDescent="0.3">
      <c r="A551" s="13">
        <f t="shared" si="168"/>
        <v>39952</v>
      </c>
      <c r="B551" s="8">
        <f>TWK!D284</f>
        <v>271.66666666666669</v>
      </c>
      <c r="C551" s="8">
        <f t="shared" ref="C551" si="199">AVERAGE(B548:B551)</f>
        <v>260.66666666666669</v>
      </c>
      <c r="D551" s="8">
        <f t="shared" ref="D551" si="200">(C395+C447+C499)/3</f>
        <v>324.6944444444444</v>
      </c>
      <c r="E551" s="8">
        <f t="shared" si="153"/>
        <v>20</v>
      </c>
      <c r="F551" s="8">
        <f t="shared" ref="F551" si="201">SUM(D551-B551)</f>
        <v>53.027777777777715</v>
      </c>
      <c r="G551" s="20">
        <f t="shared" ref="G551" si="202">(B551/B550-1)*100</f>
        <v>-0.48840048840048667</v>
      </c>
      <c r="H551" s="20">
        <f t="shared" ref="H551" si="203">(B551/B499-1)*100</f>
        <v>-28.696412948381443</v>
      </c>
      <c r="I551" s="20">
        <f t="shared" ref="I551" si="204">(B551/D551-1)*100</f>
        <v>-16.331593806142507</v>
      </c>
    </row>
    <row r="552" spans="1:9" x14ac:dyDescent="0.3">
      <c r="A552" s="13">
        <f t="shared" ref="A552:A779" si="205">7+A551</f>
        <v>39959</v>
      </c>
      <c r="B552" s="8">
        <f>TWK!D285</f>
        <v>271.25</v>
      </c>
      <c r="C552" s="8">
        <f t="shared" ref="C552" si="206">AVERAGE(B549:B552)</f>
        <v>266.22916666666669</v>
      </c>
      <c r="D552" s="8">
        <f t="shared" ref="D552" si="207">(C396+C448+C500)/3</f>
        <v>338.76388888888886</v>
      </c>
      <c r="E552" s="8">
        <f t="shared" si="153"/>
        <v>21</v>
      </c>
      <c r="F552" s="8">
        <f t="shared" ref="F552" si="208">SUM(D552-B552)</f>
        <v>67.513888888888857</v>
      </c>
      <c r="G552" s="20">
        <f t="shared" ref="G552" si="209">(B552/B551-1)*100</f>
        <v>-0.15337423312884457</v>
      </c>
      <c r="H552" s="20">
        <f t="shared" ref="H552" si="210">(B552/B500-1)*100</f>
        <v>-33.024691358024697</v>
      </c>
      <c r="I552" s="20">
        <f t="shared" ref="I552" si="211">(B552/D552-1)*100</f>
        <v>-19.929482186052226</v>
      </c>
    </row>
    <row r="553" spans="1:9" x14ac:dyDescent="0.3">
      <c r="A553" s="13">
        <f t="shared" si="205"/>
        <v>39966</v>
      </c>
      <c r="B553" s="8">
        <f>TWK!D286</f>
        <v>263.75</v>
      </c>
      <c r="C553" s="8">
        <f t="shared" ref="C553" si="212">AVERAGE(B550:B553)</f>
        <v>269.91666666666669</v>
      </c>
      <c r="D553" s="8">
        <f t="shared" ref="D553" si="213">(C397+C449+C501)/3</f>
        <v>356.47916666666669</v>
      </c>
      <c r="E553" s="8">
        <f t="shared" si="153"/>
        <v>22</v>
      </c>
      <c r="F553" s="8">
        <f t="shared" ref="F553" si="214">SUM(D553-B553)</f>
        <v>92.729166666666686</v>
      </c>
      <c r="G553" s="20">
        <f t="shared" ref="G553" si="215">(B553/B552-1)*100</f>
        <v>-2.7649769585253448</v>
      </c>
      <c r="H553" s="20">
        <f t="shared" ref="H553" si="216">(B553/B501-1)*100</f>
        <v>-38.805104408352662</v>
      </c>
      <c r="I553" s="20">
        <f t="shared" ref="I553" si="217">(B553/D553-1)*100</f>
        <v>-26.012506574718021</v>
      </c>
    </row>
    <row r="554" spans="1:9" x14ac:dyDescent="0.3">
      <c r="A554" s="13">
        <f t="shared" si="205"/>
        <v>39973</v>
      </c>
      <c r="B554" s="8">
        <f>TWK!D287</f>
        <v>268.33333333333331</v>
      </c>
      <c r="C554" s="8">
        <f t="shared" ref="C554" si="218">AVERAGE(B551:B554)</f>
        <v>268.75</v>
      </c>
      <c r="D554" s="8">
        <f t="shared" ref="D554" si="219">(C398+C450+C502)/3</f>
        <v>377.0625</v>
      </c>
      <c r="E554" s="8">
        <f t="shared" si="153"/>
        <v>23</v>
      </c>
      <c r="F554" s="8">
        <f t="shared" ref="F554" si="220">SUM(D554-B554)</f>
        <v>108.72916666666669</v>
      </c>
      <c r="G554" s="20">
        <f t="shared" ref="G554" si="221">(B554/B553-1)*100</f>
        <v>1.7377567140600236</v>
      </c>
      <c r="H554" s="20">
        <f t="shared" ref="H554" si="222">(B554/B502-1)*100</f>
        <v>-49.082858950031628</v>
      </c>
      <c r="I554" s="20">
        <f t="shared" ref="I554" si="223">(B554/D554-1)*100</f>
        <v>-28.835847284380357</v>
      </c>
    </row>
    <row r="555" spans="1:9" x14ac:dyDescent="0.3">
      <c r="A555" s="13">
        <f t="shared" si="205"/>
        <v>39980</v>
      </c>
      <c r="B555" s="8">
        <f>TWK!D288</f>
        <v>290</v>
      </c>
      <c r="C555" s="8">
        <f t="shared" ref="C555" si="224">AVERAGE(B552:B555)</f>
        <v>273.33333333333331</v>
      </c>
      <c r="D555" s="8">
        <f t="shared" ref="D555" si="225">(C399+C451+C503)/3</f>
        <v>404.64583333333331</v>
      </c>
      <c r="E555" s="8">
        <f t="shared" si="153"/>
        <v>24</v>
      </c>
      <c r="F555" s="8">
        <f t="shared" ref="F555" si="226">SUM(D555-B555)</f>
        <v>114.64583333333331</v>
      </c>
      <c r="G555" s="20">
        <f t="shared" ref="G555" si="227">(B555/B554-1)*100</f>
        <v>8.0745341614906874</v>
      </c>
      <c r="H555" s="20">
        <f t="shared" ref="H555" si="228">(B555/B503-1)*100</f>
        <v>-54.968944099378881</v>
      </c>
      <c r="I555" s="20">
        <f t="shared" ref="I555" si="229">(B555/D555-1)*100</f>
        <v>-28.332389435205684</v>
      </c>
    </row>
    <row r="556" spans="1:9" x14ac:dyDescent="0.3">
      <c r="A556" s="13">
        <f t="shared" si="205"/>
        <v>39987</v>
      </c>
      <c r="B556" s="8">
        <f>TWK!D289</f>
        <v>276.25</v>
      </c>
      <c r="C556" s="8">
        <f t="shared" ref="C556" si="230">AVERAGE(B553:B556)</f>
        <v>274.58333333333331</v>
      </c>
      <c r="D556" s="8">
        <f t="shared" ref="D556" si="231">(C400+C452+C504)/3</f>
        <v>426.39583333333331</v>
      </c>
      <c r="E556" s="8">
        <f t="shared" si="153"/>
        <v>25</v>
      </c>
      <c r="F556" s="8">
        <f t="shared" ref="F556" si="232">SUM(D556-B556)</f>
        <v>150.14583333333331</v>
      </c>
      <c r="G556" s="20">
        <f t="shared" ref="G556" si="233">(B556/B555-1)*100</f>
        <v>-4.7413793103448292</v>
      </c>
      <c r="H556" s="20">
        <f t="shared" ref="H556" si="234">(B556/B504-1)*100</f>
        <v>-50.492831541218642</v>
      </c>
      <c r="I556" s="20">
        <f t="shared" ref="I556" si="235">(B556/D556-1)*100</f>
        <v>-35.212781550789074</v>
      </c>
    </row>
    <row r="557" spans="1:9" x14ac:dyDescent="0.3">
      <c r="A557" s="13">
        <f t="shared" si="205"/>
        <v>39994</v>
      </c>
      <c r="B557" s="8">
        <f>TWK!D290</f>
        <v>263</v>
      </c>
      <c r="C557" s="8">
        <f t="shared" ref="C557" si="236">AVERAGE(B554:B557)</f>
        <v>274.39583333333331</v>
      </c>
      <c r="D557" s="8">
        <f t="shared" ref="D557" si="237">(C401+C453+C505)/3</f>
        <v>447.08333333333331</v>
      </c>
      <c r="E557" s="8">
        <f t="shared" si="153"/>
        <v>26</v>
      </c>
      <c r="F557" s="8">
        <f t="shared" ref="F557" si="238">SUM(D557-B557)</f>
        <v>184.08333333333331</v>
      </c>
      <c r="G557" s="20">
        <f t="shared" ref="G557" si="239">(B557/B556-1)*100</f>
        <v>-4.7963800904977427</v>
      </c>
      <c r="H557" s="20">
        <f t="shared" ref="H557" si="240">(B557/B505-1)*100</f>
        <v>-56.4569536423841</v>
      </c>
      <c r="I557" s="20">
        <f t="shared" ref="I557" si="241">(B557/D557-1)*100</f>
        <v>-41.174277726001861</v>
      </c>
    </row>
    <row r="558" spans="1:9" x14ac:dyDescent="0.3">
      <c r="A558" s="13">
        <f t="shared" si="205"/>
        <v>40001</v>
      </c>
      <c r="B558" s="8">
        <f>TWK!D291</f>
        <v>249</v>
      </c>
      <c r="C558" s="8">
        <f t="shared" ref="C558" si="242">AVERAGE(B555:B558)</f>
        <v>269.5625</v>
      </c>
      <c r="D558" s="8">
        <f t="shared" ref="D558" si="243">(C402+C454+C506)/3</f>
        <v>459.83333333333331</v>
      </c>
      <c r="E558" s="8">
        <f t="shared" si="153"/>
        <v>27</v>
      </c>
      <c r="F558" s="8">
        <f t="shared" ref="F558" si="244">SUM(D558-B558)</f>
        <v>210.83333333333331</v>
      </c>
      <c r="G558" s="20">
        <f t="shared" ref="G558" si="245">(B558/B557-1)*100</f>
        <v>-5.323193916349811</v>
      </c>
      <c r="H558" s="20">
        <f t="shared" ref="H558" si="246">(B558/B506-1)*100</f>
        <v>-54.56204379562044</v>
      </c>
      <c r="I558" s="20">
        <f t="shared" ref="I558" si="247">(B558/D558-1)*100</f>
        <v>-45.849945632475531</v>
      </c>
    </row>
    <row r="559" spans="1:9" x14ac:dyDescent="0.3">
      <c r="A559" s="13">
        <f t="shared" si="205"/>
        <v>40008</v>
      </c>
      <c r="B559" s="8">
        <f>TWK!D292</f>
        <v>270</v>
      </c>
      <c r="C559" s="8">
        <f t="shared" ref="C559" si="248">AVERAGE(B556:B559)</f>
        <v>264.5625</v>
      </c>
      <c r="D559" s="8">
        <f t="shared" ref="D559" si="249">(C403+C455+C507)/3</f>
        <v>464.83333333333331</v>
      </c>
      <c r="E559" s="8">
        <f t="shared" si="153"/>
        <v>28</v>
      </c>
      <c r="F559" s="8">
        <f t="shared" ref="F559" si="250">SUM(D559-B559)</f>
        <v>194.83333333333331</v>
      </c>
      <c r="G559" s="20">
        <f t="shared" ref="G559" si="251">(B559/B558-1)*100</f>
        <v>8.4337349397590309</v>
      </c>
      <c r="H559" s="20">
        <f t="shared" ref="H559" si="252">(B559/B507-1)*100</f>
        <v>-42.060085836909863</v>
      </c>
      <c r="I559" s="20">
        <f t="shared" ref="I559" si="253">(B559/D559-1)*100</f>
        <v>-41.914664754392248</v>
      </c>
    </row>
    <row r="560" spans="1:9" x14ac:dyDescent="0.3">
      <c r="A560" s="13">
        <f t="shared" si="205"/>
        <v>40015</v>
      </c>
      <c r="B560" s="8">
        <f>TWK!D293</f>
        <v>298</v>
      </c>
      <c r="C560" s="8">
        <f t="shared" ref="C560" si="254">AVERAGE(B557:B560)</f>
        <v>270</v>
      </c>
      <c r="D560" s="8">
        <f t="shared" ref="D560" si="255">(C404+C456+C508)/3</f>
        <v>470.08333333333331</v>
      </c>
      <c r="E560" s="8">
        <f t="shared" si="153"/>
        <v>29</v>
      </c>
      <c r="F560" s="8">
        <f t="shared" ref="F560" si="256">SUM(D560-B560)</f>
        <v>172.08333333333331</v>
      </c>
      <c r="G560" s="20">
        <f t="shared" ref="G560" si="257">(B560/B559-1)*100</f>
        <v>10.370370370370363</v>
      </c>
      <c r="H560" s="20">
        <f t="shared" ref="H560" si="258">(B560/B508-1)*100</f>
        <v>-34.216335540838848</v>
      </c>
      <c r="I560" s="20">
        <f t="shared" ref="I560" si="259">(B560/D560-1)*100</f>
        <v>-36.606984577202617</v>
      </c>
    </row>
    <row r="561" spans="1:9" x14ac:dyDescent="0.3">
      <c r="A561" s="13">
        <f t="shared" si="205"/>
        <v>40022</v>
      </c>
      <c r="B561" s="8">
        <f>TWK!D294</f>
        <v>287.5</v>
      </c>
      <c r="C561" s="8">
        <f t="shared" ref="C561" si="260">AVERAGE(B558:B561)</f>
        <v>276.125</v>
      </c>
      <c r="D561" s="8">
        <f t="shared" ref="D561" si="261">(C405+C457+C509)/3</f>
        <v>468.25</v>
      </c>
      <c r="E561" s="8">
        <f t="shared" si="153"/>
        <v>30</v>
      </c>
      <c r="F561" s="8">
        <f t="shared" ref="F561" si="262">SUM(D561-B561)</f>
        <v>180.75</v>
      </c>
      <c r="G561" s="20">
        <f t="shared" ref="G561" si="263">(B561/B560-1)*100</f>
        <v>-3.5234899328859037</v>
      </c>
      <c r="H561" s="20">
        <f t="shared" ref="H561" si="264">(B561/B509-1)*100</f>
        <v>-41.565040650406502</v>
      </c>
      <c r="I561" s="20">
        <f t="shared" ref="I561" si="265">(B561/D561-1)*100</f>
        <v>-38.601174586225305</v>
      </c>
    </row>
    <row r="562" spans="1:9" x14ac:dyDescent="0.3">
      <c r="A562" s="13">
        <f t="shared" si="205"/>
        <v>40029</v>
      </c>
      <c r="B562" s="8">
        <f>TWK!D295</f>
        <v>276.25</v>
      </c>
      <c r="C562" s="8">
        <f t="shared" ref="C562" si="266">AVERAGE(B559:B562)</f>
        <v>282.9375</v>
      </c>
      <c r="D562" s="8">
        <f t="shared" ref="D562" si="267">(C406+C458+C510)/3</f>
        <v>477.08333333333331</v>
      </c>
      <c r="E562" s="8">
        <f t="shared" si="153"/>
        <v>31</v>
      </c>
      <c r="F562" s="8">
        <f t="shared" ref="F562" si="268">SUM(D562-B562)</f>
        <v>200.83333333333331</v>
      </c>
      <c r="G562" s="20">
        <f t="shared" ref="G562" si="269">(B562/B561-1)*100</f>
        <v>-3.9130434782608692</v>
      </c>
      <c r="H562" s="20">
        <f t="shared" ref="H562" si="270">(B562/B510-1)*100</f>
        <v>-43.041237113402062</v>
      </c>
      <c r="I562" s="20">
        <f t="shared" ref="I562" si="271">(B562/D562-1)*100</f>
        <v>-42.096069868995635</v>
      </c>
    </row>
    <row r="563" spans="1:9" x14ac:dyDescent="0.3">
      <c r="A563" s="13">
        <f t="shared" si="205"/>
        <v>40036</v>
      </c>
      <c r="B563" s="8">
        <f>TWK!D296</f>
        <v>280</v>
      </c>
      <c r="C563" s="8">
        <f t="shared" ref="C563:C564" si="272">AVERAGE(B560:B563)</f>
        <v>285.4375</v>
      </c>
      <c r="D563" s="8">
        <f t="shared" ref="D563:D564" si="273">(C407+C459+C511)/3</f>
        <v>487.83333333333331</v>
      </c>
      <c r="E563" s="8">
        <f t="shared" si="153"/>
        <v>32</v>
      </c>
      <c r="F563" s="8">
        <f t="shared" ref="F563:F564" si="274">SUM(D563-B563)</f>
        <v>207.83333333333331</v>
      </c>
      <c r="G563" s="20">
        <f t="shared" ref="G563:G564" si="275">(B563/B562-1)*100</f>
        <v>1.3574660633484115</v>
      </c>
      <c r="H563" s="20">
        <f t="shared" ref="H563:H564" si="276">(B563/B511-1)*100</f>
        <v>-39.130434782608688</v>
      </c>
      <c r="I563" s="20">
        <f t="shared" ref="I563:I564" si="277">(B563/D563-1)*100</f>
        <v>-42.603348138025275</v>
      </c>
    </row>
    <row r="564" spans="1:9" x14ac:dyDescent="0.3">
      <c r="A564" s="13">
        <f t="shared" si="205"/>
        <v>40043</v>
      </c>
      <c r="B564" s="8">
        <f>TWK!D297</f>
        <v>322</v>
      </c>
      <c r="C564" s="8">
        <f t="shared" si="272"/>
        <v>291.4375</v>
      </c>
      <c r="D564" s="8">
        <f t="shared" si="273"/>
        <v>510</v>
      </c>
      <c r="E564" s="8">
        <f t="shared" si="153"/>
        <v>33</v>
      </c>
      <c r="F564" s="8">
        <f t="shared" si="274"/>
        <v>188</v>
      </c>
      <c r="G564" s="20">
        <f t="shared" si="275"/>
        <v>14.999999999999991</v>
      </c>
      <c r="H564" s="20">
        <f t="shared" si="276"/>
        <v>-37.475728155339802</v>
      </c>
      <c r="I564" s="20">
        <f t="shared" si="277"/>
        <v>-36.86274509803922</v>
      </c>
    </row>
    <row r="565" spans="1:9" x14ac:dyDescent="0.3">
      <c r="A565" s="13">
        <f t="shared" si="205"/>
        <v>40050</v>
      </c>
      <c r="B565" s="8">
        <f>TWK!D298</f>
        <v>340</v>
      </c>
      <c r="C565" s="8">
        <f t="shared" ref="C565" si="278">AVERAGE(B562:B565)</f>
        <v>304.5625</v>
      </c>
      <c r="D565" s="8">
        <f t="shared" ref="D565" si="279">(C409+C461+C513)/3</f>
        <v>547.33333333333337</v>
      </c>
      <c r="E565" s="8">
        <f t="shared" si="153"/>
        <v>34</v>
      </c>
      <c r="F565" s="8">
        <f t="shared" ref="F565" si="280">SUM(D565-B565)</f>
        <v>207.33333333333337</v>
      </c>
      <c r="G565" s="20">
        <f t="shared" ref="G565" si="281">(B565/B564-1)*100</f>
        <v>5.5900621118012417</v>
      </c>
      <c r="H565" s="20">
        <f t="shared" ref="H565" si="282">(B565/B513-1)*100</f>
        <v>-39.92932862190812</v>
      </c>
      <c r="I565" s="20">
        <f t="shared" ref="I565" si="283">(B565/D565-1)*100</f>
        <v>-37.880633373934238</v>
      </c>
    </row>
    <row r="566" spans="1:9" x14ac:dyDescent="0.3">
      <c r="A566" s="13">
        <f t="shared" si="205"/>
        <v>40057</v>
      </c>
      <c r="B566" s="8">
        <f>TWK!D299</f>
        <v>355</v>
      </c>
      <c r="C566" s="8">
        <f t="shared" ref="C566" si="284">AVERAGE(B563:B566)</f>
        <v>324.25</v>
      </c>
      <c r="D566" s="8">
        <f t="shared" ref="D566" si="285">(C410+C462+C514)/3</f>
        <v>581.16666666666663</v>
      </c>
      <c r="E566" s="8">
        <f t="shared" si="153"/>
        <v>35</v>
      </c>
      <c r="F566" s="8">
        <f t="shared" ref="F566" si="286">SUM(D566-B566)</f>
        <v>226.16666666666663</v>
      </c>
      <c r="G566" s="20">
        <f t="shared" ref="G566" si="287">(B566/B565-1)*100</f>
        <v>4.4117647058823595</v>
      </c>
      <c r="H566" s="20">
        <f t="shared" ref="H566" si="288">(B566/B514-1)*100</f>
        <v>-40.336134453781511</v>
      </c>
      <c r="I566" s="20">
        <f t="shared" ref="I566" si="289">(B566/D566-1)*100</f>
        <v>-38.915973616289065</v>
      </c>
    </row>
    <row r="567" spans="1:9" x14ac:dyDescent="0.3">
      <c r="A567" s="13">
        <f t="shared" si="205"/>
        <v>40064</v>
      </c>
      <c r="B567" s="8">
        <f>TWK!D300</f>
        <v>336.25</v>
      </c>
      <c r="C567" s="8">
        <f t="shared" ref="C567" si="290">AVERAGE(B564:B567)</f>
        <v>338.3125</v>
      </c>
      <c r="D567" s="8">
        <f t="shared" ref="D567" si="291">(C411+C463+C515)/3</f>
        <v>602.08333333333337</v>
      </c>
      <c r="E567" s="8">
        <f t="shared" si="153"/>
        <v>36</v>
      </c>
      <c r="F567" s="8">
        <f t="shared" ref="F567" si="292">SUM(D567-B567)</f>
        <v>265.83333333333337</v>
      </c>
      <c r="G567" s="20">
        <f t="shared" ref="G567" si="293">(B567/B566-1)*100</f>
        <v>-5.2816901408450745</v>
      </c>
      <c r="H567" s="20">
        <f t="shared" ref="H567" si="294">(B567/B515-1)*100</f>
        <v>-44.786535303776688</v>
      </c>
      <c r="I567" s="20">
        <f t="shared" ref="I567" si="295">(B567/D567-1)*100</f>
        <v>-44.152249134948093</v>
      </c>
    </row>
    <row r="568" spans="1:9" x14ac:dyDescent="0.3">
      <c r="A568" s="13">
        <f t="shared" si="205"/>
        <v>40071</v>
      </c>
      <c r="B568" s="8">
        <f>TWK!D301</f>
        <v>335</v>
      </c>
      <c r="C568" s="8">
        <f t="shared" ref="C568" si="296">AVERAGE(B565:B568)</f>
        <v>341.5625</v>
      </c>
      <c r="D568" s="8">
        <f t="shared" ref="D568" si="297">(C412+C464+C516)/3</f>
        <v>620.91666666666663</v>
      </c>
      <c r="E568" s="8">
        <f t="shared" si="153"/>
        <v>37</v>
      </c>
      <c r="F568" s="8">
        <f t="shared" ref="F568" si="298">SUM(D568-B568)</f>
        <v>285.91666666666663</v>
      </c>
      <c r="G568" s="20">
        <f t="shared" ref="G568" si="299">(B568/B567-1)*100</f>
        <v>-0.37174721189591198</v>
      </c>
      <c r="H568" s="20">
        <f t="shared" ref="H568" si="300">(B568/B516-1)*100</f>
        <v>-45.261437908496724</v>
      </c>
      <c r="I568" s="20">
        <f t="shared" ref="I568" si="301">(B568/D568-1)*100</f>
        <v>-46.047510401288413</v>
      </c>
    </row>
    <row r="569" spans="1:9" x14ac:dyDescent="0.3">
      <c r="A569" s="13">
        <f t="shared" si="205"/>
        <v>40078</v>
      </c>
      <c r="B569" s="8">
        <f>TWK!D302</f>
        <v>388.75</v>
      </c>
      <c r="C569" s="8">
        <f t="shared" ref="C569" si="302">AVERAGE(B566:B569)</f>
        <v>353.75</v>
      </c>
      <c r="D569" s="8">
        <f t="shared" ref="D569" si="303">(C413+C465+C517)/3</f>
        <v>620.66666666666663</v>
      </c>
      <c r="E569" s="8">
        <f t="shared" si="153"/>
        <v>38</v>
      </c>
      <c r="F569" s="8">
        <f t="shared" ref="F569" si="304">SUM(D569-B569)</f>
        <v>231.91666666666663</v>
      </c>
      <c r="G569" s="20">
        <f t="shared" ref="G569" si="305">(B569/B568-1)*100</f>
        <v>16.044776119402982</v>
      </c>
      <c r="H569" s="20">
        <f t="shared" ref="H569" si="306">(B569/B517-1)*100</f>
        <v>-34.773489932885902</v>
      </c>
      <c r="I569" s="20">
        <f t="shared" ref="I569" si="307">(B569/D569-1)*100</f>
        <v>-37.365735767991403</v>
      </c>
    </row>
    <row r="570" spans="1:9" x14ac:dyDescent="0.3">
      <c r="A570" s="13">
        <f t="shared" si="205"/>
        <v>40085</v>
      </c>
      <c r="B570" s="8">
        <f>TWK!D303</f>
        <v>447.5</v>
      </c>
      <c r="C570" s="8">
        <f t="shared" ref="C570" si="308">AVERAGE(B567:B570)</f>
        <v>376.875</v>
      </c>
      <c r="D570" s="8">
        <f t="shared" ref="D570" si="309">(C414+C466+C518)/3</f>
        <v>620.25</v>
      </c>
      <c r="E570" s="8">
        <f t="shared" si="153"/>
        <v>39</v>
      </c>
      <c r="F570" s="8">
        <f t="shared" ref="F570" si="310">SUM(D570-B570)</f>
        <v>172.75</v>
      </c>
      <c r="G570" s="20">
        <f t="shared" ref="G570" si="311">(B570/B569-1)*100</f>
        <v>15.112540192926049</v>
      </c>
      <c r="H570" s="20">
        <f t="shared" ref="H570" si="312">(B570/B518-1)*100</f>
        <v>-28.400000000000002</v>
      </c>
      <c r="I570" s="20">
        <f t="shared" ref="I570" si="313">(B570/D570-1)*100</f>
        <v>-27.851672712615883</v>
      </c>
    </row>
    <row r="571" spans="1:9" x14ac:dyDescent="0.3">
      <c r="A571" s="13">
        <f t="shared" si="205"/>
        <v>40092</v>
      </c>
      <c r="B571" s="8">
        <f>TWK!D304</f>
        <v>467</v>
      </c>
      <c r="C571" s="8">
        <f t="shared" ref="C571" si="314">AVERAGE(B568:B571)</f>
        <v>409.5625</v>
      </c>
      <c r="D571" s="8">
        <f t="shared" ref="D571" si="315">(C415+C467+C519)/3</f>
        <v>632</v>
      </c>
      <c r="E571" s="8">
        <f t="shared" si="153"/>
        <v>40</v>
      </c>
      <c r="F571" s="8">
        <f t="shared" ref="F571" si="316">SUM(D571-B571)</f>
        <v>165</v>
      </c>
      <c r="G571" s="20">
        <f t="shared" ref="G571" si="317">(B571/B570-1)*100</f>
        <v>4.3575418994413306</v>
      </c>
      <c r="H571" s="20">
        <f t="shared" ref="H571" si="318">(B571/B519-1)*100</f>
        <v>-37.733333333333327</v>
      </c>
      <c r="I571" s="20">
        <f t="shared" ref="I571" si="319">(B571/D571-1)*100</f>
        <v>-26.107594936708857</v>
      </c>
    </row>
    <row r="572" spans="1:9" x14ac:dyDescent="0.3">
      <c r="A572" s="13">
        <f t="shared" si="205"/>
        <v>40099</v>
      </c>
      <c r="B572" s="8">
        <f>TWK!D305</f>
        <v>427</v>
      </c>
      <c r="C572" s="8">
        <f t="shared" ref="C572" si="320">AVERAGE(B569:B572)</f>
        <v>432.5625</v>
      </c>
      <c r="D572" s="8">
        <f t="shared" ref="D572" si="321">(C416+C468+C520)/3</f>
        <v>618.83333333333337</v>
      </c>
      <c r="E572" s="8">
        <f t="shared" si="153"/>
        <v>41</v>
      </c>
      <c r="F572" s="8">
        <f t="shared" ref="F572" si="322">SUM(D572-B572)</f>
        <v>191.83333333333337</v>
      </c>
      <c r="G572" s="20">
        <f t="shared" ref="G572" si="323">(B572/B571-1)*100</f>
        <v>-8.5653104925053505</v>
      </c>
      <c r="H572" s="20">
        <f t="shared" ref="H572" si="324">(B572/B520-1)*100</f>
        <v>-35.303030303030305</v>
      </c>
      <c r="I572" s="20">
        <f t="shared" ref="I572" si="325">(B572/D572-1)*100</f>
        <v>-30.999192028009702</v>
      </c>
    </row>
    <row r="573" spans="1:9" x14ac:dyDescent="0.3">
      <c r="A573" s="13">
        <f t="shared" si="205"/>
        <v>40106</v>
      </c>
      <c r="B573" s="8">
        <f>TWK!D306</f>
        <v>451.25</v>
      </c>
      <c r="C573" s="8">
        <f t="shared" ref="C573" si="326">AVERAGE(B570:B573)</f>
        <v>448.1875</v>
      </c>
      <c r="D573" s="8">
        <f t="shared" ref="D573" si="327">(C417+C469+C521)/3</f>
        <v>595.8611111111112</v>
      </c>
      <c r="E573" s="8">
        <f t="shared" si="153"/>
        <v>42</v>
      </c>
      <c r="F573" s="8">
        <f t="shared" ref="F573" si="328">SUM(D573-B573)</f>
        <v>144.6111111111112</v>
      </c>
      <c r="G573" s="20">
        <f t="shared" ref="G573" si="329">(B573/B572-1)*100</f>
        <v>5.679156908665095</v>
      </c>
      <c r="H573" s="20">
        <f t="shared" ref="H573" si="330">(B573/B521-1)*100</f>
        <v>-20.971978984238181</v>
      </c>
      <c r="I573" s="20">
        <f t="shared" ref="I573" si="331">(B573/D573-1)*100</f>
        <v>-24.269264836138184</v>
      </c>
    </row>
    <row r="574" spans="1:9" x14ac:dyDescent="0.3">
      <c r="A574" s="13">
        <f t="shared" si="205"/>
        <v>40113</v>
      </c>
      <c r="B574" s="8">
        <f>TWK!D307</f>
        <v>453.75</v>
      </c>
      <c r="C574" s="8">
        <f t="shared" ref="C574" si="332">AVERAGE(B571:B574)</f>
        <v>449.75</v>
      </c>
      <c r="D574" s="8">
        <f t="shared" ref="D574" si="333">(C418+C470+C522)/3</f>
        <v>577.02777777777783</v>
      </c>
      <c r="E574" s="8">
        <f t="shared" si="153"/>
        <v>43</v>
      </c>
      <c r="F574" s="8">
        <f t="shared" ref="F574" si="334">SUM(D574-B574)</f>
        <v>123.27777777777783</v>
      </c>
      <c r="G574" s="20">
        <f t="shared" ref="G574" si="335">(B574/B573-1)*100</f>
        <v>0.55401662049860967</v>
      </c>
      <c r="H574" s="20">
        <f t="shared" ref="H574" si="336">(B574/B522-1)*100</f>
        <v>-34.61815561959655</v>
      </c>
      <c r="I574" s="20">
        <f t="shared" ref="I574" si="337">(B574/D574-1)*100</f>
        <v>-21.364270928609265</v>
      </c>
    </row>
    <row r="575" spans="1:9" ht="12.65" customHeight="1" x14ac:dyDescent="0.3">
      <c r="A575" s="13">
        <f t="shared" si="205"/>
        <v>40120</v>
      </c>
      <c r="B575" s="8">
        <f>TWK!D308</f>
        <v>437.5</v>
      </c>
      <c r="C575" s="8">
        <f t="shared" ref="C575" si="338">AVERAGE(B572:B575)</f>
        <v>442.375</v>
      </c>
      <c r="D575" s="8">
        <f t="shared" ref="D575" si="339">(C419+C471+C523)/3</f>
        <v>574.90277777777783</v>
      </c>
      <c r="E575" s="8">
        <f t="shared" si="153"/>
        <v>44</v>
      </c>
      <c r="F575" s="8">
        <f t="shared" ref="F575" si="340">SUM(D575-B575)</f>
        <v>137.40277777777783</v>
      </c>
      <c r="G575" s="20">
        <f t="shared" ref="G575" si="341">(B575/B574-1)*100</f>
        <v>-3.5812672176308569</v>
      </c>
      <c r="H575" s="20">
        <f t="shared" ref="H575" si="342">(B575/B523-1)*100</f>
        <v>-58.333333333333329</v>
      </c>
      <c r="I575" s="20">
        <f t="shared" ref="I575" si="343">(B575/D575-1)*100</f>
        <v>-23.900176358321456</v>
      </c>
    </row>
    <row r="576" spans="1:9" x14ac:dyDescent="0.3">
      <c r="A576" s="13">
        <f t="shared" si="205"/>
        <v>40127</v>
      </c>
      <c r="B576" s="8">
        <f>TWK!D309</f>
        <v>650</v>
      </c>
      <c r="C576" s="8">
        <f t="shared" ref="C576" si="344">AVERAGE(B573:B576)</f>
        <v>498.125</v>
      </c>
      <c r="D576" s="8">
        <f t="shared" ref="D576" si="345">(C420+C472+C524)/3</f>
        <v>549.31944444444446</v>
      </c>
      <c r="E576" s="8">
        <f t="shared" si="153"/>
        <v>45</v>
      </c>
      <c r="F576" s="8">
        <f t="shared" ref="F576" si="346">SUM(D576-B576)</f>
        <v>-100.68055555555554</v>
      </c>
      <c r="G576" s="20">
        <f t="shared" ref="G576" si="347">(B576/B575-1)*100</f>
        <v>48.571428571428577</v>
      </c>
      <c r="H576" s="20">
        <f t="shared" ref="H576" si="348">(B576/B524-1)*100</f>
        <v>18.181818181818187</v>
      </c>
      <c r="I576" s="20">
        <f t="shared" ref="I576" si="349">(B576/D576-1)*100</f>
        <v>18.328234431493517</v>
      </c>
    </row>
    <row r="577" spans="1:9" x14ac:dyDescent="0.3">
      <c r="A577" s="13">
        <f t="shared" si="205"/>
        <v>40134</v>
      </c>
      <c r="B577" s="8">
        <f>TWK!D310</f>
        <v>426.25</v>
      </c>
      <c r="C577" s="8">
        <f t="shared" ref="C577" si="350">AVERAGE(B574:B577)</f>
        <v>491.875</v>
      </c>
      <c r="D577" s="8">
        <f t="shared" ref="D577" si="351">(C421+C473+C525)/3</f>
        <v>532.20833333333337</v>
      </c>
      <c r="E577" s="8">
        <f t="shared" si="153"/>
        <v>46</v>
      </c>
      <c r="F577" s="8">
        <f t="shared" ref="F577" si="352">SUM(D577-B577)</f>
        <v>105.95833333333337</v>
      </c>
      <c r="G577" s="20">
        <f t="shared" ref="G577" si="353">(B577/B576-1)*100</f>
        <v>-34.42307692307692</v>
      </c>
      <c r="H577" s="20">
        <f t="shared" ref="H577" si="354">(B577/B525-1)*100</f>
        <v>-11.012526096033405</v>
      </c>
      <c r="I577" s="20">
        <f t="shared" ref="I577" si="355">(B577/D577-1)*100</f>
        <v>-19.909183433805687</v>
      </c>
    </row>
    <row r="578" spans="1:9" x14ac:dyDescent="0.3">
      <c r="A578" s="13">
        <f t="shared" si="205"/>
        <v>40141</v>
      </c>
      <c r="B578" s="8">
        <f>TWK!D311</f>
        <v>403.75</v>
      </c>
      <c r="C578" s="8">
        <f t="shared" ref="C578" si="356">AVERAGE(B575:B578)</f>
        <v>479.375</v>
      </c>
      <c r="D578" s="8">
        <f t="shared" ref="D578" si="357">(C422+C474+C526)/3</f>
        <v>494.625</v>
      </c>
      <c r="E578" s="8">
        <f t="shared" si="153"/>
        <v>47</v>
      </c>
      <c r="F578" s="8">
        <f t="shared" ref="F578" si="358">SUM(D578-B578)</f>
        <v>90.875</v>
      </c>
      <c r="G578" s="20">
        <f t="shared" ref="G578" si="359">(B578/B577-1)*100</f>
        <v>-5.2785923753665642</v>
      </c>
      <c r="H578" s="20">
        <f t="shared" ref="H578" si="360">(B578/B526-1)*100</f>
        <v>2.2151898734177111</v>
      </c>
      <c r="I578" s="20">
        <f t="shared" ref="I578" si="361">(B578/D578-1)*100</f>
        <v>-18.372504422542335</v>
      </c>
    </row>
    <row r="579" spans="1:9" x14ac:dyDescent="0.3">
      <c r="A579" s="13">
        <f t="shared" si="205"/>
        <v>40148</v>
      </c>
      <c r="B579" s="8">
        <f>TWK!D312</f>
        <v>400</v>
      </c>
      <c r="C579" s="8">
        <f t="shared" ref="C579" si="362">AVERAGE(B576:B579)</f>
        <v>470</v>
      </c>
      <c r="D579" s="8">
        <f t="shared" ref="D579" si="363">(C423+C475+C527)/3</f>
        <v>431.0555555555556</v>
      </c>
      <c r="E579" s="8">
        <f t="shared" si="153"/>
        <v>48</v>
      </c>
      <c r="F579" s="8">
        <f t="shared" ref="F579" si="364">SUM(D579-B579)</f>
        <v>31.0555555555556</v>
      </c>
      <c r="G579" s="20">
        <f t="shared" ref="G579" si="365">(B579/B578-1)*100</f>
        <v>-0.92879256965944235</v>
      </c>
      <c r="H579" s="20">
        <f t="shared" ref="H579" si="366">(B579/B527-1)*100</f>
        <v>0</v>
      </c>
      <c r="I579" s="20">
        <f t="shared" ref="I579" si="367">(B579/D579-1)*100</f>
        <v>-7.204536667096284</v>
      </c>
    </row>
    <row r="580" spans="1:9" x14ac:dyDescent="0.3">
      <c r="A580" s="13">
        <f t="shared" si="205"/>
        <v>40155</v>
      </c>
      <c r="B580" s="8">
        <f>TWK!D313</f>
        <v>390</v>
      </c>
      <c r="C580" s="8">
        <f t="shared" ref="C580" si="368">AVERAGE(B577:B580)</f>
        <v>405</v>
      </c>
      <c r="D580" s="8">
        <f t="shared" ref="D580" si="369">(C424+C476+C528)/3</f>
        <v>418.13888888888891</v>
      </c>
      <c r="E580" s="8">
        <f t="shared" si="153"/>
        <v>49</v>
      </c>
      <c r="F580" s="8">
        <f t="shared" ref="F580" si="370">SUM(D580-B580)</f>
        <v>28.138888888888914</v>
      </c>
      <c r="G580" s="20">
        <f t="shared" ref="G580" si="371">(B580/B579-1)*100</f>
        <v>-2.5000000000000022</v>
      </c>
      <c r="H580" s="20">
        <f t="shared" ref="H580" si="372">(B580/B528-1)*100</f>
        <v>-21.999999999999996</v>
      </c>
      <c r="I580" s="20">
        <f t="shared" ref="I580" si="373">(B580/D580-1)*100</f>
        <v>-6.7295555703182135</v>
      </c>
    </row>
    <row r="581" spans="1:9" x14ac:dyDescent="0.3">
      <c r="A581" s="13">
        <f t="shared" si="205"/>
        <v>40162</v>
      </c>
      <c r="B581" s="8">
        <f>TWK!D314</f>
        <v>361.66666666666669</v>
      </c>
      <c r="C581" s="8">
        <f t="shared" ref="C581" si="374">AVERAGE(B578:B581)</f>
        <v>388.85416666666669</v>
      </c>
      <c r="D581" s="8">
        <f t="shared" ref="D581" si="375">(C425+C477+C529)/3</f>
        <v>400.0555555555556</v>
      </c>
      <c r="E581" s="8">
        <f t="shared" si="153"/>
        <v>50</v>
      </c>
      <c r="F581" s="8">
        <f t="shared" ref="F581" si="376">SUM(D581-B581)</f>
        <v>38.388888888888914</v>
      </c>
      <c r="G581" s="20">
        <f t="shared" ref="G581" si="377">(B581/B580-1)*100</f>
        <v>-7.2649572649572614</v>
      </c>
      <c r="H581" s="20">
        <f t="shared" ref="H581" si="378">(B581/B529-1)*100</f>
        <v>-23.049645390070918</v>
      </c>
      <c r="I581" s="20">
        <f t="shared" ref="I581" si="379">(B581/D581-1)*100</f>
        <v>-9.5958894597972577</v>
      </c>
    </row>
    <row r="582" spans="1:9" x14ac:dyDescent="0.3">
      <c r="A582" s="13">
        <f t="shared" si="205"/>
        <v>40169</v>
      </c>
      <c r="B582" s="8">
        <f>TWK!D315</f>
        <v>360</v>
      </c>
      <c r="C582" s="8">
        <f t="shared" ref="C582" si="380">AVERAGE(B579:B582)</f>
        <v>377.91666666666669</v>
      </c>
      <c r="D582" s="8">
        <f t="shared" ref="D582" si="381">(C426+C478+C530)/3</f>
        <v>394.45138888888891</v>
      </c>
      <c r="E582" s="8">
        <f t="shared" si="153"/>
        <v>51</v>
      </c>
      <c r="F582" s="8">
        <f t="shared" ref="F582" si="382">SUM(D582-B582)</f>
        <v>34.451388888888914</v>
      </c>
      <c r="G582" s="20">
        <f t="shared" ref="G582" si="383">(B582/B581-1)*100</f>
        <v>-0.46082949308756671</v>
      </c>
      <c r="H582" s="20">
        <f t="shared" ref="H582" si="384">(B582/B530-1)*100</f>
        <v>-30.602409638554217</v>
      </c>
      <c r="I582" s="20">
        <f t="shared" ref="I582" si="385">(B582/D582-1)*100</f>
        <v>-8.734001161951376</v>
      </c>
    </row>
    <row r="583" spans="1:9" x14ac:dyDescent="0.3">
      <c r="A583" s="13">
        <f t="shared" si="205"/>
        <v>40176</v>
      </c>
      <c r="B583" s="8">
        <f>TWK!D316</f>
        <v>360</v>
      </c>
      <c r="C583" s="8">
        <f t="shared" ref="C583" si="386">AVERAGE(B580:B583)</f>
        <v>367.91666666666669</v>
      </c>
      <c r="D583" s="8">
        <f t="shared" ref="D583" si="387">(C427+C479+C531)/3</f>
        <v>386.5625</v>
      </c>
      <c r="E583" s="8">
        <f t="shared" si="153"/>
        <v>52</v>
      </c>
      <c r="F583" s="8">
        <f t="shared" ref="F583" si="388">SUM(D583-B583)</f>
        <v>26.5625</v>
      </c>
      <c r="G583" s="20">
        <f t="shared" ref="G583" si="389">(B583/B582-1)*100</f>
        <v>0</v>
      </c>
      <c r="H583" s="20">
        <f t="shared" ref="H583" si="390">(B583/B531-1)*100</f>
        <v>-18.367346938775508</v>
      </c>
      <c r="I583" s="20">
        <f t="shared" ref="I583" si="391">(B583/D583-1)*100</f>
        <v>-6.8714632174616046</v>
      </c>
    </row>
    <row r="584" spans="1:9" x14ac:dyDescent="0.3">
      <c r="A584" s="13">
        <f t="shared" si="205"/>
        <v>40183</v>
      </c>
      <c r="B584" s="8">
        <f>TWK!D317</f>
        <v>380</v>
      </c>
      <c r="C584" s="8">
        <f t="shared" ref="C584" si="392">AVERAGE(B581:B584)</f>
        <v>365.41666666666669</v>
      </c>
      <c r="D584" s="8">
        <f t="shared" ref="D584" si="393">(C428+C480+C532)/3</f>
        <v>362.5625</v>
      </c>
      <c r="E584" s="8">
        <v>1</v>
      </c>
      <c r="F584" s="8">
        <f t="shared" ref="F584" si="394">SUM(D584-B584)</f>
        <v>-17.4375</v>
      </c>
      <c r="G584" s="20">
        <f t="shared" ref="G584" si="395">(B584/B583-1)*100</f>
        <v>5.555555555555558</v>
      </c>
      <c r="H584" s="20">
        <f t="shared" ref="H584" si="396">(B584/B532-1)*100</f>
        <v>2.4258760107816801</v>
      </c>
      <c r="I584" s="20">
        <f t="shared" ref="I584" si="397">(B584/D584-1)*100</f>
        <v>4.8095156007584849</v>
      </c>
    </row>
    <row r="585" spans="1:9" x14ac:dyDescent="0.3">
      <c r="A585" s="13">
        <f t="shared" si="205"/>
        <v>40190</v>
      </c>
      <c r="B585" s="8">
        <f>TWK!D318</f>
        <v>386.25</v>
      </c>
      <c r="C585" s="8">
        <f t="shared" ref="C585" si="398">AVERAGE(B582:B585)</f>
        <v>371.5625</v>
      </c>
      <c r="D585" s="8">
        <f t="shared" ref="D585" si="399">(C429+C481+C533)/3</f>
        <v>373.89583333333331</v>
      </c>
      <c r="E585" s="8">
        <f t="shared" si="153"/>
        <v>2</v>
      </c>
      <c r="F585" s="8">
        <f t="shared" ref="F585" si="400">SUM(D585-B585)</f>
        <v>-12.354166666666686</v>
      </c>
      <c r="G585" s="20">
        <f t="shared" ref="G585" si="401">(B585/B584-1)*100</f>
        <v>1.6447368421052655</v>
      </c>
      <c r="H585" s="20">
        <f t="shared" ref="H585" si="402">(B585/B533-1)*100</f>
        <v>-29.772727272727273</v>
      </c>
      <c r="I585" s="20">
        <f t="shared" ref="I585" si="403">(B585/D585-1)*100</f>
        <v>3.3041733994539468</v>
      </c>
    </row>
    <row r="586" spans="1:9" x14ac:dyDescent="0.3">
      <c r="A586" s="13">
        <f t="shared" si="205"/>
        <v>40197</v>
      </c>
      <c r="B586" s="8">
        <f>TWK!D319</f>
        <v>391.25</v>
      </c>
      <c r="C586" s="8">
        <f t="shared" ref="C586" si="404">AVERAGE(B583:B586)</f>
        <v>379.375</v>
      </c>
      <c r="D586" s="8">
        <f t="shared" ref="D586" si="405">(C430+C482+C534)/3</f>
        <v>383.66666666666669</v>
      </c>
      <c r="E586" s="8">
        <f t="shared" si="153"/>
        <v>3</v>
      </c>
      <c r="F586" s="8">
        <f t="shared" ref="F586" si="406">SUM(D586-B586)</f>
        <v>-7.5833333333333144</v>
      </c>
      <c r="G586" s="20">
        <f t="shared" ref="G586" si="407">(B586/B585-1)*100</f>
        <v>1.2944983818770295</v>
      </c>
      <c r="H586" s="20">
        <f t="shared" ref="H586" si="408">(B586/B534-1)*100</f>
        <v>-30.506216696269984</v>
      </c>
      <c r="I586" s="20">
        <f t="shared" ref="I586" si="409">(B586/D586-1)*100</f>
        <v>1.9765421372719416</v>
      </c>
    </row>
    <row r="587" spans="1:9" x14ac:dyDescent="0.3">
      <c r="A587" s="13">
        <f t="shared" si="205"/>
        <v>40204</v>
      </c>
      <c r="B587" s="8">
        <f>TWK!D320</f>
        <v>410</v>
      </c>
      <c r="C587" s="8">
        <f t="shared" ref="C587" si="410">AVERAGE(B584:B587)</f>
        <v>391.875</v>
      </c>
      <c r="D587" s="8">
        <f t="shared" ref="D587" si="411">(C431+C483+C535)/3</f>
        <v>404.41666666666669</v>
      </c>
      <c r="E587" s="8">
        <f t="shared" si="153"/>
        <v>4</v>
      </c>
      <c r="F587" s="8">
        <f t="shared" ref="F587" si="412">SUM(D587-B587)</f>
        <v>-5.5833333333333144</v>
      </c>
      <c r="G587" s="20">
        <f t="shared" ref="G587" si="413">(B587/B586-1)*100</f>
        <v>4.7923322683706138</v>
      </c>
      <c r="H587" s="20">
        <f t="shared" ref="H587" si="414">(B587/B535-1)*100</f>
        <v>-26.785714285714292</v>
      </c>
      <c r="I587" s="20">
        <f t="shared" ref="I587" si="415">(B587/D587-1)*100</f>
        <v>1.3805893261899849</v>
      </c>
    </row>
    <row r="588" spans="1:9" x14ac:dyDescent="0.3">
      <c r="A588" s="13">
        <f t="shared" si="205"/>
        <v>40211</v>
      </c>
      <c r="B588" s="8">
        <f>TWK!D321</f>
        <v>400</v>
      </c>
      <c r="C588" s="8">
        <f t="shared" ref="C588" si="416">AVERAGE(B585:B588)</f>
        <v>396.875</v>
      </c>
      <c r="D588" s="8">
        <f t="shared" ref="D588" si="417">(C432+C484+C536)/3</f>
        <v>431.25</v>
      </c>
      <c r="E588" s="8">
        <f t="shared" si="153"/>
        <v>5</v>
      </c>
      <c r="F588" s="8">
        <f t="shared" ref="F588" si="418">SUM(D588-B588)</f>
        <v>31.25</v>
      </c>
      <c r="G588" s="20">
        <f t="shared" ref="G588" si="419">(B588/B587-1)*100</f>
        <v>-2.4390243902439046</v>
      </c>
      <c r="H588" s="20">
        <f t="shared" ref="H588" si="420">(B588/B536-1)*100</f>
        <v>-12.280701754385969</v>
      </c>
      <c r="I588" s="20">
        <f t="shared" ref="I588" si="421">(B588/D588-1)*100</f>
        <v>-7.2463768115942013</v>
      </c>
    </row>
    <row r="589" spans="1:9" x14ac:dyDescent="0.3">
      <c r="A589" s="13">
        <f t="shared" si="205"/>
        <v>40218</v>
      </c>
      <c r="B589" s="8">
        <f>TWK!D322</f>
        <v>358</v>
      </c>
      <c r="C589" s="8">
        <f t="shared" ref="C589" si="422">AVERAGE(B586:B589)</f>
        <v>389.8125</v>
      </c>
      <c r="D589" s="8">
        <f t="shared" ref="D589" si="423">(C433+C485+C537)/3</f>
        <v>425.25</v>
      </c>
      <c r="E589" s="8">
        <f t="shared" si="153"/>
        <v>6</v>
      </c>
      <c r="F589" s="8">
        <f t="shared" ref="F589" si="424">SUM(D589-B589)</f>
        <v>67.25</v>
      </c>
      <c r="G589" s="20">
        <f t="shared" ref="G589" si="425">(B589/B588-1)*100</f>
        <v>-10.499999999999998</v>
      </c>
      <c r="H589" s="20">
        <f t="shared" ref="H589" si="426">(B589/B537-1)*100</f>
        <v>0.56179775280897903</v>
      </c>
      <c r="I589" s="20">
        <f t="shared" ref="I589" si="427">(B589/D589-1)*100</f>
        <v>-15.814226925338037</v>
      </c>
    </row>
    <row r="590" spans="1:9" x14ac:dyDescent="0.3">
      <c r="A590" s="13">
        <f t="shared" si="205"/>
        <v>40225</v>
      </c>
      <c r="B590" s="8">
        <f>TWK!D323</f>
        <v>305</v>
      </c>
      <c r="C590" s="8">
        <f t="shared" ref="C590" si="428">AVERAGE(B587:B590)</f>
        <v>368.25</v>
      </c>
      <c r="D590" s="8">
        <f t="shared" ref="D590" si="429">(C434+C486+C538)/3</f>
        <v>416.66666666666669</v>
      </c>
      <c r="E590" s="8">
        <f t="shared" si="153"/>
        <v>7</v>
      </c>
      <c r="F590" s="8">
        <f t="shared" ref="F590" si="430">SUM(D590-B590)</f>
        <v>111.66666666666669</v>
      </c>
      <c r="G590" s="20">
        <f t="shared" ref="G590" si="431">(B590/B589-1)*100</f>
        <v>-14.804469273743015</v>
      </c>
      <c r="H590" s="20">
        <f t="shared" ref="H590" si="432">(B590/B538-1)*100</f>
        <v>-1.6129032258064502</v>
      </c>
      <c r="I590" s="20">
        <f t="shared" ref="I590" si="433">(B590/D590-1)*100</f>
        <v>-26.8</v>
      </c>
    </row>
    <row r="591" spans="1:9" x14ac:dyDescent="0.3">
      <c r="A591" s="13">
        <f t="shared" si="205"/>
        <v>40232</v>
      </c>
      <c r="B591" s="8">
        <f>TWK!D324</f>
        <v>317</v>
      </c>
      <c r="C591" s="8">
        <f t="shared" ref="C591" si="434">AVERAGE(B588:B591)</f>
        <v>345</v>
      </c>
      <c r="D591" s="8">
        <f t="shared" ref="D591" si="435">(C435+C487+C539)/3</f>
        <v>403</v>
      </c>
      <c r="E591" s="8">
        <f t="shared" si="153"/>
        <v>8</v>
      </c>
      <c r="F591" s="8">
        <f t="shared" ref="F591" si="436">SUM(D591-B591)</f>
        <v>86</v>
      </c>
      <c r="G591" s="20">
        <f t="shared" ref="G591" si="437">(B591/B590-1)*100</f>
        <v>3.9344262295081922</v>
      </c>
      <c r="H591" s="20">
        <f t="shared" ref="H591" si="438">(B591/B539-1)*100</f>
        <v>3.9344262295081922</v>
      </c>
      <c r="I591" s="20">
        <f t="shared" ref="I591" si="439">(B591/D591-1)*100</f>
        <v>-21.339950372208438</v>
      </c>
    </row>
    <row r="592" spans="1:9" x14ac:dyDescent="0.3">
      <c r="A592" s="13">
        <f t="shared" si="205"/>
        <v>40239</v>
      </c>
      <c r="B592" s="8">
        <f>TWK!D325</f>
        <v>345</v>
      </c>
      <c r="C592" s="8">
        <f t="shared" ref="C592" si="440">AVERAGE(B589:B592)</f>
        <v>331.25</v>
      </c>
      <c r="D592" s="8">
        <f t="shared" ref="D592" si="441">(C436+C488+C540)/3</f>
        <v>377.89583333333331</v>
      </c>
      <c r="E592" s="8">
        <f t="shared" si="153"/>
        <v>9</v>
      </c>
      <c r="F592" s="8">
        <f t="shared" ref="F592" si="442">SUM(D592-B592)</f>
        <v>32.895833333333314</v>
      </c>
      <c r="G592" s="20">
        <f t="shared" ref="G592" si="443">(B592/B591-1)*100</f>
        <v>8.8328075709779075</v>
      </c>
      <c r="H592" s="20">
        <f t="shared" ref="H592" si="444">(B592/B540-1)*100</f>
        <v>22.340425531914889</v>
      </c>
      <c r="I592" s="20">
        <f t="shared" ref="I592" si="445">(B592/D592-1)*100</f>
        <v>-8.7050002756491445</v>
      </c>
    </row>
    <row r="593" spans="1:9" x14ac:dyDescent="0.3">
      <c r="A593" s="13">
        <f t="shared" si="205"/>
        <v>40246</v>
      </c>
      <c r="B593" s="8">
        <f>TWK!D326</f>
        <v>312.5</v>
      </c>
      <c r="C593" s="8">
        <f t="shared" ref="C593" si="446">AVERAGE(B590:B593)</f>
        <v>319.875</v>
      </c>
      <c r="D593" s="8">
        <f t="shared" ref="D593" si="447">(C437+C489+C541)/3</f>
        <v>365.64583333333331</v>
      </c>
      <c r="E593" s="8">
        <f t="shared" si="153"/>
        <v>10</v>
      </c>
      <c r="F593" s="8">
        <f t="shared" ref="F593" si="448">SUM(D593-B593)</f>
        <v>53.145833333333314</v>
      </c>
      <c r="G593" s="20">
        <f t="shared" ref="G593" si="449">(B593/B592-1)*100</f>
        <v>-9.4202898550724612</v>
      </c>
      <c r="H593" s="20">
        <f t="shared" ref="H593" si="450">(B593/B541-1)*100</f>
        <v>17.041198501872667</v>
      </c>
      <c r="I593" s="20">
        <f t="shared" ref="I593" si="451">(B593/D593-1)*100</f>
        <v>-14.53478434277249</v>
      </c>
    </row>
    <row r="594" spans="1:9" x14ac:dyDescent="0.3">
      <c r="A594" s="13">
        <f t="shared" si="205"/>
        <v>40253</v>
      </c>
      <c r="B594" s="8">
        <f>TWK!D327</f>
        <v>282.5</v>
      </c>
      <c r="C594" s="8">
        <f t="shared" ref="C594" si="452">AVERAGE(B591:B594)</f>
        <v>314.25</v>
      </c>
      <c r="D594" s="8">
        <f t="shared" ref="D594" si="453">(C438+C490+C542)/3</f>
        <v>348.0625</v>
      </c>
      <c r="E594" s="8">
        <f t="shared" si="153"/>
        <v>11</v>
      </c>
      <c r="F594" s="8">
        <f t="shared" ref="F594" si="454">SUM(D594-B594)</f>
        <v>65.5625</v>
      </c>
      <c r="G594" s="20">
        <f t="shared" ref="G594" si="455">(B594/B593-1)*100</f>
        <v>-9.5999999999999979</v>
      </c>
      <c r="H594" s="20">
        <f t="shared" ref="H594" si="456">(B594/B542-1)*100</f>
        <v>6.60377358490567</v>
      </c>
      <c r="I594" s="20">
        <f t="shared" ref="I594" si="457">(B594/D594-1)*100</f>
        <v>-18.836415873585921</v>
      </c>
    </row>
    <row r="595" spans="1:9" x14ac:dyDescent="0.3">
      <c r="A595" s="13">
        <f t="shared" si="205"/>
        <v>40260</v>
      </c>
      <c r="B595" s="8">
        <f>TWK!D328</f>
        <v>276.66666666666669</v>
      </c>
      <c r="C595" s="8">
        <f t="shared" ref="C595" si="458">AVERAGE(B592:B595)</f>
        <v>304.16666666666669</v>
      </c>
      <c r="D595" s="8">
        <f t="shared" ref="D595" si="459">(C439+C491+C543)/3</f>
        <v>333.89583333333331</v>
      </c>
      <c r="E595" s="8">
        <f t="shared" si="153"/>
        <v>12</v>
      </c>
      <c r="F595" s="8">
        <f t="shared" ref="F595" si="460">SUM(D595-B595)</f>
        <v>57.229166666666629</v>
      </c>
      <c r="G595" s="20">
        <f t="shared" ref="G595" si="461">(B595/B594-1)*100</f>
        <v>-2.0648967551622377</v>
      </c>
      <c r="H595" s="20">
        <f t="shared" ref="H595" si="462">(B595/B543-1)*100</f>
        <v>2.0910209102091182</v>
      </c>
      <c r="I595" s="20">
        <f t="shared" ref="I595" si="463">(B595/D595-1)*100</f>
        <v>-17.139826542709169</v>
      </c>
    </row>
    <row r="596" spans="1:9" x14ac:dyDescent="0.3">
      <c r="A596" s="13">
        <f t="shared" si="205"/>
        <v>40267</v>
      </c>
      <c r="B596" s="8">
        <f>TWK!D329</f>
        <v>276.25</v>
      </c>
      <c r="C596" s="8">
        <f t="shared" ref="C596" si="464">AVERAGE(B593:B596)</f>
        <v>286.97916666666669</v>
      </c>
      <c r="D596" s="8">
        <f t="shared" ref="D596" si="465">(C440+C492+C544)/3</f>
        <v>326.3125</v>
      </c>
      <c r="E596" s="8">
        <f t="shared" si="153"/>
        <v>13</v>
      </c>
      <c r="F596" s="8">
        <f t="shared" ref="F596" si="466">SUM(D596-B596)</f>
        <v>50.0625</v>
      </c>
      <c r="G596" s="20">
        <f t="shared" ref="G596" si="467">(B596/B595-1)*100</f>
        <v>-0.15060240963855609</v>
      </c>
      <c r="H596" s="20">
        <f t="shared" ref="H596" si="468">(B596/B544-1)*100</f>
        <v>11.05527638190955</v>
      </c>
      <c r="I596" s="20">
        <f t="shared" ref="I596" si="469">(B596/D596-1)*100</f>
        <v>-15.341888527102087</v>
      </c>
    </row>
    <row r="597" spans="1:9" x14ac:dyDescent="0.3">
      <c r="A597" s="13">
        <f t="shared" si="205"/>
        <v>40274</v>
      </c>
      <c r="B597" s="8">
        <f>TWK!D330</f>
        <v>275</v>
      </c>
      <c r="C597" s="8">
        <f t="shared" ref="C597" si="470">AVERAGE(B594:B597)</f>
        <v>277.60416666666669</v>
      </c>
      <c r="D597" s="8">
        <f t="shared" ref="D597" si="471">(C441+C493+C545)/3</f>
        <v>313.9375</v>
      </c>
      <c r="E597" s="8">
        <f t="shared" si="153"/>
        <v>14</v>
      </c>
      <c r="F597" s="8">
        <f t="shared" ref="F597" si="472">SUM(D597-B597)</f>
        <v>38.9375</v>
      </c>
      <c r="G597" s="20">
        <f t="shared" ref="G597" si="473">(B597/B596-1)*100</f>
        <v>-0.45248868778280382</v>
      </c>
      <c r="H597" s="20">
        <f t="shared" ref="H597" si="474">(B597/B545-1)*100</f>
        <v>8.6956521739130377</v>
      </c>
      <c r="I597" s="20">
        <f t="shared" ref="I597" si="475">(B597/D597-1)*100</f>
        <v>-12.402946446346807</v>
      </c>
    </row>
    <row r="598" spans="1:9" x14ac:dyDescent="0.3">
      <c r="A598" s="13">
        <f t="shared" si="205"/>
        <v>40281</v>
      </c>
      <c r="B598" s="8">
        <f>TWK!D331</f>
        <v>275</v>
      </c>
      <c r="C598" s="8">
        <f t="shared" ref="C598" si="476">AVERAGE(B595:B598)</f>
        <v>275.72916666666669</v>
      </c>
      <c r="D598" s="8">
        <f t="shared" ref="D598" si="477">(C442+C494+C546)/3</f>
        <v>308.1875</v>
      </c>
      <c r="E598" s="8">
        <f t="shared" si="153"/>
        <v>15</v>
      </c>
      <c r="F598" s="8">
        <f t="shared" ref="F598" si="478">SUM(D598-B598)</f>
        <v>33.1875</v>
      </c>
      <c r="G598" s="20">
        <f t="shared" ref="G598" si="479">(B598/B597-1)*100</f>
        <v>0</v>
      </c>
      <c r="H598" s="20">
        <f t="shared" ref="H598" si="480">(B598/B546-1)*100</f>
        <v>4.7619047619047672</v>
      </c>
      <c r="I598" s="20">
        <f t="shared" ref="I598" si="481">(B598/D598-1)*100</f>
        <v>-10.768606773473943</v>
      </c>
    </row>
    <row r="599" spans="1:9" x14ac:dyDescent="0.3">
      <c r="A599" s="13">
        <f t="shared" si="205"/>
        <v>40288</v>
      </c>
      <c r="B599" s="8">
        <f>TWK!D332</f>
        <v>275</v>
      </c>
      <c r="C599" s="8">
        <f t="shared" ref="C599" si="482">AVERAGE(B596:B599)</f>
        <v>275.3125</v>
      </c>
      <c r="D599" s="8">
        <f t="shared" ref="D599" si="483">(C443+C495+C547)/3</f>
        <v>300.58333333333331</v>
      </c>
      <c r="E599" s="8">
        <f t="shared" si="153"/>
        <v>16</v>
      </c>
      <c r="F599" s="8">
        <f t="shared" ref="F599" si="484">SUM(D599-B599)</f>
        <v>25.583333333333314</v>
      </c>
      <c r="G599" s="20">
        <f t="shared" ref="G599" si="485">(B599/B598-1)*100</f>
        <v>0</v>
      </c>
      <c r="H599" s="20">
        <f t="shared" ref="H599" si="486">(B599/B547-1)*100</f>
        <v>6.2801932367149815</v>
      </c>
      <c r="I599" s="20">
        <f t="shared" ref="I599" si="487">(B599/D599-1)*100</f>
        <v>-8.5112281674521668</v>
      </c>
    </row>
    <row r="600" spans="1:9" x14ac:dyDescent="0.3">
      <c r="A600" s="13">
        <f t="shared" si="205"/>
        <v>40295</v>
      </c>
      <c r="B600" s="8">
        <f>TWK!D333</f>
        <v>308.33333333333331</v>
      </c>
      <c r="C600" s="8">
        <f t="shared" ref="C600" si="488">AVERAGE(B597:B600)</f>
        <v>283.33333333333331</v>
      </c>
      <c r="D600" s="8">
        <f t="shared" ref="D600" si="489">(C444+C496+C548)/3</f>
        <v>294.86805555555554</v>
      </c>
      <c r="E600" s="8">
        <f t="shared" si="153"/>
        <v>17</v>
      </c>
      <c r="F600" s="8">
        <f t="shared" ref="F600" si="490">SUM(D600-B600)</f>
        <v>-13.465277777777771</v>
      </c>
      <c r="G600" s="20">
        <f t="shared" ref="G600" si="491">(B600/B599-1)*100</f>
        <v>12.12121212121211</v>
      </c>
      <c r="H600" s="20">
        <f t="shared" ref="H600" si="492">(B600/B548-1)*100</f>
        <v>23.828647925033451</v>
      </c>
      <c r="I600" s="20">
        <f t="shared" ref="I600" si="493">(B600/D600-1)*100</f>
        <v>4.5665434163114416</v>
      </c>
    </row>
    <row r="601" spans="1:9" x14ac:dyDescent="0.3">
      <c r="A601" s="13">
        <f t="shared" si="205"/>
        <v>40302</v>
      </c>
      <c r="B601" s="8">
        <f>TWK!D334</f>
        <v>340</v>
      </c>
      <c r="C601" s="8">
        <f t="shared" ref="C601" si="494">AVERAGE(B598:B601)</f>
        <v>299.58333333333331</v>
      </c>
      <c r="D601" s="8">
        <f t="shared" ref="D601" si="495">(C445+C497+C549)/3</f>
        <v>289.92361111111109</v>
      </c>
      <c r="E601" s="8">
        <f t="shared" si="153"/>
        <v>18</v>
      </c>
      <c r="F601" s="8">
        <f t="shared" ref="F601" si="496">SUM(D601-B601)</f>
        <v>-50.076388888888914</v>
      </c>
      <c r="G601" s="20">
        <f t="shared" ref="G601" si="497">(B601/B600-1)*100</f>
        <v>10.270270270270277</v>
      </c>
      <c r="H601" s="20">
        <f t="shared" ref="H601" si="498">(B601/B549-1)*100</f>
        <v>36.54618473895583</v>
      </c>
      <c r="I601" s="20">
        <f t="shared" ref="I601" si="499">(B601/D601-1)*100</f>
        <v>17.272269994490898</v>
      </c>
    </row>
    <row r="602" spans="1:9" x14ac:dyDescent="0.3">
      <c r="A602" s="13">
        <f t="shared" si="205"/>
        <v>40309</v>
      </c>
      <c r="B602" s="8">
        <f>TWK!D335</f>
        <v>382.5</v>
      </c>
      <c r="C602" s="8">
        <f t="shared" ref="C602" si="500">AVERAGE(B599:B602)</f>
        <v>326.45833333333331</v>
      </c>
      <c r="D602" s="8">
        <f t="shared" ref="D602" si="501">(C446+C498+C550)/3</f>
        <v>288.5069444444444</v>
      </c>
      <c r="E602" s="8">
        <f t="shared" si="153"/>
        <v>19</v>
      </c>
      <c r="F602" s="8">
        <f t="shared" ref="F602" si="502">SUM(D602-B602)</f>
        <v>-93.9930555555556</v>
      </c>
      <c r="G602" s="20">
        <f t="shared" ref="G602" si="503">(B602/B601-1)*100</f>
        <v>12.5</v>
      </c>
      <c r="H602" s="20">
        <f t="shared" ref="H602" si="504">(B602/B550-1)*100</f>
        <v>40.109890109890102</v>
      </c>
      <c r="I602" s="20">
        <f t="shared" ref="I602" si="505">(B602/D602-1)*100</f>
        <v>32.579131062703112</v>
      </c>
    </row>
    <row r="603" spans="1:9" x14ac:dyDescent="0.3">
      <c r="A603" s="13">
        <f t="shared" si="205"/>
        <v>40316</v>
      </c>
      <c r="B603" s="8">
        <f>TWK!D336</f>
        <v>416.66666666666669</v>
      </c>
      <c r="C603" s="8">
        <f t="shared" ref="C603" si="506">AVERAGE(B600:B603)</f>
        <v>361.875</v>
      </c>
      <c r="D603" s="8">
        <f t="shared" ref="D603" si="507">(C447+C499+C551)/3</f>
        <v>291.41666666666669</v>
      </c>
      <c r="E603" s="8">
        <f t="shared" si="153"/>
        <v>20</v>
      </c>
      <c r="F603" s="8">
        <f t="shared" ref="F603" si="508">SUM(D603-B603)</f>
        <v>-125.25</v>
      </c>
      <c r="G603" s="20">
        <f t="shared" ref="G603" si="509">(B603/B602-1)*100</f>
        <v>8.9324618736383421</v>
      </c>
      <c r="H603" s="20">
        <f t="shared" ref="H603" si="510">(B603/B551-1)*100</f>
        <v>53.374233128834362</v>
      </c>
      <c r="I603" s="20">
        <f t="shared" ref="I603" si="511">(B603/D603-1)*100</f>
        <v>42.979696883042593</v>
      </c>
    </row>
    <row r="604" spans="1:9" x14ac:dyDescent="0.3">
      <c r="A604" s="13">
        <f t="shared" si="205"/>
        <v>40323</v>
      </c>
      <c r="B604" s="8">
        <f>TWK!D337</f>
        <v>337.5</v>
      </c>
      <c r="C604" s="8">
        <f t="shared" ref="C604" si="512">AVERAGE(B601:B604)</f>
        <v>369.16666666666669</v>
      </c>
      <c r="D604" s="8">
        <f t="shared" ref="D604" si="513">(C448+C500+C552)/3</f>
        <v>304.0069444444444</v>
      </c>
      <c r="E604" s="8">
        <f t="shared" si="153"/>
        <v>21</v>
      </c>
      <c r="F604" s="8">
        <f t="shared" ref="F604" si="514">SUM(D604-B604)</f>
        <v>-33.4930555555556</v>
      </c>
      <c r="G604" s="20">
        <f t="shared" ref="G604" si="515">(B604/B603-1)*100</f>
        <v>-19.000000000000007</v>
      </c>
      <c r="H604" s="20">
        <f t="shared" ref="H604" si="516">(B604/B552-1)*100</f>
        <v>24.423963133640548</v>
      </c>
      <c r="I604" s="20">
        <f t="shared" ref="I604" si="517">(B604/D604-1)*100</f>
        <v>11.017200813212424</v>
      </c>
    </row>
    <row r="605" spans="1:9" x14ac:dyDescent="0.3">
      <c r="A605" s="13">
        <f t="shared" si="205"/>
        <v>40330</v>
      </c>
      <c r="B605" s="8">
        <f>TWK!D338</f>
        <v>314</v>
      </c>
      <c r="C605" s="8">
        <f t="shared" ref="C605" si="518">AVERAGE(B602:B605)</f>
        <v>362.66666666666669</v>
      </c>
      <c r="D605" s="8">
        <f t="shared" ref="D605" si="519">(C449+C501+C553)/3</f>
        <v>321.28472222222223</v>
      </c>
      <c r="E605" s="8">
        <f t="shared" si="153"/>
        <v>22</v>
      </c>
      <c r="F605" s="8">
        <f t="shared" ref="F605" si="520">SUM(D605-B605)</f>
        <v>7.2847222222222285</v>
      </c>
      <c r="G605" s="20">
        <f t="shared" ref="G605" si="521">(B605/B604-1)*100</f>
        <v>-6.9629629629629601</v>
      </c>
      <c r="H605" s="20">
        <f t="shared" ref="H605" si="522">(B605/B553-1)*100</f>
        <v>19.052132701421808</v>
      </c>
      <c r="I605" s="20">
        <f t="shared" ref="I605" si="523">(B605/D605-1)*100</f>
        <v>-2.2673727439749269</v>
      </c>
    </row>
    <row r="606" spans="1:9" x14ac:dyDescent="0.3">
      <c r="A606" s="13">
        <f t="shared" si="205"/>
        <v>40337</v>
      </c>
      <c r="B606" s="8">
        <f>TWK!D339</f>
        <v>293.75</v>
      </c>
      <c r="C606" s="8">
        <f t="shared" ref="C606" si="524">AVERAGE(B603:B606)</f>
        <v>340.47916666666669</v>
      </c>
      <c r="D606" s="8">
        <f t="shared" ref="D606" si="525">(C450+C502+C554)/3</f>
        <v>341.97916666666669</v>
      </c>
      <c r="E606" s="8">
        <f t="shared" si="153"/>
        <v>23</v>
      </c>
      <c r="F606" s="8">
        <f t="shared" ref="F606" si="526">SUM(D606-B606)</f>
        <v>48.229166666666686</v>
      </c>
      <c r="G606" s="20">
        <f t="shared" ref="G606" si="527">(B606/B605-1)*100</f>
        <v>-6.4490445859872629</v>
      </c>
      <c r="H606" s="20">
        <f t="shared" ref="H606" si="528">(B606/B554-1)*100</f>
        <v>9.4720496894409969</v>
      </c>
      <c r="I606" s="20">
        <f t="shared" ref="I606" si="529">(B606/D606-1)*100</f>
        <v>-14.102954614681696</v>
      </c>
    </row>
    <row r="607" spans="1:9" x14ac:dyDescent="0.3">
      <c r="A607" s="13">
        <f t="shared" si="205"/>
        <v>40344</v>
      </c>
      <c r="B607" s="8">
        <f>TWK!D340</f>
        <v>298.75</v>
      </c>
      <c r="C607" s="8">
        <f t="shared" ref="C607" si="530">AVERAGE(B604:B607)</f>
        <v>311</v>
      </c>
      <c r="D607" s="8">
        <f t="shared" ref="D607" si="531">(C451+C503+C555)/3</f>
        <v>371.2569444444444</v>
      </c>
      <c r="E607" s="8">
        <f t="shared" si="153"/>
        <v>24</v>
      </c>
      <c r="F607" s="8">
        <f t="shared" ref="F607" si="532">SUM(D607-B607)</f>
        <v>72.5069444444444</v>
      </c>
      <c r="G607" s="20">
        <f t="shared" ref="G607" si="533">(B607/B606-1)*100</f>
        <v>1.7021276595744705</v>
      </c>
      <c r="H607" s="20">
        <f t="shared" ref="H607" si="534">(B607/B555-1)*100</f>
        <v>3.0172413793103425</v>
      </c>
      <c r="I607" s="20">
        <f t="shared" ref="I607" si="535">(B607/D607-1)*100</f>
        <v>-19.530124763846533</v>
      </c>
    </row>
    <row r="608" spans="1:9" x14ac:dyDescent="0.3">
      <c r="A608" s="13">
        <f t="shared" si="205"/>
        <v>40351</v>
      </c>
      <c r="B608" s="8">
        <f>TWK!D341</f>
        <v>298.33333333333331</v>
      </c>
      <c r="C608" s="8">
        <f t="shared" ref="C608" si="536">AVERAGE(B605:B608)</f>
        <v>301.20833333333331</v>
      </c>
      <c r="D608" s="8">
        <f t="shared" ref="D608" si="537">(C452+C504+C556)/3</f>
        <v>388.0069444444444</v>
      </c>
      <c r="E608" s="8">
        <f t="shared" si="153"/>
        <v>25</v>
      </c>
      <c r="F608" s="8">
        <f t="shared" ref="F608" si="538">SUM(D608-B608)</f>
        <v>89.673611111111086</v>
      </c>
      <c r="G608" s="20">
        <f t="shared" ref="G608" si="539">(B608/B607-1)*100</f>
        <v>-0.13947001394700731</v>
      </c>
      <c r="H608" s="20">
        <f t="shared" ref="H608" si="540">(B608/B556-1)*100</f>
        <v>7.9939668174962231</v>
      </c>
      <c r="I608" s="20">
        <f t="shared" ref="I608" si="541">(B608/D608-1)*100</f>
        <v>-23.111341792994821</v>
      </c>
    </row>
    <row r="609" spans="1:9" x14ac:dyDescent="0.3">
      <c r="A609" s="13">
        <f t="shared" si="205"/>
        <v>40358</v>
      </c>
      <c r="B609" s="8">
        <f>TWK!D342</f>
        <v>296</v>
      </c>
      <c r="C609" s="8">
        <f t="shared" ref="C609" si="542">AVERAGE(B606:B609)</f>
        <v>296.70833333333331</v>
      </c>
      <c r="D609" s="8">
        <f t="shared" ref="D609" si="543">(C453+C505+C557)/3</f>
        <v>402.8819444444444</v>
      </c>
      <c r="E609" s="8">
        <f t="shared" si="153"/>
        <v>26</v>
      </c>
      <c r="F609" s="8">
        <f t="shared" ref="F609" si="544">SUM(D609-B609)</f>
        <v>106.8819444444444</v>
      </c>
      <c r="G609" s="20">
        <f t="shared" ref="G609" si="545">(B609/B608-1)*100</f>
        <v>-0.78212290502792658</v>
      </c>
      <c r="H609" s="20">
        <f t="shared" ref="H609" si="546">(B609/B557-1)*100</f>
        <v>12.547528517110273</v>
      </c>
      <c r="I609" s="20">
        <f t="shared" ref="I609" si="547">(B609/D609-1)*100</f>
        <v>-26.529345858829601</v>
      </c>
    </row>
    <row r="610" spans="1:9" x14ac:dyDescent="0.3">
      <c r="A610" s="13">
        <f t="shared" si="205"/>
        <v>40365</v>
      </c>
      <c r="B610" s="8">
        <f>TWK!D343</f>
        <v>325</v>
      </c>
      <c r="C610" s="8">
        <f t="shared" ref="C610" si="548">AVERAGE(B607:B610)</f>
        <v>304.52083333333331</v>
      </c>
      <c r="D610" s="8">
        <f t="shared" ref="D610" si="549">(C454+C506+C558)/3</f>
        <v>405.1875</v>
      </c>
      <c r="E610" s="8">
        <f t="shared" si="153"/>
        <v>27</v>
      </c>
      <c r="F610" s="8">
        <f t="shared" ref="F610" si="550">SUM(D610-B610)</f>
        <v>80.1875</v>
      </c>
      <c r="G610" s="20">
        <f t="shared" ref="G610" si="551">(B610/B609-1)*100</f>
        <v>9.7972972972973018</v>
      </c>
      <c r="H610" s="20">
        <f t="shared" ref="H610" si="552">(B610/B558-1)*100</f>
        <v>30.522088353413658</v>
      </c>
      <c r="I610" s="20">
        <f t="shared" ref="I610" si="553">(B610/D610-1)*100</f>
        <v>-19.790220576893415</v>
      </c>
    </row>
    <row r="611" spans="1:9" x14ac:dyDescent="0.3">
      <c r="A611" s="13">
        <f t="shared" si="205"/>
        <v>40372</v>
      </c>
      <c r="B611" s="8">
        <f>TWK!D344</f>
        <v>387.5</v>
      </c>
      <c r="C611" s="8">
        <f t="shared" ref="C611" si="554">AVERAGE(B608:B611)</f>
        <v>326.70833333333331</v>
      </c>
      <c r="D611" s="8">
        <f t="shared" ref="D611" si="555">(C455+C507+C559)/3</f>
        <v>396.52083333333331</v>
      </c>
      <c r="E611" s="8">
        <f t="shared" si="153"/>
        <v>28</v>
      </c>
      <c r="F611" s="8">
        <f t="shared" ref="F611" si="556">SUM(D611-B611)</f>
        <v>9.0208333333333144</v>
      </c>
      <c r="G611" s="20">
        <f t="shared" ref="G611" si="557">(B611/B610-1)*100</f>
        <v>19.23076923076923</v>
      </c>
      <c r="H611" s="20">
        <f t="shared" ref="H611" si="558">(B611/B559-1)*100</f>
        <v>43.518518518518512</v>
      </c>
      <c r="I611" s="20">
        <f t="shared" ref="I611" si="559">(B611/D611-1)*100</f>
        <v>-2.2749960594756424</v>
      </c>
    </row>
    <row r="612" spans="1:9" x14ac:dyDescent="0.3">
      <c r="A612" s="13">
        <f t="shared" si="205"/>
        <v>40379</v>
      </c>
      <c r="B612" s="8">
        <f>TWK!D345</f>
        <v>425</v>
      </c>
      <c r="C612" s="8">
        <f t="shared" ref="C612" si="560">AVERAGE(B609:B612)</f>
        <v>358.375</v>
      </c>
      <c r="D612" s="8">
        <f t="shared" ref="D612" si="561">(C456+C508+C560)/3</f>
        <v>397</v>
      </c>
      <c r="E612" s="8">
        <f t="shared" si="153"/>
        <v>29</v>
      </c>
      <c r="F612" s="8">
        <f t="shared" ref="F612" si="562">SUM(D612-B612)</f>
        <v>-28</v>
      </c>
      <c r="G612" s="20">
        <f t="shared" ref="G612" si="563">(B612/B611-1)*100</f>
        <v>9.6774193548387011</v>
      </c>
      <c r="H612" s="20">
        <f t="shared" ref="H612" si="564">(B612/B560-1)*100</f>
        <v>42.617449664429529</v>
      </c>
      <c r="I612" s="20">
        <f t="shared" ref="I612" si="565">(B612/D612-1)*100</f>
        <v>7.0528967254408048</v>
      </c>
    </row>
    <row r="613" spans="1:9" x14ac:dyDescent="0.3">
      <c r="A613" s="13">
        <f t="shared" si="205"/>
        <v>40386</v>
      </c>
      <c r="B613" s="8">
        <f>TWK!D346</f>
        <v>388.33333333333331</v>
      </c>
      <c r="C613" s="8">
        <f t="shared" ref="C613" si="566">AVERAGE(B610:B613)</f>
        <v>381.45833333333331</v>
      </c>
      <c r="D613" s="8">
        <f t="shared" ref="D613" si="567">(C457+C509+C561)/3</f>
        <v>392.625</v>
      </c>
      <c r="E613" s="8">
        <f t="shared" si="153"/>
        <v>30</v>
      </c>
      <c r="F613" s="8">
        <f t="shared" ref="F613" si="568">SUM(D613-B613)</f>
        <v>4.2916666666666856</v>
      </c>
      <c r="G613" s="20">
        <f t="shared" ref="G613" si="569">(B613/B612-1)*100</f>
        <v>-8.62745098039216</v>
      </c>
      <c r="H613" s="20">
        <f t="shared" ref="H613" si="570">(B613/B561-1)*100</f>
        <v>35.072463768115924</v>
      </c>
      <c r="I613" s="20">
        <f t="shared" ref="I613" si="571">(B613/D613-1)*100</f>
        <v>-1.0930701475114102</v>
      </c>
    </row>
    <row r="614" spans="1:9" x14ac:dyDescent="0.3">
      <c r="A614" s="13">
        <f t="shared" si="205"/>
        <v>40393</v>
      </c>
      <c r="B614" s="8">
        <f>TWK!D347</f>
        <v>371.25</v>
      </c>
      <c r="C614" s="8">
        <f t="shared" ref="C614" si="572">AVERAGE(B611:B614)</f>
        <v>393.02083333333331</v>
      </c>
      <c r="D614" s="8">
        <f t="shared" ref="D614" si="573">(C458+C510+C562)/3</f>
        <v>397.14583333333331</v>
      </c>
      <c r="E614" s="8">
        <f t="shared" si="153"/>
        <v>31</v>
      </c>
      <c r="F614" s="8">
        <f t="shared" ref="F614" si="574">SUM(D614-B614)</f>
        <v>25.895833333333314</v>
      </c>
      <c r="G614" s="20">
        <f t="shared" ref="G614" si="575">(B614/B613-1)*100</f>
        <v>-4.3991416309012816</v>
      </c>
      <c r="H614" s="20">
        <f t="shared" ref="H614" si="576">(B614/B562-1)*100</f>
        <v>34.389140271493225</v>
      </c>
      <c r="I614" s="20">
        <f t="shared" ref="I614" si="577">(B614/D614-1)*100</f>
        <v>-6.5204847085978068</v>
      </c>
    </row>
    <row r="615" spans="1:9" x14ac:dyDescent="0.3">
      <c r="A615" s="13">
        <f t="shared" si="205"/>
        <v>40400</v>
      </c>
      <c r="B615" s="8">
        <f>TWK!D348</f>
        <v>433</v>
      </c>
      <c r="C615" s="8">
        <f t="shared" ref="C615" si="578">AVERAGE(B612:B615)</f>
        <v>404.39583333333331</v>
      </c>
      <c r="D615" s="8">
        <f t="shared" ref="D615" si="579">(C459+C511+C563)/3</f>
        <v>405.14583333333331</v>
      </c>
      <c r="E615" s="8">
        <f t="shared" si="153"/>
        <v>32</v>
      </c>
      <c r="F615" s="8">
        <f t="shared" ref="F615" si="580">SUM(D615-B615)</f>
        <v>-27.854166666666686</v>
      </c>
      <c r="G615" s="20">
        <f t="shared" ref="G615" si="581">(B615/B614-1)*100</f>
        <v>16.632996632996644</v>
      </c>
      <c r="H615" s="20">
        <f t="shared" ref="H615" si="582">(B615/B563-1)*100</f>
        <v>54.642857142857146</v>
      </c>
      <c r="I615" s="20">
        <f t="shared" ref="I615" si="583">(B615/D615-1)*100</f>
        <v>6.8750964158996286</v>
      </c>
    </row>
    <row r="616" spans="1:9" x14ac:dyDescent="0.3">
      <c r="A616" s="13">
        <f t="shared" si="205"/>
        <v>40407</v>
      </c>
      <c r="B616" s="8">
        <f>TWK!D349</f>
        <v>437</v>
      </c>
      <c r="C616" s="8">
        <f t="shared" ref="C616" si="584">AVERAGE(B613:B616)</f>
        <v>407.39583333333331</v>
      </c>
      <c r="D616" s="8">
        <f t="shared" ref="D616" si="585">(C460+C512+C564)/3</f>
        <v>422.3125</v>
      </c>
      <c r="E616" s="8">
        <f t="shared" si="153"/>
        <v>33</v>
      </c>
      <c r="F616" s="8">
        <f t="shared" ref="F616" si="586">SUM(D616-B616)</f>
        <v>-14.6875</v>
      </c>
      <c r="G616" s="20">
        <f t="shared" ref="G616" si="587">(B616/B615-1)*100</f>
        <v>0.92378752886836946</v>
      </c>
      <c r="H616" s="20">
        <f t="shared" ref="H616" si="588">(B616/B564-1)*100</f>
        <v>35.714285714285722</v>
      </c>
      <c r="I616" s="20">
        <f t="shared" ref="I616" si="589">(B616/D616-1)*100</f>
        <v>3.4778747965073187</v>
      </c>
    </row>
    <row r="617" spans="1:9" x14ac:dyDescent="0.3">
      <c r="A617" s="13">
        <f t="shared" si="205"/>
        <v>40414</v>
      </c>
      <c r="B617" s="8">
        <f>TWK!D350</f>
        <v>456.25</v>
      </c>
      <c r="C617" s="8">
        <f t="shared" ref="C617" si="590">AVERAGE(B614:B617)</f>
        <v>424.375</v>
      </c>
      <c r="D617" s="8">
        <f t="shared" ref="D617" si="591">(C461+C513+C565)/3</f>
        <v>458.10416666666669</v>
      </c>
      <c r="E617" s="8">
        <f t="shared" si="153"/>
        <v>34</v>
      </c>
      <c r="F617" s="8">
        <f t="shared" ref="F617" si="592">SUM(D617-B617)</f>
        <v>1.8541666666666856</v>
      </c>
      <c r="G617" s="20">
        <f t="shared" ref="G617" si="593">(B617/B616-1)*100</f>
        <v>4.4050343249427915</v>
      </c>
      <c r="H617" s="20">
        <f t="shared" ref="H617" si="594">(B617/B565-1)*100</f>
        <v>34.191176470588225</v>
      </c>
      <c r="I617" s="20">
        <f t="shared" ref="I617" si="595">(B617/D617-1)*100</f>
        <v>-0.40474782845968393</v>
      </c>
    </row>
    <row r="618" spans="1:9" x14ac:dyDescent="0.3">
      <c r="A618" s="13">
        <f t="shared" si="205"/>
        <v>40421</v>
      </c>
      <c r="B618" s="8">
        <f>TWK!D351</f>
        <v>506.25</v>
      </c>
      <c r="C618" s="8">
        <f t="shared" ref="C618" si="596">AVERAGE(B615:B618)</f>
        <v>458.125</v>
      </c>
      <c r="D618" s="8">
        <f t="shared" ref="D618" si="597">(C462+C514+C566)/3</f>
        <v>504.16666666666669</v>
      </c>
      <c r="E618" s="8">
        <f t="shared" si="153"/>
        <v>35</v>
      </c>
      <c r="F618" s="8">
        <f t="shared" ref="F618" si="598">SUM(D618-B618)</f>
        <v>-2.0833333333333144</v>
      </c>
      <c r="G618" s="20">
        <f t="shared" ref="G618" si="599">(B618/B617-1)*100</f>
        <v>10.95890410958904</v>
      </c>
      <c r="H618" s="20">
        <f t="shared" ref="H618" si="600">(B618/B566-1)*100</f>
        <v>42.605633802816897</v>
      </c>
      <c r="I618" s="20">
        <f t="shared" ref="I618" si="601">(B618/D618-1)*100</f>
        <v>0.41322314049585529</v>
      </c>
    </row>
    <row r="619" spans="1:9" x14ac:dyDescent="0.3">
      <c r="A619" s="13">
        <f t="shared" si="205"/>
        <v>40428</v>
      </c>
      <c r="B619" s="8">
        <f>TWK!D352</f>
        <v>495</v>
      </c>
      <c r="C619" s="8">
        <f t="shared" ref="C619" si="602">AVERAGE(B616:B619)</f>
        <v>473.625</v>
      </c>
      <c r="D619" s="8">
        <f t="shared" ref="D619" si="603">(C463+C515+C567)/3</f>
        <v>534.35416666666663</v>
      </c>
      <c r="E619" s="8">
        <f t="shared" si="153"/>
        <v>36</v>
      </c>
      <c r="F619" s="8">
        <f t="shared" ref="F619" si="604">SUM(D619-B619)</f>
        <v>39.354166666666629</v>
      </c>
      <c r="G619" s="20">
        <f t="shared" ref="G619" si="605">(B619/B618-1)*100</f>
        <v>-2.2222222222222254</v>
      </c>
      <c r="H619" s="20">
        <f t="shared" ref="H619" si="606">(B619/B567-1)*100</f>
        <v>47.211895910780676</v>
      </c>
      <c r="I619" s="20">
        <f t="shared" ref="I619" si="607">(B619/D619-1)*100</f>
        <v>-7.3648095442317318</v>
      </c>
    </row>
    <row r="620" spans="1:9" x14ac:dyDescent="0.3">
      <c r="A620" s="13">
        <f t="shared" si="205"/>
        <v>40435</v>
      </c>
      <c r="B620" s="8">
        <f>TWK!D353</f>
        <v>483.75</v>
      </c>
      <c r="C620" s="8">
        <f t="shared" ref="C620" si="608">AVERAGE(B617:B620)</f>
        <v>485.3125</v>
      </c>
      <c r="D620" s="8">
        <f t="shared" ref="D620" si="609">(C464+C516+C568)/3</f>
        <v>557.52083333333337</v>
      </c>
      <c r="E620" s="8">
        <f t="shared" si="153"/>
        <v>37</v>
      </c>
      <c r="F620" s="8">
        <f t="shared" ref="F620" si="610">SUM(D620-B620)</f>
        <v>73.770833333333371</v>
      </c>
      <c r="G620" s="20">
        <f t="shared" ref="G620" si="611">(B620/B619-1)*100</f>
        <v>-2.2727272727272707</v>
      </c>
      <c r="H620" s="20">
        <f t="shared" ref="H620" si="612">(B620/B568-1)*100</f>
        <v>44.402985074626855</v>
      </c>
      <c r="I620" s="20">
        <f t="shared" ref="I620" si="613">(B620/D620-1)*100</f>
        <v>-13.23194200515676</v>
      </c>
    </row>
    <row r="621" spans="1:9" x14ac:dyDescent="0.3">
      <c r="A621" s="13">
        <f t="shared" si="205"/>
        <v>40442</v>
      </c>
      <c r="B621" s="8">
        <f>TWK!D354</f>
        <v>545</v>
      </c>
      <c r="C621" s="8">
        <f t="shared" ref="C621" si="614">AVERAGE(B618:B621)</f>
        <v>507.5</v>
      </c>
      <c r="D621" s="8">
        <f t="shared" ref="D621" si="615">(C465+C517+C569)/3</f>
        <v>560.33333333333337</v>
      </c>
      <c r="E621" s="8">
        <f t="shared" si="153"/>
        <v>38</v>
      </c>
      <c r="F621" s="8">
        <f t="shared" ref="F621" si="616">SUM(D621-B621)</f>
        <v>15.333333333333371</v>
      </c>
      <c r="G621" s="20">
        <f t="shared" ref="G621" si="617">(B621/B620-1)*100</f>
        <v>12.661498708010344</v>
      </c>
      <c r="H621" s="20">
        <f t="shared" ref="H621" si="618">(B621/B569-1)*100</f>
        <v>40.192926045016073</v>
      </c>
      <c r="I621" s="20">
        <f t="shared" ref="I621" si="619">(B621/D621-1)*100</f>
        <v>-2.7364663890541374</v>
      </c>
    </row>
    <row r="622" spans="1:9" x14ac:dyDescent="0.3">
      <c r="A622" s="13">
        <f t="shared" si="205"/>
        <v>40449</v>
      </c>
      <c r="B622" s="8">
        <f>TWK!D355</f>
        <v>558.75</v>
      </c>
      <c r="C622" s="8">
        <f t="shared" ref="C622" si="620">AVERAGE(B619:B622)</f>
        <v>520.625</v>
      </c>
      <c r="D622" s="8">
        <f t="shared" ref="D622" si="621">(C466+C518+C570)/3</f>
        <v>558.95833333333337</v>
      </c>
      <c r="E622" s="8">
        <f t="shared" si="153"/>
        <v>39</v>
      </c>
      <c r="F622" s="8">
        <f t="shared" ref="F622" si="622">SUM(D622-B622)</f>
        <v>0.20833333333337123</v>
      </c>
      <c r="G622" s="20">
        <f t="shared" ref="G622" si="623">(B622/B621-1)*100</f>
        <v>2.5229357798165042</v>
      </c>
      <c r="H622" s="20">
        <f t="shared" ref="H622" si="624">(B622/B570-1)*100</f>
        <v>24.860335195530723</v>
      </c>
      <c r="I622" s="20">
        <f t="shared" ref="I622" si="625">(B622/D622-1)*100</f>
        <v>-3.7271710771535904E-2</v>
      </c>
    </row>
    <row r="623" spans="1:9" x14ac:dyDescent="0.3">
      <c r="A623" s="13">
        <f t="shared" si="205"/>
        <v>40456</v>
      </c>
      <c r="B623" s="8">
        <f>TWK!D356</f>
        <v>643.75</v>
      </c>
      <c r="C623" s="8">
        <f t="shared" ref="C623" si="626">AVERAGE(B620:B623)</f>
        <v>557.8125</v>
      </c>
      <c r="D623" s="8">
        <f t="shared" ref="D623" si="627">(C467+C519+C571)/3</f>
        <v>577.60416666666663</v>
      </c>
      <c r="E623" s="8">
        <f t="shared" si="153"/>
        <v>40</v>
      </c>
      <c r="F623" s="8">
        <f t="shared" ref="F623" si="628">SUM(D623-B623)</f>
        <v>-66.145833333333371</v>
      </c>
      <c r="G623" s="20">
        <f t="shared" ref="G623" si="629">(B623/B622-1)*100</f>
        <v>15.212527964205824</v>
      </c>
      <c r="H623" s="20">
        <f t="shared" ref="H623" si="630">(B623/B571-1)*100</f>
        <v>37.847965738758035</v>
      </c>
      <c r="I623" s="20">
        <f t="shared" ref="I623" si="631">(B623/D623-1)*100</f>
        <v>11.451758340847618</v>
      </c>
    </row>
    <row r="624" spans="1:9" x14ac:dyDescent="0.3">
      <c r="A624" s="13">
        <f t="shared" si="205"/>
        <v>40463</v>
      </c>
      <c r="B624" s="8">
        <f>TWK!D357</f>
        <v>593.75</v>
      </c>
      <c r="C624" s="8">
        <f t="shared" ref="C624:C625" si="632">AVERAGE(B621:B624)</f>
        <v>585.3125</v>
      </c>
      <c r="D624" s="8">
        <f t="shared" ref="D624" si="633">(C468+C520+C572)/3</f>
        <v>570.9375</v>
      </c>
      <c r="E624" s="8">
        <f t="shared" si="153"/>
        <v>41</v>
      </c>
      <c r="F624" s="8">
        <f t="shared" ref="F624" si="634">SUM(D624-B624)</f>
        <v>-22.8125</v>
      </c>
      <c r="G624" s="20">
        <f t="shared" ref="G624" si="635">(B624/B623-1)*100</f>
        <v>-7.7669902912621325</v>
      </c>
      <c r="H624" s="20">
        <f t="shared" ref="H624" si="636">(B624/B572-1)*100</f>
        <v>39.05152224824355</v>
      </c>
      <c r="I624" s="20">
        <f t="shared" ref="I624" si="637">(B624/D624-1)*100</f>
        <v>3.9956212370005462</v>
      </c>
    </row>
    <row r="625" spans="1:9" x14ac:dyDescent="0.3">
      <c r="A625" s="13">
        <f t="shared" si="205"/>
        <v>40470</v>
      </c>
      <c r="B625" s="8">
        <f>TWK!D358</f>
        <v>552.5</v>
      </c>
      <c r="C625" s="8">
        <f t="shared" si="632"/>
        <v>587.1875</v>
      </c>
      <c r="D625" s="8">
        <f t="shared" ref="D625" si="638">(C469+C521+C573)/3</f>
        <v>564.09027777777783</v>
      </c>
      <c r="E625" s="8">
        <f t="shared" si="153"/>
        <v>42</v>
      </c>
      <c r="F625" s="8">
        <f t="shared" ref="F625" si="639">SUM(D625-B625)</f>
        <v>11.590277777777828</v>
      </c>
      <c r="G625" s="20">
        <f t="shared" ref="G625" si="640">(B625/B624-1)*100</f>
        <v>-6.9473684210526354</v>
      </c>
      <c r="H625" s="20">
        <f t="shared" ref="H625" si="641">(B625/B573-1)*100</f>
        <v>22.437673130193915</v>
      </c>
      <c r="I625" s="20">
        <f t="shared" ref="I625" si="642">(B625/D625-1)*100</f>
        <v>-2.0546849031749859</v>
      </c>
    </row>
    <row r="626" spans="1:9" x14ac:dyDescent="0.3">
      <c r="A626" s="13">
        <f t="shared" si="205"/>
        <v>40477</v>
      </c>
      <c r="B626" s="8">
        <f>TWK!D359</f>
        <v>491.25</v>
      </c>
      <c r="C626" s="8">
        <f t="shared" ref="C626" si="643">AVERAGE(B623:B626)</f>
        <v>570.3125</v>
      </c>
      <c r="D626" s="8">
        <f t="shared" ref="D626" si="644">(C470+C522+C574)/3</f>
        <v>552.44444444444446</v>
      </c>
      <c r="E626" s="8">
        <f t="shared" si="153"/>
        <v>43</v>
      </c>
      <c r="F626" s="8">
        <f t="shared" ref="F626" si="645">SUM(D626-B626)</f>
        <v>61.194444444444457</v>
      </c>
      <c r="G626" s="20">
        <f t="shared" ref="G626" si="646">(B626/B625-1)*100</f>
        <v>-11.085972850678738</v>
      </c>
      <c r="H626" s="20">
        <f t="shared" ref="H626" si="647">(B626/B574-1)*100</f>
        <v>8.2644628099173509</v>
      </c>
      <c r="I626" s="20">
        <f t="shared" ref="I626" si="648">(B626/D626-1)*100</f>
        <v>-11.07703137570395</v>
      </c>
    </row>
    <row r="627" spans="1:9" x14ac:dyDescent="0.3">
      <c r="A627" s="13">
        <f t="shared" si="205"/>
        <v>40484</v>
      </c>
      <c r="B627" s="8">
        <f>TWK!D360</f>
        <v>443.75</v>
      </c>
      <c r="C627" s="8">
        <f t="shared" ref="C627" si="649">AVERAGE(B624:B627)</f>
        <v>520.3125</v>
      </c>
      <c r="D627" s="8">
        <f t="shared" ref="D627" si="650">(C471+C523+C575)/3</f>
        <v>556.44444444444446</v>
      </c>
      <c r="E627" s="8">
        <f t="shared" si="153"/>
        <v>44</v>
      </c>
      <c r="F627" s="8">
        <f t="shared" ref="F627" si="651">SUM(D627-B627)</f>
        <v>112.69444444444446</v>
      </c>
      <c r="G627" s="20">
        <f t="shared" ref="G627" si="652">(B627/B626-1)*100</f>
        <v>-9.6692111959287512</v>
      </c>
      <c r="H627" s="20">
        <f t="shared" ref="H627" si="653">(B627/B575-1)*100</f>
        <v>1.4285714285714235</v>
      </c>
      <c r="I627" s="20">
        <f t="shared" ref="I627" si="654">(B627/D627-1)*100</f>
        <v>-20.25259584664537</v>
      </c>
    </row>
    <row r="628" spans="1:9" x14ac:dyDescent="0.3">
      <c r="A628" s="13">
        <f t="shared" si="205"/>
        <v>40491</v>
      </c>
      <c r="B628" s="8">
        <f>TWK!D361</f>
        <v>458.33333333333331</v>
      </c>
      <c r="C628" s="8">
        <f t="shared" ref="C628" si="655">AVERAGE(B625:B628)</f>
        <v>486.45833333333331</v>
      </c>
      <c r="D628" s="8">
        <f t="shared" ref="D628" si="656">(C472+C524+C576)/3</f>
        <v>558.52777777777783</v>
      </c>
      <c r="E628" s="8">
        <f t="shared" si="153"/>
        <v>45</v>
      </c>
      <c r="F628" s="8">
        <f t="shared" ref="F628" si="657">SUM(D628-B628)</f>
        <v>100.19444444444451</v>
      </c>
      <c r="G628" s="20">
        <f t="shared" ref="G628" si="658">(B628/B627-1)*100</f>
        <v>3.2863849765258246</v>
      </c>
      <c r="H628" s="20">
        <f t="shared" ref="H628" si="659">(B628/B576-1)*100</f>
        <v>-29.487179487179493</v>
      </c>
      <c r="I628" s="20">
        <f t="shared" ref="I628" si="660">(B628/D628-1)*100</f>
        <v>-17.939026209777698</v>
      </c>
    </row>
    <row r="629" spans="1:9" x14ac:dyDescent="0.3">
      <c r="A629" s="13">
        <f t="shared" si="205"/>
        <v>40498</v>
      </c>
      <c r="B629" s="8">
        <f>TWK!D362</f>
        <v>410</v>
      </c>
      <c r="C629" s="8">
        <f t="shared" ref="C629" si="661">AVERAGE(B626:B629)</f>
        <v>450.83333333333331</v>
      </c>
      <c r="D629" s="8">
        <f t="shared" ref="D629" si="662">(C473+C525+C577)/3</f>
        <v>538.16666666666663</v>
      </c>
      <c r="E629" s="8">
        <f t="shared" si="153"/>
        <v>46</v>
      </c>
      <c r="F629" s="8">
        <f t="shared" ref="F629" si="663">SUM(D629-B629)</f>
        <v>128.16666666666663</v>
      </c>
      <c r="G629" s="20">
        <f t="shared" ref="G629" si="664">(B629/B628-1)*100</f>
        <v>-10.545454545454547</v>
      </c>
      <c r="H629" s="20">
        <f t="shared" ref="H629" si="665">(B629/B577-1)*100</f>
        <v>-3.8123167155425186</v>
      </c>
      <c r="I629" s="20">
        <f t="shared" ref="I629" si="666">(B629/D629-1)*100</f>
        <v>-23.815422731495815</v>
      </c>
    </row>
    <row r="630" spans="1:9" x14ac:dyDescent="0.3">
      <c r="A630" s="13">
        <f t="shared" si="205"/>
        <v>40505</v>
      </c>
      <c r="B630" s="8">
        <f>TWK!D363</f>
        <v>460</v>
      </c>
      <c r="C630" s="8">
        <f t="shared" ref="C630" si="667">AVERAGE(B627:B630)</f>
        <v>443.02083333333331</v>
      </c>
      <c r="D630" s="8">
        <f t="shared" ref="D630" si="668">(C474+C526+C578)/3</f>
        <v>503.33333333333331</v>
      </c>
      <c r="E630" s="8">
        <f t="shared" si="153"/>
        <v>47</v>
      </c>
      <c r="F630" s="8">
        <f t="shared" ref="F630" si="669">SUM(D630-B630)</f>
        <v>43.333333333333314</v>
      </c>
      <c r="G630" s="20">
        <f t="shared" ref="G630" si="670">(B630/B629-1)*100</f>
        <v>12.195121951219523</v>
      </c>
      <c r="H630" s="20">
        <f t="shared" ref="H630" si="671">(B630/B578-1)*100</f>
        <v>13.931888544891645</v>
      </c>
      <c r="I630" s="20">
        <f t="shared" ref="I630" si="672">(B630/D630-1)*100</f>
        <v>-8.6092715231788084</v>
      </c>
    </row>
    <row r="631" spans="1:9" x14ac:dyDescent="0.3">
      <c r="A631" s="13">
        <f t="shared" si="205"/>
        <v>40512</v>
      </c>
      <c r="B631" s="8">
        <f>TWK!D364</f>
        <v>466.25</v>
      </c>
      <c r="C631" s="8">
        <f t="shared" ref="C631" si="673">AVERAGE(B628:B631)</f>
        <v>448.64583333333331</v>
      </c>
      <c r="D631" s="8">
        <f t="shared" ref="D631" si="674">(C475+C527+C579)/3</f>
        <v>443.47222222222223</v>
      </c>
      <c r="E631" s="8">
        <f t="shared" si="153"/>
        <v>48</v>
      </c>
      <c r="F631" s="8">
        <f t="shared" ref="F631" si="675">SUM(D631-B631)</f>
        <v>-22.777777777777771</v>
      </c>
      <c r="G631" s="20">
        <f t="shared" ref="G631" si="676">(B631/B630-1)*100</f>
        <v>1.3586956521739024</v>
      </c>
      <c r="H631" s="20">
        <f t="shared" ref="H631" si="677">(B631/B579-1)*100</f>
        <v>16.562499999999993</v>
      </c>
      <c r="I631" s="20">
        <f t="shared" ref="I631" si="678">(B631/D631-1)*100</f>
        <v>5.136235515189469</v>
      </c>
    </row>
    <row r="632" spans="1:9" x14ac:dyDescent="0.3">
      <c r="A632" s="13">
        <f t="shared" si="205"/>
        <v>40519</v>
      </c>
      <c r="B632" s="8">
        <f>TWK!D365</f>
        <v>559</v>
      </c>
      <c r="C632" s="8">
        <f t="shared" ref="C632" si="679">AVERAGE(B629:B632)</f>
        <v>473.8125</v>
      </c>
      <c r="D632" s="8">
        <f t="shared" ref="D632" si="680">(C476+C528+C580)/3</f>
        <v>414.47222222222223</v>
      </c>
      <c r="E632" s="8">
        <f t="shared" si="153"/>
        <v>49</v>
      </c>
      <c r="F632" s="8">
        <f t="shared" ref="F632" si="681">SUM(D632-B632)</f>
        <v>-144.52777777777777</v>
      </c>
      <c r="G632" s="20">
        <f t="shared" ref="G632" si="682">(B632/B631-1)*100</f>
        <v>19.892761394101875</v>
      </c>
      <c r="H632" s="20">
        <f t="shared" ref="H632" si="683">(B632/B580-1)*100</f>
        <v>43.333333333333336</v>
      </c>
      <c r="I632" s="20">
        <f t="shared" ref="I632" si="684">(B632/D632-1)*100</f>
        <v>34.870317002881833</v>
      </c>
    </row>
    <row r="633" spans="1:9" x14ac:dyDescent="0.3">
      <c r="A633" s="13">
        <f t="shared" si="205"/>
        <v>40526</v>
      </c>
      <c r="B633" s="8">
        <f>TWK!D366</f>
        <v>581.25</v>
      </c>
      <c r="C633" s="8">
        <f t="shared" ref="C633" si="685">AVERAGE(B630:B633)</f>
        <v>516.625</v>
      </c>
      <c r="D633" s="8">
        <f t="shared" ref="D633" si="686">(C477+C529+C581)/3</f>
        <v>405.92361111111114</v>
      </c>
      <c r="E633" s="8">
        <f t="shared" si="153"/>
        <v>50</v>
      </c>
      <c r="F633" s="8">
        <f t="shared" ref="F633" si="687">SUM(D633-B633)</f>
        <v>-175.32638888888886</v>
      </c>
      <c r="G633" s="20">
        <f t="shared" ref="G633" si="688">(B633/B632-1)*100</f>
        <v>3.9803220035778075</v>
      </c>
      <c r="H633" s="20">
        <f t="shared" ref="H633" si="689">(B633/B581-1)*100</f>
        <v>60.714285714285701</v>
      </c>
      <c r="I633" s="20">
        <f t="shared" ref="I633" si="690">(B633/D633-1)*100</f>
        <v>43.19196619506269</v>
      </c>
    </row>
    <row r="634" spans="1:9" x14ac:dyDescent="0.3">
      <c r="A634" s="13">
        <f t="shared" si="205"/>
        <v>40533</v>
      </c>
      <c r="B634" s="8">
        <f>TWK!D367</f>
        <v>517.5</v>
      </c>
      <c r="C634" s="8">
        <f t="shared" ref="C634" si="691">AVERAGE(B631:B634)</f>
        <v>531</v>
      </c>
      <c r="D634" s="8">
        <f t="shared" ref="D634" si="692">(C478+C530+C582)/3</f>
        <v>410.92361111111114</v>
      </c>
      <c r="E634" s="8">
        <f t="shared" si="153"/>
        <v>51</v>
      </c>
      <c r="F634" s="8">
        <f t="shared" ref="F634" si="693">SUM(D634-B634)</f>
        <v>-106.57638888888886</v>
      </c>
      <c r="G634" s="20">
        <f t="shared" ref="G634" si="694">(B634/B633-1)*100</f>
        <v>-10.967741935483865</v>
      </c>
      <c r="H634" s="20">
        <f t="shared" ref="H634" si="695">(B634/B582-1)*100</f>
        <v>43.75</v>
      </c>
      <c r="I634" s="20">
        <f t="shared" ref="I634" si="696">(B634/D634-1)*100</f>
        <v>25.935815321176882</v>
      </c>
    </row>
    <row r="635" spans="1:9" x14ac:dyDescent="0.3">
      <c r="A635" s="13">
        <f t="shared" si="205"/>
        <v>40540</v>
      </c>
      <c r="B635" s="8">
        <f>TWK!D368</f>
        <v>483.33333333333331</v>
      </c>
      <c r="C635" s="8">
        <f t="shared" ref="C635" si="697">AVERAGE(B632:B635)</f>
        <v>535.27083333333337</v>
      </c>
      <c r="D635" s="8">
        <f t="shared" ref="D635" si="698">(C479+C531+C583)/3</f>
        <v>408.78472222222223</v>
      </c>
      <c r="E635" s="8">
        <f t="shared" si="153"/>
        <v>52</v>
      </c>
      <c r="F635" s="8">
        <f t="shared" ref="F635" si="699">SUM(D635-B635)</f>
        <v>-74.548611111111086</v>
      </c>
      <c r="G635" s="20">
        <f t="shared" ref="G635" si="700">(B635/B634-1)*100</f>
        <v>-6.602254428341392</v>
      </c>
      <c r="H635" s="20">
        <f t="shared" ref="H635" si="701">(B635/B583-1)*100</f>
        <v>34.259259259259252</v>
      </c>
      <c r="I635" s="20">
        <f t="shared" ref="I635" si="702">(B635/D635-1)*100</f>
        <v>18.236643166567568</v>
      </c>
    </row>
    <row r="636" spans="1:9" x14ac:dyDescent="0.3">
      <c r="A636" s="13">
        <f t="shared" si="205"/>
        <v>40547</v>
      </c>
      <c r="B636" s="8">
        <f>TWK!D369</f>
        <v>412.5</v>
      </c>
      <c r="C636" s="8">
        <f t="shared" ref="C636" si="703">AVERAGE(B633:B636)</f>
        <v>498.64583333333331</v>
      </c>
      <c r="D636" s="8">
        <f t="shared" ref="D636" si="704">(C480+C532+C584)/3</f>
        <v>393.1180555555556</v>
      </c>
      <c r="E636" s="8">
        <v>1</v>
      </c>
      <c r="F636" s="8">
        <f t="shared" ref="F636" si="705">SUM(D636-B636)</f>
        <v>-19.3819444444444</v>
      </c>
      <c r="G636" s="20">
        <f t="shared" ref="G636" si="706">(B636/B635-1)*100</f>
        <v>-14.655172413793105</v>
      </c>
      <c r="H636" s="20">
        <f t="shared" ref="H636" si="707">(B636/B584-1)*100</f>
        <v>8.5526315789473664</v>
      </c>
      <c r="I636" s="20">
        <f t="shared" ref="I636" si="708">(B636/D636-1)*100</f>
        <v>4.930311434577539</v>
      </c>
    </row>
    <row r="637" spans="1:9" x14ac:dyDescent="0.3">
      <c r="A637" s="13">
        <f t="shared" si="205"/>
        <v>40554</v>
      </c>
      <c r="B637" s="8">
        <f>TWK!D370</f>
        <v>450</v>
      </c>
      <c r="C637" s="8">
        <f t="shared" ref="C637" si="709">AVERAGE(B634:B637)</f>
        <v>465.83333333333331</v>
      </c>
      <c r="D637" s="8">
        <f t="shared" ref="D637" si="710">(C481+C533+C585)/3</f>
        <v>397.5</v>
      </c>
      <c r="E637" s="8">
        <f t="shared" si="153"/>
        <v>2</v>
      </c>
      <c r="F637" s="8">
        <f t="shared" ref="F637" si="711">SUM(D637-B637)</f>
        <v>-52.5</v>
      </c>
      <c r="G637" s="20">
        <f t="shared" ref="G637" si="712">(B637/B636-1)*100</f>
        <v>9.0909090909090828</v>
      </c>
      <c r="H637" s="20">
        <f t="shared" ref="H637" si="713">(B637/B585-1)*100</f>
        <v>16.50485436893203</v>
      </c>
      <c r="I637" s="20">
        <f t="shared" ref="I637" si="714">(B637/D637-1)*100</f>
        <v>13.207547169811317</v>
      </c>
    </row>
    <row r="638" spans="1:9" x14ac:dyDescent="0.3">
      <c r="A638" s="13">
        <f t="shared" si="205"/>
        <v>40561</v>
      </c>
      <c r="B638" s="8">
        <f>TWK!D371</f>
        <v>457.5</v>
      </c>
      <c r="C638" s="8">
        <f t="shared" ref="C638" si="715">AVERAGE(B635:B638)</f>
        <v>450.83333333333331</v>
      </c>
      <c r="D638" s="8">
        <f t="shared" ref="D638" si="716">(C482+C534+C586)/3</f>
        <v>408.875</v>
      </c>
      <c r="E638" s="8">
        <f t="shared" si="153"/>
        <v>3</v>
      </c>
      <c r="F638" s="8">
        <f t="shared" ref="F638" si="717">SUM(D638-B638)</f>
        <v>-48.625</v>
      </c>
      <c r="G638" s="20">
        <f t="shared" ref="G638" si="718">(B638/B637-1)*100</f>
        <v>1.6666666666666607</v>
      </c>
      <c r="H638" s="20">
        <f t="shared" ref="H638" si="719">(B638/B586-1)*100</f>
        <v>16.932907348242821</v>
      </c>
      <c r="I638" s="20">
        <f t="shared" ref="I638" si="720">(B638/D638-1)*100</f>
        <v>11.892387649036994</v>
      </c>
    </row>
    <row r="639" spans="1:9" x14ac:dyDescent="0.3">
      <c r="A639" s="13">
        <f t="shared" si="205"/>
        <v>40568</v>
      </c>
      <c r="B639" s="8">
        <f>TWK!D372</f>
        <v>456.25</v>
      </c>
      <c r="C639" s="8">
        <f t="shared" ref="C639" si="721">AVERAGE(B636:B639)</f>
        <v>444.0625</v>
      </c>
      <c r="D639" s="8">
        <f t="shared" ref="D639" si="722">(C483+C535+C587)/3</f>
        <v>430.125</v>
      </c>
      <c r="E639" s="8">
        <f t="shared" si="153"/>
        <v>4</v>
      </c>
      <c r="F639" s="8">
        <f t="shared" ref="F639" si="723">SUM(D639-B639)</f>
        <v>-26.125</v>
      </c>
      <c r="G639" s="20">
        <f t="shared" ref="G639" si="724">(B639/B638-1)*100</f>
        <v>-0.2732240437158473</v>
      </c>
      <c r="H639" s="20">
        <f t="shared" ref="H639" si="725">(B639/B587-1)*100</f>
        <v>11.280487804878048</v>
      </c>
      <c r="I639" s="20">
        <f t="shared" ref="I639" si="726">(B639/D639-1)*100</f>
        <v>6.0738157512351121</v>
      </c>
    </row>
    <row r="640" spans="1:9" x14ac:dyDescent="0.3">
      <c r="A640" s="13">
        <f t="shared" si="205"/>
        <v>40575</v>
      </c>
      <c r="B640" s="8">
        <f>TWK!D373</f>
        <v>550</v>
      </c>
      <c r="C640" s="8">
        <f t="shared" ref="C640" si="727">AVERAGE(B637:B640)</f>
        <v>478.4375</v>
      </c>
      <c r="D640" s="8">
        <f t="shared" ref="D640" si="728">(C484+C536+C588)/3</f>
        <v>451.125</v>
      </c>
      <c r="E640" s="8">
        <f t="shared" si="153"/>
        <v>5</v>
      </c>
      <c r="F640" s="8">
        <f t="shared" ref="F640" si="729">SUM(D640-B640)</f>
        <v>-98.875</v>
      </c>
      <c r="G640" s="20">
        <f t="shared" ref="G640" si="730">(B640/B639-1)*100</f>
        <v>20.547945205479444</v>
      </c>
      <c r="H640" s="20">
        <f t="shared" ref="H640" si="731">(B640/B588-1)*100</f>
        <v>37.5</v>
      </c>
      <c r="I640" s="20">
        <f t="shared" ref="I640" si="732">(B640/D640-1)*100</f>
        <v>21.917428650595738</v>
      </c>
    </row>
    <row r="641" spans="1:9" x14ac:dyDescent="0.3">
      <c r="A641" s="13">
        <f t="shared" si="205"/>
        <v>40582</v>
      </c>
      <c r="B641" s="8">
        <f>TWK!D374</f>
        <v>537.5</v>
      </c>
      <c r="C641" s="8">
        <f t="shared" ref="C641" si="733">AVERAGE(B638:B641)</f>
        <v>500.3125</v>
      </c>
      <c r="D641" s="8">
        <f t="shared" ref="D641" si="734">(C485+C537+C589)/3</f>
        <v>444.6875</v>
      </c>
      <c r="E641" s="8">
        <f t="shared" si="153"/>
        <v>6</v>
      </c>
      <c r="F641" s="8">
        <f t="shared" ref="F641" si="735">SUM(D641-B641)</f>
        <v>-92.8125</v>
      </c>
      <c r="G641" s="20">
        <f t="shared" ref="G641" si="736">(B641/B640-1)*100</f>
        <v>-2.2727272727272707</v>
      </c>
      <c r="H641" s="20">
        <f t="shared" ref="H641" si="737">(B641/B589-1)*100</f>
        <v>50.139664804469277</v>
      </c>
      <c r="I641" s="20">
        <f t="shared" ref="I641" si="738">(B641/D641-1)*100</f>
        <v>20.871398453970478</v>
      </c>
    </row>
    <row r="642" spans="1:9" x14ac:dyDescent="0.3">
      <c r="A642" s="13">
        <f t="shared" si="205"/>
        <v>40589</v>
      </c>
      <c r="B642" s="8">
        <f>TWK!D375</f>
        <v>583.75</v>
      </c>
      <c r="C642" s="8">
        <f t="shared" ref="C642" si="739">AVERAGE(B639:B642)</f>
        <v>531.875</v>
      </c>
      <c r="D642" s="8">
        <f t="shared" ref="D642" si="740">(C486+C538+C590)/3</f>
        <v>422.41666666666669</v>
      </c>
      <c r="E642" s="8">
        <f t="shared" si="153"/>
        <v>7</v>
      </c>
      <c r="F642" s="8">
        <f t="shared" ref="F642" si="741">SUM(D642-B642)</f>
        <v>-161.33333333333331</v>
      </c>
      <c r="G642" s="20">
        <f t="shared" ref="G642" si="742">(B642/B641-1)*100</f>
        <v>8.6046511627906987</v>
      </c>
      <c r="H642" s="20">
        <f t="shared" ref="H642" si="743">(B642/B590-1)*100</f>
        <v>91.393442622950815</v>
      </c>
      <c r="I642" s="20">
        <f t="shared" ref="I642" si="744">(B642/D642-1)*100</f>
        <v>38.192937463010445</v>
      </c>
    </row>
    <row r="643" spans="1:9" x14ac:dyDescent="0.3">
      <c r="A643" s="13">
        <f t="shared" si="205"/>
        <v>40596</v>
      </c>
      <c r="B643" s="8">
        <f>TWK!D376</f>
        <v>537.5</v>
      </c>
      <c r="C643" s="8">
        <f t="shared" ref="C643" si="745">AVERAGE(B640:B643)</f>
        <v>552.1875</v>
      </c>
      <c r="D643" s="8">
        <f t="shared" ref="D643" si="746">(C487+C539+C591)/3</f>
        <v>400.33333333333331</v>
      </c>
      <c r="E643" s="8">
        <f t="shared" si="153"/>
        <v>8</v>
      </c>
      <c r="F643" s="8">
        <f t="shared" ref="F643" si="747">SUM(D643-B643)</f>
        <v>-137.16666666666669</v>
      </c>
      <c r="G643" s="20">
        <f t="shared" ref="G643" si="748">(B643/B642-1)*100</f>
        <v>-7.9229122055674566</v>
      </c>
      <c r="H643" s="20">
        <f t="shared" ref="H643" si="749">(B643/B591-1)*100</f>
        <v>69.558359621451089</v>
      </c>
      <c r="I643" s="20">
        <f t="shared" ref="I643" si="750">(B643/D643-1)*100</f>
        <v>34.263114071607006</v>
      </c>
    </row>
    <row r="644" spans="1:9" x14ac:dyDescent="0.3">
      <c r="A644" s="13">
        <f t="shared" si="205"/>
        <v>40603</v>
      </c>
      <c r="B644" s="8">
        <f>TWK!D377</f>
        <v>497.5</v>
      </c>
      <c r="C644" s="8">
        <f t="shared" ref="C644" si="751">AVERAGE(B641:B644)</f>
        <v>539.0625</v>
      </c>
      <c r="D644" s="8">
        <f t="shared" ref="D644" si="752">(C488+C540+C592)/3</f>
        <v>376.72916666666669</v>
      </c>
      <c r="E644" s="8">
        <f t="shared" si="153"/>
        <v>9</v>
      </c>
      <c r="F644" s="8">
        <f t="shared" ref="F644" si="753">SUM(D644-B644)</f>
        <v>-120.77083333333331</v>
      </c>
      <c r="G644" s="20">
        <f t="shared" ref="G644" si="754">(B644/B643-1)*100</f>
        <v>-7.441860465116279</v>
      </c>
      <c r="H644" s="20">
        <f t="shared" ref="H644" si="755">(B644/B592-1)*100</f>
        <v>44.202898550724633</v>
      </c>
      <c r="I644" s="20">
        <f t="shared" ref="I644" si="756">(B644/D644-1)*100</f>
        <v>32.05773378311121</v>
      </c>
    </row>
    <row r="645" spans="1:9" x14ac:dyDescent="0.3">
      <c r="A645" s="13">
        <f t="shared" si="205"/>
        <v>40610</v>
      </c>
      <c r="B645" s="8">
        <f>TWK!D378</f>
        <v>633.33333333333337</v>
      </c>
      <c r="C645" s="8">
        <f t="shared" ref="C645" si="757">AVERAGE(B642:B645)</f>
        <v>563.02083333333337</v>
      </c>
      <c r="D645" s="8">
        <f t="shared" ref="D645" si="758">(C489+C541+C593)/3</f>
        <v>366.77083333333331</v>
      </c>
      <c r="E645" s="8">
        <f t="shared" si="153"/>
        <v>10</v>
      </c>
      <c r="F645" s="8">
        <f t="shared" ref="F645" si="759">SUM(D645-B645)</f>
        <v>-266.56250000000006</v>
      </c>
      <c r="G645" s="20">
        <f t="shared" ref="G645" si="760">(B645/B644-1)*100</f>
        <v>27.303182579564499</v>
      </c>
      <c r="H645" s="20">
        <f t="shared" ref="H645" si="761">(B645/B593-1)*100</f>
        <v>102.66666666666669</v>
      </c>
      <c r="I645" s="20">
        <f t="shared" ref="I645" si="762">(B645/D645-1)*100</f>
        <v>72.678216415790999</v>
      </c>
    </row>
    <row r="646" spans="1:9" x14ac:dyDescent="0.3">
      <c r="A646" s="13">
        <f t="shared" si="205"/>
        <v>40617</v>
      </c>
      <c r="B646" s="8">
        <f>TWK!D379</f>
        <v>556.25</v>
      </c>
      <c r="C646" s="8">
        <f t="shared" ref="C646" si="763">AVERAGE(B643:B646)</f>
        <v>556.14583333333337</v>
      </c>
      <c r="D646" s="8">
        <f t="shared" ref="D646" si="764">(C490+C542+C594)/3</f>
        <v>355.3125</v>
      </c>
      <c r="E646" s="8">
        <f t="shared" si="153"/>
        <v>11</v>
      </c>
      <c r="F646" s="8">
        <f t="shared" ref="F646" si="765">SUM(D646-B646)</f>
        <v>-200.9375</v>
      </c>
      <c r="G646" s="20">
        <f t="shared" ref="G646" si="766">(B646/B645-1)*100</f>
        <v>-12.171052631578949</v>
      </c>
      <c r="H646" s="20">
        <f t="shared" ref="H646" si="767">(B646/B594-1)*100</f>
        <v>96.902654867256643</v>
      </c>
      <c r="I646" s="20">
        <f t="shared" ref="I646" si="768">(B646/D646-1)*100</f>
        <v>56.552330694810912</v>
      </c>
    </row>
    <row r="647" spans="1:9" x14ac:dyDescent="0.3">
      <c r="A647" s="13">
        <f t="shared" si="205"/>
        <v>40624</v>
      </c>
      <c r="B647" s="8">
        <f>TWK!D380</f>
        <v>491.25</v>
      </c>
      <c r="C647" s="8">
        <f t="shared" ref="C647" si="769">AVERAGE(B644:B647)</f>
        <v>544.58333333333337</v>
      </c>
      <c r="D647" s="8">
        <f t="shared" ref="D647" si="770">(C491+C543+C595)/3</f>
        <v>344.1180555555556</v>
      </c>
      <c r="E647" s="8">
        <f t="shared" si="153"/>
        <v>12</v>
      </c>
      <c r="F647" s="8">
        <f t="shared" ref="F647" si="771">SUM(D647-B647)</f>
        <v>-147.1319444444444</v>
      </c>
      <c r="G647" s="20">
        <f t="shared" ref="G647" si="772">(B647/B646-1)*100</f>
        <v>-11.685393258426968</v>
      </c>
      <c r="H647" s="20">
        <f t="shared" ref="H647" si="773">(B647/B595-1)*100</f>
        <v>77.560240963855406</v>
      </c>
      <c r="I647" s="20">
        <f t="shared" ref="I647" si="774">(B647/D647-1)*100</f>
        <v>42.756240792686604</v>
      </c>
    </row>
    <row r="648" spans="1:9" x14ac:dyDescent="0.3">
      <c r="A648" s="13">
        <f t="shared" si="205"/>
        <v>40631</v>
      </c>
      <c r="B648" s="8">
        <f>TWK!D381</f>
        <v>506.66666666666669</v>
      </c>
      <c r="C648" s="8">
        <f t="shared" ref="C648" si="775">AVERAGE(B645:B648)</f>
        <v>546.875</v>
      </c>
      <c r="D648" s="8">
        <f t="shared" ref="D648" si="776">(C492+C544+C596)/3</f>
        <v>334.8055555555556</v>
      </c>
      <c r="E648" s="8">
        <f t="shared" si="153"/>
        <v>13</v>
      </c>
      <c r="F648" s="8">
        <f t="shared" ref="F648" si="777">SUM(D648-B648)</f>
        <v>-171.86111111111109</v>
      </c>
      <c r="G648" s="20">
        <f t="shared" ref="G648" si="778">(B648/B647-1)*100</f>
        <v>3.1382527565733787</v>
      </c>
      <c r="H648" s="20">
        <f t="shared" ref="H648" si="779">(B648/B596-1)*100</f>
        <v>83.408748114630484</v>
      </c>
      <c r="I648" s="20">
        <f t="shared" ref="I648" si="780">(B648/D648-1)*100</f>
        <v>51.33161868414502</v>
      </c>
    </row>
    <row r="649" spans="1:9" x14ac:dyDescent="0.3">
      <c r="A649" s="13">
        <f t="shared" si="205"/>
        <v>40638</v>
      </c>
      <c r="B649" s="8">
        <f>TWK!D382</f>
        <v>471.66666666666669</v>
      </c>
      <c r="C649" s="8">
        <f t="shared" ref="C649" si="781">AVERAGE(B646:B649)</f>
        <v>506.45833333333337</v>
      </c>
      <c r="D649" s="8">
        <f t="shared" ref="D649" si="782">(C493+C545+C597)/3</f>
        <v>324.78472222222223</v>
      </c>
      <c r="E649" s="8">
        <f t="shared" si="153"/>
        <v>14</v>
      </c>
      <c r="F649" s="8">
        <f t="shared" ref="F649" si="783">SUM(D649-B649)</f>
        <v>-146.88194444444446</v>
      </c>
      <c r="G649" s="20">
        <f t="shared" ref="G649" si="784">(B649/B648-1)*100</f>
        <v>-6.9078947368421018</v>
      </c>
      <c r="H649" s="20">
        <f t="shared" ref="H649" si="785">(B649/B597-1)*100</f>
        <v>71.51515151515153</v>
      </c>
      <c r="I649" s="20">
        <f t="shared" ref="I649" si="786">(B649/D649-1)*100</f>
        <v>45.224400778293329</v>
      </c>
    </row>
    <row r="650" spans="1:9" x14ac:dyDescent="0.3">
      <c r="A650" s="13">
        <f t="shared" si="205"/>
        <v>40645</v>
      </c>
      <c r="B650" s="8">
        <f>TWK!D383</f>
        <v>428.75</v>
      </c>
      <c r="C650" s="8">
        <f t="shared" ref="C650" si="787">AVERAGE(B647:B650)</f>
        <v>474.58333333333337</v>
      </c>
      <c r="D650" s="8">
        <f t="shared" ref="D650" si="788">(C494+C546+C598)/3</f>
        <v>322.07638888888891</v>
      </c>
      <c r="E650" s="8">
        <f t="shared" si="153"/>
        <v>15</v>
      </c>
      <c r="F650" s="8">
        <f t="shared" ref="F650" si="789">SUM(D650-B650)</f>
        <v>-106.67361111111109</v>
      </c>
      <c r="G650" s="20">
        <f t="shared" ref="G650" si="790">(B650/B649-1)*100</f>
        <v>-9.0989399293286315</v>
      </c>
      <c r="H650" s="20">
        <f t="shared" ref="H650" si="791">(B650/B598-1)*100</f>
        <v>55.909090909090907</v>
      </c>
      <c r="I650" s="20">
        <f t="shared" ref="I650" si="792">(B650/D650-1)*100</f>
        <v>33.120593372000243</v>
      </c>
    </row>
    <row r="651" spans="1:9" x14ac:dyDescent="0.3">
      <c r="A651" s="13">
        <f t="shared" si="205"/>
        <v>40652</v>
      </c>
      <c r="B651" s="8">
        <f>TWK!D384</f>
        <v>413.33333333333331</v>
      </c>
      <c r="C651" s="8">
        <f t="shared" ref="C651" si="793">AVERAGE(B648:B651)</f>
        <v>455.10416666666669</v>
      </c>
      <c r="D651" s="8">
        <f t="shared" ref="D651" si="794">(C495+C547+C599)/3</f>
        <v>316.91666666666669</v>
      </c>
      <c r="E651" s="8">
        <f t="shared" si="153"/>
        <v>16</v>
      </c>
      <c r="F651" s="8">
        <f t="shared" ref="F651" si="795">SUM(D651-B651)</f>
        <v>-96.416666666666629</v>
      </c>
      <c r="G651" s="20">
        <f t="shared" ref="G651" si="796">(B651/B650-1)*100</f>
        <v>-3.5957240038872684</v>
      </c>
      <c r="H651" s="20">
        <f t="shared" ref="H651" si="797">(B651/B599-1)*100</f>
        <v>50.303030303030297</v>
      </c>
      <c r="I651" s="20">
        <f t="shared" ref="I651" si="798">(B651/D651-1)*100</f>
        <v>30.423349986852479</v>
      </c>
    </row>
    <row r="652" spans="1:9" x14ac:dyDescent="0.3">
      <c r="A652" s="13">
        <f t="shared" si="205"/>
        <v>40659</v>
      </c>
      <c r="B652" s="8">
        <f>TWK!D385</f>
        <v>402</v>
      </c>
      <c r="C652" s="8">
        <f t="shared" ref="C652" si="799">AVERAGE(B649:B652)</f>
        <v>428.9375</v>
      </c>
      <c r="D652" s="8">
        <f t="shared" ref="D652" si="800">(C496+C548+C600)/3</f>
        <v>315.77777777777777</v>
      </c>
      <c r="E652" s="8">
        <f t="shared" si="153"/>
        <v>17</v>
      </c>
      <c r="F652" s="8">
        <f t="shared" ref="F652" si="801">SUM(D652-B652)</f>
        <v>-86.222222222222229</v>
      </c>
      <c r="G652" s="20">
        <f t="shared" ref="G652" si="802">(B652/B651-1)*100</f>
        <v>-2.7419354838709609</v>
      </c>
      <c r="H652" s="20">
        <f t="shared" ref="H652" si="803">(B652/B600-1)*100</f>
        <v>30.378378378378379</v>
      </c>
      <c r="I652" s="20">
        <f t="shared" ref="I652" si="804">(B652/D652-1)*100</f>
        <v>27.304714989444044</v>
      </c>
    </row>
    <row r="653" spans="1:9" x14ac:dyDescent="0.3">
      <c r="A653" s="13">
        <f t="shared" si="205"/>
        <v>40666</v>
      </c>
      <c r="B653" s="8">
        <f>TWK!D386</f>
        <v>460</v>
      </c>
      <c r="C653" s="8">
        <f t="shared" ref="C653" si="805">AVERAGE(B650:B653)</f>
        <v>426.02083333333331</v>
      </c>
      <c r="D653" s="8">
        <f t="shared" ref="D653" si="806">(C497+C549+C601)/3</f>
        <v>318.09027777777777</v>
      </c>
      <c r="E653" s="8">
        <f t="shared" si="153"/>
        <v>18</v>
      </c>
      <c r="F653" s="8">
        <f t="shared" ref="F653" si="807">SUM(D653-B653)</f>
        <v>-141.90972222222223</v>
      </c>
      <c r="G653" s="20">
        <f t="shared" ref="G653" si="808">(B653/B652-1)*100</f>
        <v>14.427860696517403</v>
      </c>
      <c r="H653" s="20">
        <f t="shared" ref="H653" si="809">(B653/B601-1)*100</f>
        <v>35.294117647058833</v>
      </c>
      <c r="I653" s="20">
        <f t="shared" ref="I653" si="810">(B653/D653-1)*100</f>
        <v>44.613033511625375</v>
      </c>
    </row>
    <row r="654" spans="1:9" x14ac:dyDescent="0.3">
      <c r="A654" s="13">
        <f t="shared" si="205"/>
        <v>40673</v>
      </c>
      <c r="B654" s="8">
        <f>TWK!D387</f>
        <v>425</v>
      </c>
      <c r="C654" s="8">
        <f t="shared" ref="C654" si="811">AVERAGE(B651:B654)</f>
        <v>425.08333333333331</v>
      </c>
      <c r="D654" s="8">
        <f t="shared" ref="D654" si="812">(C498+C550+C602)/3</f>
        <v>325.3819444444444</v>
      </c>
      <c r="E654" s="8">
        <f t="shared" si="153"/>
        <v>19</v>
      </c>
      <c r="F654" s="8">
        <f t="shared" ref="F654" si="813">SUM(D654-B654)</f>
        <v>-99.6180555555556</v>
      </c>
      <c r="G654" s="20">
        <f t="shared" ref="G654" si="814">(B654/B653-1)*100</f>
        <v>-7.608695652173914</v>
      </c>
      <c r="H654" s="20">
        <f t="shared" ref="H654" si="815">(B654/B602-1)*100</f>
        <v>11.111111111111116</v>
      </c>
      <c r="I654" s="20">
        <f t="shared" ref="I654" si="816">(B654/D654-1)*100</f>
        <v>30.615729377867918</v>
      </c>
    </row>
    <row r="655" spans="1:9" x14ac:dyDescent="0.3">
      <c r="A655" s="13">
        <f t="shared" si="205"/>
        <v>40680</v>
      </c>
      <c r="B655" s="8">
        <f>TWK!D388</f>
        <v>421.66666666666669</v>
      </c>
      <c r="C655" s="8">
        <f t="shared" ref="C655" si="817">AVERAGE(B652:B655)</f>
        <v>427.16666666666669</v>
      </c>
      <c r="D655" s="8">
        <f t="shared" ref="D655" si="818">(C499+C551+C603)/3</f>
        <v>334.9305555555556</v>
      </c>
      <c r="E655" s="8">
        <f t="shared" si="153"/>
        <v>20</v>
      </c>
      <c r="F655" s="8">
        <f t="shared" ref="F655" si="819">SUM(D655-B655)</f>
        <v>-86.736111111111086</v>
      </c>
      <c r="G655" s="20">
        <f t="shared" ref="G655" si="820">(B655/B654-1)*100</f>
        <v>-0.78431372549019329</v>
      </c>
      <c r="H655" s="20">
        <f t="shared" ref="H655" si="821">(B655/B603-1)*100</f>
        <v>1.2000000000000011</v>
      </c>
      <c r="I655" s="20">
        <f t="shared" ref="I655" si="822">(B655/D655-1)*100</f>
        <v>25.896744764669279</v>
      </c>
    </row>
    <row r="656" spans="1:9" x14ac:dyDescent="0.3">
      <c r="A656" s="13">
        <f t="shared" si="205"/>
        <v>40687</v>
      </c>
      <c r="B656" s="8">
        <f>TWK!D389</f>
        <v>448.75</v>
      </c>
      <c r="C656" s="8">
        <f t="shared" ref="C656" si="823">AVERAGE(B653:B656)</f>
        <v>438.85416666666669</v>
      </c>
      <c r="D656" s="8">
        <f t="shared" ref="D656" si="824">(C500+C552+C604)/3</f>
        <v>340.63194444444451</v>
      </c>
      <c r="E656" s="8">
        <f t="shared" si="153"/>
        <v>21</v>
      </c>
      <c r="F656" s="8">
        <f t="shared" ref="F656" si="825">SUM(D656-B656)</f>
        <v>-108.11805555555549</v>
      </c>
      <c r="G656" s="20">
        <f t="shared" ref="G656" si="826">(B656/B655-1)*100</f>
        <v>6.422924901185767</v>
      </c>
      <c r="H656" s="20">
        <f t="shared" ref="H656" si="827">(B656/B604-1)*100</f>
        <v>32.962962962962969</v>
      </c>
      <c r="I656" s="20">
        <f t="shared" ref="I656" si="828">(B656/D656-1)*100</f>
        <v>31.74043342643369</v>
      </c>
    </row>
    <row r="657" spans="1:9" x14ac:dyDescent="0.3">
      <c r="A657" s="13">
        <f t="shared" si="205"/>
        <v>40694</v>
      </c>
      <c r="B657" s="8">
        <f>TWK!D390</f>
        <v>463</v>
      </c>
      <c r="C657" s="8">
        <f t="shared" ref="C657" si="829">AVERAGE(B654:B657)</f>
        <v>439.60416666666669</v>
      </c>
      <c r="D657" s="8">
        <f t="shared" ref="D657" si="830">(C501+C553+C605)/3</f>
        <v>343.69444444444451</v>
      </c>
      <c r="E657" s="8">
        <f t="shared" si="153"/>
        <v>22</v>
      </c>
      <c r="F657" s="8">
        <f t="shared" ref="F657" si="831">SUM(D657-B657)</f>
        <v>-119.30555555555549</v>
      </c>
      <c r="G657" s="20">
        <f t="shared" ref="G657" si="832">(B657/B656-1)*100</f>
        <v>3.1754874651810594</v>
      </c>
      <c r="H657" s="20">
        <f t="shared" ref="H657" si="833">(B657/B605-1)*100</f>
        <v>47.452229299363054</v>
      </c>
      <c r="I657" s="20">
        <f t="shared" ref="I657" si="834">(B657/D657-1)*100</f>
        <v>34.712680837307005</v>
      </c>
    </row>
    <row r="658" spans="1:9" x14ac:dyDescent="0.3">
      <c r="A658" s="13">
        <f t="shared" si="205"/>
        <v>40701</v>
      </c>
      <c r="B658" s="8">
        <f>TWK!D391</f>
        <v>446.66666666666669</v>
      </c>
      <c r="C658" s="8">
        <f t="shared" ref="C658" si="835">AVERAGE(B655:B658)</f>
        <v>445.02083333333337</v>
      </c>
      <c r="D658" s="8">
        <f t="shared" ref="D658" si="836">(C502+C554+C606)/3</f>
        <v>348.40972222222223</v>
      </c>
      <c r="E658" s="8">
        <f t="shared" si="153"/>
        <v>23</v>
      </c>
      <c r="F658" s="8">
        <f t="shared" ref="F658" si="837">SUM(D658-B658)</f>
        <v>-98.256944444444457</v>
      </c>
      <c r="G658" s="20">
        <f t="shared" ref="G658" si="838">(B658/B657-1)*100</f>
        <v>-3.5277177825773887</v>
      </c>
      <c r="H658" s="20">
        <f t="shared" ref="H658" si="839">(B658/B606-1)*100</f>
        <v>52.056737588652481</v>
      </c>
      <c r="I658" s="20">
        <f t="shared" ref="I658" si="840">(B658/D658-1)*100</f>
        <v>28.201550696617559</v>
      </c>
    </row>
    <row r="659" spans="1:9" x14ac:dyDescent="0.3">
      <c r="A659" s="13">
        <f t="shared" si="205"/>
        <v>40708</v>
      </c>
      <c r="B659" s="8">
        <f>TWK!D392</f>
        <v>446.25</v>
      </c>
      <c r="C659" s="8">
        <f t="shared" ref="C659" si="841">AVERAGE(B656:B659)</f>
        <v>451.16666666666669</v>
      </c>
      <c r="D659" s="8">
        <f t="shared" ref="D659" si="842">(C503+C555+C607)/3</f>
        <v>362.02777777777777</v>
      </c>
      <c r="E659" s="8">
        <f t="shared" si="153"/>
        <v>24</v>
      </c>
      <c r="F659" s="8">
        <f t="shared" ref="F659" si="843">SUM(D659-B659)</f>
        <v>-84.222222222222229</v>
      </c>
      <c r="G659" s="20">
        <f t="shared" ref="G659" si="844">(B659/B658-1)*100</f>
        <v>-9.3283582089553896E-2</v>
      </c>
      <c r="H659" s="20">
        <f t="shared" ref="H659" si="845">(B659/B607-1)*100</f>
        <v>49.3723849372385</v>
      </c>
      <c r="I659" s="20">
        <f t="shared" ref="I659" si="846">(B659/D659-1)*100</f>
        <v>23.264022097751869</v>
      </c>
    </row>
    <row r="660" spans="1:9" x14ac:dyDescent="0.3">
      <c r="A660" s="13">
        <f t="shared" si="205"/>
        <v>40715</v>
      </c>
      <c r="B660" s="8">
        <f>TWK!D393</f>
        <v>450</v>
      </c>
      <c r="C660" s="8">
        <f t="shared" ref="C660" si="847">AVERAGE(B657:B660)</f>
        <v>451.47916666666669</v>
      </c>
      <c r="D660" s="8">
        <f t="shared" ref="D660" si="848">(C504+C556+C608)/3</f>
        <v>371.93055555555549</v>
      </c>
      <c r="E660" s="8">
        <f t="shared" si="153"/>
        <v>25</v>
      </c>
      <c r="F660" s="8">
        <f t="shared" ref="F660" si="849">SUM(D660-B660)</f>
        <v>-78.069444444444514</v>
      </c>
      <c r="G660" s="20">
        <f t="shared" ref="G660" si="850">(B660/B659-1)*100</f>
        <v>0.84033613445377853</v>
      </c>
      <c r="H660" s="20">
        <f t="shared" ref="H660" si="851">(B660/B608-1)*100</f>
        <v>50.837988826815646</v>
      </c>
      <c r="I660" s="20">
        <f t="shared" ref="I660" si="852">(B660/D660-1)*100</f>
        <v>20.990328242279421</v>
      </c>
    </row>
    <row r="661" spans="1:9" x14ac:dyDescent="0.3">
      <c r="A661" s="13">
        <f t="shared" si="205"/>
        <v>40722</v>
      </c>
      <c r="B661" s="8">
        <f>TWK!D394</f>
        <v>445</v>
      </c>
      <c r="C661" s="8">
        <f t="shared" ref="C661" si="853">AVERAGE(B658:B661)</f>
        <v>446.97916666666669</v>
      </c>
      <c r="D661" s="8">
        <f t="shared" ref="D661" si="854">(C505+C557+C609)/3</f>
        <v>384.78472222222217</v>
      </c>
      <c r="E661" s="8">
        <f t="shared" si="153"/>
        <v>26</v>
      </c>
      <c r="F661" s="8">
        <f t="shared" ref="F661" si="855">SUM(D661-B661)</f>
        <v>-60.215277777777828</v>
      </c>
      <c r="G661" s="20">
        <f t="shared" ref="G661" si="856">(B661/B660-1)*100</f>
        <v>-1.1111111111111072</v>
      </c>
      <c r="H661" s="20">
        <f t="shared" ref="H661" si="857">(B661/B609-1)*100</f>
        <v>50.337837837837832</v>
      </c>
      <c r="I661" s="20">
        <f t="shared" ref="I661" si="858">(B661/D661-1)*100</f>
        <v>15.649082279052152</v>
      </c>
    </row>
    <row r="662" spans="1:9" x14ac:dyDescent="0.3">
      <c r="A662" s="13">
        <f t="shared" si="205"/>
        <v>40729</v>
      </c>
      <c r="B662" s="8">
        <f>TWK!D395</f>
        <v>460</v>
      </c>
      <c r="C662" s="8">
        <f t="shared" ref="C662" si="859">AVERAGE(B659:B662)</f>
        <v>450.3125</v>
      </c>
      <c r="D662" s="8">
        <f t="shared" ref="D662" si="860">(C506+C558+C610)/3</f>
        <v>387.52777777777777</v>
      </c>
      <c r="E662" s="8">
        <f t="shared" si="153"/>
        <v>27</v>
      </c>
      <c r="F662" s="8">
        <f t="shared" ref="F662" si="861">SUM(D662-B662)</f>
        <v>-72.472222222222229</v>
      </c>
      <c r="G662" s="20">
        <f t="shared" ref="G662" si="862">(B662/B661-1)*100</f>
        <v>3.3707865168539408</v>
      </c>
      <c r="H662" s="20">
        <f t="shared" ref="H662" si="863">(B662/B610-1)*100</f>
        <v>41.538461538461547</v>
      </c>
      <c r="I662" s="20">
        <f t="shared" ref="I662" si="864">(B662/D662-1)*100</f>
        <v>18.701168375026889</v>
      </c>
    </row>
    <row r="663" spans="1:9" x14ac:dyDescent="0.3">
      <c r="A663" s="13">
        <f t="shared" si="205"/>
        <v>40736</v>
      </c>
      <c r="B663" s="8">
        <f>TWK!D396</f>
        <v>448.75</v>
      </c>
      <c r="C663" s="8">
        <f t="shared" ref="C663" si="865">AVERAGE(B660:B663)</f>
        <v>450.9375</v>
      </c>
      <c r="D663" s="8">
        <f t="shared" ref="D663" si="866">(C507+C559+C611)/3</f>
        <v>378.42361111111109</v>
      </c>
      <c r="E663" s="8">
        <f t="shared" si="153"/>
        <v>28</v>
      </c>
      <c r="F663" s="8">
        <f t="shared" ref="F663" si="867">SUM(D663-B663)</f>
        <v>-70.326388888888914</v>
      </c>
      <c r="G663" s="20">
        <f t="shared" ref="G663" si="868">(B663/B662-1)*100</f>
        <v>-2.4456521739130488</v>
      </c>
      <c r="H663" s="20">
        <f t="shared" ref="H663" si="869">(B663/B611-1)*100</f>
        <v>15.806451612903217</v>
      </c>
      <c r="I663" s="20">
        <f t="shared" ref="I663" si="870">(B663/D663-1)*100</f>
        <v>18.584038316848051</v>
      </c>
    </row>
    <row r="664" spans="1:9" x14ac:dyDescent="0.3">
      <c r="A664" s="13">
        <f t="shared" si="205"/>
        <v>40743</v>
      </c>
      <c r="B664" s="8">
        <f>TWK!D397</f>
        <v>431</v>
      </c>
      <c r="C664" s="8">
        <f t="shared" ref="C664" si="871">AVERAGE(B661:B664)</f>
        <v>446.1875</v>
      </c>
      <c r="D664" s="8">
        <f t="shared" ref="D664" si="872">(C508+C560+C612)/3</f>
        <v>382.04166666666669</v>
      </c>
      <c r="E664" s="8">
        <f t="shared" si="153"/>
        <v>29</v>
      </c>
      <c r="F664" s="8">
        <f t="shared" ref="F664" si="873">SUM(D664-B664)</f>
        <v>-48.958333333333314</v>
      </c>
      <c r="G664" s="20">
        <f t="shared" ref="G664" si="874">(B664/B663-1)*100</f>
        <v>-3.9554317548746498</v>
      </c>
      <c r="H664" s="20">
        <f t="shared" ref="H664" si="875">(B664/B612-1)*100</f>
        <v>1.4117647058823568</v>
      </c>
      <c r="I664" s="20">
        <f t="shared" ref="I664" si="876">(B664/D664-1)*100</f>
        <v>12.814919838586537</v>
      </c>
    </row>
    <row r="665" spans="1:9" x14ac:dyDescent="0.3">
      <c r="A665" s="13">
        <f t="shared" si="205"/>
        <v>40750</v>
      </c>
      <c r="B665" s="8">
        <f>TWK!D398</f>
        <v>390</v>
      </c>
      <c r="C665" s="8">
        <f t="shared" ref="C665" si="877">AVERAGE(B662:B665)</f>
        <v>432.4375</v>
      </c>
      <c r="D665" s="8">
        <f t="shared" ref="D665" si="878">(C509+C561+C613)/3</f>
        <v>382.4444444444444</v>
      </c>
      <c r="E665" s="8">
        <f t="shared" si="153"/>
        <v>30</v>
      </c>
      <c r="F665" s="8">
        <f t="shared" ref="F665" si="879">SUM(D665-B665)</f>
        <v>-7.5555555555555998</v>
      </c>
      <c r="G665" s="20">
        <f t="shared" ref="G665" si="880">(B665/B664-1)*100</f>
        <v>-9.5127610208816655</v>
      </c>
      <c r="H665" s="20">
        <f t="shared" ref="H665" si="881">(B665/B613-1)*100</f>
        <v>0.42918454935623185</v>
      </c>
      <c r="I665" s="20">
        <f t="shared" ref="I665" si="882">(B665/D665-1)*100</f>
        <v>1.9755955839628303</v>
      </c>
    </row>
    <row r="666" spans="1:9" x14ac:dyDescent="0.3">
      <c r="A666" s="13">
        <f t="shared" si="205"/>
        <v>40757</v>
      </c>
      <c r="B666" s="8">
        <f>TWK!D399</f>
        <v>361.66666666666669</v>
      </c>
      <c r="C666" s="8">
        <f t="shared" ref="C666" si="883">AVERAGE(B663:B666)</f>
        <v>407.85416666666669</v>
      </c>
      <c r="D666" s="8">
        <f t="shared" ref="D666" si="884">(C510+C562+C614)/3</f>
        <v>383.3194444444444</v>
      </c>
      <c r="E666" s="8">
        <f t="shared" si="153"/>
        <v>31</v>
      </c>
      <c r="F666" s="8">
        <f t="shared" ref="F666" si="885">SUM(D666-B666)</f>
        <v>21.652777777777715</v>
      </c>
      <c r="G666" s="20">
        <f t="shared" ref="G666" si="886">(B666/B665-1)*100</f>
        <v>-7.2649572649572614</v>
      </c>
      <c r="H666" s="20">
        <f t="shared" ref="H666" si="887">(B666/B614-1)*100</f>
        <v>-2.5813692480359141</v>
      </c>
      <c r="I666" s="20">
        <f t="shared" ref="I666" si="888">(B666/D666-1)*100</f>
        <v>-5.64875538968802</v>
      </c>
    </row>
    <row r="667" spans="1:9" x14ac:dyDescent="0.3">
      <c r="A667" s="13">
        <f t="shared" si="205"/>
        <v>40764</v>
      </c>
      <c r="B667" s="8">
        <f>TWK!D400</f>
        <v>376.66666666666669</v>
      </c>
      <c r="C667" s="8">
        <f t="shared" ref="C667" si="889">AVERAGE(B664:B667)</f>
        <v>389.83333333333337</v>
      </c>
      <c r="D667" s="8">
        <f t="shared" ref="D667" si="890">(C511+C563+C615)/3</f>
        <v>387.4444444444444</v>
      </c>
      <c r="E667" s="8">
        <f t="shared" si="153"/>
        <v>32</v>
      </c>
      <c r="F667" s="8">
        <f t="shared" ref="F667" si="891">SUM(D667-B667)</f>
        <v>10.777777777777715</v>
      </c>
      <c r="G667" s="20">
        <f t="shared" ref="G667" si="892">(B667/B666-1)*100</f>
        <v>4.1474654377880116</v>
      </c>
      <c r="H667" s="20">
        <f t="shared" ref="H667" si="893">(B667/B615-1)*100</f>
        <v>-13.010007698229398</v>
      </c>
      <c r="I667" s="20">
        <f t="shared" ref="I667" si="894">(B667/D667-1)*100</f>
        <v>-2.7817608259248505</v>
      </c>
    </row>
    <row r="668" spans="1:9" x14ac:dyDescent="0.3">
      <c r="A668" s="13">
        <f t="shared" si="205"/>
        <v>40771</v>
      </c>
      <c r="B668" s="8">
        <f>TWK!D401</f>
        <v>422.5</v>
      </c>
      <c r="C668" s="8">
        <f t="shared" ref="C668" si="895">AVERAGE(B665:B668)</f>
        <v>387.70833333333337</v>
      </c>
      <c r="D668" s="8">
        <f t="shared" ref="D668" si="896">(C512+C564+C616)/3</f>
        <v>395.61111111111109</v>
      </c>
      <c r="E668" s="8">
        <f t="shared" si="153"/>
        <v>33</v>
      </c>
      <c r="F668" s="8">
        <f t="shared" ref="F668" si="897">SUM(D668-B668)</f>
        <v>-26.888888888888914</v>
      </c>
      <c r="G668" s="20">
        <f t="shared" ref="G668" si="898">(B668/B667-1)*100</f>
        <v>12.168141592920346</v>
      </c>
      <c r="H668" s="20">
        <f t="shared" ref="H668" si="899">(B668/B616-1)*100</f>
        <v>-3.3180778032036562</v>
      </c>
      <c r="I668" s="20">
        <f t="shared" ref="I668" si="900">(B668/D668-1)*100</f>
        <v>6.7967982024996543</v>
      </c>
    </row>
    <row r="669" spans="1:9" x14ac:dyDescent="0.3">
      <c r="A669" s="13">
        <f t="shared" si="205"/>
        <v>40778</v>
      </c>
      <c r="B669" s="8">
        <f>TWK!D402</f>
        <v>435</v>
      </c>
      <c r="C669" s="8">
        <f t="shared" ref="C669:C675" si="901">AVERAGE(B666:B669)</f>
        <v>398.95833333333337</v>
      </c>
      <c r="D669" s="8">
        <f t="shared" ref="D669:D675" si="902">(C513+C565+C617)/3</f>
        <v>411.8125</v>
      </c>
      <c r="E669" s="8">
        <f t="shared" ref="E669:E674" si="903">E668+1</f>
        <v>34</v>
      </c>
      <c r="F669" s="8">
        <f t="shared" ref="F669:F674" si="904">SUM(D669-B669)</f>
        <v>-23.1875</v>
      </c>
      <c r="G669" s="20">
        <f t="shared" ref="G669" si="905">(B669/B668-1)*100</f>
        <v>2.9585798816567976</v>
      </c>
      <c r="H669" s="20">
        <f t="shared" ref="H669" si="906">(B669/B617-1)*100</f>
        <v>-4.6575342465753451</v>
      </c>
      <c r="I669" s="20">
        <f t="shared" ref="I669" si="907">(B669/D669-1)*100</f>
        <v>5.6305964486264903</v>
      </c>
    </row>
    <row r="670" spans="1:9" x14ac:dyDescent="0.3">
      <c r="A670" s="13">
        <f t="shared" si="205"/>
        <v>40785</v>
      </c>
      <c r="B670" s="8">
        <f>TWK!D403</f>
        <v>458.33333333333331</v>
      </c>
      <c r="C670" s="8">
        <f t="shared" si="901"/>
        <v>423.125</v>
      </c>
      <c r="D670" s="8">
        <f t="shared" si="902"/>
        <v>438.79166666666669</v>
      </c>
      <c r="E670" s="8">
        <f t="shared" si="903"/>
        <v>35</v>
      </c>
      <c r="F670" s="8">
        <f t="shared" si="904"/>
        <v>-19.541666666666629</v>
      </c>
      <c r="G670" s="20">
        <f t="shared" ref="G670" si="908">(B670/B669-1)*100</f>
        <v>5.3639846743295028</v>
      </c>
      <c r="H670" s="20">
        <f t="shared" ref="H670" si="909">(B670/B618-1)*100</f>
        <v>-9.465020576131689</v>
      </c>
      <c r="I670" s="20">
        <f t="shared" ref="I670" si="910">(B670/D670-1)*100</f>
        <v>4.4535181844079341</v>
      </c>
    </row>
    <row r="671" spans="1:9" x14ac:dyDescent="0.3">
      <c r="A671" s="13">
        <f t="shared" si="205"/>
        <v>40792</v>
      </c>
      <c r="B671" s="8">
        <f>TWK!D404</f>
        <v>460</v>
      </c>
      <c r="C671" s="8">
        <f t="shared" si="901"/>
        <v>443.95833333333331</v>
      </c>
      <c r="D671" s="8">
        <f t="shared" si="902"/>
        <v>461.0625</v>
      </c>
      <c r="E671" s="8">
        <f t="shared" si="903"/>
        <v>36</v>
      </c>
      <c r="F671" s="8">
        <f t="shared" si="904"/>
        <v>1.0625</v>
      </c>
      <c r="G671" s="20">
        <f t="shared" ref="G671" si="911">(B671/B670-1)*100</f>
        <v>0.36363636363636598</v>
      </c>
      <c r="H671" s="20">
        <f t="shared" ref="H671" si="912">(B671/B619-1)*100</f>
        <v>-7.0707070707070718</v>
      </c>
      <c r="I671" s="20">
        <f t="shared" ref="I671" si="913">(B671/D671-1)*100</f>
        <v>-0.23044598075098177</v>
      </c>
    </row>
    <row r="672" spans="1:9" x14ac:dyDescent="0.3">
      <c r="A672" s="13">
        <f t="shared" si="205"/>
        <v>40799</v>
      </c>
      <c r="B672" s="8">
        <f>TWK!D405</f>
        <v>475</v>
      </c>
      <c r="C672" s="8">
        <f t="shared" si="901"/>
        <v>457.08333333333331</v>
      </c>
      <c r="D672" s="8">
        <f t="shared" si="902"/>
        <v>474.125</v>
      </c>
      <c r="E672" s="8">
        <f t="shared" si="903"/>
        <v>37</v>
      </c>
      <c r="F672" s="8">
        <f t="shared" si="904"/>
        <v>-0.875</v>
      </c>
      <c r="G672" s="20">
        <f t="shared" ref="G672" si="914">(B672/B671-1)*100</f>
        <v>3.2608695652173836</v>
      </c>
      <c r="H672" s="20">
        <f t="shared" ref="H672" si="915">(B672/B620-1)*100</f>
        <v>-1.8087855297157618</v>
      </c>
      <c r="I672" s="20">
        <f t="shared" ref="I672" si="916">(B672/D672-1)*100</f>
        <v>0.1845504877405757</v>
      </c>
    </row>
    <row r="673" spans="1:9" x14ac:dyDescent="0.3">
      <c r="A673" s="13">
        <f t="shared" si="205"/>
        <v>40806</v>
      </c>
      <c r="B673" s="8">
        <f>TWK!D406</f>
        <v>518.33333333333337</v>
      </c>
      <c r="C673" s="8">
        <f t="shared" si="901"/>
        <v>477.91666666666663</v>
      </c>
      <c r="D673" s="8">
        <f t="shared" si="902"/>
        <v>488.08333333333331</v>
      </c>
      <c r="E673" s="8">
        <f t="shared" si="903"/>
        <v>38</v>
      </c>
      <c r="F673" s="8">
        <f t="shared" si="904"/>
        <v>-30.250000000000057</v>
      </c>
      <c r="G673" s="20">
        <f t="shared" ref="G673:G678" si="917">(B673/B672-1)*100</f>
        <v>9.1228070175438667</v>
      </c>
      <c r="H673" s="20">
        <f t="shared" ref="H673:H678" si="918">(B673/B621-1)*100</f>
        <v>-4.8929663608562652</v>
      </c>
      <c r="I673" s="20">
        <f t="shared" ref="I673:I678" si="919">(B673/D673-1)*100</f>
        <v>6.197712139320477</v>
      </c>
    </row>
    <row r="674" spans="1:9" x14ac:dyDescent="0.3">
      <c r="A674" s="13">
        <f t="shared" si="205"/>
        <v>40813</v>
      </c>
      <c r="B674" s="8">
        <f>TWK!D407</f>
        <v>563.33333333333337</v>
      </c>
      <c r="C674" s="8">
        <f t="shared" si="901"/>
        <v>504.16666666666674</v>
      </c>
      <c r="D674" s="8">
        <f t="shared" si="902"/>
        <v>502.66666666666669</v>
      </c>
      <c r="E674" s="8">
        <f t="shared" si="903"/>
        <v>39</v>
      </c>
      <c r="F674" s="8">
        <f t="shared" si="904"/>
        <v>-60.666666666666686</v>
      </c>
      <c r="G674" s="20">
        <f t="shared" si="917"/>
        <v>8.6816720257234756</v>
      </c>
      <c r="H674" s="20">
        <f t="shared" si="918"/>
        <v>0.82028337061894607</v>
      </c>
      <c r="I674" s="20">
        <f t="shared" si="919"/>
        <v>12.068965517241391</v>
      </c>
    </row>
    <row r="675" spans="1:9" x14ac:dyDescent="0.3">
      <c r="A675" s="13">
        <f t="shared" si="205"/>
        <v>40820</v>
      </c>
      <c r="B675" s="8">
        <f>TWK!D408</f>
        <v>561.66666666666663</v>
      </c>
      <c r="C675" s="8">
        <f t="shared" si="901"/>
        <v>529.58333333333337</v>
      </c>
      <c r="D675" s="8">
        <f t="shared" si="902"/>
        <v>537.70833333333337</v>
      </c>
      <c r="E675" s="8">
        <f t="shared" ref="E675:E779" si="920">E674+1</f>
        <v>40</v>
      </c>
      <c r="F675" s="8">
        <f t="shared" ref="F675" si="921">SUM(D675-B675)</f>
        <v>-23.958333333333258</v>
      </c>
      <c r="G675" s="20">
        <f t="shared" si="917"/>
        <v>-0.29585798816569309</v>
      </c>
      <c r="H675" s="20">
        <f t="shared" si="918"/>
        <v>-12.750809061488678</v>
      </c>
      <c r="I675" s="20">
        <f t="shared" si="919"/>
        <v>4.4556373498643831</v>
      </c>
    </row>
    <row r="676" spans="1:9" x14ac:dyDescent="0.3">
      <c r="A676" s="13">
        <f t="shared" si="205"/>
        <v>40827</v>
      </c>
      <c r="B676" s="8">
        <f>TWK!D409</f>
        <v>525</v>
      </c>
      <c r="C676" s="8">
        <f t="shared" ref="C676" si="922">AVERAGE(B673:B676)</f>
        <v>542.08333333333337</v>
      </c>
      <c r="D676" s="8">
        <f t="shared" ref="D676" si="923">(C520+C572+C624)/3</f>
        <v>558.54166666666663</v>
      </c>
      <c r="E676" s="8">
        <f t="shared" si="920"/>
        <v>41</v>
      </c>
      <c r="F676" s="8">
        <f t="shared" ref="F676" si="924">SUM(D676-B676)</f>
        <v>33.541666666666629</v>
      </c>
      <c r="G676" s="20">
        <f t="shared" si="917"/>
        <v>-6.5281899109792203</v>
      </c>
      <c r="H676" s="20">
        <f t="shared" si="918"/>
        <v>-11.578947368421055</v>
      </c>
      <c r="I676" s="20">
        <f t="shared" si="919"/>
        <v>-6.0052219321148792</v>
      </c>
    </row>
    <row r="677" spans="1:9" x14ac:dyDescent="0.3">
      <c r="A677" s="13">
        <f t="shared" si="205"/>
        <v>40834</v>
      </c>
      <c r="B677" s="8">
        <f>TWK!D410</f>
        <v>496</v>
      </c>
      <c r="C677" s="8">
        <f t="shared" ref="C677" si="925">AVERAGE(B674:B677)</f>
        <v>536.5</v>
      </c>
      <c r="D677" s="8">
        <f t="shared" ref="D677" si="926">(C521+C573+C625)/3</f>
        <v>562.29166666666663</v>
      </c>
      <c r="E677" s="8">
        <f t="shared" si="920"/>
        <v>42</v>
      </c>
      <c r="F677" s="8">
        <f t="shared" ref="F677" si="927">SUM(D677-B677)</f>
        <v>66.291666666666629</v>
      </c>
      <c r="G677" s="20">
        <f t="shared" si="917"/>
        <v>-5.5238095238095202</v>
      </c>
      <c r="H677" s="20">
        <f t="shared" si="918"/>
        <v>-10.2262443438914</v>
      </c>
      <c r="I677" s="20">
        <f t="shared" si="919"/>
        <v>-11.789551685809553</v>
      </c>
    </row>
    <row r="678" spans="1:9" x14ac:dyDescent="0.3">
      <c r="A678" s="13">
        <f t="shared" si="205"/>
        <v>40841</v>
      </c>
      <c r="B678" s="8">
        <f>TWK!D411</f>
        <v>492.5</v>
      </c>
      <c r="C678" s="8">
        <f t="shared" ref="C678" si="928">AVERAGE(B675:B678)</f>
        <v>518.79166666666663</v>
      </c>
      <c r="D678" s="8">
        <f t="shared" ref="D678" si="929">(C522+C574+C626)/3</f>
        <v>562.9375</v>
      </c>
      <c r="E678" s="8">
        <f t="shared" si="920"/>
        <v>43</v>
      </c>
      <c r="F678" s="8">
        <f t="shared" ref="F678" si="930">SUM(D678-B678)</f>
        <v>70.4375</v>
      </c>
      <c r="G678" s="20">
        <f t="shared" si="917"/>
        <v>-0.70564516129032473</v>
      </c>
      <c r="H678" s="20">
        <f t="shared" si="918"/>
        <v>0.25445292620864812</v>
      </c>
      <c r="I678" s="20">
        <f t="shared" si="919"/>
        <v>-12.512490285333634</v>
      </c>
    </row>
    <row r="679" spans="1:9" x14ac:dyDescent="0.3">
      <c r="A679" s="13">
        <f t="shared" si="205"/>
        <v>40848</v>
      </c>
      <c r="B679" s="8">
        <f>TWK!D412</f>
        <v>485</v>
      </c>
      <c r="C679" s="8">
        <f t="shared" ref="C679" si="931">AVERAGE(B676:B679)</f>
        <v>499.625</v>
      </c>
      <c r="D679" s="8">
        <f t="shared" ref="D679" si="932">(C523+C575+C627)/3</f>
        <v>568.8125</v>
      </c>
      <c r="E679" s="8">
        <f t="shared" si="920"/>
        <v>44</v>
      </c>
      <c r="F679" s="8">
        <f t="shared" ref="F679" si="933">SUM(D679-B679)</f>
        <v>83.8125</v>
      </c>
      <c r="G679" s="20">
        <f t="shared" ref="G679" si="934">(B679/B678-1)*100</f>
        <v>-1.5228426395939132</v>
      </c>
      <c r="H679" s="20">
        <f t="shared" ref="H679" si="935">(B679/B627-1)*100</f>
        <v>9.2957746478873347</v>
      </c>
      <c r="I679" s="20">
        <f t="shared" ref="I679" si="936">(B679/D679-1)*100</f>
        <v>-14.734644544555541</v>
      </c>
    </row>
    <row r="680" spans="1:9" x14ac:dyDescent="0.3">
      <c r="A680" s="13">
        <f t="shared" si="205"/>
        <v>40855</v>
      </c>
      <c r="B680" s="8">
        <f>TWK!D413</f>
        <v>443.33333333333331</v>
      </c>
      <c r="C680" s="8">
        <f t="shared" ref="C680" si="937">AVERAGE(B677:B680)</f>
        <v>479.20833333333331</v>
      </c>
      <c r="D680" s="8">
        <f t="shared" ref="D680" si="938">(C524+C576+C628)/3</f>
        <v>566.94444444444446</v>
      </c>
      <c r="E680" s="8">
        <f t="shared" si="920"/>
        <v>45</v>
      </c>
      <c r="F680" s="8">
        <f t="shared" ref="F680" si="939">SUM(D680-B680)</f>
        <v>123.61111111111114</v>
      </c>
      <c r="G680" s="20">
        <f t="shared" ref="G680" si="940">(B680/B679-1)*100</f>
        <v>-8.5910652920962232</v>
      </c>
      <c r="H680" s="20">
        <f t="shared" ref="H680" si="941">(B680/B628-1)*100</f>
        <v>-3.2727272727272716</v>
      </c>
      <c r="I680" s="20">
        <f t="shared" ref="I680" si="942">(B680/D680-1)*100</f>
        <v>-21.803037726604614</v>
      </c>
    </row>
    <row r="681" spans="1:9" x14ac:dyDescent="0.3">
      <c r="A681" s="13">
        <f t="shared" si="205"/>
        <v>40862</v>
      </c>
      <c r="B681" s="8">
        <f>TWK!D414</f>
        <v>443.33333333333331</v>
      </c>
      <c r="C681" s="8">
        <f t="shared" ref="C681" si="943">AVERAGE(B678:B681)</f>
        <v>466.04166666666663</v>
      </c>
      <c r="D681" s="8">
        <f t="shared" ref="D681" si="944">(C525+C577+C629)/3</f>
        <v>545.31944444444446</v>
      </c>
      <c r="E681" s="8">
        <f t="shared" si="920"/>
        <v>46</v>
      </c>
      <c r="F681" s="8">
        <f t="shared" ref="F681" si="945">SUM(D681-B681)</f>
        <v>101.98611111111114</v>
      </c>
      <c r="G681" s="20">
        <f t="shared" ref="G681" si="946">(B681/B680-1)*100</f>
        <v>0</v>
      </c>
      <c r="H681" s="20">
        <f t="shared" ref="H681" si="947">(B681/B629-1)*100</f>
        <v>8.1300813008130071</v>
      </c>
      <c r="I681" s="20">
        <f t="shared" ref="I681" si="948">(B681/D681-1)*100</f>
        <v>-18.702085933321456</v>
      </c>
    </row>
    <row r="682" spans="1:9" x14ac:dyDescent="0.3">
      <c r="A682" s="13">
        <f t="shared" si="205"/>
        <v>40869</v>
      </c>
      <c r="B682" s="8">
        <f>TWK!D415</f>
        <v>423</v>
      </c>
      <c r="C682" s="8">
        <f t="shared" ref="C682" si="949">AVERAGE(B679:B682)</f>
        <v>448.66666666666663</v>
      </c>
      <c r="D682" s="8">
        <f t="shared" ref="D682" si="950">(C526+C578+C630)/3</f>
        <v>513.63194444444446</v>
      </c>
      <c r="E682" s="8">
        <f t="shared" si="920"/>
        <v>47</v>
      </c>
      <c r="F682" s="8">
        <f t="shared" ref="F682" si="951">SUM(D682-B682)</f>
        <v>90.631944444444457</v>
      </c>
      <c r="G682" s="20">
        <f t="shared" ref="G682" si="952">(B682/B681-1)*100</f>
        <v>-4.5864661654135279</v>
      </c>
      <c r="H682" s="20">
        <f t="shared" ref="H682" si="953">(B682/B630-1)*100</f>
        <v>-8.0434782608695627</v>
      </c>
      <c r="I682" s="20">
        <f t="shared" ref="I682" si="954">(B682/D682-1)*100</f>
        <v>-17.64530914105702</v>
      </c>
    </row>
    <row r="683" spans="1:9" x14ac:dyDescent="0.3">
      <c r="A683" s="13">
        <f t="shared" si="205"/>
        <v>40876</v>
      </c>
      <c r="B683" s="8">
        <f>TWK!D416</f>
        <v>405</v>
      </c>
      <c r="C683" s="8">
        <f t="shared" ref="C683" si="955">AVERAGE(B680:B683)</f>
        <v>428.66666666666663</v>
      </c>
      <c r="D683" s="8">
        <f t="shared" ref="D683" si="956">(C527+C579+C631)/3</f>
        <v>458.21527777777777</v>
      </c>
      <c r="E683" s="8">
        <f t="shared" si="920"/>
        <v>48</v>
      </c>
      <c r="F683" s="8">
        <f t="shared" ref="F683" si="957">SUM(D683-B683)</f>
        <v>53.215277777777771</v>
      </c>
      <c r="G683" s="20">
        <f t="shared" ref="G683" si="958">(B683/B682-1)*100</f>
        <v>-4.2553191489361648</v>
      </c>
      <c r="H683" s="20">
        <f t="shared" ref="H683" si="959">(B683/B631-1)*100</f>
        <v>-13.136729222520104</v>
      </c>
      <c r="I683" s="20">
        <f t="shared" ref="I683" si="960">(B683/D683-1)*100</f>
        <v>-11.6135974417653</v>
      </c>
    </row>
    <row r="684" spans="1:9" x14ac:dyDescent="0.3">
      <c r="A684" s="13">
        <f t="shared" si="205"/>
        <v>40883</v>
      </c>
      <c r="B684" s="8">
        <f>TWK!D417</f>
        <v>420</v>
      </c>
      <c r="C684" s="8">
        <f t="shared" ref="C684" si="961">AVERAGE(B681:B684)</f>
        <v>422.83333333333331</v>
      </c>
      <c r="D684" s="8">
        <f t="shared" ref="D684" si="962">(C528+C580+C632)/3</f>
        <v>440.77083333333331</v>
      </c>
      <c r="E684" s="8">
        <f t="shared" si="920"/>
        <v>49</v>
      </c>
      <c r="F684" s="8">
        <f t="shared" ref="F684" si="963">SUM(D684-B684)</f>
        <v>20.770833333333314</v>
      </c>
      <c r="G684" s="20">
        <f t="shared" ref="G684" si="964">(B684/B683-1)*100</f>
        <v>3.7037037037036979</v>
      </c>
      <c r="H684" s="20">
        <f t="shared" ref="H684" si="965">(B684/B632-1)*100</f>
        <v>-24.865831842576025</v>
      </c>
      <c r="I684" s="20">
        <f t="shared" ref="I684" si="966">(B684/D684-1)*100</f>
        <v>-4.7123883348300755</v>
      </c>
    </row>
    <row r="685" spans="1:9" x14ac:dyDescent="0.3">
      <c r="A685" s="13">
        <f t="shared" si="205"/>
        <v>40890</v>
      </c>
      <c r="B685" s="8">
        <f>TWK!D418</f>
        <v>380</v>
      </c>
      <c r="C685" s="8">
        <f t="shared" ref="C685" si="967">AVERAGE(B682:B685)</f>
        <v>407</v>
      </c>
      <c r="D685" s="8">
        <f t="shared" ref="D685" si="968">(C529+C581+C633)/3</f>
        <v>448.90972222222223</v>
      </c>
      <c r="E685" s="8">
        <f t="shared" si="920"/>
        <v>50</v>
      </c>
      <c r="F685" s="8">
        <f t="shared" ref="F685" si="969">SUM(D685-B685)</f>
        <v>68.909722222222229</v>
      </c>
      <c r="G685" s="20">
        <f t="shared" ref="G685" si="970">(B685/B684-1)*100</f>
        <v>-9.5238095238095237</v>
      </c>
      <c r="H685" s="20">
        <f t="shared" ref="H685" si="971">(B685/B633-1)*100</f>
        <v>-34.623655913978489</v>
      </c>
      <c r="I685" s="20">
        <f t="shared" ref="I685" si="972">(B685/D685-1)*100</f>
        <v>-15.350463313893226</v>
      </c>
    </row>
    <row r="686" spans="1:9" x14ac:dyDescent="0.3">
      <c r="A686" s="13">
        <f t="shared" si="205"/>
        <v>40897</v>
      </c>
      <c r="B686" s="8">
        <f>TWK!D419</f>
        <v>353</v>
      </c>
      <c r="C686" s="8">
        <f t="shared" ref="C686" si="973">AVERAGE(B683:B686)</f>
        <v>389.5</v>
      </c>
      <c r="D686" s="8">
        <f t="shared" ref="D686" si="974">(C530+C582+C634)/3</f>
        <v>460.3680555555556</v>
      </c>
      <c r="E686" s="8">
        <f t="shared" si="920"/>
        <v>51</v>
      </c>
      <c r="F686" s="8">
        <f t="shared" ref="F686" si="975">SUM(D686-B686)</f>
        <v>107.3680555555556</v>
      </c>
      <c r="G686" s="20">
        <f t="shared" ref="G686" si="976">(B686/B685-1)*100</f>
        <v>-7.1052631578947363</v>
      </c>
      <c r="H686" s="20">
        <f t="shared" ref="H686" si="977">(B686/B634-1)*100</f>
        <v>-31.787439613526569</v>
      </c>
      <c r="I686" s="20">
        <f t="shared" ref="I686" si="978">(B686/D686-1)*100</f>
        <v>-23.322221048979543</v>
      </c>
    </row>
    <row r="687" spans="1:9" x14ac:dyDescent="0.3">
      <c r="A687" s="13">
        <f t="shared" si="205"/>
        <v>40904</v>
      </c>
      <c r="B687" s="8">
        <f>TWK!D420</f>
        <v>341.66666666666669</v>
      </c>
      <c r="C687" s="8">
        <f t="shared" ref="C687" si="979">AVERAGE(B684:B687)</f>
        <v>373.66666666666669</v>
      </c>
      <c r="D687" s="8">
        <f t="shared" ref="D687" si="980">(C531+C583+C635)/3</f>
        <v>461.875</v>
      </c>
      <c r="E687" s="8">
        <f t="shared" si="920"/>
        <v>52</v>
      </c>
      <c r="F687" s="8">
        <f t="shared" ref="F687" si="981">SUM(D687-B687)</f>
        <v>120.20833333333331</v>
      </c>
      <c r="G687" s="20">
        <f t="shared" ref="G687" si="982">(B687/B686-1)*100</f>
        <v>-3.2105760151085905</v>
      </c>
      <c r="H687" s="20">
        <f t="shared" ref="H687" si="983">(B687/B635-1)*100</f>
        <v>-29.310344827586199</v>
      </c>
      <c r="I687" s="20">
        <f t="shared" ref="I687" si="984">(B687/D687-1)*100</f>
        <v>-26.026161479476762</v>
      </c>
    </row>
    <row r="688" spans="1:9" x14ac:dyDescent="0.3">
      <c r="A688" s="13">
        <f t="shared" si="205"/>
        <v>40911</v>
      </c>
      <c r="B688" s="8">
        <f>TWK!D421</f>
        <v>343.33333333333331</v>
      </c>
      <c r="C688" s="8">
        <f t="shared" ref="C688" si="985">AVERAGE(B685:B688)</f>
        <v>354.5</v>
      </c>
      <c r="D688" s="8">
        <f t="shared" ref="D688" si="986">(C532+C584+C636)/3</f>
        <v>438.08333333333331</v>
      </c>
      <c r="E688" s="8">
        <v>1</v>
      </c>
      <c r="F688" s="8">
        <f t="shared" ref="F688" si="987">SUM(D688-B688)</f>
        <v>94.75</v>
      </c>
      <c r="G688" s="20">
        <f t="shared" ref="G688" si="988">(B688/B687-1)*100</f>
        <v>0.48780487804875872</v>
      </c>
      <c r="H688" s="20">
        <f t="shared" ref="H688" si="989">(B688/B636-1)*100</f>
        <v>-16.767676767676775</v>
      </c>
      <c r="I688" s="20">
        <f t="shared" ref="I688" si="990">(B688/D688-1)*100</f>
        <v>-21.62830511698688</v>
      </c>
    </row>
    <row r="689" spans="1:9" x14ac:dyDescent="0.3">
      <c r="A689" s="13">
        <f t="shared" si="205"/>
        <v>40918</v>
      </c>
      <c r="B689" s="8">
        <f>TWK!D422</f>
        <v>363.33333333333331</v>
      </c>
      <c r="C689" s="8">
        <f t="shared" ref="C689" si="991">AVERAGE(B686:B689)</f>
        <v>350.33333333333331</v>
      </c>
      <c r="D689" s="8">
        <f t="shared" ref="D689" si="992">(C533+C585+C637)/3</f>
        <v>435.86111111111109</v>
      </c>
      <c r="E689" s="8">
        <f t="shared" si="920"/>
        <v>2</v>
      </c>
      <c r="F689" s="8">
        <f t="shared" ref="F689" si="993">SUM(D689-B689)</f>
        <v>72.527777777777771</v>
      </c>
      <c r="G689" s="20">
        <f t="shared" ref="G689" si="994">(B689/B688-1)*100</f>
        <v>5.8252427184465994</v>
      </c>
      <c r="H689" s="20">
        <f t="shared" ref="H689" si="995">(B689/B637-1)*100</f>
        <v>-19.259259259259267</v>
      </c>
      <c r="I689" s="20">
        <f t="shared" ref="I689" si="996">(B689/D689-1)*100</f>
        <v>-16.640112166209931</v>
      </c>
    </row>
    <row r="690" spans="1:9" x14ac:dyDescent="0.3">
      <c r="A690" s="13">
        <f t="shared" si="205"/>
        <v>40925</v>
      </c>
      <c r="B690" s="8">
        <f>TWK!D423</f>
        <v>361.66666666666669</v>
      </c>
      <c r="C690" s="8">
        <f t="shared" ref="C690" si="997">AVERAGE(B687:B690)</f>
        <v>352.5</v>
      </c>
      <c r="D690" s="8">
        <f t="shared" ref="D690" si="998">(C534+C586+C638)/3</f>
        <v>437.15277777777777</v>
      </c>
      <c r="E690" s="8">
        <f t="shared" si="920"/>
        <v>3</v>
      </c>
      <c r="F690" s="8">
        <f t="shared" ref="F690" si="999">SUM(D690-B690)</f>
        <v>75.486111111111086</v>
      </c>
      <c r="G690" s="20">
        <f t="shared" ref="G690" si="1000">(B690/B689-1)*100</f>
        <v>-0.45871559633026138</v>
      </c>
      <c r="H690" s="20">
        <f t="shared" ref="H690" si="1001">(B690/B638-1)*100</f>
        <v>-20.947176684881597</v>
      </c>
      <c r="I690" s="20">
        <f t="shared" ref="I690" si="1002">(B690/D690-1)*100</f>
        <v>-17.267672756155672</v>
      </c>
    </row>
    <row r="691" spans="1:9" x14ac:dyDescent="0.3">
      <c r="A691" s="13">
        <f t="shared" si="205"/>
        <v>40932</v>
      </c>
      <c r="B691" s="8">
        <f>TWK!D424</f>
        <v>385</v>
      </c>
      <c r="C691" s="8">
        <f t="shared" ref="C691" si="1003">AVERAGE(B688:B691)</f>
        <v>363.33333333333331</v>
      </c>
      <c r="D691" s="8">
        <f t="shared" ref="D691" si="1004">(C535+C587+C639)/3</f>
        <v>448.97916666666669</v>
      </c>
      <c r="E691" s="8">
        <f t="shared" si="920"/>
        <v>4</v>
      </c>
      <c r="F691" s="8">
        <f t="shared" ref="F691" si="1005">SUM(D691-B691)</f>
        <v>63.979166666666686</v>
      </c>
      <c r="G691" s="20">
        <f t="shared" ref="G691" si="1006">(B691/B690-1)*100</f>
        <v>6.4516129032258007</v>
      </c>
      <c r="H691" s="20">
        <f t="shared" ref="H691" si="1007">(B691/B639-1)*100</f>
        <v>-15.616438356164386</v>
      </c>
      <c r="I691" s="20">
        <f t="shared" ref="I691" si="1008">(B691/D691-1)*100</f>
        <v>-14.249918797271588</v>
      </c>
    </row>
    <row r="692" spans="1:9" x14ac:dyDescent="0.3">
      <c r="A692" s="13">
        <f t="shared" si="205"/>
        <v>40939</v>
      </c>
      <c r="B692" s="8">
        <f>TWK!D425</f>
        <v>462</v>
      </c>
      <c r="C692" s="8">
        <f t="shared" ref="C692" si="1009">AVERAGE(B689:B692)</f>
        <v>393</v>
      </c>
      <c r="D692" s="8">
        <f t="shared" ref="D692" si="1010">(C536+C588+C640)/3</f>
        <v>469.1875</v>
      </c>
      <c r="E692" s="8">
        <f t="shared" si="920"/>
        <v>5</v>
      </c>
      <c r="F692" s="8">
        <f t="shared" ref="F692" si="1011">SUM(D692-B692)</f>
        <v>7.1875</v>
      </c>
      <c r="G692" s="20">
        <f t="shared" ref="G692" si="1012">(B692/B691-1)*100</f>
        <v>19.999999999999996</v>
      </c>
      <c r="H692" s="20">
        <f t="shared" ref="H692" si="1013">(B692/B640-1)*100</f>
        <v>-16.000000000000004</v>
      </c>
      <c r="I692" s="20">
        <f t="shared" ref="I692" si="1014">(B692/D692-1)*100</f>
        <v>-1.5319035566804362</v>
      </c>
    </row>
    <row r="693" spans="1:9" x14ac:dyDescent="0.3">
      <c r="A693" s="13">
        <f t="shared" si="205"/>
        <v>40946</v>
      </c>
      <c r="B693" s="8">
        <f>TWK!D426</f>
        <v>395</v>
      </c>
      <c r="C693" s="8">
        <f t="shared" ref="C693" si="1015">AVERAGE(B690:B693)</f>
        <v>400.91666666666669</v>
      </c>
      <c r="D693" s="8">
        <f t="shared" ref="D693" si="1016">(C537+C589+C641)/3</f>
        <v>457.95833333333331</v>
      </c>
      <c r="E693" s="8">
        <f t="shared" si="920"/>
        <v>6</v>
      </c>
      <c r="F693" s="8">
        <f t="shared" ref="F693" si="1017">SUM(D693-B693)</f>
        <v>62.958333333333314</v>
      </c>
      <c r="G693" s="20">
        <f t="shared" ref="G693" si="1018">(B693/B692-1)*100</f>
        <v>-14.502164502164504</v>
      </c>
      <c r="H693" s="20">
        <f t="shared" ref="H693" si="1019">(B693/B641-1)*100</f>
        <v>-26.511627906976742</v>
      </c>
      <c r="I693" s="20">
        <f t="shared" ref="I693" si="1020">(B693/D693-1)*100</f>
        <v>-13.747611682285498</v>
      </c>
    </row>
    <row r="694" spans="1:9" x14ac:dyDescent="0.3">
      <c r="A694" s="13">
        <f t="shared" si="205"/>
        <v>40953</v>
      </c>
      <c r="B694" s="8">
        <f>TWK!D427</f>
        <v>423.33333333333331</v>
      </c>
      <c r="C694" s="8">
        <f t="shared" ref="C694" si="1021">AVERAGE(B691:B694)</f>
        <v>416.33333333333331</v>
      </c>
      <c r="D694" s="8">
        <f t="shared" ref="D694" si="1022">(C538+C590+C642)/3</f>
        <v>440.20833333333331</v>
      </c>
      <c r="E694" s="8">
        <f t="shared" si="920"/>
        <v>7</v>
      </c>
      <c r="F694" s="8">
        <f t="shared" ref="F694" si="1023">SUM(D694-B694)</f>
        <v>16.875</v>
      </c>
      <c r="G694" s="20">
        <f t="shared" ref="G694" si="1024">(B694/B693-1)*100</f>
        <v>7.1729957805907185</v>
      </c>
      <c r="H694" s="20">
        <f t="shared" ref="H694" si="1025">(B694/B642-1)*100</f>
        <v>-27.480371163454677</v>
      </c>
      <c r="I694" s="20">
        <f t="shared" ref="I694" si="1026">(B694/D694-1)*100</f>
        <v>-3.8334122101277845</v>
      </c>
    </row>
    <row r="695" spans="1:9" x14ac:dyDescent="0.3">
      <c r="A695" s="13">
        <f t="shared" si="205"/>
        <v>40960</v>
      </c>
      <c r="B695" s="8">
        <f>TWK!D428</f>
        <v>405</v>
      </c>
      <c r="C695" s="8">
        <f t="shared" ref="C695" si="1027">AVERAGE(B692:B695)</f>
        <v>421.33333333333331</v>
      </c>
      <c r="D695" s="8">
        <f t="shared" ref="D695" si="1028">(C539+C591+C643)/3</f>
        <v>417.97916666666669</v>
      </c>
      <c r="E695" s="8">
        <f t="shared" si="920"/>
        <v>8</v>
      </c>
      <c r="F695" s="8">
        <f t="shared" ref="F695" si="1029">SUM(D695-B695)</f>
        <v>12.979166666666686</v>
      </c>
      <c r="G695" s="20">
        <f t="shared" ref="G695" si="1030">(B695/B694-1)*100</f>
        <v>-4.3307086614173151</v>
      </c>
      <c r="H695" s="20">
        <f t="shared" ref="H695" si="1031">(B695/B643-1)*100</f>
        <v>-24.651162790697679</v>
      </c>
      <c r="I695" s="20">
        <f t="shared" ref="I695" si="1032">(B695/D695-1)*100</f>
        <v>-3.1052185615311867</v>
      </c>
    </row>
    <row r="696" spans="1:9" x14ac:dyDescent="0.3">
      <c r="A696" s="13">
        <f t="shared" si="205"/>
        <v>40967</v>
      </c>
      <c r="B696" s="8">
        <f>TWK!D429</f>
        <v>383</v>
      </c>
      <c r="C696" s="8">
        <f t="shared" ref="C696" si="1033">AVERAGE(B693:B696)</f>
        <v>401.58333333333331</v>
      </c>
      <c r="D696" s="8">
        <f t="shared" ref="D696" si="1034">(C540+C592+C644)/3</f>
        <v>394.52083333333331</v>
      </c>
      <c r="E696" s="8">
        <f t="shared" si="920"/>
        <v>9</v>
      </c>
      <c r="F696" s="8">
        <f t="shared" ref="F696" si="1035">SUM(D696-B696)</f>
        <v>11.520833333333314</v>
      </c>
      <c r="G696" s="20">
        <f t="shared" ref="G696" si="1036">(B696/B695-1)*100</f>
        <v>-5.4320987654321033</v>
      </c>
      <c r="H696" s="20">
        <f t="shared" ref="H696" si="1037">(B696/B644-1)*100</f>
        <v>-23.015075376884418</v>
      </c>
      <c r="I696" s="20">
        <f t="shared" ref="I696" si="1038">(B696/D696-1)*100</f>
        <v>-2.9202091144320597</v>
      </c>
    </row>
    <row r="697" spans="1:9" x14ac:dyDescent="0.3">
      <c r="A697" s="13">
        <f t="shared" si="205"/>
        <v>40974</v>
      </c>
      <c r="B697" s="8">
        <f>TWK!D430</f>
        <v>347</v>
      </c>
      <c r="C697" s="8">
        <f t="shared" ref="C697" si="1039">AVERAGE(B694:B697)</f>
        <v>389.58333333333331</v>
      </c>
      <c r="D697" s="8">
        <f t="shared" ref="D697" si="1040">(C541+C593+C645)/3</f>
        <v>391.29861111111114</v>
      </c>
      <c r="E697" s="8">
        <f t="shared" si="920"/>
        <v>10</v>
      </c>
      <c r="F697" s="8">
        <f t="shared" ref="F697" si="1041">SUM(D697-B697)</f>
        <v>44.298611111111143</v>
      </c>
      <c r="G697" s="20">
        <f t="shared" ref="G697" si="1042">(B697/B696-1)*100</f>
        <v>-9.3994778067885143</v>
      </c>
      <c r="H697" s="20">
        <f t="shared" ref="H697" si="1043">(B697/B645-1)*100</f>
        <v>-45.21052631578948</v>
      </c>
      <c r="I697" s="20">
        <f t="shared" ref="I697" si="1044">(B697/D697-1)*100</f>
        <v>-11.320922143148715</v>
      </c>
    </row>
    <row r="698" spans="1:9" x14ac:dyDescent="0.3">
      <c r="A698" s="13">
        <f t="shared" si="205"/>
        <v>40981</v>
      </c>
      <c r="B698" s="8">
        <f>TWK!D431</f>
        <v>345</v>
      </c>
      <c r="C698" s="8">
        <f t="shared" ref="C698" si="1045">AVERAGE(B695:B698)</f>
        <v>370</v>
      </c>
      <c r="D698" s="8">
        <f t="shared" ref="D698" si="1046">(C542+C594+C646)/3</f>
        <v>383.38194444444451</v>
      </c>
      <c r="E698" s="8">
        <f t="shared" si="920"/>
        <v>11</v>
      </c>
      <c r="F698" s="8">
        <f t="shared" ref="F698" si="1047">SUM(D698-B698)</f>
        <v>38.381944444444514</v>
      </c>
      <c r="G698" s="20">
        <f t="shared" ref="G698" si="1048">(B698/B697-1)*100</f>
        <v>-0.57636887608069065</v>
      </c>
      <c r="H698" s="20">
        <f t="shared" ref="H698" si="1049">(B698/B646-1)*100</f>
        <v>-37.977528089887635</v>
      </c>
      <c r="I698" s="20">
        <f t="shared" ref="I698" si="1050">(B698/D698-1)*100</f>
        <v>-10.011411596355547</v>
      </c>
    </row>
    <row r="699" spans="1:9" x14ac:dyDescent="0.3">
      <c r="A699" s="13">
        <f t="shared" si="205"/>
        <v>40988</v>
      </c>
      <c r="B699" s="8">
        <f>TWK!D432</f>
        <v>362</v>
      </c>
      <c r="C699" s="8">
        <f t="shared" ref="C699" si="1051">AVERAGE(B696:B699)</f>
        <v>359.25</v>
      </c>
      <c r="D699" s="8">
        <f t="shared" ref="D699" si="1052">(C543+C595+C647)/3</f>
        <v>373.33333333333331</v>
      </c>
      <c r="E699" s="8">
        <f t="shared" si="920"/>
        <v>12</v>
      </c>
      <c r="F699" s="8">
        <f t="shared" ref="F699" si="1053">SUM(D699-B699)</f>
        <v>11.333333333333314</v>
      </c>
      <c r="G699" s="20">
        <f t="shared" ref="G699" si="1054">(B699/B698-1)*100</f>
        <v>4.9275362318840665</v>
      </c>
      <c r="H699" s="20">
        <f t="shared" ref="H699" si="1055">(B699/B647-1)*100</f>
        <v>-26.310432569974552</v>
      </c>
      <c r="I699" s="20">
        <f t="shared" ref="I699" si="1056">(B699/D699-1)*100</f>
        <v>-3.035714285714286</v>
      </c>
    </row>
    <row r="700" spans="1:9" x14ac:dyDescent="0.3">
      <c r="A700" s="13">
        <f t="shared" si="205"/>
        <v>40995</v>
      </c>
      <c r="B700" s="8">
        <f>TWK!D433</f>
        <v>353</v>
      </c>
      <c r="C700" s="8">
        <f t="shared" ref="C700" si="1057">AVERAGE(B697:B700)</f>
        <v>351.75</v>
      </c>
      <c r="D700" s="8">
        <f t="shared" ref="D700" si="1058">(C544+C596+C648)/3</f>
        <v>365.59722222222223</v>
      </c>
      <c r="E700" s="8">
        <f t="shared" si="920"/>
        <v>13</v>
      </c>
      <c r="F700" s="8">
        <f t="shared" ref="F700" si="1059">SUM(D700-B700)</f>
        <v>12.597222222222229</v>
      </c>
      <c r="G700" s="20">
        <f t="shared" ref="G700" si="1060">(B700/B699-1)*100</f>
        <v>-2.4861878453038666</v>
      </c>
      <c r="H700" s="20">
        <f t="shared" ref="H700" si="1061">(B700/B648-1)*100</f>
        <v>-30.328947368421055</v>
      </c>
      <c r="I700" s="20">
        <f t="shared" ref="I700" si="1062">(B700/D700-1)*100</f>
        <v>-3.445655890286059</v>
      </c>
    </row>
    <row r="701" spans="1:9" x14ac:dyDescent="0.3">
      <c r="A701" s="13">
        <f t="shared" si="205"/>
        <v>41002</v>
      </c>
      <c r="B701" s="8">
        <f>TWK!D434</f>
        <v>325</v>
      </c>
      <c r="C701" s="8">
        <f t="shared" ref="C701" si="1063">AVERAGE(B698:B701)</f>
        <v>346.25</v>
      </c>
      <c r="D701" s="8">
        <f t="shared" ref="D701" si="1064">(C545+C597+C649)/3</f>
        <v>347.83333333333331</v>
      </c>
      <c r="E701" s="8">
        <f t="shared" si="920"/>
        <v>14</v>
      </c>
      <c r="F701" s="8">
        <f t="shared" ref="F701" si="1065">SUM(D701-B701)</f>
        <v>22.833333333333314</v>
      </c>
      <c r="G701" s="20">
        <f t="shared" ref="G701" si="1066">(B701/B700-1)*100</f>
        <v>-7.9320113314447553</v>
      </c>
      <c r="H701" s="20">
        <f t="shared" ref="H701" si="1067">(B701/B649-1)*100</f>
        <v>-31.095406360424029</v>
      </c>
      <c r="I701" s="20">
        <f t="shared" ref="I701" si="1068">(B701/D701-1)*100</f>
        <v>-6.5644465740297031</v>
      </c>
    </row>
    <row r="702" spans="1:9" x14ac:dyDescent="0.3">
      <c r="A702" s="13">
        <f t="shared" si="205"/>
        <v>41009</v>
      </c>
      <c r="B702" s="8">
        <f>TWK!D435</f>
        <v>320</v>
      </c>
      <c r="C702" s="8">
        <f t="shared" ref="C702" si="1069">AVERAGE(B699:B702)</f>
        <v>340</v>
      </c>
      <c r="D702" s="8">
        <f t="shared" ref="D702" si="1070">(C546+C598+C650)/3</f>
        <v>336.37500000000006</v>
      </c>
      <c r="E702" s="8">
        <f t="shared" si="920"/>
        <v>15</v>
      </c>
      <c r="F702" s="8">
        <f t="shared" ref="F702" si="1071">SUM(D702-B702)</f>
        <v>16.375000000000057</v>
      </c>
      <c r="G702" s="20">
        <f t="shared" ref="G702" si="1072">(B702/B701-1)*100</f>
        <v>-1.538461538461533</v>
      </c>
      <c r="H702" s="20">
        <f t="shared" ref="H702" si="1073">(B702/B650-1)*100</f>
        <v>-25.364431486880466</v>
      </c>
      <c r="I702" s="20">
        <f t="shared" ref="I702" si="1074">(B702/D702-1)*100</f>
        <v>-4.8680787811222759</v>
      </c>
    </row>
    <row r="703" spans="1:9" x14ac:dyDescent="0.3">
      <c r="A703" s="13">
        <f t="shared" si="205"/>
        <v>41016</v>
      </c>
      <c r="B703" s="8">
        <f>TWK!D436</f>
        <v>328</v>
      </c>
      <c r="C703" s="8">
        <f t="shared" ref="C703" si="1075">AVERAGE(B700:B703)</f>
        <v>331.5</v>
      </c>
      <c r="D703" s="8">
        <f t="shared" ref="D703" si="1076">(C547+C599+C651)/3</f>
        <v>328.72222222222223</v>
      </c>
      <c r="E703" s="8">
        <f t="shared" si="920"/>
        <v>16</v>
      </c>
      <c r="F703" s="8">
        <f t="shared" ref="F703" si="1077">SUM(D703-B703)</f>
        <v>0.72222222222222854</v>
      </c>
      <c r="G703" s="20">
        <f t="shared" ref="G703" si="1078">(B703/B702-1)*100</f>
        <v>2.4999999999999911</v>
      </c>
      <c r="H703" s="20">
        <f t="shared" ref="H703" si="1079">(B703/B651-1)*100</f>
        <v>-20.645161290322577</v>
      </c>
      <c r="I703" s="20">
        <f t="shared" ref="I703" si="1080">(B703/D703-1)*100</f>
        <v>-0.21970593206016575</v>
      </c>
    </row>
    <row r="704" spans="1:9" x14ac:dyDescent="0.3">
      <c r="A704" s="13">
        <f t="shared" si="205"/>
        <v>41023</v>
      </c>
      <c r="B704" s="8">
        <f>TWK!D437</f>
        <v>323.33333333333331</v>
      </c>
      <c r="C704" s="8">
        <f t="shared" ref="C704" si="1081">AVERAGE(B701:B704)</f>
        <v>324.08333333333331</v>
      </c>
      <c r="D704" s="8">
        <f t="shared" ref="D704" si="1082">(C548+C600+C652)/3</f>
        <v>322.6944444444444</v>
      </c>
      <c r="E704" s="8">
        <f t="shared" si="920"/>
        <v>17</v>
      </c>
      <c r="F704" s="8">
        <f t="shared" ref="F704" si="1083">SUM(D704-B704)</f>
        <v>-0.63888888888891415</v>
      </c>
      <c r="G704" s="20">
        <f t="shared" ref="G704" si="1084">(B704/B703-1)*100</f>
        <v>-1.4227642276422814</v>
      </c>
      <c r="H704" s="20">
        <f t="shared" ref="H704" si="1085">(B704/B652-1)*100</f>
        <v>-19.568822553897181</v>
      </c>
      <c r="I704" s="20">
        <f t="shared" ref="I704" si="1086">(B704/D704-1)*100</f>
        <v>0.19798571059654879</v>
      </c>
    </row>
    <row r="705" spans="1:9" x14ac:dyDescent="0.3">
      <c r="A705" s="13">
        <f t="shared" si="205"/>
        <v>41030</v>
      </c>
      <c r="B705" s="8">
        <f>TWK!D438</f>
        <v>337</v>
      </c>
      <c r="C705" s="8">
        <f t="shared" ref="C705" si="1087">AVERAGE(B702:B705)</f>
        <v>327.08333333333331</v>
      </c>
      <c r="D705" s="8">
        <f t="shared" ref="D705" si="1088">(C549+C601+C653)/3</f>
        <v>326.80555555555549</v>
      </c>
      <c r="E705" s="8">
        <f t="shared" si="920"/>
        <v>18</v>
      </c>
      <c r="F705" s="8">
        <f t="shared" ref="F705" si="1089">SUM(D705-B705)</f>
        <v>-10.194444444444514</v>
      </c>
      <c r="G705" s="20">
        <f t="shared" ref="G705" si="1090">(B705/B704-1)*100</f>
        <v>4.2268041237113474</v>
      </c>
      <c r="H705" s="20">
        <f t="shared" ref="H705" si="1091">(B705/B653-1)*100</f>
        <v>-26.739130434782609</v>
      </c>
      <c r="I705" s="20">
        <f t="shared" ref="I705" si="1092">(B705/D705-1)*100</f>
        <v>3.1194220144496576</v>
      </c>
    </row>
    <row r="706" spans="1:9" x14ac:dyDescent="0.3">
      <c r="A706" s="13">
        <f t="shared" si="205"/>
        <v>41037</v>
      </c>
      <c r="B706" s="8">
        <f>TWK!D439</f>
        <v>350</v>
      </c>
      <c r="C706" s="8">
        <f t="shared" ref="C706" si="1093">AVERAGE(B703:B706)</f>
        <v>334.58333333333331</v>
      </c>
      <c r="D706" s="8">
        <f t="shared" ref="D706" si="1094">(C550+C602+C654)/3</f>
        <v>336.32638888888886</v>
      </c>
      <c r="E706" s="8">
        <f t="shared" si="920"/>
        <v>19</v>
      </c>
      <c r="F706" s="8">
        <f t="shared" ref="F706" si="1095">SUM(D706-B706)</f>
        <v>-13.673611111111143</v>
      </c>
      <c r="G706" s="20">
        <f t="shared" ref="G706" si="1096">(B706/B705-1)*100</f>
        <v>3.8575667655786461</v>
      </c>
      <c r="H706" s="20">
        <f t="shared" ref="H706" si="1097">(B706/B654-1)*100</f>
        <v>-17.647058823529417</v>
      </c>
      <c r="I706" s="20">
        <f t="shared" ref="I706" si="1098">(B706/D706-1)*100</f>
        <v>4.0655778323801073</v>
      </c>
    </row>
    <row r="707" spans="1:9" x14ac:dyDescent="0.3">
      <c r="A707" s="13">
        <f t="shared" si="205"/>
        <v>41044</v>
      </c>
      <c r="B707" s="8">
        <f>TWK!D440</f>
        <v>343.33333333333331</v>
      </c>
      <c r="C707" s="8">
        <f t="shared" ref="C707" si="1099">AVERAGE(B704:B707)</f>
        <v>338.41666666666663</v>
      </c>
      <c r="D707" s="8">
        <f t="shared" ref="D707" si="1100">(C551+C603+C655)/3</f>
        <v>349.90277777777783</v>
      </c>
      <c r="E707" s="8">
        <f t="shared" si="920"/>
        <v>20</v>
      </c>
      <c r="F707" s="8">
        <f t="shared" ref="F707" si="1101">SUM(D707-B707)</f>
        <v>6.5694444444445139</v>
      </c>
      <c r="G707" s="20">
        <f t="shared" ref="G707" si="1102">(B707/B706-1)*100</f>
        <v>-1.9047619047619091</v>
      </c>
      <c r="H707" s="20">
        <f t="shared" ref="H707" si="1103">(B707/B655-1)*100</f>
        <v>-18.577075098814234</v>
      </c>
      <c r="I707" s="20">
        <f t="shared" ref="I707" si="1104">(B707/D707-1)*100</f>
        <v>-1.8775056563331227</v>
      </c>
    </row>
    <row r="708" spans="1:9" x14ac:dyDescent="0.3">
      <c r="A708" s="13">
        <f t="shared" si="205"/>
        <v>41051</v>
      </c>
      <c r="B708" s="8">
        <f>TWK!D441</f>
        <v>323</v>
      </c>
      <c r="C708" s="8">
        <f t="shared" ref="C708" si="1105">AVERAGE(B705:B708)</f>
        <v>338.33333333333331</v>
      </c>
      <c r="D708" s="8">
        <f t="shared" ref="D708" si="1106">(C552+C604+C656)/3</f>
        <v>358.08333333333331</v>
      </c>
      <c r="E708" s="8">
        <f t="shared" si="920"/>
        <v>21</v>
      </c>
      <c r="F708" s="8">
        <f t="shared" ref="F708" si="1107">SUM(D708-B708)</f>
        <v>35.083333333333314</v>
      </c>
      <c r="G708" s="20">
        <f t="shared" ref="G708" si="1108">(B708/B707-1)*100</f>
        <v>-5.9223300970873698</v>
      </c>
      <c r="H708" s="20">
        <f t="shared" ref="H708" si="1109">(B708/B656-1)*100</f>
        <v>-28.022284122562681</v>
      </c>
      <c r="I708" s="20">
        <f t="shared" ref="I708" si="1110">(B708/D708-1)*100</f>
        <v>-9.7975331626716233</v>
      </c>
    </row>
    <row r="709" spans="1:9" x14ac:dyDescent="0.3">
      <c r="A709" s="13">
        <f t="shared" si="205"/>
        <v>41058</v>
      </c>
      <c r="B709" s="8">
        <f>TWK!D442</f>
        <v>330</v>
      </c>
      <c r="C709" s="8">
        <f t="shared" ref="C709" si="1111">AVERAGE(B706:B709)</f>
        <v>336.58333333333331</v>
      </c>
      <c r="D709" s="8">
        <f t="shared" ref="D709" si="1112">(C553+C605+C657)/3</f>
        <v>357.39583333333331</v>
      </c>
      <c r="E709" s="8">
        <f t="shared" si="920"/>
        <v>22</v>
      </c>
      <c r="F709" s="8">
        <f t="shared" ref="F709" si="1113">SUM(D709-B709)</f>
        <v>27.395833333333314</v>
      </c>
      <c r="G709" s="20">
        <f t="shared" ref="G709" si="1114">(B709/B708-1)*100</f>
        <v>2.1671826625387025</v>
      </c>
      <c r="H709" s="20">
        <f t="shared" ref="H709" si="1115">(B709/B657-1)*100</f>
        <v>-28.725701943844495</v>
      </c>
      <c r="I709" s="20">
        <f t="shared" ref="I709" si="1116">(B709/D709-1)*100</f>
        <v>-7.6654036723987069</v>
      </c>
    </row>
    <row r="710" spans="1:9" x14ac:dyDescent="0.3">
      <c r="A710" s="13">
        <f t="shared" si="205"/>
        <v>41065</v>
      </c>
      <c r="B710" s="8">
        <f>TWK!D443</f>
        <v>285</v>
      </c>
      <c r="C710" s="8">
        <f t="shared" ref="C710" si="1117">AVERAGE(B707:B710)</f>
        <v>320.33333333333331</v>
      </c>
      <c r="D710" s="8">
        <f t="shared" ref="D710" si="1118">(C554+C606+C658)/3</f>
        <v>351.41666666666669</v>
      </c>
      <c r="E710" s="8">
        <f t="shared" si="920"/>
        <v>23</v>
      </c>
      <c r="F710" s="8">
        <f t="shared" ref="F710" si="1119">SUM(D710-B710)</f>
        <v>66.416666666666686</v>
      </c>
      <c r="G710" s="20">
        <f t="shared" ref="G710" si="1120">(B710/B709-1)*100</f>
        <v>-13.636363636363635</v>
      </c>
      <c r="H710" s="20">
        <f t="shared" ref="H710" si="1121">(B710/B658-1)*100</f>
        <v>-36.194029850746269</v>
      </c>
      <c r="I710" s="20">
        <f t="shared" ref="I710" si="1122">(B710/D710-1)*100</f>
        <v>-18.899691723974399</v>
      </c>
    </row>
    <row r="711" spans="1:9" x14ac:dyDescent="0.3">
      <c r="A711" s="13">
        <f t="shared" si="205"/>
        <v>41072</v>
      </c>
      <c r="B711" s="8">
        <f>TWK!D444</f>
        <v>283.75</v>
      </c>
      <c r="C711" s="8">
        <f t="shared" ref="C711" si="1123">AVERAGE(B708:B711)</f>
        <v>305.4375</v>
      </c>
      <c r="D711" s="8">
        <f t="shared" ref="D711" si="1124">(C555+C607+C659)/3</f>
        <v>345.16666666666669</v>
      </c>
      <c r="E711" s="8">
        <f t="shared" si="920"/>
        <v>24</v>
      </c>
      <c r="F711" s="8">
        <f t="shared" ref="F711" si="1125">SUM(D711-B711)</f>
        <v>61.416666666666686</v>
      </c>
      <c r="G711" s="20">
        <f t="shared" ref="G711" si="1126">(B711/B710-1)*100</f>
        <v>-0.43859649122807154</v>
      </c>
      <c r="H711" s="20">
        <f t="shared" ref="H711" si="1127">(B711/B659-1)*100</f>
        <v>-36.414565826330538</v>
      </c>
      <c r="I711" s="20">
        <f t="shared" ref="I711" si="1128">(B711/D711-1)*100</f>
        <v>-17.793336552390148</v>
      </c>
    </row>
    <row r="712" spans="1:9" x14ac:dyDescent="0.3">
      <c r="A712" s="13">
        <f t="shared" si="205"/>
        <v>41079</v>
      </c>
      <c r="B712" s="8">
        <f>TWK!D445</f>
        <v>276.66666666666669</v>
      </c>
      <c r="C712" s="8">
        <f t="shared" ref="C712" si="1129">AVERAGE(B709:B712)</f>
        <v>293.85416666666669</v>
      </c>
      <c r="D712" s="8">
        <f t="shared" ref="D712" si="1130">(C556+C608+C660)/3</f>
        <v>342.42361111111109</v>
      </c>
      <c r="E712" s="8">
        <f t="shared" si="920"/>
        <v>25</v>
      </c>
      <c r="F712" s="8">
        <f t="shared" ref="F712" si="1131">SUM(D712-B712)</f>
        <v>65.7569444444444</v>
      </c>
      <c r="G712" s="20">
        <f t="shared" ref="G712" si="1132">(B712/B711-1)*100</f>
        <v>-2.4963289280469869</v>
      </c>
      <c r="H712" s="20">
        <f t="shared" ref="H712" si="1133">(B712/B660-1)*100</f>
        <v>-38.518518518518519</v>
      </c>
      <c r="I712" s="20">
        <f t="shared" ref="I712" si="1134">(B712/D712-1)*100</f>
        <v>-19.203390861708801</v>
      </c>
    </row>
    <row r="713" spans="1:9" x14ac:dyDescent="0.3">
      <c r="A713" s="13">
        <f t="shared" si="205"/>
        <v>41086</v>
      </c>
      <c r="B713" s="8">
        <f>TWK!D446</f>
        <v>270</v>
      </c>
      <c r="C713" s="8">
        <f t="shared" ref="C713" si="1135">AVERAGE(B710:B713)</f>
        <v>278.85416666666669</v>
      </c>
      <c r="D713" s="8">
        <f t="shared" ref="D713" si="1136">(C557+C609+C661)/3</f>
        <v>339.36111111111109</v>
      </c>
      <c r="E713" s="8">
        <f t="shared" si="920"/>
        <v>26</v>
      </c>
      <c r="F713" s="8">
        <f t="shared" ref="F713" si="1137">SUM(D713-B713)</f>
        <v>69.361111111111086</v>
      </c>
      <c r="G713" s="20">
        <f t="shared" ref="G713" si="1138">(B713/B712-1)*100</f>
        <v>-2.4096385542168752</v>
      </c>
      <c r="H713" s="20">
        <f t="shared" ref="H713" si="1139">(B713/B661-1)*100</f>
        <v>-39.325842696629209</v>
      </c>
      <c r="I713" s="20">
        <f t="shared" ref="I713" si="1140">(B713/D713-1)*100</f>
        <v>-20.4387329131538</v>
      </c>
    </row>
    <row r="714" spans="1:9" x14ac:dyDescent="0.3">
      <c r="A714" s="13">
        <f t="shared" si="205"/>
        <v>41093</v>
      </c>
      <c r="B714" s="8">
        <f>TWK!D447</f>
        <v>320</v>
      </c>
      <c r="C714" s="8">
        <f t="shared" ref="C714" si="1141">AVERAGE(B711:B714)</f>
        <v>287.60416666666669</v>
      </c>
      <c r="D714" s="8">
        <f t="shared" ref="D714" si="1142">(C558+C610+C662)/3</f>
        <v>341.46527777777777</v>
      </c>
      <c r="E714" s="8">
        <f t="shared" si="920"/>
        <v>27</v>
      </c>
      <c r="F714" s="8">
        <f t="shared" ref="F714" si="1143">SUM(D714-B714)</f>
        <v>21.465277777777771</v>
      </c>
      <c r="G714" s="20">
        <f t="shared" ref="G714" si="1144">(B714/B713-1)*100</f>
        <v>18.518518518518512</v>
      </c>
      <c r="H714" s="20">
        <f t="shared" ref="H714" si="1145">(B714/B662-1)*100</f>
        <v>-30.434782608695656</v>
      </c>
      <c r="I714" s="20">
        <f t="shared" ref="I714" si="1146">(B714/D714-1)*100</f>
        <v>-6.2862256207927398</v>
      </c>
    </row>
    <row r="715" spans="1:9" x14ac:dyDescent="0.3">
      <c r="A715" s="13">
        <f t="shared" si="205"/>
        <v>41100</v>
      </c>
      <c r="B715" s="8">
        <f>TWK!D448</f>
        <v>353.33333333333331</v>
      </c>
      <c r="C715" s="8">
        <f t="shared" ref="C715" si="1147">AVERAGE(B712:B715)</f>
        <v>305</v>
      </c>
      <c r="D715" s="8">
        <f t="shared" ref="D715" si="1148">(C559+C611+C663)/3</f>
        <v>347.40277777777777</v>
      </c>
      <c r="E715" s="8">
        <f t="shared" si="920"/>
        <v>28</v>
      </c>
      <c r="F715" s="8">
        <f t="shared" ref="F715" si="1149">SUM(D715-B715)</f>
        <v>-5.9305555555555429</v>
      </c>
      <c r="G715" s="20">
        <f t="shared" ref="G715" si="1150">(B715/B714-1)*100</f>
        <v>10.416666666666652</v>
      </c>
      <c r="H715" s="20">
        <f t="shared" ref="H715" si="1151">(B715/B663-1)*100</f>
        <v>-21.262766945218203</v>
      </c>
      <c r="I715" s="20">
        <f t="shared" ref="I715" si="1152">(B715/D715-1)*100</f>
        <v>1.7071123016031642</v>
      </c>
    </row>
    <row r="716" spans="1:9" x14ac:dyDescent="0.3">
      <c r="A716" s="13">
        <f t="shared" si="205"/>
        <v>41107</v>
      </c>
      <c r="B716" s="8">
        <f>TWK!D449</f>
        <v>408.75</v>
      </c>
      <c r="C716" s="8">
        <f t="shared" ref="C716" si="1153">AVERAGE(B713:B716)</f>
        <v>338.02083333333331</v>
      </c>
      <c r="D716" s="8">
        <f t="shared" ref="D716" si="1154">(C560+C612+C664)/3</f>
        <v>358.1875</v>
      </c>
      <c r="E716" s="8">
        <f t="shared" si="920"/>
        <v>29</v>
      </c>
      <c r="F716" s="8">
        <f t="shared" ref="F716" si="1155">SUM(D716-B716)</f>
        <v>-50.5625</v>
      </c>
      <c r="G716" s="20">
        <f t="shared" ref="G716" si="1156">(B716/B715-1)*100</f>
        <v>15.683962264150942</v>
      </c>
      <c r="H716" s="20">
        <f t="shared" ref="H716" si="1157">(B716/B664-1)*100</f>
        <v>-5.1624129930394442</v>
      </c>
      <c r="I716" s="20">
        <f t="shared" ref="I716" si="1158">(B716/D716-1)*100</f>
        <v>14.116210085499903</v>
      </c>
    </row>
    <row r="717" spans="1:9" x14ac:dyDescent="0.3">
      <c r="A717" s="13">
        <f t="shared" si="205"/>
        <v>41114</v>
      </c>
      <c r="B717" s="8">
        <f>TWK!D450</f>
        <v>356.66666666666669</v>
      </c>
      <c r="C717" s="8">
        <f t="shared" ref="C717" si="1159">AVERAGE(B714:B717)</f>
        <v>359.6875</v>
      </c>
      <c r="D717" s="8">
        <f t="shared" ref="D717" si="1160">(C561+C613+C665)/3</f>
        <v>363.34027777777777</v>
      </c>
      <c r="E717" s="8">
        <f t="shared" si="920"/>
        <v>30</v>
      </c>
      <c r="F717" s="8">
        <f t="shared" ref="F717" si="1161">SUM(D717-B717)</f>
        <v>6.6736111111110858</v>
      </c>
      <c r="G717" s="20">
        <f t="shared" ref="G717" si="1162">(B717/B716-1)*100</f>
        <v>-12.742099898063197</v>
      </c>
      <c r="H717" s="20">
        <f t="shared" ref="H717" si="1163">(B717/B665-1)*100</f>
        <v>-8.547008547008538</v>
      </c>
      <c r="I717" s="20">
        <f t="shared" ref="I717" si="1164">(B717/D717-1)*100</f>
        <v>-1.8367385944458192</v>
      </c>
    </row>
    <row r="718" spans="1:9" x14ac:dyDescent="0.3">
      <c r="A718" s="13">
        <f t="shared" si="205"/>
        <v>41121</v>
      </c>
      <c r="B718" s="8">
        <f>TWK!D451</f>
        <v>355</v>
      </c>
      <c r="C718" s="8">
        <f t="shared" ref="C718" si="1165">AVERAGE(B715:B718)</f>
        <v>368.4375</v>
      </c>
      <c r="D718" s="8">
        <f t="shared" ref="D718" si="1166">(C562+C614+C666)/3</f>
        <v>361.27083333333331</v>
      </c>
      <c r="E718" s="8">
        <f t="shared" si="920"/>
        <v>31</v>
      </c>
      <c r="F718" s="8">
        <f t="shared" ref="F718" si="1167">SUM(D718-B718)</f>
        <v>6.2708333333333144</v>
      </c>
      <c r="G718" s="20">
        <f t="shared" ref="G718" si="1168">(B718/B717-1)*100</f>
        <v>-0.46728971962617383</v>
      </c>
      <c r="H718" s="20">
        <f t="shared" ref="H718" si="1169">(B718/B666-1)*100</f>
        <v>-1.8433179723502335</v>
      </c>
      <c r="I718" s="20">
        <f t="shared" ref="I718" si="1170">(B718/D718-1)*100</f>
        <v>-1.7357707167983349</v>
      </c>
    </row>
    <row r="719" spans="1:9" x14ac:dyDescent="0.3">
      <c r="A719" s="13">
        <f t="shared" si="205"/>
        <v>41128</v>
      </c>
      <c r="B719" s="8">
        <f>TWK!D452</f>
        <v>305</v>
      </c>
      <c r="C719" s="8">
        <f t="shared" ref="C719" si="1171">AVERAGE(B716:B719)</f>
        <v>356.35416666666669</v>
      </c>
      <c r="D719" s="8">
        <f t="shared" ref="D719" si="1172">(C563+C615+C667)/3</f>
        <v>359.88888888888886</v>
      </c>
      <c r="E719" s="8">
        <f t="shared" si="920"/>
        <v>32</v>
      </c>
      <c r="F719" s="8">
        <f t="shared" ref="F719" si="1173">SUM(D719-B719)</f>
        <v>54.888888888888857</v>
      </c>
      <c r="G719" s="20">
        <f t="shared" ref="G719" si="1174">(B719/B718-1)*100</f>
        <v>-14.084507042253524</v>
      </c>
      <c r="H719" s="20">
        <f t="shared" ref="H719" si="1175">(B719/B667-1)*100</f>
        <v>-19.026548672566378</v>
      </c>
      <c r="I719" s="20">
        <f t="shared" ref="I719" si="1176">(B719/D719-1)*100</f>
        <v>-15.251620870639082</v>
      </c>
    </row>
    <row r="720" spans="1:9" x14ac:dyDescent="0.3">
      <c r="A720" s="13">
        <f t="shared" si="205"/>
        <v>41135</v>
      </c>
      <c r="B720" s="8">
        <f>TWK!D453</f>
        <v>365</v>
      </c>
      <c r="C720" s="8">
        <f t="shared" ref="C720" si="1177">AVERAGE(B717:B720)</f>
        <v>345.41666666666669</v>
      </c>
      <c r="D720" s="8">
        <f t="shared" ref="D720" si="1178">(C564+C616+C668)/3</f>
        <v>362.18055555555549</v>
      </c>
      <c r="E720" s="8">
        <f t="shared" si="920"/>
        <v>33</v>
      </c>
      <c r="F720" s="8">
        <f t="shared" ref="F720" si="1179">SUM(D720-B720)</f>
        <v>-2.8194444444445139</v>
      </c>
      <c r="G720" s="20">
        <f t="shared" ref="G720" si="1180">(B720/B719-1)*100</f>
        <v>19.672131147540984</v>
      </c>
      <c r="H720" s="20">
        <f t="shared" ref="H720" si="1181">(B720/B668-1)*100</f>
        <v>-13.609467455621305</v>
      </c>
      <c r="I720" s="20">
        <f t="shared" ref="I720" si="1182">(B720/D720-1)*100</f>
        <v>0.77846378034285291</v>
      </c>
    </row>
    <row r="721" spans="1:9" x14ac:dyDescent="0.3">
      <c r="A721" s="13">
        <f t="shared" si="205"/>
        <v>41142</v>
      </c>
      <c r="B721" s="8">
        <f>TWK!D454</f>
        <v>330</v>
      </c>
      <c r="C721" s="8">
        <f t="shared" ref="C721" si="1183">AVERAGE(B718:B721)</f>
        <v>338.75</v>
      </c>
      <c r="D721" s="8">
        <f t="shared" ref="D721" si="1184">(C565+C617+C669)/3</f>
        <v>375.96527777777783</v>
      </c>
      <c r="E721" s="8">
        <f t="shared" si="920"/>
        <v>34</v>
      </c>
      <c r="F721" s="8">
        <f t="shared" ref="F721" si="1185">SUM(D721-B721)</f>
        <v>45.965277777777828</v>
      </c>
      <c r="G721" s="20">
        <f t="shared" ref="G721" si="1186">(B721/B720-1)*100</f>
        <v>-9.5890410958904155</v>
      </c>
      <c r="H721" s="20">
        <f t="shared" ref="H721" si="1187">(B721/B669-1)*100</f>
        <v>-24.137931034482762</v>
      </c>
      <c r="I721" s="20">
        <f t="shared" ref="I721" si="1188">(B721/D721-1)*100</f>
        <v>-12.225936940098647</v>
      </c>
    </row>
    <row r="722" spans="1:9" x14ac:dyDescent="0.3">
      <c r="A722" s="13">
        <f t="shared" si="205"/>
        <v>41149</v>
      </c>
      <c r="B722" s="8">
        <f>TWK!D455</f>
        <v>437.5</v>
      </c>
      <c r="C722" s="8">
        <f t="shared" ref="C722" si="1189">AVERAGE(B719:B722)</f>
        <v>359.375</v>
      </c>
      <c r="D722" s="8">
        <f t="shared" ref="D722" si="1190">(C566+C618+C670)/3</f>
        <v>401.83333333333331</v>
      </c>
      <c r="E722" s="8">
        <f t="shared" si="920"/>
        <v>35</v>
      </c>
      <c r="F722" s="8">
        <f t="shared" ref="F722" si="1191">SUM(D722-B722)</f>
        <v>-35.666666666666686</v>
      </c>
      <c r="G722" s="20">
        <f t="shared" ref="G722" si="1192">(B722/B721-1)*100</f>
        <v>32.575757575757571</v>
      </c>
      <c r="H722" s="20">
        <f t="shared" ref="H722" si="1193">(B722/B670-1)*100</f>
        <v>-4.5454545454545414</v>
      </c>
      <c r="I722" s="20">
        <f t="shared" ref="I722" si="1194">(B722/D722-1)*100</f>
        <v>8.8759850684363428</v>
      </c>
    </row>
    <row r="723" spans="1:9" x14ac:dyDescent="0.3">
      <c r="A723" s="13">
        <f t="shared" si="205"/>
        <v>41156</v>
      </c>
      <c r="B723" s="8">
        <f>TWK!D456</f>
        <v>500</v>
      </c>
      <c r="C723" s="8">
        <f t="shared" ref="C723" si="1195">AVERAGE(B720:B723)</f>
        <v>408.125</v>
      </c>
      <c r="D723" s="8">
        <f t="shared" ref="D723" si="1196">(C567+C619+C671)/3</f>
        <v>418.6319444444444</v>
      </c>
      <c r="E723" s="8">
        <f t="shared" si="920"/>
        <v>36</v>
      </c>
      <c r="F723" s="8">
        <f t="shared" ref="F723" si="1197">SUM(D723-B723)</f>
        <v>-81.3680555555556</v>
      </c>
      <c r="G723" s="20">
        <f t="shared" ref="G723" si="1198">(B723/B722-1)*100</f>
        <v>14.285714285714279</v>
      </c>
      <c r="H723" s="20">
        <f t="shared" ref="H723" si="1199">(B723/B671-1)*100</f>
        <v>8.6956521739130377</v>
      </c>
      <c r="I723" s="20">
        <f t="shared" ref="I723" si="1200">(B723/D723-1)*100</f>
        <v>19.43665710067517</v>
      </c>
    </row>
    <row r="724" spans="1:9" x14ac:dyDescent="0.3">
      <c r="A724" s="13">
        <f t="shared" si="205"/>
        <v>41163</v>
      </c>
      <c r="B724" s="8">
        <f>TWK!D457</f>
        <v>550</v>
      </c>
      <c r="C724" s="8">
        <f t="shared" ref="C724" si="1201">AVERAGE(B721:B724)</f>
        <v>454.375</v>
      </c>
      <c r="D724" s="8">
        <f t="shared" ref="D724" si="1202">(C568+C620+C672)/3</f>
        <v>427.98611111111109</v>
      </c>
      <c r="E724" s="8">
        <f t="shared" si="920"/>
        <v>37</v>
      </c>
      <c r="F724" s="8">
        <f t="shared" ref="F724" si="1203">SUM(D724-B724)</f>
        <v>-122.01388888888891</v>
      </c>
      <c r="G724" s="20">
        <f t="shared" ref="G724" si="1204">(B724/B723-1)*100</f>
        <v>10.000000000000009</v>
      </c>
      <c r="H724" s="20">
        <f t="shared" ref="H724" si="1205">(B724/B672-1)*100</f>
        <v>15.789473684210531</v>
      </c>
      <c r="I724" s="20">
        <f t="shared" ref="I724" si="1206">(B724/D724-1)*100</f>
        <v>28.508843095894854</v>
      </c>
    </row>
    <row r="725" spans="1:9" x14ac:dyDescent="0.3">
      <c r="A725" s="13">
        <f t="shared" si="205"/>
        <v>41170</v>
      </c>
      <c r="B725" s="8">
        <f>TWK!D458</f>
        <v>625</v>
      </c>
      <c r="C725" s="8">
        <f t="shared" ref="C725" si="1207">AVERAGE(B722:B725)</f>
        <v>528.125</v>
      </c>
      <c r="D725" s="8">
        <f t="shared" ref="D725" si="1208">(C569+C621+C673)/3</f>
        <v>446.38888888888886</v>
      </c>
      <c r="E725" s="8">
        <f t="shared" si="920"/>
        <v>38</v>
      </c>
      <c r="F725" s="8">
        <f t="shared" ref="F725" si="1209">SUM(D725-B725)</f>
        <v>-178.61111111111114</v>
      </c>
      <c r="G725" s="20">
        <f t="shared" ref="G725" si="1210">(B725/B724-1)*100</f>
        <v>13.636363636363647</v>
      </c>
      <c r="H725" s="20">
        <f t="shared" ref="H725" si="1211">(B725/B673-1)*100</f>
        <v>20.578778135048225</v>
      </c>
      <c r="I725" s="20">
        <f t="shared" ref="I725" si="1212">(B725/D725-1)*100</f>
        <v>40.01244555071564</v>
      </c>
    </row>
    <row r="726" spans="1:9" x14ac:dyDescent="0.3">
      <c r="A726" s="13">
        <f t="shared" si="205"/>
        <v>41177</v>
      </c>
      <c r="B726" s="8">
        <f>TWK!D459</f>
        <v>608.33333333333337</v>
      </c>
      <c r="C726" s="8">
        <f t="shared" ref="C726" si="1213">AVERAGE(B723:B726)</f>
        <v>570.83333333333337</v>
      </c>
      <c r="D726" s="8">
        <f t="shared" ref="D726" si="1214">(C570+C622+C674)/3</f>
        <v>467.22222222222223</v>
      </c>
      <c r="E726" s="8">
        <f t="shared" si="920"/>
        <v>39</v>
      </c>
      <c r="F726" s="8">
        <f t="shared" ref="F726" si="1215">SUM(D726-B726)</f>
        <v>-141.11111111111114</v>
      </c>
      <c r="G726" s="20">
        <f t="shared" ref="G726" si="1216">(B726/B725-1)*100</f>
        <v>-2.6666666666666616</v>
      </c>
      <c r="H726" s="20">
        <f t="shared" ref="H726" si="1217">(B726/B674-1)*100</f>
        <v>7.9881656804733803</v>
      </c>
      <c r="I726" s="20">
        <f t="shared" ref="I726" si="1218">(B726/D726-1)*100</f>
        <v>30.20214030915578</v>
      </c>
    </row>
    <row r="727" spans="1:9" x14ac:dyDescent="0.3">
      <c r="A727" s="13">
        <f t="shared" si="205"/>
        <v>41184</v>
      </c>
      <c r="B727" s="8">
        <f>TWK!D460</f>
        <v>633.33333333333337</v>
      </c>
      <c r="C727" s="8">
        <f t="shared" ref="C727" si="1219">AVERAGE(B724:B727)</f>
        <v>604.16666666666674</v>
      </c>
      <c r="D727" s="8">
        <f t="shared" ref="D727" si="1220">(C571+C623+C675)/3</f>
        <v>498.98611111111114</v>
      </c>
      <c r="E727" s="8">
        <f t="shared" si="920"/>
        <v>40</v>
      </c>
      <c r="F727" s="8">
        <f t="shared" ref="F727" si="1221">SUM(D727-B727)</f>
        <v>-134.34722222222223</v>
      </c>
      <c r="G727" s="20">
        <f t="shared" ref="G727" si="1222">(B727/B726-1)*100</f>
        <v>4.1095890410958846</v>
      </c>
      <c r="H727" s="20">
        <f t="shared" ref="H727" si="1223">(B727/B675-1)*100</f>
        <v>12.759643916913955</v>
      </c>
      <c r="I727" s="20">
        <f t="shared" ref="I727" si="1224">(B727/D727-1)*100</f>
        <v>26.924040415286555</v>
      </c>
    </row>
    <row r="728" spans="1:9" x14ac:dyDescent="0.3">
      <c r="A728" s="13">
        <f t="shared" si="205"/>
        <v>41191</v>
      </c>
      <c r="B728" s="8">
        <f>TWK!D461</f>
        <v>512.5</v>
      </c>
      <c r="C728" s="8">
        <f t="shared" ref="C728" si="1225">AVERAGE(B725:B728)</f>
        <v>594.79166666666674</v>
      </c>
      <c r="D728" s="8">
        <f t="shared" ref="D728" si="1226">(C572+C624+C676)/3</f>
        <v>519.9861111111112</v>
      </c>
      <c r="E728" s="8">
        <f t="shared" si="920"/>
        <v>41</v>
      </c>
      <c r="F728" s="8">
        <f t="shared" ref="F728" si="1227">SUM(D728-B728)</f>
        <v>7.4861111111111995</v>
      </c>
      <c r="G728" s="20">
        <f t="shared" ref="G728" si="1228">(B728/B727-1)*100</f>
        <v>-19.078947368421062</v>
      </c>
      <c r="H728" s="20">
        <f t="shared" ref="H728" si="1229">(B728/B676-1)*100</f>
        <v>-2.3809523809523836</v>
      </c>
      <c r="I728" s="20">
        <f t="shared" ref="I728" si="1230">(B728/D728-1)*100</f>
        <v>-1.439675205000146</v>
      </c>
    </row>
    <row r="729" spans="1:9" x14ac:dyDescent="0.3">
      <c r="A729" s="13">
        <f t="shared" si="205"/>
        <v>41198</v>
      </c>
      <c r="B729" s="8">
        <f>TWK!D462</f>
        <v>500</v>
      </c>
      <c r="C729" s="8">
        <f t="shared" ref="C729" si="1231">AVERAGE(B726:B729)</f>
        <v>563.54166666666674</v>
      </c>
      <c r="D729" s="8">
        <f t="shared" ref="D729" si="1232">(C573+C625+C677)/3</f>
        <v>523.95833333333337</v>
      </c>
      <c r="E729" s="8">
        <f t="shared" si="920"/>
        <v>42</v>
      </c>
      <c r="F729" s="8">
        <f t="shared" ref="F729" si="1233">SUM(D729-B729)</f>
        <v>23.958333333333371</v>
      </c>
      <c r="G729" s="20">
        <f t="shared" ref="G729" si="1234">(B729/B728-1)*100</f>
        <v>-2.4390243902439046</v>
      </c>
      <c r="H729" s="20">
        <f t="shared" ref="H729" si="1235">(B729/B677-1)*100</f>
        <v>0.80645161290322509</v>
      </c>
      <c r="I729" s="20">
        <f t="shared" ref="I729" si="1236">(B729/D729-1)*100</f>
        <v>-4.5725646123260466</v>
      </c>
    </row>
    <row r="730" spans="1:9" x14ac:dyDescent="0.3">
      <c r="A730" s="13">
        <f t="shared" si="205"/>
        <v>41205</v>
      </c>
      <c r="B730" s="8">
        <f>TWK!D463</f>
        <v>587.5</v>
      </c>
      <c r="C730" s="8">
        <f t="shared" ref="C730" si="1237">AVERAGE(B727:B730)</f>
        <v>558.33333333333337</v>
      </c>
      <c r="D730" s="8">
        <f t="shared" ref="D730" si="1238">(C574+C626+C678)/3</f>
        <v>512.9513888888888</v>
      </c>
      <c r="E730" s="8">
        <f t="shared" si="920"/>
        <v>43</v>
      </c>
      <c r="F730" s="8">
        <f t="shared" ref="F730" si="1239">SUM(D730-B730)</f>
        <v>-74.5486111111112</v>
      </c>
      <c r="G730" s="20">
        <f t="shared" ref="G730" si="1240">(B730/B729-1)*100</f>
        <v>17.500000000000004</v>
      </c>
      <c r="H730" s="20">
        <f t="shared" ref="H730" si="1241">(B730/B678-1)*100</f>
        <v>19.289340101522832</v>
      </c>
      <c r="I730" s="20">
        <f t="shared" ref="I730" si="1242">(B730/D730-1)*100</f>
        <v>14.533270155012534</v>
      </c>
    </row>
    <row r="731" spans="1:9" x14ac:dyDescent="0.3">
      <c r="A731" s="13">
        <f t="shared" si="205"/>
        <v>41212</v>
      </c>
      <c r="B731" s="8">
        <f>TWK!D464</f>
        <v>546.66666666666663</v>
      </c>
      <c r="C731" s="8">
        <f t="shared" ref="C731" si="1243">AVERAGE(B728:B731)</f>
        <v>536.66666666666663</v>
      </c>
      <c r="D731" s="8">
        <f t="shared" ref="D731" si="1244">(C575+C627+C679)/3</f>
        <v>487.4375</v>
      </c>
      <c r="E731" s="8">
        <f t="shared" si="920"/>
        <v>44</v>
      </c>
      <c r="F731" s="8">
        <f t="shared" ref="F731" si="1245">SUM(D731-B731)</f>
        <v>-59.229166666666629</v>
      </c>
      <c r="G731" s="20">
        <f t="shared" ref="G731" si="1246">(B731/B730-1)*100</f>
        <v>-6.9503546099290876</v>
      </c>
      <c r="H731" s="20">
        <f t="shared" ref="H731" si="1247">(B731/B679-1)*100</f>
        <v>12.714776632302405</v>
      </c>
      <c r="I731" s="20">
        <f t="shared" ref="I731" si="1248">(B731/D731-1)*100</f>
        <v>12.151130486814532</v>
      </c>
    </row>
    <row r="732" spans="1:9" x14ac:dyDescent="0.3">
      <c r="A732" s="13">
        <f t="shared" si="205"/>
        <v>41219</v>
      </c>
      <c r="B732" s="8">
        <f>TWK!D465</f>
        <v>595</v>
      </c>
      <c r="C732" s="8">
        <f t="shared" ref="C732" si="1249">AVERAGE(B729:B732)</f>
        <v>557.29166666666663</v>
      </c>
      <c r="D732" s="8">
        <f t="shared" ref="D732" si="1250">(C576+C628+C680)/3</f>
        <v>487.93055555555549</v>
      </c>
      <c r="E732" s="8">
        <f t="shared" si="920"/>
        <v>45</v>
      </c>
      <c r="F732" s="8">
        <f t="shared" ref="F732" si="1251">SUM(D732-B732)</f>
        <v>-107.06944444444451</v>
      </c>
      <c r="G732" s="20">
        <f t="shared" ref="G732" si="1252">(B732/B731-1)*100</f>
        <v>8.8414634146341431</v>
      </c>
      <c r="H732" s="20">
        <f t="shared" ref="H732" si="1253">(B732/B680-1)*100</f>
        <v>34.210526315789465</v>
      </c>
      <c r="I732" s="20">
        <f t="shared" ref="I732" si="1254">(B732/D732-1)*100</f>
        <v>21.943582590874165</v>
      </c>
    </row>
    <row r="733" spans="1:9" x14ac:dyDescent="0.3">
      <c r="A733" s="13">
        <f t="shared" si="205"/>
        <v>41226</v>
      </c>
      <c r="B733" s="8">
        <f>TWK!D466</f>
        <v>533.33333333333337</v>
      </c>
      <c r="C733" s="8">
        <f t="shared" ref="C733" si="1255">AVERAGE(B730:B733)</f>
        <v>565.625</v>
      </c>
      <c r="D733" s="8">
        <f t="shared" ref="D733" si="1256">(C577+C629+C681)/3</f>
        <v>469.58333333333331</v>
      </c>
      <c r="E733" s="8">
        <f t="shared" si="920"/>
        <v>46</v>
      </c>
      <c r="F733" s="8">
        <f t="shared" ref="F733" si="1257">SUM(D733-B733)</f>
        <v>-63.750000000000057</v>
      </c>
      <c r="G733" s="20">
        <f t="shared" ref="G733" si="1258">(B733/B732-1)*100</f>
        <v>-10.364145658263302</v>
      </c>
      <c r="H733" s="20">
        <f t="shared" ref="H733" si="1259">(B733/B681-1)*100</f>
        <v>20.300751879699263</v>
      </c>
      <c r="I733" s="20">
        <f t="shared" ref="I733" si="1260">(B733/D733-1)*100</f>
        <v>13.57586512866018</v>
      </c>
    </row>
    <row r="734" spans="1:9" x14ac:dyDescent="0.3">
      <c r="A734" s="13">
        <f t="shared" si="205"/>
        <v>41233</v>
      </c>
      <c r="B734" s="8">
        <f>TWK!D467</f>
        <v>600</v>
      </c>
      <c r="C734" s="8">
        <f t="shared" ref="C734" si="1261">AVERAGE(B731:B734)</f>
        <v>568.75</v>
      </c>
      <c r="D734" s="8">
        <f t="shared" ref="D734" si="1262">(C578+C630+C682)/3</f>
        <v>457.02083333333331</v>
      </c>
      <c r="E734" s="8">
        <f t="shared" si="920"/>
        <v>47</v>
      </c>
      <c r="F734" s="8">
        <f t="shared" ref="F734" si="1263">SUM(D734-B734)</f>
        <v>-142.97916666666669</v>
      </c>
      <c r="G734" s="20">
        <f t="shared" ref="G734" si="1264">(B734/B733-1)*100</f>
        <v>12.5</v>
      </c>
      <c r="H734" s="20">
        <f t="shared" ref="H734" si="1265">(B734/B682-1)*100</f>
        <v>41.843971631205676</v>
      </c>
      <c r="I734" s="20">
        <f t="shared" ref="I734" si="1266">(B734/D734-1)*100</f>
        <v>31.285043533755761</v>
      </c>
    </row>
    <row r="735" spans="1:9" x14ac:dyDescent="0.3">
      <c r="A735" s="13">
        <f t="shared" si="205"/>
        <v>41240</v>
      </c>
      <c r="B735" s="8">
        <f>TWK!D468</f>
        <v>613</v>
      </c>
      <c r="C735" s="8">
        <f t="shared" ref="C735" si="1267">AVERAGE(B732:B735)</f>
        <v>585.33333333333337</v>
      </c>
      <c r="D735" s="8">
        <f t="shared" ref="D735" si="1268">(C579+C631+C683)/3</f>
        <v>449.10416666666669</v>
      </c>
      <c r="E735" s="8">
        <f t="shared" si="920"/>
        <v>48</v>
      </c>
      <c r="F735" s="8">
        <f t="shared" ref="F735" si="1269">SUM(D735-B735)</f>
        <v>-163.89583333333331</v>
      </c>
      <c r="G735" s="20">
        <f t="shared" ref="G735" si="1270">(B735/B734-1)*100</f>
        <v>2.1666666666666723</v>
      </c>
      <c r="H735" s="20">
        <f t="shared" ref="H735" si="1271">(B735/B683-1)*100</f>
        <v>51.358024691358018</v>
      </c>
      <c r="I735" s="20">
        <f t="shared" ref="I735" si="1272">(B735/D735-1)*100</f>
        <v>36.493946281950173</v>
      </c>
    </row>
    <row r="736" spans="1:9" x14ac:dyDescent="0.3">
      <c r="A736" s="13">
        <f t="shared" si="205"/>
        <v>41247</v>
      </c>
      <c r="B736" s="8">
        <f>TWK!D469</f>
        <v>575</v>
      </c>
      <c r="C736" s="8">
        <f t="shared" ref="C736" si="1273">AVERAGE(B733:B736)</f>
        <v>580.33333333333337</v>
      </c>
      <c r="D736" s="8">
        <f t="shared" ref="D736" si="1274">(C580+C632+C684)/3</f>
        <v>433.8819444444444</v>
      </c>
      <c r="E736" s="8">
        <f t="shared" si="920"/>
        <v>49</v>
      </c>
      <c r="F736" s="8">
        <f t="shared" ref="F736" si="1275">SUM(D736-B736)</f>
        <v>-141.1180555555556</v>
      </c>
      <c r="G736" s="20">
        <f t="shared" ref="G736" si="1276">(B736/B735-1)*100</f>
        <v>-6.1990212071778128</v>
      </c>
      <c r="H736" s="20">
        <f t="shared" ref="H736" si="1277">(B736/B684-1)*100</f>
        <v>36.904761904761905</v>
      </c>
      <c r="I736" s="20">
        <f t="shared" ref="I736" si="1278">(B736/D736-1)*100</f>
        <v>32.524528241489151</v>
      </c>
    </row>
    <row r="737" spans="1:9" x14ac:dyDescent="0.3">
      <c r="A737" s="13">
        <f t="shared" si="205"/>
        <v>41254</v>
      </c>
      <c r="B737" s="8">
        <f>TWK!D470</f>
        <v>600</v>
      </c>
      <c r="C737" s="8">
        <f t="shared" ref="C737" si="1279">AVERAGE(B734:B737)</f>
        <v>597</v>
      </c>
      <c r="D737" s="8">
        <f t="shared" ref="D737" si="1280">(C581+C633+C685)/3</f>
        <v>437.4930555555556</v>
      </c>
      <c r="E737" s="8">
        <f t="shared" si="920"/>
        <v>50</v>
      </c>
      <c r="F737" s="8">
        <f t="shared" ref="F737" si="1281">SUM(D737-B737)</f>
        <v>-162.5069444444444</v>
      </c>
      <c r="G737" s="20">
        <f t="shared" ref="G737" si="1282">(B737/B736-1)*100</f>
        <v>4.3478260869565188</v>
      </c>
      <c r="H737" s="20">
        <f t="shared" ref="H737" si="1283">(B737/B685-1)*100</f>
        <v>57.894736842105267</v>
      </c>
      <c r="I737" s="20">
        <f t="shared" ref="I737" si="1284">(B737/D737-1)*100</f>
        <v>37.145034048159474</v>
      </c>
    </row>
    <row r="738" spans="1:9" x14ac:dyDescent="0.3">
      <c r="A738" s="13">
        <f t="shared" si="205"/>
        <v>41261</v>
      </c>
      <c r="B738" s="8">
        <f>TWK!D471</f>
        <v>575</v>
      </c>
      <c r="C738" s="8">
        <f t="shared" ref="C738" si="1285">AVERAGE(B735:B738)</f>
        <v>590.75</v>
      </c>
      <c r="D738" s="8">
        <f t="shared" ref="D738" si="1286">(C582+C634+C686)/3</f>
        <v>432.8055555555556</v>
      </c>
      <c r="E738" s="8">
        <f t="shared" si="920"/>
        <v>51</v>
      </c>
      <c r="F738" s="8">
        <f t="shared" ref="F738" si="1287">SUM(D738-B738)</f>
        <v>-142.1944444444444</v>
      </c>
      <c r="G738" s="20">
        <f t="shared" ref="G738" si="1288">(B738/B737-1)*100</f>
        <v>-4.1666666666666625</v>
      </c>
      <c r="H738" s="20">
        <f t="shared" ref="H738" si="1289">(B738/B686-1)*100</f>
        <v>62.889518413597735</v>
      </c>
      <c r="I738" s="20">
        <f t="shared" ref="I738" si="1290">(B738/D738-1)*100</f>
        <v>32.854117194018343</v>
      </c>
    </row>
    <row r="739" spans="1:9" x14ac:dyDescent="0.3">
      <c r="A739" s="13">
        <f t="shared" si="205"/>
        <v>41268</v>
      </c>
      <c r="B739" s="8">
        <f>TWK!D472</f>
        <v>563</v>
      </c>
      <c r="C739" s="8">
        <f t="shared" ref="C739" si="1291">AVERAGE(B736:B739)</f>
        <v>578.25</v>
      </c>
      <c r="D739" s="8">
        <f t="shared" ref="D739" si="1292">(C583+C635+C687)/3</f>
        <v>425.6180555555556</v>
      </c>
      <c r="E739" s="8">
        <f t="shared" si="920"/>
        <v>52</v>
      </c>
      <c r="F739" s="8">
        <f t="shared" ref="F739" si="1293">SUM(D739-B739)</f>
        <v>-137.3819444444444</v>
      </c>
      <c r="G739" s="20">
        <f t="shared" ref="G739" si="1294">(B739/B738-1)*100</f>
        <v>-2.086956521739125</v>
      </c>
      <c r="H739" s="20">
        <f t="shared" ref="H739" si="1295">(B739/B687-1)*100</f>
        <v>64.780487804878035</v>
      </c>
      <c r="I739" s="20">
        <f t="shared" ref="I739" si="1296">(B739/D739-1)*100</f>
        <v>32.278222845861393</v>
      </c>
    </row>
    <row r="740" spans="1:9" x14ac:dyDescent="0.3">
      <c r="A740" s="13">
        <f t="shared" si="205"/>
        <v>41275</v>
      </c>
      <c r="B740" s="8">
        <f>TWK!D473</f>
        <v>500</v>
      </c>
      <c r="C740" s="8">
        <f t="shared" ref="C740" si="1297">AVERAGE(B737:B740)</f>
        <v>559.5</v>
      </c>
      <c r="D740" s="8">
        <f t="shared" ref="D740" si="1298">(C584+C636+C688)/3</f>
        <v>406.1875</v>
      </c>
      <c r="E740" s="8">
        <v>1</v>
      </c>
      <c r="F740" s="8">
        <f t="shared" ref="F740" si="1299">SUM(D740-B740)</f>
        <v>-93.8125</v>
      </c>
      <c r="G740" s="20">
        <f t="shared" ref="G740" si="1300">(B740/B739-1)*100</f>
        <v>-11.190053285968027</v>
      </c>
      <c r="H740" s="20">
        <f t="shared" ref="H740" si="1301">(B740/B688-1)*100</f>
        <v>45.631067961165051</v>
      </c>
      <c r="I740" s="20">
        <f t="shared" ref="I740" si="1302">(B740/D740-1)*100</f>
        <v>23.095860901677192</v>
      </c>
    </row>
    <row r="741" spans="1:9" x14ac:dyDescent="0.3">
      <c r="A741" s="13">
        <f t="shared" si="205"/>
        <v>41282</v>
      </c>
      <c r="B741" s="8">
        <f>TWK!D474</f>
        <v>372.5</v>
      </c>
      <c r="C741" s="8">
        <f t="shared" ref="C741" si="1303">AVERAGE(B738:B741)</f>
        <v>502.625</v>
      </c>
      <c r="D741" s="8">
        <f t="shared" ref="D741" si="1304">(C585+C637+C689)/3</f>
        <v>395.90972222222217</v>
      </c>
      <c r="E741" s="8">
        <f t="shared" si="920"/>
        <v>2</v>
      </c>
      <c r="F741" s="8">
        <f t="shared" ref="F741" si="1305">SUM(D741-B741)</f>
        <v>23.409722222222172</v>
      </c>
      <c r="G741" s="20">
        <f t="shared" ref="G741" si="1306">(B741/B740-1)*100</f>
        <v>-25.5</v>
      </c>
      <c r="H741" s="20">
        <f t="shared" ref="H741" si="1307">(B741/B689-1)*100</f>
        <v>2.5229357798165264</v>
      </c>
      <c r="I741" s="20">
        <f t="shared" ref="I741" si="1308">(B741/D741-1)*100</f>
        <v>-5.9128940029117061</v>
      </c>
    </row>
    <row r="742" spans="1:9" x14ac:dyDescent="0.3">
      <c r="A742" s="13">
        <f t="shared" si="205"/>
        <v>41289</v>
      </c>
      <c r="B742" s="8">
        <f>TWK!D475</f>
        <v>347.5</v>
      </c>
      <c r="C742" s="8">
        <f t="shared" ref="C742" si="1309">AVERAGE(B739:B742)</f>
        <v>445.75</v>
      </c>
      <c r="D742" s="8">
        <f t="shared" ref="D742" si="1310">(C586+C638+C690)/3</f>
        <v>394.23611111111109</v>
      </c>
      <c r="E742" s="8">
        <f t="shared" si="920"/>
        <v>3</v>
      </c>
      <c r="F742" s="8">
        <f t="shared" ref="F742" si="1311">SUM(D742-B742)</f>
        <v>46.736111111111086</v>
      </c>
      <c r="G742" s="20">
        <f t="shared" ref="G742" si="1312">(B742/B741-1)*100</f>
        <v>-6.7114093959731562</v>
      </c>
      <c r="H742" s="20">
        <f t="shared" ref="H742" si="1313">(B742/B690-1)*100</f>
        <v>-3.9170506912442393</v>
      </c>
      <c r="I742" s="20">
        <f t="shared" ref="I742" si="1314">(B742/D742-1)*100</f>
        <v>-11.85485291527214</v>
      </c>
    </row>
    <row r="743" spans="1:9" x14ac:dyDescent="0.3">
      <c r="A743" s="13">
        <f t="shared" si="205"/>
        <v>41296</v>
      </c>
      <c r="B743" s="8">
        <f>TWK!D476</f>
        <v>333</v>
      </c>
      <c r="C743" s="8">
        <f t="shared" ref="C743" si="1315">AVERAGE(B740:B743)</f>
        <v>388.25</v>
      </c>
      <c r="D743" s="8">
        <f t="shared" ref="D743" si="1316">(C587+C639+C691)/3</f>
        <v>399.7569444444444</v>
      </c>
      <c r="E743" s="8">
        <f t="shared" si="920"/>
        <v>4</v>
      </c>
      <c r="F743" s="8">
        <f t="shared" ref="F743" si="1317">SUM(D743-B743)</f>
        <v>66.7569444444444</v>
      </c>
      <c r="G743" s="20">
        <f t="shared" ref="G743" si="1318">(B743/B742-1)*100</f>
        <v>-4.1726618705036023</v>
      </c>
      <c r="H743" s="20">
        <f t="shared" ref="H743" si="1319">(B743/B691-1)*100</f>
        <v>-13.506493506493511</v>
      </c>
      <c r="I743" s="20">
        <f t="shared" ref="I743" si="1320">(B743/D743-1)*100</f>
        <v>-16.699383305828185</v>
      </c>
    </row>
    <row r="744" spans="1:9" x14ac:dyDescent="0.3">
      <c r="A744" s="13">
        <f t="shared" si="205"/>
        <v>41303</v>
      </c>
      <c r="B744" s="8">
        <f>TWK!D477</f>
        <v>330</v>
      </c>
      <c r="C744" s="8">
        <f t="shared" ref="C744" si="1321">AVERAGE(B741:B744)</f>
        <v>345.75</v>
      </c>
      <c r="D744" s="8">
        <f t="shared" ref="D744" si="1322">(C588+C640+C692)/3</f>
        <v>422.77083333333331</v>
      </c>
      <c r="E744" s="8">
        <f t="shared" si="920"/>
        <v>5</v>
      </c>
      <c r="F744" s="8">
        <f t="shared" ref="F744" si="1323">SUM(D744-B744)</f>
        <v>92.770833333333314</v>
      </c>
      <c r="G744" s="20">
        <f t="shared" ref="G744" si="1324">(B744/B743-1)*100</f>
        <v>-0.9009009009009028</v>
      </c>
      <c r="H744" s="20">
        <f t="shared" ref="H744" si="1325">(B744/B692-1)*100</f>
        <v>-28.571428571428569</v>
      </c>
      <c r="I744" s="20">
        <f t="shared" ref="I744" si="1326">(B744/D744-1)*100</f>
        <v>-21.943527324693235</v>
      </c>
    </row>
    <row r="745" spans="1:9" x14ac:dyDescent="0.3">
      <c r="A745" s="13">
        <f t="shared" si="205"/>
        <v>41310</v>
      </c>
      <c r="B745" s="8">
        <f>TWK!D478</f>
        <v>323.33333333333331</v>
      </c>
      <c r="C745" s="8">
        <f t="shared" ref="C745" si="1327">AVERAGE(B742:B745)</f>
        <v>333.45833333333331</v>
      </c>
      <c r="D745" s="8">
        <f t="shared" ref="D745" si="1328">(C589+C641+C693)/3</f>
        <v>430.34722222222223</v>
      </c>
      <c r="E745" s="8">
        <f t="shared" si="920"/>
        <v>6</v>
      </c>
      <c r="F745" s="8">
        <f t="shared" ref="F745" si="1329">SUM(D745-B745)</f>
        <v>107.01388888888891</v>
      </c>
      <c r="G745" s="20">
        <f t="shared" ref="G745" si="1330">(B745/B744-1)*100</f>
        <v>-2.0202020202020221</v>
      </c>
      <c r="H745" s="20">
        <f t="shared" ref="H745" si="1331">(B745/B693-1)*100</f>
        <v>-18.143459915611814</v>
      </c>
      <c r="I745" s="20">
        <f t="shared" ref="I745" si="1332">(B745/D745-1)*100</f>
        <v>-24.866871066645157</v>
      </c>
    </row>
    <row r="746" spans="1:9" x14ac:dyDescent="0.3">
      <c r="A746" s="13">
        <f t="shared" si="205"/>
        <v>41317</v>
      </c>
      <c r="B746" s="8">
        <f>TWK!D479</f>
        <v>325</v>
      </c>
      <c r="C746" s="8">
        <f t="shared" ref="C746" si="1333">AVERAGE(B743:B746)</f>
        <v>327.83333333333331</v>
      </c>
      <c r="D746" s="8">
        <f t="shared" ref="D746" si="1334">(C590+C642+C694)/3</f>
        <v>438.8194444444444</v>
      </c>
      <c r="E746" s="8">
        <f t="shared" si="920"/>
        <v>7</v>
      </c>
      <c r="F746" s="8">
        <f t="shared" ref="F746" si="1335">SUM(D746-B746)</f>
        <v>113.8194444444444</v>
      </c>
      <c r="G746" s="20">
        <f t="shared" ref="G746" si="1336">(B746/B745-1)*100</f>
        <v>0.51546391752577136</v>
      </c>
      <c r="H746" s="20">
        <f t="shared" ref="H746" si="1337">(B746/B694-1)*100</f>
        <v>-23.228346456692904</v>
      </c>
      <c r="I746" s="20">
        <f t="shared" ref="I746" si="1338">(B746/D746-1)*100</f>
        <v>-25.937648362082598</v>
      </c>
    </row>
    <row r="747" spans="1:9" x14ac:dyDescent="0.3">
      <c r="A747" s="13">
        <f t="shared" si="205"/>
        <v>41324</v>
      </c>
      <c r="B747" s="8">
        <f>TWK!D480</f>
        <v>325</v>
      </c>
      <c r="C747" s="8">
        <f t="shared" ref="C747" si="1339">AVERAGE(B744:B747)</f>
        <v>325.83333333333331</v>
      </c>
      <c r="D747" s="8">
        <f t="shared" ref="D747" si="1340">(C591+C643+C695)/3</f>
        <v>439.5069444444444</v>
      </c>
      <c r="E747" s="8">
        <f t="shared" si="920"/>
        <v>8</v>
      </c>
      <c r="F747" s="8">
        <f t="shared" ref="F747" si="1341">SUM(D747-B747)</f>
        <v>114.5069444444444</v>
      </c>
      <c r="G747" s="20">
        <f t="shared" ref="G747" si="1342">(B747/B746-1)*100</f>
        <v>0</v>
      </c>
      <c r="H747" s="20">
        <f t="shared" ref="H747" si="1343">(B747/B695-1)*100</f>
        <v>-19.753086419753085</v>
      </c>
      <c r="I747" s="20">
        <f t="shared" ref="I747" si="1344">(B747/D747-1)*100</f>
        <v>-26.053500608320558</v>
      </c>
    </row>
    <row r="748" spans="1:9" x14ac:dyDescent="0.3">
      <c r="A748" s="13">
        <f t="shared" si="205"/>
        <v>41331</v>
      </c>
      <c r="B748" s="8">
        <f>TWK!D481</f>
        <v>326.66666666666669</v>
      </c>
      <c r="C748" s="8">
        <f t="shared" ref="C748" si="1345">AVERAGE(B745:B748)</f>
        <v>325</v>
      </c>
      <c r="D748" s="8">
        <f t="shared" ref="D748" si="1346">(C592+C644+C696)/3</f>
        <v>423.96527777777777</v>
      </c>
      <c r="E748" s="8">
        <f t="shared" si="920"/>
        <v>9</v>
      </c>
      <c r="F748" s="8">
        <f t="shared" ref="F748" si="1347">SUM(D748-B748)</f>
        <v>97.298611111111086</v>
      </c>
      <c r="G748" s="20">
        <f t="shared" ref="G748" si="1348">(B748/B747-1)*100</f>
        <v>0.512820512820511</v>
      </c>
      <c r="H748" s="20">
        <f t="shared" ref="H748" si="1349">(B748/B696-1)*100</f>
        <v>-14.708442123585719</v>
      </c>
      <c r="I748" s="20">
        <f t="shared" ref="I748" si="1350">(B748/D748-1)*100</f>
        <v>-22.949665034151767</v>
      </c>
    </row>
    <row r="749" spans="1:9" x14ac:dyDescent="0.3">
      <c r="A749" s="13">
        <f t="shared" si="205"/>
        <v>41338</v>
      </c>
      <c r="B749" s="8">
        <f>TWK!D482</f>
        <v>325</v>
      </c>
      <c r="C749" s="8">
        <f t="shared" ref="C749" si="1351">AVERAGE(B746:B749)</f>
        <v>325.41666666666669</v>
      </c>
      <c r="D749" s="8">
        <f t="shared" ref="D749" si="1352">(C593+C645+C697)/3</f>
        <v>424.15972222222223</v>
      </c>
      <c r="E749" s="8">
        <f t="shared" si="920"/>
        <v>10</v>
      </c>
      <c r="F749" s="8">
        <f t="shared" ref="F749" si="1353">SUM(D749-B749)</f>
        <v>99.159722222222229</v>
      </c>
      <c r="G749" s="20">
        <f t="shared" ref="G749" si="1354">(B749/B748-1)*100</f>
        <v>-0.51020408163265918</v>
      </c>
      <c r="H749" s="20">
        <f t="shared" ref="H749" si="1355">(B749/B697-1)*100</f>
        <v>-6.3400576368876083</v>
      </c>
      <c r="I749" s="20">
        <f t="shared" ref="I749" si="1356">(B749/D749-1)*100</f>
        <v>-23.377920398172858</v>
      </c>
    </row>
    <row r="750" spans="1:9" x14ac:dyDescent="0.3">
      <c r="A750" s="13">
        <f t="shared" si="205"/>
        <v>41345</v>
      </c>
      <c r="B750" s="8">
        <f>TWK!D483</f>
        <v>325</v>
      </c>
      <c r="C750" s="8">
        <f t="shared" ref="C750" si="1357">AVERAGE(B747:B750)</f>
        <v>325.41666666666669</v>
      </c>
      <c r="D750" s="8">
        <f t="shared" ref="D750" si="1358">(C594+C646+C698)/3</f>
        <v>413.46527777777783</v>
      </c>
      <c r="E750" s="8">
        <f t="shared" si="920"/>
        <v>11</v>
      </c>
      <c r="F750" s="8">
        <f t="shared" ref="F750" si="1359">SUM(D750-B750)</f>
        <v>88.465277777777828</v>
      </c>
      <c r="G750" s="20">
        <f t="shared" ref="G750" si="1360">(B750/B749-1)*100</f>
        <v>0</v>
      </c>
      <c r="H750" s="20">
        <f t="shared" ref="H750" si="1361">(B750/B698-1)*100</f>
        <v>-5.7971014492753659</v>
      </c>
      <c r="I750" s="20">
        <f t="shared" ref="I750" si="1362">(B750/D750-1)*100</f>
        <v>-21.396059725558047</v>
      </c>
    </row>
    <row r="751" spans="1:9" x14ac:dyDescent="0.3">
      <c r="A751" s="13">
        <f t="shared" si="205"/>
        <v>41352</v>
      </c>
      <c r="B751" s="8">
        <f>TWK!D484</f>
        <v>307</v>
      </c>
      <c r="C751" s="8">
        <f t="shared" ref="C751" si="1363">AVERAGE(B748:B751)</f>
        <v>320.91666666666669</v>
      </c>
      <c r="D751" s="8">
        <f t="shared" ref="D751" si="1364">(C595+C647+C699)/3</f>
        <v>402.66666666666669</v>
      </c>
      <c r="E751" s="8">
        <f t="shared" si="920"/>
        <v>12</v>
      </c>
      <c r="F751" s="8">
        <f t="shared" ref="F751" si="1365">SUM(D751-B751)</f>
        <v>95.666666666666686</v>
      </c>
      <c r="G751" s="20">
        <f t="shared" ref="G751" si="1366">(B751/B750-1)*100</f>
        <v>-5.5384615384615365</v>
      </c>
      <c r="H751" s="20">
        <f t="shared" ref="H751" si="1367">(B751/B699-1)*100</f>
        <v>-15.193370165745856</v>
      </c>
      <c r="I751" s="20">
        <f t="shared" ref="I751" si="1368">(B751/D751-1)*100</f>
        <v>-23.758278145695368</v>
      </c>
    </row>
    <row r="752" spans="1:9" x14ac:dyDescent="0.3">
      <c r="A752" s="13">
        <f t="shared" si="205"/>
        <v>41359</v>
      </c>
      <c r="B752" s="8">
        <f>TWK!D485</f>
        <v>293.33333333333331</v>
      </c>
      <c r="C752" s="8">
        <f t="shared" ref="C752" si="1369">AVERAGE(B749:B752)</f>
        <v>312.58333333333331</v>
      </c>
      <c r="D752" s="8">
        <f t="shared" ref="D752" si="1370">(C596+C648+C700)/3</f>
        <v>395.20138888888891</v>
      </c>
      <c r="E752" s="8">
        <f t="shared" si="920"/>
        <v>13</v>
      </c>
      <c r="F752" s="8">
        <f t="shared" ref="F752" si="1371">SUM(D752-B752)</f>
        <v>101.8680555555556</v>
      </c>
      <c r="G752" s="20">
        <f t="shared" ref="G752" si="1372">(B752/B751-1)*100</f>
        <v>-4.4516829533116198</v>
      </c>
      <c r="H752" s="20">
        <f t="shared" ref="H752" si="1373">(B752/B700-1)*100</f>
        <v>-16.902738432483478</v>
      </c>
      <c r="I752" s="20">
        <f t="shared" ref="I752" si="1374">(B752/D752-1)*100</f>
        <v>-25.776239259168154</v>
      </c>
    </row>
    <row r="753" spans="1:9" x14ac:dyDescent="0.3">
      <c r="A753" s="13">
        <f t="shared" si="205"/>
        <v>41366</v>
      </c>
      <c r="B753" s="8">
        <f>TWK!D486</f>
        <v>262.5</v>
      </c>
      <c r="C753" s="8">
        <f t="shared" ref="C753" si="1375">AVERAGE(B750:B753)</f>
        <v>296.95833333333331</v>
      </c>
      <c r="D753" s="8">
        <f t="shared" ref="D753" si="1376">(C597+C649+C701)/3</f>
        <v>376.77083333333331</v>
      </c>
      <c r="E753" s="8">
        <f t="shared" si="920"/>
        <v>14</v>
      </c>
      <c r="F753" s="8">
        <f t="shared" ref="F753" si="1377">SUM(D753-B753)</f>
        <v>114.27083333333331</v>
      </c>
      <c r="G753" s="20">
        <f t="shared" ref="G753" si="1378">(B753/B752-1)*100</f>
        <v>-10.511363636363635</v>
      </c>
      <c r="H753" s="20">
        <f t="shared" ref="H753" si="1379">(B753/B701-1)*100</f>
        <v>-19.23076923076923</v>
      </c>
      <c r="I753" s="20">
        <f t="shared" ref="I753" si="1380">(B753/D753-1)*100</f>
        <v>-30.329001935305499</v>
      </c>
    </row>
    <row r="754" spans="1:9" x14ac:dyDescent="0.3">
      <c r="A754" s="13">
        <f t="shared" si="205"/>
        <v>41373</v>
      </c>
      <c r="B754" s="8">
        <f>TWK!D487</f>
        <v>285</v>
      </c>
      <c r="C754" s="8">
        <f t="shared" ref="C754" si="1381">AVERAGE(B751:B754)</f>
        <v>286.95833333333331</v>
      </c>
      <c r="D754" s="8">
        <f t="shared" ref="D754" si="1382">(C598+C650+C702)/3</f>
        <v>363.4375</v>
      </c>
      <c r="E754" s="8">
        <f t="shared" si="920"/>
        <v>15</v>
      </c>
      <c r="F754" s="8">
        <f t="shared" ref="F754" si="1383">SUM(D754-B754)</f>
        <v>78.4375</v>
      </c>
      <c r="G754" s="20">
        <f t="shared" ref="G754" si="1384">(B754/B753-1)*100</f>
        <v>8.5714285714285623</v>
      </c>
      <c r="H754" s="20">
        <f t="shared" ref="H754" si="1385">(B754/B702-1)*100</f>
        <v>-10.9375</v>
      </c>
      <c r="I754" s="20">
        <f t="shared" ref="I754" si="1386">(B754/D754-1)*100</f>
        <v>-21.582115219260533</v>
      </c>
    </row>
    <row r="755" spans="1:9" x14ac:dyDescent="0.3">
      <c r="A755" s="13">
        <f t="shared" si="205"/>
        <v>41380</v>
      </c>
      <c r="B755" s="8">
        <f>TWK!D488</f>
        <v>273.33333333333331</v>
      </c>
      <c r="C755" s="8">
        <f t="shared" ref="C755" si="1387">AVERAGE(B752:B755)</f>
        <v>278.54166666666663</v>
      </c>
      <c r="D755" s="8">
        <f t="shared" ref="D755" si="1388">(C599+C651+C703)/3</f>
        <v>353.97222222222223</v>
      </c>
      <c r="E755" s="8">
        <f t="shared" si="920"/>
        <v>16</v>
      </c>
      <c r="F755" s="8">
        <f t="shared" ref="F755" si="1389">SUM(D755-B755)</f>
        <v>80.638888888888914</v>
      </c>
      <c r="G755" s="20">
        <f t="shared" ref="G755" si="1390">(B755/B754-1)*100</f>
        <v>-4.0935672514619936</v>
      </c>
      <c r="H755" s="20">
        <f t="shared" ref="H755" si="1391">(B755/B703-1)*100</f>
        <v>-16.666666666666675</v>
      </c>
      <c r="I755" s="20">
        <f t="shared" ref="I755" si="1392">(B755/D755-1)*100</f>
        <v>-22.781134740641928</v>
      </c>
    </row>
    <row r="756" spans="1:9" x14ac:dyDescent="0.3">
      <c r="A756" s="13">
        <f t="shared" si="205"/>
        <v>41387</v>
      </c>
      <c r="B756" s="137">
        <f>(+B755+B758)/2</f>
        <v>280.41666666666663</v>
      </c>
      <c r="C756" s="8">
        <f t="shared" ref="C756" si="1393">AVERAGE(B753:B756)</f>
        <v>275.3125</v>
      </c>
      <c r="D756" s="8">
        <f t="shared" ref="D756" si="1394">(C600+C652+C704)/3</f>
        <v>345.45138888888886</v>
      </c>
      <c r="E756" s="8">
        <f t="shared" si="920"/>
        <v>17</v>
      </c>
      <c r="F756" s="8">
        <f t="shared" ref="F756" si="1395">SUM(D756-B756)</f>
        <v>65.034722222222229</v>
      </c>
      <c r="G756" s="20"/>
      <c r="H756" s="20">
        <f t="shared" ref="H756" si="1396">(B756/B704-1)*100</f>
        <v>-13.273195876288668</v>
      </c>
      <c r="I756" s="20">
        <f t="shared" ref="I756" si="1397">(B756/D756-1)*100</f>
        <v>-18.82601266458941</v>
      </c>
    </row>
    <row r="757" spans="1:9" x14ac:dyDescent="0.3">
      <c r="A757" s="13">
        <f t="shared" si="205"/>
        <v>41394</v>
      </c>
      <c r="B757" s="137">
        <f>+B756</f>
        <v>280.41666666666663</v>
      </c>
      <c r="C757" s="8">
        <f t="shared" ref="C757" si="1398">AVERAGE(B754:B757)</f>
        <v>279.79166666666663</v>
      </c>
      <c r="D757" s="8">
        <f t="shared" ref="D757" si="1399">(C601+C653+C705)/3</f>
        <v>350.89583333333331</v>
      </c>
      <c r="E757" s="8">
        <f t="shared" si="920"/>
        <v>18</v>
      </c>
      <c r="F757" s="8">
        <f t="shared" ref="F757" si="1400">SUM(D757-B757)</f>
        <v>70.479166666666686</v>
      </c>
      <c r="G757" s="20"/>
      <c r="H757" s="20">
        <f t="shared" ref="H757" si="1401">(B757/B705-1)*100</f>
        <v>-16.790306627101891</v>
      </c>
      <c r="I757" s="20">
        <f t="shared" ref="I757" si="1402">(B757/D757-1)*100</f>
        <v>-20.085495458053792</v>
      </c>
    </row>
    <row r="758" spans="1:9" x14ac:dyDescent="0.3">
      <c r="A758" s="13">
        <f t="shared" si="205"/>
        <v>41401</v>
      </c>
      <c r="B758" s="8">
        <f>TWK!D491</f>
        <v>287.5</v>
      </c>
      <c r="C758" s="8">
        <f t="shared" ref="C758" si="1403">AVERAGE(B755:B758)</f>
        <v>280.41666666666663</v>
      </c>
      <c r="D758" s="8">
        <f t="shared" ref="D758" si="1404">(C602+C654+C706)/3</f>
        <v>362.04166666666669</v>
      </c>
      <c r="E758" s="8">
        <f t="shared" si="920"/>
        <v>19</v>
      </c>
      <c r="F758" s="8">
        <f t="shared" ref="F758" si="1405">SUM(D758-B758)</f>
        <v>74.541666666666686</v>
      </c>
      <c r="G758" s="20"/>
      <c r="H758" s="20">
        <f t="shared" ref="H758" si="1406">(B758/B706-1)*100</f>
        <v>-17.857142857142861</v>
      </c>
      <c r="I758" s="20">
        <f t="shared" ref="I758" si="1407">(B758/D758-1)*100</f>
        <v>-20.589250776844292</v>
      </c>
    </row>
    <row r="759" spans="1:9" x14ac:dyDescent="0.3">
      <c r="A759" s="13">
        <f t="shared" si="205"/>
        <v>41408</v>
      </c>
      <c r="B759" s="8">
        <f>TWK!D492</f>
        <v>277.5</v>
      </c>
      <c r="C759" s="8">
        <f t="shared" ref="C759" si="1408">AVERAGE(B756:B759)</f>
        <v>281.45833333333331</v>
      </c>
      <c r="D759" s="8">
        <f t="shared" ref="D759" si="1409">(C603+C655+C707)/3</f>
        <v>375.81944444444451</v>
      </c>
      <c r="E759" s="8">
        <f t="shared" si="920"/>
        <v>20</v>
      </c>
      <c r="F759" s="8">
        <f t="shared" ref="F759" si="1410">SUM(D759-B759)</f>
        <v>98.319444444444514</v>
      </c>
      <c r="G759" s="20">
        <f t="shared" ref="G759" si="1411">(B759/B758-1)*100</f>
        <v>-3.4782608695652195</v>
      </c>
      <c r="H759" s="20">
        <f t="shared" ref="H759" si="1412">(B759/B707-1)*100</f>
        <v>-19.17475728155339</v>
      </c>
      <c r="I759" s="20">
        <f t="shared" ref="I759" si="1413">(B759/D759-1)*100</f>
        <v>-26.161351121623134</v>
      </c>
    </row>
    <row r="760" spans="1:9" x14ac:dyDescent="0.3">
      <c r="A760" s="13">
        <f t="shared" si="205"/>
        <v>41415</v>
      </c>
      <c r="B760" s="8">
        <f>TWK!D493</f>
        <v>273.33333333333331</v>
      </c>
      <c r="C760" s="8">
        <f t="shared" ref="C760" si="1414">AVERAGE(B757:B760)</f>
        <v>279.6875</v>
      </c>
      <c r="D760" s="8">
        <f t="shared" ref="D760" si="1415">(C604+C656+C708)/3</f>
        <v>382.1180555555556</v>
      </c>
      <c r="E760" s="8">
        <f t="shared" si="920"/>
        <v>21</v>
      </c>
      <c r="F760" s="8">
        <f t="shared" ref="F760" si="1416">SUM(D760-B760)</f>
        <v>108.78472222222229</v>
      </c>
      <c r="G760" s="20">
        <f t="shared" ref="G760" si="1417">(B760/B759-1)*100</f>
        <v>-1.5015015015015121</v>
      </c>
      <c r="H760" s="20">
        <f t="shared" ref="H760" si="1418">(B760/B708-1)*100</f>
        <v>-15.376676986584116</v>
      </c>
      <c r="I760" s="20">
        <f t="shared" ref="I760" si="1419">(B760/D760-1)*100</f>
        <v>-28.468877782825995</v>
      </c>
    </row>
    <row r="761" spans="1:9" x14ac:dyDescent="0.3">
      <c r="A761" s="13">
        <f t="shared" si="205"/>
        <v>41422</v>
      </c>
      <c r="B761" s="8">
        <f>TWK!D494</f>
        <v>310</v>
      </c>
      <c r="C761" s="8">
        <f t="shared" ref="C761" si="1420">AVERAGE(B758:B761)</f>
        <v>287.08333333333331</v>
      </c>
      <c r="D761" s="8">
        <f t="shared" ref="D761" si="1421">(C605+C657+C709)/3</f>
        <v>379.6180555555556</v>
      </c>
      <c r="E761" s="8">
        <f t="shared" si="920"/>
        <v>22</v>
      </c>
      <c r="F761" s="8">
        <f t="shared" ref="F761" si="1422">SUM(D761-B761)</f>
        <v>69.6180555555556</v>
      </c>
      <c r="G761" s="20">
        <f t="shared" ref="G761" si="1423">(B761/B760-1)*100</f>
        <v>13.414634146341475</v>
      </c>
      <c r="H761" s="20">
        <f t="shared" ref="H761" si="1424">(B761/B709-1)*100</f>
        <v>-6.0606060606060552</v>
      </c>
      <c r="I761" s="20">
        <f t="shared" ref="I761" si="1425">(B761/D761-1)*100</f>
        <v>-18.338973749199681</v>
      </c>
    </row>
    <row r="762" spans="1:9" x14ac:dyDescent="0.3">
      <c r="A762" s="13">
        <f t="shared" si="205"/>
        <v>41429</v>
      </c>
      <c r="B762" s="8">
        <f>TWK!D495</f>
        <v>315</v>
      </c>
      <c r="C762" s="8">
        <f t="shared" ref="C762" si="1426">AVERAGE(B759:B762)</f>
        <v>293.95833333333331</v>
      </c>
      <c r="D762" s="8">
        <f t="shared" ref="D762" si="1427">(C606+C658+C710)/3</f>
        <v>368.61111111111109</v>
      </c>
      <c r="E762" s="8">
        <f t="shared" si="920"/>
        <v>23</v>
      </c>
      <c r="F762" s="8">
        <f t="shared" ref="F762" si="1428">SUM(D762-B762)</f>
        <v>53.611111111111086</v>
      </c>
      <c r="G762" s="20">
        <f t="shared" ref="G762" si="1429">(B762/B761-1)*100</f>
        <v>1.6129032258064502</v>
      </c>
      <c r="H762" s="20">
        <f t="shared" ref="H762" si="1430">(B762/B710-1)*100</f>
        <v>10.526315789473696</v>
      </c>
      <c r="I762" s="20">
        <f t="shared" ref="I762" si="1431">(B762/D762-1)*100</f>
        <v>-14.544084400904289</v>
      </c>
    </row>
    <row r="763" spans="1:9" x14ac:dyDescent="0.3">
      <c r="A763" s="13">
        <f t="shared" si="205"/>
        <v>41436</v>
      </c>
      <c r="B763" s="8">
        <f>TWK!D496</f>
        <v>292.5</v>
      </c>
      <c r="C763" s="8">
        <f t="shared" ref="C763" si="1432">AVERAGE(B760:B763)</f>
        <v>297.70833333333331</v>
      </c>
      <c r="D763" s="8">
        <f t="shared" ref="D763" si="1433">(C607+C659+C711)/3</f>
        <v>355.8680555555556</v>
      </c>
      <c r="E763" s="8">
        <f t="shared" si="920"/>
        <v>24</v>
      </c>
      <c r="F763" s="8">
        <f t="shared" ref="F763" si="1434">SUM(D763-B763)</f>
        <v>63.3680555555556</v>
      </c>
      <c r="G763" s="20">
        <f t="shared" ref="G763" si="1435">(B763/B762-1)*100</f>
        <v>-7.1428571428571397</v>
      </c>
      <c r="H763" s="20">
        <f t="shared" ref="H763" si="1436">(B763/B711-1)*100</f>
        <v>3.0837004405286361</v>
      </c>
      <c r="I763" s="20">
        <f t="shared" ref="I763" si="1437">(B763/D763-1)*100</f>
        <v>-17.806615279539471</v>
      </c>
    </row>
    <row r="764" spans="1:9" x14ac:dyDescent="0.3">
      <c r="A764" s="13">
        <f t="shared" si="205"/>
        <v>41443</v>
      </c>
      <c r="B764" s="8">
        <f>TWK!D497</f>
        <v>295</v>
      </c>
      <c r="C764" s="8">
        <f t="shared" ref="C764" si="1438">AVERAGE(B761:B764)</f>
        <v>303.125</v>
      </c>
      <c r="D764" s="8">
        <f t="shared" ref="D764" si="1439">(C608+C660+C712)/3</f>
        <v>348.84722222222223</v>
      </c>
      <c r="E764" s="8">
        <f t="shared" si="920"/>
        <v>25</v>
      </c>
      <c r="F764" s="8">
        <f t="shared" ref="F764" si="1440">SUM(D764-B764)</f>
        <v>53.847222222222229</v>
      </c>
      <c r="G764" s="20">
        <f t="shared" ref="G764" si="1441">(B764/B763-1)*100</f>
        <v>0.85470085470085166</v>
      </c>
      <c r="H764" s="20">
        <f t="shared" ref="H764" si="1442">(B764/B712-1)*100</f>
        <v>6.6265060240963791</v>
      </c>
      <c r="I764" s="20">
        <f t="shared" ref="I764" si="1443">(B764/D764-1)*100</f>
        <v>-15.435760640203844</v>
      </c>
    </row>
    <row r="765" spans="1:9" x14ac:dyDescent="0.3">
      <c r="A765" s="13">
        <f t="shared" si="205"/>
        <v>41450</v>
      </c>
      <c r="B765" s="8">
        <f>TWK!D498</f>
        <v>323.33333333333331</v>
      </c>
      <c r="C765" s="8">
        <f t="shared" ref="C765" si="1444">AVERAGE(B762:B765)</f>
        <v>306.45833333333331</v>
      </c>
      <c r="D765" s="8">
        <f t="shared" ref="D765" si="1445">(C609+C661+C713)/3</f>
        <v>340.84722222222223</v>
      </c>
      <c r="E765" s="8">
        <f t="shared" si="920"/>
        <v>26</v>
      </c>
      <c r="F765" s="8">
        <f t="shared" ref="F765" si="1446">SUM(D765-B765)</f>
        <v>17.513888888888914</v>
      </c>
      <c r="G765" s="20">
        <f t="shared" ref="G765" si="1447">(B765/B764-1)*100</f>
        <v>9.6045197740112886</v>
      </c>
      <c r="H765" s="20">
        <f t="shared" ref="H765" si="1448">(B765/B713-1)*100</f>
        <v>19.753086419753085</v>
      </c>
      <c r="I765" s="20">
        <f t="shared" ref="I765" si="1449">(B765/D765-1)*100</f>
        <v>-5.1383399209486207</v>
      </c>
    </row>
    <row r="766" spans="1:9" x14ac:dyDescent="0.3">
      <c r="A766" s="13">
        <f t="shared" si="205"/>
        <v>41457</v>
      </c>
      <c r="B766" s="8">
        <f>TWK!D499</f>
        <v>306.66666666666669</v>
      </c>
      <c r="C766" s="8">
        <f t="shared" ref="C766" si="1450">AVERAGE(B763:B766)</f>
        <v>304.375</v>
      </c>
      <c r="D766" s="8">
        <f t="shared" ref="D766" si="1451">(C610+C662+C714)/3</f>
        <v>347.47916666666669</v>
      </c>
      <c r="E766" s="8">
        <f t="shared" si="920"/>
        <v>27</v>
      </c>
      <c r="F766" s="8">
        <f t="shared" ref="F766" si="1452">SUM(D766-B766)</f>
        <v>40.8125</v>
      </c>
      <c r="G766" s="20">
        <f t="shared" ref="G766" si="1453">(B766/B765-1)*100</f>
        <v>-5.1546391752577243</v>
      </c>
      <c r="H766" s="20">
        <f t="shared" ref="H766" si="1454">(B766/B714-1)*100</f>
        <v>-4.1666666666666625</v>
      </c>
      <c r="I766" s="20">
        <f t="shared" ref="I766" si="1455">(B766/D766-1)*100</f>
        <v>-11.745308471730919</v>
      </c>
    </row>
    <row r="767" spans="1:9" x14ac:dyDescent="0.3">
      <c r="A767" s="13">
        <f t="shared" si="205"/>
        <v>41464</v>
      </c>
      <c r="B767" s="8">
        <f>TWK!D500</f>
        <v>288.33333333333331</v>
      </c>
      <c r="C767" s="8">
        <f t="shared" ref="C767" si="1456">AVERAGE(B764:B767)</f>
        <v>303.33333333333331</v>
      </c>
      <c r="D767" s="8">
        <f t="shared" ref="D767" si="1457">(C611+C663+C715)/3</f>
        <v>360.8819444444444</v>
      </c>
      <c r="E767" s="8">
        <f t="shared" si="920"/>
        <v>28</v>
      </c>
      <c r="F767" s="8">
        <f t="shared" ref="F767" si="1458">SUM(D767-B767)</f>
        <v>72.548611111111086</v>
      </c>
      <c r="G767" s="20">
        <f t="shared" ref="G767" si="1459">(B767/B766-1)*100</f>
        <v>-5.9782608695652328</v>
      </c>
      <c r="H767" s="20">
        <f t="shared" ref="H767" si="1460">(B767/B715-1)*100</f>
        <v>-18.39622641509434</v>
      </c>
      <c r="I767" s="20">
        <f t="shared" ref="I767" si="1461">(B767/D767-1)*100</f>
        <v>-20.103142378817317</v>
      </c>
    </row>
    <row r="768" spans="1:9" x14ac:dyDescent="0.3">
      <c r="A768" s="13">
        <f t="shared" si="205"/>
        <v>41471</v>
      </c>
      <c r="B768" s="8">
        <f>TWK!D501</f>
        <v>281.66666666666669</v>
      </c>
      <c r="C768" s="8">
        <f t="shared" ref="C768" si="1462">AVERAGE(B765:B768)</f>
        <v>300</v>
      </c>
      <c r="D768" s="8">
        <f t="shared" ref="D768" si="1463">(C612+C664+C716)/3</f>
        <v>380.86111111111109</v>
      </c>
      <c r="E768" s="8">
        <f t="shared" si="920"/>
        <v>29</v>
      </c>
      <c r="F768" s="8">
        <f t="shared" ref="F768" si="1464">SUM(D768-B768)</f>
        <v>99.1944444444444</v>
      </c>
      <c r="G768" s="20">
        <f t="shared" ref="G768" si="1465">(B768/B767-1)*100</f>
        <v>-2.3121387283236872</v>
      </c>
      <c r="H768" s="20">
        <f t="shared" ref="H768" si="1466">(B768/B716-1)*100</f>
        <v>-31.090723751274208</v>
      </c>
      <c r="I768" s="20">
        <f t="shared" ref="I768" si="1467">(B768/D768-1)*100</f>
        <v>-26.044781562249277</v>
      </c>
    </row>
    <row r="769" spans="1:9" x14ac:dyDescent="0.3">
      <c r="A769" s="13">
        <f t="shared" si="205"/>
        <v>41478</v>
      </c>
      <c r="B769" s="8">
        <f>TWK!D502</f>
        <v>265</v>
      </c>
      <c r="C769" s="8">
        <f t="shared" ref="C769" si="1468">AVERAGE(B766:B769)</f>
        <v>285.41666666666669</v>
      </c>
      <c r="D769" s="8">
        <f t="shared" ref="D769" si="1469">(C613+C665+C717)/3</f>
        <v>391.1944444444444</v>
      </c>
      <c r="E769" s="8">
        <f t="shared" si="920"/>
        <v>30</v>
      </c>
      <c r="F769" s="8">
        <f t="shared" ref="F769" si="1470">SUM(D769-B769)</f>
        <v>126.1944444444444</v>
      </c>
      <c r="G769" s="20">
        <f t="shared" ref="G769" si="1471">(B769/B768-1)*100</f>
        <v>-5.9171597633136175</v>
      </c>
      <c r="H769" s="20">
        <f t="shared" ref="H769" si="1472">(B769/B717-1)*100</f>
        <v>-25.700934579439259</v>
      </c>
      <c r="I769" s="20">
        <f t="shared" ref="I769" si="1473">(B769/D769-1)*100</f>
        <v>-32.258751686430443</v>
      </c>
    </row>
    <row r="770" spans="1:9" x14ac:dyDescent="0.3">
      <c r="A770" s="13">
        <f t="shared" si="205"/>
        <v>41485</v>
      </c>
      <c r="B770" s="8">
        <f>TWK!D503</f>
        <v>258.33333333333331</v>
      </c>
      <c r="C770" s="8">
        <f t="shared" ref="C770" si="1474">AVERAGE(B767:B770)</f>
        <v>273.33333333333331</v>
      </c>
      <c r="D770" s="8">
        <f t="shared" ref="D770" si="1475">(C614+C666+C718)/3</f>
        <v>389.77083333333331</v>
      </c>
      <c r="E770" s="8">
        <f t="shared" si="920"/>
        <v>31</v>
      </c>
      <c r="F770" s="8">
        <f t="shared" ref="F770" si="1476">SUM(D770-B770)</f>
        <v>131.4375</v>
      </c>
      <c r="G770" s="20">
        <f t="shared" ref="G770" si="1477">(B770/B769-1)*100</f>
        <v>-2.5157232704402621</v>
      </c>
      <c r="H770" s="20">
        <f t="shared" ref="H770" si="1478">(B770/B718-1)*100</f>
        <v>-27.230046948356811</v>
      </c>
      <c r="I770" s="20">
        <f t="shared" ref="I770" si="1479">(B770/D770-1)*100</f>
        <v>-33.721738200865893</v>
      </c>
    </row>
    <row r="771" spans="1:9" x14ac:dyDescent="0.3">
      <c r="A771" s="13">
        <f t="shared" si="205"/>
        <v>41492</v>
      </c>
      <c r="B771" s="8">
        <f>TWK!D504</f>
        <v>285</v>
      </c>
      <c r="C771" s="8">
        <f t="shared" ref="C771" si="1480">AVERAGE(B768:B771)</f>
        <v>272.5</v>
      </c>
      <c r="D771" s="8">
        <f t="shared" ref="D771" si="1481">(C615+C667+C719)/3</f>
        <v>383.52777777777783</v>
      </c>
      <c r="E771" s="8">
        <f t="shared" si="920"/>
        <v>32</v>
      </c>
      <c r="F771" s="8">
        <f t="shared" ref="F771" si="1482">SUM(D771-B771)</f>
        <v>98.527777777777828</v>
      </c>
      <c r="G771" s="20">
        <f t="shared" ref="G771" si="1483">(B771/B770-1)*100</f>
        <v>10.322580645161295</v>
      </c>
      <c r="H771" s="20">
        <f t="shared" ref="H771" si="1484">(B771/B719-1)*100</f>
        <v>-6.5573770491803245</v>
      </c>
      <c r="I771" s="20">
        <f t="shared" ref="I771" si="1485">(B771/D771-1)*100</f>
        <v>-25.689867458535531</v>
      </c>
    </row>
    <row r="772" spans="1:9" x14ac:dyDescent="0.3">
      <c r="A772" s="13">
        <f t="shared" si="205"/>
        <v>41499</v>
      </c>
      <c r="B772" s="8">
        <f>TWK!D505</f>
        <v>351.66666666666669</v>
      </c>
      <c r="C772" s="8">
        <f t="shared" ref="C772" si="1486">AVERAGE(B769:B772)</f>
        <v>290</v>
      </c>
      <c r="D772" s="8">
        <f t="shared" ref="D772" si="1487">(C616+C668+C720)/3</f>
        <v>380.17361111111114</v>
      </c>
      <c r="E772" s="8">
        <f t="shared" si="920"/>
        <v>33</v>
      </c>
      <c r="F772" s="8">
        <f t="shared" ref="F772" si="1488">SUM(D772-B772)</f>
        <v>28.506944444444457</v>
      </c>
      <c r="G772" s="20">
        <f t="shared" ref="G772" si="1489">(B772/B771-1)*100</f>
        <v>23.391812865497073</v>
      </c>
      <c r="H772" s="20">
        <f t="shared" ref="H772" si="1490">(B772/B720-1)*100</f>
        <v>-3.6529680365296802</v>
      </c>
      <c r="I772" s="20">
        <f t="shared" ref="I772" si="1491">(B772/D772-1)*100</f>
        <v>-7.4984016805187732</v>
      </c>
    </row>
    <row r="773" spans="1:9" x14ac:dyDescent="0.3">
      <c r="A773" s="13">
        <f t="shared" si="205"/>
        <v>41506</v>
      </c>
      <c r="B773" s="8">
        <f>TWK!D506</f>
        <v>355</v>
      </c>
      <c r="C773" s="8">
        <f t="shared" ref="C773" si="1492">AVERAGE(B770:B773)</f>
        <v>312.5</v>
      </c>
      <c r="D773" s="8">
        <f t="shared" ref="D773" si="1493">(C617+C669+C721)/3</f>
        <v>387.36111111111114</v>
      </c>
      <c r="E773" s="8">
        <f t="shared" si="920"/>
        <v>34</v>
      </c>
      <c r="F773" s="8">
        <f t="shared" ref="F773" si="1494">SUM(D773-B773)</f>
        <v>32.361111111111143</v>
      </c>
      <c r="G773" s="20">
        <f t="shared" ref="G773" si="1495">(B773/B772-1)*100</f>
        <v>0.94786729857818663</v>
      </c>
      <c r="H773" s="20">
        <f t="shared" ref="H773" si="1496">(B773/B721-1)*100</f>
        <v>7.575757575757569</v>
      </c>
      <c r="I773" s="20">
        <f t="shared" ref="I773" si="1497">(B773/D773-1)*100</f>
        <v>-8.3542488347077892</v>
      </c>
    </row>
    <row r="774" spans="1:9" x14ac:dyDescent="0.3">
      <c r="A774" s="13">
        <f t="shared" si="205"/>
        <v>41513</v>
      </c>
      <c r="B774" s="8">
        <f>TWK!D507</f>
        <v>391.66666666666669</v>
      </c>
      <c r="C774" s="8">
        <f t="shared" ref="C774" si="1498">AVERAGE(B771:B774)</f>
        <v>345.83333333333337</v>
      </c>
      <c r="D774" s="8">
        <f t="shared" ref="D774" si="1499">(C618+C670+C722)/3</f>
        <v>413.54166666666669</v>
      </c>
      <c r="E774" s="8">
        <f t="shared" si="920"/>
        <v>35</v>
      </c>
      <c r="F774" s="8">
        <f t="shared" ref="F774" si="1500">SUM(D774-B774)</f>
        <v>21.875</v>
      </c>
      <c r="G774" s="20">
        <f t="shared" ref="G774" si="1501">(B774/B773-1)*100</f>
        <v>10.328638497652598</v>
      </c>
      <c r="H774" s="20">
        <f t="shared" ref="H774" si="1502">(B774/B722-1)*100</f>
        <v>-10.476190476190473</v>
      </c>
      <c r="I774" s="20">
        <f t="shared" ref="I774" si="1503">(B774/D774-1)*100</f>
        <v>-5.2896725440806041</v>
      </c>
    </row>
    <row r="775" spans="1:9" x14ac:dyDescent="0.3">
      <c r="A775" s="13">
        <f t="shared" si="205"/>
        <v>41520</v>
      </c>
      <c r="B775" s="8">
        <f>TWK!D508</f>
        <v>425</v>
      </c>
      <c r="C775" s="8">
        <f t="shared" ref="C775" si="1504">AVERAGE(B772:B775)</f>
        <v>380.83333333333337</v>
      </c>
      <c r="D775" s="8">
        <f t="shared" ref="D775" si="1505">(C619+C671+C723)/3</f>
        <v>441.90277777777777</v>
      </c>
      <c r="E775" s="8">
        <f t="shared" si="920"/>
        <v>36</v>
      </c>
      <c r="F775" s="8">
        <f t="shared" ref="F775" si="1506">SUM(D775-B775)</f>
        <v>16.902777777777771</v>
      </c>
      <c r="G775" s="20">
        <f t="shared" ref="G775" si="1507">(B775/B774-1)*100</f>
        <v>8.5106382978723296</v>
      </c>
      <c r="H775" s="20">
        <f t="shared" ref="H775" si="1508">(B775/B723-1)*100</f>
        <v>-15.000000000000002</v>
      </c>
      <c r="I775" s="20">
        <f t="shared" ref="I775" si="1509">(B775/D775-1)*100</f>
        <v>-3.8249992142565303</v>
      </c>
    </row>
    <row r="776" spans="1:9" x14ac:dyDescent="0.3">
      <c r="A776" s="13">
        <f t="shared" si="205"/>
        <v>41527</v>
      </c>
      <c r="B776" s="8">
        <f>TWK!D509</f>
        <v>453.33333333333331</v>
      </c>
      <c r="C776" s="8">
        <f t="shared" ref="C776" si="1510">AVERAGE(B773:B776)</f>
        <v>406.25</v>
      </c>
      <c r="D776" s="8">
        <f t="shared" ref="D776" si="1511">(C620+C672+C724)/3</f>
        <v>465.59027777777777</v>
      </c>
      <c r="E776" s="8">
        <f t="shared" si="920"/>
        <v>37</v>
      </c>
      <c r="F776" s="8">
        <f t="shared" ref="F776" si="1512">SUM(D776-B776)</f>
        <v>12.256944444444457</v>
      </c>
      <c r="G776" s="20">
        <f t="shared" ref="G776" si="1513">(B776/B775-1)*100</f>
        <v>6.6666666666666652</v>
      </c>
      <c r="H776" s="20">
        <f t="shared" ref="H776" si="1514">(B776/B724-1)*100</f>
        <v>-17.575757575757578</v>
      </c>
      <c r="I776" s="20">
        <f t="shared" ref="I776" si="1515">(B776/D776-1)*100</f>
        <v>-2.6325602207472598</v>
      </c>
    </row>
    <row r="777" spans="1:9" x14ac:dyDescent="0.3">
      <c r="A777" s="13">
        <f t="shared" si="205"/>
        <v>41534</v>
      </c>
      <c r="B777" s="8">
        <f>TWK!D510</f>
        <v>550</v>
      </c>
      <c r="C777" s="8">
        <f t="shared" ref="C777" si="1516">AVERAGE(B774:B777)</f>
        <v>455</v>
      </c>
      <c r="D777" s="8">
        <f t="shared" ref="D777" si="1517">(C621+C673+C725)/3</f>
        <v>504.51388888888886</v>
      </c>
      <c r="E777" s="8">
        <f t="shared" si="920"/>
        <v>38</v>
      </c>
      <c r="F777" s="8">
        <f t="shared" ref="F777" si="1518">SUM(D777-B777)</f>
        <v>-45.486111111111143</v>
      </c>
      <c r="G777" s="20">
        <f t="shared" ref="G777" si="1519">(B777/B776-1)*100</f>
        <v>21.323529411764717</v>
      </c>
      <c r="H777" s="20">
        <f t="shared" ref="H777" si="1520">(B777/B725-1)*100</f>
        <v>-12</v>
      </c>
      <c r="I777" s="20">
        <f t="shared" ref="I777" si="1521">(B777/D777-1)*100</f>
        <v>9.0158293186510807</v>
      </c>
    </row>
    <row r="778" spans="1:9" x14ac:dyDescent="0.3">
      <c r="A778" s="13">
        <f t="shared" si="205"/>
        <v>41541</v>
      </c>
      <c r="B778" s="8">
        <f>TWK!D511</f>
        <v>558.33333333333337</v>
      </c>
      <c r="C778" s="8">
        <f t="shared" ref="C778" si="1522">AVERAGE(B775:B778)</f>
        <v>496.66666666666663</v>
      </c>
      <c r="D778" s="8">
        <f t="shared" ref="D778" si="1523">(C622+C674+C726)/3</f>
        <v>531.875</v>
      </c>
      <c r="E778" s="8">
        <f t="shared" si="920"/>
        <v>39</v>
      </c>
      <c r="F778" s="8">
        <f t="shared" ref="F778" si="1524">SUM(D778-B778)</f>
        <v>-26.458333333333371</v>
      </c>
      <c r="G778" s="20">
        <f t="shared" ref="G778" si="1525">(B778/B777-1)*100</f>
        <v>1.5151515151515138</v>
      </c>
      <c r="H778" s="20">
        <f t="shared" ref="H778" si="1526">(B778/B726-1)*100</f>
        <v>-8.2191780821917799</v>
      </c>
      <c r="I778" s="20">
        <f t="shared" ref="I778" si="1527">(B778/D778-1)*100</f>
        <v>4.9745397571484551</v>
      </c>
    </row>
    <row r="779" spans="1:9" x14ac:dyDescent="0.3">
      <c r="A779" s="13">
        <f t="shared" si="205"/>
        <v>41548</v>
      </c>
      <c r="B779" s="8">
        <f>TWK!D512</f>
        <v>595</v>
      </c>
      <c r="C779" s="8">
        <f t="shared" ref="C779:C782" si="1528">AVERAGE(B776:B779)</f>
        <v>539.16666666666663</v>
      </c>
      <c r="D779" s="8">
        <f t="shared" ref="D779:D782" si="1529">(C623+C675+C727)/3</f>
        <v>563.85416666666674</v>
      </c>
      <c r="E779" s="8">
        <f t="shared" si="920"/>
        <v>40</v>
      </c>
      <c r="F779" s="8">
        <f t="shared" ref="F779:F782" si="1530">SUM(D779-B779)</f>
        <v>-31.145833333333258</v>
      </c>
      <c r="G779" s="20">
        <f t="shared" ref="G779:G782" si="1531">(B779/B778-1)*100</f>
        <v>6.5671641791044788</v>
      </c>
      <c r="H779" s="20">
        <f t="shared" ref="H779:H782" si="1532">(B779/B727-1)*100</f>
        <v>-6.0526315789473761</v>
      </c>
      <c r="I779" s="20">
        <f t="shared" ref="I779:I782" si="1533">(B779/D779-1)*100</f>
        <v>5.5237391464991514</v>
      </c>
    </row>
    <row r="780" spans="1:9" x14ac:dyDescent="0.3">
      <c r="A780" s="13">
        <f t="shared" ref="A780:A834" si="1534">7+A779</f>
        <v>41555</v>
      </c>
      <c r="B780" s="8">
        <f>TWK!D513</f>
        <v>550</v>
      </c>
      <c r="C780" s="8">
        <f t="shared" si="1528"/>
        <v>563.33333333333337</v>
      </c>
      <c r="D780" s="8">
        <f t="shared" si="1529"/>
        <v>574.06250000000011</v>
      </c>
      <c r="E780" s="8">
        <f t="shared" ref="E780:E834" si="1535">E779+1</f>
        <v>41</v>
      </c>
      <c r="F780" s="8">
        <f t="shared" si="1530"/>
        <v>24.062500000000114</v>
      </c>
      <c r="G780" s="20">
        <f t="shared" si="1531"/>
        <v>-7.5630252100840289</v>
      </c>
      <c r="H780" s="20">
        <f t="shared" si="1532"/>
        <v>7.3170731707317138</v>
      </c>
      <c r="I780" s="20">
        <f t="shared" si="1533"/>
        <v>-4.1916167664670878</v>
      </c>
    </row>
    <row r="781" spans="1:9" x14ac:dyDescent="0.3">
      <c r="A781" s="13">
        <f t="shared" si="1534"/>
        <v>41562</v>
      </c>
      <c r="B781" s="8">
        <f>TWK!D514</f>
        <v>625</v>
      </c>
      <c r="C781" s="8">
        <f t="shared" si="1528"/>
        <v>582.08333333333337</v>
      </c>
      <c r="D781" s="8">
        <f t="shared" si="1529"/>
        <v>562.40972222222229</v>
      </c>
      <c r="E781" s="8">
        <f t="shared" si="1535"/>
        <v>42</v>
      </c>
      <c r="F781" s="8">
        <f t="shared" si="1530"/>
        <v>-62.590277777777715</v>
      </c>
      <c r="G781" s="20">
        <f t="shared" si="1531"/>
        <v>13.636363636363647</v>
      </c>
      <c r="H781" s="20">
        <f t="shared" si="1532"/>
        <v>25</v>
      </c>
      <c r="I781" s="20">
        <f t="shared" si="1533"/>
        <v>11.12894662106263</v>
      </c>
    </row>
    <row r="782" spans="1:9" x14ac:dyDescent="0.3">
      <c r="A782" s="13">
        <f t="shared" si="1534"/>
        <v>41569</v>
      </c>
      <c r="B782" s="8">
        <f>TWK!D515</f>
        <v>640.66666666666663</v>
      </c>
      <c r="C782" s="8">
        <f t="shared" si="1528"/>
        <v>602.66666666666663</v>
      </c>
      <c r="D782" s="8">
        <f t="shared" si="1529"/>
        <v>549.14583333333337</v>
      </c>
      <c r="E782" s="8">
        <f t="shared" si="1535"/>
        <v>43</v>
      </c>
      <c r="F782" s="8">
        <f t="shared" si="1530"/>
        <v>-91.520833333333258</v>
      </c>
      <c r="G782" s="20">
        <f t="shared" si="1531"/>
        <v>2.5066666666666571</v>
      </c>
      <c r="H782" s="20">
        <f t="shared" si="1532"/>
        <v>9.0496453900709142</v>
      </c>
      <c r="I782" s="20">
        <f t="shared" si="1533"/>
        <v>16.666034371561889</v>
      </c>
    </row>
    <row r="783" spans="1:9" x14ac:dyDescent="0.3">
      <c r="A783" s="13">
        <f t="shared" si="1534"/>
        <v>41576</v>
      </c>
      <c r="B783" s="8">
        <f>TWK!D516</f>
        <v>618.33333333333337</v>
      </c>
      <c r="C783" s="8">
        <f t="shared" ref="C783" si="1536">AVERAGE(B780:B783)</f>
        <v>608.5</v>
      </c>
      <c r="D783" s="8">
        <f t="shared" ref="D783" si="1537">(C627+C679+C731)/3</f>
        <v>518.86805555555554</v>
      </c>
      <c r="E783" s="8">
        <f t="shared" si="1535"/>
        <v>44</v>
      </c>
      <c r="F783" s="8">
        <f t="shared" ref="F783" si="1538">SUM(D783-B783)</f>
        <v>-99.465277777777828</v>
      </c>
      <c r="G783" s="20">
        <f t="shared" ref="G783" si="1539">(B783/B782-1)*100</f>
        <v>-3.4859521331945809</v>
      </c>
      <c r="H783" s="20">
        <f t="shared" ref="H783" si="1540">(B783/B731-1)*100</f>
        <v>13.109756097560998</v>
      </c>
      <c r="I783" s="20">
        <f t="shared" ref="I783" si="1541">(B783/D783-1)*100</f>
        <v>19.16966687634676</v>
      </c>
    </row>
    <row r="784" spans="1:9" x14ac:dyDescent="0.3">
      <c r="A784" s="13">
        <f t="shared" si="1534"/>
        <v>41583</v>
      </c>
      <c r="B784" s="8">
        <f>TWK!D517</f>
        <v>583.33333333333337</v>
      </c>
      <c r="C784" s="8">
        <f t="shared" ref="C784" si="1542">AVERAGE(B781:B784)</f>
        <v>616.83333333333337</v>
      </c>
      <c r="D784" s="8">
        <f t="shared" ref="D784" si="1543">(C628+C680+C732)/3</f>
        <v>507.65277777777777</v>
      </c>
      <c r="E784" s="8">
        <f t="shared" si="1535"/>
        <v>45</v>
      </c>
      <c r="F784" s="8">
        <f t="shared" ref="F784" si="1544">SUM(D784-B784)</f>
        <v>-75.6805555555556</v>
      </c>
      <c r="G784" s="20">
        <f t="shared" ref="G784" si="1545">(B784/B783-1)*100</f>
        <v>-5.6603773584905648</v>
      </c>
      <c r="H784" s="20">
        <f t="shared" ref="H784" si="1546">(B784/B732-1)*100</f>
        <v>-1.9607843137254832</v>
      </c>
      <c r="I784" s="20">
        <f t="shared" ref="I784" si="1547">(B784/D784-1)*100</f>
        <v>14.90793685535281</v>
      </c>
    </row>
    <row r="785" spans="1:9" x14ac:dyDescent="0.3">
      <c r="A785" s="13">
        <f t="shared" si="1534"/>
        <v>41590</v>
      </c>
      <c r="B785" s="8">
        <f>TWK!D518</f>
        <v>691.66666666666663</v>
      </c>
      <c r="C785" s="8">
        <f t="shared" ref="C785" si="1548">AVERAGE(B782:B785)</f>
        <v>633.5</v>
      </c>
      <c r="D785" s="8">
        <f t="shared" ref="D785" si="1549">(C629+C681+C733)/3</f>
        <v>494.16666666666669</v>
      </c>
      <c r="E785" s="8">
        <f t="shared" si="1535"/>
        <v>46</v>
      </c>
      <c r="F785" s="8">
        <f t="shared" ref="F785" si="1550">SUM(D785-B785)</f>
        <v>-197.49999999999994</v>
      </c>
      <c r="G785" s="20">
        <f t="shared" ref="G785" si="1551">(B785/B784-1)*100</f>
        <v>18.571428571428548</v>
      </c>
      <c r="H785" s="20">
        <f t="shared" ref="H785" si="1552">(B785/B733-1)*100</f>
        <v>29.687499999999979</v>
      </c>
      <c r="I785" s="20">
        <f t="shared" ref="I785" si="1553">(B785/D785-1)*100</f>
        <v>39.966273187183802</v>
      </c>
    </row>
    <row r="786" spans="1:9" x14ac:dyDescent="0.3">
      <c r="A786" s="13">
        <f t="shared" si="1534"/>
        <v>41597</v>
      </c>
      <c r="B786" s="8">
        <f>TWK!D519</f>
        <v>650</v>
      </c>
      <c r="C786" s="8">
        <f t="shared" ref="C786" si="1554">AVERAGE(B783:B786)</f>
        <v>635.83333333333337</v>
      </c>
      <c r="D786" s="8">
        <f t="shared" ref="D786" si="1555">(C630+C682+C734)/3</f>
        <v>486.8125</v>
      </c>
      <c r="E786" s="8">
        <f t="shared" si="1535"/>
        <v>47</v>
      </c>
      <c r="F786" s="8">
        <f t="shared" ref="F786" si="1556">SUM(D786-B786)</f>
        <v>-163.1875</v>
      </c>
      <c r="G786" s="20">
        <f t="shared" ref="G786" si="1557">(B786/B785-1)*100</f>
        <v>-6.0240963855421654</v>
      </c>
      <c r="H786" s="20">
        <f t="shared" ref="H786" si="1558">(B786/B734-1)*100</f>
        <v>8.333333333333325</v>
      </c>
      <c r="I786" s="20">
        <f t="shared" ref="I786" si="1559">(B786/D786-1)*100</f>
        <v>33.521633072281418</v>
      </c>
    </row>
    <row r="787" spans="1:9" x14ac:dyDescent="0.3">
      <c r="A787" s="13">
        <f t="shared" si="1534"/>
        <v>41604</v>
      </c>
      <c r="B787" s="8">
        <f>TWK!D520</f>
        <v>530</v>
      </c>
      <c r="C787" s="8">
        <f t="shared" ref="C787" si="1560">AVERAGE(B784:B787)</f>
        <v>613.75</v>
      </c>
      <c r="D787" s="8">
        <f t="shared" ref="D787" si="1561">(C631+C683+C735)/3</f>
        <v>487.54861111111114</v>
      </c>
      <c r="E787" s="8">
        <f t="shared" si="1535"/>
        <v>48</v>
      </c>
      <c r="F787" s="8">
        <f t="shared" ref="F787" si="1562">SUM(D787-B787)</f>
        <v>-42.451388888888857</v>
      </c>
      <c r="G787" s="20">
        <f t="shared" ref="G787" si="1563">(B787/B786-1)*100</f>
        <v>-18.461538461538463</v>
      </c>
      <c r="H787" s="20">
        <f t="shared" ref="H787" si="1564">(B787/B735-1)*100</f>
        <v>-13.539967373572592</v>
      </c>
      <c r="I787" s="20">
        <f t="shared" ref="I787" si="1565">(B787/D787-1)*100</f>
        <v>8.7071089777372546</v>
      </c>
    </row>
    <row r="788" spans="1:9" x14ac:dyDescent="0.3">
      <c r="A788" s="13">
        <f t="shared" si="1534"/>
        <v>41611</v>
      </c>
      <c r="B788" s="8">
        <f>TWK!D521</f>
        <v>541.66666666666663</v>
      </c>
      <c r="C788" s="8">
        <f t="shared" ref="C788" si="1566">AVERAGE(B785:B788)</f>
        <v>603.33333333333326</v>
      </c>
      <c r="D788" s="8">
        <f t="shared" ref="D788" si="1567">(C632+C684+C736)/3</f>
        <v>492.32638888888886</v>
      </c>
      <c r="E788" s="8">
        <f t="shared" si="1535"/>
        <v>49</v>
      </c>
      <c r="F788" s="8">
        <f t="shared" ref="F788" si="1568">SUM(D788-B788)</f>
        <v>-49.340277777777771</v>
      </c>
      <c r="G788" s="20">
        <f t="shared" ref="G788" si="1569">(B788/B787-1)*100</f>
        <v>2.2012578616352085</v>
      </c>
      <c r="H788" s="20">
        <f t="shared" ref="H788" si="1570">(B788/B736-1)*100</f>
        <v>-5.7971014492753659</v>
      </c>
      <c r="I788" s="20">
        <f t="shared" ref="I788" si="1571">(B788/D788-1)*100</f>
        <v>10.021863318992885</v>
      </c>
    </row>
    <row r="789" spans="1:9" x14ac:dyDescent="0.3">
      <c r="A789" s="13">
        <f t="shared" si="1534"/>
        <v>41618</v>
      </c>
      <c r="B789" s="8">
        <f>TWK!D522</f>
        <v>538.33333333333337</v>
      </c>
      <c r="C789" s="8">
        <f t="shared" ref="C789" si="1572">AVERAGE(B786:B789)</f>
        <v>565</v>
      </c>
      <c r="D789" s="8">
        <f t="shared" ref="D789" si="1573">(C633+C685+C737)/3</f>
        <v>506.875</v>
      </c>
      <c r="E789" s="8">
        <f t="shared" si="1535"/>
        <v>50</v>
      </c>
      <c r="F789" s="8">
        <f t="shared" ref="F789" si="1574">SUM(D789-B789)</f>
        <v>-31.458333333333371</v>
      </c>
      <c r="G789" s="20">
        <f t="shared" ref="G789" si="1575">(B789/B788-1)*100</f>
        <v>-0.61538461538460654</v>
      </c>
      <c r="H789" s="20">
        <f t="shared" ref="H789" si="1576">(B789/B737-1)*100</f>
        <v>-10.277777777777775</v>
      </c>
      <c r="I789" s="20">
        <f t="shared" ref="I789" si="1577">(B789/D789-1)*100</f>
        <v>6.2063296341964724</v>
      </c>
    </row>
    <row r="790" spans="1:9" x14ac:dyDescent="0.3">
      <c r="A790" s="13">
        <f t="shared" si="1534"/>
        <v>41625</v>
      </c>
      <c r="B790" s="8">
        <f>TWK!D523</f>
        <v>576.66666666666663</v>
      </c>
      <c r="C790" s="8">
        <f t="shared" ref="C790" si="1578">AVERAGE(B787:B790)</f>
        <v>546.66666666666663</v>
      </c>
      <c r="D790" s="8">
        <f t="shared" ref="D790" si="1579">(C634+C686+C738)/3</f>
        <v>503.75</v>
      </c>
      <c r="E790" s="8">
        <f t="shared" si="1535"/>
        <v>51</v>
      </c>
      <c r="F790" s="8">
        <f t="shared" ref="F790" si="1580">SUM(D790-B790)</f>
        <v>-72.916666666666629</v>
      </c>
      <c r="G790" s="20">
        <f t="shared" ref="G790" si="1581">(B790/B789-1)*100</f>
        <v>7.120743034055721</v>
      </c>
      <c r="H790" s="20">
        <f t="shared" ref="H790" si="1582">(B790/B738-1)*100</f>
        <v>0.28985507246375164</v>
      </c>
      <c r="I790" s="20">
        <f t="shared" ref="I790" si="1583">(B790/D790-1)*100</f>
        <v>14.474772539288661</v>
      </c>
    </row>
    <row r="791" spans="1:9" x14ac:dyDescent="0.3">
      <c r="A791" s="13">
        <f t="shared" si="1534"/>
        <v>41632</v>
      </c>
      <c r="B791" s="8">
        <f>TWK!D524</f>
        <v>590</v>
      </c>
      <c r="C791" s="8">
        <f t="shared" ref="C791" si="1584">AVERAGE(B788:B791)</f>
        <v>561.66666666666663</v>
      </c>
      <c r="D791" s="8">
        <f t="shared" ref="D791" si="1585">(C635+C687+C739)/3</f>
        <v>495.72916666666669</v>
      </c>
      <c r="E791" s="8">
        <f t="shared" si="1535"/>
        <v>52</v>
      </c>
      <c r="F791" s="8">
        <f t="shared" ref="F791" si="1586">SUM(D791-B791)</f>
        <v>-94.270833333333314</v>
      </c>
      <c r="G791" s="20">
        <f t="shared" ref="G791" si="1587">(B791/B790-1)*100</f>
        <v>2.3121387283236983</v>
      </c>
      <c r="H791" s="20">
        <f t="shared" ref="H791" si="1588">(B791/B739-1)*100</f>
        <v>4.7957371225577194</v>
      </c>
      <c r="I791" s="20">
        <f t="shared" ref="I791" si="1589">(B791/D791-1)*100</f>
        <v>19.016600126076909</v>
      </c>
    </row>
    <row r="792" spans="1:9" x14ac:dyDescent="0.3">
      <c r="A792" s="13">
        <f t="shared" si="1534"/>
        <v>41639</v>
      </c>
      <c r="B792" s="8">
        <f>TWK!D525</f>
        <v>586.66666666666663</v>
      </c>
      <c r="C792" s="8">
        <f t="shared" ref="C792" si="1590">AVERAGE(B789:B792)</f>
        <v>572.91666666666663</v>
      </c>
      <c r="D792" s="8">
        <f t="shared" ref="D792" si="1591">(C636+C688+C740)/3</f>
        <v>470.8819444444444</v>
      </c>
      <c r="E792" s="8">
        <v>1</v>
      </c>
      <c r="F792" s="8">
        <f t="shared" ref="F792" si="1592">SUM(D792-B792)</f>
        <v>-115.78472222222223</v>
      </c>
      <c r="G792" s="20">
        <f t="shared" ref="G792" si="1593">(B792/B791-1)*100</f>
        <v>-0.56497175141243527</v>
      </c>
      <c r="H792" s="20">
        <f t="shared" ref="H792" si="1594">(B792/B740-1)*100</f>
        <v>17.333333333333336</v>
      </c>
      <c r="I792" s="20">
        <f t="shared" ref="I792" si="1595">(B792/D792-1)*100</f>
        <v>24.58890675004055</v>
      </c>
    </row>
    <row r="793" spans="1:9" x14ac:dyDescent="0.3">
      <c r="A793" s="13">
        <f t="shared" si="1534"/>
        <v>41646</v>
      </c>
      <c r="B793" s="8">
        <f>TWK!D526</f>
        <v>567.5</v>
      </c>
      <c r="C793" s="8">
        <f t="shared" ref="C793" si="1596">AVERAGE(B790:B793)</f>
        <v>580.20833333333326</v>
      </c>
      <c r="D793" s="8">
        <f t="shared" ref="D793" si="1597">(C637+C689+C741)/3</f>
        <v>439.59722222222217</v>
      </c>
      <c r="E793" s="8">
        <f t="shared" si="1535"/>
        <v>2</v>
      </c>
      <c r="F793" s="8">
        <f t="shared" ref="F793" si="1598">SUM(D793-B793)</f>
        <v>-127.90277777777783</v>
      </c>
      <c r="G793" s="20">
        <f t="shared" ref="G793" si="1599">(B793/B792-1)*100</f>
        <v>-3.2670454545454475</v>
      </c>
      <c r="H793" s="20">
        <f t="shared" ref="H793" si="1600">(B793/B741-1)*100</f>
        <v>52.348993288590592</v>
      </c>
      <c r="I793" s="20">
        <f t="shared" ref="I793" si="1601">(B793/D793-1)*100</f>
        <v>29.095447221256855</v>
      </c>
    </row>
    <row r="794" spans="1:9" x14ac:dyDescent="0.3">
      <c r="A794" s="13">
        <f t="shared" si="1534"/>
        <v>41653</v>
      </c>
      <c r="B794" s="8">
        <f>TWK!D527</f>
        <v>560</v>
      </c>
      <c r="C794" s="8">
        <f t="shared" ref="C794" si="1602">AVERAGE(B791:B794)</f>
        <v>576.04166666666663</v>
      </c>
      <c r="D794" s="8">
        <f t="shared" ref="D794" si="1603">(C638+C690+C742)/3</f>
        <v>416.36111111111109</v>
      </c>
      <c r="E794" s="8">
        <f t="shared" si="1535"/>
        <v>3</v>
      </c>
      <c r="F794" s="8">
        <f t="shared" ref="F794" si="1604">SUM(D794-B794)</f>
        <v>-143.63888888888891</v>
      </c>
      <c r="G794" s="20">
        <f t="shared" ref="G794" si="1605">(B794/B793-1)*100</f>
        <v>-1.3215859030836996</v>
      </c>
      <c r="H794" s="20">
        <f t="shared" ref="H794" si="1606">(B794/B742-1)*100</f>
        <v>61.151079136690647</v>
      </c>
      <c r="I794" s="20">
        <f t="shared" ref="I794" si="1607">(B794/D794-1)*100</f>
        <v>34.498632330375621</v>
      </c>
    </row>
    <row r="795" spans="1:9" x14ac:dyDescent="0.3">
      <c r="A795" s="13">
        <f t="shared" si="1534"/>
        <v>41660</v>
      </c>
      <c r="B795" s="8">
        <f>TWK!D528</f>
        <v>555</v>
      </c>
      <c r="C795" s="8">
        <f t="shared" ref="C795" si="1608">AVERAGE(B792:B795)</f>
        <v>567.29166666666663</v>
      </c>
      <c r="D795" s="8">
        <f t="shared" ref="D795" si="1609">(C639+C691+C743)/3</f>
        <v>398.54861111111109</v>
      </c>
      <c r="E795" s="8">
        <f t="shared" si="1535"/>
        <v>4</v>
      </c>
      <c r="F795" s="8">
        <f t="shared" ref="F795" si="1610">SUM(D795-B795)</f>
        <v>-156.45138888888891</v>
      </c>
      <c r="G795" s="20">
        <f t="shared" ref="G795" si="1611">(B795/B794-1)*100</f>
        <v>-0.89285714285713969</v>
      </c>
      <c r="H795" s="20">
        <f t="shared" ref="H795" si="1612">(B795/B743-1)*100</f>
        <v>66.666666666666671</v>
      </c>
      <c r="I795" s="20">
        <f t="shared" ref="I795" si="1613">(B795/D795-1)*100</f>
        <v>39.255283929535992</v>
      </c>
    </row>
    <row r="796" spans="1:9" x14ac:dyDescent="0.3">
      <c r="A796" s="13">
        <f t="shared" si="1534"/>
        <v>41667</v>
      </c>
      <c r="B796" s="8">
        <f>TWK!D529</f>
        <v>590</v>
      </c>
      <c r="C796" s="8">
        <f t="shared" ref="C796" si="1614">AVERAGE(B793:B796)</f>
        <v>568.125</v>
      </c>
      <c r="D796" s="8">
        <f t="shared" ref="D796" si="1615">(C640+C692+C744)/3</f>
        <v>405.72916666666669</v>
      </c>
      <c r="E796" s="8">
        <f t="shared" si="1535"/>
        <v>5</v>
      </c>
      <c r="F796" s="8">
        <f t="shared" ref="F796" si="1616">SUM(D796-B796)</f>
        <v>-184.27083333333331</v>
      </c>
      <c r="G796" s="20">
        <f t="shared" ref="G796" si="1617">(B796/B795-1)*100</f>
        <v>6.3063063063063085</v>
      </c>
      <c r="H796" s="20">
        <f t="shared" ref="H796" si="1618">(B796/B744-1)*100</f>
        <v>78.787878787878782</v>
      </c>
      <c r="I796" s="20">
        <f t="shared" ref="I796" si="1619">(B796/D796-1)*100</f>
        <v>45.417201540436444</v>
      </c>
    </row>
    <row r="797" spans="1:9" x14ac:dyDescent="0.3">
      <c r="A797" s="13">
        <f t="shared" si="1534"/>
        <v>41674</v>
      </c>
      <c r="B797" s="8">
        <f>TWK!D530</f>
        <v>0</v>
      </c>
      <c r="C797" s="8">
        <f t="shared" ref="C797" si="1620">AVERAGE(B794:B797)</f>
        <v>426.25</v>
      </c>
      <c r="D797" s="8">
        <f t="shared" ref="D797" si="1621">(C641+C693+C745)/3</f>
        <v>411.5625</v>
      </c>
      <c r="E797" s="8">
        <f t="shared" si="1535"/>
        <v>6</v>
      </c>
      <c r="F797" s="8">
        <f t="shared" ref="F797" si="1622">SUM(D797-B797)</f>
        <v>411.5625</v>
      </c>
      <c r="G797" s="20">
        <f t="shared" ref="G797" si="1623">(B797/B796-1)*100</f>
        <v>-100</v>
      </c>
      <c r="H797" s="20">
        <f t="shared" ref="H797" si="1624">(B797/B745-1)*100</f>
        <v>-100</v>
      </c>
      <c r="I797" s="20">
        <f t="shared" ref="I797" si="1625">(B797/D797-1)*100</f>
        <v>-100</v>
      </c>
    </row>
    <row r="798" spans="1:9" x14ac:dyDescent="0.3">
      <c r="A798" s="13">
        <f t="shared" si="1534"/>
        <v>41681</v>
      </c>
      <c r="B798" s="8">
        <f>TWK!D531</f>
        <v>597</v>
      </c>
      <c r="C798" s="8">
        <f t="shared" ref="C798" si="1626">AVERAGE(B795:B798)</f>
        <v>435.5</v>
      </c>
      <c r="D798" s="8">
        <f t="shared" ref="D798" si="1627">(C642+C694+C746)/3</f>
        <v>425.34722222222217</v>
      </c>
      <c r="E798" s="8">
        <f t="shared" si="1535"/>
        <v>7</v>
      </c>
      <c r="F798" s="8">
        <f t="shared" ref="F798" si="1628">SUM(D798-B798)</f>
        <v>-171.65277777777783</v>
      </c>
      <c r="G798" s="20" t="e">
        <f t="shared" ref="G798" si="1629">(B798/B797-1)*100</f>
        <v>#DIV/0!</v>
      </c>
      <c r="H798" s="20">
        <f t="shared" ref="H798" si="1630">(B798/B746-1)*100</f>
        <v>83.692307692307693</v>
      </c>
      <c r="I798" s="20">
        <f t="shared" ref="I798" si="1631">(B798/D798-1)*100</f>
        <v>40.355918367346952</v>
      </c>
    </row>
    <row r="799" spans="1:9" x14ac:dyDescent="0.3">
      <c r="A799" s="13">
        <f t="shared" si="1534"/>
        <v>41688</v>
      </c>
      <c r="B799" s="8">
        <f>TWK!D532</f>
        <v>600</v>
      </c>
      <c r="C799" s="8">
        <f t="shared" ref="C799" si="1632">AVERAGE(B796:B799)</f>
        <v>446.75</v>
      </c>
      <c r="D799" s="8">
        <f t="shared" ref="D799" si="1633">(C643+C695+C747)/3</f>
        <v>433.11805555555549</v>
      </c>
      <c r="E799" s="8">
        <f t="shared" si="1535"/>
        <v>8</v>
      </c>
      <c r="F799" s="8">
        <f t="shared" ref="F799" si="1634">SUM(D799-B799)</f>
        <v>-166.88194444444451</v>
      </c>
      <c r="G799" s="20">
        <f t="shared" ref="G799" si="1635">(B799/B798-1)*100</f>
        <v>0.50251256281406143</v>
      </c>
      <c r="H799" s="20">
        <f t="shared" ref="H799" si="1636">(B799/B747-1)*100</f>
        <v>84.615384615384627</v>
      </c>
      <c r="I799" s="20">
        <f t="shared" ref="I799" si="1637">(B799/D799-1)*100</f>
        <v>38.530359633792457</v>
      </c>
    </row>
    <row r="800" spans="1:9" x14ac:dyDescent="0.3">
      <c r="A800" s="13">
        <f t="shared" si="1534"/>
        <v>41695</v>
      </c>
      <c r="B800" s="8">
        <f>TWK!D533</f>
        <v>591.66666666666663</v>
      </c>
      <c r="C800" s="8">
        <f t="shared" ref="C800" si="1638">AVERAGE(B797:B800)</f>
        <v>447.16666666666663</v>
      </c>
      <c r="D800" s="8">
        <f t="shared" ref="D800" si="1639">(C644+C696+C748)/3</f>
        <v>421.8819444444444</v>
      </c>
      <c r="E800" s="8">
        <f t="shared" si="1535"/>
        <v>9</v>
      </c>
      <c r="F800" s="8">
        <f t="shared" ref="F800" si="1640">SUM(D800-B800)</f>
        <v>-169.78472222222223</v>
      </c>
      <c r="G800" s="20">
        <f t="shared" ref="G800" si="1641">(B800/B799-1)*100</f>
        <v>-1.3888888888888951</v>
      </c>
      <c r="H800" s="20">
        <f t="shared" ref="H800" si="1642">(B800/B748-1)*100</f>
        <v>81.122448979591823</v>
      </c>
      <c r="I800" s="20">
        <f t="shared" ref="I800" si="1643">(B800/D800-1)*100</f>
        <v>40.244605027077739</v>
      </c>
    </row>
    <row r="801" spans="1:11" x14ac:dyDescent="0.3">
      <c r="A801" s="13">
        <f t="shared" si="1534"/>
        <v>41702</v>
      </c>
      <c r="B801" s="8">
        <f>TWK!D534</f>
        <v>620</v>
      </c>
      <c r="C801" s="8">
        <f t="shared" ref="C801" si="1644">AVERAGE(B798:B801)</f>
        <v>602.16666666666663</v>
      </c>
      <c r="D801" s="8">
        <f t="shared" ref="D801" si="1645">(C645+C697+C749)/3</f>
        <v>426.00694444444451</v>
      </c>
      <c r="E801" s="8">
        <f t="shared" si="1535"/>
        <v>10</v>
      </c>
      <c r="F801" s="8">
        <f t="shared" ref="F801" si="1646">SUM(D801-B801)</f>
        <v>-193.99305555555549</v>
      </c>
      <c r="G801" s="20">
        <f t="shared" ref="G801" si="1647">(B801/B800-1)*100</f>
        <v>4.788732394366213</v>
      </c>
      <c r="H801" s="20">
        <f t="shared" ref="H801" si="1648">(B801/B749-1)*100</f>
        <v>90.769230769230774</v>
      </c>
      <c r="I801" s="20">
        <f t="shared" ref="I801" si="1649">(B801/D801-1)*100</f>
        <v>45.537533621321998</v>
      </c>
    </row>
    <row r="802" spans="1:11" x14ac:dyDescent="0.3">
      <c r="A802" s="13">
        <f t="shared" si="1534"/>
        <v>41709</v>
      </c>
      <c r="B802" s="8">
        <f>TWK!D535</f>
        <v>625</v>
      </c>
      <c r="C802" s="8">
        <f t="shared" ref="C802" si="1650">AVERAGE(B799:B802)</f>
        <v>609.16666666666663</v>
      </c>
      <c r="D802" s="8">
        <f t="shared" ref="D802" si="1651">(C646+C698+C750)/3</f>
        <v>417.1875</v>
      </c>
      <c r="E802" s="8">
        <f t="shared" si="1535"/>
        <v>11</v>
      </c>
      <c r="F802" s="8">
        <f t="shared" ref="F802" si="1652">SUM(D802-B802)</f>
        <v>-207.8125</v>
      </c>
      <c r="G802" s="20">
        <f t="shared" ref="G802" si="1653">(B802/B801-1)*100</f>
        <v>0.80645161290322509</v>
      </c>
      <c r="H802" s="20">
        <f t="shared" ref="H802" si="1654">(B802/B750-1)*100</f>
        <v>92.307692307692307</v>
      </c>
      <c r="I802" s="20">
        <f t="shared" ref="I802" si="1655">(B802/D802-1)*100</f>
        <v>49.812734082397014</v>
      </c>
    </row>
    <row r="803" spans="1:11" x14ac:dyDescent="0.3">
      <c r="A803" s="13">
        <f t="shared" si="1534"/>
        <v>41716</v>
      </c>
      <c r="B803" s="8">
        <f>TWK!D536</f>
        <v>578.33333333333337</v>
      </c>
      <c r="C803" s="8">
        <f t="shared" ref="C803" si="1656">AVERAGE(B800:B803)</f>
        <v>603.75</v>
      </c>
      <c r="D803" s="8">
        <f t="shared" ref="D803" si="1657">(C647+C699+C751)/3</f>
        <v>408.25</v>
      </c>
      <c r="E803" s="8">
        <f t="shared" si="1535"/>
        <v>12</v>
      </c>
      <c r="F803" s="8">
        <f t="shared" ref="F803" si="1658">SUM(D803-B803)</f>
        <v>-170.08333333333337</v>
      </c>
      <c r="G803" s="20">
        <f t="shared" ref="G803" si="1659">(B803/B802-1)*100</f>
        <v>-7.4666666666666659</v>
      </c>
      <c r="H803" s="20">
        <f t="shared" ref="H803" si="1660">(B803/B751-1)*100</f>
        <v>88.382193268186768</v>
      </c>
      <c r="I803" s="20">
        <f t="shared" ref="I803" si="1661">(B803/D803-1)*100</f>
        <v>41.661563584404981</v>
      </c>
    </row>
    <row r="804" spans="1:11" x14ac:dyDescent="0.3">
      <c r="A804" s="13">
        <f t="shared" si="1534"/>
        <v>41723</v>
      </c>
      <c r="B804" s="8">
        <f>TWK!D537</f>
        <v>468.75</v>
      </c>
      <c r="C804" s="8">
        <f t="shared" ref="C804" si="1662">AVERAGE(B801:B804)</f>
        <v>573.02083333333337</v>
      </c>
      <c r="D804" s="8">
        <f t="shared" ref="D804" si="1663">(C648+C700+C752)/3</f>
        <v>403.73611111111109</v>
      </c>
      <c r="E804" s="8">
        <f t="shared" si="1535"/>
        <v>13</v>
      </c>
      <c r="F804" s="8">
        <f t="shared" ref="F804" si="1664">SUM(D804-B804)</f>
        <v>-65.013888888888914</v>
      </c>
      <c r="G804" s="20">
        <f t="shared" ref="G804" si="1665">(B804/B803-1)*100</f>
        <v>-18.948126801152743</v>
      </c>
      <c r="H804" s="20">
        <f t="shared" ref="H804" si="1666">(B804/B752-1)*100</f>
        <v>59.801136363636374</v>
      </c>
      <c r="I804" s="20">
        <f t="shared" ref="I804" si="1667">(B804/D804-1)*100</f>
        <v>16.10306512091919</v>
      </c>
    </row>
    <row r="805" spans="1:11" x14ac:dyDescent="0.3">
      <c r="A805" s="13">
        <f t="shared" si="1534"/>
        <v>41730</v>
      </c>
      <c r="B805" s="8">
        <f>TWK!D538</f>
        <v>416.25</v>
      </c>
      <c r="C805" s="8">
        <f t="shared" ref="C805" si="1668">AVERAGE(B802:B805)</f>
        <v>522.08333333333337</v>
      </c>
      <c r="D805" s="8">
        <f t="shared" ref="D805" si="1669">(C649+C701+C753)/3</f>
        <v>383.22222222222223</v>
      </c>
      <c r="E805" s="8">
        <f t="shared" si="1535"/>
        <v>14</v>
      </c>
      <c r="F805" s="8">
        <f t="shared" ref="F805" si="1670">SUM(D805-B805)</f>
        <v>-33.027777777777771</v>
      </c>
      <c r="G805" s="20">
        <f t="shared" ref="G805" si="1671">(B805/B804-1)*100</f>
        <v>-11.2</v>
      </c>
      <c r="H805" s="20">
        <f t="shared" ref="H805" si="1672">(B805/B753-1)*100</f>
        <v>58.571428571428562</v>
      </c>
      <c r="I805" s="20">
        <f t="shared" ref="I805" si="1673">(B805/D805-1)*100</f>
        <v>8.6184401275732014</v>
      </c>
    </row>
    <row r="806" spans="1:11" x14ac:dyDescent="0.3">
      <c r="A806" s="13">
        <f t="shared" si="1534"/>
        <v>41737</v>
      </c>
      <c r="B806" s="8">
        <f>TWK!D539</f>
        <v>370</v>
      </c>
      <c r="C806" s="8">
        <f t="shared" ref="C806" si="1674">AVERAGE(B803:B806)</f>
        <v>458.33333333333337</v>
      </c>
      <c r="D806" s="8">
        <f t="shared" ref="D806" si="1675">(C650+C702+C754)/3</f>
        <v>367.1805555555556</v>
      </c>
      <c r="E806" s="8">
        <f t="shared" si="1535"/>
        <v>15</v>
      </c>
      <c r="F806" s="8">
        <f t="shared" ref="F806" si="1676">SUM(D806-B806)</f>
        <v>-2.8194444444444002</v>
      </c>
      <c r="G806" s="20">
        <f t="shared" ref="G806" si="1677">(B806/B805-1)*100</f>
        <v>-11.111111111111116</v>
      </c>
      <c r="H806" s="20">
        <f t="shared" ref="H806" si="1678">(B806/B754-1)*100</f>
        <v>29.824561403508774</v>
      </c>
      <c r="I806" s="20">
        <f t="shared" ref="I806" si="1679">(B806/D806-1)*100</f>
        <v>0.76786322199946522</v>
      </c>
    </row>
    <row r="807" spans="1:11" x14ac:dyDescent="0.3">
      <c r="A807" s="13">
        <f t="shared" si="1534"/>
        <v>41744</v>
      </c>
      <c r="B807" s="8">
        <f>TWK!D540</f>
        <v>383.75</v>
      </c>
      <c r="C807" s="8">
        <f t="shared" ref="C807" si="1680">AVERAGE(B804:B807)</f>
        <v>409.6875</v>
      </c>
      <c r="D807" s="8">
        <f t="shared" ref="D807:D808" si="1681">(C651+C703+C755)/3</f>
        <v>355.04861111111114</v>
      </c>
      <c r="E807" s="8">
        <f t="shared" si="1535"/>
        <v>16</v>
      </c>
      <c r="F807" s="8">
        <f t="shared" ref="F807" si="1682">SUM(D807-B807)</f>
        <v>-28.701388888888857</v>
      </c>
      <c r="G807" s="20">
        <f t="shared" ref="G807" si="1683">(B807/B806-1)*100</f>
        <v>3.716216216216206</v>
      </c>
      <c r="H807" s="20">
        <f t="shared" ref="H807" si="1684">(B807/B755-1)*100</f>
        <v>40.396341463414643</v>
      </c>
      <c r="I807" s="20">
        <f t="shared" ref="I807" si="1685">(B807/D807-1)*100</f>
        <v>8.0837913431259345</v>
      </c>
    </row>
    <row r="808" spans="1:11" x14ac:dyDescent="0.3">
      <c r="A808" s="13">
        <f t="shared" si="1534"/>
        <v>41751</v>
      </c>
      <c r="B808" s="8">
        <f>TWK!D541</f>
        <v>377</v>
      </c>
      <c r="C808" s="8">
        <f t="shared" ref="C808" si="1686">AVERAGE(B805:B808)</f>
        <v>386.75</v>
      </c>
      <c r="D808" s="8">
        <f t="shared" si="1681"/>
        <v>342.77777777777777</v>
      </c>
      <c r="E808" s="8">
        <f t="shared" si="1535"/>
        <v>17</v>
      </c>
      <c r="F808" s="8">
        <f t="shared" ref="F808" si="1687">SUM(D808-B808)</f>
        <v>-34.222222222222229</v>
      </c>
      <c r="G808" s="20">
        <f t="shared" ref="G808" si="1688">(B808/B807-1)*100</f>
        <v>-1.7589576547231256</v>
      </c>
      <c r="H808" s="136">
        <f t="shared" ref="H808" si="1689">(B808/B756-1)*100</f>
        <v>34.442793462109968</v>
      </c>
      <c r="I808" s="20">
        <f t="shared" ref="I808" si="1690">(B808/D808-1)*100</f>
        <v>9.9837925445705125</v>
      </c>
      <c r="K808" s="7" t="s">
        <v>64</v>
      </c>
    </row>
    <row r="809" spans="1:11" x14ac:dyDescent="0.3">
      <c r="A809" s="13">
        <f t="shared" si="1534"/>
        <v>41758</v>
      </c>
      <c r="B809" s="8">
        <f>TWK!D542</f>
        <v>360</v>
      </c>
      <c r="C809" s="8">
        <f t="shared" ref="C809" si="1691">AVERAGE(B806:B809)</f>
        <v>372.6875</v>
      </c>
      <c r="D809" s="8">
        <f t="shared" ref="D809:D814" si="1692">(C653+C705+C757)/3</f>
        <v>344.29861111111109</v>
      </c>
      <c r="E809" s="8">
        <f t="shared" si="1535"/>
        <v>18</v>
      </c>
      <c r="F809" s="8">
        <f t="shared" ref="F809" si="1693">SUM(D809-B809)</f>
        <v>-15.701388888888914</v>
      </c>
      <c r="G809" s="20">
        <f t="shared" ref="G809" si="1694">(B809/B808-1)*100</f>
        <v>-4.5092838196286511</v>
      </c>
      <c r="H809" s="138">
        <f t="shared" ref="H809:H814" si="1695">(B809/B757-1)*100</f>
        <v>28.38038632986628</v>
      </c>
      <c r="I809" s="20">
        <f t="shared" ref="I809" si="1696">(B809/D809-1)*100</f>
        <v>4.5603985558401838</v>
      </c>
    </row>
    <row r="810" spans="1:11" x14ac:dyDescent="0.3">
      <c r="A810" s="13">
        <f t="shared" si="1534"/>
        <v>41765</v>
      </c>
      <c r="B810" s="8">
        <f>TWK!D543</f>
        <v>365</v>
      </c>
      <c r="C810" s="8">
        <f t="shared" ref="C810" si="1697">AVERAGE(B807:B810)</f>
        <v>371.4375</v>
      </c>
      <c r="D810" s="8">
        <f t="shared" si="1692"/>
        <v>346.6944444444444</v>
      </c>
      <c r="E810" s="8">
        <f t="shared" si="1535"/>
        <v>19</v>
      </c>
      <c r="F810" s="8">
        <f t="shared" ref="F810" si="1698">SUM(D810-B810)</f>
        <v>-18.3055555555556</v>
      </c>
      <c r="G810" s="20">
        <f t="shared" ref="G810" si="1699">(B810/B809-1)*100</f>
        <v>1.388888888888884</v>
      </c>
      <c r="H810" s="138">
        <f t="shared" si="1695"/>
        <v>26.956521739130434</v>
      </c>
      <c r="I810" s="20">
        <f t="shared" ref="I810" si="1700">(B810/D810-1)*100</f>
        <v>5.280025638971253</v>
      </c>
    </row>
    <row r="811" spans="1:11" x14ac:dyDescent="0.3">
      <c r="A811" s="13">
        <f t="shared" si="1534"/>
        <v>41772</v>
      </c>
      <c r="B811" s="8">
        <f>TWK!D544</f>
        <v>355</v>
      </c>
      <c r="C811" s="8">
        <f t="shared" ref="C811" si="1701">AVERAGE(B808:B811)</f>
        <v>364.25</v>
      </c>
      <c r="D811" s="8">
        <f t="shared" si="1692"/>
        <v>349.01388888888886</v>
      </c>
      <c r="E811" s="8">
        <f t="shared" si="1535"/>
        <v>20</v>
      </c>
      <c r="F811" s="8">
        <f t="shared" ref="F811" si="1702">SUM(D811-B811)</f>
        <v>-5.9861111111111427</v>
      </c>
      <c r="G811" s="20">
        <f t="shared" ref="G811" si="1703">(B811/B810-1)*100</f>
        <v>-2.7397260273972601</v>
      </c>
      <c r="H811" s="138">
        <f t="shared" si="1695"/>
        <v>27.927927927927932</v>
      </c>
      <c r="I811" s="20">
        <f t="shared" ref="I811" si="1704">(B811/D811-1)*100</f>
        <v>1.7151498268932475</v>
      </c>
    </row>
    <row r="812" spans="1:11" x14ac:dyDescent="0.3">
      <c r="A812" s="13">
        <f t="shared" si="1534"/>
        <v>41779</v>
      </c>
      <c r="B812" s="8">
        <f>TWK!D545</f>
        <v>372.5</v>
      </c>
      <c r="C812" s="8">
        <f t="shared" ref="C812" si="1705">AVERAGE(B809:B812)</f>
        <v>363.125</v>
      </c>
      <c r="D812" s="8">
        <f t="shared" si="1692"/>
        <v>352.29166666666669</v>
      </c>
      <c r="E812" s="8">
        <f t="shared" si="1535"/>
        <v>21</v>
      </c>
      <c r="F812" s="8">
        <f t="shared" ref="F812" si="1706">SUM(D812-B812)</f>
        <v>-20.208333333333314</v>
      </c>
      <c r="G812" s="20">
        <f t="shared" ref="G812" si="1707">(B812/B811-1)*100</f>
        <v>4.9295774647887258</v>
      </c>
      <c r="H812" s="138">
        <f t="shared" si="1695"/>
        <v>36.280487804878049</v>
      </c>
      <c r="I812" s="20">
        <f t="shared" ref="I812" si="1708">(B812/D812-1)*100</f>
        <v>5.7362507392075601</v>
      </c>
    </row>
    <row r="813" spans="1:11" x14ac:dyDescent="0.3">
      <c r="A813" s="13">
        <f t="shared" si="1534"/>
        <v>41786</v>
      </c>
      <c r="B813" s="8">
        <f>TWK!D546</f>
        <v>360</v>
      </c>
      <c r="C813" s="8">
        <f t="shared" ref="C813" si="1709">AVERAGE(B810:B813)</f>
        <v>363.125</v>
      </c>
      <c r="D813" s="8">
        <f t="shared" si="1692"/>
        <v>354.42361111111109</v>
      </c>
      <c r="E813" s="8">
        <f t="shared" si="1535"/>
        <v>22</v>
      </c>
      <c r="F813" s="8">
        <f t="shared" ref="F813" si="1710">SUM(D813-B813)</f>
        <v>-5.5763888888889142</v>
      </c>
      <c r="G813" s="20">
        <f t="shared" ref="G813" si="1711">(B813/B812-1)*100</f>
        <v>-3.3557046979865723</v>
      </c>
      <c r="H813" s="138">
        <f t="shared" si="1695"/>
        <v>16.129032258064523</v>
      </c>
      <c r="I813" s="20">
        <f t="shared" ref="I813" si="1712">(B813/D813-1)*100</f>
        <v>1.5733683406156329</v>
      </c>
    </row>
    <row r="814" spans="1:11" x14ac:dyDescent="0.3">
      <c r="A814" s="13">
        <f t="shared" si="1534"/>
        <v>41793</v>
      </c>
      <c r="B814" s="8">
        <f>TWK!D547</f>
        <v>353.33333333333331</v>
      </c>
      <c r="C814" s="8">
        <f t="shared" ref="C814" si="1713">AVERAGE(B811:B814)</f>
        <v>360.20833333333331</v>
      </c>
      <c r="D814" s="8">
        <f t="shared" si="1692"/>
        <v>353.10416666666669</v>
      </c>
      <c r="E814" s="8">
        <f t="shared" si="1535"/>
        <v>23</v>
      </c>
      <c r="F814" s="8">
        <f t="shared" ref="F814" si="1714">SUM(D814-B814)</f>
        <v>-0.22916666666662877</v>
      </c>
      <c r="G814" s="20">
        <f t="shared" ref="G814" si="1715">(B814/B813-1)*100</f>
        <v>-1.8518518518518601</v>
      </c>
      <c r="H814" s="138">
        <f t="shared" si="1695"/>
        <v>12.169312169312164</v>
      </c>
      <c r="I814" s="20">
        <f t="shared" ref="I814" si="1716">(B814/D814-1)*100</f>
        <v>6.490058410524302E-2</v>
      </c>
    </row>
    <row r="815" spans="1:11" x14ac:dyDescent="0.3">
      <c r="A815" s="13">
        <f t="shared" si="1534"/>
        <v>41800</v>
      </c>
      <c r="B815" s="8">
        <f>TWK!D548</f>
        <v>373.33333333333331</v>
      </c>
      <c r="C815" s="8">
        <f t="shared" ref="C815" si="1717">AVERAGE(B812:B815)</f>
        <v>364.79166666666663</v>
      </c>
      <c r="D815" s="8">
        <f t="shared" ref="D815" si="1718">(C659+C711+C763)/3</f>
        <v>351.4375</v>
      </c>
      <c r="E815" s="8">
        <f t="shared" si="1535"/>
        <v>24</v>
      </c>
      <c r="F815" s="8">
        <f t="shared" ref="F815" si="1719">SUM(D815-B815)</f>
        <v>-21.895833333333314</v>
      </c>
      <c r="G815" s="20">
        <f t="shared" ref="G815" si="1720">(B815/B814-1)*100</f>
        <v>5.6603773584905648</v>
      </c>
      <c r="H815" s="138">
        <f t="shared" ref="H815" si="1721">(B815/B763-1)*100</f>
        <v>27.635327635327634</v>
      </c>
      <c r="I815" s="20">
        <f t="shared" ref="I815" si="1722">(B815/D815-1)*100</f>
        <v>6.230363388464033</v>
      </c>
    </row>
    <row r="816" spans="1:11" x14ac:dyDescent="0.3">
      <c r="A816" s="13">
        <f t="shared" si="1534"/>
        <v>41807</v>
      </c>
      <c r="B816" s="8">
        <f>TWK!D549</f>
        <v>366.66666666666669</v>
      </c>
      <c r="C816" s="8">
        <f t="shared" ref="C816" si="1723">AVERAGE(B813:B816)</f>
        <v>363.33333333333331</v>
      </c>
      <c r="D816" s="8">
        <f t="shared" ref="D816" si="1724">(C660+C712+C764)/3</f>
        <v>349.48611111111114</v>
      </c>
      <c r="E816" s="8">
        <f t="shared" si="1535"/>
        <v>25</v>
      </c>
      <c r="F816" s="8">
        <f t="shared" ref="F816" si="1725">SUM(D816-B816)</f>
        <v>-17.180555555555543</v>
      </c>
      <c r="G816" s="20">
        <f t="shared" ref="G816" si="1726">(B816/B815-1)*100</f>
        <v>-1.7857142857142794</v>
      </c>
      <c r="H816" s="138">
        <f t="shared" ref="H816" si="1727">(B816/B764-1)*100</f>
        <v>24.293785310734471</v>
      </c>
      <c r="I816" s="20">
        <f t="shared" ref="I816" si="1728">(B816/D816-1)*100</f>
        <v>4.9159480189166604</v>
      </c>
    </row>
    <row r="817" spans="1:9" x14ac:dyDescent="0.3">
      <c r="A817" s="13">
        <f t="shared" si="1534"/>
        <v>41814</v>
      </c>
      <c r="B817" s="8">
        <f>TWK!D550</f>
        <v>368.75</v>
      </c>
      <c r="C817" s="8">
        <f t="shared" ref="C817" si="1729">AVERAGE(B814:B817)</f>
        <v>365.52083333333331</v>
      </c>
      <c r="D817" s="8">
        <f t="shared" ref="D817" si="1730">(C661+C713+C765)/3</f>
        <v>344.09722222222223</v>
      </c>
      <c r="E817" s="8">
        <f t="shared" si="1535"/>
        <v>26</v>
      </c>
      <c r="F817" s="8">
        <f t="shared" ref="F817" si="1731">SUM(D817-B817)</f>
        <v>-24.652777777777771</v>
      </c>
      <c r="G817" s="20">
        <f t="shared" ref="G817" si="1732">(B817/B816-1)*100</f>
        <v>0.56818181818181213</v>
      </c>
      <c r="H817" s="138">
        <f t="shared" ref="H817" si="1733">(B817/B765-1)*100</f>
        <v>14.046391752577335</v>
      </c>
      <c r="I817" s="20">
        <f t="shared" ref="I817" si="1734">(B817/D817-1)*100</f>
        <v>7.1644803229061527</v>
      </c>
    </row>
    <row r="818" spans="1:9" x14ac:dyDescent="0.3">
      <c r="A818" s="13">
        <f t="shared" si="1534"/>
        <v>41821</v>
      </c>
      <c r="B818" s="8">
        <f>TWK!D551</f>
        <v>378.33333333333331</v>
      </c>
      <c r="C818" s="8">
        <f t="shared" ref="C818" si="1735">AVERAGE(B815:B818)</f>
        <v>371.77083333333331</v>
      </c>
      <c r="D818" s="8">
        <f t="shared" ref="D818" si="1736">(C662+C714+C766)/3</f>
        <v>347.4305555555556</v>
      </c>
      <c r="E818" s="8">
        <f t="shared" si="1535"/>
        <v>27</v>
      </c>
      <c r="F818" s="8">
        <f t="shared" ref="F818" si="1737">SUM(D818-B818)</f>
        <v>-30.902777777777715</v>
      </c>
      <c r="G818" s="20">
        <f t="shared" ref="G818" si="1738">(B818/B817-1)*100</f>
        <v>2.5988700564971712</v>
      </c>
      <c r="H818" s="138">
        <f t="shared" ref="H818" si="1739">(B818/B766-1)*100</f>
        <v>23.369565217391287</v>
      </c>
      <c r="I818" s="20">
        <f t="shared" ref="I818" si="1740">(B818/D818-1)*100</f>
        <v>8.8946632020787231</v>
      </c>
    </row>
    <row r="819" spans="1:9" x14ac:dyDescent="0.3">
      <c r="A819" s="13">
        <f t="shared" si="1534"/>
        <v>41828</v>
      </c>
      <c r="B819" s="8">
        <f>TWK!D552</f>
        <v>345</v>
      </c>
      <c r="C819" s="8">
        <f t="shared" ref="C819" si="1741">AVERAGE(B816:B819)</f>
        <v>364.6875</v>
      </c>
      <c r="D819" s="8">
        <f t="shared" ref="D819" si="1742">(C663+C715+C767)/3</f>
        <v>353.09027777777777</v>
      </c>
      <c r="E819" s="8">
        <f t="shared" si="1535"/>
        <v>28</v>
      </c>
      <c r="F819" s="8">
        <f t="shared" ref="F819" si="1743">SUM(D819-B819)</f>
        <v>8.0902777777777715</v>
      </c>
      <c r="G819" s="20">
        <f t="shared" ref="G819" si="1744">(B819/B818-1)*100</f>
        <v>-8.8105726872246599</v>
      </c>
      <c r="H819" s="138">
        <f t="shared" ref="H819" si="1745">(B819/B767-1)*100</f>
        <v>19.653179190751445</v>
      </c>
      <c r="I819" s="20">
        <f t="shared" ref="I819" si="1746">(B819/D819-1)*100</f>
        <v>-2.2912774117415657</v>
      </c>
    </row>
    <row r="820" spans="1:9" x14ac:dyDescent="0.3">
      <c r="A820" s="13">
        <f t="shared" si="1534"/>
        <v>41835</v>
      </c>
      <c r="B820" s="8">
        <f>TWK!D553</f>
        <v>405</v>
      </c>
      <c r="C820" s="8">
        <f t="shared" ref="C820" si="1747">AVERAGE(B817:B820)</f>
        <v>374.27083333333331</v>
      </c>
      <c r="D820" s="8">
        <f t="shared" ref="D820" si="1748">(C664+C716+C768)/3</f>
        <v>361.40277777777777</v>
      </c>
      <c r="E820" s="8">
        <f t="shared" si="1535"/>
        <v>29</v>
      </c>
      <c r="F820" s="8">
        <f t="shared" ref="F820" si="1749">SUM(D820-B820)</f>
        <v>-43.597222222222229</v>
      </c>
      <c r="G820" s="20">
        <f t="shared" ref="G820" si="1750">(B820/B819-1)*100</f>
        <v>17.391304347826097</v>
      </c>
      <c r="H820" s="138">
        <f t="shared" ref="H820" si="1751">(B820/B768-1)*100</f>
        <v>43.786982248520687</v>
      </c>
      <c r="I820" s="20">
        <f t="shared" ref="I820" si="1752">(B820/D820-1)*100</f>
        <v>12.063333461435001</v>
      </c>
    </row>
    <row r="821" spans="1:9" x14ac:dyDescent="0.3">
      <c r="A821" s="13">
        <f t="shared" si="1534"/>
        <v>41842</v>
      </c>
      <c r="B821" s="8">
        <f>TWK!D554</f>
        <v>546.66666666666663</v>
      </c>
      <c r="C821" s="8">
        <f t="shared" ref="C821" si="1753">AVERAGE(B818:B821)</f>
        <v>418.75</v>
      </c>
      <c r="D821" s="8">
        <f t="shared" ref="D821" si="1754">(C665+C717+C769)/3</f>
        <v>359.1805555555556</v>
      </c>
      <c r="E821" s="8">
        <f t="shared" si="1535"/>
        <v>30</v>
      </c>
      <c r="F821" s="8">
        <f t="shared" ref="F821" si="1755">SUM(D821-B821)</f>
        <v>-187.48611111111103</v>
      </c>
      <c r="G821" s="20">
        <f t="shared" ref="G821" si="1756">(B821/B820-1)*100</f>
        <v>34.979423868312743</v>
      </c>
      <c r="H821" s="138">
        <f t="shared" ref="H821" si="1757">(B821/B769-1)*100</f>
        <v>106.28930817610063</v>
      </c>
      <c r="I821" s="20">
        <f t="shared" ref="I821" si="1758">(B821/D821-1)*100</f>
        <v>52.198290862688964</v>
      </c>
    </row>
    <row r="822" spans="1:9" x14ac:dyDescent="0.3">
      <c r="A822" s="13">
        <f t="shared" si="1534"/>
        <v>41849</v>
      </c>
      <c r="B822" s="8">
        <f>TWK!D555</f>
        <v>560</v>
      </c>
      <c r="C822" s="8">
        <f t="shared" ref="C822" si="1759">AVERAGE(B819:B822)</f>
        <v>464.16666666666663</v>
      </c>
      <c r="D822" s="8">
        <f t="shared" ref="D822" si="1760">(C666+C718+C770)/3</f>
        <v>349.875</v>
      </c>
      <c r="E822" s="8">
        <f t="shared" si="1535"/>
        <v>31</v>
      </c>
      <c r="F822" s="8">
        <f t="shared" ref="F822" si="1761">SUM(D822-B822)</f>
        <v>-210.125</v>
      </c>
      <c r="G822" s="20">
        <f t="shared" ref="G822" si="1762">(B822/B821-1)*100</f>
        <v>2.4390243902439046</v>
      </c>
      <c r="H822" s="138">
        <f t="shared" ref="H822" si="1763">(B822/B770-1)*100</f>
        <v>116.77419354838712</v>
      </c>
      <c r="I822" s="20">
        <f t="shared" ref="I822" si="1764">(B822/D822-1)*100</f>
        <v>60.057163272597357</v>
      </c>
    </row>
    <row r="823" spans="1:9" x14ac:dyDescent="0.3">
      <c r="A823" s="13">
        <f t="shared" si="1534"/>
        <v>41856</v>
      </c>
      <c r="B823" s="8">
        <f>TWK!D556</f>
        <v>467.5</v>
      </c>
      <c r="C823" s="8">
        <f t="shared" ref="C823" si="1765">AVERAGE(B820:B823)</f>
        <v>494.79166666666663</v>
      </c>
      <c r="D823" s="8">
        <f t="shared" ref="D823" si="1766">(C667+C719+C771)/3</f>
        <v>339.5625</v>
      </c>
      <c r="E823" s="8">
        <f t="shared" si="1535"/>
        <v>32</v>
      </c>
      <c r="F823" s="8">
        <f t="shared" ref="F823" si="1767">SUM(D823-B823)</f>
        <v>-127.9375</v>
      </c>
      <c r="G823" s="20">
        <f t="shared" ref="G823" si="1768">(B823/B822-1)*100</f>
        <v>-16.517857142857139</v>
      </c>
      <c r="H823" s="138">
        <f t="shared" ref="H823" si="1769">(B823/B771-1)*100</f>
        <v>64.035087719298247</v>
      </c>
      <c r="I823" s="20">
        <f t="shared" ref="I823" si="1770">(B823/D823-1)*100</f>
        <v>37.677158107859384</v>
      </c>
    </row>
    <row r="824" spans="1:9" x14ac:dyDescent="0.3">
      <c r="A824" s="13">
        <f t="shared" si="1534"/>
        <v>41863</v>
      </c>
      <c r="B824" s="8">
        <f>TWK!D557</f>
        <v>441.66666666666669</v>
      </c>
      <c r="C824" s="8">
        <f t="shared" ref="C824" si="1771">AVERAGE(B821:B824)</f>
        <v>503.95833333333331</v>
      </c>
      <c r="D824" s="8">
        <f t="shared" ref="D824" si="1772">(C668+C720+C772)/3</f>
        <v>341.04166666666669</v>
      </c>
      <c r="E824" s="8">
        <f t="shared" si="1535"/>
        <v>33</v>
      </c>
      <c r="F824" s="8">
        <f t="shared" ref="F824" si="1773">SUM(D824-B824)</f>
        <v>-100.625</v>
      </c>
      <c r="G824" s="20">
        <f t="shared" ref="G824" si="1774">(B824/B823-1)*100</f>
        <v>-5.525846702317283</v>
      </c>
      <c r="H824" s="138">
        <f t="shared" ref="H824" si="1775">(B824/B772-1)*100</f>
        <v>25.592417061611371</v>
      </c>
      <c r="I824" s="20">
        <f t="shared" ref="I824" si="1776">(B824/D824-1)*100</f>
        <v>29.50519242516798</v>
      </c>
    </row>
    <row r="825" spans="1:9" x14ac:dyDescent="0.3">
      <c r="A825" s="13">
        <f t="shared" si="1534"/>
        <v>41870</v>
      </c>
      <c r="B825" s="8">
        <f>TWK!D558</f>
        <v>466.66666666666669</v>
      </c>
      <c r="C825" s="8">
        <f t="shared" ref="C825" si="1777">AVERAGE(B822:B825)</f>
        <v>483.95833333333337</v>
      </c>
      <c r="D825" s="8">
        <f t="shared" ref="D825" si="1778">(C669+C721+C773)/3</f>
        <v>350.06944444444451</v>
      </c>
      <c r="E825" s="8">
        <f t="shared" si="1535"/>
        <v>34</v>
      </c>
      <c r="F825" s="8">
        <f t="shared" ref="F825" si="1779">SUM(D825-B825)</f>
        <v>-116.59722222222217</v>
      </c>
      <c r="G825" s="20">
        <f t="shared" ref="G825" si="1780">(B825/B824-1)*100</f>
        <v>5.6603773584905648</v>
      </c>
      <c r="H825" s="138">
        <f t="shared" ref="H825" si="1781">(B825/B773-1)*100</f>
        <v>31.455399061032875</v>
      </c>
      <c r="I825" s="20">
        <f t="shared" ref="I825" si="1782">(B825/D825-1)*100</f>
        <v>33.306883554850209</v>
      </c>
    </row>
    <row r="826" spans="1:9" x14ac:dyDescent="0.3">
      <c r="A826" s="13">
        <f t="shared" si="1534"/>
        <v>41877</v>
      </c>
      <c r="B826" s="8">
        <f>TWK!D559</f>
        <v>468.75</v>
      </c>
      <c r="C826" s="8">
        <f t="shared" ref="C826" si="1783">AVERAGE(B823:B826)</f>
        <v>461.14583333333337</v>
      </c>
      <c r="D826" s="8">
        <f t="shared" ref="D826" si="1784">(C670+C722+C774)/3</f>
        <v>376.11111111111114</v>
      </c>
      <c r="E826" s="8">
        <f t="shared" si="1535"/>
        <v>35</v>
      </c>
      <c r="F826" s="8">
        <f t="shared" ref="F826" si="1785">SUM(D826-B826)</f>
        <v>-92.638888888888857</v>
      </c>
      <c r="G826" s="20">
        <f t="shared" ref="G826" si="1786">(B826/B825-1)*100</f>
        <v>0.44642857142855874</v>
      </c>
      <c r="H826" s="138">
        <f t="shared" ref="H826" si="1787">(B826/B774-1)*100</f>
        <v>19.680851063829774</v>
      </c>
      <c r="I826" s="20">
        <f t="shared" ref="I826" si="1788">(B826/D826-1)*100</f>
        <v>24.630723781388465</v>
      </c>
    </row>
    <row r="827" spans="1:9" x14ac:dyDescent="0.3">
      <c r="A827" s="13">
        <f t="shared" si="1534"/>
        <v>41884</v>
      </c>
      <c r="B827" s="8">
        <f>TWK!D560</f>
        <v>596.25</v>
      </c>
      <c r="C827" s="8">
        <f t="shared" ref="C827" si="1789">AVERAGE(B824:B827)</f>
        <v>493.33333333333337</v>
      </c>
      <c r="D827" s="8">
        <f t="shared" ref="D827" si="1790">(C671+C723+C775)/3</f>
        <v>410.97222222222217</v>
      </c>
      <c r="E827" s="8">
        <f t="shared" si="1535"/>
        <v>36</v>
      </c>
      <c r="F827" s="8">
        <f t="shared" ref="F827" si="1791">SUM(D827-B827)</f>
        <v>-185.27777777777783</v>
      </c>
      <c r="G827" s="20">
        <f t="shared" ref="G827" si="1792">(B827/B826-1)*100</f>
        <v>27.200000000000003</v>
      </c>
      <c r="H827" s="138">
        <f t="shared" ref="H827" si="1793">(B827/B775-1)*100</f>
        <v>40.294117647058812</v>
      </c>
      <c r="I827" s="20">
        <f t="shared" ref="I827" si="1794">(B827/D827-1)*100</f>
        <v>45.082798242649559</v>
      </c>
    </row>
    <row r="828" spans="1:9" x14ac:dyDescent="0.3">
      <c r="A828" s="13">
        <f t="shared" si="1534"/>
        <v>41891</v>
      </c>
      <c r="B828" s="8">
        <f>TWK!D561</f>
        <v>666.66666666666663</v>
      </c>
      <c r="C828" s="8">
        <f t="shared" ref="C828" si="1795">AVERAGE(B825:B828)</f>
        <v>549.58333333333337</v>
      </c>
      <c r="D828" s="8">
        <f t="shared" ref="D828" si="1796">(C672+C724+C776)/3</f>
        <v>439.23611111111109</v>
      </c>
      <c r="E828" s="8">
        <f t="shared" si="1535"/>
        <v>37</v>
      </c>
      <c r="F828" s="8">
        <f t="shared" ref="F828" si="1797">SUM(D828-B828)</f>
        <v>-227.43055555555554</v>
      </c>
      <c r="G828" s="20">
        <f t="shared" ref="G828" si="1798">(B828/B827-1)*100</f>
        <v>11.809923130677834</v>
      </c>
      <c r="H828" s="138">
        <f t="shared" ref="H828" si="1799">(B828/B776-1)*100</f>
        <v>47.058823529411754</v>
      </c>
      <c r="I828" s="20">
        <f t="shared" ref="I828" si="1800">(B828/D828-1)*100</f>
        <v>51.778656126482204</v>
      </c>
    </row>
    <row r="829" spans="1:9" x14ac:dyDescent="0.3">
      <c r="A829" s="13">
        <f t="shared" si="1534"/>
        <v>41898</v>
      </c>
      <c r="B829" s="8">
        <f>TWK!D562</f>
        <v>633.33333333333337</v>
      </c>
      <c r="C829" s="8">
        <f t="shared" ref="C829" si="1801">AVERAGE(B826:B829)</f>
        <v>591.25</v>
      </c>
      <c r="D829" s="8">
        <f t="shared" ref="D829" si="1802">(C673+C725+C777)/3</f>
        <v>487.01388888888886</v>
      </c>
      <c r="E829" s="8">
        <f t="shared" si="1535"/>
        <v>38</v>
      </c>
      <c r="F829" s="8">
        <f t="shared" ref="F829" si="1803">SUM(D829-B829)</f>
        <v>-146.31944444444451</v>
      </c>
      <c r="G829" s="20">
        <f t="shared" ref="G829" si="1804">(B829/B828-1)*100</f>
        <v>-4.9999999999999929</v>
      </c>
      <c r="H829" s="138">
        <f t="shared" ref="H829" si="1805">(B829/B777-1)*100</f>
        <v>15.151515151515159</v>
      </c>
      <c r="I829" s="20">
        <f t="shared" ref="I829" si="1806">(B829/D829-1)*100</f>
        <v>30.044203621845167</v>
      </c>
    </row>
    <row r="830" spans="1:9" x14ac:dyDescent="0.3">
      <c r="A830" s="13">
        <f t="shared" si="1534"/>
        <v>41905</v>
      </c>
      <c r="B830" s="8">
        <f>TWK!D563</f>
        <v>825</v>
      </c>
      <c r="C830" s="8">
        <f t="shared" ref="C830" si="1807">AVERAGE(B827:B830)</f>
        <v>680.3125</v>
      </c>
      <c r="D830" s="8">
        <f t="shared" ref="D830" si="1808">(C674+C726+C778)/3</f>
        <v>523.8888888888888</v>
      </c>
      <c r="E830" s="8">
        <f t="shared" si="1535"/>
        <v>39</v>
      </c>
      <c r="F830" s="8">
        <f t="shared" ref="F830" si="1809">SUM(D830-B830)</f>
        <v>-301.1111111111112</v>
      </c>
      <c r="G830" s="20">
        <f t="shared" ref="G830" si="1810">(B830/B829-1)*100</f>
        <v>30.263157894736835</v>
      </c>
      <c r="H830" s="138">
        <f t="shared" ref="H830" si="1811">(B830/B778-1)*100</f>
        <v>47.761194029850728</v>
      </c>
      <c r="I830" s="20">
        <f t="shared" ref="I830" si="1812">(B830/D830-1)*100</f>
        <v>57.476139978791132</v>
      </c>
    </row>
    <row r="831" spans="1:9" x14ac:dyDescent="0.3">
      <c r="A831" s="13">
        <f t="shared" si="1534"/>
        <v>41912</v>
      </c>
      <c r="B831" s="8">
        <f>TWK!D564</f>
        <v>1066.6666666666667</v>
      </c>
      <c r="C831" s="8">
        <f t="shared" ref="C831" si="1813">AVERAGE(B828:B831)</f>
        <v>797.91666666666674</v>
      </c>
      <c r="D831" s="8">
        <f t="shared" ref="D831" si="1814">(C675+C727+C779)/3</f>
        <v>557.6388888888888</v>
      </c>
      <c r="E831" s="8">
        <f t="shared" si="1535"/>
        <v>40</v>
      </c>
      <c r="F831" s="8">
        <f t="shared" ref="F831" si="1815">SUM(D831-B831)</f>
        <v>-509.02777777777794</v>
      </c>
      <c r="G831" s="20">
        <f t="shared" ref="G831" si="1816">(B831/B830-1)*100</f>
        <v>29.292929292929305</v>
      </c>
      <c r="H831" s="138">
        <f t="shared" ref="H831" si="1817">(B831/B779-1)*100</f>
        <v>79.271708683473392</v>
      </c>
      <c r="I831" s="20">
        <f t="shared" ref="I831" si="1818">(B831/D831-1)*100</f>
        <v>91.282689912826953</v>
      </c>
    </row>
    <row r="832" spans="1:9" x14ac:dyDescent="0.3">
      <c r="A832" s="13">
        <f t="shared" si="1534"/>
        <v>41919</v>
      </c>
      <c r="B832" s="8">
        <f>TWK!D565</f>
        <v>891.66666666666663</v>
      </c>
      <c r="C832" s="8">
        <f t="shared" ref="C832" si="1819">AVERAGE(B829:B832)</f>
        <v>854.16666666666663</v>
      </c>
      <c r="D832" s="8">
        <f t="shared" ref="D832" si="1820">(C676+C728+C780)/3</f>
        <v>566.7361111111112</v>
      </c>
      <c r="E832" s="8">
        <f t="shared" si="1535"/>
        <v>41</v>
      </c>
      <c r="F832" s="8">
        <f t="shared" ref="F832" si="1821">SUM(D832-B832)</f>
        <v>-324.93055555555543</v>
      </c>
      <c r="G832" s="20">
        <f t="shared" ref="G832" si="1822">(B832/B831-1)*100</f>
        <v>-16.406250000000011</v>
      </c>
      <c r="H832" s="138">
        <f t="shared" ref="H832" si="1823">(B832/B780-1)*100</f>
        <v>62.12121212121211</v>
      </c>
      <c r="I832" s="20">
        <f t="shared" ref="I832" si="1824">(B832/D832-1)*100</f>
        <v>57.333660090675131</v>
      </c>
    </row>
    <row r="833" spans="1:9" x14ac:dyDescent="0.3">
      <c r="A833" s="13">
        <f t="shared" si="1534"/>
        <v>41926</v>
      </c>
      <c r="B833" s="8">
        <f>TWK!D566</f>
        <v>833.33333333333337</v>
      </c>
      <c r="C833" s="8">
        <f t="shared" ref="C833" si="1825">AVERAGE(B830:B833)</f>
        <v>904.16666666666674</v>
      </c>
      <c r="D833" s="8">
        <f t="shared" ref="D833" si="1826">(C677+C729+C781)/3</f>
        <v>560.70833333333337</v>
      </c>
      <c r="E833" s="8">
        <f t="shared" si="1535"/>
        <v>42</v>
      </c>
      <c r="F833" s="8">
        <f t="shared" ref="F833" si="1827">SUM(D833-B833)</f>
        <v>-272.625</v>
      </c>
      <c r="G833" s="20">
        <f t="shared" ref="G833" si="1828">(B833/B832-1)*100</f>
        <v>-6.5420560747663448</v>
      </c>
      <c r="H833" s="138">
        <f t="shared" ref="H833" si="1829">(B833/B781-1)*100</f>
        <v>33.33333333333335</v>
      </c>
      <c r="I833" s="20">
        <f t="shared" ref="I833" si="1830">(B833/D833-1)*100</f>
        <v>48.621535260459247</v>
      </c>
    </row>
    <row r="834" spans="1:9" x14ac:dyDescent="0.3">
      <c r="A834" s="13">
        <f t="shared" si="1534"/>
        <v>41933</v>
      </c>
      <c r="B834" s="8">
        <f>TWK!D567</f>
        <v>872.5</v>
      </c>
      <c r="C834" s="8">
        <f t="shared" ref="C834" si="1831">AVERAGE(B831:B834)</f>
        <v>916.04166666666674</v>
      </c>
      <c r="D834" s="8">
        <f t="shared" ref="D834" si="1832">(C678+C730+C782)/3</f>
        <v>559.93055555555554</v>
      </c>
      <c r="E834" s="8">
        <f t="shared" si="1535"/>
        <v>43</v>
      </c>
      <c r="F834" s="8">
        <f t="shared" ref="F834" si="1833">SUM(D834-B834)</f>
        <v>-312.56944444444446</v>
      </c>
      <c r="G834" s="20">
        <f t="shared" ref="G834" si="1834">(B834/B833-1)*100</f>
        <v>4.6999999999999931</v>
      </c>
      <c r="H834" s="138">
        <f t="shared" ref="H834" si="1835">(B834/B782-1)*100</f>
        <v>36.186264308012504</v>
      </c>
      <c r="I834" s="20">
        <f t="shared" ref="I834" si="1836">(B834/D834-1)*100</f>
        <v>55.822894704204387</v>
      </c>
    </row>
  </sheetData>
  <mergeCells count="1">
    <mergeCell ref="G4:I4"/>
  </mergeCells>
  <phoneticPr fontId="6" type="noConversion"/>
  <pageMargins left="0.75" right="0.75" top="1" bottom="1" header="0.5" footer="0.5"/>
  <pageSetup orientation="landscape" r:id="rId1"/>
  <headerFooter alignWithMargins="0"/>
  <ignoredErrors>
    <ignoredError sqref="C392:C393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622"/>
  <sheetViews>
    <sheetView zoomScaleNormal="100" workbookViewId="0">
      <pane xSplit="1" ySplit="3" topLeftCell="B595" activePane="bottomRight" state="frozen"/>
      <selection pane="topRight" activeCell="C1" sqref="C1"/>
      <selection pane="bottomLeft" activeCell="A4" sqref="A4"/>
      <selection pane="bottomRight" activeCell="A622" sqref="A622:XFD622"/>
    </sheetView>
  </sheetViews>
  <sheetFormatPr defaultColWidth="8.90625" defaultRowHeight="13" x14ac:dyDescent="0.3"/>
  <cols>
    <col min="1" max="1" width="12.36328125" style="13" bestFit="1" customWidth="1"/>
    <col min="2" max="28" width="8.90625" style="92"/>
    <col min="29" max="29" width="15.54296875" style="92" customWidth="1"/>
    <col min="30" max="38" width="8.90625" style="92"/>
    <col min="39" max="39" width="20.36328125" style="92" customWidth="1"/>
    <col min="40" max="16384" width="8.90625" style="92"/>
  </cols>
  <sheetData>
    <row r="1" spans="1:47" x14ac:dyDescent="0.3">
      <c r="A1" s="51" t="s">
        <v>44</v>
      </c>
      <c r="AC1" s="144" t="s">
        <v>56</v>
      </c>
      <c r="AL1" s="93"/>
      <c r="AM1" s="144" t="s">
        <v>60</v>
      </c>
    </row>
    <row r="2" spans="1:47" x14ac:dyDescent="0.3">
      <c r="B2" s="94" t="s">
        <v>43</v>
      </c>
      <c r="C2" s="95"/>
      <c r="D2" s="95"/>
      <c r="E2" s="95"/>
      <c r="F2" s="96"/>
      <c r="G2" s="96"/>
      <c r="H2" s="96"/>
      <c r="I2" s="96"/>
      <c r="K2" s="97" t="s">
        <v>40</v>
      </c>
      <c r="L2" s="98"/>
      <c r="M2" s="98"/>
      <c r="N2" s="98"/>
      <c r="O2" s="98"/>
      <c r="P2" s="98"/>
      <c r="Q2" s="98"/>
      <c r="R2" s="98"/>
      <c r="T2" s="99" t="s">
        <v>41</v>
      </c>
      <c r="U2" s="100"/>
      <c r="V2" s="100"/>
      <c r="W2" s="100"/>
      <c r="X2" s="100"/>
      <c r="Y2" s="100"/>
      <c r="Z2" s="100"/>
      <c r="AA2" s="100"/>
      <c r="AB2" s="93"/>
      <c r="AC2" s="145"/>
      <c r="AD2" s="101" t="s">
        <v>42</v>
      </c>
      <c r="AE2" s="102"/>
      <c r="AF2" s="102"/>
      <c r="AG2" s="102"/>
      <c r="AH2" s="102"/>
      <c r="AI2" s="102"/>
      <c r="AJ2" s="102"/>
      <c r="AK2" s="102"/>
      <c r="AL2" s="93"/>
      <c r="AM2" s="145"/>
      <c r="AN2" s="103" t="s">
        <v>45</v>
      </c>
      <c r="AO2" s="104"/>
      <c r="AP2" s="104"/>
      <c r="AQ2" s="104"/>
      <c r="AR2" s="104"/>
      <c r="AS2" s="104"/>
      <c r="AT2" s="104"/>
      <c r="AU2" s="104"/>
    </row>
    <row r="3" spans="1:47" ht="17.399999999999999" customHeight="1" x14ac:dyDescent="0.3">
      <c r="A3" s="52" t="s">
        <v>32</v>
      </c>
      <c r="B3" s="105" t="s">
        <v>10</v>
      </c>
      <c r="C3" s="105" t="s">
        <v>7</v>
      </c>
      <c r="D3" s="105" t="s">
        <v>5</v>
      </c>
      <c r="E3" s="105" t="s">
        <v>9</v>
      </c>
      <c r="F3" s="105" t="s">
        <v>3</v>
      </c>
      <c r="G3" s="105" t="s">
        <v>6</v>
      </c>
      <c r="H3" s="105" t="s">
        <v>2</v>
      </c>
      <c r="I3" s="105" t="s">
        <v>11</v>
      </c>
      <c r="K3" s="106" t="s">
        <v>10</v>
      </c>
      <c r="L3" s="106" t="s">
        <v>7</v>
      </c>
      <c r="M3" s="106" t="s">
        <v>5</v>
      </c>
      <c r="N3" s="106" t="s">
        <v>9</v>
      </c>
      <c r="O3" s="106" t="s">
        <v>3</v>
      </c>
      <c r="P3" s="106" t="s">
        <v>6</v>
      </c>
      <c r="Q3" s="106" t="s">
        <v>2</v>
      </c>
      <c r="R3" s="106" t="s">
        <v>11</v>
      </c>
      <c r="T3" s="107" t="s">
        <v>10</v>
      </c>
      <c r="U3" s="107" t="s">
        <v>7</v>
      </c>
      <c r="V3" s="107" t="s">
        <v>5</v>
      </c>
      <c r="W3" s="107" t="s">
        <v>9</v>
      </c>
      <c r="X3" s="107" t="s">
        <v>3</v>
      </c>
      <c r="Y3" s="107" t="s">
        <v>6</v>
      </c>
      <c r="Z3" s="107" t="s">
        <v>2</v>
      </c>
      <c r="AA3" s="107" t="s">
        <v>11</v>
      </c>
      <c r="AB3" s="108"/>
      <c r="AC3" s="145"/>
      <c r="AD3" s="109" t="s">
        <v>10</v>
      </c>
      <c r="AE3" s="109" t="s">
        <v>7</v>
      </c>
      <c r="AF3" s="109" t="s">
        <v>5</v>
      </c>
      <c r="AG3" s="109" t="s">
        <v>9</v>
      </c>
      <c r="AH3" s="109" t="s">
        <v>3</v>
      </c>
      <c r="AI3" s="109" t="s">
        <v>6</v>
      </c>
      <c r="AJ3" s="109" t="s">
        <v>2</v>
      </c>
      <c r="AK3" s="109" t="s">
        <v>11</v>
      </c>
      <c r="AL3" s="108"/>
      <c r="AM3" s="145"/>
      <c r="AN3" s="110" t="s">
        <v>10</v>
      </c>
      <c r="AO3" s="110" t="s">
        <v>7</v>
      </c>
      <c r="AP3" s="110" t="s">
        <v>5</v>
      </c>
      <c r="AQ3" s="110" t="s">
        <v>9</v>
      </c>
      <c r="AR3" s="110" t="s">
        <v>3</v>
      </c>
      <c r="AS3" s="110" t="s">
        <v>6</v>
      </c>
      <c r="AT3" s="110" t="s">
        <v>2</v>
      </c>
      <c r="AU3" s="110" t="s">
        <v>11</v>
      </c>
    </row>
    <row r="4" spans="1:47" x14ac:dyDescent="0.3">
      <c r="A4" s="53" t="s">
        <v>19</v>
      </c>
      <c r="B4" s="111"/>
      <c r="C4" s="111"/>
      <c r="D4" s="111"/>
      <c r="E4" s="111"/>
      <c r="F4" s="111"/>
      <c r="G4" s="111"/>
      <c r="H4" s="111"/>
      <c r="I4" s="111"/>
    </row>
    <row r="5" spans="1:47" x14ac:dyDescent="0.3">
      <c r="C5" s="111"/>
      <c r="D5" s="111"/>
      <c r="E5" s="111"/>
      <c r="F5" s="111"/>
      <c r="G5" s="111"/>
      <c r="H5" s="111"/>
      <c r="I5" s="111"/>
      <c r="J5" s="111"/>
    </row>
    <row r="6" spans="1:47" x14ac:dyDescent="0.3">
      <c r="A6" s="13">
        <v>37622</v>
      </c>
      <c r="B6" s="92">
        <v>0</v>
      </c>
      <c r="C6" s="92">
        <v>0</v>
      </c>
      <c r="D6" s="92">
        <v>160</v>
      </c>
      <c r="E6" s="92">
        <v>136</v>
      </c>
      <c r="F6" s="92">
        <v>131</v>
      </c>
      <c r="G6" s="92">
        <v>128</v>
      </c>
      <c r="H6" s="92">
        <v>118</v>
      </c>
      <c r="I6" s="92">
        <v>167</v>
      </c>
      <c r="T6" s="146" t="s">
        <v>61</v>
      </c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</row>
    <row r="7" spans="1:47" x14ac:dyDescent="0.3">
      <c r="A7" s="13">
        <v>37629</v>
      </c>
      <c r="B7" s="92">
        <v>0</v>
      </c>
      <c r="C7" s="92">
        <v>0</v>
      </c>
      <c r="D7" s="92">
        <v>160</v>
      </c>
      <c r="E7" s="92">
        <v>136</v>
      </c>
      <c r="F7" s="92">
        <v>134</v>
      </c>
      <c r="G7" s="92">
        <v>133</v>
      </c>
      <c r="H7" s="92">
        <v>120</v>
      </c>
      <c r="I7" s="92">
        <v>168</v>
      </c>
    </row>
    <row r="8" spans="1:47" x14ac:dyDescent="0.3">
      <c r="A8" s="13">
        <v>37636</v>
      </c>
      <c r="B8" s="92">
        <v>0</v>
      </c>
      <c r="C8" s="92">
        <v>0</v>
      </c>
      <c r="D8" s="92">
        <v>237</v>
      </c>
      <c r="E8" s="92">
        <v>216</v>
      </c>
      <c r="F8" s="92">
        <v>168</v>
      </c>
      <c r="G8" s="92">
        <v>163</v>
      </c>
      <c r="H8" s="92">
        <v>130</v>
      </c>
      <c r="I8" s="92">
        <v>172</v>
      </c>
    </row>
    <row r="9" spans="1:47" x14ac:dyDescent="0.3">
      <c r="A9" s="13">
        <v>37643</v>
      </c>
      <c r="B9" s="92">
        <v>0</v>
      </c>
      <c r="C9" s="92">
        <v>0</v>
      </c>
      <c r="D9" s="92">
        <v>239</v>
      </c>
      <c r="E9" s="92">
        <v>214</v>
      </c>
      <c r="F9" s="92">
        <v>174</v>
      </c>
      <c r="G9" s="92">
        <v>173</v>
      </c>
      <c r="H9" s="92">
        <v>133</v>
      </c>
      <c r="I9" s="92">
        <v>167</v>
      </c>
      <c r="K9" s="92">
        <f>AVERAGE(B6:B9)</f>
        <v>0</v>
      </c>
      <c r="L9" s="92">
        <f t="shared" ref="L9:R9" si="0">AVERAGE(C6:C9)</f>
        <v>0</v>
      </c>
      <c r="M9" s="92">
        <f t="shared" si="0"/>
        <v>199</v>
      </c>
      <c r="N9" s="92">
        <f t="shared" si="0"/>
        <v>175.5</v>
      </c>
      <c r="O9" s="92">
        <f t="shared" si="0"/>
        <v>151.75</v>
      </c>
      <c r="P9" s="92">
        <f t="shared" si="0"/>
        <v>149.25</v>
      </c>
      <c r="Q9" s="92">
        <f t="shared" si="0"/>
        <v>125.25</v>
      </c>
      <c r="R9" s="92">
        <f t="shared" si="0"/>
        <v>168.5</v>
      </c>
    </row>
    <row r="10" spans="1:47" x14ac:dyDescent="0.3">
      <c r="A10" s="13">
        <v>37650</v>
      </c>
      <c r="B10" s="92">
        <v>0</v>
      </c>
      <c r="C10" s="92">
        <v>0</v>
      </c>
      <c r="D10" s="92">
        <v>223</v>
      </c>
      <c r="E10" s="92">
        <v>172</v>
      </c>
      <c r="F10" s="92">
        <v>156</v>
      </c>
      <c r="G10" s="92">
        <v>153</v>
      </c>
      <c r="H10" s="92">
        <v>118</v>
      </c>
      <c r="I10" s="92">
        <v>157</v>
      </c>
      <c r="K10" s="92">
        <f t="shared" ref="K10:K73" si="1">AVERAGE(B7:B10)</f>
        <v>0</v>
      </c>
      <c r="L10" s="92">
        <f t="shared" ref="L10:L73" si="2">AVERAGE(C7:C10)</f>
        <v>0</v>
      </c>
      <c r="M10" s="92">
        <f t="shared" ref="M10:M73" si="3">AVERAGE(D7:D10)</f>
        <v>214.75</v>
      </c>
      <c r="N10" s="92">
        <f t="shared" ref="N10:N73" si="4">AVERAGE(E7:E10)</f>
        <v>184.5</v>
      </c>
      <c r="O10" s="92">
        <f t="shared" ref="O10:O73" si="5">AVERAGE(F7:F10)</f>
        <v>158</v>
      </c>
      <c r="P10" s="92">
        <f t="shared" ref="P10:P73" si="6">AVERAGE(G7:G10)</f>
        <v>155.5</v>
      </c>
      <c r="Q10" s="92">
        <f t="shared" ref="Q10:Q73" si="7">AVERAGE(H7:H10)</f>
        <v>125.25</v>
      </c>
      <c r="R10" s="92">
        <f t="shared" ref="R10:R73" si="8">AVERAGE(I7:I10)</f>
        <v>166</v>
      </c>
    </row>
    <row r="11" spans="1:47" x14ac:dyDescent="0.3">
      <c r="A11" s="13">
        <v>37657</v>
      </c>
      <c r="B11" s="92">
        <v>0</v>
      </c>
      <c r="C11" s="92">
        <v>0</v>
      </c>
      <c r="D11" s="92">
        <v>205</v>
      </c>
      <c r="E11" s="92">
        <v>146</v>
      </c>
      <c r="F11" s="92">
        <v>144</v>
      </c>
      <c r="G11" s="92">
        <v>141</v>
      </c>
      <c r="H11" s="92">
        <v>113</v>
      </c>
      <c r="I11" s="92">
        <v>155</v>
      </c>
      <c r="K11" s="92">
        <f t="shared" si="1"/>
        <v>0</v>
      </c>
      <c r="L11" s="92">
        <f t="shared" si="2"/>
        <v>0</v>
      </c>
      <c r="M11" s="92">
        <f t="shared" si="3"/>
        <v>226</v>
      </c>
      <c r="N11" s="92">
        <f t="shared" si="4"/>
        <v>187</v>
      </c>
      <c r="O11" s="92">
        <f t="shared" si="5"/>
        <v>160.5</v>
      </c>
      <c r="P11" s="92">
        <f t="shared" si="6"/>
        <v>157.5</v>
      </c>
      <c r="Q11" s="92">
        <f t="shared" si="7"/>
        <v>123.5</v>
      </c>
      <c r="R11" s="92">
        <f t="shared" si="8"/>
        <v>162.75</v>
      </c>
    </row>
    <row r="12" spans="1:47" x14ac:dyDescent="0.3">
      <c r="A12" s="13">
        <v>37664</v>
      </c>
      <c r="B12" s="92">
        <v>0</v>
      </c>
      <c r="C12" s="92">
        <v>0</v>
      </c>
      <c r="D12" s="92">
        <v>178</v>
      </c>
      <c r="E12" s="92">
        <v>139</v>
      </c>
      <c r="F12" s="92">
        <v>135</v>
      </c>
      <c r="G12" s="92">
        <v>134</v>
      </c>
      <c r="H12" s="92">
        <v>111</v>
      </c>
      <c r="I12" s="92">
        <v>157</v>
      </c>
      <c r="K12" s="92">
        <f t="shared" si="1"/>
        <v>0</v>
      </c>
      <c r="L12" s="92">
        <f t="shared" si="2"/>
        <v>0</v>
      </c>
      <c r="M12" s="92">
        <f t="shared" si="3"/>
        <v>211.25</v>
      </c>
      <c r="N12" s="92">
        <f t="shared" si="4"/>
        <v>167.75</v>
      </c>
      <c r="O12" s="92">
        <f t="shared" si="5"/>
        <v>152.25</v>
      </c>
      <c r="P12" s="92">
        <f t="shared" si="6"/>
        <v>150.25</v>
      </c>
      <c r="Q12" s="92">
        <f t="shared" si="7"/>
        <v>118.75</v>
      </c>
      <c r="R12" s="92">
        <f t="shared" si="8"/>
        <v>159</v>
      </c>
    </row>
    <row r="13" spans="1:47" x14ac:dyDescent="0.3">
      <c r="A13" s="13">
        <v>37671</v>
      </c>
      <c r="B13" s="92">
        <v>0</v>
      </c>
      <c r="C13" s="92">
        <v>0</v>
      </c>
      <c r="D13" s="92">
        <v>165</v>
      </c>
      <c r="E13" s="92">
        <v>133</v>
      </c>
      <c r="F13" s="92">
        <v>127</v>
      </c>
      <c r="G13" s="92">
        <v>130</v>
      </c>
      <c r="H13" s="92">
        <v>110</v>
      </c>
      <c r="I13" s="92">
        <v>165</v>
      </c>
      <c r="K13" s="92">
        <f t="shared" si="1"/>
        <v>0</v>
      </c>
      <c r="L13" s="92">
        <f t="shared" si="2"/>
        <v>0</v>
      </c>
      <c r="M13" s="92">
        <f t="shared" si="3"/>
        <v>192.75</v>
      </c>
      <c r="N13" s="92">
        <f t="shared" si="4"/>
        <v>147.5</v>
      </c>
      <c r="O13" s="92">
        <f t="shared" si="5"/>
        <v>140.5</v>
      </c>
      <c r="P13" s="92">
        <f t="shared" si="6"/>
        <v>139.5</v>
      </c>
      <c r="Q13" s="92">
        <f t="shared" si="7"/>
        <v>113</v>
      </c>
      <c r="R13" s="92">
        <f t="shared" si="8"/>
        <v>158.5</v>
      </c>
    </row>
    <row r="14" spans="1:47" x14ac:dyDescent="0.3">
      <c r="A14" s="13">
        <v>37678</v>
      </c>
      <c r="B14" s="92">
        <v>0</v>
      </c>
      <c r="C14" s="92">
        <v>0</v>
      </c>
      <c r="D14" s="92">
        <v>168</v>
      </c>
      <c r="E14" s="92">
        <v>133</v>
      </c>
      <c r="F14" s="92">
        <v>121</v>
      </c>
      <c r="G14" s="92">
        <v>120</v>
      </c>
      <c r="H14" s="92">
        <v>109</v>
      </c>
      <c r="I14" s="92">
        <v>155</v>
      </c>
      <c r="K14" s="92">
        <f t="shared" si="1"/>
        <v>0</v>
      </c>
      <c r="L14" s="92">
        <f t="shared" si="2"/>
        <v>0</v>
      </c>
      <c r="M14" s="92">
        <f t="shared" si="3"/>
        <v>179</v>
      </c>
      <c r="N14" s="92">
        <f t="shared" si="4"/>
        <v>137.75</v>
      </c>
      <c r="O14" s="92">
        <f t="shared" si="5"/>
        <v>131.75</v>
      </c>
      <c r="P14" s="92">
        <f t="shared" si="6"/>
        <v>131.25</v>
      </c>
      <c r="Q14" s="92">
        <f t="shared" si="7"/>
        <v>110.75</v>
      </c>
      <c r="R14" s="92">
        <f t="shared" si="8"/>
        <v>158</v>
      </c>
    </row>
    <row r="15" spans="1:47" x14ac:dyDescent="0.3">
      <c r="A15" s="13">
        <v>37685</v>
      </c>
      <c r="B15" s="92">
        <v>0</v>
      </c>
      <c r="C15" s="92">
        <v>0</v>
      </c>
      <c r="D15" s="92">
        <v>182</v>
      </c>
      <c r="E15" s="92">
        <v>141</v>
      </c>
      <c r="F15" s="92">
        <v>128</v>
      </c>
      <c r="G15" s="92">
        <v>128</v>
      </c>
      <c r="H15" s="92">
        <v>109</v>
      </c>
      <c r="I15" s="92">
        <v>144</v>
      </c>
      <c r="K15" s="92">
        <f t="shared" si="1"/>
        <v>0</v>
      </c>
      <c r="L15" s="92">
        <f t="shared" si="2"/>
        <v>0</v>
      </c>
      <c r="M15" s="92">
        <f t="shared" si="3"/>
        <v>173.25</v>
      </c>
      <c r="N15" s="92">
        <f t="shared" si="4"/>
        <v>136.5</v>
      </c>
      <c r="O15" s="92">
        <f t="shared" si="5"/>
        <v>127.75</v>
      </c>
      <c r="P15" s="92">
        <f t="shared" si="6"/>
        <v>128</v>
      </c>
      <c r="Q15" s="92">
        <f t="shared" si="7"/>
        <v>109.75</v>
      </c>
      <c r="R15" s="92">
        <f t="shared" si="8"/>
        <v>155.25</v>
      </c>
    </row>
    <row r="16" spans="1:47" x14ac:dyDescent="0.3">
      <c r="A16" s="13">
        <v>37692</v>
      </c>
      <c r="B16" s="92">
        <v>0</v>
      </c>
      <c r="C16" s="92">
        <v>0</v>
      </c>
      <c r="D16" s="92">
        <v>189</v>
      </c>
      <c r="E16" s="92">
        <v>155</v>
      </c>
      <c r="F16" s="92">
        <v>140</v>
      </c>
      <c r="G16" s="92">
        <v>143</v>
      </c>
      <c r="H16" s="92">
        <v>126</v>
      </c>
      <c r="I16" s="92">
        <v>170</v>
      </c>
      <c r="K16" s="92">
        <f t="shared" si="1"/>
        <v>0</v>
      </c>
      <c r="L16" s="92">
        <f t="shared" si="2"/>
        <v>0</v>
      </c>
      <c r="M16" s="92">
        <f t="shared" si="3"/>
        <v>176</v>
      </c>
      <c r="N16" s="92">
        <f t="shared" si="4"/>
        <v>140.5</v>
      </c>
      <c r="O16" s="92">
        <f t="shared" si="5"/>
        <v>129</v>
      </c>
      <c r="P16" s="92">
        <f t="shared" si="6"/>
        <v>130.25</v>
      </c>
      <c r="Q16" s="92">
        <f t="shared" si="7"/>
        <v>113.5</v>
      </c>
      <c r="R16" s="92">
        <f t="shared" si="8"/>
        <v>158.5</v>
      </c>
    </row>
    <row r="17" spans="1:18" x14ac:dyDescent="0.3">
      <c r="A17" s="13">
        <v>37699</v>
      </c>
      <c r="B17" s="92">
        <v>0</v>
      </c>
      <c r="C17" s="92">
        <v>187</v>
      </c>
      <c r="D17" s="92">
        <v>175</v>
      </c>
      <c r="E17" s="92">
        <v>146</v>
      </c>
      <c r="F17" s="92">
        <v>139</v>
      </c>
      <c r="G17" s="92">
        <v>140</v>
      </c>
      <c r="H17" s="92">
        <v>123</v>
      </c>
      <c r="I17" s="92">
        <v>170</v>
      </c>
      <c r="K17" s="92">
        <f t="shared" si="1"/>
        <v>0</v>
      </c>
      <c r="L17" s="92">
        <f t="shared" si="2"/>
        <v>46.75</v>
      </c>
      <c r="M17" s="92">
        <f t="shared" si="3"/>
        <v>178.5</v>
      </c>
      <c r="N17" s="92">
        <f t="shared" si="4"/>
        <v>143.75</v>
      </c>
      <c r="O17" s="92">
        <f t="shared" si="5"/>
        <v>132</v>
      </c>
      <c r="P17" s="92">
        <f t="shared" si="6"/>
        <v>132.75</v>
      </c>
      <c r="Q17" s="92">
        <f t="shared" si="7"/>
        <v>116.75</v>
      </c>
      <c r="R17" s="92">
        <f t="shared" si="8"/>
        <v>159.75</v>
      </c>
    </row>
    <row r="18" spans="1:18" x14ac:dyDescent="0.3">
      <c r="A18" s="13">
        <v>37706</v>
      </c>
      <c r="B18" s="92">
        <v>0</v>
      </c>
      <c r="C18" s="92">
        <v>163</v>
      </c>
      <c r="D18" s="92">
        <v>154</v>
      </c>
      <c r="E18" s="92">
        <v>126</v>
      </c>
      <c r="F18" s="92">
        <v>134</v>
      </c>
      <c r="G18" s="92">
        <v>137</v>
      </c>
      <c r="H18" s="92">
        <v>114</v>
      </c>
      <c r="I18" s="92">
        <v>163</v>
      </c>
      <c r="K18" s="92">
        <f t="shared" si="1"/>
        <v>0</v>
      </c>
      <c r="L18" s="92">
        <f t="shared" si="2"/>
        <v>87.5</v>
      </c>
      <c r="M18" s="92">
        <f t="shared" si="3"/>
        <v>175</v>
      </c>
      <c r="N18" s="92">
        <f t="shared" si="4"/>
        <v>142</v>
      </c>
      <c r="O18" s="92">
        <f t="shared" si="5"/>
        <v>135.25</v>
      </c>
      <c r="P18" s="92">
        <f t="shared" si="6"/>
        <v>137</v>
      </c>
      <c r="Q18" s="92">
        <f t="shared" si="7"/>
        <v>118</v>
      </c>
      <c r="R18" s="92">
        <f t="shared" si="8"/>
        <v>161.75</v>
      </c>
    </row>
    <row r="19" spans="1:18" x14ac:dyDescent="0.3">
      <c r="A19" s="13">
        <v>37713</v>
      </c>
      <c r="B19" s="92">
        <v>186</v>
      </c>
      <c r="C19" s="92">
        <v>154</v>
      </c>
      <c r="D19" s="92">
        <v>145</v>
      </c>
      <c r="E19" s="92">
        <v>115</v>
      </c>
      <c r="F19" s="92">
        <v>128</v>
      </c>
      <c r="G19" s="92">
        <v>128</v>
      </c>
      <c r="H19" s="92">
        <v>109</v>
      </c>
      <c r="I19" s="92">
        <v>155</v>
      </c>
      <c r="K19" s="92">
        <f t="shared" si="1"/>
        <v>46.5</v>
      </c>
      <c r="L19" s="92">
        <f t="shared" si="2"/>
        <v>126</v>
      </c>
      <c r="M19" s="92">
        <f t="shared" si="3"/>
        <v>165.75</v>
      </c>
      <c r="N19" s="92">
        <f t="shared" si="4"/>
        <v>135.5</v>
      </c>
      <c r="O19" s="92">
        <f t="shared" si="5"/>
        <v>135.25</v>
      </c>
      <c r="P19" s="92">
        <f t="shared" si="6"/>
        <v>137</v>
      </c>
      <c r="Q19" s="92">
        <f t="shared" si="7"/>
        <v>118</v>
      </c>
      <c r="R19" s="92">
        <f t="shared" si="8"/>
        <v>164.5</v>
      </c>
    </row>
    <row r="20" spans="1:18" x14ac:dyDescent="0.3">
      <c r="A20" s="13">
        <v>37720</v>
      </c>
      <c r="B20" s="92">
        <v>188</v>
      </c>
      <c r="C20" s="92">
        <v>158</v>
      </c>
      <c r="D20" s="92">
        <v>143</v>
      </c>
      <c r="E20" s="92">
        <v>110</v>
      </c>
      <c r="F20" s="92">
        <v>121</v>
      </c>
      <c r="G20" s="92">
        <v>121</v>
      </c>
      <c r="H20" s="92">
        <v>105</v>
      </c>
      <c r="I20" s="92">
        <v>153</v>
      </c>
      <c r="K20" s="92">
        <f t="shared" si="1"/>
        <v>93.5</v>
      </c>
      <c r="L20" s="92">
        <f t="shared" si="2"/>
        <v>165.5</v>
      </c>
      <c r="M20" s="92">
        <f t="shared" si="3"/>
        <v>154.25</v>
      </c>
      <c r="N20" s="92">
        <f t="shared" si="4"/>
        <v>124.25</v>
      </c>
      <c r="O20" s="92">
        <f t="shared" si="5"/>
        <v>130.5</v>
      </c>
      <c r="P20" s="92">
        <f t="shared" si="6"/>
        <v>131.5</v>
      </c>
      <c r="Q20" s="92">
        <f t="shared" si="7"/>
        <v>112.75</v>
      </c>
      <c r="R20" s="92">
        <f t="shared" si="8"/>
        <v>160.25</v>
      </c>
    </row>
    <row r="21" spans="1:18" x14ac:dyDescent="0.3">
      <c r="A21" s="13">
        <v>37727</v>
      </c>
      <c r="B21" s="92">
        <v>184</v>
      </c>
      <c r="C21" s="92">
        <v>155</v>
      </c>
      <c r="D21" s="92">
        <v>138</v>
      </c>
      <c r="E21" s="92">
        <v>97</v>
      </c>
      <c r="F21" s="92">
        <v>120</v>
      </c>
      <c r="G21" s="92">
        <v>120</v>
      </c>
      <c r="H21" s="92">
        <v>97</v>
      </c>
      <c r="I21" s="92">
        <v>142</v>
      </c>
      <c r="K21" s="92">
        <f t="shared" si="1"/>
        <v>139.5</v>
      </c>
      <c r="L21" s="92">
        <f t="shared" si="2"/>
        <v>157.5</v>
      </c>
      <c r="M21" s="92">
        <f t="shared" si="3"/>
        <v>145</v>
      </c>
      <c r="N21" s="92">
        <f t="shared" si="4"/>
        <v>112</v>
      </c>
      <c r="O21" s="92">
        <f t="shared" si="5"/>
        <v>125.75</v>
      </c>
      <c r="P21" s="92">
        <f t="shared" si="6"/>
        <v>126.5</v>
      </c>
      <c r="Q21" s="92">
        <f t="shared" si="7"/>
        <v>106.25</v>
      </c>
      <c r="R21" s="92">
        <f t="shared" si="8"/>
        <v>153.25</v>
      </c>
    </row>
    <row r="22" spans="1:18" x14ac:dyDescent="0.3">
      <c r="A22" s="13">
        <v>37734</v>
      </c>
      <c r="B22" s="92">
        <v>173</v>
      </c>
      <c r="C22" s="92">
        <v>145</v>
      </c>
      <c r="D22" s="92">
        <v>129</v>
      </c>
      <c r="E22" s="92">
        <v>91</v>
      </c>
      <c r="F22" s="92">
        <v>116</v>
      </c>
      <c r="G22" s="92">
        <v>117</v>
      </c>
      <c r="H22" s="92">
        <v>91</v>
      </c>
      <c r="I22" s="92">
        <v>137</v>
      </c>
      <c r="K22" s="92">
        <f t="shared" si="1"/>
        <v>182.75</v>
      </c>
      <c r="L22" s="92">
        <f t="shared" si="2"/>
        <v>153</v>
      </c>
      <c r="M22" s="92">
        <f t="shared" si="3"/>
        <v>138.75</v>
      </c>
      <c r="N22" s="92">
        <f t="shared" si="4"/>
        <v>103.25</v>
      </c>
      <c r="O22" s="92">
        <f t="shared" si="5"/>
        <v>121.25</v>
      </c>
      <c r="P22" s="92">
        <f t="shared" si="6"/>
        <v>121.5</v>
      </c>
      <c r="Q22" s="92">
        <f t="shared" si="7"/>
        <v>100.5</v>
      </c>
      <c r="R22" s="92">
        <f t="shared" si="8"/>
        <v>146.75</v>
      </c>
    </row>
    <row r="23" spans="1:18" x14ac:dyDescent="0.3">
      <c r="A23" s="13">
        <v>37741</v>
      </c>
      <c r="B23" s="92">
        <v>166</v>
      </c>
      <c r="C23" s="92">
        <v>143</v>
      </c>
      <c r="D23" s="92">
        <v>126</v>
      </c>
      <c r="E23" s="92">
        <v>89</v>
      </c>
      <c r="F23" s="92">
        <v>115</v>
      </c>
      <c r="G23" s="92">
        <v>115</v>
      </c>
      <c r="H23" s="92">
        <v>90</v>
      </c>
      <c r="I23" s="92">
        <v>135</v>
      </c>
      <c r="K23" s="92">
        <f t="shared" si="1"/>
        <v>177.75</v>
      </c>
      <c r="L23" s="92">
        <f t="shared" si="2"/>
        <v>150.25</v>
      </c>
      <c r="M23" s="92">
        <f t="shared" si="3"/>
        <v>134</v>
      </c>
      <c r="N23" s="92">
        <f t="shared" si="4"/>
        <v>96.75</v>
      </c>
      <c r="O23" s="92">
        <f t="shared" si="5"/>
        <v>118</v>
      </c>
      <c r="P23" s="92">
        <f t="shared" si="6"/>
        <v>118.25</v>
      </c>
      <c r="Q23" s="92">
        <f t="shared" si="7"/>
        <v>95.75</v>
      </c>
      <c r="R23" s="92">
        <f t="shared" si="8"/>
        <v>141.75</v>
      </c>
    </row>
    <row r="24" spans="1:18" x14ac:dyDescent="0.3">
      <c r="A24" s="13">
        <v>37748</v>
      </c>
      <c r="B24" s="92">
        <v>166</v>
      </c>
      <c r="C24" s="92">
        <v>143</v>
      </c>
      <c r="D24" s="92">
        <v>128</v>
      </c>
      <c r="E24" s="92">
        <v>91</v>
      </c>
      <c r="F24" s="92">
        <v>114</v>
      </c>
      <c r="G24" s="92">
        <v>114</v>
      </c>
      <c r="H24" s="92">
        <v>88</v>
      </c>
      <c r="I24" s="92">
        <v>138</v>
      </c>
      <c r="K24" s="92">
        <f t="shared" si="1"/>
        <v>172.25</v>
      </c>
      <c r="L24" s="92">
        <f t="shared" si="2"/>
        <v>146.5</v>
      </c>
      <c r="M24" s="92">
        <f t="shared" si="3"/>
        <v>130.25</v>
      </c>
      <c r="N24" s="92">
        <f t="shared" si="4"/>
        <v>92</v>
      </c>
      <c r="O24" s="92">
        <f t="shared" si="5"/>
        <v>116.25</v>
      </c>
      <c r="P24" s="92">
        <f t="shared" si="6"/>
        <v>116.5</v>
      </c>
      <c r="Q24" s="92">
        <f t="shared" si="7"/>
        <v>91.5</v>
      </c>
      <c r="R24" s="92">
        <f t="shared" si="8"/>
        <v>138</v>
      </c>
    </row>
    <row r="25" spans="1:18" x14ac:dyDescent="0.3">
      <c r="A25" s="13">
        <v>37755</v>
      </c>
      <c r="B25" s="92">
        <v>189</v>
      </c>
      <c r="C25" s="92">
        <v>161</v>
      </c>
      <c r="D25" s="92">
        <v>148</v>
      </c>
      <c r="E25" s="92">
        <v>85</v>
      </c>
      <c r="F25" s="92">
        <v>118</v>
      </c>
      <c r="G25" s="92">
        <v>118</v>
      </c>
      <c r="H25" s="92">
        <v>103</v>
      </c>
      <c r="I25" s="92">
        <v>150</v>
      </c>
      <c r="K25" s="92">
        <f t="shared" si="1"/>
        <v>173.5</v>
      </c>
      <c r="L25" s="92">
        <f t="shared" si="2"/>
        <v>148</v>
      </c>
      <c r="M25" s="92">
        <f t="shared" si="3"/>
        <v>132.75</v>
      </c>
      <c r="N25" s="92">
        <f t="shared" si="4"/>
        <v>89</v>
      </c>
      <c r="O25" s="92">
        <f t="shared" si="5"/>
        <v>115.75</v>
      </c>
      <c r="P25" s="92">
        <f t="shared" si="6"/>
        <v>116</v>
      </c>
      <c r="Q25" s="92">
        <f t="shared" si="7"/>
        <v>93</v>
      </c>
      <c r="R25" s="92">
        <f t="shared" si="8"/>
        <v>140</v>
      </c>
    </row>
    <row r="26" spans="1:18" x14ac:dyDescent="0.3">
      <c r="A26" s="13">
        <v>37762</v>
      </c>
      <c r="B26" s="92">
        <v>186</v>
      </c>
      <c r="C26" s="92">
        <v>153</v>
      </c>
      <c r="D26" s="92">
        <v>141</v>
      </c>
      <c r="E26" s="92">
        <v>106</v>
      </c>
      <c r="F26" s="92">
        <v>114</v>
      </c>
      <c r="G26" s="92">
        <v>114</v>
      </c>
      <c r="H26" s="92">
        <v>104</v>
      </c>
      <c r="I26" s="92">
        <v>143</v>
      </c>
      <c r="K26" s="92">
        <f t="shared" si="1"/>
        <v>176.75</v>
      </c>
      <c r="L26" s="92">
        <f t="shared" si="2"/>
        <v>150</v>
      </c>
      <c r="M26" s="92">
        <f t="shared" si="3"/>
        <v>135.75</v>
      </c>
      <c r="N26" s="92">
        <f t="shared" si="4"/>
        <v>92.75</v>
      </c>
      <c r="O26" s="92">
        <f t="shared" si="5"/>
        <v>115.25</v>
      </c>
      <c r="P26" s="92">
        <f t="shared" si="6"/>
        <v>115.25</v>
      </c>
      <c r="Q26" s="92">
        <f t="shared" si="7"/>
        <v>96.25</v>
      </c>
      <c r="R26" s="92">
        <f t="shared" si="8"/>
        <v>141.5</v>
      </c>
    </row>
    <row r="27" spans="1:18" x14ac:dyDescent="0.3">
      <c r="A27" s="13">
        <v>37769</v>
      </c>
      <c r="B27" s="92">
        <v>183</v>
      </c>
      <c r="C27" s="92">
        <v>147</v>
      </c>
      <c r="D27" s="92">
        <v>135</v>
      </c>
      <c r="E27" s="92">
        <v>105</v>
      </c>
      <c r="F27" s="92">
        <v>115</v>
      </c>
      <c r="G27" s="92">
        <v>116</v>
      </c>
      <c r="H27" s="92">
        <v>99</v>
      </c>
      <c r="I27" s="92">
        <v>143</v>
      </c>
      <c r="K27" s="92">
        <f t="shared" si="1"/>
        <v>181</v>
      </c>
      <c r="L27" s="92">
        <f t="shared" si="2"/>
        <v>151</v>
      </c>
      <c r="M27" s="92">
        <f t="shared" si="3"/>
        <v>138</v>
      </c>
      <c r="N27" s="92">
        <f t="shared" si="4"/>
        <v>96.75</v>
      </c>
      <c r="O27" s="92">
        <f t="shared" si="5"/>
        <v>115.25</v>
      </c>
      <c r="P27" s="92">
        <f t="shared" si="6"/>
        <v>115.5</v>
      </c>
      <c r="Q27" s="92">
        <f t="shared" si="7"/>
        <v>98.5</v>
      </c>
      <c r="R27" s="92">
        <f t="shared" si="8"/>
        <v>143.5</v>
      </c>
    </row>
    <row r="28" spans="1:18" x14ac:dyDescent="0.3">
      <c r="A28" s="13">
        <v>37776</v>
      </c>
      <c r="B28" s="92">
        <v>177</v>
      </c>
      <c r="C28" s="92">
        <v>143</v>
      </c>
      <c r="D28" s="92">
        <v>133</v>
      </c>
      <c r="E28" s="92">
        <v>106</v>
      </c>
      <c r="F28" s="92">
        <v>115</v>
      </c>
      <c r="G28" s="92">
        <v>112</v>
      </c>
      <c r="H28" s="92">
        <v>98</v>
      </c>
      <c r="I28" s="92">
        <v>145</v>
      </c>
      <c r="K28" s="92">
        <f t="shared" si="1"/>
        <v>183.75</v>
      </c>
      <c r="L28" s="92">
        <f t="shared" si="2"/>
        <v>151</v>
      </c>
      <c r="M28" s="92">
        <f t="shared" si="3"/>
        <v>139.25</v>
      </c>
      <c r="N28" s="92">
        <f t="shared" si="4"/>
        <v>100.5</v>
      </c>
      <c r="O28" s="92">
        <f t="shared" si="5"/>
        <v>115.5</v>
      </c>
      <c r="P28" s="92">
        <f t="shared" si="6"/>
        <v>115</v>
      </c>
      <c r="Q28" s="92">
        <f t="shared" si="7"/>
        <v>101</v>
      </c>
      <c r="R28" s="92">
        <f t="shared" si="8"/>
        <v>145.25</v>
      </c>
    </row>
    <row r="29" spans="1:18" x14ac:dyDescent="0.3">
      <c r="A29" s="13">
        <v>37783</v>
      </c>
      <c r="B29" s="92">
        <v>188</v>
      </c>
      <c r="C29" s="92">
        <v>151</v>
      </c>
      <c r="D29" s="92">
        <v>140</v>
      </c>
      <c r="E29" s="92">
        <v>104</v>
      </c>
      <c r="F29" s="92">
        <v>115</v>
      </c>
      <c r="G29" s="92">
        <v>116</v>
      </c>
      <c r="H29" s="92">
        <v>100</v>
      </c>
      <c r="I29" s="92">
        <v>152</v>
      </c>
      <c r="K29" s="92">
        <f t="shared" si="1"/>
        <v>183.5</v>
      </c>
      <c r="L29" s="92">
        <f t="shared" si="2"/>
        <v>148.5</v>
      </c>
      <c r="M29" s="92">
        <f t="shared" si="3"/>
        <v>137.25</v>
      </c>
      <c r="N29" s="92">
        <f t="shared" si="4"/>
        <v>105.25</v>
      </c>
      <c r="O29" s="92">
        <f t="shared" si="5"/>
        <v>114.75</v>
      </c>
      <c r="P29" s="92">
        <f t="shared" si="6"/>
        <v>114.5</v>
      </c>
      <c r="Q29" s="92">
        <f t="shared" si="7"/>
        <v>100.25</v>
      </c>
      <c r="R29" s="92">
        <f t="shared" si="8"/>
        <v>145.75</v>
      </c>
    </row>
    <row r="30" spans="1:18" x14ac:dyDescent="0.3">
      <c r="A30" s="13">
        <v>37790</v>
      </c>
      <c r="B30" s="92">
        <v>199</v>
      </c>
      <c r="C30" s="92">
        <v>162</v>
      </c>
      <c r="D30" s="92">
        <v>150</v>
      </c>
      <c r="E30" s="92">
        <v>102</v>
      </c>
      <c r="F30" s="92">
        <v>114</v>
      </c>
      <c r="G30" s="92">
        <v>115</v>
      </c>
      <c r="H30" s="92">
        <v>99</v>
      </c>
      <c r="I30" s="92">
        <v>143</v>
      </c>
      <c r="K30" s="92">
        <f t="shared" si="1"/>
        <v>186.75</v>
      </c>
      <c r="L30" s="92">
        <f t="shared" si="2"/>
        <v>150.75</v>
      </c>
      <c r="M30" s="92">
        <f t="shared" si="3"/>
        <v>139.5</v>
      </c>
      <c r="N30" s="92">
        <f t="shared" si="4"/>
        <v>104.25</v>
      </c>
      <c r="O30" s="92">
        <f t="shared" si="5"/>
        <v>114.75</v>
      </c>
      <c r="P30" s="92">
        <f t="shared" si="6"/>
        <v>114.75</v>
      </c>
      <c r="Q30" s="92">
        <f t="shared" si="7"/>
        <v>99</v>
      </c>
      <c r="R30" s="92">
        <f t="shared" si="8"/>
        <v>145.75</v>
      </c>
    </row>
    <row r="31" spans="1:18" x14ac:dyDescent="0.3">
      <c r="A31" s="13">
        <v>37797</v>
      </c>
      <c r="B31" s="92">
        <v>202</v>
      </c>
      <c r="C31" s="92">
        <v>167</v>
      </c>
      <c r="D31" s="92">
        <v>157</v>
      </c>
      <c r="E31" s="92">
        <v>111</v>
      </c>
      <c r="F31" s="92">
        <v>114</v>
      </c>
      <c r="G31" s="92">
        <v>113</v>
      </c>
      <c r="H31" s="92">
        <v>102</v>
      </c>
      <c r="I31" s="92">
        <v>155</v>
      </c>
      <c r="K31" s="92">
        <f t="shared" si="1"/>
        <v>191.5</v>
      </c>
      <c r="L31" s="92">
        <f t="shared" si="2"/>
        <v>155.75</v>
      </c>
      <c r="M31" s="92">
        <f t="shared" si="3"/>
        <v>145</v>
      </c>
      <c r="N31" s="92">
        <f t="shared" si="4"/>
        <v>105.75</v>
      </c>
      <c r="O31" s="92">
        <f t="shared" si="5"/>
        <v>114.5</v>
      </c>
      <c r="P31" s="92">
        <f t="shared" si="6"/>
        <v>114</v>
      </c>
      <c r="Q31" s="92">
        <f t="shared" si="7"/>
        <v>99.75</v>
      </c>
      <c r="R31" s="92">
        <f t="shared" si="8"/>
        <v>148.75</v>
      </c>
    </row>
    <row r="32" spans="1:18" x14ac:dyDescent="0.3">
      <c r="A32" s="13">
        <v>37804</v>
      </c>
      <c r="B32" s="92">
        <v>216</v>
      </c>
      <c r="C32" s="92">
        <v>169</v>
      </c>
      <c r="D32" s="92">
        <v>160</v>
      </c>
      <c r="E32" s="92">
        <v>108</v>
      </c>
      <c r="F32" s="92">
        <v>115</v>
      </c>
      <c r="G32" s="92">
        <v>115</v>
      </c>
      <c r="H32" s="92">
        <v>100</v>
      </c>
      <c r="I32" s="92">
        <v>153</v>
      </c>
      <c r="K32" s="92">
        <f t="shared" si="1"/>
        <v>201.25</v>
      </c>
      <c r="L32" s="92">
        <f t="shared" si="2"/>
        <v>162.25</v>
      </c>
      <c r="M32" s="92">
        <f t="shared" si="3"/>
        <v>151.75</v>
      </c>
      <c r="N32" s="92">
        <f t="shared" si="4"/>
        <v>106.25</v>
      </c>
      <c r="O32" s="92">
        <f t="shared" si="5"/>
        <v>114.5</v>
      </c>
      <c r="P32" s="92">
        <f t="shared" si="6"/>
        <v>114.75</v>
      </c>
      <c r="Q32" s="92">
        <f t="shared" si="7"/>
        <v>100.25</v>
      </c>
      <c r="R32" s="92">
        <f t="shared" si="8"/>
        <v>150.75</v>
      </c>
    </row>
    <row r="33" spans="1:18" x14ac:dyDescent="0.3">
      <c r="A33" s="13">
        <v>37811</v>
      </c>
      <c r="B33" s="92">
        <v>205</v>
      </c>
      <c r="C33" s="92">
        <v>164</v>
      </c>
      <c r="D33" s="92">
        <v>155</v>
      </c>
      <c r="E33" s="92">
        <v>106</v>
      </c>
      <c r="F33" s="92">
        <v>114</v>
      </c>
      <c r="G33" s="92">
        <v>114</v>
      </c>
      <c r="H33" s="92">
        <v>99</v>
      </c>
      <c r="I33" s="92">
        <v>152</v>
      </c>
      <c r="K33" s="92">
        <f t="shared" si="1"/>
        <v>205.5</v>
      </c>
      <c r="L33" s="92">
        <f t="shared" si="2"/>
        <v>165.5</v>
      </c>
      <c r="M33" s="92">
        <f t="shared" si="3"/>
        <v>155.5</v>
      </c>
      <c r="N33" s="92">
        <f t="shared" si="4"/>
        <v>106.75</v>
      </c>
      <c r="O33" s="92">
        <f t="shared" si="5"/>
        <v>114.25</v>
      </c>
      <c r="P33" s="92">
        <f t="shared" si="6"/>
        <v>114.25</v>
      </c>
      <c r="Q33" s="92">
        <f t="shared" si="7"/>
        <v>100</v>
      </c>
      <c r="R33" s="92">
        <f t="shared" si="8"/>
        <v>150.75</v>
      </c>
    </row>
    <row r="34" spans="1:18" x14ac:dyDescent="0.3">
      <c r="A34" s="13">
        <v>37818</v>
      </c>
      <c r="B34" s="92">
        <v>205</v>
      </c>
      <c r="C34" s="92">
        <v>165</v>
      </c>
      <c r="D34" s="92">
        <v>154</v>
      </c>
      <c r="E34" s="92">
        <v>110</v>
      </c>
      <c r="F34" s="92">
        <v>126</v>
      </c>
      <c r="G34" s="92">
        <v>127</v>
      </c>
      <c r="H34" s="92">
        <v>105</v>
      </c>
      <c r="I34" s="92">
        <v>165</v>
      </c>
      <c r="K34" s="92">
        <f t="shared" si="1"/>
        <v>207</v>
      </c>
      <c r="L34" s="92">
        <f t="shared" si="2"/>
        <v>166.25</v>
      </c>
      <c r="M34" s="92">
        <f t="shared" si="3"/>
        <v>156.5</v>
      </c>
      <c r="N34" s="92">
        <f t="shared" si="4"/>
        <v>108.75</v>
      </c>
      <c r="O34" s="92">
        <f t="shared" si="5"/>
        <v>117.25</v>
      </c>
      <c r="P34" s="92">
        <f t="shared" si="6"/>
        <v>117.25</v>
      </c>
      <c r="Q34" s="92">
        <f t="shared" si="7"/>
        <v>101.5</v>
      </c>
      <c r="R34" s="92">
        <f t="shared" si="8"/>
        <v>156.25</v>
      </c>
    </row>
    <row r="35" spans="1:18" x14ac:dyDescent="0.3">
      <c r="A35" s="13">
        <v>37825</v>
      </c>
      <c r="B35" s="92">
        <v>195</v>
      </c>
      <c r="C35" s="92">
        <v>158</v>
      </c>
      <c r="D35" s="92">
        <v>148</v>
      </c>
      <c r="E35" s="92">
        <v>109</v>
      </c>
      <c r="F35" s="92">
        <v>126</v>
      </c>
      <c r="G35" s="92">
        <v>128</v>
      </c>
      <c r="H35" s="92">
        <v>105</v>
      </c>
      <c r="I35" s="92">
        <v>165</v>
      </c>
      <c r="K35" s="92">
        <f t="shared" si="1"/>
        <v>205.25</v>
      </c>
      <c r="L35" s="92">
        <f t="shared" si="2"/>
        <v>164</v>
      </c>
      <c r="M35" s="92">
        <f t="shared" si="3"/>
        <v>154.25</v>
      </c>
      <c r="N35" s="92">
        <f t="shared" si="4"/>
        <v>108.25</v>
      </c>
      <c r="O35" s="92">
        <f t="shared" si="5"/>
        <v>120.25</v>
      </c>
      <c r="P35" s="92">
        <f t="shared" si="6"/>
        <v>121</v>
      </c>
      <c r="Q35" s="92">
        <f t="shared" si="7"/>
        <v>102.25</v>
      </c>
      <c r="R35" s="92">
        <f t="shared" si="8"/>
        <v>158.75</v>
      </c>
    </row>
    <row r="36" spans="1:18" x14ac:dyDescent="0.3">
      <c r="A36" s="13">
        <v>37832</v>
      </c>
      <c r="B36" s="92">
        <v>197</v>
      </c>
      <c r="C36" s="92">
        <v>158</v>
      </c>
      <c r="D36" s="92">
        <v>151</v>
      </c>
      <c r="E36" s="92">
        <v>123</v>
      </c>
      <c r="F36" s="92">
        <v>137</v>
      </c>
      <c r="G36" s="92">
        <v>138</v>
      </c>
      <c r="H36" s="92">
        <v>110</v>
      </c>
      <c r="I36" s="92">
        <v>170</v>
      </c>
      <c r="K36" s="92">
        <f t="shared" si="1"/>
        <v>200.5</v>
      </c>
      <c r="L36" s="92">
        <f t="shared" si="2"/>
        <v>161.25</v>
      </c>
      <c r="M36" s="92">
        <f t="shared" si="3"/>
        <v>152</v>
      </c>
      <c r="N36" s="92">
        <f t="shared" si="4"/>
        <v>112</v>
      </c>
      <c r="O36" s="92">
        <f t="shared" si="5"/>
        <v>125.75</v>
      </c>
      <c r="P36" s="92">
        <f t="shared" si="6"/>
        <v>126.75</v>
      </c>
      <c r="Q36" s="92">
        <f t="shared" si="7"/>
        <v>104.75</v>
      </c>
      <c r="R36" s="92">
        <f t="shared" si="8"/>
        <v>163</v>
      </c>
    </row>
    <row r="37" spans="1:18" x14ac:dyDescent="0.3">
      <c r="A37" s="13">
        <v>37839</v>
      </c>
      <c r="B37" s="92">
        <v>199</v>
      </c>
      <c r="C37" s="92">
        <v>159</v>
      </c>
      <c r="D37" s="92">
        <v>151</v>
      </c>
      <c r="E37" s="92">
        <v>133</v>
      </c>
      <c r="F37" s="92">
        <v>144</v>
      </c>
      <c r="G37" s="92">
        <v>145</v>
      </c>
      <c r="H37" s="92">
        <v>124</v>
      </c>
      <c r="I37" s="92">
        <v>175</v>
      </c>
      <c r="K37" s="92">
        <f t="shared" si="1"/>
        <v>199</v>
      </c>
      <c r="L37" s="92">
        <f t="shared" si="2"/>
        <v>160</v>
      </c>
      <c r="M37" s="92">
        <f t="shared" si="3"/>
        <v>151</v>
      </c>
      <c r="N37" s="92">
        <f t="shared" si="4"/>
        <v>118.75</v>
      </c>
      <c r="O37" s="92">
        <f t="shared" si="5"/>
        <v>133.25</v>
      </c>
      <c r="P37" s="92">
        <f t="shared" si="6"/>
        <v>134.5</v>
      </c>
      <c r="Q37" s="92">
        <f t="shared" si="7"/>
        <v>111</v>
      </c>
      <c r="R37" s="92">
        <f t="shared" si="8"/>
        <v>168.75</v>
      </c>
    </row>
    <row r="38" spans="1:18" x14ac:dyDescent="0.3">
      <c r="A38" s="13">
        <v>37846</v>
      </c>
      <c r="B38" s="92">
        <v>202</v>
      </c>
      <c r="C38" s="92">
        <v>169</v>
      </c>
      <c r="D38" s="92">
        <v>160</v>
      </c>
      <c r="E38" s="92">
        <v>147</v>
      </c>
      <c r="F38" s="92">
        <v>149</v>
      </c>
      <c r="G38" s="92">
        <v>150</v>
      </c>
      <c r="H38" s="92">
        <v>131</v>
      </c>
      <c r="I38" s="92">
        <v>200</v>
      </c>
      <c r="K38" s="92">
        <f t="shared" si="1"/>
        <v>198.25</v>
      </c>
      <c r="L38" s="92">
        <f t="shared" si="2"/>
        <v>161</v>
      </c>
      <c r="M38" s="92">
        <f t="shared" si="3"/>
        <v>152.5</v>
      </c>
      <c r="N38" s="92">
        <f t="shared" si="4"/>
        <v>128</v>
      </c>
      <c r="O38" s="92">
        <f t="shared" si="5"/>
        <v>139</v>
      </c>
      <c r="P38" s="92">
        <f t="shared" si="6"/>
        <v>140.25</v>
      </c>
      <c r="Q38" s="92">
        <f t="shared" si="7"/>
        <v>117.5</v>
      </c>
      <c r="R38" s="92">
        <f t="shared" si="8"/>
        <v>177.5</v>
      </c>
    </row>
    <row r="39" spans="1:18" x14ac:dyDescent="0.3">
      <c r="A39" s="13">
        <v>37853</v>
      </c>
      <c r="B39" s="92">
        <v>211</v>
      </c>
      <c r="C39" s="92">
        <v>186</v>
      </c>
      <c r="D39" s="92">
        <v>170</v>
      </c>
      <c r="E39" s="92">
        <v>168</v>
      </c>
      <c r="F39" s="92">
        <v>165</v>
      </c>
      <c r="G39" s="92">
        <v>165</v>
      </c>
      <c r="H39" s="92">
        <v>150</v>
      </c>
      <c r="I39" s="92">
        <v>213</v>
      </c>
      <c r="K39" s="92">
        <f t="shared" si="1"/>
        <v>202.25</v>
      </c>
      <c r="L39" s="92">
        <f t="shared" si="2"/>
        <v>168</v>
      </c>
      <c r="M39" s="92">
        <f t="shared" si="3"/>
        <v>158</v>
      </c>
      <c r="N39" s="92">
        <f t="shared" si="4"/>
        <v>142.75</v>
      </c>
      <c r="O39" s="92">
        <f t="shared" si="5"/>
        <v>148.75</v>
      </c>
      <c r="P39" s="92">
        <f t="shared" si="6"/>
        <v>149.5</v>
      </c>
      <c r="Q39" s="92">
        <f t="shared" si="7"/>
        <v>128.75</v>
      </c>
      <c r="R39" s="92">
        <f t="shared" si="8"/>
        <v>189.5</v>
      </c>
    </row>
    <row r="40" spans="1:18" x14ac:dyDescent="0.3">
      <c r="A40" s="13">
        <v>37860</v>
      </c>
      <c r="B40" s="92">
        <v>215</v>
      </c>
      <c r="C40" s="92">
        <v>206</v>
      </c>
      <c r="D40" s="92">
        <v>188</v>
      </c>
      <c r="E40" s="92">
        <v>199</v>
      </c>
      <c r="F40" s="92">
        <v>180</v>
      </c>
      <c r="G40" s="92">
        <v>180</v>
      </c>
      <c r="H40" s="92">
        <v>176</v>
      </c>
      <c r="I40" s="92">
        <v>238</v>
      </c>
      <c r="K40" s="92">
        <f t="shared" si="1"/>
        <v>206.75</v>
      </c>
      <c r="L40" s="92">
        <f t="shared" si="2"/>
        <v>180</v>
      </c>
      <c r="M40" s="92">
        <f t="shared" si="3"/>
        <v>167.25</v>
      </c>
      <c r="N40" s="92">
        <f t="shared" si="4"/>
        <v>161.75</v>
      </c>
      <c r="O40" s="92">
        <f t="shared" si="5"/>
        <v>159.5</v>
      </c>
      <c r="P40" s="92">
        <f t="shared" si="6"/>
        <v>160</v>
      </c>
      <c r="Q40" s="92">
        <f t="shared" si="7"/>
        <v>145.25</v>
      </c>
      <c r="R40" s="92">
        <f t="shared" si="8"/>
        <v>206.5</v>
      </c>
    </row>
    <row r="41" spans="1:18" x14ac:dyDescent="0.3">
      <c r="A41" s="13">
        <v>37867</v>
      </c>
      <c r="B41" s="92">
        <v>215</v>
      </c>
      <c r="C41" s="92">
        <v>207</v>
      </c>
      <c r="D41" s="92">
        <v>190</v>
      </c>
      <c r="E41" s="92">
        <v>199</v>
      </c>
      <c r="F41" s="92">
        <v>187</v>
      </c>
      <c r="G41" s="92">
        <v>187</v>
      </c>
      <c r="H41" s="92">
        <v>181</v>
      </c>
      <c r="I41" s="92">
        <v>245</v>
      </c>
      <c r="K41" s="92">
        <f t="shared" si="1"/>
        <v>210.75</v>
      </c>
      <c r="L41" s="92">
        <f t="shared" si="2"/>
        <v>192</v>
      </c>
      <c r="M41" s="92">
        <f t="shared" si="3"/>
        <v>177</v>
      </c>
      <c r="N41" s="92">
        <f t="shared" si="4"/>
        <v>178.25</v>
      </c>
      <c r="O41" s="92">
        <f t="shared" si="5"/>
        <v>170.25</v>
      </c>
      <c r="P41" s="92">
        <f t="shared" si="6"/>
        <v>170.5</v>
      </c>
      <c r="Q41" s="92">
        <f t="shared" si="7"/>
        <v>159.5</v>
      </c>
      <c r="R41" s="92">
        <f t="shared" si="8"/>
        <v>224</v>
      </c>
    </row>
    <row r="42" spans="1:18" x14ac:dyDescent="0.3">
      <c r="A42" s="13">
        <v>37874</v>
      </c>
      <c r="B42" s="92">
        <v>209</v>
      </c>
      <c r="C42" s="92">
        <v>204</v>
      </c>
      <c r="D42" s="92">
        <v>198</v>
      </c>
      <c r="E42" s="92">
        <v>206</v>
      </c>
      <c r="F42" s="92">
        <v>191</v>
      </c>
      <c r="G42" s="92">
        <v>192</v>
      </c>
      <c r="H42" s="92">
        <v>188</v>
      </c>
      <c r="I42" s="92">
        <v>233</v>
      </c>
      <c r="K42" s="92">
        <f t="shared" si="1"/>
        <v>212.5</v>
      </c>
      <c r="L42" s="92">
        <f t="shared" si="2"/>
        <v>200.75</v>
      </c>
      <c r="M42" s="92">
        <f t="shared" si="3"/>
        <v>186.5</v>
      </c>
      <c r="N42" s="92">
        <f t="shared" si="4"/>
        <v>193</v>
      </c>
      <c r="O42" s="92">
        <f t="shared" si="5"/>
        <v>180.75</v>
      </c>
      <c r="P42" s="92">
        <f t="shared" si="6"/>
        <v>181</v>
      </c>
      <c r="Q42" s="92">
        <f t="shared" si="7"/>
        <v>173.75</v>
      </c>
      <c r="R42" s="92">
        <f t="shared" si="8"/>
        <v>232.25</v>
      </c>
    </row>
    <row r="43" spans="1:18" x14ac:dyDescent="0.3">
      <c r="A43" s="13">
        <v>37881</v>
      </c>
      <c r="B43" s="92">
        <v>250</v>
      </c>
      <c r="C43" s="92">
        <v>252</v>
      </c>
      <c r="D43" s="92">
        <v>248</v>
      </c>
      <c r="E43" s="92">
        <v>249</v>
      </c>
      <c r="F43" s="92">
        <v>245</v>
      </c>
      <c r="G43" s="92">
        <v>248</v>
      </c>
      <c r="H43" s="92">
        <v>220</v>
      </c>
      <c r="I43" s="92">
        <v>293</v>
      </c>
      <c r="K43" s="92">
        <f t="shared" si="1"/>
        <v>222.25</v>
      </c>
      <c r="L43" s="92">
        <f t="shared" si="2"/>
        <v>217.25</v>
      </c>
      <c r="M43" s="92">
        <f t="shared" si="3"/>
        <v>206</v>
      </c>
      <c r="N43" s="92">
        <f t="shared" si="4"/>
        <v>213.25</v>
      </c>
      <c r="O43" s="92">
        <f t="shared" si="5"/>
        <v>200.75</v>
      </c>
      <c r="P43" s="92">
        <f t="shared" si="6"/>
        <v>201.75</v>
      </c>
      <c r="Q43" s="92">
        <f t="shared" si="7"/>
        <v>191.25</v>
      </c>
      <c r="R43" s="92">
        <f t="shared" si="8"/>
        <v>252.25</v>
      </c>
    </row>
    <row r="44" spans="1:18" x14ac:dyDescent="0.3">
      <c r="A44" s="13">
        <v>37888</v>
      </c>
      <c r="B44" s="92">
        <v>262</v>
      </c>
      <c r="C44" s="92">
        <v>268</v>
      </c>
      <c r="D44" s="92">
        <v>275</v>
      </c>
      <c r="E44" s="92">
        <v>268</v>
      </c>
      <c r="F44" s="92">
        <v>259</v>
      </c>
      <c r="G44" s="92">
        <v>262</v>
      </c>
      <c r="H44" s="92">
        <v>224</v>
      </c>
      <c r="I44" s="92">
        <v>278</v>
      </c>
      <c r="K44" s="92">
        <f t="shared" si="1"/>
        <v>234</v>
      </c>
      <c r="L44" s="92">
        <f t="shared" si="2"/>
        <v>232.75</v>
      </c>
      <c r="M44" s="92">
        <f t="shared" si="3"/>
        <v>227.75</v>
      </c>
      <c r="N44" s="92">
        <f t="shared" si="4"/>
        <v>230.5</v>
      </c>
      <c r="O44" s="92">
        <f t="shared" si="5"/>
        <v>220.5</v>
      </c>
      <c r="P44" s="92">
        <f t="shared" si="6"/>
        <v>222.25</v>
      </c>
      <c r="Q44" s="92">
        <f t="shared" si="7"/>
        <v>203.25</v>
      </c>
      <c r="R44" s="92">
        <f t="shared" si="8"/>
        <v>262.25</v>
      </c>
    </row>
    <row r="45" spans="1:18" x14ac:dyDescent="0.3">
      <c r="A45" s="13">
        <v>37895</v>
      </c>
      <c r="B45" s="92">
        <v>281</v>
      </c>
      <c r="C45" s="92">
        <v>282</v>
      </c>
      <c r="D45" s="92">
        <v>303</v>
      </c>
      <c r="E45" s="92">
        <v>283</v>
      </c>
      <c r="F45" s="92">
        <v>264</v>
      </c>
      <c r="G45" s="92">
        <v>265</v>
      </c>
      <c r="H45" s="92">
        <v>242</v>
      </c>
      <c r="I45" s="92">
        <v>302</v>
      </c>
      <c r="K45" s="92">
        <f t="shared" si="1"/>
        <v>250.5</v>
      </c>
      <c r="L45" s="92">
        <f t="shared" si="2"/>
        <v>251.5</v>
      </c>
      <c r="M45" s="92">
        <f t="shared" si="3"/>
        <v>256</v>
      </c>
      <c r="N45" s="92">
        <f t="shared" si="4"/>
        <v>251.5</v>
      </c>
      <c r="O45" s="92">
        <f t="shared" si="5"/>
        <v>239.75</v>
      </c>
      <c r="P45" s="92">
        <f t="shared" si="6"/>
        <v>241.75</v>
      </c>
      <c r="Q45" s="92">
        <f t="shared" si="7"/>
        <v>218.5</v>
      </c>
      <c r="R45" s="92">
        <f t="shared" si="8"/>
        <v>276.5</v>
      </c>
    </row>
    <row r="46" spans="1:18" x14ac:dyDescent="0.3">
      <c r="A46" s="13">
        <v>37902</v>
      </c>
      <c r="B46" s="92">
        <v>282</v>
      </c>
      <c r="C46" s="92">
        <v>285</v>
      </c>
      <c r="D46" s="92">
        <v>298</v>
      </c>
      <c r="E46" s="92">
        <v>280</v>
      </c>
      <c r="F46" s="92">
        <v>267</v>
      </c>
      <c r="G46" s="92">
        <v>267</v>
      </c>
      <c r="H46" s="92">
        <v>245</v>
      </c>
      <c r="I46" s="92">
        <v>317</v>
      </c>
      <c r="K46" s="92">
        <f t="shared" si="1"/>
        <v>268.75</v>
      </c>
      <c r="L46" s="92">
        <f t="shared" si="2"/>
        <v>271.75</v>
      </c>
      <c r="M46" s="92">
        <f t="shared" si="3"/>
        <v>281</v>
      </c>
      <c r="N46" s="92">
        <f t="shared" si="4"/>
        <v>270</v>
      </c>
      <c r="O46" s="92">
        <f t="shared" si="5"/>
        <v>258.75</v>
      </c>
      <c r="P46" s="92">
        <f t="shared" si="6"/>
        <v>260.5</v>
      </c>
      <c r="Q46" s="92">
        <f t="shared" si="7"/>
        <v>232.75</v>
      </c>
      <c r="R46" s="92">
        <f t="shared" si="8"/>
        <v>297.5</v>
      </c>
    </row>
    <row r="47" spans="1:18" x14ac:dyDescent="0.3">
      <c r="A47" s="13">
        <v>37909</v>
      </c>
      <c r="B47" s="92">
        <v>270</v>
      </c>
      <c r="C47" s="92">
        <v>266</v>
      </c>
      <c r="D47" s="92">
        <v>268</v>
      </c>
      <c r="E47" s="92">
        <v>253</v>
      </c>
      <c r="F47" s="92">
        <v>248</v>
      </c>
      <c r="G47" s="92">
        <v>248</v>
      </c>
      <c r="H47" s="92">
        <v>216</v>
      </c>
      <c r="I47" s="92">
        <v>277</v>
      </c>
      <c r="K47" s="92">
        <f t="shared" si="1"/>
        <v>273.75</v>
      </c>
      <c r="L47" s="92">
        <f t="shared" si="2"/>
        <v>275.25</v>
      </c>
      <c r="M47" s="92">
        <f t="shared" si="3"/>
        <v>286</v>
      </c>
      <c r="N47" s="92">
        <f t="shared" si="4"/>
        <v>271</v>
      </c>
      <c r="O47" s="92">
        <f t="shared" si="5"/>
        <v>259.5</v>
      </c>
      <c r="P47" s="92">
        <f t="shared" si="6"/>
        <v>260.5</v>
      </c>
      <c r="Q47" s="92">
        <f t="shared" si="7"/>
        <v>231.75</v>
      </c>
      <c r="R47" s="92">
        <f t="shared" si="8"/>
        <v>293.5</v>
      </c>
    </row>
    <row r="48" spans="1:18" x14ac:dyDescent="0.3">
      <c r="A48" s="13">
        <v>37916</v>
      </c>
      <c r="B48" s="92">
        <v>303</v>
      </c>
      <c r="C48" s="92">
        <v>305</v>
      </c>
      <c r="D48" s="92">
        <v>304</v>
      </c>
      <c r="E48" s="92">
        <v>300</v>
      </c>
      <c r="F48" s="92">
        <v>287</v>
      </c>
      <c r="G48" s="92">
        <v>288</v>
      </c>
      <c r="H48" s="92">
        <v>277</v>
      </c>
      <c r="I48" s="92">
        <v>382</v>
      </c>
      <c r="K48" s="92">
        <f t="shared" si="1"/>
        <v>284</v>
      </c>
      <c r="L48" s="92">
        <f t="shared" si="2"/>
        <v>284.5</v>
      </c>
      <c r="M48" s="92">
        <f t="shared" si="3"/>
        <v>293.25</v>
      </c>
      <c r="N48" s="92">
        <f t="shared" si="4"/>
        <v>279</v>
      </c>
      <c r="O48" s="92">
        <f t="shared" si="5"/>
        <v>266.5</v>
      </c>
      <c r="P48" s="92">
        <f t="shared" si="6"/>
        <v>267</v>
      </c>
      <c r="Q48" s="92">
        <f t="shared" si="7"/>
        <v>245</v>
      </c>
      <c r="R48" s="92">
        <f t="shared" si="8"/>
        <v>319.5</v>
      </c>
    </row>
    <row r="49" spans="1:18" x14ac:dyDescent="0.3">
      <c r="A49" s="13">
        <v>37923</v>
      </c>
      <c r="B49" s="92">
        <v>324</v>
      </c>
      <c r="C49" s="92">
        <v>345</v>
      </c>
      <c r="D49" s="92">
        <v>352</v>
      </c>
      <c r="E49" s="92">
        <v>350</v>
      </c>
      <c r="F49" s="92">
        <v>334</v>
      </c>
      <c r="G49" s="92">
        <v>335</v>
      </c>
      <c r="H49" s="92">
        <v>329</v>
      </c>
      <c r="I49" s="92">
        <v>423</v>
      </c>
      <c r="K49" s="92">
        <f t="shared" si="1"/>
        <v>294.75</v>
      </c>
      <c r="L49" s="92">
        <f t="shared" si="2"/>
        <v>300.25</v>
      </c>
      <c r="M49" s="92">
        <f t="shared" si="3"/>
        <v>305.5</v>
      </c>
      <c r="N49" s="92">
        <f t="shared" si="4"/>
        <v>295.75</v>
      </c>
      <c r="O49" s="92">
        <f t="shared" si="5"/>
        <v>284</v>
      </c>
      <c r="P49" s="92">
        <f t="shared" si="6"/>
        <v>284.5</v>
      </c>
      <c r="Q49" s="92">
        <f t="shared" si="7"/>
        <v>266.75</v>
      </c>
      <c r="R49" s="92">
        <f t="shared" si="8"/>
        <v>349.75</v>
      </c>
    </row>
    <row r="50" spans="1:18" x14ac:dyDescent="0.3">
      <c r="A50" s="13">
        <v>37930</v>
      </c>
      <c r="B50" s="92">
        <v>260</v>
      </c>
      <c r="C50" s="92">
        <v>260</v>
      </c>
      <c r="D50" s="92">
        <v>277</v>
      </c>
      <c r="E50" s="92">
        <v>252</v>
      </c>
      <c r="F50" s="92">
        <v>310</v>
      </c>
      <c r="G50" s="92">
        <v>310</v>
      </c>
      <c r="H50" s="92">
        <v>237</v>
      </c>
      <c r="I50" s="92">
        <v>285</v>
      </c>
      <c r="K50" s="92">
        <f t="shared" si="1"/>
        <v>289.25</v>
      </c>
      <c r="L50" s="92">
        <f t="shared" si="2"/>
        <v>294</v>
      </c>
      <c r="M50" s="92">
        <f t="shared" si="3"/>
        <v>300.25</v>
      </c>
      <c r="N50" s="92">
        <f t="shared" si="4"/>
        <v>288.75</v>
      </c>
      <c r="O50" s="92">
        <f t="shared" si="5"/>
        <v>294.75</v>
      </c>
      <c r="P50" s="92">
        <f t="shared" si="6"/>
        <v>295.25</v>
      </c>
      <c r="Q50" s="92">
        <f t="shared" si="7"/>
        <v>264.75</v>
      </c>
      <c r="R50" s="92">
        <f t="shared" si="8"/>
        <v>341.75</v>
      </c>
    </row>
    <row r="51" spans="1:18" x14ac:dyDescent="0.3">
      <c r="A51" s="13">
        <v>37937</v>
      </c>
      <c r="B51" s="92">
        <v>236</v>
      </c>
      <c r="C51" s="92">
        <v>228</v>
      </c>
      <c r="D51" s="92">
        <v>214</v>
      </c>
      <c r="E51" s="92">
        <v>167</v>
      </c>
      <c r="F51" s="92">
        <v>203</v>
      </c>
      <c r="G51" s="92">
        <v>204</v>
      </c>
      <c r="H51" s="92">
        <v>164</v>
      </c>
      <c r="I51" s="92">
        <v>227</v>
      </c>
      <c r="K51" s="92">
        <f t="shared" si="1"/>
        <v>280.75</v>
      </c>
      <c r="L51" s="92">
        <f t="shared" si="2"/>
        <v>284.5</v>
      </c>
      <c r="M51" s="92">
        <f t="shared" si="3"/>
        <v>286.75</v>
      </c>
      <c r="N51" s="92">
        <f t="shared" si="4"/>
        <v>267.25</v>
      </c>
      <c r="O51" s="92">
        <f t="shared" si="5"/>
        <v>283.5</v>
      </c>
      <c r="P51" s="92">
        <f t="shared" si="6"/>
        <v>284.25</v>
      </c>
      <c r="Q51" s="92">
        <f t="shared" si="7"/>
        <v>251.75</v>
      </c>
      <c r="R51" s="92">
        <f t="shared" si="8"/>
        <v>329.25</v>
      </c>
    </row>
    <row r="52" spans="1:18" x14ac:dyDescent="0.3">
      <c r="A52" s="13">
        <v>37944</v>
      </c>
      <c r="B52" s="92">
        <v>236</v>
      </c>
      <c r="C52" s="92">
        <v>209</v>
      </c>
      <c r="D52" s="92">
        <v>193</v>
      </c>
      <c r="E52" s="92">
        <v>149</v>
      </c>
      <c r="F52" s="92">
        <v>151</v>
      </c>
      <c r="G52" s="92">
        <v>151</v>
      </c>
      <c r="H52" s="92">
        <v>135</v>
      </c>
      <c r="I52" s="92">
        <v>180</v>
      </c>
      <c r="K52" s="92">
        <f t="shared" si="1"/>
        <v>264</v>
      </c>
      <c r="L52" s="92">
        <f t="shared" si="2"/>
        <v>260.5</v>
      </c>
      <c r="M52" s="92">
        <f t="shared" si="3"/>
        <v>259</v>
      </c>
      <c r="N52" s="92">
        <f t="shared" si="4"/>
        <v>229.5</v>
      </c>
      <c r="O52" s="92">
        <f t="shared" si="5"/>
        <v>249.5</v>
      </c>
      <c r="P52" s="92">
        <f t="shared" si="6"/>
        <v>250</v>
      </c>
      <c r="Q52" s="92">
        <f t="shared" si="7"/>
        <v>216.25</v>
      </c>
      <c r="R52" s="92">
        <f t="shared" si="8"/>
        <v>278.75</v>
      </c>
    </row>
    <row r="53" spans="1:18" x14ac:dyDescent="0.3">
      <c r="A53" s="13">
        <v>37951</v>
      </c>
      <c r="B53" s="92">
        <v>200</v>
      </c>
      <c r="C53" s="92">
        <v>189</v>
      </c>
      <c r="D53" s="92">
        <v>188</v>
      </c>
      <c r="E53" s="92">
        <v>142</v>
      </c>
      <c r="F53" s="92">
        <v>146</v>
      </c>
      <c r="G53" s="92">
        <v>146</v>
      </c>
      <c r="H53" s="92">
        <v>130</v>
      </c>
      <c r="I53" s="92">
        <v>168</v>
      </c>
      <c r="K53" s="92">
        <f t="shared" si="1"/>
        <v>233</v>
      </c>
      <c r="L53" s="92">
        <f t="shared" si="2"/>
        <v>221.5</v>
      </c>
      <c r="M53" s="92">
        <f t="shared" si="3"/>
        <v>218</v>
      </c>
      <c r="N53" s="92">
        <f t="shared" si="4"/>
        <v>177.5</v>
      </c>
      <c r="O53" s="92">
        <f t="shared" si="5"/>
        <v>202.5</v>
      </c>
      <c r="P53" s="92">
        <f t="shared" si="6"/>
        <v>202.75</v>
      </c>
      <c r="Q53" s="92">
        <f t="shared" si="7"/>
        <v>166.5</v>
      </c>
      <c r="R53" s="92">
        <f t="shared" si="8"/>
        <v>215</v>
      </c>
    </row>
    <row r="54" spans="1:18" x14ac:dyDescent="0.3">
      <c r="A54" s="13">
        <v>37958</v>
      </c>
      <c r="B54" s="92">
        <v>0</v>
      </c>
      <c r="C54" s="92">
        <v>200</v>
      </c>
      <c r="D54" s="92">
        <v>200</v>
      </c>
      <c r="E54" s="92">
        <v>146</v>
      </c>
      <c r="F54" s="92">
        <v>153</v>
      </c>
      <c r="G54" s="92">
        <v>153</v>
      </c>
      <c r="H54" s="92">
        <v>132</v>
      </c>
      <c r="I54" s="92">
        <v>177</v>
      </c>
      <c r="K54" s="92">
        <f t="shared" si="1"/>
        <v>168</v>
      </c>
      <c r="L54" s="92">
        <f t="shared" si="2"/>
        <v>206.5</v>
      </c>
      <c r="M54" s="92">
        <f t="shared" si="3"/>
        <v>198.75</v>
      </c>
      <c r="N54" s="92">
        <f t="shared" si="4"/>
        <v>151</v>
      </c>
      <c r="O54" s="92">
        <f t="shared" si="5"/>
        <v>163.25</v>
      </c>
      <c r="P54" s="92">
        <f t="shared" si="6"/>
        <v>163.5</v>
      </c>
      <c r="Q54" s="92">
        <f t="shared" si="7"/>
        <v>140.25</v>
      </c>
      <c r="R54" s="92">
        <f t="shared" si="8"/>
        <v>188</v>
      </c>
    </row>
    <row r="55" spans="1:18" x14ac:dyDescent="0.3">
      <c r="A55" s="13">
        <v>37965</v>
      </c>
      <c r="B55" s="92">
        <v>0</v>
      </c>
      <c r="C55" s="92">
        <v>0</v>
      </c>
      <c r="D55" s="92">
        <v>218</v>
      </c>
      <c r="E55" s="92">
        <v>179</v>
      </c>
      <c r="F55" s="92">
        <v>209</v>
      </c>
      <c r="G55" s="92">
        <v>209</v>
      </c>
      <c r="H55" s="92">
        <v>167</v>
      </c>
      <c r="I55" s="92">
        <v>207</v>
      </c>
      <c r="K55" s="92">
        <f t="shared" si="1"/>
        <v>109</v>
      </c>
      <c r="L55" s="92">
        <f t="shared" si="2"/>
        <v>149.5</v>
      </c>
      <c r="M55" s="92">
        <f t="shared" si="3"/>
        <v>199.75</v>
      </c>
      <c r="N55" s="92">
        <f t="shared" si="4"/>
        <v>154</v>
      </c>
      <c r="O55" s="92">
        <f t="shared" si="5"/>
        <v>164.75</v>
      </c>
      <c r="P55" s="92">
        <f t="shared" si="6"/>
        <v>164.75</v>
      </c>
      <c r="Q55" s="92">
        <f t="shared" si="7"/>
        <v>141</v>
      </c>
      <c r="R55" s="92">
        <f t="shared" si="8"/>
        <v>183</v>
      </c>
    </row>
    <row r="56" spans="1:18" x14ac:dyDescent="0.3">
      <c r="A56" s="13">
        <v>37972</v>
      </c>
      <c r="B56" s="92">
        <v>0</v>
      </c>
      <c r="C56" s="92">
        <v>0</v>
      </c>
      <c r="D56" s="92">
        <v>214</v>
      </c>
      <c r="E56" s="92">
        <v>182</v>
      </c>
      <c r="F56" s="92">
        <v>200</v>
      </c>
      <c r="G56" s="92">
        <v>200</v>
      </c>
      <c r="H56" s="92">
        <v>164</v>
      </c>
      <c r="I56" s="92">
        <v>213</v>
      </c>
      <c r="K56" s="92">
        <f t="shared" si="1"/>
        <v>50</v>
      </c>
      <c r="L56" s="92">
        <f t="shared" si="2"/>
        <v>97.25</v>
      </c>
      <c r="M56" s="92">
        <f t="shared" si="3"/>
        <v>205</v>
      </c>
      <c r="N56" s="92">
        <f t="shared" si="4"/>
        <v>162.25</v>
      </c>
      <c r="O56" s="92">
        <f t="shared" si="5"/>
        <v>177</v>
      </c>
      <c r="P56" s="92">
        <f t="shared" si="6"/>
        <v>177</v>
      </c>
      <c r="Q56" s="92">
        <f t="shared" si="7"/>
        <v>148.25</v>
      </c>
      <c r="R56" s="92">
        <f t="shared" si="8"/>
        <v>191.25</v>
      </c>
    </row>
    <row r="57" spans="1:18" x14ac:dyDescent="0.3">
      <c r="A57" s="13">
        <v>37979</v>
      </c>
      <c r="B57" s="92">
        <v>0</v>
      </c>
      <c r="C57" s="92">
        <v>0</v>
      </c>
      <c r="D57" s="92">
        <v>215</v>
      </c>
      <c r="E57" s="92">
        <v>167</v>
      </c>
      <c r="F57" s="92">
        <v>177</v>
      </c>
      <c r="G57" s="92">
        <v>177</v>
      </c>
      <c r="H57" s="92">
        <v>153</v>
      </c>
      <c r="I57" s="92">
        <v>195</v>
      </c>
      <c r="K57" s="92">
        <f t="shared" si="1"/>
        <v>0</v>
      </c>
      <c r="L57" s="92">
        <f t="shared" si="2"/>
        <v>50</v>
      </c>
      <c r="M57" s="92">
        <f t="shared" si="3"/>
        <v>211.75</v>
      </c>
      <c r="N57" s="92">
        <f t="shared" si="4"/>
        <v>168.5</v>
      </c>
      <c r="O57" s="92">
        <f t="shared" si="5"/>
        <v>184.75</v>
      </c>
      <c r="P57" s="92">
        <f t="shared" si="6"/>
        <v>184.75</v>
      </c>
      <c r="Q57" s="92">
        <f t="shared" si="7"/>
        <v>154</v>
      </c>
      <c r="R57" s="92">
        <f t="shared" si="8"/>
        <v>198</v>
      </c>
    </row>
    <row r="58" spans="1:18" x14ac:dyDescent="0.3">
      <c r="A58" s="13">
        <v>37986</v>
      </c>
      <c r="B58" s="92">
        <v>0</v>
      </c>
      <c r="C58" s="92">
        <v>0</v>
      </c>
      <c r="D58" s="92">
        <v>200.5</v>
      </c>
      <c r="E58" s="92">
        <v>164.5</v>
      </c>
      <c r="F58" s="92">
        <v>165.5</v>
      </c>
      <c r="G58" s="92">
        <v>163.5</v>
      </c>
      <c r="H58" s="92">
        <v>155</v>
      </c>
      <c r="I58" s="92">
        <v>195</v>
      </c>
      <c r="K58" s="92">
        <f t="shared" si="1"/>
        <v>0</v>
      </c>
      <c r="L58" s="92">
        <f t="shared" si="2"/>
        <v>0</v>
      </c>
      <c r="M58" s="92">
        <f t="shared" si="3"/>
        <v>211.875</v>
      </c>
      <c r="N58" s="92">
        <f t="shared" si="4"/>
        <v>173.125</v>
      </c>
      <c r="O58" s="92">
        <f t="shared" si="5"/>
        <v>187.875</v>
      </c>
      <c r="P58" s="92">
        <f t="shared" si="6"/>
        <v>187.375</v>
      </c>
      <c r="Q58" s="92">
        <f t="shared" si="7"/>
        <v>159.75</v>
      </c>
      <c r="R58" s="92">
        <f t="shared" si="8"/>
        <v>202.5</v>
      </c>
    </row>
    <row r="59" spans="1:18" x14ac:dyDescent="0.3">
      <c r="A59" s="13">
        <v>37993</v>
      </c>
      <c r="B59" s="92">
        <f>+TWK!B4</f>
        <v>0</v>
      </c>
      <c r="C59" s="92">
        <f>+TWK!C4</f>
        <v>0</v>
      </c>
      <c r="D59" s="92">
        <f>+TWK!D4</f>
        <v>200</v>
      </c>
      <c r="E59" s="92">
        <f>+TWK!E4</f>
        <v>162</v>
      </c>
      <c r="F59" s="92">
        <f>+TWK!F4</f>
        <v>163.75</v>
      </c>
      <c r="G59" s="92">
        <f>+TWK!G4</f>
        <v>165</v>
      </c>
      <c r="H59" s="92">
        <f>+TWK!H4</f>
        <v>152.5</v>
      </c>
      <c r="I59" s="92">
        <f>+TWK!I4</f>
        <v>195</v>
      </c>
      <c r="K59" s="92">
        <f t="shared" si="1"/>
        <v>0</v>
      </c>
      <c r="L59" s="92">
        <f t="shared" si="2"/>
        <v>0</v>
      </c>
      <c r="M59" s="92">
        <f t="shared" si="3"/>
        <v>207.375</v>
      </c>
      <c r="N59" s="92">
        <f t="shared" si="4"/>
        <v>168.875</v>
      </c>
      <c r="O59" s="92">
        <f t="shared" si="5"/>
        <v>176.5625</v>
      </c>
      <c r="P59" s="92">
        <f t="shared" si="6"/>
        <v>176.375</v>
      </c>
      <c r="Q59" s="92">
        <f t="shared" si="7"/>
        <v>156.125</v>
      </c>
      <c r="R59" s="92">
        <f t="shared" si="8"/>
        <v>199.5</v>
      </c>
    </row>
    <row r="60" spans="1:18" x14ac:dyDescent="0.3">
      <c r="A60" s="13">
        <v>38000</v>
      </c>
      <c r="B60" s="92">
        <f>+TWK!B5</f>
        <v>0</v>
      </c>
      <c r="C60" s="92">
        <f>+TWK!C5</f>
        <v>0</v>
      </c>
      <c r="D60" s="92">
        <f>+TWK!D5</f>
        <v>200</v>
      </c>
      <c r="E60" s="92">
        <f>+TWK!E5</f>
        <v>162</v>
      </c>
      <c r="F60" s="92">
        <f>+TWK!F5</f>
        <v>169.5</v>
      </c>
      <c r="G60" s="92">
        <f>+TWK!G5</f>
        <v>169.5</v>
      </c>
      <c r="H60" s="92">
        <f>+TWK!H5</f>
        <v>149</v>
      </c>
      <c r="I60" s="92">
        <f>+TWK!I5</f>
        <v>198.3</v>
      </c>
      <c r="K60" s="92">
        <f t="shared" si="1"/>
        <v>0</v>
      </c>
      <c r="L60" s="92">
        <f t="shared" si="2"/>
        <v>0</v>
      </c>
      <c r="M60" s="92">
        <f t="shared" si="3"/>
        <v>203.875</v>
      </c>
      <c r="N60" s="92">
        <f t="shared" si="4"/>
        <v>163.875</v>
      </c>
      <c r="O60" s="92">
        <f t="shared" si="5"/>
        <v>168.9375</v>
      </c>
      <c r="P60" s="92">
        <f t="shared" si="6"/>
        <v>168.75</v>
      </c>
      <c r="Q60" s="92">
        <f t="shared" si="7"/>
        <v>152.375</v>
      </c>
      <c r="R60" s="92">
        <f t="shared" si="8"/>
        <v>195.82499999999999</v>
      </c>
    </row>
    <row r="61" spans="1:18" x14ac:dyDescent="0.3">
      <c r="A61" s="13">
        <v>38007</v>
      </c>
      <c r="B61" s="92">
        <f>+TWK!B6</f>
        <v>0</v>
      </c>
      <c r="C61" s="92">
        <f>+TWK!C6</f>
        <v>0</v>
      </c>
      <c r="D61" s="92">
        <f>+TWK!D6</f>
        <v>194</v>
      </c>
      <c r="E61" s="92">
        <f>+TWK!E6</f>
        <v>157</v>
      </c>
      <c r="F61" s="92">
        <f>+TWK!F6</f>
        <v>172</v>
      </c>
      <c r="G61" s="92">
        <f>+TWK!G6</f>
        <v>171</v>
      </c>
      <c r="H61" s="92">
        <f>+TWK!H6</f>
        <v>144</v>
      </c>
      <c r="I61" s="92">
        <f>+TWK!I6</f>
        <v>182</v>
      </c>
      <c r="K61" s="92">
        <f t="shared" si="1"/>
        <v>0</v>
      </c>
      <c r="L61" s="92">
        <f t="shared" si="2"/>
        <v>0</v>
      </c>
      <c r="M61" s="92">
        <f t="shared" si="3"/>
        <v>198.625</v>
      </c>
      <c r="N61" s="92">
        <f t="shared" si="4"/>
        <v>161.375</v>
      </c>
      <c r="O61" s="92">
        <f t="shared" si="5"/>
        <v>167.6875</v>
      </c>
      <c r="P61" s="92">
        <f t="shared" si="6"/>
        <v>167.25</v>
      </c>
      <c r="Q61" s="92">
        <f t="shared" si="7"/>
        <v>150.125</v>
      </c>
      <c r="R61" s="92">
        <f t="shared" si="8"/>
        <v>192.57499999999999</v>
      </c>
    </row>
    <row r="62" spans="1:18" x14ac:dyDescent="0.3">
      <c r="A62" s="13">
        <v>38014</v>
      </c>
      <c r="B62" s="92">
        <f>+TWK!B7</f>
        <v>0</v>
      </c>
      <c r="C62" s="92">
        <f>+TWK!C7</f>
        <v>0</v>
      </c>
      <c r="D62" s="92">
        <f>+TWK!D7</f>
        <v>208</v>
      </c>
      <c r="E62" s="92">
        <f>+TWK!E7</f>
        <v>150</v>
      </c>
      <c r="F62" s="92">
        <f>+TWK!F7</f>
        <v>161</v>
      </c>
      <c r="G62" s="92">
        <f>+TWK!G7</f>
        <v>159</v>
      </c>
      <c r="H62" s="92">
        <f>+TWK!H7</f>
        <v>137</v>
      </c>
      <c r="I62" s="92">
        <f>+TWK!I7</f>
        <v>165</v>
      </c>
      <c r="K62" s="92">
        <f t="shared" si="1"/>
        <v>0</v>
      </c>
      <c r="L62" s="92">
        <f t="shared" si="2"/>
        <v>0</v>
      </c>
      <c r="M62" s="92">
        <f t="shared" si="3"/>
        <v>200.5</v>
      </c>
      <c r="N62" s="92">
        <f t="shared" si="4"/>
        <v>157.75</v>
      </c>
      <c r="O62" s="92">
        <f t="shared" si="5"/>
        <v>166.5625</v>
      </c>
      <c r="P62" s="92">
        <f t="shared" si="6"/>
        <v>166.125</v>
      </c>
      <c r="Q62" s="92">
        <f t="shared" si="7"/>
        <v>145.625</v>
      </c>
      <c r="R62" s="92">
        <f t="shared" si="8"/>
        <v>185.07499999999999</v>
      </c>
    </row>
    <row r="63" spans="1:18" x14ac:dyDescent="0.3">
      <c r="A63" s="13">
        <v>38021</v>
      </c>
      <c r="B63" s="92">
        <f>+TWK!B8</f>
        <v>0</v>
      </c>
      <c r="C63" s="92">
        <f>+TWK!C8</f>
        <v>0</v>
      </c>
      <c r="D63" s="92">
        <f>+TWK!D8</f>
        <v>214</v>
      </c>
      <c r="E63" s="92">
        <f>+TWK!E8</f>
        <v>147</v>
      </c>
      <c r="F63" s="92">
        <f>+TWK!F8</f>
        <v>152</v>
      </c>
      <c r="G63" s="92">
        <f>+TWK!G8</f>
        <v>151</v>
      </c>
      <c r="H63" s="92">
        <f>+TWK!H8</f>
        <v>127</v>
      </c>
      <c r="I63" s="92">
        <f>+TWK!I8</f>
        <v>185</v>
      </c>
      <c r="K63" s="92">
        <f t="shared" si="1"/>
        <v>0</v>
      </c>
      <c r="L63" s="92">
        <f t="shared" si="2"/>
        <v>0</v>
      </c>
      <c r="M63" s="92">
        <f t="shared" si="3"/>
        <v>204</v>
      </c>
      <c r="N63" s="92">
        <f t="shared" si="4"/>
        <v>154</v>
      </c>
      <c r="O63" s="92">
        <f t="shared" si="5"/>
        <v>163.625</v>
      </c>
      <c r="P63" s="92">
        <f t="shared" si="6"/>
        <v>162.625</v>
      </c>
      <c r="Q63" s="92">
        <f t="shared" si="7"/>
        <v>139.25</v>
      </c>
      <c r="R63" s="92">
        <f t="shared" si="8"/>
        <v>182.57499999999999</v>
      </c>
    </row>
    <row r="64" spans="1:18" x14ac:dyDescent="0.3">
      <c r="A64" s="13">
        <v>38028</v>
      </c>
      <c r="B64" s="92">
        <f>+TWK!B9</f>
        <v>0</v>
      </c>
      <c r="C64" s="92">
        <f>+TWK!C9</f>
        <v>0</v>
      </c>
      <c r="D64" s="92">
        <f>+TWK!D9</f>
        <v>183</v>
      </c>
      <c r="E64" s="92">
        <f>+TWK!E9</f>
        <v>135</v>
      </c>
      <c r="F64" s="92">
        <f>+TWK!F9</f>
        <v>134</v>
      </c>
      <c r="G64" s="92">
        <f>+TWK!G9</f>
        <v>134</v>
      </c>
      <c r="H64" s="92">
        <f>+TWK!H9</f>
        <v>118</v>
      </c>
      <c r="I64" s="92">
        <f>+TWK!I9</f>
        <v>165</v>
      </c>
      <c r="K64" s="92">
        <f t="shared" si="1"/>
        <v>0</v>
      </c>
      <c r="L64" s="92">
        <f t="shared" si="2"/>
        <v>0</v>
      </c>
      <c r="M64" s="92">
        <f t="shared" si="3"/>
        <v>199.75</v>
      </c>
      <c r="N64" s="92">
        <f t="shared" si="4"/>
        <v>147.25</v>
      </c>
      <c r="O64" s="92">
        <f t="shared" si="5"/>
        <v>154.75</v>
      </c>
      <c r="P64" s="92">
        <f t="shared" si="6"/>
        <v>153.75</v>
      </c>
      <c r="Q64" s="92">
        <f t="shared" si="7"/>
        <v>131.5</v>
      </c>
      <c r="R64" s="92">
        <f t="shared" si="8"/>
        <v>174.25</v>
      </c>
    </row>
    <row r="65" spans="1:18" x14ac:dyDescent="0.3">
      <c r="A65" s="13">
        <v>38035</v>
      </c>
      <c r="B65" s="92">
        <f>+TWK!B10</f>
        <v>0</v>
      </c>
      <c r="C65" s="92">
        <f>+TWK!C10</f>
        <v>0</v>
      </c>
      <c r="D65" s="92">
        <f>+TWK!D10</f>
        <v>181</v>
      </c>
      <c r="E65" s="92">
        <f>+TWK!E10</f>
        <v>133</v>
      </c>
      <c r="F65" s="92">
        <f>+TWK!F10</f>
        <v>131</v>
      </c>
      <c r="G65" s="92">
        <f>+TWK!G10</f>
        <v>130</v>
      </c>
      <c r="H65" s="92">
        <f>+TWK!H10</f>
        <v>117</v>
      </c>
      <c r="I65" s="92">
        <f>+TWK!I10</f>
        <v>173</v>
      </c>
      <c r="K65" s="92">
        <f t="shared" si="1"/>
        <v>0</v>
      </c>
      <c r="L65" s="92">
        <f t="shared" si="2"/>
        <v>0</v>
      </c>
      <c r="M65" s="92">
        <f t="shared" si="3"/>
        <v>196.5</v>
      </c>
      <c r="N65" s="92">
        <f t="shared" si="4"/>
        <v>141.25</v>
      </c>
      <c r="O65" s="92">
        <f t="shared" si="5"/>
        <v>144.5</v>
      </c>
      <c r="P65" s="92">
        <f t="shared" si="6"/>
        <v>143.5</v>
      </c>
      <c r="Q65" s="92">
        <f t="shared" si="7"/>
        <v>124.75</v>
      </c>
      <c r="R65" s="92">
        <f t="shared" si="8"/>
        <v>172</v>
      </c>
    </row>
    <row r="66" spans="1:18" x14ac:dyDescent="0.3">
      <c r="A66" s="13">
        <v>38042</v>
      </c>
      <c r="B66" s="92">
        <f>+TWK!B11</f>
        <v>0</v>
      </c>
      <c r="C66" s="92">
        <f>+TWK!C11</f>
        <v>0</v>
      </c>
      <c r="D66" s="92">
        <f>+TWK!D11</f>
        <v>161</v>
      </c>
      <c r="E66" s="92">
        <f>+TWK!E11</f>
        <v>130</v>
      </c>
      <c r="F66" s="92">
        <f>+TWK!F11</f>
        <v>126</v>
      </c>
      <c r="G66" s="92">
        <f>+TWK!G11</f>
        <v>125</v>
      </c>
      <c r="H66" s="92">
        <f>+TWK!H11</f>
        <v>120</v>
      </c>
      <c r="I66" s="92">
        <f>+TWK!I11</f>
        <v>165</v>
      </c>
      <c r="K66" s="92">
        <f t="shared" si="1"/>
        <v>0</v>
      </c>
      <c r="L66" s="92">
        <f t="shared" si="2"/>
        <v>0</v>
      </c>
      <c r="M66" s="92">
        <f t="shared" si="3"/>
        <v>184.75</v>
      </c>
      <c r="N66" s="92">
        <f t="shared" si="4"/>
        <v>136.25</v>
      </c>
      <c r="O66" s="92">
        <f t="shared" si="5"/>
        <v>135.75</v>
      </c>
      <c r="P66" s="92">
        <f t="shared" si="6"/>
        <v>135</v>
      </c>
      <c r="Q66" s="92">
        <f t="shared" si="7"/>
        <v>120.5</v>
      </c>
      <c r="R66" s="92">
        <f t="shared" si="8"/>
        <v>172</v>
      </c>
    </row>
    <row r="67" spans="1:18" x14ac:dyDescent="0.3">
      <c r="A67" s="13">
        <v>38049</v>
      </c>
      <c r="B67" s="92">
        <f>+TWK!B12</f>
        <v>0</v>
      </c>
      <c r="C67" s="92">
        <f>+TWK!C12</f>
        <v>0</v>
      </c>
      <c r="D67" s="92">
        <f>+TWK!D12</f>
        <v>160</v>
      </c>
      <c r="E67" s="92">
        <f>+TWK!E12</f>
        <v>130</v>
      </c>
      <c r="F67" s="92">
        <f>+TWK!F12</f>
        <v>124</v>
      </c>
      <c r="G67" s="92">
        <f>+TWK!G12</f>
        <v>126</v>
      </c>
      <c r="H67" s="92">
        <f>+TWK!H12</f>
        <v>116</v>
      </c>
      <c r="I67" s="92">
        <f>+TWK!I12</f>
        <v>162</v>
      </c>
      <c r="K67" s="92">
        <f t="shared" si="1"/>
        <v>0</v>
      </c>
      <c r="L67" s="92">
        <f t="shared" si="2"/>
        <v>0</v>
      </c>
      <c r="M67" s="92">
        <f t="shared" si="3"/>
        <v>171.25</v>
      </c>
      <c r="N67" s="92">
        <f t="shared" si="4"/>
        <v>132</v>
      </c>
      <c r="O67" s="92">
        <f t="shared" si="5"/>
        <v>128.75</v>
      </c>
      <c r="P67" s="92">
        <f t="shared" si="6"/>
        <v>128.75</v>
      </c>
      <c r="Q67" s="92">
        <f t="shared" si="7"/>
        <v>117.75</v>
      </c>
      <c r="R67" s="92">
        <f t="shared" si="8"/>
        <v>166.25</v>
      </c>
    </row>
    <row r="68" spans="1:18" x14ac:dyDescent="0.3">
      <c r="A68" s="13">
        <v>38056</v>
      </c>
      <c r="B68" s="92">
        <f>+TWK!B13</f>
        <v>0</v>
      </c>
      <c r="C68" s="92">
        <f>+TWK!C13</f>
        <v>0</v>
      </c>
      <c r="D68" s="92">
        <f>+TWK!D13</f>
        <v>149</v>
      </c>
      <c r="E68" s="92">
        <f>+TWK!E13</f>
        <v>127</v>
      </c>
      <c r="F68" s="92">
        <f>+TWK!F13</f>
        <v>122</v>
      </c>
      <c r="G68" s="92">
        <f>+TWK!G13</f>
        <v>122</v>
      </c>
      <c r="H68" s="92">
        <f>+TWK!H13</f>
        <v>114</v>
      </c>
      <c r="I68" s="92">
        <f>+TWK!I13</f>
        <v>160</v>
      </c>
      <c r="K68" s="92">
        <f t="shared" si="1"/>
        <v>0</v>
      </c>
      <c r="L68" s="92">
        <f t="shared" si="2"/>
        <v>0</v>
      </c>
      <c r="M68" s="92">
        <f t="shared" si="3"/>
        <v>162.75</v>
      </c>
      <c r="N68" s="92">
        <f t="shared" si="4"/>
        <v>130</v>
      </c>
      <c r="O68" s="92">
        <f t="shared" si="5"/>
        <v>125.75</v>
      </c>
      <c r="P68" s="92">
        <f t="shared" si="6"/>
        <v>125.75</v>
      </c>
      <c r="Q68" s="92">
        <f t="shared" si="7"/>
        <v>116.75</v>
      </c>
      <c r="R68" s="92">
        <f t="shared" si="8"/>
        <v>165</v>
      </c>
    </row>
    <row r="69" spans="1:18" x14ac:dyDescent="0.3">
      <c r="A69" s="13">
        <v>38063</v>
      </c>
      <c r="B69" s="92">
        <f>+TWK!B14</f>
        <v>0</v>
      </c>
      <c r="C69" s="92">
        <f>+TWK!C14</f>
        <v>165</v>
      </c>
      <c r="D69" s="92">
        <f>+TWK!D14</f>
        <v>151</v>
      </c>
      <c r="E69" s="92">
        <f>+TWK!E14</f>
        <v>124</v>
      </c>
      <c r="F69" s="92">
        <f>+TWK!F14</f>
        <v>122</v>
      </c>
      <c r="G69" s="92">
        <f>+TWK!G14</f>
        <v>121</v>
      </c>
      <c r="H69" s="92">
        <f>+TWK!H14</f>
        <v>112</v>
      </c>
      <c r="I69" s="92">
        <f>+TWK!I14</f>
        <v>158</v>
      </c>
      <c r="K69" s="92">
        <f t="shared" si="1"/>
        <v>0</v>
      </c>
      <c r="L69" s="92">
        <f t="shared" si="2"/>
        <v>41.25</v>
      </c>
      <c r="M69" s="92">
        <f t="shared" si="3"/>
        <v>155.25</v>
      </c>
      <c r="N69" s="92">
        <f t="shared" si="4"/>
        <v>127.75</v>
      </c>
      <c r="O69" s="92">
        <f t="shared" si="5"/>
        <v>123.5</v>
      </c>
      <c r="P69" s="92">
        <f t="shared" si="6"/>
        <v>123.5</v>
      </c>
      <c r="Q69" s="92">
        <f t="shared" si="7"/>
        <v>115.5</v>
      </c>
      <c r="R69" s="92">
        <f t="shared" si="8"/>
        <v>161.25</v>
      </c>
    </row>
    <row r="70" spans="1:18" x14ac:dyDescent="0.3">
      <c r="A70" s="13">
        <v>38070</v>
      </c>
      <c r="B70" s="92">
        <f>+TWK!B15</f>
        <v>184</v>
      </c>
      <c r="C70" s="92">
        <f>+TWK!C15</f>
        <v>152</v>
      </c>
      <c r="D70" s="92">
        <f>+TWK!D15</f>
        <v>143</v>
      </c>
      <c r="E70" s="92">
        <f>+TWK!E15</f>
        <v>115</v>
      </c>
      <c r="F70" s="92">
        <f>+TWK!F15</f>
        <v>119</v>
      </c>
      <c r="G70" s="92">
        <f>+TWK!G15</f>
        <v>119</v>
      </c>
      <c r="H70" s="92">
        <f>+TWK!H15</f>
        <v>110</v>
      </c>
      <c r="I70" s="92">
        <f>+TWK!I15</f>
        <v>152</v>
      </c>
      <c r="K70" s="92">
        <f t="shared" si="1"/>
        <v>46</v>
      </c>
      <c r="L70" s="92">
        <f t="shared" si="2"/>
        <v>79.25</v>
      </c>
      <c r="M70" s="92">
        <f t="shared" si="3"/>
        <v>150.75</v>
      </c>
      <c r="N70" s="92">
        <f t="shared" si="4"/>
        <v>124</v>
      </c>
      <c r="O70" s="92">
        <f t="shared" si="5"/>
        <v>121.75</v>
      </c>
      <c r="P70" s="92">
        <f t="shared" si="6"/>
        <v>122</v>
      </c>
      <c r="Q70" s="92">
        <f t="shared" si="7"/>
        <v>113</v>
      </c>
      <c r="R70" s="92">
        <f t="shared" si="8"/>
        <v>158</v>
      </c>
    </row>
    <row r="71" spans="1:18" x14ac:dyDescent="0.3">
      <c r="A71" s="13">
        <v>38077</v>
      </c>
      <c r="B71" s="92">
        <f>+TWK!B16</f>
        <v>184</v>
      </c>
      <c r="C71" s="92">
        <f>+TWK!C16</f>
        <v>153</v>
      </c>
      <c r="D71" s="92">
        <f>+TWK!D16</f>
        <v>151</v>
      </c>
      <c r="E71" s="92">
        <f>+TWK!E16</f>
        <v>116</v>
      </c>
      <c r="F71" s="92">
        <f>+TWK!F16</f>
        <v>118</v>
      </c>
      <c r="G71" s="92">
        <f>+TWK!G16</f>
        <v>118</v>
      </c>
      <c r="H71" s="92">
        <f>+TWK!H16</f>
        <v>110</v>
      </c>
      <c r="I71" s="92">
        <f>+TWK!I16</f>
        <v>165</v>
      </c>
      <c r="K71" s="92">
        <f t="shared" si="1"/>
        <v>92</v>
      </c>
      <c r="L71" s="92">
        <f t="shared" si="2"/>
        <v>117.5</v>
      </c>
      <c r="M71" s="92">
        <f t="shared" si="3"/>
        <v>148.5</v>
      </c>
      <c r="N71" s="92">
        <f t="shared" si="4"/>
        <v>120.5</v>
      </c>
      <c r="O71" s="92">
        <f t="shared" si="5"/>
        <v>120.25</v>
      </c>
      <c r="P71" s="92">
        <f t="shared" si="6"/>
        <v>120</v>
      </c>
      <c r="Q71" s="92">
        <f t="shared" si="7"/>
        <v>111.5</v>
      </c>
      <c r="R71" s="92">
        <f t="shared" si="8"/>
        <v>158.75</v>
      </c>
    </row>
    <row r="72" spans="1:18" x14ac:dyDescent="0.3">
      <c r="A72" s="13">
        <v>38084</v>
      </c>
      <c r="B72" s="92">
        <f>+TWK!B17</f>
        <v>185</v>
      </c>
      <c r="C72" s="92">
        <f>+TWK!C17</f>
        <v>153</v>
      </c>
      <c r="D72" s="92">
        <f>+TWK!D17</f>
        <v>147</v>
      </c>
      <c r="E72" s="92">
        <f>+TWK!E17</f>
        <v>117</v>
      </c>
      <c r="F72" s="92">
        <f>+TWK!F17</f>
        <v>118</v>
      </c>
      <c r="G72" s="92">
        <f>+TWK!G17</f>
        <v>118</v>
      </c>
      <c r="H72" s="92">
        <f>+TWK!H17</f>
        <v>111</v>
      </c>
      <c r="I72" s="92">
        <f>+TWK!I17</f>
        <v>167</v>
      </c>
      <c r="K72" s="92">
        <f t="shared" si="1"/>
        <v>138.25</v>
      </c>
      <c r="L72" s="92">
        <f t="shared" si="2"/>
        <v>155.75</v>
      </c>
      <c r="M72" s="92">
        <f t="shared" si="3"/>
        <v>148</v>
      </c>
      <c r="N72" s="92">
        <f t="shared" si="4"/>
        <v>118</v>
      </c>
      <c r="O72" s="92">
        <f t="shared" si="5"/>
        <v>119.25</v>
      </c>
      <c r="P72" s="92">
        <f t="shared" si="6"/>
        <v>119</v>
      </c>
      <c r="Q72" s="92">
        <f t="shared" si="7"/>
        <v>110.75</v>
      </c>
      <c r="R72" s="92">
        <f t="shared" si="8"/>
        <v>160.5</v>
      </c>
    </row>
    <row r="73" spans="1:18" x14ac:dyDescent="0.3">
      <c r="A73" s="13">
        <v>38091</v>
      </c>
      <c r="B73" s="92">
        <f>+TWK!B18</f>
        <v>180</v>
      </c>
      <c r="C73" s="92">
        <f>+TWK!C18</f>
        <v>151</v>
      </c>
      <c r="D73" s="92">
        <f>+TWK!D18</f>
        <v>146</v>
      </c>
      <c r="E73" s="92">
        <f>+TWK!E18</f>
        <v>115</v>
      </c>
      <c r="F73" s="92">
        <f>+TWK!F18</f>
        <v>115</v>
      </c>
      <c r="G73" s="92">
        <f>+TWK!G18</f>
        <v>116</v>
      </c>
      <c r="H73" s="92">
        <f>+TWK!H18</f>
        <v>110</v>
      </c>
      <c r="I73" s="92">
        <f>+TWK!I18</f>
        <v>153</v>
      </c>
      <c r="K73" s="92">
        <f t="shared" si="1"/>
        <v>183.25</v>
      </c>
      <c r="L73" s="92">
        <f t="shared" si="2"/>
        <v>152.25</v>
      </c>
      <c r="M73" s="92">
        <f t="shared" si="3"/>
        <v>146.75</v>
      </c>
      <c r="N73" s="92">
        <f t="shared" si="4"/>
        <v>115.75</v>
      </c>
      <c r="O73" s="92">
        <f t="shared" si="5"/>
        <v>117.5</v>
      </c>
      <c r="P73" s="92">
        <f t="shared" si="6"/>
        <v>117.75</v>
      </c>
      <c r="Q73" s="92">
        <f t="shared" si="7"/>
        <v>110.25</v>
      </c>
      <c r="R73" s="92">
        <f t="shared" si="8"/>
        <v>159.25</v>
      </c>
    </row>
    <row r="74" spans="1:18" x14ac:dyDescent="0.3">
      <c r="A74" s="13">
        <v>38098</v>
      </c>
      <c r="B74" s="92">
        <f>+TWK!B19</f>
        <v>173</v>
      </c>
      <c r="C74" s="92">
        <f>+TWK!C19</f>
        <v>143</v>
      </c>
      <c r="D74" s="92">
        <f>+TWK!D19</f>
        <v>140</v>
      </c>
      <c r="E74" s="92">
        <f>+TWK!E19</f>
        <v>113</v>
      </c>
      <c r="F74" s="92">
        <f>+TWK!F19</f>
        <v>113</v>
      </c>
      <c r="G74" s="92">
        <f>+TWK!G19</f>
        <v>113</v>
      </c>
      <c r="H74" s="92">
        <f>+TWK!H19</f>
        <v>109</v>
      </c>
      <c r="I74" s="92">
        <f>+TWK!I19</f>
        <v>153</v>
      </c>
      <c r="K74" s="92">
        <f t="shared" ref="K74:K137" si="9">AVERAGE(B71:B74)</f>
        <v>180.5</v>
      </c>
      <c r="L74" s="92">
        <f t="shared" ref="L74:L137" si="10">AVERAGE(C71:C74)</f>
        <v>150</v>
      </c>
      <c r="M74" s="92">
        <f t="shared" ref="M74:M137" si="11">AVERAGE(D71:D74)</f>
        <v>146</v>
      </c>
      <c r="N74" s="92">
        <f t="shared" ref="N74:N137" si="12">AVERAGE(E71:E74)</f>
        <v>115.25</v>
      </c>
      <c r="O74" s="92">
        <f t="shared" ref="O74:O137" si="13">AVERAGE(F71:F74)</f>
        <v>116</v>
      </c>
      <c r="P74" s="92">
        <f t="shared" ref="P74:P137" si="14">AVERAGE(G71:G74)</f>
        <v>116.25</v>
      </c>
      <c r="Q74" s="92">
        <f t="shared" ref="Q74:Q137" si="15">AVERAGE(H71:H74)</f>
        <v>110</v>
      </c>
      <c r="R74" s="92">
        <f t="shared" ref="R74:R137" si="16">AVERAGE(I71:I74)</f>
        <v>159.5</v>
      </c>
    </row>
    <row r="75" spans="1:18" x14ac:dyDescent="0.3">
      <c r="A75" s="13">
        <v>38105</v>
      </c>
      <c r="B75" s="92">
        <f>+TWK!B20</f>
        <v>169</v>
      </c>
      <c r="C75" s="92">
        <f>+TWK!C20</f>
        <v>141</v>
      </c>
      <c r="D75" s="92">
        <f>+TWK!D20</f>
        <v>136</v>
      </c>
      <c r="E75" s="92">
        <f>+TWK!E20</f>
        <v>113</v>
      </c>
      <c r="F75" s="92">
        <f>+TWK!F20</f>
        <v>112</v>
      </c>
      <c r="G75" s="92">
        <f>+TWK!G20</f>
        <v>112</v>
      </c>
      <c r="H75" s="92">
        <f>+TWK!H20</f>
        <v>108</v>
      </c>
      <c r="I75" s="92">
        <f>+TWK!I20</f>
        <v>148</v>
      </c>
      <c r="K75" s="92">
        <f t="shared" si="9"/>
        <v>176.75</v>
      </c>
      <c r="L75" s="92">
        <f t="shared" si="10"/>
        <v>147</v>
      </c>
      <c r="M75" s="92">
        <f t="shared" si="11"/>
        <v>142.25</v>
      </c>
      <c r="N75" s="92">
        <f t="shared" si="12"/>
        <v>114.5</v>
      </c>
      <c r="O75" s="92">
        <f t="shared" si="13"/>
        <v>114.5</v>
      </c>
      <c r="P75" s="92">
        <f t="shared" si="14"/>
        <v>114.75</v>
      </c>
      <c r="Q75" s="92">
        <f t="shared" si="15"/>
        <v>109.5</v>
      </c>
      <c r="R75" s="92">
        <f t="shared" si="16"/>
        <v>155.25</v>
      </c>
    </row>
    <row r="76" spans="1:18" x14ac:dyDescent="0.3">
      <c r="A76" s="13">
        <v>38112</v>
      </c>
      <c r="B76" s="92">
        <f>+TWK!B21</f>
        <v>162</v>
      </c>
      <c r="C76" s="92">
        <f>+TWK!C21</f>
        <v>139</v>
      </c>
      <c r="D76" s="92">
        <f>+TWK!D21</f>
        <v>136</v>
      </c>
      <c r="E76" s="92">
        <f>+TWK!E21</f>
        <v>113</v>
      </c>
      <c r="F76" s="92">
        <f>+TWK!F21</f>
        <v>111</v>
      </c>
      <c r="G76" s="92">
        <f>+TWK!G21</f>
        <v>112</v>
      </c>
      <c r="H76" s="92">
        <f>+TWK!H21</f>
        <v>108</v>
      </c>
      <c r="I76" s="92">
        <f>+TWK!I21</f>
        <v>162</v>
      </c>
      <c r="K76" s="92">
        <f t="shared" si="9"/>
        <v>171</v>
      </c>
      <c r="L76" s="92">
        <f t="shared" si="10"/>
        <v>143.5</v>
      </c>
      <c r="M76" s="92">
        <f t="shared" si="11"/>
        <v>139.5</v>
      </c>
      <c r="N76" s="92">
        <f t="shared" si="12"/>
        <v>113.5</v>
      </c>
      <c r="O76" s="92">
        <f t="shared" si="13"/>
        <v>112.75</v>
      </c>
      <c r="P76" s="92">
        <f t="shared" si="14"/>
        <v>113.25</v>
      </c>
      <c r="Q76" s="92">
        <f t="shared" si="15"/>
        <v>108.75</v>
      </c>
      <c r="R76" s="92">
        <f t="shared" si="16"/>
        <v>154</v>
      </c>
    </row>
    <row r="77" spans="1:18" x14ac:dyDescent="0.3">
      <c r="A77" s="13">
        <v>38119</v>
      </c>
      <c r="B77" s="92">
        <f>+TWK!B22</f>
        <v>176</v>
      </c>
      <c r="C77" s="92">
        <f>+TWK!C22</f>
        <v>152</v>
      </c>
      <c r="D77" s="92">
        <f>+TWK!D22</f>
        <v>152</v>
      </c>
      <c r="E77" s="92">
        <f>+TWK!E22</f>
        <v>113</v>
      </c>
      <c r="F77" s="92">
        <f>+TWK!F22</f>
        <v>113</v>
      </c>
      <c r="G77" s="92">
        <f>+TWK!G22</f>
        <v>113</v>
      </c>
      <c r="H77" s="92">
        <f>+TWK!H22</f>
        <v>108</v>
      </c>
      <c r="I77" s="92">
        <f>+TWK!I22</f>
        <v>152</v>
      </c>
      <c r="K77" s="92">
        <f t="shared" si="9"/>
        <v>170</v>
      </c>
      <c r="L77" s="92">
        <f t="shared" si="10"/>
        <v>143.75</v>
      </c>
      <c r="M77" s="92">
        <f t="shared" si="11"/>
        <v>141</v>
      </c>
      <c r="N77" s="92">
        <f t="shared" si="12"/>
        <v>113</v>
      </c>
      <c r="O77" s="92">
        <f t="shared" si="13"/>
        <v>112.25</v>
      </c>
      <c r="P77" s="92">
        <f t="shared" si="14"/>
        <v>112.5</v>
      </c>
      <c r="Q77" s="92">
        <f t="shared" si="15"/>
        <v>108.25</v>
      </c>
      <c r="R77" s="92">
        <f t="shared" si="16"/>
        <v>153.75</v>
      </c>
    </row>
    <row r="78" spans="1:18" x14ac:dyDescent="0.3">
      <c r="A78" s="13">
        <v>38126</v>
      </c>
      <c r="B78" s="92">
        <f>+TWK!B23</f>
        <v>200</v>
      </c>
      <c r="C78" s="92">
        <f>+TWK!C23</f>
        <v>168</v>
      </c>
      <c r="D78" s="92">
        <f>+TWK!D23</f>
        <v>169</v>
      </c>
      <c r="E78" s="92">
        <f>+TWK!E23</f>
        <v>119</v>
      </c>
      <c r="F78" s="92">
        <f>+TWK!F23</f>
        <v>113</v>
      </c>
      <c r="G78" s="92">
        <f>+TWK!G23</f>
        <v>113</v>
      </c>
      <c r="H78" s="92">
        <f>+TWK!H23</f>
        <v>108</v>
      </c>
      <c r="I78" s="92">
        <f>+TWK!I23</f>
        <v>148</v>
      </c>
      <c r="K78" s="92">
        <f t="shared" si="9"/>
        <v>176.75</v>
      </c>
      <c r="L78" s="92">
        <f t="shared" si="10"/>
        <v>150</v>
      </c>
      <c r="M78" s="92">
        <f t="shared" si="11"/>
        <v>148.25</v>
      </c>
      <c r="N78" s="92">
        <f t="shared" si="12"/>
        <v>114.5</v>
      </c>
      <c r="O78" s="92">
        <f t="shared" si="13"/>
        <v>112.25</v>
      </c>
      <c r="P78" s="92">
        <f t="shared" si="14"/>
        <v>112.5</v>
      </c>
      <c r="Q78" s="92">
        <f t="shared" si="15"/>
        <v>108</v>
      </c>
      <c r="R78" s="92">
        <f t="shared" si="16"/>
        <v>152.5</v>
      </c>
    </row>
    <row r="79" spans="1:18" x14ac:dyDescent="0.3">
      <c r="A79" s="13">
        <v>38133</v>
      </c>
      <c r="B79" s="92">
        <f>+TWK!B24</f>
        <v>210</v>
      </c>
      <c r="C79" s="92">
        <f>+TWK!C24</f>
        <v>175</v>
      </c>
      <c r="D79" s="92">
        <f>+TWK!D24</f>
        <v>174</v>
      </c>
      <c r="E79" s="92">
        <f>+TWK!E24</f>
        <v>130</v>
      </c>
      <c r="F79" s="92">
        <f>+TWK!F24</f>
        <v>114</v>
      </c>
      <c r="G79" s="92">
        <f>+TWK!G24</f>
        <v>114</v>
      </c>
      <c r="H79" s="92">
        <f>+TWK!H24</f>
        <v>112</v>
      </c>
      <c r="I79" s="92">
        <f>+TWK!I24</f>
        <v>167</v>
      </c>
      <c r="K79" s="92">
        <f t="shared" si="9"/>
        <v>187</v>
      </c>
      <c r="L79" s="92">
        <f t="shared" si="10"/>
        <v>158.5</v>
      </c>
      <c r="M79" s="92">
        <f t="shared" si="11"/>
        <v>157.75</v>
      </c>
      <c r="N79" s="92">
        <f t="shared" si="12"/>
        <v>118.75</v>
      </c>
      <c r="O79" s="92">
        <f t="shared" si="13"/>
        <v>112.75</v>
      </c>
      <c r="P79" s="92">
        <f t="shared" si="14"/>
        <v>113</v>
      </c>
      <c r="Q79" s="92">
        <f t="shared" si="15"/>
        <v>109</v>
      </c>
      <c r="R79" s="92">
        <f t="shared" si="16"/>
        <v>157.25</v>
      </c>
    </row>
    <row r="80" spans="1:18" x14ac:dyDescent="0.3">
      <c r="A80" s="13">
        <v>38140</v>
      </c>
      <c r="B80" s="92">
        <f>+TWK!B25</f>
        <v>209</v>
      </c>
      <c r="C80" s="92">
        <f>+TWK!C25</f>
        <v>170</v>
      </c>
      <c r="D80" s="92">
        <f>+TWK!D25</f>
        <v>169</v>
      </c>
      <c r="E80" s="92">
        <f>+TWK!E25</f>
        <v>131</v>
      </c>
      <c r="F80" s="92">
        <f>+TWK!F25</f>
        <v>117</v>
      </c>
      <c r="G80" s="92">
        <f>+TWK!G25</f>
        <v>117</v>
      </c>
      <c r="H80" s="92">
        <f>+TWK!H25</f>
        <v>114</v>
      </c>
      <c r="I80" s="92">
        <f>+TWK!I25</f>
        <v>167</v>
      </c>
      <c r="K80" s="92">
        <f t="shared" si="9"/>
        <v>198.75</v>
      </c>
      <c r="L80" s="92">
        <f t="shared" si="10"/>
        <v>166.25</v>
      </c>
      <c r="M80" s="92">
        <f t="shared" si="11"/>
        <v>166</v>
      </c>
      <c r="N80" s="92">
        <f t="shared" si="12"/>
        <v>123.25</v>
      </c>
      <c r="O80" s="92">
        <f t="shared" si="13"/>
        <v>114.25</v>
      </c>
      <c r="P80" s="92">
        <f t="shared" si="14"/>
        <v>114.25</v>
      </c>
      <c r="Q80" s="92">
        <f t="shared" si="15"/>
        <v>110.5</v>
      </c>
      <c r="R80" s="92">
        <f t="shared" si="16"/>
        <v>158.5</v>
      </c>
    </row>
    <row r="81" spans="1:18" x14ac:dyDescent="0.3">
      <c r="A81" s="13">
        <v>38147</v>
      </c>
      <c r="B81" s="92">
        <f>+TWK!B26</f>
        <v>206</v>
      </c>
      <c r="C81" s="92">
        <f>+TWK!C26</f>
        <v>168</v>
      </c>
      <c r="D81" s="92">
        <f>+TWK!D26</f>
        <v>163</v>
      </c>
      <c r="E81" s="92">
        <f>+TWK!E26</f>
        <v>127</v>
      </c>
      <c r="F81" s="92">
        <f>+TWK!F26</f>
        <v>115</v>
      </c>
      <c r="G81" s="92">
        <f>+TWK!G26</f>
        <v>115</v>
      </c>
      <c r="H81" s="92">
        <f>+TWK!H26</f>
        <v>118</v>
      </c>
      <c r="I81" s="92">
        <f>+TWK!I26</f>
        <v>167</v>
      </c>
      <c r="K81" s="92">
        <f t="shared" si="9"/>
        <v>206.25</v>
      </c>
      <c r="L81" s="92">
        <f t="shared" si="10"/>
        <v>170.25</v>
      </c>
      <c r="M81" s="92">
        <f t="shared" si="11"/>
        <v>168.75</v>
      </c>
      <c r="N81" s="92">
        <f t="shared" si="12"/>
        <v>126.75</v>
      </c>
      <c r="O81" s="92">
        <f t="shared" si="13"/>
        <v>114.75</v>
      </c>
      <c r="P81" s="92">
        <f t="shared" si="14"/>
        <v>114.75</v>
      </c>
      <c r="Q81" s="92">
        <f t="shared" si="15"/>
        <v>113</v>
      </c>
      <c r="R81" s="92">
        <f t="shared" si="16"/>
        <v>162.25</v>
      </c>
    </row>
    <row r="82" spans="1:18" x14ac:dyDescent="0.3">
      <c r="A82" s="13">
        <v>38154</v>
      </c>
      <c r="B82" s="92">
        <f>+TWK!B27</f>
        <v>192</v>
      </c>
      <c r="C82" s="92">
        <f>+TWK!C27</f>
        <v>156</v>
      </c>
      <c r="D82" s="92">
        <f>+TWK!D27</f>
        <v>152</v>
      </c>
      <c r="E82" s="92">
        <f>+TWK!E27</f>
        <v>120</v>
      </c>
      <c r="F82" s="92">
        <f>+TWK!F27</f>
        <v>113</v>
      </c>
      <c r="G82" s="92">
        <f>+TWK!G27</f>
        <v>113</v>
      </c>
      <c r="H82" s="92">
        <f>+TWK!H27</f>
        <v>111</v>
      </c>
      <c r="I82" s="92">
        <f>+TWK!I27</f>
        <v>173</v>
      </c>
      <c r="K82" s="92">
        <f t="shared" si="9"/>
        <v>204.25</v>
      </c>
      <c r="L82" s="92">
        <f t="shared" si="10"/>
        <v>167.25</v>
      </c>
      <c r="M82" s="92">
        <f t="shared" si="11"/>
        <v>164.5</v>
      </c>
      <c r="N82" s="92">
        <f t="shared" si="12"/>
        <v>127</v>
      </c>
      <c r="O82" s="92">
        <f t="shared" si="13"/>
        <v>114.75</v>
      </c>
      <c r="P82" s="92">
        <f t="shared" si="14"/>
        <v>114.75</v>
      </c>
      <c r="Q82" s="92">
        <f t="shared" si="15"/>
        <v>113.75</v>
      </c>
      <c r="R82" s="92">
        <f t="shared" si="16"/>
        <v>168.5</v>
      </c>
    </row>
    <row r="83" spans="1:18" x14ac:dyDescent="0.3">
      <c r="A83" s="13">
        <v>38161</v>
      </c>
      <c r="B83" s="92">
        <f>+TWK!B28</f>
        <v>184</v>
      </c>
      <c r="C83" s="92">
        <f>+TWK!C28</f>
        <v>151</v>
      </c>
      <c r="D83" s="92">
        <f>+TWK!D28</f>
        <v>150</v>
      </c>
      <c r="E83" s="92">
        <f>+TWK!E28</f>
        <v>120</v>
      </c>
      <c r="F83" s="92">
        <f>+TWK!F28</f>
        <v>111</v>
      </c>
      <c r="G83" s="92">
        <f>+TWK!G28</f>
        <v>111</v>
      </c>
      <c r="H83" s="92">
        <f>+TWK!H28</f>
        <v>110</v>
      </c>
      <c r="I83" s="92">
        <f>+TWK!I28</f>
        <v>172</v>
      </c>
      <c r="K83" s="92">
        <f t="shared" si="9"/>
        <v>197.75</v>
      </c>
      <c r="L83" s="92">
        <f t="shared" si="10"/>
        <v>161.25</v>
      </c>
      <c r="M83" s="92">
        <f t="shared" si="11"/>
        <v>158.5</v>
      </c>
      <c r="N83" s="92">
        <f t="shared" si="12"/>
        <v>124.5</v>
      </c>
      <c r="O83" s="92">
        <f t="shared" si="13"/>
        <v>114</v>
      </c>
      <c r="P83" s="92">
        <f t="shared" si="14"/>
        <v>114</v>
      </c>
      <c r="Q83" s="92">
        <f t="shared" si="15"/>
        <v>113.25</v>
      </c>
      <c r="R83" s="92">
        <f t="shared" si="16"/>
        <v>169.75</v>
      </c>
    </row>
    <row r="84" spans="1:18" x14ac:dyDescent="0.3">
      <c r="A84" s="13">
        <v>38168</v>
      </c>
      <c r="B84" s="92">
        <f>+TWK!B29</f>
        <v>184</v>
      </c>
      <c r="C84" s="92">
        <f>+TWK!C29</f>
        <v>152</v>
      </c>
      <c r="D84" s="92">
        <f>+TWK!D29</f>
        <v>151</v>
      </c>
      <c r="E84" s="92">
        <f>+TWK!E29</f>
        <v>117</v>
      </c>
      <c r="F84" s="92">
        <f>+TWK!F29</f>
        <v>111</v>
      </c>
      <c r="G84" s="92">
        <f>+TWK!G29</f>
        <v>111</v>
      </c>
      <c r="H84" s="92">
        <f>+TWK!H29</f>
        <v>111</v>
      </c>
      <c r="I84" s="92">
        <f>+TWK!I29</f>
        <v>162</v>
      </c>
      <c r="K84" s="92">
        <f t="shared" si="9"/>
        <v>191.5</v>
      </c>
      <c r="L84" s="92">
        <f t="shared" si="10"/>
        <v>156.75</v>
      </c>
      <c r="M84" s="92">
        <f t="shared" si="11"/>
        <v>154</v>
      </c>
      <c r="N84" s="92">
        <f t="shared" si="12"/>
        <v>121</v>
      </c>
      <c r="O84" s="92">
        <f t="shared" si="13"/>
        <v>112.5</v>
      </c>
      <c r="P84" s="92">
        <f t="shared" si="14"/>
        <v>112.5</v>
      </c>
      <c r="Q84" s="92">
        <f t="shared" si="15"/>
        <v>112.5</v>
      </c>
      <c r="R84" s="92">
        <f t="shared" si="16"/>
        <v>168.5</v>
      </c>
    </row>
    <row r="85" spans="1:18" x14ac:dyDescent="0.3">
      <c r="A85" s="13">
        <v>38175</v>
      </c>
      <c r="B85" s="92">
        <f>+TWK!B30</f>
        <v>183</v>
      </c>
      <c r="C85" s="92">
        <f>+TWK!C30</f>
        <v>152</v>
      </c>
      <c r="D85" s="92">
        <f>+TWK!D30</f>
        <v>151</v>
      </c>
      <c r="E85" s="92">
        <f>+TWK!E30</f>
        <v>114</v>
      </c>
      <c r="F85" s="92">
        <f>+TWK!F30</f>
        <v>112</v>
      </c>
      <c r="G85" s="92">
        <f>+TWK!G30</f>
        <v>113</v>
      </c>
      <c r="H85" s="92">
        <f>+TWK!H30</f>
        <v>109</v>
      </c>
      <c r="I85" s="92">
        <f>+TWK!I30</f>
        <v>168</v>
      </c>
      <c r="K85" s="92">
        <f t="shared" si="9"/>
        <v>185.75</v>
      </c>
      <c r="L85" s="92">
        <f t="shared" si="10"/>
        <v>152.75</v>
      </c>
      <c r="M85" s="92">
        <f t="shared" si="11"/>
        <v>151</v>
      </c>
      <c r="N85" s="92">
        <f t="shared" si="12"/>
        <v>117.75</v>
      </c>
      <c r="O85" s="92">
        <f t="shared" si="13"/>
        <v>111.75</v>
      </c>
      <c r="P85" s="92">
        <f t="shared" si="14"/>
        <v>112</v>
      </c>
      <c r="Q85" s="92">
        <f t="shared" si="15"/>
        <v>110.25</v>
      </c>
      <c r="R85" s="92">
        <f t="shared" si="16"/>
        <v>168.75</v>
      </c>
    </row>
    <row r="86" spans="1:18" x14ac:dyDescent="0.3">
      <c r="A86" s="13">
        <v>38182</v>
      </c>
      <c r="B86" s="92">
        <f>+TWK!B31</f>
        <v>177</v>
      </c>
      <c r="C86" s="92">
        <f>+TWK!C31</f>
        <v>147</v>
      </c>
      <c r="D86" s="92">
        <f>+TWK!D31</f>
        <v>146</v>
      </c>
      <c r="E86" s="92">
        <f>+TWK!E31</f>
        <v>112</v>
      </c>
      <c r="F86" s="92">
        <f>+TWK!F31</f>
        <v>114</v>
      </c>
      <c r="G86" s="92">
        <f>+TWK!G31</f>
        <v>114</v>
      </c>
      <c r="H86" s="92">
        <f>+TWK!H31</f>
        <v>108</v>
      </c>
      <c r="I86" s="92">
        <f>+TWK!I31</f>
        <v>163</v>
      </c>
      <c r="K86" s="92">
        <f t="shared" si="9"/>
        <v>182</v>
      </c>
      <c r="L86" s="92">
        <f t="shared" si="10"/>
        <v>150.5</v>
      </c>
      <c r="M86" s="92">
        <f t="shared" si="11"/>
        <v>149.5</v>
      </c>
      <c r="N86" s="92">
        <f t="shared" si="12"/>
        <v>115.75</v>
      </c>
      <c r="O86" s="92">
        <f t="shared" si="13"/>
        <v>112</v>
      </c>
      <c r="P86" s="92">
        <f t="shared" si="14"/>
        <v>112.25</v>
      </c>
      <c r="Q86" s="92">
        <f t="shared" si="15"/>
        <v>109.5</v>
      </c>
      <c r="R86" s="92">
        <f t="shared" si="16"/>
        <v>166.25</v>
      </c>
    </row>
    <row r="87" spans="1:18" x14ac:dyDescent="0.3">
      <c r="A87" s="13">
        <v>38189</v>
      </c>
      <c r="B87" s="92">
        <f>+TWK!B32</f>
        <v>177</v>
      </c>
      <c r="C87" s="92">
        <f>+TWK!C32</f>
        <v>152</v>
      </c>
      <c r="D87" s="92">
        <f>+TWK!D32</f>
        <v>153</v>
      </c>
      <c r="E87" s="92">
        <f>+TWK!E32</f>
        <v>113</v>
      </c>
      <c r="F87" s="92">
        <f>+TWK!F32</f>
        <v>114</v>
      </c>
      <c r="G87" s="92">
        <f>+TWK!G32</f>
        <v>114</v>
      </c>
      <c r="H87" s="92">
        <f>+TWK!H32</f>
        <v>109</v>
      </c>
      <c r="I87" s="92">
        <f>+TWK!I32</f>
        <v>165</v>
      </c>
      <c r="K87" s="92">
        <f t="shared" si="9"/>
        <v>180.25</v>
      </c>
      <c r="L87" s="92">
        <f t="shared" si="10"/>
        <v>150.75</v>
      </c>
      <c r="M87" s="92">
        <f t="shared" si="11"/>
        <v>150.25</v>
      </c>
      <c r="N87" s="92">
        <f t="shared" si="12"/>
        <v>114</v>
      </c>
      <c r="O87" s="92">
        <f t="shared" si="13"/>
        <v>112.75</v>
      </c>
      <c r="P87" s="92">
        <f t="shared" si="14"/>
        <v>113</v>
      </c>
      <c r="Q87" s="92">
        <f t="shared" si="15"/>
        <v>109.25</v>
      </c>
      <c r="R87" s="92">
        <f t="shared" si="16"/>
        <v>164.5</v>
      </c>
    </row>
    <row r="88" spans="1:18" x14ac:dyDescent="0.3">
      <c r="A88" s="13">
        <v>38196</v>
      </c>
      <c r="B88" s="92">
        <f>+TWK!B33</f>
        <v>198</v>
      </c>
      <c r="C88" s="92">
        <f>+TWK!C33</f>
        <v>181</v>
      </c>
      <c r="D88" s="92">
        <f>+TWK!D33</f>
        <v>194</v>
      </c>
      <c r="E88" s="92">
        <f>+TWK!E33</f>
        <v>151</v>
      </c>
      <c r="F88" s="92">
        <f>+TWK!F33</f>
        <v>155</v>
      </c>
      <c r="G88" s="92">
        <f>+TWK!G33</f>
        <v>154</v>
      </c>
      <c r="H88" s="92">
        <f>+TWK!H33</f>
        <v>144</v>
      </c>
      <c r="I88" s="92">
        <f>+TWK!I33</f>
        <v>190</v>
      </c>
      <c r="K88" s="92">
        <f t="shared" si="9"/>
        <v>183.75</v>
      </c>
      <c r="L88" s="92">
        <f t="shared" si="10"/>
        <v>158</v>
      </c>
      <c r="M88" s="92">
        <f t="shared" si="11"/>
        <v>161</v>
      </c>
      <c r="N88" s="92">
        <f t="shared" si="12"/>
        <v>122.5</v>
      </c>
      <c r="O88" s="92">
        <f t="shared" si="13"/>
        <v>123.75</v>
      </c>
      <c r="P88" s="92">
        <f t="shared" si="14"/>
        <v>123.75</v>
      </c>
      <c r="Q88" s="92">
        <f t="shared" si="15"/>
        <v>117.5</v>
      </c>
      <c r="R88" s="92">
        <f t="shared" si="16"/>
        <v>171.5</v>
      </c>
    </row>
    <row r="89" spans="1:18" x14ac:dyDescent="0.3">
      <c r="A89" s="13">
        <v>38203</v>
      </c>
      <c r="B89" s="92">
        <f>+TWK!B34</f>
        <v>221</v>
      </c>
      <c r="C89" s="92">
        <f>+TWK!C34</f>
        <v>212</v>
      </c>
      <c r="D89" s="92">
        <f>+TWK!D34</f>
        <v>210</v>
      </c>
      <c r="E89" s="92">
        <f>+TWK!E34</f>
        <v>180</v>
      </c>
      <c r="F89" s="92">
        <f>+TWK!F34</f>
        <v>182</v>
      </c>
      <c r="G89" s="92">
        <f>+TWK!G34</f>
        <v>181</v>
      </c>
      <c r="H89" s="92">
        <f>+TWK!H34</f>
        <v>177</v>
      </c>
      <c r="I89" s="92">
        <f>+TWK!I34</f>
        <v>235</v>
      </c>
      <c r="K89" s="92">
        <f t="shared" si="9"/>
        <v>193.25</v>
      </c>
      <c r="L89" s="92">
        <f t="shared" si="10"/>
        <v>173</v>
      </c>
      <c r="M89" s="92">
        <f t="shared" si="11"/>
        <v>175.75</v>
      </c>
      <c r="N89" s="92">
        <f t="shared" si="12"/>
        <v>139</v>
      </c>
      <c r="O89" s="92">
        <f t="shared" si="13"/>
        <v>141.25</v>
      </c>
      <c r="P89" s="92">
        <f t="shared" si="14"/>
        <v>140.75</v>
      </c>
      <c r="Q89" s="92">
        <f t="shared" si="15"/>
        <v>134.5</v>
      </c>
      <c r="R89" s="92">
        <f t="shared" si="16"/>
        <v>188.25</v>
      </c>
    </row>
    <row r="90" spans="1:18" x14ac:dyDescent="0.3">
      <c r="A90" s="13">
        <v>38210</v>
      </c>
      <c r="B90" s="92">
        <f>+TWK!B35</f>
        <v>225</v>
      </c>
      <c r="C90" s="92">
        <f>+TWK!C35</f>
        <v>225</v>
      </c>
      <c r="D90" s="92">
        <f>+TWK!D35</f>
        <v>220</v>
      </c>
      <c r="E90" s="92">
        <f>+TWK!E35</f>
        <v>179</v>
      </c>
      <c r="F90" s="92">
        <f>+TWK!F35</f>
        <v>188</v>
      </c>
      <c r="G90" s="92">
        <f>+TWK!G35</f>
        <v>186</v>
      </c>
      <c r="H90" s="92">
        <f>+TWK!H35</f>
        <v>174</v>
      </c>
      <c r="I90" s="92">
        <f>+TWK!I35</f>
        <v>220</v>
      </c>
      <c r="K90" s="92">
        <f t="shared" si="9"/>
        <v>205.25</v>
      </c>
      <c r="L90" s="92">
        <f t="shared" si="10"/>
        <v>192.5</v>
      </c>
      <c r="M90" s="92">
        <f t="shared" si="11"/>
        <v>194.25</v>
      </c>
      <c r="N90" s="92">
        <f t="shared" si="12"/>
        <v>155.75</v>
      </c>
      <c r="O90" s="92">
        <f t="shared" si="13"/>
        <v>159.75</v>
      </c>
      <c r="P90" s="92">
        <f t="shared" si="14"/>
        <v>158.75</v>
      </c>
      <c r="Q90" s="92">
        <f t="shared" si="15"/>
        <v>151</v>
      </c>
      <c r="R90" s="92">
        <f t="shared" si="16"/>
        <v>202.5</v>
      </c>
    </row>
    <row r="91" spans="1:18" x14ac:dyDescent="0.3">
      <c r="A91" s="13">
        <v>38217</v>
      </c>
      <c r="B91" s="92">
        <f>+TWK!B36</f>
        <v>235</v>
      </c>
      <c r="C91" s="92">
        <f>+TWK!C36</f>
        <v>228</v>
      </c>
      <c r="D91" s="92">
        <f>+TWK!D36</f>
        <v>228</v>
      </c>
      <c r="E91" s="92">
        <f>+TWK!E36</f>
        <v>218</v>
      </c>
      <c r="F91" s="92">
        <f>+TWK!F36</f>
        <v>228</v>
      </c>
      <c r="G91" s="92">
        <f>+TWK!G36</f>
        <v>228</v>
      </c>
      <c r="H91" s="92">
        <f>+TWK!H36</f>
        <v>202</v>
      </c>
      <c r="I91" s="92">
        <f>+TWK!I36</f>
        <v>248</v>
      </c>
      <c r="K91" s="92">
        <f t="shared" si="9"/>
        <v>219.75</v>
      </c>
      <c r="L91" s="92">
        <f t="shared" si="10"/>
        <v>211.5</v>
      </c>
      <c r="M91" s="92">
        <f t="shared" si="11"/>
        <v>213</v>
      </c>
      <c r="N91" s="92">
        <f t="shared" si="12"/>
        <v>182</v>
      </c>
      <c r="O91" s="92">
        <f t="shared" si="13"/>
        <v>188.25</v>
      </c>
      <c r="P91" s="92">
        <f t="shared" si="14"/>
        <v>187.25</v>
      </c>
      <c r="Q91" s="92">
        <f t="shared" si="15"/>
        <v>174.25</v>
      </c>
      <c r="R91" s="92">
        <f t="shared" si="16"/>
        <v>223.25</v>
      </c>
    </row>
    <row r="92" spans="1:18" x14ac:dyDescent="0.3">
      <c r="A92" s="13">
        <v>38224</v>
      </c>
      <c r="B92" s="92">
        <f>+TWK!B37</f>
        <v>229</v>
      </c>
      <c r="C92" s="92">
        <f>+TWK!C37</f>
        <v>225</v>
      </c>
      <c r="D92" s="92">
        <f>+TWK!D37</f>
        <v>224</v>
      </c>
      <c r="E92" s="92">
        <f>+TWK!E37</f>
        <v>208</v>
      </c>
      <c r="F92" s="92">
        <f>+TWK!F37</f>
        <v>231</v>
      </c>
      <c r="G92" s="92">
        <f>+TWK!G37</f>
        <v>231</v>
      </c>
      <c r="H92" s="92">
        <f>+TWK!H37</f>
        <v>201</v>
      </c>
      <c r="I92" s="92">
        <f>+TWK!I37</f>
        <v>292</v>
      </c>
      <c r="K92" s="92">
        <f t="shared" si="9"/>
        <v>227.5</v>
      </c>
      <c r="L92" s="92">
        <f t="shared" si="10"/>
        <v>222.5</v>
      </c>
      <c r="M92" s="92">
        <f t="shared" si="11"/>
        <v>220.5</v>
      </c>
      <c r="N92" s="92">
        <f t="shared" si="12"/>
        <v>196.25</v>
      </c>
      <c r="O92" s="92">
        <f t="shared" si="13"/>
        <v>207.25</v>
      </c>
      <c r="P92" s="92">
        <f t="shared" si="14"/>
        <v>206.5</v>
      </c>
      <c r="Q92" s="92">
        <f t="shared" si="15"/>
        <v>188.5</v>
      </c>
      <c r="R92" s="92">
        <f t="shared" si="16"/>
        <v>248.75</v>
      </c>
    </row>
    <row r="93" spans="1:18" x14ac:dyDescent="0.3">
      <c r="A93" s="13">
        <v>38231</v>
      </c>
      <c r="B93" s="92">
        <f>+TWK!B38</f>
        <v>230</v>
      </c>
      <c r="C93" s="92">
        <f>+TWK!C38</f>
        <v>224</v>
      </c>
      <c r="D93" s="92">
        <f>+TWK!D38</f>
        <v>221</v>
      </c>
      <c r="E93" s="92">
        <f>+TWK!E38</f>
        <v>212</v>
      </c>
      <c r="F93" s="92">
        <f>+TWK!F38</f>
        <v>236</v>
      </c>
      <c r="G93" s="92">
        <f>+TWK!G38</f>
        <v>239</v>
      </c>
      <c r="H93" s="92">
        <f>+TWK!H38</f>
        <v>217</v>
      </c>
      <c r="I93" s="92">
        <f>+TWK!I38</f>
        <v>295</v>
      </c>
      <c r="K93" s="92">
        <f t="shared" si="9"/>
        <v>229.75</v>
      </c>
      <c r="L93" s="92">
        <f t="shared" si="10"/>
        <v>225.5</v>
      </c>
      <c r="M93" s="92">
        <f t="shared" si="11"/>
        <v>223.25</v>
      </c>
      <c r="N93" s="92">
        <f t="shared" si="12"/>
        <v>204.25</v>
      </c>
      <c r="O93" s="92">
        <f t="shared" si="13"/>
        <v>220.75</v>
      </c>
      <c r="P93" s="92">
        <f t="shared" si="14"/>
        <v>221</v>
      </c>
      <c r="Q93" s="92">
        <f t="shared" si="15"/>
        <v>198.5</v>
      </c>
      <c r="R93" s="92">
        <f t="shared" si="16"/>
        <v>263.75</v>
      </c>
    </row>
    <row r="94" spans="1:18" x14ac:dyDescent="0.3">
      <c r="A94" s="13">
        <v>38238</v>
      </c>
      <c r="B94" s="92">
        <f>+TWK!B39</f>
        <v>230</v>
      </c>
      <c r="C94" s="92">
        <f>+TWK!C39</f>
        <v>222</v>
      </c>
      <c r="D94" s="92">
        <f>+TWK!D39</f>
        <v>228</v>
      </c>
      <c r="E94" s="92">
        <f>+TWK!E39</f>
        <v>259</v>
      </c>
      <c r="F94" s="92">
        <f>+TWK!F39</f>
        <v>262</v>
      </c>
      <c r="G94" s="92">
        <f>+TWK!G39</f>
        <v>266</v>
      </c>
      <c r="H94" s="92">
        <f>+TWK!H39</f>
        <v>267</v>
      </c>
      <c r="I94" s="92">
        <f>+TWK!I39</f>
        <v>400</v>
      </c>
      <c r="K94" s="92">
        <f t="shared" si="9"/>
        <v>231</v>
      </c>
      <c r="L94" s="92">
        <f t="shared" si="10"/>
        <v>224.75</v>
      </c>
      <c r="M94" s="92">
        <f t="shared" si="11"/>
        <v>225.25</v>
      </c>
      <c r="N94" s="92">
        <f t="shared" si="12"/>
        <v>224.25</v>
      </c>
      <c r="O94" s="92">
        <f t="shared" si="13"/>
        <v>239.25</v>
      </c>
      <c r="P94" s="92">
        <f t="shared" si="14"/>
        <v>241</v>
      </c>
      <c r="Q94" s="92">
        <f t="shared" si="15"/>
        <v>221.75</v>
      </c>
      <c r="R94" s="92">
        <f t="shared" si="16"/>
        <v>308.75</v>
      </c>
    </row>
    <row r="95" spans="1:18" x14ac:dyDescent="0.3">
      <c r="A95" s="13">
        <v>38245</v>
      </c>
      <c r="B95" s="92">
        <f>+TWK!B40</f>
        <v>314</v>
      </c>
      <c r="C95" s="92">
        <f>+TWK!C40</f>
        <v>336</v>
      </c>
      <c r="D95" s="92">
        <f>+TWK!D40</f>
        <v>355</v>
      </c>
      <c r="E95" s="92">
        <f>+TWK!E40</f>
        <v>373</v>
      </c>
      <c r="F95" s="92">
        <f>+TWK!F40</f>
        <v>358</v>
      </c>
      <c r="G95" s="92">
        <f>+TWK!G40</f>
        <v>360</v>
      </c>
      <c r="H95" s="92">
        <f>+TWK!H40</f>
        <v>385</v>
      </c>
      <c r="I95" s="92">
        <f>+TWK!I40</f>
        <v>535</v>
      </c>
      <c r="K95" s="92">
        <f t="shared" si="9"/>
        <v>250.75</v>
      </c>
      <c r="L95" s="92">
        <f t="shared" si="10"/>
        <v>251.75</v>
      </c>
      <c r="M95" s="92">
        <f t="shared" si="11"/>
        <v>257</v>
      </c>
      <c r="N95" s="92">
        <f t="shared" si="12"/>
        <v>263</v>
      </c>
      <c r="O95" s="92">
        <f t="shared" si="13"/>
        <v>271.75</v>
      </c>
      <c r="P95" s="92">
        <f t="shared" si="14"/>
        <v>274</v>
      </c>
      <c r="Q95" s="92">
        <f t="shared" si="15"/>
        <v>267.5</v>
      </c>
      <c r="R95" s="92">
        <f t="shared" si="16"/>
        <v>380.5</v>
      </c>
    </row>
    <row r="96" spans="1:18" x14ac:dyDescent="0.3">
      <c r="A96" s="13">
        <v>38252</v>
      </c>
      <c r="B96" s="92">
        <f>+TWK!B41</f>
        <v>335</v>
      </c>
      <c r="C96" s="92">
        <f>+TWK!C41</f>
        <v>357</v>
      </c>
      <c r="D96" s="92">
        <f>+TWK!D41</f>
        <v>383</v>
      </c>
      <c r="E96" s="92">
        <f>+TWK!E41</f>
        <v>390</v>
      </c>
      <c r="F96" s="92">
        <f>+TWK!F41</f>
        <v>379</v>
      </c>
      <c r="G96" s="92">
        <f>+TWK!G41</f>
        <v>386</v>
      </c>
      <c r="H96" s="92">
        <f>+TWK!H41</f>
        <v>384</v>
      </c>
      <c r="I96" s="92">
        <f>+TWK!I41</f>
        <v>500</v>
      </c>
      <c r="K96" s="92">
        <f t="shared" si="9"/>
        <v>277.25</v>
      </c>
      <c r="L96" s="92">
        <f t="shared" si="10"/>
        <v>284.75</v>
      </c>
      <c r="M96" s="92">
        <f t="shared" si="11"/>
        <v>296.75</v>
      </c>
      <c r="N96" s="92">
        <f t="shared" si="12"/>
        <v>308.5</v>
      </c>
      <c r="O96" s="92">
        <f t="shared" si="13"/>
        <v>308.75</v>
      </c>
      <c r="P96" s="92">
        <f t="shared" si="14"/>
        <v>312.75</v>
      </c>
      <c r="Q96" s="92">
        <f t="shared" si="15"/>
        <v>313.25</v>
      </c>
      <c r="R96" s="92">
        <f t="shared" si="16"/>
        <v>432.5</v>
      </c>
    </row>
    <row r="97" spans="1:18" x14ac:dyDescent="0.3">
      <c r="A97" s="13">
        <v>38259</v>
      </c>
      <c r="B97" s="92">
        <f>+TWK!B42</f>
        <v>382</v>
      </c>
      <c r="C97" s="92">
        <f>+TWK!C42</f>
        <v>400</v>
      </c>
      <c r="D97" s="92">
        <f>+TWK!D42</f>
        <v>426</v>
      </c>
      <c r="E97" s="92">
        <f>+TWK!E42</f>
        <v>414</v>
      </c>
      <c r="F97" s="92">
        <f>+TWK!F42</f>
        <v>420</v>
      </c>
      <c r="G97" s="92">
        <f>+TWK!G42</f>
        <v>423</v>
      </c>
      <c r="H97" s="92">
        <f>+TWK!H42</f>
        <v>388</v>
      </c>
      <c r="I97" s="92">
        <f>+TWK!I42</f>
        <v>545</v>
      </c>
      <c r="K97" s="92">
        <f t="shared" si="9"/>
        <v>315.25</v>
      </c>
      <c r="L97" s="92">
        <f t="shared" si="10"/>
        <v>328.75</v>
      </c>
      <c r="M97" s="92">
        <f t="shared" si="11"/>
        <v>348</v>
      </c>
      <c r="N97" s="92">
        <f t="shared" si="12"/>
        <v>359</v>
      </c>
      <c r="O97" s="92">
        <f t="shared" si="13"/>
        <v>354.75</v>
      </c>
      <c r="P97" s="92">
        <f t="shared" si="14"/>
        <v>358.75</v>
      </c>
      <c r="Q97" s="92">
        <f t="shared" si="15"/>
        <v>356</v>
      </c>
      <c r="R97" s="92">
        <f t="shared" si="16"/>
        <v>495</v>
      </c>
    </row>
    <row r="98" spans="1:18" x14ac:dyDescent="0.3">
      <c r="A98" s="13">
        <v>38266</v>
      </c>
      <c r="B98" s="92">
        <f>+TWK!B43</f>
        <v>400</v>
      </c>
      <c r="C98" s="92">
        <f>+TWK!C43</f>
        <v>403</v>
      </c>
      <c r="D98" s="92">
        <f>+TWK!D43</f>
        <v>419</v>
      </c>
      <c r="E98" s="92">
        <f>+TWK!E43</f>
        <v>403</v>
      </c>
      <c r="F98" s="92">
        <f>+TWK!F43</f>
        <v>425</v>
      </c>
      <c r="G98" s="92">
        <f>+TWK!G43</f>
        <v>429</v>
      </c>
      <c r="H98" s="92">
        <f>+TWK!H43</f>
        <v>397</v>
      </c>
      <c r="I98" s="92">
        <f>+TWK!I43</f>
        <v>525</v>
      </c>
      <c r="K98" s="92">
        <f t="shared" si="9"/>
        <v>357.75</v>
      </c>
      <c r="L98" s="92">
        <f t="shared" si="10"/>
        <v>374</v>
      </c>
      <c r="M98" s="92">
        <f t="shared" si="11"/>
        <v>395.75</v>
      </c>
      <c r="N98" s="92">
        <f t="shared" si="12"/>
        <v>395</v>
      </c>
      <c r="O98" s="92">
        <f t="shared" si="13"/>
        <v>395.5</v>
      </c>
      <c r="P98" s="92">
        <f t="shared" si="14"/>
        <v>399.5</v>
      </c>
      <c r="Q98" s="92">
        <f t="shared" si="15"/>
        <v>388.5</v>
      </c>
      <c r="R98" s="92">
        <f t="shared" si="16"/>
        <v>526.25</v>
      </c>
    </row>
    <row r="99" spans="1:18" x14ac:dyDescent="0.3">
      <c r="A99" s="13">
        <v>38273</v>
      </c>
      <c r="B99" s="92">
        <f>+TWK!B44</f>
        <v>335</v>
      </c>
      <c r="C99" s="92">
        <f>+TWK!C44</f>
        <v>338</v>
      </c>
      <c r="D99" s="92">
        <f>+TWK!D44</f>
        <v>340</v>
      </c>
      <c r="E99" s="92">
        <f>+TWK!E44</f>
        <v>307</v>
      </c>
      <c r="F99" s="92">
        <f>+TWK!F44</f>
        <v>333</v>
      </c>
      <c r="G99" s="92">
        <f>+TWK!G44</f>
        <v>333</v>
      </c>
      <c r="H99" s="92">
        <f>+TWK!H44</f>
        <v>287</v>
      </c>
      <c r="I99" s="92">
        <f>+TWK!I44</f>
        <v>350</v>
      </c>
      <c r="K99" s="92">
        <f t="shared" si="9"/>
        <v>363</v>
      </c>
      <c r="L99" s="92">
        <f t="shared" si="10"/>
        <v>374.5</v>
      </c>
      <c r="M99" s="92">
        <f t="shared" si="11"/>
        <v>392</v>
      </c>
      <c r="N99" s="92">
        <f t="shared" si="12"/>
        <v>378.5</v>
      </c>
      <c r="O99" s="92">
        <f t="shared" si="13"/>
        <v>389.25</v>
      </c>
      <c r="P99" s="92">
        <f t="shared" si="14"/>
        <v>392.75</v>
      </c>
      <c r="Q99" s="92">
        <f t="shared" si="15"/>
        <v>364</v>
      </c>
      <c r="R99" s="92">
        <f t="shared" si="16"/>
        <v>480</v>
      </c>
    </row>
    <row r="100" spans="1:18" x14ac:dyDescent="0.3">
      <c r="A100" s="13">
        <v>38280</v>
      </c>
      <c r="B100" s="92">
        <f>+TWK!B45</f>
        <v>322</v>
      </c>
      <c r="C100" s="92">
        <f>+TWK!C45</f>
        <v>333</v>
      </c>
      <c r="D100" s="92">
        <f>+TWK!D45</f>
        <v>333</v>
      </c>
      <c r="E100" s="92">
        <f>+TWK!E45</f>
        <v>277</v>
      </c>
      <c r="F100" s="92">
        <f>+TWK!F45</f>
        <v>306</v>
      </c>
      <c r="G100" s="92">
        <f>+TWK!G45</f>
        <v>301</v>
      </c>
      <c r="H100" s="92">
        <f>+TWK!H45</f>
        <v>238</v>
      </c>
      <c r="I100" s="92">
        <f>+TWK!I45</f>
        <v>313</v>
      </c>
      <c r="K100" s="92">
        <f t="shared" si="9"/>
        <v>359.75</v>
      </c>
      <c r="L100" s="92">
        <f t="shared" si="10"/>
        <v>368.5</v>
      </c>
      <c r="M100" s="92">
        <f t="shared" si="11"/>
        <v>379.5</v>
      </c>
      <c r="N100" s="92">
        <f t="shared" si="12"/>
        <v>350.25</v>
      </c>
      <c r="O100" s="92">
        <f t="shared" si="13"/>
        <v>371</v>
      </c>
      <c r="P100" s="92">
        <f t="shared" si="14"/>
        <v>371.5</v>
      </c>
      <c r="Q100" s="92">
        <f t="shared" si="15"/>
        <v>327.5</v>
      </c>
      <c r="R100" s="92">
        <f t="shared" si="16"/>
        <v>433.25</v>
      </c>
    </row>
    <row r="101" spans="1:18" x14ac:dyDescent="0.3">
      <c r="A101" s="13">
        <v>38287</v>
      </c>
      <c r="B101" s="92">
        <f>+TWK!B46</f>
        <v>382</v>
      </c>
      <c r="C101" s="92">
        <f>+TWK!C46</f>
        <v>396</v>
      </c>
      <c r="D101" s="92">
        <f>+TWK!D46</f>
        <v>423</v>
      </c>
      <c r="E101" s="92">
        <f>+TWK!E46</f>
        <v>368</v>
      </c>
      <c r="F101" s="92">
        <f>+TWK!F46</f>
        <v>368</v>
      </c>
      <c r="G101" s="92">
        <f>+TWK!G46</f>
        <v>368</v>
      </c>
      <c r="H101" s="92">
        <f>+TWK!H46</f>
        <v>276</v>
      </c>
      <c r="I101" s="92">
        <f>+TWK!I46</f>
        <v>338</v>
      </c>
      <c r="K101" s="92">
        <f t="shared" si="9"/>
        <v>359.75</v>
      </c>
      <c r="L101" s="92">
        <f t="shared" si="10"/>
        <v>367.5</v>
      </c>
      <c r="M101" s="92">
        <f t="shared" si="11"/>
        <v>378.75</v>
      </c>
      <c r="N101" s="92">
        <f t="shared" si="12"/>
        <v>338.75</v>
      </c>
      <c r="O101" s="92">
        <f t="shared" si="13"/>
        <v>358</v>
      </c>
      <c r="P101" s="92">
        <f t="shared" si="14"/>
        <v>357.75</v>
      </c>
      <c r="Q101" s="92">
        <f t="shared" si="15"/>
        <v>299.5</v>
      </c>
      <c r="R101" s="92">
        <f t="shared" si="16"/>
        <v>381.5</v>
      </c>
    </row>
    <row r="102" spans="1:18" x14ac:dyDescent="0.3">
      <c r="A102" s="13">
        <v>38294</v>
      </c>
      <c r="B102" s="92">
        <f>+TWK!B47</f>
        <v>374</v>
      </c>
      <c r="C102" s="92">
        <f>+TWK!C47</f>
        <v>356</v>
      </c>
      <c r="D102" s="92">
        <f>+TWK!D47</f>
        <v>369</v>
      </c>
      <c r="E102" s="92">
        <f>+TWK!E47</f>
        <v>317</v>
      </c>
      <c r="F102" s="92">
        <f>+TWK!F47</f>
        <v>313</v>
      </c>
      <c r="G102" s="92">
        <f>+TWK!G47</f>
        <v>312</v>
      </c>
      <c r="H102" s="92">
        <f>+TWK!H47</f>
        <v>272</v>
      </c>
      <c r="I102" s="92">
        <f>+TWK!I47</f>
        <v>343</v>
      </c>
      <c r="K102" s="92">
        <f t="shared" si="9"/>
        <v>353.25</v>
      </c>
      <c r="L102" s="92">
        <f t="shared" si="10"/>
        <v>355.75</v>
      </c>
      <c r="M102" s="92">
        <f t="shared" si="11"/>
        <v>366.25</v>
      </c>
      <c r="N102" s="92">
        <f t="shared" si="12"/>
        <v>317.25</v>
      </c>
      <c r="O102" s="92">
        <f t="shared" si="13"/>
        <v>330</v>
      </c>
      <c r="P102" s="92">
        <f t="shared" si="14"/>
        <v>328.5</v>
      </c>
      <c r="Q102" s="92">
        <f t="shared" si="15"/>
        <v>268.25</v>
      </c>
      <c r="R102" s="92">
        <f t="shared" si="16"/>
        <v>336</v>
      </c>
    </row>
    <row r="103" spans="1:18" x14ac:dyDescent="0.3">
      <c r="A103" s="13">
        <v>38301</v>
      </c>
      <c r="B103" s="92">
        <f>+TWK!B48</f>
        <v>368</v>
      </c>
      <c r="C103" s="92">
        <f>+TWK!C48</f>
        <v>385</v>
      </c>
      <c r="D103" s="92">
        <f>+TWK!D48</f>
        <v>371</v>
      </c>
      <c r="E103" s="92">
        <f>+TWK!E48</f>
        <v>359</v>
      </c>
      <c r="F103" s="92">
        <f>+TWK!F48</f>
        <v>371</v>
      </c>
      <c r="G103" s="92">
        <f>+TWK!G48</f>
        <v>380</v>
      </c>
      <c r="H103" s="92">
        <f>+TWK!H48</f>
        <v>333</v>
      </c>
      <c r="I103" s="92">
        <f>+TWK!I48</f>
        <v>450</v>
      </c>
      <c r="K103" s="92">
        <f t="shared" si="9"/>
        <v>361.5</v>
      </c>
      <c r="L103" s="92">
        <f t="shared" si="10"/>
        <v>367.5</v>
      </c>
      <c r="M103" s="92">
        <f t="shared" si="11"/>
        <v>374</v>
      </c>
      <c r="N103" s="92">
        <f t="shared" si="12"/>
        <v>330.25</v>
      </c>
      <c r="O103" s="92">
        <f t="shared" si="13"/>
        <v>339.5</v>
      </c>
      <c r="P103" s="92">
        <f t="shared" si="14"/>
        <v>340.25</v>
      </c>
      <c r="Q103" s="92">
        <f t="shared" si="15"/>
        <v>279.75</v>
      </c>
      <c r="R103" s="92">
        <f t="shared" si="16"/>
        <v>361</v>
      </c>
    </row>
    <row r="104" spans="1:18" x14ac:dyDescent="0.3">
      <c r="A104" s="13">
        <v>38308</v>
      </c>
      <c r="B104" s="92">
        <f>+TWK!B49</f>
        <v>303</v>
      </c>
      <c r="C104" s="92">
        <f>+TWK!C49</f>
        <v>295</v>
      </c>
      <c r="D104" s="92">
        <f>+TWK!D49</f>
        <v>298</v>
      </c>
      <c r="E104" s="92">
        <f>+TWK!E49</f>
        <v>264</v>
      </c>
      <c r="F104" s="92">
        <f>+TWK!F49</f>
        <v>305</v>
      </c>
      <c r="G104" s="92">
        <f>+TWK!G49</f>
        <v>308</v>
      </c>
      <c r="H104" s="92">
        <f>+TWK!H49</f>
        <v>255</v>
      </c>
      <c r="I104" s="92">
        <f>+TWK!I49</f>
        <v>305</v>
      </c>
      <c r="K104" s="92">
        <f t="shared" si="9"/>
        <v>356.75</v>
      </c>
      <c r="L104" s="92">
        <f t="shared" si="10"/>
        <v>358</v>
      </c>
      <c r="M104" s="92">
        <f t="shared" si="11"/>
        <v>365.25</v>
      </c>
      <c r="N104" s="92">
        <f t="shared" si="12"/>
        <v>327</v>
      </c>
      <c r="O104" s="92">
        <f t="shared" si="13"/>
        <v>339.25</v>
      </c>
      <c r="P104" s="92">
        <f t="shared" si="14"/>
        <v>342</v>
      </c>
      <c r="Q104" s="92">
        <f t="shared" si="15"/>
        <v>284</v>
      </c>
      <c r="R104" s="92">
        <f t="shared" si="16"/>
        <v>359</v>
      </c>
    </row>
    <row r="105" spans="1:18" x14ac:dyDescent="0.3">
      <c r="A105" s="13">
        <v>38315</v>
      </c>
      <c r="B105" s="92">
        <f>+TWK!B50</f>
        <v>255</v>
      </c>
      <c r="C105" s="92">
        <f>+TWK!C50</f>
        <v>244</v>
      </c>
      <c r="D105" s="92">
        <f>+TWK!D50</f>
        <v>236</v>
      </c>
      <c r="E105" s="92">
        <f>+TWK!E50</f>
        <v>180</v>
      </c>
      <c r="F105" s="92">
        <f>+TWK!F50</f>
        <v>208</v>
      </c>
      <c r="G105" s="92">
        <f>+TWK!G50</f>
        <v>208</v>
      </c>
      <c r="H105" s="92">
        <f>+TWK!H50</f>
        <v>171</v>
      </c>
      <c r="I105" s="92">
        <f>+TWK!I50</f>
        <v>235</v>
      </c>
      <c r="K105" s="92">
        <f t="shared" si="9"/>
        <v>325</v>
      </c>
      <c r="L105" s="92">
        <f t="shared" si="10"/>
        <v>320</v>
      </c>
      <c r="M105" s="92">
        <f t="shared" si="11"/>
        <v>318.5</v>
      </c>
      <c r="N105" s="92">
        <f t="shared" si="12"/>
        <v>280</v>
      </c>
      <c r="O105" s="92">
        <f t="shared" si="13"/>
        <v>299.25</v>
      </c>
      <c r="P105" s="92">
        <f t="shared" si="14"/>
        <v>302</v>
      </c>
      <c r="Q105" s="92">
        <f t="shared" si="15"/>
        <v>257.75</v>
      </c>
      <c r="R105" s="92">
        <f t="shared" si="16"/>
        <v>333.25</v>
      </c>
    </row>
    <row r="106" spans="1:18" x14ac:dyDescent="0.3">
      <c r="A106" s="13">
        <v>38322</v>
      </c>
      <c r="B106" s="92">
        <f>+TWK!B51</f>
        <v>0</v>
      </c>
      <c r="C106" s="92">
        <f>+TWK!C51</f>
        <v>249</v>
      </c>
      <c r="D106" s="92">
        <f>+TWK!D51</f>
        <v>240</v>
      </c>
      <c r="E106" s="92">
        <f>+TWK!E51</f>
        <v>175</v>
      </c>
      <c r="F106" s="92">
        <f>+TWK!F51</f>
        <v>192</v>
      </c>
      <c r="G106" s="92">
        <f>+TWK!G51</f>
        <v>192</v>
      </c>
      <c r="H106" s="92">
        <f>+TWK!H51</f>
        <v>166</v>
      </c>
      <c r="I106" s="92">
        <f>+TWK!I51</f>
        <v>218</v>
      </c>
      <c r="K106" s="92">
        <f t="shared" si="9"/>
        <v>231.5</v>
      </c>
      <c r="L106" s="92">
        <f t="shared" si="10"/>
        <v>293.25</v>
      </c>
      <c r="M106" s="92">
        <f t="shared" si="11"/>
        <v>286.25</v>
      </c>
      <c r="N106" s="92">
        <f t="shared" si="12"/>
        <v>244.5</v>
      </c>
      <c r="O106" s="92">
        <f t="shared" si="13"/>
        <v>269</v>
      </c>
      <c r="P106" s="92">
        <f t="shared" si="14"/>
        <v>272</v>
      </c>
      <c r="Q106" s="92">
        <f t="shared" si="15"/>
        <v>231.25</v>
      </c>
      <c r="R106" s="92">
        <f t="shared" si="16"/>
        <v>302</v>
      </c>
    </row>
    <row r="107" spans="1:18" x14ac:dyDescent="0.3">
      <c r="A107" s="13">
        <v>38329</v>
      </c>
      <c r="B107" s="92">
        <f>+TWK!B52</f>
        <v>0</v>
      </c>
      <c r="C107" s="92">
        <f>+TWK!C52</f>
        <v>245</v>
      </c>
      <c r="D107" s="92">
        <f>+TWK!D52</f>
        <v>245</v>
      </c>
      <c r="E107" s="92">
        <f>+TWK!E52</f>
        <v>198</v>
      </c>
      <c r="F107" s="92">
        <f>+TWK!F52</f>
        <v>199</v>
      </c>
      <c r="G107" s="92">
        <f>+TWK!G52</f>
        <v>202</v>
      </c>
      <c r="H107" s="92">
        <f>+TWK!H52</f>
        <v>180</v>
      </c>
      <c r="I107" s="92">
        <f>+TWK!I52</f>
        <v>230</v>
      </c>
      <c r="K107" s="92">
        <f t="shared" si="9"/>
        <v>139.5</v>
      </c>
      <c r="L107" s="92">
        <f t="shared" si="10"/>
        <v>258.25</v>
      </c>
      <c r="M107" s="92">
        <f t="shared" si="11"/>
        <v>254.75</v>
      </c>
      <c r="N107" s="92">
        <f t="shared" si="12"/>
        <v>204.25</v>
      </c>
      <c r="O107" s="92">
        <f t="shared" si="13"/>
        <v>226</v>
      </c>
      <c r="P107" s="92">
        <f t="shared" si="14"/>
        <v>227.5</v>
      </c>
      <c r="Q107" s="92">
        <f t="shared" si="15"/>
        <v>193</v>
      </c>
      <c r="R107" s="92">
        <f t="shared" si="16"/>
        <v>247</v>
      </c>
    </row>
    <row r="108" spans="1:18" x14ac:dyDescent="0.3">
      <c r="A108" s="13">
        <v>38336</v>
      </c>
      <c r="B108" s="92">
        <f>+TWK!B53</f>
        <v>0</v>
      </c>
      <c r="C108" s="92">
        <f>+TWK!C53</f>
        <v>318</v>
      </c>
      <c r="D108" s="92">
        <f>+TWK!D53</f>
        <v>301</v>
      </c>
      <c r="E108" s="92">
        <f>+TWK!E53</f>
        <v>277</v>
      </c>
      <c r="F108" s="92">
        <f>+TWK!F53</f>
        <v>270</v>
      </c>
      <c r="G108" s="92">
        <f>+TWK!G53</f>
        <v>279</v>
      </c>
      <c r="H108" s="92">
        <f>+TWK!H53</f>
        <v>267</v>
      </c>
      <c r="I108" s="92">
        <f>+TWK!I53</f>
        <v>375</v>
      </c>
      <c r="K108" s="92">
        <f t="shared" si="9"/>
        <v>63.75</v>
      </c>
      <c r="L108" s="92">
        <f t="shared" si="10"/>
        <v>264</v>
      </c>
      <c r="M108" s="92">
        <f t="shared" si="11"/>
        <v>255.5</v>
      </c>
      <c r="N108" s="92">
        <f t="shared" si="12"/>
        <v>207.5</v>
      </c>
      <c r="O108" s="92">
        <f t="shared" si="13"/>
        <v>217.25</v>
      </c>
      <c r="P108" s="92">
        <f t="shared" si="14"/>
        <v>220.25</v>
      </c>
      <c r="Q108" s="92">
        <f t="shared" si="15"/>
        <v>196</v>
      </c>
      <c r="R108" s="92">
        <f t="shared" si="16"/>
        <v>264.5</v>
      </c>
    </row>
    <row r="109" spans="1:18" x14ac:dyDescent="0.3">
      <c r="A109" s="13">
        <v>38343</v>
      </c>
      <c r="B109" s="92">
        <f>+TWK!B54</f>
        <v>0</v>
      </c>
      <c r="C109" s="92">
        <f>+TWK!C54</f>
        <v>0</v>
      </c>
      <c r="D109" s="92">
        <f>+TWK!D54</f>
        <v>346</v>
      </c>
      <c r="E109" s="92">
        <f>+TWK!E54</f>
        <v>345</v>
      </c>
      <c r="F109" s="92">
        <f>+TWK!F54</f>
        <v>333</v>
      </c>
      <c r="G109" s="92">
        <f>+TWK!G54</f>
        <v>344</v>
      </c>
      <c r="H109" s="92">
        <f>+TWK!H54</f>
        <v>303</v>
      </c>
      <c r="I109" s="92">
        <f>+TWK!I54</f>
        <v>388</v>
      </c>
      <c r="K109" s="92">
        <f t="shared" si="9"/>
        <v>0</v>
      </c>
      <c r="L109" s="92">
        <f t="shared" si="10"/>
        <v>203</v>
      </c>
      <c r="M109" s="92">
        <f t="shared" si="11"/>
        <v>283</v>
      </c>
      <c r="N109" s="92">
        <f t="shared" si="12"/>
        <v>248.75</v>
      </c>
      <c r="O109" s="92">
        <f t="shared" si="13"/>
        <v>248.5</v>
      </c>
      <c r="P109" s="92">
        <f t="shared" si="14"/>
        <v>254.25</v>
      </c>
      <c r="Q109" s="92">
        <f t="shared" si="15"/>
        <v>229</v>
      </c>
      <c r="R109" s="92">
        <f t="shared" si="16"/>
        <v>302.75</v>
      </c>
    </row>
    <row r="110" spans="1:18" x14ac:dyDescent="0.3">
      <c r="A110" s="13">
        <v>38350</v>
      </c>
      <c r="B110" s="92">
        <f>+TWK!B55</f>
        <v>0</v>
      </c>
      <c r="C110" s="92">
        <f>+TWK!C55</f>
        <v>0</v>
      </c>
      <c r="D110" s="92">
        <f>+TWK!D55</f>
        <v>300</v>
      </c>
      <c r="E110" s="92">
        <f>+TWK!E55</f>
        <v>257</v>
      </c>
      <c r="F110" s="92">
        <f>+TWK!F55</f>
        <v>273</v>
      </c>
      <c r="G110" s="92">
        <f>+TWK!G55</f>
        <v>278</v>
      </c>
      <c r="H110" s="92">
        <f>+TWK!H55</f>
        <v>237</v>
      </c>
      <c r="I110" s="92">
        <f>+TWK!I55</f>
        <v>308</v>
      </c>
      <c r="K110" s="92">
        <f t="shared" si="9"/>
        <v>0</v>
      </c>
      <c r="L110" s="92">
        <f t="shared" si="10"/>
        <v>140.75</v>
      </c>
      <c r="M110" s="92">
        <f t="shared" si="11"/>
        <v>298</v>
      </c>
      <c r="N110" s="92">
        <f t="shared" si="12"/>
        <v>269.25</v>
      </c>
      <c r="O110" s="92">
        <f t="shared" si="13"/>
        <v>268.75</v>
      </c>
      <c r="P110" s="92">
        <f t="shared" si="14"/>
        <v>275.75</v>
      </c>
      <c r="Q110" s="92">
        <f t="shared" si="15"/>
        <v>246.75</v>
      </c>
      <c r="R110" s="92">
        <f t="shared" si="16"/>
        <v>325.25</v>
      </c>
    </row>
    <row r="111" spans="1:18" x14ac:dyDescent="0.3">
      <c r="A111" s="13">
        <v>38357</v>
      </c>
      <c r="B111" s="92">
        <f>+TWK!B56</f>
        <v>0</v>
      </c>
      <c r="C111" s="92">
        <f>+TWK!C56</f>
        <v>0</v>
      </c>
      <c r="D111" s="92">
        <f>+TWK!D56</f>
        <v>261</v>
      </c>
      <c r="E111" s="92">
        <f>+TWK!E56</f>
        <v>200</v>
      </c>
      <c r="F111" s="92">
        <f>+TWK!F56</f>
        <v>222</v>
      </c>
      <c r="G111" s="92">
        <f>+TWK!G56</f>
        <v>222</v>
      </c>
      <c r="H111" s="92">
        <f>+TWK!H56</f>
        <v>190</v>
      </c>
      <c r="I111" s="92">
        <f>+TWK!I56</f>
        <v>253</v>
      </c>
      <c r="K111" s="92">
        <f t="shared" si="9"/>
        <v>0</v>
      </c>
      <c r="L111" s="92">
        <f t="shared" si="10"/>
        <v>79.5</v>
      </c>
      <c r="M111" s="92">
        <f t="shared" si="11"/>
        <v>302</v>
      </c>
      <c r="N111" s="92">
        <f t="shared" si="12"/>
        <v>269.75</v>
      </c>
      <c r="O111" s="92">
        <f t="shared" si="13"/>
        <v>274.5</v>
      </c>
      <c r="P111" s="92">
        <f t="shared" si="14"/>
        <v>280.75</v>
      </c>
      <c r="Q111" s="92">
        <f t="shared" si="15"/>
        <v>249.25</v>
      </c>
      <c r="R111" s="92">
        <f t="shared" si="16"/>
        <v>331</v>
      </c>
    </row>
    <row r="112" spans="1:18" x14ac:dyDescent="0.3">
      <c r="A112" s="13">
        <v>38364</v>
      </c>
      <c r="B112" s="92">
        <f>+TWK!B57</f>
        <v>0</v>
      </c>
      <c r="C112" s="92">
        <f>+TWK!C57</f>
        <v>0</v>
      </c>
      <c r="D112" s="92">
        <f>+TWK!D57</f>
        <v>324</v>
      </c>
      <c r="E112" s="92">
        <f>+TWK!E57</f>
        <v>285</v>
      </c>
      <c r="F112" s="92">
        <f>+TWK!F57</f>
        <v>244</v>
      </c>
      <c r="G112" s="92">
        <f>+TWK!G57</f>
        <v>248</v>
      </c>
      <c r="H112" s="92">
        <f>+TWK!H57</f>
        <v>264</v>
      </c>
      <c r="I112" s="92">
        <f>+TWK!I57</f>
        <v>368</v>
      </c>
      <c r="K112" s="92">
        <f t="shared" si="9"/>
        <v>0</v>
      </c>
      <c r="L112" s="92">
        <f t="shared" si="10"/>
        <v>0</v>
      </c>
      <c r="M112" s="92">
        <f t="shared" si="11"/>
        <v>307.75</v>
      </c>
      <c r="N112" s="92">
        <f t="shared" si="12"/>
        <v>271.75</v>
      </c>
      <c r="O112" s="92">
        <f t="shared" si="13"/>
        <v>268</v>
      </c>
      <c r="P112" s="92">
        <f t="shared" si="14"/>
        <v>273</v>
      </c>
      <c r="Q112" s="92">
        <f t="shared" si="15"/>
        <v>248.5</v>
      </c>
      <c r="R112" s="92">
        <f t="shared" si="16"/>
        <v>329.25</v>
      </c>
    </row>
    <row r="113" spans="1:18" x14ac:dyDescent="0.3">
      <c r="A113" s="13">
        <v>38371</v>
      </c>
      <c r="B113" s="92">
        <f>+TWK!B58</f>
        <v>0</v>
      </c>
      <c r="C113" s="92">
        <f>+TWK!C58</f>
        <v>0</v>
      </c>
      <c r="D113" s="92">
        <f>+TWK!D58</f>
        <v>361</v>
      </c>
      <c r="E113" s="92">
        <f>+TWK!E58</f>
        <v>329</v>
      </c>
      <c r="F113" s="92">
        <f>+TWK!F58</f>
        <v>290</v>
      </c>
      <c r="G113" s="92">
        <f>+TWK!G58</f>
        <v>294</v>
      </c>
      <c r="H113" s="92">
        <f>+TWK!H58</f>
        <v>313</v>
      </c>
      <c r="I113" s="92">
        <f>+TWK!I58</f>
        <v>405</v>
      </c>
      <c r="K113" s="92">
        <f t="shared" si="9"/>
        <v>0</v>
      </c>
      <c r="L113" s="92">
        <f t="shared" si="10"/>
        <v>0</v>
      </c>
      <c r="M113" s="92">
        <f t="shared" si="11"/>
        <v>311.5</v>
      </c>
      <c r="N113" s="92">
        <f t="shared" si="12"/>
        <v>267.75</v>
      </c>
      <c r="O113" s="92">
        <f t="shared" si="13"/>
        <v>257.25</v>
      </c>
      <c r="P113" s="92">
        <f t="shared" si="14"/>
        <v>260.5</v>
      </c>
      <c r="Q113" s="92">
        <f t="shared" si="15"/>
        <v>251</v>
      </c>
      <c r="R113" s="92">
        <f t="shared" si="16"/>
        <v>333.5</v>
      </c>
    </row>
    <row r="114" spans="1:18" x14ac:dyDescent="0.3">
      <c r="A114" s="13">
        <v>38378</v>
      </c>
      <c r="B114" s="92">
        <f>+TWK!B59</f>
        <v>0</v>
      </c>
      <c r="C114" s="92">
        <f>+TWK!C59</f>
        <v>0</v>
      </c>
      <c r="D114" s="92">
        <f>+TWK!D59</f>
        <v>293</v>
      </c>
      <c r="E114" s="92">
        <f>+TWK!E59</f>
        <v>281</v>
      </c>
      <c r="F114" s="92">
        <f>+TWK!F59</f>
        <v>329</v>
      </c>
      <c r="G114" s="92">
        <f>+TWK!G59</f>
        <v>326</v>
      </c>
      <c r="H114" s="92">
        <f>+TWK!H59</f>
        <v>285</v>
      </c>
      <c r="I114" s="92">
        <f>+TWK!I59</f>
        <v>363</v>
      </c>
      <c r="K114" s="92">
        <f t="shared" si="9"/>
        <v>0</v>
      </c>
      <c r="L114" s="92">
        <f t="shared" si="10"/>
        <v>0</v>
      </c>
      <c r="M114" s="92">
        <f t="shared" si="11"/>
        <v>309.75</v>
      </c>
      <c r="N114" s="92">
        <f t="shared" si="12"/>
        <v>273.75</v>
      </c>
      <c r="O114" s="92">
        <f t="shared" si="13"/>
        <v>271.25</v>
      </c>
      <c r="P114" s="92">
        <f t="shared" si="14"/>
        <v>272.5</v>
      </c>
      <c r="Q114" s="92">
        <f t="shared" si="15"/>
        <v>263</v>
      </c>
      <c r="R114" s="92">
        <f t="shared" si="16"/>
        <v>347.25</v>
      </c>
    </row>
    <row r="115" spans="1:18" x14ac:dyDescent="0.3">
      <c r="A115" s="13">
        <v>38385</v>
      </c>
      <c r="B115" s="92">
        <f>+TWK!B60</f>
        <v>0</v>
      </c>
      <c r="C115" s="92">
        <f>+TWK!C60</f>
        <v>0</v>
      </c>
      <c r="D115" s="92">
        <f>+TWK!D60</f>
        <v>263</v>
      </c>
      <c r="E115" s="92">
        <f>+TWK!E60</f>
        <v>218</v>
      </c>
      <c r="F115" s="92">
        <f>+TWK!F60</f>
        <v>301</v>
      </c>
      <c r="G115" s="92">
        <f>+TWK!G60</f>
        <v>299</v>
      </c>
      <c r="H115" s="92">
        <f>+TWK!H60</f>
        <v>207</v>
      </c>
      <c r="I115" s="92">
        <f>+TWK!I60</f>
        <v>285</v>
      </c>
      <c r="K115" s="92">
        <f t="shared" si="9"/>
        <v>0</v>
      </c>
      <c r="L115" s="92">
        <f t="shared" si="10"/>
        <v>0</v>
      </c>
      <c r="M115" s="92">
        <f t="shared" si="11"/>
        <v>310.25</v>
      </c>
      <c r="N115" s="92">
        <f t="shared" si="12"/>
        <v>278.25</v>
      </c>
      <c r="O115" s="92">
        <f t="shared" si="13"/>
        <v>291</v>
      </c>
      <c r="P115" s="92">
        <f t="shared" si="14"/>
        <v>291.75</v>
      </c>
      <c r="Q115" s="92">
        <f t="shared" si="15"/>
        <v>267.25</v>
      </c>
      <c r="R115" s="92">
        <f t="shared" si="16"/>
        <v>355.25</v>
      </c>
    </row>
    <row r="116" spans="1:18" x14ac:dyDescent="0.3">
      <c r="A116" s="13">
        <v>38392</v>
      </c>
      <c r="B116" s="92">
        <f>+TWK!B61</f>
        <v>0</v>
      </c>
      <c r="C116" s="92">
        <f>+TWK!C61</f>
        <v>0</v>
      </c>
      <c r="D116" s="92">
        <f>+TWK!D61</f>
        <v>233</v>
      </c>
      <c r="E116" s="92">
        <f>+TWK!E61</f>
        <v>215</v>
      </c>
      <c r="F116" s="92">
        <f>+TWK!F61</f>
        <v>218</v>
      </c>
      <c r="G116" s="92">
        <f>+TWK!G61</f>
        <v>219</v>
      </c>
      <c r="H116" s="92">
        <f>+TWK!H61</f>
        <v>202</v>
      </c>
      <c r="I116" s="92">
        <f>+TWK!I61</f>
        <v>265</v>
      </c>
      <c r="K116" s="92">
        <f t="shared" si="9"/>
        <v>0</v>
      </c>
      <c r="L116" s="92">
        <f t="shared" si="10"/>
        <v>0</v>
      </c>
      <c r="M116" s="92">
        <f t="shared" si="11"/>
        <v>287.5</v>
      </c>
      <c r="N116" s="92">
        <f t="shared" si="12"/>
        <v>260.75</v>
      </c>
      <c r="O116" s="92">
        <f t="shared" si="13"/>
        <v>284.5</v>
      </c>
      <c r="P116" s="92">
        <f t="shared" si="14"/>
        <v>284.5</v>
      </c>
      <c r="Q116" s="92">
        <f t="shared" si="15"/>
        <v>251.75</v>
      </c>
      <c r="R116" s="92">
        <f t="shared" si="16"/>
        <v>329.5</v>
      </c>
    </row>
    <row r="117" spans="1:18" x14ac:dyDescent="0.3">
      <c r="A117" s="13">
        <v>38399</v>
      </c>
      <c r="B117" s="92">
        <f>+TWK!B62</f>
        <v>0</v>
      </c>
      <c r="C117" s="92">
        <f>+TWK!C62</f>
        <v>0</v>
      </c>
      <c r="D117" s="92">
        <f>+TWK!D62</f>
        <v>278</v>
      </c>
      <c r="E117" s="92">
        <f>+TWK!E62</f>
        <v>303</v>
      </c>
      <c r="F117" s="92">
        <f>+TWK!F62</f>
        <v>243</v>
      </c>
      <c r="G117" s="92">
        <f>+TWK!G62</f>
        <v>247</v>
      </c>
      <c r="H117" s="92">
        <f>+TWK!H62</f>
        <v>278</v>
      </c>
      <c r="I117" s="92">
        <f>+TWK!I62</f>
        <v>367</v>
      </c>
      <c r="K117" s="92">
        <f t="shared" si="9"/>
        <v>0</v>
      </c>
      <c r="L117" s="92">
        <f t="shared" si="10"/>
        <v>0</v>
      </c>
      <c r="M117" s="92">
        <f t="shared" si="11"/>
        <v>266.75</v>
      </c>
      <c r="N117" s="92">
        <f t="shared" si="12"/>
        <v>254.25</v>
      </c>
      <c r="O117" s="92">
        <f t="shared" si="13"/>
        <v>272.75</v>
      </c>
      <c r="P117" s="92">
        <f t="shared" si="14"/>
        <v>272.75</v>
      </c>
      <c r="Q117" s="92">
        <f t="shared" si="15"/>
        <v>243</v>
      </c>
      <c r="R117" s="92">
        <f t="shared" si="16"/>
        <v>320</v>
      </c>
    </row>
    <row r="118" spans="1:18" x14ac:dyDescent="0.3">
      <c r="A118" s="13">
        <v>38406</v>
      </c>
      <c r="B118" s="92">
        <f>+TWK!B63</f>
        <v>0</v>
      </c>
      <c r="C118" s="92">
        <f>+TWK!C63</f>
        <v>0</v>
      </c>
      <c r="D118" s="92">
        <f>+TWK!D63</f>
        <v>320</v>
      </c>
      <c r="E118" s="92">
        <f>+TWK!E63</f>
        <v>313</v>
      </c>
      <c r="F118" s="92">
        <f>+TWK!F63</f>
        <v>289</v>
      </c>
      <c r="G118" s="92">
        <f>+TWK!G63</f>
        <v>289</v>
      </c>
      <c r="H118" s="92">
        <f>+TWK!H63</f>
        <v>291</v>
      </c>
      <c r="I118" s="92">
        <f>+TWK!I63</f>
        <v>388</v>
      </c>
      <c r="K118" s="92">
        <f t="shared" si="9"/>
        <v>0</v>
      </c>
      <c r="L118" s="92">
        <f t="shared" si="10"/>
        <v>0</v>
      </c>
      <c r="M118" s="92">
        <f t="shared" si="11"/>
        <v>273.5</v>
      </c>
      <c r="N118" s="92">
        <f t="shared" si="12"/>
        <v>262.25</v>
      </c>
      <c r="O118" s="92">
        <f t="shared" si="13"/>
        <v>262.75</v>
      </c>
      <c r="P118" s="92">
        <f t="shared" si="14"/>
        <v>263.5</v>
      </c>
      <c r="Q118" s="92">
        <f t="shared" si="15"/>
        <v>244.5</v>
      </c>
      <c r="R118" s="92">
        <f t="shared" si="16"/>
        <v>326.25</v>
      </c>
    </row>
    <row r="119" spans="1:18" x14ac:dyDescent="0.3">
      <c r="A119" s="13">
        <v>38413</v>
      </c>
      <c r="B119" s="92">
        <f>+TWK!B64</f>
        <v>0</v>
      </c>
      <c r="C119" s="92">
        <f>+TWK!C64</f>
        <v>380</v>
      </c>
      <c r="D119" s="92">
        <f>+TWK!D64</f>
        <v>369</v>
      </c>
      <c r="E119" s="92">
        <f>+TWK!E64</f>
        <v>323</v>
      </c>
      <c r="F119" s="92">
        <f>+TWK!F64</f>
        <v>322</v>
      </c>
      <c r="G119" s="92">
        <f>+TWK!G64</f>
        <v>323</v>
      </c>
      <c r="H119" s="92">
        <f>+TWK!H64</f>
        <v>298</v>
      </c>
      <c r="I119" s="92">
        <f>+TWK!I64</f>
        <v>388</v>
      </c>
      <c r="K119" s="92">
        <f t="shared" si="9"/>
        <v>0</v>
      </c>
      <c r="L119" s="92">
        <f t="shared" si="10"/>
        <v>95</v>
      </c>
      <c r="M119" s="92">
        <f t="shared" si="11"/>
        <v>300</v>
      </c>
      <c r="N119" s="92">
        <f t="shared" si="12"/>
        <v>288.5</v>
      </c>
      <c r="O119" s="92">
        <f t="shared" si="13"/>
        <v>268</v>
      </c>
      <c r="P119" s="92">
        <f t="shared" si="14"/>
        <v>269.5</v>
      </c>
      <c r="Q119" s="92">
        <f t="shared" si="15"/>
        <v>267.25</v>
      </c>
      <c r="R119" s="92">
        <f t="shared" si="16"/>
        <v>352</v>
      </c>
    </row>
    <row r="120" spans="1:18" x14ac:dyDescent="0.3">
      <c r="A120" s="13">
        <v>38420</v>
      </c>
      <c r="B120" s="92">
        <f>+TWK!B65</f>
        <v>0</v>
      </c>
      <c r="C120" s="92">
        <f>+TWK!C65</f>
        <v>304</v>
      </c>
      <c r="D120" s="92">
        <f>+TWK!D65</f>
        <v>278</v>
      </c>
      <c r="E120" s="92">
        <f>+TWK!E65</f>
        <v>247</v>
      </c>
      <c r="F120" s="92">
        <f>+TWK!F65</f>
        <v>268</v>
      </c>
      <c r="G120" s="92">
        <f>+TWK!G65</f>
        <v>272</v>
      </c>
      <c r="H120" s="92">
        <f>+TWK!H65</f>
        <v>237</v>
      </c>
      <c r="I120" s="92">
        <f>+TWK!I65</f>
        <v>308</v>
      </c>
      <c r="K120" s="92">
        <f t="shared" si="9"/>
        <v>0</v>
      </c>
      <c r="L120" s="92">
        <f t="shared" si="10"/>
        <v>171</v>
      </c>
      <c r="M120" s="92">
        <f t="shared" si="11"/>
        <v>311.25</v>
      </c>
      <c r="N120" s="92">
        <f t="shared" si="12"/>
        <v>296.5</v>
      </c>
      <c r="O120" s="92">
        <f t="shared" si="13"/>
        <v>280.5</v>
      </c>
      <c r="P120" s="92">
        <f t="shared" si="14"/>
        <v>282.75</v>
      </c>
      <c r="Q120" s="92">
        <f t="shared" si="15"/>
        <v>276</v>
      </c>
      <c r="R120" s="92">
        <f t="shared" si="16"/>
        <v>362.75</v>
      </c>
    </row>
    <row r="121" spans="1:18" x14ac:dyDescent="0.3">
      <c r="A121" s="13">
        <v>38427</v>
      </c>
      <c r="B121" s="92">
        <f>+TWK!B66</f>
        <v>0</v>
      </c>
      <c r="C121" s="92">
        <f>+TWK!C66</f>
        <v>350</v>
      </c>
      <c r="D121" s="92">
        <f>+TWK!D66</f>
        <v>344</v>
      </c>
      <c r="E121" s="92">
        <f>+TWK!E66</f>
        <v>308</v>
      </c>
      <c r="F121" s="92">
        <f>+TWK!F66</f>
        <v>341</v>
      </c>
      <c r="G121" s="92">
        <f>+TWK!G66</f>
        <v>343</v>
      </c>
      <c r="H121" s="92">
        <f>+TWK!H66</f>
        <v>287</v>
      </c>
      <c r="I121" s="92">
        <f>+TWK!I66</f>
        <v>363</v>
      </c>
      <c r="K121" s="92">
        <f t="shared" si="9"/>
        <v>0</v>
      </c>
      <c r="L121" s="92">
        <f t="shared" si="10"/>
        <v>258.5</v>
      </c>
      <c r="M121" s="92">
        <f t="shared" si="11"/>
        <v>327.75</v>
      </c>
      <c r="N121" s="92">
        <f t="shared" si="12"/>
        <v>297.75</v>
      </c>
      <c r="O121" s="92">
        <f t="shared" si="13"/>
        <v>305</v>
      </c>
      <c r="P121" s="92">
        <f t="shared" si="14"/>
        <v>306.75</v>
      </c>
      <c r="Q121" s="92">
        <f t="shared" si="15"/>
        <v>278.25</v>
      </c>
      <c r="R121" s="92">
        <f t="shared" si="16"/>
        <v>361.75</v>
      </c>
    </row>
    <row r="122" spans="1:18" x14ac:dyDescent="0.3">
      <c r="A122" s="13">
        <v>38434</v>
      </c>
      <c r="B122" s="92">
        <f>+TWK!B67</f>
        <v>0</v>
      </c>
      <c r="C122" s="92">
        <f>+TWK!C67</f>
        <v>271</v>
      </c>
      <c r="D122" s="92">
        <f>+TWK!D67</f>
        <v>250</v>
      </c>
      <c r="E122" s="92">
        <f>+TWK!E67</f>
        <v>203</v>
      </c>
      <c r="F122" s="92">
        <f>+TWK!F67</f>
        <v>232</v>
      </c>
      <c r="G122" s="92">
        <f>+TWK!G67</f>
        <v>233</v>
      </c>
      <c r="H122" s="92">
        <f>+TWK!H67</f>
        <v>198</v>
      </c>
      <c r="I122" s="92">
        <f>+TWK!I67</f>
        <v>263</v>
      </c>
      <c r="K122" s="92">
        <f t="shared" si="9"/>
        <v>0</v>
      </c>
      <c r="L122" s="92">
        <f t="shared" si="10"/>
        <v>326.25</v>
      </c>
      <c r="M122" s="92">
        <f t="shared" si="11"/>
        <v>310.25</v>
      </c>
      <c r="N122" s="92">
        <f t="shared" si="12"/>
        <v>270.25</v>
      </c>
      <c r="O122" s="92">
        <f t="shared" si="13"/>
        <v>290.75</v>
      </c>
      <c r="P122" s="92">
        <f t="shared" si="14"/>
        <v>292.75</v>
      </c>
      <c r="Q122" s="92">
        <f t="shared" si="15"/>
        <v>255</v>
      </c>
      <c r="R122" s="92">
        <f t="shared" si="16"/>
        <v>330.5</v>
      </c>
    </row>
    <row r="123" spans="1:18" x14ac:dyDescent="0.3">
      <c r="A123" s="13">
        <v>38441</v>
      </c>
      <c r="B123" s="92">
        <f>+TWK!B68</f>
        <v>270</v>
      </c>
      <c r="C123" s="92">
        <f>+TWK!C68</f>
        <v>243</v>
      </c>
      <c r="D123" s="92">
        <f>+TWK!D68</f>
        <v>231</v>
      </c>
      <c r="E123" s="92">
        <f>+TWK!E68</f>
        <v>171</v>
      </c>
      <c r="F123" s="92">
        <f>+TWK!F68</f>
        <v>206</v>
      </c>
      <c r="G123" s="92">
        <f>+TWK!G68</f>
        <v>208</v>
      </c>
      <c r="H123" s="92">
        <f>+TWK!H68</f>
        <v>167</v>
      </c>
      <c r="I123" s="92">
        <f>+TWK!I68</f>
        <v>230</v>
      </c>
      <c r="K123" s="92">
        <f t="shared" si="9"/>
        <v>67.5</v>
      </c>
      <c r="L123" s="92">
        <f t="shared" si="10"/>
        <v>292</v>
      </c>
      <c r="M123" s="92">
        <f t="shared" si="11"/>
        <v>275.75</v>
      </c>
      <c r="N123" s="92">
        <f t="shared" si="12"/>
        <v>232.25</v>
      </c>
      <c r="O123" s="92">
        <f t="shared" si="13"/>
        <v>261.75</v>
      </c>
      <c r="P123" s="92">
        <f t="shared" si="14"/>
        <v>264</v>
      </c>
      <c r="Q123" s="92">
        <f t="shared" si="15"/>
        <v>222.25</v>
      </c>
      <c r="R123" s="92">
        <f t="shared" si="16"/>
        <v>291</v>
      </c>
    </row>
    <row r="124" spans="1:18" x14ac:dyDescent="0.3">
      <c r="A124" s="13">
        <v>38448</v>
      </c>
      <c r="B124" s="92">
        <f>+TWK!B69</f>
        <v>307</v>
      </c>
      <c r="C124" s="92">
        <f>+TWK!C69</f>
        <v>316</v>
      </c>
      <c r="D124" s="92">
        <f>+TWK!D69</f>
        <v>313</v>
      </c>
      <c r="E124" s="92">
        <f>+TWK!E69</f>
        <v>221</v>
      </c>
      <c r="F124" s="92">
        <f>+TWK!F69</f>
        <v>233</v>
      </c>
      <c r="G124" s="92">
        <f>+TWK!G69</f>
        <v>235</v>
      </c>
      <c r="H124" s="92">
        <f>+TWK!H69</f>
        <v>210</v>
      </c>
      <c r="I124" s="92">
        <f>+TWK!I69</f>
        <v>293</v>
      </c>
      <c r="K124" s="92">
        <f t="shared" si="9"/>
        <v>144.25</v>
      </c>
      <c r="L124" s="92">
        <f t="shared" si="10"/>
        <v>295</v>
      </c>
      <c r="M124" s="92">
        <f t="shared" si="11"/>
        <v>284.5</v>
      </c>
      <c r="N124" s="92">
        <f t="shared" si="12"/>
        <v>225.75</v>
      </c>
      <c r="O124" s="92">
        <f t="shared" si="13"/>
        <v>253</v>
      </c>
      <c r="P124" s="92">
        <f t="shared" si="14"/>
        <v>254.75</v>
      </c>
      <c r="Q124" s="92">
        <f t="shared" si="15"/>
        <v>215.5</v>
      </c>
      <c r="R124" s="92">
        <f t="shared" si="16"/>
        <v>287.25</v>
      </c>
    </row>
    <row r="125" spans="1:18" x14ac:dyDescent="0.3">
      <c r="A125" s="13">
        <v>38455</v>
      </c>
      <c r="B125" s="92">
        <f>+TWK!B70</f>
        <v>278</v>
      </c>
      <c r="C125" s="92">
        <f>+TWK!C70</f>
        <v>249</v>
      </c>
      <c r="D125" s="92">
        <f>+TWK!D70</f>
        <v>241</v>
      </c>
      <c r="E125" s="92">
        <f>+TWK!E70</f>
        <v>188</v>
      </c>
      <c r="F125" s="92">
        <f>+TWK!F70</f>
        <v>195</v>
      </c>
      <c r="G125" s="92">
        <f>+TWK!G70</f>
        <v>195</v>
      </c>
      <c r="H125" s="92">
        <f>+TWK!H70</f>
        <v>177</v>
      </c>
      <c r="I125" s="92">
        <f>+TWK!I70</f>
        <v>238</v>
      </c>
      <c r="K125" s="92">
        <f t="shared" si="9"/>
        <v>213.75</v>
      </c>
      <c r="L125" s="92">
        <f t="shared" si="10"/>
        <v>269.75</v>
      </c>
      <c r="M125" s="92">
        <f t="shared" si="11"/>
        <v>258.75</v>
      </c>
      <c r="N125" s="92">
        <f t="shared" si="12"/>
        <v>195.75</v>
      </c>
      <c r="O125" s="92">
        <f t="shared" si="13"/>
        <v>216.5</v>
      </c>
      <c r="P125" s="92">
        <f t="shared" si="14"/>
        <v>217.75</v>
      </c>
      <c r="Q125" s="92">
        <f t="shared" si="15"/>
        <v>188</v>
      </c>
      <c r="R125" s="92">
        <f t="shared" si="16"/>
        <v>256</v>
      </c>
    </row>
    <row r="126" spans="1:18" x14ac:dyDescent="0.3">
      <c r="A126" s="13">
        <v>38462</v>
      </c>
      <c r="B126" s="92">
        <f>+TWK!B71</f>
        <v>276</v>
      </c>
      <c r="C126" s="92">
        <f>+TWK!C71</f>
        <v>248</v>
      </c>
      <c r="D126" s="92">
        <f>+TWK!D71</f>
        <v>238</v>
      </c>
      <c r="E126" s="92">
        <f>+TWK!E71</f>
        <v>179</v>
      </c>
      <c r="F126" s="92">
        <f>+TWK!F71</f>
        <v>188</v>
      </c>
      <c r="G126" s="92">
        <f>+TWK!G71</f>
        <v>189</v>
      </c>
      <c r="H126" s="92">
        <f>+TWK!H71</f>
        <v>170</v>
      </c>
      <c r="I126" s="92">
        <f>+TWK!I71</f>
        <v>243</v>
      </c>
      <c r="K126" s="92">
        <f t="shared" si="9"/>
        <v>282.75</v>
      </c>
      <c r="L126" s="92">
        <f t="shared" si="10"/>
        <v>264</v>
      </c>
      <c r="M126" s="92">
        <f t="shared" si="11"/>
        <v>255.75</v>
      </c>
      <c r="N126" s="92">
        <f t="shared" si="12"/>
        <v>189.75</v>
      </c>
      <c r="O126" s="92">
        <f t="shared" si="13"/>
        <v>205.5</v>
      </c>
      <c r="P126" s="92">
        <f t="shared" si="14"/>
        <v>206.75</v>
      </c>
      <c r="Q126" s="92">
        <f t="shared" si="15"/>
        <v>181</v>
      </c>
      <c r="R126" s="92">
        <f t="shared" si="16"/>
        <v>251</v>
      </c>
    </row>
    <row r="127" spans="1:18" x14ac:dyDescent="0.3">
      <c r="A127" s="13">
        <v>38469</v>
      </c>
      <c r="B127" s="92">
        <f>+TWK!B72</f>
        <v>261</v>
      </c>
      <c r="C127" s="92">
        <f>+TWK!C72</f>
        <v>233</v>
      </c>
      <c r="D127" s="92">
        <f>+TWK!D72</f>
        <v>223</v>
      </c>
      <c r="E127" s="92">
        <f>+TWK!E72</f>
        <v>168</v>
      </c>
      <c r="F127" s="92">
        <f>+TWK!F72</f>
        <v>178</v>
      </c>
      <c r="G127" s="92">
        <f>+TWK!G72</f>
        <v>178</v>
      </c>
      <c r="H127" s="92">
        <f>+TWK!H72</f>
        <v>161</v>
      </c>
      <c r="I127" s="92">
        <f>+TWK!I72</f>
        <v>225</v>
      </c>
      <c r="K127" s="92">
        <f t="shared" si="9"/>
        <v>280.5</v>
      </c>
      <c r="L127" s="92">
        <f t="shared" si="10"/>
        <v>261.5</v>
      </c>
      <c r="M127" s="92">
        <f t="shared" si="11"/>
        <v>253.75</v>
      </c>
      <c r="N127" s="92">
        <f t="shared" si="12"/>
        <v>189</v>
      </c>
      <c r="O127" s="92">
        <f t="shared" si="13"/>
        <v>198.5</v>
      </c>
      <c r="P127" s="92">
        <f t="shared" si="14"/>
        <v>199.25</v>
      </c>
      <c r="Q127" s="92">
        <f t="shared" si="15"/>
        <v>179.5</v>
      </c>
      <c r="R127" s="92">
        <f t="shared" si="16"/>
        <v>249.75</v>
      </c>
    </row>
    <row r="128" spans="1:18" x14ac:dyDescent="0.3">
      <c r="A128" s="13">
        <v>38476</v>
      </c>
      <c r="B128" s="92">
        <f>+TWK!B73</f>
        <v>263</v>
      </c>
      <c r="C128" s="92">
        <f>+TWK!C73</f>
        <v>237</v>
      </c>
      <c r="D128" s="92">
        <f>+TWK!D73</f>
        <v>245</v>
      </c>
      <c r="E128" s="92">
        <f>+TWK!E73</f>
        <v>214</v>
      </c>
      <c r="F128" s="92">
        <f>+TWK!F73</f>
        <v>187</v>
      </c>
      <c r="G128" s="92">
        <f>+TWK!G73</f>
        <v>189</v>
      </c>
      <c r="H128" s="92">
        <f>+TWK!H73</f>
        <v>171</v>
      </c>
      <c r="I128" s="92">
        <f>+TWK!I73</f>
        <v>233</v>
      </c>
      <c r="K128" s="92">
        <f t="shared" si="9"/>
        <v>269.5</v>
      </c>
      <c r="L128" s="92">
        <f t="shared" si="10"/>
        <v>241.75</v>
      </c>
      <c r="M128" s="92">
        <f t="shared" si="11"/>
        <v>236.75</v>
      </c>
      <c r="N128" s="92">
        <f t="shared" si="12"/>
        <v>187.25</v>
      </c>
      <c r="O128" s="92">
        <f t="shared" si="13"/>
        <v>187</v>
      </c>
      <c r="P128" s="92">
        <f t="shared" si="14"/>
        <v>187.75</v>
      </c>
      <c r="Q128" s="92">
        <f t="shared" si="15"/>
        <v>169.75</v>
      </c>
      <c r="R128" s="92">
        <f t="shared" si="16"/>
        <v>234.75</v>
      </c>
    </row>
    <row r="129" spans="1:18" x14ac:dyDescent="0.3">
      <c r="A129" s="13">
        <v>38483</v>
      </c>
      <c r="B129" s="92">
        <f>+TWK!B74</f>
        <v>252</v>
      </c>
      <c r="C129" s="92">
        <f>+TWK!C74</f>
        <v>231</v>
      </c>
      <c r="D129" s="92">
        <f>+TWK!D74</f>
        <v>229</v>
      </c>
      <c r="E129" s="92">
        <f>+TWK!E74</f>
        <v>195</v>
      </c>
      <c r="F129" s="92">
        <f>+TWK!F74</f>
        <v>182</v>
      </c>
      <c r="G129" s="92">
        <f>+TWK!G74</f>
        <v>186</v>
      </c>
      <c r="H129" s="92">
        <f>+TWK!H74</f>
        <v>167</v>
      </c>
      <c r="I129" s="92">
        <f>+TWK!I74</f>
        <v>225</v>
      </c>
      <c r="K129" s="92">
        <f t="shared" si="9"/>
        <v>263</v>
      </c>
      <c r="L129" s="92">
        <f t="shared" si="10"/>
        <v>237.25</v>
      </c>
      <c r="M129" s="92">
        <f t="shared" si="11"/>
        <v>233.75</v>
      </c>
      <c r="N129" s="92">
        <f t="shared" si="12"/>
        <v>189</v>
      </c>
      <c r="O129" s="92">
        <f t="shared" si="13"/>
        <v>183.75</v>
      </c>
      <c r="P129" s="92">
        <f t="shared" si="14"/>
        <v>185.5</v>
      </c>
      <c r="Q129" s="92">
        <f t="shared" si="15"/>
        <v>167.25</v>
      </c>
      <c r="R129" s="92">
        <f t="shared" si="16"/>
        <v>231.5</v>
      </c>
    </row>
    <row r="130" spans="1:18" x14ac:dyDescent="0.3">
      <c r="A130" s="13">
        <v>38490</v>
      </c>
      <c r="B130" s="92">
        <f>+TWK!B75</f>
        <v>258</v>
      </c>
      <c r="C130" s="92">
        <f>+TWK!C75</f>
        <v>252</v>
      </c>
      <c r="D130" s="92">
        <f>+TWK!D75</f>
        <v>249</v>
      </c>
      <c r="E130" s="92">
        <f>+TWK!E75</f>
        <v>185</v>
      </c>
      <c r="F130" s="92">
        <f>+TWK!F75</f>
        <v>178</v>
      </c>
      <c r="G130" s="92">
        <f>+TWK!G75</f>
        <v>179</v>
      </c>
      <c r="H130" s="92">
        <f>+TWK!H75</f>
        <v>165</v>
      </c>
      <c r="I130" s="92">
        <f>+TWK!I75</f>
        <v>225</v>
      </c>
      <c r="K130" s="92">
        <f t="shared" si="9"/>
        <v>258.5</v>
      </c>
      <c r="L130" s="92">
        <f t="shared" si="10"/>
        <v>238.25</v>
      </c>
      <c r="M130" s="92">
        <f t="shared" si="11"/>
        <v>236.5</v>
      </c>
      <c r="N130" s="92">
        <f t="shared" si="12"/>
        <v>190.5</v>
      </c>
      <c r="O130" s="92">
        <f t="shared" si="13"/>
        <v>181.25</v>
      </c>
      <c r="P130" s="92">
        <f t="shared" si="14"/>
        <v>183</v>
      </c>
      <c r="Q130" s="92">
        <f t="shared" si="15"/>
        <v>166</v>
      </c>
      <c r="R130" s="92">
        <f t="shared" si="16"/>
        <v>227</v>
      </c>
    </row>
    <row r="131" spans="1:18" x14ac:dyDescent="0.3">
      <c r="A131" s="13">
        <v>38497</v>
      </c>
      <c r="B131" s="92">
        <f>+TWK!B76</f>
        <v>289</v>
      </c>
      <c r="C131" s="92">
        <f>+TWK!C76</f>
        <v>274</v>
      </c>
      <c r="D131" s="92">
        <f>+TWK!D76</f>
        <v>265</v>
      </c>
      <c r="E131" s="92">
        <f>+TWK!E76</f>
        <v>194</v>
      </c>
      <c r="F131" s="92">
        <f>+TWK!F76</f>
        <v>183</v>
      </c>
      <c r="G131" s="92">
        <f>+TWK!G76</f>
        <v>184</v>
      </c>
      <c r="H131" s="92">
        <f>+TWK!H76</f>
        <v>178</v>
      </c>
      <c r="I131" s="92">
        <f>+TWK!I76</f>
        <v>240</v>
      </c>
      <c r="K131" s="92">
        <f t="shared" si="9"/>
        <v>265.5</v>
      </c>
      <c r="L131" s="92">
        <f t="shared" si="10"/>
        <v>248.5</v>
      </c>
      <c r="M131" s="92">
        <f t="shared" si="11"/>
        <v>247</v>
      </c>
      <c r="N131" s="92">
        <f t="shared" si="12"/>
        <v>197</v>
      </c>
      <c r="O131" s="92">
        <f t="shared" si="13"/>
        <v>182.5</v>
      </c>
      <c r="P131" s="92">
        <f t="shared" si="14"/>
        <v>184.5</v>
      </c>
      <c r="Q131" s="92">
        <f t="shared" si="15"/>
        <v>170.25</v>
      </c>
      <c r="R131" s="92">
        <f t="shared" si="16"/>
        <v>230.75</v>
      </c>
    </row>
    <row r="132" spans="1:18" x14ac:dyDescent="0.3">
      <c r="A132" s="13">
        <v>38504</v>
      </c>
      <c r="B132" s="92">
        <f>+TWK!B77</f>
        <v>282</v>
      </c>
      <c r="C132" s="92">
        <f>+TWK!C77</f>
        <v>264</v>
      </c>
      <c r="D132" s="92">
        <f>+TWK!D77</f>
        <v>253</v>
      </c>
      <c r="E132" s="92">
        <f>+TWK!E77</f>
        <v>188</v>
      </c>
      <c r="F132" s="92">
        <f>+TWK!F77</f>
        <v>183</v>
      </c>
      <c r="G132" s="92">
        <f>+TWK!G77</f>
        <v>183</v>
      </c>
      <c r="H132" s="92">
        <f>+TWK!H77</f>
        <v>174</v>
      </c>
      <c r="I132" s="92">
        <f>+TWK!I77</f>
        <v>240</v>
      </c>
      <c r="K132" s="92">
        <f t="shared" si="9"/>
        <v>270.25</v>
      </c>
      <c r="L132" s="92">
        <f t="shared" si="10"/>
        <v>255.25</v>
      </c>
      <c r="M132" s="92">
        <f t="shared" si="11"/>
        <v>249</v>
      </c>
      <c r="N132" s="92">
        <f t="shared" si="12"/>
        <v>190.5</v>
      </c>
      <c r="O132" s="92">
        <f t="shared" si="13"/>
        <v>181.5</v>
      </c>
      <c r="P132" s="92">
        <f t="shared" si="14"/>
        <v>183</v>
      </c>
      <c r="Q132" s="92">
        <f t="shared" si="15"/>
        <v>171</v>
      </c>
      <c r="R132" s="92">
        <f t="shared" si="16"/>
        <v>232.5</v>
      </c>
    </row>
    <row r="133" spans="1:18" x14ac:dyDescent="0.3">
      <c r="A133" s="13">
        <v>38511</v>
      </c>
      <c r="B133" s="92">
        <f>+TWK!B78</f>
        <v>287</v>
      </c>
      <c r="C133" s="92">
        <f>+TWK!C78</f>
        <v>243</v>
      </c>
      <c r="D133" s="92">
        <f>+TWK!D78</f>
        <v>233</v>
      </c>
      <c r="E133" s="92">
        <f>+TWK!E78</f>
        <v>178</v>
      </c>
      <c r="F133" s="92">
        <f>+TWK!F78</f>
        <v>166</v>
      </c>
      <c r="G133" s="92">
        <f>+TWK!G78</f>
        <v>169</v>
      </c>
      <c r="H133" s="92">
        <f>+TWK!H78</f>
        <v>167</v>
      </c>
      <c r="I133" s="92">
        <f>+TWK!I78</f>
        <v>237</v>
      </c>
      <c r="K133" s="92">
        <f t="shared" si="9"/>
        <v>279</v>
      </c>
      <c r="L133" s="92">
        <f t="shared" si="10"/>
        <v>258.25</v>
      </c>
      <c r="M133" s="92">
        <f t="shared" si="11"/>
        <v>250</v>
      </c>
      <c r="N133" s="92">
        <f t="shared" si="12"/>
        <v>186.25</v>
      </c>
      <c r="O133" s="92">
        <f t="shared" si="13"/>
        <v>177.5</v>
      </c>
      <c r="P133" s="92">
        <f t="shared" si="14"/>
        <v>178.75</v>
      </c>
      <c r="Q133" s="92">
        <f t="shared" si="15"/>
        <v>171</v>
      </c>
      <c r="R133" s="92">
        <f t="shared" si="16"/>
        <v>235.5</v>
      </c>
    </row>
    <row r="134" spans="1:18" x14ac:dyDescent="0.3">
      <c r="A134" s="13">
        <v>38518</v>
      </c>
      <c r="B134" s="92">
        <f>+TWK!B79</f>
        <v>284</v>
      </c>
      <c r="C134" s="92">
        <f>+TWK!C79</f>
        <v>231</v>
      </c>
      <c r="D134" s="92">
        <f>+TWK!D79</f>
        <v>221</v>
      </c>
      <c r="E134" s="92">
        <f>+TWK!E79</f>
        <v>173</v>
      </c>
      <c r="F134" s="92">
        <f>+TWK!F79</f>
        <v>161</v>
      </c>
      <c r="G134" s="92">
        <f>+TWK!G79</f>
        <v>162</v>
      </c>
      <c r="H134" s="92">
        <f>+TWK!H79</f>
        <v>161</v>
      </c>
      <c r="I134" s="92">
        <f>+TWK!I79</f>
        <v>230</v>
      </c>
      <c r="K134" s="92">
        <f t="shared" si="9"/>
        <v>285.5</v>
      </c>
      <c r="L134" s="92">
        <f t="shared" si="10"/>
        <v>253</v>
      </c>
      <c r="M134" s="92">
        <f t="shared" si="11"/>
        <v>243</v>
      </c>
      <c r="N134" s="92">
        <f t="shared" si="12"/>
        <v>183.25</v>
      </c>
      <c r="O134" s="92">
        <f t="shared" si="13"/>
        <v>173.25</v>
      </c>
      <c r="P134" s="92">
        <f t="shared" si="14"/>
        <v>174.5</v>
      </c>
      <c r="Q134" s="92">
        <f t="shared" si="15"/>
        <v>170</v>
      </c>
      <c r="R134" s="92">
        <f t="shared" si="16"/>
        <v>236.75</v>
      </c>
    </row>
    <row r="135" spans="1:18" x14ac:dyDescent="0.3">
      <c r="A135" s="13">
        <v>38525</v>
      </c>
      <c r="B135" s="92">
        <f>+TWK!B80</f>
        <v>279</v>
      </c>
      <c r="C135" s="92">
        <f>+TWK!C80</f>
        <v>229</v>
      </c>
      <c r="D135" s="92">
        <f>+TWK!D80</f>
        <v>209</v>
      </c>
      <c r="E135" s="92">
        <f>+TWK!E80</f>
        <v>157</v>
      </c>
      <c r="F135" s="92">
        <f>+TWK!F80</f>
        <v>158</v>
      </c>
      <c r="G135" s="92">
        <f>+TWK!G80</f>
        <v>162</v>
      </c>
      <c r="H135" s="92">
        <f>+TWK!H80</f>
        <v>156</v>
      </c>
      <c r="I135" s="92">
        <f>+TWK!I80</f>
        <v>230</v>
      </c>
      <c r="K135" s="92">
        <f t="shared" si="9"/>
        <v>283</v>
      </c>
      <c r="L135" s="92">
        <f t="shared" si="10"/>
        <v>241.75</v>
      </c>
      <c r="M135" s="92">
        <f t="shared" si="11"/>
        <v>229</v>
      </c>
      <c r="N135" s="92">
        <f t="shared" si="12"/>
        <v>174</v>
      </c>
      <c r="O135" s="92">
        <f t="shared" si="13"/>
        <v>167</v>
      </c>
      <c r="P135" s="92">
        <f t="shared" si="14"/>
        <v>169</v>
      </c>
      <c r="Q135" s="92">
        <f t="shared" si="15"/>
        <v>164.5</v>
      </c>
      <c r="R135" s="92">
        <f t="shared" si="16"/>
        <v>234.25</v>
      </c>
    </row>
    <row r="136" spans="1:18" x14ac:dyDescent="0.3">
      <c r="A136" s="13">
        <v>38532</v>
      </c>
      <c r="B136" s="92">
        <f>+TWK!B81</f>
        <v>291</v>
      </c>
      <c r="C136" s="92">
        <f>+TWK!C81</f>
        <v>244</v>
      </c>
      <c r="D136" s="92">
        <f>+TWK!D81</f>
        <v>236</v>
      </c>
      <c r="E136" s="92">
        <f>+TWK!E81</f>
        <v>172</v>
      </c>
      <c r="F136" s="92">
        <f>+TWK!F81</f>
        <v>176</v>
      </c>
      <c r="G136" s="92">
        <f>+TWK!G81</f>
        <v>182</v>
      </c>
      <c r="H136" s="92">
        <f>+TWK!H81</f>
        <v>161</v>
      </c>
      <c r="I136" s="92">
        <f>+TWK!I81</f>
        <v>228</v>
      </c>
      <c r="K136" s="92">
        <f t="shared" si="9"/>
        <v>285.25</v>
      </c>
      <c r="L136" s="92">
        <f t="shared" si="10"/>
        <v>236.75</v>
      </c>
      <c r="M136" s="92">
        <f t="shared" si="11"/>
        <v>224.75</v>
      </c>
      <c r="N136" s="92">
        <f t="shared" si="12"/>
        <v>170</v>
      </c>
      <c r="O136" s="92">
        <f t="shared" si="13"/>
        <v>165.25</v>
      </c>
      <c r="P136" s="92">
        <f t="shared" si="14"/>
        <v>168.75</v>
      </c>
      <c r="Q136" s="92">
        <f t="shared" si="15"/>
        <v>161.25</v>
      </c>
      <c r="R136" s="92">
        <f t="shared" si="16"/>
        <v>231.25</v>
      </c>
    </row>
    <row r="137" spans="1:18" x14ac:dyDescent="0.3">
      <c r="A137" s="13">
        <v>38539</v>
      </c>
      <c r="B137" s="92">
        <f>+TWK!B82</f>
        <v>294</v>
      </c>
      <c r="C137" s="92">
        <f>+TWK!C82</f>
        <v>257</v>
      </c>
      <c r="D137" s="92">
        <f>+TWK!D82</f>
        <v>248</v>
      </c>
      <c r="E137" s="92">
        <f>+TWK!E82</f>
        <v>182</v>
      </c>
      <c r="F137" s="92">
        <f>+TWK!F82</f>
        <v>191</v>
      </c>
      <c r="G137" s="92">
        <f>+TWK!G82</f>
        <v>192</v>
      </c>
      <c r="H137" s="92">
        <f>+TWK!H82</f>
        <v>166</v>
      </c>
      <c r="I137" s="92">
        <f>+TWK!I82</f>
        <v>230</v>
      </c>
      <c r="K137" s="92">
        <f t="shared" si="9"/>
        <v>287</v>
      </c>
      <c r="L137" s="92">
        <f t="shared" si="10"/>
        <v>240.25</v>
      </c>
      <c r="M137" s="92">
        <f t="shared" si="11"/>
        <v>228.5</v>
      </c>
      <c r="N137" s="92">
        <f t="shared" si="12"/>
        <v>171</v>
      </c>
      <c r="O137" s="92">
        <f t="shared" si="13"/>
        <v>171.5</v>
      </c>
      <c r="P137" s="92">
        <f t="shared" si="14"/>
        <v>174.5</v>
      </c>
      <c r="Q137" s="92">
        <f t="shared" si="15"/>
        <v>161</v>
      </c>
      <c r="R137" s="92">
        <f t="shared" si="16"/>
        <v>229.5</v>
      </c>
    </row>
    <row r="138" spans="1:18" x14ac:dyDescent="0.3">
      <c r="A138" s="13">
        <v>38546</v>
      </c>
      <c r="B138" s="92">
        <f>+TWK!B83</f>
        <v>317</v>
      </c>
      <c r="C138" s="92">
        <f>+TWK!C83</f>
        <v>270</v>
      </c>
      <c r="D138" s="92">
        <f>+TWK!D83</f>
        <v>258</v>
      </c>
      <c r="E138" s="92">
        <f>+TWK!E83</f>
        <v>181</v>
      </c>
      <c r="F138" s="92">
        <f>+TWK!F83</f>
        <v>205</v>
      </c>
      <c r="G138" s="92">
        <f>+TWK!G83</f>
        <v>205</v>
      </c>
      <c r="H138" s="92">
        <f>+TWK!H83</f>
        <v>165</v>
      </c>
      <c r="I138" s="92">
        <f>+TWK!I83</f>
        <v>228</v>
      </c>
      <c r="K138" s="92">
        <f t="shared" ref="K138:K201" si="17">AVERAGE(B135:B138)</f>
        <v>295.25</v>
      </c>
      <c r="L138" s="92">
        <f t="shared" ref="L138:L201" si="18">AVERAGE(C135:C138)</f>
        <v>250</v>
      </c>
      <c r="M138" s="92">
        <f t="shared" ref="M138:M201" si="19">AVERAGE(D135:D138)</f>
        <v>237.75</v>
      </c>
      <c r="N138" s="92">
        <f t="shared" ref="N138:N201" si="20">AVERAGE(E135:E138)</f>
        <v>173</v>
      </c>
      <c r="O138" s="92">
        <f t="shared" ref="O138:O201" si="21">AVERAGE(F135:F138)</f>
        <v>182.5</v>
      </c>
      <c r="P138" s="92">
        <f t="shared" ref="P138:P201" si="22">AVERAGE(G135:G138)</f>
        <v>185.25</v>
      </c>
      <c r="Q138" s="92">
        <f t="shared" ref="Q138:Q201" si="23">AVERAGE(H135:H138)</f>
        <v>162</v>
      </c>
      <c r="R138" s="92">
        <f t="shared" ref="R138:R201" si="24">AVERAGE(I135:I138)</f>
        <v>229</v>
      </c>
    </row>
    <row r="139" spans="1:18" x14ac:dyDescent="0.3">
      <c r="A139" s="13">
        <v>38553</v>
      </c>
      <c r="B139" s="92">
        <f>+TWK!B84</f>
        <v>410</v>
      </c>
      <c r="C139" s="92">
        <f>+TWK!C84</f>
        <v>345</v>
      </c>
      <c r="D139" s="92">
        <f>+TWK!D84</f>
        <v>311</v>
      </c>
      <c r="E139" s="92">
        <f>+TWK!E84</f>
        <v>276</v>
      </c>
      <c r="F139" s="92">
        <f>+TWK!F84</f>
        <v>247</v>
      </c>
      <c r="G139" s="92">
        <f>+TWK!G84</f>
        <v>248</v>
      </c>
      <c r="H139" s="92">
        <f>+TWK!H84</f>
        <v>238</v>
      </c>
      <c r="I139" s="92">
        <f>+TWK!I84</f>
        <v>310</v>
      </c>
      <c r="K139" s="92">
        <f t="shared" si="17"/>
        <v>328</v>
      </c>
      <c r="L139" s="92">
        <f t="shared" si="18"/>
        <v>279</v>
      </c>
      <c r="M139" s="92">
        <f t="shared" si="19"/>
        <v>263.25</v>
      </c>
      <c r="N139" s="92">
        <f t="shared" si="20"/>
        <v>202.75</v>
      </c>
      <c r="O139" s="92">
        <f t="shared" si="21"/>
        <v>204.75</v>
      </c>
      <c r="P139" s="92">
        <f t="shared" si="22"/>
        <v>206.75</v>
      </c>
      <c r="Q139" s="92">
        <f t="shared" si="23"/>
        <v>182.5</v>
      </c>
      <c r="R139" s="92">
        <f t="shared" si="24"/>
        <v>249</v>
      </c>
    </row>
    <row r="140" spans="1:18" x14ac:dyDescent="0.3">
      <c r="A140" s="13">
        <v>38560</v>
      </c>
      <c r="B140" s="92">
        <f>+TWK!B85</f>
        <v>415</v>
      </c>
      <c r="C140" s="92">
        <f>+TWK!C85</f>
        <v>328</v>
      </c>
      <c r="D140" s="92">
        <f>+TWK!D85</f>
        <v>276</v>
      </c>
      <c r="E140" s="92">
        <f>+TWK!E85</f>
        <v>273</v>
      </c>
      <c r="F140" s="92">
        <f>+TWK!F85</f>
        <v>232</v>
      </c>
      <c r="G140" s="92">
        <f>+TWK!G85</f>
        <v>236</v>
      </c>
      <c r="H140" s="92">
        <f>+TWK!H85</f>
        <v>242</v>
      </c>
      <c r="I140" s="92">
        <f>+TWK!I85</f>
        <v>330</v>
      </c>
      <c r="K140" s="92">
        <f t="shared" si="17"/>
        <v>359</v>
      </c>
      <c r="L140" s="92">
        <f t="shared" si="18"/>
        <v>300</v>
      </c>
      <c r="M140" s="92">
        <f t="shared" si="19"/>
        <v>273.25</v>
      </c>
      <c r="N140" s="92">
        <f t="shared" si="20"/>
        <v>228</v>
      </c>
      <c r="O140" s="92">
        <f t="shared" si="21"/>
        <v>218.75</v>
      </c>
      <c r="P140" s="92">
        <f t="shared" si="22"/>
        <v>220.25</v>
      </c>
      <c r="Q140" s="92">
        <f t="shared" si="23"/>
        <v>202.75</v>
      </c>
      <c r="R140" s="92">
        <f t="shared" si="24"/>
        <v>274.5</v>
      </c>
    </row>
    <row r="141" spans="1:18" x14ac:dyDescent="0.3">
      <c r="A141" s="13">
        <v>38567</v>
      </c>
      <c r="B141" s="92">
        <f>+TWK!B86</f>
        <v>331</v>
      </c>
      <c r="C141" s="92">
        <f>+TWK!C86</f>
        <v>273</v>
      </c>
      <c r="D141" s="92">
        <f>+TWK!D86</f>
        <v>253</v>
      </c>
      <c r="E141" s="92">
        <f>+TWK!E86</f>
        <v>237</v>
      </c>
      <c r="F141" s="92">
        <f>+TWK!F86</f>
        <v>219</v>
      </c>
      <c r="G141" s="92">
        <f>+TWK!G86</f>
        <v>221</v>
      </c>
      <c r="H141" s="92">
        <f>+TWK!H86</f>
        <v>225</v>
      </c>
      <c r="I141" s="92">
        <f>+TWK!I86</f>
        <v>302</v>
      </c>
      <c r="K141" s="92">
        <f t="shared" si="17"/>
        <v>368.25</v>
      </c>
      <c r="L141" s="92">
        <f t="shared" si="18"/>
        <v>304</v>
      </c>
      <c r="M141" s="92">
        <f t="shared" si="19"/>
        <v>274.5</v>
      </c>
      <c r="N141" s="92">
        <f t="shared" si="20"/>
        <v>241.75</v>
      </c>
      <c r="O141" s="92">
        <f t="shared" si="21"/>
        <v>225.75</v>
      </c>
      <c r="P141" s="92">
        <f t="shared" si="22"/>
        <v>227.5</v>
      </c>
      <c r="Q141" s="92">
        <f t="shared" si="23"/>
        <v>217.5</v>
      </c>
      <c r="R141" s="92">
        <f t="shared" si="24"/>
        <v>292.5</v>
      </c>
    </row>
    <row r="142" spans="1:18" x14ac:dyDescent="0.3">
      <c r="A142" s="13">
        <v>38574</v>
      </c>
      <c r="B142" s="92">
        <f>+TWK!B87</f>
        <v>347</v>
      </c>
      <c r="C142" s="92">
        <f>+TWK!C87</f>
        <v>293</v>
      </c>
      <c r="D142" s="92">
        <f>+TWK!D87</f>
        <v>273</v>
      </c>
      <c r="E142" s="92">
        <f>+TWK!E87</f>
        <v>274</v>
      </c>
      <c r="F142" s="92">
        <f>+TWK!F87</f>
        <v>251</v>
      </c>
      <c r="G142" s="92">
        <f>+TWK!G87</f>
        <v>255</v>
      </c>
      <c r="H142" s="92">
        <f>+TWK!H87</f>
        <v>259</v>
      </c>
      <c r="I142" s="92">
        <f>+TWK!I87</f>
        <v>352</v>
      </c>
      <c r="K142" s="92">
        <f t="shared" si="17"/>
        <v>375.75</v>
      </c>
      <c r="L142" s="92">
        <f t="shared" si="18"/>
        <v>309.75</v>
      </c>
      <c r="M142" s="92">
        <f t="shared" si="19"/>
        <v>278.25</v>
      </c>
      <c r="N142" s="92">
        <f t="shared" si="20"/>
        <v>265</v>
      </c>
      <c r="O142" s="92">
        <f t="shared" si="21"/>
        <v>237.25</v>
      </c>
      <c r="P142" s="92">
        <f t="shared" si="22"/>
        <v>240</v>
      </c>
      <c r="Q142" s="92">
        <f t="shared" si="23"/>
        <v>241</v>
      </c>
      <c r="R142" s="92">
        <f t="shared" si="24"/>
        <v>323.5</v>
      </c>
    </row>
    <row r="143" spans="1:18" x14ac:dyDescent="0.3">
      <c r="A143" s="13">
        <v>38581</v>
      </c>
      <c r="B143" s="92">
        <f>+TWK!B88</f>
        <v>385</v>
      </c>
      <c r="C143" s="92">
        <f>+TWK!C88</f>
        <v>319</v>
      </c>
      <c r="D143" s="92">
        <f>+TWK!D88</f>
        <v>317</v>
      </c>
      <c r="E143" s="92">
        <f>+TWK!E88</f>
        <v>328</v>
      </c>
      <c r="F143" s="92">
        <f>+TWK!F88</f>
        <v>313</v>
      </c>
      <c r="G143" s="92">
        <f>+TWK!G88</f>
        <v>317</v>
      </c>
      <c r="H143" s="92">
        <f>+TWK!H88</f>
        <v>329</v>
      </c>
      <c r="I143" s="92">
        <f>+TWK!I88</f>
        <v>488</v>
      </c>
      <c r="K143" s="92">
        <f t="shared" si="17"/>
        <v>369.5</v>
      </c>
      <c r="L143" s="92">
        <f t="shared" si="18"/>
        <v>303.25</v>
      </c>
      <c r="M143" s="92">
        <f t="shared" si="19"/>
        <v>279.75</v>
      </c>
      <c r="N143" s="92">
        <f t="shared" si="20"/>
        <v>278</v>
      </c>
      <c r="O143" s="92">
        <f t="shared" si="21"/>
        <v>253.75</v>
      </c>
      <c r="P143" s="92">
        <f t="shared" si="22"/>
        <v>257.25</v>
      </c>
      <c r="Q143" s="92">
        <f t="shared" si="23"/>
        <v>263.75</v>
      </c>
      <c r="R143" s="92">
        <f t="shared" si="24"/>
        <v>368</v>
      </c>
    </row>
    <row r="144" spans="1:18" x14ac:dyDescent="0.3">
      <c r="A144" s="13">
        <v>38588</v>
      </c>
      <c r="B144" s="92">
        <f>+TWK!B89</f>
        <v>374</v>
      </c>
      <c r="C144" s="92">
        <f>+TWK!C89</f>
        <v>319</v>
      </c>
      <c r="D144" s="92">
        <f>+TWK!D89</f>
        <v>328</v>
      </c>
      <c r="E144" s="92">
        <f>+TWK!E89</f>
        <v>353</v>
      </c>
      <c r="F144" s="92">
        <f>+TWK!F89</f>
        <v>334</v>
      </c>
      <c r="G144" s="92">
        <f>+TWK!G89</f>
        <v>338</v>
      </c>
      <c r="H144" s="92">
        <f>+TWK!H89</f>
        <v>371</v>
      </c>
      <c r="I144" s="92">
        <f>+TWK!I89</f>
        <v>518</v>
      </c>
      <c r="K144" s="92">
        <f t="shared" si="17"/>
        <v>359.25</v>
      </c>
      <c r="L144" s="92">
        <f t="shared" si="18"/>
        <v>301</v>
      </c>
      <c r="M144" s="92">
        <f t="shared" si="19"/>
        <v>292.75</v>
      </c>
      <c r="N144" s="92">
        <f t="shared" si="20"/>
        <v>298</v>
      </c>
      <c r="O144" s="92">
        <f t="shared" si="21"/>
        <v>279.25</v>
      </c>
      <c r="P144" s="92">
        <f t="shared" si="22"/>
        <v>282.75</v>
      </c>
      <c r="Q144" s="92">
        <f t="shared" si="23"/>
        <v>296</v>
      </c>
      <c r="R144" s="92">
        <f t="shared" si="24"/>
        <v>415</v>
      </c>
    </row>
    <row r="145" spans="1:18" x14ac:dyDescent="0.3">
      <c r="A145" s="13">
        <v>38595</v>
      </c>
      <c r="B145" s="92">
        <f>+TWK!B90</f>
        <v>510</v>
      </c>
      <c r="C145" s="92">
        <f>+TWK!C90</f>
        <v>520</v>
      </c>
      <c r="D145" s="92">
        <f>+TWK!D90</f>
        <v>500</v>
      </c>
      <c r="E145" s="92">
        <f>+TWK!E90</f>
        <v>600</v>
      </c>
      <c r="F145" s="92">
        <f>+TWK!F90</f>
        <v>513</v>
      </c>
      <c r="G145" s="92">
        <f>+TWK!G90</f>
        <v>513</v>
      </c>
      <c r="H145" s="92">
        <f>+TWK!H90</f>
        <v>594</v>
      </c>
      <c r="I145" s="92">
        <f>+TWK!I90</f>
        <v>828</v>
      </c>
      <c r="K145" s="92">
        <f t="shared" si="17"/>
        <v>404</v>
      </c>
      <c r="L145" s="92">
        <f t="shared" si="18"/>
        <v>362.75</v>
      </c>
      <c r="M145" s="92">
        <f t="shared" si="19"/>
        <v>354.5</v>
      </c>
      <c r="N145" s="92">
        <f t="shared" si="20"/>
        <v>388.75</v>
      </c>
      <c r="O145" s="92">
        <f t="shared" si="21"/>
        <v>352.75</v>
      </c>
      <c r="P145" s="92">
        <f t="shared" si="22"/>
        <v>355.75</v>
      </c>
      <c r="Q145" s="92">
        <f t="shared" si="23"/>
        <v>388.25</v>
      </c>
      <c r="R145" s="92">
        <f t="shared" si="24"/>
        <v>546.5</v>
      </c>
    </row>
    <row r="146" spans="1:18" x14ac:dyDescent="0.3">
      <c r="A146" s="13">
        <v>38602</v>
      </c>
      <c r="B146" s="92">
        <f>+TWK!B91</f>
        <v>536</v>
      </c>
      <c r="C146" s="92">
        <f>+TWK!C91</f>
        <v>550</v>
      </c>
      <c r="D146" s="92">
        <f>+TWK!D91</f>
        <v>560</v>
      </c>
      <c r="E146" s="92">
        <f>+TWK!E91</f>
        <v>685</v>
      </c>
      <c r="F146" s="92">
        <f>+TWK!F91</f>
        <v>595</v>
      </c>
      <c r="G146" s="92">
        <f>+TWK!G91</f>
        <v>605</v>
      </c>
      <c r="H146" s="92">
        <f>+TWK!H91</f>
        <v>750</v>
      </c>
      <c r="I146" s="92">
        <f>+TWK!I91</f>
        <v>993</v>
      </c>
      <c r="K146" s="92">
        <f t="shared" si="17"/>
        <v>451.25</v>
      </c>
      <c r="L146" s="92">
        <f t="shared" si="18"/>
        <v>427</v>
      </c>
      <c r="M146" s="92">
        <f t="shared" si="19"/>
        <v>426.25</v>
      </c>
      <c r="N146" s="92">
        <f t="shared" si="20"/>
        <v>491.5</v>
      </c>
      <c r="O146" s="92">
        <f t="shared" si="21"/>
        <v>438.75</v>
      </c>
      <c r="P146" s="92">
        <f t="shared" si="22"/>
        <v>443.25</v>
      </c>
      <c r="Q146" s="92">
        <f t="shared" si="23"/>
        <v>511</v>
      </c>
      <c r="R146" s="92">
        <f t="shared" si="24"/>
        <v>706.75</v>
      </c>
    </row>
    <row r="147" spans="1:18" x14ac:dyDescent="0.3">
      <c r="A147" s="13">
        <v>38609</v>
      </c>
      <c r="B147" s="92">
        <f>+TWK!B92</f>
        <v>550</v>
      </c>
      <c r="C147" s="92">
        <f>+TWK!C92</f>
        <v>645</v>
      </c>
      <c r="D147" s="92">
        <f>+TWK!D92</f>
        <v>670</v>
      </c>
      <c r="E147" s="92">
        <f>+TWK!E92</f>
        <v>703</v>
      </c>
      <c r="F147" s="92">
        <f>+TWK!F92</f>
        <v>688</v>
      </c>
      <c r="G147" s="92">
        <f>+TWK!G92</f>
        <v>704</v>
      </c>
      <c r="H147" s="92">
        <f>+TWK!H92</f>
        <v>767</v>
      </c>
      <c r="I147" s="92">
        <f>+TWK!I92</f>
        <v>1065</v>
      </c>
      <c r="K147" s="92">
        <f t="shared" si="17"/>
        <v>492.5</v>
      </c>
      <c r="L147" s="92">
        <f t="shared" si="18"/>
        <v>508.5</v>
      </c>
      <c r="M147" s="92">
        <f t="shared" si="19"/>
        <v>514.5</v>
      </c>
      <c r="N147" s="92">
        <f t="shared" si="20"/>
        <v>585.25</v>
      </c>
      <c r="O147" s="92">
        <f t="shared" si="21"/>
        <v>532.5</v>
      </c>
      <c r="P147" s="92">
        <f t="shared" si="22"/>
        <v>540</v>
      </c>
      <c r="Q147" s="92">
        <f t="shared" si="23"/>
        <v>620.5</v>
      </c>
      <c r="R147" s="92">
        <f t="shared" si="24"/>
        <v>851</v>
      </c>
    </row>
    <row r="148" spans="1:18" x14ac:dyDescent="0.3">
      <c r="A148" s="13">
        <v>38616</v>
      </c>
      <c r="B148" s="92">
        <f>+TWK!B93</f>
        <v>485</v>
      </c>
      <c r="C148" s="92">
        <f>+TWK!C93</f>
        <v>508</v>
      </c>
      <c r="D148" s="92">
        <f>+TWK!D93</f>
        <v>542</v>
      </c>
      <c r="E148" s="92">
        <f>+TWK!E93</f>
        <v>509</v>
      </c>
      <c r="F148" s="92">
        <f>+TWK!F93</f>
        <v>550</v>
      </c>
      <c r="G148" s="92">
        <f>+TWK!G93</f>
        <v>552</v>
      </c>
      <c r="H148" s="92">
        <f>+TWK!H93</f>
        <v>550</v>
      </c>
      <c r="I148" s="92">
        <f>+TWK!I93</f>
        <v>812</v>
      </c>
      <c r="K148" s="92">
        <f t="shared" si="17"/>
        <v>520.25</v>
      </c>
      <c r="L148" s="92">
        <f t="shared" si="18"/>
        <v>555.75</v>
      </c>
      <c r="M148" s="92">
        <f t="shared" si="19"/>
        <v>568</v>
      </c>
      <c r="N148" s="92">
        <f t="shared" si="20"/>
        <v>624.25</v>
      </c>
      <c r="O148" s="92">
        <f t="shared" si="21"/>
        <v>586.5</v>
      </c>
      <c r="P148" s="92">
        <f t="shared" si="22"/>
        <v>593.5</v>
      </c>
      <c r="Q148" s="92">
        <f t="shared" si="23"/>
        <v>665.25</v>
      </c>
      <c r="R148" s="92">
        <f t="shared" si="24"/>
        <v>924.5</v>
      </c>
    </row>
    <row r="149" spans="1:18" x14ac:dyDescent="0.3">
      <c r="A149" s="13">
        <v>38623</v>
      </c>
      <c r="B149" s="92">
        <f>+TWK!B94</f>
        <v>548</v>
      </c>
      <c r="C149" s="92">
        <f>+TWK!C94</f>
        <v>611</v>
      </c>
      <c r="D149" s="92">
        <f>+TWK!D94</f>
        <v>633</v>
      </c>
      <c r="E149" s="92">
        <f>+TWK!E94</f>
        <v>715</v>
      </c>
      <c r="F149" s="92">
        <f>+TWK!F94</f>
        <v>646</v>
      </c>
      <c r="G149" s="92">
        <f>+TWK!G94</f>
        <v>654</v>
      </c>
      <c r="H149" s="92">
        <f>+TWK!H94</f>
        <v>710</v>
      </c>
      <c r="I149" s="92">
        <f>+TWK!I94</f>
        <v>887</v>
      </c>
      <c r="K149" s="92">
        <f t="shared" si="17"/>
        <v>529.75</v>
      </c>
      <c r="L149" s="92">
        <f t="shared" si="18"/>
        <v>578.5</v>
      </c>
      <c r="M149" s="92">
        <f t="shared" si="19"/>
        <v>601.25</v>
      </c>
      <c r="N149" s="92">
        <f t="shared" si="20"/>
        <v>653</v>
      </c>
      <c r="O149" s="92">
        <f t="shared" si="21"/>
        <v>619.75</v>
      </c>
      <c r="P149" s="92">
        <f t="shared" si="22"/>
        <v>628.75</v>
      </c>
      <c r="Q149" s="92">
        <f t="shared" si="23"/>
        <v>694.25</v>
      </c>
      <c r="R149" s="92">
        <f t="shared" si="24"/>
        <v>939.25</v>
      </c>
    </row>
    <row r="150" spans="1:18" x14ac:dyDescent="0.3">
      <c r="A150" s="13">
        <v>38630</v>
      </c>
      <c r="B150" s="92">
        <f>+TWK!B95</f>
        <v>593</v>
      </c>
      <c r="C150" s="92">
        <f>+TWK!C95</f>
        <v>658</v>
      </c>
      <c r="D150" s="92">
        <f>+TWK!D95</f>
        <v>717</v>
      </c>
      <c r="E150" s="92">
        <f>+TWK!E95</f>
        <v>771</v>
      </c>
      <c r="F150" s="92">
        <f>+TWK!F95</f>
        <v>792</v>
      </c>
      <c r="G150" s="92">
        <f>+TWK!G95</f>
        <v>825</v>
      </c>
      <c r="H150" s="92">
        <f>+TWK!H95</f>
        <v>787</v>
      </c>
      <c r="I150" s="92">
        <f>+TWK!I95</f>
        <v>1088</v>
      </c>
      <c r="K150" s="92">
        <f t="shared" si="17"/>
        <v>544</v>
      </c>
      <c r="L150" s="92">
        <f t="shared" si="18"/>
        <v>605.5</v>
      </c>
      <c r="M150" s="92">
        <f t="shared" si="19"/>
        <v>640.5</v>
      </c>
      <c r="N150" s="92">
        <f t="shared" si="20"/>
        <v>674.5</v>
      </c>
      <c r="O150" s="92">
        <f t="shared" si="21"/>
        <v>669</v>
      </c>
      <c r="P150" s="92">
        <f t="shared" si="22"/>
        <v>683.75</v>
      </c>
      <c r="Q150" s="92">
        <f t="shared" si="23"/>
        <v>703.5</v>
      </c>
      <c r="R150" s="92">
        <f t="shared" si="24"/>
        <v>963</v>
      </c>
    </row>
    <row r="151" spans="1:18" x14ac:dyDescent="0.3">
      <c r="A151" s="13">
        <v>38637</v>
      </c>
      <c r="B151" s="92">
        <f>+TWK!B96</f>
        <v>673</v>
      </c>
      <c r="C151" s="92">
        <f>+TWK!C96</f>
        <v>804</v>
      </c>
      <c r="D151" s="92">
        <f>+TWK!D96</f>
        <v>838</v>
      </c>
      <c r="E151" s="92">
        <f>+TWK!E96</f>
        <v>921</v>
      </c>
      <c r="F151" s="92">
        <f>+TWK!F96</f>
        <v>829</v>
      </c>
      <c r="G151" s="92">
        <f>+TWK!G96</f>
        <v>850</v>
      </c>
      <c r="H151" s="92">
        <f>+TWK!H96</f>
        <v>829</v>
      </c>
      <c r="I151" s="92">
        <f>+TWK!I96</f>
        <v>1121</v>
      </c>
      <c r="K151" s="92">
        <f t="shared" si="17"/>
        <v>574.75</v>
      </c>
      <c r="L151" s="92">
        <f t="shared" si="18"/>
        <v>645.25</v>
      </c>
      <c r="M151" s="92">
        <f t="shared" si="19"/>
        <v>682.5</v>
      </c>
      <c r="N151" s="92">
        <f t="shared" si="20"/>
        <v>729</v>
      </c>
      <c r="O151" s="92">
        <f t="shared" si="21"/>
        <v>704.25</v>
      </c>
      <c r="P151" s="92">
        <f t="shared" si="22"/>
        <v>720.25</v>
      </c>
      <c r="Q151" s="92">
        <f t="shared" si="23"/>
        <v>719</v>
      </c>
      <c r="R151" s="92">
        <f t="shared" si="24"/>
        <v>977</v>
      </c>
    </row>
    <row r="152" spans="1:18" x14ac:dyDescent="0.3">
      <c r="A152" s="13">
        <v>38644</v>
      </c>
      <c r="B152" s="92">
        <f>+TWK!B97</f>
        <v>625</v>
      </c>
      <c r="C152" s="92">
        <f>+TWK!C97</f>
        <v>642</v>
      </c>
      <c r="D152" s="92">
        <f>+TWK!D97</f>
        <v>654</v>
      </c>
      <c r="E152" s="92">
        <f>+TWK!E97</f>
        <v>642</v>
      </c>
      <c r="F152" s="92">
        <f>+TWK!F97</f>
        <v>680</v>
      </c>
      <c r="G152" s="92">
        <f>+TWK!G97</f>
        <v>680</v>
      </c>
      <c r="H152" s="92">
        <f>+TWK!H97</f>
        <v>571</v>
      </c>
      <c r="I152" s="92">
        <f>+TWK!I97</f>
        <v>798</v>
      </c>
      <c r="K152" s="92">
        <f t="shared" si="17"/>
        <v>609.75</v>
      </c>
      <c r="L152" s="92">
        <f t="shared" si="18"/>
        <v>678.75</v>
      </c>
      <c r="M152" s="92">
        <f t="shared" si="19"/>
        <v>710.5</v>
      </c>
      <c r="N152" s="92">
        <f t="shared" si="20"/>
        <v>762.25</v>
      </c>
      <c r="O152" s="92">
        <f t="shared" si="21"/>
        <v>736.75</v>
      </c>
      <c r="P152" s="92">
        <f t="shared" si="22"/>
        <v>752.25</v>
      </c>
      <c r="Q152" s="92">
        <f t="shared" si="23"/>
        <v>724.25</v>
      </c>
      <c r="R152" s="92">
        <f t="shared" si="24"/>
        <v>973.5</v>
      </c>
    </row>
    <row r="153" spans="1:18" x14ac:dyDescent="0.3">
      <c r="A153" s="13">
        <v>38651</v>
      </c>
      <c r="B153" s="92">
        <f>+TWK!B98</f>
        <v>715</v>
      </c>
      <c r="C153" s="92">
        <f>+TWK!C98</f>
        <v>690</v>
      </c>
      <c r="D153" s="92">
        <f>+TWK!D98</f>
        <v>586</v>
      </c>
      <c r="E153" s="92">
        <f>+TWK!E98</f>
        <v>535</v>
      </c>
      <c r="F153" s="92">
        <f>+TWK!F98</f>
        <v>503</v>
      </c>
      <c r="G153" s="92">
        <f>+TWK!G98</f>
        <v>510</v>
      </c>
      <c r="H153" s="92">
        <f>+TWK!H98</f>
        <v>482</v>
      </c>
      <c r="I153" s="92">
        <f>+TWK!I98</f>
        <v>700</v>
      </c>
      <c r="K153" s="92">
        <f t="shared" si="17"/>
        <v>651.5</v>
      </c>
      <c r="L153" s="92">
        <f t="shared" si="18"/>
        <v>698.5</v>
      </c>
      <c r="M153" s="92">
        <f t="shared" si="19"/>
        <v>698.75</v>
      </c>
      <c r="N153" s="92">
        <f t="shared" si="20"/>
        <v>717.25</v>
      </c>
      <c r="O153" s="92">
        <f t="shared" si="21"/>
        <v>701</v>
      </c>
      <c r="P153" s="92">
        <f t="shared" si="22"/>
        <v>716.25</v>
      </c>
      <c r="Q153" s="92">
        <f t="shared" si="23"/>
        <v>667.25</v>
      </c>
      <c r="R153" s="92">
        <f t="shared" si="24"/>
        <v>926.75</v>
      </c>
    </row>
    <row r="154" spans="1:18" x14ac:dyDescent="0.3">
      <c r="A154" s="13">
        <v>38658</v>
      </c>
      <c r="B154" s="92">
        <f>+TWK!B99</f>
        <v>520</v>
      </c>
      <c r="C154" s="92">
        <f>+TWK!C99</f>
        <v>504</v>
      </c>
      <c r="D154" s="92">
        <f>+TWK!D99</f>
        <v>450</v>
      </c>
      <c r="E154" s="92">
        <f>+TWK!E99</f>
        <v>383</v>
      </c>
      <c r="F154" s="92">
        <f>+TWK!F99</f>
        <v>430</v>
      </c>
      <c r="G154" s="92">
        <f>+TWK!G99</f>
        <v>430</v>
      </c>
      <c r="H154" s="92">
        <f>+TWK!H99</f>
        <v>348</v>
      </c>
      <c r="I154" s="92">
        <f>+TWK!I99</f>
        <v>465</v>
      </c>
      <c r="K154" s="92">
        <f t="shared" si="17"/>
        <v>633.25</v>
      </c>
      <c r="L154" s="92">
        <f t="shared" si="18"/>
        <v>660</v>
      </c>
      <c r="M154" s="92">
        <f t="shared" si="19"/>
        <v>632</v>
      </c>
      <c r="N154" s="92">
        <f t="shared" si="20"/>
        <v>620.25</v>
      </c>
      <c r="O154" s="92">
        <f t="shared" si="21"/>
        <v>610.5</v>
      </c>
      <c r="P154" s="92">
        <f t="shared" si="22"/>
        <v>617.5</v>
      </c>
      <c r="Q154" s="92">
        <f t="shared" si="23"/>
        <v>557.5</v>
      </c>
      <c r="R154" s="92">
        <f t="shared" si="24"/>
        <v>771</v>
      </c>
    </row>
    <row r="155" spans="1:18" x14ac:dyDescent="0.3">
      <c r="A155" s="13">
        <v>38665</v>
      </c>
      <c r="B155" s="92">
        <f>+TWK!B100</f>
        <v>415</v>
      </c>
      <c r="C155" s="92">
        <f>+TWK!C100</f>
        <v>359</v>
      </c>
      <c r="D155" s="92">
        <f>+TWK!D100</f>
        <v>359</v>
      </c>
      <c r="E155" s="92">
        <f>+TWK!E100</f>
        <v>278</v>
      </c>
      <c r="F155" s="92">
        <f>+TWK!F100</f>
        <v>395</v>
      </c>
      <c r="G155" s="92">
        <f>+TWK!G100</f>
        <v>386</v>
      </c>
      <c r="H155" s="92">
        <f>+TWK!H100</f>
        <v>266</v>
      </c>
      <c r="I155" s="92">
        <f>+TWK!I100</f>
        <v>364</v>
      </c>
      <c r="K155" s="92">
        <f t="shared" si="17"/>
        <v>568.75</v>
      </c>
      <c r="L155" s="92">
        <f t="shared" si="18"/>
        <v>548.75</v>
      </c>
      <c r="M155" s="92">
        <f t="shared" si="19"/>
        <v>512.25</v>
      </c>
      <c r="N155" s="92">
        <f t="shared" si="20"/>
        <v>459.5</v>
      </c>
      <c r="O155" s="92">
        <f t="shared" si="21"/>
        <v>502</v>
      </c>
      <c r="P155" s="92">
        <f t="shared" si="22"/>
        <v>501.5</v>
      </c>
      <c r="Q155" s="92">
        <f t="shared" si="23"/>
        <v>416.75</v>
      </c>
      <c r="R155" s="92">
        <f t="shared" si="24"/>
        <v>581.75</v>
      </c>
    </row>
    <row r="156" spans="1:18" x14ac:dyDescent="0.3">
      <c r="A156" s="13">
        <v>38672</v>
      </c>
      <c r="B156" s="92">
        <f>+TWK!B101</f>
        <v>410</v>
      </c>
      <c r="C156" s="92">
        <f>+TWK!C101</f>
        <v>363</v>
      </c>
      <c r="D156" s="92">
        <f>+TWK!D101</f>
        <v>375</v>
      </c>
      <c r="E156" s="92">
        <f>+TWK!E101</f>
        <v>326</v>
      </c>
      <c r="F156" s="92">
        <f>+TWK!F101</f>
        <v>360</v>
      </c>
      <c r="G156" s="92">
        <f>+TWK!G101</f>
        <v>360</v>
      </c>
      <c r="H156" s="92">
        <f>+TWK!H101</f>
        <v>283</v>
      </c>
      <c r="I156" s="92">
        <f>+TWK!I101</f>
        <v>386</v>
      </c>
      <c r="K156" s="92">
        <f t="shared" si="17"/>
        <v>515</v>
      </c>
      <c r="L156" s="92">
        <f t="shared" si="18"/>
        <v>479</v>
      </c>
      <c r="M156" s="92">
        <f t="shared" si="19"/>
        <v>442.5</v>
      </c>
      <c r="N156" s="92">
        <f t="shared" si="20"/>
        <v>380.5</v>
      </c>
      <c r="O156" s="92">
        <f t="shared" si="21"/>
        <v>422</v>
      </c>
      <c r="P156" s="92">
        <f t="shared" si="22"/>
        <v>421.5</v>
      </c>
      <c r="Q156" s="92">
        <f t="shared" si="23"/>
        <v>344.75</v>
      </c>
      <c r="R156" s="92">
        <f t="shared" si="24"/>
        <v>478.75</v>
      </c>
    </row>
    <row r="157" spans="1:18" x14ac:dyDescent="0.3">
      <c r="A157" s="13">
        <v>38679</v>
      </c>
      <c r="B157" s="92">
        <f>+TWK!B102</f>
        <v>353</v>
      </c>
      <c r="C157" s="92">
        <f>+TWK!C102</f>
        <v>359</v>
      </c>
      <c r="D157" s="92">
        <f>+TWK!D102</f>
        <v>367</v>
      </c>
      <c r="E157" s="92">
        <f>+TWK!E102</f>
        <v>320</v>
      </c>
      <c r="F157" s="92">
        <f>+TWK!F102</f>
        <v>327</v>
      </c>
      <c r="G157" s="92">
        <f>+TWK!G102</f>
        <v>327</v>
      </c>
      <c r="H157" s="92">
        <f>+TWK!H102</f>
        <v>275</v>
      </c>
      <c r="I157" s="92">
        <f>+TWK!I102</f>
        <v>375</v>
      </c>
      <c r="K157" s="92">
        <f t="shared" si="17"/>
        <v>424.5</v>
      </c>
      <c r="L157" s="92">
        <f t="shared" si="18"/>
        <v>396.25</v>
      </c>
      <c r="M157" s="92">
        <f t="shared" si="19"/>
        <v>387.75</v>
      </c>
      <c r="N157" s="92">
        <f t="shared" si="20"/>
        <v>326.75</v>
      </c>
      <c r="O157" s="92">
        <f t="shared" si="21"/>
        <v>378</v>
      </c>
      <c r="P157" s="92">
        <f t="shared" si="22"/>
        <v>375.75</v>
      </c>
      <c r="Q157" s="92">
        <f t="shared" si="23"/>
        <v>293</v>
      </c>
      <c r="R157" s="92">
        <f t="shared" si="24"/>
        <v>397.5</v>
      </c>
    </row>
    <row r="158" spans="1:18" x14ac:dyDescent="0.3">
      <c r="A158" s="13">
        <v>38686</v>
      </c>
      <c r="B158" s="92">
        <f>+TWK!B103</f>
        <v>0</v>
      </c>
      <c r="C158" s="92">
        <f>+TWK!C103</f>
        <v>365</v>
      </c>
      <c r="D158" s="92">
        <f>+TWK!D103</f>
        <v>366</v>
      </c>
      <c r="E158" s="92">
        <f>+TWK!E103</f>
        <v>322</v>
      </c>
      <c r="F158" s="92">
        <f>+TWK!F103</f>
        <v>327</v>
      </c>
      <c r="G158" s="92">
        <f>+TWK!G103</f>
        <v>327</v>
      </c>
      <c r="H158" s="92">
        <f>+TWK!H103</f>
        <v>275</v>
      </c>
      <c r="I158" s="92">
        <f>+TWK!I103</f>
        <v>376</v>
      </c>
      <c r="K158" s="92">
        <f t="shared" si="17"/>
        <v>294.5</v>
      </c>
      <c r="L158" s="92">
        <f t="shared" si="18"/>
        <v>361.5</v>
      </c>
      <c r="M158" s="92">
        <f t="shared" si="19"/>
        <v>366.75</v>
      </c>
      <c r="N158" s="92">
        <f t="shared" si="20"/>
        <v>311.5</v>
      </c>
      <c r="O158" s="92">
        <f t="shared" si="21"/>
        <v>352.25</v>
      </c>
      <c r="P158" s="92">
        <f t="shared" si="22"/>
        <v>350</v>
      </c>
      <c r="Q158" s="92">
        <f t="shared" si="23"/>
        <v>274.75</v>
      </c>
      <c r="R158" s="92">
        <f t="shared" si="24"/>
        <v>375.25</v>
      </c>
    </row>
    <row r="159" spans="1:18" x14ac:dyDescent="0.3">
      <c r="A159" s="13">
        <v>38693</v>
      </c>
      <c r="B159" s="92">
        <f>+TWK!B104</f>
        <v>0</v>
      </c>
      <c r="C159" s="92">
        <f>+TWK!C104</f>
        <v>0</v>
      </c>
      <c r="D159" s="92">
        <f>+TWK!D104</f>
        <v>478</v>
      </c>
      <c r="E159" s="92">
        <f>+TWK!E104</f>
        <v>386</v>
      </c>
      <c r="F159" s="92">
        <f>+TWK!F104</f>
        <v>388</v>
      </c>
      <c r="G159" s="92">
        <f>+TWK!G104</f>
        <v>388</v>
      </c>
      <c r="H159" s="92">
        <f>+TWK!H104</f>
        <v>343</v>
      </c>
      <c r="I159" s="92">
        <f>+TWK!I104</f>
        <v>463</v>
      </c>
      <c r="K159" s="92">
        <f t="shared" si="17"/>
        <v>190.75</v>
      </c>
      <c r="L159" s="92">
        <f t="shared" si="18"/>
        <v>271.75</v>
      </c>
      <c r="M159" s="92">
        <f t="shared" si="19"/>
        <v>396.5</v>
      </c>
      <c r="N159" s="92">
        <f t="shared" si="20"/>
        <v>338.5</v>
      </c>
      <c r="O159" s="92">
        <f t="shared" si="21"/>
        <v>350.5</v>
      </c>
      <c r="P159" s="92">
        <f t="shared" si="22"/>
        <v>350.5</v>
      </c>
      <c r="Q159" s="92">
        <f t="shared" si="23"/>
        <v>294</v>
      </c>
      <c r="R159" s="92">
        <f t="shared" si="24"/>
        <v>400</v>
      </c>
    </row>
    <row r="160" spans="1:18" x14ac:dyDescent="0.3">
      <c r="A160" s="13">
        <v>38700</v>
      </c>
      <c r="B160" s="92">
        <f>+TWK!B105</f>
        <v>0</v>
      </c>
      <c r="C160" s="92">
        <f>+TWK!C105</f>
        <v>0</v>
      </c>
      <c r="D160" s="92">
        <f>+TWK!D105</f>
        <v>552</v>
      </c>
      <c r="E160" s="92">
        <f>+TWK!E105</f>
        <v>436</v>
      </c>
      <c r="F160" s="92">
        <f>+TWK!F105</f>
        <v>414</v>
      </c>
      <c r="G160" s="92">
        <f>+TWK!G105</f>
        <v>414</v>
      </c>
      <c r="H160" s="92">
        <f>+TWK!H105</f>
        <v>359</v>
      </c>
      <c r="I160" s="92">
        <f>+TWK!I105</f>
        <v>467</v>
      </c>
      <c r="K160" s="92">
        <f t="shared" si="17"/>
        <v>88.25</v>
      </c>
      <c r="L160" s="92">
        <f t="shared" si="18"/>
        <v>181</v>
      </c>
      <c r="M160" s="92">
        <f t="shared" si="19"/>
        <v>440.75</v>
      </c>
      <c r="N160" s="92">
        <f t="shared" si="20"/>
        <v>366</v>
      </c>
      <c r="O160" s="92">
        <f t="shared" si="21"/>
        <v>364</v>
      </c>
      <c r="P160" s="92">
        <f t="shared" si="22"/>
        <v>364</v>
      </c>
      <c r="Q160" s="92">
        <f t="shared" si="23"/>
        <v>313</v>
      </c>
      <c r="R160" s="92">
        <f t="shared" si="24"/>
        <v>420.25</v>
      </c>
    </row>
    <row r="161" spans="1:18" x14ac:dyDescent="0.3">
      <c r="A161" s="13">
        <v>38707</v>
      </c>
      <c r="B161" s="92">
        <f>+TWK!B106</f>
        <v>0</v>
      </c>
      <c r="C161" s="92">
        <f>+TWK!C106</f>
        <v>0</v>
      </c>
      <c r="D161" s="92">
        <f>+TWK!D106</f>
        <v>508</v>
      </c>
      <c r="E161" s="92">
        <f>+TWK!E106</f>
        <v>448</v>
      </c>
      <c r="F161" s="92">
        <f>+TWK!F106</f>
        <v>423</v>
      </c>
      <c r="G161" s="92">
        <f>+TWK!G106</f>
        <v>423</v>
      </c>
      <c r="H161" s="92">
        <f>+TWK!H106</f>
        <v>351</v>
      </c>
      <c r="I161" s="92">
        <f>+TWK!I106</f>
        <v>467</v>
      </c>
      <c r="K161" s="92">
        <f t="shared" si="17"/>
        <v>0</v>
      </c>
      <c r="L161" s="92">
        <f t="shared" si="18"/>
        <v>91.25</v>
      </c>
      <c r="M161" s="92">
        <f t="shared" si="19"/>
        <v>476</v>
      </c>
      <c r="N161" s="92">
        <f t="shared" si="20"/>
        <v>398</v>
      </c>
      <c r="O161" s="92">
        <f t="shared" si="21"/>
        <v>388</v>
      </c>
      <c r="P161" s="92">
        <f t="shared" si="22"/>
        <v>388</v>
      </c>
      <c r="Q161" s="92">
        <f t="shared" si="23"/>
        <v>332</v>
      </c>
      <c r="R161" s="92">
        <f t="shared" si="24"/>
        <v>443.25</v>
      </c>
    </row>
    <row r="162" spans="1:18" x14ac:dyDescent="0.3">
      <c r="A162" s="13">
        <v>38714</v>
      </c>
      <c r="B162" s="92">
        <f>+TWK!B107</f>
        <v>0</v>
      </c>
      <c r="C162" s="92">
        <f>+TWK!C107</f>
        <v>0</v>
      </c>
      <c r="D162" s="92">
        <f>+TWK!D107</f>
        <v>443</v>
      </c>
      <c r="E162" s="92">
        <f>+TWK!E107</f>
        <v>400</v>
      </c>
      <c r="F162" s="92">
        <f>+TWK!F107</f>
        <v>399</v>
      </c>
      <c r="G162" s="92">
        <f>+TWK!G107</f>
        <v>392</v>
      </c>
      <c r="H162" s="92">
        <f>+TWK!H107</f>
        <v>348</v>
      </c>
      <c r="I162" s="92">
        <f>+TWK!I107</f>
        <v>469</v>
      </c>
      <c r="K162" s="92">
        <f t="shared" si="17"/>
        <v>0</v>
      </c>
      <c r="L162" s="92">
        <f t="shared" si="18"/>
        <v>0</v>
      </c>
      <c r="M162" s="92">
        <f t="shared" si="19"/>
        <v>495.25</v>
      </c>
      <c r="N162" s="92">
        <f t="shared" si="20"/>
        <v>417.5</v>
      </c>
      <c r="O162" s="92">
        <f t="shared" si="21"/>
        <v>406</v>
      </c>
      <c r="P162" s="92">
        <f t="shared" si="22"/>
        <v>404.25</v>
      </c>
      <c r="Q162" s="92">
        <f t="shared" si="23"/>
        <v>350.25</v>
      </c>
      <c r="R162" s="92">
        <f t="shared" si="24"/>
        <v>466.5</v>
      </c>
    </row>
    <row r="163" spans="1:18" x14ac:dyDescent="0.3">
      <c r="A163" s="13">
        <v>38721</v>
      </c>
      <c r="B163" s="92">
        <f>+TWK!B108</f>
        <v>0</v>
      </c>
      <c r="C163" s="92">
        <f>+TWK!C108</f>
        <v>0</v>
      </c>
      <c r="D163" s="92">
        <f>+TWK!D108</f>
        <v>409</v>
      </c>
      <c r="E163" s="92">
        <f>+TWK!E108</f>
        <v>375</v>
      </c>
      <c r="F163" s="92">
        <f>+TWK!F108</f>
        <v>390</v>
      </c>
      <c r="G163" s="92">
        <f>+TWK!G108</f>
        <v>393</v>
      </c>
      <c r="H163" s="92">
        <f>+TWK!H108</f>
        <v>352</v>
      </c>
      <c r="I163" s="92">
        <f>+TWK!I108</f>
        <v>476</v>
      </c>
      <c r="K163" s="92">
        <f t="shared" si="17"/>
        <v>0</v>
      </c>
      <c r="L163" s="92">
        <f t="shared" si="18"/>
        <v>0</v>
      </c>
      <c r="M163" s="92">
        <f t="shared" si="19"/>
        <v>478</v>
      </c>
      <c r="N163" s="92">
        <f t="shared" si="20"/>
        <v>414.75</v>
      </c>
      <c r="O163" s="92">
        <f t="shared" si="21"/>
        <v>406.5</v>
      </c>
      <c r="P163" s="92">
        <f t="shared" si="22"/>
        <v>405.5</v>
      </c>
      <c r="Q163" s="92">
        <f t="shared" si="23"/>
        <v>352.5</v>
      </c>
      <c r="R163" s="92">
        <f t="shared" si="24"/>
        <v>469.75</v>
      </c>
    </row>
    <row r="164" spans="1:18" x14ac:dyDescent="0.3">
      <c r="A164" s="13">
        <v>38728</v>
      </c>
      <c r="B164" s="92">
        <f>+TWK!B109</f>
        <v>0</v>
      </c>
      <c r="C164" s="92">
        <f>+TWK!C109</f>
        <v>0</v>
      </c>
      <c r="D164" s="92">
        <f>+TWK!D109</f>
        <v>379</v>
      </c>
      <c r="E164" s="92">
        <f>+TWK!E109</f>
        <v>373</v>
      </c>
      <c r="F164" s="92">
        <f>+TWK!F109</f>
        <v>372</v>
      </c>
      <c r="G164" s="92">
        <f>+TWK!G109</f>
        <v>373</v>
      </c>
      <c r="H164" s="92">
        <f>+TWK!H109</f>
        <v>358</v>
      </c>
      <c r="I164" s="92">
        <f>+TWK!I109</f>
        <v>477</v>
      </c>
      <c r="K164" s="92">
        <f t="shared" si="17"/>
        <v>0</v>
      </c>
      <c r="L164" s="92">
        <f t="shared" si="18"/>
        <v>0</v>
      </c>
      <c r="M164" s="92">
        <f t="shared" si="19"/>
        <v>434.75</v>
      </c>
      <c r="N164" s="92">
        <f t="shared" si="20"/>
        <v>399</v>
      </c>
      <c r="O164" s="92">
        <f t="shared" si="21"/>
        <v>396</v>
      </c>
      <c r="P164" s="92">
        <f t="shared" si="22"/>
        <v>395.25</v>
      </c>
      <c r="Q164" s="92">
        <f t="shared" si="23"/>
        <v>352.25</v>
      </c>
      <c r="R164" s="92">
        <f t="shared" si="24"/>
        <v>472.25</v>
      </c>
    </row>
    <row r="165" spans="1:18" x14ac:dyDescent="0.3">
      <c r="A165" s="13">
        <v>38735</v>
      </c>
      <c r="B165" s="92">
        <f>+TWK!B110</f>
        <v>0</v>
      </c>
      <c r="C165" s="92">
        <f>+TWK!C110</f>
        <v>0</v>
      </c>
      <c r="D165" s="92">
        <f>+TWK!D110</f>
        <v>400</v>
      </c>
      <c r="E165" s="92">
        <f>+TWK!E110</f>
        <v>393</v>
      </c>
      <c r="F165" s="92">
        <f>+TWK!F110</f>
        <v>362</v>
      </c>
      <c r="G165" s="92">
        <f>+TWK!G110</f>
        <v>363</v>
      </c>
      <c r="H165" s="92">
        <f>+TWK!H110</f>
        <v>351</v>
      </c>
      <c r="I165" s="92">
        <f>+TWK!I110</f>
        <v>458</v>
      </c>
      <c r="K165" s="92">
        <f t="shared" si="17"/>
        <v>0</v>
      </c>
      <c r="L165" s="92">
        <f t="shared" si="18"/>
        <v>0</v>
      </c>
      <c r="M165" s="92">
        <f t="shared" si="19"/>
        <v>407.75</v>
      </c>
      <c r="N165" s="92">
        <f t="shared" si="20"/>
        <v>385.25</v>
      </c>
      <c r="O165" s="92">
        <f t="shared" si="21"/>
        <v>380.75</v>
      </c>
      <c r="P165" s="92">
        <f t="shared" si="22"/>
        <v>380.25</v>
      </c>
      <c r="Q165" s="92">
        <f t="shared" si="23"/>
        <v>352.25</v>
      </c>
      <c r="R165" s="92">
        <f t="shared" si="24"/>
        <v>470</v>
      </c>
    </row>
    <row r="166" spans="1:18" x14ac:dyDescent="0.3">
      <c r="A166" s="13">
        <v>38742</v>
      </c>
      <c r="B166" s="92">
        <f>+TWK!B111</f>
        <v>0</v>
      </c>
      <c r="C166" s="92">
        <f>+TWK!C111</f>
        <v>0</v>
      </c>
      <c r="D166" s="92">
        <f>+TWK!D111</f>
        <v>383</v>
      </c>
      <c r="E166" s="92">
        <f>+TWK!E111</f>
        <v>357</v>
      </c>
      <c r="F166" s="92">
        <f>+TWK!F111</f>
        <v>313</v>
      </c>
      <c r="G166" s="92">
        <f>+TWK!G111</f>
        <v>324</v>
      </c>
      <c r="H166" s="92">
        <f>+TWK!H111</f>
        <v>279</v>
      </c>
      <c r="I166" s="92">
        <f>+TWK!I111</f>
        <v>396</v>
      </c>
      <c r="K166" s="92">
        <f t="shared" si="17"/>
        <v>0</v>
      </c>
      <c r="L166" s="92">
        <f t="shared" si="18"/>
        <v>0</v>
      </c>
      <c r="M166" s="92">
        <f t="shared" si="19"/>
        <v>392.75</v>
      </c>
      <c r="N166" s="92">
        <f t="shared" si="20"/>
        <v>374.5</v>
      </c>
      <c r="O166" s="92">
        <f t="shared" si="21"/>
        <v>359.25</v>
      </c>
      <c r="P166" s="92">
        <f t="shared" si="22"/>
        <v>363.25</v>
      </c>
      <c r="Q166" s="92">
        <f t="shared" si="23"/>
        <v>335</v>
      </c>
      <c r="R166" s="92">
        <f t="shared" si="24"/>
        <v>451.75</v>
      </c>
    </row>
    <row r="167" spans="1:18" x14ac:dyDescent="0.3">
      <c r="A167" s="13">
        <v>38749</v>
      </c>
      <c r="B167" s="92">
        <f>+TWK!B112</f>
        <v>0</v>
      </c>
      <c r="C167" s="92">
        <f>+TWK!C112</f>
        <v>0</v>
      </c>
      <c r="D167" s="92">
        <f>+TWK!D112</f>
        <v>413</v>
      </c>
      <c r="E167" s="92">
        <f>+TWK!E112</f>
        <v>406</v>
      </c>
      <c r="F167" s="92">
        <f>+TWK!F112</f>
        <v>348</v>
      </c>
      <c r="G167" s="92">
        <f>+TWK!G112</f>
        <v>364</v>
      </c>
      <c r="H167" s="92">
        <f>+TWK!H112</f>
        <v>337</v>
      </c>
      <c r="I167" s="92">
        <f>+TWK!I112</f>
        <v>451</v>
      </c>
      <c r="K167" s="92">
        <f t="shared" si="17"/>
        <v>0</v>
      </c>
      <c r="L167" s="92">
        <f t="shared" si="18"/>
        <v>0</v>
      </c>
      <c r="M167" s="92">
        <f t="shared" si="19"/>
        <v>393.75</v>
      </c>
      <c r="N167" s="92">
        <f t="shared" si="20"/>
        <v>382.25</v>
      </c>
      <c r="O167" s="92">
        <f t="shared" si="21"/>
        <v>348.75</v>
      </c>
      <c r="P167" s="92">
        <f t="shared" si="22"/>
        <v>356</v>
      </c>
      <c r="Q167" s="92">
        <f t="shared" si="23"/>
        <v>331.25</v>
      </c>
      <c r="R167" s="92">
        <f t="shared" si="24"/>
        <v>445.5</v>
      </c>
    </row>
    <row r="168" spans="1:18" x14ac:dyDescent="0.3">
      <c r="A168" s="13">
        <v>38756</v>
      </c>
      <c r="B168" s="92">
        <f>+TWK!B113</f>
        <v>0</v>
      </c>
      <c r="C168" s="92">
        <f>+TWK!C113</f>
        <v>0</v>
      </c>
      <c r="D168" s="92">
        <f>+TWK!D113</f>
        <v>475</v>
      </c>
      <c r="E168" s="92">
        <f>+TWK!E113</f>
        <v>448</v>
      </c>
      <c r="F168" s="92">
        <f>+TWK!F113</f>
        <v>383</v>
      </c>
      <c r="G168" s="92">
        <f>+TWK!G113</f>
        <v>391</v>
      </c>
      <c r="H168" s="92">
        <f>+TWK!H113</f>
        <v>365</v>
      </c>
      <c r="I168" s="92">
        <f>+TWK!I113</f>
        <v>475</v>
      </c>
      <c r="K168" s="92">
        <f t="shared" si="17"/>
        <v>0</v>
      </c>
      <c r="L168" s="92">
        <f t="shared" si="18"/>
        <v>0</v>
      </c>
      <c r="M168" s="92">
        <f t="shared" si="19"/>
        <v>417.75</v>
      </c>
      <c r="N168" s="92">
        <f t="shared" si="20"/>
        <v>401</v>
      </c>
      <c r="O168" s="92">
        <f t="shared" si="21"/>
        <v>351.5</v>
      </c>
      <c r="P168" s="92">
        <f t="shared" si="22"/>
        <v>360.5</v>
      </c>
      <c r="Q168" s="92">
        <f t="shared" si="23"/>
        <v>333</v>
      </c>
      <c r="R168" s="92">
        <f t="shared" si="24"/>
        <v>445</v>
      </c>
    </row>
    <row r="169" spans="1:18" x14ac:dyDescent="0.3">
      <c r="A169" s="13">
        <v>38763</v>
      </c>
      <c r="B169" s="92">
        <f>+TWK!B114</f>
        <v>0</v>
      </c>
      <c r="C169" s="92">
        <f>+TWK!C114</f>
        <v>0</v>
      </c>
      <c r="D169" s="92">
        <f>+TWK!D114</f>
        <v>427</v>
      </c>
      <c r="E169" s="92">
        <f>+TWK!E114</f>
        <v>389</v>
      </c>
      <c r="F169" s="92">
        <f>+TWK!F114</f>
        <v>350</v>
      </c>
      <c r="G169" s="92">
        <f>+TWK!G114</f>
        <v>351</v>
      </c>
      <c r="H169" s="92">
        <f>+TWK!H114</f>
        <v>333</v>
      </c>
      <c r="I169" s="92">
        <f>+TWK!I114</f>
        <v>408</v>
      </c>
      <c r="K169" s="92">
        <f t="shared" si="17"/>
        <v>0</v>
      </c>
      <c r="L169" s="92">
        <f t="shared" si="18"/>
        <v>0</v>
      </c>
      <c r="M169" s="92">
        <f t="shared" si="19"/>
        <v>424.5</v>
      </c>
      <c r="N169" s="92">
        <f t="shared" si="20"/>
        <v>400</v>
      </c>
      <c r="O169" s="92">
        <f t="shared" si="21"/>
        <v>348.5</v>
      </c>
      <c r="P169" s="92">
        <f t="shared" si="22"/>
        <v>357.5</v>
      </c>
      <c r="Q169" s="92">
        <f t="shared" si="23"/>
        <v>328.5</v>
      </c>
      <c r="R169" s="92">
        <f t="shared" si="24"/>
        <v>432.5</v>
      </c>
    </row>
    <row r="170" spans="1:18" x14ac:dyDescent="0.3">
      <c r="A170" s="13">
        <v>38770</v>
      </c>
      <c r="B170" s="92">
        <f>+TWK!B115</f>
        <v>0</v>
      </c>
      <c r="C170" s="92">
        <f>+TWK!C115</f>
        <v>0</v>
      </c>
      <c r="D170" s="92">
        <f>+TWK!D115</f>
        <v>375</v>
      </c>
      <c r="E170" s="92">
        <f>+TWK!E115</f>
        <v>342</v>
      </c>
      <c r="F170" s="92">
        <f>+TWK!F115</f>
        <v>303</v>
      </c>
      <c r="G170" s="92">
        <f>+TWK!G115</f>
        <v>303</v>
      </c>
      <c r="H170" s="92">
        <f>+TWK!H115</f>
        <v>289</v>
      </c>
      <c r="I170" s="92">
        <f>+TWK!I115</f>
        <v>383</v>
      </c>
      <c r="K170" s="92">
        <f t="shared" si="17"/>
        <v>0</v>
      </c>
      <c r="L170" s="92">
        <f t="shared" si="18"/>
        <v>0</v>
      </c>
      <c r="M170" s="92">
        <f t="shared" si="19"/>
        <v>422.5</v>
      </c>
      <c r="N170" s="92">
        <f t="shared" si="20"/>
        <v>396.25</v>
      </c>
      <c r="O170" s="92">
        <f t="shared" si="21"/>
        <v>346</v>
      </c>
      <c r="P170" s="92">
        <f t="shared" si="22"/>
        <v>352.25</v>
      </c>
      <c r="Q170" s="92">
        <f t="shared" si="23"/>
        <v>331</v>
      </c>
      <c r="R170" s="92">
        <f t="shared" si="24"/>
        <v>429.25</v>
      </c>
    </row>
    <row r="171" spans="1:18" x14ac:dyDescent="0.3">
      <c r="A171" s="13">
        <v>38777</v>
      </c>
      <c r="B171" s="92">
        <f>+TWK!B116</f>
        <v>0</v>
      </c>
      <c r="C171" s="92">
        <f>+TWK!C116</f>
        <v>383</v>
      </c>
      <c r="D171" s="92">
        <f>+TWK!D116</f>
        <v>384</v>
      </c>
      <c r="E171" s="92">
        <f>+TWK!E116</f>
        <v>328</v>
      </c>
      <c r="F171" s="92">
        <f>+TWK!F116</f>
        <v>308</v>
      </c>
      <c r="G171" s="92">
        <f>+TWK!G116</f>
        <v>309</v>
      </c>
      <c r="H171" s="92">
        <f>+TWK!H116</f>
        <v>282</v>
      </c>
      <c r="I171" s="92">
        <f>+TWK!I116</f>
        <v>392</v>
      </c>
      <c r="K171" s="92">
        <f t="shared" si="17"/>
        <v>0</v>
      </c>
      <c r="L171" s="92">
        <f t="shared" si="18"/>
        <v>95.75</v>
      </c>
      <c r="M171" s="92">
        <f t="shared" si="19"/>
        <v>415.25</v>
      </c>
      <c r="N171" s="92">
        <f t="shared" si="20"/>
        <v>376.75</v>
      </c>
      <c r="O171" s="92">
        <f t="shared" si="21"/>
        <v>336</v>
      </c>
      <c r="P171" s="92">
        <f t="shared" si="22"/>
        <v>338.5</v>
      </c>
      <c r="Q171" s="92">
        <f t="shared" si="23"/>
        <v>317.25</v>
      </c>
      <c r="R171" s="92">
        <f t="shared" si="24"/>
        <v>414.5</v>
      </c>
    </row>
    <row r="172" spans="1:18" x14ac:dyDescent="0.3">
      <c r="A172" s="13">
        <v>38784</v>
      </c>
      <c r="B172" s="92">
        <f>+TWK!B117</f>
        <v>0</v>
      </c>
      <c r="C172" s="92">
        <f>+TWK!C117</f>
        <v>383</v>
      </c>
      <c r="D172" s="92">
        <f>+TWK!D117</f>
        <v>377</v>
      </c>
      <c r="E172" s="92">
        <f>+TWK!E117</f>
        <v>330</v>
      </c>
      <c r="F172" s="92">
        <f>+TWK!F117</f>
        <v>344</v>
      </c>
      <c r="G172" s="92">
        <f>+TWK!G117</f>
        <v>344</v>
      </c>
      <c r="H172" s="92">
        <f>+TWK!H117</f>
        <v>297</v>
      </c>
      <c r="I172" s="92">
        <f>+TWK!I117</f>
        <v>407</v>
      </c>
      <c r="K172" s="92">
        <f t="shared" si="17"/>
        <v>0</v>
      </c>
      <c r="L172" s="92">
        <f t="shared" si="18"/>
        <v>191.5</v>
      </c>
      <c r="M172" s="92">
        <f t="shared" si="19"/>
        <v>390.75</v>
      </c>
      <c r="N172" s="92">
        <f t="shared" si="20"/>
        <v>347.25</v>
      </c>
      <c r="O172" s="92">
        <f t="shared" si="21"/>
        <v>326.25</v>
      </c>
      <c r="P172" s="92">
        <f t="shared" si="22"/>
        <v>326.75</v>
      </c>
      <c r="Q172" s="92">
        <f t="shared" si="23"/>
        <v>300.25</v>
      </c>
      <c r="R172" s="92">
        <f t="shared" si="24"/>
        <v>397.5</v>
      </c>
    </row>
    <row r="173" spans="1:18" x14ac:dyDescent="0.3">
      <c r="A173" s="13">
        <v>38791</v>
      </c>
      <c r="B173" s="92">
        <f>+TWK!B118</f>
        <v>0</v>
      </c>
      <c r="C173" s="92">
        <f>+TWK!C118</f>
        <v>375</v>
      </c>
      <c r="D173" s="92">
        <f>+TWK!D118</f>
        <v>337</v>
      </c>
      <c r="E173" s="92">
        <f>+TWK!E118</f>
        <v>307</v>
      </c>
      <c r="F173" s="92">
        <f>+TWK!F118</f>
        <v>309</v>
      </c>
      <c r="G173" s="92">
        <f>+TWK!G118</f>
        <v>313</v>
      </c>
      <c r="H173" s="92">
        <f>+TWK!H118</f>
        <v>271</v>
      </c>
      <c r="I173" s="92">
        <f>+TWK!I118</f>
        <v>373</v>
      </c>
      <c r="K173" s="92">
        <f t="shared" si="17"/>
        <v>0</v>
      </c>
      <c r="L173" s="92">
        <f t="shared" si="18"/>
        <v>285.25</v>
      </c>
      <c r="M173" s="92">
        <f t="shared" si="19"/>
        <v>368.25</v>
      </c>
      <c r="N173" s="92">
        <f t="shared" si="20"/>
        <v>326.75</v>
      </c>
      <c r="O173" s="92">
        <f t="shared" si="21"/>
        <v>316</v>
      </c>
      <c r="P173" s="92">
        <f t="shared" si="22"/>
        <v>317.25</v>
      </c>
      <c r="Q173" s="92">
        <f t="shared" si="23"/>
        <v>284.75</v>
      </c>
      <c r="R173" s="92">
        <f t="shared" si="24"/>
        <v>388.75</v>
      </c>
    </row>
    <row r="174" spans="1:18" x14ac:dyDescent="0.3">
      <c r="A174" s="13">
        <v>38798</v>
      </c>
      <c r="B174" s="92">
        <f>+TWK!B119</f>
        <v>0</v>
      </c>
      <c r="C174" s="92">
        <f>+TWK!C119</f>
        <v>358</v>
      </c>
      <c r="D174" s="92">
        <f>+TWK!D119</f>
        <v>333</v>
      </c>
      <c r="E174" s="92">
        <f>+TWK!E119</f>
        <v>301</v>
      </c>
      <c r="F174" s="92">
        <f>+TWK!F119</f>
        <v>293</v>
      </c>
      <c r="G174" s="92">
        <f>+TWK!G119</f>
        <v>296</v>
      </c>
      <c r="H174" s="92">
        <f>+TWK!H119</f>
        <v>242</v>
      </c>
      <c r="I174" s="92">
        <f>+TWK!I119</f>
        <v>321</v>
      </c>
      <c r="K174" s="92">
        <f t="shared" si="17"/>
        <v>0</v>
      </c>
      <c r="L174" s="92">
        <f t="shared" si="18"/>
        <v>374.75</v>
      </c>
      <c r="M174" s="92">
        <f t="shared" si="19"/>
        <v>357.75</v>
      </c>
      <c r="N174" s="92">
        <f t="shared" si="20"/>
        <v>316.5</v>
      </c>
      <c r="O174" s="92">
        <f t="shared" si="21"/>
        <v>313.5</v>
      </c>
      <c r="P174" s="92">
        <f t="shared" si="22"/>
        <v>315.5</v>
      </c>
      <c r="Q174" s="92">
        <f t="shared" si="23"/>
        <v>273</v>
      </c>
      <c r="R174" s="92">
        <f t="shared" si="24"/>
        <v>373.25</v>
      </c>
    </row>
    <row r="175" spans="1:18" x14ac:dyDescent="0.3">
      <c r="A175" s="13">
        <v>38805</v>
      </c>
      <c r="B175" s="92">
        <f>+TWK!B120</f>
        <v>372</v>
      </c>
      <c r="C175" s="92">
        <f>+TWK!C120</f>
        <v>327</v>
      </c>
      <c r="D175" s="92">
        <f>+TWK!D120</f>
        <v>322</v>
      </c>
      <c r="E175" s="92">
        <f>+TWK!E120</f>
        <v>263</v>
      </c>
      <c r="F175" s="92">
        <f>+TWK!F120</f>
        <v>249</v>
      </c>
      <c r="G175" s="92">
        <f>+TWK!G120</f>
        <v>250</v>
      </c>
      <c r="H175" s="92">
        <f>+TWK!H120</f>
        <v>240</v>
      </c>
      <c r="I175" s="92">
        <f>+TWK!I120</f>
        <v>315</v>
      </c>
      <c r="K175" s="92">
        <f t="shared" si="17"/>
        <v>93</v>
      </c>
      <c r="L175" s="92">
        <f t="shared" si="18"/>
        <v>360.75</v>
      </c>
      <c r="M175" s="92">
        <f t="shared" si="19"/>
        <v>342.25</v>
      </c>
      <c r="N175" s="92">
        <f t="shared" si="20"/>
        <v>300.25</v>
      </c>
      <c r="O175" s="92">
        <f t="shared" si="21"/>
        <v>298.75</v>
      </c>
      <c r="P175" s="92">
        <f t="shared" si="22"/>
        <v>300.75</v>
      </c>
      <c r="Q175" s="92">
        <f t="shared" si="23"/>
        <v>262.5</v>
      </c>
      <c r="R175" s="92">
        <f t="shared" si="24"/>
        <v>354</v>
      </c>
    </row>
    <row r="176" spans="1:18" x14ac:dyDescent="0.3">
      <c r="A176" s="13">
        <v>38812</v>
      </c>
      <c r="B176" s="92">
        <f>+TWK!B121</f>
        <v>384</v>
      </c>
      <c r="C176" s="92">
        <f>+TWK!C121</f>
        <v>354</v>
      </c>
      <c r="D176" s="92">
        <f>+TWK!D121</f>
        <v>343</v>
      </c>
      <c r="E176" s="92">
        <f>+TWK!E121</f>
        <v>273</v>
      </c>
      <c r="F176" s="92">
        <f>+TWK!F121</f>
        <v>266</v>
      </c>
      <c r="G176" s="92">
        <f>+TWK!G121</f>
        <v>268</v>
      </c>
      <c r="H176" s="92">
        <f>+TWK!H121</f>
        <v>244</v>
      </c>
      <c r="I176" s="92">
        <f>+TWK!I121</f>
        <v>318</v>
      </c>
      <c r="K176" s="92">
        <f t="shared" si="17"/>
        <v>189</v>
      </c>
      <c r="L176" s="92">
        <f t="shared" si="18"/>
        <v>353.5</v>
      </c>
      <c r="M176" s="92">
        <f t="shared" si="19"/>
        <v>333.75</v>
      </c>
      <c r="N176" s="92">
        <f t="shared" si="20"/>
        <v>286</v>
      </c>
      <c r="O176" s="92">
        <f t="shared" si="21"/>
        <v>279.25</v>
      </c>
      <c r="P176" s="92">
        <f t="shared" si="22"/>
        <v>281.75</v>
      </c>
      <c r="Q176" s="92">
        <f t="shared" si="23"/>
        <v>249.25</v>
      </c>
      <c r="R176" s="92">
        <f t="shared" si="24"/>
        <v>331.75</v>
      </c>
    </row>
    <row r="177" spans="1:18" x14ac:dyDescent="0.3">
      <c r="A177" s="13">
        <v>38819</v>
      </c>
      <c r="B177" s="92">
        <f>+TWK!B122</f>
        <v>374</v>
      </c>
      <c r="C177" s="92">
        <f>+TWK!C122</f>
        <v>337</v>
      </c>
      <c r="D177" s="92">
        <f>+TWK!D122</f>
        <v>328</v>
      </c>
      <c r="E177" s="92">
        <f>+TWK!E122</f>
        <v>267</v>
      </c>
      <c r="F177" s="92">
        <f>+TWK!F122</f>
        <v>253</v>
      </c>
      <c r="G177" s="92">
        <f>+TWK!G122</f>
        <v>253</v>
      </c>
      <c r="H177" s="92">
        <f>+TWK!H122</f>
        <v>238</v>
      </c>
      <c r="I177" s="92">
        <f>+TWK!I122</f>
        <v>318</v>
      </c>
      <c r="K177" s="92">
        <f t="shared" si="17"/>
        <v>282.5</v>
      </c>
      <c r="L177" s="92">
        <f t="shared" si="18"/>
        <v>344</v>
      </c>
      <c r="M177" s="92">
        <f t="shared" si="19"/>
        <v>331.5</v>
      </c>
      <c r="N177" s="92">
        <f t="shared" si="20"/>
        <v>276</v>
      </c>
      <c r="O177" s="92">
        <f t="shared" si="21"/>
        <v>265.25</v>
      </c>
      <c r="P177" s="92">
        <f t="shared" si="22"/>
        <v>266.75</v>
      </c>
      <c r="Q177" s="92">
        <f t="shared" si="23"/>
        <v>241</v>
      </c>
      <c r="R177" s="92">
        <f t="shared" si="24"/>
        <v>318</v>
      </c>
    </row>
    <row r="178" spans="1:18" x14ac:dyDescent="0.3">
      <c r="A178" s="13">
        <v>38826</v>
      </c>
      <c r="B178" s="92">
        <f>+TWK!B123</f>
        <v>363</v>
      </c>
      <c r="C178" s="92">
        <f>+TWK!C123</f>
        <v>315</v>
      </c>
      <c r="D178" s="92">
        <f>+TWK!D123</f>
        <v>295</v>
      </c>
      <c r="E178" s="92">
        <f>+TWK!E123</f>
        <v>215</v>
      </c>
      <c r="F178" s="92">
        <f>+TWK!F123</f>
        <v>290</v>
      </c>
      <c r="G178" s="92">
        <f>+TWK!G123</f>
        <v>290</v>
      </c>
      <c r="H178" s="92">
        <f>+TWK!H123</f>
        <v>215</v>
      </c>
      <c r="I178" s="92">
        <f>+TWK!I123</f>
        <v>290</v>
      </c>
      <c r="K178" s="92">
        <f t="shared" si="17"/>
        <v>373.25</v>
      </c>
      <c r="L178" s="92">
        <f t="shared" si="18"/>
        <v>333.25</v>
      </c>
      <c r="M178" s="92">
        <f t="shared" si="19"/>
        <v>322</v>
      </c>
      <c r="N178" s="92">
        <f t="shared" si="20"/>
        <v>254.5</v>
      </c>
      <c r="O178" s="92">
        <f t="shared" si="21"/>
        <v>264.5</v>
      </c>
      <c r="P178" s="92">
        <f t="shared" si="22"/>
        <v>265.25</v>
      </c>
      <c r="Q178" s="92">
        <f t="shared" si="23"/>
        <v>234.25</v>
      </c>
      <c r="R178" s="92">
        <f t="shared" si="24"/>
        <v>310.25</v>
      </c>
    </row>
    <row r="179" spans="1:18" x14ac:dyDescent="0.3">
      <c r="A179" s="13">
        <v>38833</v>
      </c>
      <c r="B179" s="92">
        <f>+TWK!B124</f>
        <v>358</v>
      </c>
      <c r="C179" s="92">
        <f>+TWK!C124</f>
        <v>309</v>
      </c>
      <c r="D179" s="92">
        <f>+TWK!D124</f>
        <v>288</v>
      </c>
      <c r="E179" s="92">
        <f>+TWK!E124</f>
        <v>205</v>
      </c>
      <c r="F179" s="92">
        <f>+TWK!F124</f>
        <v>235</v>
      </c>
      <c r="G179" s="92">
        <f>+TWK!G124</f>
        <v>236</v>
      </c>
      <c r="H179" s="92">
        <f>+TWK!H124</f>
        <v>202</v>
      </c>
      <c r="I179" s="92">
        <f>+TWK!I124</f>
        <v>278</v>
      </c>
      <c r="K179" s="92">
        <f t="shared" si="17"/>
        <v>369.75</v>
      </c>
      <c r="L179" s="92">
        <f t="shared" si="18"/>
        <v>328.75</v>
      </c>
      <c r="M179" s="92">
        <f t="shared" si="19"/>
        <v>313.5</v>
      </c>
      <c r="N179" s="92">
        <f t="shared" si="20"/>
        <v>240</v>
      </c>
      <c r="O179" s="92">
        <f t="shared" si="21"/>
        <v>261</v>
      </c>
      <c r="P179" s="92">
        <f t="shared" si="22"/>
        <v>261.75</v>
      </c>
      <c r="Q179" s="92">
        <f t="shared" si="23"/>
        <v>224.75</v>
      </c>
      <c r="R179" s="92">
        <f t="shared" si="24"/>
        <v>301</v>
      </c>
    </row>
    <row r="180" spans="1:18" x14ac:dyDescent="0.3">
      <c r="A180" s="13">
        <v>38840</v>
      </c>
      <c r="B180" s="92">
        <f>+TWK!B125</f>
        <v>361</v>
      </c>
      <c r="C180" s="92">
        <f>+TWK!C125</f>
        <v>323</v>
      </c>
      <c r="D180" s="92">
        <f>+TWK!D125</f>
        <v>311</v>
      </c>
      <c r="E180" s="92">
        <f>+TWK!E125</f>
        <v>256</v>
      </c>
      <c r="F180" s="92">
        <f>+TWK!F125</f>
        <v>241</v>
      </c>
      <c r="G180" s="92">
        <f>+TWK!G125</f>
        <v>241</v>
      </c>
      <c r="H180" s="92">
        <f>+TWK!H125</f>
        <v>220</v>
      </c>
      <c r="I180" s="92">
        <f>+TWK!I125</f>
        <v>286</v>
      </c>
      <c r="K180" s="92">
        <f t="shared" si="17"/>
        <v>364</v>
      </c>
      <c r="L180" s="92">
        <f t="shared" si="18"/>
        <v>321</v>
      </c>
      <c r="M180" s="92">
        <f t="shared" si="19"/>
        <v>305.5</v>
      </c>
      <c r="N180" s="92">
        <f t="shared" si="20"/>
        <v>235.75</v>
      </c>
      <c r="O180" s="92">
        <f t="shared" si="21"/>
        <v>254.75</v>
      </c>
      <c r="P180" s="92">
        <f t="shared" si="22"/>
        <v>255</v>
      </c>
      <c r="Q180" s="92">
        <f t="shared" si="23"/>
        <v>218.75</v>
      </c>
      <c r="R180" s="92">
        <f t="shared" si="24"/>
        <v>293</v>
      </c>
    </row>
    <row r="181" spans="1:18" x14ac:dyDescent="0.3">
      <c r="A181" s="13">
        <v>38847</v>
      </c>
      <c r="B181" s="92">
        <f>+TWK!B126</f>
        <v>378</v>
      </c>
      <c r="C181" s="92">
        <f>+TWK!C126</f>
        <v>361</v>
      </c>
      <c r="D181" s="92">
        <f>+TWK!D126</f>
        <v>354</v>
      </c>
      <c r="E181" s="92">
        <f>+TWK!E126</f>
        <v>300</v>
      </c>
      <c r="F181" s="92">
        <f>+TWK!F126</f>
        <v>271</v>
      </c>
      <c r="G181" s="92">
        <f>+TWK!G126</f>
        <v>271</v>
      </c>
      <c r="H181" s="92">
        <f>+TWK!H126</f>
        <v>250</v>
      </c>
      <c r="I181" s="92">
        <f>+TWK!I126</f>
        <v>320</v>
      </c>
      <c r="K181" s="92">
        <f t="shared" si="17"/>
        <v>365</v>
      </c>
      <c r="L181" s="92">
        <f t="shared" si="18"/>
        <v>327</v>
      </c>
      <c r="M181" s="92">
        <f t="shared" si="19"/>
        <v>312</v>
      </c>
      <c r="N181" s="92">
        <f t="shared" si="20"/>
        <v>244</v>
      </c>
      <c r="O181" s="92">
        <f t="shared" si="21"/>
        <v>259.25</v>
      </c>
      <c r="P181" s="92">
        <f t="shared" si="22"/>
        <v>259.5</v>
      </c>
      <c r="Q181" s="92">
        <f t="shared" si="23"/>
        <v>221.75</v>
      </c>
      <c r="R181" s="92">
        <f t="shared" si="24"/>
        <v>293.5</v>
      </c>
    </row>
    <row r="182" spans="1:18" x14ac:dyDescent="0.3">
      <c r="A182" s="13">
        <v>38854</v>
      </c>
      <c r="B182" s="92">
        <f>+TWK!B127</f>
        <v>434</v>
      </c>
      <c r="C182" s="92">
        <f>+TWK!C127</f>
        <v>407</v>
      </c>
      <c r="D182" s="92">
        <f>+TWK!D127</f>
        <v>393</v>
      </c>
      <c r="E182" s="92">
        <f>+TWK!E127</f>
        <v>326</v>
      </c>
      <c r="F182" s="92">
        <f>+TWK!F127</f>
        <v>312</v>
      </c>
      <c r="G182" s="92">
        <f>+TWK!G127</f>
        <v>312</v>
      </c>
      <c r="H182" s="92">
        <f>+TWK!H127</f>
        <v>291</v>
      </c>
      <c r="I182" s="92">
        <f>+TWK!I127</f>
        <v>375</v>
      </c>
      <c r="K182" s="92">
        <f t="shared" si="17"/>
        <v>382.75</v>
      </c>
      <c r="L182" s="92">
        <f t="shared" si="18"/>
        <v>350</v>
      </c>
      <c r="M182" s="92">
        <f t="shared" si="19"/>
        <v>336.5</v>
      </c>
      <c r="N182" s="92">
        <f t="shared" si="20"/>
        <v>271.75</v>
      </c>
      <c r="O182" s="92">
        <f t="shared" si="21"/>
        <v>264.75</v>
      </c>
      <c r="P182" s="92">
        <f t="shared" si="22"/>
        <v>265</v>
      </c>
      <c r="Q182" s="92">
        <f t="shared" si="23"/>
        <v>240.75</v>
      </c>
      <c r="R182" s="92">
        <f t="shared" si="24"/>
        <v>314.75</v>
      </c>
    </row>
    <row r="183" spans="1:18" x14ac:dyDescent="0.3">
      <c r="A183" s="13">
        <v>38861</v>
      </c>
      <c r="B183" s="92">
        <f>+TWK!B128</f>
        <v>447</v>
      </c>
      <c r="C183" s="92">
        <f>+TWK!C128</f>
        <v>406</v>
      </c>
      <c r="D183" s="92">
        <f>+TWK!D128</f>
        <v>384</v>
      </c>
      <c r="E183" s="92">
        <f>+TWK!E128</f>
        <v>317</v>
      </c>
      <c r="F183" s="92">
        <f>+TWK!F128</f>
        <v>333</v>
      </c>
      <c r="G183" s="92">
        <f>+TWK!G128</f>
        <v>333</v>
      </c>
      <c r="H183" s="92">
        <f>+TWK!H128</f>
        <v>302</v>
      </c>
      <c r="I183" s="92">
        <f>+TWK!I128</f>
        <v>405</v>
      </c>
      <c r="K183" s="92">
        <f t="shared" si="17"/>
        <v>405</v>
      </c>
      <c r="L183" s="92">
        <f t="shared" si="18"/>
        <v>374.25</v>
      </c>
      <c r="M183" s="92">
        <f t="shared" si="19"/>
        <v>360.5</v>
      </c>
      <c r="N183" s="92">
        <f t="shared" si="20"/>
        <v>299.75</v>
      </c>
      <c r="O183" s="92">
        <f t="shared" si="21"/>
        <v>289.25</v>
      </c>
      <c r="P183" s="92">
        <f t="shared" si="22"/>
        <v>289.25</v>
      </c>
      <c r="Q183" s="92">
        <f t="shared" si="23"/>
        <v>265.75</v>
      </c>
      <c r="R183" s="92">
        <f t="shared" si="24"/>
        <v>346.5</v>
      </c>
    </row>
    <row r="184" spans="1:18" x14ac:dyDescent="0.3">
      <c r="A184" s="13">
        <v>38868</v>
      </c>
      <c r="B184" s="92">
        <f>+TWK!B129</f>
        <v>434</v>
      </c>
      <c r="C184" s="92">
        <f>+TWK!C129</f>
        <v>379</v>
      </c>
      <c r="D184" s="92">
        <f>+TWK!D129</f>
        <v>351</v>
      </c>
      <c r="E184" s="92">
        <f>+TWK!E129</f>
        <v>273</v>
      </c>
      <c r="F184" s="92">
        <f>+TWK!F129</f>
        <v>303</v>
      </c>
      <c r="G184" s="92">
        <f>+TWK!G129</f>
        <v>303</v>
      </c>
      <c r="H184" s="92">
        <f>+TWK!H129</f>
        <v>273</v>
      </c>
      <c r="I184" s="92">
        <f>+TWK!I129</f>
        <v>388</v>
      </c>
      <c r="K184" s="92">
        <f t="shared" si="17"/>
        <v>423.25</v>
      </c>
      <c r="L184" s="92">
        <f t="shared" si="18"/>
        <v>388.25</v>
      </c>
      <c r="M184" s="92">
        <f t="shared" si="19"/>
        <v>370.5</v>
      </c>
      <c r="N184" s="92">
        <f t="shared" si="20"/>
        <v>304</v>
      </c>
      <c r="O184" s="92">
        <f t="shared" si="21"/>
        <v>304.75</v>
      </c>
      <c r="P184" s="92">
        <f t="shared" si="22"/>
        <v>304.75</v>
      </c>
      <c r="Q184" s="92">
        <f t="shared" si="23"/>
        <v>279</v>
      </c>
      <c r="R184" s="92">
        <f t="shared" si="24"/>
        <v>372</v>
      </c>
    </row>
    <row r="185" spans="1:18" x14ac:dyDescent="0.3">
      <c r="A185" s="13">
        <v>38875</v>
      </c>
      <c r="B185" s="92">
        <f>+TWK!B130</f>
        <v>466</v>
      </c>
      <c r="C185" s="92">
        <f>+TWK!C130</f>
        <v>388</v>
      </c>
      <c r="D185" s="92">
        <f>+TWK!D130</f>
        <v>374</v>
      </c>
      <c r="E185" s="92">
        <f>+TWK!E130</f>
        <v>282</v>
      </c>
      <c r="F185" s="92">
        <f>+TWK!F130</f>
        <v>307</v>
      </c>
      <c r="G185" s="92">
        <f>+TWK!G130</f>
        <v>307</v>
      </c>
      <c r="H185" s="92">
        <f>+TWK!H130</f>
        <v>274</v>
      </c>
      <c r="I185" s="92">
        <f>+TWK!I130</f>
        <v>358</v>
      </c>
      <c r="K185" s="92">
        <f t="shared" si="17"/>
        <v>445.25</v>
      </c>
      <c r="L185" s="92">
        <f t="shared" si="18"/>
        <v>395</v>
      </c>
      <c r="M185" s="92">
        <f t="shared" si="19"/>
        <v>375.5</v>
      </c>
      <c r="N185" s="92">
        <f t="shared" si="20"/>
        <v>299.5</v>
      </c>
      <c r="O185" s="92">
        <f t="shared" si="21"/>
        <v>313.75</v>
      </c>
      <c r="P185" s="92">
        <f t="shared" si="22"/>
        <v>313.75</v>
      </c>
      <c r="Q185" s="92">
        <f t="shared" si="23"/>
        <v>285</v>
      </c>
      <c r="R185" s="92">
        <f t="shared" si="24"/>
        <v>381.5</v>
      </c>
    </row>
    <row r="186" spans="1:18" x14ac:dyDescent="0.3">
      <c r="A186" s="13">
        <v>38882</v>
      </c>
      <c r="B186" s="92">
        <f>+TWK!B131</f>
        <v>469</v>
      </c>
      <c r="C186" s="92">
        <f>+TWK!C131</f>
        <v>397</v>
      </c>
      <c r="D186" s="92">
        <f>+TWK!D131</f>
        <v>387</v>
      </c>
      <c r="E186" s="92">
        <f>+TWK!E131</f>
        <v>281</v>
      </c>
      <c r="F186" s="92">
        <f>+TWK!F131</f>
        <v>303</v>
      </c>
      <c r="G186" s="92">
        <f>+TWK!G131</f>
        <v>303</v>
      </c>
      <c r="H186" s="92">
        <f>+TWK!H131</f>
        <v>271</v>
      </c>
      <c r="I186" s="92">
        <f>+TWK!I131</f>
        <v>350</v>
      </c>
      <c r="K186" s="92">
        <f t="shared" si="17"/>
        <v>454</v>
      </c>
      <c r="L186" s="92">
        <f t="shared" si="18"/>
        <v>392.5</v>
      </c>
      <c r="M186" s="92">
        <f t="shared" si="19"/>
        <v>374</v>
      </c>
      <c r="N186" s="92">
        <f t="shared" si="20"/>
        <v>288.25</v>
      </c>
      <c r="O186" s="92">
        <f t="shared" si="21"/>
        <v>311.5</v>
      </c>
      <c r="P186" s="92">
        <f t="shared" si="22"/>
        <v>311.5</v>
      </c>
      <c r="Q186" s="92">
        <f t="shared" si="23"/>
        <v>280</v>
      </c>
      <c r="R186" s="92">
        <f t="shared" si="24"/>
        <v>375.25</v>
      </c>
    </row>
    <row r="187" spans="1:18" x14ac:dyDescent="0.3">
      <c r="A187" s="13">
        <v>38889</v>
      </c>
      <c r="B187" s="92">
        <f>+TWK!B132</f>
        <v>442</v>
      </c>
      <c r="C187" s="92">
        <f>+TWK!C132</f>
        <v>384</v>
      </c>
      <c r="D187" s="92">
        <f>+TWK!D132</f>
        <v>382</v>
      </c>
      <c r="E187" s="92">
        <f>+TWK!E132</f>
        <v>298</v>
      </c>
      <c r="F187" s="92">
        <f>+TWK!F132</f>
        <v>323</v>
      </c>
      <c r="G187" s="92">
        <f>+TWK!G132</f>
        <v>323</v>
      </c>
      <c r="H187" s="92">
        <f>+TWK!H132</f>
        <v>272</v>
      </c>
      <c r="I187" s="92">
        <f>+TWK!I132</f>
        <v>348</v>
      </c>
      <c r="K187" s="92">
        <f t="shared" si="17"/>
        <v>452.75</v>
      </c>
      <c r="L187" s="92">
        <f t="shared" si="18"/>
        <v>387</v>
      </c>
      <c r="M187" s="92">
        <f t="shared" si="19"/>
        <v>373.5</v>
      </c>
      <c r="N187" s="92">
        <f t="shared" si="20"/>
        <v>283.5</v>
      </c>
      <c r="O187" s="92">
        <f t="shared" si="21"/>
        <v>309</v>
      </c>
      <c r="P187" s="92">
        <f t="shared" si="22"/>
        <v>309</v>
      </c>
      <c r="Q187" s="92">
        <f t="shared" si="23"/>
        <v>272.5</v>
      </c>
      <c r="R187" s="92">
        <f t="shared" si="24"/>
        <v>361</v>
      </c>
    </row>
    <row r="188" spans="1:18" x14ac:dyDescent="0.3">
      <c r="A188" s="13">
        <v>38896</v>
      </c>
      <c r="B188" s="92">
        <f>+TWK!B133</f>
        <v>482</v>
      </c>
      <c r="C188" s="92">
        <f>+TWK!C133</f>
        <v>423</v>
      </c>
      <c r="D188" s="92">
        <f>+TWK!D133</f>
        <v>416</v>
      </c>
      <c r="E188" s="92">
        <f>+TWK!E133</f>
        <v>335</v>
      </c>
      <c r="F188" s="92">
        <f>+TWK!F133</f>
        <v>395</v>
      </c>
      <c r="G188" s="92">
        <f>+TWK!G133</f>
        <v>395</v>
      </c>
      <c r="H188" s="92">
        <f>+TWK!H133</f>
        <v>305</v>
      </c>
      <c r="I188" s="92">
        <f>+TWK!I133</f>
        <v>413</v>
      </c>
      <c r="K188" s="92">
        <f t="shared" si="17"/>
        <v>464.75</v>
      </c>
      <c r="L188" s="92">
        <f t="shared" si="18"/>
        <v>398</v>
      </c>
      <c r="M188" s="92">
        <f t="shared" si="19"/>
        <v>389.75</v>
      </c>
      <c r="N188" s="92">
        <f t="shared" si="20"/>
        <v>299</v>
      </c>
      <c r="O188" s="92">
        <f t="shared" si="21"/>
        <v>332</v>
      </c>
      <c r="P188" s="92">
        <f t="shared" si="22"/>
        <v>332</v>
      </c>
      <c r="Q188" s="92">
        <f t="shared" si="23"/>
        <v>280.5</v>
      </c>
      <c r="R188" s="92">
        <f t="shared" si="24"/>
        <v>367.25</v>
      </c>
    </row>
    <row r="189" spans="1:18" x14ac:dyDescent="0.3">
      <c r="A189" s="13">
        <v>38903</v>
      </c>
      <c r="B189" s="92">
        <f>+TWK!B134</f>
        <v>533</v>
      </c>
      <c r="C189" s="92">
        <f>+TWK!C134</f>
        <v>458</v>
      </c>
      <c r="D189" s="92">
        <f>+TWK!D134</f>
        <v>443</v>
      </c>
      <c r="E189" s="92">
        <f>+TWK!E134</f>
        <v>415</v>
      </c>
      <c r="F189" s="92">
        <f>+TWK!F134</f>
        <v>469</v>
      </c>
      <c r="G189" s="92">
        <f>+TWK!G134</f>
        <v>475</v>
      </c>
      <c r="H189" s="92">
        <f>+TWK!H134</f>
        <v>383</v>
      </c>
      <c r="I189" s="92">
        <f>+TWK!I134</f>
        <v>488</v>
      </c>
      <c r="K189" s="92">
        <f t="shared" si="17"/>
        <v>481.5</v>
      </c>
      <c r="L189" s="92">
        <f t="shared" si="18"/>
        <v>415.5</v>
      </c>
      <c r="M189" s="92">
        <f t="shared" si="19"/>
        <v>407</v>
      </c>
      <c r="N189" s="92">
        <f t="shared" si="20"/>
        <v>332.25</v>
      </c>
      <c r="O189" s="92">
        <f t="shared" si="21"/>
        <v>372.5</v>
      </c>
      <c r="P189" s="92">
        <f t="shared" si="22"/>
        <v>374</v>
      </c>
      <c r="Q189" s="92">
        <f t="shared" si="23"/>
        <v>307.75</v>
      </c>
      <c r="R189" s="92">
        <f t="shared" si="24"/>
        <v>399.75</v>
      </c>
    </row>
    <row r="190" spans="1:18" x14ac:dyDescent="0.3">
      <c r="A190" s="13">
        <v>38910</v>
      </c>
      <c r="B190" s="92">
        <f>+TWK!B135</f>
        <v>592</v>
      </c>
      <c r="C190" s="92">
        <f>+TWK!C135</f>
        <v>504</v>
      </c>
      <c r="D190" s="92">
        <f>+TWK!D135</f>
        <v>493</v>
      </c>
      <c r="E190" s="92">
        <f>+TWK!E135</f>
        <v>481</v>
      </c>
      <c r="F190" s="92">
        <f>+TWK!F135</f>
        <v>480</v>
      </c>
      <c r="G190" s="92">
        <f>+TWK!G135</f>
        <v>482</v>
      </c>
      <c r="H190" s="92">
        <f>+TWK!H135</f>
        <v>419</v>
      </c>
      <c r="I190" s="92">
        <f>+TWK!I135</f>
        <v>538</v>
      </c>
      <c r="K190" s="92">
        <f t="shared" si="17"/>
        <v>512.25</v>
      </c>
      <c r="L190" s="92">
        <f t="shared" si="18"/>
        <v>442.25</v>
      </c>
      <c r="M190" s="92">
        <f t="shared" si="19"/>
        <v>433.5</v>
      </c>
      <c r="N190" s="92">
        <f t="shared" si="20"/>
        <v>382.25</v>
      </c>
      <c r="O190" s="92">
        <f t="shared" si="21"/>
        <v>416.75</v>
      </c>
      <c r="P190" s="92">
        <f t="shared" si="22"/>
        <v>418.75</v>
      </c>
      <c r="Q190" s="92">
        <f t="shared" si="23"/>
        <v>344.75</v>
      </c>
      <c r="R190" s="92">
        <f t="shared" si="24"/>
        <v>446.75</v>
      </c>
    </row>
    <row r="191" spans="1:18" x14ac:dyDescent="0.3">
      <c r="A191" s="13">
        <v>38917</v>
      </c>
      <c r="B191" s="92">
        <f>+TWK!B136</f>
        <v>647</v>
      </c>
      <c r="C191" s="92">
        <f>+TWK!C136</f>
        <v>561</v>
      </c>
      <c r="D191" s="92">
        <f>+TWK!D136</f>
        <v>526</v>
      </c>
      <c r="E191" s="92">
        <f>+TWK!E136</f>
        <v>504</v>
      </c>
      <c r="F191" s="92">
        <f>+TWK!F136</f>
        <v>479</v>
      </c>
      <c r="G191" s="92">
        <f>+TWK!G136</f>
        <v>486</v>
      </c>
      <c r="H191" s="92">
        <f>+TWK!H136</f>
        <v>470</v>
      </c>
      <c r="I191" s="92">
        <f>+TWK!I136</f>
        <v>613</v>
      </c>
      <c r="K191" s="92">
        <f t="shared" si="17"/>
        <v>563.5</v>
      </c>
      <c r="L191" s="92">
        <f t="shared" si="18"/>
        <v>486.5</v>
      </c>
      <c r="M191" s="92">
        <f t="shared" si="19"/>
        <v>469.5</v>
      </c>
      <c r="N191" s="92">
        <f t="shared" si="20"/>
        <v>433.75</v>
      </c>
      <c r="O191" s="92">
        <f t="shared" si="21"/>
        <v>455.75</v>
      </c>
      <c r="P191" s="92">
        <f t="shared" si="22"/>
        <v>459.5</v>
      </c>
      <c r="Q191" s="92">
        <f t="shared" si="23"/>
        <v>394.25</v>
      </c>
      <c r="R191" s="92">
        <f t="shared" si="24"/>
        <v>513</v>
      </c>
    </row>
    <row r="192" spans="1:18" x14ac:dyDescent="0.3">
      <c r="A192" s="13">
        <v>38924</v>
      </c>
      <c r="B192" s="92">
        <f>+TWK!B137</f>
        <v>594</v>
      </c>
      <c r="C192" s="92">
        <f>+TWK!C137</f>
        <v>509</v>
      </c>
      <c r="D192" s="92">
        <f>+TWK!D137</f>
        <v>495</v>
      </c>
      <c r="E192" s="92">
        <f>+TWK!E137</f>
        <v>469</v>
      </c>
      <c r="F192" s="92">
        <f>+TWK!F137</f>
        <v>467</v>
      </c>
      <c r="G192" s="92">
        <f>+TWK!G137</f>
        <v>467</v>
      </c>
      <c r="H192" s="92">
        <f>+TWK!H137</f>
        <v>456</v>
      </c>
      <c r="I192" s="92">
        <f>+TWK!I137</f>
        <v>567</v>
      </c>
      <c r="K192" s="92">
        <f t="shared" si="17"/>
        <v>591.5</v>
      </c>
      <c r="L192" s="92">
        <f t="shared" si="18"/>
        <v>508</v>
      </c>
      <c r="M192" s="92">
        <f t="shared" si="19"/>
        <v>489.25</v>
      </c>
      <c r="N192" s="92">
        <f t="shared" si="20"/>
        <v>467.25</v>
      </c>
      <c r="O192" s="92">
        <f t="shared" si="21"/>
        <v>473.75</v>
      </c>
      <c r="P192" s="92">
        <f t="shared" si="22"/>
        <v>477.5</v>
      </c>
      <c r="Q192" s="92">
        <f t="shared" si="23"/>
        <v>432</v>
      </c>
      <c r="R192" s="92">
        <f t="shared" si="24"/>
        <v>551.5</v>
      </c>
    </row>
    <row r="193" spans="1:39" x14ac:dyDescent="0.3">
      <c r="A193" s="13">
        <v>38931</v>
      </c>
      <c r="B193" s="92">
        <f>+TWK!B138</f>
        <v>602</v>
      </c>
      <c r="C193" s="92">
        <f>+TWK!C138</f>
        <v>522</v>
      </c>
      <c r="D193" s="92">
        <f>+TWK!D138</f>
        <v>498</v>
      </c>
      <c r="E193" s="92">
        <f>+TWK!E138</f>
        <v>490</v>
      </c>
      <c r="F193" s="92">
        <f>+TWK!F138</f>
        <v>460</v>
      </c>
      <c r="G193" s="92">
        <f>+TWK!G138</f>
        <v>463</v>
      </c>
      <c r="H193" s="92">
        <f>+TWK!H138</f>
        <v>466</v>
      </c>
      <c r="I193" s="92">
        <f>+TWK!I138</f>
        <v>614</v>
      </c>
      <c r="K193" s="92">
        <f t="shared" si="17"/>
        <v>608.75</v>
      </c>
      <c r="L193" s="92">
        <f t="shared" si="18"/>
        <v>524</v>
      </c>
      <c r="M193" s="92">
        <f t="shared" si="19"/>
        <v>503</v>
      </c>
      <c r="N193" s="92">
        <f t="shared" si="20"/>
        <v>486</v>
      </c>
      <c r="O193" s="92">
        <f t="shared" si="21"/>
        <v>471.5</v>
      </c>
      <c r="P193" s="92">
        <f t="shared" si="22"/>
        <v>474.5</v>
      </c>
      <c r="Q193" s="92">
        <f t="shared" si="23"/>
        <v>452.75</v>
      </c>
      <c r="R193" s="92">
        <f t="shared" si="24"/>
        <v>583</v>
      </c>
    </row>
    <row r="194" spans="1:39" x14ac:dyDescent="0.3">
      <c r="A194" s="13">
        <v>38938</v>
      </c>
      <c r="B194" s="92">
        <f>+TWK!B139</f>
        <v>595</v>
      </c>
      <c r="C194" s="92">
        <f>+TWK!C139</f>
        <v>566</v>
      </c>
      <c r="D194" s="92">
        <f>+TWK!D139</f>
        <v>572</v>
      </c>
      <c r="E194" s="92">
        <f>+TWK!E139</f>
        <v>560</v>
      </c>
      <c r="F194" s="92">
        <f>+TWK!F139</f>
        <v>551</v>
      </c>
      <c r="G194" s="92">
        <f>+TWK!G139</f>
        <v>551</v>
      </c>
      <c r="H194" s="92">
        <f>+TWK!H139</f>
        <v>568</v>
      </c>
      <c r="I194" s="92">
        <f>+TWK!I139</f>
        <v>780</v>
      </c>
      <c r="K194" s="92">
        <f t="shared" si="17"/>
        <v>609.5</v>
      </c>
      <c r="L194" s="92">
        <f t="shared" si="18"/>
        <v>539.5</v>
      </c>
      <c r="M194" s="92">
        <f t="shared" si="19"/>
        <v>522.75</v>
      </c>
      <c r="N194" s="92">
        <f t="shared" si="20"/>
        <v>505.75</v>
      </c>
      <c r="O194" s="92">
        <f t="shared" si="21"/>
        <v>489.25</v>
      </c>
      <c r="P194" s="92">
        <f t="shared" si="22"/>
        <v>491.75</v>
      </c>
      <c r="Q194" s="92">
        <f t="shared" si="23"/>
        <v>490</v>
      </c>
      <c r="R194" s="92">
        <f t="shared" si="24"/>
        <v>643.5</v>
      </c>
    </row>
    <row r="195" spans="1:39" x14ac:dyDescent="0.3">
      <c r="A195" s="13">
        <v>38945</v>
      </c>
      <c r="B195" s="92">
        <f>+TWK!B140</f>
        <v>570</v>
      </c>
      <c r="C195" s="92">
        <f>+TWK!C140</f>
        <v>571</v>
      </c>
      <c r="D195" s="92">
        <f>+TWK!D140</f>
        <v>569</v>
      </c>
      <c r="E195" s="92">
        <f>+TWK!E140</f>
        <v>553</v>
      </c>
      <c r="F195" s="92">
        <f>+TWK!F140</f>
        <v>557</v>
      </c>
      <c r="G195" s="92">
        <f>+TWK!G140</f>
        <v>557</v>
      </c>
      <c r="H195" s="92">
        <f>+TWK!H140</f>
        <v>551</v>
      </c>
      <c r="I195" s="92">
        <f>+TWK!I140</f>
        <v>736</v>
      </c>
      <c r="K195" s="92">
        <f t="shared" si="17"/>
        <v>590.25</v>
      </c>
      <c r="L195" s="92">
        <f t="shared" si="18"/>
        <v>542</v>
      </c>
      <c r="M195" s="92">
        <f t="shared" si="19"/>
        <v>533.5</v>
      </c>
      <c r="N195" s="92">
        <f t="shared" si="20"/>
        <v>518</v>
      </c>
      <c r="O195" s="92">
        <f t="shared" si="21"/>
        <v>508.75</v>
      </c>
      <c r="P195" s="92">
        <f t="shared" si="22"/>
        <v>509.5</v>
      </c>
      <c r="Q195" s="92">
        <f t="shared" si="23"/>
        <v>510.25</v>
      </c>
      <c r="R195" s="92">
        <f t="shared" si="24"/>
        <v>674.25</v>
      </c>
    </row>
    <row r="196" spans="1:39" x14ac:dyDescent="0.3">
      <c r="A196" s="13">
        <v>38952</v>
      </c>
      <c r="B196" s="92">
        <f>+TWK!B141</f>
        <v>603</v>
      </c>
      <c r="C196" s="92">
        <f>+TWK!C141</f>
        <v>558</v>
      </c>
      <c r="D196" s="92">
        <f>+TWK!D141</f>
        <v>579</v>
      </c>
      <c r="E196" s="92">
        <f>+TWK!E141</f>
        <v>572</v>
      </c>
      <c r="F196" s="92">
        <f>+TWK!F141</f>
        <v>567</v>
      </c>
      <c r="G196" s="92">
        <f>+TWK!G141</f>
        <v>568</v>
      </c>
      <c r="H196" s="92">
        <f>+TWK!H141</f>
        <v>542</v>
      </c>
      <c r="I196" s="92">
        <f>+TWK!I141</f>
        <v>708</v>
      </c>
      <c r="K196" s="92">
        <f t="shared" si="17"/>
        <v>592.5</v>
      </c>
      <c r="L196" s="92">
        <f t="shared" si="18"/>
        <v>554.25</v>
      </c>
      <c r="M196" s="92">
        <f t="shared" si="19"/>
        <v>554.5</v>
      </c>
      <c r="N196" s="92">
        <f t="shared" si="20"/>
        <v>543.75</v>
      </c>
      <c r="O196" s="92">
        <f t="shared" si="21"/>
        <v>533.75</v>
      </c>
      <c r="P196" s="92">
        <f t="shared" si="22"/>
        <v>534.75</v>
      </c>
      <c r="Q196" s="92">
        <f t="shared" si="23"/>
        <v>531.75</v>
      </c>
      <c r="R196" s="92">
        <f t="shared" si="24"/>
        <v>709.5</v>
      </c>
    </row>
    <row r="197" spans="1:39" x14ac:dyDescent="0.3">
      <c r="A197" s="13">
        <v>38959</v>
      </c>
      <c r="B197" s="92">
        <f>+TWK!B142</f>
        <v>587</v>
      </c>
      <c r="C197" s="92">
        <f>+TWK!C142</f>
        <v>576</v>
      </c>
      <c r="D197" s="92">
        <f>+TWK!D142</f>
        <v>569</v>
      </c>
      <c r="E197" s="92">
        <f>+TWK!E142</f>
        <v>539</v>
      </c>
      <c r="F197" s="92">
        <f>+TWK!F142</f>
        <v>554</v>
      </c>
      <c r="G197" s="92">
        <f>+TWK!G142</f>
        <v>555</v>
      </c>
      <c r="H197" s="92">
        <f>+TWK!H142</f>
        <v>504</v>
      </c>
      <c r="I197" s="92">
        <f>+TWK!I142</f>
        <v>628</v>
      </c>
      <c r="K197" s="92">
        <f t="shared" si="17"/>
        <v>588.75</v>
      </c>
      <c r="L197" s="92">
        <f t="shared" si="18"/>
        <v>567.75</v>
      </c>
      <c r="M197" s="92">
        <f t="shared" si="19"/>
        <v>572.25</v>
      </c>
      <c r="N197" s="92">
        <f t="shared" si="20"/>
        <v>556</v>
      </c>
      <c r="O197" s="92">
        <f t="shared" si="21"/>
        <v>557.25</v>
      </c>
      <c r="P197" s="92">
        <f t="shared" si="22"/>
        <v>557.75</v>
      </c>
      <c r="Q197" s="92">
        <f t="shared" si="23"/>
        <v>541.25</v>
      </c>
      <c r="R197" s="92">
        <f t="shared" si="24"/>
        <v>713</v>
      </c>
    </row>
    <row r="198" spans="1:39" x14ac:dyDescent="0.3">
      <c r="A198" s="13">
        <v>38966</v>
      </c>
      <c r="B198" s="92">
        <f>+TWK!B143</f>
        <v>538</v>
      </c>
      <c r="C198" s="92">
        <f>+TWK!C143</f>
        <v>525</v>
      </c>
      <c r="D198" s="92">
        <f>+TWK!D143</f>
        <v>504</v>
      </c>
      <c r="E198" s="92">
        <f>+TWK!E143</f>
        <v>483</v>
      </c>
      <c r="F198" s="92">
        <f>+TWK!F143</f>
        <v>523</v>
      </c>
      <c r="G198" s="92">
        <f>+TWK!G143</f>
        <v>526</v>
      </c>
      <c r="H198" s="92">
        <f>+TWK!H143</f>
        <v>426</v>
      </c>
      <c r="I198" s="92">
        <f>+TWK!I143</f>
        <v>562</v>
      </c>
      <c r="K198" s="92">
        <f t="shared" si="17"/>
        <v>574.5</v>
      </c>
      <c r="L198" s="92">
        <f t="shared" si="18"/>
        <v>557.5</v>
      </c>
      <c r="M198" s="92">
        <f t="shared" si="19"/>
        <v>555.25</v>
      </c>
      <c r="N198" s="92">
        <f t="shared" si="20"/>
        <v>536.75</v>
      </c>
      <c r="O198" s="92">
        <f t="shared" si="21"/>
        <v>550.25</v>
      </c>
      <c r="P198" s="92">
        <f t="shared" si="22"/>
        <v>551.5</v>
      </c>
      <c r="Q198" s="92">
        <f t="shared" si="23"/>
        <v>505.75</v>
      </c>
      <c r="R198" s="92">
        <f t="shared" si="24"/>
        <v>658.5</v>
      </c>
    </row>
    <row r="199" spans="1:39" x14ac:dyDescent="0.3">
      <c r="A199" s="13">
        <v>38973</v>
      </c>
      <c r="B199" s="92">
        <f>+TWK!B144</f>
        <v>565</v>
      </c>
      <c r="C199" s="92">
        <f>+TWK!C144</f>
        <v>561</v>
      </c>
      <c r="D199" s="92">
        <f>+TWK!D144</f>
        <v>514</v>
      </c>
      <c r="E199" s="92">
        <f>+TWK!E144</f>
        <v>495</v>
      </c>
      <c r="F199" s="92">
        <f>+TWK!F144</f>
        <v>575</v>
      </c>
      <c r="G199" s="92">
        <f>+TWK!G144</f>
        <v>575</v>
      </c>
      <c r="H199" s="92">
        <f>+TWK!H144</f>
        <v>466</v>
      </c>
      <c r="I199" s="92">
        <f>+TWK!I144</f>
        <v>585</v>
      </c>
      <c r="K199" s="92">
        <f t="shared" si="17"/>
        <v>573.25</v>
      </c>
      <c r="L199" s="92">
        <f t="shared" si="18"/>
        <v>555</v>
      </c>
      <c r="M199" s="92">
        <f t="shared" si="19"/>
        <v>541.5</v>
      </c>
      <c r="N199" s="92">
        <f t="shared" si="20"/>
        <v>522.25</v>
      </c>
      <c r="O199" s="92">
        <f t="shared" si="21"/>
        <v>554.75</v>
      </c>
      <c r="P199" s="92">
        <f t="shared" si="22"/>
        <v>556</v>
      </c>
      <c r="Q199" s="92">
        <f t="shared" si="23"/>
        <v>484.5</v>
      </c>
      <c r="R199" s="92">
        <f t="shared" si="24"/>
        <v>620.75</v>
      </c>
    </row>
    <row r="200" spans="1:39" x14ac:dyDescent="0.3">
      <c r="A200" s="13">
        <v>38980</v>
      </c>
      <c r="B200" s="92">
        <f>+TWK!B145</f>
        <v>588</v>
      </c>
      <c r="C200" s="92">
        <f>+TWK!C145</f>
        <v>552</v>
      </c>
      <c r="D200" s="92">
        <f>+TWK!D145</f>
        <v>540</v>
      </c>
      <c r="E200" s="92">
        <f>+TWK!E145</f>
        <v>480</v>
      </c>
      <c r="F200" s="92">
        <f>+TWK!F145</f>
        <v>531</v>
      </c>
      <c r="G200" s="92">
        <f>+TWK!G145</f>
        <v>532</v>
      </c>
      <c r="H200" s="92">
        <f>+TWK!H145</f>
        <v>426</v>
      </c>
      <c r="I200" s="92">
        <f>+TWK!I145</f>
        <v>550</v>
      </c>
      <c r="K200" s="92">
        <f t="shared" si="17"/>
        <v>569.5</v>
      </c>
      <c r="L200" s="92">
        <f t="shared" si="18"/>
        <v>553.5</v>
      </c>
      <c r="M200" s="92">
        <f t="shared" si="19"/>
        <v>531.75</v>
      </c>
      <c r="N200" s="92">
        <f t="shared" si="20"/>
        <v>499.25</v>
      </c>
      <c r="O200" s="92">
        <f t="shared" si="21"/>
        <v>545.75</v>
      </c>
      <c r="P200" s="92">
        <f t="shared" si="22"/>
        <v>547</v>
      </c>
      <c r="Q200" s="92">
        <f t="shared" si="23"/>
        <v>455.5</v>
      </c>
      <c r="R200" s="92">
        <f t="shared" si="24"/>
        <v>581.25</v>
      </c>
    </row>
    <row r="201" spans="1:39" x14ac:dyDescent="0.3">
      <c r="A201" s="13">
        <v>38986</v>
      </c>
      <c r="B201" s="92">
        <f>+TWK!B146</f>
        <v>591</v>
      </c>
      <c r="C201" s="92">
        <f>+TWK!C146</f>
        <v>572</v>
      </c>
      <c r="D201" s="92">
        <f>+TWK!D146</f>
        <v>581</v>
      </c>
      <c r="E201" s="92">
        <f>+TWK!E146</f>
        <v>501</v>
      </c>
      <c r="F201" s="92">
        <f>+TWK!F146</f>
        <v>528</v>
      </c>
      <c r="G201" s="92">
        <f>+TWK!G146</f>
        <v>529</v>
      </c>
      <c r="H201" s="92">
        <f>+TWK!H146</f>
        <v>421</v>
      </c>
      <c r="I201" s="92">
        <f>+TWK!I146</f>
        <v>568</v>
      </c>
      <c r="K201" s="92">
        <f t="shared" si="17"/>
        <v>570.5</v>
      </c>
      <c r="L201" s="92">
        <f t="shared" si="18"/>
        <v>552.5</v>
      </c>
      <c r="M201" s="92">
        <f t="shared" si="19"/>
        <v>534.75</v>
      </c>
      <c r="N201" s="92">
        <f t="shared" si="20"/>
        <v>489.75</v>
      </c>
      <c r="O201" s="92">
        <f t="shared" si="21"/>
        <v>539.25</v>
      </c>
      <c r="P201" s="92">
        <f t="shared" si="22"/>
        <v>540.5</v>
      </c>
      <c r="Q201" s="92">
        <f t="shared" si="23"/>
        <v>434.75</v>
      </c>
      <c r="R201" s="92">
        <f t="shared" si="24"/>
        <v>566.25</v>
      </c>
    </row>
    <row r="202" spans="1:39" x14ac:dyDescent="0.3">
      <c r="A202" s="13">
        <f>+A201+7</f>
        <v>38993</v>
      </c>
      <c r="B202" s="92">
        <f>+TWK!B147</f>
        <v>632</v>
      </c>
      <c r="C202" s="92">
        <f>+TWK!C147</f>
        <v>639</v>
      </c>
      <c r="D202" s="92">
        <f>+TWK!D147</f>
        <v>608</v>
      </c>
      <c r="E202" s="92">
        <f>+TWK!E147</f>
        <v>605</v>
      </c>
      <c r="F202" s="92">
        <f>+TWK!F147</f>
        <v>646</v>
      </c>
      <c r="G202" s="92">
        <f>+TWK!G147</f>
        <v>648</v>
      </c>
      <c r="H202" s="92">
        <f>+TWK!H147</f>
        <v>546</v>
      </c>
      <c r="I202" s="92">
        <f>+TWK!I147</f>
        <v>701</v>
      </c>
      <c r="K202" s="92">
        <f t="shared" ref="K202:K211" si="25">AVERAGE(B199:B202)</f>
        <v>594</v>
      </c>
      <c r="L202" s="92">
        <f t="shared" ref="L202:L218" si="26">AVERAGE(C199:C202)</f>
        <v>581</v>
      </c>
      <c r="M202" s="92">
        <f t="shared" ref="M202:M220" si="27">AVERAGE(D199:D202)</f>
        <v>560.75</v>
      </c>
      <c r="N202" s="92">
        <f t="shared" ref="N202:N220" si="28">AVERAGE(E199:E202)</f>
        <v>520.25</v>
      </c>
      <c r="O202" s="92">
        <f t="shared" ref="O202:O220" si="29">AVERAGE(F199:F202)</f>
        <v>570</v>
      </c>
      <c r="P202" s="92">
        <f t="shared" ref="P202:P220" si="30">AVERAGE(G199:G202)</f>
        <v>571</v>
      </c>
      <c r="Q202" s="92">
        <f t="shared" ref="Q202:Q220" si="31">AVERAGE(H199:H202)</f>
        <v>464.75</v>
      </c>
      <c r="R202" s="92">
        <f t="shared" ref="R202:R220" si="32">AVERAGE(I199:I202)</f>
        <v>601</v>
      </c>
    </row>
    <row r="203" spans="1:39" x14ac:dyDescent="0.3">
      <c r="A203" s="13">
        <f>A202+7</f>
        <v>39000</v>
      </c>
      <c r="B203" s="92">
        <f>+TWK!B148</f>
        <v>616</v>
      </c>
      <c r="C203" s="92">
        <f>+TWK!C148</f>
        <v>619</v>
      </c>
      <c r="D203" s="92">
        <f>+TWK!D148</f>
        <v>562</v>
      </c>
      <c r="E203" s="92">
        <f>+TWK!E148</f>
        <v>570</v>
      </c>
      <c r="F203" s="92">
        <f>+TWK!F148</f>
        <v>643</v>
      </c>
      <c r="G203" s="92">
        <f>+TWK!G148</f>
        <v>647</v>
      </c>
      <c r="H203" s="92">
        <f>+TWK!H148</f>
        <v>543</v>
      </c>
      <c r="I203" s="92">
        <f>+TWK!I148</f>
        <v>717</v>
      </c>
      <c r="K203" s="92">
        <f t="shared" si="25"/>
        <v>606.75</v>
      </c>
      <c r="L203" s="92">
        <f t="shared" si="26"/>
        <v>595.5</v>
      </c>
      <c r="M203" s="92">
        <f t="shared" si="27"/>
        <v>572.75</v>
      </c>
      <c r="N203" s="92">
        <f t="shared" si="28"/>
        <v>539</v>
      </c>
      <c r="O203" s="92">
        <f t="shared" si="29"/>
        <v>587</v>
      </c>
      <c r="P203" s="92">
        <f t="shared" si="30"/>
        <v>589</v>
      </c>
      <c r="Q203" s="92">
        <f t="shared" si="31"/>
        <v>484</v>
      </c>
      <c r="R203" s="92">
        <f t="shared" si="32"/>
        <v>634</v>
      </c>
    </row>
    <row r="204" spans="1:39" x14ac:dyDescent="0.3">
      <c r="A204" s="13">
        <f>+A203+7</f>
        <v>39007</v>
      </c>
      <c r="B204" s="92">
        <f>+TWK!B149</f>
        <v>592</v>
      </c>
      <c r="C204" s="92">
        <f>+TWK!C149</f>
        <v>597</v>
      </c>
      <c r="D204" s="92">
        <f>+TWK!D149</f>
        <v>554</v>
      </c>
      <c r="E204" s="92">
        <f>+TWK!E149</f>
        <v>513</v>
      </c>
      <c r="F204" s="92">
        <f>+TWK!F149</f>
        <v>578</v>
      </c>
      <c r="G204" s="92">
        <f>+TWK!G149</f>
        <v>582</v>
      </c>
      <c r="H204" s="92">
        <f>+TWK!H149</f>
        <v>450</v>
      </c>
      <c r="I204" s="92">
        <f>+TWK!I149</f>
        <v>588</v>
      </c>
      <c r="K204" s="92">
        <f t="shared" si="25"/>
        <v>607.75</v>
      </c>
      <c r="L204" s="92">
        <f t="shared" si="26"/>
        <v>606.75</v>
      </c>
      <c r="M204" s="92">
        <f t="shared" si="27"/>
        <v>576.25</v>
      </c>
      <c r="N204" s="92">
        <f t="shared" si="28"/>
        <v>547.25</v>
      </c>
      <c r="O204" s="92">
        <f t="shared" si="29"/>
        <v>598.75</v>
      </c>
      <c r="P204" s="92">
        <f t="shared" si="30"/>
        <v>601.5</v>
      </c>
      <c r="Q204" s="92">
        <f t="shared" si="31"/>
        <v>490</v>
      </c>
      <c r="R204" s="92">
        <f t="shared" si="32"/>
        <v>643.5</v>
      </c>
    </row>
    <row r="205" spans="1:39" x14ac:dyDescent="0.3">
      <c r="A205" s="13">
        <f>+A204+7</f>
        <v>39014</v>
      </c>
      <c r="B205" s="92">
        <f>+TWK!B150</f>
        <v>490</v>
      </c>
      <c r="C205" s="92">
        <f>+TWK!C150</f>
        <v>461</v>
      </c>
      <c r="D205" s="92">
        <f>+TWK!D150</f>
        <v>450</v>
      </c>
      <c r="E205" s="92">
        <f>+TWK!E150</f>
        <v>350</v>
      </c>
      <c r="F205" s="92">
        <f>+TWK!F150</f>
        <v>400</v>
      </c>
      <c r="G205" s="92">
        <f>+TWK!G150</f>
        <v>400</v>
      </c>
      <c r="H205" s="92">
        <f>+TWK!H150</f>
        <v>310</v>
      </c>
      <c r="I205" s="92">
        <f>+TWK!I150</f>
        <v>427</v>
      </c>
      <c r="K205" s="92">
        <f t="shared" si="25"/>
        <v>582.5</v>
      </c>
      <c r="L205" s="92">
        <f t="shared" si="26"/>
        <v>579</v>
      </c>
      <c r="M205" s="92">
        <f t="shared" si="27"/>
        <v>543.5</v>
      </c>
      <c r="N205" s="92">
        <f t="shared" si="28"/>
        <v>509.5</v>
      </c>
      <c r="O205" s="92">
        <f t="shared" si="29"/>
        <v>566.75</v>
      </c>
      <c r="P205" s="92">
        <f t="shared" si="30"/>
        <v>569.25</v>
      </c>
      <c r="Q205" s="92">
        <f t="shared" si="31"/>
        <v>462.25</v>
      </c>
      <c r="R205" s="92">
        <f t="shared" si="32"/>
        <v>608.25</v>
      </c>
    </row>
    <row r="206" spans="1:39" x14ac:dyDescent="0.3">
      <c r="A206" s="13">
        <v>39021</v>
      </c>
      <c r="B206" s="92">
        <f>+TWK!B151</f>
        <v>648</v>
      </c>
      <c r="C206" s="92">
        <f>+TWK!C151</f>
        <v>543</v>
      </c>
      <c r="D206" s="92">
        <f>+TWK!D151</f>
        <v>528</v>
      </c>
      <c r="E206" s="92">
        <f>+TWK!E151</f>
        <v>439</v>
      </c>
      <c r="F206" s="92">
        <f>+TWK!F151</f>
        <v>389</v>
      </c>
      <c r="G206" s="92">
        <f>+TWK!G151</f>
        <v>389</v>
      </c>
      <c r="H206" s="92">
        <f>+TWK!H151</f>
        <v>325</v>
      </c>
      <c r="I206" s="92">
        <f>+TWK!I151</f>
        <v>425</v>
      </c>
      <c r="K206" s="92">
        <f t="shared" si="25"/>
        <v>586.5</v>
      </c>
      <c r="L206" s="92">
        <f t="shared" si="26"/>
        <v>555</v>
      </c>
      <c r="M206" s="92">
        <f t="shared" si="27"/>
        <v>523.5</v>
      </c>
      <c r="N206" s="92">
        <f t="shared" si="28"/>
        <v>468</v>
      </c>
      <c r="O206" s="92">
        <f t="shared" si="29"/>
        <v>502.5</v>
      </c>
      <c r="P206" s="92">
        <f t="shared" si="30"/>
        <v>504.5</v>
      </c>
      <c r="Q206" s="92">
        <f t="shared" si="31"/>
        <v>407</v>
      </c>
      <c r="R206" s="92">
        <f t="shared" si="32"/>
        <v>539.25</v>
      </c>
    </row>
    <row r="207" spans="1:39" x14ac:dyDescent="0.3">
      <c r="A207" s="13">
        <v>39028</v>
      </c>
      <c r="B207" s="92">
        <f>+TWK!B152</f>
        <v>548</v>
      </c>
      <c r="C207" s="92">
        <f>+TWK!C152</f>
        <v>494</v>
      </c>
      <c r="D207" s="92">
        <f>+TWK!D152</f>
        <v>459</v>
      </c>
      <c r="E207" s="92">
        <f>+TWK!E152</f>
        <v>409</v>
      </c>
      <c r="F207" s="92">
        <f>+TWK!F152</f>
        <v>401</v>
      </c>
      <c r="G207" s="92">
        <f>+TWK!G152</f>
        <v>401</v>
      </c>
      <c r="H207" s="92">
        <f>+TWK!H152</f>
        <v>300</v>
      </c>
      <c r="I207" s="92">
        <f>+TWK!I152</f>
        <v>409</v>
      </c>
      <c r="K207" s="92">
        <f t="shared" si="25"/>
        <v>569.5</v>
      </c>
      <c r="L207" s="92">
        <f t="shared" si="26"/>
        <v>523.75</v>
      </c>
      <c r="M207" s="92">
        <f t="shared" si="27"/>
        <v>497.75</v>
      </c>
      <c r="N207" s="92">
        <f t="shared" si="28"/>
        <v>427.75</v>
      </c>
      <c r="O207" s="92">
        <f t="shared" si="29"/>
        <v>442</v>
      </c>
      <c r="P207" s="92">
        <f t="shared" si="30"/>
        <v>443</v>
      </c>
      <c r="Q207" s="92">
        <f t="shared" si="31"/>
        <v>346.25</v>
      </c>
      <c r="R207" s="92">
        <f t="shared" si="32"/>
        <v>462.25</v>
      </c>
    </row>
    <row r="208" spans="1:39" x14ac:dyDescent="0.3">
      <c r="A208" s="13">
        <v>39035</v>
      </c>
      <c r="B208" s="92">
        <f>+TWK!B153</f>
        <v>498</v>
      </c>
      <c r="C208" s="92">
        <f>+TWK!C153</f>
        <v>438</v>
      </c>
      <c r="D208" s="92">
        <f>+TWK!D153</f>
        <v>445</v>
      </c>
      <c r="E208" s="92">
        <f>+TWK!E153</f>
        <v>378</v>
      </c>
      <c r="F208" s="92">
        <f>+TWK!F153</f>
        <v>377</v>
      </c>
      <c r="G208" s="92">
        <f>+TWK!G153</f>
        <v>377</v>
      </c>
      <c r="H208" s="92">
        <f>+TWK!H153</f>
        <v>281</v>
      </c>
      <c r="I208" s="92">
        <f>+TWK!I153</f>
        <v>386</v>
      </c>
      <c r="K208" s="92">
        <f t="shared" si="25"/>
        <v>546</v>
      </c>
      <c r="L208" s="92">
        <f t="shared" si="26"/>
        <v>484</v>
      </c>
      <c r="M208" s="92">
        <f t="shared" si="27"/>
        <v>470.5</v>
      </c>
      <c r="N208" s="92">
        <f t="shared" si="28"/>
        <v>394</v>
      </c>
      <c r="O208" s="92">
        <f t="shared" si="29"/>
        <v>391.75</v>
      </c>
      <c r="P208" s="92">
        <f t="shared" si="30"/>
        <v>391.75</v>
      </c>
      <c r="Q208" s="92">
        <f t="shared" si="31"/>
        <v>304</v>
      </c>
      <c r="R208" s="92">
        <f t="shared" si="32"/>
        <v>411.75</v>
      </c>
      <c r="AM208" s="112"/>
    </row>
    <row r="209" spans="1:47" x14ac:dyDescent="0.3">
      <c r="A209" s="13">
        <v>39042</v>
      </c>
      <c r="C209" s="92">
        <f>+TWK!C154</f>
        <v>468</v>
      </c>
      <c r="D209" s="92">
        <f>+TWK!D154</f>
        <v>464</v>
      </c>
      <c r="E209" s="92">
        <f>+TWK!E154</f>
        <v>379</v>
      </c>
      <c r="F209" s="92">
        <f>+TWK!F154</f>
        <v>375</v>
      </c>
      <c r="G209" s="92">
        <f>+TWK!G154</f>
        <v>375</v>
      </c>
      <c r="H209" s="92">
        <f>+TWK!H154</f>
        <v>278</v>
      </c>
      <c r="I209" s="92">
        <f>+TWK!I154</f>
        <v>369</v>
      </c>
      <c r="K209" s="92">
        <f t="shared" si="25"/>
        <v>564.66666666666663</v>
      </c>
      <c r="L209" s="92">
        <f t="shared" si="26"/>
        <v>485.75</v>
      </c>
      <c r="M209" s="92">
        <f t="shared" si="27"/>
        <v>474</v>
      </c>
      <c r="N209" s="92">
        <f t="shared" si="28"/>
        <v>401.25</v>
      </c>
      <c r="O209" s="92">
        <f t="shared" si="29"/>
        <v>385.5</v>
      </c>
      <c r="P209" s="92">
        <f t="shared" si="30"/>
        <v>385.5</v>
      </c>
      <c r="Q209" s="92">
        <f t="shared" si="31"/>
        <v>296</v>
      </c>
      <c r="R209" s="92">
        <f t="shared" si="32"/>
        <v>397.25</v>
      </c>
      <c r="AM209" s="112"/>
    </row>
    <row r="210" spans="1:47" x14ac:dyDescent="0.3">
      <c r="A210" s="13">
        <v>39049</v>
      </c>
      <c r="C210" s="92">
        <f>+TWK!C155</f>
        <v>448</v>
      </c>
      <c r="D210" s="92">
        <f>+TWK!D155</f>
        <v>445</v>
      </c>
      <c r="E210" s="92">
        <f>+TWK!E155</f>
        <v>364</v>
      </c>
      <c r="F210" s="92">
        <f>+TWK!F155</f>
        <v>373</v>
      </c>
      <c r="G210" s="92">
        <f>+TWK!G155</f>
        <v>373</v>
      </c>
      <c r="H210" s="92">
        <f>+TWK!H155</f>
        <v>261</v>
      </c>
      <c r="I210" s="92">
        <f>+TWK!I155</f>
        <v>358</v>
      </c>
      <c r="K210" s="92">
        <f t="shared" si="25"/>
        <v>523</v>
      </c>
      <c r="L210" s="92">
        <f t="shared" si="26"/>
        <v>462</v>
      </c>
      <c r="M210" s="92">
        <f t="shared" si="27"/>
        <v>453.25</v>
      </c>
      <c r="N210" s="92">
        <f t="shared" si="28"/>
        <v>382.5</v>
      </c>
      <c r="O210" s="92">
        <f t="shared" si="29"/>
        <v>381.5</v>
      </c>
      <c r="P210" s="92">
        <f t="shared" si="30"/>
        <v>381.5</v>
      </c>
      <c r="Q210" s="92">
        <f t="shared" si="31"/>
        <v>280</v>
      </c>
      <c r="R210" s="92">
        <f t="shared" si="32"/>
        <v>380.5</v>
      </c>
      <c r="AM210" s="112"/>
    </row>
    <row r="211" spans="1:47" x14ac:dyDescent="0.3">
      <c r="A211" s="13">
        <v>39056</v>
      </c>
      <c r="C211" s="92">
        <f>+TWK!C156</f>
        <v>404</v>
      </c>
      <c r="D211" s="92">
        <f>+TWK!D156</f>
        <v>377</v>
      </c>
      <c r="E211" s="92">
        <f>+TWK!E156</f>
        <v>284</v>
      </c>
      <c r="F211" s="92">
        <f>+TWK!F156</f>
        <v>332</v>
      </c>
      <c r="G211" s="92">
        <f>+TWK!G156</f>
        <v>332</v>
      </c>
      <c r="H211" s="92">
        <f>+TWK!H156</f>
        <v>222</v>
      </c>
      <c r="I211" s="92">
        <f>+TWK!I156</f>
        <v>306</v>
      </c>
      <c r="K211" s="92">
        <f t="shared" si="25"/>
        <v>498</v>
      </c>
      <c r="L211" s="92">
        <f t="shared" si="26"/>
        <v>439.5</v>
      </c>
      <c r="M211" s="92">
        <f t="shared" si="27"/>
        <v>432.75</v>
      </c>
      <c r="N211" s="92">
        <f t="shared" si="28"/>
        <v>351.25</v>
      </c>
      <c r="O211" s="92">
        <f t="shared" si="29"/>
        <v>364.25</v>
      </c>
      <c r="P211" s="92">
        <f t="shared" si="30"/>
        <v>364.25</v>
      </c>
      <c r="Q211" s="92">
        <f t="shared" si="31"/>
        <v>260.5</v>
      </c>
      <c r="R211" s="92">
        <f t="shared" si="32"/>
        <v>354.75</v>
      </c>
      <c r="AM211" s="112"/>
    </row>
    <row r="212" spans="1:47" x14ac:dyDescent="0.3">
      <c r="A212" s="13">
        <v>39063</v>
      </c>
      <c r="C212" s="92">
        <f>+TWK!C157</f>
        <v>399</v>
      </c>
      <c r="D212" s="92">
        <f>+TWK!D157</f>
        <v>378</v>
      </c>
      <c r="E212" s="92">
        <f>+TWK!E157</f>
        <v>291</v>
      </c>
      <c r="F212" s="92">
        <f>+TWK!F157</f>
        <v>310</v>
      </c>
      <c r="G212" s="92">
        <f>+TWK!G157</f>
        <v>310</v>
      </c>
      <c r="H212" s="92">
        <f>+TWK!H157</f>
        <v>226</v>
      </c>
      <c r="I212" s="92">
        <f>+TWK!I157</f>
        <v>315</v>
      </c>
      <c r="L212" s="92">
        <f t="shared" si="26"/>
        <v>429.75</v>
      </c>
      <c r="M212" s="92">
        <f t="shared" si="27"/>
        <v>416</v>
      </c>
      <c r="N212" s="92">
        <f t="shared" si="28"/>
        <v>329.5</v>
      </c>
      <c r="O212" s="92">
        <f t="shared" si="29"/>
        <v>347.5</v>
      </c>
      <c r="P212" s="92">
        <f t="shared" si="30"/>
        <v>347.5</v>
      </c>
      <c r="Q212" s="92">
        <f t="shared" si="31"/>
        <v>246.75</v>
      </c>
      <c r="R212" s="92">
        <f t="shared" si="32"/>
        <v>337</v>
      </c>
      <c r="AM212" s="112"/>
    </row>
    <row r="213" spans="1:47" x14ac:dyDescent="0.3">
      <c r="A213" s="13">
        <v>39070</v>
      </c>
      <c r="C213" s="92">
        <f>+TWK!C158</f>
        <v>328</v>
      </c>
      <c r="D213" s="92">
        <f>+TWK!D158</f>
        <v>285</v>
      </c>
      <c r="E213" s="92">
        <f>+TWK!E158</f>
        <v>213</v>
      </c>
      <c r="F213" s="92">
        <f>+TWK!F158</f>
        <v>247</v>
      </c>
      <c r="G213" s="92">
        <f>+TWK!G158</f>
        <v>246</v>
      </c>
      <c r="H213" s="92">
        <f>+TWK!H158</f>
        <v>193</v>
      </c>
      <c r="I213" s="92">
        <f>+TWK!I158</f>
        <v>264</v>
      </c>
      <c r="L213" s="92">
        <f t="shared" si="26"/>
        <v>394.75</v>
      </c>
      <c r="M213" s="92">
        <f t="shared" si="27"/>
        <v>371.25</v>
      </c>
      <c r="N213" s="92">
        <f t="shared" si="28"/>
        <v>288</v>
      </c>
      <c r="O213" s="92">
        <f t="shared" si="29"/>
        <v>315.5</v>
      </c>
      <c r="P213" s="92">
        <f t="shared" si="30"/>
        <v>315.25</v>
      </c>
      <c r="Q213" s="92">
        <f t="shared" si="31"/>
        <v>225.5</v>
      </c>
      <c r="R213" s="92">
        <f t="shared" si="32"/>
        <v>310.75</v>
      </c>
      <c r="AM213" s="112">
        <f>AP213-'Figure 8_data'!H425</f>
        <v>0</v>
      </c>
      <c r="AP213" s="92">
        <f t="shared" ref="AP213" si="33">(D213/D161-1)*100</f>
        <v>-43.897637795275593</v>
      </c>
      <c r="AQ213" s="92">
        <f t="shared" ref="AQ213:AQ219" si="34">(E213/E161-1)*100</f>
        <v>-52.455357142857139</v>
      </c>
      <c r="AR213" s="92">
        <f t="shared" ref="AR213:AR219" si="35">(F213/F161-1)*100</f>
        <v>-41.607565011820334</v>
      </c>
      <c r="AS213" s="92">
        <f t="shared" ref="AS213:AS219" si="36">(G213/G161-1)*100</f>
        <v>-41.843971631205676</v>
      </c>
      <c r="AT213" s="92">
        <f t="shared" ref="AT213:AT219" si="37">(H213/H161-1)*100</f>
        <v>-45.014245014245013</v>
      </c>
      <c r="AU213" s="92">
        <f t="shared" ref="AU213:AU219" si="38">(I213/I161-1)*100</f>
        <v>-43.468950749464661</v>
      </c>
    </row>
    <row r="214" spans="1:47" x14ac:dyDescent="0.3">
      <c r="A214" s="13">
        <v>39077</v>
      </c>
      <c r="C214" s="92">
        <f>+TWK!C159</f>
        <v>290</v>
      </c>
      <c r="D214" s="92">
        <f>+TWK!D159</f>
        <v>274</v>
      </c>
      <c r="E214" s="92">
        <f>+TWK!E159</f>
        <v>212</v>
      </c>
      <c r="F214" s="92">
        <f>+TWK!F159</f>
        <v>243</v>
      </c>
      <c r="G214" s="92">
        <f>+TWK!G159</f>
        <v>243</v>
      </c>
      <c r="H214" s="92">
        <f>+TWK!H159</f>
        <v>189</v>
      </c>
      <c r="I214" s="92">
        <f>+TWK!I159</f>
        <v>261</v>
      </c>
      <c r="L214" s="92">
        <f t="shared" si="26"/>
        <v>355.25</v>
      </c>
      <c r="M214" s="92">
        <f t="shared" si="27"/>
        <v>328.5</v>
      </c>
      <c r="N214" s="92">
        <f t="shared" si="28"/>
        <v>250</v>
      </c>
      <c r="O214" s="92">
        <f t="shared" si="29"/>
        <v>283</v>
      </c>
      <c r="P214" s="92">
        <f t="shared" si="30"/>
        <v>282.75</v>
      </c>
      <c r="Q214" s="92">
        <f t="shared" si="31"/>
        <v>207.5</v>
      </c>
      <c r="R214" s="92">
        <f t="shared" si="32"/>
        <v>286.5</v>
      </c>
      <c r="AM214" s="112">
        <f>AP214-'Figure 8_data'!H426</f>
        <v>0</v>
      </c>
      <c r="AP214" s="92">
        <f t="shared" ref="AP214:AP219" si="39">(D214/D162-1)*100</f>
        <v>-38.1489841986456</v>
      </c>
      <c r="AQ214" s="92">
        <f t="shared" si="34"/>
        <v>-47</v>
      </c>
      <c r="AR214" s="92">
        <f t="shared" si="35"/>
        <v>-39.097744360902254</v>
      </c>
      <c r="AS214" s="92">
        <f t="shared" si="36"/>
        <v>-38.010204081632651</v>
      </c>
      <c r="AT214" s="92">
        <f t="shared" si="37"/>
        <v>-45.689655172413794</v>
      </c>
      <c r="AU214" s="92">
        <f t="shared" si="38"/>
        <v>-44.349680170575688</v>
      </c>
    </row>
    <row r="215" spans="1:47" x14ac:dyDescent="0.3">
      <c r="A215" s="13">
        <v>39084</v>
      </c>
      <c r="C215" s="92">
        <f>+TWK!C160</f>
        <v>290</v>
      </c>
      <c r="D215" s="92">
        <f>+TWK!D160</f>
        <v>268</v>
      </c>
      <c r="E215" s="92">
        <f>+TWK!E160</f>
        <v>209</v>
      </c>
      <c r="F215" s="92">
        <f>+TWK!F160</f>
        <v>231</v>
      </c>
      <c r="G215" s="92">
        <f>+TWK!G160</f>
        <v>231</v>
      </c>
      <c r="H215" s="92">
        <f>+TWK!H160</f>
        <v>183</v>
      </c>
      <c r="I215" s="92">
        <f>+TWK!I160</f>
        <v>261</v>
      </c>
      <c r="L215" s="92">
        <f t="shared" si="26"/>
        <v>326.75</v>
      </c>
      <c r="M215" s="92">
        <f t="shared" si="27"/>
        <v>301.25</v>
      </c>
      <c r="N215" s="92">
        <f t="shared" si="28"/>
        <v>231.25</v>
      </c>
      <c r="O215" s="92">
        <f t="shared" si="29"/>
        <v>257.75</v>
      </c>
      <c r="P215" s="92">
        <f t="shared" si="30"/>
        <v>257.5</v>
      </c>
      <c r="Q215" s="92">
        <f t="shared" si="31"/>
        <v>197.75</v>
      </c>
      <c r="R215" s="92">
        <f t="shared" si="32"/>
        <v>275.25</v>
      </c>
      <c r="AM215" s="112">
        <f>AP215-'Figure 8_data'!H427</f>
        <v>0</v>
      </c>
      <c r="AP215" s="92">
        <f t="shared" si="39"/>
        <v>-34.474327628361856</v>
      </c>
      <c r="AQ215" s="92">
        <f t="shared" si="34"/>
        <v>-44.266666666666666</v>
      </c>
      <c r="AR215" s="92">
        <f t="shared" si="35"/>
        <v>-40.769230769230766</v>
      </c>
      <c r="AS215" s="92">
        <f t="shared" si="36"/>
        <v>-41.221374045801525</v>
      </c>
      <c r="AT215" s="92">
        <f t="shared" si="37"/>
        <v>-48.011363636363633</v>
      </c>
      <c r="AU215" s="92">
        <f t="shared" si="38"/>
        <v>-45.168067226890749</v>
      </c>
    </row>
    <row r="216" spans="1:47" x14ac:dyDescent="0.3">
      <c r="A216" s="13">
        <v>39091</v>
      </c>
      <c r="D216" s="92">
        <f>+TWK!D161</f>
        <v>268</v>
      </c>
      <c r="E216" s="92">
        <f>+TWK!E161</f>
        <v>223</v>
      </c>
      <c r="F216" s="92">
        <f>+TWK!F161</f>
        <v>258</v>
      </c>
      <c r="G216" s="92">
        <f>+TWK!G161</f>
        <v>258</v>
      </c>
      <c r="H216" s="92">
        <f>+TWK!H161</f>
        <v>214</v>
      </c>
      <c r="I216" s="92">
        <f>+TWK!I161</f>
        <v>288</v>
      </c>
      <c r="L216" s="92">
        <f t="shared" si="26"/>
        <v>302.66666666666669</v>
      </c>
      <c r="M216" s="92">
        <f t="shared" si="27"/>
        <v>273.75</v>
      </c>
      <c r="N216" s="92">
        <f t="shared" si="28"/>
        <v>214.25</v>
      </c>
      <c r="O216" s="92">
        <f t="shared" si="29"/>
        <v>244.75</v>
      </c>
      <c r="P216" s="92">
        <f t="shared" si="30"/>
        <v>244.5</v>
      </c>
      <c r="Q216" s="92">
        <f t="shared" si="31"/>
        <v>194.75</v>
      </c>
      <c r="R216" s="92">
        <f t="shared" si="32"/>
        <v>268.5</v>
      </c>
      <c r="AM216" s="112">
        <f>AP216-'Figure 8_data'!H428</f>
        <v>0</v>
      </c>
      <c r="AP216" s="92">
        <f t="shared" si="39"/>
        <v>-29.287598944591032</v>
      </c>
      <c r="AQ216" s="92">
        <f t="shared" si="34"/>
        <v>-40.21447721179625</v>
      </c>
      <c r="AR216" s="92">
        <f t="shared" si="35"/>
        <v>-30.645161290322577</v>
      </c>
      <c r="AS216" s="92">
        <f t="shared" si="36"/>
        <v>-30.831099195710454</v>
      </c>
      <c r="AT216" s="92">
        <f t="shared" si="37"/>
        <v>-40.22346368715084</v>
      </c>
      <c r="AU216" s="92">
        <f t="shared" si="38"/>
        <v>-39.622641509433961</v>
      </c>
    </row>
    <row r="217" spans="1:47" x14ac:dyDescent="0.3">
      <c r="A217" s="13">
        <v>39098</v>
      </c>
      <c r="D217" s="92">
        <f>+TWK!D162</f>
        <v>393</v>
      </c>
      <c r="E217" s="92">
        <f>+TWK!E162</f>
        <v>371</v>
      </c>
      <c r="F217" s="92">
        <f>+TWK!F162</f>
        <v>352</v>
      </c>
      <c r="G217" s="92">
        <f>+TWK!G162</f>
        <v>353</v>
      </c>
      <c r="H217" s="92">
        <f>+TWK!H162</f>
        <v>338</v>
      </c>
      <c r="I217" s="92">
        <f>+TWK!I162</f>
        <v>454</v>
      </c>
      <c r="L217" s="92">
        <f t="shared" si="26"/>
        <v>290</v>
      </c>
      <c r="M217" s="92">
        <f t="shared" si="27"/>
        <v>300.75</v>
      </c>
      <c r="N217" s="92">
        <f t="shared" si="28"/>
        <v>253.75</v>
      </c>
      <c r="O217" s="92">
        <f t="shared" si="29"/>
        <v>271</v>
      </c>
      <c r="P217" s="92">
        <f t="shared" si="30"/>
        <v>271.25</v>
      </c>
      <c r="Q217" s="92">
        <f t="shared" si="31"/>
        <v>231</v>
      </c>
      <c r="R217" s="92">
        <f t="shared" si="32"/>
        <v>316</v>
      </c>
      <c r="T217" s="92">
        <f>AVERAGE(K61,K113,165)</f>
        <v>55</v>
      </c>
      <c r="U217" s="92">
        <f t="shared" ref="T217:AA219" si="40">(L61+L113+L165)/3</f>
        <v>0</v>
      </c>
      <c r="V217" s="92">
        <f t="shared" si="40"/>
        <v>305.95833333333331</v>
      </c>
      <c r="W217" s="92">
        <f t="shared" si="40"/>
        <v>271.45833333333331</v>
      </c>
      <c r="X217" s="92">
        <f t="shared" si="40"/>
        <v>268.5625</v>
      </c>
      <c r="Y217" s="92">
        <f t="shared" si="40"/>
        <v>269.33333333333331</v>
      </c>
      <c r="Z217" s="92">
        <f t="shared" si="40"/>
        <v>251.125</v>
      </c>
      <c r="AA217" s="92">
        <f t="shared" si="40"/>
        <v>332.02500000000003</v>
      </c>
      <c r="AC217" s="112">
        <f>+AF217-'Figure 8_data'!I429</f>
        <v>1.7490313570611704E-2</v>
      </c>
      <c r="AF217" s="92">
        <f t="shared" ref="AF217:AK219" si="41">(D217/V217-1)*100</f>
        <v>28.448862862590229</v>
      </c>
      <c r="AG217" s="92">
        <f t="shared" si="41"/>
        <v>36.669224865694552</v>
      </c>
      <c r="AH217" s="92">
        <f t="shared" si="41"/>
        <v>31.06818710728416</v>
      </c>
      <c r="AI217" s="92">
        <f t="shared" si="41"/>
        <v>31.064356435643582</v>
      </c>
      <c r="AJ217" s="92">
        <f t="shared" si="41"/>
        <v>34.594325535092096</v>
      </c>
      <c r="AK217" s="92">
        <f t="shared" si="41"/>
        <v>36.73669151419319</v>
      </c>
      <c r="AM217" s="112">
        <f>AP217-'Figure 8_data'!H429</f>
        <v>0</v>
      </c>
      <c r="AP217" s="92">
        <f t="shared" si="39"/>
        <v>-1.749999999999996</v>
      </c>
      <c r="AQ217" s="92">
        <f t="shared" si="34"/>
        <v>-5.5979643765903253</v>
      </c>
      <c r="AR217" s="92">
        <f t="shared" si="35"/>
        <v>-2.7624309392265234</v>
      </c>
      <c r="AS217" s="92">
        <f t="shared" si="36"/>
        <v>-2.754820936639113</v>
      </c>
      <c r="AT217" s="92">
        <f t="shared" si="37"/>
        <v>-3.703703703703709</v>
      </c>
      <c r="AU217" s="92">
        <f t="shared" si="38"/>
        <v>-0.8733624454148492</v>
      </c>
    </row>
    <row r="218" spans="1:47" x14ac:dyDescent="0.3">
      <c r="A218" s="13">
        <v>39105</v>
      </c>
      <c r="D218" s="92">
        <f>+TWK!D163</f>
        <v>286</v>
      </c>
      <c r="E218" s="92">
        <f>+TWK!E163</f>
        <v>272</v>
      </c>
      <c r="F218" s="92">
        <f>+TWK!F163</f>
        <v>340</v>
      </c>
      <c r="G218" s="92">
        <f>+TWK!G163</f>
        <v>340</v>
      </c>
      <c r="H218" s="92">
        <f>+TWK!H163</f>
        <v>258</v>
      </c>
      <c r="I218" s="92">
        <f>+TWK!I163</f>
        <v>355</v>
      </c>
      <c r="L218" s="92">
        <f t="shared" si="26"/>
        <v>290</v>
      </c>
      <c r="M218" s="92">
        <f t="shared" si="27"/>
        <v>303.75</v>
      </c>
      <c r="N218" s="92">
        <f t="shared" si="28"/>
        <v>268.75</v>
      </c>
      <c r="O218" s="92">
        <f t="shared" si="29"/>
        <v>295.25</v>
      </c>
      <c r="P218" s="92">
        <f t="shared" si="30"/>
        <v>295.5</v>
      </c>
      <c r="Q218" s="92">
        <f t="shared" si="31"/>
        <v>248.25</v>
      </c>
      <c r="R218" s="92">
        <f t="shared" si="32"/>
        <v>339.5</v>
      </c>
      <c r="T218" s="92">
        <f t="shared" si="40"/>
        <v>0</v>
      </c>
      <c r="U218" s="92">
        <f t="shared" si="40"/>
        <v>0</v>
      </c>
      <c r="V218" s="92">
        <f t="shared" si="40"/>
        <v>301</v>
      </c>
      <c r="W218" s="92">
        <f t="shared" si="40"/>
        <v>268.66666666666669</v>
      </c>
      <c r="X218" s="92">
        <f t="shared" si="40"/>
        <v>265.6875</v>
      </c>
      <c r="Y218" s="92">
        <f t="shared" si="40"/>
        <v>267.29166666666669</v>
      </c>
      <c r="Z218" s="92">
        <f t="shared" si="40"/>
        <v>247.875</v>
      </c>
      <c r="AA218" s="92">
        <f t="shared" si="40"/>
        <v>328.02500000000003</v>
      </c>
      <c r="AC218" s="112">
        <f>+AF218-'Figure 8_data'!I430</f>
        <v>0</v>
      </c>
      <c r="AF218" s="92">
        <f t="shared" si="41"/>
        <v>-4.9833887043189362</v>
      </c>
      <c r="AG218" s="92">
        <f t="shared" si="41"/>
        <v>1.2406947890818865</v>
      </c>
      <c r="AH218" s="92">
        <f t="shared" si="41"/>
        <v>27.969889437779337</v>
      </c>
      <c r="AI218" s="92">
        <f t="shared" si="41"/>
        <v>27.201870615744351</v>
      </c>
      <c r="AJ218" s="92">
        <f t="shared" si="41"/>
        <v>4.0847201210287398</v>
      </c>
      <c r="AK218" s="92">
        <f t="shared" si="41"/>
        <v>8.2234585778522948</v>
      </c>
      <c r="AM218" s="112">
        <f>AP218-'Figure 8_data'!H430</f>
        <v>0</v>
      </c>
      <c r="AP218" s="92">
        <f t="shared" si="39"/>
        <v>-25.326370757180161</v>
      </c>
      <c r="AQ218" s="92">
        <f t="shared" si="34"/>
        <v>-23.809523809523814</v>
      </c>
      <c r="AR218" s="92">
        <f t="shared" si="35"/>
        <v>8.6261980830670826</v>
      </c>
      <c r="AS218" s="92">
        <f t="shared" si="36"/>
        <v>4.9382716049382713</v>
      </c>
      <c r="AT218" s="92">
        <f t="shared" si="37"/>
        <v>-7.5268817204301115</v>
      </c>
      <c r="AU218" s="92">
        <f t="shared" si="38"/>
        <v>-10.353535353535348</v>
      </c>
    </row>
    <row r="219" spans="1:47" x14ac:dyDescent="0.3">
      <c r="A219" s="13">
        <v>39112</v>
      </c>
      <c r="D219" s="92">
        <f>+TWK!D164</f>
        <v>312</v>
      </c>
      <c r="E219" s="92">
        <f>+TWK!E164</f>
        <v>248</v>
      </c>
      <c r="F219" s="92">
        <f>+TWK!F164</f>
        <v>296</v>
      </c>
      <c r="G219" s="92">
        <f>+TWK!G164</f>
        <v>296</v>
      </c>
      <c r="H219" s="92">
        <f>+TWK!H164</f>
        <v>231</v>
      </c>
      <c r="I219" s="92">
        <f>+TWK!I164</f>
        <v>324</v>
      </c>
      <c r="M219" s="92">
        <f t="shared" si="27"/>
        <v>314.75</v>
      </c>
      <c r="N219" s="92">
        <f t="shared" si="28"/>
        <v>278.5</v>
      </c>
      <c r="O219" s="92">
        <f t="shared" si="29"/>
        <v>311.5</v>
      </c>
      <c r="P219" s="92">
        <f t="shared" si="30"/>
        <v>311.75</v>
      </c>
      <c r="Q219" s="92">
        <f t="shared" si="31"/>
        <v>260.25</v>
      </c>
      <c r="R219" s="92">
        <f t="shared" si="32"/>
        <v>355.25</v>
      </c>
      <c r="T219" s="92">
        <f t="shared" si="40"/>
        <v>0</v>
      </c>
      <c r="U219" s="92">
        <f t="shared" si="40"/>
        <v>0</v>
      </c>
      <c r="V219" s="92">
        <f t="shared" si="40"/>
        <v>302.66666666666669</v>
      </c>
      <c r="W219" s="92">
        <f t="shared" si="40"/>
        <v>271.5</v>
      </c>
      <c r="X219" s="92">
        <f t="shared" si="40"/>
        <v>267.79166666666669</v>
      </c>
      <c r="Y219" s="92">
        <f t="shared" si="40"/>
        <v>270.125</v>
      </c>
      <c r="Z219" s="92">
        <f t="shared" si="40"/>
        <v>245.91666666666666</v>
      </c>
      <c r="AA219" s="92">
        <f t="shared" si="40"/>
        <v>327.77500000000003</v>
      </c>
      <c r="AC219" s="112">
        <f>+AF219-'Figure 8_data'!I431</f>
        <v>0</v>
      </c>
      <c r="AF219" s="92">
        <f t="shared" si="41"/>
        <v>3.0837004405286361</v>
      </c>
      <c r="AG219" s="92">
        <f t="shared" si="41"/>
        <v>-8.6556169429097611</v>
      </c>
      <c r="AH219" s="92">
        <f t="shared" si="41"/>
        <v>10.53368601213629</v>
      </c>
      <c r="AI219" s="92">
        <f t="shared" si="41"/>
        <v>9.5788986580287006</v>
      </c>
      <c r="AJ219" s="92">
        <f t="shared" si="41"/>
        <v>-6.0657404269739086</v>
      </c>
      <c r="AK219" s="92">
        <f t="shared" si="41"/>
        <v>-1.1517046754633609</v>
      </c>
      <c r="AM219" s="112">
        <f>AP219-'Figure 8_data'!H431</f>
        <v>0</v>
      </c>
      <c r="AP219" s="92">
        <f t="shared" si="39"/>
        <v>-24.455205811138015</v>
      </c>
      <c r="AQ219" s="92">
        <f t="shared" si="34"/>
        <v>-38.916256157635466</v>
      </c>
      <c r="AR219" s="92">
        <f t="shared" si="35"/>
        <v>-14.942528735632187</v>
      </c>
      <c r="AS219" s="92">
        <f t="shared" si="36"/>
        <v>-18.681318681318682</v>
      </c>
      <c r="AT219" s="92">
        <f t="shared" si="37"/>
        <v>-31.454005934718097</v>
      </c>
      <c r="AU219" s="92">
        <f t="shared" si="38"/>
        <v>-28.159645232815965</v>
      </c>
    </row>
    <row r="220" spans="1:47" x14ac:dyDescent="0.3">
      <c r="A220" s="13">
        <v>39119</v>
      </c>
      <c r="D220" s="92">
        <f>+TWK!D165</f>
        <v>358</v>
      </c>
      <c r="E220" s="92">
        <f>+TWK!E165</f>
        <v>233</v>
      </c>
      <c r="F220" s="92">
        <f>+TWK!F165</f>
        <v>268</v>
      </c>
      <c r="G220" s="92">
        <f>+TWK!G165</f>
        <v>268</v>
      </c>
      <c r="H220" s="92">
        <f>+TWK!H165</f>
        <v>196</v>
      </c>
      <c r="I220" s="92">
        <f>+TWK!I165</f>
        <v>276</v>
      </c>
      <c r="M220" s="92">
        <f t="shared" si="27"/>
        <v>337.25</v>
      </c>
      <c r="N220" s="92">
        <f t="shared" si="28"/>
        <v>281</v>
      </c>
      <c r="O220" s="92">
        <f t="shared" si="29"/>
        <v>314</v>
      </c>
      <c r="P220" s="92">
        <f t="shared" si="30"/>
        <v>314.25</v>
      </c>
      <c r="Q220" s="92">
        <f t="shared" si="31"/>
        <v>255.75</v>
      </c>
      <c r="R220" s="92">
        <f t="shared" si="32"/>
        <v>352.25</v>
      </c>
      <c r="T220" s="92">
        <f>(K64+K116+K168)/3</f>
        <v>0</v>
      </c>
      <c r="U220" s="92">
        <f t="shared" ref="U220:AA220" si="42">(L64+L116+L168)/3</f>
        <v>0</v>
      </c>
      <c r="V220" s="92">
        <f t="shared" si="42"/>
        <v>301.66666666666669</v>
      </c>
      <c r="W220" s="92">
        <f t="shared" si="42"/>
        <v>269.66666666666669</v>
      </c>
      <c r="X220" s="92">
        <f t="shared" si="42"/>
        <v>263.58333333333331</v>
      </c>
      <c r="Y220" s="92">
        <f t="shared" si="42"/>
        <v>266.25</v>
      </c>
      <c r="Z220" s="92">
        <f t="shared" si="42"/>
        <v>238.75</v>
      </c>
      <c r="AA220" s="92">
        <f t="shared" si="42"/>
        <v>316.25</v>
      </c>
      <c r="AC220" s="112">
        <f>+AF220-'Figure 8_data'!I432</f>
        <v>0</v>
      </c>
      <c r="AF220" s="92">
        <f t="shared" ref="AF220:AK220" si="43">(D220/V220-1)*100</f>
        <v>18.674033149171265</v>
      </c>
      <c r="AG220" s="92">
        <f t="shared" si="43"/>
        <v>-13.597033374536471</v>
      </c>
      <c r="AH220" s="92">
        <f t="shared" si="43"/>
        <v>1.6756244072083648</v>
      </c>
      <c r="AI220" s="92">
        <f t="shared" si="43"/>
        <v>0.65727699530515604</v>
      </c>
      <c r="AJ220" s="92">
        <f t="shared" si="43"/>
        <v>-17.905759162303671</v>
      </c>
      <c r="AK220" s="92">
        <f t="shared" si="43"/>
        <v>-12.727272727272732</v>
      </c>
      <c r="AM220" s="112">
        <f>AP220-'Figure 8_data'!H432</f>
        <v>0</v>
      </c>
      <c r="AP220" s="92">
        <f t="shared" ref="AP220:AU220" si="44">(D220/D168-1)*100</f>
        <v>-24.631578947368425</v>
      </c>
      <c r="AQ220" s="92">
        <f t="shared" si="44"/>
        <v>-47.991071428571431</v>
      </c>
      <c r="AR220" s="92">
        <f t="shared" si="44"/>
        <v>-30.026109660574406</v>
      </c>
      <c r="AS220" s="92">
        <f t="shared" si="44"/>
        <v>-31.45780051150895</v>
      </c>
      <c r="AT220" s="92">
        <f t="shared" si="44"/>
        <v>-46.301369863013697</v>
      </c>
      <c r="AU220" s="92">
        <f t="shared" si="44"/>
        <v>-41.89473684210526</v>
      </c>
    </row>
    <row r="221" spans="1:47" x14ac:dyDescent="0.3">
      <c r="A221" s="13">
        <f>+TWK!A166</f>
        <v>39126</v>
      </c>
      <c r="D221" s="92">
        <f>+TWK!D166</f>
        <v>370</v>
      </c>
      <c r="E221" s="92">
        <f>+TWK!E166</f>
        <v>283</v>
      </c>
      <c r="F221" s="92">
        <f>+TWK!F166</f>
        <v>282</v>
      </c>
      <c r="G221" s="92">
        <f>+TWK!G166</f>
        <v>282</v>
      </c>
      <c r="H221" s="92">
        <f>+TWK!H166</f>
        <v>218</v>
      </c>
      <c r="I221" s="92">
        <f>+TWK!I166</f>
        <v>305</v>
      </c>
      <c r="M221" s="92">
        <f t="shared" ref="L221:R227" si="45">AVERAGE(D218:D221)</f>
        <v>331.5</v>
      </c>
      <c r="N221" s="92">
        <f t="shared" si="45"/>
        <v>259</v>
      </c>
      <c r="O221" s="92">
        <f t="shared" si="45"/>
        <v>296.5</v>
      </c>
      <c r="P221" s="92">
        <f t="shared" si="45"/>
        <v>296.5</v>
      </c>
      <c r="Q221" s="92">
        <f t="shared" si="45"/>
        <v>225.75</v>
      </c>
      <c r="R221" s="92">
        <f t="shared" si="45"/>
        <v>315</v>
      </c>
      <c r="T221" s="92">
        <f>(K65+K117+K169)/3</f>
        <v>0</v>
      </c>
      <c r="U221" s="92">
        <f t="shared" ref="U221:AA227" si="46">(L65+L117+L169)/3</f>
        <v>0</v>
      </c>
      <c r="V221" s="92">
        <f t="shared" si="46"/>
        <v>295.91666666666669</v>
      </c>
      <c r="W221" s="92">
        <f t="shared" si="46"/>
        <v>265.16666666666669</v>
      </c>
      <c r="X221" s="92">
        <f t="shared" si="46"/>
        <v>255.25</v>
      </c>
      <c r="Y221" s="92">
        <f t="shared" si="46"/>
        <v>257.91666666666669</v>
      </c>
      <c r="Z221" s="92">
        <f t="shared" si="46"/>
        <v>232.08333333333334</v>
      </c>
      <c r="AA221" s="92">
        <f t="shared" si="46"/>
        <v>308.16666666666669</v>
      </c>
      <c r="AC221" s="112">
        <f>+AF221-'Figure 8_data'!I433</f>
        <v>0</v>
      </c>
      <c r="AF221" s="92">
        <f t="shared" ref="AE221:AK227" si="47">(D221/V221-1)*100</f>
        <v>25.035201351731896</v>
      </c>
      <c r="AG221" s="92">
        <f t="shared" si="47"/>
        <v>6.7253299811439238</v>
      </c>
      <c r="AH221" s="92">
        <f t="shared" si="47"/>
        <v>10.479921645445645</v>
      </c>
      <c r="AI221" s="92">
        <f t="shared" si="47"/>
        <v>9.3376413570274597</v>
      </c>
      <c r="AJ221" s="92">
        <f t="shared" si="47"/>
        <v>-6.0682226211849262</v>
      </c>
      <c r="AK221" s="92">
        <f t="shared" si="47"/>
        <v>-1.0275824770146103</v>
      </c>
      <c r="AM221" s="112">
        <f>+AP221-'Figure 8_data'!H433</f>
        <v>0</v>
      </c>
      <c r="AP221" s="92">
        <f t="shared" ref="AO221:AU227" si="48">(D221/D169-1)*100</f>
        <v>-13.348946135831385</v>
      </c>
      <c r="AQ221" s="92">
        <f t="shared" si="48"/>
        <v>-27.249357326478151</v>
      </c>
      <c r="AR221" s="92">
        <f t="shared" si="48"/>
        <v>-19.428571428571427</v>
      </c>
      <c r="AS221" s="92">
        <f t="shared" si="48"/>
        <v>-19.658119658119656</v>
      </c>
      <c r="AT221" s="92">
        <f t="shared" si="48"/>
        <v>-34.534534534534536</v>
      </c>
      <c r="AU221" s="92">
        <f t="shared" si="48"/>
        <v>-25.245098039215684</v>
      </c>
    </row>
    <row r="222" spans="1:47" x14ac:dyDescent="0.3">
      <c r="A222" s="13">
        <f>+TWK!A167</f>
        <v>39133</v>
      </c>
      <c r="D222" s="92">
        <f>+TWK!D167</f>
        <v>364</v>
      </c>
      <c r="E222" s="92">
        <f>+TWK!E167</f>
        <v>254</v>
      </c>
      <c r="F222" s="92">
        <f>+TWK!F167</f>
        <v>251</v>
      </c>
      <c r="G222" s="92">
        <f>+TWK!G167</f>
        <v>251</v>
      </c>
      <c r="H222" s="92">
        <f>+TWK!H167</f>
        <v>212</v>
      </c>
      <c r="I222" s="92">
        <f>+TWK!I167</f>
        <v>287</v>
      </c>
      <c r="M222" s="92">
        <f t="shared" si="45"/>
        <v>351</v>
      </c>
      <c r="N222" s="92">
        <f t="shared" si="45"/>
        <v>254.5</v>
      </c>
      <c r="O222" s="92">
        <f t="shared" si="45"/>
        <v>274.25</v>
      </c>
      <c r="P222" s="92">
        <f t="shared" si="45"/>
        <v>274.25</v>
      </c>
      <c r="Q222" s="92">
        <f t="shared" si="45"/>
        <v>214.25</v>
      </c>
      <c r="R222" s="92">
        <f t="shared" si="45"/>
        <v>298</v>
      </c>
      <c r="T222" s="92">
        <f>(K66+K118+K170)/3</f>
        <v>0</v>
      </c>
      <c r="U222" s="92">
        <f t="shared" si="46"/>
        <v>0</v>
      </c>
      <c r="V222" s="92">
        <f t="shared" si="46"/>
        <v>293.58333333333331</v>
      </c>
      <c r="W222" s="92">
        <f t="shared" si="46"/>
        <v>264.91666666666669</v>
      </c>
      <c r="X222" s="92">
        <f t="shared" si="46"/>
        <v>248.16666666666666</v>
      </c>
      <c r="Y222" s="92">
        <f t="shared" si="46"/>
        <v>250.25</v>
      </c>
      <c r="Z222" s="92">
        <f t="shared" si="46"/>
        <v>232</v>
      </c>
      <c r="AA222" s="92">
        <f t="shared" si="46"/>
        <v>309.16666666666669</v>
      </c>
      <c r="AC222" s="112">
        <f>+AF222-'Figure 8_data'!I434</f>
        <v>0</v>
      </c>
      <c r="AF222" s="92">
        <f t="shared" si="47"/>
        <v>23.985239852398532</v>
      </c>
      <c r="AG222" s="92">
        <f t="shared" si="47"/>
        <v>-4.1207927021075896</v>
      </c>
      <c r="AH222" s="92">
        <f t="shared" si="47"/>
        <v>1.1417058428475624</v>
      </c>
      <c r="AI222" s="92">
        <f t="shared" si="47"/>
        <v>0.29970029970030065</v>
      </c>
      <c r="AJ222" s="92">
        <f t="shared" si="47"/>
        <v>-8.6206896551724093</v>
      </c>
      <c r="AK222" s="92">
        <f t="shared" si="47"/>
        <v>-7.1698113207547269</v>
      </c>
      <c r="AM222" s="112">
        <f>AP222-'Figure 8_data'!H434</f>
        <v>0</v>
      </c>
      <c r="AP222" s="92">
        <f t="shared" si="48"/>
        <v>-2.9333333333333322</v>
      </c>
      <c r="AQ222" s="92">
        <f t="shared" si="48"/>
        <v>-25.730994152046783</v>
      </c>
      <c r="AR222" s="92">
        <f t="shared" si="48"/>
        <v>-17.161716171617158</v>
      </c>
      <c r="AS222" s="92">
        <f t="shared" si="48"/>
        <v>-17.161716171617158</v>
      </c>
      <c r="AT222" s="92">
        <f t="shared" si="48"/>
        <v>-26.643598615916954</v>
      </c>
      <c r="AU222" s="92">
        <f t="shared" si="48"/>
        <v>-25.065274151436036</v>
      </c>
    </row>
    <row r="223" spans="1:47" x14ac:dyDescent="0.3">
      <c r="A223" s="13">
        <v>39140</v>
      </c>
      <c r="D223" s="92">
        <f>+TWK!D168</f>
        <v>320</v>
      </c>
      <c r="E223" s="92">
        <f>+TWK!E168</f>
        <v>248</v>
      </c>
      <c r="F223" s="92">
        <f>+TWK!F168</f>
        <v>257</v>
      </c>
      <c r="G223" s="92">
        <f>+TWK!G168</f>
        <v>257</v>
      </c>
      <c r="H223" s="92">
        <f>+TWK!H168</f>
        <v>207</v>
      </c>
      <c r="I223" s="92">
        <f>+TWK!I168</f>
        <v>281</v>
      </c>
      <c r="M223" s="92">
        <f t="shared" si="45"/>
        <v>353</v>
      </c>
      <c r="N223" s="92">
        <f t="shared" si="45"/>
        <v>254.5</v>
      </c>
      <c r="O223" s="92">
        <f t="shared" si="45"/>
        <v>264.5</v>
      </c>
      <c r="P223" s="92">
        <f t="shared" si="45"/>
        <v>264.5</v>
      </c>
      <c r="Q223" s="92">
        <f t="shared" si="45"/>
        <v>208.25</v>
      </c>
      <c r="R223" s="92">
        <f t="shared" si="45"/>
        <v>287.25</v>
      </c>
      <c r="T223" s="92">
        <v>0</v>
      </c>
      <c r="U223" s="92">
        <f t="shared" si="46"/>
        <v>63.583333333333336</v>
      </c>
      <c r="V223" s="92">
        <f t="shared" si="46"/>
        <v>295.5</v>
      </c>
      <c r="W223" s="92">
        <f t="shared" si="46"/>
        <v>265.75</v>
      </c>
      <c r="X223" s="92">
        <f t="shared" si="46"/>
        <v>244.25</v>
      </c>
      <c r="Y223" s="92">
        <f t="shared" si="46"/>
        <v>245.58333333333334</v>
      </c>
      <c r="Z223" s="92">
        <f t="shared" si="46"/>
        <v>234.08333333333334</v>
      </c>
      <c r="AA223" s="92">
        <f t="shared" si="46"/>
        <v>310.91666666666669</v>
      </c>
      <c r="AC223" s="112">
        <f>+AF223-'Figure 8_data'!I435</f>
        <v>0</v>
      </c>
      <c r="AE223" s="92">
        <f t="shared" si="47"/>
        <v>-100</v>
      </c>
      <c r="AF223" s="92">
        <f t="shared" si="47"/>
        <v>8.2910321489001682</v>
      </c>
      <c r="AG223" s="92">
        <f t="shared" si="47"/>
        <v>-6.6792097836312347</v>
      </c>
      <c r="AH223" s="92">
        <f t="shared" si="47"/>
        <v>5.2200614124872091</v>
      </c>
      <c r="AI223" s="92">
        <f t="shared" si="47"/>
        <v>4.6487953851374275</v>
      </c>
      <c r="AJ223" s="92">
        <f t="shared" si="47"/>
        <v>-11.569953720185122</v>
      </c>
      <c r="AK223" s="92">
        <f t="shared" si="47"/>
        <v>-9.6220852318413375</v>
      </c>
      <c r="AM223" s="112">
        <f>AP223-'Figure 8_data'!H435</f>
        <v>0</v>
      </c>
      <c r="AP223" s="92">
        <f t="shared" si="48"/>
        <v>-16.666666666666664</v>
      </c>
      <c r="AQ223" s="92">
        <f t="shared" si="48"/>
        <v>-24.390243902439025</v>
      </c>
      <c r="AR223" s="92">
        <f t="shared" si="48"/>
        <v>-16.558441558441562</v>
      </c>
      <c r="AS223" s="92">
        <f t="shared" si="48"/>
        <v>-16.828478964401295</v>
      </c>
      <c r="AT223" s="92">
        <f t="shared" si="48"/>
        <v>-26.595744680851062</v>
      </c>
      <c r="AU223" s="92">
        <f t="shared" si="48"/>
        <v>-28.316326530612244</v>
      </c>
    </row>
    <row r="224" spans="1:47" x14ac:dyDescent="0.3">
      <c r="A224" s="13">
        <f>+TWK!A169</f>
        <v>39147</v>
      </c>
      <c r="C224" s="92">
        <f>+TWK!C169</f>
        <v>325</v>
      </c>
      <c r="D224" s="92">
        <f>+TWK!D169</f>
        <v>285</v>
      </c>
      <c r="E224" s="92">
        <f>+TWK!E169</f>
        <v>223</v>
      </c>
      <c r="F224" s="92">
        <f>+TWK!F169</f>
        <v>248</v>
      </c>
      <c r="G224" s="92">
        <f>+TWK!G169</f>
        <v>247</v>
      </c>
      <c r="H224" s="92">
        <f>+TWK!H169</f>
        <v>192</v>
      </c>
      <c r="I224" s="92">
        <f>+TWK!I169</f>
        <v>263</v>
      </c>
      <c r="L224" s="92">
        <f t="shared" si="45"/>
        <v>325</v>
      </c>
      <c r="M224" s="92">
        <f t="shared" si="45"/>
        <v>334.75</v>
      </c>
      <c r="N224" s="92">
        <f t="shared" si="45"/>
        <v>252</v>
      </c>
      <c r="O224" s="92">
        <f t="shared" si="45"/>
        <v>259.5</v>
      </c>
      <c r="P224" s="92">
        <f t="shared" si="45"/>
        <v>259.25</v>
      </c>
      <c r="Q224" s="92">
        <f t="shared" si="45"/>
        <v>207.25</v>
      </c>
      <c r="R224" s="92">
        <f t="shared" si="45"/>
        <v>284</v>
      </c>
      <c r="T224" s="92">
        <v>0</v>
      </c>
      <c r="U224" s="92">
        <f t="shared" si="46"/>
        <v>120.83333333333333</v>
      </c>
      <c r="V224" s="92">
        <f t="shared" si="46"/>
        <v>288.25</v>
      </c>
      <c r="W224" s="92">
        <f t="shared" si="46"/>
        <v>257.91666666666669</v>
      </c>
      <c r="X224" s="92">
        <f t="shared" si="46"/>
        <v>244.16666666666666</v>
      </c>
      <c r="Y224" s="92">
        <f t="shared" si="46"/>
        <v>245.08333333333334</v>
      </c>
      <c r="Z224" s="92">
        <f t="shared" si="46"/>
        <v>231</v>
      </c>
      <c r="AA224" s="92">
        <f t="shared" si="46"/>
        <v>308.41666666666669</v>
      </c>
      <c r="AC224" s="112">
        <f>+AF224-'Figure 8_data'!I436</f>
        <v>0</v>
      </c>
      <c r="AE224" s="92">
        <f t="shared" si="47"/>
        <v>168.9655172413793</v>
      </c>
      <c r="AF224" s="92">
        <f t="shared" si="47"/>
        <v>-1.1274934952298366</v>
      </c>
      <c r="AG224" s="92">
        <f t="shared" si="47"/>
        <v>-13.537964458804531</v>
      </c>
      <c r="AH224" s="92">
        <f t="shared" si="47"/>
        <v>1.5699658703071773</v>
      </c>
      <c r="AI224" s="92">
        <f t="shared" si="47"/>
        <v>0.78204692281536037</v>
      </c>
      <c r="AJ224" s="92">
        <f t="shared" si="47"/>
        <v>-16.883116883116877</v>
      </c>
      <c r="AK224" s="92">
        <f t="shared" si="47"/>
        <v>-14.725749797352073</v>
      </c>
      <c r="AM224" s="112">
        <f>AP224-'Figure 8_data'!H436</f>
        <v>0</v>
      </c>
      <c r="AO224" s="92">
        <f t="shared" si="48"/>
        <v>-15.143603133159267</v>
      </c>
      <c r="AP224" s="92">
        <f t="shared" si="48"/>
        <v>-24.403183023872678</v>
      </c>
      <c r="AQ224" s="92">
        <f t="shared" si="48"/>
        <v>-32.424242424242422</v>
      </c>
      <c r="AR224" s="92">
        <f t="shared" si="48"/>
        <v>-27.906976744186053</v>
      </c>
      <c r="AS224" s="92">
        <f t="shared" si="48"/>
        <v>-28.197674418604645</v>
      </c>
      <c r="AT224" s="92">
        <f t="shared" si="48"/>
        <v>-35.353535353535349</v>
      </c>
      <c r="AU224" s="92">
        <f t="shared" si="48"/>
        <v>-35.380835380835386</v>
      </c>
    </row>
    <row r="225" spans="1:47" x14ac:dyDescent="0.3">
      <c r="A225" s="13">
        <f>+TWK!A170</f>
        <v>39154</v>
      </c>
      <c r="C225" s="92">
        <f>+TWK!C170</f>
        <v>320</v>
      </c>
      <c r="D225" s="92">
        <f>+TWK!D170</f>
        <v>297</v>
      </c>
      <c r="E225" s="92">
        <f>+TWK!E170</f>
        <v>221</v>
      </c>
      <c r="F225" s="92">
        <f>+TWK!F170</f>
        <v>250</v>
      </c>
      <c r="G225" s="92">
        <f>+TWK!G170</f>
        <v>250</v>
      </c>
      <c r="H225" s="92">
        <f>+TWK!H170</f>
        <v>194</v>
      </c>
      <c r="I225" s="92">
        <f>+TWK!I170</f>
        <v>270</v>
      </c>
      <c r="L225" s="92">
        <f t="shared" si="45"/>
        <v>322.5</v>
      </c>
      <c r="M225" s="92">
        <f t="shared" si="45"/>
        <v>316.5</v>
      </c>
      <c r="N225" s="92">
        <f t="shared" si="45"/>
        <v>236.5</v>
      </c>
      <c r="O225" s="92">
        <f t="shared" si="45"/>
        <v>251.5</v>
      </c>
      <c r="P225" s="92">
        <f t="shared" si="45"/>
        <v>251.25</v>
      </c>
      <c r="Q225" s="92">
        <f t="shared" si="45"/>
        <v>201.25</v>
      </c>
      <c r="R225" s="92">
        <f t="shared" si="45"/>
        <v>275.25</v>
      </c>
      <c r="T225" s="92">
        <v>0</v>
      </c>
      <c r="U225" s="92">
        <f t="shared" si="46"/>
        <v>195</v>
      </c>
      <c r="V225" s="92">
        <f t="shared" si="46"/>
        <v>283.75</v>
      </c>
      <c r="W225" s="92">
        <f t="shared" si="46"/>
        <v>250.75</v>
      </c>
      <c r="X225" s="92">
        <f t="shared" si="46"/>
        <v>248.16666666666666</v>
      </c>
      <c r="Y225" s="92">
        <f t="shared" si="46"/>
        <v>249.16666666666666</v>
      </c>
      <c r="Z225" s="92">
        <f t="shared" si="46"/>
        <v>226.16666666666666</v>
      </c>
      <c r="AA225" s="92">
        <f t="shared" si="46"/>
        <v>303.91666666666669</v>
      </c>
      <c r="AC225" s="112">
        <f>+AF225-'Figure 8_data'!I437</f>
        <v>0</v>
      </c>
      <c r="AE225" s="92">
        <f t="shared" si="47"/>
        <v>64.102564102564102</v>
      </c>
      <c r="AF225" s="92">
        <f t="shared" si="47"/>
        <v>4.6696035242290712</v>
      </c>
      <c r="AG225" s="92">
        <f t="shared" si="47"/>
        <v>-11.864406779661019</v>
      </c>
      <c r="AH225" s="92">
        <f t="shared" si="47"/>
        <v>0.73875083948959919</v>
      </c>
      <c r="AI225" s="92">
        <f t="shared" si="47"/>
        <v>0.33444816053511683</v>
      </c>
      <c r="AJ225" s="92">
        <f t="shared" si="47"/>
        <v>-14.222549742078105</v>
      </c>
      <c r="AK225" s="92">
        <f t="shared" si="47"/>
        <v>-11.159857417055118</v>
      </c>
      <c r="AM225" s="112">
        <f>AP225-'Figure 8_data'!H437</f>
        <v>0</v>
      </c>
      <c r="AO225" s="92">
        <f t="shared" si="48"/>
        <v>-14.666666666666661</v>
      </c>
      <c r="AP225" s="92">
        <f t="shared" si="48"/>
        <v>-11.869436201780415</v>
      </c>
      <c r="AQ225" s="92">
        <f t="shared" si="48"/>
        <v>-28.013029315960914</v>
      </c>
      <c r="AR225" s="92">
        <f t="shared" si="48"/>
        <v>-19.09385113268608</v>
      </c>
      <c r="AS225" s="92">
        <f t="shared" si="48"/>
        <v>-20.127795527156543</v>
      </c>
      <c r="AT225" s="92">
        <f t="shared" si="48"/>
        <v>-28.413284132841333</v>
      </c>
      <c r="AU225" s="92">
        <f t="shared" si="48"/>
        <v>-27.613941018766752</v>
      </c>
    </row>
    <row r="226" spans="1:47" x14ac:dyDescent="0.3">
      <c r="A226" s="13">
        <f>+TWK!A171</f>
        <v>39161</v>
      </c>
      <c r="C226" s="92">
        <f>+TWK!C171</f>
        <v>293</v>
      </c>
      <c r="D226" s="92">
        <f>+TWK!D171</f>
        <v>268</v>
      </c>
      <c r="E226" s="92">
        <f>+TWK!E171</f>
        <v>193</v>
      </c>
      <c r="F226" s="92">
        <f>+TWK!F171</f>
        <v>235</v>
      </c>
      <c r="G226" s="92">
        <f>+TWK!G171</f>
        <v>235</v>
      </c>
      <c r="H226" s="92">
        <f>+TWK!H171</f>
        <v>177</v>
      </c>
      <c r="I226" s="92">
        <f>+TWK!I171</f>
        <v>233</v>
      </c>
      <c r="L226" s="92">
        <f t="shared" si="45"/>
        <v>312.66666666666669</v>
      </c>
      <c r="M226" s="92">
        <f t="shared" si="45"/>
        <v>292.5</v>
      </c>
      <c r="N226" s="92">
        <f t="shared" si="45"/>
        <v>221.25</v>
      </c>
      <c r="O226" s="92">
        <f t="shared" si="45"/>
        <v>247.5</v>
      </c>
      <c r="P226" s="92">
        <f t="shared" si="45"/>
        <v>247.25</v>
      </c>
      <c r="Q226" s="92">
        <f t="shared" si="45"/>
        <v>192.5</v>
      </c>
      <c r="R226" s="92">
        <f t="shared" si="45"/>
        <v>261.75</v>
      </c>
      <c r="T226" s="92">
        <v>0</v>
      </c>
      <c r="U226" s="92">
        <f t="shared" si="46"/>
        <v>260.08333333333331</v>
      </c>
      <c r="V226" s="92">
        <f t="shared" si="46"/>
        <v>272.91666666666669</v>
      </c>
      <c r="W226" s="92">
        <f t="shared" si="46"/>
        <v>236.91666666666666</v>
      </c>
      <c r="X226" s="92">
        <f t="shared" si="46"/>
        <v>242</v>
      </c>
      <c r="Y226" s="92">
        <f t="shared" si="46"/>
        <v>243.41666666666666</v>
      </c>
      <c r="Z226" s="92">
        <f t="shared" si="46"/>
        <v>213.66666666666666</v>
      </c>
      <c r="AA226" s="92">
        <f t="shared" si="46"/>
        <v>287.25</v>
      </c>
      <c r="AC226" s="112">
        <f>+AF226-'Figure 8_data'!I438</f>
        <v>0</v>
      </c>
      <c r="AE226" s="92">
        <f t="shared" si="47"/>
        <v>12.656199935917979</v>
      </c>
      <c r="AF226" s="92">
        <f t="shared" si="47"/>
        <v>-1.8015267175572558</v>
      </c>
      <c r="AG226" s="92">
        <f t="shared" si="47"/>
        <v>-18.536756946887088</v>
      </c>
      <c r="AH226" s="92">
        <f t="shared" si="47"/>
        <v>-2.8925619834710758</v>
      </c>
      <c r="AI226" s="92">
        <f t="shared" si="47"/>
        <v>-3.4577199589181706</v>
      </c>
      <c r="AJ226" s="92">
        <f t="shared" si="47"/>
        <v>-17.160686427457094</v>
      </c>
      <c r="AK226" s="92">
        <f t="shared" si="47"/>
        <v>-18.885987815491735</v>
      </c>
      <c r="AM226" s="112">
        <f>AP226-'Figure 8_data'!H438</f>
        <v>0</v>
      </c>
      <c r="AO226" s="92">
        <f t="shared" si="48"/>
        <v>-18.156424581005581</v>
      </c>
      <c r="AP226" s="92">
        <f t="shared" si="48"/>
        <v>-19.519519519519523</v>
      </c>
      <c r="AQ226" s="92">
        <f t="shared" si="48"/>
        <v>-35.880398671096344</v>
      </c>
      <c r="AR226" s="92">
        <f t="shared" si="48"/>
        <v>-19.795221843003407</v>
      </c>
      <c r="AS226" s="92">
        <f t="shared" si="48"/>
        <v>-20.608108108108102</v>
      </c>
      <c r="AT226" s="92">
        <f t="shared" si="48"/>
        <v>-26.859504132231404</v>
      </c>
      <c r="AU226" s="92">
        <f t="shared" si="48"/>
        <v>-27.414330218068539</v>
      </c>
    </row>
    <row r="227" spans="1:47" x14ac:dyDescent="0.3">
      <c r="A227" s="13">
        <f>+TWK!A172</f>
        <v>39168</v>
      </c>
      <c r="C227" s="92">
        <f>+TWK!C172</f>
        <v>280</v>
      </c>
      <c r="D227" s="92">
        <f>+TWK!D172</f>
        <v>244</v>
      </c>
      <c r="E227" s="92">
        <f>+TWK!E172</f>
        <v>176</v>
      </c>
      <c r="F227" s="92">
        <f>+TWK!F172</f>
        <v>213</v>
      </c>
      <c r="G227" s="92">
        <f>+TWK!G172</f>
        <v>213</v>
      </c>
      <c r="H227" s="92">
        <f>+TWK!H172</f>
        <v>158</v>
      </c>
      <c r="I227" s="92">
        <f>+TWK!I172</f>
        <v>193</v>
      </c>
      <c r="L227" s="92">
        <f t="shared" si="45"/>
        <v>304.5</v>
      </c>
      <c r="M227" s="92">
        <f t="shared" si="45"/>
        <v>273.5</v>
      </c>
      <c r="N227" s="92">
        <f t="shared" si="45"/>
        <v>203.25</v>
      </c>
      <c r="O227" s="92">
        <f t="shared" si="45"/>
        <v>236.5</v>
      </c>
      <c r="P227" s="92">
        <f t="shared" si="45"/>
        <v>236.25</v>
      </c>
      <c r="Q227" s="92">
        <f t="shared" si="45"/>
        <v>180.25</v>
      </c>
      <c r="R227" s="92">
        <f t="shared" si="45"/>
        <v>239.75</v>
      </c>
      <c r="T227" s="92">
        <v>0</v>
      </c>
      <c r="U227" s="92">
        <f t="shared" si="46"/>
        <v>256.75</v>
      </c>
      <c r="V227" s="92">
        <f t="shared" si="46"/>
        <v>255.5</v>
      </c>
      <c r="W227" s="92">
        <f t="shared" si="46"/>
        <v>217.66666666666666</v>
      </c>
      <c r="X227" s="92">
        <f t="shared" si="46"/>
        <v>226.91666666666666</v>
      </c>
      <c r="Y227" s="92">
        <f t="shared" si="46"/>
        <v>228.25</v>
      </c>
      <c r="Z227" s="92">
        <f t="shared" si="46"/>
        <v>198.75</v>
      </c>
      <c r="AA227" s="92">
        <f t="shared" si="46"/>
        <v>267.91666666666669</v>
      </c>
      <c r="AC227" s="112">
        <f>+AF227-'Figure 8_data'!I439</f>
        <v>0</v>
      </c>
      <c r="AE227" s="92">
        <f t="shared" si="47"/>
        <v>9.0555014605647521</v>
      </c>
      <c r="AF227" s="92">
        <f t="shared" si="47"/>
        <v>-4.5009784735812186</v>
      </c>
      <c r="AG227" s="92">
        <f t="shared" si="47"/>
        <v>-19.142419601837666</v>
      </c>
      <c r="AH227" s="92">
        <f t="shared" si="47"/>
        <v>-6.1329416085200155</v>
      </c>
      <c r="AI227" s="92">
        <f t="shared" si="47"/>
        <v>-6.6812705366922192</v>
      </c>
      <c r="AJ227" s="92">
        <f t="shared" si="47"/>
        <v>-20.503144654088047</v>
      </c>
      <c r="AK227" s="92">
        <f t="shared" si="47"/>
        <v>-27.96267496111976</v>
      </c>
      <c r="AM227" s="112">
        <f>AP227-'Figure 8_data'!H439</f>
        <v>0</v>
      </c>
      <c r="AO227" s="92">
        <f t="shared" si="48"/>
        <v>-14.37308868501529</v>
      </c>
      <c r="AP227" s="92">
        <f t="shared" si="48"/>
        <v>-24.22360248447205</v>
      </c>
      <c r="AQ227" s="92">
        <f t="shared" si="48"/>
        <v>-33.079847908745251</v>
      </c>
      <c r="AR227" s="92">
        <f t="shared" si="48"/>
        <v>-14.457831325301207</v>
      </c>
      <c r="AS227" s="92">
        <f t="shared" si="48"/>
        <v>-14.800000000000002</v>
      </c>
      <c r="AT227" s="92">
        <f t="shared" si="48"/>
        <v>-34.166666666666664</v>
      </c>
      <c r="AU227" s="92">
        <f t="shared" si="48"/>
        <v>-38.730158730158728</v>
      </c>
    </row>
    <row r="228" spans="1:47" x14ac:dyDescent="0.3">
      <c r="A228" s="13">
        <f t="shared" ref="A228:A233" si="49">7+A227</f>
        <v>39175</v>
      </c>
      <c r="B228" s="92">
        <f>+TWK!B173</f>
        <v>320</v>
      </c>
      <c r="C228" s="92">
        <f>+TWK!C173</f>
        <v>280</v>
      </c>
      <c r="D228" s="92">
        <f>+TWK!D173</f>
        <v>237</v>
      </c>
      <c r="E228" s="92">
        <f>+TWK!E173</f>
        <v>179</v>
      </c>
      <c r="F228" s="92">
        <f>+TWK!F173</f>
        <v>206</v>
      </c>
      <c r="G228" s="92">
        <f>+TWK!G173</f>
        <v>206</v>
      </c>
      <c r="H228" s="92">
        <f>+TWK!H173</f>
        <v>163.75</v>
      </c>
      <c r="I228" s="92">
        <f>+TWK!I173</f>
        <v>224.53056768558952</v>
      </c>
      <c r="K228" s="92">
        <f t="shared" ref="K228:R228" si="50">AVERAGE(B225:B228)</f>
        <v>320</v>
      </c>
      <c r="L228" s="92">
        <f t="shared" si="50"/>
        <v>293.25</v>
      </c>
      <c r="M228" s="92">
        <f t="shared" si="50"/>
        <v>261.5</v>
      </c>
      <c r="N228" s="92">
        <f t="shared" si="50"/>
        <v>192.25</v>
      </c>
      <c r="O228" s="92">
        <f t="shared" si="50"/>
        <v>226</v>
      </c>
      <c r="P228" s="92">
        <f t="shared" si="50"/>
        <v>226</v>
      </c>
      <c r="Q228" s="92">
        <f t="shared" si="50"/>
        <v>173.1875</v>
      </c>
      <c r="R228" s="92">
        <f t="shared" si="50"/>
        <v>230.13264192139738</v>
      </c>
      <c r="T228" s="92">
        <v>0</v>
      </c>
      <c r="U228" s="92">
        <f t="shared" ref="U228:AA228" si="51">(L72+L124+L176)/3</f>
        <v>268.08333333333331</v>
      </c>
      <c r="V228" s="92">
        <f t="shared" si="51"/>
        <v>255.41666666666666</v>
      </c>
      <c r="W228" s="92">
        <f t="shared" si="51"/>
        <v>209.91666666666666</v>
      </c>
      <c r="X228" s="92">
        <f t="shared" si="51"/>
        <v>217.16666666666666</v>
      </c>
      <c r="Y228" s="92">
        <f t="shared" si="51"/>
        <v>218.5</v>
      </c>
      <c r="Z228" s="92">
        <f t="shared" si="51"/>
        <v>191.83333333333334</v>
      </c>
      <c r="AA228" s="92">
        <f t="shared" si="51"/>
        <v>259.83333333333331</v>
      </c>
      <c r="AC228" s="112">
        <f>+AF228-'Figure 8_data'!I440</f>
        <v>0</v>
      </c>
      <c r="AE228" s="92">
        <f t="shared" ref="AE228:AK228" si="52">(C228/U228-1)*100</f>
        <v>4.4451352191482885</v>
      </c>
      <c r="AF228" s="92">
        <f t="shared" si="52"/>
        <v>-7.2104404567699838</v>
      </c>
      <c r="AG228" s="92">
        <f t="shared" si="52"/>
        <v>-14.728066693132192</v>
      </c>
      <c r="AH228" s="92">
        <f t="shared" si="52"/>
        <v>-5.1419800460475784</v>
      </c>
      <c r="AI228" s="92">
        <f t="shared" si="52"/>
        <v>-5.7208237986270056</v>
      </c>
      <c r="AJ228" s="92">
        <f t="shared" si="52"/>
        <v>-14.639443961772381</v>
      </c>
      <c r="AK228" s="92">
        <f t="shared" si="52"/>
        <v>-13.586696208240079</v>
      </c>
      <c r="AM228" s="112">
        <f>AP228-'Figure 8_data'!H440</f>
        <v>0</v>
      </c>
      <c r="AN228" s="92">
        <f t="shared" ref="AN228:AU228" si="53">(B228/B176-1)*100</f>
        <v>-16.666666666666664</v>
      </c>
      <c r="AO228" s="92">
        <f t="shared" si="53"/>
        <v>-20.903954802259882</v>
      </c>
      <c r="AP228" s="92">
        <f t="shared" si="53"/>
        <v>-30.903790087463555</v>
      </c>
      <c r="AQ228" s="92">
        <f t="shared" si="53"/>
        <v>-34.432234432234431</v>
      </c>
      <c r="AR228" s="92">
        <f t="shared" si="53"/>
        <v>-22.556390977443609</v>
      </c>
      <c r="AS228" s="92">
        <f t="shared" si="53"/>
        <v>-23.134328358208954</v>
      </c>
      <c r="AT228" s="92">
        <f t="shared" si="53"/>
        <v>-32.889344262295083</v>
      </c>
      <c r="AU228" s="92">
        <f t="shared" si="53"/>
        <v>-29.392903243525314</v>
      </c>
    </row>
    <row r="229" spans="1:47" x14ac:dyDescent="0.3">
      <c r="A229" s="13">
        <f t="shared" si="49"/>
        <v>39182</v>
      </c>
      <c r="B229" s="92">
        <f>+TWK!B174</f>
        <v>321.66666666666669</v>
      </c>
      <c r="C229" s="92">
        <f>+TWK!C174</f>
        <v>273.75</v>
      </c>
      <c r="D229" s="92">
        <f>+TWK!D174</f>
        <v>231.25</v>
      </c>
      <c r="E229" s="92">
        <f>+TWK!E174</f>
        <v>185</v>
      </c>
      <c r="F229" s="92">
        <f>+TWK!F174</f>
        <v>202.5</v>
      </c>
      <c r="G229" s="92">
        <f>+TWK!G174</f>
        <v>202.5</v>
      </c>
      <c r="H229" s="92">
        <f>+TWK!H174</f>
        <v>162.5</v>
      </c>
      <c r="I229" s="92">
        <f>+TWK!I174</f>
        <v>224.21943231441048</v>
      </c>
      <c r="K229" s="92">
        <f t="shared" ref="K229:R229" si="54">AVERAGE(B226:B229)</f>
        <v>320.83333333333337</v>
      </c>
      <c r="L229" s="92">
        <f t="shared" si="54"/>
        <v>281.6875</v>
      </c>
      <c r="M229" s="92">
        <f t="shared" si="54"/>
        <v>245.0625</v>
      </c>
      <c r="N229" s="92">
        <f t="shared" si="54"/>
        <v>183.25</v>
      </c>
      <c r="O229" s="92">
        <f t="shared" si="54"/>
        <v>214.125</v>
      </c>
      <c r="P229" s="92">
        <f t="shared" si="54"/>
        <v>214.125</v>
      </c>
      <c r="Q229" s="92">
        <f t="shared" si="54"/>
        <v>165.3125</v>
      </c>
      <c r="R229" s="92">
        <f t="shared" si="54"/>
        <v>218.6875</v>
      </c>
      <c r="T229" s="92">
        <v>0</v>
      </c>
      <c r="U229" s="92">
        <f t="shared" ref="U229:AA229" si="55">(L73+L125+L177)/3</f>
        <v>255.33333333333334</v>
      </c>
      <c r="V229" s="92">
        <f t="shared" si="55"/>
        <v>245.66666666666666</v>
      </c>
      <c r="W229" s="92">
        <f t="shared" si="55"/>
        <v>195.83333333333334</v>
      </c>
      <c r="X229" s="92">
        <f t="shared" si="55"/>
        <v>199.75</v>
      </c>
      <c r="Y229" s="92">
        <f t="shared" si="55"/>
        <v>200.75</v>
      </c>
      <c r="Z229" s="92">
        <f t="shared" si="55"/>
        <v>179.75</v>
      </c>
      <c r="AA229" s="92">
        <f t="shared" si="55"/>
        <v>244.41666666666666</v>
      </c>
      <c r="AC229" s="112">
        <f>+AF229-'Figure 8_data'!I441</f>
        <v>0</v>
      </c>
      <c r="AE229" s="92">
        <f t="shared" ref="AE229:AK229" si="56">(C229/U229-1)*100</f>
        <v>7.2127937336814663</v>
      </c>
      <c r="AF229" s="92">
        <f t="shared" si="56"/>
        <v>-5.8683853459972841</v>
      </c>
      <c r="AG229" s="92">
        <f t="shared" si="56"/>
        <v>-5.5319148936170297</v>
      </c>
      <c r="AH229" s="92">
        <f t="shared" si="56"/>
        <v>1.3767209011264159</v>
      </c>
      <c r="AI229" s="92">
        <f t="shared" si="56"/>
        <v>0.87173100871731357</v>
      </c>
      <c r="AJ229" s="92">
        <f t="shared" si="56"/>
        <v>-9.5966620305980577</v>
      </c>
      <c r="AK229" s="92">
        <f t="shared" si="56"/>
        <v>-8.2634439900127532</v>
      </c>
      <c r="AM229" s="112">
        <f>AP229-'Figure 8_data'!H441</f>
        <v>0</v>
      </c>
      <c r="AN229" s="92">
        <f t="shared" ref="AN229:AU229" si="57">(B229/B177-1)*100</f>
        <v>-13.992869875222812</v>
      </c>
      <c r="AO229" s="92">
        <f t="shared" si="57"/>
        <v>-18.768545994065278</v>
      </c>
      <c r="AP229" s="92">
        <f t="shared" si="57"/>
        <v>-29.496951219512191</v>
      </c>
      <c r="AQ229" s="92">
        <f t="shared" si="57"/>
        <v>-30.711610486891384</v>
      </c>
      <c r="AR229" s="92">
        <f t="shared" si="57"/>
        <v>-19.960474308300391</v>
      </c>
      <c r="AS229" s="92">
        <f t="shared" si="57"/>
        <v>-19.960474308300391</v>
      </c>
      <c r="AT229" s="92">
        <f t="shared" si="57"/>
        <v>-31.72268907563025</v>
      </c>
      <c r="AU229" s="92">
        <f t="shared" si="57"/>
        <v>-29.490744555216828</v>
      </c>
    </row>
    <row r="230" spans="1:47" x14ac:dyDescent="0.3">
      <c r="A230" s="13">
        <f t="shared" si="49"/>
        <v>39189</v>
      </c>
      <c r="B230" s="92">
        <f>+TWK!B175</f>
        <v>296</v>
      </c>
      <c r="C230" s="92">
        <f>+TWK!C175</f>
        <v>253</v>
      </c>
      <c r="D230" s="92">
        <f>+TWK!D175</f>
        <v>224</v>
      </c>
      <c r="E230" s="92">
        <f>+TWK!E175</f>
        <v>168</v>
      </c>
      <c r="F230" s="92">
        <f>+TWK!F175</f>
        <v>196</v>
      </c>
      <c r="G230" s="92">
        <f>+TWK!G175</f>
        <v>197</v>
      </c>
      <c r="H230" s="92">
        <f>+TWK!H175</f>
        <v>153</v>
      </c>
      <c r="I230" s="92">
        <f>+TWK!I175</f>
        <v>213.65502183406116</v>
      </c>
      <c r="K230" s="92">
        <f t="shared" ref="K230:R230" si="58">AVERAGE(B227:B230)</f>
        <v>312.5555555555556</v>
      </c>
      <c r="L230" s="92">
        <f t="shared" si="58"/>
        <v>271.6875</v>
      </c>
      <c r="M230" s="92">
        <f t="shared" si="58"/>
        <v>234.0625</v>
      </c>
      <c r="N230" s="92">
        <f t="shared" si="58"/>
        <v>177</v>
      </c>
      <c r="O230" s="92">
        <f t="shared" si="58"/>
        <v>204.375</v>
      </c>
      <c r="P230" s="92">
        <f t="shared" si="58"/>
        <v>204.625</v>
      </c>
      <c r="Q230" s="92">
        <f t="shared" si="58"/>
        <v>159.3125</v>
      </c>
      <c r="R230" s="92">
        <f t="shared" si="58"/>
        <v>213.85125545851528</v>
      </c>
      <c r="T230" s="92">
        <v>0</v>
      </c>
      <c r="U230" s="92">
        <f t="shared" ref="U230:AA230" si="59">(L74+L126+L178)/3</f>
        <v>249.08333333333334</v>
      </c>
      <c r="V230" s="92">
        <f t="shared" si="59"/>
        <v>241.25</v>
      </c>
      <c r="W230" s="92">
        <f t="shared" si="59"/>
        <v>186.5</v>
      </c>
      <c r="X230" s="92">
        <f t="shared" si="59"/>
        <v>195.33333333333334</v>
      </c>
      <c r="Y230" s="92">
        <f t="shared" si="59"/>
        <v>196.08333333333334</v>
      </c>
      <c r="Z230" s="92">
        <f t="shared" si="59"/>
        <v>175.08333333333334</v>
      </c>
      <c r="AA230" s="92">
        <f t="shared" si="59"/>
        <v>240.25</v>
      </c>
      <c r="AC230" s="112">
        <f>+AF230-'Figure 8_data'!I442</f>
        <v>0</v>
      </c>
      <c r="AE230" s="92">
        <f t="shared" ref="AE230:AK230" si="60">(C230/U230-1)*100</f>
        <v>1.572432251589162</v>
      </c>
      <c r="AF230" s="92">
        <f t="shared" si="60"/>
        <v>-7.1502590673575117</v>
      </c>
      <c r="AG230" s="92">
        <f t="shared" si="60"/>
        <v>-9.9195710455764026</v>
      </c>
      <c r="AH230" s="92">
        <f t="shared" si="60"/>
        <v>0.34129692832765013</v>
      </c>
      <c r="AI230" s="92">
        <f t="shared" si="60"/>
        <v>0.46748831279217473</v>
      </c>
      <c r="AJ230" s="92">
        <f t="shared" si="60"/>
        <v>-12.613041408852933</v>
      </c>
      <c r="AK230" s="92">
        <f t="shared" si="60"/>
        <v>-11.069709954605134</v>
      </c>
      <c r="AM230" s="112">
        <f>AP230-'Figure 8_data'!H442</f>
        <v>0</v>
      </c>
      <c r="AN230" s="92">
        <f t="shared" ref="AN230:AU230" si="61">(B230/B178-1)*100</f>
        <v>-18.457300275482091</v>
      </c>
      <c r="AO230" s="92">
        <f t="shared" si="61"/>
        <v>-19.68253968253968</v>
      </c>
      <c r="AP230" s="92">
        <f t="shared" si="61"/>
        <v>-24.067796610169488</v>
      </c>
      <c r="AQ230" s="92">
        <f t="shared" si="61"/>
        <v>-21.86046511627907</v>
      </c>
      <c r="AR230" s="92">
        <f t="shared" si="61"/>
        <v>-32.41379310344827</v>
      </c>
      <c r="AS230" s="92">
        <f t="shared" si="61"/>
        <v>-32.068965517241374</v>
      </c>
      <c r="AT230" s="92">
        <f t="shared" si="61"/>
        <v>-28.837209302325583</v>
      </c>
      <c r="AU230" s="92">
        <f t="shared" si="61"/>
        <v>-26.325854539978909</v>
      </c>
    </row>
    <row r="231" spans="1:47" x14ac:dyDescent="0.3">
      <c r="A231" s="13">
        <f t="shared" si="49"/>
        <v>39196</v>
      </c>
      <c r="B231" s="92">
        <v>289</v>
      </c>
      <c r="C231" s="92">
        <v>244.6</v>
      </c>
      <c r="D231" s="92">
        <v>213</v>
      </c>
      <c r="E231" s="92">
        <v>161</v>
      </c>
      <c r="F231" s="92">
        <v>197</v>
      </c>
      <c r="G231" s="92">
        <v>197</v>
      </c>
      <c r="H231" s="92">
        <v>147</v>
      </c>
      <c r="I231" s="92">
        <v>205.4279475982533</v>
      </c>
      <c r="K231" s="92">
        <f t="shared" ref="K231:R231" si="62">AVERAGE(B228:B231)</f>
        <v>306.66666666666669</v>
      </c>
      <c r="L231" s="92">
        <f t="shared" si="62"/>
        <v>262.83749999999998</v>
      </c>
      <c r="M231" s="92">
        <f t="shared" si="62"/>
        <v>226.3125</v>
      </c>
      <c r="N231" s="92">
        <f t="shared" si="62"/>
        <v>173.25</v>
      </c>
      <c r="O231" s="92">
        <f t="shared" si="62"/>
        <v>200.375</v>
      </c>
      <c r="P231" s="92">
        <f t="shared" si="62"/>
        <v>200.625</v>
      </c>
      <c r="Q231" s="92">
        <f t="shared" si="62"/>
        <v>156.5625</v>
      </c>
      <c r="R231" s="92">
        <f t="shared" si="62"/>
        <v>216.95824235807862</v>
      </c>
      <c r="T231" s="92">
        <f t="shared" ref="T231:AA231" si="63">(K75+K127+K179)/3</f>
        <v>275.66666666666669</v>
      </c>
      <c r="U231" s="92">
        <f t="shared" si="63"/>
        <v>245.75</v>
      </c>
      <c r="V231" s="92">
        <f t="shared" si="63"/>
        <v>236.5</v>
      </c>
      <c r="W231" s="92">
        <f t="shared" si="63"/>
        <v>181.16666666666666</v>
      </c>
      <c r="X231" s="92">
        <f t="shared" si="63"/>
        <v>191.33333333333334</v>
      </c>
      <c r="Y231" s="92">
        <f t="shared" si="63"/>
        <v>191.91666666666666</v>
      </c>
      <c r="Z231" s="92">
        <f t="shared" si="63"/>
        <v>171.25</v>
      </c>
      <c r="AA231" s="92">
        <f t="shared" si="63"/>
        <v>235.33333333333334</v>
      </c>
      <c r="AC231" s="112">
        <f>+AF231-'Figure 8_data'!I443</f>
        <v>0</v>
      </c>
      <c r="AD231" s="92">
        <f t="shared" ref="AD231:AK231" si="64">(B231/T231-1)*100</f>
        <v>4.8367593712212775</v>
      </c>
      <c r="AE231" s="92">
        <f t="shared" si="64"/>
        <v>-0.46795523906408842</v>
      </c>
      <c r="AF231" s="92">
        <f t="shared" si="64"/>
        <v>-9.9365750528541241</v>
      </c>
      <c r="AG231" s="92">
        <f t="shared" si="64"/>
        <v>-11.131554737810479</v>
      </c>
      <c r="AH231" s="92">
        <f t="shared" si="64"/>
        <v>2.9616724738675826</v>
      </c>
      <c r="AI231" s="92">
        <f t="shared" si="64"/>
        <v>2.6487190620929191</v>
      </c>
      <c r="AJ231" s="92">
        <f t="shared" si="64"/>
        <v>-14.160583941605843</v>
      </c>
      <c r="AK231" s="92">
        <f t="shared" si="64"/>
        <v>-12.707670992243647</v>
      </c>
      <c r="AM231" s="112">
        <f>AP231-'Figure 8_data'!H443</f>
        <v>0</v>
      </c>
      <c r="AN231" s="92">
        <f t="shared" ref="AN231:AU231" si="65">(B231/B179-1)*100</f>
        <v>-19.273743016759781</v>
      </c>
      <c r="AO231" s="92">
        <f t="shared" si="65"/>
        <v>-20.841423948220061</v>
      </c>
      <c r="AP231" s="92">
        <f t="shared" si="65"/>
        <v>-26.041666666666664</v>
      </c>
      <c r="AQ231" s="92">
        <f t="shared" si="65"/>
        <v>-21.463414634146339</v>
      </c>
      <c r="AR231" s="92">
        <f t="shared" si="65"/>
        <v>-16.170212765957448</v>
      </c>
      <c r="AS231" s="92">
        <f t="shared" si="65"/>
        <v>-16.525423728813561</v>
      </c>
      <c r="AT231" s="92">
        <f t="shared" si="65"/>
        <v>-27.227722772277229</v>
      </c>
      <c r="AU231" s="92">
        <f t="shared" si="65"/>
        <v>-26.1050548207722</v>
      </c>
    </row>
    <row r="232" spans="1:47" x14ac:dyDescent="0.3">
      <c r="A232" s="13">
        <f t="shared" si="49"/>
        <v>39203</v>
      </c>
      <c r="B232" s="92">
        <v>282.5</v>
      </c>
      <c r="C232" s="92">
        <v>236.66666666666666</v>
      </c>
      <c r="D232" s="92">
        <v>214.16666666666666</v>
      </c>
      <c r="E232" s="92">
        <v>158.33333333333334</v>
      </c>
      <c r="F232" s="92">
        <v>191.66666666666666</v>
      </c>
      <c r="G232" s="92">
        <v>191.66666666666666</v>
      </c>
      <c r="H232" s="92">
        <v>146.66666666666666</v>
      </c>
      <c r="I232" s="92">
        <v>208.49344978165936</v>
      </c>
      <c r="K232" s="92">
        <f t="shared" ref="K232:R232" si="66">AVERAGE(B229:B232)</f>
        <v>297.29166666666669</v>
      </c>
      <c r="L232" s="92">
        <f t="shared" si="66"/>
        <v>252.00416666666666</v>
      </c>
      <c r="M232" s="92">
        <f t="shared" si="66"/>
        <v>220.60416666666666</v>
      </c>
      <c r="N232" s="92">
        <f t="shared" si="66"/>
        <v>168.08333333333334</v>
      </c>
      <c r="O232" s="92">
        <f t="shared" si="66"/>
        <v>196.79166666666666</v>
      </c>
      <c r="P232" s="92">
        <f t="shared" si="66"/>
        <v>197.04166666666666</v>
      </c>
      <c r="Q232" s="92">
        <f t="shared" si="66"/>
        <v>152.29166666666666</v>
      </c>
      <c r="R232" s="92">
        <f t="shared" si="66"/>
        <v>212.94896288209605</v>
      </c>
      <c r="T232" s="92">
        <f t="shared" ref="T232:AA232" si="67">(K76+K128+K180)/3</f>
        <v>268.16666666666669</v>
      </c>
      <c r="U232" s="92">
        <f t="shared" si="67"/>
        <v>235.41666666666666</v>
      </c>
      <c r="V232" s="92">
        <f t="shared" si="67"/>
        <v>227.25</v>
      </c>
      <c r="W232" s="92">
        <f t="shared" si="67"/>
        <v>178.83333333333334</v>
      </c>
      <c r="X232" s="92">
        <f t="shared" si="67"/>
        <v>184.83333333333334</v>
      </c>
      <c r="Y232" s="92">
        <f t="shared" si="67"/>
        <v>185.33333333333334</v>
      </c>
      <c r="Z232" s="92">
        <f t="shared" si="67"/>
        <v>165.75</v>
      </c>
      <c r="AA232" s="92">
        <f t="shared" si="67"/>
        <v>227.25</v>
      </c>
      <c r="AC232" s="112">
        <f>+AF232-'Figure 8_data'!I444</f>
        <v>0</v>
      </c>
      <c r="AD232" s="92">
        <f t="shared" ref="AD232:AK232" si="68">(B232/T232-1)*100</f>
        <v>5.3449347420758242</v>
      </c>
      <c r="AE232" s="92">
        <f t="shared" si="68"/>
        <v>0.53097345132744334</v>
      </c>
      <c r="AF232" s="92">
        <f t="shared" si="68"/>
        <v>-5.7572423909057591</v>
      </c>
      <c r="AG232" s="92">
        <f t="shared" si="68"/>
        <v>-11.463187325256285</v>
      </c>
      <c r="AH232" s="92">
        <f t="shared" si="68"/>
        <v>3.6970243462578711</v>
      </c>
      <c r="AI232" s="92">
        <f t="shared" si="68"/>
        <v>3.4172661870503385</v>
      </c>
      <c r="AJ232" s="92">
        <f t="shared" si="68"/>
        <v>-11.513323278029164</v>
      </c>
      <c r="AK232" s="92">
        <f t="shared" si="68"/>
        <v>-8.2537074668165626</v>
      </c>
      <c r="AM232" s="112">
        <f>AP232-'Figure 8_data'!H444</f>
        <v>0</v>
      </c>
      <c r="AN232" s="92">
        <f t="shared" ref="AN232:AU232" si="69">(B232/B180-1)*100</f>
        <v>-21.745152354570642</v>
      </c>
      <c r="AO232" s="92">
        <f t="shared" si="69"/>
        <v>-26.728586171310631</v>
      </c>
      <c r="AP232" s="92">
        <f t="shared" si="69"/>
        <v>-31.136120042872463</v>
      </c>
      <c r="AQ232" s="92">
        <f t="shared" si="69"/>
        <v>-38.151041666666664</v>
      </c>
      <c r="AR232" s="92">
        <f t="shared" si="69"/>
        <v>-20.470262793914252</v>
      </c>
      <c r="AS232" s="92">
        <f t="shared" si="69"/>
        <v>-20.470262793914252</v>
      </c>
      <c r="AT232" s="92">
        <f t="shared" si="69"/>
        <v>-33.333333333333336</v>
      </c>
      <c r="AU232" s="92">
        <f t="shared" si="69"/>
        <v>-27.100192384035182</v>
      </c>
    </row>
    <row r="233" spans="1:47" x14ac:dyDescent="0.3">
      <c r="A233" s="13">
        <f t="shared" si="49"/>
        <v>39210</v>
      </c>
      <c r="B233" s="92">
        <f>+TWK!B178</f>
        <v>269</v>
      </c>
      <c r="C233" s="92">
        <f>+TWK!C178</f>
        <v>233.83333333333334</v>
      </c>
      <c r="D233" s="92">
        <f>+TWK!D178</f>
        <v>209.16666666666666</v>
      </c>
      <c r="E233" s="92">
        <f>+TWK!E178</f>
        <v>155.83333333333334</v>
      </c>
      <c r="F233" s="92">
        <f>+TWK!F178</f>
        <v>182.5</v>
      </c>
      <c r="G233" s="92">
        <f>+TWK!G178</f>
        <v>175.83333333333334</v>
      </c>
      <c r="H233" s="92">
        <f>+TWK!H178</f>
        <v>145</v>
      </c>
      <c r="I233" s="92">
        <f>+TWK!I178</f>
        <v>203.70815138282387</v>
      </c>
      <c r="K233" s="92">
        <f t="shared" ref="K233:R233" si="70">AVERAGE(B230:B233)</f>
        <v>284.125</v>
      </c>
      <c r="L233" s="92">
        <f t="shared" si="70"/>
        <v>242.02500000000001</v>
      </c>
      <c r="M233" s="92">
        <f t="shared" si="70"/>
        <v>215.08333333333331</v>
      </c>
      <c r="N233" s="92">
        <f t="shared" si="70"/>
        <v>160.79166666666669</v>
      </c>
      <c r="O233" s="92">
        <f t="shared" si="70"/>
        <v>191.79166666666666</v>
      </c>
      <c r="P233" s="92">
        <f t="shared" si="70"/>
        <v>190.375</v>
      </c>
      <c r="Q233" s="92">
        <f t="shared" si="70"/>
        <v>147.91666666666666</v>
      </c>
      <c r="R233" s="92">
        <f t="shared" si="70"/>
        <v>207.82114264919943</v>
      </c>
      <c r="T233" s="92">
        <f t="shared" ref="T233:AA233" si="71">(K77+K129+K181)/3</f>
        <v>266</v>
      </c>
      <c r="U233" s="92">
        <f t="shared" si="71"/>
        <v>236</v>
      </c>
      <c r="V233" s="92">
        <f t="shared" si="71"/>
        <v>228.91666666666666</v>
      </c>
      <c r="W233" s="92">
        <f t="shared" si="71"/>
        <v>182</v>
      </c>
      <c r="X233" s="92">
        <f t="shared" si="71"/>
        <v>185.08333333333334</v>
      </c>
      <c r="Y233" s="92">
        <f t="shared" si="71"/>
        <v>185.83333333333334</v>
      </c>
      <c r="Z233" s="92">
        <f t="shared" si="71"/>
        <v>165.75</v>
      </c>
      <c r="AA233" s="92">
        <f t="shared" si="71"/>
        <v>226.25</v>
      </c>
      <c r="AC233" s="112">
        <f>+AF233-'Figure 8_data'!I445</f>
        <v>0</v>
      </c>
      <c r="AD233" s="92">
        <f t="shared" ref="AD233:AK233" si="72">(B233/T233-1)*100</f>
        <v>1.1278195488721776</v>
      </c>
      <c r="AE233" s="92">
        <f t="shared" si="72"/>
        <v>-0.91807909604519899</v>
      </c>
      <c r="AF233" s="92">
        <f t="shared" si="72"/>
        <v>-8.6275937386239505</v>
      </c>
      <c r="AG233" s="92">
        <f t="shared" si="72"/>
        <v>-14.377289377289371</v>
      </c>
      <c r="AH233" s="92">
        <f t="shared" si="72"/>
        <v>-1.3957676722197276</v>
      </c>
      <c r="AI233" s="92">
        <f t="shared" si="72"/>
        <v>-5.3811659192825161</v>
      </c>
      <c r="AJ233" s="92">
        <f t="shared" si="72"/>
        <v>-12.518853695324283</v>
      </c>
      <c r="AK233" s="92">
        <f t="shared" si="72"/>
        <v>-9.9632480075916625</v>
      </c>
      <c r="AM233" s="112">
        <f>AP233-'Figure 8_data'!H445</f>
        <v>0</v>
      </c>
      <c r="AN233" s="92">
        <f t="shared" ref="AN233:AU233" si="73">(B233/B181-1)*100</f>
        <v>-28.835978835978835</v>
      </c>
      <c r="AO233" s="92">
        <f t="shared" si="73"/>
        <v>-35.226223453370267</v>
      </c>
      <c r="AP233" s="92">
        <f t="shared" si="73"/>
        <v>-40.913370998116761</v>
      </c>
      <c r="AQ233" s="92">
        <f t="shared" si="73"/>
        <v>-48.05555555555555</v>
      </c>
      <c r="AR233" s="92">
        <f t="shared" si="73"/>
        <v>-32.656826568265686</v>
      </c>
      <c r="AS233" s="92">
        <f t="shared" si="73"/>
        <v>-35.116851168511687</v>
      </c>
      <c r="AT233" s="92">
        <f t="shared" si="73"/>
        <v>-42.000000000000007</v>
      </c>
      <c r="AU233" s="92">
        <f t="shared" si="73"/>
        <v>-36.341202692867533</v>
      </c>
    </row>
    <row r="234" spans="1:47" x14ac:dyDescent="0.3">
      <c r="A234" s="13">
        <f t="shared" ref="A234:A239" si="74">7+A233</f>
        <v>39217</v>
      </c>
      <c r="B234" s="92">
        <f>+TWK!B179</f>
        <v>299</v>
      </c>
      <c r="C234" s="92">
        <f>+TWK!C179</f>
        <v>247</v>
      </c>
      <c r="D234" s="92">
        <f>+TWK!D179</f>
        <v>227</v>
      </c>
      <c r="E234" s="92">
        <f>+TWK!E179</f>
        <v>179</v>
      </c>
      <c r="F234" s="92">
        <f>+TWK!F179</f>
        <v>183</v>
      </c>
      <c r="G234" s="92">
        <f>+TWK!G179</f>
        <v>183</v>
      </c>
      <c r="H234" s="92">
        <f>+TWK!H179</f>
        <v>154</v>
      </c>
      <c r="I234" s="92">
        <f>+TWK!I179</f>
        <v>216.28384279475986</v>
      </c>
      <c r="K234" s="92">
        <f t="shared" ref="K234:R234" si="75">AVERAGE(B231:B234)</f>
        <v>284.875</v>
      </c>
      <c r="L234" s="92">
        <f t="shared" si="75"/>
        <v>240.52500000000001</v>
      </c>
      <c r="M234" s="92">
        <f t="shared" si="75"/>
        <v>215.83333333333331</v>
      </c>
      <c r="N234" s="92">
        <f t="shared" si="75"/>
        <v>163.54166666666669</v>
      </c>
      <c r="O234" s="92">
        <f t="shared" si="75"/>
        <v>188.54166666666666</v>
      </c>
      <c r="P234" s="92">
        <f t="shared" si="75"/>
        <v>186.875</v>
      </c>
      <c r="Q234" s="92">
        <f t="shared" si="75"/>
        <v>148.16666666666666</v>
      </c>
      <c r="R234" s="92">
        <f t="shared" si="75"/>
        <v>208.47834788937408</v>
      </c>
      <c r="T234" s="92">
        <f t="shared" ref="T234:AA234" si="76">(K78+K130+K182)/3</f>
        <v>272.66666666666669</v>
      </c>
      <c r="U234" s="92">
        <f t="shared" si="76"/>
        <v>246.08333333333334</v>
      </c>
      <c r="V234" s="92">
        <f t="shared" si="76"/>
        <v>240.41666666666666</v>
      </c>
      <c r="W234" s="92">
        <f t="shared" si="76"/>
        <v>192.25</v>
      </c>
      <c r="X234" s="92">
        <f t="shared" si="76"/>
        <v>186.08333333333334</v>
      </c>
      <c r="Y234" s="92">
        <f t="shared" si="76"/>
        <v>186.83333333333334</v>
      </c>
      <c r="Z234" s="92">
        <f t="shared" si="76"/>
        <v>171.58333333333334</v>
      </c>
      <c r="AA234" s="92">
        <f t="shared" si="76"/>
        <v>231.41666666666666</v>
      </c>
      <c r="AC234" s="112">
        <f>+AF234-'Figure 8_data'!I446</f>
        <v>0</v>
      </c>
      <c r="AD234" s="92">
        <f t="shared" ref="AD234:AK234" si="77">(B234/T234-1)*100</f>
        <v>9.6577017114914288</v>
      </c>
      <c r="AE234" s="92">
        <f t="shared" si="77"/>
        <v>0.37250253979004277</v>
      </c>
      <c r="AF234" s="92">
        <f t="shared" si="77"/>
        <v>-5.580589254766033</v>
      </c>
      <c r="AG234" s="92">
        <f t="shared" si="77"/>
        <v>-6.8920676202860909</v>
      </c>
      <c r="AH234" s="92">
        <f t="shared" si="77"/>
        <v>-1.6569637259292502</v>
      </c>
      <c r="AI234" s="92">
        <f t="shared" si="77"/>
        <v>-2.0517395182872433</v>
      </c>
      <c r="AJ234" s="92">
        <f t="shared" si="77"/>
        <v>-10.247693054881013</v>
      </c>
      <c r="AK234" s="92">
        <f t="shared" si="77"/>
        <v>-6.5392108917134095</v>
      </c>
      <c r="AM234" s="112">
        <f>AP234-'Figure 8_data'!H446</f>
        <v>0</v>
      </c>
      <c r="AN234" s="92">
        <f t="shared" ref="AN234:AU234" si="78">(B234/B182-1)*100</f>
        <v>-31.105990783410142</v>
      </c>
      <c r="AO234" s="92">
        <f t="shared" si="78"/>
        <v>-39.312039312039317</v>
      </c>
      <c r="AP234" s="92">
        <f t="shared" si="78"/>
        <v>-42.239185750636132</v>
      </c>
      <c r="AQ234" s="92">
        <f t="shared" si="78"/>
        <v>-45.092024539877293</v>
      </c>
      <c r="AR234" s="92">
        <f t="shared" si="78"/>
        <v>-41.346153846153847</v>
      </c>
      <c r="AS234" s="92">
        <f t="shared" si="78"/>
        <v>-41.346153846153847</v>
      </c>
      <c r="AT234" s="92">
        <f t="shared" si="78"/>
        <v>-47.079037800687281</v>
      </c>
      <c r="AU234" s="92">
        <f t="shared" si="78"/>
        <v>-42.324308588064042</v>
      </c>
    </row>
    <row r="235" spans="1:47" x14ac:dyDescent="0.3">
      <c r="A235" s="13">
        <f t="shared" si="74"/>
        <v>39224</v>
      </c>
      <c r="B235" s="92">
        <f>+TWK!B180</f>
        <v>326</v>
      </c>
      <c r="C235" s="92">
        <f>+TWK!C180</f>
        <v>286</v>
      </c>
      <c r="D235" s="92">
        <f>+TWK!D180</f>
        <v>275</v>
      </c>
      <c r="E235" s="92">
        <f>+TWK!E180</f>
        <v>196</v>
      </c>
      <c r="F235" s="92">
        <f>+TWK!F180</f>
        <v>188</v>
      </c>
      <c r="G235" s="92">
        <f>+TWK!G180</f>
        <v>188</v>
      </c>
      <c r="H235" s="92">
        <f>+TWK!H180</f>
        <v>166</v>
      </c>
      <c r="I235" s="92">
        <f>+TWK!I180</f>
        <v>233</v>
      </c>
      <c r="K235" s="92">
        <f t="shared" ref="K235:R236" si="79">AVERAGE(B232:B235)</f>
        <v>294.125</v>
      </c>
      <c r="L235" s="92">
        <f t="shared" si="79"/>
        <v>250.875</v>
      </c>
      <c r="M235" s="92">
        <f t="shared" si="79"/>
        <v>231.33333333333331</v>
      </c>
      <c r="N235" s="92">
        <f t="shared" si="79"/>
        <v>172.29166666666669</v>
      </c>
      <c r="O235" s="92">
        <f t="shared" si="79"/>
        <v>186.29166666666666</v>
      </c>
      <c r="P235" s="92">
        <f t="shared" si="79"/>
        <v>184.625</v>
      </c>
      <c r="Q235" s="92">
        <f t="shared" si="79"/>
        <v>152.91666666666666</v>
      </c>
      <c r="R235" s="92">
        <f t="shared" si="79"/>
        <v>215.37136098981077</v>
      </c>
      <c r="T235" s="92">
        <f t="shared" ref="T235:AA236" si="80">(K79+K131+K183)/3</f>
        <v>285.83333333333331</v>
      </c>
      <c r="U235" s="92">
        <f t="shared" si="80"/>
        <v>260.41666666666669</v>
      </c>
      <c r="V235" s="92">
        <f t="shared" si="80"/>
        <v>255.08333333333334</v>
      </c>
      <c r="W235" s="92">
        <f t="shared" si="80"/>
        <v>205.16666666666666</v>
      </c>
      <c r="X235" s="92">
        <f t="shared" si="80"/>
        <v>194.83333333333334</v>
      </c>
      <c r="Y235" s="92">
        <f t="shared" si="80"/>
        <v>195.58333333333334</v>
      </c>
      <c r="Z235" s="92">
        <f t="shared" si="80"/>
        <v>181.66666666666666</v>
      </c>
      <c r="AA235" s="92">
        <f t="shared" si="80"/>
        <v>244.83333333333334</v>
      </c>
      <c r="AC235" s="112">
        <f>+AF235-'Figure 8_data'!I447</f>
        <v>0</v>
      </c>
      <c r="AD235" s="92">
        <f t="shared" ref="AD235:AK236" si="81">(B235/T235-1)*100</f>
        <v>14.052478134110791</v>
      </c>
      <c r="AE235" s="92">
        <f t="shared" si="81"/>
        <v>9.8239999999999874</v>
      </c>
      <c r="AF235" s="92">
        <f t="shared" si="81"/>
        <v>7.8079059131002992</v>
      </c>
      <c r="AG235" s="92">
        <f t="shared" si="81"/>
        <v>-4.4679122664500355</v>
      </c>
      <c r="AH235" s="92">
        <f t="shared" si="81"/>
        <v>-3.5072711719418392</v>
      </c>
      <c r="AI235" s="92">
        <f t="shared" si="81"/>
        <v>-3.8772901576480612</v>
      </c>
      <c r="AJ235" s="92">
        <f t="shared" si="81"/>
        <v>-8.6238532110091697</v>
      </c>
      <c r="AK235" s="92">
        <f t="shared" si="81"/>
        <v>-4.8332198774676645</v>
      </c>
      <c r="AM235" s="112">
        <f>AP235-'Figure 8_data'!H447</f>
        <v>0</v>
      </c>
      <c r="AN235" s="92">
        <f t="shared" ref="AN235:AU236" si="82">(B235/B183-1)*100</f>
        <v>-27.069351230425053</v>
      </c>
      <c r="AO235" s="92">
        <f t="shared" si="82"/>
        <v>-29.556650246305416</v>
      </c>
      <c r="AP235" s="92">
        <f t="shared" si="82"/>
        <v>-28.385416666666664</v>
      </c>
      <c r="AQ235" s="92">
        <f t="shared" si="82"/>
        <v>-38.170347003154568</v>
      </c>
      <c r="AR235" s="92">
        <f t="shared" si="82"/>
        <v>-43.543543543543542</v>
      </c>
      <c r="AS235" s="92">
        <f t="shared" si="82"/>
        <v>-43.543543543543542</v>
      </c>
      <c r="AT235" s="92">
        <f t="shared" si="82"/>
        <v>-45.033112582781456</v>
      </c>
      <c r="AU235" s="92">
        <f t="shared" si="82"/>
        <v>-42.46913580246914</v>
      </c>
    </row>
    <row r="236" spans="1:47" x14ac:dyDescent="0.3">
      <c r="A236" s="13">
        <f t="shared" si="74"/>
        <v>39231</v>
      </c>
      <c r="B236" s="92">
        <f>+TWK!B181</f>
        <v>386.25</v>
      </c>
      <c r="C236" s="92">
        <f>+TWK!C181</f>
        <v>333</v>
      </c>
      <c r="D236" s="92">
        <f>+TWK!D181</f>
        <v>326</v>
      </c>
      <c r="E236" s="92">
        <f>+TWK!E181</f>
        <v>252</v>
      </c>
      <c r="F236" s="92">
        <f>+TWK!F181</f>
        <v>208.75</v>
      </c>
      <c r="G236" s="92">
        <f>+TWK!G181</f>
        <v>213.75</v>
      </c>
      <c r="H236" s="92">
        <f>+TWK!H181</f>
        <v>208.75</v>
      </c>
      <c r="I236" s="92">
        <f>+TWK!I181</f>
        <v>293</v>
      </c>
      <c r="K236" s="92">
        <f t="shared" si="79"/>
        <v>320.0625</v>
      </c>
      <c r="L236" s="92">
        <f t="shared" si="79"/>
        <v>274.95833333333337</v>
      </c>
      <c r="M236" s="92">
        <f t="shared" si="79"/>
        <v>259.29166666666663</v>
      </c>
      <c r="N236" s="92">
        <f t="shared" si="79"/>
        <v>195.70833333333334</v>
      </c>
      <c r="O236" s="92">
        <f t="shared" si="79"/>
        <v>190.5625</v>
      </c>
      <c r="P236" s="92">
        <f t="shared" si="79"/>
        <v>190.14583333333334</v>
      </c>
      <c r="Q236" s="92">
        <f t="shared" si="79"/>
        <v>168.4375</v>
      </c>
      <c r="R236" s="92">
        <f t="shared" si="79"/>
        <v>236.49799854439593</v>
      </c>
      <c r="T236" s="92">
        <f t="shared" si="80"/>
        <v>297.41666666666669</v>
      </c>
      <c r="U236" s="92">
        <f t="shared" si="80"/>
        <v>269.91666666666669</v>
      </c>
      <c r="V236" s="92">
        <f t="shared" si="80"/>
        <v>261.83333333333331</v>
      </c>
      <c r="W236" s="92">
        <f t="shared" si="80"/>
        <v>205.91666666666666</v>
      </c>
      <c r="X236" s="92">
        <f t="shared" si="80"/>
        <v>200.16666666666666</v>
      </c>
      <c r="Y236" s="92">
        <f t="shared" si="80"/>
        <v>200.66666666666666</v>
      </c>
      <c r="Z236" s="92">
        <f t="shared" si="80"/>
        <v>186.83333333333334</v>
      </c>
      <c r="AA236" s="92">
        <f t="shared" si="80"/>
        <v>254.33333333333334</v>
      </c>
      <c r="AC236" s="112">
        <f>+AF236-'Figure 8_data'!I448</f>
        <v>0</v>
      </c>
      <c r="AD236" s="92">
        <f t="shared" si="81"/>
        <v>29.868310451106737</v>
      </c>
      <c r="AE236" s="92">
        <f t="shared" si="81"/>
        <v>23.371410929299152</v>
      </c>
      <c r="AF236" s="92">
        <f t="shared" si="81"/>
        <v>24.506683640993</v>
      </c>
      <c r="AG236" s="92">
        <f t="shared" si="81"/>
        <v>22.379603399433435</v>
      </c>
      <c r="AH236" s="92">
        <f t="shared" si="81"/>
        <v>4.2880932556203177</v>
      </c>
      <c r="AI236" s="92">
        <f t="shared" si="81"/>
        <v>6.519933554817281</v>
      </c>
      <c r="AJ236" s="92">
        <f t="shared" si="81"/>
        <v>11.730597680642285</v>
      </c>
      <c r="AK236" s="92">
        <f t="shared" si="81"/>
        <v>15.203145478374825</v>
      </c>
      <c r="AM236" s="112">
        <f>AP236-'Figure 8_data'!H448</f>
        <v>0</v>
      </c>
      <c r="AN236" s="92">
        <f t="shared" si="82"/>
        <v>-11.002304147465436</v>
      </c>
      <c r="AO236" s="92">
        <f t="shared" si="82"/>
        <v>-12.137203166226918</v>
      </c>
      <c r="AP236" s="92">
        <f t="shared" si="82"/>
        <v>-7.1225071225071268</v>
      </c>
      <c r="AQ236" s="92">
        <f t="shared" si="82"/>
        <v>-7.6923076923076872</v>
      </c>
      <c r="AR236" s="92">
        <f t="shared" si="82"/>
        <v>-31.105610561056107</v>
      </c>
      <c r="AS236" s="92">
        <f t="shared" si="82"/>
        <v>-29.455445544554458</v>
      </c>
      <c r="AT236" s="92">
        <f t="shared" si="82"/>
        <v>-23.53479853479854</v>
      </c>
      <c r="AU236" s="92">
        <f t="shared" si="82"/>
        <v>-24.484536082474229</v>
      </c>
    </row>
    <row r="237" spans="1:47" x14ac:dyDescent="0.3">
      <c r="A237" s="13">
        <f t="shared" si="74"/>
        <v>39238</v>
      </c>
      <c r="B237" s="92">
        <f>+TWK!B182</f>
        <v>396.25</v>
      </c>
      <c r="C237" s="92">
        <f>+TWK!C182</f>
        <v>353.75</v>
      </c>
      <c r="D237" s="92">
        <f>+TWK!D182</f>
        <v>353.75</v>
      </c>
      <c r="E237" s="92">
        <f>+TWK!E182</f>
        <v>263</v>
      </c>
      <c r="F237" s="92">
        <f>+TWK!F182</f>
        <v>251.66666666666666</v>
      </c>
      <c r="G237" s="92">
        <f>+TWK!G182</f>
        <v>248.75</v>
      </c>
      <c r="H237" s="92">
        <f>+TWK!H182</f>
        <v>230</v>
      </c>
      <c r="I237" s="92">
        <f>+TWK!I182</f>
        <v>325</v>
      </c>
      <c r="K237" s="92">
        <f t="shared" ref="K237:R237" si="83">AVERAGE(B234:B237)</f>
        <v>351.875</v>
      </c>
      <c r="L237" s="92">
        <f t="shared" si="83"/>
        <v>304.9375</v>
      </c>
      <c r="M237" s="92">
        <f t="shared" si="83"/>
        <v>295.4375</v>
      </c>
      <c r="N237" s="92">
        <f t="shared" si="83"/>
        <v>222.5</v>
      </c>
      <c r="O237" s="92">
        <f t="shared" si="83"/>
        <v>207.85416666666666</v>
      </c>
      <c r="P237" s="92">
        <f t="shared" si="83"/>
        <v>208.375</v>
      </c>
      <c r="Q237" s="92">
        <f t="shared" si="83"/>
        <v>189.6875</v>
      </c>
      <c r="R237" s="92">
        <f t="shared" si="83"/>
        <v>266.82096069868999</v>
      </c>
      <c r="T237" s="92">
        <f t="shared" ref="T237:AA237" si="84">(K81+K133+K185)/3</f>
        <v>310.16666666666669</v>
      </c>
      <c r="U237" s="92">
        <f t="shared" si="84"/>
        <v>274.5</v>
      </c>
      <c r="V237" s="92">
        <f t="shared" si="84"/>
        <v>264.75</v>
      </c>
      <c r="W237" s="92">
        <f t="shared" si="84"/>
        <v>204.16666666666666</v>
      </c>
      <c r="X237" s="92">
        <f t="shared" si="84"/>
        <v>202</v>
      </c>
      <c r="Y237" s="92">
        <f t="shared" si="84"/>
        <v>202.41666666666666</v>
      </c>
      <c r="Z237" s="92">
        <f t="shared" si="84"/>
        <v>189.66666666666666</v>
      </c>
      <c r="AA237" s="92">
        <f t="shared" si="84"/>
        <v>259.75</v>
      </c>
      <c r="AC237" s="112">
        <f>+AF237-'Figure 8_data'!I449</f>
        <v>0</v>
      </c>
      <c r="AD237" s="92">
        <f t="shared" ref="AD237:AK237" si="85">(B237/T237-1)*100</f>
        <v>27.753895754970447</v>
      </c>
      <c r="AE237" s="92">
        <f t="shared" si="85"/>
        <v>28.870673952641155</v>
      </c>
      <c r="AF237" s="92">
        <f t="shared" si="85"/>
        <v>33.616619452313515</v>
      </c>
      <c r="AG237" s="92">
        <f t="shared" si="85"/>
        <v>28.816326530612258</v>
      </c>
      <c r="AH237" s="92">
        <f t="shared" si="85"/>
        <v>24.587458745874578</v>
      </c>
      <c r="AI237" s="92">
        <f t="shared" si="85"/>
        <v>22.890078221490342</v>
      </c>
      <c r="AJ237" s="92">
        <f t="shared" si="85"/>
        <v>21.265377855887536</v>
      </c>
      <c r="AK237" s="92">
        <f t="shared" si="85"/>
        <v>25.120307988450442</v>
      </c>
      <c r="AM237" s="112">
        <f>AP237-'Figure 8_data'!H449</f>
        <v>0</v>
      </c>
      <c r="AN237" s="92">
        <f t="shared" ref="AN237:AU237" si="86">(B237/B185-1)*100</f>
        <v>-14.967811158798284</v>
      </c>
      <c r="AO237" s="92">
        <f t="shared" si="86"/>
        <v>-8.8273195876288675</v>
      </c>
      <c r="AP237" s="92">
        <f t="shared" si="86"/>
        <v>-5.4144385026738018</v>
      </c>
      <c r="AQ237" s="92">
        <f t="shared" si="86"/>
        <v>-6.7375886524822732</v>
      </c>
      <c r="AR237" s="92">
        <f t="shared" si="86"/>
        <v>-18.02388707926168</v>
      </c>
      <c r="AS237" s="92">
        <f t="shared" si="86"/>
        <v>-18.973941368078172</v>
      </c>
      <c r="AT237" s="92">
        <f t="shared" si="86"/>
        <v>-16.058394160583944</v>
      </c>
      <c r="AU237" s="92">
        <f t="shared" si="86"/>
        <v>-9.2178770949720708</v>
      </c>
    </row>
    <row r="238" spans="1:47" x14ac:dyDescent="0.3">
      <c r="A238" s="13">
        <f t="shared" si="74"/>
        <v>39245</v>
      </c>
      <c r="B238" s="92">
        <f>+TWK!B183</f>
        <v>415</v>
      </c>
      <c r="C238" s="92">
        <f>+TWK!C183</f>
        <v>354</v>
      </c>
      <c r="D238" s="92">
        <f>+TWK!D183</f>
        <v>330</v>
      </c>
      <c r="E238" s="92">
        <f>+TWK!E183</f>
        <v>244</v>
      </c>
      <c r="F238" s="92">
        <f>+TWK!F183</f>
        <v>251</v>
      </c>
      <c r="G238" s="92">
        <f>+TWK!G183</f>
        <v>252</v>
      </c>
      <c r="H238" s="92">
        <f>+TWK!H183</f>
        <v>231</v>
      </c>
      <c r="I238" s="92">
        <f>+TWK!I183</f>
        <v>319</v>
      </c>
      <c r="K238" s="92">
        <f t="shared" ref="K238:R238" si="87">AVERAGE(B235:B238)</f>
        <v>380.875</v>
      </c>
      <c r="L238" s="92">
        <f t="shared" si="87"/>
        <v>331.6875</v>
      </c>
      <c r="M238" s="92">
        <f t="shared" si="87"/>
        <v>321.1875</v>
      </c>
      <c r="N238" s="92">
        <f t="shared" si="87"/>
        <v>238.75</v>
      </c>
      <c r="O238" s="92">
        <f t="shared" si="87"/>
        <v>224.85416666666666</v>
      </c>
      <c r="P238" s="92">
        <f t="shared" si="87"/>
        <v>225.625</v>
      </c>
      <c r="Q238" s="92">
        <f t="shared" si="87"/>
        <v>208.9375</v>
      </c>
      <c r="R238" s="92">
        <f t="shared" si="87"/>
        <v>292.5</v>
      </c>
      <c r="T238" s="92">
        <f t="shared" ref="T238:AA238" si="88">(K82+K134+K186)/3</f>
        <v>314.58333333333331</v>
      </c>
      <c r="U238" s="92">
        <f t="shared" si="88"/>
        <v>270.91666666666669</v>
      </c>
      <c r="V238" s="92">
        <f t="shared" si="88"/>
        <v>260.5</v>
      </c>
      <c r="W238" s="92">
        <f t="shared" si="88"/>
        <v>199.5</v>
      </c>
      <c r="X238" s="92">
        <f t="shared" si="88"/>
        <v>199.83333333333334</v>
      </c>
      <c r="Y238" s="92">
        <f t="shared" si="88"/>
        <v>200.25</v>
      </c>
      <c r="Z238" s="92">
        <f t="shared" si="88"/>
        <v>187.91666666666666</v>
      </c>
      <c r="AA238" s="92">
        <f t="shared" si="88"/>
        <v>260.16666666666669</v>
      </c>
      <c r="AC238" s="112">
        <f>+AF238-'Figure 8_data'!I450</f>
        <v>0</v>
      </c>
      <c r="AD238" s="92">
        <f t="shared" ref="AD238:AK238" si="89">(B238/T238-1)*100</f>
        <v>31.920529801324516</v>
      </c>
      <c r="AE238" s="92">
        <f t="shared" si="89"/>
        <v>30.667486927099354</v>
      </c>
      <c r="AF238" s="92">
        <f t="shared" si="89"/>
        <v>26.679462571976977</v>
      </c>
      <c r="AG238" s="92">
        <f t="shared" si="89"/>
        <v>22.30576441102756</v>
      </c>
      <c r="AH238" s="92">
        <f t="shared" si="89"/>
        <v>25.604670558799004</v>
      </c>
      <c r="AI238" s="92">
        <f t="shared" si="89"/>
        <v>25.842696629213478</v>
      </c>
      <c r="AJ238" s="92">
        <f t="shared" si="89"/>
        <v>22.926829268292682</v>
      </c>
      <c r="AK238" s="92">
        <f t="shared" si="89"/>
        <v>22.61370916079435</v>
      </c>
      <c r="AM238" s="112">
        <f>AP238-'Figure 8_data'!H450</f>
        <v>0</v>
      </c>
      <c r="AN238" s="92">
        <f t="shared" ref="AN238:AU238" si="90">(B238/B186-1)*100</f>
        <v>-11.513859275053306</v>
      </c>
      <c r="AO238" s="92">
        <f t="shared" si="90"/>
        <v>-10.831234256926948</v>
      </c>
      <c r="AP238" s="92">
        <f t="shared" si="90"/>
        <v>-14.728682170542641</v>
      </c>
      <c r="AQ238" s="92">
        <f t="shared" si="90"/>
        <v>-13.167259786476871</v>
      </c>
      <c r="AR238" s="92">
        <f t="shared" si="90"/>
        <v>-17.161716171617158</v>
      </c>
      <c r="AS238" s="92">
        <f t="shared" si="90"/>
        <v>-16.831683168316836</v>
      </c>
      <c r="AT238" s="92">
        <f t="shared" si="90"/>
        <v>-14.760147601476014</v>
      </c>
      <c r="AU238" s="92">
        <f t="shared" si="90"/>
        <v>-8.8571428571428523</v>
      </c>
    </row>
    <row r="239" spans="1:47" x14ac:dyDescent="0.3">
      <c r="A239" s="13">
        <f t="shared" si="74"/>
        <v>39252</v>
      </c>
      <c r="B239" s="92">
        <f>+TWK!B184</f>
        <v>413</v>
      </c>
      <c r="C239" s="92">
        <f>+TWK!C184</f>
        <v>378</v>
      </c>
      <c r="D239" s="92">
        <f>+TWK!D184</f>
        <v>345</v>
      </c>
      <c r="E239" s="92">
        <f>+TWK!E184</f>
        <v>280</v>
      </c>
      <c r="F239" s="92">
        <f>+TWK!F184</f>
        <v>273</v>
      </c>
      <c r="G239" s="92">
        <f>+TWK!G184</f>
        <v>270</v>
      </c>
      <c r="H239" s="92">
        <f>+TWK!H184</f>
        <v>253</v>
      </c>
      <c r="I239" s="92">
        <f>+TWK!I184</f>
        <v>347</v>
      </c>
      <c r="K239" s="92">
        <f t="shared" ref="K239:R243" si="91">AVERAGE(B236:B239)</f>
        <v>402.625</v>
      </c>
      <c r="L239" s="92">
        <f t="shared" si="91"/>
        <v>354.6875</v>
      </c>
      <c r="M239" s="92">
        <f t="shared" si="91"/>
        <v>338.6875</v>
      </c>
      <c r="N239" s="92">
        <f t="shared" si="91"/>
        <v>259.75</v>
      </c>
      <c r="O239" s="92">
        <f t="shared" si="91"/>
        <v>246.10416666666666</v>
      </c>
      <c r="P239" s="92">
        <f t="shared" si="91"/>
        <v>246.125</v>
      </c>
      <c r="Q239" s="92">
        <f t="shared" si="91"/>
        <v>230.6875</v>
      </c>
      <c r="R239" s="92">
        <f t="shared" si="91"/>
        <v>321</v>
      </c>
      <c r="T239" s="92">
        <f t="shared" ref="T239:AA243" si="92">(K83+K135+K187)/3</f>
        <v>311.16666666666669</v>
      </c>
      <c r="U239" s="92">
        <f t="shared" si="92"/>
        <v>263.33333333333331</v>
      </c>
      <c r="V239" s="92">
        <f t="shared" si="92"/>
        <v>253.66666666666666</v>
      </c>
      <c r="W239" s="92">
        <f t="shared" si="92"/>
        <v>194</v>
      </c>
      <c r="X239" s="92">
        <f t="shared" si="92"/>
        <v>196.66666666666666</v>
      </c>
      <c r="Y239" s="92">
        <f t="shared" si="92"/>
        <v>197.33333333333334</v>
      </c>
      <c r="Z239" s="92">
        <f t="shared" si="92"/>
        <v>183.41666666666666</v>
      </c>
      <c r="AA239" s="92">
        <f t="shared" si="92"/>
        <v>255</v>
      </c>
      <c r="AC239" s="112">
        <f>+AF239-'Figure 8_data'!I451</f>
        <v>0</v>
      </c>
      <c r="AD239" s="92">
        <f t="shared" ref="AD239:AK243" si="93">(B239/T239-1)*100</f>
        <v>32.72629887520084</v>
      </c>
      <c r="AE239" s="92">
        <f t="shared" si="93"/>
        <v>43.544303797468366</v>
      </c>
      <c r="AF239" s="92">
        <f t="shared" si="93"/>
        <v>36.005256241787123</v>
      </c>
      <c r="AG239" s="92">
        <f t="shared" si="93"/>
        <v>44.329896907216494</v>
      </c>
      <c r="AH239" s="92">
        <f t="shared" si="93"/>
        <v>38.813559322033896</v>
      </c>
      <c r="AI239" s="92">
        <f t="shared" si="93"/>
        <v>36.824324324324323</v>
      </c>
      <c r="AJ239" s="92">
        <f t="shared" si="93"/>
        <v>37.937301226715149</v>
      </c>
      <c r="AK239" s="92">
        <f t="shared" si="93"/>
        <v>36.078431372549026</v>
      </c>
      <c r="AM239" s="112">
        <f>AP239-'Figure 8_data'!H451</f>
        <v>0</v>
      </c>
      <c r="AN239" s="92">
        <f t="shared" ref="AN239:AU243" si="94">(B239/B187-1)*100</f>
        <v>-6.5610859728506776</v>
      </c>
      <c r="AO239" s="92">
        <f t="shared" si="94"/>
        <v>-1.5625</v>
      </c>
      <c r="AP239" s="92">
        <f t="shared" si="94"/>
        <v>-9.6858638743455465</v>
      </c>
      <c r="AQ239" s="92">
        <f t="shared" si="94"/>
        <v>-6.0402684563758413</v>
      </c>
      <c r="AR239" s="92">
        <f t="shared" si="94"/>
        <v>-15.479876160990713</v>
      </c>
      <c r="AS239" s="92">
        <f t="shared" si="94"/>
        <v>-16.408668730650156</v>
      </c>
      <c r="AT239" s="92">
        <f t="shared" si="94"/>
        <v>-6.9852941176470562</v>
      </c>
      <c r="AU239" s="92">
        <f t="shared" si="94"/>
        <v>-0.28735632183908288</v>
      </c>
    </row>
    <row r="240" spans="1:47" x14ac:dyDescent="0.3">
      <c r="A240" s="13">
        <v>39259</v>
      </c>
      <c r="B240" s="92">
        <f>+TWK!B185</f>
        <v>423.75</v>
      </c>
      <c r="C240" s="92">
        <f>+TWK!C185</f>
        <v>411</v>
      </c>
      <c r="D240" s="92">
        <f>+TWK!D185</f>
        <v>369</v>
      </c>
      <c r="E240" s="92">
        <f>+TWK!E185</f>
        <v>308</v>
      </c>
      <c r="F240" s="92">
        <f>+TWK!F185</f>
        <v>289</v>
      </c>
      <c r="G240" s="92">
        <f>+TWK!G185</f>
        <v>277</v>
      </c>
      <c r="H240" s="92">
        <f>+TWK!H185</f>
        <v>248.75</v>
      </c>
      <c r="I240" s="92">
        <f>+TWK!I185</f>
        <v>341</v>
      </c>
      <c r="K240" s="92">
        <f t="shared" si="91"/>
        <v>412</v>
      </c>
      <c r="L240" s="92">
        <f t="shared" si="91"/>
        <v>374.1875</v>
      </c>
      <c r="M240" s="92">
        <f t="shared" si="91"/>
        <v>349.4375</v>
      </c>
      <c r="N240" s="92">
        <f t="shared" si="91"/>
        <v>273.75</v>
      </c>
      <c r="O240" s="92">
        <f t="shared" si="91"/>
        <v>266.16666666666663</v>
      </c>
      <c r="P240" s="92">
        <f t="shared" si="91"/>
        <v>261.9375</v>
      </c>
      <c r="Q240" s="92">
        <f t="shared" si="91"/>
        <v>240.6875</v>
      </c>
      <c r="R240" s="92">
        <f t="shared" si="91"/>
        <v>333</v>
      </c>
      <c r="T240" s="92">
        <f t="shared" si="92"/>
        <v>313.83333333333331</v>
      </c>
      <c r="U240" s="92">
        <f t="shared" si="92"/>
        <v>263.83333333333331</v>
      </c>
      <c r="V240" s="92">
        <f t="shared" si="92"/>
        <v>256.16666666666669</v>
      </c>
      <c r="W240" s="92">
        <f t="shared" si="92"/>
        <v>196.66666666666666</v>
      </c>
      <c r="X240" s="92">
        <f t="shared" si="92"/>
        <v>203.25</v>
      </c>
      <c r="Y240" s="92">
        <f t="shared" si="92"/>
        <v>204.41666666666666</v>
      </c>
      <c r="Z240" s="92">
        <f t="shared" si="92"/>
        <v>184.75</v>
      </c>
      <c r="AA240" s="92">
        <f t="shared" si="92"/>
        <v>255.66666666666666</v>
      </c>
      <c r="AC240" s="112">
        <f>+AF240-'Figure 8_data'!I452</f>
        <v>0</v>
      </c>
      <c r="AD240" s="92">
        <f t="shared" si="93"/>
        <v>35.023898035050458</v>
      </c>
      <c r="AE240" s="92">
        <f t="shared" si="93"/>
        <v>55.780164245104238</v>
      </c>
      <c r="AF240" s="92">
        <f t="shared" si="93"/>
        <v>44.04684450227716</v>
      </c>
      <c r="AG240" s="92">
        <f t="shared" si="93"/>
        <v>56.61016949152544</v>
      </c>
      <c r="AH240" s="92">
        <f t="shared" si="93"/>
        <v>42.189421894218945</v>
      </c>
      <c r="AI240" s="92">
        <f t="shared" si="93"/>
        <v>35.507541785568698</v>
      </c>
      <c r="AJ240" s="92">
        <f t="shared" si="93"/>
        <v>34.641407307171846</v>
      </c>
      <c r="AK240" s="92">
        <f t="shared" si="93"/>
        <v>33.376792698826605</v>
      </c>
      <c r="AM240" s="112">
        <f>AP240-'Figure 8_data'!H452</f>
        <v>0</v>
      </c>
      <c r="AN240" s="92">
        <f t="shared" si="94"/>
        <v>-12.085062240663902</v>
      </c>
      <c r="AO240" s="92">
        <f t="shared" si="94"/>
        <v>-2.8368794326241176</v>
      </c>
      <c r="AP240" s="92">
        <f t="shared" si="94"/>
        <v>-11.298076923076927</v>
      </c>
      <c r="AQ240" s="92">
        <f t="shared" si="94"/>
        <v>-8.059701492537318</v>
      </c>
      <c r="AR240" s="92">
        <f t="shared" si="94"/>
        <v>-26.835443037974681</v>
      </c>
      <c r="AS240" s="92">
        <f t="shared" si="94"/>
        <v>-29.87341772151899</v>
      </c>
      <c r="AT240" s="92">
        <f t="shared" si="94"/>
        <v>-18.442622950819676</v>
      </c>
      <c r="AU240" s="92">
        <f t="shared" si="94"/>
        <v>-17.433414043583539</v>
      </c>
    </row>
    <row r="241" spans="1:47" x14ac:dyDescent="0.3">
      <c r="A241" s="13">
        <v>39266</v>
      </c>
      <c r="B241" s="92">
        <v>424</v>
      </c>
      <c r="C241" s="92">
        <v>375</v>
      </c>
      <c r="D241" s="92">
        <v>360</v>
      </c>
      <c r="E241" s="92">
        <v>279</v>
      </c>
      <c r="F241" s="92">
        <v>281</v>
      </c>
      <c r="G241" s="92">
        <v>290</v>
      </c>
      <c r="H241" s="92">
        <v>266</v>
      </c>
      <c r="I241" s="92">
        <v>355</v>
      </c>
      <c r="K241" s="92">
        <f t="shared" si="91"/>
        <v>418.9375</v>
      </c>
      <c r="L241" s="92">
        <f t="shared" si="91"/>
        <v>379.5</v>
      </c>
      <c r="M241" s="92">
        <f t="shared" si="91"/>
        <v>351</v>
      </c>
      <c r="N241" s="92">
        <f t="shared" si="91"/>
        <v>277.75</v>
      </c>
      <c r="O241" s="92">
        <f t="shared" si="91"/>
        <v>273.5</v>
      </c>
      <c r="P241" s="92">
        <f t="shared" si="91"/>
        <v>272.25</v>
      </c>
      <c r="Q241" s="92">
        <f t="shared" si="91"/>
        <v>249.6875</v>
      </c>
      <c r="R241" s="92">
        <f t="shared" si="91"/>
        <v>340.5</v>
      </c>
      <c r="T241" s="92">
        <f t="shared" si="92"/>
        <v>318.08333333333331</v>
      </c>
      <c r="U241" s="92">
        <f t="shared" si="92"/>
        <v>269.5</v>
      </c>
      <c r="V241" s="92">
        <f t="shared" si="92"/>
        <v>262.16666666666669</v>
      </c>
      <c r="W241" s="92">
        <f t="shared" si="92"/>
        <v>207</v>
      </c>
      <c r="X241" s="92">
        <f t="shared" si="92"/>
        <v>218.58333333333334</v>
      </c>
      <c r="Y241" s="92">
        <f t="shared" si="92"/>
        <v>220.16666666666666</v>
      </c>
      <c r="Z241" s="92">
        <f t="shared" si="92"/>
        <v>193</v>
      </c>
      <c r="AA241" s="92">
        <f t="shared" si="92"/>
        <v>266</v>
      </c>
      <c r="AC241" s="112">
        <f>+AF241-'Figure 8_data'!I453</f>
        <v>0</v>
      </c>
      <c r="AD241" s="92">
        <f t="shared" si="93"/>
        <v>33.298401886298159</v>
      </c>
      <c r="AE241" s="92">
        <f t="shared" si="93"/>
        <v>39.146567717996291</v>
      </c>
      <c r="AF241" s="92">
        <f t="shared" si="93"/>
        <v>37.317228226319131</v>
      </c>
      <c r="AG241" s="92">
        <f t="shared" si="93"/>
        <v>34.782608695652172</v>
      </c>
      <c r="AH241" s="92">
        <f t="shared" si="93"/>
        <v>28.555089592070139</v>
      </c>
      <c r="AI241" s="92">
        <f t="shared" si="93"/>
        <v>31.718395155185462</v>
      </c>
      <c r="AJ241" s="92">
        <f t="shared" si="93"/>
        <v>37.823834196891191</v>
      </c>
      <c r="AK241" s="92">
        <f t="shared" si="93"/>
        <v>33.458646616541344</v>
      </c>
      <c r="AM241" s="112">
        <f>AP241-'Figure 8_data'!H453</f>
        <v>0</v>
      </c>
      <c r="AN241" s="92">
        <f t="shared" si="94"/>
        <v>-20.45028142589118</v>
      </c>
      <c r="AO241" s="92">
        <f t="shared" si="94"/>
        <v>-18.122270742358083</v>
      </c>
      <c r="AP241" s="92">
        <f t="shared" si="94"/>
        <v>-18.735891647855528</v>
      </c>
      <c r="AQ241" s="92">
        <f t="shared" si="94"/>
        <v>-32.7710843373494</v>
      </c>
      <c r="AR241" s="92">
        <f t="shared" si="94"/>
        <v>-40.085287846481876</v>
      </c>
      <c r="AS241" s="92">
        <f t="shared" si="94"/>
        <v>-38.94736842105263</v>
      </c>
      <c r="AT241" s="92">
        <f t="shared" si="94"/>
        <v>-30.54830287206266</v>
      </c>
      <c r="AU241" s="92">
        <f t="shared" si="94"/>
        <v>-27.254098360655743</v>
      </c>
    </row>
    <row r="242" spans="1:47" x14ac:dyDescent="0.3">
      <c r="A242" s="13">
        <v>39273</v>
      </c>
      <c r="B242" s="92">
        <v>428</v>
      </c>
      <c r="C242" s="92">
        <v>366</v>
      </c>
      <c r="D242" s="92">
        <v>356</v>
      </c>
      <c r="E242" s="92">
        <v>288</v>
      </c>
      <c r="F242" s="92">
        <v>291</v>
      </c>
      <c r="G242" s="92">
        <v>291</v>
      </c>
      <c r="H242" s="92">
        <v>260</v>
      </c>
      <c r="I242" s="92">
        <v>366</v>
      </c>
      <c r="K242" s="92">
        <f t="shared" si="91"/>
        <v>422.1875</v>
      </c>
      <c r="L242" s="92">
        <f t="shared" si="91"/>
        <v>382.5</v>
      </c>
      <c r="M242" s="92">
        <f t="shared" si="91"/>
        <v>357.5</v>
      </c>
      <c r="N242" s="92">
        <f t="shared" si="91"/>
        <v>288.75</v>
      </c>
      <c r="O242" s="92">
        <f t="shared" si="91"/>
        <v>283.5</v>
      </c>
      <c r="P242" s="92">
        <f t="shared" si="91"/>
        <v>282</v>
      </c>
      <c r="Q242" s="92">
        <f t="shared" si="91"/>
        <v>256.9375</v>
      </c>
      <c r="R242" s="92">
        <f t="shared" si="91"/>
        <v>352.25</v>
      </c>
      <c r="T242" s="92">
        <f t="shared" si="92"/>
        <v>329.83333333333331</v>
      </c>
      <c r="U242" s="92">
        <f t="shared" si="92"/>
        <v>280.91666666666669</v>
      </c>
      <c r="V242" s="92">
        <f t="shared" si="92"/>
        <v>273.58333333333331</v>
      </c>
      <c r="W242" s="92">
        <f t="shared" si="92"/>
        <v>223.66666666666666</v>
      </c>
      <c r="X242" s="92">
        <f t="shared" si="92"/>
        <v>237.08333333333334</v>
      </c>
      <c r="Y242" s="92">
        <f t="shared" si="92"/>
        <v>238.75</v>
      </c>
      <c r="Z242" s="92">
        <f t="shared" si="92"/>
        <v>205.41666666666666</v>
      </c>
      <c r="AA242" s="92">
        <f t="shared" si="92"/>
        <v>280.66666666666669</v>
      </c>
      <c r="AC242" s="112">
        <f>+AF242-'Figure 8_data'!I454</f>
        <v>0</v>
      </c>
      <c r="AD242" s="92">
        <f t="shared" si="93"/>
        <v>29.762506316321378</v>
      </c>
      <c r="AE242" s="92">
        <f t="shared" si="93"/>
        <v>30.287748442598627</v>
      </c>
      <c r="AF242" s="92">
        <f t="shared" si="93"/>
        <v>30.124885775205623</v>
      </c>
      <c r="AG242" s="92">
        <f t="shared" si="93"/>
        <v>28.763040238450088</v>
      </c>
      <c r="AH242" s="92">
        <f t="shared" si="93"/>
        <v>22.741652021089621</v>
      </c>
      <c r="AI242" s="92">
        <f t="shared" si="93"/>
        <v>21.884816753926707</v>
      </c>
      <c r="AJ242" s="92">
        <f t="shared" si="93"/>
        <v>26.572008113590261</v>
      </c>
      <c r="AK242" s="92">
        <f t="shared" si="93"/>
        <v>30.403800475059374</v>
      </c>
      <c r="AM242" s="112">
        <f>AP242-'Figure 8_data'!H454</f>
        <v>0</v>
      </c>
      <c r="AN242" s="92">
        <f t="shared" si="94"/>
        <v>-27.702702702702698</v>
      </c>
      <c r="AO242" s="92">
        <f t="shared" si="94"/>
        <v>-27.380952380952383</v>
      </c>
      <c r="AP242" s="92">
        <f t="shared" si="94"/>
        <v>-27.789046653144013</v>
      </c>
      <c r="AQ242" s="92">
        <f t="shared" si="94"/>
        <v>-40.124740124740121</v>
      </c>
      <c r="AR242" s="92">
        <f t="shared" si="94"/>
        <v>-39.375000000000007</v>
      </c>
      <c r="AS242" s="92">
        <f t="shared" si="94"/>
        <v>-39.626556016597512</v>
      </c>
      <c r="AT242" s="92">
        <f t="shared" si="94"/>
        <v>-37.947494033412887</v>
      </c>
      <c r="AU242" s="92">
        <f t="shared" si="94"/>
        <v>-31.970260223048331</v>
      </c>
    </row>
    <row r="243" spans="1:47" x14ac:dyDescent="0.3">
      <c r="A243" s="13">
        <v>39280</v>
      </c>
      <c r="B243" s="92">
        <v>509</v>
      </c>
      <c r="C243" s="92">
        <v>431</v>
      </c>
      <c r="D243" s="92">
        <v>439</v>
      </c>
      <c r="E243" s="92">
        <v>356</v>
      </c>
      <c r="F243" s="92">
        <v>338</v>
      </c>
      <c r="G243" s="92">
        <v>338</v>
      </c>
      <c r="H243" s="92">
        <v>339</v>
      </c>
      <c r="I243" s="92">
        <v>456</v>
      </c>
      <c r="K243" s="92">
        <f t="shared" si="91"/>
        <v>446.1875</v>
      </c>
      <c r="L243" s="92">
        <f t="shared" si="91"/>
        <v>395.75</v>
      </c>
      <c r="M243" s="92">
        <f t="shared" si="91"/>
        <v>381</v>
      </c>
      <c r="N243" s="92">
        <f t="shared" si="91"/>
        <v>307.75</v>
      </c>
      <c r="O243" s="92">
        <f t="shared" si="91"/>
        <v>299.75</v>
      </c>
      <c r="P243" s="92">
        <f t="shared" si="91"/>
        <v>299</v>
      </c>
      <c r="Q243" s="92">
        <f t="shared" si="91"/>
        <v>278.4375</v>
      </c>
      <c r="R243" s="92">
        <f t="shared" si="91"/>
        <v>379.5</v>
      </c>
      <c r="T243" s="92">
        <f t="shared" si="92"/>
        <v>357.25</v>
      </c>
      <c r="U243" s="92">
        <f t="shared" si="92"/>
        <v>305.41666666666669</v>
      </c>
      <c r="V243" s="92">
        <f t="shared" si="92"/>
        <v>294.33333333333331</v>
      </c>
      <c r="W243" s="92">
        <f t="shared" si="92"/>
        <v>250.16666666666666</v>
      </c>
      <c r="X243" s="92">
        <f t="shared" si="92"/>
        <v>257.75</v>
      </c>
      <c r="Y243" s="92">
        <f t="shared" si="92"/>
        <v>259.75</v>
      </c>
      <c r="Z243" s="92">
        <f t="shared" si="92"/>
        <v>228.66666666666666</v>
      </c>
      <c r="AA243" s="92">
        <f t="shared" ref="AA243:AA248" si="95">(R87+R139+R191)/3</f>
        <v>308.83333333333331</v>
      </c>
      <c r="AC243" s="112">
        <f>+AF243-'Figure 8_data'!I455</f>
        <v>0</v>
      </c>
      <c r="AD243" s="92">
        <f t="shared" si="93"/>
        <v>42.477256822953116</v>
      </c>
      <c r="AE243" s="92">
        <f t="shared" si="93"/>
        <v>41.11869031377897</v>
      </c>
      <c r="AF243" s="92">
        <f t="shared" ref="AF243:AG245" si="96">(D243/V243-1)*100</f>
        <v>49.150622876557208</v>
      </c>
      <c r="AG243" s="92">
        <f t="shared" si="96"/>
        <v>42.305129913391085</v>
      </c>
      <c r="AH243" s="92">
        <f t="shared" si="93"/>
        <v>31.134820562560627</v>
      </c>
      <c r="AI243" s="92">
        <f t="shared" si="93"/>
        <v>30.125120307988439</v>
      </c>
      <c r="AJ243" s="92">
        <f t="shared" si="93"/>
        <v>48.250728862973766</v>
      </c>
      <c r="AK243" s="92">
        <f t="shared" si="93"/>
        <v>47.652455477603908</v>
      </c>
      <c r="AM243" s="112">
        <f>AP243-'Figure 8_data'!H455</f>
        <v>0</v>
      </c>
      <c r="AN243" s="92">
        <f t="shared" si="94"/>
        <v>-21.329211746522414</v>
      </c>
      <c r="AO243" s="92">
        <f t="shared" si="94"/>
        <v>-23.172905525846698</v>
      </c>
      <c r="AP243" s="92">
        <f t="shared" si="94"/>
        <v>-16.539923954372625</v>
      </c>
      <c r="AQ243" s="92">
        <f t="shared" si="94"/>
        <v>-29.36507936507936</v>
      </c>
      <c r="AR243" s="92">
        <f t="shared" si="94"/>
        <v>-29.436325678496868</v>
      </c>
      <c r="AS243" s="92">
        <f t="shared" si="94"/>
        <v>-30.452674897119337</v>
      </c>
      <c r="AT243" s="92">
        <f t="shared" si="94"/>
        <v>-27.872340425531917</v>
      </c>
      <c r="AU243" s="92">
        <f t="shared" si="94"/>
        <v>-25.611745513866236</v>
      </c>
    </row>
    <row r="244" spans="1:47" x14ac:dyDescent="0.3">
      <c r="A244" s="13">
        <v>39287</v>
      </c>
      <c r="B244" s="92">
        <v>500</v>
      </c>
      <c r="C244" s="92">
        <v>457</v>
      </c>
      <c r="D244" s="92">
        <v>458</v>
      </c>
      <c r="E244" s="92">
        <v>412</v>
      </c>
      <c r="F244" s="92">
        <v>384</v>
      </c>
      <c r="G244" s="92">
        <v>384</v>
      </c>
      <c r="H244" s="92">
        <v>407</v>
      </c>
      <c r="I244" s="92">
        <v>499</v>
      </c>
      <c r="K244" s="92">
        <f t="shared" ref="K244:R244" si="97">AVERAGE(B241:B244)</f>
        <v>465.25</v>
      </c>
      <c r="L244" s="92">
        <f t="shared" si="97"/>
        <v>407.25</v>
      </c>
      <c r="M244" s="92">
        <f t="shared" si="97"/>
        <v>403.25</v>
      </c>
      <c r="N244" s="92">
        <f t="shared" si="97"/>
        <v>333.75</v>
      </c>
      <c r="O244" s="92">
        <f t="shared" si="97"/>
        <v>323.5</v>
      </c>
      <c r="P244" s="92">
        <f t="shared" si="97"/>
        <v>325.75</v>
      </c>
      <c r="Q244" s="92">
        <f t="shared" si="97"/>
        <v>318</v>
      </c>
      <c r="R244" s="92">
        <f t="shared" si="97"/>
        <v>419</v>
      </c>
      <c r="T244" s="92">
        <f t="shared" ref="T244:Z244" si="98">(K88+K140+K192)/3</f>
        <v>378.08333333333331</v>
      </c>
      <c r="U244" s="92">
        <f t="shared" si="98"/>
        <v>322</v>
      </c>
      <c r="V244" s="92">
        <f t="shared" si="98"/>
        <v>307.83333333333331</v>
      </c>
      <c r="W244" s="92">
        <f t="shared" si="98"/>
        <v>272.58333333333331</v>
      </c>
      <c r="X244" s="92">
        <f t="shared" si="98"/>
        <v>272.08333333333331</v>
      </c>
      <c r="Y244" s="92">
        <f t="shared" si="98"/>
        <v>273.83333333333331</v>
      </c>
      <c r="Z244" s="92">
        <f t="shared" si="98"/>
        <v>250.75</v>
      </c>
      <c r="AA244" s="92">
        <f t="shared" si="95"/>
        <v>332.5</v>
      </c>
      <c r="AC244" s="112">
        <f>+AF244-'Figure 8_data'!I456</f>
        <v>0</v>
      </c>
      <c r="AD244" s="92">
        <f>(B244/T244-1)*100</f>
        <v>32.245977518183835</v>
      </c>
      <c r="AE244" s="92">
        <f>(C244/U244-1)*100</f>
        <v>41.925465838509311</v>
      </c>
      <c r="AF244" s="92">
        <f t="shared" si="96"/>
        <v>48.781808337845156</v>
      </c>
      <c r="AG244" s="92">
        <f t="shared" si="96"/>
        <v>51.146438398043429</v>
      </c>
      <c r="AH244" s="92">
        <f t="shared" ref="AH244:AK245" si="99">(F244/X244-1)*100</f>
        <v>41.133231240428799</v>
      </c>
      <c r="AI244" s="92">
        <f t="shared" si="99"/>
        <v>40.231284236153385</v>
      </c>
      <c r="AJ244" s="92">
        <f t="shared" si="99"/>
        <v>62.313060817547353</v>
      </c>
      <c r="AK244" s="92">
        <f t="shared" si="99"/>
        <v>50.075187969924805</v>
      </c>
      <c r="AM244" s="112">
        <f>AP244-'Figure 8_data'!H456</f>
        <v>0</v>
      </c>
      <c r="AN244" s="92">
        <f t="shared" ref="AN244:AU244" si="100">(B244/B192-1)*100</f>
        <v>-15.82491582491582</v>
      </c>
      <c r="AO244" s="92">
        <f t="shared" si="100"/>
        <v>-10.216110019646363</v>
      </c>
      <c r="AP244" s="92">
        <f t="shared" si="100"/>
        <v>-7.4747474747474785</v>
      </c>
      <c r="AQ244" s="92">
        <f t="shared" si="100"/>
        <v>-12.153518123667373</v>
      </c>
      <c r="AR244" s="92">
        <f t="shared" si="100"/>
        <v>-17.773019271948609</v>
      </c>
      <c r="AS244" s="92">
        <f t="shared" si="100"/>
        <v>-17.773019271948609</v>
      </c>
      <c r="AT244" s="92">
        <f t="shared" si="100"/>
        <v>-10.745614035087714</v>
      </c>
      <c r="AU244" s="92">
        <f t="shared" si="100"/>
        <v>-11.992945326278658</v>
      </c>
    </row>
    <row r="245" spans="1:47" x14ac:dyDescent="0.3">
      <c r="A245" s="13">
        <v>39294</v>
      </c>
      <c r="B245" s="92">
        <f>+TWK!B190</f>
        <v>435</v>
      </c>
      <c r="C245" s="92">
        <f>+TWK!C190</f>
        <v>395</v>
      </c>
      <c r="D245" s="92">
        <f>+TWK!D190</f>
        <v>395</v>
      </c>
      <c r="E245" s="92">
        <f>+TWK!E190</f>
        <v>360</v>
      </c>
      <c r="F245" s="92">
        <f>+TWK!F190</f>
        <v>369</v>
      </c>
      <c r="G245" s="92">
        <f>+TWK!G190</f>
        <v>369</v>
      </c>
      <c r="H245" s="92">
        <f>+TWK!H190</f>
        <v>342</v>
      </c>
      <c r="I245" s="92">
        <f>+TWK!I190</f>
        <v>453</v>
      </c>
      <c r="K245" s="92">
        <f t="shared" ref="K245:R245" si="101">AVERAGE(B242:B245)</f>
        <v>468</v>
      </c>
      <c r="L245" s="92">
        <f t="shared" si="101"/>
        <v>412.25</v>
      </c>
      <c r="M245" s="92">
        <f t="shared" si="101"/>
        <v>412</v>
      </c>
      <c r="N245" s="92">
        <f t="shared" si="101"/>
        <v>354</v>
      </c>
      <c r="O245" s="92">
        <f t="shared" si="101"/>
        <v>345.5</v>
      </c>
      <c r="P245" s="92">
        <f t="shared" si="101"/>
        <v>345.5</v>
      </c>
      <c r="Q245" s="92">
        <f t="shared" si="101"/>
        <v>337</v>
      </c>
      <c r="R245" s="92">
        <f t="shared" si="101"/>
        <v>443.5</v>
      </c>
      <c r="T245" s="92">
        <f t="shared" ref="T245:Z245" si="102">(K89+K141+K193)/3</f>
        <v>390.08333333333331</v>
      </c>
      <c r="U245" s="92">
        <f t="shared" si="102"/>
        <v>333.66666666666669</v>
      </c>
      <c r="V245" s="92">
        <f t="shared" si="102"/>
        <v>317.75</v>
      </c>
      <c r="W245" s="92">
        <f t="shared" si="102"/>
        <v>288.91666666666669</v>
      </c>
      <c r="X245" s="92">
        <f t="shared" si="102"/>
        <v>279.5</v>
      </c>
      <c r="Y245" s="92">
        <f t="shared" si="102"/>
        <v>280.91666666666669</v>
      </c>
      <c r="Z245" s="92">
        <f t="shared" si="102"/>
        <v>268.25</v>
      </c>
      <c r="AA245" s="92">
        <f t="shared" si="95"/>
        <v>354.58333333333331</v>
      </c>
      <c r="AC245" s="112">
        <f>+AF245-'Figure 8_data'!I457</f>
        <v>0</v>
      </c>
      <c r="AD245" s="92">
        <f>(B245/T245-1)*100</f>
        <v>11.514633625293747</v>
      </c>
      <c r="AE245" s="92">
        <f>(C245/U245-1)*100</f>
        <v>18.381618381618381</v>
      </c>
      <c r="AF245" s="92">
        <f t="shared" si="96"/>
        <v>24.311565696302129</v>
      </c>
      <c r="AG245" s="92">
        <f t="shared" si="96"/>
        <v>24.603403518892407</v>
      </c>
      <c r="AH245" s="92">
        <f t="shared" si="99"/>
        <v>32.021466905187836</v>
      </c>
      <c r="AI245" s="92">
        <f t="shared" si="99"/>
        <v>31.355680806882226</v>
      </c>
      <c r="AJ245" s="92">
        <f t="shared" si="99"/>
        <v>27.493010251630935</v>
      </c>
      <c r="AK245" s="92">
        <f t="shared" si="99"/>
        <v>27.755581668625151</v>
      </c>
      <c r="AM245" s="112">
        <f>AP245-'Figure 8_data'!H457</f>
        <v>0</v>
      </c>
      <c r="AN245" s="92">
        <f t="shared" ref="AN245:AU245" si="103">(B245/B193-1)*100</f>
        <v>-27.740863787375414</v>
      </c>
      <c r="AO245" s="92">
        <f t="shared" si="103"/>
        <v>-24.329501915708818</v>
      </c>
      <c r="AP245" s="92">
        <f t="shared" si="103"/>
        <v>-20.682730923694781</v>
      </c>
      <c r="AQ245" s="92">
        <f t="shared" si="103"/>
        <v>-26.530612244897956</v>
      </c>
      <c r="AR245" s="92">
        <f t="shared" si="103"/>
        <v>-19.782608695652172</v>
      </c>
      <c r="AS245" s="92">
        <f t="shared" si="103"/>
        <v>-20.302375809935203</v>
      </c>
      <c r="AT245" s="92">
        <f t="shared" si="103"/>
        <v>-26.60944206008584</v>
      </c>
      <c r="AU245" s="92">
        <f t="shared" si="103"/>
        <v>-26.221498371335507</v>
      </c>
    </row>
    <row r="246" spans="1:47" x14ac:dyDescent="0.3">
      <c r="A246" s="13">
        <v>39301</v>
      </c>
      <c r="B246" s="92">
        <f>+TWK!B191</f>
        <v>445</v>
      </c>
      <c r="C246" s="92">
        <f>+TWK!C191</f>
        <v>428</v>
      </c>
      <c r="D246" s="92">
        <f>+TWK!D191</f>
        <v>446</v>
      </c>
      <c r="E246" s="92">
        <f>+TWK!E191</f>
        <v>410</v>
      </c>
      <c r="F246" s="92">
        <f>+TWK!F191</f>
        <v>400</v>
      </c>
      <c r="G246" s="92">
        <f>+TWK!G191</f>
        <v>400</v>
      </c>
      <c r="H246" s="92">
        <f>+TWK!H191</f>
        <v>403</v>
      </c>
      <c r="I246" s="92">
        <f>+TWK!I191</f>
        <v>509</v>
      </c>
      <c r="K246" s="92">
        <f t="shared" ref="K246:R247" si="104">AVERAGE(B243:B246)</f>
        <v>472.25</v>
      </c>
      <c r="L246" s="92">
        <f t="shared" si="104"/>
        <v>427.75</v>
      </c>
      <c r="M246" s="92">
        <f t="shared" si="104"/>
        <v>434.5</v>
      </c>
      <c r="N246" s="92">
        <f t="shared" si="104"/>
        <v>384.5</v>
      </c>
      <c r="O246" s="92">
        <f t="shared" si="104"/>
        <v>372.75</v>
      </c>
      <c r="P246" s="92">
        <f t="shared" si="104"/>
        <v>372.75</v>
      </c>
      <c r="Q246" s="92">
        <f t="shared" si="104"/>
        <v>372.75</v>
      </c>
      <c r="R246" s="92">
        <f t="shared" si="104"/>
        <v>479.25</v>
      </c>
      <c r="T246" s="92">
        <f t="shared" ref="T246:Z247" si="105">(K90+K142+K194)/3</f>
        <v>396.83333333333331</v>
      </c>
      <c r="U246" s="92">
        <f t="shared" si="105"/>
        <v>347.25</v>
      </c>
      <c r="V246" s="92">
        <f t="shared" si="105"/>
        <v>331.75</v>
      </c>
      <c r="W246" s="92">
        <f t="shared" si="105"/>
        <v>308.83333333333331</v>
      </c>
      <c r="X246" s="92">
        <f t="shared" si="105"/>
        <v>295.41666666666669</v>
      </c>
      <c r="Y246" s="92">
        <f t="shared" si="105"/>
        <v>296.83333333333331</v>
      </c>
      <c r="Z246" s="92">
        <f t="shared" si="105"/>
        <v>294</v>
      </c>
      <c r="AA246" s="92">
        <f t="shared" si="95"/>
        <v>389.83333333333331</v>
      </c>
      <c r="AC246" s="112">
        <f>+AF246-'Figure 8_data'!I458</f>
        <v>0</v>
      </c>
      <c r="AD246" s="92">
        <f t="shared" ref="AD246:AK247" si="106">(B246/T246-1)*100</f>
        <v>12.137757244855107</v>
      </c>
      <c r="AE246" s="92">
        <f t="shared" si="106"/>
        <v>23.2541396688265</v>
      </c>
      <c r="AF246" s="92">
        <f t="shared" si="106"/>
        <v>34.438583270535041</v>
      </c>
      <c r="AG246" s="92">
        <f t="shared" si="106"/>
        <v>32.757690232056127</v>
      </c>
      <c r="AH246" s="92">
        <f t="shared" si="106"/>
        <v>35.401974612129749</v>
      </c>
      <c r="AI246" s="92">
        <f t="shared" si="106"/>
        <v>34.755755193711416</v>
      </c>
      <c r="AJ246" s="92">
        <f t="shared" si="106"/>
        <v>37.074829931972801</v>
      </c>
      <c r="AK246" s="92">
        <f t="shared" si="106"/>
        <v>30.568619067977764</v>
      </c>
      <c r="AM246" s="112">
        <f>AP246-'Figure 8_data'!H458</f>
        <v>0</v>
      </c>
      <c r="AN246" s="92">
        <f t="shared" ref="AN246:AU247" si="107">(B246/B194-1)*100</f>
        <v>-25.210084033613445</v>
      </c>
      <c r="AO246" s="92">
        <f t="shared" si="107"/>
        <v>-24.381625441696109</v>
      </c>
      <c r="AP246" s="92">
        <f t="shared" si="107"/>
        <v>-22.02797202797203</v>
      </c>
      <c r="AQ246" s="92">
        <f t="shared" si="107"/>
        <v>-26.785714285714292</v>
      </c>
      <c r="AR246" s="92">
        <f t="shared" si="107"/>
        <v>-27.404718693284934</v>
      </c>
      <c r="AS246" s="92">
        <f t="shared" si="107"/>
        <v>-27.404718693284934</v>
      </c>
      <c r="AT246" s="92">
        <f t="shared" si="107"/>
        <v>-29.049295774647888</v>
      </c>
      <c r="AU246" s="92">
        <f t="shared" si="107"/>
        <v>-34.743589743589745</v>
      </c>
    </row>
    <row r="247" spans="1:47" x14ac:dyDescent="0.3">
      <c r="A247" s="13">
        <v>39308</v>
      </c>
      <c r="B247" s="92">
        <f>+TWK!B192</f>
        <v>518.75</v>
      </c>
      <c r="C247" s="92">
        <f>+TWK!C192</f>
        <v>540</v>
      </c>
      <c r="D247" s="92">
        <f>+TWK!D192</f>
        <v>531</v>
      </c>
      <c r="E247" s="92">
        <f>+TWK!E192</f>
        <v>540</v>
      </c>
      <c r="F247" s="92">
        <f>+TWK!F192</f>
        <v>496</v>
      </c>
      <c r="G247" s="92">
        <f>+TWK!G192</f>
        <v>496</v>
      </c>
      <c r="H247" s="92">
        <f>+TWK!H192</f>
        <v>552</v>
      </c>
      <c r="I247" s="92">
        <f>+TWK!I192</f>
        <v>812.08733624454146</v>
      </c>
      <c r="K247" s="92">
        <f t="shared" si="104"/>
        <v>474.6875</v>
      </c>
      <c r="L247" s="92">
        <f t="shared" si="104"/>
        <v>455</v>
      </c>
      <c r="M247" s="92">
        <f t="shared" si="104"/>
        <v>457.5</v>
      </c>
      <c r="N247" s="92">
        <f t="shared" si="104"/>
        <v>430.5</v>
      </c>
      <c r="O247" s="92">
        <f t="shared" si="104"/>
        <v>412.25</v>
      </c>
      <c r="P247" s="92">
        <f t="shared" si="104"/>
        <v>412.25</v>
      </c>
      <c r="Q247" s="92">
        <f t="shared" si="104"/>
        <v>426</v>
      </c>
      <c r="R247" s="92">
        <f t="shared" si="104"/>
        <v>568.27183406113534</v>
      </c>
      <c r="T247" s="92">
        <f t="shared" si="105"/>
        <v>393.16666666666669</v>
      </c>
      <c r="U247" s="92">
        <f t="shared" si="105"/>
        <v>352.25</v>
      </c>
      <c r="V247" s="92">
        <f t="shared" si="105"/>
        <v>342.08333333333331</v>
      </c>
      <c r="W247" s="92">
        <f t="shared" si="105"/>
        <v>326</v>
      </c>
      <c r="X247" s="92">
        <f t="shared" si="105"/>
        <v>316.91666666666669</v>
      </c>
      <c r="Y247" s="92">
        <f t="shared" si="105"/>
        <v>318</v>
      </c>
      <c r="Z247" s="92">
        <f t="shared" si="105"/>
        <v>316.08333333333331</v>
      </c>
      <c r="AA247" s="92">
        <f t="shared" si="95"/>
        <v>421.83333333333331</v>
      </c>
      <c r="AC247" s="112">
        <f>+AF247-'Figure 8_data'!I459</f>
        <v>0</v>
      </c>
      <c r="AD247" s="92">
        <f t="shared" si="106"/>
        <v>31.941500635862653</v>
      </c>
      <c r="AE247" s="92">
        <f t="shared" si="106"/>
        <v>53.300212916962387</v>
      </c>
      <c r="AF247" s="92">
        <f t="shared" si="106"/>
        <v>55.225334957369078</v>
      </c>
      <c r="AG247" s="92">
        <f t="shared" si="106"/>
        <v>65.644171779141104</v>
      </c>
      <c r="AH247" s="92">
        <f t="shared" si="106"/>
        <v>56.508019984222969</v>
      </c>
      <c r="AI247" s="92">
        <f t="shared" si="106"/>
        <v>55.974842767295605</v>
      </c>
      <c r="AJ247" s="92">
        <f t="shared" si="106"/>
        <v>74.637490113366738</v>
      </c>
      <c r="AK247" s="92">
        <f t="shared" si="106"/>
        <v>92.513789706331437</v>
      </c>
      <c r="AM247" s="112">
        <f>AP247-'Figure 8_data'!H459</f>
        <v>0</v>
      </c>
      <c r="AN247" s="92">
        <f t="shared" si="107"/>
        <v>-8.9912280701754383</v>
      </c>
      <c r="AO247" s="92">
        <f t="shared" si="107"/>
        <v>-5.4290718038528922</v>
      </c>
      <c r="AP247" s="92">
        <f t="shared" si="107"/>
        <v>-6.678383128295251</v>
      </c>
      <c r="AQ247" s="92">
        <f t="shared" si="107"/>
        <v>-2.3508137432188048</v>
      </c>
      <c r="AR247" s="92">
        <f t="shared" si="107"/>
        <v>-10.951526032315984</v>
      </c>
      <c r="AS247" s="92">
        <f t="shared" si="107"/>
        <v>-10.951526032315984</v>
      </c>
      <c r="AT247" s="92">
        <f t="shared" si="107"/>
        <v>0.1814882032667775</v>
      </c>
      <c r="AU247" s="92">
        <f t="shared" si="107"/>
        <v>10.337953294095303</v>
      </c>
    </row>
    <row r="248" spans="1:47" x14ac:dyDescent="0.3">
      <c r="A248" s="13">
        <f t="shared" ref="A248:A253" si="108">7+A247</f>
        <v>39315</v>
      </c>
      <c r="B248" s="92">
        <f>+TWK!B193</f>
        <v>554</v>
      </c>
      <c r="C248" s="92">
        <f>+TWK!C193</f>
        <v>575</v>
      </c>
      <c r="D248" s="92">
        <f>+TWK!D193</f>
        <v>578</v>
      </c>
      <c r="E248" s="92">
        <f>+TWK!E193</f>
        <v>685</v>
      </c>
      <c r="F248" s="92">
        <f>+TWK!F193</f>
        <v>620</v>
      </c>
      <c r="G248" s="92">
        <f>+TWK!G193</f>
        <v>620</v>
      </c>
      <c r="H248" s="92">
        <f>+TWK!H193</f>
        <v>750</v>
      </c>
      <c r="I248" s="92">
        <f>+TWK!I193</f>
        <v>1000</v>
      </c>
      <c r="K248" s="92">
        <f t="shared" ref="K248:R248" si="109">AVERAGE(B245:B248)</f>
        <v>488.1875</v>
      </c>
      <c r="L248" s="92">
        <f t="shared" si="109"/>
        <v>484.5</v>
      </c>
      <c r="M248" s="92">
        <f t="shared" si="109"/>
        <v>487.5</v>
      </c>
      <c r="N248" s="92">
        <f t="shared" si="109"/>
        <v>498.75</v>
      </c>
      <c r="O248" s="92">
        <f t="shared" si="109"/>
        <v>471.25</v>
      </c>
      <c r="P248" s="92">
        <f t="shared" si="109"/>
        <v>471.25</v>
      </c>
      <c r="Q248" s="92">
        <f t="shared" si="109"/>
        <v>511.75</v>
      </c>
      <c r="R248" s="92">
        <f t="shared" si="109"/>
        <v>693.52183406113534</v>
      </c>
      <c r="T248" s="92">
        <f t="shared" ref="T248:Z248" si="110">(K92+K144+K196)/3</f>
        <v>393.08333333333331</v>
      </c>
      <c r="U248" s="92">
        <f t="shared" si="110"/>
        <v>359.25</v>
      </c>
      <c r="V248" s="92">
        <f t="shared" si="110"/>
        <v>355.91666666666669</v>
      </c>
      <c r="W248" s="92">
        <f t="shared" si="110"/>
        <v>346</v>
      </c>
      <c r="X248" s="92">
        <f t="shared" si="110"/>
        <v>340.08333333333331</v>
      </c>
      <c r="Y248" s="92">
        <f t="shared" si="110"/>
        <v>341.33333333333331</v>
      </c>
      <c r="Z248" s="92">
        <f t="shared" si="110"/>
        <v>338.75</v>
      </c>
      <c r="AA248" s="92">
        <f t="shared" si="95"/>
        <v>457.75</v>
      </c>
      <c r="AC248" s="112">
        <f>+AF248-'Figure 8_data'!I460</f>
        <v>0</v>
      </c>
      <c r="AD248" s="92">
        <f t="shared" ref="AD248:AK248" si="111">(B248/T248-1)*100</f>
        <v>40.937036251855005</v>
      </c>
      <c r="AE248" s="92">
        <f t="shared" si="111"/>
        <v>60.055671537926237</v>
      </c>
      <c r="AF248" s="92">
        <f t="shared" si="111"/>
        <v>62.397564973074203</v>
      </c>
      <c r="AG248" s="92">
        <f t="shared" si="111"/>
        <v>97.97687861271676</v>
      </c>
      <c r="AH248" s="92">
        <f t="shared" si="111"/>
        <v>82.308257779955895</v>
      </c>
      <c r="AI248" s="92">
        <f t="shared" si="111"/>
        <v>81.640625</v>
      </c>
      <c r="AJ248" s="92">
        <f t="shared" si="111"/>
        <v>121.40221402214024</v>
      </c>
      <c r="AK248" s="92">
        <f t="shared" si="111"/>
        <v>118.45985800109231</v>
      </c>
      <c r="AM248" s="112">
        <f>AP248-'Figure 8_data'!H460</f>
        <v>0</v>
      </c>
      <c r="AN248" s="92">
        <f t="shared" ref="AN248:AU248" si="112">(B248/B196-1)*100</f>
        <v>-8.1260364842454358</v>
      </c>
      <c r="AO248" s="92">
        <f t="shared" si="112"/>
        <v>3.0465949820788429</v>
      </c>
      <c r="AP248" s="92">
        <f t="shared" si="112"/>
        <v>-0.17271157167529916</v>
      </c>
      <c r="AQ248" s="92">
        <f t="shared" si="112"/>
        <v>19.75524475524475</v>
      </c>
      <c r="AR248" s="92">
        <f t="shared" si="112"/>
        <v>9.3474426807760089</v>
      </c>
      <c r="AS248" s="92">
        <f t="shared" si="112"/>
        <v>9.1549295774647987</v>
      </c>
      <c r="AT248" s="92">
        <f t="shared" si="112"/>
        <v>38.37638376383763</v>
      </c>
      <c r="AU248" s="92">
        <f t="shared" si="112"/>
        <v>41.24293785310735</v>
      </c>
    </row>
    <row r="249" spans="1:47" x14ac:dyDescent="0.3">
      <c r="A249" s="13">
        <f t="shared" si="108"/>
        <v>39322</v>
      </c>
      <c r="B249" s="92">
        <f>+TWK!B194</f>
        <v>568</v>
      </c>
      <c r="C249" s="92">
        <f>+TWK!C194</f>
        <v>683</v>
      </c>
      <c r="D249" s="92">
        <f>+TWK!D194</f>
        <v>698</v>
      </c>
      <c r="E249" s="92">
        <f>+TWK!E194</f>
        <v>845</v>
      </c>
      <c r="F249" s="92">
        <f>+TWK!F194</f>
        <v>805</v>
      </c>
      <c r="G249" s="92">
        <f>+TWK!G194</f>
        <v>810</v>
      </c>
      <c r="H249" s="92">
        <f>+TWK!H194</f>
        <v>970</v>
      </c>
      <c r="I249" s="92">
        <f>+TWK!I194</f>
        <v>1147</v>
      </c>
      <c r="K249" s="92">
        <f t="shared" ref="K249:R249" si="113">AVERAGE(B246:B249)</f>
        <v>521.4375</v>
      </c>
      <c r="L249" s="92">
        <f t="shared" si="113"/>
        <v>556.5</v>
      </c>
      <c r="M249" s="92">
        <f t="shared" si="113"/>
        <v>563.25</v>
      </c>
      <c r="N249" s="92">
        <f t="shared" si="113"/>
        <v>620</v>
      </c>
      <c r="O249" s="92">
        <f t="shared" si="113"/>
        <v>580.25</v>
      </c>
      <c r="P249" s="92">
        <f t="shared" si="113"/>
        <v>581.5</v>
      </c>
      <c r="Q249" s="92">
        <f t="shared" si="113"/>
        <v>668.75</v>
      </c>
      <c r="R249" s="92">
        <f t="shared" si="113"/>
        <v>867.02183406113534</v>
      </c>
      <c r="T249" s="92">
        <f t="shared" ref="T249:AA249" si="114">(K93+K145+K197)/3</f>
        <v>407.5</v>
      </c>
      <c r="U249" s="92">
        <f t="shared" si="114"/>
        <v>385.33333333333331</v>
      </c>
      <c r="V249" s="92">
        <f t="shared" si="114"/>
        <v>383.33333333333331</v>
      </c>
      <c r="W249" s="92">
        <f t="shared" si="114"/>
        <v>383</v>
      </c>
      <c r="X249" s="92">
        <f t="shared" si="114"/>
        <v>376.91666666666669</v>
      </c>
      <c r="Y249" s="92">
        <f t="shared" si="114"/>
        <v>378.16666666666669</v>
      </c>
      <c r="Z249" s="92">
        <f t="shared" si="114"/>
        <v>376</v>
      </c>
      <c r="AA249" s="92">
        <f t="shared" si="114"/>
        <v>507.75</v>
      </c>
      <c r="AC249" s="112">
        <f>+AF249-'Figure 8_data'!I461</f>
        <v>0</v>
      </c>
      <c r="AD249" s="92">
        <f t="shared" ref="AD249:AK249" si="115">(B249/T249-1)*100</f>
        <v>39.386503067484654</v>
      </c>
      <c r="AE249" s="92">
        <f t="shared" si="115"/>
        <v>77.249134948096881</v>
      </c>
      <c r="AF249" s="92">
        <f t="shared" si="115"/>
        <v>82.08695652173914</v>
      </c>
      <c r="AG249" s="92">
        <f t="shared" si="115"/>
        <v>120.62663185378591</v>
      </c>
      <c r="AH249" s="92">
        <f t="shared" si="115"/>
        <v>113.57506080035375</v>
      </c>
      <c r="AI249" s="92">
        <f t="shared" si="115"/>
        <v>114.19127368884969</v>
      </c>
      <c r="AJ249" s="92">
        <f t="shared" si="115"/>
        <v>157.97872340425533</v>
      </c>
      <c r="AK249" s="92">
        <f t="shared" si="115"/>
        <v>125.89857213195472</v>
      </c>
      <c r="AM249" s="112">
        <f>AP249-'Figure 8_data'!H461</f>
        <v>0</v>
      </c>
      <c r="AN249" s="92">
        <f t="shared" ref="AN249:AU249" si="116">(B249/B197-1)*100</f>
        <v>-3.2367972742759821</v>
      </c>
      <c r="AO249" s="92">
        <f t="shared" si="116"/>
        <v>18.576388888888886</v>
      </c>
      <c r="AP249" s="92">
        <f t="shared" si="116"/>
        <v>22.671353251318106</v>
      </c>
      <c r="AQ249" s="92">
        <f t="shared" si="116"/>
        <v>56.771799628942475</v>
      </c>
      <c r="AR249" s="92">
        <f t="shared" si="116"/>
        <v>45.306859205776171</v>
      </c>
      <c r="AS249" s="92">
        <f t="shared" si="116"/>
        <v>45.945945945945944</v>
      </c>
      <c r="AT249" s="92">
        <f t="shared" si="116"/>
        <v>92.460317460317469</v>
      </c>
      <c r="AU249" s="92">
        <f t="shared" si="116"/>
        <v>82.643312101910823</v>
      </c>
    </row>
    <row r="250" spans="1:47" x14ac:dyDescent="0.3">
      <c r="A250" s="13">
        <f t="shared" si="108"/>
        <v>39329</v>
      </c>
      <c r="B250" s="92">
        <f>+TWK!B195</f>
        <v>600</v>
      </c>
      <c r="C250" s="92">
        <f>+TWK!C195</f>
        <v>735</v>
      </c>
      <c r="D250" s="92">
        <f>+TWK!D195</f>
        <v>810</v>
      </c>
      <c r="E250" s="92">
        <f>+TWK!E195</f>
        <v>930</v>
      </c>
      <c r="F250" s="92">
        <f>+TWK!F195</f>
        <v>885</v>
      </c>
      <c r="G250" s="92">
        <f>+TWK!G195</f>
        <v>895</v>
      </c>
      <c r="H250" s="92">
        <f>+TWK!H195</f>
        <v>950</v>
      </c>
      <c r="I250" s="92">
        <f>+TWK!I195</f>
        <v>1281</v>
      </c>
      <c r="K250" s="92">
        <f t="shared" ref="K250:R250" si="117">AVERAGE(B247:B250)</f>
        <v>560.1875</v>
      </c>
      <c r="L250" s="92">
        <f t="shared" si="117"/>
        <v>633.25</v>
      </c>
      <c r="M250" s="92">
        <f t="shared" si="117"/>
        <v>654.25</v>
      </c>
      <c r="N250" s="92">
        <f t="shared" si="117"/>
        <v>750</v>
      </c>
      <c r="O250" s="92">
        <f t="shared" si="117"/>
        <v>701.5</v>
      </c>
      <c r="P250" s="92">
        <f t="shared" si="117"/>
        <v>705.25</v>
      </c>
      <c r="Q250" s="92">
        <f t="shared" si="117"/>
        <v>805.5</v>
      </c>
      <c r="R250" s="92">
        <f t="shared" si="117"/>
        <v>1060.0218340611355</v>
      </c>
      <c r="T250" s="92">
        <f t="shared" ref="T250:AA250" si="118">(K94+K146+K198)/3</f>
        <v>418.91666666666669</v>
      </c>
      <c r="U250" s="92">
        <f t="shared" si="118"/>
        <v>403.08333333333331</v>
      </c>
      <c r="V250" s="92">
        <f t="shared" si="118"/>
        <v>402.25</v>
      </c>
      <c r="W250" s="92">
        <f t="shared" si="118"/>
        <v>417.5</v>
      </c>
      <c r="X250" s="92">
        <f t="shared" si="118"/>
        <v>409.41666666666669</v>
      </c>
      <c r="Y250" s="92">
        <f t="shared" si="118"/>
        <v>411.91666666666669</v>
      </c>
      <c r="Z250" s="92">
        <f t="shared" si="118"/>
        <v>412.83333333333331</v>
      </c>
      <c r="AA250" s="92">
        <f t="shared" si="118"/>
        <v>558</v>
      </c>
      <c r="AC250" s="112">
        <f>+AF250-'Figure 8_data'!I462</f>
        <v>0</v>
      </c>
      <c r="AD250" s="92">
        <f t="shared" ref="AD250:AK250" si="119">(B250/T250-1)*100</f>
        <v>43.226576486970345</v>
      </c>
      <c r="AE250" s="92">
        <f t="shared" si="119"/>
        <v>82.344428364688866</v>
      </c>
      <c r="AF250" s="92">
        <f t="shared" si="119"/>
        <v>101.36730888750778</v>
      </c>
      <c r="AG250" s="92">
        <f t="shared" si="119"/>
        <v>122.75449101796406</v>
      </c>
      <c r="AH250" s="92">
        <f t="shared" si="119"/>
        <v>116.16120496641562</v>
      </c>
      <c r="AI250" s="92">
        <f t="shared" si="119"/>
        <v>117.27695731337242</v>
      </c>
      <c r="AJ250" s="92">
        <f t="shared" si="119"/>
        <v>130.11707710940655</v>
      </c>
      <c r="AK250" s="92">
        <f t="shared" si="119"/>
        <v>129.5698924731183</v>
      </c>
      <c r="AM250" s="112">
        <f>AP250-'Figure 8_data'!H462</f>
        <v>0</v>
      </c>
      <c r="AN250" s="92">
        <f t="shared" ref="AN250:AU250" si="120">(B250/B198-1)*100</f>
        <v>11.524163568773238</v>
      </c>
      <c r="AO250" s="92">
        <f t="shared" si="120"/>
        <v>39.999999999999993</v>
      </c>
      <c r="AP250" s="92">
        <f t="shared" si="120"/>
        <v>60.714285714285722</v>
      </c>
      <c r="AQ250" s="92">
        <f t="shared" si="120"/>
        <v>92.546583850931682</v>
      </c>
      <c r="AR250" s="92">
        <f t="shared" si="120"/>
        <v>69.216061185468462</v>
      </c>
      <c r="AS250" s="92">
        <f t="shared" si="120"/>
        <v>70.152091254752861</v>
      </c>
      <c r="AT250" s="92">
        <f t="shared" si="120"/>
        <v>123.00469483568075</v>
      </c>
      <c r="AU250" s="92">
        <f t="shared" si="120"/>
        <v>127.93594306049823</v>
      </c>
    </row>
    <row r="251" spans="1:47" x14ac:dyDescent="0.3">
      <c r="A251" s="13">
        <f t="shared" si="108"/>
        <v>39336</v>
      </c>
      <c r="B251" s="92">
        <f>+TWK!B196</f>
        <v>583</v>
      </c>
      <c r="C251" s="92">
        <f>+TWK!C196</f>
        <v>650</v>
      </c>
      <c r="D251" s="92">
        <f>+TWK!D196</f>
        <v>688</v>
      </c>
      <c r="E251" s="92">
        <f>+TWK!E196</f>
        <v>650</v>
      </c>
      <c r="F251" s="92">
        <f>+TWK!F196</f>
        <v>688</v>
      </c>
      <c r="G251" s="92">
        <f>+TWK!G196</f>
        <v>663</v>
      </c>
      <c r="H251" s="92">
        <f>+TWK!H196</f>
        <v>613</v>
      </c>
      <c r="I251" s="92">
        <f>+TWK!I196</f>
        <v>811</v>
      </c>
      <c r="K251" s="92">
        <f t="shared" ref="K251:R251" si="121">AVERAGE(B248:B251)</f>
        <v>576.25</v>
      </c>
      <c r="L251" s="92">
        <f t="shared" si="121"/>
        <v>660.75</v>
      </c>
      <c r="M251" s="92">
        <f t="shared" si="121"/>
        <v>693.5</v>
      </c>
      <c r="N251" s="92">
        <f t="shared" si="121"/>
        <v>777.5</v>
      </c>
      <c r="O251" s="92">
        <f t="shared" si="121"/>
        <v>749.5</v>
      </c>
      <c r="P251" s="92">
        <f t="shared" si="121"/>
        <v>747</v>
      </c>
      <c r="Q251" s="92">
        <f t="shared" si="121"/>
        <v>820.75</v>
      </c>
      <c r="R251" s="92">
        <f t="shared" si="121"/>
        <v>1059.75</v>
      </c>
      <c r="T251" s="92">
        <f t="shared" ref="T251:AA251" si="122">(K95+K147+K199)/3</f>
        <v>438.83333333333331</v>
      </c>
      <c r="U251" s="92">
        <f t="shared" si="122"/>
        <v>438.41666666666669</v>
      </c>
      <c r="V251" s="92">
        <f t="shared" si="122"/>
        <v>437.66666666666669</v>
      </c>
      <c r="W251" s="92">
        <f t="shared" si="122"/>
        <v>456.83333333333331</v>
      </c>
      <c r="X251" s="92">
        <f t="shared" si="122"/>
        <v>453</v>
      </c>
      <c r="Y251" s="92">
        <f t="shared" si="122"/>
        <v>456.66666666666669</v>
      </c>
      <c r="Z251" s="92">
        <f t="shared" si="122"/>
        <v>457.5</v>
      </c>
      <c r="AA251" s="92">
        <f t="shared" si="122"/>
        <v>617.41666666666663</v>
      </c>
      <c r="AC251" s="112">
        <f>+AF251-'Figure 8_data'!I463</f>
        <v>0</v>
      </c>
      <c r="AD251" s="92">
        <f t="shared" ref="AD251:AK251" si="123">(B251/T251-1)*100</f>
        <v>32.852259779718949</v>
      </c>
      <c r="AE251" s="92">
        <f t="shared" si="123"/>
        <v>48.260786922638268</v>
      </c>
      <c r="AF251" s="92">
        <f t="shared" si="123"/>
        <v>57.197258187357193</v>
      </c>
      <c r="AG251" s="92">
        <f t="shared" si="123"/>
        <v>42.283838015322871</v>
      </c>
      <c r="AH251" s="92">
        <f t="shared" si="123"/>
        <v>51.876379690949229</v>
      </c>
      <c r="AI251" s="92">
        <f t="shared" si="123"/>
        <v>45.182481751824824</v>
      </c>
      <c r="AJ251" s="92">
        <f t="shared" si="123"/>
        <v>33.989071038251375</v>
      </c>
      <c r="AK251" s="92">
        <f t="shared" si="123"/>
        <v>31.353758941827525</v>
      </c>
      <c r="AM251" s="112">
        <f>AP251-'Figure 8_data'!H463</f>
        <v>0</v>
      </c>
      <c r="AN251" s="92">
        <f t="shared" ref="AN251:AU251" si="124">(B251/B199-1)*100</f>
        <v>3.1858407079645934</v>
      </c>
      <c r="AO251" s="92">
        <f t="shared" si="124"/>
        <v>15.864527629233516</v>
      </c>
      <c r="AP251" s="92">
        <f t="shared" si="124"/>
        <v>33.852140077821005</v>
      </c>
      <c r="AQ251" s="92">
        <f t="shared" si="124"/>
        <v>31.313131313131315</v>
      </c>
      <c r="AR251" s="92">
        <f t="shared" si="124"/>
        <v>19.65217391304348</v>
      </c>
      <c r="AS251" s="92">
        <f t="shared" si="124"/>
        <v>15.304347826086961</v>
      </c>
      <c r="AT251" s="92">
        <f t="shared" si="124"/>
        <v>31.545064377682408</v>
      </c>
      <c r="AU251" s="92">
        <f t="shared" si="124"/>
        <v>38.63247863247863</v>
      </c>
    </row>
    <row r="252" spans="1:47" x14ac:dyDescent="0.3">
      <c r="A252" s="13">
        <f t="shared" si="108"/>
        <v>39343</v>
      </c>
      <c r="B252" s="92">
        <f>+TWK!B197</f>
        <v>680</v>
      </c>
      <c r="C252" s="92">
        <f>+TWK!C197</f>
        <v>723</v>
      </c>
      <c r="D252" s="92">
        <f>+TWK!D197</f>
        <v>746</v>
      </c>
      <c r="E252" s="92">
        <f>+TWK!E197</f>
        <v>674</v>
      </c>
      <c r="F252" s="92">
        <f>+TWK!F197</f>
        <v>771</v>
      </c>
      <c r="G252" s="92">
        <f>+TWK!G197</f>
        <v>773</v>
      </c>
      <c r="H252" s="92">
        <f>+TWK!H197</f>
        <v>615</v>
      </c>
      <c r="I252" s="92">
        <f>+TWK!I197</f>
        <v>799</v>
      </c>
      <c r="K252" s="92">
        <f t="shared" ref="K252:R252" si="125">AVERAGE(B249:B252)</f>
        <v>607.75</v>
      </c>
      <c r="L252" s="92">
        <f t="shared" si="125"/>
        <v>697.75</v>
      </c>
      <c r="M252" s="92">
        <f t="shared" si="125"/>
        <v>735.5</v>
      </c>
      <c r="N252" s="92">
        <f t="shared" si="125"/>
        <v>774.75</v>
      </c>
      <c r="O252" s="92">
        <f t="shared" si="125"/>
        <v>787.25</v>
      </c>
      <c r="P252" s="92">
        <f t="shared" si="125"/>
        <v>785.25</v>
      </c>
      <c r="Q252" s="92">
        <f t="shared" si="125"/>
        <v>787</v>
      </c>
      <c r="R252" s="92">
        <f t="shared" si="125"/>
        <v>1009.5</v>
      </c>
      <c r="T252" s="92">
        <f t="shared" ref="T252:AA252" si="126">(K96+K148+K200)/3</f>
        <v>455.66666666666669</v>
      </c>
      <c r="U252" s="92">
        <f t="shared" si="126"/>
        <v>464.66666666666669</v>
      </c>
      <c r="V252" s="92">
        <f t="shared" si="126"/>
        <v>465.5</v>
      </c>
      <c r="W252" s="92">
        <f t="shared" si="126"/>
        <v>477.33333333333331</v>
      </c>
      <c r="X252" s="92">
        <f t="shared" si="126"/>
        <v>480.33333333333331</v>
      </c>
      <c r="Y252" s="92">
        <f t="shared" si="126"/>
        <v>484.41666666666669</v>
      </c>
      <c r="Z252" s="92">
        <f t="shared" si="126"/>
        <v>478</v>
      </c>
      <c r="AA252" s="92">
        <f t="shared" si="126"/>
        <v>646.08333333333337</v>
      </c>
      <c r="AC252" s="112">
        <f>+AF252-'Figure 8_data'!I464</f>
        <v>0</v>
      </c>
      <c r="AD252" s="92">
        <f t="shared" ref="AD252:AK252" si="127">(B252/T252-1)*100</f>
        <v>49.231894659839057</v>
      </c>
      <c r="AE252" s="92">
        <f t="shared" si="127"/>
        <v>55.595408895265422</v>
      </c>
      <c r="AF252" s="92">
        <f t="shared" si="127"/>
        <v>60.257787325456505</v>
      </c>
      <c r="AG252" s="92">
        <f t="shared" si="127"/>
        <v>41.201117318435763</v>
      </c>
      <c r="AH252" s="92">
        <f t="shared" si="127"/>
        <v>60.513532269257468</v>
      </c>
      <c r="AI252" s="92">
        <f t="shared" si="127"/>
        <v>59.573370032685347</v>
      </c>
      <c r="AJ252" s="92">
        <f t="shared" si="127"/>
        <v>28.661087866108794</v>
      </c>
      <c r="AK252" s="92">
        <f t="shared" si="127"/>
        <v>23.668257448729513</v>
      </c>
      <c r="AM252" s="112">
        <f>AP252-'Figure 8_data'!H464</f>
        <v>0</v>
      </c>
      <c r="AN252" s="92">
        <f t="shared" ref="AN252:AU252" si="128">(B252/B200-1)*100</f>
        <v>15.646258503401356</v>
      </c>
      <c r="AO252" s="92">
        <f t="shared" si="128"/>
        <v>30.978260869565212</v>
      </c>
      <c r="AP252" s="92">
        <f t="shared" si="128"/>
        <v>38.148148148148152</v>
      </c>
      <c r="AQ252" s="92">
        <f t="shared" si="128"/>
        <v>40.416666666666657</v>
      </c>
      <c r="AR252" s="92">
        <f t="shared" si="128"/>
        <v>45.197740112994353</v>
      </c>
      <c r="AS252" s="92">
        <f t="shared" si="128"/>
        <v>45.300751879699241</v>
      </c>
      <c r="AT252" s="92">
        <f t="shared" si="128"/>
        <v>44.366197183098599</v>
      </c>
      <c r="AU252" s="92">
        <f t="shared" si="128"/>
        <v>45.272727272727266</v>
      </c>
    </row>
    <row r="253" spans="1:47" x14ac:dyDescent="0.3">
      <c r="A253" s="13">
        <f t="shared" si="108"/>
        <v>39350</v>
      </c>
      <c r="B253" s="92">
        <f>+TWK!B198</f>
        <v>650</v>
      </c>
      <c r="C253" s="92">
        <f>+TWK!C198</f>
        <v>656</v>
      </c>
      <c r="D253" s="92">
        <f>+TWK!D198</f>
        <v>653</v>
      </c>
      <c r="E253" s="92">
        <f>+TWK!E198</f>
        <v>563</v>
      </c>
      <c r="F253" s="92">
        <f>+TWK!F198</f>
        <v>646</v>
      </c>
      <c r="G253" s="92">
        <f>+TWK!G198</f>
        <v>649</v>
      </c>
      <c r="H253" s="92">
        <f>+TWK!H198</f>
        <v>525</v>
      </c>
      <c r="I253" s="92">
        <f>+TWK!I198</f>
        <v>657</v>
      </c>
      <c r="K253" s="92">
        <f t="shared" ref="K253:R253" si="129">AVERAGE(B250:B253)</f>
        <v>628.25</v>
      </c>
      <c r="L253" s="92">
        <f t="shared" si="129"/>
        <v>691</v>
      </c>
      <c r="M253" s="92">
        <f t="shared" si="129"/>
        <v>724.25</v>
      </c>
      <c r="N253" s="92">
        <f t="shared" si="129"/>
        <v>704.25</v>
      </c>
      <c r="O253" s="92">
        <f t="shared" si="129"/>
        <v>747.5</v>
      </c>
      <c r="P253" s="92">
        <f t="shared" si="129"/>
        <v>745</v>
      </c>
      <c r="Q253" s="92">
        <f t="shared" si="129"/>
        <v>675.75</v>
      </c>
      <c r="R253" s="92">
        <f t="shared" si="129"/>
        <v>887</v>
      </c>
      <c r="T253" s="92">
        <f t="shared" ref="T253:AA253" si="130">(K97+K149+K201)/3</f>
        <v>471.83333333333331</v>
      </c>
      <c r="U253" s="92">
        <f t="shared" si="130"/>
        <v>486.58333333333331</v>
      </c>
      <c r="V253" s="92">
        <f t="shared" si="130"/>
        <v>494.66666666666669</v>
      </c>
      <c r="W253" s="92">
        <f t="shared" si="130"/>
        <v>500.58333333333331</v>
      </c>
      <c r="X253" s="92">
        <f t="shared" si="130"/>
        <v>504.58333333333331</v>
      </c>
      <c r="Y253" s="92">
        <f t="shared" si="130"/>
        <v>509.33333333333331</v>
      </c>
      <c r="Z253" s="92">
        <f t="shared" si="130"/>
        <v>495</v>
      </c>
      <c r="AA253" s="92">
        <f t="shared" si="130"/>
        <v>666.83333333333337</v>
      </c>
      <c r="AC253" s="112">
        <f>+AF253-'Figure 8_data'!I465</f>
        <v>0</v>
      </c>
      <c r="AD253" s="92">
        <f t="shared" ref="AD253:AK253" si="131">(B253/T253-1)*100</f>
        <v>37.760508654185813</v>
      </c>
      <c r="AE253" s="92">
        <f t="shared" si="131"/>
        <v>34.817605754409996</v>
      </c>
      <c r="AF253" s="92">
        <f t="shared" si="131"/>
        <v>32.008086253369264</v>
      </c>
      <c r="AG253" s="92">
        <f t="shared" si="131"/>
        <v>12.468786415848188</v>
      </c>
      <c r="AH253" s="92">
        <f t="shared" si="131"/>
        <v>28.026424442609411</v>
      </c>
      <c r="AI253" s="92">
        <f t="shared" si="131"/>
        <v>27.421465968586389</v>
      </c>
      <c r="AJ253" s="92">
        <f t="shared" si="131"/>
        <v>6.0606060606060552</v>
      </c>
      <c r="AK253" s="92">
        <f t="shared" si="131"/>
        <v>-1.4746313421644675</v>
      </c>
      <c r="AM253" s="112">
        <f>AP253-'Figure 8_data'!H465</f>
        <v>0</v>
      </c>
      <c r="AN253" s="92">
        <f t="shared" ref="AN253:AU253" si="132">(B253/B201-1)*100</f>
        <v>9.9830795262267245</v>
      </c>
      <c r="AO253" s="92">
        <f t="shared" si="132"/>
        <v>14.685314685314687</v>
      </c>
      <c r="AP253" s="92">
        <f t="shared" si="132"/>
        <v>12.392426850258165</v>
      </c>
      <c r="AQ253" s="92">
        <f t="shared" si="132"/>
        <v>12.375249500997999</v>
      </c>
      <c r="AR253" s="92">
        <f t="shared" si="132"/>
        <v>22.348484848484841</v>
      </c>
      <c r="AS253" s="92">
        <f t="shared" si="132"/>
        <v>22.684310018903588</v>
      </c>
      <c r="AT253" s="92">
        <f t="shared" si="132"/>
        <v>24.703087885985742</v>
      </c>
      <c r="AU253" s="92">
        <f t="shared" si="132"/>
        <v>15.669014084507049</v>
      </c>
    </row>
    <row r="254" spans="1:47" x14ac:dyDescent="0.3">
      <c r="A254" s="13">
        <f>7+A253</f>
        <v>39357</v>
      </c>
      <c r="B254" s="92">
        <f>+TWK!B199</f>
        <v>656</v>
      </c>
      <c r="C254" s="92">
        <f>+TWK!C199</f>
        <v>679</v>
      </c>
      <c r="D254" s="92">
        <f>+TWK!D199</f>
        <v>671</v>
      </c>
      <c r="E254" s="92">
        <f>+TWK!E199</f>
        <v>530</v>
      </c>
      <c r="F254" s="92">
        <f>+TWK!F199</f>
        <v>606</v>
      </c>
      <c r="G254" s="92">
        <f>+TWK!G199</f>
        <v>607</v>
      </c>
      <c r="H254" s="92">
        <f>+TWK!H199</f>
        <v>525</v>
      </c>
      <c r="I254" s="92">
        <f>+TWK!I199</f>
        <v>691</v>
      </c>
      <c r="K254" s="92">
        <f t="shared" ref="K254:R254" si="133">AVERAGE(B251:B254)</f>
        <v>642.25</v>
      </c>
      <c r="L254" s="92">
        <f t="shared" ref="L254:L259" si="134">AVERAGE(C251:C254)</f>
        <v>677</v>
      </c>
      <c r="M254" s="92">
        <f t="shared" si="133"/>
        <v>689.5</v>
      </c>
      <c r="N254" s="92">
        <f t="shared" si="133"/>
        <v>604.25</v>
      </c>
      <c r="O254" s="92">
        <f t="shared" si="133"/>
        <v>677.75</v>
      </c>
      <c r="P254" s="92">
        <f t="shared" si="133"/>
        <v>673</v>
      </c>
      <c r="Q254" s="92">
        <f t="shared" si="133"/>
        <v>569.5</v>
      </c>
      <c r="R254" s="92">
        <f t="shared" si="133"/>
        <v>739.5</v>
      </c>
      <c r="T254" s="92">
        <f t="shared" ref="T254:AA254" si="135">(K98+K150+K202)/3</f>
        <v>498.58333333333331</v>
      </c>
      <c r="U254" s="92">
        <f t="shared" si="135"/>
        <v>520.16666666666663</v>
      </c>
      <c r="V254" s="92">
        <f t="shared" si="135"/>
        <v>532.33333333333337</v>
      </c>
      <c r="W254" s="92">
        <f t="shared" si="135"/>
        <v>529.91666666666663</v>
      </c>
      <c r="X254" s="92">
        <f t="shared" si="135"/>
        <v>544.83333333333337</v>
      </c>
      <c r="Y254" s="92">
        <f t="shared" si="135"/>
        <v>551.41666666666663</v>
      </c>
      <c r="Z254" s="92">
        <f t="shared" si="135"/>
        <v>518.91666666666663</v>
      </c>
      <c r="AA254" s="92">
        <f t="shared" si="135"/>
        <v>696.75</v>
      </c>
      <c r="AC254" s="112">
        <f>+AF254-'Figure 8_data'!I466</f>
        <v>0</v>
      </c>
      <c r="AD254" s="92">
        <f t="shared" ref="AD254:AJ254" si="136">(B254/T254-1)*100</f>
        <v>31.572789570449622</v>
      </c>
      <c r="AE254" s="92">
        <f t="shared" si="136"/>
        <v>30.535084908683132</v>
      </c>
      <c r="AF254" s="92">
        <f t="shared" si="136"/>
        <v>26.048841577958658</v>
      </c>
      <c r="AG254" s="92">
        <f t="shared" si="136"/>
        <v>1.572574304136154E-2</v>
      </c>
      <c r="AH254" s="92">
        <f t="shared" si="136"/>
        <v>11.226674824105221</v>
      </c>
      <c r="AI254" s="92">
        <f t="shared" si="136"/>
        <v>10.080096720568243</v>
      </c>
      <c r="AJ254" s="92">
        <f t="shared" si="136"/>
        <v>1.1723141159466932</v>
      </c>
      <c r="AK254" s="92">
        <f t="shared" ref="AK254:AK259" si="137">(I254/AA254-1)*100</f>
        <v>-0.82526013634732776</v>
      </c>
      <c r="AM254" s="112">
        <f>AP254-'Figure 8_data'!H466</f>
        <v>0</v>
      </c>
      <c r="AN254" s="92">
        <f t="shared" ref="AN254:AT254" si="138">(B254/B202-1)*100</f>
        <v>3.7974683544303778</v>
      </c>
      <c r="AO254" s="92">
        <f t="shared" si="138"/>
        <v>6.2597809076682331</v>
      </c>
      <c r="AP254" s="92">
        <f t="shared" si="138"/>
        <v>10.361842105263165</v>
      </c>
      <c r="AQ254" s="92">
        <f t="shared" ref="AQ254:AQ259" si="139">(E254/E202-1)*100</f>
        <v>-12.396694214876035</v>
      </c>
      <c r="AR254" s="92">
        <f t="shared" si="138"/>
        <v>-6.1919504643962897</v>
      </c>
      <c r="AS254" s="92">
        <f t="shared" si="138"/>
        <v>-6.3271604938271553</v>
      </c>
      <c r="AT254" s="92">
        <f t="shared" si="138"/>
        <v>-3.8461538461538436</v>
      </c>
      <c r="AU254" s="92">
        <f t="shared" ref="AU254:AU259" si="140">(I254/I202-1)*100</f>
        <v>-1.4265335235377985</v>
      </c>
    </row>
    <row r="255" spans="1:47" x14ac:dyDescent="0.3">
      <c r="A255" s="13">
        <v>39364</v>
      </c>
      <c r="B255" s="92">
        <f>+TWK!B200</f>
        <v>626</v>
      </c>
      <c r="C255" s="92">
        <f>+TWK!C200</f>
        <v>638.33333333333337</v>
      </c>
      <c r="D255" s="92">
        <f>+TWK!D200</f>
        <v>640</v>
      </c>
      <c r="E255" s="92">
        <f>+TWK!E200</f>
        <v>577</v>
      </c>
      <c r="F255" s="92">
        <f>+TWK!F200</f>
        <v>680</v>
      </c>
      <c r="G255" s="92">
        <f>+TWK!G200</f>
        <v>680</v>
      </c>
      <c r="H255" s="92">
        <f>+TWK!H200</f>
        <v>568</v>
      </c>
      <c r="I255" s="92">
        <f>+TWK!I200</f>
        <v>749.57787481804951</v>
      </c>
      <c r="K255" s="92">
        <f t="shared" ref="K255:K260" si="141">AVERAGE(B252:B255)</f>
        <v>653</v>
      </c>
      <c r="L255" s="92">
        <f t="shared" si="134"/>
        <v>674.08333333333337</v>
      </c>
      <c r="M255" s="92">
        <f t="shared" ref="M255:R255" si="142">AVERAGE(D252:D255)</f>
        <v>677.5</v>
      </c>
      <c r="N255" s="92">
        <f t="shared" si="142"/>
        <v>586</v>
      </c>
      <c r="O255" s="92">
        <f t="shared" si="142"/>
        <v>675.75</v>
      </c>
      <c r="P255" s="92">
        <f t="shared" si="142"/>
        <v>677.25</v>
      </c>
      <c r="Q255" s="92">
        <f t="shared" si="142"/>
        <v>558.25</v>
      </c>
      <c r="R255" s="92">
        <f t="shared" si="142"/>
        <v>724.14446870451241</v>
      </c>
      <c r="T255" s="92">
        <f t="shared" ref="T255:AA255" si="143">(K99+K151+K203)/3</f>
        <v>514.83333333333337</v>
      </c>
      <c r="U255" s="92">
        <f t="shared" si="143"/>
        <v>538.41666666666663</v>
      </c>
      <c r="V255" s="92">
        <f t="shared" si="143"/>
        <v>549.08333333333337</v>
      </c>
      <c r="W255" s="92">
        <f t="shared" si="143"/>
        <v>548.83333333333337</v>
      </c>
      <c r="X255" s="92">
        <f t="shared" si="143"/>
        <v>560.16666666666663</v>
      </c>
      <c r="Y255" s="92">
        <f t="shared" si="143"/>
        <v>567.33333333333337</v>
      </c>
      <c r="Z255" s="92">
        <f t="shared" si="143"/>
        <v>522.33333333333337</v>
      </c>
      <c r="AA255" s="92">
        <f t="shared" si="143"/>
        <v>697</v>
      </c>
      <c r="AC255" s="112">
        <f>+AF255-'Figure 8_data'!I467</f>
        <v>0</v>
      </c>
      <c r="AD255" s="92">
        <f t="shared" ref="AD255:AJ255" si="144">(B255/T255-1)*100</f>
        <v>21.592748462285517</v>
      </c>
      <c r="AE255" s="92">
        <f t="shared" si="144"/>
        <v>18.557498839189002</v>
      </c>
      <c r="AF255" s="92">
        <f t="shared" si="144"/>
        <v>16.557899529518892</v>
      </c>
      <c r="AG255" s="92">
        <f t="shared" si="144"/>
        <v>5.1320983905253525</v>
      </c>
      <c r="AH255" s="92">
        <f t="shared" si="144"/>
        <v>21.392442725379368</v>
      </c>
      <c r="AI255" s="92">
        <f t="shared" si="144"/>
        <v>19.858989424206808</v>
      </c>
      <c r="AJ255" s="92">
        <f t="shared" si="144"/>
        <v>8.7428206764518013</v>
      </c>
      <c r="AK255" s="92">
        <f t="shared" si="137"/>
        <v>7.543454062847843</v>
      </c>
      <c r="AM255" s="112">
        <f>AP255-'Figure 8_data'!H467</f>
        <v>0</v>
      </c>
      <c r="AN255" s="92">
        <f t="shared" ref="AN255:AP256" si="145">(B255/B203-1)*100</f>
        <v>1.6233766233766156</v>
      </c>
      <c r="AO255" s="92">
        <f t="shared" si="145"/>
        <v>3.123317178244478</v>
      </c>
      <c r="AP255" s="92">
        <f t="shared" si="145"/>
        <v>13.879003558718871</v>
      </c>
      <c r="AQ255" s="92">
        <f t="shared" si="139"/>
        <v>1.2280701754386003</v>
      </c>
      <c r="AR255" s="92">
        <f t="shared" ref="AR255:AT256" si="146">(F255/F203-1)*100</f>
        <v>5.7542768273716849</v>
      </c>
      <c r="AS255" s="92">
        <f t="shared" si="146"/>
        <v>5.1004636785162205</v>
      </c>
      <c r="AT255" s="92">
        <f t="shared" si="146"/>
        <v>4.6040515653775316</v>
      </c>
      <c r="AU255" s="92">
        <f t="shared" si="140"/>
        <v>4.5436366552370266</v>
      </c>
    </row>
    <row r="256" spans="1:47" x14ac:dyDescent="0.3">
      <c r="A256" s="13">
        <f t="shared" ref="A256:A261" si="147">7+A255</f>
        <v>39371</v>
      </c>
      <c r="B256" s="92">
        <f>+TWK!B201</f>
        <v>520</v>
      </c>
      <c r="C256" s="92">
        <f>+TWK!C201</f>
        <v>526</v>
      </c>
      <c r="D256" s="92">
        <f>+TWK!D201</f>
        <v>526</v>
      </c>
      <c r="E256" s="92">
        <f>+TWK!E201</f>
        <v>428</v>
      </c>
      <c r="F256" s="92">
        <f>+TWK!F201</f>
        <v>503</v>
      </c>
      <c r="G256" s="92">
        <f>+TWK!G201</f>
        <v>503</v>
      </c>
      <c r="H256" s="92">
        <f>+TWK!H201</f>
        <v>377</v>
      </c>
      <c r="I256" s="92">
        <f>+TWK!I201</f>
        <v>506</v>
      </c>
      <c r="K256" s="92">
        <f t="shared" si="141"/>
        <v>613</v>
      </c>
      <c r="L256" s="92">
        <f t="shared" si="134"/>
        <v>624.83333333333337</v>
      </c>
      <c r="M256" s="92">
        <f t="shared" ref="M256:R256" si="148">AVERAGE(D253:D256)</f>
        <v>622.5</v>
      </c>
      <c r="N256" s="92">
        <f t="shared" si="148"/>
        <v>524.5</v>
      </c>
      <c r="O256" s="92">
        <f t="shared" si="148"/>
        <v>608.75</v>
      </c>
      <c r="P256" s="92">
        <f t="shared" si="148"/>
        <v>609.75</v>
      </c>
      <c r="Q256" s="92">
        <f t="shared" si="148"/>
        <v>498.75</v>
      </c>
      <c r="R256" s="92">
        <f t="shared" si="148"/>
        <v>650.89446870451241</v>
      </c>
      <c r="T256" s="92">
        <f t="shared" ref="T256:AA256" si="149">(K100+K152+K204)/3</f>
        <v>525.75</v>
      </c>
      <c r="U256" s="92">
        <f t="shared" si="149"/>
        <v>551.33333333333337</v>
      </c>
      <c r="V256" s="92">
        <f t="shared" si="149"/>
        <v>555.41666666666663</v>
      </c>
      <c r="W256" s="92">
        <f t="shared" si="149"/>
        <v>553.25</v>
      </c>
      <c r="X256" s="92">
        <f t="shared" si="149"/>
        <v>568.83333333333337</v>
      </c>
      <c r="Y256" s="92">
        <f t="shared" si="149"/>
        <v>575.08333333333337</v>
      </c>
      <c r="Z256" s="92">
        <f t="shared" si="149"/>
        <v>513.91666666666663</v>
      </c>
      <c r="AA256" s="92">
        <f t="shared" si="149"/>
        <v>683.41666666666663</v>
      </c>
      <c r="AC256" s="112">
        <f>+AF256-'Figure 8_data'!I468</f>
        <v>0</v>
      </c>
      <c r="AD256" s="92">
        <f t="shared" ref="AD256:AJ256" si="150">(B256/T256-1)*100</f>
        <v>-1.0936757013789822</v>
      </c>
      <c r="AE256" s="92">
        <f t="shared" si="150"/>
        <v>-4.5949214026602236</v>
      </c>
      <c r="AF256" s="92">
        <f t="shared" si="150"/>
        <v>-5.2963240810202539</v>
      </c>
      <c r="AG256" s="92">
        <f t="shared" si="150"/>
        <v>-22.638951649344786</v>
      </c>
      <c r="AH256" s="92">
        <f t="shared" si="150"/>
        <v>-11.573395839437451</v>
      </c>
      <c r="AI256" s="92">
        <f t="shared" si="150"/>
        <v>-12.534415302130132</v>
      </c>
      <c r="AJ256" s="92">
        <f t="shared" si="150"/>
        <v>-26.641803145775899</v>
      </c>
      <c r="AK256" s="92">
        <f t="shared" si="137"/>
        <v>-25.960248750152417</v>
      </c>
      <c r="AM256" s="112">
        <f>AP256-'Figure 8_data'!H468</f>
        <v>0</v>
      </c>
      <c r="AN256" s="92">
        <f t="shared" si="145"/>
        <v>-12.16216216216216</v>
      </c>
      <c r="AO256" s="92">
        <f t="shared" si="145"/>
        <v>-11.892797319933003</v>
      </c>
      <c r="AP256" s="92">
        <f t="shared" si="145"/>
        <v>-5.0541516245487417</v>
      </c>
      <c r="AQ256" s="92">
        <f t="shared" si="139"/>
        <v>-16.569200779727101</v>
      </c>
      <c r="AR256" s="92">
        <f t="shared" si="146"/>
        <v>-12.975778546712801</v>
      </c>
      <c r="AS256" s="92">
        <f t="shared" si="146"/>
        <v>-13.573883161512024</v>
      </c>
      <c r="AT256" s="92">
        <f t="shared" si="146"/>
        <v>-16.222222222222229</v>
      </c>
      <c r="AU256" s="92">
        <f t="shared" si="140"/>
        <v>-13.945578231292522</v>
      </c>
    </row>
    <row r="257" spans="1:47" x14ac:dyDescent="0.3">
      <c r="A257" s="13">
        <f t="shared" si="147"/>
        <v>39378</v>
      </c>
      <c r="B257" s="92">
        <f>+TWK!B202</f>
        <v>506</v>
      </c>
      <c r="C257" s="92">
        <f>+TWK!C202</f>
        <v>515</v>
      </c>
      <c r="D257" s="92">
        <f>+TWK!D202</f>
        <v>533.33333333333337</v>
      </c>
      <c r="E257" s="92">
        <f>+TWK!E202</f>
        <v>395</v>
      </c>
      <c r="F257" s="92">
        <f>+TWK!F202</f>
        <v>480.83333333333331</v>
      </c>
      <c r="G257" s="92">
        <f>+TWK!G202</f>
        <v>480.83333333333331</v>
      </c>
      <c r="H257" s="92">
        <f>+TWK!H202</f>
        <v>360</v>
      </c>
      <c r="I257" s="92">
        <f>+TWK!I202</f>
        <v>488.63901018922849</v>
      </c>
      <c r="K257" s="92">
        <f t="shared" si="141"/>
        <v>577</v>
      </c>
      <c r="L257" s="92">
        <f t="shared" si="134"/>
        <v>589.58333333333337</v>
      </c>
      <c r="M257" s="92">
        <f t="shared" ref="M257:R257" si="151">AVERAGE(D254:D257)</f>
        <v>592.58333333333337</v>
      </c>
      <c r="N257" s="92">
        <f t="shared" si="151"/>
        <v>482.5</v>
      </c>
      <c r="O257" s="92">
        <f t="shared" si="151"/>
        <v>567.45833333333337</v>
      </c>
      <c r="P257" s="92">
        <f t="shared" si="151"/>
        <v>567.70833333333337</v>
      </c>
      <c r="Q257" s="92">
        <f t="shared" si="151"/>
        <v>457.5</v>
      </c>
      <c r="R257" s="92">
        <f t="shared" si="151"/>
        <v>608.80422125181951</v>
      </c>
      <c r="T257" s="92">
        <f t="shared" ref="T257:AA257" si="152">(K101+K153+K205)/3</f>
        <v>531.25</v>
      </c>
      <c r="U257" s="92">
        <f t="shared" si="152"/>
        <v>548.33333333333337</v>
      </c>
      <c r="V257" s="92">
        <f t="shared" si="152"/>
        <v>540.33333333333337</v>
      </c>
      <c r="W257" s="92">
        <f t="shared" si="152"/>
        <v>521.83333333333337</v>
      </c>
      <c r="X257" s="92">
        <f t="shared" si="152"/>
        <v>541.91666666666663</v>
      </c>
      <c r="Y257" s="92">
        <f t="shared" si="152"/>
        <v>547.75</v>
      </c>
      <c r="Z257" s="92">
        <f t="shared" si="152"/>
        <v>476.33333333333331</v>
      </c>
      <c r="AA257" s="92">
        <f t="shared" si="152"/>
        <v>638.83333333333337</v>
      </c>
      <c r="AC257" s="112">
        <f>+AF257-'Figure 8_data'!I469</f>
        <v>0</v>
      </c>
      <c r="AD257" s="92">
        <f t="shared" ref="AD257:AJ257" si="153">(B257/T257-1)*100</f>
        <v>-4.7529411764705927</v>
      </c>
      <c r="AE257" s="92">
        <f t="shared" si="153"/>
        <v>-6.0790273556231122</v>
      </c>
      <c r="AF257" s="92">
        <f t="shared" si="153"/>
        <v>-1.2954966070326979</v>
      </c>
      <c r="AG257" s="92">
        <f t="shared" si="153"/>
        <v>-24.305333759182378</v>
      </c>
      <c r="AH257" s="92">
        <f t="shared" si="153"/>
        <v>-11.271720744271875</v>
      </c>
      <c r="AI257" s="92">
        <f t="shared" si="153"/>
        <v>-12.216643846036824</v>
      </c>
      <c r="AJ257" s="92">
        <f t="shared" si="153"/>
        <v>-24.422673198040592</v>
      </c>
      <c r="AK257" s="92">
        <f t="shared" si="137"/>
        <v>-23.510721076562202</v>
      </c>
      <c r="AM257" s="112">
        <f>AP257-'Figure 8_data'!H469</f>
        <v>0</v>
      </c>
      <c r="AN257" s="92">
        <f>(B257/B205-1)*100</f>
        <v>3.2653061224489743</v>
      </c>
      <c r="AO257" s="92">
        <f>(C257/C205-1)*100</f>
        <v>11.713665943600859</v>
      </c>
      <c r="AP257" s="92">
        <f>(D257/D205-1)*100</f>
        <v>18.518518518518533</v>
      </c>
      <c r="AQ257" s="92">
        <f t="shared" si="139"/>
        <v>12.857142857142856</v>
      </c>
      <c r="AR257" s="92">
        <f>(F257/F205-1)*100</f>
        <v>20.208333333333339</v>
      </c>
      <c r="AS257" s="92">
        <f>(G257/G205-1)*100</f>
        <v>20.208333333333339</v>
      </c>
      <c r="AT257" s="92">
        <f>(H257/H205-1)*100</f>
        <v>16.129032258064523</v>
      </c>
      <c r="AU257" s="92">
        <f t="shared" si="140"/>
        <v>14.435365383894251</v>
      </c>
    </row>
    <row r="258" spans="1:47" x14ac:dyDescent="0.3">
      <c r="A258" s="13">
        <f t="shared" si="147"/>
        <v>39385</v>
      </c>
      <c r="B258" s="92">
        <f>+TWK!B203</f>
        <v>550</v>
      </c>
      <c r="C258" s="92">
        <f>+TWK!C203</f>
        <v>509</v>
      </c>
      <c r="D258" s="92">
        <f>+TWK!D203</f>
        <v>456</v>
      </c>
      <c r="E258" s="92">
        <f>+TWK!E203</f>
        <v>310</v>
      </c>
      <c r="F258" s="92">
        <f>+TWK!F203</f>
        <v>360</v>
      </c>
      <c r="G258" s="92">
        <f>+TWK!G203</f>
        <v>360</v>
      </c>
      <c r="H258" s="92">
        <f>+TWK!H203</f>
        <v>291</v>
      </c>
      <c r="I258" s="92">
        <f>+TWK!I203</f>
        <v>403</v>
      </c>
      <c r="K258" s="92">
        <f t="shared" si="141"/>
        <v>550.5</v>
      </c>
      <c r="L258" s="92">
        <f t="shared" si="134"/>
        <v>547.08333333333337</v>
      </c>
      <c r="M258" s="92">
        <f t="shared" ref="M258:R259" si="154">AVERAGE(D255:D258)</f>
        <v>538.83333333333337</v>
      </c>
      <c r="N258" s="92">
        <f t="shared" si="154"/>
        <v>427.5</v>
      </c>
      <c r="O258" s="92">
        <f t="shared" si="154"/>
        <v>505.95833333333331</v>
      </c>
      <c r="P258" s="92">
        <f t="shared" si="154"/>
        <v>505.95833333333331</v>
      </c>
      <c r="Q258" s="92">
        <f t="shared" si="154"/>
        <v>399</v>
      </c>
      <c r="R258" s="92">
        <f t="shared" si="154"/>
        <v>536.80422125181951</v>
      </c>
      <c r="T258" s="92">
        <f t="shared" ref="T258:AA259" si="155">(K102+K154+K206)/3</f>
        <v>524.33333333333337</v>
      </c>
      <c r="U258" s="92">
        <f t="shared" si="155"/>
        <v>523.58333333333337</v>
      </c>
      <c r="V258" s="92">
        <f t="shared" si="155"/>
        <v>507.25</v>
      </c>
      <c r="W258" s="92">
        <f t="shared" si="155"/>
        <v>468.5</v>
      </c>
      <c r="X258" s="92">
        <f t="shared" si="155"/>
        <v>481</v>
      </c>
      <c r="Y258" s="92">
        <f t="shared" si="155"/>
        <v>483.5</v>
      </c>
      <c r="Z258" s="92">
        <f t="shared" si="155"/>
        <v>410.91666666666669</v>
      </c>
      <c r="AA258" s="92">
        <f t="shared" si="155"/>
        <v>548.75</v>
      </c>
      <c r="AC258" s="112">
        <f>+AF258-'Figure 8_data'!I470</f>
        <v>0</v>
      </c>
      <c r="AD258" s="92">
        <f t="shared" ref="AD258:AJ259" si="156">(B258/T258-1)*100</f>
        <v>4.8951048951048959</v>
      </c>
      <c r="AE258" s="92">
        <f t="shared" si="156"/>
        <v>-2.7852936495304847</v>
      </c>
      <c r="AF258" s="92">
        <f t="shared" si="156"/>
        <v>-10.103499260719563</v>
      </c>
      <c r="AG258" s="92">
        <f t="shared" si="156"/>
        <v>-33.831376734258271</v>
      </c>
      <c r="AH258" s="92">
        <f t="shared" si="156"/>
        <v>-25.155925155925154</v>
      </c>
      <c r="AI258" s="92">
        <f t="shared" si="156"/>
        <v>-25.542916235780766</v>
      </c>
      <c r="AJ258" s="92">
        <f t="shared" si="156"/>
        <v>-29.182721557493409</v>
      </c>
      <c r="AK258" s="92">
        <f t="shared" si="137"/>
        <v>-26.560364464692487</v>
      </c>
      <c r="AM258" s="112">
        <f>AP258-'Figure 8_data'!H470</f>
        <v>0</v>
      </c>
      <c r="AN258" s="92">
        <f t="shared" ref="AN258:AP259" si="157">(B258/B206-1)*100</f>
        <v>-15.123456790123457</v>
      </c>
      <c r="AO258" s="92">
        <f t="shared" si="157"/>
        <v>-6.2615101289134394</v>
      </c>
      <c r="AP258" s="92">
        <f t="shared" si="157"/>
        <v>-13.636363636363635</v>
      </c>
      <c r="AQ258" s="92">
        <f t="shared" si="139"/>
        <v>-29.384965831435082</v>
      </c>
      <c r="AR258" s="92">
        <f t="shared" ref="AR258:AT259" si="158">(F258/F206-1)*100</f>
        <v>-7.455012853470433</v>
      </c>
      <c r="AS258" s="92">
        <f t="shared" si="158"/>
        <v>-7.455012853470433</v>
      </c>
      <c r="AT258" s="92">
        <f t="shared" si="158"/>
        <v>-10.461538461538467</v>
      </c>
      <c r="AU258" s="92">
        <f t="shared" si="140"/>
        <v>-5.1764705882352935</v>
      </c>
    </row>
    <row r="259" spans="1:47" x14ac:dyDescent="0.3">
      <c r="A259" s="13">
        <f t="shared" si="147"/>
        <v>39392</v>
      </c>
      <c r="B259" s="92">
        <f>+TWK!B204</f>
        <v>456.66666666666669</v>
      </c>
      <c r="C259" s="92">
        <f>+TWK!C204</f>
        <v>422.5</v>
      </c>
      <c r="D259" s="92">
        <f>+TWK!D204</f>
        <v>417.5</v>
      </c>
      <c r="E259" s="92">
        <f>+TWK!E204</f>
        <v>308.75</v>
      </c>
      <c r="F259" s="92">
        <f>+TWK!F204</f>
        <v>365</v>
      </c>
      <c r="G259" s="92">
        <f>+TWK!G204</f>
        <v>366.25</v>
      </c>
      <c r="H259" s="92">
        <f>+TWK!H204</f>
        <v>292.5</v>
      </c>
      <c r="I259" s="92">
        <f>+TWK!I204</f>
        <v>401.06986899563316</v>
      </c>
      <c r="K259" s="92">
        <f t="shared" si="141"/>
        <v>508.16666666666669</v>
      </c>
      <c r="L259" s="92">
        <f t="shared" si="134"/>
        <v>493.125</v>
      </c>
      <c r="M259" s="92">
        <f t="shared" si="154"/>
        <v>483.20833333333337</v>
      </c>
      <c r="N259" s="92">
        <f t="shared" si="154"/>
        <v>360.4375</v>
      </c>
      <c r="O259" s="92">
        <f t="shared" si="154"/>
        <v>427.20833333333331</v>
      </c>
      <c r="P259" s="92">
        <f t="shared" si="154"/>
        <v>427.52083333333331</v>
      </c>
      <c r="Q259" s="92">
        <f t="shared" si="154"/>
        <v>330.125</v>
      </c>
      <c r="R259" s="92">
        <f t="shared" si="154"/>
        <v>449.67721979621541</v>
      </c>
      <c r="T259" s="92">
        <f t="shared" si="155"/>
        <v>499.91666666666669</v>
      </c>
      <c r="U259" s="92">
        <f t="shared" si="155"/>
        <v>480</v>
      </c>
      <c r="V259" s="92">
        <f t="shared" si="155"/>
        <v>461.33333333333331</v>
      </c>
      <c r="W259" s="92">
        <f t="shared" si="155"/>
        <v>405.83333333333331</v>
      </c>
      <c r="X259" s="92">
        <f t="shared" si="155"/>
        <v>427.83333333333331</v>
      </c>
      <c r="Y259" s="92">
        <f t="shared" si="155"/>
        <v>428.25</v>
      </c>
      <c r="Z259" s="92">
        <f t="shared" si="155"/>
        <v>347.58333333333331</v>
      </c>
      <c r="AA259" s="92">
        <f t="shared" si="155"/>
        <v>468.33333333333331</v>
      </c>
      <c r="AC259" s="112">
        <f>+AF259-'Figure 8_data'!I471</f>
        <v>0</v>
      </c>
      <c r="AD259" s="92">
        <f t="shared" si="156"/>
        <v>-8.6514419069844912</v>
      </c>
      <c r="AE259" s="92">
        <f t="shared" si="156"/>
        <v>-11.979166666666663</v>
      </c>
      <c r="AF259" s="92">
        <f t="shared" si="156"/>
        <v>-9.5014450867051963</v>
      </c>
      <c r="AG259" s="92">
        <f t="shared" si="156"/>
        <v>-23.921971252566731</v>
      </c>
      <c r="AH259" s="92">
        <f t="shared" si="156"/>
        <v>-14.686404363069727</v>
      </c>
      <c r="AI259" s="92">
        <f t="shared" si="156"/>
        <v>-14.477524810274367</v>
      </c>
      <c r="AJ259" s="92">
        <f t="shared" si="156"/>
        <v>-15.847518580676089</v>
      </c>
      <c r="AK259" s="92">
        <f t="shared" si="137"/>
        <v>-14.362305552533838</v>
      </c>
      <c r="AM259" s="112">
        <f>AP259-'Figure 8_data'!H471</f>
        <v>0</v>
      </c>
      <c r="AN259" s="92">
        <f t="shared" si="157"/>
        <v>-16.666666666666664</v>
      </c>
      <c r="AO259" s="92">
        <f t="shared" si="157"/>
        <v>-14.473684210526317</v>
      </c>
      <c r="AP259" s="92">
        <f t="shared" si="157"/>
        <v>-9.0413943355119883</v>
      </c>
      <c r="AQ259" s="92">
        <f t="shared" si="139"/>
        <v>-24.511002444987774</v>
      </c>
      <c r="AR259" s="92">
        <f t="shared" si="158"/>
        <v>-8.9775561097256826</v>
      </c>
      <c r="AS259" s="92">
        <f t="shared" si="158"/>
        <v>-8.6658354114713241</v>
      </c>
      <c r="AT259" s="92">
        <f t="shared" si="158"/>
        <v>-2.5000000000000022</v>
      </c>
      <c r="AU259" s="92">
        <f t="shared" si="140"/>
        <v>-1.9389073360310149</v>
      </c>
    </row>
    <row r="260" spans="1:47" x14ac:dyDescent="0.3">
      <c r="A260" s="13">
        <f t="shared" si="147"/>
        <v>39399</v>
      </c>
      <c r="B260" s="92">
        <f>+TWK!B205</f>
        <v>480</v>
      </c>
      <c r="C260" s="92">
        <f>+TWK!C205</f>
        <v>436</v>
      </c>
      <c r="D260" s="92">
        <f>+TWK!D205</f>
        <v>438</v>
      </c>
      <c r="E260" s="92">
        <f>+TWK!E205</f>
        <v>358</v>
      </c>
      <c r="F260" s="92">
        <f>+TWK!F205</f>
        <v>424</v>
      </c>
      <c r="G260" s="92">
        <f>+TWK!G205</f>
        <v>415</v>
      </c>
      <c r="H260" s="92">
        <f>+TWK!H205</f>
        <v>327</v>
      </c>
      <c r="I260" s="92">
        <f>+TWK!I205</f>
        <v>429</v>
      </c>
      <c r="K260" s="92">
        <f t="shared" si="141"/>
        <v>498.16666666666669</v>
      </c>
      <c r="L260" s="92">
        <f t="shared" ref="L260:R260" si="159">AVERAGE(C257:C260)</f>
        <v>470.625</v>
      </c>
      <c r="M260" s="92">
        <f t="shared" si="159"/>
        <v>461.20833333333337</v>
      </c>
      <c r="N260" s="92">
        <f t="shared" si="159"/>
        <v>342.9375</v>
      </c>
      <c r="O260" s="92">
        <f t="shared" si="159"/>
        <v>407.45833333333331</v>
      </c>
      <c r="P260" s="92">
        <f t="shared" si="159"/>
        <v>405.52083333333331</v>
      </c>
      <c r="Q260" s="92">
        <f t="shared" si="159"/>
        <v>317.625</v>
      </c>
      <c r="R260" s="92">
        <f t="shared" si="159"/>
        <v>430.42721979621541</v>
      </c>
      <c r="T260" s="92">
        <f t="shared" ref="T260:AA260" si="160">(K104+K156+K208)/3</f>
        <v>472.58333333333331</v>
      </c>
      <c r="U260" s="92">
        <f t="shared" si="160"/>
        <v>440.33333333333331</v>
      </c>
      <c r="V260" s="92">
        <f t="shared" si="160"/>
        <v>426.08333333333331</v>
      </c>
      <c r="W260" s="92">
        <f t="shared" si="160"/>
        <v>367.16666666666669</v>
      </c>
      <c r="X260" s="92">
        <f t="shared" si="160"/>
        <v>384.33333333333331</v>
      </c>
      <c r="Y260" s="92">
        <f t="shared" si="160"/>
        <v>385.08333333333331</v>
      </c>
      <c r="Z260" s="92">
        <f t="shared" si="160"/>
        <v>310.91666666666669</v>
      </c>
      <c r="AA260" s="92">
        <f t="shared" si="160"/>
        <v>416.5</v>
      </c>
      <c r="AC260" s="112">
        <f>+AF260-'Figure 8_data'!I472</f>
        <v>0</v>
      </c>
      <c r="AD260" s="92">
        <f t="shared" ref="AD260:AK260" si="161">(B260/T260-1)*100</f>
        <v>1.5693881149709155</v>
      </c>
      <c r="AE260" s="92">
        <f t="shared" si="161"/>
        <v>-0.98410295230885181</v>
      </c>
      <c r="AF260" s="92">
        <f t="shared" si="161"/>
        <v>2.7967924897320584</v>
      </c>
      <c r="AG260" s="92">
        <f t="shared" si="161"/>
        <v>-2.4965955515206639</v>
      </c>
      <c r="AH260" s="92">
        <f t="shared" si="161"/>
        <v>10.320901994796184</v>
      </c>
      <c r="AI260" s="92">
        <f t="shared" si="161"/>
        <v>7.7688811945466396</v>
      </c>
      <c r="AJ260" s="92">
        <f t="shared" si="161"/>
        <v>5.1728759045832184</v>
      </c>
      <c r="AK260" s="92">
        <f t="shared" si="161"/>
        <v>3.0012004801920789</v>
      </c>
      <c r="AM260" s="112">
        <f>AP260-'Figure 8_data'!H472</f>
        <v>0</v>
      </c>
      <c r="AN260" s="92">
        <f t="shared" ref="AN260:AU260" si="162">(B260/B208-1)*100</f>
        <v>-3.6144578313253017</v>
      </c>
      <c r="AO260" s="92">
        <f t="shared" si="162"/>
        <v>-0.45662100456621557</v>
      </c>
      <c r="AP260" s="92">
        <f t="shared" si="162"/>
        <v>-1.5730337078651679</v>
      </c>
      <c r="AQ260" s="92">
        <f t="shared" si="162"/>
        <v>-5.2910052910052912</v>
      </c>
      <c r="AR260" s="92">
        <f t="shared" si="162"/>
        <v>12.466843501326252</v>
      </c>
      <c r="AS260" s="92">
        <f t="shared" si="162"/>
        <v>10.07957559681698</v>
      </c>
      <c r="AT260" s="92">
        <f t="shared" si="162"/>
        <v>16.370106761565829</v>
      </c>
      <c r="AU260" s="92">
        <f t="shared" si="162"/>
        <v>11.13989637305699</v>
      </c>
    </row>
    <row r="261" spans="1:47" x14ac:dyDescent="0.3">
      <c r="A261" s="13">
        <f t="shared" si="147"/>
        <v>39406</v>
      </c>
      <c r="B261" s="92">
        <f>+TWK!B206</f>
        <v>453.33333333333331</v>
      </c>
      <c r="C261" s="92">
        <f>+TWK!C206</f>
        <v>413</v>
      </c>
      <c r="D261" s="92">
        <f>+TWK!D206</f>
        <v>406</v>
      </c>
      <c r="E261" s="92">
        <f>+TWK!E206</f>
        <v>324</v>
      </c>
      <c r="F261" s="92">
        <f>+TWK!F206</f>
        <v>369</v>
      </c>
      <c r="G261" s="92">
        <f>+TWK!G206</f>
        <v>369</v>
      </c>
      <c r="H261" s="92">
        <f>+TWK!H206</f>
        <v>297</v>
      </c>
      <c r="I261" s="92">
        <f>+TWK!I206</f>
        <v>399.08296943231437</v>
      </c>
      <c r="K261" s="92">
        <f t="shared" ref="K261:R261" si="163">AVERAGE(B258:B261)</f>
        <v>485</v>
      </c>
      <c r="L261" s="92">
        <f t="shared" si="163"/>
        <v>445.125</v>
      </c>
      <c r="M261" s="92">
        <f t="shared" si="163"/>
        <v>429.375</v>
      </c>
      <c r="N261" s="92">
        <f t="shared" si="163"/>
        <v>325.1875</v>
      </c>
      <c r="O261" s="92">
        <f t="shared" si="163"/>
        <v>379.5</v>
      </c>
      <c r="P261" s="92">
        <f t="shared" si="163"/>
        <v>377.5625</v>
      </c>
      <c r="Q261" s="92">
        <f t="shared" si="163"/>
        <v>301.875</v>
      </c>
      <c r="R261" s="92">
        <f t="shared" si="163"/>
        <v>408.03820960698692</v>
      </c>
      <c r="T261" s="92">
        <f t="shared" ref="T261:AA261" si="164">(K105+K157+K209)/3</f>
        <v>438.05555555555549</v>
      </c>
      <c r="U261" s="92">
        <f t="shared" si="164"/>
        <v>400.66666666666669</v>
      </c>
      <c r="V261" s="92">
        <f t="shared" si="164"/>
        <v>393.41666666666669</v>
      </c>
      <c r="W261" s="92">
        <f t="shared" si="164"/>
        <v>336</v>
      </c>
      <c r="X261" s="92">
        <f t="shared" si="164"/>
        <v>354.25</v>
      </c>
      <c r="Y261" s="92">
        <f t="shared" si="164"/>
        <v>354.41666666666669</v>
      </c>
      <c r="Z261" s="92">
        <f t="shared" si="164"/>
        <v>282.25</v>
      </c>
      <c r="AA261" s="92">
        <f t="shared" si="164"/>
        <v>376</v>
      </c>
      <c r="AC261" s="112">
        <f>+AF261-'Figure 8_data'!I473</f>
        <v>0</v>
      </c>
      <c r="AD261" s="92">
        <f t="shared" ref="AD261:AK261" si="165">(B261/T261-1)*100</f>
        <v>3.4876347495244264</v>
      </c>
      <c r="AE261" s="92">
        <f t="shared" si="165"/>
        <v>3.0782029950083167</v>
      </c>
      <c r="AF261" s="92">
        <f t="shared" si="165"/>
        <v>3.1984748993857171</v>
      </c>
      <c r="AG261" s="92">
        <f t="shared" si="165"/>
        <v>-3.5714285714285698</v>
      </c>
      <c r="AH261" s="92">
        <f t="shared" si="165"/>
        <v>4.1637261820748117</v>
      </c>
      <c r="AI261" s="92">
        <f t="shared" si="165"/>
        <v>4.1147425346814037</v>
      </c>
      <c r="AJ261" s="92">
        <f t="shared" si="165"/>
        <v>5.2258635961027533</v>
      </c>
      <c r="AK261" s="92">
        <f t="shared" si="165"/>
        <v>6.1390876149772344</v>
      </c>
      <c r="AM261" s="112">
        <f>AP261-'Figure 8_data'!H473</f>
        <v>0</v>
      </c>
      <c r="AO261" s="92">
        <f t="shared" ref="AO261:AU261" si="166">(C261/C209-1)*100</f>
        <v>-11.752136752136755</v>
      </c>
      <c r="AP261" s="92">
        <f t="shared" si="166"/>
        <v>-12.5</v>
      </c>
      <c r="AQ261" s="92">
        <f t="shared" si="166"/>
        <v>-14.511873350923487</v>
      </c>
      <c r="AR261" s="92">
        <f t="shared" si="166"/>
        <v>-1.6000000000000014</v>
      </c>
      <c r="AS261" s="92">
        <f t="shared" si="166"/>
        <v>-1.6000000000000014</v>
      </c>
      <c r="AT261" s="92">
        <f t="shared" si="166"/>
        <v>6.8345323741007213</v>
      </c>
      <c r="AU261" s="92">
        <f t="shared" si="166"/>
        <v>8.1525662418196134</v>
      </c>
    </row>
    <row r="262" spans="1:47" x14ac:dyDescent="0.3">
      <c r="A262" s="13">
        <f t="shared" ref="A262:A267" si="167">7+A261</f>
        <v>39413</v>
      </c>
      <c r="B262" s="92">
        <f>+TWK!B207</f>
        <v>0</v>
      </c>
      <c r="C262" s="92">
        <f>+TWK!C207</f>
        <v>390</v>
      </c>
      <c r="D262" s="92">
        <f>+TWK!D207</f>
        <v>387</v>
      </c>
      <c r="E262" s="92">
        <f>+TWK!E207</f>
        <v>317</v>
      </c>
      <c r="F262" s="92">
        <f>+TWK!F207</f>
        <v>373</v>
      </c>
      <c r="G262" s="92">
        <f>+TWK!G207</f>
        <v>373</v>
      </c>
      <c r="H262" s="92">
        <f>+TWK!H207</f>
        <v>284</v>
      </c>
      <c r="I262" s="92">
        <f>+TWK!I207</f>
        <v>381.25764192139735</v>
      </c>
      <c r="K262" s="92">
        <f t="shared" ref="K262:R262" si="168">AVERAGE(B259:B262)</f>
        <v>347.5</v>
      </c>
      <c r="L262" s="92">
        <f t="shared" si="168"/>
        <v>415.375</v>
      </c>
      <c r="M262" s="92">
        <f t="shared" si="168"/>
        <v>412.125</v>
      </c>
      <c r="N262" s="92">
        <f t="shared" si="168"/>
        <v>326.9375</v>
      </c>
      <c r="O262" s="92">
        <f t="shared" si="168"/>
        <v>382.75</v>
      </c>
      <c r="P262" s="92">
        <f t="shared" si="168"/>
        <v>380.8125</v>
      </c>
      <c r="Q262" s="92">
        <f t="shared" si="168"/>
        <v>300.125</v>
      </c>
      <c r="R262" s="92">
        <f t="shared" si="168"/>
        <v>402.60262008733628</v>
      </c>
      <c r="T262" s="92">
        <f t="shared" ref="T262:AA262" si="169">(K106+K158+K210)/3</f>
        <v>349.66666666666669</v>
      </c>
      <c r="U262" s="92">
        <f t="shared" si="169"/>
        <v>372.25</v>
      </c>
      <c r="V262" s="92">
        <f t="shared" si="169"/>
        <v>368.75</v>
      </c>
      <c r="W262" s="92">
        <f t="shared" si="169"/>
        <v>312.83333333333331</v>
      </c>
      <c r="X262" s="92">
        <f t="shared" si="169"/>
        <v>334.25</v>
      </c>
      <c r="Y262" s="92">
        <f t="shared" si="169"/>
        <v>334.5</v>
      </c>
      <c r="Z262" s="92">
        <f t="shared" si="169"/>
        <v>262</v>
      </c>
      <c r="AA262" s="92">
        <f t="shared" si="169"/>
        <v>352.58333333333331</v>
      </c>
      <c r="AC262" s="112">
        <f>+AF262-'Figure 8_data'!I474</f>
        <v>0</v>
      </c>
      <c r="AE262" s="92">
        <f t="shared" ref="AE262:AK262" si="170">(C262/U262-1)*100</f>
        <v>4.7683008730691645</v>
      </c>
      <c r="AF262" s="92">
        <f t="shared" si="170"/>
        <v>4.9491525423728921</v>
      </c>
      <c r="AG262" s="92">
        <f t="shared" si="170"/>
        <v>1.331912626531695</v>
      </c>
      <c r="AH262" s="92">
        <f t="shared" si="170"/>
        <v>11.593118922961864</v>
      </c>
      <c r="AI262" s="92">
        <f t="shared" si="170"/>
        <v>11.509715994020929</v>
      </c>
      <c r="AJ262" s="92">
        <f t="shared" si="170"/>
        <v>8.3969465648855</v>
      </c>
      <c r="AK262" s="92">
        <f t="shared" si="170"/>
        <v>8.1326330195407248</v>
      </c>
      <c r="AM262" s="112">
        <f>AP262-'Figure 8_data'!H474</f>
        <v>0</v>
      </c>
      <c r="AO262" s="92">
        <f t="shared" ref="AO262:AU262" si="171">(C262/C210-1)*100</f>
        <v>-12.946428571428569</v>
      </c>
      <c r="AP262" s="92">
        <f t="shared" si="171"/>
        <v>-13.033707865168543</v>
      </c>
      <c r="AQ262" s="92">
        <f t="shared" si="171"/>
        <v>-12.912087912087911</v>
      </c>
      <c r="AR262" s="92">
        <f t="shared" si="171"/>
        <v>0</v>
      </c>
      <c r="AS262" s="92">
        <f t="shared" si="171"/>
        <v>0</v>
      </c>
      <c r="AT262" s="92">
        <f t="shared" si="171"/>
        <v>8.8122605363984761</v>
      </c>
      <c r="AU262" s="92">
        <f t="shared" si="171"/>
        <v>6.4965480227366923</v>
      </c>
    </row>
    <row r="263" spans="1:47" x14ac:dyDescent="0.3">
      <c r="A263" s="13">
        <f t="shared" si="167"/>
        <v>39420</v>
      </c>
      <c r="B263" s="92">
        <f>+TWK!B208</f>
        <v>0</v>
      </c>
      <c r="C263" s="92">
        <f>+TWK!C208</f>
        <v>386.66666666666669</v>
      </c>
      <c r="D263" s="92">
        <f>+TWK!D208</f>
        <v>386.66666666666669</v>
      </c>
      <c r="E263" s="92">
        <f>+TWK!E208</f>
        <v>326.66666666666669</v>
      </c>
      <c r="F263" s="92">
        <f>+TWK!F208</f>
        <v>360</v>
      </c>
      <c r="G263" s="92">
        <f>+TWK!G208</f>
        <v>360</v>
      </c>
      <c r="H263" s="92">
        <f>+TWK!H208</f>
        <v>283.33333333333331</v>
      </c>
      <c r="I263" s="92">
        <f>+TWK!I208</f>
        <v>378.87554585152839</v>
      </c>
      <c r="K263" s="92">
        <f t="shared" ref="K263:R263" si="172">AVERAGE(B260:B263)</f>
        <v>233.33333333333331</v>
      </c>
      <c r="L263" s="92">
        <f t="shared" si="172"/>
        <v>406.41666666666669</v>
      </c>
      <c r="M263" s="92">
        <f t="shared" si="172"/>
        <v>404.41666666666669</v>
      </c>
      <c r="N263" s="92">
        <f t="shared" si="172"/>
        <v>331.41666666666669</v>
      </c>
      <c r="O263" s="92">
        <f t="shared" si="172"/>
        <v>381.5</v>
      </c>
      <c r="P263" s="92">
        <f t="shared" si="172"/>
        <v>379.25</v>
      </c>
      <c r="Q263" s="92">
        <f t="shared" si="172"/>
        <v>297.83333333333331</v>
      </c>
      <c r="R263" s="92">
        <f t="shared" si="172"/>
        <v>397.05403930131001</v>
      </c>
      <c r="T263" s="92">
        <f t="shared" ref="T263:AA263" si="173">(K107+K159+K211)/3</f>
        <v>276.08333333333331</v>
      </c>
      <c r="U263" s="92">
        <f t="shared" si="173"/>
        <v>323.16666666666669</v>
      </c>
      <c r="V263" s="92">
        <f t="shared" si="173"/>
        <v>361.33333333333331</v>
      </c>
      <c r="W263" s="92">
        <f t="shared" si="173"/>
        <v>298</v>
      </c>
      <c r="X263" s="92">
        <f t="shared" si="173"/>
        <v>313.58333333333331</v>
      </c>
      <c r="Y263" s="92">
        <f t="shared" si="173"/>
        <v>314.08333333333331</v>
      </c>
      <c r="Z263" s="92">
        <f t="shared" si="173"/>
        <v>249.16666666666666</v>
      </c>
      <c r="AA263" s="92">
        <f t="shared" si="173"/>
        <v>333.91666666666669</v>
      </c>
      <c r="AC263" s="112">
        <f>+AF263-'Figure 8_data'!I475</f>
        <v>0</v>
      </c>
      <c r="AE263" s="92">
        <f t="shared" ref="AE263:AK263" si="174">(C263/U263-1)*100</f>
        <v>19.649303764827231</v>
      </c>
      <c r="AF263" s="92">
        <f t="shared" si="174"/>
        <v>7.0110701107011231</v>
      </c>
      <c r="AG263" s="92">
        <f t="shared" si="174"/>
        <v>9.6196868008948666</v>
      </c>
      <c r="AH263" s="92">
        <f t="shared" si="174"/>
        <v>14.802019665160792</v>
      </c>
      <c r="AI263" s="92">
        <f t="shared" si="174"/>
        <v>14.619262403820654</v>
      </c>
      <c r="AJ263" s="92">
        <f t="shared" si="174"/>
        <v>13.712374581939791</v>
      </c>
      <c r="AK263" s="92">
        <f t="shared" si="174"/>
        <v>13.46410157769753</v>
      </c>
      <c r="AM263" s="112">
        <f>AP263-'Figure 8_data'!H475</f>
        <v>0</v>
      </c>
      <c r="AO263" s="92">
        <f t="shared" ref="AO263:AU263" si="175">(C263/C211-1)*100</f>
        <v>-4.2904290429042868</v>
      </c>
      <c r="AP263" s="92">
        <f t="shared" si="175"/>
        <v>2.5641025641025772</v>
      </c>
      <c r="AQ263" s="92">
        <f t="shared" si="175"/>
        <v>15.023474178403774</v>
      </c>
      <c r="AR263" s="92">
        <f t="shared" si="175"/>
        <v>8.4337349397590309</v>
      </c>
      <c r="AS263" s="92">
        <f t="shared" si="175"/>
        <v>8.4337349397590309</v>
      </c>
      <c r="AT263" s="92">
        <f t="shared" si="175"/>
        <v>27.627627627627625</v>
      </c>
      <c r="AU263" s="92">
        <f t="shared" si="175"/>
        <v>23.815537859976587</v>
      </c>
    </row>
    <row r="264" spans="1:47" x14ac:dyDescent="0.3">
      <c r="A264" s="13">
        <f t="shared" si="167"/>
        <v>39427</v>
      </c>
      <c r="B264" s="92">
        <f>+TWK!B209</f>
        <v>0</v>
      </c>
      <c r="C264" s="92">
        <f>+TWK!C209</f>
        <v>0</v>
      </c>
      <c r="D264" s="92">
        <f>+TWK!D209</f>
        <v>400</v>
      </c>
      <c r="E264" s="92">
        <f>+TWK!E209</f>
        <v>332</v>
      </c>
      <c r="F264" s="92">
        <f>+TWK!F209</f>
        <v>352.5</v>
      </c>
      <c r="G264" s="92">
        <f>+TWK!G209</f>
        <v>352.5</v>
      </c>
      <c r="H264" s="92">
        <f>+TWK!H209</f>
        <v>275</v>
      </c>
      <c r="I264" s="92">
        <f>+TWK!I209</f>
        <v>366.87772925764193</v>
      </c>
      <c r="K264" s="92">
        <f t="shared" ref="K264:R264" si="176">AVERAGE(B261:B264)</f>
        <v>113.33333333333333</v>
      </c>
      <c r="L264" s="92">
        <f t="shared" si="176"/>
        <v>297.41666666666669</v>
      </c>
      <c r="M264" s="92">
        <f t="shared" si="176"/>
        <v>394.91666666666669</v>
      </c>
      <c r="N264" s="92">
        <f t="shared" si="176"/>
        <v>324.91666666666669</v>
      </c>
      <c r="O264" s="92">
        <f t="shared" si="176"/>
        <v>363.625</v>
      </c>
      <c r="P264" s="92">
        <f t="shared" si="176"/>
        <v>363.625</v>
      </c>
      <c r="Q264" s="92">
        <f t="shared" si="176"/>
        <v>284.83333333333331</v>
      </c>
      <c r="R264" s="92">
        <f t="shared" si="176"/>
        <v>381.5234716157205</v>
      </c>
      <c r="T264" s="92">
        <f t="shared" ref="T264:AA264" si="177">(K108+K160+K212)/3</f>
        <v>50.666666666666664</v>
      </c>
      <c r="U264" s="92">
        <f t="shared" si="177"/>
        <v>291.58333333333331</v>
      </c>
      <c r="V264" s="92">
        <f t="shared" si="177"/>
        <v>370.75</v>
      </c>
      <c r="W264" s="92">
        <f t="shared" si="177"/>
        <v>301</v>
      </c>
      <c r="X264" s="92">
        <f t="shared" si="177"/>
        <v>309.58333333333331</v>
      </c>
      <c r="Y264" s="92">
        <f t="shared" si="177"/>
        <v>310.58333333333331</v>
      </c>
      <c r="Z264" s="92">
        <f t="shared" si="177"/>
        <v>251.91666666666666</v>
      </c>
      <c r="AA264" s="92">
        <f t="shared" si="177"/>
        <v>340.58333333333331</v>
      </c>
      <c r="AC264" s="112">
        <f>+AF264-'Figure 8_data'!I476</f>
        <v>0</v>
      </c>
      <c r="AF264" s="92">
        <f t="shared" ref="AF264:AK264" si="178">(D264/V264-1)*100</f>
        <v>7.8894133513149001</v>
      </c>
      <c r="AG264" s="92">
        <f t="shared" si="178"/>
        <v>10.299003322259125</v>
      </c>
      <c r="AH264" s="92">
        <f t="shared" si="178"/>
        <v>13.862718707940779</v>
      </c>
      <c r="AI264" s="92">
        <f t="shared" si="178"/>
        <v>13.496109471424745</v>
      </c>
      <c r="AJ264" s="92">
        <f t="shared" si="178"/>
        <v>9.163083030102559</v>
      </c>
      <c r="AK264" s="92">
        <f t="shared" si="178"/>
        <v>7.7204000756472491</v>
      </c>
      <c r="AM264" s="112">
        <f>AP264-'Figure 8_data'!H476</f>
        <v>0</v>
      </c>
      <c r="AP264" s="92">
        <f t="shared" ref="AP264:AU264" si="179">(D264/D212-1)*100</f>
        <v>5.8201058201058142</v>
      </c>
      <c r="AQ264" s="92">
        <f t="shared" si="179"/>
        <v>14.089347079037795</v>
      </c>
      <c r="AR264" s="92">
        <f t="shared" si="179"/>
        <v>13.709677419354849</v>
      </c>
      <c r="AS264" s="92">
        <f t="shared" si="179"/>
        <v>13.709677419354849</v>
      </c>
      <c r="AT264" s="92">
        <f t="shared" si="179"/>
        <v>21.681415929203538</v>
      </c>
      <c r="AU264" s="92">
        <f t="shared" si="179"/>
        <v>16.469120399251413</v>
      </c>
    </row>
    <row r="265" spans="1:47" x14ac:dyDescent="0.3">
      <c r="A265" s="13">
        <f t="shared" si="167"/>
        <v>39434</v>
      </c>
      <c r="B265" s="92">
        <f>+TWK!B210</f>
        <v>0</v>
      </c>
      <c r="C265" s="92">
        <f>+TWK!C210</f>
        <v>0</v>
      </c>
      <c r="D265" s="92">
        <f>+TWK!D210</f>
        <v>377</v>
      </c>
      <c r="E265" s="92">
        <f>+TWK!E210</f>
        <v>287</v>
      </c>
      <c r="F265" s="92">
        <f>+TWK!F210</f>
        <v>340</v>
      </c>
      <c r="G265" s="92">
        <f>+TWK!G210</f>
        <v>340</v>
      </c>
      <c r="H265" s="92">
        <f>+TWK!H210</f>
        <v>247</v>
      </c>
      <c r="I265" s="92">
        <f>+TWK!I210</f>
        <v>338</v>
      </c>
      <c r="K265" s="92">
        <f t="shared" ref="K265:R266" si="180">AVERAGE(B262:B265)</f>
        <v>0</v>
      </c>
      <c r="L265" s="92">
        <f t="shared" si="180"/>
        <v>194.16666666666669</v>
      </c>
      <c r="M265" s="92">
        <f t="shared" si="180"/>
        <v>387.66666666666669</v>
      </c>
      <c r="N265" s="92">
        <f t="shared" si="180"/>
        <v>315.66666666666669</v>
      </c>
      <c r="O265" s="92">
        <f t="shared" si="180"/>
        <v>356.375</v>
      </c>
      <c r="P265" s="92">
        <f t="shared" si="180"/>
        <v>356.375</v>
      </c>
      <c r="Q265" s="92">
        <f t="shared" si="180"/>
        <v>272.33333333333331</v>
      </c>
      <c r="R265" s="92">
        <f t="shared" si="180"/>
        <v>366.25272925764193</v>
      </c>
      <c r="T265" s="92">
        <f t="shared" ref="T265:AA266" si="181">(K109+K161+K213)/3</f>
        <v>0</v>
      </c>
      <c r="U265" s="92">
        <f t="shared" si="181"/>
        <v>229.66666666666666</v>
      </c>
      <c r="V265" s="92">
        <f t="shared" si="181"/>
        <v>376.75</v>
      </c>
      <c r="W265" s="92">
        <f t="shared" si="181"/>
        <v>311.58333333333331</v>
      </c>
      <c r="X265" s="92">
        <f t="shared" si="181"/>
        <v>317.33333333333331</v>
      </c>
      <c r="Y265" s="92">
        <f t="shared" si="181"/>
        <v>319.16666666666669</v>
      </c>
      <c r="Z265" s="92">
        <f t="shared" si="181"/>
        <v>262.16666666666669</v>
      </c>
      <c r="AA265" s="92">
        <f t="shared" si="181"/>
        <v>352.25</v>
      </c>
      <c r="AC265" s="112">
        <f>+AF265-'Figure 8_data'!I477</f>
        <v>0</v>
      </c>
      <c r="AF265" s="92">
        <f t="shared" ref="AF265:AK266" si="182">(D265/V265-1)*100</f>
        <v>6.6357000663574972E-2</v>
      </c>
      <c r="AG265" s="92">
        <f t="shared" si="182"/>
        <v>-7.8898101096549826</v>
      </c>
      <c r="AH265" s="92">
        <f t="shared" si="182"/>
        <v>7.1428571428571397</v>
      </c>
      <c r="AI265" s="92">
        <f t="shared" si="182"/>
        <v>6.5274151436031325</v>
      </c>
      <c r="AJ265" s="92">
        <f t="shared" si="182"/>
        <v>-5.7851239669421517</v>
      </c>
      <c r="AK265" s="92">
        <f t="shared" si="182"/>
        <v>-4.0454222853087307</v>
      </c>
      <c r="AM265" s="112">
        <f>AP265-'Figure 8_data'!H477</f>
        <v>0</v>
      </c>
      <c r="AP265" s="92">
        <f t="shared" ref="AP265:AU266" si="183">(D265/D213-1)*100</f>
        <v>32.280701754385952</v>
      </c>
      <c r="AQ265" s="92">
        <f t="shared" si="183"/>
        <v>34.741784037558674</v>
      </c>
      <c r="AR265" s="92">
        <f t="shared" si="183"/>
        <v>37.651821862348164</v>
      </c>
      <c r="AS265" s="92">
        <f t="shared" si="183"/>
        <v>38.211382113821138</v>
      </c>
      <c r="AT265" s="92">
        <f t="shared" si="183"/>
        <v>27.979274611398974</v>
      </c>
      <c r="AU265" s="92">
        <f t="shared" si="183"/>
        <v>28.030303030303028</v>
      </c>
    </row>
    <row r="266" spans="1:47" x14ac:dyDescent="0.3">
      <c r="A266" s="13">
        <f t="shared" si="167"/>
        <v>39441</v>
      </c>
      <c r="B266" s="92">
        <v>0</v>
      </c>
      <c r="C266" s="92">
        <v>0</v>
      </c>
      <c r="D266" s="92">
        <f>+TWK!D211</f>
        <v>367</v>
      </c>
      <c r="E266" s="92">
        <f>+TWK!E211</f>
        <v>280</v>
      </c>
      <c r="F266" s="92">
        <f>+TWK!F211</f>
        <v>337</v>
      </c>
      <c r="G266" s="92">
        <f>+TWK!G211</f>
        <v>337</v>
      </c>
      <c r="H266" s="92">
        <f>+TWK!H211</f>
        <v>250</v>
      </c>
      <c r="I266" s="92">
        <f>+TWK!I211</f>
        <v>343</v>
      </c>
      <c r="K266" s="92">
        <f t="shared" si="180"/>
        <v>0</v>
      </c>
      <c r="L266" s="92">
        <f t="shared" si="180"/>
        <v>96.666666666666671</v>
      </c>
      <c r="M266" s="92">
        <f t="shared" si="180"/>
        <v>382.66666666666669</v>
      </c>
      <c r="N266" s="92">
        <f t="shared" si="180"/>
        <v>306.41666666666669</v>
      </c>
      <c r="O266" s="92">
        <f t="shared" si="180"/>
        <v>347.375</v>
      </c>
      <c r="P266" s="92">
        <f t="shared" si="180"/>
        <v>347.375</v>
      </c>
      <c r="Q266" s="92">
        <f t="shared" si="180"/>
        <v>263.83333333333331</v>
      </c>
      <c r="R266" s="92">
        <f t="shared" si="180"/>
        <v>356.68831877729258</v>
      </c>
      <c r="T266" s="92">
        <f t="shared" si="181"/>
        <v>0</v>
      </c>
      <c r="U266" s="92">
        <f t="shared" si="181"/>
        <v>165.33333333333334</v>
      </c>
      <c r="V266" s="92">
        <f t="shared" si="181"/>
        <v>373.91666666666669</v>
      </c>
      <c r="W266" s="92">
        <f t="shared" si="181"/>
        <v>312.25</v>
      </c>
      <c r="X266" s="92">
        <f t="shared" si="181"/>
        <v>319.25</v>
      </c>
      <c r="Y266" s="92">
        <f t="shared" si="181"/>
        <v>320.91666666666669</v>
      </c>
      <c r="Z266" s="92">
        <f t="shared" si="181"/>
        <v>268.16666666666669</v>
      </c>
      <c r="AA266" s="92">
        <f t="shared" si="181"/>
        <v>359.41666666666669</v>
      </c>
      <c r="AC266" s="112">
        <f>+AF266-'Figure 8_data'!I478</f>
        <v>0</v>
      </c>
      <c r="AF266" s="92">
        <f t="shared" si="182"/>
        <v>-1.8497882772453789</v>
      </c>
      <c r="AG266" s="92">
        <f t="shared" si="182"/>
        <v>-10.328262610088068</v>
      </c>
      <c r="AH266" s="92">
        <f t="shared" si="182"/>
        <v>5.5599060297572445</v>
      </c>
      <c r="AI266" s="92">
        <f t="shared" si="182"/>
        <v>5.0116852765515363</v>
      </c>
      <c r="AJ266" s="92">
        <f t="shared" si="182"/>
        <v>-6.7743940335612258</v>
      </c>
      <c r="AK266" s="92">
        <f t="shared" si="182"/>
        <v>-4.5675863667980598</v>
      </c>
      <c r="AM266" s="112">
        <f>AP266-'Figure 8_data'!H478</f>
        <v>0</v>
      </c>
      <c r="AP266" s="92">
        <f t="shared" si="183"/>
        <v>33.941605839416056</v>
      </c>
      <c r="AQ266" s="92">
        <f t="shared" si="183"/>
        <v>32.075471698113198</v>
      </c>
      <c r="AR266" s="92">
        <f t="shared" si="183"/>
        <v>38.68312757201646</v>
      </c>
      <c r="AS266" s="92">
        <f t="shared" si="183"/>
        <v>38.68312757201646</v>
      </c>
      <c r="AT266" s="92">
        <f t="shared" si="183"/>
        <v>32.275132275132279</v>
      </c>
      <c r="AU266" s="92">
        <f t="shared" si="183"/>
        <v>31.417624521072796</v>
      </c>
    </row>
    <row r="267" spans="1:47" x14ac:dyDescent="0.3">
      <c r="A267" s="13">
        <f t="shared" si="167"/>
        <v>39448</v>
      </c>
      <c r="B267" s="92">
        <v>0</v>
      </c>
      <c r="C267" s="92">
        <v>0</v>
      </c>
      <c r="D267" s="92">
        <f>+TWK!D212</f>
        <v>360</v>
      </c>
      <c r="E267" s="92">
        <f>+TWK!E212</f>
        <v>273.33333333333331</v>
      </c>
      <c r="F267" s="92">
        <f>+TWK!F212</f>
        <v>330</v>
      </c>
      <c r="G267" s="92">
        <f>+TWK!G212</f>
        <v>330</v>
      </c>
      <c r="H267" s="92">
        <f>+TWK!H212</f>
        <v>238.33333333333334</v>
      </c>
      <c r="I267" s="92">
        <f>+TWK!I212</f>
        <v>326.79767103347893</v>
      </c>
      <c r="K267" s="92">
        <f t="shared" ref="K267:R267" si="184">AVERAGE(B264:B267)</f>
        <v>0</v>
      </c>
      <c r="L267" s="92">
        <f t="shared" si="184"/>
        <v>0</v>
      </c>
      <c r="M267" s="92">
        <f t="shared" si="184"/>
        <v>376</v>
      </c>
      <c r="N267" s="92">
        <f t="shared" si="184"/>
        <v>293.08333333333331</v>
      </c>
      <c r="O267" s="92">
        <f t="shared" si="184"/>
        <v>339.875</v>
      </c>
      <c r="P267" s="92">
        <f t="shared" si="184"/>
        <v>339.875</v>
      </c>
      <c r="Q267" s="92">
        <f t="shared" si="184"/>
        <v>252.58333333333334</v>
      </c>
      <c r="R267" s="92">
        <f t="shared" si="184"/>
        <v>343.66885007278023</v>
      </c>
      <c r="T267" s="92">
        <f t="shared" ref="T267:AA267" si="185">(K111+K163+K215)/3</f>
        <v>0</v>
      </c>
      <c r="U267" s="92">
        <f t="shared" si="185"/>
        <v>135.41666666666666</v>
      </c>
      <c r="V267" s="92">
        <f t="shared" si="185"/>
        <v>360.41666666666669</v>
      </c>
      <c r="W267" s="92">
        <f t="shared" si="185"/>
        <v>305.25</v>
      </c>
      <c r="X267" s="92">
        <f t="shared" si="185"/>
        <v>312.91666666666669</v>
      </c>
      <c r="Y267" s="92">
        <f t="shared" si="185"/>
        <v>314.58333333333331</v>
      </c>
      <c r="Z267" s="92">
        <f t="shared" si="185"/>
        <v>266.5</v>
      </c>
      <c r="AA267" s="92">
        <f t="shared" si="185"/>
        <v>358.66666666666669</v>
      </c>
      <c r="AC267" s="112">
        <f>+AF267-'Figure 8_data'!I479</f>
        <v>0</v>
      </c>
      <c r="AF267" s="92">
        <f t="shared" ref="AF267:AK267" si="186">(D267/V267-1)*100</f>
        <v>-0.11560693641619046</v>
      </c>
      <c r="AG267" s="92">
        <f t="shared" si="186"/>
        <v>-10.455910455910466</v>
      </c>
      <c r="AH267" s="92">
        <f t="shared" si="186"/>
        <v>5.4593874833555267</v>
      </c>
      <c r="AI267" s="92">
        <f t="shared" si="186"/>
        <v>4.9006622516556408</v>
      </c>
      <c r="AJ267" s="92">
        <f t="shared" si="186"/>
        <v>-10.569105691056912</v>
      </c>
      <c r="AK267" s="92">
        <f t="shared" si="186"/>
        <v>-8.8854077044203787</v>
      </c>
      <c r="AM267" s="112">
        <f>AP267-'Figure 8_data'!H479</f>
        <v>0</v>
      </c>
      <c r="AP267" s="92">
        <f t="shared" ref="AP267:AU267" si="187">(D267/D215-1)*100</f>
        <v>34.328358208955237</v>
      </c>
      <c r="AQ267" s="92">
        <f t="shared" si="187"/>
        <v>30.781499202551821</v>
      </c>
      <c r="AR267" s="92">
        <f t="shared" si="187"/>
        <v>42.857142857142861</v>
      </c>
      <c r="AS267" s="92">
        <f t="shared" si="187"/>
        <v>42.857142857142861</v>
      </c>
      <c r="AT267" s="92">
        <f t="shared" si="187"/>
        <v>30.236794171220403</v>
      </c>
      <c r="AU267" s="92">
        <f t="shared" si="187"/>
        <v>25.20983564501109</v>
      </c>
    </row>
    <row r="268" spans="1:47" x14ac:dyDescent="0.3">
      <c r="A268" s="13">
        <f t="shared" ref="A268:A273" si="188">7+A267</f>
        <v>39455</v>
      </c>
      <c r="B268" s="92">
        <v>0</v>
      </c>
      <c r="C268" s="92">
        <v>0</v>
      </c>
      <c r="D268" s="92">
        <f>+TWK!D213</f>
        <v>351</v>
      </c>
      <c r="E268" s="92">
        <f>+TWK!E213</f>
        <v>269</v>
      </c>
      <c r="F268" s="92">
        <f>+TWK!F213</f>
        <v>328</v>
      </c>
      <c r="G268" s="92">
        <f>+TWK!G213</f>
        <v>328</v>
      </c>
      <c r="H268" s="92">
        <f>+TWK!H213</f>
        <v>238</v>
      </c>
      <c r="I268" s="92">
        <f>+TWK!I213</f>
        <v>327</v>
      </c>
      <c r="K268" s="92">
        <f t="shared" ref="K268:R268" si="189">AVERAGE(B265:B268)</f>
        <v>0</v>
      </c>
      <c r="L268" s="92">
        <f t="shared" si="189"/>
        <v>0</v>
      </c>
      <c r="M268" s="92">
        <f t="shared" si="189"/>
        <v>363.75</v>
      </c>
      <c r="N268" s="92">
        <f t="shared" si="189"/>
        <v>277.33333333333331</v>
      </c>
      <c r="O268" s="92">
        <f t="shared" si="189"/>
        <v>333.75</v>
      </c>
      <c r="P268" s="92">
        <f t="shared" si="189"/>
        <v>333.75</v>
      </c>
      <c r="Q268" s="92">
        <f t="shared" si="189"/>
        <v>243.33333333333334</v>
      </c>
      <c r="R268" s="92">
        <f t="shared" si="189"/>
        <v>333.69941775836975</v>
      </c>
      <c r="T268" s="92">
        <f t="shared" ref="T268:AA268" si="190">(K112+K164+K216)/3</f>
        <v>0</v>
      </c>
      <c r="U268" s="92">
        <f t="shared" si="190"/>
        <v>100.8888888888889</v>
      </c>
      <c r="V268" s="92">
        <f t="shared" si="190"/>
        <v>338.75</v>
      </c>
      <c r="W268" s="92">
        <f t="shared" si="190"/>
        <v>295</v>
      </c>
      <c r="X268" s="92">
        <f t="shared" si="190"/>
        <v>302.91666666666669</v>
      </c>
      <c r="Y268" s="92">
        <f t="shared" si="190"/>
        <v>304.25</v>
      </c>
      <c r="Z268" s="92">
        <f t="shared" si="190"/>
        <v>265.16666666666669</v>
      </c>
      <c r="AA268" s="92">
        <f t="shared" si="190"/>
        <v>356.66666666666669</v>
      </c>
      <c r="AC268" s="112">
        <f>+AF268-'Figure 8_data'!I480</f>
        <v>0</v>
      </c>
      <c r="AF268" s="92">
        <f t="shared" ref="AF268:AK268" si="191">(D268/V268-1)*100</f>
        <v>3.616236162361619</v>
      </c>
      <c r="AG268" s="92">
        <f t="shared" si="191"/>
        <v>-8.8135593220339032</v>
      </c>
      <c r="AH268" s="92">
        <f t="shared" si="191"/>
        <v>8.2806052269601018</v>
      </c>
      <c r="AI268" s="92">
        <f t="shared" si="191"/>
        <v>7.8060805258833188</v>
      </c>
      <c r="AJ268" s="92">
        <f t="shared" si="191"/>
        <v>-10.245128849780016</v>
      </c>
      <c r="AK268" s="92">
        <f t="shared" si="191"/>
        <v>-8.3177570093457938</v>
      </c>
      <c r="AM268" s="112">
        <f>AP268-'Figure 8_data'!H480</f>
        <v>0</v>
      </c>
      <c r="AP268" s="92">
        <f t="shared" ref="AP268:AU268" si="192">(D268/D216-1)*100</f>
        <v>30.970149253731339</v>
      </c>
      <c r="AQ268" s="92">
        <f t="shared" si="192"/>
        <v>20.627802690582953</v>
      </c>
      <c r="AR268" s="92">
        <f t="shared" si="192"/>
        <v>27.13178294573644</v>
      </c>
      <c r="AS268" s="92">
        <f t="shared" si="192"/>
        <v>27.13178294573644</v>
      </c>
      <c r="AT268" s="92">
        <f t="shared" si="192"/>
        <v>11.214953271028039</v>
      </c>
      <c r="AU268" s="92">
        <f t="shared" si="192"/>
        <v>13.541666666666675</v>
      </c>
    </row>
    <row r="269" spans="1:47" x14ac:dyDescent="0.3">
      <c r="A269" s="13">
        <f t="shared" si="188"/>
        <v>39462</v>
      </c>
      <c r="B269" s="92">
        <v>0</v>
      </c>
      <c r="C269" s="92">
        <v>0</v>
      </c>
      <c r="D269" s="92">
        <f>+TWK!D214</f>
        <v>325</v>
      </c>
      <c r="E269" s="92">
        <f>+TWK!E214</f>
        <v>273</v>
      </c>
      <c r="F269" s="92">
        <f>+TWK!F214</f>
        <v>328</v>
      </c>
      <c r="G269" s="92">
        <f>+TWK!G214</f>
        <v>328</v>
      </c>
      <c r="H269" s="92">
        <f>+TWK!H214</f>
        <v>257</v>
      </c>
      <c r="I269" s="92">
        <f>+TWK!I214</f>
        <v>333</v>
      </c>
      <c r="K269" s="92">
        <f t="shared" ref="K269:R269" si="193">AVERAGE(B266:B269)</f>
        <v>0</v>
      </c>
      <c r="L269" s="92">
        <f t="shared" si="193"/>
        <v>0</v>
      </c>
      <c r="M269" s="92">
        <f t="shared" si="193"/>
        <v>350.75</v>
      </c>
      <c r="N269" s="92">
        <f t="shared" si="193"/>
        <v>273.83333333333331</v>
      </c>
      <c r="O269" s="92">
        <f t="shared" si="193"/>
        <v>330.75</v>
      </c>
      <c r="P269" s="92">
        <f t="shared" si="193"/>
        <v>330.75</v>
      </c>
      <c r="Q269" s="92">
        <f t="shared" si="193"/>
        <v>245.83333333333334</v>
      </c>
      <c r="R269" s="92">
        <f t="shared" si="193"/>
        <v>332.44941775836975</v>
      </c>
      <c r="T269" s="92">
        <f t="shared" ref="T269:AA269" si="194">(K113+K165+K217)/3</f>
        <v>0</v>
      </c>
      <c r="U269" s="92">
        <f t="shared" si="194"/>
        <v>96.666666666666671</v>
      </c>
      <c r="V269" s="92">
        <f t="shared" si="194"/>
        <v>340</v>
      </c>
      <c r="W269" s="92">
        <f t="shared" si="194"/>
        <v>302.25</v>
      </c>
      <c r="X269" s="92">
        <f t="shared" si="194"/>
        <v>303</v>
      </c>
      <c r="Y269" s="92">
        <f t="shared" si="194"/>
        <v>304</v>
      </c>
      <c r="Z269" s="92">
        <f t="shared" si="194"/>
        <v>278.08333333333331</v>
      </c>
      <c r="AA269" s="92">
        <f t="shared" si="194"/>
        <v>373.16666666666669</v>
      </c>
      <c r="AC269" s="112">
        <f>+AF269-'Figure 8_data'!I481</f>
        <v>0</v>
      </c>
      <c r="AF269" s="92">
        <f t="shared" ref="AF269:AK269" si="195">(D269/V269-1)*100</f>
        <v>-4.4117647058823479</v>
      </c>
      <c r="AG269" s="92">
        <f t="shared" si="195"/>
        <v>-9.6774193548387117</v>
      </c>
      <c r="AH269" s="92">
        <f t="shared" si="195"/>
        <v>8.2508250825082499</v>
      </c>
      <c r="AI269" s="92">
        <f t="shared" si="195"/>
        <v>7.8947368421052655</v>
      </c>
      <c r="AJ269" s="92">
        <f t="shared" si="195"/>
        <v>-7.5816601738088014</v>
      </c>
      <c r="AK269" s="92">
        <f t="shared" si="195"/>
        <v>-10.763733809736497</v>
      </c>
      <c r="AM269" s="112">
        <f>AP269-'Figure 8_data'!H481</f>
        <v>0</v>
      </c>
      <c r="AP269" s="92">
        <f t="shared" ref="AP269:AU269" si="196">(D269/D217-1)*100</f>
        <v>-17.302798982188293</v>
      </c>
      <c r="AQ269" s="92">
        <f t="shared" si="196"/>
        <v>-26.415094339622648</v>
      </c>
      <c r="AR269" s="92">
        <f t="shared" si="196"/>
        <v>-6.8181818181818237</v>
      </c>
      <c r="AS269" s="92">
        <f t="shared" si="196"/>
        <v>-7.0821529745042522</v>
      </c>
      <c r="AT269" s="92">
        <f t="shared" si="196"/>
        <v>-23.964497041420117</v>
      </c>
      <c r="AU269" s="92">
        <f t="shared" si="196"/>
        <v>-26.651982378854623</v>
      </c>
    </row>
    <row r="270" spans="1:47" x14ac:dyDescent="0.3">
      <c r="A270" s="13">
        <f t="shared" si="188"/>
        <v>39469</v>
      </c>
      <c r="B270" s="92">
        <v>0</v>
      </c>
      <c r="C270" s="92">
        <v>0</v>
      </c>
      <c r="D270" s="92">
        <f>+TWK!D215</f>
        <v>428</v>
      </c>
      <c r="E270" s="92">
        <f>+TWK!E215</f>
        <v>398</v>
      </c>
      <c r="F270" s="92">
        <f>+TWK!F215</f>
        <v>394</v>
      </c>
      <c r="G270" s="92">
        <f>+TWK!G215</f>
        <v>394</v>
      </c>
      <c r="H270" s="92">
        <f>+TWK!H215</f>
        <v>370</v>
      </c>
      <c r="I270" s="92">
        <f>+TWK!I215</f>
        <v>493.61135371179046</v>
      </c>
      <c r="K270" s="92">
        <f t="shared" ref="K270:R270" si="197">AVERAGE(B267:B270)</f>
        <v>0</v>
      </c>
      <c r="L270" s="92">
        <f t="shared" si="197"/>
        <v>0</v>
      </c>
      <c r="M270" s="92">
        <f t="shared" si="197"/>
        <v>366</v>
      </c>
      <c r="N270" s="92">
        <f t="shared" si="197"/>
        <v>303.33333333333331</v>
      </c>
      <c r="O270" s="92">
        <f t="shared" si="197"/>
        <v>345</v>
      </c>
      <c r="P270" s="92">
        <f t="shared" si="197"/>
        <v>345</v>
      </c>
      <c r="Q270" s="92">
        <f t="shared" si="197"/>
        <v>275.83333333333337</v>
      </c>
      <c r="R270" s="92">
        <f t="shared" si="197"/>
        <v>370.10225618631739</v>
      </c>
      <c r="T270" s="92">
        <f t="shared" ref="T270:AA270" si="198">(K114+K166+K218)/3</f>
        <v>0</v>
      </c>
      <c r="U270" s="92">
        <f t="shared" si="198"/>
        <v>96.666666666666671</v>
      </c>
      <c r="V270" s="92">
        <f t="shared" si="198"/>
        <v>335.41666666666669</v>
      </c>
      <c r="W270" s="92">
        <f t="shared" si="198"/>
        <v>305.66666666666669</v>
      </c>
      <c r="X270" s="92">
        <f t="shared" si="198"/>
        <v>308.58333333333331</v>
      </c>
      <c r="Y270" s="92">
        <f t="shared" si="198"/>
        <v>310.41666666666669</v>
      </c>
      <c r="Z270" s="92">
        <f t="shared" si="198"/>
        <v>282.08333333333331</v>
      </c>
      <c r="AA270" s="92">
        <f t="shared" si="198"/>
        <v>379.5</v>
      </c>
      <c r="AC270" s="112">
        <f>+AF270-'Figure 8_data'!I482</f>
        <v>0</v>
      </c>
      <c r="AF270" s="92">
        <f t="shared" ref="AF270:AK270" si="199">(D270/V270-1)*100</f>
        <v>27.602484472049692</v>
      </c>
      <c r="AG270" s="92">
        <f t="shared" si="199"/>
        <v>30.207197382769891</v>
      </c>
      <c r="AH270" s="92">
        <f t="shared" si="199"/>
        <v>27.680259249257368</v>
      </c>
      <c r="AI270" s="92">
        <f t="shared" si="199"/>
        <v>26.926174496644293</v>
      </c>
      <c r="AJ270" s="92">
        <f t="shared" si="199"/>
        <v>31.166912850812412</v>
      </c>
      <c r="AK270" s="92">
        <f t="shared" si="199"/>
        <v>30.068867908245188</v>
      </c>
      <c r="AM270" s="112">
        <f>AP270-'Figure 8_data'!H482</f>
        <v>0</v>
      </c>
      <c r="AP270" s="92">
        <f t="shared" ref="AP270:AU270" si="200">(D270/D218-1)*100</f>
        <v>49.650349650349646</v>
      </c>
      <c r="AQ270" s="92">
        <f t="shared" si="200"/>
        <v>46.323529411764696</v>
      </c>
      <c r="AR270" s="92">
        <f t="shared" si="200"/>
        <v>15.882352941176482</v>
      </c>
      <c r="AS270" s="92">
        <f t="shared" si="200"/>
        <v>15.882352941176482</v>
      </c>
      <c r="AT270" s="92">
        <f t="shared" si="200"/>
        <v>43.410852713178308</v>
      </c>
      <c r="AU270" s="92">
        <f t="shared" si="200"/>
        <v>39.045451749800122</v>
      </c>
    </row>
    <row r="271" spans="1:47" x14ac:dyDescent="0.3">
      <c r="A271" s="13">
        <f t="shared" si="188"/>
        <v>39476</v>
      </c>
      <c r="B271" s="92">
        <v>0</v>
      </c>
      <c r="C271" s="92">
        <v>0</v>
      </c>
      <c r="D271" s="92">
        <f>+TWK!D216</f>
        <v>446</v>
      </c>
      <c r="E271" s="92">
        <f>+TWK!E216</f>
        <v>351</v>
      </c>
      <c r="F271" s="92">
        <f>+TWK!F216</f>
        <v>349</v>
      </c>
      <c r="G271" s="92">
        <f>+TWK!G216</f>
        <v>347</v>
      </c>
      <c r="H271" s="92">
        <f>+TWK!H216</f>
        <v>321</v>
      </c>
      <c r="I271" s="92">
        <f>+TWK!I216</f>
        <v>440</v>
      </c>
      <c r="K271" s="92">
        <f t="shared" ref="K271:R271" si="201">AVERAGE(B268:B271)</f>
        <v>0</v>
      </c>
      <c r="L271" s="92">
        <f t="shared" si="201"/>
        <v>0</v>
      </c>
      <c r="M271" s="92">
        <f t="shared" si="201"/>
        <v>387.5</v>
      </c>
      <c r="N271" s="92">
        <f t="shared" si="201"/>
        <v>322.75</v>
      </c>
      <c r="O271" s="92">
        <f t="shared" si="201"/>
        <v>349.75</v>
      </c>
      <c r="P271" s="92">
        <f t="shared" si="201"/>
        <v>349.25</v>
      </c>
      <c r="Q271" s="92">
        <f t="shared" si="201"/>
        <v>296.5</v>
      </c>
      <c r="R271" s="92">
        <f t="shared" si="201"/>
        <v>398.40283842794759</v>
      </c>
      <c r="T271" s="92">
        <f t="shared" ref="T271:AA271" si="202">(K115+K167+K219)/3</f>
        <v>0</v>
      </c>
      <c r="U271" s="92">
        <f t="shared" si="202"/>
        <v>0</v>
      </c>
      <c r="V271" s="92">
        <f t="shared" si="202"/>
        <v>339.58333333333331</v>
      </c>
      <c r="W271" s="92">
        <f t="shared" si="202"/>
        <v>313</v>
      </c>
      <c r="X271" s="92">
        <f t="shared" si="202"/>
        <v>317.08333333333331</v>
      </c>
      <c r="Y271" s="92">
        <f t="shared" si="202"/>
        <v>319.83333333333331</v>
      </c>
      <c r="Z271" s="92">
        <f t="shared" si="202"/>
        <v>286.25</v>
      </c>
      <c r="AA271" s="92">
        <f t="shared" si="202"/>
        <v>385.33333333333331</v>
      </c>
      <c r="AC271" s="112">
        <f>+AF271-'Figure 8_data'!I483</f>
        <v>0</v>
      </c>
      <c r="AF271" s="92">
        <f t="shared" ref="AF271:AK271" si="203">(D271/V271-1)*100</f>
        <v>31.337423312883452</v>
      </c>
      <c r="AG271" s="92">
        <f t="shared" si="203"/>
        <v>12.140575079872207</v>
      </c>
      <c r="AH271" s="92">
        <f t="shared" si="203"/>
        <v>10.065703022339022</v>
      </c>
      <c r="AI271" s="92">
        <f t="shared" si="203"/>
        <v>8.494007295466389</v>
      </c>
      <c r="AJ271" s="92">
        <f t="shared" si="203"/>
        <v>12.139737991266376</v>
      </c>
      <c r="AK271" s="92">
        <f t="shared" si="203"/>
        <v>14.186851211072661</v>
      </c>
      <c r="AM271" s="112">
        <f>AP271-'Figure 8_data'!H483</f>
        <v>0</v>
      </c>
      <c r="AP271" s="92">
        <f t="shared" ref="AP271:AU271" si="204">(D271/D219-1)*100</f>
        <v>42.948717948717949</v>
      </c>
      <c r="AQ271" s="92">
        <f t="shared" si="204"/>
        <v>41.532258064516128</v>
      </c>
      <c r="AR271" s="92">
        <f t="shared" si="204"/>
        <v>17.905405405405396</v>
      </c>
      <c r="AS271" s="92">
        <f t="shared" si="204"/>
        <v>17.229729729729737</v>
      </c>
      <c r="AT271" s="92">
        <f t="shared" si="204"/>
        <v>38.961038961038952</v>
      </c>
      <c r="AU271" s="92">
        <f t="shared" si="204"/>
        <v>35.802469135802475</v>
      </c>
    </row>
    <row r="272" spans="1:47" x14ac:dyDescent="0.3">
      <c r="A272" s="13">
        <f t="shared" si="188"/>
        <v>39483</v>
      </c>
      <c r="B272" s="92">
        <v>0</v>
      </c>
      <c r="C272" s="92">
        <v>0</v>
      </c>
      <c r="D272" s="92">
        <f>+TWK!D217</f>
        <v>498</v>
      </c>
      <c r="E272" s="92">
        <f>+TWK!E217</f>
        <v>350</v>
      </c>
      <c r="F272" s="92">
        <f>+TWK!F217</f>
        <v>363</v>
      </c>
      <c r="G272" s="92">
        <f>+TWK!G217</f>
        <v>363</v>
      </c>
      <c r="H272" s="92">
        <f>+TWK!H217</f>
        <v>309</v>
      </c>
      <c r="I272" s="92">
        <f>+TWK!I217</f>
        <v>419</v>
      </c>
      <c r="K272" s="92">
        <f t="shared" ref="K272:R273" si="205">AVERAGE(B269:B272)</f>
        <v>0</v>
      </c>
      <c r="L272" s="92">
        <f t="shared" si="205"/>
        <v>0</v>
      </c>
      <c r="M272" s="92">
        <f t="shared" si="205"/>
        <v>424.25</v>
      </c>
      <c r="N272" s="92">
        <f t="shared" si="205"/>
        <v>343</v>
      </c>
      <c r="O272" s="92">
        <f t="shared" si="205"/>
        <v>358.5</v>
      </c>
      <c r="P272" s="92">
        <f t="shared" si="205"/>
        <v>358</v>
      </c>
      <c r="Q272" s="92">
        <f t="shared" si="205"/>
        <v>314.25</v>
      </c>
      <c r="R272" s="92">
        <f t="shared" si="205"/>
        <v>421.40283842794759</v>
      </c>
      <c r="T272" s="92">
        <f t="shared" ref="T272:AA273" si="206">(K116+K168+K220)/3</f>
        <v>0</v>
      </c>
      <c r="U272" s="92">
        <f t="shared" si="206"/>
        <v>0</v>
      </c>
      <c r="V272" s="92">
        <f t="shared" si="206"/>
        <v>347.5</v>
      </c>
      <c r="W272" s="92">
        <f t="shared" si="206"/>
        <v>314.25</v>
      </c>
      <c r="X272" s="92">
        <f t="shared" si="206"/>
        <v>316.66666666666669</v>
      </c>
      <c r="Y272" s="92">
        <f t="shared" si="206"/>
        <v>319.75</v>
      </c>
      <c r="Z272" s="92">
        <f t="shared" si="206"/>
        <v>280.16666666666669</v>
      </c>
      <c r="AA272" s="92">
        <f t="shared" si="206"/>
        <v>375.58333333333331</v>
      </c>
      <c r="AC272" s="112">
        <f>+AF272-'Figure 8_data'!I484</f>
        <v>0</v>
      </c>
      <c r="AF272" s="92">
        <f t="shared" ref="AF272:AK273" si="207">(D272/V272-1)*100</f>
        <v>43.309352517985623</v>
      </c>
      <c r="AG272" s="92">
        <f t="shared" si="207"/>
        <v>11.376292760540974</v>
      </c>
      <c r="AH272" s="92">
        <f t="shared" si="207"/>
        <v>14.631578947368418</v>
      </c>
      <c r="AI272" s="92">
        <f t="shared" si="207"/>
        <v>13.526192337763888</v>
      </c>
      <c r="AJ272" s="92">
        <f t="shared" si="207"/>
        <v>10.291493158834019</v>
      </c>
      <c r="AK272" s="92">
        <f t="shared" si="207"/>
        <v>11.559795873086308</v>
      </c>
      <c r="AM272" s="112">
        <f>AP272-'Figure 8_data'!H484</f>
        <v>0</v>
      </c>
      <c r="AP272" s="92">
        <f t="shared" ref="AP272:AU273" si="208">(D272/D220-1)*100</f>
        <v>39.10614525139664</v>
      </c>
      <c r="AQ272" s="92">
        <f t="shared" si="208"/>
        <v>50.214592274678104</v>
      </c>
      <c r="AR272" s="92">
        <f t="shared" si="208"/>
        <v>35.447761194029859</v>
      </c>
      <c r="AS272" s="92">
        <f t="shared" si="208"/>
        <v>35.447761194029859</v>
      </c>
      <c r="AT272" s="92">
        <f t="shared" si="208"/>
        <v>57.65306122448979</v>
      </c>
      <c r="AU272" s="92">
        <f t="shared" si="208"/>
        <v>51.811594202898561</v>
      </c>
    </row>
    <row r="273" spans="1:47" x14ac:dyDescent="0.3">
      <c r="A273" s="13">
        <f t="shared" si="188"/>
        <v>39490</v>
      </c>
      <c r="B273" s="92">
        <v>0</v>
      </c>
      <c r="C273" s="92">
        <v>0</v>
      </c>
      <c r="D273" s="92">
        <f>+TWK!D218</f>
        <v>470</v>
      </c>
      <c r="E273" s="92">
        <f>+TWK!E218</f>
        <v>378</v>
      </c>
      <c r="F273" s="92">
        <f>+TWK!F218</f>
        <v>385</v>
      </c>
      <c r="G273" s="92">
        <f>+TWK!G218</f>
        <v>387</v>
      </c>
      <c r="H273" s="92">
        <f>+TWK!H218</f>
        <v>340</v>
      </c>
      <c r="I273" s="92">
        <f>+TWK!I218</f>
        <v>340</v>
      </c>
      <c r="K273" s="92">
        <f t="shared" si="205"/>
        <v>0</v>
      </c>
      <c r="L273" s="92">
        <f t="shared" si="205"/>
        <v>0</v>
      </c>
      <c r="M273" s="92">
        <f t="shared" si="205"/>
        <v>460.5</v>
      </c>
      <c r="N273" s="92">
        <f t="shared" si="205"/>
        <v>369.25</v>
      </c>
      <c r="O273" s="92">
        <f t="shared" si="205"/>
        <v>372.75</v>
      </c>
      <c r="P273" s="92">
        <f t="shared" si="205"/>
        <v>372.75</v>
      </c>
      <c r="Q273" s="92">
        <f t="shared" si="205"/>
        <v>335</v>
      </c>
      <c r="R273" s="92">
        <f t="shared" si="205"/>
        <v>423.15283842794759</v>
      </c>
      <c r="T273" s="92">
        <f t="shared" si="206"/>
        <v>0</v>
      </c>
      <c r="U273" s="92">
        <f t="shared" si="206"/>
        <v>0</v>
      </c>
      <c r="V273" s="92">
        <f t="shared" si="206"/>
        <v>340.91666666666669</v>
      </c>
      <c r="W273" s="92">
        <f t="shared" si="206"/>
        <v>304.41666666666669</v>
      </c>
      <c r="X273" s="92">
        <f t="shared" si="206"/>
        <v>305.91666666666669</v>
      </c>
      <c r="Y273" s="92">
        <f t="shared" si="206"/>
        <v>308.91666666666669</v>
      </c>
      <c r="Z273" s="92">
        <f t="shared" si="206"/>
        <v>265.75</v>
      </c>
      <c r="AA273" s="92">
        <f t="shared" si="206"/>
        <v>355.83333333333331</v>
      </c>
      <c r="AC273" s="112">
        <f>+AF273-'Figure 8_data'!I485</f>
        <v>0</v>
      </c>
      <c r="AF273" s="92">
        <f t="shared" si="207"/>
        <v>37.863603031043745</v>
      </c>
      <c r="AG273" s="92">
        <f t="shared" si="207"/>
        <v>24.171913495756915</v>
      </c>
      <c r="AH273" s="92">
        <f t="shared" si="207"/>
        <v>25.851266684827024</v>
      </c>
      <c r="AI273" s="92">
        <f t="shared" si="207"/>
        <v>25.276503911518745</v>
      </c>
      <c r="AJ273" s="92">
        <f t="shared" si="207"/>
        <v>27.93979303857008</v>
      </c>
      <c r="AK273" s="92">
        <f t="shared" si="207"/>
        <v>-4.4496487119437873</v>
      </c>
      <c r="AM273" s="112">
        <f>AP273-'Figure 8_data'!H485</f>
        <v>0</v>
      </c>
      <c r="AP273" s="92">
        <f t="shared" si="208"/>
        <v>27.027027027027017</v>
      </c>
      <c r="AQ273" s="92">
        <f t="shared" si="208"/>
        <v>33.568904593639573</v>
      </c>
      <c r="AR273" s="92">
        <f t="shared" si="208"/>
        <v>36.524822695035454</v>
      </c>
      <c r="AS273" s="92">
        <f t="shared" si="208"/>
        <v>37.234042553191493</v>
      </c>
      <c r="AT273" s="92">
        <f t="shared" si="208"/>
        <v>55.963302752293572</v>
      </c>
      <c r="AU273" s="92">
        <f t="shared" si="208"/>
        <v>11.475409836065564</v>
      </c>
    </row>
    <row r="274" spans="1:47" x14ac:dyDescent="0.3">
      <c r="A274" s="13">
        <f t="shared" ref="A274:A280" si="209">7+A273</f>
        <v>39497</v>
      </c>
      <c r="B274" s="92">
        <v>0</v>
      </c>
      <c r="C274" s="92">
        <v>0</v>
      </c>
      <c r="D274" s="92">
        <f>+TWK!D219</f>
        <v>500</v>
      </c>
      <c r="E274" s="92">
        <f>+TWK!E219</f>
        <v>395</v>
      </c>
      <c r="F274" s="92">
        <f>+TWK!F219</f>
        <v>382</v>
      </c>
      <c r="G274" s="92">
        <f>+TWK!G219</f>
        <v>386</v>
      </c>
      <c r="H274" s="92">
        <f>+TWK!H219</f>
        <v>359</v>
      </c>
      <c r="I274" s="92">
        <f>+TWK!I219</f>
        <v>472</v>
      </c>
      <c r="K274" s="92">
        <f t="shared" ref="K274:R274" si="210">AVERAGE(B271:B274)</f>
        <v>0</v>
      </c>
      <c r="L274" s="92">
        <f t="shared" si="210"/>
        <v>0</v>
      </c>
      <c r="M274" s="92">
        <f t="shared" si="210"/>
        <v>478.5</v>
      </c>
      <c r="N274" s="92">
        <f t="shared" si="210"/>
        <v>368.5</v>
      </c>
      <c r="O274" s="92">
        <f t="shared" si="210"/>
        <v>369.75</v>
      </c>
      <c r="P274" s="92">
        <f t="shared" si="210"/>
        <v>370.75</v>
      </c>
      <c r="Q274" s="92">
        <f t="shared" si="210"/>
        <v>332.25</v>
      </c>
      <c r="R274" s="92">
        <f t="shared" si="210"/>
        <v>417.75</v>
      </c>
      <c r="T274" s="92">
        <f t="shared" ref="T274:AA274" si="211">(K118+K170+K222)/3</f>
        <v>0</v>
      </c>
      <c r="U274" s="92">
        <f t="shared" si="211"/>
        <v>0</v>
      </c>
      <c r="V274" s="92">
        <f t="shared" si="211"/>
        <v>349</v>
      </c>
      <c r="W274" s="92">
        <f t="shared" si="211"/>
        <v>304.33333333333331</v>
      </c>
      <c r="X274" s="92">
        <f t="shared" si="211"/>
        <v>294.33333333333331</v>
      </c>
      <c r="Y274" s="92">
        <f t="shared" si="211"/>
        <v>296.66666666666669</v>
      </c>
      <c r="Z274" s="92">
        <f t="shared" si="211"/>
        <v>263.25</v>
      </c>
      <c r="AA274" s="92">
        <f t="shared" si="211"/>
        <v>351.16666666666669</v>
      </c>
      <c r="AC274" s="112">
        <f>+AF274-'Figure 8_data'!I486</f>
        <v>0</v>
      </c>
      <c r="AF274" s="92">
        <f t="shared" ref="AF274:AK274" si="212">(D274/V274-1)*100</f>
        <v>43.266475644699142</v>
      </c>
      <c r="AG274" s="92">
        <f t="shared" si="212"/>
        <v>29.791894852135826</v>
      </c>
      <c r="AH274" s="92">
        <f t="shared" si="212"/>
        <v>29.784824462061167</v>
      </c>
      <c r="AI274" s="92">
        <f t="shared" si="212"/>
        <v>30.112359550561795</v>
      </c>
      <c r="AJ274" s="92">
        <f t="shared" si="212"/>
        <v>36.372269705603031</v>
      </c>
      <c r="AK274" s="92">
        <f t="shared" si="212"/>
        <v>34.409112482202175</v>
      </c>
      <c r="AM274" s="112">
        <f>AP274-'Figure 8_data'!H486</f>
        <v>0</v>
      </c>
      <c r="AP274" s="92">
        <f t="shared" ref="AP274:AU274" si="213">(D274/D222-1)*100</f>
        <v>37.362637362637365</v>
      </c>
      <c r="AQ274" s="92">
        <f t="shared" si="213"/>
        <v>55.511811023622037</v>
      </c>
      <c r="AR274" s="92">
        <f t="shared" si="213"/>
        <v>52.191235059760956</v>
      </c>
      <c r="AS274" s="92">
        <f t="shared" si="213"/>
        <v>53.784860557768923</v>
      </c>
      <c r="AT274" s="92">
        <f t="shared" si="213"/>
        <v>69.339622641509436</v>
      </c>
      <c r="AU274" s="92">
        <f t="shared" si="213"/>
        <v>64.459930313588856</v>
      </c>
    </row>
    <row r="275" spans="1:47" x14ac:dyDescent="0.3">
      <c r="A275" s="13">
        <f t="shared" si="209"/>
        <v>39504</v>
      </c>
      <c r="B275" s="92">
        <v>0</v>
      </c>
      <c r="C275" s="92">
        <v>0</v>
      </c>
      <c r="D275" s="92">
        <f>+TWK!D220</f>
        <v>529</v>
      </c>
      <c r="E275" s="92">
        <f>+TWK!E220</f>
        <v>428</v>
      </c>
      <c r="F275" s="92">
        <f>+TWK!F220</f>
        <v>389</v>
      </c>
      <c r="G275" s="92">
        <f>+TWK!G220</f>
        <v>395</v>
      </c>
      <c r="H275" s="92">
        <f>+TWK!H220</f>
        <v>375</v>
      </c>
      <c r="I275" s="92">
        <f>+TWK!I220</f>
        <v>514</v>
      </c>
      <c r="K275" s="92">
        <f t="shared" ref="K275:R275" si="214">AVERAGE(B272:B275)</f>
        <v>0</v>
      </c>
      <c r="L275" s="92">
        <f t="shared" si="214"/>
        <v>0</v>
      </c>
      <c r="M275" s="92">
        <f t="shared" si="214"/>
        <v>499.25</v>
      </c>
      <c r="N275" s="92">
        <f t="shared" si="214"/>
        <v>387.75</v>
      </c>
      <c r="O275" s="92">
        <f t="shared" si="214"/>
        <v>379.75</v>
      </c>
      <c r="P275" s="92">
        <f t="shared" si="214"/>
        <v>382.75</v>
      </c>
      <c r="Q275" s="92">
        <f t="shared" si="214"/>
        <v>345.75</v>
      </c>
      <c r="R275" s="92">
        <f t="shared" si="214"/>
        <v>436.25</v>
      </c>
      <c r="T275" s="92">
        <f t="shared" ref="T275:AA275" si="215">(K119+K171+K223)/3</f>
        <v>0</v>
      </c>
      <c r="U275" s="92">
        <f t="shared" si="215"/>
        <v>63.583333333333336</v>
      </c>
      <c r="V275" s="92">
        <f t="shared" si="215"/>
        <v>356.08333333333331</v>
      </c>
      <c r="W275" s="92">
        <f t="shared" si="215"/>
        <v>306.58333333333331</v>
      </c>
      <c r="X275" s="92">
        <f t="shared" si="215"/>
        <v>289.5</v>
      </c>
      <c r="Y275" s="92">
        <f t="shared" si="215"/>
        <v>290.83333333333331</v>
      </c>
      <c r="Z275" s="92">
        <f t="shared" si="215"/>
        <v>264.25</v>
      </c>
      <c r="AA275" s="92">
        <f t="shared" si="215"/>
        <v>351.25</v>
      </c>
      <c r="AC275" s="112">
        <f>+AF275-'Figure 8_data'!I487</f>
        <v>0</v>
      </c>
      <c r="AF275" s="92">
        <f t="shared" ref="AF275:AK275" si="216">(D275/V275-1)*100</f>
        <v>48.560730166159601</v>
      </c>
      <c r="AG275" s="92">
        <f t="shared" si="216"/>
        <v>39.603153030714864</v>
      </c>
      <c r="AH275" s="92">
        <f t="shared" si="216"/>
        <v>34.369602763385146</v>
      </c>
      <c r="AI275" s="92">
        <f t="shared" si="216"/>
        <v>35.8166189111748</v>
      </c>
      <c r="AJ275" s="92">
        <f t="shared" si="216"/>
        <v>41.911069063386954</v>
      </c>
      <c r="AK275" s="92">
        <f t="shared" si="216"/>
        <v>46.334519572953738</v>
      </c>
      <c r="AM275" s="112">
        <f>AP275-'Figure 8_data'!H487</f>
        <v>0</v>
      </c>
      <c r="AP275" s="92">
        <f t="shared" ref="AP275:AU275" si="217">(D275/D223-1)*100</f>
        <v>65.3125</v>
      </c>
      <c r="AQ275" s="92">
        <f t="shared" si="217"/>
        <v>72.58064516129032</v>
      </c>
      <c r="AR275" s="92">
        <f t="shared" si="217"/>
        <v>51.361867704280151</v>
      </c>
      <c r="AS275" s="92">
        <f t="shared" si="217"/>
        <v>53.696498054474716</v>
      </c>
      <c r="AT275" s="92">
        <f t="shared" si="217"/>
        <v>81.159420289855078</v>
      </c>
      <c r="AU275" s="92">
        <f t="shared" si="217"/>
        <v>82.918149466192176</v>
      </c>
    </row>
    <row r="276" spans="1:47" x14ac:dyDescent="0.3">
      <c r="A276" s="13">
        <f t="shared" si="209"/>
        <v>39511</v>
      </c>
      <c r="B276" s="92">
        <v>0</v>
      </c>
      <c r="C276" s="92">
        <v>0</v>
      </c>
      <c r="D276" s="92">
        <f>+TWK!D221</f>
        <v>443.75</v>
      </c>
      <c r="E276" s="92">
        <f>+TWK!E221</f>
        <v>348.75</v>
      </c>
      <c r="F276" s="92">
        <f>+TWK!F221</f>
        <v>372.5</v>
      </c>
      <c r="G276" s="92">
        <f>+TWK!G221</f>
        <v>375</v>
      </c>
      <c r="H276" s="92">
        <f>+TWK!H221</f>
        <v>327.5</v>
      </c>
      <c r="I276" s="92">
        <f>+TWK!I221</f>
        <v>449.06113537117909</v>
      </c>
      <c r="K276" s="92">
        <f t="shared" ref="K276:R276" si="218">AVERAGE(B273:B276)</f>
        <v>0</v>
      </c>
      <c r="L276" s="92">
        <f t="shared" si="218"/>
        <v>0</v>
      </c>
      <c r="M276" s="92">
        <f t="shared" si="218"/>
        <v>485.6875</v>
      </c>
      <c r="N276" s="92">
        <f t="shared" si="218"/>
        <v>387.4375</v>
      </c>
      <c r="O276" s="92">
        <f t="shared" si="218"/>
        <v>382.125</v>
      </c>
      <c r="P276" s="92">
        <f t="shared" si="218"/>
        <v>385.75</v>
      </c>
      <c r="Q276" s="92">
        <f t="shared" si="218"/>
        <v>350.375</v>
      </c>
      <c r="R276" s="92">
        <f t="shared" si="218"/>
        <v>443.76528384279476</v>
      </c>
      <c r="T276" s="92">
        <f t="shared" ref="T276:AA276" si="219">(K120+K172+K224)/3</f>
        <v>0</v>
      </c>
      <c r="U276" s="92">
        <f t="shared" si="219"/>
        <v>229.16666666666666</v>
      </c>
      <c r="V276" s="92">
        <f t="shared" si="219"/>
        <v>345.58333333333331</v>
      </c>
      <c r="W276" s="92">
        <f t="shared" si="219"/>
        <v>298.58333333333331</v>
      </c>
      <c r="X276" s="92">
        <f t="shared" si="219"/>
        <v>288.75</v>
      </c>
      <c r="Y276" s="92">
        <f t="shared" si="219"/>
        <v>289.58333333333331</v>
      </c>
      <c r="Z276" s="92">
        <f t="shared" si="219"/>
        <v>261.16666666666669</v>
      </c>
      <c r="AA276" s="92">
        <f t="shared" si="219"/>
        <v>348.08333333333331</v>
      </c>
      <c r="AC276" s="112">
        <f>+AF276-'Figure 8_data'!I488</f>
        <v>0</v>
      </c>
      <c r="AF276" s="92">
        <f t="shared" ref="AF276:AK276" si="220">(D276/V276-1)*100</f>
        <v>28.406076681938753</v>
      </c>
      <c r="AG276" s="92">
        <f t="shared" si="220"/>
        <v>16.801562936087077</v>
      </c>
      <c r="AH276" s="92">
        <f t="shared" si="220"/>
        <v>29.004329004329009</v>
      </c>
      <c r="AI276" s="92">
        <f t="shared" si="220"/>
        <v>29.496402877697857</v>
      </c>
      <c r="AJ276" s="92">
        <f t="shared" si="220"/>
        <v>25.398851308232274</v>
      </c>
      <c r="AK276" s="92">
        <f t="shared" si="220"/>
        <v>29.009663022603526</v>
      </c>
      <c r="AM276" s="112">
        <f>AP276-'Figure 8_data'!H488</f>
        <v>0</v>
      </c>
      <c r="AP276" s="92">
        <f t="shared" ref="AP276:AU276" si="221">(D276/D224-1)*100</f>
        <v>55.701754385964918</v>
      </c>
      <c r="AQ276" s="92">
        <f t="shared" si="221"/>
        <v>56.390134529147986</v>
      </c>
      <c r="AR276" s="92">
        <f t="shared" si="221"/>
        <v>50.201612903225801</v>
      </c>
      <c r="AS276" s="92">
        <f t="shared" si="221"/>
        <v>51.821862348178136</v>
      </c>
      <c r="AT276" s="92">
        <f t="shared" si="221"/>
        <v>70.572916666666671</v>
      </c>
      <c r="AU276" s="92">
        <f t="shared" si="221"/>
        <v>70.745678848357073</v>
      </c>
    </row>
    <row r="277" spans="1:47" x14ac:dyDescent="0.3">
      <c r="A277" s="13">
        <f t="shared" si="209"/>
        <v>39518</v>
      </c>
      <c r="B277" s="92">
        <v>0</v>
      </c>
      <c r="C277" s="92">
        <v>0</v>
      </c>
      <c r="D277" s="92">
        <f>+TWK!D222</f>
        <v>485</v>
      </c>
      <c r="E277" s="92">
        <f>+TWK!E222</f>
        <v>396</v>
      </c>
      <c r="F277" s="92">
        <f>+TWK!F222</f>
        <v>396</v>
      </c>
      <c r="G277" s="92">
        <f>+TWK!G222</f>
        <v>400</v>
      </c>
      <c r="H277" s="92">
        <f>+TWK!H222</f>
        <v>322</v>
      </c>
      <c r="I277" s="92">
        <f>+TWK!I222</f>
        <v>441</v>
      </c>
      <c r="K277" s="92">
        <f t="shared" ref="K277:R277" si="222">AVERAGE(B274:B277)</f>
        <v>0</v>
      </c>
      <c r="L277" s="92">
        <f t="shared" si="222"/>
        <v>0</v>
      </c>
      <c r="M277" s="92">
        <f t="shared" si="222"/>
        <v>489.4375</v>
      </c>
      <c r="N277" s="92">
        <f t="shared" si="222"/>
        <v>391.9375</v>
      </c>
      <c r="O277" s="92">
        <f t="shared" si="222"/>
        <v>384.875</v>
      </c>
      <c r="P277" s="92">
        <f t="shared" si="222"/>
        <v>389</v>
      </c>
      <c r="Q277" s="92">
        <f t="shared" si="222"/>
        <v>345.875</v>
      </c>
      <c r="R277" s="92">
        <f t="shared" si="222"/>
        <v>469.01528384279476</v>
      </c>
      <c r="T277" s="92">
        <f t="shared" ref="T277:AA277" si="223">(K121+K173+K225)/3</f>
        <v>0</v>
      </c>
      <c r="U277" s="92">
        <f t="shared" si="223"/>
        <v>288.75</v>
      </c>
      <c r="V277" s="92">
        <f t="shared" si="223"/>
        <v>337.5</v>
      </c>
      <c r="W277" s="92">
        <f t="shared" si="223"/>
        <v>287</v>
      </c>
      <c r="X277" s="92">
        <f t="shared" si="223"/>
        <v>290.83333333333331</v>
      </c>
      <c r="Y277" s="92">
        <f t="shared" si="223"/>
        <v>291.75</v>
      </c>
      <c r="Z277" s="92">
        <f t="shared" si="223"/>
        <v>254.75</v>
      </c>
      <c r="AA277" s="92">
        <f t="shared" si="223"/>
        <v>341.91666666666669</v>
      </c>
      <c r="AC277" s="112">
        <f>+AF277-'Figure 8_data'!I489</f>
        <v>0</v>
      </c>
      <c r="AF277" s="92">
        <f t="shared" ref="AF277:AK277" si="224">(D277/V277-1)*100</f>
        <v>43.703703703703709</v>
      </c>
      <c r="AG277" s="92">
        <f t="shared" si="224"/>
        <v>37.979094076655052</v>
      </c>
      <c r="AH277" s="92">
        <f t="shared" si="224"/>
        <v>36.160458452722068</v>
      </c>
      <c r="AI277" s="92">
        <f t="shared" si="224"/>
        <v>37.103684661525271</v>
      </c>
      <c r="AJ277" s="92">
        <f t="shared" si="224"/>
        <v>26.398429833169779</v>
      </c>
      <c r="AK277" s="92">
        <f t="shared" si="224"/>
        <v>28.978796002924678</v>
      </c>
      <c r="AM277" s="112">
        <f>AP277-'Figure 8_data'!H489</f>
        <v>0</v>
      </c>
      <c r="AP277" s="92">
        <f t="shared" ref="AP277:AU277" si="225">(D277/D225-1)*100</f>
        <v>63.299663299663301</v>
      </c>
      <c r="AQ277" s="92">
        <f t="shared" si="225"/>
        <v>79.185520361990953</v>
      </c>
      <c r="AR277" s="92">
        <f t="shared" si="225"/>
        <v>58.400000000000006</v>
      </c>
      <c r="AS277" s="92">
        <f t="shared" si="225"/>
        <v>60.000000000000007</v>
      </c>
      <c r="AT277" s="92">
        <f t="shared" si="225"/>
        <v>65.979381443298976</v>
      </c>
      <c r="AU277" s="92">
        <f t="shared" si="225"/>
        <v>63.333333333333329</v>
      </c>
    </row>
    <row r="278" spans="1:47" x14ac:dyDescent="0.3">
      <c r="A278" s="13">
        <f t="shared" si="209"/>
        <v>39525</v>
      </c>
      <c r="B278" s="92">
        <v>0</v>
      </c>
      <c r="C278" s="92">
        <f>+TWK!C223</f>
        <v>472.5</v>
      </c>
      <c r="D278" s="92">
        <f>+TWK!D223</f>
        <v>430</v>
      </c>
      <c r="E278" s="92">
        <f>+TWK!E223</f>
        <v>342.5</v>
      </c>
      <c r="F278" s="92">
        <f>+TWK!F223</f>
        <v>395</v>
      </c>
      <c r="G278" s="92">
        <f>+TWK!G223</f>
        <v>393.33333333333331</v>
      </c>
      <c r="H278" s="92">
        <f>+TWK!H223</f>
        <v>311.66666666666669</v>
      </c>
      <c r="I278" s="92">
        <f>+TWK!I223</f>
        <v>414.74526928675397</v>
      </c>
      <c r="K278" s="92">
        <f t="shared" ref="K278:R278" si="226">AVERAGE(B275:B278)</f>
        <v>0</v>
      </c>
      <c r="L278" s="92">
        <f t="shared" si="226"/>
        <v>118.125</v>
      </c>
      <c r="M278" s="92">
        <f t="shared" si="226"/>
        <v>471.9375</v>
      </c>
      <c r="N278" s="92">
        <f t="shared" si="226"/>
        <v>378.8125</v>
      </c>
      <c r="O278" s="92">
        <f t="shared" si="226"/>
        <v>388.125</v>
      </c>
      <c r="P278" s="92">
        <f t="shared" si="226"/>
        <v>390.83333333333331</v>
      </c>
      <c r="Q278" s="92">
        <f t="shared" si="226"/>
        <v>334.04166666666669</v>
      </c>
      <c r="R278" s="92">
        <f t="shared" si="226"/>
        <v>454.70160116448324</v>
      </c>
      <c r="T278" s="92">
        <f t="shared" ref="T278:AA278" si="227">(K122+K174+K226)/3</f>
        <v>0</v>
      </c>
      <c r="U278" s="92">
        <f t="shared" si="227"/>
        <v>337.88888888888891</v>
      </c>
      <c r="V278" s="92">
        <f t="shared" si="227"/>
        <v>320.16666666666669</v>
      </c>
      <c r="W278" s="92">
        <f t="shared" si="227"/>
        <v>269.33333333333331</v>
      </c>
      <c r="X278" s="92">
        <f t="shared" si="227"/>
        <v>283.91666666666669</v>
      </c>
      <c r="Y278" s="92">
        <f t="shared" si="227"/>
        <v>285.16666666666669</v>
      </c>
      <c r="Z278" s="92">
        <f t="shared" si="227"/>
        <v>240.16666666666666</v>
      </c>
      <c r="AA278" s="92">
        <f t="shared" si="227"/>
        <v>321.83333333333331</v>
      </c>
      <c r="AC278" s="112">
        <f>+AF278-'Figure 8_data'!I490</f>
        <v>0</v>
      </c>
      <c r="AE278" s="92">
        <f t="shared" ref="AE278:AK278" si="228">(C278/U278-1)*100</f>
        <v>39.838868793160145</v>
      </c>
      <c r="AF278" s="92">
        <f t="shared" si="228"/>
        <v>34.305049453409666</v>
      </c>
      <c r="AG278" s="92">
        <f t="shared" si="228"/>
        <v>27.165841584158422</v>
      </c>
      <c r="AH278" s="92">
        <f t="shared" si="228"/>
        <v>39.125330202524196</v>
      </c>
      <c r="AI278" s="92">
        <f t="shared" si="228"/>
        <v>37.931034482758605</v>
      </c>
      <c r="AJ278" s="92">
        <f t="shared" si="228"/>
        <v>29.77099236641223</v>
      </c>
      <c r="AK278" s="92">
        <f t="shared" si="228"/>
        <v>28.869581342336815</v>
      </c>
      <c r="AM278" s="112">
        <f>AP278-'Figure 8_data'!H490</f>
        <v>0</v>
      </c>
      <c r="AO278" s="92">
        <f t="shared" ref="AO278:AU278" si="229">(C278/C226-1)*100</f>
        <v>61.262798634812277</v>
      </c>
      <c r="AP278" s="92">
        <f t="shared" si="229"/>
        <v>60.447761194029859</v>
      </c>
      <c r="AQ278" s="92">
        <f t="shared" si="229"/>
        <v>77.461139896373069</v>
      </c>
      <c r="AR278" s="92">
        <f t="shared" si="229"/>
        <v>68.085106382978736</v>
      </c>
      <c r="AS278" s="92">
        <f t="shared" si="229"/>
        <v>67.37588652482269</v>
      </c>
      <c r="AT278" s="92">
        <f t="shared" si="229"/>
        <v>76.082862523540513</v>
      </c>
      <c r="AU278" s="92">
        <f t="shared" si="229"/>
        <v>78.002261496460918</v>
      </c>
    </row>
    <row r="279" spans="1:47" x14ac:dyDescent="0.3">
      <c r="A279" s="13">
        <f t="shared" si="209"/>
        <v>39532</v>
      </c>
      <c r="B279" s="92">
        <v>0</v>
      </c>
      <c r="C279" s="92">
        <v>513</v>
      </c>
      <c r="D279" s="92">
        <v>469</v>
      </c>
      <c r="E279" s="92">
        <v>353</v>
      </c>
      <c r="F279" s="92">
        <v>390</v>
      </c>
      <c r="G279" s="92">
        <v>388</v>
      </c>
      <c r="H279" s="92">
        <v>315</v>
      </c>
      <c r="I279" s="92">
        <v>416</v>
      </c>
      <c r="K279" s="92">
        <f t="shared" ref="K279:R279" si="230">AVERAGE(B276:B279)</f>
        <v>0</v>
      </c>
      <c r="L279" s="92">
        <f t="shared" si="230"/>
        <v>246.375</v>
      </c>
      <c r="M279" s="92">
        <f t="shared" si="230"/>
        <v>456.9375</v>
      </c>
      <c r="N279" s="92">
        <f t="shared" si="230"/>
        <v>360.0625</v>
      </c>
      <c r="O279" s="92">
        <f t="shared" si="230"/>
        <v>388.375</v>
      </c>
      <c r="P279" s="92">
        <f t="shared" si="230"/>
        <v>389.08333333333331</v>
      </c>
      <c r="Q279" s="92">
        <f t="shared" si="230"/>
        <v>319.04166666666669</v>
      </c>
      <c r="R279" s="92">
        <f t="shared" si="230"/>
        <v>430.20160116448324</v>
      </c>
      <c r="T279" s="92">
        <f t="shared" ref="T279:AA279" si="231">(K123+K175+K227)/3</f>
        <v>53.5</v>
      </c>
      <c r="U279" s="92">
        <f t="shared" si="231"/>
        <v>319.08333333333331</v>
      </c>
      <c r="V279" s="92">
        <f t="shared" si="231"/>
        <v>297.16666666666669</v>
      </c>
      <c r="W279" s="92">
        <f t="shared" si="231"/>
        <v>245.25</v>
      </c>
      <c r="X279" s="92">
        <f t="shared" si="231"/>
        <v>265.66666666666669</v>
      </c>
      <c r="Y279" s="92">
        <f t="shared" si="231"/>
        <v>267</v>
      </c>
      <c r="Z279" s="92">
        <f t="shared" si="231"/>
        <v>221.66666666666666</v>
      </c>
      <c r="AA279" s="92">
        <f t="shared" si="231"/>
        <v>294.91666666666669</v>
      </c>
      <c r="AC279" s="112">
        <f>+AF279-'Figure 8_data'!I491</f>
        <v>0</v>
      </c>
      <c r="AE279" s="92">
        <f t="shared" ref="AE279:AK279" si="232">(C279/U279-1)*100</f>
        <v>60.773047793157488</v>
      </c>
      <c r="AF279" s="92">
        <f t="shared" si="232"/>
        <v>57.823892316320794</v>
      </c>
      <c r="AG279" s="92">
        <f t="shared" si="232"/>
        <v>43.934760448521914</v>
      </c>
      <c r="AH279" s="92">
        <f t="shared" si="232"/>
        <v>46.800501882057709</v>
      </c>
      <c r="AI279" s="92">
        <f t="shared" si="232"/>
        <v>45.31835205992509</v>
      </c>
      <c r="AJ279" s="92">
        <f t="shared" si="232"/>
        <v>42.105263157894733</v>
      </c>
      <c r="AK279" s="92">
        <f t="shared" si="232"/>
        <v>41.056795705001406</v>
      </c>
      <c r="AM279" s="112">
        <f>AP279-'Figure 8_data'!H491</f>
        <v>0</v>
      </c>
      <c r="AO279" s="92">
        <f t="shared" ref="AO279:AU279" si="233">(C279/C227-1)*100</f>
        <v>83.214285714285708</v>
      </c>
      <c r="AP279" s="92">
        <f t="shared" si="233"/>
        <v>92.21311475409837</v>
      </c>
      <c r="AQ279" s="92">
        <f t="shared" si="233"/>
        <v>100.56818181818184</v>
      </c>
      <c r="AR279" s="92">
        <f t="shared" si="233"/>
        <v>83.098591549295776</v>
      </c>
      <c r="AS279" s="92">
        <f t="shared" si="233"/>
        <v>82.159624413145551</v>
      </c>
      <c r="AT279" s="92">
        <f t="shared" si="233"/>
        <v>99.367088607594937</v>
      </c>
      <c r="AU279" s="92">
        <f t="shared" si="233"/>
        <v>115.54404145077721</v>
      </c>
    </row>
    <row r="280" spans="1:47" x14ac:dyDescent="0.3">
      <c r="A280" s="13">
        <f t="shared" si="209"/>
        <v>39539</v>
      </c>
      <c r="B280" s="92">
        <f>TWK!B225</f>
        <v>0</v>
      </c>
      <c r="C280" s="92">
        <f>TWK!C225</f>
        <v>525</v>
      </c>
      <c r="D280" s="92">
        <f>TWK!D225</f>
        <v>434</v>
      </c>
      <c r="E280" s="92">
        <f>TWK!E225</f>
        <v>358</v>
      </c>
      <c r="F280" s="92">
        <f>TWK!F225</f>
        <v>418</v>
      </c>
      <c r="G280" s="92">
        <f>TWK!G225</f>
        <v>420</v>
      </c>
      <c r="H280" s="92">
        <f>TWK!H225</f>
        <v>318</v>
      </c>
      <c r="I280" s="92">
        <f>TWK!I225</f>
        <v>435</v>
      </c>
      <c r="K280" s="92">
        <f t="shared" ref="K280:R280" si="234">AVERAGE(B277:B280)</f>
        <v>0</v>
      </c>
      <c r="L280" s="92">
        <f t="shared" si="234"/>
        <v>377.625</v>
      </c>
      <c r="M280" s="92">
        <f t="shared" si="234"/>
        <v>454.5</v>
      </c>
      <c r="N280" s="92">
        <f t="shared" si="234"/>
        <v>362.375</v>
      </c>
      <c r="O280" s="92">
        <f t="shared" si="234"/>
        <v>399.75</v>
      </c>
      <c r="P280" s="92">
        <f t="shared" si="234"/>
        <v>400.33333333333331</v>
      </c>
      <c r="Q280" s="92">
        <f t="shared" si="234"/>
        <v>316.66666666666669</v>
      </c>
      <c r="R280" s="92">
        <f t="shared" si="234"/>
        <v>426.68631732168848</v>
      </c>
      <c r="T280" s="92">
        <f t="shared" ref="T280:AA280" si="235">(K124+K176+K228)/3</f>
        <v>217.75</v>
      </c>
      <c r="U280" s="92">
        <f t="shared" si="235"/>
        <v>313.91666666666669</v>
      </c>
      <c r="V280" s="92">
        <f t="shared" si="235"/>
        <v>293.25</v>
      </c>
      <c r="W280" s="92">
        <f t="shared" si="235"/>
        <v>234.66666666666666</v>
      </c>
      <c r="X280" s="92">
        <f t="shared" si="235"/>
        <v>252.75</v>
      </c>
      <c r="Y280" s="92">
        <f t="shared" si="235"/>
        <v>254.16666666666666</v>
      </c>
      <c r="Z280" s="92">
        <f t="shared" si="235"/>
        <v>212.64583333333334</v>
      </c>
      <c r="AA280" s="92">
        <f t="shared" si="235"/>
        <v>283.04421397379912</v>
      </c>
      <c r="AC280" s="112">
        <f>+AF280-'Figure 8_data'!I492</f>
        <v>0</v>
      </c>
      <c r="AE280" s="92">
        <f t="shared" ref="AE280:AK280" si="236">(C280/U280-1)*100</f>
        <v>67.241837005574709</v>
      </c>
      <c r="AF280" s="92">
        <f t="shared" si="236"/>
        <v>47.996589940323965</v>
      </c>
      <c r="AG280" s="92">
        <f t="shared" si="236"/>
        <v>52.556818181818187</v>
      </c>
      <c r="AH280" s="92">
        <f t="shared" si="236"/>
        <v>65.380811078140439</v>
      </c>
      <c r="AI280" s="92">
        <f t="shared" si="236"/>
        <v>65.245901639344268</v>
      </c>
      <c r="AJ280" s="92">
        <f t="shared" si="236"/>
        <v>49.544430292936205</v>
      </c>
      <c r="AK280" s="92">
        <f t="shared" si="236"/>
        <v>53.68623646914299</v>
      </c>
      <c r="AM280" s="112">
        <f>AP280-'Figure 8_data'!H492</f>
        <v>0</v>
      </c>
      <c r="AO280" s="92">
        <f t="shared" ref="AO280:AU280" si="237">(C280/C228-1)*100</f>
        <v>87.5</v>
      </c>
      <c r="AP280" s="92">
        <f t="shared" si="237"/>
        <v>83.122362869198312</v>
      </c>
      <c r="AQ280" s="92">
        <f t="shared" si="237"/>
        <v>100</v>
      </c>
      <c r="AR280" s="92">
        <f t="shared" si="237"/>
        <v>102.91262135922329</v>
      </c>
      <c r="AS280" s="92">
        <f t="shared" si="237"/>
        <v>103.88349514563106</v>
      </c>
      <c r="AT280" s="92">
        <f t="shared" si="237"/>
        <v>94.198473282442748</v>
      </c>
      <c r="AU280" s="92">
        <f t="shared" si="237"/>
        <v>93.737540720571786</v>
      </c>
    </row>
    <row r="281" spans="1:47" x14ac:dyDescent="0.3">
      <c r="A281" s="13">
        <f t="shared" ref="A281:A286" si="238">7+A280</f>
        <v>39546</v>
      </c>
      <c r="B281" s="92">
        <f>TWK!B226</f>
        <v>0</v>
      </c>
      <c r="C281" s="92">
        <f>TWK!C226</f>
        <v>448.75</v>
      </c>
      <c r="D281" s="92">
        <f>TWK!D226</f>
        <v>416.25</v>
      </c>
      <c r="E281" s="92">
        <f>TWK!E226</f>
        <v>318.75</v>
      </c>
      <c r="F281" s="92">
        <f>TWK!F226</f>
        <v>388.75</v>
      </c>
      <c r="G281" s="92">
        <f>TWK!G226</f>
        <v>393.75</v>
      </c>
      <c r="H281" s="92">
        <f>TWK!H226</f>
        <v>301.25</v>
      </c>
      <c r="I281" s="92">
        <f>TWK!I226</f>
        <v>413.06768558951961</v>
      </c>
      <c r="K281" s="92">
        <f t="shared" ref="K281:R281" si="239">AVERAGE(B278:B281)</f>
        <v>0</v>
      </c>
      <c r="L281" s="92">
        <f t="shared" si="239"/>
        <v>489.8125</v>
      </c>
      <c r="M281" s="92">
        <f t="shared" si="239"/>
        <v>437.3125</v>
      </c>
      <c r="N281" s="92">
        <f t="shared" si="239"/>
        <v>343.0625</v>
      </c>
      <c r="O281" s="92">
        <f t="shared" si="239"/>
        <v>397.9375</v>
      </c>
      <c r="P281" s="92">
        <f t="shared" si="239"/>
        <v>398.77083333333331</v>
      </c>
      <c r="Q281" s="92">
        <f t="shared" si="239"/>
        <v>311.47916666666669</v>
      </c>
      <c r="R281" s="92">
        <f t="shared" si="239"/>
        <v>419.70323871906839</v>
      </c>
      <c r="T281" s="92">
        <f t="shared" ref="T281:AA281" si="240">(K125+K177+K229)/3</f>
        <v>272.36111111111114</v>
      </c>
      <c r="U281" s="92">
        <f t="shared" si="240"/>
        <v>298.47916666666669</v>
      </c>
      <c r="V281" s="92">
        <f t="shared" si="240"/>
        <v>278.4375</v>
      </c>
      <c r="W281" s="92">
        <f t="shared" si="240"/>
        <v>218.33333333333334</v>
      </c>
      <c r="X281" s="92">
        <f t="shared" si="240"/>
        <v>231.95833333333334</v>
      </c>
      <c r="Y281" s="92">
        <f t="shared" si="240"/>
        <v>232.875</v>
      </c>
      <c r="Z281" s="92">
        <f t="shared" si="240"/>
        <v>198.10416666666666</v>
      </c>
      <c r="AA281" s="92">
        <f t="shared" si="240"/>
        <v>264.22916666666669</v>
      </c>
      <c r="AC281" s="112">
        <f>+AF281-'Figure 8_data'!I493</f>
        <v>0</v>
      </c>
      <c r="AE281" s="92">
        <f t="shared" ref="AE281:AK281" si="241">(C281/U281-1)*100</f>
        <v>50.345501500663083</v>
      </c>
      <c r="AF281" s="92">
        <f t="shared" si="241"/>
        <v>49.494949494949502</v>
      </c>
      <c r="AG281" s="92">
        <f t="shared" si="241"/>
        <v>45.992366412213734</v>
      </c>
      <c r="AH281" s="92">
        <f t="shared" si="241"/>
        <v>67.594754805101488</v>
      </c>
      <c r="AI281" s="92">
        <f t="shared" si="241"/>
        <v>69.082125603864725</v>
      </c>
      <c r="AJ281" s="92">
        <f t="shared" si="241"/>
        <v>52.066463350510041</v>
      </c>
      <c r="AK281" s="92">
        <f t="shared" si="241"/>
        <v>56.329329876976587</v>
      </c>
      <c r="AM281" s="112">
        <f>AP281-'Figure 8_data'!H493</f>
        <v>0</v>
      </c>
      <c r="AO281" s="92">
        <f t="shared" ref="AO281:AU281" si="242">(C281/C229-1)*100</f>
        <v>63.926940639269404</v>
      </c>
      <c r="AP281" s="92">
        <f t="shared" si="242"/>
        <v>80</v>
      </c>
      <c r="AQ281" s="92">
        <f t="shared" si="242"/>
        <v>72.297297297297305</v>
      </c>
      <c r="AR281" s="92">
        <f t="shared" si="242"/>
        <v>91.975308641975317</v>
      </c>
      <c r="AS281" s="92">
        <f t="shared" si="242"/>
        <v>94.444444444444443</v>
      </c>
      <c r="AT281" s="92">
        <f t="shared" si="242"/>
        <v>85.384615384615387</v>
      </c>
      <c r="AU281" s="92">
        <f t="shared" si="242"/>
        <v>84.22474864279279</v>
      </c>
    </row>
    <row r="282" spans="1:47" x14ac:dyDescent="0.3">
      <c r="A282" s="13">
        <f t="shared" si="238"/>
        <v>39553</v>
      </c>
      <c r="B282" s="92">
        <f>TWK!B227</f>
        <v>466.66666666666669</v>
      </c>
      <c r="C282" s="92">
        <f>TWK!C227</f>
        <v>446.25</v>
      </c>
      <c r="D282" s="92">
        <f>TWK!D227</f>
        <v>407.5</v>
      </c>
      <c r="E282" s="92">
        <f>TWK!E227</f>
        <v>303.75</v>
      </c>
      <c r="F282" s="92">
        <f>TWK!F227</f>
        <v>361.25</v>
      </c>
      <c r="G282" s="92">
        <f>TWK!G227</f>
        <v>358.75</v>
      </c>
      <c r="H282" s="92">
        <f>TWK!H227</f>
        <v>286.25</v>
      </c>
      <c r="I282" s="92">
        <f>TWK!I227</f>
        <v>392.5</v>
      </c>
      <c r="K282" s="92">
        <f>AVERAGE(B282)</f>
        <v>466.66666666666669</v>
      </c>
      <c r="L282" s="92">
        <f t="shared" ref="L282:R282" si="243">AVERAGE(C279:C282)</f>
        <v>483.25</v>
      </c>
      <c r="M282" s="92">
        <f t="shared" si="243"/>
        <v>431.6875</v>
      </c>
      <c r="N282" s="92">
        <f t="shared" si="243"/>
        <v>333.375</v>
      </c>
      <c r="O282" s="92">
        <f t="shared" si="243"/>
        <v>389.5</v>
      </c>
      <c r="P282" s="92">
        <f t="shared" si="243"/>
        <v>390.125</v>
      </c>
      <c r="Q282" s="92">
        <f t="shared" si="243"/>
        <v>305.125</v>
      </c>
      <c r="R282" s="92">
        <f t="shared" si="243"/>
        <v>414.14192139737992</v>
      </c>
      <c r="T282" s="92">
        <f t="shared" ref="T282:AA282" si="244">(K126+K178+K230)/3</f>
        <v>322.8518518518519</v>
      </c>
      <c r="U282" s="92">
        <f t="shared" si="244"/>
        <v>289.64583333333331</v>
      </c>
      <c r="V282" s="92">
        <f t="shared" si="244"/>
        <v>270.60416666666669</v>
      </c>
      <c r="W282" s="92">
        <f t="shared" si="244"/>
        <v>207.08333333333334</v>
      </c>
      <c r="X282" s="92">
        <f t="shared" si="244"/>
        <v>224.79166666666666</v>
      </c>
      <c r="Y282" s="92">
        <f t="shared" si="244"/>
        <v>225.54166666666666</v>
      </c>
      <c r="Z282" s="92">
        <f t="shared" si="244"/>
        <v>191.52083333333334</v>
      </c>
      <c r="AA282" s="92">
        <f t="shared" si="244"/>
        <v>258.36708515283846</v>
      </c>
      <c r="AC282" s="112">
        <f>+AF282-'Figure 8_data'!I494</f>
        <v>0</v>
      </c>
      <c r="AD282" s="92">
        <f t="shared" ref="AD282:AK282" si="245">(B282/T282-1)*100</f>
        <v>44.545141677182507</v>
      </c>
      <c r="AE282" s="92">
        <f t="shared" si="245"/>
        <v>54.0674674530677</v>
      </c>
      <c r="AF282" s="92">
        <f t="shared" si="245"/>
        <v>50.588959889136945</v>
      </c>
      <c r="AG282" s="92">
        <f t="shared" si="245"/>
        <v>46.680080482897381</v>
      </c>
      <c r="AH282" s="92">
        <f t="shared" si="245"/>
        <v>60.704355885078783</v>
      </c>
      <c r="AI282" s="92">
        <f t="shared" si="245"/>
        <v>59.061518566414193</v>
      </c>
      <c r="AJ282" s="92">
        <f t="shared" si="245"/>
        <v>49.461546829109103</v>
      </c>
      <c r="AK282" s="92">
        <f t="shared" si="245"/>
        <v>51.915635758252442</v>
      </c>
      <c r="AM282" s="112">
        <f>AP282-'Figure 8_data'!H494</f>
        <v>0</v>
      </c>
      <c r="AN282" s="92">
        <f t="shared" ref="AN282:AU282" si="246">(B282/B230-1)*100</f>
        <v>57.657657657657666</v>
      </c>
      <c r="AO282" s="92">
        <f t="shared" si="246"/>
        <v>76.383399209486157</v>
      </c>
      <c r="AP282" s="92">
        <f t="shared" si="246"/>
        <v>81.919642857142861</v>
      </c>
      <c r="AQ282" s="92">
        <f t="shared" si="246"/>
        <v>80.803571428571416</v>
      </c>
      <c r="AR282" s="92">
        <f t="shared" si="246"/>
        <v>84.311224489795904</v>
      </c>
      <c r="AS282" s="92">
        <f t="shared" si="246"/>
        <v>82.10659898477158</v>
      </c>
      <c r="AT282" s="92">
        <f t="shared" si="246"/>
        <v>87.091503267973863</v>
      </c>
      <c r="AU282" s="92">
        <f t="shared" si="246"/>
        <v>83.707359944406946</v>
      </c>
    </row>
    <row r="283" spans="1:47" x14ac:dyDescent="0.3">
      <c r="A283" s="13">
        <f t="shared" si="238"/>
        <v>39560</v>
      </c>
      <c r="B283" s="92">
        <f>TWK!B228</f>
        <v>530</v>
      </c>
      <c r="C283" s="92">
        <f>TWK!C228</f>
        <v>479</v>
      </c>
      <c r="D283" s="92">
        <f>TWK!D228</f>
        <v>421</v>
      </c>
      <c r="E283" s="92">
        <f>TWK!E228</f>
        <v>321</v>
      </c>
      <c r="F283" s="92">
        <f>TWK!F228</f>
        <v>349</v>
      </c>
      <c r="G283" s="92">
        <f>TWK!G228</f>
        <v>349</v>
      </c>
      <c r="H283" s="92">
        <f>TWK!H228</f>
        <v>315</v>
      </c>
      <c r="I283" s="92">
        <f>TWK!I228</f>
        <v>432</v>
      </c>
      <c r="K283" s="92">
        <f>AVERAGE(B282:B283)</f>
        <v>498.33333333333337</v>
      </c>
      <c r="L283" s="92">
        <f t="shared" ref="L283:R283" si="247">AVERAGE(C280:C283)</f>
        <v>474.75</v>
      </c>
      <c r="M283" s="92">
        <f t="shared" si="247"/>
        <v>419.6875</v>
      </c>
      <c r="N283" s="92">
        <f t="shared" si="247"/>
        <v>325.375</v>
      </c>
      <c r="O283" s="92">
        <f t="shared" si="247"/>
        <v>379.25</v>
      </c>
      <c r="P283" s="92">
        <f t="shared" si="247"/>
        <v>380.375</v>
      </c>
      <c r="Q283" s="92">
        <f t="shared" si="247"/>
        <v>305.125</v>
      </c>
      <c r="R283" s="92">
        <f t="shared" si="247"/>
        <v>418.14192139737992</v>
      </c>
      <c r="T283" s="92">
        <f t="shared" ref="T283:AA283" si="248">(K127+K179+K231)/3</f>
        <v>318.97222222222223</v>
      </c>
      <c r="U283" s="92">
        <f t="shared" si="248"/>
        <v>284.36250000000001</v>
      </c>
      <c r="V283" s="92">
        <f t="shared" si="248"/>
        <v>264.52083333333331</v>
      </c>
      <c r="W283" s="92">
        <f t="shared" si="248"/>
        <v>200.75</v>
      </c>
      <c r="X283" s="92">
        <f t="shared" si="248"/>
        <v>219.95833333333334</v>
      </c>
      <c r="Y283" s="92">
        <f t="shared" si="248"/>
        <v>220.54166666666666</v>
      </c>
      <c r="Z283" s="92">
        <f t="shared" si="248"/>
        <v>186.9375</v>
      </c>
      <c r="AA283" s="92">
        <f t="shared" si="248"/>
        <v>255.90274745269289</v>
      </c>
      <c r="AC283" s="112">
        <f>+AF283-'Figure 8_data'!I495</f>
        <v>0</v>
      </c>
      <c r="AD283" s="92">
        <f t="shared" ref="AD283:AK283" si="249">(B283/T283-1)*100</f>
        <v>66.158669337281182</v>
      </c>
      <c r="AE283" s="92">
        <f t="shared" si="249"/>
        <v>68.446964701745117</v>
      </c>
      <c r="AF283" s="92">
        <f t="shared" si="249"/>
        <v>59.155706072300561</v>
      </c>
      <c r="AG283" s="92">
        <f t="shared" si="249"/>
        <v>59.900373599003728</v>
      </c>
      <c r="AH283" s="92">
        <f t="shared" si="249"/>
        <v>58.666414093578311</v>
      </c>
      <c r="AI283" s="92">
        <f t="shared" si="249"/>
        <v>58.246740978651054</v>
      </c>
      <c r="AJ283" s="92">
        <f t="shared" si="249"/>
        <v>68.505516549648931</v>
      </c>
      <c r="AK283" s="92">
        <f t="shared" si="249"/>
        <v>68.814131266746585</v>
      </c>
      <c r="AM283" s="112">
        <f>AP283-'Figure 8_data'!H495</f>
        <v>0</v>
      </c>
      <c r="AN283" s="92">
        <f t="shared" ref="AN283:AU283" si="250">(B283/B231-1)*100</f>
        <v>83.3910034602076</v>
      </c>
      <c r="AO283" s="92">
        <f t="shared" si="250"/>
        <v>95.829926410466086</v>
      </c>
      <c r="AP283" s="92">
        <f t="shared" si="250"/>
        <v>97.65258215962443</v>
      </c>
      <c r="AQ283" s="92">
        <f t="shared" si="250"/>
        <v>99.378881987577643</v>
      </c>
      <c r="AR283" s="92">
        <f t="shared" si="250"/>
        <v>77.157360406091385</v>
      </c>
      <c r="AS283" s="92">
        <f t="shared" si="250"/>
        <v>77.157360406091385</v>
      </c>
      <c r="AT283" s="92">
        <f t="shared" si="250"/>
        <v>114.28571428571428</v>
      </c>
      <c r="AU283" s="92">
        <f t="shared" si="250"/>
        <v>110.29271092404818</v>
      </c>
    </row>
    <row r="284" spans="1:47" x14ac:dyDescent="0.3">
      <c r="A284" s="13">
        <f t="shared" si="238"/>
        <v>39567</v>
      </c>
      <c r="B284" s="92">
        <f>TWK!B229</f>
        <v>516</v>
      </c>
      <c r="C284" s="92">
        <f>TWK!C229</f>
        <v>461</v>
      </c>
      <c r="D284" s="92">
        <f>TWK!D229</f>
        <v>388</v>
      </c>
      <c r="E284" s="92">
        <f>TWK!E229</f>
        <v>309</v>
      </c>
      <c r="F284" s="92">
        <f>TWK!F229</f>
        <v>326</v>
      </c>
      <c r="G284" s="92">
        <f>TWK!G229</f>
        <v>326</v>
      </c>
      <c r="H284" s="92">
        <f>TWK!H229</f>
        <v>279</v>
      </c>
      <c r="I284" s="92">
        <f>TWK!I229</f>
        <v>382</v>
      </c>
      <c r="K284" s="92">
        <f>AVERAGE(B282:B284)</f>
        <v>504.22222222222223</v>
      </c>
      <c r="L284" s="92">
        <f t="shared" ref="L284:R284" si="251">AVERAGE(C281:C284)</f>
        <v>458.75</v>
      </c>
      <c r="M284" s="92">
        <f t="shared" si="251"/>
        <v>408.1875</v>
      </c>
      <c r="N284" s="92">
        <f t="shared" si="251"/>
        <v>313.125</v>
      </c>
      <c r="O284" s="92">
        <f t="shared" si="251"/>
        <v>356.25</v>
      </c>
      <c r="P284" s="92">
        <f t="shared" si="251"/>
        <v>356.875</v>
      </c>
      <c r="Q284" s="92">
        <f t="shared" si="251"/>
        <v>295.375</v>
      </c>
      <c r="R284" s="92">
        <f t="shared" si="251"/>
        <v>404.89192139737992</v>
      </c>
      <c r="T284" s="92">
        <f t="shared" ref="T284:AA284" si="252">(K128+K180+K232)/3</f>
        <v>310.26388888888891</v>
      </c>
      <c r="U284" s="92">
        <f t="shared" si="252"/>
        <v>271.58472222222218</v>
      </c>
      <c r="V284" s="92">
        <f t="shared" si="252"/>
        <v>254.2847222222222</v>
      </c>
      <c r="W284" s="92">
        <f t="shared" si="252"/>
        <v>197.0277777777778</v>
      </c>
      <c r="X284" s="92">
        <f t="shared" si="252"/>
        <v>212.8472222222222</v>
      </c>
      <c r="Y284" s="92">
        <f t="shared" si="252"/>
        <v>213.26388888888889</v>
      </c>
      <c r="Z284" s="92">
        <f t="shared" si="252"/>
        <v>180.26388888888889</v>
      </c>
      <c r="AA284" s="92">
        <f t="shared" si="252"/>
        <v>246.89965429403205</v>
      </c>
      <c r="AC284" s="112">
        <f>+AF284-'Figure 8_data'!I496</f>
        <v>0</v>
      </c>
      <c r="AD284" s="92">
        <f t="shared" ref="AD284:AK284" si="253">(B284/T284-1)*100</f>
        <v>66.310040735932645</v>
      </c>
      <c r="AE284" s="92">
        <f t="shared" si="253"/>
        <v>69.744452570049262</v>
      </c>
      <c r="AF284" s="92">
        <f t="shared" si="253"/>
        <v>52.584864953436949</v>
      </c>
      <c r="AG284" s="92">
        <f t="shared" si="253"/>
        <v>56.830678133370903</v>
      </c>
      <c r="AH284" s="92">
        <f t="shared" si="253"/>
        <v>53.161500815660709</v>
      </c>
      <c r="AI284" s="92">
        <f t="shared" si="253"/>
        <v>52.862259850211672</v>
      </c>
      <c r="AJ284" s="92">
        <f t="shared" si="253"/>
        <v>54.773094999614756</v>
      </c>
      <c r="AK284" s="92">
        <f t="shared" si="253"/>
        <v>54.718726153045715</v>
      </c>
      <c r="AM284" s="112">
        <f>AP284-'Figure 8_data'!H496</f>
        <v>0</v>
      </c>
      <c r="AN284" s="92">
        <f t="shared" ref="AN284:AU284" si="254">(B284/B232-1)*100</f>
        <v>82.654867256637175</v>
      </c>
      <c r="AO284" s="92">
        <f t="shared" si="254"/>
        <v>94.788732394366207</v>
      </c>
      <c r="AP284" s="92">
        <f t="shared" si="254"/>
        <v>81.167315175097272</v>
      </c>
      <c r="AQ284" s="92">
        <f t="shared" si="254"/>
        <v>95.157894736842081</v>
      </c>
      <c r="AR284" s="92">
        <f t="shared" si="254"/>
        <v>70.086956521739125</v>
      </c>
      <c r="AS284" s="92">
        <f t="shared" si="254"/>
        <v>70.086956521739125</v>
      </c>
      <c r="AT284" s="92">
        <f t="shared" si="254"/>
        <v>90.227272727272734</v>
      </c>
      <c r="AU284" s="92">
        <f t="shared" si="254"/>
        <v>83.219185255000539</v>
      </c>
    </row>
    <row r="285" spans="1:47" x14ac:dyDescent="0.3">
      <c r="A285" s="13">
        <f t="shared" si="238"/>
        <v>39574</v>
      </c>
      <c r="B285" s="92">
        <f>TWK!B230</f>
        <v>513</v>
      </c>
      <c r="C285" s="92">
        <f>TWK!C230</f>
        <v>461</v>
      </c>
      <c r="D285" s="92">
        <f>TWK!D230</f>
        <v>383</v>
      </c>
      <c r="E285" s="92">
        <f>TWK!E230</f>
        <v>305</v>
      </c>
      <c r="F285" s="92">
        <f>TWK!F230</f>
        <v>329</v>
      </c>
      <c r="G285" s="92">
        <f>TWK!G230</f>
        <v>329</v>
      </c>
      <c r="H285" s="92">
        <f>TWK!H230</f>
        <v>276</v>
      </c>
      <c r="I285" s="92">
        <f>TWK!I230</f>
        <v>375</v>
      </c>
      <c r="K285" s="92">
        <f t="shared" ref="K285:R285" si="255">AVERAGE(B282:B285)</f>
        <v>506.41666666666669</v>
      </c>
      <c r="L285" s="92">
        <f t="shared" si="255"/>
        <v>461.8125</v>
      </c>
      <c r="M285" s="92">
        <f t="shared" si="255"/>
        <v>399.875</v>
      </c>
      <c r="N285" s="92">
        <f t="shared" si="255"/>
        <v>309.6875</v>
      </c>
      <c r="O285" s="92">
        <f t="shared" si="255"/>
        <v>341.3125</v>
      </c>
      <c r="P285" s="92">
        <f t="shared" si="255"/>
        <v>340.6875</v>
      </c>
      <c r="Q285" s="92">
        <f t="shared" si="255"/>
        <v>289.0625</v>
      </c>
      <c r="R285" s="92">
        <f t="shared" si="255"/>
        <v>395.375</v>
      </c>
      <c r="T285" s="92">
        <f t="shared" ref="T285:AA285" si="256">(K129+K181+K233)/3</f>
        <v>304.04166666666669</v>
      </c>
      <c r="U285" s="92">
        <f t="shared" si="256"/>
        <v>268.75833333333333</v>
      </c>
      <c r="V285" s="92">
        <f t="shared" si="256"/>
        <v>253.61111111111109</v>
      </c>
      <c r="W285" s="92">
        <f t="shared" si="256"/>
        <v>197.93055555555557</v>
      </c>
      <c r="X285" s="92">
        <f t="shared" si="256"/>
        <v>211.5972222222222</v>
      </c>
      <c r="Y285" s="92">
        <f t="shared" si="256"/>
        <v>211.79166666666666</v>
      </c>
      <c r="Z285" s="92">
        <f t="shared" si="256"/>
        <v>178.9722222222222</v>
      </c>
      <c r="AA285" s="92">
        <f t="shared" si="256"/>
        <v>244.27371421639978</v>
      </c>
      <c r="AC285" s="112">
        <f>+AF285-'Figure 8_data'!I497</f>
        <v>0</v>
      </c>
      <c r="AD285" s="92">
        <f t="shared" ref="AD285:AK285" si="257">(B285/T285-1)*100</f>
        <v>68.726874057831978</v>
      </c>
      <c r="AE285" s="92">
        <f t="shared" si="257"/>
        <v>71.529564974729468</v>
      </c>
      <c r="AF285" s="92">
        <f t="shared" si="257"/>
        <v>51.018619934282604</v>
      </c>
      <c r="AG285" s="92">
        <f t="shared" si="257"/>
        <v>54.094449512314924</v>
      </c>
      <c r="AH285" s="92">
        <f t="shared" si="257"/>
        <v>55.484082704299318</v>
      </c>
      <c r="AI285" s="92">
        <f t="shared" si="257"/>
        <v>55.341333857957899</v>
      </c>
      <c r="AJ285" s="92">
        <f t="shared" si="257"/>
        <v>54.213875523824328</v>
      </c>
      <c r="AK285" s="92">
        <f t="shared" si="257"/>
        <v>53.516313125607539</v>
      </c>
      <c r="AM285" s="112">
        <f>AP285-'Figure 8_data'!H497</f>
        <v>0</v>
      </c>
      <c r="AN285" s="92">
        <f t="shared" ref="AN285:AU285" si="258">(B285/B233-1)*100</f>
        <v>90.706319702602229</v>
      </c>
      <c r="AO285" s="92">
        <f t="shared" si="258"/>
        <v>97.14896650035638</v>
      </c>
      <c r="AP285" s="92">
        <f t="shared" si="258"/>
        <v>83.107569721115553</v>
      </c>
      <c r="AQ285" s="92">
        <f t="shared" si="258"/>
        <v>95.721925133689822</v>
      </c>
      <c r="AR285" s="92">
        <f t="shared" si="258"/>
        <v>80.273972602739718</v>
      </c>
      <c r="AS285" s="92">
        <f t="shared" si="258"/>
        <v>87.109004739336498</v>
      </c>
      <c r="AT285" s="92">
        <f t="shared" si="258"/>
        <v>90.344827586206904</v>
      </c>
      <c r="AU285" s="92">
        <f t="shared" si="258"/>
        <v>84.08688972650458</v>
      </c>
    </row>
    <row r="286" spans="1:47" x14ac:dyDescent="0.3">
      <c r="A286" s="13">
        <f t="shared" si="238"/>
        <v>39581</v>
      </c>
      <c r="B286" s="92">
        <f>TWK!B231</f>
        <v>465</v>
      </c>
      <c r="C286" s="92">
        <f>TWK!C231</f>
        <v>415</v>
      </c>
      <c r="D286" s="92">
        <f>TWK!D231</f>
        <v>377</v>
      </c>
      <c r="E286" s="92">
        <f>TWK!E231</f>
        <v>292</v>
      </c>
      <c r="F286" s="92">
        <f>TWK!F231</f>
        <v>313</v>
      </c>
      <c r="G286" s="92">
        <f>TWK!G231</f>
        <v>313</v>
      </c>
      <c r="H286" s="92">
        <f>TWK!H231</f>
        <v>263</v>
      </c>
      <c r="I286" s="92">
        <f>TWK!I231</f>
        <v>361</v>
      </c>
      <c r="K286" s="92">
        <f t="shared" ref="K286:R286" si="259">AVERAGE(B283:B286)</f>
        <v>506</v>
      </c>
      <c r="L286" s="92">
        <f t="shared" si="259"/>
        <v>454</v>
      </c>
      <c r="M286" s="92">
        <f t="shared" si="259"/>
        <v>392.25</v>
      </c>
      <c r="N286" s="92">
        <f t="shared" si="259"/>
        <v>306.75</v>
      </c>
      <c r="O286" s="92">
        <f t="shared" si="259"/>
        <v>329.25</v>
      </c>
      <c r="P286" s="92">
        <f t="shared" si="259"/>
        <v>329.25</v>
      </c>
      <c r="Q286" s="92">
        <f t="shared" si="259"/>
        <v>283.25</v>
      </c>
      <c r="R286" s="92">
        <f t="shared" si="259"/>
        <v>387.5</v>
      </c>
      <c r="T286" s="92">
        <f t="shared" ref="T286:AA286" si="260">(K130+K182+K234)/3</f>
        <v>308.70833333333331</v>
      </c>
      <c r="U286" s="92">
        <f t="shared" si="260"/>
        <v>276.25833333333333</v>
      </c>
      <c r="V286" s="92">
        <f t="shared" si="260"/>
        <v>262.9444444444444</v>
      </c>
      <c r="W286" s="92">
        <f t="shared" si="260"/>
        <v>208.59722222222226</v>
      </c>
      <c r="X286" s="92">
        <f t="shared" si="260"/>
        <v>211.51388888888889</v>
      </c>
      <c r="Y286" s="92">
        <f t="shared" si="260"/>
        <v>211.625</v>
      </c>
      <c r="Z286" s="92">
        <f t="shared" si="260"/>
        <v>184.9722222222222</v>
      </c>
      <c r="AA286" s="92">
        <f t="shared" si="260"/>
        <v>250.07611596312469</v>
      </c>
      <c r="AC286" s="112">
        <f>+AF286-'Figure 8_data'!I498</f>
        <v>0</v>
      </c>
      <c r="AD286" s="92">
        <f t="shared" ref="AD286:AK286" si="261">(B286/T286-1)*100</f>
        <v>50.627615062761521</v>
      </c>
      <c r="AE286" s="92">
        <f t="shared" si="261"/>
        <v>50.221712768845592</v>
      </c>
      <c r="AF286" s="92">
        <f t="shared" si="261"/>
        <v>43.376294105218705</v>
      </c>
      <c r="AG286" s="92">
        <f t="shared" si="261"/>
        <v>39.982688594447005</v>
      </c>
      <c r="AH286" s="92">
        <f t="shared" si="261"/>
        <v>47.980826055551915</v>
      </c>
      <c r="AI286" s="92">
        <f t="shared" si="261"/>
        <v>47.903130537507387</v>
      </c>
      <c r="AJ286" s="92">
        <f t="shared" si="261"/>
        <v>42.183511037693357</v>
      </c>
      <c r="AK286" s="92">
        <f t="shared" si="261"/>
        <v>44.356048801250481</v>
      </c>
      <c r="AM286" s="112">
        <f>AP286-'Figure 8_data'!H498</f>
        <v>0</v>
      </c>
      <c r="AN286" s="92">
        <f t="shared" ref="AN286:AU286" si="262">(B286/B234-1)*100</f>
        <v>55.518394648829442</v>
      </c>
      <c r="AO286" s="92">
        <f t="shared" si="262"/>
        <v>68.016194331983797</v>
      </c>
      <c r="AP286" s="92">
        <f t="shared" si="262"/>
        <v>66.079295154185019</v>
      </c>
      <c r="AQ286" s="92">
        <f t="shared" si="262"/>
        <v>63.128491620111738</v>
      </c>
      <c r="AR286" s="92">
        <f t="shared" si="262"/>
        <v>71.038251366120207</v>
      </c>
      <c r="AS286" s="92">
        <f t="shared" si="262"/>
        <v>71.038251366120207</v>
      </c>
      <c r="AT286" s="92">
        <f t="shared" si="262"/>
        <v>70.779220779220793</v>
      </c>
      <c r="AU286" s="92">
        <f t="shared" si="262"/>
        <v>66.910294978699312</v>
      </c>
    </row>
    <row r="287" spans="1:47" x14ac:dyDescent="0.3">
      <c r="A287" s="13">
        <f>7+A286</f>
        <v>39588</v>
      </c>
      <c r="B287" s="92">
        <f>TWK!B232</f>
        <v>443</v>
      </c>
      <c r="C287" s="92">
        <f>TWK!C232</f>
        <v>408</v>
      </c>
      <c r="D287" s="92">
        <f>TWK!D232</f>
        <v>381</v>
      </c>
      <c r="E287" s="92">
        <f>TWK!E232</f>
        <v>310</v>
      </c>
      <c r="F287" s="92">
        <f>TWK!F232</f>
        <v>319</v>
      </c>
      <c r="G287" s="92">
        <f>TWK!G232</f>
        <v>320</v>
      </c>
      <c r="H287" s="92">
        <f>TWK!H232</f>
        <v>294</v>
      </c>
      <c r="I287" s="92">
        <f>TWK!I232</f>
        <v>392</v>
      </c>
      <c r="K287" s="92">
        <f t="shared" ref="K287:R287" si="263">AVERAGE(B284:B287)</f>
        <v>484.25</v>
      </c>
      <c r="L287" s="92">
        <f t="shared" si="263"/>
        <v>436.25</v>
      </c>
      <c r="M287" s="92">
        <f t="shared" si="263"/>
        <v>382.25</v>
      </c>
      <c r="N287" s="92">
        <f t="shared" si="263"/>
        <v>304</v>
      </c>
      <c r="O287" s="92">
        <f t="shared" si="263"/>
        <v>321.75</v>
      </c>
      <c r="P287" s="92">
        <f t="shared" si="263"/>
        <v>322</v>
      </c>
      <c r="Q287" s="92">
        <f t="shared" si="263"/>
        <v>278</v>
      </c>
      <c r="R287" s="92">
        <f t="shared" si="263"/>
        <v>377.5</v>
      </c>
      <c r="T287" s="92">
        <f t="shared" ref="T287:AA287" si="264">(K131+K183+K235)/3</f>
        <v>321.54166666666669</v>
      </c>
      <c r="U287" s="92">
        <f t="shared" si="264"/>
        <v>291.20833333333331</v>
      </c>
      <c r="V287" s="92">
        <f t="shared" si="264"/>
        <v>279.61111111111109</v>
      </c>
      <c r="W287" s="92">
        <f t="shared" si="264"/>
        <v>223.01388888888891</v>
      </c>
      <c r="X287" s="92">
        <f t="shared" si="264"/>
        <v>219.3472222222222</v>
      </c>
      <c r="Y287" s="92">
        <f t="shared" si="264"/>
        <v>219.45833333333334</v>
      </c>
      <c r="Z287" s="92">
        <f t="shared" si="264"/>
        <v>196.30555555555554</v>
      </c>
      <c r="AA287" s="92">
        <f t="shared" si="264"/>
        <v>264.20712032993691</v>
      </c>
      <c r="AC287" s="112">
        <f>+AF287-'Figure 8_data'!I499</f>
        <v>0</v>
      </c>
      <c r="AD287" s="92">
        <f t="shared" ref="AD287:AK287" si="265">(B287/T287-1)*100</f>
        <v>37.773746274458972</v>
      </c>
      <c r="AE287" s="92">
        <f t="shared" si="265"/>
        <v>40.105880669623708</v>
      </c>
      <c r="AF287" s="92">
        <f t="shared" si="265"/>
        <v>36.260679515199691</v>
      </c>
      <c r="AG287" s="92">
        <f t="shared" si="265"/>
        <v>39.004795416329308</v>
      </c>
      <c r="AH287" s="92">
        <f t="shared" si="265"/>
        <v>45.431520293801064</v>
      </c>
      <c r="AI287" s="92">
        <f t="shared" si="265"/>
        <v>45.813556104044054</v>
      </c>
      <c r="AJ287" s="92">
        <f t="shared" si="265"/>
        <v>49.766520447148736</v>
      </c>
      <c r="AK287" s="92">
        <f t="shared" si="265"/>
        <v>48.368446509116694</v>
      </c>
      <c r="AM287" s="112">
        <f>AP287-'Figure 8_data'!H499</f>
        <v>0</v>
      </c>
      <c r="AN287" s="92">
        <f t="shared" ref="AN287:AU287" si="266">(B287/B235-1)*100</f>
        <v>35.889570552147234</v>
      </c>
      <c r="AO287" s="92">
        <f t="shared" si="266"/>
        <v>42.657342657342667</v>
      </c>
      <c r="AP287" s="92">
        <f t="shared" si="266"/>
        <v>38.545454545454547</v>
      </c>
      <c r="AQ287" s="92">
        <f t="shared" si="266"/>
        <v>58.163265306122454</v>
      </c>
      <c r="AR287" s="92">
        <f t="shared" si="266"/>
        <v>69.680851063829792</v>
      </c>
      <c r="AS287" s="92">
        <f t="shared" si="266"/>
        <v>70.212765957446805</v>
      </c>
      <c r="AT287" s="92">
        <f t="shared" si="266"/>
        <v>77.108433734939766</v>
      </c>
      <c r="AU287" s="92">
        <f t="shared" si="266"/>
        <v>68.240343347639481</v>
      </c>
    </row>
    <row r="288" spans="1:47" x14ac:dyDescent="0.3">
      <c r="A288" s="13">
        <f>7+A287</f>
        <v>39595</v>
      </c>
      <c r="B288" s="92">
        <f>TWK!B233</f>
        <v>465</v>
      </c>
      <c r="C288" s="92">
        <f>TWK!C233</f>
        <v>427</v>
      </c>
      <c r="D288" s="92">
        <f>TWK!D233</f>
        <v>405</v>
      </c>
      <c r="E288" s="92">
        <f>TWK!E233</f>
        <v>358</v>
      </c>
      <c r="F288" s="92">
        <f>TWK!F233</f>
        <v>346</v>
      </c>
      <c r="G288" s="92">
        <f>TWK!G233</f>
        <v>346</v>
      </c>
      <c r="H288" s="92">
        <f>TWK!H233</f>
        <v>353</v>
      </c>
      <c r="I288" s="92">
        <f>TWK!I233</f>
        <v>460</v>
      </c>
      <c r="K288" s="92">
        <f t="shared" ref="K288:R288" si="267">AVERAGE(B285:B288)</f>
        <v>471.5</v>
      </c>
      <c r="L288" s="92">
        <f t="shared" si="267"/>
        <v>427.75</v>
      </c>
      <c r="M288" s="92">
        <f t="shared" si="267"/>
        <v>386.5</v>
      </c>
      <c r="N288" s="92">
        <f t="shared" si="267"/>
        <v>316.25</v>
      </c>
      <c r="O288" s="92">
        <f t="shared" si="267"/>
        <v>326.75</v>
      </c>
      <c r="P288" s="92">
        <f t="shared" si="267"/>
        <v>327</v>
      </c>
      <c r="Q288" s="92">
        <f t="shared" si="267"/>
        <v>296.5</v>
      </c>
      <c r="R288" s="92">
        <f t="shared" si="267"/>
        <v>397</v>
      </c>
      <c r="T288" s="92">
        <f t="shared" ref="T288:AA288" si="268">(K132+K184+K236)/3</f>
        <v>337.85416666666669</v>
      </c>
      <c r="U288" s="92">
        <f t="shared" si="268"/>
        <v>306.15277777777777</v>
      </c>
      <c r="V288" s="92">
        <f t="shared" si="268"/>
        <v>292.93055555555554</v>
      </c>
      <c r="W288" s="92">
        <f t="shared" si="268"/>
        <v>230.06944444444446</v>
      </c>
      <c r="X288" s="92">
        <f t="shared" si="268"/>
        <v>225.60416666666666</v>
      </c>
      <c r="Y288" s="92">
        <f t="shared" si="268"/>
        <v>225.9652777777778</v>
      </c>
      <c r="Z288" s="92">
        <f t="shared" si="268"/>
        <v>206.14583333333334</v>
      </c>
      <c r="AA288" s="92">
        <f t="shared" si="268"/>
        <v>280.3326661814653</v>
      </c>
      <c r="AC288" s="112">
        <f>+AF288-'Figure 8_data'!I500</f>
        <v>0</v>
      </c>
      <c r="AD288" s="92">
        <f t="shared" ref="AD288:AK288" si="269">(B288/T288-1)*100</f>
        <v>37.633347721526775</v>
      </c>
      <c r="AE288" s="92">
        <f t="shared" si="269"/>
        <v>39.472848523340744</v>
      </c>
      <c r="AF288" s="92">
        <f t="shared" si="269"/>
        <v>38.258024749893323</v>
      </c>
      <c r="AG288" s="92">
        <f t="shared" si="269"/>
        <v>55.605191669182005</v>
      </c>
      <c r="AH288" s="92">
        <f t="shared" si="269"/>
        <v>53.365961769323114</v>
      </c>
      <c r="AI288" s="92">
        <f t="shared" si="269"/>
        <v>53.120870340207119</v>
      </c>
      <c r="AJ288" s="92">
        <f t="shared" si="269"/>
        <v>71.237998989388558</v>
      </c>
      <c r="AK288" s="92">
        <f t="shared" si="269"/>
        <v>64.090759120534386</v>
      </c>
      <c r="AM288" s="112">
        <f>AP288-'Figure 8_data'!H500</f>
        <v>0</v>
      </c>
      <c r="AN288" s="92">
        <f t="shared" ref="AN288:AU288" si="270">(B288/B236-1)*100</f>
        <v>20.388349514563096</v>
      </c>
      <c r="AO288" s="92">
        <f t="shared" si="270"/>
        <v>28.228228228228236</v>
      </c>
      <c r="AP288" s="92">
        <f t="shared" si="270"/>
        <v>24.233128834355821</v>
      </c>
      <c r="AQ288" s="92">
        <f t="shared" si="270"/>
        <v>42.06349206349207</v>
      </c>
      <c r="AR288" s="92">
        <f t="shared" si="270"/>
        <v>65.748502994011986</v>
      </c>
      <c r="AS288" s="92">
        <f t="shared" si="270"/>
        <v>61.871345029239762</v>
      </c>
      <c r="AT288" s="92">
        <f t="shared" si="270"/>
        <v>69.101796407185631</v>
      </c>
      <c r="AU288" s="92">
        <f t="shared" si="270"/>
        <v>56.996587030716725</v>
      </c>
    </row>
    <row r="289" spans="1:47" x14ac:dyDescent="0.3">
      <c r="A289" s="13">
        <f t="shared" ref="A289:A296" si="271">7+A288</f>
        <v>39602</v>
      </c>
      <c r="B289" s="92">
        <f>TWK!B234</f>
        <v>468</v>
      </c>
      <c r="C289" s="92">
        <f>TWK!C234</f>
        <v>433</v>
      </c>
      <c r="D289" s="92">
        <f>TWK!D234</f>
        <v>431</v>
      </c>
      <c r="E289" s="92">
        <f>TWK!E234</f>
        <v>375</v>
      </c>
      <c r="F289" s="92">
        <f>TWK!F234</f>
        <v>365</v>
      </c>
      <c r="G289" s="92">
        <f>TWK!G234</f>
        <v>365</v>
      </c>
      <c r="H289" s="92">
        <f>TWK!H234</f>
        <v>363</v>
      </c>
      <c r="I289" s="92">
        <f>TWK!I234</f>
        <v>475</v>
      </c>
      <c r="K289" s="92">
        <f t="shared" ref="K289:K296" si="272">AVERAGE(B286:B289)</f>
        <v>460.25</v>
      </c>
      <c r="L289" s="92">
        <f t="shared" ref="L289:L296" si="273">AVERAGE(C286:C289)</f>
        <v>420.75</v>
      </c>
      <c r="M289" s="92">
        <f t="shared" ref="M289:M296" si="274">AVERAGE(D286:D289)</f>
        <v>398.5</v>
      </c>
      <c r="N289" s="92">
        <f t="shared" ref="N289:N296" si="275">AVERAGE(E286:E289)</f>
        <v>333.75</v>
      </c>
      <c r="O289" s="92">
        <f t="shared" ref="O289:O296" si="276">AVERAGE(F286:F289)</f>
        <v>335.75</v>
      </c>
      <c r="P289" s="92">
        <f t="shared" ref="P289:P296" si="277">AVERAGE(G286:G289)</f>
        <v>336</v>
      </c>
      <c r="Q289" s="92">
        <f t="shared" ref="Q289:Q296" si="278">AVERAGE(H286:H289)</f>
        <v>318.25</v>
      </c>
      <c r="R289" s="92">
        <f t="shared" ref="R289:R296" si="279">AVERAGE(I286:I289)</f>
        <v>422</v>
      </c>
      <c r="T289" s="92">
        <f t="shared" ref="T289:T296" si="280">(K133+K185+K237)/3</f>
        <v>358.70833333333331</v>
      </c>
      <c r="U289" s="92">
        <f t="shared" ref="U289:U296" si="281">(L133+L185+L237)/3</f>
        <v>319.39583333333331</v>
      </c>
      <c r="V289" s="92">
        <f t="shared" ref="V289:V296" si="282">(M133+M185+M237)/3</f>
        <v>306.97916666666669</v>
      </c>
      <c r="W289" s="92">
        <f t="shared" ref="W289:W296" si="283">(N133+N185+N237)/3</f>
        <v>236.08333333333334</v>
      </c>
      <c r="X289" s="92">
        <f t="shared" ref="X289:X296" si="284">(O133+O185+O237)/3</f>
        <v>233.0347222222222</v>
      </c>
      <c r="Y289" s="92">
        <f t="shared" ref="Y289:Y296" si="285">(P133+P185+P237)/3</f>
        <v>233.625</v>
      </c>
      <c r="Z289" s="92">
        <f t="shared" ref="Z289:Z296" si="286">(Q133+Q185+Q237)/3</f>
        <v>215.22916666666666</v>
      </c>
      <c r="AA289" s="92">
        <f t="shared" ref="AA289:AA296" si="287">(R133+R185+R237)/3</f>
        <v>294.60698689956331</v>
      </c>
      <c r="AC289" s="112">
        <f>+AF289-'Figure 8_data'!I501</f>
        <v>0</v>
      </c>
      <c r="AD289" s="92">
        <f t="shared" ref="AD289:AD296" si="288">(B289/T289-1)*100</f>
        <v>30.468114763619482</v>
      </c>
      <c r="AE289" s="92">
        <f t="shared" ref="AE289:AE296" si="289">(C289/U289-1)*100</f>
        <v>35.568456069401869</v>
      </c>
      <c r="AF289" s="92">
        <f t="shared" ref="AF289:AF296" si="290">(D289/V289-1)*100</f>
        <v>40.400407193756351</v>
      </c>
      <c r="AG289" s="92">
        <f t="shared" ref="AG289:AG296" si="291">(E289/W289-1)*100</f>
        <v>58.842216731380148</v>
      </c>
      <c r="AH289" s="92">
        <f t="shared" ref="AH289:AH296" si="292">(F289/X289-1)*100</f>
        <v>56.629019280627006</v>
      </c>
      <c r="AI289" s="92">
        <f t="shared" ref="AI289:AI296" si="293">(G289/Y289-1)*100</f>
        <v>56.233279828785456</v>
      </c>
      <c r="AJ289" s="92">
        <f t="shared" ref="AJ289:AJ296" si="294">(H289/Z289-1)*100</f>
        <v>68.657438776497926</v>
      </c>
      <c r="AK289" s="92">
        <f t="shared" ref="AK289:AK296" si="295">(I289/AA289-1)*100</f>
        <v>61.231749796190613</v>
      </c>
      <c r="AM289" s="112">
        <f>AP289-'Figure 8_data'!H501</f>
        <v>0</v>
      </c>
      <c r="AN289" s="92">
        <f t="shared" ref="AN289:AN296" si="296">(B289/B237-1)*100</f>
        <v>18.10725552050474</v>
      </c>
      <c r="AO289" s="92">
        <f t="shared" ref="AO289:AO296" si="297">(C289/C237-1)*100</f>
        <v>22.402826855123671</v>
      </c>
      <c r="AP289" s="92">
        <f t="shared" ref="AP289:AP296" si="298">(D289/D237-1)*100</f>
        <v>21.837455830388699</v>
      </c>
      <c r="AQ289" s="92">
        <f t="shared" ref="AQ289:AQ296" si="299">(E289/E237-1)*100</f>
        <v>42.585551330798488</v>
      </c>
      <c r="AR289" s="92">
        <f t="shared" ref="AR289:AR296" si="300">(F289/F237-1)*100</f>
        <v>45.033112582781463</v>
      </c>
      <c r="AS289" s="92">
        <f t="shared" ref="AS289:AS296" si="301">(G289/G237-1)*100</f>
        <v>46.733668341708537</v>
      </c>
      <c r="AT289" s="92">
        <f t="shared" ref="AT289:AT296" si="302">(H289/H237-1)*100</f>
        <v>57.826086956521735</v>
      </c>
      <c r="AU289" s="92">
        <f t="shared" ref="AU289:AU296" si="303">(I289/I237-1)*100</f>
        <v>46.153846153846146</v>
      </c>
    </row>
    <row r="290" spans="1:47" x14ac:dyDescent="0.3">
      <c r="A290" s="13">
        <f t="shared" si="271"/>
        <v>39609</v>
      </c>
      <c r="B290" s="92">
        <f>TWK!B235</f>
        <v>522</v>
      </c>
      <c r="C290" s="92">
        <f>TWK!C235</f>
        <v>523</v>
      </c>
      <c r="D290" s="92">
        <f>TWK!D235</f>
        <v>527</v>
      </c>
      <c r="E290" s="92">
        <f>TWK!E235</f>
        <v>428</v>
      </c>
      <c r="F290" s="92">
        <f>TWK!F235</f>
        <v>423</v>
      </c>
      <c r="G290" s="92">
        <f>TWK!G235</f>
        <v>423</v>
      </c>
      <c r="H290" s="92">
        <f>TWK!H235</f>
        <v>411</v>
      </c>
      <c r="I290" s="92">
        <f>TWK!I235</f>
        <v>515</v>
      </c>
      <c r="K290" s="92">
        <f t="shared" si="272"/>
        <v>474.5</v>
      </c>
      <c r="L290" s="92">
        <f t="shared" si="273"/>
        <v>447.75</v>
      </c>
      <c r="M290" s="92">
        <f t="shared" si="274"/>
        <v>436</v>
      </c>
      <c r="N290" s="92">
        <f t="shared" si="275"/>
        <v>367.75</v>
      </c>
      <c r="O290" s="92">
        <f t="shared" si="276"/>
        <v>363.25</v>
      </c>
      <c r="P290" s="92">
        <f t="shared" si="277"/>
        <v>363.5</v>
      </c>
      <c r="Q290" s="92">
        <f t="shared" si="278"/>
        <v>355.25</v>
      </c>
      <c r="R290" s="92">
        <f t="shared" si="279"/>
        <v>460.5</v>
      </c>
      <c r="T290" s="92">
        <f t="shared" si="280"/>
        <v>373.45833333333331</v>
      </c>
      <c r="U290" s="92">
        <f t="shared" si="281"/>
        <v>325.72916666666669</v>
      </c>
      <c r="V290" s="92">
        <f t="shared" si="282"/>
        <v>312.72916666666669</v>
      </c>
      <c r="W290" s="92">
        <f t="shared" si="283"/>
        <v>236.75</v>
      </c>
      <c r="X290" s="92">
        <f t="shared" si="284"/>
        <v>236.5347222222222</v>
      </c>
      <c r="Y290" s="92">
        <f t="shared" si="285"/>
        <v>237.20833333333334</v>
      </c>
      <c r="Z290" s="92">
        <f t="shared" si="286"/>
        <v>219.64583333333334</v>
      </c>
      <c r="AA290" s="92">
        <f t="shared" si="287"/>
        <v>301.5</v>
      </c>
      <c r="AC290" s="112">
        <f>+AF290-'Figure 8_data'!I502</f>
        <v>0</v>
      </c>
      <c r="AD290" s="92">
        <f t="shared" si="288"/>
        <v>39.774629030458563</v>
      </c>
      <c r="AE290" s="92">
        <f t="shared" si="289"/>
        <v>60.562839782539157</v>
      </c>
      <c r="AF290" s="92">
        <f t="shared" si="290"/>
        <v>68.51642129105322</v>
      </c>
      <c r="AG290" s="92">
        <f t="shared" si="291"/>
        <v>80.78141499472018</v>
      </c>
      <c r="AH290" s="92">
        <f t="shared" si="292"/>
        <v>78.83209535832772</v>
      </c>
      <c r="AI290" s="92">
        <f t="shared" si="293"/>
        <v>78.32425786053048</v>
      </c>
      <c r="AJ290" s="92">
        <f t="shared" si="294"/>
        <v>87.119415726074152</v>
      </c>
      <c r="AK290" s="92">
        <f t="shared" si="295"/>
        <v>70.812603648424542</v>
      </c>
      <c r="AM290" s="112">
        <f>AP290-'Figure 8_data'!H502</f>
        <v>0</v>
      </c>
      <c r="AN290" s="92">
        <f t="shared" si="296"/>
        <v>25.783132530120479</v>
      </c>
      <c r="AO290" s="92">
        <f t="shared" si="297"/>
        <v>47.740112994350284</v>
      </c>
      <c r="AP290" s="92">
        <f t="shared" si="298"/>
        <v>59.696969696969695</v>
      </c>
      <c r="AQ290" s="92">
        <f t="shared" si="299"/>
        <v>75.409836065573771</v>
      </c>
      <c r="AR290" s="92">
        <f t="shared" si="300"/>
        <v>68.52589641434264</v>
      </c>
      <c r="AS290" s="92">
        <f t="shared" si="301"/>
        <v>67.857142857142861</v>
      </c>
      <c r="AT290" s="92">
        <f t="shared" si="302"/>
        <v>77.922077922077932</v>
      </c>
      <c r="AU290" s="92">
        <f t="shared" si="303"/>
        <v>61.442006269592483</v>
      </c>
    </row>
    <row r="291" spans="1:47" x14ac:dyDescent="0.3">
      <c r="A291" s="13">
        <f t="shared" si="271"/>
        <v>39616</v>
      </c>
      <c r="B291" s="92">
        <f>TWK!B236</f>
        <v>605</v>
      </c>
      <c r="C291" s="92">
        <f>TWK!C236</f>
        <v>588</v>
      </c>
      <c r="D291" s="92">
        <f>TWK!D236</f>
        <v>644</v>
      </c>
      <c r="E291" s="92">
        <f>TWK!E236</f>
        <v>460</v>
      </c>
      <c r="F291" s="92">
        <f>TWK!F236</f>
        <v>595</v>
      </c>
      <c r="G291" s="92">
        <f>TWK!G236</f>
        <v>595</v>
      </c>
      <c r="H291" s="92">
        <f>TWK!H236</f>
        <v>470</v>
      </c>
      <c r="I291" s="92">
        <f>TWK!I236</f>
        <v>435</v>
      </c>
      <c r="K291" s="92">
        <f t="shared" si="272"/>
        <v>515</v>
      </c>
      <c r="L291" s="92">
        <f t="shared" si="273"/>
        <v>492.75</v>
      </c>
      <c r="M291" s="92">
        <f t="shared" si="274"/>
        <v>501.75</v>
      </c>
      <c r="N291" s="92">
        <f t="shared" si="275"/>
        <v>405.25</v>
      </c>
      <c r="O291" s="92">
        <f t="shared" si="276"/>
        <v>432.25</v>
      </c>
      <c r="P291" s="92">
        <f t="shared" si="277"/>
        <v>432.25</v>
      </c>
      <c r="Q291" s="92">
        <f t="shared" si="278"/>
        <v>399.25</v>
      </c>
      <c r="R291" s="92">
        <f t="shared" si="279"/>
        <v>471.25</v>
      </c>
      <c r="T291" s="92">
        <f t="shared" si="280"/>
        <v>379.45833333333331</v>
      </c>
      <c r="U291" s="92">
        <f t="shared" si="281"/>
        <v>327.8125</v>
      </c>
      <c r="V291" s="92">
        <f t="shared" si="282"/>
        <v>313.72916666666669</v>
      </c>
      <c r="W291" s="92">
        <f t="shared" si="283"/>
        <v>239.08333333333334</v>
      </c>
      <c r="X291" s="92">
        <f t="shared" si="284"/>
        <v>240.70138888888889</v>
      </c>
      <c r="Y291" s="92">
        <f t="shared" si="285"/>
        <v>241.375</v>
      </c>
      <c r="Z291" s="92">
        <f t="shared" si="286"/>
        <v>222.5625</v>
      </c>
      <c r="AA291" s="92">
        <f t="shared" si="287"/>
        <v>305.41666666666669</v>
      </c>
      <c r="AC291" s="112">
        <f>+AF291-'Figure 8_data'!I503</f>
        <v>0</v>
      </c>
      <c r="AD291" s="92">
        <f t="shared" si="288"/>
        <v>59.437795102668289</v>
      </c>
      <c r="AE291" s="92">
        <f t="shared" si="289"/>
        <v>79.370829361296472</v>
      </c>
      <c r="AF291" s="92">
        <f t="shared" si="290"/>
        <v>105.27259446178365</v>
      </c>
      <c r="AG291" s="92">
        <f t="shared" si="291"/>
        <v>92.401533635413031</v>
      </c>
      <c r="AH291" s="92">
        <f t="shared" si="292"/>
        <v>147.19425290672513</v>
      </c>
      <c r="AI291" s="92">
        <f t="shared" si="293"/>
        <v>146.50440186431899</v>
      </c>
      <c r="AJ291" s="92">
        <f t="shared" si="294"/>
        <v>111.17663577646728</v>
      </c>
      <c r="AK291" s="92">
        <f t="shared" si="295"/>
        <v>42.428376534788526</v>
      </c>
      <c r="AM291" s="112">
        <f>AP291-'Figure 8_data'!H503</f>
        <v>0</v>
      </c>
      <c r="AN291" s="92">
        <f t="shared" si="296"/>
        <v>46.489104116222755</v>
      </c>
      <c r="AO291" s="92">
        <f t="shared" si="297"/>
        <v>55.555555555555557</v>
      </c>
      <c r="AP291" s="92">
        <f t="shared" si="298"/>
        <v>86.666666666666671</v>
      </c>
      <c r="AQ291" s="92">
        <f t="shared" si="299"/>
        <v>64.285714285714278</v>
      </c>
      <c r="AR291" s="92">
        <f t="shared" si="300"/>
        <v>117.94871794871793</v>
      </c>
      <c r="AS291" s="92">
        <f t="shared" si="301"/>
        <v>120.37037037037037</v>
      </c>
      <c r="AT291" s="92">
        <f t="shared" si="302"/>
        <v>85.770750988142282</v>
      </c>
      <c r="AU291" s="92">
        <f t="shared" si="303"/>
        <v>25.360230547550433</v>
      </c>
    </row>
    <row r="292" spans="1:47" x14ac:dyDescent="0.3">
      <c r="A292" s="13">
        <f t="shared" si="271"/>
        <v>39623</v>
      </c>
      <c r="B292" s="92">
        <f>TWK!B237</f>
        <v>570</v>
      </c>
      <c r="C292" s="92">
        <f>TWK!C237</f>
        <v>537</v>
      </c>
      <c r="D292" s="92">
        <f>TWK!D237</f>
        <v>558</v>
      </c>
      <c r="E292" s="92">
        <f>TWK!E237</f>
        <v>467</v>
      </c>
      <c r="F292" s="92">
        <f>TWK!F237</f>
        <v>567</v>
      </c>
      <c r="G292" s="92">
        <f>TWK!G237</f>
        <v>567</v>
      </c>
      <c r="H292" s="92">
        <f>TWK!H237</f>
        <v>415</v>
      </c>
      <c r="I292" s="92">
        <f>TWK!I237</f>
        <v>552</v>
      </c>
      <c r="K292" s="92">
        <f t="shared" si="272"/>
        <v>541.25</v>
      </c>
      <c r="L292" s="92">
        <f t="shared" si="273"/>
        <v>520.25</v>
      </c>
      <c r="M292" s="92">
        <f t="shared" si="274"/>
        <v>540</v>
      </c>
      <c r="N292" s="92">
        <f t="shared" si="275"/>
        <v>432.5</v>
      </c>
      <c r="O292" s="92">
        <f t="shared" si="276"/>
        <v>487.5</v>
      </c>
      <c r="P292" s="92">
        <f t="shared" si="277"/>
        <v>487.5</v>
      </c>
      <c r="Q292" s="92">
        <f t="shared" si="278"/>
        <v>414.75</v>
      </c>
      <c r="R292" s="92">
        <f t="shared" si="279"/>
        <v>494.25</v>
      </c>
      <c r="T292" s="92">
        <f t="shared" si="280"/>
        <v>387.33333333333331</v>
      </c>
      <c r="U292" s="92">
        <f t="shared" si="281"/>
        <v>336.3125</v>
      </c>
      <c r="V292" s="92">
        <f t="shared" si="282"/>
        <v>321.3125</v>
      </c>
      <c r="W292" s="92">
        <f t="shared" si="283"/>
        <v>247.58333333333334</v>
      </c>
      <c r="X292" s="92">
        <f t="shared" si="284"/>
        <v>254.4722222222222</v>
      </c>
      <c r="Y292" s="92">
        <f t="shared" si="285"/>
        <v>254.22916666666666</v>
      </c>
      <c r="Z292" s="92">
        <f t="shared" si="286"/>
        <v>227.47916666666666</v>
      </c>
      <c r="AA292" s="92">
        <f t="shared" si="287"/>
        <v>310.5</v>
      </c>
      <c r="AC292" s="112">
        <f>+AF292-'Figure 8_data'!I504</f>
        <v>0</v>
      </c>
      <c r="AD292" s="92">
        <f t="shared" si="288"/>
        <v>47.160068846815847</v>
      </c>
      <c r="AE292" s="92">
        <f t="shared" si="289"/>
        <v>59.672923248466823</v>
      </c>
      <c r="AF292" s="92">
        <f t="shared" si="290"/>
        <v>73.662711534720884</v>
      </c>
      <c r="AG292" s="92">
        <f t="shared" si="291"/>
        <v>88.62335913833725</v>
      </c>
      <c r="AH292" s="92">
        <f t="shared" si="292"/>
        <v>122.81410326383586</v>
      </c>
      <c r="AI292" s="92">
        <f t="shared" si="293"/>
        <v>123.02712447758748</v>
      </c>
      <c r="AJ292" s="92">
        <f t="shared" si="294"/>
        <v>82.434288854290699</v>
      </c>
      <c r="AK292" s="92">
        <f t="shared" si="295"/>
        <v>77.777777777777771</v>
      </c>
      <c r="AM292" s="112">
        <f>AP292-'Figure 8_data'!H504</f>
        <v>0</v>
      </c>
      <c r="AN292" s="92">
        <f t="shared" si="296"/>
        <v>34.513274336283196</v>
      </c>
      <c r="AO292" s="92">
        <f t="shared" si="297"/>
        <v>30.656934306569351</v>
      </c>
      <c r="AP292" s="92">
        <f t="shared" si="298"/>
        <v>51.219512195121951</v>
      </c>
      <c r="AQ292" s="92">
        <f t="shared" si="299"/>
        <v>51.623376623376615</v>
      </c>
      <c r="AR292" s="92">
        <f t="shared" si="300"/>
        <v>96.19377162629759</v>
      </c>
      <c r="AS292" s="92">
        <f t="shared" si="301"/>
        <v>104.69314079422381</v>
      </c>
      <c r="AT292" s="92">
        <f t="shared" si="302"/>
        <v>66.834170854271349</v>
      </c>
      <c r="AU292" s="92">
        <f t="shared" si="303"/>
        <v>61.876832844574771</v>
      </c>
    </row>
    <row r="293" spans="1:47" x14ac:dyDescent="0.3">
      <c r="A293" s="13">
        <f t="shared" si="271"/>
        <v>39630</v>
      </c>
      <c r="B293" s="92">
        <f>TWK!B238</f>
        <v>608</v>
      </c>
      <c r="C293" s="92">
        <f>TWK!C238</f>
        <v>581</v>
      </c>
      <c r="D293" s="92">
        <f>TWK!D238</f>
        <v>604</v>
      </c>
      <c r="E293" s="92">
        <f>TWK!E238</f>
        <v>448</v>
      </c>
      <c r="F293" s="92">
        <f>TWK!F238</f>
        <v>535</v>
      </c>
      <c r="G293" s="92">
        <f>TWK!G238</f>
        <v>535</v>
      </c>
      <c r="H293" s="92">
        <f>TWK!H238</f>
        <v>349</v>
      </c>
      <c r="I293" s="92">
        <f>TWK!I238</f>
        <v>478</v>
      </c>
      <c r="K293" s="92">
        <f t="shared" si="272"/>
        <v>576.25</v>
      </c>
      <c r="L293" s="92">
        <f t="shared" si="273"/>
        <v>557.25</v>
      </c>
      <c r="M293" s="92">
        <f t="shared" si="274"/>
        <v>583.25</v>
      </c>
      <c r="N293" s="92">
        <f t="shared" si="275"/>
        <v>450.75</v>
      </c>
      <c r="O293" s="92">
        <f t="shared" si="276"/>
        <v>530</v>
      </c>
      <c r="P293" s="92">
        <f t="shared" si="277"/>
        <v>530</v>
      </c>
      <c r="Q293" s="92">
        <f t="shared" si="278"/>
        <v>411.25</v>
      </c>
      <c r="R293" s="92">
        <f t="shared" si="279"/>
        <v>495</v>
      </c>
      <c r="T293" s="92">
        <f t="shared" si="280"/>
        <v>395.8125</v>
      </c>
      <c r="U293" s="92">
        <f t="shared" si="281"/>
        <v>345.08333333333331</v>
      </c>
      <c r="V293" s="92">
        <f t="shared" si="282"/>
        <v>328.83333333333331</v>
      </c>
      <c r="W293" s="92">
        <f t="shared" si="283"/>
        <v>260.33333333333331</v>
      </c>
      <c r="X293" s="92">
        <f t="shared" si="284"/>
        <v>272.5</v>
      </c>
      <c r="Y293" s="92">
        <f t="shared" si="285"/>
        <v>273.58333333333331</v>
      </c>
      <c r="Z293" s="92">
        <f t="shared" si="286"/>
        <v>239.47916666666666</v>
      </c>
      <c r="AA293" s="92">
        <f t="shared" si="287"/>
        <v>323.25</v>
      </c>
      <c r="AC293" s="112">
        <f>+AF293-'Figure 8_data'!I505</f>
        <v>0</v>
      </c>
      <c r="AD293" s="92">
        <f t="shared" si="288"/>
        <v>53.608084636033482</v>
      </c>
      <c r="AE293" s="92">
        <f t="shared" si="289"/>
        <v>68.365129195846436</v>
      </c>
      <c r="AF293" s="92">
        <f t="shared" si="290"/>
        <v>83.679675620881923</v>
      </c>
      <c r="AG293" s="92">
        <f t="shared" si="291"/>
        <v>72.087067861715767</v>
      </c>
      <c r="AH293" s="92">
        <f t="shared" si="292"/>
        <v>96.330275229357795</v>
      </c>
      <c r="AI293" s="92">
        <f t="shared" si="293"/>
        <v>95.552848004873596</v>
      </c>
      <c r="AJ293" s="92">
        <f t="shared" si="294"/>
        <v>45.732927359721629</v>
      </c>
      <c r="AK293" s="92">
        <f t="shared" si="295"/>
        <v>47.873163186388233</v>
      </c>
      <c r="AM293" s="112">
        <f>AP293-'Figure 8_data'!H505</f>
        <v>0</v>
      </c>
      <c r="AN293" s="92">
        <f t="shared" si="296"/>
        <v>43.396226415094333</v>
      </c>
      <c r="AO293" s="92">
        <f t="shared" si="297"/>
        <v>54.933333333333323</v>
      </c>
      <c r="AP293" s="92">
        <f t="shared" si="298"/>
        <v>67.777777777777786</v>
      </c>
      <c r="AQ293" s="92">
        <f t="shared" si="299"/>
        <v>60.57347670250897</v>
      </c>
      <c r="AR293" s="92">
        <f t="shared" si="300"/>
        <v>90.391459074733092</v>
      </c>
      <c r="AS293" s="92">
        <f t="shared" si="301"/>
        <v>84.482758620689651</v>
      </c>
      <c r="AT293" s="92">
        <f t="shared" si="302"/>
        <v>31.203007518796987</v>
      </c>
      <c r="AU293" s="92">
        <f t="shared" si="303"/>
        <v>34.647887323943664</v>
      </c>
    </row>
    <row r="294" spans="1:47" x14ac:dyDescent="0.3">
      <c r="A294" s="13">
        <f t="shared" si="271"/>
        <v>39637</v>
      </c>
      <c r="B294" s="92">
        <f>TWK!B239</f>
        <v>586</v>
      </c>
      <c r="C294" s="92">
        <f>TWK!C239</f>
        <v>576</v>
      </c>
      <c r="D294" s="92">
        <f>TWK!D239</f>
        <v>548</v>
      </c>
      <c r="E294" s="92">
        <f>TWK!E239</f>
        <v>381</v>
      </c>
      <c r="F294" s="92">
        <f>TWK!F239</f>
        <v>458</v>
      </c>
      <c r="G294" s="92">
        <f>TWK!G239</f>
        <v>458</v>
      </c>
      <c r="H294" s="92">
        <f>TWK!H239</f>
        <v>310</v>
      </c>
      <c r="I294" s="92">
        <f>TWK!I239</f>
        <v>425</v>
      </c>
      <c r="K294" s="92">
        <f t="shared" si="272"/>
        <v>592.25</v>
      </c>
      <c r="L294" s="92">
        <f t="shared" si="273"/>
        <v>570.5</v>
      </c>
      <c r="M294" s="92">
        <f t="shared" si="274"/>
        <v>588.5</v>
      </c>
      <c r="N294" s="92">
        <f t="shared" si="275"/>
        <v>439</v>
      </c>
      <c r="O294" s="92">
        <f t="shared" si="276"/>
        <v>538.75</v>
      </c>
      <c r="P294" s="92">
        <f t="shared" si="277"/>
        <v>538.75</v>
      </c>
      <c r="Q294" s="92">
        <f t="shared" si="278"/>
        <v>386</v>
      </c>
      <c r="R294" s="92">
        <f t="shared" si="279"/>
        <v>472.5</v>
      </c>
      <c r="T294" s="92">
        <f t="shared" si="280"/>
        <v>409.89583333333331</v>
      </c>
      <c r="U294" s="92">
        <f t="shared" si="281"/>
        <v>358.25</v>
      </c>
      <c r="V294" s="92">
        <f t="shared" si="282"/>
        <v>342.91666666666669</v>
      </c>
      <c r="W294" s="92">
        <f t="shared" si="283"/>
        <v>281.33333333333331</v>
      </c>
      <c r="X294" s="92">
        <f t="shared" si="284"/>
        <v>294.25</v>
      </c>
      <c r="Y294" s="92">
        <f t="shared" si="285"/>
        <v>295.33333333333331</v>
      </c>
      <c r="Z294" s="92">
        <f t="shared" si="286"/>
        <v>254.5625</v>
      </c>
      <c r="AA294" s="92">
        <f t="shared" si="287"/>
        <v>342.66666666666669</v>
      </c>
      <c r="AC294" s="112">
        <f>+AF294-'Figure 8_data'!I506</f>
        <v>0</v>
      </c>
      <c r="AD294" s="92">
        <f t="shared" si="288"/>
        <v>42.963151207115644</v>
      </c>
      <c r="AE294" s="92">
        <f t="shared" si="289"/>
        <v>60.781577110956043</v>
      </c>
      <c r="AF294" s="92">
        <f t="shared" si="290"/>
        <v>59.805589307411886</v>
      </c>
      <c r="AG294" s="92">
        <f t="shared" si="291"/>
        <v>35.426540284360208</v>
      </c>
      <c r="AH294" s="92">
        <f t="shared" si="292"/>
        <v>55.649957519116391</v>
      </c>
      <c r="AI294" s="92">
        <f t="shared" si="293"/>
        <v>55.079006772009031</v>
      </c>
      <c r="AJ294" s="92">
        <f t="shared" si="294"/>
        <v>21.777559538423773</v>
      </c>
      <c r="AK294" s="92">
        <f t="shared" si="295"/>
        <v>24.027237354085607</v>
      </c>
      <c r="AM294" s="112">
        <f>AP294-'Figure 8_data'!H506</f>
        <v>0</v>
      </c>
      <c r="AN294" s="92">
        <f t="shared" si="296"/>
        <v>36.915887850467286</v>
      </c>
      <c r="AO294" s="92">
        <f t="shared" si="297"/>
        <v>57.377049180327866</v>
      </c>
      <c r="AP294" s="92">
        <f t="shared" si="298"/>
        <v>53.932584269662918</v>
      </c>
      <c r="AQ294" s="92">
        <f t="shared" si="299"/>
        <v>32.291666666666671</v>
      </c>
      <c r="AR294" s="92">
        <f t="shared" si="300"/>
        <v>57.388316151202744</v>
      </c>
      <c r="AS294" s="92">
        <f t="shared" si="301"/>
        <v>57.388316151202744</v>
      </c>
      <c r="AT294" s="92">
        <f t="shared" si="302"/>
        <v>19.23076923076923</v>
      </c>
      <c r="AU294" s="92">
        <f t="shared" si="303"/>
        <v>16.120218579234979</v>
      </c>
    </row>
    <row r="295" spans="1:47" x14ac:dyDescent="0.3">
      <c r="A295" s="13">
        <f t="shared" si="271"/>
        <v>39644</v>
      </c>
      <c r="B295" s="92">
        <f>TWK!B240</f>
        <v>575</v>
      </c>
      <c r="C295" s="92">
        <f>TWK!C240</f>
        <v>524</v>
      </c>
      <c r="D295" s="92">
        <f>TWK!D240</f>
        <v>466</v>
      </c>
      <c r="E295" s="92">
        <f>TWK!E240</f>
        <v>344</v>
      </c>
      <c r="F295" s="92">
        <f>TWK!F240</f>
        <v>381</v>
      </c>
      <c r="G295" s="92">
        <f>TWK!G240</f>
        <v>381</v>
      </c>
      <c r="H295" s="92">
        <f>TWK!H240</f>
        <v>288</v>
      </c>
      <c r="I295" s="92">
        <f>TWK!I240</f>
        <v>384</v>
      </c>
      <c r="K295" s="92">
        <f t="shared" si="272"/>
        <v>584.75</v>
      </c>
      <c r="L295" s="92">
        <f t="shared" si="273"/>
        <v>554.5</v>
      </c>
      <c r="M295" s="92">
        <f t="shared" si="274"/>
        <v>544</v>
      </c>
      <c r="N295" s="92">
        <f t="shared" si="275"/>
        <v>410</v>
      </c>
      <c r="O295" s="92">
        <f t="shared" si="276"/>
        <v>485.25</v>
      </c>
      <c r="P295" s="92">
        <f t="shared" si="277"/>
        <v>485.25</v>
      </c>
      <c r="Q295" s="92">
        <f t="shared" si="278"/>
        <v>340.5</v>
      </c>
      <c r="R295" s="92">
        <f t="shared" si="279"/>
        <v>459.75</v>
      </c>
      <c r="T295" s="92">
        <f t="shared" si="280"/>
        <v>445.89583333333331</v>
      </c>
      <c r="U295" s="92">
        <f t="shared" si="281"/>
        <v>387.08333333333331</v>
      </c>
      <c r="V295" s="92">
        <f t="shared" si="282"/>
        <v>371.25</v>
      </c>
      <c r="W295" s="92">
        <f t="shared" si="283"/>
        <v>314.75</v>
      </c>
      <c r="X295" s="92">
        <f t="shared" si="284"/>
        <v>320.08333333333331</v>
      </c>
      <c r="Y295" s="92">
        <f t="shared" si="285"/>
        <v>321.75</v>
      </c>
      <c r="Z295" s="92">
        <f t="shared" si="286"/>
        <v>285.0625</v>
      </c>
      <c r="AA295" s="92">
        <f t="shared" si="287"/>
        <v>380.5</v>
      </c>
      <c r="AC295" s="112">
        <f>+AF295-'Figure 8_data'!I507</f>
        <v>0</v>
      </c>
      <c r="AD295" s="92">
        <f t="shared" si="288"/>
        <v>28.953884969396814</v>
      </c>
      <c r="AE295" s="92">
        <f t="shared" si="289"/>
        <v>35.37136706135631</v>
      </c>
      <c r="AF295" s="92">
        <f t="shared" si="290"/>
        <v>25.521885521885523</v>
      </c>
      <c r="AG295" s="92">
        <f t="shared" si="291"/>
        <v>9.2930897537728328</v>
      </c>
      <c r="AH295" s="92">
        <f t="shared" si="292"/>
        <v>19.031502212965389</v>
      </c>
      <c r="AI295" s="92">
        <f t="shared" si="293"/>
        <v>18.414918414918425</v>
      </c>
      <c r="AJ295" s="92">
        <f t="shared" si="294"/>
        <v>1.0304757728568203</v>
      </c>
      <c r="AK295" s="92">
        <f t="shared" si="295"/>
        <v>0.91984231274637729</v>
      </c>
      <c r="AM295" s="112">
        <f>AP295-'Figure 8_data'!H507</f>
        <v>0</v>
      </c>
      <c r="AN295" s="92">
        <f t="shared" si="296"/>
        <v>12.966601178781922</v>
      </c>
      <c r="AO295" s="92">
        <f t="shared" si="297"/>
        <v>21.577726218097439</v>
      </c>
      <c r="AP295" s="92">
        <f t="shared" si="298"/>
        <v>6.1503416856492077</v>
      </c>
      <c r="AQ295" s="92">
        <f t="shared" si="299"/>
        <v>-3.3707865168539297</v>
      </c>
      <c r="AR295" s="92">
        <f t="shared" si="300"/>
        <v>12.72189349112427</v>
      </c>
      <c r="AS295" s="92">
        <f t="shared" si="301"/>
        <v>12.72189349112427</v>
      </c>
      <c r="AT295" s="92">
        <f t="shared" si="302"/>
        <v>-15.044247787610621</v>
      </c>
      <c r="AU295" s="92">
        <f t="shared" si="303"/>
        <v>-15.789473684210531</v>
      </c>
    </row>
    <row r="296" spans="1:47" x14ac:dyDescent="0.3">
      <c r="A296" s="13">
        <f t="shared" si="271"/>
        <v>39651</v>
      </c>
      <c r="B296" s="92">
        <f>TWK!B241</f>
        <v>565</v>
      </c>
      <c r="C296" s="92">
        <f>TWK!C241</f>
        <v>491</v>
      </c>
      <c r="D296" s="92">
        <f>TWK!D241</f>
        <v>453</v>
      </c>
      <c r="E296" s="92">
        <f>TWK!E241</f>
        <v>343</v>
      </c>
      <c r="F296" s="92">
        <f>TWK!F241</f>
        <v>366</v>
      </c>
      <c r="G296" s="92">
        <f>TWK!G241</f>
        <v>366</v>
      </c>
      <c r="H296" s="92">
        <f>TWK!H241</f>
        <v>298</v>
      </c>
      <c r="I296" s="92">
        <f>TWK!I241</f>
        <v>399</v>
      </c>
      <c r="K296" s="92">
        <f t="shared" si="272"/>
        <v>583.5</v>
      </c>
      <c r="L296" s="92">
        <f t="shared" si="273"/>
        <v>543</v>
      </c>
      <c r="M296" s="92">
        <f t="shared" si="274"/>
        <v>517.75</v>
      </c>
      <c r="N296" s="92">
        <f t="shared" si="275"/>
        <v>379</v>
      </c>
      <c r="O296" s="92">
        <f t="shared" si="276"/>
        <v>435</v>
      </c>
      <c r="P296" s="92">
        <f t="shared" si="277"/>
        <v>435</v>
      </c>
      <c r="Q296" s="92">
        <f t="shared" si="278"/>
        <v>311.25</v>
      </c>
      <c r="R296" s="92">
        <f t="shared" si="279"/>
        <v>421.5</v>
      </c>
      <c r="T296" s="92">
        <f t="shared" si="280"/>
        <v>471.91666666666669</v>
      </c>
      <c r="U296" s="92">
        <f t="shared" si="281"/>
        <v>405.08333333333331</v>
      </c>
      <c r="V296" s="92">
        <f t="shared" si="282"/>
        <v>388.58333333333331</v>
      </c>
      <c r="W296" s="92">
        <f t="shared" si="283"/>
        <v>343</v>
      </c>
      <c r="X296" s="92">
        <f t="shared" si="284"/>
        <v>338.66666666666669</v>
      </c>
      <c r="Y296" s="92">
        <f t="shared" si="285"/>
        <v>341.16666666666669</v>
      </c>
      <c r="Z296" s="92">
        <f t="shared" si="286"/>
        <v>317.58333333333331</v>
      </c>
      <c r="AA296" s="92">
        <f t="shared" si="287"/>
        <v>415</v>
      </c>
      <c r="AC296" s="112">
        <f>+AF296-'Figure 8_data'!I508</f>
        <v>0</v>
      </c>
      <c r="AD296" s="92">
        <f t="shared" si="288"/>
        <v>19.724527635528876</v>
      </c>
      <c r="AE296" s="92">
        <f t="shared" si="289"/>
        <v>21.209627648631969</v>
      </c>
      <c r="AF296" s="92">
        <f t="shared" si="290"/>
        <v>16.577310744156136</v>
      </c>
      <c r="AG296" s="92">
        <f t="shared" si="291"/>
        <v>0</v>
      </c>
      <c r="AH296" s="92">
        <f t="shared" si="292"/>
        <v>8.0708661417322691</v>
      </c>
      <c r="AI296" s="92">
        <f t="shared" si="293"/>
        <v>7.2789447972642751</v>
      </c>
      <c r="AJ296" s="92">
        <f t="shared" si="294"/>
        <v>-6.1663605352925703</v>
      </c>
      <c r="AK296" s="92">
        <f t="shared" si="295"/>
        <v>-3.8554216867469848</v>
      </c>
      <c r="AM296" s="112">
        <f>AP296-'Figure 8_data'!H508</f>
        <v>0</v>
      </c>
      <c r="AN296" s="92">
        <f t="shared" si="296"/>
        <v>12.999999999999989</v>
      </c>
      <c r="AO296" s="92">
        <f t="shared" si="297"/>
        <v>7.4398249452954035</v>
      </c>
      <c r="AP296" s="92">
        <f t="shared" si="298"/>
        <v>-1.0917030567685559</v>
      </c>
      <c r="AQ296" s="92">
        <f t="shared" si="299"/>
        <v>-16.747572815533985</v>
      </c>
      <c r="AR296" s="92">
        <f t="shared" si="300"/>
        <v>-4.6875</v>
      </c>
      <c r="AS296" s="92">
        <f t="shared" si="301"/>
        <v>-4.6875</v>
      </c>
      <c r="AT296" s="92">
        <f t="shared" si="302"/>
        <v>-26.781326781326786</v>
      </c>
      <c r="AU296" s="92">
        <f t="shared" si="303"/>
        <v>-20.040080160320638</v>
      </c>
    </row>
    <row r="297" spans="1:47" x14ac:dyDescent="0.3">
      <c r="A297" s="13">
        <f t="shared" ref="A297:A302" si="304">7+A296</f>
        <v>39658</v>
      </c>
      <c r="B297" s="92">
        <f>TWK!B242</f>
        <v>590</v>
      </c>
      <c r="C297" s="92">
        <f>TWK!C242</f>
        <v>550</v>
      </c>
      <c r="D297" s="92">
        <f>TWK!D242</f>
        <v>492</v>
      </c>
      <c r="E297" s="92">
        <f>TWK!E242</f>
        <v>367</v>
      </c>
      <c r="F297" s="92">
        <f>TWK!F242</f>
        <v>371</v>
      </c>
      <c r="G297" s="92">
        <f>TWK!G242</f>
        <v>371</v>
      </c>
      <c r="H297" s="92">
        <f>TWK!H242</f>
        <v>328</v>
      </c>
      <c r="I297" s="92">
        <f>TWK!I242</f>
        <v>450</v>
      </c>
      <c r="K297" s="92">
        <f t="shared" ref="K297:R298" si="305">AVERAGE(B294:B297)</f>
        <v>579</v>
      </c>
      <c r="L297" s="92">
        <f t="shared" si="305"/>
        <v>535.25</v>
      </c>
      <c r="M297" s="92">
        <f t="shared" si="305"/>
        <v>489.75</v>
      </c>
      <c r="N297" s="92">
        <f t="shared" si="305"/>
        <v>358.75</v>
      </c>
      <c r="O297" s="92">
        <f t="shared" si="305"/>
        <v>394</v>
      </c>
      <c r="P297" s="92">
        <f t="shared" si="305"/>
        <v>394</v>
      </c>
      <c r="Q297" s="92">
        <f t="shared" si="305"/>
        <v>306</v>
      </c>
      <c r="R297" s="92">
        <f t="shared" si="305"/>
        <v>414.5</v>
      </c>
      <c r="T297" s="92">
        <f t="shared" ref="T297:AA298" si="306">(K141+K193+K245)/3</f>
        <v>481.66666666666669</v>
      </c>
      <c r="U297" s="92">
        <f t="shared" si="306"/>
        <v>413.41666666666669</v>
      </c>
      <c r="V297" s="92">
        <f t="shared" si="306"/>
        <v>396.5</v>
      </c>
      <c r="W297" s="92">
        <f t="shared" si="306"/>
        <v>360.58333333333331</v>
      </c>
      <c r="X297" s="92">
        <f t="shared" si="306"/>
        <v>347.58333333333331</v>
      </c>
      <c r="Y297" s="92">
        <f t="shared" si="306"/>
        <v>349.16666666666669</v>
      </c>
      <c r="Z297" s="92">
        <f t="shared" si="306"/>
        <v>335.75</v>
      </c>
      <c r="AA297" s="92">
        <f t="shared" si="306"/>
        <v>439.66666666666669</v>
      </c>
      <c r="AC297" s="112">
        <f>+AF297-'Figure 8_data'!I509</f>
        <v>0</v>
      </c>
      <c r="AD297" s="92">
        <f t="shared" ref="AD297:AK298" si="307">(B297/T297-1)*100</f>
        <v>22.491349480968847</v>
      </c>
      <c r="AE297" s="92">
        <f t="shared" si="307"/>
        <v>33.037694013303764</v>
      </c>
      <c r="AF297" s="92">
        <f t="shared" si="307"/>
        <v>24.085750315258501</v>
      </c>
      <c r="AG297" s="92">
        <f t="shared" si="307"/>
        <v>1.7795239195747659</v>
      </c>
      <c r="AH297" s="92">
        <f t="shared" si="307"/>
        <v>6.7369935267322045</v>
      </c>
      <c r="AI297" s="92">
        <f t="shared" si="307"/>
        <v>6.2529832935560803</v>
      </c>
      <c r="AJ297" s="92">
        <f t="shared" si="307"/>
        <v>-2.3082650781831693</v>
      </c>
      <c r="AK297" s="92">
        <f t="shared" si="307"/>
        <v>2.3502653525397932</v>
      </c>
      <c r="AM297" s="112">
        <f>AP297-'Figure 8_data'!H509</f>
        <v>0</v>
      </c>
      <c r="AN297" s="92">
        <f t="shared" ref="AN297:AU298" si="308">(B297/B245-1)*100</f>
        <v>35.632183908045967</v>
      </c>
      <c r="AO297" s="92">
        <f t="shared" si="308"/>
        <v>39.240506329113934</v>
      </c>
      <c r="AP297" s="92">
        <f t="shared" si="308"/>
        <v>24.556962025316452</v>
      </c>
      <c r="AQ297" s="92">
        <f t="shared" si="308"/>
        <v>1.9444444444444375</v>
      </c>
      <c r="AR297" s="92">
        <f t="shared" si="308"/>
        <v>0.54200542005420349</v>
      </c>
      <c r="AS297" s="92">
        <f t="shared" si="308"/>
        <v>0.54200542005420349</v>
      </c>
      <c r="AT297" s="92">
        <f t="shared" si="308"/>
        <v>-4.0935672514619936</v>
      </c>
      <c r="AU297" s="92">
        <f t="shared" si="308"/>
        <v>-0.66225165562914245</v>
      </c>
    </row>
    <row r="298" spans="1:47" x14ac:dyDescent="0.3">
      <c r="A298" s="13">
        <f t="shared" si="304"/>
        <v>39665</v>
      </c>
      <c r="B298" s="92">
        <f>TWK!B243</f>
        <v>548</v>
      </c>
      <c r="C298" s="92">
        <f>TWK!C243</f>
        <v>500</v>
      </c>
      <c r="D298" s="92">
        <f>TWK!D243</f>
        <v>485</v>
      </c>
      <c r="E298" s="92">
        <f>TWK!E243</f>
        <v>400</v>
      </c>
      <c r="F298" s="92">
        <f>TWK!F243</f>
        <v>377</v>
      </c>
      <c r="G298" s="92">
        <f>TWK!G243</f>
        <v>377</v>
      </c>
      <c r="H298" s="92">
        <f>TWK!H243</f>
        <v>393</v>
      </c>
      <c r="I298" s="92">
        <f>TWK!I243</f>
        <v>524</v>
      </c>
      <c r="K298" s="92">
        <f t="shared" si="305"/>
        <v>569.5</v>
      </c>
      <c r="L298" s="92">
        <f t="shared" si="305"/>
        <v>516.25</v>
      </c>
      <c r="M298" s="92">
        <f t="shared" si="305"/>
        <v>474</v>
      </c>
      <c r="N298" s="92">
        <f t="shared" si="305"/>
        <v>363.5</v>
      </c>
      <c r="O298" s="92">
        <f t="shared" si="305"/>
        <v>373.75</v>
      </c>
      <c r="P298" s="92">
        <f t="shared" si="305"/>
        <v>373.75</v>
      </c>
      <c r="Q298" s="92">
        <f t="shared" si="305"/>
        <v>326.75</v>
      </c>
      <c r="R298" s="92">
        <f t="shared" si="305"/>
        <v>439.25</v>
      </c>
      <c r="T298" s="92">
        <f t="shared" si="306"/>
        <v>485.83333333333331</v>
      </c>
      <c r="U298" s="92">
        <f t="shared" si="306"/>
        <v>425.66666666666669</v>
      </c>
      <c r="V298" s="92">
        <f t="shared" si="306"/>
        <v>411.83333333333331</v>
      </c>
      <c r="W298" s="92">
        <f t="shared" si="306"/>
        <v>385.08333333333331</v>
      </c>
      <c r="X298" s="92">
        <f t="shared" si="306"/>
        <v>366.41666666666669</v>
      </c>
      <c r="Y298" s="92">
        <f t="shared" si="306"/>
        <v>368.16666666666669</v>
      </c>
      <c r="Z298" s="92">
        <f t="shared" si="306"/>
        <v>367.91666666666669</v>
      </c>
      <c r="AA298" s="92">
        <f t="shared" si="306"/>
        <v>482.08333333333331</v>
      </c>
      <c r="AC298" s="112">
        <f>+AF298-'Figure 8_data'!I510</f>
        <v>0</v>
      </c>
      <c r="AD298" s="92">
        <f t="shared" si="307"/>
        <v>12.795883361921101</v>
      </c>
      <c r="AE298" s="92">
        <f t="shared" si="307"/>
        <v>17.46280344557556</v>
      </c>
      <c r="AF298" s="92">
        <f t="shared" si="307"/>
        <v>17.76608660461352</v>
      </c>
      <c r="AG298" s="92">
        <f t="shared" si="307"/>
        <v>3.8736204284786968</v>
      </c>
      <c r="AH298" s="92">
        <f t="shared" si="307"/>
        <v>2.8883329542870095</v>
      </c>
      <c r="AI298" s="92">
        <f t="shared" si="307"/>
        <v>2.3992756903576273</v>
      </c>
      <c r="AJ298" s="92">
        <f t="shared" si="307"/>
        <v>6.8176670441675968</v>
      </c>
      <c r="AK298" s="92">
        <f t="shared" si="307"/>
        <v>8.6949006050129682</v>
      </c>
      <c r="AM298" s="112">
        <f>AP298-'Figure 8_data'!H510</f>
        <v>0</v>
      </c>
      <c r="AN298" s="92">
        <f t="shared" si="308"/>
        <v>23.146067415730332</v>
      </c>
      <c r="AO298" s="92">
        <f t="shared" si="308"/>
        <v>16.822429906542059</v>
      </c>
      <c r="AP298" s="92">
        <f t="shared" si="308"/>
        <v>8.7443946188340718</v>
      </c>
      <c r="AQ298" s="92">
        <f t="shared" si="308"/>
        <v>-2.4390243902439046</v>
      </c>
      <c r="AR298" s="92">
        <f t="shared" si="308"/>
        <v>-5.75</v>
      </c>
      <c r="AS298" s="92">
        <f t="shared" si="308"/>
        <v>-5.75</v>
      </c>
      <c r="AT298" s="92">
        <f t="shared" si="308"/>
        <v>-2.4813895781637729</v>
      </c>
      <c r="AU298" s="92">
        <f t="shared" si="308"/>
        <v>2.9469548133595369</v>
      </c>
    </row>
    <row r="299" spans="1:47" x14ac:dyDescent="0.3">
      <c r="A299" s="13">
        <f t="shared" si="304"/>
        <v>39672</v>
      </c>
      <c r="B299" s="92">
        <f>TWK!B244</f>
        <v>488</v>
      </c>
      <c r="C299" s="92">
        <f>TWK!C244</f>
        <v>473</v>
      </c>
      <c r="D299" s="92">
        <f>TWK!D244</f>
        <v>460</v>
      </c>
      <c r="E299" s="92">
        <f>TWK!E244</f>
        <v>385</v>
      </c>
      <c r="F299" s="92">
        <f>TWK!F244</f>
        <v>380</v>
      </c>
      <c r="G299" s="92">
        <f>TWK!G244</f>
        <v>380</v>
      </c>
      <c r="H299" s="92">
        <f>TWK!H244</f>
        <v>375</v>
      </c>
      <c r="I299" s="92">
        <f>TWK!I244</f>
        <v>525</v>
      </c>
      <c r="K299" s="92">
        <f t="shared" ref="K299:R299" si="309">AVERAGE(B296:B299)</f>
        <v>547.75</v>
      </c>
      <c r="L299" s="92">
        <f t="shared" si="309"/>
        <v>503.5</v>
      </c>
      <c r="M299" s="92">
        <f t="shared" si="309"/>
        <v>472.5</v>
      </c>
      <c r="N299" s="92">
        <f t="shared" si="309"/>
        <v>373.75</v>
      </c>
      <c r="O299" s="92">
        <f t="shared" si="309"/>
        <v>373.5</v>
      </c>
      <c r="P299" s="92">
        <f t="shared" si="309"/>
        <v>373.5</v>
      </c>
      <c r="Q299" s="92">
        <f t="shared" si="309"/>
        <v>348.5</v>
      </c>
      <c r="R299" s="92">
        <f t="shared" si="309"/>
        <v>474.5</v>
      </c>
      <c r="T299" s="92">
        <f t="shared" ref="T299:AA299" si="310">(K143+K195+K247)/3</f>
        <v>478.14583333333331</v>
      </c>
      <c r="U299" s="92">
        <f t="shared" si="310"/>
        <v>433.41666666666669</v>
      </c>
      <c r="V299" s="92">
        <f t="shared" si="310"/>
        <v>423.58333333333331</v>
      </c>
      <c r="W299" s="92">
        <f t="shared" si="310"/>
        <v>408.83333333333331</v>
      </c>
      <c r="X299" s="92">
        <f t="shared" si="310"/>
        <v>391.58333333333331</v>
      </c>
      <c r="Y299" s="92">
        <f t="shared" si="310"/>
        <v>393</v>
      </c>
      <c r="Z299" s="92">
        <f t="shared" si="310"/>
        <v>400</v>
      </c>
      <c r="AA299" s="92">
        <f t="shared" si="310"/>
        <v>536.84061135371178</v>
      </c>
      <c r="AC299" s="112">
        <f>+AF299-'Figure 8_data'!I511</f>
        <v>0</v>
      </c>
      <c r="AD299" s="92">
        <f t="shared" ref="AD299:AK299" si="311">(B299/T299-1)*100</f>
        <v>2.0609123785455985</v>
      </c>
      <c r="AE299" s="92">
        <f t="shared" si="311"/>
        <v>9.1328590655643147</v>
      </c>
      <c r="AF299" s="92">
        <f t="shared" si="311"/>
        <v>8.597285067873317</v>
      </c>
      <c r="AG299" s="92">
        <f t="shared" si="311"/>
        <v>-5.8295964125560484</v>
      </c>
      <c r="AH299" s="92">
        <f t="shared" si="311"/>
        <v>-2.9580761864226424</v>
      </c>
      <c r="AI299" s="92">
        <f t="shared" si="311"/>
        <v>-3.30788804071247</v>
      </c>
      <c r="AJ299" s="92">
        <f t="shared" si="311"/>
        <v>-6.25</v>
      </c>
      <c r="AK299" s="92">
        <f t="shared" si="311"/>
        <v>-2.2056102134028532</v>
      </c>
      <c r="AM299" s="112">
        <f>AP299-'Figure 8_data'!H511</f>
        <v>0</v>
      </c>
      <c r="AN299" s="92">
        <f t="shared" ref="AN299:AU299" si="312">(B299/B247-1)*100</f>
        <v>-5.9277108433734904</v>
      </c>
      <c r="AO299" s="92">
        <f t="shared" si="312"/>
        <v>-12.407407407407412</v>
      </c>
      <c r="AP299" s="92">
        <f t="shared" si="312"/>
        <v>-13.370998116760823</v>
      </c>
      <c r="AQ299" s="92">
        <f t="shared" si="312"/>
        <v>-28.703703703703709</v>
      </c>
      <c r="AR299" s="92">
        <f t="shared" si="312"/>
        <v>-23.387096774193552</v>
      </c>
      <c r="AS299" s="92">
        <f t="shared" si="312"/>
        <v>-23.387096774193552</v>
      </c>
      <c r="AT299" s="92">
        <f t="shared" si="312"/>
        <v>-32.065217391304344</v>
      </c>
      <c r="AU299" s="92">
        <f t="shared" si="312"/>
        <v>-35.351780951561565</v>
      </c>
    </row>
    <row r="300" spans="1:47" x14ac:dyDescent="0.3">
      <c r="A300" s="13">
        <f t="shared" si="304"/>
        <v>39679</v>
      </c>
      <c r="B300" s="92">
        <f>TWK!B245</f>
        <v>510</v>
      </c>
      <c r="C300" s="92">
        <f>TWK!C245</f>
        <v>515</v>
      </c>
      <c r="D300" s="92">
        <f>TWK!D245</f>
        <v>515</v>
      </c>
      <c r="E300" s="92">
        <f>TWK!E245</f>
        <v>517</v>
      </c>
      <c r="F300" s="92">
        <f>TWK!F245</f>
        <v>472</v>
      </c>
      <c r="G300" s="92">
        <f>TWK!G245</f>
        <v>472</v>
      </c>
      <c r="H300" s="92">
        <f>TWK!H245</f>
        <v>517</v>
      </c>
      <c r="I300" s="92">
        <f>TWK!I245</f>
        <v>708</v>
      </c>
      <c r="K300" s="92">
        <f t="shared" ref="K300:R300" si="313">AVERAGE(B297:B300)</f>
        <v>534</v>
      </c>
      <c r="L300" s="92">
        <f t="shared" si="313"/>
        <v>509.5</v>
      </c>
      <c r="M300" s="92">
        <f t="shared" si="313"/>
        <v>488</v>
      </c>
      <c r="N300" s="92">
        <f t="shared" si="313"/>
        <v>417.25</v>
      </c>
      <c r="O300" s="92">
        <f t="shared" si="313"/>
        <v>400</v>
      </c>
      <c r="P300" s="92">
        <f t="shared" si="313"/>
        <v>400</v>
      </c>
      <c r="Q300" s="92">
        <f t="shared" si="313"/>
        <v>403.25</v>
      </c>
      <c r="R300" s="92">
        <f t="shared" si="313"/>
        <v>551.75</v>
      </c>
      <c r="T300" s="92">
        <f t="shared" ref="T300:AA300" si="314">(K144+K196+K248)/3</f>
        <v>479.97916666666669</v>
      </c>
      <c r="U300" s="92">
        <f t="shared" si="314"/>
        <v>446.58333333333331</v>
      </c>
      <c r="V300" s="92">
        <f t="shared" si="314"/>
        <v>444.91666666666669</v>
      </c>
      <c r="W300" s="92">
        <f t="shared" si="314"/>
        <v>446.83333333333331</v>
      </c>
      <c r="X300" s="92">
        <f t="shared" si="314"/>
        <v>428.08333333333331</v>
      </c>
      <c r="Y300" s="92">
        <f t="shared" si="314"/>
        <v>429.58333333333331</v>
      </c>
      <c r="Z300" s="92">
        <f t="shared" si="314"/>
        <v>446.5</v>
      </c>
      <c r="AA300" s="92">
        <f t="shared" si="314"/>
        <v>606.00727802037852</v>
      </c>
      <c r="AC300" s="112">
        <f>+AF300-'Figure 8_data'!I512</f>
        <v>0</v>
      </c>
      <c r="AD300" s="92">
        <f t="shared" ref="AD300:AK300" si="315">(B300/T300-1)*100</f>
        <v>6.2546117453014416</v>
      </c>
      <c r="AE300" s="92">
        <f t="shared" si="315"/>
        <v>15.320022392237354</v>
      </c>
      <c r="AF300" s="92">
        <f t="shared" si="315"/>
        <v>15.75201348567148</v>
      </c>
      <c r="AG300" s="92">
        <f t="shared" si="315"/>
        <v>15.703095859753823</v>
      </c>
      <c r="AH300" s="92">
        <f t="shared" si="315"/>
        <v>10.258905976250743</v>
      </c>
      <c r="AI300" s="92">
        <f t="shared" si="315"/>
        <v>9.8739088263821486</v>
      </c>
      <c r="AJ300" s="92">
        <f t="shared" si="315"/>
        <v>15.789473684210531</v>
      </c>
      <c r="AK300" s="92">
        <f t="shared" si="315"/>
        <v>16.830280044292103</v>
      </c>
      <c r="AM300" s="112">
        <f>AP300-'Figure 8_data'!H512</f>
        <v>0</v>
      </c>
      <c r="AN300" s="92">
        <f t="shared" ref="AN300:AU300" si="316">(B300/B248-1)*100</f>
        <v>-7.9422382671480163</v>
      </c>
      <c r="AO300" s="92">
        <f t="shared" si="316"/>
        <v>-10.434782608695647</v>
      </c>
      <c r="AP300" s="92">
        <f t="shared" si="316"/>
        <v>-10.899653979238755</v>
      </c>
      <c r="AQ300" s="92">
        <f t="shared" si="316"/>
        <v>-24.525547445255469</v>
      </c>
      <c r="AR300" s="92">
        <f t="shared" si="316"/>
        <v>-23.870967741935488</v>
      </c>
      <c r="AS300" s="92">
        <f t="shared" si="316"/>
        <v>-23.870967741935488</v>
      </c>
      <c r="AT300" s="92">
        <f t="shared" si="316"/>
        <v>-31.066666666666663</v>
      </c>
      <c r="AU300" s="92">
        <f t="shared" si="316"/>
        <v>-29.200000000000003</v>
      </c>
    </row>
    <row r="301" spans="1:47" x14ac:dyDescent="0.3">
      <c r="A301" s="13">
        <f t="shared" si="304"/>
        <v>39686</v>
      </c>
      <c r="B301" s="92">
        <f>TWK!B246</f>
        <v>548</v>
      </c>
      <c r="C301" s="92">
        <f>TWK!C246</f>
        <v>565</v>
      </c>
      <c r="D301" s="92">
        <f>TWK!D246</f>
        <v>566</v>
      </c>
      <c r="E301" s="92">
        <f>TWK!E246</f>
        <v>550</v>
      </c>
      <c r="F301" s="92">
        <f>TWK!F246</f>
        <v>528</v>
      </c>
      <c r="G301" s="92">
        <f>TWK!G246</f>
        <v>528</v>
      </c>
      <c r="H301" s="92">
        <f>TWK!H246</f>
        <v>505</v>
      </c>
      <c r="I301" s="92">
        <f>TWK!I246</f>
        <v>647</v>
      </c>
      <c r="K301" s="92">
        <f t="shared" ref="K301:R301" si="317">AVERAGE(B298:B301)</f>
        <v>523.5</v>
      </c>
      <c r="L301" s="92">
        <f t="shared" si="317"/>
        <v>513.25</v>
      </c>
      <c r="M301" s="92">
        <f t="shared" si="317"/>
        <v>506.5</v>
      </c>
      <c r="N301" s="92">
        <f t="shared" si="317"/>
        <v>463</v>
      </c>
      <c r="O301" s="92">
        <f t="shared" si="317"/>
        <v>439.25</v>
      </c>
      <c r="P301" s="92">
        <f t="shared" si="317"/>
        <v>439.25</v>
      </c>
      <c r="Q301" s="92">
        <f t="shared" si="317"/>
        <v>447.5</v>
      </c>
      <c r="R301" s="92">
        <f t="shared" si="317"/>
        <v>601</v>
      </c>
      <c r="T301" s="92">
        <f t="shared" ref="T301:AA301" si="318">(K145+K197+K249)/3</f>
        <v>504.72916666666669</v>
      </c>
      <c r="U301" s="92">
        <f t="shared" si="318"/>
        <v>495.66666666666669</v>
      </c>
      <c r="V301" s="92">
        <f t="shared" si="318"/>
        <v>496.66666666666669</v>
      </c>
      <c r="W301" s="92">
        <f t="shared" si="318"/>
        <v>521.58333333333337</v>
      </c>
      <c r="X301" s="92">
        <f t="shared" si="318"/>
        <v>496.75</v>
      </c>
      <c r="Y301" s="92">
        <f t="shared" si="318"/>
        <v>498.33333333333331</v>
      </c>
      <c r="Z301" s="92">
        <f t="shared" si="318"/>
        <v>532.75</v>
      </c>
      <c r="AA301" s="92">
        <f t="shared" si="318"/>
        <v>708.84061135371178</v>
      </c>
      <c r="AC301" s="112">
        <f>+AF301-'Figure 8_data'!I513</f>
        <v>0</v>
      </c>
      <c r="AD301" s="92">
        <f t="shared" ref="AD301:AK301" si="319">(B301/T301-1)*100</f>
        <v>8.5730796219094287</v>
      </c>
      <c r="AE301" s="92">
        <f t="shared" si="319"/>
        <v>13.987895090786818</v>
      </c>
      <c r="AF301" s="92">
        <f t="shared" si="319"/>
        <v>13.959731543624155</v>
      </c>
      <c r="AG301" s="92">
        <f t="shared" si="319"/>
        <v>5.4481546572934914</v>
      </c>
      <c r="AH301" s="92">
        <f t="shared" si="319"/>
        <v>6.2908907901358724</v>
      </c>
      <c r="AI301" s="92">
        <f t="shared" si="319"/>
        <v>5.9531772575250885</v>
      </c>
      <c r="AJ301" s="92">
        <f t="shared" si="319"/>
        <v>-5.2088221492257114</v>
      </c>
      <c r="AK301" s="92">
        <f t="shared" si="319"/>
        <v>-8.724191357435263</v>
      </c>
      <c r="AM301" s="112">
        <f>AP301-'Figure 8_data'!H513</f>
        <v>0</v>
      </c>
      <c r="AN301" s="92">
        <f t="shared" ref="AN301:AU301" si="320">(B301/B249-1)*100</f>
        <v>-3.5211267605633756</v>
      </c>
      <c r="AO301" s="92">
        <f t="shared" si="320"/>
        <v>-17.276720351390917</v>
      </c>
      <c r="AP301" s="92">
        <f t="shared" si="320"/>
        <v>-18.911174785100282</v>
      </c>
      <c r="AQ301" s="92">
        <f t="shared" si="320"/>
        <v>-34.911242603550299</v>
      </c>
      <c r="AR301" s="92">
        <f t="shared" si="320"/>
        <v>-34.409937888198762</v>
      </c>
      <c r="AS301" s="92">
        <f t="shared" si="320"/>
        <v>-34.81481481481481</v>
      </c>
      <c r="AT301" s="92">
        <f t="shared" si="320"/>
        <v>-47.9381443298969</v>
      </c>
      <c r="AU301" s="92">
        <f t="shared" si="320"/>
        <v>-43.591979075850041</v>
      </c>
    </row>
    <row r="302" spans="1:47" x14ac:dyDescent="0.3">
      <c r="A302" s="13">
        <f t="shared" si="304"/>
        <v>39693</v>
      </c>
      <c r="B302" s="92">
        <f>TWK!B247</f>
        <v>580</v>
      </c>
      <c r="C302" s="92">
        <f>TWK!C247</f>
        <v>600</v>
      </c>
      <c r="D302" s="92">
        <f>TWK!D247</f>
        <v>595</v>
      </c>
      <c r="E302" s="92">
        <f>TWK!E247</f>
        <v>592</v>
      </c>
      <c r="F302" s="92">
        <f>TWK!F247</f>
        <v>572</v>
      </c>
      <c r="G302" s="92">
        <f>TWK!G247</f>
        <v>572</v>
      </c>
      <c r="H302" s="92">
        <f>TWK!H247</f>
        <v>585</v>
      </c>
      <c r="I302" s="92">
        <f>TWK!I247</f>
        <v>774</v>
      </c>
      <c r="K302" s="92">
        <f t="shared" ref="K302:R302" si="321">AVERAGE(B299:B302)</f>
        <v>531.5</v>
      </c>
      <c r="L302" s="92">
        <f t="shared" si="321"/>
        <v>538.25</v>
      </c>
      <c r="M302" s="92">
        <f t="shared" si="321"/>
        <v>534</v>
      </c>
      <c r="N302" s="92">
        <f t="shared" si="321"/>
        <v>511</v>
      </c>
      <c r="O302" s="92">
        <f t="shared" si="321"/>
        <v>488</v>
      </c>
      <c r="P302" s="92">
        <f t="shared" si="321"/>
        <v>488</v>
      </c>
      <c r="Q302" s="92">
        <f t="shared" si="321"/>
        <v>495.5</v>
      </c>
      <c r="R302" s="92">
        <f t="shared" si="321"/>
        <v>663.5</v>
      </c>
      <c r="T302" s="92">
        <f t="shared" ref="T302:AA302" si="322">(K146+K198+K250)/3</f>
        <v>528.64583333333337</v>
      </c>
      <c r="U302" s="92">
        <f t="shared" si="322"/>
        <v>539.25</v>
      </c>
      <c r="V302" s="92">
        <f t="shared" si="322"/>
        <v>545.25</v>
      </c>
      <c r="W302" s="92">
        <f t="shared" si="322"/>
        <v>592.75</v>
      </c>
      <c r="X302" s="92">
        <f t="shared" si="322"/>
        <v>563.5</v>
      </c>
      <c r="Y302" s="92">
        <f t="shared" si="322"/>
        <v>566.66666666666663</v>
      </c>
      <c r="Z302" s="92">
        <f t="shared" si="322"/>
        <v>607.41666666666663</v>
      </c>
      <c r="AA302" s="92">
        <f t="shared" si="322"/>
        <v>808.42394468704515</v>
      </c>
      <c r="AC302" s="112">
        <f>+AF302-'Figure 8_data'!I514</f>
        <v>0</v>
      </c>
      <c r="AD302" s="92">
        <f t="shared" ref="AD302:AK302" si="323">(B302/T302-1)*100</f>
        <v>9.7142857142856975</v>
      </c>
      <c r="AE302" s="92">
        <f t="shared" si="323"/>
        <v>11.265646731571621</v>
      </c>
      <c r="AF302" s="92">
        <f t="shared" si="323"/>
        <v>9.1242549289316734</v>
      </c>
      <c r="AG302" s="92">
        <f t="shared" si="323"/>
        <v>-0.1265288907633888</v>
      </c>
      <c r="AH302" s="92">
        <f t="shared" si="323"/>
        <v>1.5084294587400127</v>
      </c>
      <c r="AI302" s="92">
        <f t="shared" si="323"/>
        <v>0.94117647058824527</v>
      </c>
      <c r="AJ302" s="92">
        <f t="shared" si="323"/>
        <v>-3.6904925229798269</v>
      </c>
      <c r="AK302" s="92">
        <f t="shared" si="323"/>
        <v>-4.2581550080596937</v>
      </c>
      <c r="AM302" s="112">
        <f>AP302-'Figure 8_data'!H514</f>
        <v>0</v>
      </c>
      <c r="AN302" s="92">
        <f t="shared" ref="AN302:AU302" si="324">(B302/B250-1)*100</f>
        <v>-3.3333333333333326</v>
      </c>
      <c r="AO302" s="92">
        <f t="shared" si="324"/>
        <v>-18.367346938775508</v>
      </c>
      <c r="AP302" s="92">
        <f t="shared" si="324"/>
        <v>-26.543209876543205</v>
      </c>
      <c r="AQ302" s="92">
        <f t="shared" si="324"/>
        <v>-36.344086021505376</v>
      </c>
      <c r="AR302" s="92">
        <f t="shared" si="324"/>
        <v>-35.367231638418083</v>
      </c>
      <c r="AS302" s="92">
        <f t="shared" si="324"/>
        <v>-36.089385474860336</v>
      </c>
      <c r="AT302" s="92">
        <f t="shared" si="324"/>
        <v>-38.421052631578945</v>
      </c>
      <c r="AU302" s="92">
        <f t="shared" si="324"/>
        <v>-39.578454332552695</v>
      </c>
    </row>
    <row r="303" spans="1:47" x14ac:dyDescent="0.3">
      <c r="A303" s="13">
        <f t="shared" ref="A303:A308" si="325">7+A302</f>
        <v>39700</v>
      </c>
      <c r="B303" s="92">
        <f>TWK!B248</f>
        <v>572</v>
      </c>
      <c r="C303" s="92">
        <f>TWK!C248</f>
        <v>584</v>
      </c>
      <c r="D303" s="92">
        <f>TWK!D248</f>
        <v>609</v>
      </c>
      <c r="E303" s="92">
        <f>TWK!E248</f>
        <v>600</v>
      </c>
      <c r="F303" s="92">
        <f>TWK!F248</f>
        <v>599</v>
      </c>
      <c r="G303" s="92">
        <f>TWK!G248</f>
        <v>599</v>
      </c>
      <c r="H303" s="92">
        <f>TWK!H248</f>
        <v>617</v>
      </c>
      <c r="I303" s="92">
        <f>TWK!I248</f>
        <v>846</v>
      </c>
      <c r="K303" s="92">
        <f t="shared" ref="K303:R303" si="326">AVERAGE(B300:B303)</f>
        <v>552.5</v>
      </c>
      <c r="L303" s="92">
        <f t="shared" si="326"/>
        <v>566</v>
      </c>
      <c r="M303" s="92">
        <f t="shared" si="326"/>
        <v>571.25</v>
      </c>
      <c r="N303" s="92">
        <f t="shared" si="326"/>
        <v>564.75</v>
      </c>
      <c r="O303" s="92">
        <f t="shared" si="326"/>
        <v>542.75</v>
      </c>
      <c r="P303" s="92">
        <f t="shared" si="326"/>
        <v>542.75</v>
      </c>
      <c r="Q303" s="92">
        <f t="shared" si="326"/>
        <v>556</v>
      </c>
      <c r="R303" s="92">
        <f t="shared" si="326"/>
        <v>743.75</v>
      </c>
      <c r="T303" s="92">
        <f t="shared" ref="T303:AA303" si="327">(K147+K199+K251)/3</f>
        <v>547.33333333333337</v>
      </c>
      <c r="U303" s="92">
        <f t="shared" si="327"/>
        <v>574.75</v>
      </c>
      <c r="V303" s="92">
        <f t="shared" si="327"/>
        <v>583.16666666666663</v>
      </c>
      <c r="W303" s="92">
        <f t="shared" si="327"/>
        <v>628.33333333333337</v>
      </c>
      <c r="X303" s="92">
        <f t="shared" si="327"/>
        <v>612.25</v>
      </c>
      <c r="Y303" s="92">
        <f t="shared" si="327"/>
        <v>614.33333333333337</v>
      </c>
      <c r="Z303" s="92">
        <f t="shared" si="327"/>
        <v>641.91666666666663</v>
      </c>
      <c r="AA303" s="92">
        <f t="shared" si="327"/>
        <v>843.83333333333337</v>
      </c>
      <c r="AC303" s="112">
        <f>+AF303-'Figure 8_data'!I515</f>
        <v>0</v>
      </c>
      <c r="AD303" s="92">
        <f t="shared" ref="AD303:AK303" si="328">(B303/T303-1)*100</f>
        <v>4.5066991473812434</v>
      </c>
      <c r="AE303" s="92">
        <f t="shared" si="328"/>
        <v>1.6093953892996948</v>
      </c>
      <c r="AF303" s="92">
        <f t="shared" si="328"/>
        <v>4.4298370963132383</v>
      </c>
      <c r="AG303" s="92">
        <f t="shared" si="328"/>
        <v>-4.5092838196286511</v>
      </c>
      <c r="AH303" s="92">
        <f t="shared" si="328"/>
        <v>-2.1641486320947312</v>
      </c>
      <c r="AI303" s="92">
        <f t="shared" si="328"/>
        <v>-2.4959305480195426</v>
      </c>
      <c r="AJ303" s="92">
        <f t="shared" si="328"/>
        <v>-3.8816045696481782</v>
      </c>
      <c r="AK303" s="92">
        <f t="shared" si="328"/>
        <v>0.25676476397391568</v>
      </c>
      <c r="AM303" s="112">
        <f>AP303-'Figure 8_data'!H515</f>
        <v>0</v>
      </c>
      <c r="AN303" s="92">
        <f t="shared" ref="AN303:AU303" si="329">(B303/B251-1)*100</f>
        <v>-1.8867924528301883</v>
      </c>
      <c r="AO303" s="92">
        <f t="shared" si="329"/>
        <v>-10.153846153846157</v>
      </c>
      <c r="AP303" s="92">
        <f t="shared" si="329"/>
        <v>-11.482558139534882</v>
      </c>
      <c r="AQ303" s="92">
        <f t="shared" si="329"/>
        <v>-7.6923076923076872</v>
      </c>
      <c r="AR303" s="92">
        <f t="shared" si="329"/>
        <v>-12.936046511627907</v>
      </c>
      <c r="AS303" s="92">
        <f t="shared" si="329"/>
        <v>-9.653092006033182</v>
      </c>
      <c r="AT303" s="92">
        <f t="shared" si="329"/>
        <v>0.65252854812398731</v>
      </c>
      <c r="AU303" s="92">
        <f t="shared" si="329"/>
        <v>4.3156596794081459</v>
      </c>
    </row>
    <row r="304" spans="1:47" x14ac:dyDescent="0.3">
      <c r="A304" s="13">
        <f t="shared" si="325"/>
        <v>39707</v>
      </c>
      <c r="B304" s="92">
        <f>TWK!B249</f>
        <v>577</v>
      </c>
      <c r="C304" s="92">
        <f>TWK!C249</f>
        <v>603</v>
      </c>
      <c r="D304" s="92">
        <f>TWK!D249</f>
        <v>612</v>
      </c>
      <c r="E304" s="92">
        <f>TWK!E249</f>
        <v>587</v>
      </c>
      <c r="F304" s="92">
        <f>TWK!F249</f>
        <v>640</v>
      </c>
      <c r="G304" s="92">
        <f>TWK!G249</f>
        <v>640</v>
      </c>
      <c r="H304" s="92">
        <f>TWK!H249</f>
        <v>587</v>
      </c>
      <c r="I304" s="92">
        <f>TWK!I249</f>
        <v>804</v>
      </c>
      <c r="K304" s="92">
        <f t="shared" ref="K304:R304" si="330">AVERAGE(B301:B304)</f>
        <v>569.25</v>
      </c>
      <c r="L304" s="92">
        <f t="shared" si="330"/>
        <v>588</v>
      </c>
      <c r="M304" s="92">
        <f t="shared" si="330"/>
        <v>595.5</v>
      </c>
      <c r="N304" s="92">
        <f t="shared" si="330"/>
        <v>582.25</v>
      </c>
      <c r="O304" s="92">
        <f t="shared" si="330"/>
        <v>584.75</v>
      </c>
      <c r="P304" s="92">
        <f t="shared" si="330"/>
        <v>584.75</v>
      </c>
      <c r="Q304" s="92">
        <f t="shared" si="330"/>
        <v>573.5</v>
      </c>
      <c r="R304" s="92">
        <f t="shared" si="330"/>
        <v>767.75</v>
      </c>
      <c r="T304" s="92">
        <f t="shared" ref="T304:AA304" si="331">(K148+K200+K252)/3</f>
        <v>565.83333333333337</v>
      </c>
      <c r="U304" s="92">
        <f t="shared" si="331"/>
        <v>602.33333333333337</v>
      </c>
      <c r="V304" s="92">
        <f t="shared" si="331"/>
        <v>611.75</v>
      </c>
      <c r="W304" s="92">
        <f t="shared" si="331"/>
        <v>632.75</v>
      </c>
      <c r="X304" s="92">
        <f t="shared" si="331"/>
        <v>639.83333333333337</v>
      </c>
      <c r="Y304" s="92">
        <f t="shared" si="331"/>
        <v>641.91666666666663</v>
      </c>
      <c r="Z304" s="92">
        <f t="shared" si="331"/>
        <v>635.91666666666663</v>
      </c>
      <c r="AA304" s="92">
        <f t="shared" si="331"/>
        <v>838.41666666666663</v>
      </c>
      <c r="AC304" s="112">
        <f>+AF304-'Figure 8_data'!I516</f>
        <v>0</v>
      </c>
      <c r="AD304" s="92">
        <f t="shared" ref="AD304:AK304" si="332">(B304/T304-1)*100</f>
        <v>1.9734904270986675</v>
      </c>
      <c r="AE304" s="92">
        <f t="shared" si="332"/>
        <v>0.11068068622024363</v>
      </c>
      <c r="AF304" s="92">
        <f t="shared" si="332"/>
        <v>4.08663669799747E-2</v>
      </c>
      <c r="AG304" s="92">
        <f t="shared" si="332"/>
        <v>-7.2303437376530999</v>
      </c>
      <c r="AH304" s="92">
        <f t="shared" si="332"/>
        <v>2.6048450117222011E-2</v>
      </c>
      <c r="AI304" s="92">
        <f t="shared" si="332"/>
        <v>-0.29858496689600944</v>
      </c>
      <c r="AJ304" s="92">
        <f t="shared" si="332"/>
        <v>-7.6923076923076872</v>
      </c>
      <c r="AK304" s="92">
        <f t="shared" si="332"/>
        <v>-4.1049597455521276</v>
      </c>
      <c r="AM304" s="112">
        <f>AP304-'Figure 8_data'!H516</f>
        <v>0</v>
      </c>
      <c r="AN304" s="92">
        <f t="shared" ref="AN304:AU304" si="333">(B304/B252-1)*100</f>
        <v>-15.147058823529413</v>
      </c>
      <c r="AO304" s="92">
        <f t="shared" si="333"/>
        <v>-16.597510373443981</v>
      </c>
      <c r="AP304" s="92">
        <f t="shared" si="333"/>
        <v>-17.962466487935657</v>
      </c>
      <c r="AQ304" s="92">
        <f t="shared" si="333"/>
        <v>-12.908011869436198</v>
      </c>
      <c r="AR304" s="92">
        <f t="shared" si="333"/>
        <v>-16.990920881971462</v>
      </c>
      <c r="AS304" s="92">
        <f t="shared" si="333"/>
        <v>-17.205692108667524</v>
      </c>
      <c r="AT304" s="92">
        <f t="shared" si="333"/>
        <v>-4.5528455284552845</v>
      </c>
      <c r="AU304" s="92">
        <f t="shared" si="333"/>
        <v>0.62578222778473247</v>
      </c>
    </row>
    <row r="305" spans="1:47" x14ac:dyDescent="0.3">
      <c r="A305" s="13">
        <f t="shared" si="325"/>
        <v>39714</v>
      </c>
      <c r="B305" s="92">
        <f>TWK!B250</f>
        <v>570</v>
      </c>
      <c r="C305" s="92">
        <f>TWK!C250</f>
        <v>591</v>
      </c>
      <c r="D305" s="92">
        <f>TWK!D250</f>
        <v>596</v>
      </c>
      <c r="E305" s="92">
        <f>TWK!E250</f>
        <v>635</v>
      </c>
      <c r="F305" s="92">
        <f>TWK!F250</f>
        <v>742</v>
      </c>
      <c r="G305" s="92">
        <f>TWK!G250</f>
        <v>745</v>
      </c>
      <c r="H305" s="92">
        <f>TWK!H250</f>
        <v>654</v>
      </c>
      <c r="I305" s="92">
        <f>TWK!I250</f>
        <v>860</v>
      </c>
      <c r="K305" s="92">
        <f t="shared" ref="K305:R305" si="334">AVERAGE(B302:B305)</f>
        <v>574.75</v>
      </c>
      <c r="L305" s="92">
        <f t="shared" si="334"/>
        <v>594.5</v>
      </c>
      <c r="M305" s="92">
        <f t="shared" si="334"/>
        <v>603</v>
      </c>
      <c r="N305" s="92">
        <f t="shared" si="334"/>
        <v>603.5</v>
      </c>
      <c r="O305" s="92">
        <f t="shared" si="334"/>
        <v>638.25</v>
      </c>
      <c r="P305" s="92">
        <f t="shared" si="334"/>
        <v>639</v>
      </c>
      <c r="Q305" s="92">
        <f t="shared" si="334"/>
        <v>610.75</v>
      </c>
      <c r="R305" s="92">
        <f t="shared" si="334"/>
        <v>821</v>
      </c>
      <c r="T305" s="92">
        <f t="shared" ref="T305:AA305" si="335">(K149+K201+K253)/3</f>
        <v>576.16666666666663</v>
      </c>
      <c r="U305" s="92">
        <f t="shared" si="335"/>
        <v>607.33333333333337</v>
      </c>
      <c r="V305" s="92">
        <f t="shared" si="335"/>
        <v>620.08333333333337</v>
      </c>
      <c r="W305" s="92">
        <f t="shared" si="335"/>
        <v>615.66666666666663</v>
      </c>
      <c r="X305" s="92">
        <f t="shared" si="335"/>
        <v>635.5</v>
      </c>
      <c r="Y305" s="92">
        <f t="shared" si="335"/>
        <v>638.08333333333337</v>
      </c>
      <c r="Z305" s="92">
        <f t="shared" si="335"/>
        <v>601.58333333333337</v>
      </c>
      <c r="AA305" s="92">
        <f t="shared" si="335"/>
        <v>797.5</v>
      </c>
      <c r="AC305" s="112">
        <f>+AF305-'Figure 8_data'!I517</f>
        <v>0</v>
      </c>
      <c r="AD305" s="92">
        <f t="shared" ref="AD305:AK305" si="336">(B305/T305-1)*100</f>
        <v>-1.0702921608330862</v>
      </c>
      <c r="AE305" s="92">
        <f t="shared" si="336"/>
        <v>-2.6893523600439173</v>
      </c>
      <c r="AF305" s="92">
        <f t="shared" si="336"/>
        <v>-3.8838865743851647</v>
      </c>
      <c r="AG305" s="92">
        <f t="shared" si="336"/>
        <v>3.1402273957769511</v>
      </c>
      <c r="AH305" s="92">
        <f t="shared" si="336"/>
        <v>16.758457907159709</v>
      </c>
      <c r="AI305" s="92">
        <f t="shared" si="336"/>
        <v>16.755909625179566</v>
      </c>
      <c r="AJ305" s="92">
        <f t="shared" si="336"/>
        <v>8.7131181604100263</v>
      </c>
      <c r="AK305" s="92">
        <f t="shared" si="336"/>
        <v>7.8369905956112929</v>
      </c>
      <c r="AM305" s="112">
        <f>AP305-'Figure 8_data'!H517</f>
        <v>0</v>
      </c>
      <c r="AN305" s="92">
        <f t="shared" ref="AN305:AU305" si="337">(B305/B253-1)*100</f>
        <v>-12.307692307692308</v>
      </c>
      <c r="AO305" s="92">
        <f t="shared" si="337"/>
        <v>-9.9085365853658569</v>
      </c>
      <c r="AP305" s="92">
        <f t="shared" si="337"/>
        <v>-8.7289433384379773</v>
      </c>
      <c r="AQ305" s="92">
        <f t="shared" si="337"/>
        <v>12.788632326820615</v>
      </c>
      <c r="AR305" s="92">
        <f t="shared" si="337"/>
        <v>14.860681114551078</v>
      </c>
      <c r="AS305" s="92">
        <f t="shared" si="337"/>
        <v>14.791987673343598</v>
      </c>
      <c r="AT305" s="92">
        <f t="shared" si="337"/>
        <v>24.571428571428577</v>
      </c>
      <c r="AU305" s="92">
        <f t="shared" si="337"/>
        <v>30.898021308980205</v>
      </c>
    </row>
    <row r="306" spans="1:47" x14ac:dyDescent="0.3">
      <c r="A306" s="13">
        <f t="shared" si="325"/>
        <v>39721</v>
      </c>
      <c r="B306" s="92">
        <f>TWK!B251</f>
        <v>558</v>
      </c>
      <c r="C306" s="92">
        <f>TWK!C251</f>
        <v>596</v>
      </c>
      <c r="D306" s="92">
        <f>TWK!D251</f>
        <v>625</v>
      </c>
      <c r="E306" s="92">
        <f>TWK!E251</f>
        <v>665</v>
      </c>
      <c r="F306" s="92">
        <f>TWK!F251</f>
        <v>745</v>
      </c>
      <c r="G306" s="92">
        <f>TWK!G251</f>
        <v>745</v>
      </c>
      <c r="H306" s="92">
        <f>TWK!H251</f>
        <v>680</v>
      </c>
      <c r="I306" s="92">
        <f>TWK!I251</f>
        <v>853</v>
      </c>
      <c r="K306" s="92">
        <f t="shared" ref="K306:R306" si="338">AVERAGE(B303:B306)</f>
        <v>569.25</v>
      </c>
      <c r="L306" s="92">
        <f t="shared" si="338"/>
        <v>593.5</v>
      </c>
      <c r="M306" s="92">
        <f t="shared" si="338"/>
        <v>610.5</v>
      </c>
      <c r="N306" s="92">
        <f t="shared" si="338"/>
        <v>621.75</v>
      </c>
      <c r="O306" s="92">
        <f t="shared" si="338"/>
        <v>681.5</v>
      </c>
      <c r="P306" s="92">
        <f t="shared" si="338"/>
        <v>682.25</v>
      </c>
      <c r="Q306" s="92">
        <f t="shared" si="338"/>
        <v>634.5</v>
      </c>
      <c r="R306" s="92">
        <f t="shared" si="338"/>
        <v>840.75</v>
      </c>
      <c r="T306" s="92">
        <f t="shared" ref="T306:AA306" si="339">(K150+K202+K254)/3</f>
        <v>593.41666666666663</v>
      </c>
      <c r="U306" s="92">
        <f t="shared" si="339"/>
        <v>621.16666666666663</v>
      </c>
      <c r="V306" s="92">
        <f t="shared" si="339"/>
        <v>630.25</v>
      </c>
      <c r="W306" s="92">
        <f t="shared" si="339"/>
        <v>599.66666666666663</v>
      </c>
      <c r="X306" s="92">
        <f t="shared" si="339"/>
        <v>638.91666666666663</v>
      </c>
      <c r="Y306" s="92">
        <f t="shared" si="339"/>
        <v>642.58333333333337</v>
      </c>
      <c r="Z306" s="92">
        <f t="shared" si="339"/>
        <v>579.25</v>
      </c>
      <c r="AA306" s="92">
        <f t="shared" si="339"/>
        <v>767.83333333333337</v>
      </c>
      <c r="AC306" s="112">
        <f>+AF306-'Figure 8_data'!I518</f>
        <v>0</v>
      </c>
      <c r="AD306" s="92">
        <f t="shared" ref="AD306:AK306" si="340">(B306/T306-1)*100</f>
        <v>-5.9682628844263341</v>
      </c>
      <c r="AE306" s="92">
        <f t="shared" si="340"/>
        <v>-4.0515159645827641</v>
      </c>
      <c r="AF306" s="92">
        <f t="shared" si="340"/>
        <v>-0.83300277667591738</v>
      </c>
      <c r="AG306" s="92">
        <f t="shared" si="340"/>
        <v>10.894941634241251</v>
      </c>
      <c r="AH306" s="92">
        <f t="shared" si="340"/>
        <v>16.60362592930742</v>
      </c>
      <c r="AI306" s="92">
        <f t="shared" si="340"/>
        <v>15.938270003890542</v>
      </c>
      <c r="AJ306" s="92">
        <f t="shared" si="340"/>
        <v>17.393180837289602</v>
      </c>
      <c r="AK306" s="92">
        <f t="shared" si="340"/>
        <v>11.091816800520938</v>
      </c>
      <c r="AM306" s="112">
        <f>AP306-'Figure 8_data'!H518</f>
        <v>0</v>
      </c>
      <c r="AN306" s="92">
        <f t="shared" ref="AN306:AU306" si="341">(B306/B254-1)*100</f>
        <v>-14.939024390243905</v>
      </c>
      <c r="AO306" s="92">
        <f t="shared" si="341"/>
        <v>-12.223858615611194</v>
      </c>
      <c r="AP306" s="92">
        <f t="shared" si="341"/>
        <v>-6.8554396423248898</v>
      </c>
      <c r="AQ306" s="92">
        <f t="shared" si="341"/>
        <v>25.471698113207552</v>
      </c>
      <c r="AR306" s="92">
        <f t="shared" si="341"/>
        <v>22.937293729372943</v>
      </c>
      <c r="AS306" s="92">
        <f t="shared" si="341"/>
        <v>22.734761120263602</v>
      </c>
      <c r="AT306" s="92">
        <f t="shared" si="341"/>
        <v>29.523809523809529</v>
      </c>
      <c r="AU306" s="92">
        <f t="shared" si="341"/>
        <v>23.444283646888575</v>
      </c>
    </row>
    <row r="307" spans="1:47" x14ac:dyDescent="0.3">
      <c r="A307" s="13">
        <f t="shared" si="325"/>
        <v>39728</v>
      </c>
      <c r="B307" s="92">
        <f>TWK!B252</f>
        <v>650</v>
      </c>
      <c r="C307" s="92">
        <f>TWK!C252</f>
        <v>690.33333333333337</v>
      </c>
      <c r="D307" s="92">
        <f>TWK!D252</f>
        <v>750</v>
      </c>
      <c r="E307" s="92">
        <f>TWK!E252</f>
        <v>825</v>
      </c>
      <c r="F307" s="92">
        <f>TWK!F252</f>
        <v>937.5</v>
      </c>
      <c r="G307" s="92">
        <f>TWK!G252</f>
        <v>937.5</v>
      </c>
      <c r="H307" s="92">
        <f>TWK!H252</f>
        <v>1108.3333333333333</v>
      </c>
      <c r="I307" s="92">
        <f>TWK!I252</f>
        <v>1422.5254730713248</v>
      </c>
      <c r="K307" s="92">
        <f t="shared" ref="K307:R307" si="342">AVERAGE(B304:B307)</f>
        <v>588.75</v>
      </c>
      <c r="L307" s="92">
        <f t="shared" si="342"/>
        <v>620.08333333333337</v>
      </c>
      <c r="M307" s="92">
        <f t="shared" si="342"/>
        <v>645.75</v>
      </c>
      <c r="N307" s="92">
        <f t="shared" si="342"/>
        <v>678</v>
      </c>
      <c r="O307" s="92">
        <f t="shared" si="342"/>
        <v>766.125</v>
      </c>
      <c r="P307" s="92">
        <f t="shared" si="342"/>
        <v>766.875</v>
      </c>
      <c r="Q307" s="92">
        <f t="shared" si="342"/>
        <v>757.33333333333326</v>
      </c>
      <c r="R307" s="92">
        <f t="shared" si="342"/>
        <v>984.88136826783125</v>
      </c>
      <c r="T307" s="92">
        <f t="shared" ref="T307:AA307" si="343">(K151+K203+K255)/3</f>
        <v>611.5</v>
      </c>
      <c r="U307" s="92">
        <f t="shared" si="343"/>
        <v>638.27777777777783</v>
      </c>
      <c r="V307" s="92">
        <f t="shared" si="343"/>
        <v>644.25</v>
      </c>
      <c r="W307" s="92">
        <f t="shared" si="343"/>
        <v>618</v>
      </c>
      <c r="X307" s="92">
        <f t="shared" si="343"/>
        <v>655.66666666666663</v>
      </c>
      <c r="Y307" s="92">
        <f t="shared" si="343"/>
        <v>662.16666666666663</v>
      </c>
      <c r="Z307" s="92">
        <f t="shared" si="343"/>
        <v>587.08333333333337</v>
      </c>
      <c r="AA307" s="92">
        <f t="shared" si="343"/>
        <v>778.38148956817076</v>
      </c>
      <c r="AC307" s="112">
        <f>+AF307-'Figure 8_data'!I519</f>
        <v>0</v>
      </c>
      <c r="AD307" s="92">
        <f t="shared" ref="AD307:AK307" si="344">(B307/T307-1)*100</f>
        <v>6.2959934587081046</v>
      </c>
      <c r="AE307" s="92">
        <f t="shared" si="344"/>
        <v>8.1556271215945664</v>
      </c>
      <c r="AF307" s="92">
        <f t="shared" si="344"/>
        <v>16.41443538998837</v>
      </c>
      <c r="AG307" s="92">
        <f t="shared" si="344"/>
        <v>33.49514563106797</v>
      </c>
      <c r="AH307" s="92">
        <f t="shared" si="344"/>
        <v>42.984239959328939</v>
      </c>
      <c r="AI307" s="92">
        <f t="shared" si="344"/>
        <v>41.58066951925499</v>
      </c>
      <c r="AJ307" s="92">
        <f t="shared" si="344"/>
        <v>88.786373314407356</v>
      </c>
      <c r="AK307" s="92">
        <f t="shared" si="344"/>
        <v>82.75427822166111</v>
      </c>
      <c r="AM307" s="112">
        <f>AP307-'Figure 8_data'!H519</f>
        <v>0</v>
      </c>
      <c r="AN307" s="92">
        <f t="shared" ref="AN307:AU307" si="345">(B307/B255-1)*100</f>
        <v>3.833865814696491</v>
      </c>
      <c r="AO307" s="92">
        <f t="shared" si="345"/>
        <v>8.1462140992167207</v>
      </c>
      <c r="AP307" s="92">
        <f t="shared" si="345"/>
        <v>17.1875</v>
      </c>
      <c r="AQ307" s="92">
        <f t="shared" si="345"/>
        <v>42.98093587521663</v>
      </c>
      <c r="AR307" s="92">
        <f t="shared" si="345"/>
        <v>37.867647058823529</v>
      </c>
      <c r="AS307" s="92">
        <f t="shared" si="345"/>
        <v>37.867647058823529</v>
      </c>
      <c r="AT307" s="92">
        <f t="shared" si="345"/>
        <v>95.129107981220656</v>
      </c>
      <c r="AU307" s="92">
        <f t="shared" si="345"/>
        <v>89.776875873854294</v>
      </c>
    </row>
    <row r="308" spans="1:47" x14ac:dyDescent="0.3">
      <c r="A308" s="13">
        <f t="shared" si="325"/>
        <v>39735</v>
      </c>
      <c r="B308" s="92">
        <f>TWK!B253</f>
        <v>610</v>
      </c>
      <c r="C308" s="92">
        <f>TWK!C253</f>
        <v>632</v>
      </c>
      <c r="D308" s="92">
        <f>TWK!D253</f>
        <v>660</v>
      </c>
      <c r="E308" s="92">
        <f>TWK!E253</f>
        <v>720</v>
      </c>
      <c r="F308" s="92">
        <f>TWK!F253</f>
        <v>872</v>
      </c>
      <c r="G308" s="92">
        <f>TWK!G253</f>
        <v>880</v>
      </c>
      <c r="H308" s="92">
        <f>TWK!H253</f>
        <v>900</v>
      </c>
      <c r="I308" s="92">
        <f>TWK!I253</f>
        <v>1075</v>
      </c>
      <c r="K308" s="92">
        <f t="shared" ref="K308:R308" si="346">AVERAGE(B305:B308)</f>
        <v>597</v>
      </c>
      <c r="L308" s="92">
        <f t="shared" si="346"/>
        <v>627.33333333333337</v>
      </c>
      <c r="M308" s="92">
        <f t="shared" si="346"/>
        <v>657.75</v>
      </c>
      <c r="N308" s="92">
        <f t="shared" si="346"/>
        <v>711.25</v>
      </c>
      <c r="O308" s="92">
        <f t="shared" si="346"/>
        <v>824.125</v>
      </c>
      <c r="P308" s="92">
        <f t="shared" si="346"/>
        <v>826.875</v>
      </c>
      <c r="Q308" s="92">
        <f t="shared" si="346"/>
        <v>835.58333333333326</v>
      </c>
      <c r="R308" s="92">
        <f t="shared" si="346"/>
        <v>1052.6313682678312</v>
      </c>
      <c r="T308" s="92">
        <f t="shared" ref="T308:AA308" si="347">(K152+K204+K256)/3</f>
        <v>610.16666666666663</v>
      </c>
      <c r="U308" s="92">
        <f t="shared" si="347"/>
        <v>636.77777777777783</v>
      </c>
      <c r="V308" s="92">
        <f t="shared" si="347"/>
        <v>636.41666666666663</v>
      </c>
      <c r="W308" s="92">
        <f t="shared" si="347"/>
        <v>611.33333333333337</v>
      </c>
      <c r="X308" s="92">
        <f t="shared" si="347"/>
        <v>648.08333333333337</v>
      </c>
      <c r="Y308" s="92">
        <f t="shared" si="347"/>
        <v>654.5</v>
      </c>
      <c r="Z308" s="92">
        <f t="shared" si="347"/>
        <v>571</v>
      </c>
      <c r="AA308" s="92">
        <f t="shared" si="347"/>
        <v>755.96482290150414</v>
      </c>
      <c r="AC308" s="112">
        <f>+AF308-'Figure 8_data'!I520</f>
        <v>0</v>
      </c>
      <c r="AD308" s="92">
        <f t="shared" ref="AD308:AK308" si="348">(B308/T308-1)*100</f>
        <v>-2.7314941272871263E-2</v>
      </c>
      <c r="AE308" s="92">
        <f t="shared" si="348"/>
        <v>-0.7503053568312712</v>
      </c>
      <c r="AF308" s="92">
        <f t="shared" si="348"/>
        <v>3.7056435773209495</v>
      </c>
      <c r="AG308" s="92">
        <f t="shared" si="348"/>
        <v>17.775354416575784</v>
      </c>
      <c r="AH308" s="92">
        <f t="shared" si="348"/>
        <v>34.550597916934535</v>
      </c>
      <c r="AI308" s="92">
        <f t="shared" si="348"/>
        <v>34.453781512605055</v>
      </c>
      <c r="AJ308" s="92">
        <f t="shared" si="348"/>
        <v>57.618213660245175</v>
      </c>
      <c r="AK308" s="92">
        <f t="shared" si="348"/>
        <v>42.202383951410852</v>
      </c>
      <c r="AM308" s="112">
        <f>AP308-'Figure 8_data'!H520</f>
        <v>0</v>
      </c>
      <c r="AN308" s="92">
        <f t="shared" ref="AN308:AU308" si="349">(B308/B256-1)*100</f>
        <v>17.307692307692314</v>
      </c>
      <c r="AO308" s="92">
        <f t="shared" si="349"/>
        <v>20.152091254752857</v>
      </c>
      <c r="AP308" s="92">
        <f t="shared" si="349"/>
        <v>25.475285171102669</v>
      </c>
      <c r="AQ308" s="92">
        <f t="shared" si="349"/>
        <v>68.224299065420553</v>
      </c>
      <c r="AR308" s="92">
        <f t="shared" si="349"/>
        <v>73.359840954274347</v>
      </c>
      <c r="AS308" s="92">
        <f t="shared" si="349"/>
        <v>74.950298210735582</v>
      </c>
      <c r="AT308" s="92">
        <f t="shared" si="349"/>
        <v>138.72679045092841</v>
      </c>
      <c r="AU308" s="92">
        <f t="shared" si="349"/>
        <v>112.45059288537549</v>
      </c>
    </row>
    <row r="309" spans="1:47" x14ac:dyDescent="0.3">
      <c r="A309" s="13">
        <f t="shared" ref="A309:A314" si="350">7+A308</f>
        <v>39742</v>
      </c>
      <c r="B309" s="92">
        <f>TWK!B254</f>
        <v>550</v>
      </c>
      <c r="C309" s="92">
        <f>TWK!C254</f>
        <v>566</v>
      </c>
      <c r="D309" s="92">
        <f>TWK!D254</f>
        <v>571</v>
      </c>
      <c r="E309" s="92">
        <f>TWK!E254</f>
        <v>581</v>
      </c>
      <c r="F309" s="92">
        <f>TWK!F254</f>
        <v>759</v>
      </c>
      <c r="G309" s="92">
        <f>TWK!G254</f>
        <v>759</v>
      </c>
      <c r="H309" s="92">
        <f>TWK!H254</f>
        <v>683</v>
      </c>
      <c r="I309" s="92">
        <f>TWK!I254</f>
        <v>908</v>
      </c>
      <c r="K309" s="92">
        <f t="shared" ref="K309:R309" si="351">AVERAGE(B306:B309)</f>
        <v>592</v>
      </c>
      <c r="L309" s="92">
        <f t="shared" si="351"/>
        <v>621.08333333333337</v>
      </c>
      <c r="M309" s="92">
        <f t="shared" si="351"/>
        <v>651.5</v>
      </c>
      <c r="N309" s="92">
        <f t="shared" si="351"/>
        <v>697.75</v>
      </c>
      <c r="O309" s="92">
        <f t="shared" si="351"/>
        <v>828.375</v>
      </c>
      <c r="P309" s="92">
        <f t="shared" si="351"/>
        <v>830.375</v>
      </c>
      <c r="Q309" s="92">
        <f t="shared" si="351"/>
        <v>842.83333333333326</v>
      </c>
      <c r="R309" s="92">
        <f t="shared" si="351"/>
        <v>1064.6313682678312</v>
      </c>
      <c r="T309" s="92">
        <f t="shared" ref="T309:AA309" si="352">(K153+K205+K257)/3</f>
        <v>603.66666666666663</v>
      </c>
      <c r="U309" s="92">
        <f t="shared" si="352"/>
        <v>622.3611111111112</v>
      </c>
      <c r="V309" s="92">
        <f t="shared" si="352"/>
        <v>611.6111111111112</v>
      </c>
      <c r="W309" s="92">
        <f t="shared" si="352"/>
        <v>569.75</v>
      </c>
      <c r="X309" s="92">
        <f t="shared" si="352"/>
        <v>611.7361111111112</v>
      </c>
      <c r="Y309" s="92">
        <f t="shared" si="352"/>
        <v>617.7361111111112</v>
      </c>
      <c r="Z309" s="92">
        <f t="shared" si="352"/>
        <v>529</v>
      </c>
      <c r="AA309" s="92">
        <f t="shared" si="352"/>
        <v>714.60140708393976</v>
      </c>
      <c r="AC309" s="112">
        <f>+AF309-'Figure 8_data'!I521</f>
        <v>0</v>
      </c>
      <c r="AD309" s="92">
        <f t="shared" ref="AD309:AK309" si="353">(B309/T309-1)*100</f>
        <v>-8.8901159580342277</v>
      </c>
      <c r="AE309" s="92">
        <f t="shared" si="353"/>
        <v>-9.0560142825262364</v>
      </c>
      <c r="AF309" s="92">
        <f t="shared" si="353"/>
        <v>-6.6400218003451865</v>
      </c>
      <c r="AG309" s="92">
        <f t="shared" si="353"/>
        <v>1.9745502413339278</v>
      </c>
      <c r="AH309" s="92">
        <f t="shared" si="353"/>
        <v>24.073107049608346</v>
      </c>
      <c r="AI309" s="92">
        <f t="shared" si="353"/>
        <v>22.867999190592879</v>
      </c>
      <c r="AJ309" s="92">
        <f t="shared" si="353"/>
        <v>29.111531190926264</v>
      </c>
      <c r="AK309" s="92">
        <f t="shared" si="353"/>
        <v>27.063841604406868</v>
      </c>
      <c r="AM309" s="112">
        <f>AP309-'Figure 8_data'!H521</f>
        <v>0</v>
      </c>
      <c r="AN309" s="92">
        <f t="shared" ref="AN309:AU309" si="354">(B309/B257-1)*100</f>
        <v>8.6956521739130377</v>
      </c>
      <c r="AO309" s="92">
        <f t="shared" si="354"/>
        <v>9.9029126213592278</v>
      </c>
      <c r="AP309" s="92">
        <f t="shared" si="354"/>
        <v>7.0624999999999938</v>
      </c>
      <c r="AQ309" s="92">
        <f t="shared" si="354"/>
        <v>47.088607594936718</v>
      </c>
      <c r="AR309" s="92">
        <f t="shared" si="354"/>
        <v>57.850953206239161</v>
      </c>
      <c r="AS309" s="92">
        <f t="shared" si="354"/>
        <v>57.850953206239161</v>
      </c>
      <c r="AT309" s="92">
        <f t="shared" si="354"/>
        <v>89.722222222222214</v>
      </c>
      <c r="AU309" s="92">
        <f t="shared" si="354"/>
        <v>85.822249363261307</v>
      </c>
    </row>
    <row r="310" spans="1:47" x14ac:dyDescent="0.3">
      <c r="A310" s="13">
        <f t="shared" si="350"/>
        <v>39749</v>
      </c>
      <c r="B310" s="92">
        <f>TWK!B255</f>
        <v>533</v>
      </c>
      <c r="C310" s="92">
        <f>TWK!C255</f>
        <v>570</v>
      </c>
      <c r="D310" s="92">
        <f>TWK!D255</f>
        <v>694</v>
      </c>
      <c r="E310" s="92">
        <f>TWK!E255</f>
        <v>756</v>
      </c>
      <c r="F310" s="92">
        <f>TWK!F255</f>
        <v>731</v>
      </c>
      <c r="G310" s="92">
        <f>TWK!G255</f>
        <v>731</v>
      </c>
      <c r="H310" s="92">
        <f>TWK!H255</f>
        <v>669</v>
      </c>
      <c r="I310" s="92">
        <f>TWK!I255</f>
        <v>839</v>
      </c>
      <c r="K310" s="92">
        <f t="shared" ref="K310:R310" si="355">AVERAGE(B307:B310)</f>
        <v>585.75</v>
      </c>
      <c r="L310" s="92">
        <f t="shared" si="355"/>
        <v>614.58333333333337</v>
      </c>
      <c r="M310" s="92">
        <f t="shared" si="355"/>
        <v>668.75</v>
      </c>
      <c r="N310" s="92">
        <f t="shared" si="355"/>
        <v>720.5</v>
      </c>
      <c r="O310" s="92">
        <f t="shared" si="355"/>
        <v>824.875</v>
      </c>
      <c r="P310" s="92">
        <f t="shared" si="355"/>
        <v>826.875</v>
      </c>
      <c r="Q310" s="92">
        <f t="shared" si="355"/>
        <v>840.08333333333326</v>
      </c>
      <c r="R310" s="92">
        <f t="shared" si="355"/>
        <v>1061.1313682678312</v>
      </c>
      <c r="T310" s="92">
        <f t="shared" ref="T310:AA310" si="356">(K154+K206+K258)/3</f>
        <v>590.08333333333337</v>
      </c>
      <c r="U310" s="92">
        <f t="shared" si="356"/>
        <v>587.3611111111112</v>
      </c>
      <c r="V310" s="92">
        <f t="shared" si="356"/>
        <v>564.77777777777783</v>
      </c>
      <c r="W310" s="92">
        <f t="shared" si="356"/>
        <v>505.25</v>
      </c>
      <c r="X310" s="92">
        <f t="shared" si="356"/>
        <v>539.65277777777771</v>
      </c>
      <c r="Y310" s="92">
        <f t="shared" si="356"/>
        <v>542.65277777777771</v>
      </c>
      <c r="Z310" s="92">
        <f t="shared" si="356"/>
        <v>454.5</v>
      </c>
      <c r="AA310" s="92">
        <f t="shared" si="356"/>
        <v>615.68474041727313</v>
      </c>
      <c r="AC310" s="112">
        <f>+AF310-'Figure 8_data'!I522</f>
        <v>0</v>
      </c>
      <c r="AD310" s="92">
        <f t="shared" ref="AD310:AK310" si="357">(B310/T310-1)*100</f>
        <v>-9.6737748905521883</v>
      </c>
      <c r="AE310" s="92">
        <f t="shared" si="357"/>
        <v>-2.9557815086308947</v>
      </c>
      <c r="AF310" s="92">
        <f t="shared" si="357"/>
        <v>22.880188864843575</v>
      </c>
      <c r="AG310" s="92">
        <f t="shared" si="357"/>
        <v>49.628896585848594</v>
      </c>
      <c r="AH310" s="92">
        <f t="shared" si="357"/>
        <v>35.457470081070653</v>
      </c>
      <c r="AI310" s="92">
        <f t="shared" si="357"/>
        <v>34.708607407028239</v>
      </c>
      <c r="AJ310" s="92">
        <f t="shared" si="357"/>
        <v>47.194719471947202</v>
      </c>
      <c r="AK310" s="92">
        <f t="shared" si="357"/>
        <v>36.271040180625171</v>
      </c>
      <c r="AM310" s="112">
        <f>AP310-'Figure 8_data'!H522</f>
        <v>0</v>
      </c>
      <c r="AN310" s="92">
        <f t="shared" ref="AN310:AU310" si="358">(B310/B258-1)*100</f>
        <v>-3.0909090909090886</v>
      </c>
      <c r="AO310" s="92">
        <f t="shared" si="358"/>
        <v>11.984282907662092</v>
      </c>
      <c r="AP310" s="92">
        <f t="shared" si="358"/>
        <v>52.192982456140349</v>
      </c>
      <c r="AQ310" s="92">
        <f t="shared" si="358"/>
        <v>143.87096774193546</v>
      </c>
      <c r="AR310" s="92">
        <f t="shared" si="358"/>
        <v>103.05555555555554</v>
      </c>
      <c r="AS310" s="92">
        <f t="shared" si="358"/>
        <v>103.05555555555554</v>
      </c>
      <c r="AT310" s="92">
        <f t="shared" si="358"/>
        <v>129.89690721649484</v>
      </c>
      <c r="AU310" s="92">
        <f t="shared" si="358"/>
        <v>108.18858560794044</v>
      </c>
    </row>
    <row r="311" spans="1:47" x14ac:dyDescent="0.3">
      <c r="A311" s="13">
        <f t="shared" si="350"/>
        <v>39756</v>
      </c>
      <c r="B311" s="92">
        <f>TWK!B256</f>
        <v>692</v>
      </c>
      <c r="C311" s="92">
        <f>TWK!C256</f>
        <v>831</v>
      </c>
      <c r="D311" s="92">
        <f>TWK!D256</f>
        <v>1050</v>
      </c>
      <c r="E311" s="92">
        <f>TWK!E256</f>
        <v>1150</v>
      </c>
      <c r="F311" s="92">
        <f>TWK!F256</f>
        <v>850</v>
      </c>
      <c r="G311" s="92">
        <f>TWK!G256</f>
        <v>850</v>
      </c>
      <c r="H311" s="92">
        <f>TWK!H256</f>
        <v>1013</v>
      </c>
      <c r="I311" s="92">
        <f>TWK!I256</f>
        <v>1200</v>
      </c>
      <c r="K311" s="92">
        <f t="shared" ref="K311:R311" si="359">AVERAGE(B308:B311)</f>
        <v>596.25</v>
      </c>
      <c r="L311" s="92">
        <f t="shared" si="359"/>
        <v>649.75</v>
      </c>
      <c r="M311" s="92">
        <f t="shared" si="359"/>
        <v>743.75</v>
      </c>
      <c r="N311" s="92">
        <f t="shared" si="359"/>
        <v>801.75</v>
      </c>
      <c r="O311" s="92">
        <f t="shared" si="359"/>
        <v>803</v>
      </c>
      <c r="P311" s="92">
        <f t="shared" si="359"/>
        <v>805</v>
      </c>
      <c r="Q311" s="92">
        <f t="shared" si="359"/>
        <v>816.25</v>
      </c>
      <c r="R311" s="92">
        <f t="shared" si="359"/>
        <v>1005.5</v>
      </c>
      <c r="T311" s="92">
        <f t="shared" ref="T311:AA311" si="360">(K155+K207+K259)/3</f>
        <v>548.80555555555554</v>
      </c>
      <c r="U311" s="92">
        <f t="shared" si="360"/>
        <v>521.875</v>
      </c>
      <c r="V311" s="92">
        <f t="shared" si="360"/>
        <v>497.73611111111114</v>
      </c>
      <c r="W311" s="92">
        <f t="shared" si="360"/>
        <v>415.89583333333331</v>
      </c>
      <c r="X311" s="92">
        <f t="shared" si="360"/>
        <v>457.0694444444444</v>
      </c>
      <c r="Y311" s="92">
        <f t="shared" si="360"/>
        <v>457.34027777777777</v>
      </c>
      <c r="Z311" s="92">
        <f t="shared" si="360"/>
        <v>364.375</v>
      </c>
      <c r="AA311" s="92">
        <f t="shared" si="360"/>
        <v>497.89240659873849</v>
      </c>
      <c r="AC311" s="112">
        <f>+AF311-'Figure 8_data'!I523</f>
        <v>0</v>
      </c>
      <c r="AD311" s="92">
        <f t="shared" ref="AD311:AK311" si="361">(B311/T311-1)*100</f>
        <v>26.092018018929998</v>
      </c>
      <c r="AE311" s="92">
        <f t="shared" si="361"/>
        <v>59.233532934131738</v>
      </c>
      <c r="AF311" s="92">
        <f t="shared" si="361"/>
        <v>110.95515807684792</v>
      </c>
      <c r="AG311" s="92">
        <f t="shared" si="361"/>
        <v>176.51154636076743</v>
      </c>
      <c r="AH311" s="92">
        <f t="shared" si="361"/>
        <v>85.967364550730821</v>
      </c>
      <c r="AI311" s="92">
        <f t="shared" si="361"/>
        <v>85.857236132833265</v>
      </c>
      <c r="AJ311" s="92">
        <f t="shared" si="361"/>
        <v>178.01029159519723</v>
      </c>
      <c r="AK311" s="92">
        <f t="shared" si="361"/>
        <v>141.01592715534306</v>
      </c>
      <c r="AM311" s="112">
        <f>AP311-'Figure 8_data'!H523</f>
        <v>0</v>
      </c>
      <c r="AN311" s="92">
        <f t="shared" ref="AN311:AU311" si="362">(B311/B259-1)*100</f>
        <v>51.532846715328454</v>
      </c>
      <c r="AO311" s="92">
        <f t="shared" si="362"/>
        <v>96.68639053254438</v>
      </c>
      <c r="AP311" s="92">
        <f t="shared" si="362"/>
        <v>151.49700598802394</v>
      </c>
      <c r="AQ311" s="92">
        <f t="shared" si="362"/>
        <v>272.46963562753035</v>
      </c>
      <c r="AR311" s="92">
        <f t="shared" si="362"/>
        <v>132.87671232876713</v>
      </c>
      <c r="AS311" s="92">
        <f t="shared" si="362"/>
        <v>132.08191126279863</v>
      </c>
      <c r="AT311" s="92">
        <f t="shared" si="362"/>
        <v>246.32478632478634</v>
      </c>
      <c r="AU311" s="92">
        <f t="shared" si="362"/>
        <v>199.19973869018457</v>
      </c>
    </row>
    <row r="312" spans="1:47" x14ac:dyDescent="0.3">
      <c r="A312" s="13">
        <f t="shared" si="350"/>
        <v>39763</v>
      </c>
      <c r="B312" s="92">
        <f>TWK!B257</f>
        <v>508</v>
      </c>
      <c r="C312" s="92">
        <f>TWK!C257</f>
        <v>519</v>
      </c>
      <c r="D312" s="92">
        <f>TWK!D257</f>
        <v>550</v>
      </c>
      <c r="E312" s="92">
        <f>TWK!E257</f>
        <v>469</v>
      </c>
      <c r="F312" s="92">
        <f>TWK!F257</f>
        <v>519</v>
      </c>
      <c r="G312" s="92">
        <f>TWK!G257</f>
        <v>519</v>
      </c>
      <c r="H312" s="92">
        <f>TWK!H257</f>
        <v>438</v>
      </c>
      <c r="I312" s="92">
        <f>TWK!I257</f>
        <v>583</v>
      </c>
      <c r="K312" s="92">
        <f t="shared" ref="K312:R312" si="363">AVERAGE(B309:B312)</f>
        <v>570.75</v>
      </c>
      <c r="L312" s="92">
        <f t="shared" si="363"/>
        <v>621.5</v>
      </c>
      <c r="M312" s="92">
        <f t="shared" si="363"/>
        <v>716.25</v>
      </c>
      <c r="N312" s="92">
        <f t="shared" si="363"/>
        <v>739</v>
      </c>
      <c r="O312" s="92">
        <f t="shared" si="363"/>
        <v>714.75</v>
      </c>
      <c r="P312" s="92">
        <f t="shared" si="363"/>
        <v>714.75</v>
      </c>
      <c r="Q312" s="92">
        <f t="shared" si="363"/>
        <v>700.75</v>
      </c>
      <c r="R312" s="92">
        <f t="shared" si="363"/>
        <v>882.5</v>
      </c>
      <c r="T312" s="92">
        <f t="shared" ref="T312:AA312" si="364">(K156+K208+K260)/3</f>
        <v>519.72222222222229</v>
      </c>
      <c r="U312" s="92">
        <f t="shared" si="364"/>
        <v>477.875</v>
      </c>
      <c r="V312" s="92">
        <f t="shared" si="364"/>
        <v>458.06944444444451</v>
      </c>
      <c r="W312" s="92">
        <f t="shared" si="364"/>
        <v>372.47916666666669</v>
      </c>
      <c r="X312" s="92">
        <f t="shared" si="364"/>
        <v>407.0694444444444</v>
      </c>
      <c r="Y312" s="92">
        <f t="shared" si="364"/>
        <v>406.2569444444444</v>
      </c>
      <c r="Z312" s="92">
        <f t="shared" si="364"/>
        <v>322.125</v>
      </c>
      <c r="AA312" s="92">
        <f t="shared" si="364"/>
        <v>440.30907326540517</v>
      </c>
      <c r="AC312" s="112">
        <f>+AF312-'Figure 8_data'!I524</f>
        <v>0</v>
      </c>
      <c r="AD312" s="92">
        <f t="shared" ref="AD312:AK312" si="365">(B312/T312-1)*100</f>
        <v>-2.255478353821494</v>
      </c>
      <c r="AE312" s="92">
        <f t="shared" si="365"/>
        <v>8.605806957886486</v>
      </c>
      <c r="AF312" s="92">
        <f t="shared" si="365"/>
        <v>20.069130711621817</v>
      </c>
      <c r="AG312" s="92">
        <f t="shared" si="365"/>
        <v>25.913082387158106</v>
      </c>
      <c r="AH312" s="92">
        <f t="shared" si="365"/>
        <v>27.496673376778482</v>
      </c>
      <c r="AI312" s="92">
        <f t="shared" si="365"/>
        <v>27.751662364745911</v>
      </c>
      <c r="AJ312" s="92">
        <f t="shared" si="365"/>
        <v>35.972060535506415</v>
      </c>
      <c r="AK312" s="92">
        <f t="shared" si="365"/>
        <v>32.40699213313394</v>
      </c>
      <c r="AM312" s="112">
        <f>AP312-'Figure 8_data'!H524</f>
        <v>0</v>
      </c>
      <c r="AN312" s="92">
        <f t="shared" ref="AN312:AU312" si="366">(B312/B260-1)*100</f>
        <v>5.8333333333333348</v>
      </c>
      <c r="AO312" s="92">
        <f t="shared" si="366"/>
        <v>19.036697247706424</v>
      </c>
      <c r="AP312" s="92">
        <f t="shared" si="366"/>
        <v>25.570776255707763</v>
      </c>
      <c r="AQ312" s="92">
        <f t="shared" si="366"/>
        <v>31.00558659217878</v>
      </c>
      <c r="AR312" s="92">
        <f t="shared" si="366"/>
        <v>22.405660377358494</v>
      </c>
      <c r="AS312" s="92">
        <f t="shared" si="366"/>
        <v>25.060240963855417</v>
      </c>
      <c r="AT312" s="92">
        <f t="shared" si="366"/>
        <v>33.944954128440365</v>
      </c>
      <c r="AU312" s="92">
        <f t="shared" si="366"/>
        <v>35.897435897435905</v>
      </c>
    </row>
    <row r="313" spans="1:47" x14ac:dyDescent="0.3">
      <c r="A313" s="13">
        <f t="shared" si="350"/>
        <v>39770</v>
      </c>
      <c r="B313" s="92">
        <f>TWK!B258</f>
        <v>408</v>
      </c>
      <c r="C313" s="92">
        <f>TWK!C258</f>
        <v>420</v>
      </c>
      <c r="D313" s="92">
        <f>TWK!D258</f>
        <v>479</v>
      </c>
      <c r="E313" s="92">
        <f>TWK!E258</f>
        <v>369</v>
      </c>
      <c r="F313" s="92">
        <f>TWK!F258</f>
        <v>365</v>
      </c>
      <c r="G313" s="92">
        <f>TWK!G258</f>
        <v>365</v>
      </c>
      <c r="H313" s="92">
        <f>TWK!H258</f>
        <v>335</v>
      </c>
      <c r="I313" s="92">
        <f>TWK!I258</f>
        <v>459</v>
      </c>
      <c r="K313" s="92">
        <f t="shared" ref="K313:R313" si="367">AVERAGE(B310:B313)</f>
        <v>535.25</v>
      </c>
      <c r="L313" s="92">
        <f t="shared" si="367"/>
        <v>585</v>
      </c>
      <c r="M313" s="92">
        <f t="shared" si="367"/>
        <v>693.25</v>
      </c>
      <c r="N313" s="92">
        <f t="shared" si="367"/>
        <v>686</v>
      </c>
      <c r="O313" s="92">
        <f t="shared" si="367"/>
        <v>616.25</v>
      </c>
      <c r="P313" s="92">
        <f t="shared" si="367"/>
        <v>616.25</v>
      </c>
      <c r="Q313" s="92">
        <f t="shared" si="367"/>
        <v>613.75</v>
      </c>
      <c r="R313" s="92">
        <f t="shared" si="367"/>
        <v>770.25</v>
      </c>
      <c r="T313" s="92">
        <f t="shared" ref="T313:AA313" si="368">(K157+K209+K261)/3</f>
        <v>491.38888888888886</v>
      </c>
      <c r="U313" s="92">
        <f t="shared" si="368"/>
        <v>442.375</v>
      </c>
      <c r="V313" s="92">
        <f t="shared" si="368"/>
        <v>430.375</v>
      </c>
      <c r="W313" s="92">
        <f t="shared" si="368"/>
        <v>351.0625</v>
      </c>
      <c r="X313" s="92">
        <f t="shared" si="368"/>
        <v>381</v>
      </c>
      <c r="Y313" s="92">
        <f t="shared" si="368"/>
        <v>379.60416666666669</v>
      </c>
      <c r="Z313" s="92">
        <f t="shared" si="368"/>
        <v>296.95833333333331</v>
      </c>
      <c r="AA313" s="92">
        <f t="shared" si="368"/>
        <v>400.92940320232901</v>
      </c>
      <c r="AC313" s="112">
        <f>+AF313-'Figure 8_data'!I525</f>
        <v>0</v>
      </c>
      <c r="AD313" s="92">
        <f t="shared" ref="AD313:AK313" si="369">(B313/T313-1)*100</f>
        <v>-16.970039570378738</v>
      </c>
      <c r="AE313" s="92">
        <f t="shared" si="369"/>
        <v>-5.0579259677875132</v>
      </c>
      <c r="AF313" s="92">
        <f t="shared" si="369"/>
        <v>11.298286378158572</v>
      </c>
      <c r="AG313" s="92">
        <f t="shared" si="369"/>
        <v>5.1094890510948954</v>
      </c>
      <c r="AH313" s="92">
        <f t="shared" si="369"/>
        <v>-4.1994750656167978</v>
      </c>
      <c r="AI313" s="92">
        <f t="shared" si="369"/>
        <v>-3.8472092640360112</v>
      </c>
      <c r="AJ313" s="92">
        <f t="shared" si="369"/>
        <v>12.810439174968447</v>
      </c>
      <c r="AK313" s="92">
        <f t="shared" si="369"/>
        <v>14.48399551987103</v>
      </c>
      <c r="AM313" s="112">
        <f>AP313-'Figure 8_data'!H525</f>
        <v>0</v>
      </c>
      <c r="AN313" s="92">
        <f t="shared" ref="AN313:AU313" si="370">(B313/B261-1)*100</f>
        <v>-9.9999999999999982</v>
      </c>
      <c r="AO313" s="92">
        <f t="shared" si="370"/>
        <v>1.6949152542372836</v>
      </c>
      <c r="AP313" s="92">
        <f t="shared" si="370"/>
        <v>17.98029556650247</v>
      </c>
      <c r="AQ313" s="92">
        <f t="shared" si="370"/>
        <v>13.888888888888884</v>
      </c>
      <c r="AR313" s="92">
        <f t="shared" si="370"/>
        <v>-1.0840108401083959</v>
      </c>
      <c r="AS313" s="92">
        <f t="shared" si="370"/>
        <v>-1.0840108401083959</v>
      </c>
      <c r="AT313" s="92">
        <f t="shared" si="370"/>
        <v>12.794612794612803</v>
      </c>
      <c r="AU313" s="92">
        <f t="shared" si="370"/>
        <v>15.013677645256607</v>
      </c>
    </row>
    <row r="314" spans="1:47" x14ac:dyDescent="0.3">
      <c r="A314" s="13">
        <f t="shared" si="350"/>
        <v>39777</v>
      </c>
      <c r="B314" s="92">
        <f>TWK!B259</f>
        <v>0</v>
      </c>
      <c r="C314" s="92">
        <f>TWK!C259</f>
        <v>406</v>
      </c>
      <c r="D314" s="92">
        <f>TWK!D259</f>
        <v>395</v>
      </c>
      <c r="E314" s="92">
        <f>TWK!E259</f>
        <v>305</v>
      </c>
      <c r="F314" s="92">
        <f>TWK!F259</f>
        <v>306</v>
      </c>
      <c r="G314" s="92">
        <f>TWK!G259</f>
        <v>306</v>
      </c>
      <c r="H314" s="92">
        <f>TWK!H259</f>
        <v>301</v>
      </c>
      <c r="I314" s="92">
        <f>TWK!I259</f>
        <v>372</v>
      </c>
      <c r="K314" s="92">
        <f t="shared" ref="K314:R314" si="371">AVERAGE(B311:B314)</f>
        <v>402</v>
      </c>
      <c r="L314" s="92">
        <f t="shared" si="371"/>
        <v>544</v>
      </c>
      <c r="M314" s="92">
        <f t="shared" si="371"/>
        <v>618.5</v>
      </c>
      <c r="N314" s="92">
        <f t="shared" si="371"/>
        <v>573.25</v>
      </c>
      <c r="O314" s="92">
        <f t="shared" si="371"/>
        <v>510</v>
      </c>
      <c r="P314" s="92">
        <f t="shared" si="371"/>
        <v>510</v>
      </c>
      <c r="Q314" s="92">
        <f t="shared" si="371"/>
        <v>521.75</v>
      </c>
      <c r="R314" s="92">
        <f t="shared" si="371"/>
        <v>653.5</v>
      </c>
      <c r="T314" s="92">
        <f t="shared" ref="T314:AA314" si="372">(K158+K210+K262)/3</f>
        <v>388.33333333333331</v>
      </c>
      <c r="U314" s="92">
        <f t="shared" si="372"/>
        <v>412.95833333333331</v>
      </c>
      <c r="V314" s="92">
        <f t="shared" si="372"/>
        <v>410.70833333333331</v>
      </c>
      <c r="W314" s="92">
        <f t="shared" si="372"/>
        <v>340.3125</v>
      </c>
      <c r="X314" s="92">
        <f t="shared" si="372"/>
        <v>372.16666666666669</v>
      </c>
      <c r="Y314" s="92">
        <f t="shared" si="372"/>
        <v>370.77083333333331</v>
      </c>
      <c r="Z314" s="92">
        <f t="shared" si="372"/>
        <v>284.95833333333331</v>
      </c>
      <c r="AA314" s="92">
        <f t="shared" si="372"/>
        <v>386.11754002911204</v>
      </c>
      <c r="AC314" s="112">
        <f>+AF314-'Figure 8_data'!I526</f>
        <v>0</v>
      </c>
      <c r="AD314" s="92">
        <f t="shared" ref="AD314:AK314" si="373">(B314/T314-1)*100</f>
        <v>-100</v>
      </c>
      <c r="AE314" s="92">
        <f t="shared" si="373"/>
        <v>-1.6849964685702656</v>
      </c>
      <c r="AF314" s="92">
        <f t="shared" si="373"/>
        <v>-3.8246931114943705</v>
      </c>
      <c r="AG314" s="92">
        <f t="shared" si="373"/>
        <v>-10.376492194674015</v>
      </c>
      <c r="AH314" s="92">
        <f t="shared" si="373"/>
        <v>-17.778772951186749</v>
      </c>
      <c r="AI314" s="92">
        <f t="shared" si="373"/>
        <v>-17.469236388155306</v>
      </c>
      <c r="AJ314" s="92">
        <f t="shared" si="373"/>
        <v>5.6294779938587558</v>
      </c>
      <c r="AK314" s="92">
        <f t="shared" si="373"/>
        <v>-3.656280423843894</v>
      </c>
      <c r="AM314" s="112">
        <f>AP314-'Figure 8_data'!H526</f>
        <v>0</v>
      </c>
      <c r="AO314" s="92">
        <f t="shared" ref="AO314:AU314" si="374">(C314/C262-1)*100</f>
        <v>4.1025641025641102</v>
      </c>
      <c r="AP314" s="92">
        <f t="shared" si="374"/>
        <v>2.067183462532296</v>
      </c>
      <c r="AQ314" s="92">
        <f t="shared" si="374"/>
        <v>-3.7854889589905349</v>
      </c>
      <c r="AR314" s="92">
        <f t="shared" si="374"/>
        <v>-17.962466487935657</v>
      </c>
      <c r="AS314" s="92">
        <f t="shared" si="374"/>
        <v>-17.962466487935657</v>
      </c>
      <c r="AT314" s="92">
        <f t="shared" si="374"/>
        <v>5.9859154929577496</v>
      </c>
      <c r="AU314" s="92">
        <f t="shared" si="374"/>
        <v>-2.4281852751179667</v>
      </c>
    </row>
    <row r="315" spans="1:47" x14ac:dyDescent="0.3">
      <c r="A315" s="13">
        <f t="shared" ref="A315:A320" si="375">7+A314</f>
        <v>39784</v>
      </c>
      <c r="B315" s="92">
        <f>TWK!B260</f>
        <v>0</v>
      </c>
      <c r="C315" s="92">
        <f>TWK!C260</f>
        <v>418</v>
      </c>
      <c r="D315" s="92">
        <f>TWK!D260</f>
        <v>400</v>
      </c>
      <c r="E315" s="92">
        <f>TWK!E260</f>
        <v>378</v>
      </c>
      <c r="F315" s="92">
        <f>TWK!F260</f>
        <v>306</v>
      </c>
      <c r="G315" s="92">
        <f>TWK!G260</f>
        <v>306</v>
      </c>
      <c r="H315" s="92">
        <f>TWK!H260</f>
        <v>340</v>
      </c>
      <c r="I315" s="92">
        <f>TWK!I260</f>
        <v>440</v>
      </c>
      <c r="K315" s="92">
        <f t="shared" ref="K315:R315" si="376">AVERAGE(B312:B315)</f>
        <v>229</v>
      </c>
      <c r="L315" s="92">
        <f t="shared" si="376"/>
        <v>440.75</v>
      </c>
      <c r="M315" s="92">
        <f t="shared" si="376"/>
        <v>456</v>
      </c>
      <c r="N315" s="92">
        <f t="shared" si="376"/>
        <v>380.25</v>
      </c>
      <c r="O315" s="92">
        <f t="shared" si="376"/>
        <v>374</v>
      </c>
      <c r="P315" s="92">
        <f t="shared" si="376"/>
        <v>374</v>
      </c>
      <c r="Q315" s="92">
        <f t="shared" si="376"/>
        <v>353.5</v>
      </c>
      <c r="R315" s="92">
        <f t="shared" si="376"/>
        <v>463.5</v>
      </c>
      <c r="T315" s="92">
        <f t="shared" ref="T315:AA315" si="377">(K159+K211+K263)/3</f>
        <v>307.36111111111109</v>
      </c>
      <c r="U315" s="92">
        <f t="shared" si="377"/>
        <v>372.5555555555556</v>
      </c>
      <c r="V315" s="92">
        <f t="shared" si="377"/>
        <v>411.22222222222223</v>
      </c>
      <c r="W315" s="92">
        <f t="shared" si="377"/>
        <v>340.38888888888891</v>
      </c>
      <c r="X315" s="92">
        <f t="shared" si="377"/>
        <v>365.41666666666669</v>
      </c>
      <c r="Y315" s="92">
        <f t="shared" si="377"/>
        <v>364.66666666666669</v>
      </c>
      <c r="Z315" s="92">
        <f t="shared" si="377"/>
        <v>284.11111111111109</v>
      </c>
      <c r="AA315" s="92">
        <f t="shared" si="377"/>
        <v>383.93467976710332</v>
      </c>
      <c r="AC315" s="112">
        <f>+AF315-'Figure 8_data'!I527</f>
        <v>0</v>
      </c>
      <c r="AD315" s="92">
        <f t="shared" ref="AD315:AK315" si="378">(B315/T315-1)*100</f>
        <v>-100</v>
      </c>
      <c r="AE315" s="92">
        <f t="shared" si="378"/>
        <v>12.198031613480453</v>
      </c>
      <c r="AF315" s="92">
        <f t="shared" si="378"/>
        <v>-2.7289921642799309</v>
      </c>
      <c r="AG315" s="92">
        <f t="shared" si="378"/>
        <v>11.049453239758433</v>
      </c>
      <c r="AH315" s="92">
        <f t="shared" si="378"/>
        <v>-16.259977194982898</v>
      </c>
      <c r="AI315" s="92">
        <f t="shared" si="378"/>
        <v>-16.087751371115179</v>
      </c>
      <c r="AJ315" s="92">
        <f t="shared" si="378"/>
        <v>19.67149002737585</v>
      </c>
      <c r="AK315" s="92">
        <f t="shared" si="378"/>
        <v>14.60282782136435</v>
      </c>
      <c r="AM315" s="112">
        <f>AP315-'Figure 8_data'!H527</f>
        <v>0</v>
      </c>
      <c r="AO315" s="92">
        <f t="shared" ref="AO315:AU315" si="379">(C315/C263-1)*100</f>
        <v>8.1034482758620676</v>
      </c>
      <c r="AP315" s="92">
        <f t="shared" si="379"/>
        <v>3.4482758620689502</v>
      </c>
      <c r="AQ315" s="92">
        <f t="shared" si="379"/>
        <v>15.714285714285703</v>
      </c>
      <c r="AR315" s="92">
        <f t="shared" si="379"/>
        <v>-15.000000000000002</v>
      </c>
      <c r="AS315" s="92">
        <f t="shared" si="379"/>
        <v>-15.000000000000002</v>
      </c>
      <c r="AT315" s="92">
        <f t="shared" si="379"/>
        <v>20.000000000000018</v>
      </c>
      <c r="AU315" s="92">
        <f t="shared" si="379"/>
        <v>16.133122028526149</v>
      </c>
    </row>
    <row r="316" spans="1:47" x14ac:dyDescent="0.3">
      <c r="A316" s="13">
        <f t="shared" si="375"/>
        <v>39791</v>
      </c>
      <c r="B316" s="92">
        <f>TWK!B261</f>
        <v>0</v>
      </c>
      <c r="C316" s="92">
        <f>TWK!C261</f>
        <v>495</v>
      </c>
      <c r="D316" s="92">
        <f>TWK!D261</f>
        <v>500</v>
      </c>
      <c r="E316" s="92">
        <f>TWK!E261</f>
        <v>478</v>
      </c>
      <c r="F316" s="92">
        <f>TWK!F261</f>
        <v>410</v>
      </c>
      <c r="G316" s="92">
        <f>TWK!G261</f>
        <v>410</v>
      </c>
      <c r="H316" s="92">
        <f>TWK!H261</f>
        <v>375</v>
      </c>
      <c r="I316" s="92">
        <f>TWK!I261</f>
        <v>398</v>
      </c>
      <c r="K316" s="92">
        <f t="shared" ref="K316:R316" si="380">AVERAGE(B313:B316)</f>
        <v>102</v>
      </c>
      <c r="L316" s="92">
        <f t="shared" si="380"/>
        <v>434.75</v>
      </c>
      <c r="M316" s="92">
        <f t="shared" si="380"/>
        <v>443.5</v>
      </c>
      <c r="N316" s="92">
        <f t="shared" si="380"/>
        <v>382.5</v>
      </c>
      <c r="O316" s="92">
        <f t="shared" si="380"/>
        <v>346.75</v>
      </c>
      <c r="P316" s="92">
        <f t="shared" si="380"/>
        <v>346.75</v>
      </c>
      <c r="Q316" s="92">
        <f t="shared" si="380"/>
        <v>337.75</v>
      </c>
      <c r="R316" s="92">
        <f t="shared" si="380"/>
        <v>417.25</v>
      </c>
      <c r="U316" s="92">
        <f t="shared" ref="U316:AA316" si="381">(L160+L212+L264)/3</f>
        <v>302.72222222222223</v>
      </c>
      <c r="V316" s="92">
        <f t="shared" si="381"/>
        <v>417.22222222222223</v>
      </c>
      <c r="W316" s="92">
        <f t="shared" si="381"/>
        <v>340.13888888888891</v>
      </c>
      <c r="X316" s="92">
        <f t="shared" si="381"/>
        <v>358.375</v>
      </c>
      <c r="Y316" s="92">
        <f t="shared" si="381"/>
        <v>358.375</v>
      </c>
      <c r="Z316" s="92">
        <f t="shared" si="381"/>
        <v>281.52777777777777</v>
      </c>
      <c r="AA316" s="92">
        <f t="shared" si="381"/>
        <v>379.59115720524022</v>
      </c>
      <c r="AC316" s="112">
        <f>+AF316-'Figure 8_data'!I528</f>
        <v>0</v>
      </c>
      <c r="AE316" s="92">
        <f t="shared" ref="AE316:AK316" si="382">(C316/U316-1)*100</f>
        <v>63.516241512204076</v>
      </c>
      <c r="AF316" s="92">
        <f t="shared" si="382"/>
        <v>19.840213049267639</v>
      </c>
      <c r="AG316" s="92">
        <f t="shared" si="382"/>
        <v>40.530828909759073</v>
      </c>
      <c r="AH316" s="92">
        <f t="shared" si="382"/>
        <v>14.40530170910359</v>
      </c>
      <c r="AI316" s="92">
        <f t="shared" si="382"/>
        <v>14.40530170910359</v>
      </c>
      <c r="AJ316" s="92">
        <f t="shared" si="382"/>
        <v>33.201776023680331</v>
      </c>
      <c r="AK316" s="92">
        <f t="shared" si="382"/>
        <v>4.8496500630562211</v>
      </c>
      <c r="AM316" s="112">
        <f>AP316-'Figure 8_data'!H528</f>
        <v>0</v>
      </c>
      <c r="AP316" s="92">
        <f t="shared" ref="AP316:AU316" si="383">(D316/D264-1)*100</f>
        <v>25</v>
      </c>
      <c r="AQ316" s="92">
        <f t="shared" si="383"/>
        <v>43.97590361445782</v>
      </c>
      <c r="AR316" s="92">
        <f t="shared" si="383"/>
        <v>16.312056737588641</v>
      </c>
      <c r="AS316" s="92">
        <f t="shared" si="383"/>
        <v>16.312056737588641</v>
      </c>
      <c r="AT316" s="92">
        <f t="shared" si="383"/>
        <v>36.363636363636353</v>
      </c>
      <c r="AU316" s="92">
        <f t="shared" si="383"/>
        <v>8.4830089864905034</v>
      </c>
    </row>
    <row r="317" spans="1:47" x14ac:dyDescent="0.3">
      <c r="A317" s="13">
        <f t="shared" si="375"/>
        <v>39798</v>
      </c>
      <c r="B317" s="92">
        <f>TWK!B262</f>
        <v>0</v>
      </c>
      <c r="C317" s="92" t="str">
        <f>TWK!C262</f>
        <v xml:space="preserve"> </v>
      </c>
      <c r="D317" s="92">
        <f>TWK!D262</f>
        <v>470</v>
      </c>
      <c r="E317" s="92">
        <f>TWK!E262</f>
        <v>401</v>
      </c>
      <c r="F317" s="92">
        <f>TWK!F262</f>
        <v>380</v>
      </c>
      <c r="G317" s="92">
        <f>TWK!G262</f>
        <v>380</v>
      </c>
      <c r="H317" s="92">
        <f>TWK!H262</f>
        <v>303</v>
      </c>
      <c r="I317" s="92">
        <f>TWK!I262</f>
        <v>413</v>
      </c>
      <c r="K317" s="92">
        <f t="shared" ref="K317:R317" si="384">AVERAGE(B314:B317)</f>
        <v>0</v>
      </c>
      <c r="L317" s="92">
        <f t="shared" si="384"/>
        <v>439.66666666666669</v>
      </c>
      <c r="M317" s="92">
        <f t="shared" si="384"/>
        <v>441.25</v>
      </c>
      <c r="N317" s="92">
        <f t="shared" si="384"/>
        <v>390.5</v>
      </c>
      <c r="O317" s="92">
        <f t="shared" si="384"/>
        <v>350.5</v>
      </c>
      <c r="P317" s="92">
        <f t="shared" si="384"/>
        <v>350.5</v>
      </c>
      <c r="Q317" s="92">
        <f t="shared" si="384"/>
        <v>329.75</v>
      </c>
      <c r="R317" s="92">
        <f t="shared" si="384"/>
        <v>405.75</v>
      </c>
      <c r="U317" s="92">
        <f t="shared" ref="U317:AA317" si="385">(L161+L213+L265)/3</f>
        <v>226.72222222222226</v>
      </c>
      <c r="V317" s="92">
        <f t="shared" si="385"/>
        <v>411.63888888888891</v>
      </c>
      <c r="W317" s="92">
        <f t="shared" si="385"/>
        <v>333.88888888888891</v>
      </c>
      <c r="X317" s="92">
        <f t="shared" si="385"/>
        <v>353.29166666666669</v>
      </c>
      <c r="Y317" s="92">
        <f t="shared" si="385"/>
        <v>353.20833333333331</v>
      </c>
      <c r="Z317" s="92">
        <f t="shared" si="385"/>
        <v>276.61111111111109</v>
      </c>
      <c r="AA317" s="92">
        <f t="shared" si="385"/>
        <v>373.41757641921396</v>
      </c>
      <c r="AC317" s="112">
        <f>+AF317-'Figure 8_data'!I529</f>
        <v>0</v>
      </c>
      <c r="AF317" s="92">
        <f t="shared" ref="AF317:AK317" si="386">(D317/V317-1)*100</f>
        <v>14.177744787097634</v>
      </c>
      <c r="AG317" s="92">
        <f t="shared" si="386"/>
        <v>20.099833610648908</v>
      </c>
      <c r="AH317" s="92">
        <f t="shared" si="386"/>
        <v>7.5598537563391854</v>
      </c>
      <c r="AI317" s="92">
        <f t="shared" si="386"/>
        <v>7.5852306240415279</v>
      </c>
      <c r="AJ317" s="92">
        <f t="shared" si="386"/>
        <v>9.5400682868045816</v>
      </c>
      <c r="AK317" s="92">
        <f t="shared" si="386"/>
        <v>10.600042976110258</v>
      </c>
      <c r="AM317" s="112">
        <f>AP317-'Figure 8_data'!H529</f>
        <v>0</v>
      </c>
      <c r="AP317" s="92">
        <f t="shared" ref="AP317:AU317" si="387">(D317/D265-1)*100</f>
        <v>24.668435013262592</v>
      </c>
      <c r="AQ317" s="92">
        <f t="shared" si="387"/>
        <v>39.721254355400703</v>
      </c>
      <c r="AR317" s="92">
        <f t="shared" si="387"/>
        <v>11.764705882352944</v>
      </c>
      <c r="AS317" s="92">
        <f t="shared" si="387"/>
        <v>11.764705882352944</v>
      </c>
      <c r="AT317" s="92">
        <f t="shared" si="387"/>
        <v>22.672064777327925</v>
      </c>
      <c r="AU317" s="92">
        <f t="shared" si="387"/>
        <v>22.189349112426026</v>
      </c>
    </row>
    <row r="318" spans="1:47" x14ac:dyDescent="0.3">
      <c r="A318" s="13">
        <f t="shared" si="375"/>
        <v>39805</v>
      </c>
      <c r="B318" s="92">
        <f>TWK!B263</f>
        <v>0</v>
      </c>
      <c r="C318" s="92">
        <f>TWK!C263</f>
        <v>0</v>
      </c>
      <c r="D318" s="92">
        <f>TWK!D263</f>
        <v>518.75</v>
      </c>
      <c r="E318" s="92">
        <f>TWK!E263</f>
        <v>415</v>
      </c>
      <c r="F318" s="92">
        <f>TWK!F263</f>
        <v>387.5</v>
      </c>
      <c r="G318" s="92">
        <f>TWK!G263</f>
        <v>387.5</v>
      </c>
      <c r="H318" s="92">
        <f>TWK!H263</f>
        <v>297.5</v>
      </c>
      <c r="I318" s="92">
        <f>TWK!I263</f>
        <v>408.51528384279476</v>
      </c>
      <c r="K318" s="92">
        <f t="shared" ref="K318:R318" si="388">AVERAGE(B315:B318)</f>
        <v>0</v>
      </c>
      <c r="L318" s="92">
        <f t="shared" si="388"/>
        <v>304.33333333333331</v>
      </c>
      <c r="M318" s="92">
        <f t="shared" si="388"/>
        <v>472.1875</v>
      </c>
      <c r="N318" s="92">
        <f t="shared" si="388"/>
        <v>418</v>
      </c>
      <c r="O318" s="92">
        <f t="shared" si="388"/>
        <v>370.875</v>
      </c>
      <c r="P318" s="92">
        <f t="shared" si="388"/>
        <v>370.875</v>
      </c>
      <c r="Q318" s="92">
        <f t="shared" si="388"/>
        <v>328.875</v>
      </c>
      <c r="R318" s="92">
        <f t="shared" si="388"/>
        <v>414.8788209606987</v>
      </c>
      <c r="U318" s="92">
        <f t="shared" ref="U318:AA318" si="389">(L162+L214+L266)/3</f>
        <v>150.63888888888889</v>
      </c>
      <c r="V318" s="92">
        <f t="shared" si="389"/>
        <v>402.13888888888891</v>
      </c>
      <c r="W318" s="92">
        <f t="shared" si="389"/>
        <v>324.63888888888891</v>
      </c>
      <c r="X318" s="92">
        <f t="shared" si="389"/>
        <v>345.45833333333331</v>
      </c>
      <c r="Y318" s="92">
        <f t="shared" si="389"/>
        <v>344.79166666666669</v>
      </c>
      <c r="Z318" s="92">
        <f t="shared" si="389"/>
        <v>273.86111111111109</v>
      </c>
      <c r="AA318" s="92">
        <f t="shared" si="389"/>
        <v>369.89610625909751</v>
      </c>
      <c r="AC318" s="112">
        <f>+AF318-'Figure 8_data'!I530</f>
        <v>0</v>
      </c>
      <c r="AF318" s="92">
        <f t="shared" ref="AF318:AK318" si="390">(D318/V318-1)*100</f>
        <v>28.997720522207636</v>
      </c>
      <c r="AG318" s="92">
        <f t="shared" si="390"/>
        <v>27.834345854368081</v>
      </c>
      <c r="AH318" s="92">
        <f t="shared" si="390"/>
        <v>12.169822699312505</v>
      </c>
      <c r="AI318" s="92">
        <f t="shared" si="390"/>
        <v>12.38670694864048</v>
      </c>
      <c r="AJ318" s="92">
        <f t="shared" si="390"/>
        <v>8.6317070696825269</v>
      </c>
      <c r="AK318" s="92">
        <f t="shared" si="390"/>
        <v>10.440547205070082</v>
      </c>
      <c r="AM318" s="112">
        <f>AP318-'Figure 8_data'!H530</f>
        <v>0</v>
      </c>
      <c r="AP318" s="92">
        <f t="shared" ref="AP318:AU318" si="391">(D318/D266-1)*100</f>
        <v>41.348773841961851</v>
      </c>
      <c r="AQ318" s="92">
        <f t="shared" si="391"/>
        <v>48.214285714285722</v>
      </c>
      <c r="AR318" s="92">
        <f t="shared" si="391"/>
        <v>14.985163204747764</v>
      </c>
      <c r="AS318" s="92">
        <f t="shared" si="391"/>
        <v>14.985163204747764</v>
      </c>
      <c r="AT318" s="92">
        <f t="shared" si="391"/>
        <v>18.999999999999993</v>
      </c>
      <c r="AU318" s="92">
        <f t="shared" si="391"/>
        <v>19.100665843380394</v>
      </c>
    </row>
    <row r="319" spans="1:47" x14ac:dyDescent="0.3">
      <c r="A319" s="13">
        <f t="shared" si="375"/>
        <v>39812</v>
      </c>
      <c r="B319" s="92">
        <f>TWK!B264</f>
        <v>0</v>
      </c>
      <c r="C319" s="92">
        <f>TWK!C264</f>
        <v>0</v>
      </c>
      <c r="D319" s="92">
        <f>TWK!D264</f>
        <v>441</v>
      </c>
      <c r="E319" s="92">
        <f>TWK!E264</f>
        <v>300</v>
      </c>
      <c r="F319" s="92">
        <f>TWK!F264</f>
        <v>348</v>
      </c>
      <c r="G319" s="92">
        <f>TWK!G264</f>
        <v>346</v>
      </c>
      <c r="H319" s="92">
        <f>TWK!H264</f>
        <v>266</v>
      </c>
      <c r="I319" s="92">
        <f>TWK!I264</f>
        <v>365</v>
      </c>
      <c r="K319" s="92">
        <f t="shared" ref="K319:R319" si="392">AVERAGE(B316:B319)</f>
        <v>0</v>
      </c>
      <c r="L319" s="92">
        <f t="shared" si="392"/>
        <v>165</v>
      </c>
      <c r="M319" s="92">
        <f t="shared" si="392"/>
        <v>482.4375</v>
      </c>
      <c r="N319" s="92">
        <f t="shared" si="392"/>
        <v>398.5</v>
      </c>
      <c r="O319" s="92">
        <f t="shared" si="392"/>
        <v>381.375</v>
      </c>
      <c r="P319" s="92">
        <f t="shared" si="392"/>
        <v>380.875</v>
      </c>
      <c r="Q319" s="92">
        <f t="shared" si="392"/>
        <v>310.375</v>
      </c>
      <c r="R319" s="92">
        <f t="shared" si="392"/>
        <v>396.1288209606987</v>
      </c>
      <c r="U319" s="92">
        <f t="shared" ref="U319:AA319" si="393">(L163+L215+L267)/3</f>
        <v>108.91666666666667</v>
      </c>
      <c r="V319" s="92">
        <f t="shared" si="393"/>
        <v>385.08333333333331</v>
      </c>
      <c r="W319" s="92">
        <f t="shared" si="393"/>
        <v>313.02777777777777</v>
      </c>
      <c r="X319" s="92">
        <f t="shared" si="393"/>
        <v>334.70833333333331</v>
      </c>
      <c r="Y319" s="92">
        <f t="shared" si="393"/>
        <v>334.29166666666669</v>
      </c>
      <c r="Z319" s="92">
        <f t="shared" si="393"/>
        <v>267.61111111111114</v>
      </c>
      <c r="AA319" s="92">
        <f t="shared" si="393"/>
        <v>362.88961669092674</v>
      </c>
      <c r="AC319" s="112">
        <f>+AF319-'Figure 8_data'!I531</f>
        <v>0</v>
      </c>
      <c r="AF319" s="92">
        <f t="shared" ref="AF319:AK319" si="394">(D319/V319-1)*100</f>
        <v>14.520666522397763</v>
      </c>
      <c r="AG319" s="92">
        <f t="shared" si="394"/>
        <v>-4.1618599698287291</v>
      </c>
      <c r="AH319" s="92">
        <f t="shared" si="394"/>
        <v>3.9711191335740192</v>
      </c>
      <c r="AI319" s="92">
        <f t="shared" si="394"/>
        <v>3.5024305122771882</v>
      </c>
      <c r="AJ319" s="92">
        <f t="shared" si="394"/>
        <v>-0.60203446128296312</v>
      </c>
      <c r="AK319" s="92">
        <f t="shared" si="394"/>
        <v>0.58154965367076539</v>
      </c>
      <c r="AM319" s="112">
        <f>AP319-'Figure 8_data'!H531</f>
        <v>0</v>
      </c>
      <c r="AP319" s="92">
        <f t="shared" ref="AP319:AU319" si="395">(D319/D267-1)*100</f>
        <v>22.500000000000007</v>
      </c>
      <c r="AQ319" s="92">
        <f t="shared" si="395"/>
        <v>9.7560975609756184</v>
      </c>
      <c r="AR319" s="92">
        <f t="shared" si="395"/>
        <v>5.4545454545454453</v>
      </c>
      <c r="AS319" s="92">
        <f t="shared" si="395"/>
        <v>4.8484848484848575</v>
      </c>
      <c r="AT319" s="92">
        <f t="shared" si="395"/>
        <v>11.608391608391599</v>
      </c>
      <c r="AU319" s="92">
        <f t="shared" si="395"/>
        <v>11.689902454233646</v>
      </c>
    </row>
    <row r="320" spans="1:47" x14ac:dyDescent="0.3">
      <c r="A320" s="13">
        <f t="shared" si="375"/>
        <v>39819</v>
      </c>
      <c r="B320" s="92">
        <f>TWK!B265</f>
        <v>0</v>
      </c>
      <c r="C320" s="92">
        <f>TWK!C265</f>
        <v>0</v>
      </c>
      <c r="D320" s="92">
        <f>TWK!D265</f>
        <v>371</v>
      </c>
      <c r="E320" s="92">
        <f>TWK!E265</f>
        <v>273</v>
      </c>
      <c r="F320" s="92">
        <f>TWK!F265</f>
        <v>326</v>
      </c>
      <c r="G320" s="92">
        <f>TWK!G265</f>
        <v>326</v>
      </c>
      <c r="H320" s="92">
        <f>TWK!H265</f>
        <v>240</v>
      </c>
      <c r="I320" s="92">
        <f>TWK!I265</f>
        <v>329</v>
      </c>
      <c r="K320" s="92">
        <f t="shared" ref="K320:R320" si="396">AVERAGE(B317:B320)</f>
        <v>0</v>
      </c>
      <c r="L320" s="92">
        <f t="shared" si="396"/>
        <v>0</v>
      </c>
      <c r="M320" s="92">
        <f t="shared" si="396"/>
        <v>450.1875</v>
      </c>
      <c r="N320" s="92">
        <f t="shared" si="396"/>
        <v>347.25</v>
      </c>
      <c r="O320" s="92">
        <f t="shared" si="396"/>
        <v>360.375</v>
      </c>
      <c r="P320" s="92">
        <f t="shared" si="396"/>
        <v>359.875</v>
      </c>
      <c r="Q320" s="92">
        <f t="shared" si="396"/>
        <v>276.625</v>
      </c>
      <c r="R320" s="92">
        <f t="shared" si="396"/>
        <v>378.8788209606987</v>
      </c>
      <c r="U320" s="92">
        <f t="shared" ref="U320:AA320" si="397">(L164+L216+L268)/3</f>
        <v>100.8888888888889</v>
      </c>
      <c r="V320" s="92">
        <f t="shared" si="397"/>
        <v>357.41666666666669</v>
      </c>
      <c r="W320" s="92">
        <f t="shared" si="397"/>
        <v>296.86111111111109</v>
      </c>
      <c r="X320" s="92">
        <f t="shared" si="397"/>
        <v>324.83333333333331</v>
      </c>
      <c r="Y320" s="92">
        <f t="shared" si="397"/>
        <v>324.5</v>
      </c>
      <c r="Z320" s="92">
        <f t="shared" si="397"/>
        <v>263.44444444444446</v>
      </c>
      <c r="AA320" s="92">
        <f t="shared" si="397"/>
        <v>358.14980591945658</v>
      </c>
      <c r="AC320" s="112">
        <f>+AF320-'Figure 8_data'!I532</f>
        <v>0</v>
      </c>
      <c r="AF320" s="92">
        <f t="shared" ref="AF320:AK320" si="398">(D320/V320-1)*100</f>
        <v>3.8004196782466693</v>
      </c>
      <c r="AG320" s="92">
        <f t="shared" si="398"/>
        <v>-8.0378029381491416</v>
      </c>
      <c r="AH320" s="92">
        <f t="shared" si="398"/>
        <v>0.35915854284249704</v>
      </c>
      <c r="AI320" s="92">
        <f t="shared" si="398"/>
        <v>0.46224961479199855</v>
      </c>
      <c r="AJ320" s="92">
        <f t="shared" si="398"/>
        <v>-8.8991986503584979</v>
      </c>
      <c r="AK320" s="92">
        <f t="shared" si="398"/>
        <v>-8.1389981057289784</v>
      </c>
      <c r="AM320" s="112">
        <f>AP320-'Figure 8_data'!H532</f>
        <v>0</v>
      </c>
      <c r="AP320" s="92">
        <f t="shared" ref="AP320:AU320" si="399">(D320/D268-1)*100</f>
        <v>5.6980056980056926</v>
      </c>
      <c r="AQ320" s="92">
        <f t="shared" si="399"/>
        <v>1.4869888475836479</v>
      </c>
      <c r="AR320" s="92">
        <f t="shared" si="399"/>
        <v>-0.60975609756097615</v>
      </c>
      <c r="AS320" s="92">
        <f t="shared" si="399"/>
        <v>-0.60975609756097615</v>
      </c>
      <c r="AT320" s="92">
        <f t="shared" si="399"/>
        <v>0.84033613445377853</v>
      </c>
      <c r="AU320" s="92">
        <f t="shared" si="399"/>
        <v>0.61162079510703737</v>
      </c>
    </row>
    <row r="321" spans="1:47" x14ac:dyDescent="0.3">
      <c r="A321" s="13">
        <f t="shared" ref="A321:A326" si="400">7+A320</f>
        <v>39826</v>
      </c>
      <c r="B321" s="92">
        <f>TWK!B266</f>
        <v>0</v>
      </c>
      <c r="C321" s="92">
        <f>TWK!C266</f>
        <v>0</v>
      </c>
      <c r="D321" s="92">
        <f>TWK!D266</f>
        <v>550</v>
      </c>
      <c r="E321" s="92">
        <f>TWK!E266</f>
        <v>428</v>
      </c>
      <c r="F321" s="92">
        <f>TWK!F266</f>
        <v>415</v>
      </c>
      <c r="G321" s="92">
        <f>TWK!G266</f>
        <v>415</v>
      </c>
      <c r="H321" s="92">
        <f>TWK!H266</f>
        <v>421</v>
      </c>
      <c r="I321" s="92">
        <f>TWK!I266</f>
        <v>578</v>
      </c>
      <c r="K321" s="92">
        <f t="shared" ref="K321:R321" si="401">AVERAGE(B318:B321)</f>
        <v>0</v>
      </c>
      <c r="L321" s="92">
        <f t="shared" si="401"/>
        <v>0</v>
      </c>
      <c r="M321" s="92">
        <f t="shared" si="401"/>
        <v>470.1875</v>
      </c>
      <c r="N321" s="92">
        <f t="shared" si="401"/>
        <v>354</v>
      </c>
      <c r="O321" s="92">
        <f t="shared" si="401"/>
        <v>369.125</v>
      </c>
      <c r="P321" s="92">
        <f t="shared" si="401"/>
        <v>368.625</v>
      </c>
      <c r="Q321" s="92">
        <f t="shared" si="401"/>
        <v>306.125</v>
      </c>
      <c r="R321" s="92">
        <f t="shared" si="401"/>
        <v>420.1288209606987</v>
      </c>
      <c r="U321" s="92">
        <f t="shared" ref="U321:AA321" si="402">(L165+L217+L269)/3</f>
        <v>96.666666666666671</v>
      </c>
      <c r="V321" s="92">
        <f t="shared" si="402"/>
        <v>353.08333333333331</v>
      </c>
      <c r="W321" s="92">
        <f t="shared" si="402"/>
        <v>304.27777777777777</v>
      </c>
      <c r="X321" s="92">
        <f t="shared" si="402"/>
        <v>327.5</v>
      </c>
      <c r="Y321" s="92">
        <f t="shared" si="402"/>
        <v>327.41666666666669</v>
      </c>
      <c r="Z321" s="92">
        <f t="shared" si="402"/>
        <v>276.36111111111114</v>
      </c>
      <c r="AA321" s="92">
        <f t="shared" si="402"/>
        <v>372.81647258612321</v>
      </c>
      <c r="AC321" s="112">
        <f>+AF321-'Figure 8_data'!I533</f>
        <v>0</v>
      </c>
      <c r="AF321" s="92">
        <f t="shared" ref="AF321:AK321" si="403">(D321/V321-1)*100</f>
        <v>55.770592400283235</v>
      </c>
      <c r="AG321" s="92">
        <f t="shared" si="403"/>
        <v>40.660945773233514</v>
      </c>
      <c r="AH321" s="92">
        <f t="shared" si="403"/>
        <v>26.717557251908385</v>
      </c>
      <c r="AI321" s="92">
        <f t="shared" si="403"/>
        <v>26.749809111733256</v>
      </c>
      <c r="AJ321" s="92">
        <f t="shared" si="403"/>
        <v>52.336918283244536</v>
      </c>
      <c r="AK321" s="92">
        <f t="shared" si="403"/>
        <v>55.036068012385897</v>
      </c>
      <c r="AM321" s="112">
        <f>AP321-'Figure 8_data'!H533</f>
        <v>0</v>
      </c>
      <c r="AP321" s="92">
        <f t="shared" ref="AP321:AU321" si="404">(D321/D269-1)*100</f>
        <v>69.230769230769226</v>
      </c>
      <c r="AQ321" s="92">
        <f t="shared" si="404"/>
        <v>56.776556776556774</v>
      </c>
      <c r="AR321" s="92">
        <f t="shared" si="404"/>
        <v>26.524390243902431</v>
      </c>
      <c r="AS321" s="92">
        <f t="shared" si="404"/>
        <v>26.524390243902431</v>
      </c>
      <c r="AT321" s="92">
        <f t="shared" si="404"/>
        <v>63.813229571984429</v>
      </c>
      <c r="AU321" s="92">
        <f t="shared" si="404"/>
        <v>73.573573573573569</v>
      </c>
    </row>
    <row r="322" spans="1:47" x14ac:dyDescent="0.3">
      <c r="A322" s="13">
        <f t="shared" si="400"/>
        <v>39833</v>
      </c>
      <c r="B322" s="92">
        <f>TWK!B267</f>
        <v>0</v>
      </c>
      <c r="C322" s="92">
        <f>TWK!C267</f>
        <v>0</v>
      </c>
      <c r="D322" s="92">
        <f>TWK!D267</f>
        <v>563</v>
      </c>
      <c r="E322" s="92">
        <f>TWK!E267</f>
        <v>481</v>
      </c>
      <c r="F322" s="92">
        <f>TWK!F267</f>
        <v>429</v>
      </c>
      <c r="G322" s="92">
        <f>TWK!G267</f>
        <v>429</v>
      </c>
      <c r="H322" s="92">
        <f>TWK!H267</f>
        <v>436</v>
      </c>
      <c r="I322" s="92">
        <f>TWK!I267</f>
        <v>577</v>
      </c>
      <c r="K322" s="92">
        <f t="shared" ref="K322:R322" si="405">AVERAGE(B319:B322)</f>
        <v>0</v>
      </c>
      <c r="L322" s="92">
        <f t="shared" si="405"/>
        <v>0</v>
      </c>
      <c r="M322" s="92">
        <f t="shared" si="405"/>
        <v>481.25</v>
      </c>
      <c r="N322" s="92">
        <f t="shared" si="405"/>
        <v>370.5</v>
      </c>
      <c r="O322" s="92">
        <f t="shared" si="405"/>
        <v>379.5</v>
      </c>
      <c r="P322" s="92">
        <f t="shared" si="405"/>
        <v>379</v>
      </c>
      <c r="Q322" s="92">
        <f t="shared" si="405"/>
        <v>340.75</v>
      </c>
      <c r="R322" s="92">
        <f t="shared" si="405"/>
        <v>462.25</v>
      </c>
      <c r="U322" s="92">
        <f t="shared" ref="U322:AA322" si="406">(L166+L218+L270)/3</f>
        <v>96.666666666666671</v>
      </c>
      <c r="V322" s="92">
        <f t="shared" si="406"/>
        <v>354.16666666666669</v>
      </c>
      <c r="W322" s="92">
        <f t="shared" si="406"/>
        <v>315.52777777777777</v>
      </c>
      <c r="X322" s="92">
        <f t="shared" si="406"/>
        <v>333.16666666666669</v>
      </c>
      <c r="Y322" s="92">
        <f t="shared" si="406"/>
        <v>334.58333333333331</v>
      </c>
      <c r="Z322" s="92">
        <f t="shared" si="406"/>
        <v>286.36111111111114</v>
      </c>
      <c r="AA322" s="92">
        <f t="shared" si="406"/>
        <v>387.11741872877246</v>
      </c>
      <c r="AC322" s="112">
        <f>+AF322-'Figure 8_data'!I534</f>
        <v>0</v>
      </c>
      <c r="AF322" s="92">
        <f t="shared" ref="AF322:AK322" si="407">(D322/V322-1)*100</f>
        <v>58.964705882352945</v>
      </c>
      <c r="AG322" s="92">
        <f t="shared" si="407"/>
        <v>52.442996742671014</v>
      </c>
      <c r="AH322" s="92">
        <f t="shared" si="407"/>
        <v>28.764382191095539</v>
      </c>
      <c r="AI322" s="92">
        <f t="shared" si="407"/>
        <v>28.219178082191789</v>
      </c>
      <c r="AJ322" s="92">
        <f t="shared" si="407"/>
        <v>52.255310893394103</v>
      </c>
      <c r="AK322" s="92">
        <f t="shared" si="407"/>
        <v>49.050384220573065</v>
      </c>
      <c r="AM322" s="112">
        <f>AP322-'Figure 8_data'!H534</f>
        <v>0</v>
      </c>
      <c r="AP322" s="92">
        <f t="shared" ref="AP322:AU322" si="408">(D322/D270-1)*100</f>
        <v>31.542056074766343</v>
      </c>
      <c r="AQ322" s="92">
        <f t="shared" si="408"/>
        <v>20.854271356783926</v>
      </c>
      <c r="AR322" s="92">
        <f t="shared" si="408"/>
        <v>8.8832487309644659</v>
      </c>
      <c r="AS322" s="92">
        <f t="shared" si="408"/>
        <v>8.8832487309644659</v>
      </c>
      <c r="AT322" s="92">
        <f t="shared" si="408"/>
        <v>17.837837837837832</v>
      </c>
      <c r="AU322" s="92">
        <f t="shared" si="408"/>
        <v>16.893583516901533</v>
      </c>
    </row>
    <row r="323" spans="1:47" x14ac:dyDescent="0.3">
      <c r="A323" s="13">
        <f t="shared" si="400"/>
        <v>39840</v>
      </c>
      <c r="B323" s="92">
        <f>TWK!B268</f>
        <v>0</v>
      </c>
      <c r="C323" s="92">
        <f>TWK!C268</f>
        <v>0</v>
      </c>
      <c r="D323" s="92">
        <f>TWK!D268</f>
        <v>560</v>
      </c>
      <c r="E323" s="92">
        <f>TWK!E268</f>
        <v>466</v>
      </c>
      <c r="F323" s="92">
        <f>TWK!F268</f>
        <v>414</v>
      </c>
      <c r="G323" s="92">
        <f>TWK!G268</f>
        <v>424</v>
      </c>
      <c r="H323" s="92">
        <f>TWK!H268</f>
        <v>397</v>
      </c>
      <c r="I323" s="92">
        <f>TWK!I268</f>
        <v>544</v>
      </c>
      <c r="K323" s="92">
        <f t="shared" ref="K323:R323" si="409">AVERAGE(B320:B323)</f>
        <v>0</v>
      </c>
      <c r="L323" s="92">
        <f t="shared" si="409"/>
        <v>0</v>
      </c>
      <c r="M323" s="92">
        <f t="shared" si="409"/>
        <v>511</v>
      </c>
      <c r="N323" s="92">
        <f t="shared" si="409"/>
        <v>412</v>
      </c>
      <c r="O323" s="92">
        <f t="shared" si="409"/>
        <v>396</v>
      </c>
      <c r="P323" s="92">
        <f t="shared" si="409"/>
        <v>398.5</v>
      </c>
      <c r="Q323" s="92">
        <f t="shared" si="409"/>
        <v>373.5</v>
      </c>
      <c r="R323" s="92">
        <f t="shared" si="409"/>
        <v>507</v>
      </c>
      <c r="U323" s="92">
        <f t="shared" ref="U323:AA323" si="410">(L167+L219+L271)/3</f>
        <v>0</v>
      </c>
      <c r="V323" s="92">
        <f t="shared" si="410"/>
        <v>365.33333333333331</v>
      </c>
      <c r="W323" s="92">
        <f t="shared" si="410"/>
        <v>327.83333333333331</v>
      </c>
      <c r="X323" s="92">
        <f t="shared" si="410"/>
        <v>336.66666666666669</v>
      </c>
      <c r="Y323" s="92">
        <f t="shared" si="410"/>
        <v>339</v>
      </c>
      <c r="Z323" s="92">
        <f t="shared" si="410"/>
        <v>296</v>
      </c>
      <c r="AA323" s="92">
        <f t="shared" si="410"/>
        <v>399.71761280931588</v>
      </c>
      <c r="AC323" s="112">
        <f>+AF323-'Figure 8_data'!I535</f>
        <v>0</v>
      </c>
      <c r="AF323" s="92">
        <f t="shared" ref="AF323:AK323" si="411">(D323/V323-1)*100</f>
        <v>53.28467153284673</v>
      </c>
      <c r="AG323" s="92">
        <f t="shared" si="411"/>
        <v>42.145399084900873</v>
      </c>
      <c r="AH323" s="92">
        <f t="shared" si="411"/>
        <v>22.970297029702969</v>
      </c>
      <c r="AI323" s="92">
        <f t="shared" si="411"/>
        <v>25.073746312684374</v>
      </c>
      <c r="AJ323" s="92">
        <f t="shared" si="411"/>
        <v>34.121621621621621</v>
      </c>
      <c r="AK323" s="92">
        <f t="shared" si="411"/>
        <v>36.096079473864371</v>
      </c>
      <c r="AM323" s="112">
        <f>AP323-'Figure 8_data'!H535</f>
        <v>0</v>
      </c>
      <c r="AP323" s="92">
        <f t="shared" ref="AP323:AU323" si="412">(D323/D271-1)*100</f>
        <v>25.560538116591935</v>
      </c>
      <c r="AQ323" s="92">
        <f t="shared" si="412"/>
        <v>32.763532763532766</v>
      </c>
      <c r="AR323" s="92">
        <f t="shared" si="412"/>
        <v>18.624641833810895</v>
      </c>
      <c r="AS323" s="92">
        <f t="shared" si="412"/>
        <v>22.190201729106619</v>
      </c>
      <c r="AT323" s="92">
        <f t="shared" si="412"/>
        <v>23.676012461059194</v>
      </c>
      <c r="AU323" s="92">
        <f t="shared" si="412"/>
        <v>23.636363636363633</v>
      </c>
    </row>
    <row r="324" spans="1:47" x14ac:dyDescent="0.3">
      <c r="A324" s="13">
        <f t="shared" si="400"/>
        <v>39847</v>
      </c>
      <c r="B324" s="92">
        <f>TWK!B269</f>
        <v>0</v>
      </c>
      <c r="C324" s="92">
        <f>TWK!C269</f>
        <v>0</v>
      </c>
      <c r="D324" s="92">
        <f>TWK!D269</f>
        <v>456</v>
      </c>
      <c r="E324" s="92">
        <f>TWK!E269</f>
        <v>329</v>
      </c>
      <c r="F324" s="92">
        <f>TWK!F269</f>
        <v>346</v>
      </c>
      <c r="G324" s="92">
        <f>TWK!G269</f>
        <v>346</v>
      </c>
      <c r="H324" s="92">
        <f>TWK!H269</f>
        <v>259</v>
      </c>
      <c r="I324" s="92">
        <f>TWK!I269</f>
        <v>355</v>
      </c>
      <c r="K324" s="92">
        <f t="shared" ref="K324:R324" si="413">AVERAGE(B321:B324)</f>
        <v>0</v>
      </c>
      <c r="L324" s="92">
        <f t="shared" si="413"/>
        <v>0</v>
      </c>
      <c r="M324" s="92">
        <f t="shared" si="413"/>
        <v>532.25</v>
      </c>
      <c r="N324" s="92">
        <f t="shared" si="413"/>
        <v>426</v>
      </c>
      <c r="O324" s="92">
        <f t="shared" si="413"/>
        <v>401</v>
      </c>
      <c r="P324" s="92">
        <f t="shared" si="413"/>
        <v>403.5</v>
      </c>
      <c r="Q324" s="92">
        <f t="shared" si="413"/>
        <v>378.25</v>
      </c>
      <c r="R324" s="92">
        <f t="shared" si="413"/>
        <v>513.5</v>
      </c>
      <c r="U324" s="92">
        <f t="shared" ref="U324:AA324" si="414">(L168+L220+L272)/3</f>
        <v>0</v>
      </c>
      <c r="V324" s="92">
        <f t="shared" si="414"/>
        <v>393.08333333333331</v>
      </c>
      <c r="W324" s="92">
        <f t="shared" si="414"/>
        <v>341.66666666666669</v>
      </c>
      <c r="X324" s="92">
        <f t="shared" si="414"/>
        <v>341.33333333333331</v>
      </c>
      <c r="Y324" s="92">
        <f t="shared" si="414"/>
        <v>344.25</v>
      </c>
      <c r="Z324" s="92">
        <f t="shared" si="414"/>
        <v>301</v>
      </c>
      <c r="AA324" s="92">
        <f t="shared" si="414"/>
        <v>406.21761280931588</v>
      </c>
      <c r="AC324" s="112">
        <f>+AF324-'Figure 8_data'!I536</f>
        <v>0</v>
      </c>
      <c r="AF324" s="92">
        <f t="shared" ref="AF324:AK324" si="415">(D324/V324-1)*100</f>
        <v>16.005935976256104</v>
      </c>
      <c r="AG324" s="92">
        <f t="shared" si="415"/>
        <v>-3.707317073170735</v>
      </c>
      <c r="AH324" s="92">
        <f t="shared" si="415"/>
        <v>1.3671875</v>
      </c>
      <c r="AI324" s="92">
        <f t="shared" si="415"/>
        <v>0.50835148874364133</v>
      </c>
      <c r="AJ324" s="92">
        <f t="shared" si="415"/>
        <v>-13.953488372093027</v>
      </c>
      <c r="AK324" s="92">
        <f t="shared" si="415"/>
        <v>-12.608417556074347</v>
      </c>
      <c r="AM324" s="112">
        <f>AP324-'Figure 8_data'!H536</f>
        <v>0</v>
      </c>
      <c r="AP324" s="92">
        <f t="shared" ref="AP324:AU324" si="416">(D324/D272-1)*100</f>
        <v>-8.4337349397590415</v>
      </c>
      <c r="AQ324" s="92">
        <f t="shared" si="416"/>
        <v>-6.0000000000000053</v>
      </c>
      <c r="AR324" s="92">
        <f t="shared" si="416"/>
        <v>-4.6831955922865038</v>
      </c>
      <c r="AS324" s="92">
        <f t="shared" si="416"/>
        <v>-4.6831955922865038</v>
      </c>
      <c r="AT324" s="92">
        <f t="shared" si="416"/>
        <v>-16.181229773462778</v>
      </c>
      <c r="AU324" s="92">
        <f t="shared" si="416"/>
        <v>-15.2744630071599</v>
      </c>
    </row>
    <row r="325" spans="1:47" x14ac:dyDescent="0.3">
      <c r="A325" s="13">
        <f t="shared" si="400"/>
        <v>39854</v>
      </c>
      <c r="B325" s="92">
        <f>TWK!B270</f>
        <v>0</v>
      </c>
      <c r="C325" s="92">
        <f>TWK!C270</f>
        <v>0</v>
      </c>
      <c r="D325" s="92">
        <f>TWK!D270</f>
        <v>356</v>
      </c>
      <c r="E325" s="92">
        <f>TWK!E270</f>
        <v>256</v>
      </c>
      <c r="F325" s="92">
        <f>TWK!F270</f>
        <v>269</v>
      </c>
      <c r="G325" s="92">
        <f>TWK!G270</f>
        <v>269</v>
      </c>
      <c r="H325" s="92">
        <f>TWK!H270</f>
        <v>230</v>
      </c>
      <c r="I325" s="92">
        <f>TWK!I270</f>
        <v>315</v>
      </c>
      <c r="K325" s="92">
        <f t="shared" ref="K325:R325" si="417">AVERAGE(B322:B325)</f>
        <v>0</v>
      </c>
      <c r="L325" s="92">
        <f t="shared" si="417"/>
        <v>0</v>
      </c>
      <c r="M325" s="92">
        <f t="shared" si="417"/>
        <v>483.75</v>
      </c>
      <c r="N325" s="92">
        <f t="shared" si="417"/>
        <v>383</v>
      </c>
      <c r="O325" s="92">
        <f t="shared" si="417"/>
        <v>364.5</v>
      </c>
      <c r="P325" s="92">
        <f t="shared" si="417"/>
        <v>367</v>
      </c>
      <c r="Q325" s="92">
        <f t="shared" si="417"/>
        <v>330.5</v>
      </c>
      <c r="R325" s="92">
        <f t="shared" si="417"/>
        <v>447.75</v>
      </c>
      <c r="U325" s="92">
        <f t="shared" ref="U325:AA325" si="418">(L169+L221+L273)/3</f>
        <v>0</v>
      </c>
      <c r="V325" s="92">
        <f t="shared" si="418"/>
        <v>405.5</v>
      </c>
      <c r="W325" s="92">
        <f t="shared" si="418"/>
        <v>342.75</v>
      </c>
      <c r="X325" s="92">
        <f t="shared" si="418"/>
        <v>339.25</v>
      </c>
      <c r="Y325" s="92">
        <f t="shared" si="418"/>
        <v>342.25</v>
      </c>
      <c r="Z325" s="92">
        <f t="shared" si="418"/>
        <v>296.41666666666669</v>
      </c>
      <c r="AA325" s="92">
        <f t="shared" si="418"/>
        <v>390.21761280931588</v>
      </c>
      <c r="AC325" s="112">
        <f>+AF325-'Figure 8_data'!I537</f>
        <v>0</v>
      </c>
      <c r="AF325" s="92">
        <f t="shared" ref="AF325:AK325" si="419">(D325/V325-1)*100</f>
        <v>-12.207151664611594</v>
      </c>
      <c r="AG325" s="92">
        <f t="shared" si="419"/>
        <v>-25.309992706053976</v>
      </c>
      <c r="AH325" s="92">
        <f t="shared" si="419"/>
        <v>-20.707442888725126</v>
      </c>
      <c r="AI325" s="92">
        <f t="shared" si="419"/>
        <v>-21.402483564645724</v>
      </c>
      <c r="AJ325" s="92">
        <f t="shared" si="419"/>
        <v>-22.406522350295198</v>
      </c>
      <c r="AK325" s="92">
        <f t="shared" si="419"/>
        <v>-19.275811839398393</v>
      </c>
      <c r="AM325" s="112">
        <f>AP325-'Figure 8_data'!H537</f>
        <v>0</v>
      </c>
      <c r="AP325" s="92">
        <f t="shared" ref="AP325:AU325" si="420">(D325/D273-1)*100</f>
        <v>-24.255319148936174</v>
      </c>
      <c r="AQ325" s="92">
        <f t="shared" si="420"/>
        <v>-32.275132275132279</v>
      </c>
      <c r="AR325" s="92">
        <f t="shared" si="420"/>
        <v>-30.129870129870127</v>
      </c>
      <c r="AS325" s="92">
        <f t="shared" si="420"/>
        <v>-30.490956072351416</v>
      </c>
      <c r="AT325" s="92">
        <f t="shared" si="420"/>
        <v>-32.352941176470587</v>
      </c>
      <c r="AU325" s="92">
        <f t="shared" si="420"/>
        <v>-7.3529411764705843</v>
      </c>
    </row>
    <row r="326" spans="1:47" x14ac:dyDescent="0.3">
      <c r="A326" s="13">
        <f t="shared" si="400"/>
        <v>39861</v>
      </c>
      <c r="B326" s="92">
        <f>TWK!B271</f>
        <v>0</v>
      </c>
      <c r="C326" s="92">
        <f>TWK!C271</f>
        <v>315</v>
      </c>
      <c r="D326" s="92">
        <f>TWK!D271</f>
        <v>310</v>
      </c>
      <c r="E326" s="92">
        <f>TWK!E271</f>
        <v>226.66666666666666</v>
      </c>
      <c r="F326" s="92">
        <f>TWK!F271</f>
        <v>228.33333333333334</v>
      </c>
      <c r="G326" s="92">
        <f>TWK!G271</f>
        <v>228.33333333333334</v>
      </c>
      <c r="H326" s="92">
        <f>TWK!H271</f>
        <v>200</v>
      </c>
      <c r="I326" s="92">
        <f>TWK!I271</f>
        <v>282.82387190684136</v>
      </c>
      <c r="K326" s="92">
        <f t="shared" ref="K326:R326" si="421">AVERAGE(B323:B326)</f>
        <v>0</v>
      </c>
      <c r="L326" s="92">
        <f t="shared" si="421"/>
        <v>78.75</v>
      </c>
      <c r="M326" s="92">
        <f t="shared" si="421"/>
        <v>420.5</v>
      </c>
      <c r="N326" s="92">
        <f t="shared" si="421"/>
        <v>319.41666666666669</v>
      </c>
      <c r="O326" s="92">
        <f t="shared" si="421"/>
        <v>314.33333333333331</v>
      </c>
      <c r="P326" s="92">
        <f t="shared" si="421"/>
        <v>316.83333333333331</v>
      </c>
      <c r="Q326" s="92">
        <f t="shared" si="421"/>
        <v>271.5</v>
      </c>
      <c r="R326" s="92">
        <f t="shared" si="421"/>
        <v>374.20596797671033</v>
      </c>
      <c r="U326" s="92">
        <f t="shared" ref="U326:AA326" si="422">(L170+L222+L274)/3</f>
        <v>0</v>
      </c>
      <c r="V326" s="92">
        <f t="shared" si="422"/>
        <v>417.33333333333331</v>
      </c>
      <c r="W326" s="92">
        <f t="shared" si="422"/>
        <v>339.75</v>
      </c>
      <c r="X326" s="92">
        <f t="shared" si="422"/>
        <v>330</v>
      </c>
      <c r="Y326" s="92">
        <f t="shared" si="422"/>
        <v>332.41666666666669</v>
      </c>
      <c r="Z326" s="92">
        <f t="shared" si="422"/>
        <v>292.5</v>
      </c>
      <c r="AA326" s="92">
        <f t="shared" si="422"/>
        <v>381.66666666666669</v>
      </c>
      <c r="AC326" s="112">
        <f>+AF326-'Figure 8_data'!I538</f>
        <v>0</v>
      </c>
      <c r="AF326" s="92">
        <f t="shared" ref="AF326:AK326" si="423">(D326/V326-1)*100</f>
        <v>-25.718849840255587</v>
      </c>
      <c r="AG326" s="92">
        <f t="shared" si="423"/>
        <v>-33.284277655138581</v>
      </c>
      <c r="AH326" s="92">
        <f t="shared" si="423"/>
        <v>-30.808080808080806</v>
      </c>
      <c r="AI326" s="92">
        <f t="shared" si="423"/>
        <v>-31.311105540235651</v>
      </c>
      <c r="AJ326" s="92">
        <f t="shared" si="423"/>
        <v>-31.623931623931622</v>
      </c>
      <c r="AK326" s="92">
        <f t="shared" si="423"/>
        <v>-25.897675482923667</v>
      </c>
      <c r="AM326" s="112">
        <f>AP326-'Figure 8_data'!H538</f>
        <v>0</v>
      </c>
      <c r="AP326" s="92">
        <f t="shared" ref="AP326:AU326" si="424">(D326/D274-1)*100</f>
        <v>-38</v>
      </c>
      <c r="AQ326" s="92">
        <f t="shared" si="424"/>
        <v>-42.616033755274266</v>
      </c>
      <c r="AR326" s="92">
        <f t="shared" si="424"/>
        <v>-40.22687609075043</v>
      </c>
      <c r="AS326" s="92">
        <f t="shared" si="424"/>
        <v>-40.846286701208982</v>
      </c>
      <c r="AT326" s="92">
        <f t="shared" si="424"/>
        <v>-44.289693593314759</v>
      </c>
      <c r="AU326" s="92">
        <f t="shared" si="424"/>
        <v>-40.079688155330217</v>
      </c>
    </row>
    <row r="327" spans="1:47" x14ac:dyDescent="0.3">
      <c r="A327" s="13">
        <f t="shared" ref="A327:A332" si="425">7+A326</f>
        <v>39868</v>
      </c>
      <c r="B327" s="92">
        <f>TWK!B272</f>
        <v>0</v>
      </c>
      <c r="C327" s="92">
        <f>TWK!C272</f>
        <v>303</v>
      </c>
      <c r="D327" s="92">
        <f>TWK!D272</f>
        <v>305</v>
      </c>
      <c r="E327" s="92">
        <f>TWK!E272</f>
        <v>226</v>
      </c>
      <c r="F327" s="92">
        <f>TWK!F272</f>
        <v>222</v>
      </c>
      <c r="G327" s="92">
        <f>TWK!G272</f>
        <v>222</v>
      </c>
      <c r="H327" s="92">
        <f>TWK!H272</f>
        <v>200</v>
      </c>
      <c r="I327" s="92">
        <f>TWK!I272</f>
        <v>274</v>
      </c>
      <c r="K327" s="92">
        <f t="shared" ref="K327:R327" si="426">AVERAGE(B324:B327)</f>
        <v>0</v>
      </c>
      <c r="L327" s="92">
        <f t="shared" si="426"/>
        <v>154.5</v>
      </c>
      <c r="M327" s="92">
        <f t="shared" si="426"/>
        <v>356.75</v>
      </c>
      <c r="N327" s="92">
        <f t="shared" si="426"/>
        <v>259.41666666666663</v>
      </c>
      <c r="O327" s="92">
        <f t="shared" si="426"/>
        <v>266.33333333333337</v>
      </c>
      <c r="P327" s="92">
        <f t="shared" si="426"/>
        <v>266.33333333333337</v>
      </c>
      <c r="Q327" s="92">
        <f t="shared" si="426"/>
        <v>222.25</v>
      </c>
      <c r="R327" s="92">
        <f t="shared" si="426"/>
        <v>306.70596797671033</v>
      </c>
      <c r="U327" s="92">
        <f t="shared" ref="U327:AA327" si="427">(L171+L223+L275)/3</f>
        <v>31.916666666666668</v>
      </c>
      <c r="V327" s="92">
        <f t="shared" si="427"/>
        <v>422.5</v>
      </c>
      <c r="W327" s="92">
        <f t="shared" si="427"/>
        <v>339.66666666666669</v>
      </c>
      <c r="X327" s="92">
        <f t="shared" si="427"/>
        <v>326.75</v>
      </c>
      <c r="Y327" s="92">
        <f t="shared" si="427"/>
        <v>328.58333333333331</v>
      </c>
      <c r="Z327" s="92">
        <f t="shared" si="427"/>
        <v>290.41666666666669</v>
      </c>
      <c r="AA327" s="92">
        <f t="shared" si="427"/>
        <v>379.33333333333331</v>
      </c>
      <c r="AC327" s="112">
        <f>+AF327-'Figure 8_data'!I539</f>
        <v>0</v>
      </c>
      <c r="AF327" s="92">
        <f t="shared" ref="AF327:AK327" si="428">(D327/V327-1)*100</f>
        <v>-27.810650887573964</v>
      </c>
      <c r="AG327" s="92">
        <f t="shared" si="428"/>
        <v>-33.464180569185473</v>
      </c>
      <c r="AH327" s="92">
        <f t="shared" si="428"/>
        <v>-32.058148431522568</v>
      </c>
      <c r="AI327" s="92">
        <f t="shared" si="428"/>
        <v>-32.437230535125536</v>
      </c>
      <c r="AJ327" s="92">
        <f t="shared" si="428"/>
        <v>-31.133428981348644</v>
      </c>
      <c r="AK327" s="92">
        <f t="shared" si="428"/>
        <v>-27.768014059753952</v>
      </c>
      <c r="AM327" s="112">
        <f>AP327-'Figure 8_data'!H539</f>
        <v>0</v>
      </c>
      <c r="AP327" s="92">
        <f t="shared" ref="AP327:AU327" si="429">(D327/D275-1)*100</f>
        <v>-42.344045368620044</v>
      </c>
      <c r="AQ327" s="92">
        <f t="shared" si="429"/>
        <v>-47.196261682242991</v>
      </c>
      <c r="AR327" s="92">
        <f t="shared" si="429"/>
        <v>-42.930591259640103</v>
      </c>
      <c r="AS327" s="92">
        <f t="shared" si="429"/>
        <v>-43.797468354430379</v>
      </c>
      <c r="AT327" s="92">
        <f t="shared" si="429"/>
        <v>-46.666666666666664</v>
      </c>
      <c r="AU327" s="92">
        <f t="shared" si="429"/>
        <v>-46.692607003891048</v>
      </c>
    </row>
    <row r="328" spans="1:47" x14ac:dyDescent="0.3">
      <c r="A328" s="13">
        <f t="shared" si="425"/>
        <v>39875</v>
      </c>
      <c r="B328" s="92">
        <f>TWK!B273</f>
        <v>0</v>
      </c>
      <c r="C328" s="92">
        <f>TWK!C273</f>
        <v>288</v>
      </c>
      <c r="D328" s="92">
        <f>TWK!D273</f>
        <v>282</v>
      </c>
      <c r="E328" s="92">
        <f>TWK!E273</f>
        <v>217</v>
      </c>
      <c r="F328" s="92">
        <f>TWK!F273</f>
        <v>217</v>
      </c>
      <c r="G328" s="92">
        <f>TWK!G273</f>
        <v>217</v>
      </c>
      <c r="H328" s="92">
        <f>TWK!H273</f>
        <v>198</v>
      </c>
      <c r="I328" s="92">
        <f>TWK!I273</f>
        <v>272</v>
      </c>
      <c r="K328" s="92">
        <f t="shared" ref="K328:R328" si="430">AVERAGE(B325:B328)</f>
        <v>0</v>
      </c>
      <c r="L328" s="92">
        <f t="shared" si="430"/>
        <v>226.5</v>
      </c>
      <c r="M328" s="92">
        <f t="shared" si="430"/>
        <v>313.25</v>
      </c>
      <c r="N328" s="92">
        <f t="shared" si="430"/>
        <v>231.41666666666666</v>
      </c>
      <c r="O328" s="92">
        <f t="shared" si="430"/>
        <v>234.08333333333334</v>
      </c>
      <c r="P328" s="92">
        <f t="shared" si="430"/>
        <v>234.08333333333334</v>
      </c>
      <c r="Q328" s="92">
        <f t="shared" si="430"/>
        <v>207</v>
      </c>
      <c r="R328" s="92">
        <f t="shared" si="430"/>
        <v>285.95596797671033</v>
      </c>
      <c r="U328" s="92">
        <f t="shared" ref="U328:AA328" si="431">(L172+L224+L276)/3</f>
        <v>172.16666666666666</v>
      </c>
      <c r="V328" s="92">
        <f t="shared" si="431"/>
        <v>403.72916666666669</v>
      </c>
      <c r="W328" s="92">
        <f t="shared" si="431"/>
        <v>328.89583333333331</v>
      </c>
      <c r="X328" s="92">
        <f t="shared" si="431"/>
        <v>322.625</v>
      </c>
      <c r="Y328" s="92">
        <f t="shared" si="431"/>
        <v>323.91666666666669</v>
      </c>
      <c r="Z328" s="92">
        <f t="shared" si="431"/>
        <v>285.95833333333331</v>
      </c>
      <c r="AA328" s="92">
        <f t="shared" si="431"/>
        <v>375.08842794759829</v>
      </c>
      <c r="AC328" s="112">
        <f>+AF328-'Figure 8_data'!I540</f>
        <v>0</v>
      </c>
      <c r="AE328" s="92">
        <f t="shared" ref="AE328:AK328" si="432">(C328/U328-1)*100</f>
        <v>67.279767666989358</v>
      </c>
      <c r="AF328" s="92">
        <f t="shared" si="432"/>
        <v>-30.151194592084217</v>
      </c>
      <c r="AG328" s="92">
        <f t="shared" si="432"/>
        <v>-34.021663393931711</v>
      </c>
      <c r="AH328" s="92">
        <f t="shared" si="432"/>
        <v>-32.739248353351414</v>
      </c>
      <c r="AI328" s="92">
        <f t="shared" si="432"/>
        <v>-33.007460766658092</v>
      </c>
      <c r="AJ328" s="92">
        <f t="shared" si="432"/>
        <v>-30.759143231822815</v>
      </c>
      <c r="AK328" s="92">
        <f t="shared" si="432"/>
        <v>-27.483766564507363</v>
      </c>
      <c r="AM328" s="112">
        <f>AP328-'Figure 8_data'!H540</f>
        <v>0</v>
      </c>
      <c r="AP328" s="92">
        <f t="shared" ref="AP328:AU328" si="433">(D328/D276-1)*100</f>
        <v>-36.450704225352112</v>
      </c>
      <c r="AQ328" s="92">
        <f t="shared" si="433"/>
        <v>-37.777777777777779</v>
      </c>
      <c r="AR328" s="92">
        <f t="shared" si="433"/>
        <v>-41.744966442953022</v>
      </c>
      <c r="AS328" s="92">
        <f t="shared" si="433"/>
        <v>-42.133333333333333</v>
      </c>
      <c r="AT328" s="92">
        <f t="shared" si="433"/>
        <v>-39.541984732824432</v>
      </c>
      <c r="AU328" s="92">
        <f t="shared" si="433"/>
        <v>-39.429182671269515</v>
      </c>
    </row>
    <row r="329" spans="1:47" x14ac:dyDescent="0.3">
      <c r="A329" s="13">
        <f t="shared" si="425"/>
        <v>39882</v>
      </c>
      <c r="B329" s="92">
        <f>TWK!B274</f>
        <v>0</v>
      </c>
      <c r="C329" s="92">
        <f>TWK!C274</f>
        <v>273</v>
      </c>
      <c r="D329" s="92">
        <f>TWK!D274</f>
        <v>267</v>
      </c>
      <c r="E329" s="92">
        <f>TWK!E274</f>
        <v>208</v>
      </c>
      <c r="F329" s="92">
        <f>TWK!F274</f>
        <v>208</v>
      </c>
      <c r="G329" s="92">
        <f>TWK!G274</f>
        <v>208</v>
      </c>
      <c r="H329" s="92">
        <f>TWK!H274</f>
        <v>185</v>
      </c>
      <c r="I329" s="92">
        <f>TWK!I274</f>
        <v>254</v>
      </c>
      <c r="K329" s="92">
        <f t="shared" ref="K329:R329" si="434">AVERAGE(B326:B329)</f>
        <v>0</v>
      </c>
      <c r="L329" s="92">
        <f t="shared" si="434"/>
        <v>294.75</v>
      </c>
      <c r="M329" s="92">
        <f t="shared" si="434"/>
        <v>291</v>
      </c>
      <c r="N329" s="92">
        <f t="shared" si="434"/>
        <v>219.41666666666666</v>
      </c>
      <c r="O329" s="92">
        <f t="shared" si="434"/>
        <v>218.83333333333334</v>
      </c>
      <c r="P329" s="92">
        <f t="shared" si="434"/>
        <v>218.83333333333334</v>
      </c>
      <c r="Q329" s="92">
        <f t="shared" si="434"/>
        <v>195.75</v>
      </c>
      <c r="R329" s="92">
        <f t="shared" si="434"/>
        <v>270.70596797671033</v>
      </c>
      <c r="U329" s="92">
        <f t="shared" ref="U329:AA329" si="435">(L173+L225+L277)/3</f>
        <v>202.58333333333334</v>
      </c>
      <c r="V329" s="92">
        <f t="shared" si="435"/>
        <v>391.39583333333331</v>
      </c>
      <c r="W329" s="92">
        <f t="shared" si="435"/>
        <v>318.39583333333331</v>
      </c>
      <c r="X329" s="92">
        <f t="shared" si="435"/>
        <v>317.45833333333331</v>
      </c>
      <c r="Y329" s="92">
        <f t="shared" si="435"/>
        <v>319.16666666666669</v>
      </c>
      <c r="Z329" s="92">
        <f t="shared" si="435"/>
        <v>277.29166666666669</v>
      </c>
      <c r="AA329" s="92">
        <f t="shared" si="435"/>
        <v>377.67176128093161</v>
      </c>
      <c r="AC329" s="112">
        <f>+AF329-'Figure 8_data'!I541</f>
        <v>0</v>
      </c>
      <c r="AE329" s="92">
        <f t="shared" ref="AE329:AK329" si="436">(C329/U329-1)*100</f>
        <v>34.759358288770038</v>
      </c>
      <c r="AF329" s="92">
        <f t="shared" si="436"/>
        <v>-31.782615638473409</v>
      </c>
      <c r="AG329" s="92">
        <f t="shared" si="436"/>
        <v>-34.672511941372761</v>
      </c>
      <c r="AH329" s="92">
        <f t="shared" si="436"/>
        <v>-34.479590497440604</v>
      </c>
      <c r="AI329" s="92">
        <f t="shared" si="436"/>
        <v>-34.83028720626632</v>
      </c>
      <c r="AJ329" s="92">
        <f t="shared" si="436"/>
        <v>-33.283245679939895</v>
      </c>
      <c r="AK329" s="92">
        <f t="shared" si="436"/>
        <v>-32.745832217235382</v>
      </c>
      <c r="AM329" s="112">
        <f>AP329-'Figure 8_data'!H541</f>
        <v>0</v>
      </c>
      <c r="AP329" s="92">
        <f t="shared" ref="AP329:AU329" si="437">(D329/D277-1)*100</f>
        <v>-44.948453608247419</v>
      </c>
      <c r="AQ329" s="92">
        <f t="shared" si="437"/>
        <v>-47.474747474747467</v>
      </c>
      <c r="AR329" s="92">
        <f t="shared" si="437"/>
        <v>-47.474747474747467</v>
      </c>
      <c r="AS329" s="92">
        <f t="shared" si="437"/>
        <v>-48</v>
      </c>
      <c r="AT329" s="92">
        <f t="shared" si="437"/>
        <v>-42.546583850931675</v>
      </c>
      <c r="AU329" s="92">
        <f t="shared" si="437"/>
        <v>-42.403628117913826</v>
      </c>
    </row>
    <row r="330" spans="1:47" x14ac:dyDescent="0.3">
      <c r="A330" s="13">
        <f t="shared" si="425"/>
        <v>39889</v>
      </c>
      <c r="B330" s="92">
        <f>TWK!B275</f>
        <v>0</v>
      </c>
      <c r="C330" s="92">
        <f>TWK!C275</f>
        <v>283</v>
      </c>
      <c r="D330" s="92">
        <f>TWK!D275</f>
        <v>265</v>
      </c>
      <c r="E330" s="92">
        <f>TWK!E275</f>
        <v>219</v>
      </c>
      <c r="F330" s="92">
        <f>TWK!F275</f>
        <v>214</v>
      </c>
      <c r="G330" s="92">
        <f>TWK!G275</f>
        <v>214</v>
      </c>
      <c r="H330" s="92">
        <f>TWK!H275</f>
        <v>189</v>
      </c>
      <c r="I330" s="92">
        <f>TWK!I275</f>
        <v>259</v>
      </c>
      <c r="K330" s="92">
        <f t="shared" ref="K330:R330" si="438">AVERAGE(B327:B330)</f>
        <v>0</v>
      </c>
      <c r="L330" s="92">
        <f t="shared" si="438"/>
        <v>286.75</v>
      </c>
      <c r="M330" s="92">
        <f t="shared" si="438"/>
        <v>279.75</v>
      </c>
      <c r="N330" s="92">
        <f t="shared" si="438"/>
        <v>217.5</v>
      </c>
      <c r="O330" s="92">
        <f t="shared" si="438"/>
        <v>215.25</v>
      </c>
      <c r="P330" s="92">
        <f t="shared" si="438"/>
        <v>215.25</v>
      </c>
      <c r="Q330" s="92">
        <f t="shared" si="438"/>
        <v>193</v>
      </c>
      <c r="R330" s="92">
        <f t="shared" si="438"/>
        <v>264.75</v>
      </c>
      <c r="U330" s="92">
        <f t="shared" ref="U330:AA330" si="439">(L174+L226+L278)/3</f>
        <v>268.51388888888891</v>
      </c>
      <c r="V330" s="92">
        <f t="shared" si="439"/>
        <v>374.0625</v>
      </c>
      <c r="W330" s="92">
        <f t="shared" si="439"/>
        <v>305.52083333333331</v>
      </c>
      <c r="X330" s="92">
        <f t="shared" si="439"/>
        <v>316.375</v>
      </c>
      <c r="Y330" s="92">
        <f t="shared" si="439"/>
        <v>317.86111111111109</v>
      </c>
      <c r="Z330" s="92">
        <f t="shared" si="439"/>
        <v>266.51388888888891</v>
      </c>
      <c r="AA330" s="92">
        <f t="shared" si="439"/>
        <v>363.23386705482773</v>
      </c>
      <c r="AC330" s="112">
        <f>+AF330-'Figure 8_data'!I542</f>
        <v>0</v>
      </c>
      <c r="AE330" s="92">
        <f t="shared" ref="AE330:AK330" si="440">(C330/U330-1)*100</f>
        <v>5.3949206020793339</v>
      </c>
      <c r="AF330" s="92">
        <f t="shared" si="440"/>
        <v>-29.156223893066002</v>
      </c>
      <c r="AG330" s="92">
        <f t="shared" si="440"/>
        <v>-28.319127173542448</v>
      </c>
      <c r="AH330" s="92">
        <f t="shared" si="440"/>
        <v>-32.358751481627813</v>
      </c>
      <c r="AI330" s="92">
        <f t="shared" si="440"/>
        <v>-32.67499781525823</v>
      </c>
      <c r="AJ330" s="92">
        <f t="shared" si="440"/>
        <v>-29.084371254364484</v>
      </c>
      <c r="AK330" s="92">
        <f t="shared" si="440"/>
        <v>-28.696076139589245</v>
      </c>
      <c r="AM330" s="112">
        <f>AP330-'Figure 8_data'!H542</f>
        <v>0</v>
      </c>
      <c r="AO330" s="92">
        <f t="shared" ref="AO330:AU330" si="441">(C330/C278-1)*100</f>
        <v>-40.105820105820115</v>
      </c>
      <c r="AP330" s="92">
        <f t="shared" si="441"/>
        <v>-38.372093023255815</v>
      </c>
      <c r="AQ330" s="92">
        <f t="shared" si="441"/>
        <v>-36.058394160583937</v>
      </c>
      <c r="AR330" s="92">
        <f t="shared" si="441"/>
        <v>-45.822784810126585</v>
      </c>
      <c r="AS330" s="92">
        <f t="shared" si="441"/>
        <v>-45.593220338983052</v>
      </c>
      <c r="AT330" s="92">
        <f t="shared" si="441"/>
        <v>-39.358288770053484</v>
      </c>
      <c r="AU330" s="92">
        <f t="shared" si="441"/>
        <v>-37.552030323237283</v>
      </c>
    </row>
    <row r="331" spans="1:47" x14ac:dyDescent="0.3">
      <c r="A331" s="13">
        <f t="shared" si="425"/>
        <v>39896</v>
      </c>
      <c r="B331" s="92">
        <f>TWK!B276</f>
        <v>336.66666666666669</v>
      </c>
      <c r="C331" s="92">
        <f>TWK!C276</f>
        <v>308</v>
      </c>
      <c r="D331" s="92">
        <f>TWK!D276</f>
        <v>271</v>
      </c>
      <c r="E331" s="92">
        <f>TWK!E276</f>
        <v>228</v>
      </c>
      <c r="F331" s="92">
        <f>TWK!F276</f>
        <v>212.5</v>
      </c>
      <c r="G331" s="92">
        <f>TWK!G276</f>
        <v>212.5</v>
      </c>
      <c r="H331" s="92">
        <f>TWK!H276</f>
        <v>196.25</v>
      </c>
      <c r="I331" s="92">
        <f>TWK!I276</f>
        <v>214.4279475982533</v>
      </c>
      <c r="K331" s="92">
        <f>AVERAGE(B331)</f>
        <v>336.66666666666669</v>
      </c>
      <c r="L331" s="92">
        <f t="shared" ref="L331:R331" si="442">AVERAGE(C328:C331)</f>
        <v>288</v>
      </c>
      <c r="M331" s="92">
        <f t="shared" si="442"/>
        <v>271.25</v>
      </c>
      <c r="N331" s="92">
        <f t="shared" si="442"/>
        <v>218</v>
      </c>
      <c r="O331" s="92">
        <f t="shared" si="442"/>
        <v>212.875</v>
      </c>
      <c r="P331" s="92">
        <f t="shared" si="442"/>
        <v>212.875</v>
      </c>
      <c r="Q331" s="92">
        <f t="shared" si="442"/>
        <v>192.0625</v>
      </c>
      <c r="R331" s="92">
        <f t="shared" si="442"/>
        <v>249.85698689956331</v>
      </c>
      <c r="U331" s="92">
        <f t="shared" ref="U331:AA331" si="443">(L175+L227+L279)/3</f>
        <v>303.875</v>
      </c>
      <c r="V331" s="92">
        <f t="shared" si="443"/>
        <v>357.5625</v>
      </c>
      <c r="W331" s="92">
        <f t="shared" si="443"/>
        <v>287.85416666666669</v>
      </c>
      <c r="X331" s="92">
        <f t="shared" si="443"/>
        <v>307.875</v>
      </c>
      <c r="Y331" s="92">
        <f t="shared" si="443"/>
        <v>308.6944444444444</v>
      </c>
      <c r="Z331" s="92">
        <f t="shared" si="443"/>
        <v>253.93055555555557</v>
      </c>
      <c r="AA331" s="92">
        <f t="shared" si="443"/>
        <v>341.3172003881611</v>
      </c>
      <c r="AC331" s="112">
        <f>+AF331-'Figure 8_data'!I543</f>
        <v>0</v>
      </c>
      <c r="AD331" s="92" t="e">
        <f t="shared" ref="AD331:AK331" si="444">(B331/T331-1)*100</f>
        <v>#DIV/0!</v>
      </c>
      <c r="AE331" s="92">
        <f t="shared" si="444"/>
        <v>1.3574660633484115</v>
      </c>
      <c r="AF331" s="92">
        <f t="shared" si="444"/>
        <v>-24.209054361125681</v>
      </c>
      <c r="AG331" s="92">
        <f t="shared" si="444"/>
        <v>-20.793225736411671</v>
      </c>
      <c r="AH331" s="92">
        <f t="shared" si="444"/>
        <v>-30.978481526593583</v>
      </c>
      <c r="AI331" s="92">
        <f t="shared" si="444"/>
        <v>-31.161702510573196</v>
      </c>
      <c r="AJ331" s="92">
        <f t="shared" si="444"/>
        <v>-22.715090521249248</v>
      </c>
      <c r="AK331" s="92">
        <f t="shared" si="444"/>
        <v>-37.176342899099048</v>
      </c>
      <c r="AM331" s="112">
        <f>AP331-'Figure 8_data'!H543</f>
        <v>0</v>
      </c>
      <c r="AO331" s="92">
        <f t="shared" ref="AO331:AU331" si="445">(C331/C279-1)*100</f>
        <v>-39.961013645224178</v>
      </c>
      <c r="AP331" s="92">
        <f t="shared" si="445"/>
        <v>-42.217484008528785</v>
      </c>
      <c r="AQ331" s="92">
        <f t="shared" si="445"/>
        <v>-35.410764872521248</v>
      </c>
      <c r="AR331" s="92">
        <f t="shared" si="445"/>
        <v>-45.512820512820518</v>
      </c>
      <c r="AS331" s="92">
        <f t="shared" si="445"/>
        <v>-45.231958762886592</v>
      </c>
      <c r="AT331" s="92">
        <f t="shared" si="445"/>
        <v>-37.698412698412696</v>
      </c>
      <c r="AU331" s="92">
        <f t="shared" si="445"/>
        <v>-48.454820288881415</v>
      </c>
    </row>
    <row r="332" spans="1:47" x14ac:dyDescent="0.3">
      <c r="A332" s="13">
        <f t="shared" si="425"/>
        <v>39903</v>
      </c>
      <c r="B332" s="92">
        <f>TWK!B277</f>
        <v>320</v>
      </c>
      <c r="C332" s="92">
        <f>TWK!C277</f>
        <v>275</v>
      </c>
      <c r="D332" s="92">
        <f>TWK!D277</f>
        <v>248.75</v>
      </c>
      <c r="E332" s="92">
        <f>TWK!E277</f>
        <v>202.5</v>
      </c>
      <c r="F332" s="92">
        <f>TWK!F277</f>
        <v>208.33333333333334</v>
      </c>
      <c r="G332" s="92">
        <f>TWK!G277</f>
        <v>208.33333333333334</v>
      </c>
      <c r="H332" s="92">
        <f>TWK!H277</f>
        <v>188.33333333333334</v>
      </c>
      <c r="I332" s="92">
        <f>TWK!I277</f>
        <v>261.17903930131007</v>
      </c>
      <c r="K332" s="92">
        <f>AVERAGE(B331:B332)</f>
        <v>328.33333333333337</v>
      </c>
      <c r="L332" s="92">
        <f t="shared" ref="L332" si="446">AVERAGE(C329:C332)</f>
        <v>284.75</v>
      </c>
      <c r="M332" s="92">
        <f t="shared" ref="M332" si="447">AVERAGE(D329:D332)</f>
        <v>262.9375</v>
      </c>
      <c r="N332" s="92">
        <f t="shared" ref="N332" si="448">AVERAGE(E329:E332)</f>
        <v>214.375</v>
      </c>
      <c r="O332" s="92">
        <f t="shared" ref="O332" si="449">AVERAGE(F329:F332)</f>
        <v>210.70833333333334</v>
      </c>
      <c r="P332" s="92">
        <f t="shared" ref="P332" si="450">AVERAGE(G329:G332)</f>
        <v>210.70833333333334</v>
      </c>
      <c r="Q332" s="92">
        <f t="shared" ref="Q332" si="451">AVERAGE(H329:H332)</f>
        <v>189.64583333333334</v>
      </c>
      <c r="R332" s="92">
        <f t="shared" ref="R332" si="452">AVERAGE(I329:I332)</f>
        <v>247.15174672489081</v>
      </c>
      <c r="U332" s="92">
        <f t="shared" ref="U332" si="453">(L176+L228+L280)/3</f>
        <v>341.45833333333331</v>
      </c>
      <c r="V332" s="92">
        <f t="shared" ref="V332" si="454">(M176+M228+M280)/3</f>
        <v>349.91666666666669</v>
      </c>
      <c r="W332" s="92">
        <f t="shared" ref="W332" si="455">(N176+N228+N280)/3</f>
        <v>280.20833333333331</v>
      </c>
      <c r="X332" s="92">
        <f t="shared" ref="X332" si="456">(O176+O228+O280)/3</f>
        <v>301.66666666666669</v>
      </c>
      <c r="Y332" s="92">
        <f t="shared" ref="Y332" si="457">(P176+P228+P280)/3</f>
        <v>302.6944444444444</v>
      </c>
      <c r="Z332" s="92">
        <f t="shared" ref="Z332" si="458">(Q176+Q228+Q280)/3</f>
        <v>246.36805555555557</v>
      </c>
      <c r="AA332" s="92">
        <f t="shared" ref="AA332" si="459">(R176+R228+R280)/3</f>
        <v>329.52298641436192</v>
      </c>
      <c r="AC332" s="112">
        <f>+AF332-'Figure 8_data'!I544</f>
        <v>0</v>
      </c>
      <c r="AD332" s="92" t="e">
        <f t="shared" ref="AD332" si="460">(B332/T332-1)*100</f>
        <v>#DIV/0!</v>
      </c>
      <c r="AE332" s="92">
        <f t="shared" ref="AE332" si="461">(C332/U332-1)*100</f>
        <v>-19.463087248322143</v>
      </c>
      <c r="AF332" s="92">
        <f t="shared" ref="AF332" si="462">(D332/V332-1)*100</f>
        <v>-28.911645629911888</v>
      </c>
      <c r="AG332" s="92">
        <f t="shared" ref="AG332" si="463">(E332/W332-1)*100</f>
        <v>-27.732342007434941</v>
      </c>
      <c r="AH332" s="92">
        <f t="shared" ref="AH332" si="464">(F332/X332-1)*100</f>
        <v>-30.939226519337016</v>
      </c>
      <c r="AI332" s="92">
        <f t="shared" ref="AI332" si="465">(G332/Y332-1)*100</f>
        <v>-31.173717536936763</v>
      </c>
      <c r="AJ332" s="92">
        <f t="shared" ref="AJ332" si="466">(H332/Z332-1)*100</f>
        <v>-23.556106773402487</v>
      </c>
      <c r="AK332" s="92">
        <f t="shared" ref="AK332" si="467">(I332/AA332-1)*100</f>
        <v>-20.740266970970001</v>
      </c>
      <c r="AM332" s="112">
        <f>AP332-'Figure 8_data'!H544</f>
        <v>0</v>
      </c>
      <c r="AO332" s="92">
        <f t="shared" ref="AO332" si="468">(C332/C280-1)*100</f>
        <v>-47.619047619047613</v>
      </c>
      <c r="AP332" s="92">
        <f t="shared" ref="AP332" si="469">(D332/D280-1)*100</f>
        <v>-42.684331797235018</v>
      </c>
      <c r="AQ332" s="92">
        <f t="shared" ref="AQ332" si="470">(E332/E280-1)*100</f>
        <v>-43.435754189944134</v>
      </c>
      <c r="AR332" s="92">
        <f t="shared" ref="AR332" si="471">(F332/F280-1)*100</f>
        <v>-50.159489633173848</v>
      </c>
      <c r="AS332" s="92">
        <f t="shared" ref="AS332" si="472">(G332/G280-1)*100</f>
        <v>-50.396825396825392</v>
      </c>
      <c r="AT332" s="92">
        <f t="shared" ref="AT332" si="473">(H332/H280-1)*100</f>
        <v>-40.775681341719071</v>
      </c>
      <c r="AU332" s="92">
        <f t="shared" ref="AU332" si="474">(I332/I280-1)*100</f>
        <v>-39.958841539928727</v>
      </c>
    </row>
    <row r="333" spans="1:47" x14ac:dyDescent="0.3">
      <c r="A333" s="13">
        <f t="shared" ref="A333:A567" si="475">7+A332</f>
        <v>39910</v>
      </c>
      <c r="B333" s="92">
        <f>TWK!B278</f>
        <v>318.75</v>
      </c>
      <c r="C333" s="92">
        <f>TWK!C278</f>
        <v>276</v>
      </c>
      <c r="D333" s="92">
        <f>TWK!D278</f>
        <v>253</v>
      </c>
      <c r="E333" s="92">
        <f>TWK!E278</f>
        <v>201</v>
      </c>
      <c r="F333" s="92">
        <f>TWK!F278</f>
        <v>210</v>
      </c>
      <c r="G333" s="92">
        <f>TWK!G278</f>
        <v>210</v>
      </c>
      <c r="H333" s="92">
        <f>TWK!H278</f>
        <v>186.25</v>
      </c>
      <c r="I333" s="92">
        <f>TWK!I278</f>
        <v>258.67903930131007</v>
      </c>
      <c r="K333" s="92">
        <f>AVERAGE(B331:B333)</f>
        <v>325.13888888888891</v>
      </c>
      <c r="L333" s="92">
        <f t="shared" ref="L333" si="476">AVERAGE(C330:C333)</f>
        <v>285.5</v>
      </c>
      <c r="M333" s="92">
        <f t="shared" ref="M333" si="477">AVERAGE(D330:D333)</f>
        <v>259.4375</v>
      </c>
      <c r="N333" s="92">
        <f t="shared" ref="N333" si="478">AVERAGE(E330:E333)</f>
        <v>212.625</v>
      </c>
      <c r="O333" s="92">
        <f t="shared" ref="O333" si="479">AVERAGE(F330:F333)</f>
        <v>211.20833333333334</v>
      </c>
      <c r="P333" s="92">
        <f t="shared" ref="P333" si="480">AVERAGE(G330:G333)</f>
        <v>211.20833333333334</v>
      </c>
      <c r="Q333" s="92">
        <f t="shared" ref="Q333" si="481">AVERAGE(H330:H333)</f>
        <v>189.95833333333334</v>
      </c>
      <c r="R333" s="92">
        <f t="shared" ref="R333" si="482">AVERAGE(I330:I333)</f>
        <v>248.32150655021837</v>
      </c>
      <c r="T333" s="92">
        <f t="shared" ref="T333" si="483">(K177+K229+K281)/3</f>
        <v>201.11111111111111</v>
      </c>
      <c r="U333" s="92">
        <f t="shared" ref="U333" si="484">(L177+L229+L281)/3</f>
        <v>371.83333333333331</v>
      </c>
      <c r="V333" s="92">
        <f t="shared" ref="V333" si="485">(M177+M229+M281)/3</f>
        <v>337.95833333333331</v>
      </c>
      <c r="W333" s="92">
        <f t="shared" ref="W333" si="486">(N177+N229+N281)/3</f>
        <v>267.4375</v>
      </c>
      <c r="X333" s="92">
        <f t="shared" ref="X333" si="487">(O177+O229+O281)/3</f>
        <v>292.4375</v>
      </c>
      <c r="Y333" s="92">
        <f t="shared" ref="Y333" si="488">(P177+P229+P281)/3</f>
        <v>293.21527777777777</v>
      </c>
      <c r="Z333" s="92">
        <f t="shared" ref="Z333" si="489">(Q177+Q229+Q281)/3</f>
        <v>239.26388888888891</v>
      </c>
      <c r="AA333" s="92">
        <f t="shared" ref="AA333" si="490">(R177+R229+R281)/3</f>
        <v>318.79691290635611</v>
      </c>
      <c r="AC333" s="112">
        <f>+AF333-'Figure 8_data'!I545</f>
        <v>0</v>
      </c>
      <c r="AD333" s="92">
        <f t="shared" ref="AD333" si="491">(B333/T333-1)*100</f>
        <v>58.494475138121537</v>
      </c>
      <c r="AE333" s="92">
        <f t="shared" ref="AE333" si="492">(C333/U333-1)*100</f>
        <v>-25.773195876288657</v>
      </c>
      <c r="AF333" s="92">
        <f t="shared" ref="AF333" si="493">(D333/V333-1)*100</f>
        <v>-25.138700530144241</v>
      </c>
      <c r="AG333" s="92">
        <f t="shared" ref="AG333" si="494">(E333/W333-1)*100</f>
        <v>-24.842252862818416</v>
      </c>
      <c r="AH333" s="92">
        <f t="shared" ref="AH333" si="495">(F333/X333-1)*100</f>
        <v>-28.189784141910668</v>
      </c>
      <c r="AI333" s="92">
        <f t="shared" ref="AI333" si="496">(G333/Y333-1)*100</f>
        <v>-28.380266679298018</v>
      </c>
      <c r="AJ333" s="92">
        <f t="shared" ref="AJ333" si="497">(H333/Z333-1)*100</f>
        <v>-22.157079003889258</v>
      </c>
      <c r="AK333" s="92">
        <f t="shared" ref="AK333" si="498">(I333/AA333-1)*100</f>
        <v>-18.857733927525565</v>
      </c>
      <c r="AM333" s="112">
        <f>AP333-'Figure 8_data'!H545</f>
        <v>0</v>
      </c>
      <c r="AO333" s="92">
        <f t="shared" ref="AO333" si="499">(C333/C281-1)*100</f>
        <v>-38.495821727019496</v>
      </c>
      <c r="AP333" s="92">
        <f t="shared" ref="AP333" si="500">(D333/D281-1)*100</f>
        <v>-39.219219219219212</v>
      </c>
      <c r="AQ333" s="92">
        <f t="shared" ref="AQ333" si="501">(E333/E281-1)*100</f>
        <v>-36.941176470588232</v>
      </c>
      <c r="AR333" s="92">
        <f t="shared" ref="AR333" si="502">(F333/F281-1)*100</f>
        <v>-45.980707395498385</v>
      </c>
      <c r="AS333" s="92">
        <f t="shared" ref="AS333" si="503">(G333/G281-1)*100</f>
        <v>-46.666666666666664</v>
      </c>
      <c r="AT333" s="92">
        <f t="shared" ref="AT333" si="504">(H333/H281-1)*100</f>
        <v>-38.174273858921161</v>
      </c>
      <c r="AU333" s="92">
        <f t="shared" ref="AU333" si="505">(I333/I281-1)*100</f>
        <v>-37.376113328223681</v>
      </c>
    </row>
    <row r="334" spans="1:47" x14ac:dyDescent="0.3">
      <c r="A334" s="13">
        <f t="shared" si="475"/>
        <v>39917</v>
      </c>
      <c r="B334" s="92">
        <f>TWK!B279</f>
        <v>311.66666666666669</v>
      </c>
      <c r="C334" s="92">
        <f>TWK!C279</f>
        <v>277.5</v>
      </c>
      <c r="D334" s="92">
        <f>TWK!D279</f>
        <v>262.5</v>
      </c>
      <c r="E334" s="92">
        <f>TWK!E279</f>
        <v>198.75</v>
      </c>
      <c r="F334" s="92">
        <f>TWK!F279</f>
        <v>223.33333333333334</v>
      </c>
      <c r="G334" s="92">
        <f>TWK!G279</f>
        <v>223.33333333333334</v>
      </c>
      <c r="H334" s="92">
        <f>TWK!H279</f>
        <v>190</v>
      </c>
      <c r="I334" s="92">
        <f>TWK!I279</f>
        <v>260.52401746724894</v>
      </c>
      <c r="K334" s="92">
        <f t="shared" ref="K334:K339" si="506">AVERAGE(B331:B334)</f>
        <v>321.77083333333337</v>
      </c>
      <c r="L334" s="92">
        <f t="shared" ref="L334" si="507">AVERAGE(C331:C334)</f>
        <v>284.125</v>
      </c>
      <c r="M334" s="92">
        <f t="shared" ref="M334" si="508">AVERAGE(D331:D334)</f>
        <v>258.8125</v>
      </c>
      <c r="N334" s="92">
        <f t="shared" ref="N334" si="509">AVERAGE(E331:E334)</f>
        <v>207.5625</v>
      </c>
      <c r="O334" s="92">
        <f t="shared" ref="O334" si="510">AVERAGE(F331:F334)</f>
        <v>213.54166666666669</v>
      </c>
      <c r="P334" s="92">
        <f t="shared" ref="P334" si="511">AVERAGE(G331:G334)</f>
        <v>213.54166666666669</v>
      </c>
      <c r="Q334" s="92">
        <f t="shared" ref="Q334" si="512">AVERAGE(H331:H334)</f>
        <v>190.20833333333334</v>
      </c>
      <c r="R334" s="92">
        <f t="shared" ref="R334" si="513">AVERAGE(I331:I334)</f>
        <v>248.70251091703062</v>
      </c>
      <c r="T334" s="92">
        <f t="shared" ref="T334" si="514">(K178+K230+K282)/3</f>
        <v>384.15740740740745</v>
      </c>
      <c r="U334" s="92">
        <f t="shared" ref="U334" si="515">(L178+L230+L282)/3</f>
        <v>362.72916666666669</v>
      </c>
      <c r="V334" s="92">
        <f t="shared" ref="V334" si="516">(M178+M230+M282)/3</f>
        <v>329.25</v>
      </c>
      <c r="W334" s="92">
        <f t="shared" ref="W334" si="517">(N178+N230+N282)/3</f>
        <v>254.95833333333334</v>
      </c>
      <c r="X334" s="92">
        <f t="shared" ref="X334" si="518">(O178+O230+O282)/3</f>
        <v>286.125</v>
      </c>
      <c r="Y334" s="92">
        <f t="shared" ref="Y334" si="519">(P178+P230+P282)/3</f>
        <v>286.66666666666669</v>
      </c>
      <c r="Z334" s="92">
        <f t="shared" ref="Z334" si="520">(Q178+Q230+Q282)/3</f>
        <v>232.89583333333334</v>
      </c>
      <c r="AA334" s="92">
        <f t="shared" ref="AA334" si="521">(R178+R230+R282)/3</f>
        <v>312.7477256186317</v>
      </c>
      <c r="AC334" s="112">
        <f>+AF334-'Figure 8_data'!I546</f>
        <v>0</v>
      </c>
      <c r="AD334" s="92">
        <f t="shared" ref="AD334" si="522">(B334/T334-1)*100</f>
        <v>-18.870061944129766</v>
      </c>
      <c r="AE334" s="92">
        <f t="shared" ref="AE334" si="523">(C334/U334-1)*100</f>
        <v>-23.496640055137561</v>
      </c>
      <c r="AF334" s="92">
        <f t="shared" ref="AF334" si="524">(D334/V334-1)*100</f>
        <v>-20.273348519362187</v>
      </c>
      <c r="AG334" s="92">
        <f t="shared" ref="AG334" si="525">(E334/W334-1)*100</f>
        <v>-22.046085961758454</v>
      </c>
      <c r="AH334" s="92">
        <f t="shared" ref="AH334" si="526">(F334/X334-1)*100</f>
        <v>-21.945536624435704</v>
      </c>
      <c r="AI334" s="92">
        <f t="shared" ref="AI334" si="527">(G334/Y334-1)*100</f>
        <v>-22.093023255813961</v>
      </c>
      <c r="AJ334" s="92">
        <f t="shared" ref="AJ334" si="528">(H334/Z334-1)*100</f>
        <v>-18.418463189909652</v>
      </c>
      <c r="AK334" s="92">
        <f t="shared" ref="AK334" si="529">(I334/AA334-1)*100</f>
        <v>-16.698349459802298</v>
      </c>
      <c r="AM334" s="112">
        <f>AP334-'Figure 8_data'!H546</f>
        <v>0</v>
      </c>
      <c r="AN334" s="92">
        <f t="shared" ref="AN334" si="530">(B334/B282-1)*100</f>
        <v>-33.214285714285715</v>
      </c>
      <c r="AO334" s="92">
        <f t="shared" ref="AO334" si="531">(C334/C282-1)*100</f>
        <v>-37.815126050420169</v>
      </c>
      <c r="AP334" s="92">
        <f t="shared" ref="AP334" si="532">(D334/D282-1)*100</f>
        <v>-35.582822085889575</v>
      </c>
      <c r="AQ334" s="92">
        <f t="shared" ref="AQ334" si="533">(E334/E282-1)*100</f>
        <v>-34.567901234567898</v>
      </c>
      <c r="AR334" s="92">
        <f t="shared" ref="AR334" si="534">(F334/F282-1)*100</f>
        <v>-38.17762399077278</v>
      </c>
      <c r="AS334" s="92">
        <f t="shared" ref="AS334" si="535">(G334/G282-1)*100</f>
        <v>-37.746806039488966</v>
      </c>
      <c r="AT334" s="92">
        <f t="shared" ref="AT334" si="536">(H334/H282-1)*100</f>
        <v>-33.624454148471614</v>
      </c>
      <c r="AU334" s="92">
        <f t="shared" ref="AU334" si="537">(I334/I282-1)*100</f>
        <v>-33.624454148471607</v>
      </c>
    </row>
    <row r="335" spans="1:47" x14ac:dyDescent="0.3">
      <c r="A335" s="13">
        <f t="shared" si="475"/>
        <v>39924</v>
      </c>
      <c r="B335" s="92">
        <f>TWK!B280</f>
        <v>303.33333333333331</v>
      </c>
      <c r="C335" s="92">
        <f>TWK!C280</f>
        <v>266.25</v>
      </c>
      <c r="D335" s="92">
        <f>TWK!D280</f>
        <v>258.75</v>
      </c>
      <c r="E335" s="92">
        <f>TWK!E280</f>
        <v>197.5</v>
      </c>
      <c r="F335" s="92">
        <f>TWK!F280</f>
        <v>217.5</v>
      </c>
      <c r="G335" s="92">
        <f>TWK!G280</f>
        <v>217.5</v>
      </c>
      <c r="H335" s="92">
        <f>TWK!H280</f>
        <v>180</v>
      </c>
      <c r="I335" s="92">
        <f>TWK!I280</f>
        <v>246.81222707423584</v>
      </c>
      <c r="K335" s="92">
        <f t="shared" si="506"/>
        <v>313.4375</v>
      </c>
      <c r="L335" s="92">
        <f t="shared" ref="L335" si="538">AVERAGE(C332:C335)</f>
        <v>273.6875</v>
      </c>
      <c r="M335" s="92">
        <f t="shared" ref="M335" si="539">AVERAGE(D332:D335)</f>
        <v>255.75</v>
      </c>
      <c r="N335" s="92">
        <f t="shared" ref="N335" si="540">AVERAGE(E332:E335)</f>
        <v>199.9375</v>
      </c>
      <c r="O335" s="92">
        <f t="shared" ref="O335" si="541">AVERAGE(F332:F335)</f>
        <v>214.79166666666669</v>
      </c>
      <c r="P335" s="92">
        <f t="shared" ref="P335" si="542">AVERAGE(G332:G335)</f>
        <v>214.79166666666669</v>
      </c>
      <c r="Q335" s="92">
        <f t="shared" ref="Q335" si="543">AVERAGE(H332:H335)</f>
        <v>186.14583333333334</v>
      </c>
      <c r="R335" s="92">
        <f t="shared" ref="R335" si="544">AVERAGE(I332:I335)</f>
        <v>256.79858078602621</v>
      </c>
      <c r="T335" s="92">
        <f t="shared" ref="T335" si="545">(K179+K231+K283)/3</f>
        <v>391.58333333333331</v>
      </c>
      <c r="U335" s="92">
        <f t="shared" ref="U335" si="546">(L179+L231+L283)/3</f>
        <v>355.44583333333338</v>
      </c>
      <c r="V335" s="92">
        <f t="shared" ref="V335" si="547">(M179+M231+M283)/3</f>
        <v>319.83333333333331</v>
      </c>
      <c r="W335" s="92">
        <f t="shared" ref="W335" si="548">(N179+N231+N283)/3</f>
        <v>246.20833333333334</v>
      </c>
      <c r="X335" s="92">
        <f t="shared" ref="X335" si="549">(O179+O231+O283)/3</f>
        <v>280.20833333333331</v>
      </c>
      <c r="Y335" s="92">
        <f t="shared" ref="Y335" si="550">(P179+P231+P283)/3</f>
        <v>280.91666666666669</v>
      </c>
      <c r="Z335" s="92">
        <f t="shared" ref="Z335" si="551">(Q179+Q231+Q283)/3</f>
        <v>228.8125</v>
      </c>
      <c r="AA335" s="92">
        <f t="shared" ref="AA335" si="552">(R179+R231+R283)/3</f>
        <v>312.0333879184862</v>
      </c>
      <c r="AC335" s="112">
        <f>+AF335-'Figure 8_data'!I547</f>
        <v>0</v>
      </c>
      <c r="AD335" s="92">
        <f t="shared" ref="AD335" si="553">(B335/T335-1)*100</f>
        <v>-22.536709938284737</v>
      </c>
      <c r="AE335" s="92">
        <f t="shared" ref="AE335" si="554">(C335/U335-1)*100</f>
        <v>-25.094071998780887</v>
      </c>
      <c r="AF335" s="92">
        <f t="shared" ref="AF335" si="555">(D335/V335-1)*100</f>
        <v>-19.098488796248038</v>
      </c>
      <c r="AG335" s="92">
        <f t="shared" ref="AG335" si="556">(E335/W335-1)*100</f>
        <v>-19.783381282788969</v>
      </c>
      <c r="AH335" s="92">
        <f t="shared" ref="AH335" si="557">(F335/X335-1)*100</f>
        <v>-22.379182156133826</v>
      </c>
      <c r="AI335" s="92">
        <f t="shared" ref="AI335" si="558">(G335/Y335-1)*100</f>
        <v>-22.574903589439344</v>
      </c>
      <c r="AJ335" s="92">
        <f t="shared" ref="AJ335" si="559">(H335/Z335-1)*100</f>
        <v>-21.332969134116365</v>
      </c>
      <c r="AK335" s="92">
        <f t="shared" ref="AK335" si="560">(I335/AA335-1)*100</f>
        <v>-20.901981444783203</v>
      </c>
      <c r="AM335" s="112">
        <f>AP335-'Figure 8_data'!H547</f>
        <v>0</v>
      </c>
      <c r="AN335" s="92">
        <f t="shared" ref="AN335" si="561">(B335/B283-1)*100</f>
        <v>-42.767295597484278</v>
      </c>
      <c r="AO335" s="92">
        <f t="shared" ref="AO335" si="562">(C335/C283-1)*100</f>
        <v>-44.415448851774528</v>
      </c>
      <c r="AP335" s="92">
        <f t="shared" ref="AP335" si="563">(D335/D283-1)*100</f>
        <v>-38.539192399049881</v>
      </c>
      <c r="AQ335" s="92">
        <f t="shared" ref="AQ335" si="564">(E335/E283-1)*100</f>
        <v>-38.473520249221181</v>
      </c>
      <c r="AR335" s="92">
        <f t="shared" ref="AR335" si="565">(F335/F283-1)*100</f>
        <v>-37.679083094555878</v>
      </c>
      <c r="AS335" s="92">
        <f t="shared" ref="AS335" si="566">(G335/G283-1)*100</f>
        <v>-37.679083094555878</v>
      </c>
      <c r="AT335" s="92">
        <f t="shared" ref="AT335" si="567">(H335/H283-1)*100</f>
        <v>-42.857142857142861</v>
      </c>
      <c r="AU335" s="92">
        <f t="shared" ref="AU335" si="568">(I335/I283-1)*100</f>
        <v>-42.867540029112071</v>
      </c>
    </row>
    <row r="336" spans="1:47" x14ac:dyDescent="0.3">
      <c r="A336" s="13">
        <f t="shared" si="475"/>
        <v>39931</v>
      </c>
      <c r="B336" s="92">
        <f>TWK!B281</f>
        <v>293</v>
      </c>
      <c r="C336" s="92">
        <f>TWK!C281</f>
        <v>260</v>
      </c>
      <c r="D336" s="92">
        <f>TWK!D281</f>
        <v>249</v>
      </c>
      <c r="E336" s="92">
        <f>TWK!E281</f>
        <v>198</v>
      </c>
      <c r="F336" s="92">
        <f>TWK!F281</f>
        <v>208</v>
      </c>
      <c r="G336" s="92">
        <f>TWK!G281</f>
        <v>208</v>
      </c>
      <c r="H336" s="92">
        <f>TWK!H281</f>
        <v>178</v>
      </c>
      <c r="I336" s="92">
        <f>TWK!I281</f>
        <v>249</v>
      </c>
      <c r="K336" s="92">
        <f t="shared" si="506"/>
        <v>306.6875</v>
      </c>
      <c r="L336" s="92">
        <f t="shared" ref="L336" si="569">AVERAGE(C333:C336)</f>
        <v>269.9375</v>
      </c>
      <c r="M336" s="92">
        <f t="shared" ref="M336" si="570">AVERAGE(D333:D336)</f>
        <v>255.8125</v>
      </c>
      <c r="N336" s="92">
        <f t="shared" ref="N336" si="571">AVERAGE(E333:E336)</f>
        <v>198.8125</v>
      </c>
      <c r="O336" s="92">
        <f t="shared" ref="O336" si="572">AVERAGE(F333:F336)</f>
        <v>214.70833333333334</v>
      </c>
      <c r="P336" s="92">
        <f t="shared" ref="P336" si="573">AVERAGE(G333:G336)</f>
        <v>214.70833333333334</v>
      </c>
      <c r="Q336" s="92">
        <f t="shared" ref="Q336" si="574">AVERAGE(H333:H336)</f>
        <v>183.5625</v>
      </c>
      <c r="R336" s="92">
        <f t="shared" ref="R336" si="575">AVERAGE(I333:I336)</f>
        <v>253.7538209606987</v>
      </c>
      <c r="T336" s="92">
        <f t="shared" ref="T336" si="576">(K180+K232+K284)/3</f>
        <v>388.50462962962962</v>
      </c>
      <c r="U336" s="92">
        <f t="shared" ref="U336" si="577">(L180+L232+L284)/3</f>
        <v>343.91805555555555</v>
      </c>
      <c r="V336" s="92">
        <f t="shared" ref="V336" si="578">(M180+M232+M284)/3</f>
        <v>311.43055555555554</v>
      </c>
      <c r="W336" s="92">
        <f t="shared" ref="W336" si="579">(N180+N232+N284)/3</f>
        <v>238.98611111111111</v>
      </c>
      <c r="X336" s="92">
        <f t="shared" ref="X336" si="580">(O180+O232+O284)/3</f>
        <v>269.26388888888886</v>
      </c>
      <c r="Y336" s="92">
        <f t="shared" ref="Y336" si="581">(P180+P232+P284)/3</f>
        <v>269.63888888888886</v>
      </c>
      <c r="Z336" s="92">
        <f t="shared" ref="Z336" si="582">(Q180+Q232+Q284)/3</f>
        <v>222.13888888888889</v>
      </c>
      <c r="AA336" s="92">
        <f t="shared" ref="AA336" si="583">(R180+R232+R284)/3</f>
        <v>303.61362809315864</v>
      </c>
      <c r="AC336" s="112">
        <f>+AF336-'Figure 8_data'!I548</f>
        <v>0</v>
      </c>
      <c r="AD336" s="92">
        <f t="shared" ref="AD336" si="584">(B336/T336-1)*100</f>
        <v>-24.58262330636224</v>
      </c>
      <c r="AE336" s="92">
        <f t="shared" ref="AE336" si="585">(C336/U336-1)*100</f>
        <v>-24.40059607222328</v>
      </c>
      <c r="AF336" s="92">
        <f t="shared" ref="AF336" si="586">(D336/V336-1)*100</f>
        <v>-20.046380948133613</v>
      </c>
      <c r="AG336" s="92">
        <f t="shared" ref="AG336" si="587">(E336/W336-1)*100</f>
        <v>-17.149997094205848</v>
      </c>
      <c r="AH336" s="92">
        <f t="shared" ref="AH336" si="588">(F336/X336-1)*100</f>
        <v>-22.75235982875121</v>
      </c>
      <c r="AI336" s="92">
        <f t="shared" ref="AI336" si="589">(G336/Y336-1)*100</f>
        <v>-22.85979190275058</v>
      </c>
      <c r="AJ336" s="92">
        <f t="shared" ref="AJ336" si="590">(H336/Z336-1)*100</f>
        <v>-19.869951231711891</v>
      </c>
      <c r="AK336" s="92">
        <f t="shared" ref="AK336" si="591">(I336/AA336-1)*100</f>
        <v>-17.987871109791353</v>
      </c>
      <c r="AM336" s="112">
        <f>AP336-'Figure 8_data'!H548</f>
        <v>0</v>
      </c>
      <c r="AN336" s="92">
        <f t="shared" ref="AN336" si="592">(B336/B284-1)*100</f>
        <v>-43.217054263565892</v>
      </c>
      <c r="AO336" s="92">
        <f t="shared" ref="AO336" si="593">(C336/C284-1)*100</f>
        <v>-43.600867678958785</v>
      </c>
      <c r="AP336" s="92">
        <f t="shared" ref="AP336" si="594">(D336/D284-1)*100</f>
        <v>-35.824742268041234</v>
      </c>
      <c r="AQ336" s="92">
        <f t="shared" ref="AQ336" si="595">(E336/E284-1)*100</f>
        <v>-35.922330097087375</v>
      </c>
      <c r="AR336" s="92">
        <f t="shared" ref="AR336" si="596">(F336/F284-1)*100</f>
        <v>-36.196319018404907</v>
      </c>
      <c r="AS336" s="92">
        <f t="shared" ref="AS336" si="597">(G336/G284-1)*100</f>
        <v>-36.196319018404907</v>
      </c>
      <c r="AT336" s="92">
        <f t="shared" ref="AT336" si="598">(H336/H284-1)*100</f>
        <v>-36.200716845878134</v>
      </c>
      <c r="AU336" s="92">
        <f t="shared" ref="AU336" si="599">(I336/I284-1)*100</f>
        <v>-34.816753926701573</v>
      </c>
    </row>
    <row r="337" spans="1:47" x14ac:dyDescent="0.3">
      <c r="A337" s="13">
        <f t="shared" si="475"/>
        <v>39938</v>
      </c>
      <c r="B337" s="92">
        <f>TWK!B282</f>
        <v>286.25</v>
      </c>
      <c r="C337" s="92">
        <f>TWK!C282</f>
        <v>252</v>
      </c>
      <c r="D337" s="92">
        <f>TWK!D282</f>
        <v>249</v>
      </c>
      <c r="E337" s="92">
        <f>TWK!E282</f>
        <v>191</v>
      </c>
      <c r="F337" s="92">
        <f>TWK!F282</f>
        <v>203.75</v>
      </c>
      <c r="G337" s="92">
        <f>TWK!G282</f>
        <v>203.75</v>
      </c>
      <c r="H337" s="92">
        <f>TWK!H282</f>
        <v>177</v>
      </c>
      <c r="I337" s="92">
        <f>TWK!I282</f>
        <v>235.33624454148472</v>
      </c>
      <c r="K337" s="92">
        <f t="shared" si="506"/>
        <v>298.5625</v>
      </c>
      <c r="L337" s="92">
        <f t="shared" ref="L337" si="600">AVERAGE(C334:C337)</f>
        <v>263.9375</v>
      </c>
      <c r="M337" s="92">
        <f t="shared" ref="M337" si="601">AVERAGE(D334:D337)</f>
        <v>254.8125</v>
      </c>
      <c r="N337" s="92">
        <f t="shared" ref="N337" si="602">AVERAGE(E334:E337)</f>
        <v>196.3125</v>
      </c>
      <c r="O337" s="92">
        <f t="shared" ref="O337" si="603">AVERAGE(F334:F337)</f>
        <v>213.14583333333334</v>
      </c>
      <c r="P337" s="92">
        <f t="shared" ref="P337" si="604">AVERAGE(G334:G337)</f>
        <v>213.14583333333334</v>
      </c>
      <c r="Q337" s="92">
        <f t="shared" ref="Q337" si="605">AVERAGE(H334:H337)</f>
        <v>181.25</v>
      </c>
      <c r="R337" s="92">
        <f t="shared" ref="R337" si="606">AVERAGE(I334:I337)</f>
        <v>247.91812227074237</v>
      </c>
      <c r="T337" s="92">
        <f t="shared" ref="T337" si="607">(K181+K233+K285)/3</f>
        <v>385.1805555555556</v>
      </c>
      <c r="U337" s="92">
        <f t="shared" ref="U337" si="608">(L181+L233+L285)/3</f>
        <v>343.61250000000001</v>
      </c>
      <c r="V337" s="92">
        <f t="shared" ref="V337" si="609">(M181+M233+M285)/3</f>
        <v>308.98611111111109</v>
      </c>
      <c r="W337" s="92">
        <f t="shared" ref="W337" si="610">(N181+N233+N285)/3</f>
        <v>238.15972222222226</v>
      </c>
      <c r="X337" s="92">
        <f t="shared" ref="X337" si="611">(O181+O233+O285)/3</f>
        <v>264.11805555555554</v>
      </c>
      <c r="Y337" s="92">
        <f t="shared" ref="Y337" si="612">(P181+P233+P285)/3</f>
        <v>263.52083333333331</v>
      </c>
      <c r="Z337" s="92">
        <f t="shared" ref="Z337" si="613">(Q181+Q233+Q285)/3</f>
        <v>219.57638888888889</v>
      </c>
      <c r="AA337" s="92">
        <f t="shared" ref="AA337" si="614">(R181+R233+R285)/3</f>
        <v>298.89871421639981</v>
      </c>
      <c r="AC337" s="112">
        <f>+AF337-'Figure 8_data'!I549</f>
        <v>0</v>
      </c>
      <c r="AD337" s="92">
        <f t="shared" ref="AD337" si="615">(B337/T337-1)*100</f>
        <v>-25.684202935131438</v>
      </c>
      <c r="AE337" s="92">
        <f t="shared" ref="AE337" si="616">(C337/U337-1)*100</f>
        <v>-26.661573720397246</v>
      </c>
      <c r="AF337" s="92">
        <f t="shared" ref="AF337" si="617">(D337/V337-1)*100</f>
        <v>-19.413853553288074</v>
      </c>
      <c r="AG337" s="92">
        <f t="shared" ref="AG337" si="618">(E337/W337-1)*100</f>
        <v>-19.80172036740051</v>
      </c>
      <c r="AH337" s="92">
        <f t="shared" ref="AH337" si="619">(F337/X337-1)*100</f>
        <v>-22.85646675255698</v>
      </c>
      <c r="AI337" s="92">
        <f t="shared" ref="AI337" si="620">(G337/Y337-1)*100</f>
        <v>-22.681634911850736</v>
      </c>
      <c r="AJ337" s="92">
        <f t="shared" ref="AJ337" si="621">(H337/Z337-1)*100</f>
        <v>-19.390240045542239</v>
      </c>
      <c r="AK337" s="92">
        <f t="shared" ref="AK337" si="622">(I337/AA337-1)*100</f>
        <v>-21.265554735339698</v>
      </c>
      <c r="AM337" s="112">
        <f>AP337-'Figure 8_data'!H549</f>
        <v>0</v>
      </c>
      <c r="AN337" s="92">
        <f t="shared" ref="AN337" si="623">(B337/B285-1)*100</f>
        <v>-44.200779727095515</v>
      </c>
      <c r="AO337" s="92">
        <f t="shared" ref="AO337" si="624">(C337/C285-1)*100</f>
        <v>-45.336225596529289</v>
      </c>
      <c r="AP337" s="92">
        <f t="shared" ref="AP337" si="625">(D337/D285-1)*100</f>
        <v>-34.98694516971279</v>
      </c>
      <c r="AQ337" s="92">
        <f t="shared" ref="AQ337" si="626">(E337/E285-1)*100</f>
        <v>-37.377049180327873</v>
      </c>
      <c r="AR337" s="92">
        <f t="shared" ref="AR337" si="627">(F337/F285-1)*100</f>
        <v>-38.069908814589667</v>
      </c>
      <c r="AS337" s="92">
        <f t="shared" ref="AS337" si="628">(G337/G285-1)*100</f>
        <v>-38.069908814589667</v>
      </c>
      <c r="AT337" s="92">
        <f t="shared" ref="AT337" si="629">(H337/H285-1)*100</f>
        <v>-35.869565217391312</v>
      </c>
      <c r="AU337" s="92">
        <f t="shared" ref="AU337" si="630">(I337/I285-1)*100</f>
        <v>-37.243668122270748</v>
      </c>
    </row>
    <row r="338" spans="1:47" x14ac:dyDescent="0.3">
      <c r="A338" s="13">
        <f t="shared" si="475"/>
        <v>39945</v>
      </c>
      <c r="B338" s="92">
        <f>TWK!B283</f>
        <v>323.75</v>
      </c>
      <c r="C338" s="92">
        <f>TWK!C283</f>
        <v>278</v>
      </c>
      <c r="D338" s="92">
        <f>TWK!D283</f>
        <v>273</v>
      </c>
      <c r="E338" s="92">
        <f>TWK!E283</f>
        <v>200</v>
      </c>
      <c r="F338" s="92">
        <f>TWK!F283</f>
        <v>210</v>
      </c>
      <c r="G338" s="92">
        <f>TWK!G283</f>
        <v>210</v>
      </c>
      <c r="H338" s="92">
        <f>TWK!H283</f>
        <v>181.25</v>
      </c>
      <c r="I338" s="92">
        <f>TWK!I283</f>
        <v>236.8231441048035</v>
      </c>
      <c r="K338" s="92">
        <f t="shared" si="506"/>
        <v>301.58333333333331</v>
      </c>
      <c r="L338" s="92">
        <f t="shared" ref="L338" si="631">AVERAGE(C335:C338)</f>
        <v>264.0625</v>
      </c>
      <c r="M338" s="92">
        <f t="shared" ref="M338" si="632">AVERAGE(D335:D338)</f>
        <v>257.4375</v>
      </c>
      <c r="N338" s="92">
        <f t="shared" ref="N338" si="633">AVERAGE(E335:E338)</f>
        <v>196.625</v>
      </c>
      <c r="O338" s="92">
        <f t="shared" ref="O338" si="634">AVERAGE(F335:F338)</f>
        <v>209.8125</v>
      </c>
      <c r="P338" s="92">
        <f t="shared" ref="P338" si="635">AVERAGE(G335:G338)</f>
        <v>209.8125</v>
      </c>
      <c r="Q338" s="92">
        <f t="shared" ref="Q338" si="636">AVERAGE(H335:H338)</f>
        <v>179.0625</v>
      </c>
      <c r="R338" s="92">
        <f t="shared" ref="R338" si="637">AVERAGE(I335:I338)</f>
        <v>241.99290393013101</v>
      </c>
      <c r="T338" s="92">
        <f t="shared" ref="T338" si="638">(K182+K234+K286)/3</f>
        <v>391.20833333333331</v>
      </c>
      <c r="U338" s="92">
        <f t="shared" ref="U338" si="639">(L182+L234+L286)/3</f>
        <v>348.17500000000001</v>
      </c>
      <c r="V338" s="92">
        <f t="shared" ref="V338" si="640">(M182+M234+M286)/3</f>
        <v>314.86111111111109</v>
      </c>
      <c r="W338" s="92">
        <f t="shared" ref="W338" si="641">(N182+N234+N286)/3</f>
        <v>247.34722222222226</v>
      </c>
      <c r="X338" s="92">
        <f t="shared" ref="X338" si="642">(O182+O234+O286)/3</f>
        <v>260.84722222222223</v>
      </c>
      <c r="Y338" s="92">
        <f t="shared" ref="Y338" si="643">(P182+P234+P286)/3</f>
        <v>260.375</v>
      </c>
      <c r="Z338" s="92">
        <f t="shared" ref="Z338" si="644">(Q182+Q234+Q286)/3</f>
        <v>224.05555555555554</v>
      </c>
      <c r="AA338" s="92">
        <f t="shared" ref="AA338" si="645">(R182+R234+R286)/3</f>
        <v>303.57611596312466</v>
      </c>
      <c r="AC338" s="112">
        <f>+AF338-'Figure 8_data'!I550</f>
        <v>0</v>
      </c>
      <c r="AD338" s="92">
        <f t="shared" ref="AD338" si="646">(B338/T338-1)*100</f>
        <v>-17.2435829161785</v>
      </c>
      <c r="AE338" s="92">
        <f t="shared" ref="AE338" si="647">(C338/U338-1)*100</f>
        <v>-20.155094420909027</v>
      </c>
      <c r="AF338" s="92">
        <f t="shared" ref="AF338" si="648">(D338/V338-1)*100</f>
        <v>-13.295103661226282</v>
      </c>
      <c r="AG338" s="92">
        <f t="shared" ref="AG338" si="649">(E338/W338-1)*100</f>
        <v>-19.142006850468874</v>
      </c>
      <c r="AH338" s="92">
        <f t="shared" ref="AH338" si="650">(F338/X338-1)*100</f>
        <v>-19.493104733507273</v>
      </c>
      <c r="AI338" s="92">
        <f t="shared" ref="AI338" si="651">(G338/Y338-1)*100</f>
        <v>-19.347095535285639</v>
      </c>
      <c r="AJ338" s="92">
        <f t="shared" ref="AJ338" si="652">(H338/Z338-1)*100</f>
        <v>-19.104884701214974</v>
      </c>
      <c r="AK338" s="92">
        <f t="shared" ref="AK338" si="653">(I338/AA338-1)*100</f>
        <v>-21.988874732961417</v>
      </c>
      <c r="AM338" s="112">
        <f>AP338-'Figure 8_data'!H550</f>
        <v>0</v>
      </c>
      <c r="AN338" s="92">
        <f t="shared" ref="AN338" si="654">(B338/B286-1)*100</f>
        <v>-30.376344086021501</v>
      </c>
      <c r="AO338" s="92">
        <f t="shared" ref="AO338" si="655">(C338/C286-1)*100</f>
        <v>-33.012048192771083</v>
      </c>
      <c r="AP338" s="92">
        <f t="shared" ref="AP338" si="656">(D338/D286-1)*100</f>
        <v>-27.586206896551722</v>
      </c>
      <c r="AQ338" s="92">
        <f t="shared" ref="AQ338" si="657">(E338/E286-1)*100</f>
        <v>-31.506849315068497</v>
      </c>
      <c r="AR338" s="92">
        <f t="shared" ref="AR338" si="658">(F338/F286-1)*100</f>
        <v>-32.907348242811494</v>
      </c>
      <c r="AS338" s="92">
        <f t="shared" ref="AS338" si="659">(G338/G286-1)*100</f>
        <v>-32.907348242811494</v>
      </c>
      <c r="AT338" s="92">
        <f t="shared" ref="AT338" si="660">(H338/H286-1)*100</f>
        <v>-31.083650190114064</v>
      </c>
      <c r="AU338" s="92">
        <f t="shared" ref="AU338" si="661">(I338/I286-1)*100</f>
        <v>-34.398021023600137</v>
      </c>
    </row>
    <row r="339" spans="1:47" x14ac:dyDescent="0.3">
      <c r="A339" s="13">
        <f t="shared" si="475"/>
        <v>39952</v>
      </c>
      <c r="B339" s="92">
        <f>TWK!B284</f>
        <v>355</v>
      </c>
      <c r="C339" s="92">
        <f>TWK!C284</f>
        <v>298.33333333333331</v>
      </c>
      <c r="D339" s="92">
        <f>TWK!D284</f>
        <v>271.66666666666669</v>
      </c>
      <c r="E339" s="92">
        <f>TWK!E284</f>
        <v>196.66666666666666</v>
      </c>
      <c r="F339" s="92">
        <f>TWK!F284</f>
        <v>210</v>
      </c>
      <c r="G339" s="92">
        <f>TWK!G284</f>
        <v>210</v>
      </c>
      <c r="H339" s="92">
        <f>TWK!H284</f>
        <v>180</v>
      </c>
      <c r="I339" s="92">
        <f>TWK!I284</f>
        <v>246.81222707423584</v>
      </c>
      <c r="K339" s="92">
        <f t="shared" si="506"/>
        <v>314.5</v>
      </c>
      <c r="L339" s="92">
        <f t="shared" ref="L339" si="662">AVERAGE(C336:C339)</f>
        <v>272.08333333333331</v>
      </c>
      <c r="M339" s="92">
        <f t="shared" ref="M339" si="663">AVERAGE(D336:D339)</f>
        <v>260.66666666666669</v>
      </c>
      <c r="N339" s="92">
        <f t="shared" ref="N339" si="664">AVERAGE(E336:E339)</f>
        <v>196.41666666666666</v>
      </c>
      <c r="O339" s="92">
        <f t="shared" ref="O339" si="665">AVERAGE(F336:F339)</f>
        <v>207.9375</v>
      </c>
      <c r="P339" s="92">
        <f t="shared" ref="P339" si="666">AVERAGE(G336:G339)</f>
        <v>207.9375</v>
      </c>
      <c r="Q339" s="92">
        <f t="shared" ref="Q339" si="667">AVERAGE(H336:H339)</f>
        <v>179.0625</v>
      </c>
      <c r="R339" s="92">
        <f t="shared" ref="R339" si="668">AVERAGE(I336:I339)</f>
        <v>241.99290393013101</v>
      </c>
      <c r="T339" s="92">
        <f t="shared" ref="T339" si="669">(K183+K235+K287)/3</f>
        <v>394.45833333333331</v>
      </c>
      <c r="U339" s="92">
        <f t="shared" ref="U339" si="670">(L183+L235+L287)/3</f>
        <v>353.79166666666669</v>
      </c>
      <c r="V339" s="92">
        <f t="shared" ref="V339" si="671">(M183+M235+M287)/3</f>
        <v>324.6944444444444</v>
      </c>
      <c r="W339" s="92">
        <f t="shared" ref="W339" si="672">(N183+N235+N287)/3</f>
        <v>258.6805555555556</v>
      </c>
      <c r="X339" s="92">
        <f t="shared" ref="X339" si="673">(O183+O235+O287)/3</f>
        <v>265.76388888888886</v>
      </c>
      <c r="Y339" s="92">
        <f t="shared" ref="Y339" si="674">(P183+P235+P287)/3</f>
        <v>265.29166666666669</v>
      </c>
      <c r="Z339" s="92">
        <f t="shared" ref="Z339" si="675">(Q183+Q235+Q287)/3</f>
        <v>232.2222222222222</v>
      </c>
      <c r="AA339" s="92">
        <f t="shared" ref="AA339" si="676">(R183+R235+R287)/3</f>
        <v>313.1237869966036</v>
      </c>
      <c r="AC339" s="112">
        <f>+AF339-'Figure 8_data'!I551</f>
        <v>0</v>
      </c>
      <c r="AD339" s="92">
        <f t="shared" ref="AD339" si="677">(B339/T339-1)*100</f>
        <v>-10.003168902503424</v>
      </c>
      <c r="AE339" s="92">
        <f t="shared" ref="AE339" si="678">(C339/U339-1)*100</f>
        <v>-15.675421034036052</v>
      </c>
      <c r="AF339" s="92">
        <f t="shared" ref="AF339" si="679">(D339/V339-1)*100</f>
        <v>-16.331593806142507</v>
      </c>
      <c r="AG339" s="92">
        <f t="shared" ref="AG339" si="680">(E339/W339-1)*100</f>
        <v>-23.973154362416128</v>
      </c>
      <c r="AH339" s="92">
        <f t="shared" ref="AH339" si="681">(F339/X339-1)*100</f>
        <v>-20.98249281421478</v>
      </c>
      <c r="AI339" s="92">
        <f t="shared" ref="AI339" si="682">(G339/Y339-1)*100</f>
        <v>-20.84184074132245</v>
      </c>
      <c r="AJ339" s="92">
        <f t="shared" ref="AJ339" si="683">(H339/Z339-1)*100</f>
        <v>-22.488038277511958</v>
      </c>
      <c r="AK339" s="92">
        <f t="shared" ref="AK339" si="684">(I339/AA339-1)*100</f>
        <v>-21.177426524637376</v>
      </c>
      <c r="AM339" s="112">
        <f>AP339-'Figure 8_data'!H551</f>
        <v>0</v>
      </c>
      <c r="AN339" s="92">
        <f t="shared" ref="AN339" si="685">(B339/B287-1)*100</f>
        <v>-19.864559819413095</v>
      </c>
      <c r="AO339" s="92">
        <f t="shared" ref="AO339" si="686">(C339/C287-1)*100</f>
        <v>-26.879084967320267</v>
      </c>
      <c r="AP339" s="92">
        <f t="shared" ref="AP339" si="687">(D339/D287-1)*100</f>
        <v>-28.696412948381443</v>
      </c>
      <c r="AQ339" s="92">
        <f t="shared" ref="AQ339" si="688">(E339/E287-1)*100</f>
        <v>-36.55913978494624</v>
      </c>
      <c r="AR339" s="92">
        <f t="shared" ref="AR339" si="689">(F339/F287-1)*100</f>
        <v>-34.169278996865202</v>
      </c>
      <c r="AS339" s="92">
        <f t="shared" ref="AS339" si="690">(G339/G287-1)*100</f>
        <v>-34.375</v>
      </c>
      <c r="AT339" s="92">
        <f t="shared" ref="AT339" si="691">(H339/H287-1)*100</f>
        <v>-38.775510204081634</v>
      </c>
      <c r="AU339" s="92">
        <f t="shared" ref="AU339" si="692">(I339/I287-1)*100</f>
        <v>-37.037697174939844</v>
      </c>
    </row>
    <row r="340" spans="1:47" x14ac:dyDescent="0.3">
      <c r="A340" s="13">
        <f t="shared" si="475"/>
        <v>39959</v>
      </c>
      <c r="B340" s="92">
        <f>TWK!B285</f>
        <v>371.25</v>
      </c>
      <c r="C340" s="92">
        <f>TWK!C285</f>
        <v>306.25</v>
      </c>
      <c r="D340" s="92">
        <f>TWK!D285</f>
        <v>271.25</v>
      </c>
      <c r="E340" s="92">
        <f>TWK!E285</f>
        <v>196.25</v>
      </c>
      <c r="F340" s="92">
        <f>TWK!F285</f>
        <v>208.75</v>
      </c>
      <c r="G340" s="92">
        <f>TWK!G285</f>
        <v>208.75</v>
      </c>
      <c r="H340" s="92">
        <f>TWK!H285</f>
        <v>181.25</v>
      </c>
      <c r="I340" s="92">
        <f>TWK!I285</f>
        <v>248.52620087336246</v>
      </c>
      <c r="K340" s="92">
        <f t="shared" ref="K340" si="693">AVERAGE(B337:B340)</f>
        <v>334.0625</v>
      </c>
      <c r="L340" s="92">
        <f t="shared" ref="L340" si="694">AVERAGE(C337:C340)</f>
        <v>283.64583333333331</v>
      </c>
      <c r="M340" s="92">
        <f t="shared" ref="M340" si="695">AVERAGE(D337:D340)</f>
        <v>266.22916666666669</v>
      </c>
      <c r="N340" s="92">
        <f t="shared" ref="N340" si="696">AVERAGE(E337:E340)</f>
        <v>195.97916666666666</v>
      </c>
      <c r="O340" s="92">
        <f t="shared" ref="O340" si="697">AVERAGE(F337:F340)</f>
        <v>208.125</v>
      </c>
      <c r="P340" s="92">
        <f t="shared" ref="P340" si="698">AVERAGE(G337:G340)</f>
        <v>208.125</v>
      </c>
      <c r="Q340" s="92">
        <f t="shared" ref="Q340" si="699">AVERAGE(H337:H340)</f>
        <v>179.875</v>
      </c>
      <c r="R340" s="92">
        <f t="shared" ref="R340" si="700">AVERAGE(I337:I340)</f>
        <v>241.87445414847161</v>
      </c>
      <c r="T340" s="92">
        <f t="shared" ref="T340" si="701">(K184+K236+K288)/3</f>
        <v>404.9375</v>
      </c>
      <c r="U340" s="92">
        <f t="shared" ref="U340" si="702">(L184+L236+L288)/3</f>
        <v>363.65277777777783</v>
      </c>
      <c r="V340" s="92">
        <f t="shared" ref="V340" si="703">(M184+M236+M288)/3</f>
        <v>338.76388888888886</v>
      </c>
      <c r="W340" s="92">
        <f t="shared" ref="W340" si="704">(N184+N236+N288)/3</f>
        <v>271.98611111111114</v>
      </c>
      <c r="X340" s="92">
        <f t="shared" ref="X340" si="705">(O184+O236+O288)/3</f>
        <v>274.02083333333331</v>
      </c>
      <c r="Y340" s="92">
        <f t="shared" ref="Y340" si="706">(P184+P236+P288)/3</f>
        <v>273.96527777777777</v>
      </c>
      <c r="Z340" s="92">
        <f t="shared" ref="Z340" si="707">(Q184+Q236+Q288)/3</f>
        <v>247.97916666666666</v>
      </c>
      <c r="AA340" s="92">
        <f t="shared" ref="AA340" si="708">(R184+R236+R288)/3</f>
        <v>335.16599951479867</v>
      </c>
      <c r="AC340" s="112">
        <f>+AF340-'Figure 8_data'!I552</f>
        <v>0</v>
      </c>
      <c r="AD340" s="92">
        <f t="shared" ref="AD340" si="709">(B340/T340-1)*100</f>
        <v>-8.3191850594227503</v>
      </c>
      <c r="AE340" s="92">
        <f t="shared" ref="AE340" si="710">(C340/U340-1)*100</f>
        <v>-15.785051369209036</v>
      </c>
      <c r="AF340" s="92">
        <f t="shared" ref="AF340" si="711">(D340/V340-1)*100</f>
        <v>-19.929482186052226</v>
      </c>
      <c r="AG340" s="92">
        <f t="shared" ref="AG340" si="712">(E340/W340-1)*100</f>
        <v>-27.845580350303845</v>
      </c>
      <c r="AH340" s="92">
        <f t="shared" ref="AH340" si="713">(F340/X340-1)*100</f>
        <v>-23.819660913859952</v>
      </c>
      <c r="AI340" s="92">
        <f t="shared" ref="AI340" si="714">(G340/Y340-1)*100</f>
        <v>-23.804212820967784</v>
      </c>
      <c r="AJ340" s="92">
        <f t="shared" ref="AJ340" si="715">(H340/Z340-1)*100</f>
        <v>-26.909182559018731</v>
      </c>
      <c r="AK340" s="92">
        <f t="shared" ref="AK340" si="716">(I340/AA340-1)*100</f>
        <v>-25.849817334353688</v>
      </c>
      <c r="AM340" s="112">
        <f>AP340-'Figure 8_data'!H552</f>
        <v>0</v>
      </c>
      <c r="AN340" s="92">
        <f t="shared" ref="AN340" si="717">(B340/B288-1)*100</f>
        <v>-20.161290322580648</v>
      </c>
      <c r="AO340" s="92">
        <f t="shared" ref="AO340" si="718">(C340/C288-1)*100</f>
        <v>-28.278688524590166</v>
      </c>
      <c r="AP340" s="92">
        <f t="shared" ref="AP340" si="719">(D340/D288-1)*100</f>
        <v>-33.024691358024697</v>
      </c>
      <c r="AQ340" s="92">
        <f t="shared" ref="AQ340" si="720">(E340/E288-1)*100</f>
        <v>-45.181564245810058</v>
      </c>
      <c r="AR340" s="92">
        <f t="shared" ref="AR340" si="721">(F340/F288-1)*100</f>
        <v>-39.667630057803471</v>
      </c>
      <c r="AS340" s="92">
        <f t="shared" ref="AS340" si="722">(G340/G288-1)*100</f>
        <v>-39.667630057803471</v>
      </c>
      <c r="AT340" s="92">
        <f t="shared" ref="AT340" si="723">(H340/H288-1)*100</f>
        <v>-48.654390934844194</v>
      </c>
      <c r="AU340" s="92">
        <f t="shared" ref="AU340" si="724">(I340/I288-1)*100</f>
        <v>-45.972565027529896</v>
      </c>
    </row>
    <row r="341" spans="1:47" x14ac:dyDescent="0.3">
      <c r="A341" s="13">
        <f t="shared" si="475"/>
        <v>39966</v>
      </c>
      <c r="B341" s="92">
        <f>TWK!B286</f>
        <v>356.66666666666669</v>
      </c>
      <c r="C341" s="92">
        <f>TWK!C286</f>
        <v>301.25</v>
      </c>
      <c r="D341" s="92">
        <f>TWK!D286</f>
        <v>263.75</v>
      </c>
      <c r="E341" s="92">
        <f>TWK!E286</f>
        <v>206.25</v>
      </c>
      <c r="F341" s="92">
        <f>TWK!F286</f>
        <v>203.75</v>
      </c>
      <c r="G341" s="92">
        <f>TWK!G286</f>
        <v>203.75</v>
      </c>
      <c r="H341" s="92">
        <f>TWK!H286</f>
        <v>182.5</v>
      </c>
      <c r="I341" s="92">
        <f>TWK!I286</f>
        <v>261.03711790393015</v>
      </c>
      <c r="K341" s="92">
        <f t="shared" ref="K341" si="725">AVERAGE(B338:B341)</f>
        <v>351.66666666666669</v>
      </c>
      <c r="L341" s="92">
        <f t="shared" ref="L341" si="726">AVERAGE(C338:C341)</f>
        <v>295.95833333333331</v>
      </c>
      <c r="M341" s="92">
        <f t="shared" ref="M341" si="727">AVERAGE(D338:D341)</f>
        <v>269.91666666666669</v>
      </c>
      <c r="N341" s="92">
        <f t="shared" ref="N341" si="728">AVERAGE(E338:E341)</f>
        <v>199.79166666666666</v>
      </c>
      <c r="O341" s="92">
        <f t="shared" ref="O341" si="729">AVERAGE(F338:F341)</f>
        <v>208.125</v>
      </c>
      <c r="P341" s="92">
        <f t="shared" ref="P341" si="730">AVERAGE(G338:G341)</f>
        <v>208.125</v>
      </c>
      <c r="Q341" s="92">
        <f t="shared" ref="Q341" si="731">AVERAGE(H338:H341)</f>
        <v>181.25</v>
      </c>
      <c r="R341" s="92">
        <f t="shared" ref="R341" si="732">AVERAGE(I338:I341)</f>
        <v>248.29967248908298</v>
      </c>
      <c r="T341" s="92">
        <f t="shared" ref="T341" si="733">(K185+K237+K289)/3</f>
        <v>419.125</v>
      </c>
      <c r="U341" s="92">
        <f t="shared" ref="U341" si="734">(L185+L237+L289)/3</f>
        <v>373.5625</v>
      </c>
      <c r="V341" s="92">
        <f t="shared" ref="V341" si="735">(M185+M237+M289)/3</f>
        <v>356.47916666666669</v>
      </c>
      <c r="W341" s="92">
        <f t="shared" ref="W341" si="736">(N185+N237+N289)/3</f>
        <v>285.25</v>
      </c>
      <c r="X341" s="92">
        <f t="shared" ref="X341" si="737">(O185+O237+O289)/3</f>
        <v>285.78472222222223</v>
      </c>
      <c r="Y341" s="92">
        <f t="shared" ref="Y341" si="738">(P185+P237+P289)/3</f>
        <v>286.04166666666669</v>
      </c>
      <c r="Z341" s="92">
        <f t="shared" ref="Z341" si="739">(Q185+Q237+Q289)/3</f>
        <v>264.3125</v>
      </c>
      <c r="AA341" s="92">
        <f t="shared" ref="AA341" si="740">(R185+R237+R289)/3</f>
        <v>356.77365356623</v>
      </c>
      <c r="AC341" s="112">
        <f>+AF341-'Figure 8_data'!I553</f>
        <v>0</v>
      </c>
      <c r="AD341" s="92">
        <f t="shared" ref="AD341" si="741">(B341/T341-1)*100</f>
        <v>-14.90207774132617</v>
      </c>
      <c r="AE341" s="92">
        <f t="shared" ref="AE341" si="742">(C341/U341-1)*100</f>
        <v>-19.357537226033127</v>
      </c>
      <c r="AF341" s="92">
        <f t="shared" ref="AF341" si="743">(D341/V341-1)*100</f>
        <v>-26.012506574718021</v>
      </c>
      <c r="AG341" s="92">
        <f t="shared" ref="AG341" si="744">(E341/W341-1)*100</f>
        <v>-27.695004382120946</v>
      </c>
      <c r="AH341" s="92">
        <f t="shared" ref="AH341" si="745">(F341/X341-1)*100</f>
        <v>-28.705076179136391</v>
      </c>
      <c r="AI341" s="92">
        <f t="shared" ref="AI341" si="746">(G341/Y341-1)*100</f>
        <v>-28.769118718135477</v>
      </c>
      <c r="AJ341" s="92">
        <f t="shared" ref="AJ341" si="747">(H341/Z341-1)*100</f>
        <v>-30.952943958382594</v>
      </c>
      <c r="AK341" s="92">
        <f t="shared" ref="AK341" si="748">(I341/AA341-1)*100</f>
        <v>-26.83397013914529</v>
      </c>
      <c r="AM341" s="112">
        <f>AP341-'Figure 8_data'!H553</f>
        <v>0</v>
      </c>
      <c r="AN341" s="92">
        <f t="shared" ref="AN341" si="749">(B341/B289-1)*100</f>
        <v>-23.789173789173791</v>
      </c>
      <c r="AO341" s="92">
        <f t="shared" ref="AO341" si="750">(C341/C289-1)*100</f>
        <v>-30.427251732101613</v>
      </c>
      <c r="AP341" s="92">
        <f t="shared" ref="AP341" si="751">(D341/D289-1)*100</f>
        <v>-38.805104408352662</v>
      </c>
      <c r="AQ341" s="92">
        <f t="shared" ref="AQ341" si="752">(E341/E289-1)*100</f>
        <v>-44.999999999999993</v>
      </c>
      <c r="AR341" s="92">
        <f t="shared" ref="AR341" si="753">(F341/F289-1)*100</f>
        <v>-44.178082191780824</v>
      </c>
      <c r="AS341" s="92">
        <f t="shared" ref="AS341" si="754">(G341/G289-1)*100</f>
        <v>-44.178082191780824</v>
      </c>
      <c r="AT341" s="92">
        <f t="shared" ref="AT341" si="755">(H341/H289-1)*100</f>
        <v>-49.724517906336082</v>
      </c>
      <c r="AU341" s="92">
        <f t="shared" ref="AU341" si="756">(I341/I289-1)*100</f>
        <v>-45.044817283383118</v>
      </c>
    </row>
    <row r="342" spans="1:47" x14ac:dyDescent="0.3">
      <c r="A342" s="13">
        <f t="shared" si="475"/>
        <v>39973</v>
      </c>
      <c r="B342" s="92">
        <f>TWK!B287</f>
        <v>350</v>
      </c>
      <c r="C342" s="92">
        <f>TWK!C287</f>
        <v>298.33333333333331</v>
      </c>
      <c r="D342" s="92">
        <f>TWK!D287</f>
        <v>268.33333333333331</v>
      </c>
      <c r="E342" s="92">
        <f>TWK!E287</f>
        <v>201.66666666666666</v>
      </c>
      <c r="F342" s="92">
        <f>TWK!F287</f>
        <v>205</v>
      </c>
      <c r="G342" s="92">
        <f>TWK!G287</f>
        <v>205</v>
      </c>
      <c r="H342" s="92">
        <f>TWK!H287</f>
        <v>185</v>
      </c>
      <c r="I342" s="92">
        <f>TWK!I287</f>
        <v>268.06404657933041</v>
      </c>
      <c r="K342" s="92">
        <f t="shared" ref="K342" si="757">AVERAGE(B339:B342)</f>
        <v>358.22916666666669</v>
      </c>
      <c r="L342" s="92">
        <f t="shared" ref="L342" si="758">AVERAGE(C339:C342)</f>
        <v>301.04166666666663</v>
      </c>
      <c r="M342" s="92">
        <f t="shared" ref="M342" si="759">AVERAGE(D339:D342)</f>
        <v>268.75</v>
      </c>
      <c r="N342" s="92">
        <f t="shared" ref="N342" si="760">AVERAGE(E339:E342)</f>
        <v>200.20833333333331</v>
      </c>
      <c r="O342" s="92">
        <f t="shared" ref="O342" si="761">AVERAGE(F339:F342)</f>
        <v>206.875</v>
      </c>
      <c r="P342" s="92">
        <f t="shared" ref="P342" si="762">AVERAGE(G339:G342)</f>
        <v>206.875</v>
      </c>
      <c r="Q342" s="92">
        <f t="shared" ref="Q342" si="763">AVERAGE(H339:H342)</f>
        <v>182.1875</v>
      </c>
      <c r="R342" s="92">
        <f t="shared" ref="R342" si="764">AVERAGE(I339:I342)</f>
        <v>256.10989810771468</v>
      </c>
      <c r="T342" s="92">
        <f t="shared" ref="T342" si="765">(K186+K238+K290)/3</f>
        <v>436.45833333333331</v>
      </c>
      <c r="U342" s="92">
        <f t="shared" ref="U342" si="766">(L186+L238+L290)/3</f>
        <v>390.64583333333331</v>
      </c>
      <c r="V342" s="92">
        <f t="shared" ref="V342" si="767">(M186+M238+M290)/3</f>
        <v>377.0625</v>
      </c>
      <c r="W342" s="92">
        <f t="shared" ref="W342" si="768">(N186+N238+N290)/3</f>
        <v>298.25</v>
      </c>
      <c r="X342" s="92">
        <f t="shared" ref="X342" si="769">(O186+O238+O290)/3</f>
        <v>299.86805555555554</v>
      </c>
      <c r="Y342" s="92">
        <f t="shared" ref="Y342" si="770">(P186+P238+P290)/3</f>
        <v>300.20833333333331</v>
      </c>
      <c r="Z342" s="92">
        <f t="shared" ref="Z342" si="771">(Q186+Q238+Q290)/3</f>
        <v>281.39583333333331</v>
      </c>
      <c r="AA342" s="92">
        <f t="shared" ref="AA342" si="772">(R186+R238+R290)/3</f>
        <v>376.08333333333331</v>
      </c>
      <c r="AC342" s="112">
        <f>+AF342-'Figure 8_data'!I554</f>
        <v>0</v>
      </c>
      <c r="AD342" s="92">
        <f t="shared" ref="AD342" si="773">(B342/T342-1)*100</f>
        <v>-19.809069212410503</v>
      </c>
      <c r="AE342" s="92">
        <f t="shared" ref="AE342" si="774">(C342/U342-1)*100</f>
        <v>-23.630739693882997</v>
      </c>
      <c r="AF342" s="92">
        <f t="shared" ref="AF342" si="775">(D342/V342-1)*100</f>
        <v>-28.835847284380357</v>
      </c>
      <c r="AG342" s="92">
        <f t="shared" ref="AG342" si="776">(E342/W342-1)*100</f>
        <v>-32.383347303716128</v>
      </c>
      <c r="AH342" s="92">
        <f t="shared" ref="AH342" si="777">(F342/X342-1)*100</f>
        <v>-31.63659943030499</v>
      </c>
      <c r="AI342" s="92">
        <f t="shared" ref="AI342" si="778">(G342/Y342-1)*100</f>
        <v>-31.71408743927827</v>
      </c>
      <c r="AJ342" s="92">
        <f t="shared" ref="AJ342" si="779">(H342/Z342-1)*100</f>
        <v>-34.256311542163317</v>
      </c>
      <c r="AK342" s="92">
        <f t="shared" ref="AK342" si="780">(I342/AA342-1)*100</f>
        <v>-28.722167982451474</v>
      </c>
      <c r="AM342" s="112">
        <f>AP342-'Figure 8_data'!H554</f>
        <v>0</v>
      </c>
      <c r="AN342" s="92">
        <f t="shared" ref="AN342" si="781">(B342/B290-1)*100</f>
        <v>-32.950191570881223</v>
      </c>
      <c r="AO342" s="92">
        <f t="shared" ref="AO342" si="782">(C342/C290-1)*100</f>
        <v>-42.957297641810079</v>
      </c>
      <c r="AP342" s="92">
        <f t="shared" ref="AP342" si="783">(D342/D290-1)*100</f>
        <v>-49.082858950031628</v>
      </c>
      <c r="AQ342" s="92">
        <f t="shared" ref="AQ342" si="784">(E342/E290-1)*100</f>
        <v>-52.881619937694715</v>
      </c>
      <c r="AR342" s="92">
        <f t="shared" ref="AR342" si="785">(F342/F290-1)*100</f>
        <v>-51.536643026004739</v>
      </c>
      <c r="AS342" s="92">
        <f t="shared" ref="AS342" si="786">(G342/G290-1)*100</f>
        <v>-51.536643026004739</v>
      </c>
      <c r="AT342" s="92">
        <f t="shared" ref="AT342" si="787">(H342/H290-1)*100</f>
        <v>-54.987834549878343</v>
      </c>
      <c r="AU342" s="92">
        <f t="shared" ref="AU342" si="788">(I342/I290-1)*100</f>
        <v>-47.94872881954749</v>
      </c>
    </row>
    <row r="343" spans="1:47" x14ac:dyDescent="0.3">
      <c r="A343" s="13">
        <f t="shared" si="475"/>
        <v>39980</v>
      </c>
      <c r="B343" s="92">
        <f>TWK!B288</f>
        <v>351.66666666666669</v>
      </c>
      <c r="C343" s="92">
        <f>TWK!C288</f>
        <v>302.5</v>
      </c>
      <c r="D343" s="92">
        <f>TWK!D288</f>
        <v>290</v>
      </c>
      <c r="E343" s="92">
        <f>TWK!E288</f>
        <v>201.25</v>
      </c>
      <c r="F343" s="92">
        <f>TWK!F288</f>
        <v>205</v>
      </c>
      <c r="G343" s="92">
        <f>TWK!G288</f>
        <v>205</v>
      </c>
      <c r="H343" s="92">
        <f>TWK!H288</f>
        <v>181.25</v>
      </c>
      <c r="I343" s="92">
        <f>TWK!I288</f>
        <v>249</v>
      </c>
      <c r="K343" s="92">
        <f t="shared" ref="K343" si="789">AVERAGE(B340:B343)</f>
        <v>357.39583333333337</v>
      </c>
      <c r="L343" s="92">
        <f t="shared" ref="L343" si="790">AVERAGE(C340:C343)</f>
        <v>302.08333333333331</v>
      </c>
      <c r="M343" s="92">
        <f t="shared" ref="M343" si="791">AVERAGE(D340:D343)</f>
        <v>273.33333333333331</v>
      </c>
      <c r="N343" s="92">
        <f t="shared" ref="N343" si="792">AVERAGE(E340:E343)</f>
        <v>201.35416666666666</v>
      </c>
      <c r="O343" s="92">
        <f t="shared" ref="O343" si="793">AVERAGE(F340:F343)</f>
        <v>205.625</v>
      </c>
      <c r="P343" s="92">
        <f t="shared" ref="P343" si="794">AVERAGE(G340:G343)</f>
        <v>205.625</v>
      </c>
      <c r="Q343" s="92">
        <f t="shared" ref="Q343" si="795">AVERAGE(H340:H343)</f>
        <v>182.5</v>
      </c>
      <c r="R343" s="92">
        <f t="shared" ref="R343" si="796">AVERAGE(I340:I343)</f>
        <v>256.65684133915573</v>
      </c>
      <c r="T343" s="92">
        <f t="shared" ref="T343" si="797">(K187+K239+K291)/3</f>
        <v>456.79166666666669</v>
      </c>
      <c r="U343" s="92">
        <f t="shared" ref="U343" si="798">(L187+L239+L291)/3</f>
        <v>411.47916666666669</v>
      </c>
      <c r="V343" s="92">
        <f t="shared" ref="V343" si="799">(M187+M239+M291)/3</f>
        <v>404.64583333333331</v>
      </c>
      <c r="W343" s="92">
        <f t="shared" ref="W343" si="800">(N187+N239+N291)/3</f>
        <v>316.16666666666669</v>
      </c>
      <c r="X343" s="92">
        <f t="shared" ref="X343" si="801">(O187+O239+O291)/3</f>
        <v>329.11805555555554</v>
      </c>
      <c r="Y343" s="92">
        <f t="shared" ref="Y343" si="802">(P187+P239+P291)/3</f>
        <v>329.125</v>
      </c>
      <c r="Z343" s="92">
        <f t="shared" ref="Z343" si="803">(Q187+Q239+Q291)/3</f>
        <v>300.8125</v>
      </c>
      <c r="AA343" s="92">
        <f t="shared" ref="AA343" si="804">(R187+R239+R291)/3</f>
        <v>384.41666666666669</v>
      </c>
      <c r="AC343" s="112">
        <f>+AF343-'Figure 8_data'!I555</f>
        <v>0</v>
      </c>
      <c r="AD343" s="92">
        <f t="shared" ref="AD343" si="805">(B343/T343-1)*100</f>
        <v>-23.013773602116206</v>
      </c>
      <c r="AE343" s="92">
        <f t="shared" ref="AE343" si="806">(C343/U343-1)*100</f>
        <v>-26.484734950129109</v>
      </c>
      <c r="AF343" s="92">
        <f t="shared" ref="AF343" si="807">(D343/V343-1)*100</f>
        <v>-28.332389435205684</v>
      </c>
      <c r="AG343" s="92">
        <f t="shared" ref="AG343" si="808">(E343/W343-1)*100</f>
        <v>-36.346863468634695</v>
      </c>
      <c r="AH343" s="92">
        <f t="shared" ref="AH343" si="809">(F343/X343-1)*100</f>
        <v>-37.712320384866956</v>
      </c>
      <c r="AI343" s="92">
        <f t="shared" ref="AI343" si="810">(G343/Y343-1)*100</f>
        <v>-37.713634637295854</v>
      </c>
      <c r="AJ343" s="92">
        <f t="shared" ref="AJ343" si="811">(H343/Z343-1)*100</f>
        <v>-39.74651984209433</v>
      </c>
      <c r="AK343" s="92">
        <f t="shared" ref="AK343" si="812">(I343/AA343-1)*100</f>
        <v>-35.226533709083029</v>
      </c>
      <c r="AM343" s="112">
        <f>AP343-'Figure 8_data'!H555</f>
        <v>0</v>
      </c>
      <c r="AN343" s="92">
        <f t="shared" ref="AN343" si="813">(B343/B291-1)*100</f>
        <v>-41.873278236914601</v>
      </c>
      <c r="AO343" s="92">
        <f t="shared" ref="AO343" si="814">(C343/C291-1)*100</f>
        <v>-48.554421768707478</v>
      </c>
      <c r="AP343" s="92">
        <f t="shared" ref="AP343" si="815">(D343/D291-1)*100</f>
        <v>-54.968944099378881</v>
      </c>
      <c r="AQ343" s="92">
        <f t="shared" ref="AQ343" si="816">(E343/E291-1)*100</f>
        <v>-56.25</v>
      </c>
      <c r="AR343" s="92">
        <f t="shared" ref="AR343" si="817">(F343/F291-1)*100</f>
        <v>-65.546218487394952</v>
      </c>
      <c r="AS343" s="92">
        <f t="shared" ref="AS343" si="818">(G343/G291-1)*100</f>
        <v>-65.546218487394952</v>
      </c>
      <c r="AT343" s="92">
        <f t="shared" ref="AT343" si="819">(H343/H291-1)*100</f>
        <v>-61.436170212765951</v>
      </c>
      <c r="AU343" s="92">
        <f t="shared" ref="AU343" si="820">(I343/I291-1)*100</f>
        <v>-42.758620689655167</v>
      </c>
    </row>
    <row r="344" spans="1:47" x14ac:dyDescent="0.3">
      <c r="A344" s="13">
        <f t="shared" si="475"/>
        <v>39987</v>
      </c>
      <c r="B344" s="92">
        <f>TWK!B289</f>
        <v>335</v>
      </c>
      <c r="C344" s="92">
        <f>TWK!C289</f>
        <v>285</v>
      </c>
      <c r="D344" s="92">
        <f>TWK!D289</f>
        <v>276.25</v>
      </c>
      <c r="E344" s="92">
        <f>TWK!E289</f>
        <v>192.5</v>
      </c>
      <c r="F344" s="92">
        <f>TWK!F289</f>
        <v>198.75</v>
      </c>
      <c r="G344" s="92">
        <f>TWK!G289</f>
        <v>198.75</v>
      </c>
      <c r="H344" s="92">
        <f>TWK!H289</f>
        <v>176.25</v>
      </c>
      <c r="I344" s="92">
        <f>TWK!I289</f>
        <v>241.67030567685589</v>
      </c>
      <c r="K344" s="92">
        <f t="shared" ref="K344" si="821">AVERAGE(B341:B344)</f>
        <v>348.33333333333337</v>
      </c>
      <c r="L344" s="92">
        <f t="shared" ref="L344" si="822">AVERAGE(C341:C344)</f>
        <v>296.77083333333331</v>
      </c>
      <c r="M344" s="92">
        <f t="shared" ref="M344" si="823">AVERAGE(D341:D344)</f>
        <v>274.58333333333331</v>
      </c>
      <c r="N344" s="92">
        <f t="shared" ref="N344" si="824">AVERAGE(E341:E344)</f>
        <v>200.41666666666666</v>
      </c>
      <c r="O344" s="92">
        <f t="shared" ref="O344" si="825">AVERAGE(F341:F344)</f>
        <v>203.125</v>
      </c>
      <c r="P344" s="92">
        <f t="shared" ref="P344" si="826">AVERAGE(G341:G344)</f>
        <v>203.125</v>
      </c>
      <c r="Q344" s="92">
        <f t="shared" ref="Q344" si="827">AVERAGE(H341:H344)</f>
        <v>181.25</v>
      </c>
      <c r="R344" s="92">
        <f t="shared" ref="R344" si="828">AVERAGE(I341:I344)</f>
        <v>254.94286754002911</v>
      </c>
      <c r="T344" s="92">
        <f t="shared" ref="T344" si="829">(K188+K240+K292)/3</f>
        <v>472.66666666666669</v>
      </c>
      <c r="U344" s="92">
        <f t="shared" ref="U344" si="830">(L188+L240+L292)/3</f>
        <v>430.8125</v>
      </c>
      <c r="V344" s="92">
        <f t="shared" ref="V344" si="831">(M188+M240+M292)/3</f>
        <v>426.39583333333331</v>
      </c>
      <c r="W344" s="92">
        <f t="shared" ref="W344" si="832">(N188+N240+N292)/3</f>
        <v>335.08333333333331</v>
      </c>
      <c r="X344" s="92">
        <f t="shared" ref="X344" si="833">(O188+O240+O292)/3</f>
        <v>361.88888888888886</v>
      </c>
      <c r="Y344" s="92">
        <f t="shared" ref="Y344" si="834">(P188+P240+P292)/3</f>
        <v>360.47916666666669</v>
      </c>
      <c r="Z344" s="92">
        <f t="shared" ref="Z344" si="835">(Q188+Q240+Q292)/3</f>
        <v>311.97916666666669</v>
      </c>
      <c r="AA344" s="92">
        <f t="shared" ref="AA344" si="836">(R188+R240+R292)/3</f>
        <v>398.16666666666669</v>
      </c>
      <c r="AC344" s="112">
        <f>+AF344-'Figure 8_data'!I556</f>
        <v>0</v>
      </c>
      <c r="AD344" s="92">
        <f t="shared" ref="AD344" si="837">(B344/T344-1)*100</f>
        <v>-29.125528913963329</v>
      </c>
      <c r="AE344" s="92">
        <f t="shared" ref="AE344" si="838">(C344/U344-1)*100</f>
        <v>-33.84593065428696</v>
      </c>
      <c r="AF344" s="92">
        <f t="shared" ref="AF344" si="839">(D344/V344-1)*100</f>
        <v>-35.212781550789074</v>
      </c>
      <c r="AG344" s="92">
        <f t="shared" ref="AG344" si="840">(E344/W344-1)*100</f>
        <v>-42.55160407858741</v>
      </c>
      <c r="AH344" s="92">
        <f t="shared" ref="AH344" si="841">(F344/X344-1)*100</f>
        <v>-45.07982806263432</v>
      </c>
      <c r="AI344" s="92">
        <f t="shared" ref="AI344" si="842">(G344/Y344-1)*100</f>
        <v>-44.865052303068829</v>
      </c>
      <c r="AJ344" s="92">
        <f t="shared" ref="AJ344" si="843">(H344/Z344-1)*100</f>
        <v>-43.505843071786309</v>
      </c>
      <c r="AK344" s="92">
        <f t="shared" ref="AK344" si="844">(I344/AA344-1)*100</f>
        <v>-39.304234656294042</v>
      </c>
      <c r="AM344" s="112">
        <f>AP344-'Figure 8_data'!H556</f>
        <v>0</v>
      </c>
      <c r="AN344" s="92">
        <f t="shared" ref="AN344" si="845">(B344/B292-1)*100</f>
        <v>-41.228070175438589</v>
      </c>
      <c r="AO344" s="92">
        <f t="shared" ref="AO344" si="846">(C344/C292-1)*100</f>
        <v>-46.927374301675975</v>
      </c>
      <c r="AP344" s="92">
        <f t="shared" ref="AP344" si="847">(D344/D292-1)*100</f>
        <v>-50.492831541218642</v>
      </c>
      <c r="AQ344" s="92">
        <f t="shared" ref="AQ344" si="848">(E344/E292-1)*100</f>
        <v>-58.779443254817984</v>
      </c>
      <c r="AR344" s="92">
        <f t="shared" ref="AR344" si="849">(F344/F292-1)*100</f>
        <v>-64.94708994708995</v>
      </c>
      <c r="AS344" s="92">
        <f t="shared" ref="AS344" si="850">(G344/G292-1)*100</f>
        <v>-64.94708994708995</v>
      </c>
      <c r="AT344" s="92">
        <f t="shared" ref="AT344" si="851">(H344/H292-1)*100</f>
        <v>-57.530120481927717</v>
      </c>
      <c r="AU344" s="92">
        <f t="shared" ref="AU344" si="852">(I344/I292-1)*100</f>
        <v>-56.219147522308724</v>
      </c>
    </row>
    <row r="345" spans="1:47" x14ac:dyDescent="0.3">
      <c r="A345" s="13">
        <f t="shared" si="475"/>
        <v>39994</v>
      </c>
      <c r="B345" s="92">
        <f>TWK!B290</f>
        <v>318</v>
      </c>
      <c r="C345" s="92">
        <f>TWK!C290</f>
        <v>271</v>
      </c>
      <c r="D345" s="92">
        <f>TWK!D290</f>
        <v>263</v>
      </c>
      <c r="E345" s="92">
        <f>TWK!E290</f>
        <v>196</v>
      </c>
      <c r="F345" s="92">
        <f>TWK!F290</f>
        <v>201</v>
      </c>
      <c r="G345" s="92">
        <f>TWK!G290</f>
        <v>201</v>
      </c>
      <c r="H345" s="92">
        <f>TWK!H290</f>
        <v>179</v>
      </c>
      <c r="I345" s="92">
        <f>TWK!I290</f>
        <v>245</v>
      </c>
      <c r="K345" s="92">
        <f t="shared" ref="K345" si="853">AVERAGE(B342:B345)</f>
        <v>338.66666666666669</v>
      </c>
      <c r="L345" s="92">
        <f t="shared" ref="L345" si="854">AVERAGE(C342:C345)</f>
        <v>289.20833333333331</v>
      </c>
      <c r="M345" s="92">
        <f t="shared" ref="M345" si="855">AVERAGE(D342:D345)</f>
        <v>274.39583333333331</v>
      </c>
      <c r="N345" s="92">
        <f t="shared" ref="N345" si="856">AVERAGE(E342:E345)</f>
        <v>197.85416666666666</v>
      </c>
      <c r="O345" s="92">
        <f t="shared" ref="O345" si="857">AVERAGE(F342:F345)</f>
        <v>202.4375</v>
      </c>
      <c r="P345" s="92">
        <f t="shared" ref="P345" si="858">AVERAGE(G342:G345)</f>
        <v>202.4375</v>
      </c>
      <c r="Q345" s="92">
        <f t="shared" ref="Q345" si="859">AVERAGE(H342:H345)</f>
        <v>180.375</v>
      </c>
      <c r="R345" s="92">
        <f t="shared" ref="R345" si="860">AVERAGE(I342:I345)</f>
        <v>250.93358806404655</v>
      </c>
      <c r="T345" s="92">
        <f t="shared" ref="T345" si="861">(K189+K241+K293)/3</f>
        <v>492.22916666666669</v>
      </c>
      <c r="U345" s="92">
        <f t="shared" ref="U345" si="862">(L189+L241+L293)/3</f>
        <v>450.75</v>
      </c>
      <c r="V345" s="92">
        <f t="shared" ref="V345" si="863">(M189+M241+M293)/3</f>
        <v>447.08333333333331</v>
      </c>
      <c r="W345" s="92">
        <f t="shared" ref="W345" si="864">(N189+N241+N293)/3</f>
        <v>353.58333333333331</v>
      </c>
      <c r="X345" s="92">
        <f t="shared" ref="X345" si="865">(O189+O241+O293)/3</f>
        <v>392</v>
      </c>
      <c r="Y345" s="92">
        <f t="shared" ref="Y345" si="866">(P189+P241+P293)/3</f>
        <v>392.08333333333331</v>
      </c>
      <c r="Z345" s="92">
        <f t="shared" ref="Z345" si="867">(Q189+Q241+Q293)/3</f>
        <v>322.89583333333331</v>
      </c>
      <c r="AA345" s="92">
        <f t="shared" ref="AA345" si="868">(R189+R241+R293)/3</f>
        <v>411.75</v>
      </c>
      <c r="AC345" s="112">
        <f>+AF345-'Figure 8_data'!I557</f>
        <v>0</v>
      </c>
      <c r="AD345" s="92">
        <f t="shared" ref="AD345" si="869">(B345/T345-1)*100</f>
        <v>-35.395945316798581</v>
      </c>
      <c r="AE345" s="92">
        <f t="shared" ref="AE345" si="870">(C345/U345-1)*100</f>
        <v>-39.877981142540207</v>
      </c>
      <c r="AF345" s="92">
        <f t="shared" ref="AF345" si="871">(D345/V345-1)*100</f>
        <v>-41.174277726001861</v>
      </c>
      <c r="AG345" s="92">
        <f t="shared" ref="AG345" si="872">(E345/W345-1)*100</f>
        <v>-44.567522979024275</v>
      </c>
      <c r="AH345" s="92">
        <f t="shared" ref="AH345" si="873">(F345/X345-1)*100</f>
        <v>-48.724489795918366</v>
      </c>
      <c r="AI345" s="92">
        <f t="shared" ref="AI345" si="874">(G345/Y345-1)*100</f>
        <v>-48.735387885228477</v>
      </c>
      <c r="AJ345" s="92">
        <f t="shared" ref="AJ345" si="875">(H345/Z345-1)*100</f>
        <v>-44.564165430027735</v>
      </c>
      <c r="AK345" s="92">
        <f t="shared" ref="AK345" si="876">(I345/AA345-1)*100</f>
        <v>-40.497874924104437</v>
      </c>
      <c r="AM345" s="112">
        <f>AP345-'Figure 8_data'!H557</f>
        <v>0</v>
      </c>
      <c r="AN345" s="92">
        <f t="shared" ref="AN345" si="877">(B345/B293-1)*100</f>
        <v>-47.69736842105263</v>
      </c>
      <c r="AO345" s="92">
        <f t="shared" ref="AO345" si="878">(C345/C293-1)*100</f>
        <v>-53.35628227194492</v>
      </c>
      <c r="AP345" s="92">
        <f t="shared" ref="AP345" si="879">(D345/D293-1)*100</f>
        <v>-56.4569536423841</v>
      </c>
      <c r="AQ345" s="92">
        <f t="shared" ref="AQ345" si="880">(E345/E293-1)*100</f>
        <v>-56.25</v>
      </c>
      <c r="AR345" s="92">
        <f t="shared" ref="AR345" si="881">(F345/F293-1)*100</f>
        <v>-62.429906542056067</v>
      </c>
      <c r="AS345" s="92">
        <f t="shared" ref="AS345" si="882">(G345/G293-1)*100</f>
        <v>-62.429906542056067</v>
      </c>
      <c r="AT345" s="92">
        <f t="shared" ref="AT345" si="883">(H345/H293-1)*100</f>
        <v>-48.710601719197712</v>
      </c>
      <c r="AU345" s="92">
        <f t="shared" ref="AU345" si="884">(I345/I293-1)*100</f>
        <v>-48.744769874476987</v>
      </c>
    </row>
    <row r="346" spans="1:47" x14ac:dyDescent="0.3">
      <c r="A346" s="13">
        <f t="shared" si="475"/>
        <v>40001</v>
      </c>
      <c r="B346" s="92">
        <f>TWK!B291</f>
        <v>313</v>
      </c>
      <c r="C346" s="92">
        <f>TWK!C291</f>
        <v>263</v>
      </c>
      <c r="D346" s="92">
        <f>TWK!D291</f>
        <v>249</v>
      </c>
      <c r="E346" s="92">
        <f>TWK!E291</f>
        <v>199</v>
      </c>
      <c r="F346" s="92">
        <f>TWK!F291</f>
        <v>196</v>
      </c>
      <c r="G346" s="92">
        <f>TWK!G291</f>
        <v>196</v>
      </c>
      <c r="H346" s="92">
        <f>TWK!H291</f>
        <v>178</v>
      </c>
      <c r="I346" s="92">
        <f>TWK!I291</f>
        <v>243</v>
      </c>
      <c r="K346" s="92">
        <f t="shared" ref="K346" si="885">AVERAGE(B343:B346)</f>
        <v>329.41666666666669</v>
      </c>
      <c r="L346" s="92">
        <f t="shared" ref="L346" si="886">AVERAGE(C343:C346)</f>
        <v>280.375</v>
      </c>
      <c r="M346" s="92">
        <f t="shared" ref="M346" si="887">AVERAGE(D343:D346)</f>
        <v>269.5625</v>
      </c>
      <c r="N346" s="92">
        <f t="shared" ref="N346" si="888">AVERAGE(E343:E346)</f>
        <v>197.1875</v>
      </c>
      <c r="O346" s="92">
        <f t="shared" ref="O346" si="889">AVERAGE(F343:F346)</f>
        <v>200.1875</v>
      </c>
      <c r="P346" s="92">
        <f t="shared" ref="P346" si="890">AVERAGE(G343:G346)</f>
        <v>200.1875</v>
      </c>
      <c r="Q346" s="92">
        <f t="shared" ref="Q346" si="891">AVERAGE(H343:H346)</f>
        <v>178.625</v>
      </c>
      <c r="R346" s="92">
        <f t="shared" ref="R346" si="892">AVERAGE(I343:I346)</f>
        <v>244.66757641921396</v>
      </c>
      <c r="T346" s="92">
        <f t="shared" ref="T346" si="893">(K190+K242+K294)/3</f>
        <v>508.89583333333331</v>
      </c>
      <c r="U346" s="92">
        <f t="shared" ref="U346" si="894">(L190+L242+L294)/3</f>
        <v>465.08333333333331</v>
      </c>
      <c r="V346" s="92">
        <f t="shared" ref="V346" si="895">(M190+M242+M294)/3</f>
        <v>459.83333333333331</v>
      </c>
      <c r="W346" s="92">
        <f t="shared" ref="W346" si="896">(N190+N242+N294)/3</f>
        <v>370</v>
      </c>
      <c r="X346" s="92">
        <f t="shared" ref="X346" si="897">(O190+O242+O294)/3</f>
        <v>413</v>
      </c>
      <c r="Y346" s="92">
        <f t="shared" ref="Y346" si="898">(P190+P242+P294)/3</f>
        <v>413.16666666666669</v>
      </c>
      <c r="Z346" s="92">
        <f t="shared" ref="Z346" si="899">(Q190+Q242+Q294)/3</f>
        <v>329.22916666666669</v>
      </c>
      <c r="AA346" s="92">
        <f t="shared" ref="AA346" si="900">(R190+R242+R294)/3</f>
        <v>423.83333333333331</v>
      </c>
      <c r="AC346" s="112">
        <f>+AF346-'Figure 8_data'!I558</f>
        <v>0</v>
      </c>
      <c r="AD346" s="92">
        <f t="shared" ref="AD346" si="901">(B346/T346-1)*100</f>
        <v>-38.494289106316785</v>
      </c>
      <c r="AE346" s="92">
        <f t="shared" ref="AE346" si="902">(C346/U346-1)*100</f>
        <v>-43.450994445439882</v>
      </c>
      <c r="AF346" s="92">
        <f t="shared" ref="AF346" si="903">(D346/V346-1)*100</f>
        <v>-45.849945632475531</v>
      </c>
      <c r="AG346" s="92">
        <f t="shared" ref="AG346" si="904">(E346/W346-1)*100</f>
        <v>-46.216216216216225</v>
      </c>
      <c r="AH346" s="92">
        <f t="shared" ref="AH346" si="905">(F346/X346-1)*100</f>
        <v>-52.542372881355924</v>
      </c>
      <c r="AI346" s="92">
        <f t="shared" ref="AI346" si="906">(G346/Y346-1)*100</f>
        <v>-52.561516740621215</v>
      </c>
      <c r="AJ346" s="92">
        <f t="shared" ref="AJ346" si="907">(H346/Z346-1)*100</f>
        <v>-45.934316269062833</v>
      </c>
      <c r="AK346" s="92">
        <f t="shared" ref="AK346" si="908">(I346/AA346-1)*100</f>
        <v>-42.666142351553283</v>
      </c>
      <c r="AM346" s="112">
        <f>AP346-'Figure 8_data'!H558</f>
        <v>0</v>
      </c>
      <c r="AN346" s="92">
        <f t="shared" ref="AN346" si="909">(B346/B294-1)*100</f>
        <v>-46.587030716723554</v>
      </c>
      <c r="AO346" s="92">
        <f t="shared" ref="AO346" si="910">(C346/C294-1)*100</f>
        <v>-54.340277777777779</v>
      </c>
      <c r="AP346" s="92">
        <f t="shared" ref="AP346" si="911">(D346/D294-1)*100</f>
        <v>-54.56204379562044</v>
      </c>
      <c r="AQ346" s="92">
        <f t="shared" ref="AQ346" si="912">(E346/E294-1)*100</f>
        <v>-47.769028871391072</v>
      </c>
      <c r="AR346" s="92">
        <f t="shared" ref="AR346" si="913">(F346/F294-1)*100</f>
        <v>-57.20524017467249</v>
      </c>
      <c r="AS346" s="92">
        <f t="shared" ref="AS346" si="914">(G346/G294-1)*100</f>
        <v>-57.20524017467249</v>
      </c>
      <c r="AT346" s="92">
        <f t="shared" ref="AT346" si="915">(H346/H294-1)*100</f>
        <v>-42.58064516129032</v>
      </c>
      <c r="AU346" s="92">
        <f t="shared" ref="AU346" si="916">(I346/I294-1)*100</f>
        <v>-42.823529411764703</v>
      </c>
    </row>
    <row r="347" spans="1:47" x14ac:dyDescent="0.3">
      <c r="A347" s="13">
        <f t="shared" si="475"/>
        <v>40008</v>
      </c>
      <c r="B347" s="92">
        <f>TWK!B292</f>
        <v>348.75</v>
      </c>
      <c r="C347" s="92">
        <f>TWK!C292</f>
        <v>282</v>
      </c>
      <c r="D347" s="92">
        <f>TWK!D292</f>
        <v>270</v>
      </c>
      <c r="E347" s="92">
        <f>TWK!E292</f>
        <v>191</v>
      </c>
      <c r="F347" s="92">
        <f>TWK!F292</f>
        <v>201</v>
      </c>
      <c r="G347" s="92">
        <f>TWK!G292</f>
        <v>201</v>
      </c>
      <c r="H347" s="92">
        <f>TWK!H292</f>
        <v>182.5</v>
      </c>
      <c r="I347" s="92">
        <f>TWK!I292</f>
        <v>250.2401746724891</v>
      </c>
      <c r="K347" s="92">
        <f t="shared" ref="K347" si="917">AVERAGE(B344:B347)</f>
        <v>328.6875</v>
      </c>
      <c r="L347" s="92">
        <f t="shared" ref="L347" si="918">AVERAGE(C344:C347)</f>
        <v>275.25</v>
      </c>
      <c r="M347" s="92">
        <f t="shared" ref="M347" si="919">AVERAGE(D344:D347)</f>
        <v>264.5625</v>
      </c>
      <c r="N347" s="92">
        <f t="shared" ref="N347" si="920">AVERAGE(E344:E347)</f>
        <v>194.625</v>
      </c>
      <c r="O347" s="92">
        <f t="shared" ref="O347" si="921">AVERAGE(F344:F347)</f>
        <v>199.1875</v>
      </c>
      <c r="P347" s="92">
        <f t="shared" ref="P347" si="922">AVERAGE(G344:G347)</f>
        <v>199.1875</v>
      </c>
      <c r="Q347" s="92">
        <f t="shared" ref="Q347" si="923">AVERAGE(H344:H347)</f>
        <v>178.9375</v>
      </c>
      <c r="R347" s="92">
        <f t="shared" ref="R347" si="924">AVERAGE(I344:I347)</f>
        <v>244.97762008733622</v>
      </c>
      <c r="T347" s="92">
        <f t="shared" ref="T347" si="925">(K191+K243+K295)/3</f>
        <v>531.47916666666663</v>
      </c>
      <c r="U347" s="92">
        <f t="shared" ref="U347" si="926">(L191+L243+L295)/3</f>
        <v>478.91666666666669</v>
      </c>
      <c r="V347" s="92">
        <f t="shared" ref="V347" si="927">(M191+M243+M295)/3</f>
        <v>464.83333333333331</v>
      </c>
      <c r="W347" s="92">
        <f t="shared" ref="W347" si="928">(N191+N243+N295)/3</f>
        <v>383.83333333333331</v>
      </c>
      <c r="X347" s="92">
        <f t="shared" ref="X347" si="929">(O191+O243+O295)/3</f>
        <v>413.58333333333331</v>
      </c>
      <c r="Y347" s="92">
        <f t="shared" ref="Y347" si="930">(P191+P243+P295)/3</f>
        <v>414.58333333333331</v>
      </c>
      <c r="Z347" s="92">
        <f t="shared" ref="Z347" si="931">(Q191+Q243+Q295)/3</f>
        <v>337.72916666666669</v>
      </c>
      <c r="AA347" s="92">
        <f t="shared" ref="AA347" si="932">(R191+R243+R295)/3</f>
        <v>450.75</v>
      </c>
      <c r="AC347" s="112">
        <f>+AF347-'Figure 8_data'!I559</f>
        <v>0</v>
      </c>
      <c r="AD347" s="92">
        <f t="shared" ref="AD347" si="933">(B347/T347-1)*100</f>
        <v>-34.381247305084074</v>
      </c>
      <c r="AE347" s="92">
        <f t="shared" ref="AE347" si="934">(C347/U347-1)*100</f>
        <v>-41.117104576300676</v>
      </c>
      <c r="AF347" s="92">
        <f t="shared" ref="AF347" si="935">(D347/V347-1)*100</f>
        <v>-41.914664754392248</v>
      </c>
      <c r="AG347" s="92">
        <f t="shared" ref="AG347" si="936">(E347/W347-1)*100</f>
        <v>-50.238818931828042</v>
      </c>
      <c r="AH347" s="92">
        <f t="shared" ref="AH347" si="937">(F347/X347-1)*100</f>
        <v>-51.400362683860564</v>
      </c>
      <c r="AI347" s="92">
        <f t="shared" ref="AI347" si="938">(G347/Y347-1)*100</f>
        <v>-51.517587939698494</v>
      </c>
      <c r="AJ347" s="92">
        <f t="shared" ref="AJ347" si="939">(H347/Z347-1)*100</f>
        <v>-45.962617975448772</v>
      </c>
      <c r="AK347" s="92">
        <f t="shared" ref="AK347" si="940">(I347/AA347-1)*100</f>
        <v>-44.48359962895416</v>
      </c>
      <c r="AM347" s="112">
        <f>AP347-'Figure 8_data'!H559</f>
        <v>0</v>
      </c>
      <c r="AN347" s="92">
        <f t="shared" ref="AN347" si="941">(B347/B295-1)*100</f>
        <v>-39.347826086956516</v>
      </c>
      <c r="AO347" s="92">
        <f t="shared" ref="AO347" si="942">(C347/C295-1)*100</f>
        <v>-46.18320610687023</v>
      </c>
      <c r="AP347" s="92">
        <f t="shared" ref="AP347" si="943">(D347/D295-1)*100</f>
        <v>-42.060085836909863</v>
      </c>
      <c r="AQ347" s="92">
        <f t="shared" ref="AQ347" si="944">(E347/E295-1)*100</f>
        <v>-44.47674418604651</v>
      </c>
      <c r="AR347" s="92">
        <f t="shared" ref="AR347" si="945">(F347/F295-1)*100</f>
        <v>-47.244094488188978</v>
      </c>
      <c r="AS347" s="92">
        <f t="shared" ref="AS347" si="946">(G347/G295-1)*100</f>
        <v>-47.244094488188978</v>
      </c>
      <c r="AT347" s="92">
        <f t="shared" ref="AT347" si="947">(H347/H295-1)*100</f>
        <v>-36.631944444444443</v>
      </c>
      <c r="AU347" s="92">
        <f t="shared" ref="AU347" si="948">(I347/I295-1)*100</f>
        <v>-34.833287845705961</v>
      </c>
    </row>
    <row r="348" spans="1:47" x14ac:dyDescent="0.3">
      <c r="A348" s="13">
        <f t="shared" si="475"/>
        <v>40015</v>
      </c>
      <c r="B348" s="92">
        <f>TWK!B293</f>
        <v>355</v>
      </c>
      <c r="C348" s="92">
        <f>TWK!C293</f>
        <v>298</v>
      </c>
      <c r="D348" s="92">
        <f>TWK!D293</f>
        <v>298</v>
      </c>
      <c r="E348" s="92">
        <f>TWK!E293</f>
        <v>225</v>
      </c>
      <c r="F348" s="92">
        <f>TWK!F293</f>
        <v>213</v>
      </c>
      <c r="G348" s="92">
        <f>TWK!G293</f>
        <v>213</v>
      </c>
      <c r="H348" s="92">
        <f>TWK!H293</f>
        <v>205</v>
      </c>
      <c r="I348" s="92">
        <f>TWK!I293</f>
        <v>281</v>
      </c>
      <c r="K348" s="92">
        <f t="shared" ref="K348" si="949">AVERAGE(B345:B348)</f>
        <v>333.6875</v>
      </c>
      <c r="L348" s="92">
        <f t="shared" ref="L348" si="950">AVERAGE(C345:C348)</f>
        <v>278.5</v>
      </c>
      <c r="M348" s="92">
        <f t="shared" ref="M348" si="951">AVERAGE(D345:D348)</f>
        <v>270</v>
      </c>
      <c r="N348" s="92">
        <f t="shared" ref="N348" si="952">AVERAGE(E345:E348)</f>
        <v>202.75</v>
      </c>
      <c r="O348" s="92">
        <f t="shared" ref="O348" si="953">AVERAGE(F345:F348)</f>
        <v>202.75</v>
      </c>
      <c r="P348" s="92">
        <f t="shared" ref="P348" si="954">AVERAGE(G345:G348)</f>
        <v>202.75</v>
      </c>
      <c r="Q348" s="92">
        <f t="shared" ref="Q348" si="955">AVERAGE(H345:H348)</f>
        <v>186.125</v>
      </c>
      <c r="R348" s="92">
        <f t="shared" ref="R348" si="956">AVERAGE(I345:I348)</f>
        <v>254.81004366812226</v>
      </c>
      <c r="T348" s="92">
        <f t="shared" ref="T348" si="957">(K192+K244+K296)/3</f>
        <v>546.75</v>
      </c>
      <c r="U348" s="92">
        <f t="shared" ref="U348" si="958">(L192+L244+L296)/3</f>
        <v>486.08333333333331</v>
      </c>
      <c r="V348" s="92">
        <f t="shared" ref="V348" si="959">(M192+M244+M296)/3</f>
        <v>470.08333333333331</v>
      </c>
      <c r="W348" s="92">
        <f t="shared" ref="W348" si="960">(N192+N244+N296)/3</f>
        <v>393.33333333333331</v>
      </c>
      <c r="X348" s="92">
        <f t="shared" ref="X348" si="961">(O192+O244+O296)/3</f>
        <v>410.75</v>
      </c>
      <c r="Y348" s="92">
        <f t="shared" ref="Y348" si="962">(P192+P244+P296)/3</f>
        <v>412.75</v>
      </c>
      <c r="Z348" s="92">
        <f t="shared" ref="Z348" si="963">(Q192+Q244+Q296)/3</f>
        <v>353.75</v>
      </c>
      <c r="AA348" s="92">
        <f t="shared" ref="AA348" si="964">(R192+R244+R296)/3</f>
        <v>464</v>
      </c>
      <c r="AC348" s="112">
        <f>+AF348-'Figure 8_data'!I560</f>
        <v>0</v>
      </c>
      <c r="AD348" s="92">
        <f t="shared" ref="AD348" si="965">(B348/T348-1)*100</f>
        <v>-35.070873342478279</v>
      </c>
      <c r="AE348" s="92">
        <f t="shared" ref="AE348" si="966">(C348/U348-1)*100</f>
        <v>-38.693639636550657</v>
      </c>
      <c r="AF348" s="92">
        <f t="shared" ref="AF348" si="967">(D348/V348-1)*100</f>
        <v>-36.606984577202617</v>
      </c>
      <c r="AG348" s="92">
        <f t="shared" ref="AG348" si="968">(E348/W348-1)*100</f>
        <v>-42.796610169491522</v>
      </c>
      <c r="AH348" s="92">
        <f t="shared" ref="AH348" si="969">(F348/X348-1)*100</f>
        <v>-48.143639683505782</v>
      </c>
      <c r="AI348" s="92">
        <f t="shared" ref="AI348" si="970">(G348/Y348-1)*100</f>
        <v>-48.394912174439732</v>
      </c>
      <c r="AJ348" s="92">
        <f t="shared" ref="AJ348" si="971">(H348/Z348-1)*100</f>
        <v>-42.049469964664311</v>
      </c>
      <c r="AK348" s="92">
        <f t="shared" ref="AK348" si="972">(I348/AA348-1)*100</f>
        <v>-39.439655172413794</v>
      </c>
      <c r="AM348" s="112">
        <f>AP348-'Figure 8_data'!H560</f>
        <v>0</v>
      </c>
      <c r="AN348" s="92">
        <f t="shared" ref="AN348" si="973">(B348/B296-1)*100</f>
        <v>-37.168141592920357</v>
      </c>
      <c r="AO348" s="92">
        <f t="shared" ref="AO348" si="974">(C348/C296-1)*100</f>
        <v>-39.307535641547865</v>
      </c>
      <c r="AP348" s="92">
        <f t="shared" ref="AP348" si="975">(D348/D296-1)*100</f>
        <v>-34.216335540838848</v>
      </c>
      <c r="AQ348" s="92">
        <f t="shared" ref="AQ348" si="976">(E348/E296-1)*100</f>
        <v>-34.402332361516031</v>
      </c>
      <c r="AR348" s="92">
        <f t="shared" ref="AR348" si="977">(F348/F296-1)*100</f>
        <v>-41.803278688524593</v>
      </c>
      <c r="AS348" s="92">
        <f t="shared" ref="AS348" si="978">(G348/G296-1)*100</f>
        <v>-41.803278688524593</v>
      </c>
      <c r="AT348" s="92">
        <f t="shared" ref="AT348" si="979">(H348/H296-1)*100</f>
        <v>-31.208053691275172</v>
      </c>
      <c r="AU348" s="92">
        <f t="shared" ref="AU348" si="980">(I348/I296-1)*100</f>
        <v>-29.573934837092729</v>
      </c>
    </row>
    <row r="349" spans="1:47" x14ac:dyDescent="0.3">
      <c r="A349" s="13">
        <f t="shared" si="475"/>
        <v>40022</v>
      </c>
      <c r="B349" s="92">
        <f>TWK!B294</f>
        <v>333.33333333333331</v>
      </c>
      <c r="C349" s="92">
        <f>TWK!C294</f>
        <v>285</v>
      </c>
      <c r="D349" s="92">
        <f>TWK!D294</f>
        <v>287.5</v>
      </c>
      <c r="E349" s="92">
        <f>TWK!E294</f>
        <v>228.75</v>
      </c>
      <c r="F349" s="92">
        <f>TWK!F294</f>
        <v>233.33333333333334</v>
      </c>
      <c r="G349" s="92">
        <f>TWK!G294</f>
        <v>233.33333333333334</v>
      </c>
      <c r="H349" s="92">
        <f>TWK!H294</f>
        <v>195</v>
      </c>
      <c r="I349" s="92">
        <f>TWK!I294</f>
        <v>267.37991266375548</v>
      </c>
      <c r="K349" s="92">
        <f t="shared" ref="K349" si="981">AVERAGE(B346:B349)</f>
        <v>337.52083333333331</v>
      </c>
      <c r="L349" s="92">
        <f t="shared" ref="L349" si="982">AVERAGE(C346:C349)</f>
        <v>282</v>
      </c>
      <c r="M349" s="92">
        <f t="shared" ref="M349" si="983">AVERAGE(D346:D349)</f>
        <v>276.125</v>
      </c>
      <c r="N349" s="92">
        <f t="shared" ref="N349" si="984">AVERAGE(E346:E349)</f>
        <v>210.9375</v>
      </c>
      <c r="O349" s="92">
        <f t="shared" ref="O349" si="985">AVERAGE(F346:F349)</f>
        <v>210.83333333333334</v>
      </c>
      <c r="P349" s="92">
        <f t="shared" ref="P349" si="986">AVERAGE(G346:G349)</f>
        <v>210.83333333333334</v>
      </c>
      <c r="Q349" s="92">
        <f t="shared" ref="Q349" si="987">AVERAGE(H346:H349)</f>
        <v>190.125</v>
      </c>
      <c r="R349" s="92">
        <f t="shared" ref="R349" si="988">AVERAGE(I346:I349)</f>
        <v>260.40502183406113</v>
      </c>
      <c r="T349" s="92">
        <f t="shared" ref="T349" si="989">(K193+K245+K297)/3</f>
        <v>551.91666666666663</v>
      </c>
      <c r="U349" s="92">
        <f t="shared" ref="U349" si="990">(L193+L245+L297)/3</f>
        <v>490.5</v>
      </c>
      <c r="V349" s="92">
        <f t="shared" ref="V349" si="991">(M193+M245+M297)/3</f>
        <v>468.25</v>
      </c>
      <c r="W349" s="92">
        <f t="shared" ref="W349" si="992">(N193+N245+N297)/3</f>
        <v>399.58333333333331</v>
      </c>
      <c r="X349" s="92">
        <f t="shared" ref="X349" si="993">(O193+O245+O297)/3</f>
        <v>403.66666666666669</v>
      </c>
      <c r="Y349" s="92">
        <f t="shared" ref="Y349" si="994">(P193+P245+P297)/3</f>
        <v>404.66666666666669</v>
      </c>
      <c r="Z349" s="92">
        <f t="shared" ref="Z349" si="995">(Q193+Q245+Q297)/3</f>
        <v>365.25</v>
      </c>
      <c r="AA349" s="92">
        <f t="shared" ref="AA349" si="996">(R193+R245+R297)/3</f>
        <v>480.33333333333331</v>
      </c>
      <c r="AC349" s="112">
        <f>+AF349-'Figure 8_data'!I561</f>
        <v>0</v>
      </c>
      <c r="AD349" s="92">
        <f t="shared" ref="AD349" si="997">(B349/T349-1)*100</f>
        <v>-39.604408878151901</v>
      </c>
      <c r="AE349" s="92">
        <f t="shared" ref="AE349" si="998">(C349/U349-1)*100</f>
        <v>-41.896024464831804</v>
      </c>
      <c r="AF349" s="92">
        <f t="shared" ref="AF349" si="999">(D349/V349-1)*100</f>
        <v>-38.601174586225305</v>
      </c>
      <c r="AG349" s="92">
        <f t="shared" ref="AG349" si="1000">(E349/W349-1)*100</f>
        <v>-42.75286757038581</v>
      </c>
      <c r="AH349" s="92">
        <f t="shared" ref="AH349" si="1001">(F349/X349-1)*100</f>
        <v>-42.19653179190751</v>
      </c>
      <c r="AI349" s="92">
        <f t="shared" ref="AI349" si="1002">(G349/Y349-1)*100</f>
        <v>-42.33937397034596</v>
      </c>
      <c r="AJ349" s="92">
        <f t="shared" ref="AJ349" si="1003">(H349/Z349-1)*100</f>
        <v>-46.611909650924019</v>
      </c>
      <c r="AK349" s="92">
        <f t="shared" ref="AK349" si="1004">(I349/AA349-1)*100</f>
        <v>-44.33450811996763</v>
      </c>
      <c r="AM349" s="112">
        <f>AP349-'Figure 8_data'!H561</f>
        <v>0</v>
      </c>
      <c r="AN349" s="92">
        <f t="shared" ref="AN349" si="1005">(B349/B297-1)*100</f>
        <v>-43.502824858757059</v>
      </c>
      <c r="AO349" s="92">
        <f t="shared" ref="AO349" si="1006">(C349/C297-1)*100</f>
        <v>-48.18181818181818</v>
      </c>
      <c r="AP349" s="92">
        <f t="shared" ref="AP349" si="1007">(D349/D297-1)*100</f>
        <v>-41.565040650406502</v>
      </c>
      <c r="AQ349" s="92">
        <f t="shared" ref="AQ349" si="1008">(E349/E297-1)*100</f>
        <v>-37.670299727520437</v>
      </c>
      <c r="AR349" s="92">
        <f t="shared" ref="AR349" si="1009">(F349/F297-1)*100</f>
        <v>-37.106918238993714</v>
      </c>
      <c r="AS349" s="92">
        <f t="shared" ref="AS349" si="1010">(G349/G297-1)*100</f>
        <v>-37.106918238993714</v>
      </c>
      <c r="AT349" s="92">
        <f t="shared" ref="AT349" si="1011">(H349/H297-1)*100</f>
        <v>-40.548780487804883</v>
      </c>
      <c r="AU349" s="92">
        <f t="shared" ref="AU349" si="1012">(I349/I297-1)*100</f>
        <v>-40.582241630276563</v>
      </c>
    </row>
    <row r="350" spans="1:47" x14ac:dyDescent="0.3">
      <c r="A350" s="13">
        <f t="shared" si="475"/>
        <v>40029</v>
      </c>
      <c r="B350" s="92">
        <f>TWK!B295</f>
        <v>315</v>
      </c>
      <c r="C350" s="92">
        <f>TWK!C295</f>
        <v>276.25</v>
      </c>
      <c r="D350" s="92">
        <f>TWK!D295</f>
        <v>276.25</v>
      </c>
      <c r="E350" s="92">
        <f>TWK!E295</f>
        <v>216.66666666666666</v>
      </c>
      <c r="F350" s="92">
        <f>TWK!F295</f>
        <v>243.33333333333334</v>
      </c>
      <c r="G350" s="92">
        <f>TWK!G295</f>
        <v>243.33333333333334</v>
      </c>
      <c r="H350" s="92">
        <f>TWK!H295</f>
        <v>185</v>
      </c>
      <c r="I350" s="92">
        <f>TWK!I295</f>
        <v>253.66812227074237</v>
      </c>
      <c r="K350" s="92">
        <f t="shared" ref="K350" si="1013">AVERAGE(B347:B350)</f>
        <v>338.02083333333331</v>
      </c>
      <c r="L350" s="92">
        <f t="shared" ref="L350" si="1014">AVERAGE(C347:C350)</f>
        <v>285.3125</v>
      </c>
      <c r="M350" s="92">
        <f t="shared" ref="M350" si="1015">AVERAGE(D347:D350)</f>
        <v>282.9375</v>
      </c>
      <c r="N350" s="92">
        <f t="shared" ref="N350" si="1016">AVERAGE(E347:E350)</f>
        <v>215.35416666666666</v>
      </c>
      <c r="O350" s="92">
        <f t="shared" ref="O350" si="1017">AVERAGE(F347:F350)</f>
        <v>222.66666666666669</v>
      </c>
      <c r="P350" s="92">
        <f t="shared" ref="P350" si="1018">AVERAGE(G347:G350)</f>
        <v>222.66666666666669</v>
      </c>
      <c r="Q350" s="92">
        <f t="shared" ref="Q350" si="1019">AVERAGE(H347:H350)</f>
        <v>191.875</v>
      </c>
      <c r="R350" s="92">
        <f t="shared" ref="R350" si="1020">AVERAGE(I347:I350)</f>
        <v>263.0720524017467</v>
      </c>
      <c r="T350" s="92">
        <f t="shared" ref="T350" si="1021">(K194+K246+K298)/3</f>
        <v>550.41666666666663</v>
      </c>
      <c r="U350" s="92">
        <f t="shared" ref="U350" si="1022">(L194+L246+L298)/3</f>
        <v>494.5</v>
      </c>
      <c r="V350" s="92">
        <f t="shared" ref="V350" si="1023">(M194+M246+M298)/3</f>
        <v>477.08333333333331</v>
      </c>
      <c r="W350" s="92">
        <f t="shared" ref="W350" si="1024">(N194+N246+N298)/3</f>
        <v>417.91666666666669</v>
      </c>
      <c r="X350" s="92">
        <f t="shared" ref="X350" si="1025">(O194+O246+O298)/3</f>
        <v>411.91666666666669</v>
      </c>
      <c r="Y350" s="92">
        <f t="shared" ref="Y350" si="1026">(P194+P246+P298)/3</f>
        <v>412.75</v>
      </c>
      <c r="Z350" s="92">
        <f t="shared" ref="Z350" si="1027">(Q194+Q246+Q298)/3</f>
        <v>396.5</v>
      </c>
      <c r="AA350" s="92">
        <f t="shared" ref="AA350" si="1028">(R194+R246+R298)/3</f>
        <v>520.66666666666663</v>
      </c>
      <c r="AC350" s="112">
        <f>+AF350-'Figure 8_data'!I562</f>
        <v>0</v>
      </c>
      <c r="AD350" s="92">
        <f t="shared" ref="AD350" si="1029">(B350/T350-1)*100</f>
        <v>-42.770628311884927</v>
      </c>
      <c r="AE350" s="92">
        <f t="shared" ref="AE350" si="1030">(C350/U350-1)*100</f>
        <v>-44.135490394337715</v>
      </c>
      <c r="AF350" s="92">
        <f t="shared" ref="AF350" si="1031">(D350/V350-1)*100</f>
        <v>-42.096069868995635</v>
      </c>
      <c r="AG350" s="92">
        <f t="shared" ref="AG350" si="1032">(E350/W350-1)*100</f>
        <v>-48.155533399800596</v>
      </c>
      <c r="AH350" s="92">
        <f t="shared" ref="AH350" si="1033">(F350/X350-1)*100</f>
        <v>-40.926562816103583</v>
      </c>
      <c r="AI350" s="92">
        <f t="shared" ref="AI350" si="1034">(G350/Y350-1)*100</f>
        <v>-41.045830809610337</v>
      </c>
      <c r="AJ350" s="92">
        <f t="shared" ref="AJ350" si="1035">(H350/Z350-1)*100</f>
        <v>-53.341740226986126</v>
      </c>
      <c r="AK350" s="92">
        <f t="shared" ref="AK350" si="1036">(I350/AA350-1)*100</f>
        <v>-51.280130165670478</v>
      </c>
      <c r="AM350" s="112">
        <f>AP350-'Figure 8_data'!H562</f>
        <v>0</v>
      </c>
      <c r="AN350" s="92">
        <f t="shared" ref="AN350" si="1037">(B350/B298-1)*100</f>
        <v>-42.518248175182485</v>
      </c>
      <c r="AO350" s="92">
        <f t="shared" ref="AO350" si="1038">(C350/C298-1)*100</f>
        <v>-44.75</v>
      </c>
      <c r="AP350" s="92">
        <f t="shared" ref="AP350" si="1039">(D350/D298-1)*100</f>
        <v>-43.041237113402062</v>
      </c>
      <c r="AQ350" s="92">
        <f t="shared" ref="AQ350" si="1040">(E350/E298-1)*100</f>
        <v>-45.833333333333336</v>
      </c>
      <c r="AR350" s="92">
        <f t="shared" ref="AR350" si="1041">(F350/F298-1)*100</f>
        <v>-35.455349248452691</v>
      </c>
      <c r="AS350" s="92">
        <f t="shared" ref="AS350" si="1042">(G350/G298-1)*100</f>
        <v>-35.455349248452691</v>
      </c>
      <c r="AT350" s="92">
        <f t="shared" ref="AT350" si="1043">(H350/H298-1)*100</f>
        <v>-52.926208651399499</v>
      </c>
      <c r="AU350" s="92">
        <f t="shared" ref="AU350" si="1044">(I350/I298-1)*100</f>
        <v>-51.590053001766719</v>
      </c>
    </row>
    <row r="351" spans="1:47" x14ac:dyDescent="0.3">
      <c r="A351" s="13">
        <f t="shared" si="475"/>
        <v>40036</v>
      </c>
      <c r="B351" s="92">
        <f>TWK!B296</f>
        <v>311.25</v>
      </c>
      <c r="C351" s="92">
        <f>TWK!C296</f>
        <v>282</v>
      </c>
      <c r="D351" s="92">
        <f>TWK!D296</f>
        <v>280</v>
      </c>
      <c r="E351" s="92">
        <f>TWK!E296</f>
        <v>213.75</v>
      </c>
      <c r="F351" s="92">
        <f>TWK!F296</f>
        <v>252.5</v>
      </c>
      <c r="G351" s="92">
        <f>TWK!G296</f>
        <v>252.5</v>
      </c>
      <c r="H351" s="92">
        <f>TWK!H296</f>
        <v>186.25</v>
      </c>
      <c r="I351" s="92">
        <f>TWK!I296</f>
        <v>255.25109170305677</v>
      </c>
      <c r="K351" s="92">
        <f t="shared" ref="K351" si="1045">AVERAGE(B348:B351)</f>
        <v>328.64583333333331</v>
      </c>
      <c r="L351" s="92">
        <f t="shared" ref="L351" si="1046">AVERAGE(C348:C351)</f>
        <v>285.3125</v>
      </c>
      <c r="M351" s="92">
        <f t="shared" ref="M351" si="1047">AVERAGE(D348:D351)</f>
        <v>285.4375</v>
      </c>
      <c r="N351" s="92">
        <f t="shared" ref="N351" si="1048">AVERAGE(E348:E351)</f>
        <v>221.04166666666666</v>
      </c>
      <c r="O351" s="92">
        <f t="shared" ref="O351" si="1049">AVERAGE(F348:F351)</f>
        <v>235.54166666666669</v>
      </c>
      <c r="P351" s="92">
        <f t="shared" ref="P351" si="1050">AVERAGE(G348:G351)</f>
        <v>235.54166666666669</v>
      </c>
      <c r="Q351" s="92">
        <f t="shared" ref="Q351" si="1051">AVERAGE(H348:H351)</f>
        <v>192.8125</v>
      </c>
      <c r="R351" s="92">
        <f t="shared" ref="R351" si="1052">AVERAGE(I348:I351)</f>
        <v>264.32478165938869</v>
      </c>
      <c r="T351" s="92">
        <f t="shared" ref="T351" si="1053">(K195+K247+K299)/3</f>
        <v>537.5625</v>
      </c>
      <c r="U351" s="92">
        <f t="shared" ref="U351" si="1054">(L195+L247+L299)/3</f>
        <v>500.16666666666669</v>
      </c>
      <c r="V351" s="92">
        <f t="shared" ref="V351" si="1055">(M195+M247+M299)/3</f>
        <v>487.83333333333331</v>
      </c>
      <c r="W351" s="92">
        <f t="shared" ref="W351" si="1056">(N195+N247+N299)/3</f>
        <v>440.75</v>
      </c>
      <c r="X351" s="92">
        <f t="shared" ref="X351" si="1057">(O195+O247+O299)/3</f>
        <v>431.5</v>
      </c>
      <c r="Y351" s="92">
        <f t="shared" ref="Y351" si="1058">(P195+P247+P299)/3</f>
        <v>431.75</v>
      </c>
      <c r="Z351" s="92">
        <f t="shared" ref="Z351" si="1059">(Q195+Q247+Q299)/3</f>
        <v>428.25</v>
      </c>
      <c r="AA351" s="92">
        <f t="shared" ref="AA351" si="1060">(R195+R247+R299)/3</f>
        <v>572.34061135371178</v>
      </c>
      <c r="AC351" s="112">
        <f>+AF351-'Figure 8_data'!I563</f>
        <v>0</v>
      </c>
      <c r="AD351" s="92">
        <f t="shared" ref="AD351" si="1061">(B351/T351-1)*100</f>
        <v>-42.09975584234391</v>
      </c>
      <c r="AE351" s="92">
        <f t="shared" ref="AE351" si="1062">(C351/U351-1)*100</f>
        <v>-43.618793735421526</v>
      </c>
      <c r="AF351" s="92">
        <f t="shared" ref="AF351" si="1063">(D351/V351-1)*100</f>
        <v>-42.603348138025275</v>
      </c>
      <c r="AG351" s="92">
        <f t="shared" ref="AG351" si="1064">(E351/W351-1)*100</f>
        <v>-51.50311968235961</v>
      </c>
      <c r="AH351" s="92">
        <f t="shared" ref="AH351" si="1065">(F351/X351-1)*100</f>
        <v>-41.483198146002323</v>
      </c>
      <c r="AI351" s="92">
        <f t="shared" ref="AI351" si="1066">(G351/Y351-1)*100</f>
        <v>-41.517081644470174</v>
      </c>
      <c r="AJ351" s="92">
        <f t="shared" ref="AJ351" si="1067">(H351/Z351-1)*100</f>
        <v>-56.509048453006415</v>
      </c>
      <c r="AK351" s="92">
        <f t="shared" ref="AK351" si="1068">(I351/AA351-1)*100</f>
        <v>-55.402240092777674</v>
      </c>
      <c r="AM351" s="112">
        <f>AP351-'Figure 8_data'!H563</f>
        <v>0</v>
      </c>
      <c r="AN351" s="92">
        <f t="shared" ref="AN351" si="1069">(B351/B299-1)*100</f>
        <v>-36.219262295081968</v>
      </c>
      <c r="AO351" s="92">
        <f t="shared" ref="AO351" si="1070">(C351/C299-1)*100</f>
        <v>-40.380549682875269</v>
      </c>
      <c r="AP351" s="92">
        <f t="shared" ref="AP351" si="1071">(D351/D299-1)*100</f>
        <v>-39.130434782608688</v>
      </c>
      <c r="AQ351" s="92">
        <f t="shared" ref="AQ351" si="1072">(E351/E299-1)*100</f>
        <v>-44.480519480519476</v>
      </c>
      <c r="AR351" s="92">
        <f t="shared" ref="AR351" si="1073">(F351/F299-1)*100</f>
        <v>-33.55263157894737</v>
      </c>
      <c r="AS351" s="92">
        <f t="shared" ref="AS351" si="1074">(G351/G299-1)*100</f>
        <v>-33.55263157894737</v>
      </c>
      <c r="AT351" s="92">
        <f t="shared" ref="AT351" si="1075">(H351/H299-1)*100</f>
        <v>-50.333333333333343</v>
      </c>
      <c r="AU351" s="92">
        <f t="shared" ref="AU351" si="1076">(I351/I299-1)*100</f>
        <v>-51.380744437512995</v>
      </c>
    </row>
    <row r="352" spans="1:47" x14ac:dyDescent="0.3">
      <c r="A352" s="13">
        <f t="shared" si="475"/>
        <v>40043</v>
      </c>
      <c r="B352" s="92">
        <f>TWK!B297</f>
        <v>345</v>
      </c>
      <c r="C352" s="92">
        <f>TWK!C297</f>
        <v>324</v>
      </c>
      <c r="D352" s="92">
        <f>TWK!D297</f>
        <v>322</v>
      </c>
      <c r="E352" s="92">
        <f>TWK!E297</f>
        <v>271</v>
      </c>
      <c r="F352" s="92">
        <f>TWK!F297</f>
        <v>314</v>
      </c>
      <c r="G352" s="92">
        <f>TWK!G297</f>
        <v>314</v>
      </c>
      <c r="H352" s="92">
        <f>TWK!H297</f>
        <v>263</v>
      </c>
      <c r="I352" s="92">
        <f>TWK!I297</f>
        <v>360</v>
      </c>
      <c r="K352" s="92">
        <f t="shared" ref="K352" si="1077">AVERAGE(B349:B352)</f>
        <v>326.14583333333331</v>
      </c>
      <c r="L352" s="92">
        <f t="shared" ref="L352" si="1078">AVERAGE(C349:C352)</f>
        <v>291.8125</v>
      </c>
      <c r="M352" s="92">
        <f t="shared" ref="M352" si="1079">AVERAGE(D349:D352)</f>
        <v>291.4375</v>
      </c>
      <c r="N352" s="92">
        <f t="shared" ref="N352" si="1080">AVERAGE(E349:E352)</f>
        <v>232.54166666666666</v>
      </c>
      <c r="O352" s="92">
        <f t="shared" ref="O352" si="1081">AVERAGE(F349:F352)</f>
        <v>260.79166666666669</v>
      </c>
      <c r="P352" s="92">
        <f t="shared" ref="P352" si="1082">AVERAGE(G349:G352)</f>
        <v>260.79166666666669</v>
      </c>
      <c r="Q352" s="92">
        <f t="shared" ref="Q352" si="1083">AVERAGE(H349:H352)</f>
        <v>207.3125</v>
      </c>
      <c r="R352" s="92">
        <f t="shared" ref="R352" si="1084">AVERAGE(I349:I352)</f>
        <v>284.07478165938869</v>
      </c>
      <c r="T352" s="92">
        <f t="shared" ref="T352" si="1085">(K196+K248+K300)/3</f>
        <v>538.22916666666663</v>
      </c>
      <c r="U352" s="92">
        <f t="shared" ref="U352" si="1086">(L196+L248+L300)/3</f>
        <v>516.08333333333337</v>
      </c>
      <c r="V352" s="92">
        <f t="shared" ref="V352" si="1087">(M196+M248+M300)/3</f>
        <v>510</v>
      </c>
      <c r="W352" s="92">
        <f t="shared" ref="W352" si="1088">(N196+N248+N300)/3</f>
        <v>486.58333333333331</v>
      </c>
      <c r="X352" s="92">
        <f t="shared" ref="X352" si="1089">(O196+O248+O300)/3</f>
        <v>468.33333333333331</v>
      </c>
      <c r="Y352" s="92">
        <f t="shared" ref="Y352" si="1090">(P196+P248+P300)/3</f>
        <v>468.66666666666669</v>
      </c>
      <c r="Z352" s="92">
        <f t="shared" ref="Z352" si="1091">(Q196+Q248+Q300)/3</f>
        <v>482.25</v>
      </c>
      <c r="AA352" s="92">
        <f t="shared" ref="AA352" si="1092">(R196+R248+R300)/3</f>
        <v>651.59061135371178</v>
      </c>
      <c r="AC352" s="112">
        <f>+AF352-'Figure 8_data'!I564</f>
        <v>0</v>
      </c>
      <c r="AD352" s="92">
        <f t="shared" ref="AD352" si="1093">(B352/T352-1)*100</f>
        <v>-35.900909618734268</v>
      </c>
      <c r="AE352" s="92">
        <f t="shared" ref="AE352" si="1094">(C352/U352-1)*100</f>
        <v>-37.219441304698861</v>
      </c>
      <c r="AF352" s="92">
        <f t="shared" ref="AF352" si="1095">(D352/V352-1)*100</f>
        <v>-36.86274509803922</v>
      </c>
      <c r="AG352" s="92">
        <f t="shared" ref="AG352" si="1096">(E352/W352-1)*100</f>
        <v>-44.305531769138554</v>
      </c>
      <c r="AH352" s="92">
        <f t="shared" ref="AH352" si="1097">(F352/X352-1)*100</f>
        <v>-32.953736654804267</v>
      </c>
      <c r="AI352" s="92">
        <f t="shared" ref="AI352" si="1098">(G352/Y352-1)*100</f>
        <v>-33.001422475106693</v>
      </c>
      <c r="AJ352" s="92">
        <f t="shared" ref="AJ352" si="1099">(H352/Z352-1)*100</f>
        <v>-45.463970969414206</v>
      </c>
      <c r="AK352" s="92">
        <f t="shared" ref="AK352" si="1100">(I352/AA352-1)*100</f>
        <v>-44.750585148536416</v>
      </c>
      <c r="AM352" s="112">
        <f>AP352-'Figure 8_data'!H564</f>
        <v>0</v>
      </c>
      <c r="AN352" s="92">
        <f t="shared" ref="AN352" si="1101">(B352/B300-1)*100</f>
        <v>-32.352941176470587</v>
      </c>
      <c r="AO352" s="92">
        <f t="shared" ref="AO352" si="1102">(C352/C300-1)*100</f>
        <v>-37.087378640776706</v>
      </c>
      <c r="AP352" s="92">
        <f t="shared" ref="AP352" si="1103">(D352/D300-1)*100</f>
        <v>-37.475728155339802</v>
      </c>
      <c r="AQ352" s="92">
        <f t="shared" ref="AQ352" si="1104">(E352/E300-1)*100</f>
        <v>-47.582205029013537</v>
      </c>
      <c r="AR352" s="92">
        <f t="shared" ref="AR352" si="1105">(F352/F300-1)*100</f>
        <v>-33.474576271186443</v>
      </c>
      <c r="AS352" s="92">
        <f t="shared" ref="AS352" si="1106">(G352/G300-1)*100</f>
        <v>-33.474576271186443</v>
      </c>
      <c r="AT352" s="92">
        <f t="shared" ref="AT352" si="1107">(H352/H300-1)*100</f>
        <v>-49.129593810444874</v>
      </c>
      <c r="AU352" s="92">
        <f t="shared" ref="AU352" si="1108">(I352/I300-1)*100</f>
        <v>-49.152542372881356</v>
      </c>
    </row>
    <row r="353" spans="1:47" x14ac:dyDescent="0.3">
      <c r="A353" s="13">
        <f t="shared" si="475"/>
        <v>40050</v>
      </c>
      <c r="B353" s="92">
        <f>TWK!B298</f>
        <v>353</v>
      </c>
      <c r="C353" s="92">
        <f>TWK!C298</f>
        <v>338</v>
      </c>
      <c r="D353" s="92">
        <f>TWK!D298</f>
        <v>340</v>
      </c>
      <c r="E353" s="92">
        <f>TWK!E298</f>
        <v>283</v>
      </c>
      <c r="F353" s="92">
        <f>TWK!F298</f>
        <v>360</v>
      </c>
      <c r="G353" s="92">
        <f>TWK!G298</f>
        <v>360</v>
      </c>
      <c r="H353" s="92">
        <f>TWK!H298</f>
        <v>312</v>
      </c>
      <c r="I353" s="92">
        <f>TWK!I298</f>
        <v>427</v>
      </c>
      <c r="K353" s="92">
        <f t="shared" ref="K353" si="1109">AVERAGE(B350:B353)</f>
        <v>331.0625</v>
      </c>
      <c r="L353" s="92">
        <f t="shared" ref="L353" si="1110">AVERAGE(C350:C353)</f>
        <v>305.0625</v>
      </c>
      <c r="M353" s="92">
        <f t="shared" ref="M353" si="1111">AVERAGE(D350:D353)</f>
        <v>304.5625</v>
      </c>
      <c r="N353" s="92">
        <f t="shared" ref="N353" si="1112">AVERAGE(E350:E353)</f>
        <v>246.10416666666666</v>
      </c>
      <c r="O353" s="92">
        <f t="shared" ref="O353" si="1113">AVERAGE(F350:F353)</f>
        <v>292.45833333333337</v>
      </c>
      <c r="P353" s="92">
        <f t="shared" ref="P353" si="1114">AVERAGE(G350:G353)</f>
        <v>292.45833333333337</v>
      </c>
      <c r="Q353" s="92">
        <f t="shared" ref="Q353" si="1115">AVERAGE(H350:H353)</f>
        <v>236.5625</v>
      </c>
      <c r="R353" s="92">
        <f t="shared" ref="R353" si="1116">AVERAGE(I350:I353)</f>
        <v>323.97980349344982</v>
      </c>
      <c r="T353" s="92">
        <f t="shared" ref="T353" si="1117">(K197+K249+K301)/3</f>
        <v>544.5625</v>
      </c>
      <c r="U353" s="92">
        <f t="shared" ref="U353" si="1118">(L197+L249+L301)/3</f>
        <v>545.83333333333337</v>
      </c>
      <c r="V353" s="92">
        <f t="shared" ref="V353" si="1119">(M197+M249+M301)/3</f>
        <v>547.33333333333337</v>
      </c>
      <c r="W353" s="92">
        <f t="shared" ref="W353" si="1120">(N197+N249+N301)/3</f>
        <v>546.33333333333337</v>
      </c>
      <c r="X353" s="92">
        <f t="shared" ref="X353" si="1121">(O197+O249+O301)/3</f>
        <v>525.58333333333337</v>
      </c>
      <c r="Y353" s="92">
        <f t="shared" ref="Y353" si="1122">(P197+P249+P301)/3</f>
        <v>526.16666666666663</v>
      </c>
      <c r="Z353" s="92">
        <f t="shared" ref="Z353" si="1123">(Q197+Q249+Q301)/3</f>
        <v>552.5</v>
      </c>
      <c r="AA353" s="92">
        <f t="shared" ref="AA353" si="1124">(R197+R249+R301)/3</f>
        <v>727.00727802037852</v>
      </c>
      <c r="AC353" s="112">
        <f>+AF353-'Figure 8_data'!I565</f>
        <v>0</v>
      </c>
      <c r="AD353" s="92">
        <f t="shared" ref="AD353" si="1125">(B353/T353-1)*100</f>
        <v>-35.177321244117991</v>
      </c>
      <c r="AE353" s="92">
        <f t="shared" ref="AE353" si="1126">(C353/U353-1)*100</f>
        <v>-38.076335877862597</v>
      </c>
      <c r="AF353" s="92">
        <f t="shared" ref="AF353" si="1127">(D353/V353-1)*100</f>
        <v>-37.880633373934238</v>
      </c>
      <c r="AG353" s="92">
        <f t="shared" ref="AG353" si="1128">(E353/W353-1)*100</f>
        <v>-48.200122025625383</v>
      </c>
      <c r="AH353" s="92">
        <f t="shared" ref="AH353" si="1129">(F353/X353-1)*100</f>
        <v>-31.504677342635169</v>
      </c>
      <c r="AI353" s="92">
        <f t="shared" ref="AI353" si="1130">(G353/Y353-1)*100</f>
        <v>-31.580614507443773</v>
      </c>
      <c r="AJ353" s="92">
        <f t="shared" ref="AJ353" si="1131">(H353/Z353-1)*100</f>
        <v>-43.529411764705884</v>
      </c>
      <c r="AK353" s="92">
        <f t="shared" ref="AK353" si="1132">(I353/AA353-1)*100</f>
        <v>-41.266062540294001</v>
      </c>
      <c r="AM353" s="112">
        <f>AP353-'Figure 8_data'!H565</f>
        <v>0</v>
      </c>
      <c r="AN353" s="92">
        <f t="shared" ref="AN353" si="1133">(B353/B301-1)*100</f>
        <v>-35.583941605839421</v>
      </c>
      <c r="AO353" s="92">
        <f t="shared" ref="AO353" si="1134">(C353/C301-1)*100</f>
        <v>-40.176991150442475</v>
      </c>
      <c r="AP353" s="92">
        <f t="shared" ref="AP353" si="1135">(D353/D301-1)*100</f>
        <v>-39.92932862190812</v>
      </c>
      <c r="AQ353" s="92">
        <f t="shared" ref="AQ353" si="1136">(E353/E301-1)*100</f>
        <v>-48.545454545454547</v>
      </c>
      <c r="AR353" s="92">
        <f t="shared" ref="AR353" si="1137">(F353/F301-1)*100</f>
        <v>-31.818181818181824</v>
      </c>
      <c r="AS353" s="92">
        <f t="shared" ref="AS353" si="1138">(G353/G301-1)*100</f>
        <v>-31.818181818181824</v>
      </c>
      <c r="AT353" s="92">
        <f t="shared" ref="AT353" si="1139">(H353/H301-1)*100</f>
        <v>-38.21782178217822</v>
      </c>
      <c r="AU353" s="92">
        <f t="shared" ref="AU353" si="1140">(I353/I301-1)*100</f>
        <v>-34.003091190108194</v>
      </c>
    </row>
    <row r="354" spans="1:47" x14ac:dyDescent="0.3">
      <c r="A354" s="13">
        <f t="shared" si="475"/>
        <v>40057</v>
      </c>
      <c r="B354" s="92">
        <f>TWK!B299</f>
        <v>358</v>
      </c>
      <c r="C354" s="92">
        <f>TWK!C299</f>
        <v>353</v>
      </c>
      <c r="D354" s="92">
        <f>TWK!D299</f>
        <v>355</v>
      </c>
      <c r="E354" s="92">
        <f>TWK!E299</f>
        <v>324</v>
      </c>
      <c r="F354" s="92">
        <f>TWK!F299</f>
        <v>374</v>
      </c>
      <c r="G354" s="92">
        <f>TWK!G299</f>
        <v>380</v>
      </c>
      <c r="H354" s="92">
        <f>TWK!H299</f>
        <v>324</v>
      </c>
      <c r="I354" s="92">
        <f>TWK!I299</f>
        <v>444</v>
      </c>
      <c r="K354" s="92">
        <f t="shared" ref="K354" si="1141">AVERAGE(B351:B354)</f>
        <v>341.8125</v>
      </c>
      <c r="L354" s="92">
        <f t="shared" ref="L354" si="1142">AVERAGE(C351:C354)</f>
        <v>324.25</v>
      </c>
      <c r="M354" s="92">
        <f t="shared" ref="M354" si="1143">AVERAGE(D351:D354)</f>
        <v>324.25</v>
      </c>
      <c r="N354" s="92">
        <f t="shared" ref="N354" si="1144">AVERAGE(E351:E354)</f>
        <v>272.9375</v>
      </c>
      <c r="O354" s="92">
        <f t="shared" ref="O354" si="1145">AVERAGE(F351:F354)</f>
        <v>325.125</v>
      </c>
      <c r="P354" s="92">
        <f t="shared" ref="P354" si="1146">AVERAGE(G351:G354)</f>
        <v>326.625</v>
      </c>
      <c r="Q354" s="92">
        <f t="shared" ref="Q354" si="1147">AVERAGE(H351:H354)</f>
        <v>271.3125</v>
      </c>
      <c r="R354" s="92">
        <f t="shared" ref="R354" si="1148">AVERAGE(I351:I354)</f>
        <v>371.56277292576419</v>
      </c>
      <c r="T354" s="92">
        <f t="shared" ref="T354" si="1149">(K198+K250+K302)/3</f>
        <v>555.39583333333337</v>
      </c>
      <c r="U354" s="92">
        <f t="shared" ref="U354" si="1150">(L198+L250+L302)/3</f>
        <v>576.33333333333337</v>
      </c>
      <c r="V354" s="92">
        <f t="shared" ref="V354" si="1151">(M198+M250+M302)/3</f>
        <v>581.16666666666663</v>
      </c>
      <c r="W354" s="92">
        <f t="shared" ref="W354" si="1152">(N198+N250+N302)/3</f>
        <v>599.25</v>
      </c>
      <c r="X354" s="92">
        <f t="shared" ref="X354" si="1153">(O198+O250+O302)/3</f>
        <v>579.91666666666663</v>
      </c>
      <c r="Y354" s="92">
        <f t="shared" ref="Y354" si="1154">(P198+P250+P302)/3</f>
        <v>581.58333333333337</v>
      </c>
      <c r="Z354" s="92">
        <f t="shared" ref="Z354" si="1155">(Q198+Q250+Q302)/3</f>
        <v>602.25</v>
      </c>
      <c r="AA354" s="92">
        <f t="shared" ref="AA354" si="1156">(R198+R250+R302)/3</f>
        <v>794.00727802037852</v>
      </c>
      <c r="AC354" s="112">
        <f>+AF354-'Figure 8_data'!I566</f>
        <v>0</v>
      </c>
      <c r="AD354" s="92">
        <f t="shared" ref="AD354" si="1157">(B354/T354-1)*100</f>
        <v>-35.541468172099485</v>
      </c>
      <c r="AE354" s="92">
        <f t="shared" ref="AE354" si="1158">(C354/U354-1)*100</f>
        <v>-38.750722961249281</v>
      </c>
      <c r="AF354" s="92">
        <f t="shared" ref="AF354" si="1159">(D354/V354-1)*100</f>
        <v>-38.915973616289065</v>
      </c>
      <c r="AG354" s="92">
        <f t="shared" ref="AG354" si="1160">(E354/W354-1)*100</f>
        <v>-45.93241551939925</v>
      </c>
      <c r="AH354" s="92">
        <f t="shared" ref="AH354" si="1161">(F354/X354-1)*100</f>
        <v>-35.507975283805138</v>
      </c>
      <c r="AI354" s="92">
        <f t="shared" ref="AI354" si="1162">(G354/Y354-1)*100</f>
        <v>-34.661126235850418</v>
      </c>
      <c r="AJ354" s="92">
        <f t="shared" ref="AJ354" si="1163">(H354/Z354-1)*100</f>
        <v>-46.201743462017433</v>
      </c>
      <c r="AK354" s="92">
        <f t="shared" ref="AK354" si="1164">(I354/AA354-1)*100</f>
        <v>-44.08111710172453</v>
      </c>
      <c r="AM354" s="112">
        <f>AP354-'Figure 8_data'!H566</f>
        <v>0</v>
      </c>
      <c r="AN354" s="92">
        <f t="shared" ref="AN354" si="1165">(B354/B302-1)*100</f>
        <v>-38.275862068965516</v>
      </c>
      <c r="AO354" s="92">
        <f t="shared" ref="AO354" si="1166">(C354/C302-1)*100</f>
        <v>-41.166666666666664</v>
      </c>
      <c r="AP354" s="92">
        <f t="shared" ref="AP354" si="1167">(D354/D302-1)*100</f>
        <v>-40.336134453781511</v>
      </c>
      <c r="AQ354" s="92">
        <f t="shared" ref="AQ354" si="1168">(E354/E302-1)*100</f>
        <v>-45.270270270270274</v>
      </c>
      <c r="AR354" s="92">
        <f t="shared" ref="AR354" si="1169">(F354/F302-1)*100</f>
        <v>-34.615384615384613</v>
      </c>
      <c r="AS354" s="92">
        <f t="shared" ref="AS354" si="1170">(G354/G302-1)*100</f>
        <v>-33.56643356643356</v>
      </c>
      <c r="AT354" s="92">
        <f t="shared" ref="AT354" si="1171">(H354/H302-1)*100</f>
        <v>-44.615384615384613</v>
      </c>
      <c r="AU354" s="92">
        <f t="shared" ref="AU354" si="1172">(I354/I302-1)*100</f>
        <v>-42.63565891472868</v>
      </c>
    </row>
    <row r="355" spans="1:47" x14ac:dyDescent="0.3">
      <c r="A355" s="13">
        <f t="shared" si="475"/>
        <v>40064</v>
      </c>
      <c r="B355" s="92">
        <f>TWK!B300</f>
        <v>353.75</v>
      </c>
      <c r="C355" s="92">
        <f>TWK!C300</f>
        <v>328.75</v>
      </c>
      <c r="D355" s="92">
        <f>TWK!D300</f>
        <v>336.25</v>
      </c>
      <c r="E355" s="92">
        <f>TWK!E300</f>
        <v>300</v>
      </c>
      <c r="F355" s="92">
        <f>TWK!F300</f>
        <v>347.5</v>
      </c>
      <c r="G355" s="92">
        <f>TWK!G300</f>
        <v>358.75</v>
      </c>
      <c r="H355" s="92">
        <f>TWK!H300</f>
        <v>287.5</v>
      </c>
      <c r="I355" s="92">
        <f>TWK!I300</f>
        <v>394.21397379912668</v>
      </c>
      <c r="K355" s="92">
        <f t="shared" ref="K355" si="1173">AVERAGE(B352:B355)</f>
        <v>352.4375</v>
      </c>
      <c r="L355" s="92">
        <f t="shared" ref="L355" si="1174">AVERAGE(C352:C355)</f>
        <v>335.9375</v>
      </c>
      <c r="M355" s="92">
        <f t="shared" ref="M355" si="1175">AVERAGE(D352:D355)</f>
        <v>338.3125</v>
      </c>
      <c r="N355" s="92">
        <f t="shared" ref="N355" si="1176">AVERAGE(E352:E355)</f>
        <v>294.5</v>
      </c>
      <c r="O355" s="92">
        <f t="shared" ref="O355" si="1177">AVERAGE(F352:F355)</f>
        <v>348.875</v>
      </c>
      <c r="P355" s="92">
        <f t="shared" ref="P355" si="1178">AVERAGE(G352:G355)</f>
        <v>353.1875</v>
      </c>
      <c r="Q355" s="92">
        <f t="shared" ref="Q355" si="1179">AVERAGE(H352:H355)</f>
        <v>296.625</v>
      </c>
      <c r="R355" s="92">
        <f t="shared" ref="R355" si="1180">AVERAGE(I352:I355)</f>
        <v>406.30349344978168</v>
      </c>
      <c r="T355" s="92">
        <f t="shared" ref="T355" si="1181">(K199+K251+K303)/3</f>
        <v>567.33333333333337</v>
      </c>
      <c r="U355" s="92">
        <f t="shared" ref="U355" si="1182">(L199+L251+L303)/3</f>
        <v>593.91666666666663</v>
      </c>
      <c r="V355" s="92">
        <f t="shared" ref="V355" si="1183">(M199+M251+M303)/3</f>
        <v>602.08333333333337</v>
      </c>
      <c r="W355" s="92">
        <f t="shared" ref="W355" si="1184">(N199+N251+N303)/3</f>
        <v>621.5</v>
      </c>
      <c r="X355" s="92">
        <f t="shared" ref="X355" si="1185">(O199+O251+O303)/3</f>
        <v>615.66666666666663</v>
      </c>
      <c r="Y355" s="92">
        <f t="shared" ref="Y355" si="1186">(P199+P251+P303)/3</f>
        <v>615.25</v>
      </c>
      <c r="Z355" s="92">
        <f t="shared" ref="Z355" si="1187">(Q199+Q251+Q303)/3</f>
        <v>620.41666666666663</v>
      </c>
      <c r="AA355" s="92">
        <f t="shared" ref="AA355" si="1188">(R199+R251+R303)/3</f>
        <v>808.08333333333337</v>
      </c>
      <c r="AC355" s="112">
        <f>+AF355-'Figure 8_data'!I567</f>
        <v>0</v>
      </c>
      <c r="AD355" s="92">
        <f t="shared" ref="AD355" si="1189">(B355/T355-1)*100</f>
        <v>-37.646886016451241</v>
      </c>
      <c r="AE355" s="92">
        <f t="shared" ref="AE355" si="1190">(C355/U355-1)*100</f>
        <v>-44.647116598849443</v>
      </c>
      <c r="AF355" s="92">
        <f t="shared" ref="AF355" si="1191">(D355/V355-1)*100</f>
        <v>-44.152249134948093</v>
      </c>
      <c r="AG355" s="92">
        <f t="shared" ref="AG355" si="1192">(E355/W355-1)*100</f>
        <v>-51.729686242960582</v>
      </c>
      <c r="AH355" s="92">
        <f t="shared" ref="AH355" si="1193">(F355/X355-1)*100</f>
        <v>-43.557119653492151</v>
      </c>
      <c r="AI355" s="92">
        <f t="shared" ref="AI355" si="1194">(G355/Y355-1)*100</f>
        <v>-41.690369768386837</v>
      </c>
      <c r="AJ355" s="92">
        <f t="shared" ref="AJ355" si="1195">(H355/Z355-1)*100</f>
        <v>-53.660174613834791</v>
      </c>
      <c r="AK355" s="92">
        <f t="shared" ref="AK355" si="1196">(I355/AA355-1)*100</f>
        <v>-51.21617319181685</v>
      </c>
      <c r="AM355" s="112">
        <f>AP355-'Figure 8_data'!H567</f>
        <v>0</v>
      </c>
      <c r="AN355" s="92">
        <f t="shared" ref="AN355" si="1197">(B355/B303-1)*100</f>
        <v>-38.155594405594407</v>
      </c>
      <c r="AO355" s="92">
        <f t="shared" ref="AO355" si="1198">(C355/C303-1)*100</f>
        <v>-43.707191780821915</v>
      </c>
      <c r="AP355" s="92">
        <f t="shared" ref="AP355" si="1199">(D355/D303-1)*100</f>
        <v>-44.786535303776688</v>
      </c>
      <c r="AQ355" s="92">
        <f t="shared" ref="AQ355" si="1200">(E355/E303-1)*100</f>
        <v>-50</v>
      </c>
      <c r="AR355" s="92">
        <f t="shared" ref="AR355" si="1201">(F355/F303-1)*100</f>
        <v>-41.986644407345572</v>
      </c>
      <c r="AS355" s="92">
        <f t="shared" ref="AS355" si="1202">(G355/G303-1)*100</f>
        <v>-40.108514190317187</v>
      </c>
      <c r="AT355" s="92">
        <f t="shared" ref="AT355" si="1203">(H355/H303-1)*100</f>
        <v>-53.403565640194486</v>
      </c>
      <c r="AU355" s="92">
        <f t="shared" ref="AU355" si="1204">(I355/I303-1)*100</f>
        <v>-53.402603569843187</v>
      </c>
    </row>
    <row r="356" spans="1:47" x14ac:dyDescent="0.3">
      <c r="A356" s="13">
        <f t="shared" si="475"/>
        <v>40071</v>
      </c>
      <c r="B356" s="92">
        <f>TWK!B301</f>
        <v>346.66666666666669</v>
      </c>
      <c r="C356" s="92">
        <f>TWK!C301</f>
        <v>333.33333333333331</v>
      </c>
      <c r="D356" s="92">
        <f>TWK!D301</f>
        <v>335</v>
      </c>
      <c r="E356" s="92">
        <f>TWK!E301</f>
        <v>306.66666666666669</v>
      </c>
      <c r="F356" s="92">
        <f>TWK!F301</f>
        <v>348.33333333333331</v>
      </c>
      <c r="G356" s="92">
        <f>TWK!G301</f>
        <v>343.33333333333331</v>
      </c>
      <c r="H356" s="92">
        <f>TWK!H301</f>
        <v>300</v>
      </c>
      <c r="I356" s="92">
        <f>TWK!I301</f>
        <v>308.51528384279476</v>
      </c>
      <c r="K356" s="92">
        <f t="shared" ref="K356" si="1205">AVERAGE(B353:B356)</f>
        <v>352.85416666666669</v>
      </c>
      <c r="L356" s="92">
        <f t="shared" ref="L356" si="1206">AVERAGE(C353:C356)</f>
        <v>338.27083333333331</v>
      </c>
      <c r="M356" s="92">
        <f t="shared" ref="M356" si="1207">AVERAGE(D353:D356)</f>
        <v>341.5625</v>
      </c>
      <c r="N356" s="92">
        <f t="shared" ref="N356" si="1208">AVERAGE(E353:E356)</f>
        <v>303.41666666666669</v>
      </c>
      <c r="O356" s="92">
        <f t="shared" ref="O356" si="1209">AVERAGE(F353:F356)</f>
        <v>357.45833333333331</v>
      </c>
      <c r="P356" s="92">
        <f t="shared" ref="P356" si="1210">AVERAGE(G353:G356)</f>
        <v>360.52083333333331</v>
      </c>
      <c r="Q356" s="92">
        <f t="shared" ref="Q356" si="1211">AVERAGE(H353:H356)</f>
        <v>305.875</v>
      </c>
      <c r="R356" s="92">
        <f t="shared" ref="R356" si="1212">AVERAGE(I353:I356)</f>
        <v>393.43231441048039</v>
      </c>
      <c r="T356" s="92">
        <f t="shared" ref="T356" si="1213">(K200+K252+K304)/3</f>
        <v>582.16666666666663</v>
      </c>
      <c r="U356" s="92">
        <f t="shared" ref="U356" si="1214">(L200+L252+L304)/3</f>
        <v>613.08333333333337</v>
      </c>
      <c r="V356" s="92">
        <f t="shared" ref="V356" si="1215">(M200+M252+M304)/3</f>
        <v>620.91666666666663</v>
      </c>
      <c r="W356" s="92">
        <f t="shared" ref="W356" si="1216">(N200+N252+N304)/3</f>
        <v>618.75</v>
      </c>
      <c r="X356" s="92">
        <f t="shared" ref="X356" si="1217">(O200+O252+O304)/3</f>
        <v>639.25</v>
      </c>
      <c r="Y356" s="92">
        <f t="shared" ref="Y356" si="1218">(P200+P252+P304)/3</f>
        <v>639</v>
      </c>
      <c r="Z356" s="92">
        <f t="shared" ref="Z356" si="1219">(Q200+Q252+Q304)/3</f>
        <v>605.33333333333337</v>
      </c>
      <c r="AA356" s="92">
        <f t="shared" ref="AA356" si="1220">(R200+R252+R304)/3</f>
        <v>786.16666666666663</v>
      </c>
      <c r="AC356" s="112">
        <f>+AF356-'Figure 8_data'!I568</f>
        <v>0</v>
      </c>
      <c r="AD356" s="92">
        <f t="shared" ref="AD356" si="1221">(B356/T356-1)*100</f>
        <v>-40.452333237904369</v>
      </c>
      <c r="AE356" s="92">
        <f t="shared" ref="AE356" si="1222">(C356/U356-1)*100</f>
        <v>-45.63001223324725</v>
      </c>
      <c r="AF356" s="92">
        <f t="shared" ref="AF356" si="1223">(D356/V356-1)*100</f>
        <v>-46.047510401288413</v>
      </c>
      <c r="AG356" s="92">
        <f t="shared" ref="AG356" si="1224">(E356/W356-1)*100</f>
        <v>-50.437710437710436</v>
      </c>
      <c r="AH356" s="92">
        <f t="shared" ref="AH356" si="1225">(F356/X356-1)*100</f>
        <v>-45.509060096467216</v>
      </c>
      <c r="AI356" s="92">
        <f t="shared" ref="AI356" si="1226">(G356/Y356-1)*100</f>
        <v>-46.270213875847674</v>
      </c>
      <c r="AJ356" s="92">
        <f t="shared" ref="AJ356" si="1227">(H356/Z356-1)*100</f>
        <v>-50.440528634361236</v>
      </c>
      <c r="AK356" s="92">
        <f t="shared" ref="AK356" si="1228">(I356/AA356-1)*100</f>
        <v>-60.757012867145036</v>
      </c>
      <c r="AM356" s="112">
        <f>AP356-'Figure 8_data'!H568</f>
        <v>0</v>
      </c>
      <c r="AN356" s="92">
        <f t="shared" ref="AN356" si="1229">(B356/B304-1)*100</f>
        <v>-39.919121894858456</v>
      </c>
      <c r="AO356" s="92">
        <f t="shared" ref="AO356" si="1230">(C356/C304-1)*100</f>
        <v>-44.720840243228309</v>
      </c>
      <c r="AP356" s="92">
        <f t="shared" ref="AP356" si="1231">(D356/D304-1)*100</f>
        <v>-45.261437908496724</v>
      </c>
      <c r="AQ356" s="92">
        <f t="shared" ref="AQ356" si="1232">(E356/E304-1)*100</f>
        <v>-47.75695627484383</v>
      </c>
      <c r="AR356" s="92">
        <f t="shared" ref="AR356" si="1233">(F356/F304-1)*100</f>
        <v>-45.572916666666671</v>
      </c>
      <c r="AS356" s="92">
        <f t="shared" ref="AS356" si="1234">(G356/G304-1)*100</f>
        <v>-46.354166666666671</v>
      </c>
      <c r="AT356" s="92">
        <f t="shared" ref="AT356" si="1235">(H356/H304-1)*100</f>
        <v>-48.892674616695061</v>
      </c>
      <c r="AU356" s="92">
        <f t="shared" ref="AU356" si="1236">(I356/I304-1)*100</f>
        <v>-61.627452258358858</v>
      </c>
    </row>
    <row r="357" spans="1:47" x14ac:dyDescent="0.3">
      <c r="A357" s="13">
        <f t="shared" si="475"/>
        <v>40078</v>
      </c>
      <c r="B357" s="92">
        <f>TWK!B302</f>
        <v>382.5</v>
      </c>
      <c r="C357" s="92">
        <f>TWK!C302</f>
        <v>387.5</v>
      </c>
      <c r="D357" s="92">
        <f>TWK!D302</f>
        <v>388.75</v>
      </c>
      <c r="E357" s="92">
        <f>TWK!E302</f>
        <v>356.25</v>
      </c>
      <c r="F357" s="92">
        <f>TWK!F302</f>
        <v>376.25</v>
      </c>
      <c r="G357" s="92">
        <f>TWK!G302</f>
        <v>376.25</v>
      </c>
      <c r="H357" s="92">
        <f>TWK!H302</f>
        <v>317.5</v>
      </c>
      <c r="I357" s="92">
        <f>TWK!I302</f>
        <v>435.3493449781659</v>
      </c>
      <c r="K357" s="92">
        <f t="shared" ref="K357" si="1237">AVERAGE(B354:B357)</f>
        <v>360.22916666666669</v>
      </c>
      <c r="L357" s="92">
        <f t="shared" ref="L357" si="1238">AVERAGE(C354:C357)</f>
        <v>350.64583333333331</v>
      </c>
      <c r="M357" s="92">
        <f t="shared" ref="M357" si="1239">AVERAGE(D354:D357)</f>
        <v>353.75</v>
      </c>
      <c r="N357" s="92">
        <f t="shared" ref="N357" si="1240">AVERAGE(E354:E357)</f>
        <v>321.72916666666669</v>
      </c>
      <c r="O357" s="92">
        <f t="shared" ref="O357" si="1241">AVERAGE(F354:F357)</f>
        <v>361.52083333333331</v>
      </c>
      <c r="P357" s="92">
        <f t="shared" ref="P357" si="1242">AVERAGE(G354:G357)</f>
        <v>364.58333333333331</v>
      </c>
      <c r="Q357" s="92">
        <f t="shared" ref="Q357" si="1243">AVERAGE(H354:H357)</f>
        <v>307.25</v>
      </c>
      <c r="R357" s="92">
        <f t="shared" ref="R357" si="1244">AVERAGE(I354:I357)</f>
        <v>395.51965065502185</v>
      </c>
      <c r="T357" s="92">
        <f t="shared" ref="T357" si="1245">(K201+K253+K305)/3</f>
        <v>591.16666666666663</v>
      </c>
      <c r="U357" s="92">
        <f t="shared" ref="U357" si="1246">(L201+L253+L305)/3</f>
        <v>612.66666666666663</v>
      </c>
      <c r="V357" s="92">
        <f t="shared" ref="V357" si="1247">(M201+M253+M305)/3</f>
        <v>620.66666666666663</v>
      </c>
      <c r="W357" s="92">
        <f t="shared" ref="W357" si="1248">(N201+N253+N305)/3</f>
        <v>599.16666666666663</v>
      </c>
      <c r="X357" s="92">
        <f t="shared" ref="X357" si="1249">(O201+O253+O305)/3</f>
        <v>641.66666666666663</v>
      </c>
      <c r="Y357" s="92">
        <f t="shared" ref="Y357" si="1250">(P201+P253+P305)/3</f>
        <v>641.5</v>
      </c>
      <c r="Z357" s="92">
        <f t="shared" ref="Z357" si="1251">(Q201+Q253+Q305)/3</f>
        <v>573.75</v>
      </c>
      <c r="AA357" s="92">
        <f t="shared" ref="AA357" si="1252">(R201+R253+R305)/3</f>
        <v>758.08333333333337</v>
      </c>
      <c r="AC357" s="112">
        <f>+AF357-'Figure 8_data'!I569</f>
        <v>0</v>
      </c>
      <c r="AD357" s="92">
        <f t="shared" ref="AD357" si="1253">(B357/T357-1)*100</f>
        <v>-35.297434451649281</v>
      </c>
      <c r="AE357" s="92">
        <f t="shared" ref="AE357" si="1254">(C357/U357-1)*100</f>
        <v>-36.751904243743198</v>
      </c>
      <c r="AF357" s="92">
        <f t="shared" ref="AF357" si="1255">(D357/V357-1)*100</f>
        <v>-37.365735767991403</v>
      </c>
      <c r="AG357" s="92">
        <f t="shared" ref="AG357" si="1256">(E357/W357-1)*100</f>
        <v>-40.542420027816405</v>
      </c>
      <c r="AH357" s="92">
        <f t="shared" ref="AH357" si="1257">(F357/X357-1)*100</f>
        <v>-41.36363636363636</v>
      </c>
      <c r="AI357" s="92">
        <f t="shared" ref="AI357" si="1258">(G357/Y357-1)*100</f>
        <v>-41.348402182385037</v>
      </c>
      <c r="AJ357" s="92">
        <f t="shared" ref="AJ357" si="1259">(H357/Z357-1)*100</f>
        <v>-44.662309368191721</v>
      </c>
      <c r="AK357" s="92">
        <f t="shared" ref="AK357" si="1260">(I357/AA357-1)*100</f>
        <v>-42.572362979685721</v>
      </c>
      <c r="AM357" s="112">
        <f>AP357-'Figure 8_data'!H569</f>
        <v>0</v>
      </c>
      <c r="AN357" s="92">
        <f t="shared" ref="AN357" si="1261">(B357/B305-1)*100</f>
        <v>-32.894736842105267</v>
      </c>
      <c r="AO357" s="92">
        <f t="shared" ref="AO357" si="1262">(C357/C305-1)*100</f>
        <v>-34.433164128595607</v>
      </c>
      <c r="AP357" s="92">
        <f t="shared" ref="AP357" si="1263">(D357/D305-1)*100</f>
        <v>-34.773489932885902</v>
      </c>
      <c r="AQ357" s="92">
        <f t="shared" ref="AQ357" si="1264">(E357/E305-1)*100</f>
        <v>-43.897637795275593</v>
      </c>
      <c r="AR357" s="92">
        <f t="shared" ref="AR357" si="1265">(F357/F305-1)*100</f>
        <v>-49.29245283018868</v>
      </c>
      <c r="AS357" s="92">
        <f t="shared" ref="AS357" si="1266">(G357/G305-1)*100</f>
        <v>-49.496644295302019</v>
      </c>
      <c r="AT357" s="92">
        <f t="shared" ref="AT357" si="1267">(H357/H305-1)*100</f>
        <v>-51.452599388379205</v>
      </c>
      <c r="AU357" s="92">
        <f t="shared" ref="AU357" si="1268">(I357/I305-1)*100</f>
        <v>-49.377983142073731</v>
      </c>
    </row>
    <row r="358" spans="1:47" x14ac:dyDescent="0.3">
      <c r="A358" s="13">
        <f t="shared" si="475"/>
        <v>40085</v>
      </c>
      <c r="B358" s="92">
        <f>TWK!B303</f>
        <v>433.33333333333331</v>
      </c>
      <c r="C358" s="92">
        <f>TWK!C303</f>
        <v>437.5</v>
      </c>
      <c r="D358" s="92">
        <f>TWK!D303</f>
        <v>447.5</v>
      </c>
      <c r="E358" s="92">
        <f>TWK!E303</f>
        <v>411.66666666666669</v>
      </c>
      <c r="F358" s="92">
        <f>TWK!F303</f>
        <v>446.66666666666669</v>
      </c>
      <c r="G358" s="92">
        <f>TWK!G303</f>
        <v>446.66666666666669</v>
      </c>
      <c r="H358" s="92">
        <f>TWK!H303</f>
        <v>375</v>
      </c>
      <c r="I358" s="92">
        <f>TWK!I303</f>
        <v>514.19213973799128</v>
      </c>
      <c r="K358" s="92">
        <f t="shared" ref="K358" si="1269">AVERAGE(B355:B358)</f>
        <v>379.0625</v>
      </c>
      <c r="L358" s="92">
        <f t="shared" ref="L358" si="1270">AVERAGE(C355:C358)</f>
        <v>371.77083333333331</v>
      </c>
      <c r="M358" s="92">
        <f t="shared" ref="M358" si="1271">AVERAGE(D355:D358)</f>
        <v>376.875</v>
      </c>
      <c r="N358" s="92">
        <f t="shared" ref="N358" si="1272">AVERAGE(E355:E358)</f>
        <v>343.64583333333337</v>
      </c>
      <c r="O358" s="92">
        <f t="shared" ref="O358" si="1273">AVERAGE(F355:F358)</f>
        <v>379.6875</v>
      </c>
      <c r="P358" s="92">
        <f t="shared" ref="P358" si="1274">AVERAGE(G355:G358)</f>
        <v>381.25</v>
      </c>
      <c r="Q358" s="92">
        <f t="shared" ref="Q358" si="1275">AVERAGE(H355:H358)</f>
        <v>320</v>
      </c>
      <c r="R358" s="92">
        <f t="shared" ref="R358" si="1276">AVERAGE(I355:I358)</f>
        <v>413.06768558951967</v>
      </c>
      <c r="T358" s="92">
        <f t="shared" ref="T358" si="1277">(K202+K254+K306)/3</f>
        <v>601.83333333333337</v>
      </c>
      <c r="U358" s="92">
        <f t="shared" ref="U358" si="1278">(L202+L254+L306)/3</f>
        <v>617.16666666666663</v>
      </c>
      <c r="V358" s="92">
        <f t="shared" ref="V358" si="1279">(M202+M254+M306)/3</f>
        <v>620.25</v>
      </c>
      <c r="W358" s="92">
        <f t="shared" ref="W358" si="1280">(N202+N254+N306)/3</f>
        <v>582.08333333333337</v>
      </c>
      <c r="X358" s="92">
        <f t="shared" ref="X358" si="1281">(O202+O254+O306)/3</f>
        <v>643.08333333333337</v>
      </c>
      <c r="Y358" s="92">
        <f t="shared" ref="Y358" si="1282">(P202+P254+P306)/3</f>
        <v>642.08333333333337</v>
      </c>
      <c r="Z358" s="92">
        <f t="shared" ref="Z358" si="1283">(Q202+Q254+Q306)/3</f>
        <v>556.25</v>
      </c>
      <c r="AA358" s="92">
        <f t="shared" ref="AA358" si="1284">(R202+R254+R306)/3</f>
        <v>727.08333333333337</v>
      </c>
      <c r="AC358" s="112">
        <f>+AF358-'Figure 8_data'!I570</f>
        <v>0</v>
      </c>
      <c r="AD358" s="92">
        <f t="shared" ref="AD358" si="1285">(B358/T358-1)*100</f>
        <v>-27.997784547216842</v>
      </c>
      <c r="AE358" s="92">
        <f t="shared" ref="AE358" si="1286">(C358/U358-1)*100</f>
        <v>-29.111531190926275</v>
      </c>
      <c r="AF358" s="92">
        <f t="shared" ref="AF358" si="1287">(D358/V358-1)*100</f>
        <v>-27.851672712615883</v>
      </c>
      <c r="AG358" s="92">
        <f t="shared" ref="AG358" si="1288">(E358/W358-1)*100</f>
        <v>-29.277022190408019</v>
      </c>
      <c r="AH358" s="92">
        <f t="shared" ref="AH358" si="1289">(F358/X358-1)*100</f>
        <v>-30.54295710768433</v>
      </c>
      <c r="AI358" s="92">
        <f t="shared" ref="AI358" si="1290">(G358/Y358-1)*100</f>
        <v>-30.434782608695656</v>
      </c>
      <c r="AJ358" s="92">
        <f t="shared" ref="AJ358" si="1291">(H358/Z358-1)*100</f>
        <v>-32.584269662921351</v>
      </c>
      <c r="AK358" s="92">
        <f t="shared" ref="AK358" si="1292">(I358/AA358-1)*100</f>
        <v>-29.28016416211009</v>
      </c>
      <c r="AM358" s="112">
        <f>AP358-'Figure 8_data'!H570</f>
        <v>0</v>
      </c>
      <c r="AN358" s="92">
        <f t="shared" ref="AN358" si="1293">(B358/B306-1)*100</f>
        <v>-22.341696535244925</v>
      </c>
      <c r="AO358" s="92">
        <f t="shared" ref="AO358" si="1294">(C358/C306-1)*100</f>
        <v>-26.593959731543627</v>
      </c>
      <c r="AP358" s="92">
        <f t="shared" ref="AP358" si="1295">(D358/D306-1)*100</f>
        <v>-28.400000000000002</v>
      </c>
      <c r="AQ358" s="92">
        <f t="shared" ref="AQ358" si="1296">(E358/E306-1)*100</f>
        <v>-38.095238095238095</v>
      </c>
      <c r="AR358" s="92">
        <f t="shared" ref="AR358" si="1297">(F358/F306-1)*100</f>
        <v>-40.044742729306485</v>
      </c>
      <c r="AS358" s="92">
        <f t="shared" ref="AS358" si="1298">(G358/G306-1)*100</f>
        <v>-40.044742729306485</v>
      </c>
      <c r="AT358" s="92">
        <f t="shared" ref="AT358" si="1299">(H358/H306-1)*100</f>
        <v>-44.852941176470587</v>
      </c>
      <c r="AU358" s="92">
        <f t="shared" ref="AU358" si="1300">(I358/I306-1)*100</f>
        <v>-39.719561578195631</v>
      </c>
    </row>
    <row r="359" spans="1:47" x14ac:dyDescent="0.3">
      <c r="A359" s="13">
        <f t="shared" si="475"/>
        <v>40092</v>
      </c>
      <c r="B359" s="92">
        <f>TWK!B304</f>
        <v>466.25</v>
      </c>
      <c r="C359" s="92">
        <f>TWK!C304</f>
        <v>467</v>
      </c>
      <c r="D359" s="92">
        <f>TWK!D304</f>
        <v>467</v>
      </c>
      <c r="E359" s="92">
        <f>TWK!E304</f>
        <v>423.75</v>
      </c>
      <c r="F359" s="92">
        <f>TWK!F304</f>
        <v>493.75</v>
      </c>
      <c r="G359" s="92">
        <f>TWK!G304</f>
        <v>493.75</v>
      </c>
      <c r="H359" s="92">
        <f>TWK!H304</f>
        <v>386.25</v>
      </c>
      <c r="I359" s="92">
        <f>TWK!I304</f>
        <v>534.75982532751095</v>
      </c>
      <c r="K359" s="92">
        <f t="shared" ref="K359" si="1301">AVERAGE(B356:B359)</f>
        <v>407.1875</v>
      </c>
      <c r="L359" s="92">
        <f t="shared" ref="L359" si="1302">AVERAGE(C356:C359)</f>
        <v>406.33333333333331</v>
      </c>
      <c r="M359" s="92">
        <f t="shared" ref="M359" si="1303">AVERAGE(D356:D359)</f>
        <v>409.5625</v>
      </c>
      <c r="N359" s="92">
        <f t="shared" ref="N359" si="1304">AVERAGE(E356:E359)</f>
        <v>374.58333333333337</v>
      </c>
      <c r="O359" s="92">
        <f t="shared" ref="O359" si="1305">AVERAGE(F356:F359)</f>
        <v>416.25</v>
      </c>
      <c r="P359" s="92">
        <f t="shared" ref="P359" si="1306">AVERAGE(G356:G359)</f>
        <v>415</v>
      </c>
      <c r="Q359" s="92">
        <f t="shared" ref="Q359" si="1307">AVERAGE(H356:H359)</f>
        <v>344.6875</v>
      </c>
      <c r="R359" s="92">
        <f t="shared" ref="R359" si="1308">AVERAGE(I356:I359)</f>
        <v>448.20414847161572</v>
      </c>
      <c r="T359" s="92">
        <f t="shared" ref="T359" si="1309">(K203+K255+K307)/3</f>
        <v>616.16666666666663</v>
      </c>
      <c r="U359" s="92">
        <f t="shared" ref="U359" si="1310">(L203+L255+L307)/3</f>
        <v>629.88888888888903</v>
      </c>
      <c r="V359" s="92">
        <f t="shared" ref="V359" si="1311">(M203+M255+M307)/3</f>
        <v>632</v>
      </c>
      <c r="W359" s="92">
        <f t="shared" ref="W359" si="1312">(N203+N255+N307)/3</f>
        <v>601</v>
      </c>
      <c r="X359" s="92">
        <f t="shared" ref="X359" si="1313">(O203+O255+O307)/3</f>
        <v>676.29166666666663</v>
      </c>
      <c r="Y359" s="92">
        <f t="shared" ref="Y359" si="1314">(P203+P255+P307)/3</f>
        <v>677.70833333333337</v>
      </c>
      <c r="Z359" s="92">
        <f t="shared" ref="Z359" si="1315">(Q203+Q255+Q307)/3</f>
        <v>599.86111111111109</v>
      </c>
      <c r="AA359" s="92">
        <f t="shared" ref="AA359" si="1316">(R203+R255+R307)/3</f>
        <v>781.00861232411444</v>
      </c>
      <c r="AC359" s="112">
        <f>+AF359-'Figure 8_data'!I571</f>
        <v>0</v>
      </c>
      <c r="AD359" s="92">
        <f t="shared" ref="AD359" si="1317">(B359/T359-1)*100</f>
        <v>-24.330538274276435</v>
      </c>
      <c r="AE359" s="92">
        <f t="shared" ref="AE359" si="1318">(C359/U359-1)*100</f>
        <v>-25.859940024695728</v>
      </c>
      <c r="AF359" s="92">
        <f t="shared" ref="AF359" si="1319">(D359/V359-1)*100</f>
        <v>-26.107594936708857</v>
      </c>
      <c r="AG359" s="92">
        <f t="shared" ref="AG359" si="1320">(E359/W359-1)*100</f>
        <v>-29.492512479201327</v>
      </c>
      <c r="AH359" s="92">
        <f t="shared" ref="AH359" si="1321">(F359/X359-1)*100</f>
        <v>-26.991559361715233</v>
      </c>
      <c r="AI359" s="92">
        <f t="shared" ref="AI359" si="1322">(G359/Y359-1)*100</f>
        <v>-27.144174608054104</v>
      </c>
      <c r="AJ359" s="92">
        <f t="shared" ref="AJ359" si="1323">(H359/Z359-1)*100</f>
        <v>-35.610094929381795</v>
      </c>
      <c r="AK359" s="92">
        <f t="shared" ref="AK359" si="1324">(I359/AA359-1)*100</f>
        <v>-31.529586628221651</v>
      </c>
      <c r="AM359" s="112">
        <f>AP359-'Figure 8_data'!H571</f>
        <v>0</v>
      </c>
      <c r="AN359" s="92">
        <f t="shared" ref="AN359" si="1325">(B359/B307-1)*100</f>
        <v>-28.26923076923077</v>
      </c>
      <c r="AO359" s="92">
        <f t="shared" ref="AO359" si="1326">(C359/C307-1)*100</f>
        <v>-32.351521004345727</v>
      </c>
      <c r="AP359" s="92">
        <f t="shared" ref="AP359" si="1327">(D359/D307-1)*100</f>
        <v>-37.733333333333327</v>
      </c>
      <c r="AQ359" s="92">
        <f t="shared" ref="AQ359" si="1328">(E359/E307-1)*100</f>
        <v>-48.636363636363633</v>
      </c>
      <c r="AR359" s="92">
        <f t="shared" ref="AR359" si="1329">(F359/F307-1)*100</f>
        <v>-47.333333333333336</v>
      </c>
      <c r="AS359" s="92">
        <f t="shared" ref="AS359" si="1330">(G359/G307-1)*100</f>
        <v>-47.333333333333336</v>
      </c>
      <c r="AT359" s="92">
        <f t="shared" ref="AT359" si="1331">(H359/H307-1)*100</f>
        <v>-65.150375939849624</v>
      </c>
      <c r="AU359" s="92">
        <f t="shared" ref="AU359" si="1332">(I359/I307-1)*100</f>
        <v>-62.407715330894575</v>
      </c>
    </row>
    <row r="360" spans="1:47" x14ac:dyDescent="0.3">
      <c r="A360" s="13">
        <f t="shared" si="475"/>
        <v>40099</v>
      </c>
      <c r="B360" s="92">
        <f>TWK!B305</f>
        <v>436.25</v>
      </c>
      <c r="C360" s="92">
        <f>TWK!C305</f>
        <v>422</v>
      </c>
      <c r="D360" s="92">
        <f>TWK!D305</f>
        <v>427</v>
      </c>
      <c r="E360" s="92">
        <f>TWK!E305</f>
        <v>360</v>
      </c>
      <c r="F360" s="92">
        <f>TWK!F305</f>
        <v>443.75</v>
      </c>
      <c r="G360" s="92">
        <f>TWK!G305</f>
        <v>443.75</v>
      </c>
      <c r="H360" s="92">
        <f>TWK!H305</f>
        <v>338.75</v>
      </c>
      <c r="I360" s="92">
        <f>TWK!I305</f>
        <v>464.48689956331873</v>
      </c>
      <c r="K360" s="92">
        <f t="shared" ref="K360" si="1333">AVERAGE(B357:B360)</f>
        <v>429.58333333333331</v>
      </c>
      <c r="L360" s="92">
        <f t="shared" ref="L360" si="1334">AVERAGE(C357:C360)</f>
        <v>428.5</v>
      </c>
      <c r="M360" s="92">
        <f t="shared" ref="M360" si="1335">AVERAGE(D357:D360)</f>
        <v>432.5625</v>
      </c>
      <c r="N360" s="92">
        <f t="shared" ref="N360" si="1336">AVERAGE(E357:E360)</f>
        <v>387.91666666666669</v>
      </c>
      <c r="O360" s="92">
        <f t="shared" ref="O360" si="1337">AVERAGE(F357:F360)</f>
        <v>440.10416666666669</v>
      </c>
      <c r="P360" s="92">
        <f t="shared" ref="P360" si="1338">AVERAGE(G357:G360)</f>
        <v>440.10416666666669</v>
      </c>
      <c r="Q360" s="92">
        <f t="shared" ref="Q360" si="1339">AVERAGE(H357:H360)</f>
        <v>354.375</v>
      </c>
      <c r="R360" s="92">
        <f t="shared" ref="R360" si="1340">AVERAGE(I357:I360)</f>
        <v>487.1970524017467</v>
      </c>
      <c r="T360" s="92">
        <f t="shared" ref="T360" si="1341">(K204+K256+K308)/3</f>
        <v>605.91666666666663</v>
      </c>
      <c r="U360" s="92">
        <f t="shared" ref="U360" si="1342">(L204+L256+L308)/3</f>
        <v>619.63888888888903</v>
      </c>
      <c r="V360" s="92">
        <f t="shared" ref="V360" si="1343">(M204+M256+M308)/3</f>
        <v>618.83333333333337</v>
      </c>
      <c r="W360" s="92">
        <f t="shared" ref="W360" si="1344">(N204+N256+N308)/3</f>
        <v>594.33333333333337</v>
      </c>
      <c r="X360" s="92">
        <f t="shared" ref="X360" si="1345">(O204+O256+O308)/3</f>
        <v>677.20833333333337</v>
      </c>
      <c r="Y360" s="92">
        <f t="shared" ref="Y360" si="1346">(P204+P256+P308)/3</f>
        <v>679.375</v>
      </c>
      <c r="Z360" s="92">
        <f t="shared" ref="Z360" si="1347">(Q204+Q256+Q308)/3</f>
        <v>608.11111111111109</v>
      </c>
      <c r="AA360" s="92">
        <f t="shared" ref="AA360" si="1348">(R204+R256+R308)/3</f>
        <v>782.34194565744781</v>
      </c>
      <c r="AC360" s="112">
        <f>+AF360-'Figure 8_data'!I572</f>
        <v>0</v>
      </c>
      <c r="AD360" s="92">
        <f t="shared" ref="AD360" si="1349">(B360/T360-1)*100</f>
        <v>-28.001650391968091</v>
      </c>
      <c r="AE360" s="92">
        <f t="shared" ref="AE360" si="1350">(C360/U360-1)*100</f>
        <v>-31.895817456403829</v>
      </c>
      <c r="AF360" s="92">
        <f t="shared" ref="AF360" si="1351">(D360/V360-1)*100</f>
        <v>-30.999192028009702</v>
      </c>
      <c r="AG360" s="92">
        <f t="shared" ref="AG360" si="1352">(E360/W360-1)*100</f>
        <v>-39.427930454290525</v>
      </c>
      <c r="AH360" s="92">
        <f t="shared" ref="AH360" si="1353">(F360/X360-1)*100</f>
        <v>-34.473635636497882</v>
      </c>
      <c r="AI360" s="92">
        <f t="shared" ref="AI360" si="1354">(G360/Y360-1)*100</f>
        <v>-34.682612695492175</v>
      </c>
      <c r="AJ360" s="92">
        <f t="shared" ref="AJ360" si="1355">(H360/Z360-1)*100</f>
        <v>-44.294719532249218</v>
      </c>
      <c r="AK360" s="92">
        <f t="shared" ref="AK360" si="1356">(I360/AA360-1)*100</f>
        <v>-40.628659610858122</v>
      </c>
      <c r="AM360" s="112">
        <f>AP360-'Figure 8_data'!H572</f>
        <v>0</v>
      </c>
      <c r="AN360" s="92">
        <f t="shared" ref="AN360" si="1357">(B360/B308-1)*100</f>
        <v>-28.483606557377051</v>
      </c>
      <c r="AO360" s="92">
        <f t="shared" ref="AO360" si="1358">(C360/C308-1)*100</f>
        <v>-33.22784810126582</v>
      </c>
      <c r="AP360" s="92">
        <f t="shared" ref="AP360" si="1359">(D360/D308-1)*100</f>
        <v>-35.303030303030305</v>
      </c>
      <c r="AQ360" s="92">
        <f t="shared" ref="AQ360" si="1360">(E360/E308-1)*100</f>
        <v>-50</v>
      </c>
      <c r="AR360" s="92">
        <f t="shared" ref="AR360" si="1361">(F360/F308-1)*100</f>
        <v>-49.111238532110093</v>
      </c>
      <c r="AS360" s="92">
        <f t="shared" ref="AS360" si="1362">(G360/G308-1)*100</f>
        <v>-49.573863636363633</v>
      </c>
      <c r="AT360" s="92">
        <f t="shared" ref="AT360" si="1363">(H360/H308-1)*100</f>
        <v>-62.361111111111114</v>
      </c>
      <c r="AU360" s="92">
        <f t="shared" ref="AU360" si="1364">(I360/I308-1)*100</f>
        <v>-56.791916319691282</v>
      </c>
    </row>
    <row r="361" spans="1:47" x14ac:dyDescent="0.3">
      <c r="A361" s="13">
        <f t="shared" si="475"/>
        <v>40106</v>
      </c>
      <c r="B361" s="92">
        <f>TWK!B306</f>
        <v>452.5</v>
      </c>
      <c r="C361" s="92">
        <f>TWK!C306</f>
        <v>450</v>
      </c>
      <c r="D361" s="92">
        <f>TWK!D306</f>
        <v>451.25</v>
      </c>
      <c r="E361" s="92">
        <f>TWK!E306</f>
        <v>371.25</v>
      </c>
      <c r="F361" s="92">
        <f>TWK!F306</f>
        <v>458.75</v>
      </c>
      <c r="G361" s="92">
        <f>TWK!G306</f>
        <v>457.5</v>
      </c>
      <c r="H361" s="92">
        <f>TWK!H306</f>
        <v>336.25</v>
      </c>
      <c r="I361" s="92">
        <f>TWK!I306</f>
        <v>461.05895196506555</v>
      </c>
      <c r="K361" s="92">
        <f t="shared" ref="K361" si="1365">AVERAGE(B358:B361)</f>
        <v>447.08333333333331</v>
      </c>
      <c r="L361" s="92">
        <f t="shared" ref="L361" si="1366">AVERAGE(C358:C361)</f>
        <v>444.125</v>
      </c>
      <c r="M361" s="92">
        <f t="shared" ref="M361" si="1367">AVERAGE(D358:D361)</f>
        <v>448.1875</v>
      </c>
      <c r="N361" s="92">
        <f t="shared" ref="N361" si="1368">AVERAGE(E358:E361)</f>
        <v>391.66666666666669</v>
      </c>
      <c r="O361" s="92">
        <f t="shared" ref="O361" si="1369">AVERAGE(F358:F361)</f>
        <v>460.72916666666669</v>
      </c>
      <c r="P361" s="92">
        <f t="shared" ref="P361" si="1370">AVERAGE(G358:G361)</f>
        <v>460.41666666666669</v>
      </c>
      <c r="Q361" s="92">
        <f t="shared" ref="Q361" si="1371">AVERAGE(H358:H361)</f>
        <v>359.0625</v>
      </c>
      <c r="R361" s="92">
        <f t="shared" ref="R361" si="1372">AVERAGE(I358:I361)</f>
        <v>493.62445414847161</v>
      </c>
      <c r="T361" s="92">
        <f t="shared" ref="T361" si="1373">(K205+K257+K309)/3</f>
        <v>583.83333333333337</v>
      </c>
      <c r="U361" s="92">
        <f t="shared" ref="U361" si="1374">(L205+L257+L309)/3</f>
        <v>596.55555555555566</v>
      </c>
      <c r="V361" s="92">
        <f t="shared" ref="V361" si="1375">(M205+M257+M309)/3</f>
        <v>595.8611111111112</v>
      </c>
      <c r="W361" s="92">
        <f t="shared" ref="W361" si="1376">(N205+N257+N309)/3</f>
        <v>563.25</v>
      </c>
      <c r="X361" s="92">
        <f t="shared" ref="X361" si="1377">(O205+O257+O309)/3</f>
        <v>654.19444444444446</v>
      </c>
      <c r="Y361" s="92">
        <f t="shared" ref="Y361" si="1378">(P205+P257+P309)/3</f>
        <v>655.77777777777783</v>
      </c>
      <c r="Z361" s="92">
        <f t="shared" ref="Z361" si="1379">(Q205+Q257+Q309)/3</f>
        <v>587.52777777777771</v>
      </c>
      <c r="AA361" s="92">
        <f t="shared" ref="AA361" si="1380">(R205+R257+R309)/3</f>
        <v>760.56186317321681</v>
      </c>
      <c r="AC361" s="112">
        <f>+AF361-'Figure 8_data'!I573</f>
        <v>0</v>
      </c>
      <c r="AD361" s="92">
        <f t="shared" ref="AD361" si="1381">(B361/T361-1)*100</f>
        <v>-22.495004282043961</v>
      </c>
      <c r="AE361" s="92">
        <f t="shared" ref="AE361" si="1382">(C361/U361-1)*100</f>
        <v>-24.566958465263568</v>
      </c>
      <c r="AF361" s="92">
        <f t="shared" ref="AF361" si="1383">(D361/V361-1)*100</f>
        <v>-24.269264836138184</v>
      </c>
      <c r="AG361" s="92">
        <f t="shared" ref="AG361" si="1384">(E361/W361-1)*100</f>
        <v>-34.087882822902792</v>
      </c>
      <c r="AH361" s="92">
        <f t="shared" ref="AH361" si="1385">(F361/X361-1)*100</f>
        <v>-29.875589146957672</v>
      </c>
      <c r="AI361" s="92">
        <f t="shared" ref="AI361" si="1386">(G361/Y361-1)*100</f>
        <v>-30.235513385293121</v>
      </c>
      <c r="AJ361" s="92">
        <f t="shared" ref="AJ361" si="1387">(H361/Z361-1)*100</f>
        <v>-42.768663420169247</v>
      </c>
      <c r="AK361" s="92">
        <f t="shared" ref="AK361" si="1388">(I361/AA361-1)*100</f>
        <v>-39.379165023942299</v>
      </c>
      <c r="AM361" s="112">
        <f>AP361-'Figure 8_data'!H573</f>
        <v>0</v>
      </c>
      <c r="AN361" s="92">
        <f t="shared" ref="AN361" si="1389">(B361/B309-1)*100</f>
        <v>-17.727272727272727</v>
      </c>
      <c r="AO361" s="92">
        <f t="shared" ref="AO361" si="1390">(C361/C309-1)*100</f>
        <v>-20.49469964664311</v>
      </c>
      <c r="AP361" s="92">
        <f t="shared" ref="AP361" si="1391">(D361/D309-1)*100</f>
        <v>-20.971978984238181</v>
      </c>
      <c r="AQ361" s="92">
        <f t="shared" ref="AQ361" si="1392">(E361/E309-1)*100</f>
        <v>-36.101549053356287</v>
      </c>
      <c r="AR361" s="92">
        <f t="shared" ref="AR361" si="1393">(F361/F309-1)*100</f>
        <v>-39.558629776021078</v>
      </c>
      <c r="AS361" s="92">
        <f t="shared" ref="AS361" si="1394">(G361/G309-1)*100</f>
        <v>-39.723320158102773</v>
      </c>
      <c r="AT361" s="92">
        <f t="shared" ref="AT361" si="1395">(H361/H309-1)*100</f>
        <v>-50.768667642752561</v>
      </c>
      <c r="AU361" s="92">
        <f t="shared" ref="AU361" si="1396">(I361/I309-1)*100</f>
        <v>-49.222582382702029</v>
      </c>
    </row>
    <row r="362" spans="1:47" x14ac:dyDescent="0.3">
      <c r="A362" s="13">
        <f t="shared" si="475"/>
        <v>40113</v>
      </c>
      <c r="B362" s="92">
        <f>TWK!B307</f>
        <v>461.25</v>
      </c>
      <c r="C362" s="92">
        <f>TWK!C307</f>
        <v>457.5</v>
      </c>
      <c r="D362" s="92">
        <f>TWK!D307</f>
        <v>453.75</v>
      </c>
      <c r="E362" s="92">
        <f>TWK!E307</f>
        <v>378.75</v>
      </c>
      <c r="F362" s="92">
        <f>TWK!F307</f>
        <v>478.75</v>
      </c>
      <c r="G362" s="92">
        <f>TWK!G307</f>
        <v>478.75</v>
      </c>
      <c r="H362" s="92">
        <f>TWK!H307</f>
        <v>345</v>
      </c>
      <c r="I362" s="92">
        <f>TWK!I307</f>
        <v>473.056768558952</v>
      </c>
      <c r="K362" s="92">
        <f t="shared" ref="K362" si="1397">AVERAGE(B359:B362)</f>
        <v>454.0625</v>
      </c>
      <c r="L362" s="92">
        <f t="shared" ref="L362" si="1398">AVERAGE(C359:C362)</f>
        <v>449.125</v>
      </c>
      <c r="M362" s="92">
        <f t="shared" ref="M362" si="1399">AVERAGE(D359:D362)</f>
        <v>449.75</v>
      </c>
      <c r="N362" s="92">
        <f t="shared" ref="N362" si="1400">AVERAGE(E359:E362)</f>
        <v>383.4375</v>
      </c>
      <c r="O362" s="92">
        <f t="shared" ref="O362" si="1401">AVERAGE(F359:F362)</f>
        <v>468.75</v>
      </c>
      <c r="P362" s="92">
        <f t="shared" ref="P362" si="1402">AVERAGE(G359:G362)</f>
        <v>468.4375</v>
      </c>
      <c r="Q362" s="92">
        <f t="shared" ref="Q362" si="1403">AVERAGE(H359:H362)</f>
        <v>351.5625</v>
      </c>
      <c r="R362" s="92">
        <f t="shared" ref="R362" si="1404">AVERAGE(I359:I362)</f>
        <v>483.34061135371178</v>
      </c>
      <c r="T362" s="92">
        <f t="shared" ref="T362" si="1405">(K206+K258+K310)/3</f>
        <v>574.25</v>
      </c>
      <c r="U362" s="92">
        <f t="shared" ref="U362" si="1406">(L206+L258+L310)/3</f>
        <v>572.22222222222229</v>
      </c>
      <c r="V362" s="92">
        <f t="shared" ref="V362" si="1407">(M206+M258+M310)/3</f>
        <v>577.02777777777783</v>
      </c>
      <c r="W362" s="92">
        <f t="shared" ref="W362" si="1408">(N206+N258+N310)/3</f>
        <v>538.66666666666663</v>
      </c>
      <c r="X362" s="92">
        <f t="shared" ref="X362" si="1409">(O206+O258+O310)/3</f>
        <v>611.11111111111109</v>
      </c>
      <c r="Y362" s="92">
        <f t="shared" ref="Y362" si="1410">(P206+P258+P310)/3</f>
        <v>612.44444444444446</v>
      </c>
      <c r="Z362" s="92">
        <f t="shared" ref="Z362" si="1411">(Q206+Q258+Q310)/3</f>
        <v>548.69444444444446</v>
      </c>
      <c r="AA362" s="92">
        <f t="shared" ref="AA362" si="1412">(R206+R258+R310)/3</f>
        <v>712.39519650655018</v>
      </c>
      <c r="AC362" s="112">
        <f>+AF362-'Figure 8_data'!I574</f>
        <v>0</v>
      </c>
      <c r="AD362" s="92">
        <f t="shared" ref="AD362" si="1413">(B362/T362-1)*100</f>
        <v>-19.677840661732692</v>
      </c>
      <c r="AE362" s="92">
        <f t="shared" ref="AE362" si="1414">(C362/U362-1)*100</f>
        <v>-20.048543689320397</v>
      </c>
      <c r="AF362" s="92">
        <f t="shared" ref="AF362" si="1415">(D362/V362-1)*100</f>
        <v>-21.364270928609265</v>
      </c>
      <c r="AG362" s="92">
        <f t="shared" ref="AG362" si="1416">(E362/W362-1)*100</f>
        <v>-29.6875</v>
      </c>
      <c r="AH362" s="92">
        <f t="shared" ref="AH362" si="1417">(F362/X362-1)*100</f>
        <v>-21.659090909090907</v>
      </c>
      <c r="AI362" s="92">
        <f t="shared" ref="AI362" si="1418">(G362/Y362-1)*100</f>
        <v>-21.829644412191584</v>
      </c>
      <c r="AJ362" s="92">
        <f t="shared" ref="AJ362" si="1419">(H362/Z362-1)*100</f>
        <v>-37.123474915202756</v>
      </c>
      <c r="AK362" s="92">
        <f t="shared" ref="AK362" si="1420">(I362/AA362-1)*100</f>
        <v>-33.596300076315508</v>
      </c>
      <c r="AM362" s="112">
        <f>AP362-'Figure 8_data'!H574</f>
        <v>0</v>
      </c>
      <c r="AN362" s="92">
        <f t="shared" ref="AN362" si="1421">(B362/B310-1)*100</f>
        <v>-13.461538461538458</v>
      </c>
      <c r="AO362" s="92">
        <f t="shared" ref="AO362" si="1422">(C362/C310-1)*100</f>
        <v>-19.736842105263154</v>
      </c>
      <c r="AP362" s="92">
        <f t="shared" ref="AP362" si="1423">(D362/D310-1)*100</f>
        <v>-34.61815561959655</v>
      </c>
      <c r="AQ362" s="92">
        <f t="shared" ref="AQ362" si="1424">(E362/E310-1)*100</f>
        <v>-49.900793650793652</v>
      </c>
      <c r="AR362" s="92">
        <f t="shared" ref="AR362" si="1425">(F362/F310-1)*100</f>
        <v>-34.507523939808479</v>
      </c>
      <c r="AS362" s="92">
        <f t="shared" ref="AS362" si="1426">(G362/G310-1)*100</f>
        <v>-34.507523939808479</v>
      </c>
      <c r="AT362" s="92">
        <f t="shared" ref="AT362" si="1427">(H362/H310-1)*100</f>
        <v>-48.430493273542595</v>
      </c>
      <c r="AU362" s="92">
        <f t="shared" ref="AU362" si="1428">(I362/I310-1)*100</f>
        <v>-43.616594927419307</v>
      </c>
    </row>
    <row r="363" spans="1:47" x14ac:dyDescent="0.3">
      <c r="A363" s="13">
        <f t="shared" si="475"/>
        <v>40120</v>
      </c>
      <c r="B363" s="92">
        <f>TWK!B308</f>
        <v>460</v>
      </c>
      <c r="C363" s="92">
        <f>TWK!C308</f>
        <v>467.5</v>
      </c>
      <c r="D363" s="92">
        <f>TWK!D308</f>
        <v>437.5</v>
      </c>
      <c r="E363" s="92">
        <f>TWK!E308</f>
        <v>372.5</v>
      </c>
      <c r="F363" s="92">
        <f>TWK!F308</f>
        <v>482.5</v>
      </c>
      <c r="G363" s="92">
        <f>TWK!G308</f>
        <v>482.5</v>
      </c>
      <c r="H363" s="92">
        <f>TWK!H308</f>
        <v>353.75</v>
      </c>
      <c r="I363" s="92">
        <f>TWK!I308</f>
        <v>485.0545851528384</v>
      </c>
      <c r="K363" s="92">
        <f t="shared" ref="K363" si="1429">AVERAGE(B360:B363)</f>
        <v>452.5</v>
      </c>
      <c r="L363" s="92">
        <f t="shared" ref="L363" si="1430">AVERAGE(C360:C363)</f>
        <v>449.25</v>
      </c>
      <c r="M363" s="92">
        <f t="shared" ref="M363" si="1431">AVERAGE(D360:D363)</f>
        <v>442.375</v>
      </c>
      <c r="N363" s="92">
        <f t="shared" ref="N363" si="1432">AVERAGE(E360:E363)</f>
        <v>370.625</v>
      </c>
      <c r="O363" s="92">
        <f t="shared" ref="O363" si="1433">AVERAGE(F360:F363)</f>
        <v>465.9375</v>
      </c>
      <c r="P363" s="92">
        <f t="shared" ref="P363" si="1434">AVERAGE(G360:G363)</f>
        <v>465.625</v>
      </c>
      <c r="Q363" s="92">
        <f t="shared" ref="Q363" si="1435">AVERAGE(H360:H363)</f>
        <v>343.4375</v>
      </c>
      <c r="R363" s="92">
        <f t="shared" ref="R363" si="1436">AVERAGE(I360:I363)</f>
        <v>470.91430131004364</v>
      </c>
      <c r="T363" s="92">
        <f t="shared" ref="T363" si="1437">(K207+K259+K311)/3</f>
        <v>557.97222222222229</v>
      </c>
      <c r="U363" s="92">
        <f t="shared" ref="U363" si="1438">(L207+L259+L311)/3</f>
        <v>555.54166666666663</v>
      </c>
      <c r="V363" s="92">
        <f t="shared" ref="V363" si="1439">(M207+M259+M311)/3</f>
        <v>574.90277777777783</v>
      </c>
      <c r="W363" s="92">
        <f t="shared" ref="W363" si="1440">(N207+N259+N311)/3</f>
        <v>529.97916666666663</v>
      </c>
      <c r="X363" s="92">
        <f t="shared" ref="X363" si="1441">(O207+O259+O311)/3</f>
        <v>557.40277777777771</v>
      </c>
      <c r="Y363" s="92">
        <f t="shared" ref="Y363" si="1442">(P207+P259+P311)/3</f>
        <v>558.50694444444446</v>
      </c>
      <c r="Z363" s="92">
        <f t="shared" ref="Z363" si="1443">(Q207+Q259+Q311)/3</f>
        <v>497.54166666666669</v>
      </c>
      <c r="AA363" s="92">
        <f t="shared" ref="AA363" si="1444">(R207+R259+R311)/3</f>
        <v>639.14240659873849</v>
      </c>
      <c r="AC363" s="112">
        <f>+AF363-'Figure 8_data'!I575</f>
        <v>0</v>
      </c>
      <c r="AD363" s="92">
        <f t="shared" ref="AD363" si="1445">(B363/T363-1)*100</f>
        <v>-17.558620002987013</v>
      </c>
      <c r="AE363" s="92">
        <f t="shared" ref="AE363" si="1446">(C363/U363-1)*100</f>
        <v>-15.847896197404932</v>
      </c>
      <c r="AF363" s="92">
        <f t="shared" ref="AF363" si="1447">(D363/V363-1)*100</f>
        <v>-23.900176358321456</v>
      </c>
      <c r="AG363" s="92">
        <f t="shared" ref="AG363" si="1448">(E363/W363-1)*100</f>
        <v>-29.714218326192064</v>
      </c>
      <c r="AH363" s="92">
        <f t="shared" ref="AH363" si="1449">(F363/X363-1)*100</f>
        <v>-13.437819250990445</v>
      </c>
      <c r="AI363" s="92">
        <f t="shared" ref="AI363" si="1450">(G363/Y363-1)*100</f>
        <v>-13.608952440161648</v>
      </c>
      <c r="AJ363" s="92">
        <f t="shared" ref="AJ363" si="1451">(H363/Z363-1)*100</f>
        <v>-28.900427099907887</v>
      </c>
      <c r="AK363" s="92">
        <f t="shared" ref="AK363" si="1452">(I363/AA363-1)*100</f>
        <v>-24.108527278903956</v>
      </c>
      <c r="AM363" s="112">
        <f>AP363-'Figure 8_data'!H575</f>
        <v>0</v>
      </c>
      <c r="AN363" s="92">
        <f t="shared" ref="AN363" si="1453">(B363/B311-1)*100</f>
        <v>-33.526011560693647</v>
      </c>
      <c r="AO363" s="92">
        <f t="shared" ref="AO363" si="1454">(C363/C311-1)*100</f>
        <v>-43.742478941034904</v>
      </c>
      <c r="AP363" s="92">
        <f t="shared" ref="AP363" si="1455">(D363/D311-1)*100</f>
        <v>-58.333333333333329</v>
      </c>
      <c r="AQ363" s="92">
        <f t="shared" ref="AQ363" si="1456">(E363/E311-1)*100</f>
        <v>-67.608695652173907</v>
      </c>
      <c r="AR363" s="92">
        <f t="shared" ref="AR363" si="1457">(F363/F311-1)*100</f>
        <v>-43.235294117647058</v>
      </c>
      <c r="AS363" s="92">
        <f t="shared" ref="AS363" si="1458">(G363/G311-1)*100</f>
        <v>-43.235294117647058</v>
      </c>
      <c r="AT363" s="92">
        <f t="shared" ref="AT363" si="1459">(H363/H311-1)*100</f>
        <v>-65.078973346495545</v>
      </c>
      <c r="AU363" s="92">
        <f t="shared" ref="AU363" si="1460">(I363/I311-1)*100</f>
        <v>-59.578784570596795</v>
      </c>
    </row>
    <row r="364" spans="1:47" x14ac:dyDescent="0.3">
      <c r="A364" s="13">
        <f t="shared" si="475"/>
        <v>40127</v>
      </c>
      <c r="B364" s="92">
        <f>TWK!B309</f>
        <v>669</v>
      </c>
      <c r="C364" s="92">
        <f>TWK!C309</f>
        <v>650</v>
      </c>
      <c r="D364" s="92">
        <f>TWK!D309</f>
        <v>650</v>
      </c>
      <c r="E364" s="92">
        <f>TWK!E309</f>
        <v>706</v>
      </c>
      <c r="F364" s="92">
        <f>TWK!F309</f>
        <v>663</v>
      </c>
      <c r="G364" s="92">
        <f>TWK!G309</f>
        <v>663</v>
      </c>
      <c r="H364" s="92">
        <f>TWK!H309</f>
        <v>681</v>
      </c>
      <c r="I364" s="92">
        <f>TWK!I309</f>
        <v>934</v>
      </c>
      <c r="K364" s="92">
        <f t="shared" ref="K364" si="1461">AVERAGE(B361:B364)</f>
        <v>510.6875</v>
      </c>
      <c r="L364" s="92">
        <f t="shared" ref="L364" si="1462">AVERAGE(C361:C364)</f>
        <v>506.25</v>
      </c>
      <c r="M364" s="92">
        <f t="shared" ref="M364" si="1463">AVERAGE(D361:D364)</f>
        <v>498.125</v>
      </c>
      <c r="N364" s="92">
        <f t="shared" ref="N364" si="1464">AVERAGE(E361:E364)</f>
        <v>457.125</v>
      </c>
      <c r="O364" s="92">
        <f t="shared" ref="O364" si="1465">AVERAGE(F361:F364)</f>
        <v>520.75</v>
      </c>
      <c r="P364" s="92">
        <f t="shared" ref="P364" si="1466">AVERAGE(G361:G364)</f>
        <v>520.4375</v>
      </c>
      <c r="Q364" s="92">
        <f t="shared" ref="Q364" si="1467">AVERAGE(H361:H364)</f>
        <v>429</v>
      </c>
      <c r="R364" s="92">
        <f t="shared" ref="R364" si="1468">AVERAGE(I361:I364)</f>
        <v>588.29257641921402</v>
      </c>
      <c r="T364" s="92">
        <f t="shared" ref="T364" si="1469">(K208+K260+K312)/3</f>
        <v>538.30555555555554</v>
      </c>
      <c r="U364" s="92">
        <f t="shared" ref="U364" si="1470">(L208+L260+L312)/3</f>
        <v>525.375</v>
      </c>
      <c r="V364" s="92">
        <f t="shared" ref="V364" si="1471">(M208+M260+M312)/3</f>
        <v>549.31944444444446</v>
      </c>
      <c r="W364" s="92">
        <f t="shared" ref="W364" si="1472">(N208+N260+N312)/3</f>
        <v>491.97916666666669</v>
      </c>
      <c r="X364" s="92">
        <f t="shared" ref="X364" si="1473">(O208+O260+O312)/3</f>
        <v>504.65277777777777</v>
      </c>
      <c r="Y364" s="92">
        <f t="shared" ref="Y364" si="1474">(P208+P260+P312)/3</f>
        <v>504.0069444444444</v>
      </c>
      <c r="Z364" s="92">
        <f t="shared" ref="Z364" si="1475">(Q208+Q260+Q312)/3</f>
        <v>440.79166666666669</v>
      </c>
      <c r="AA364" s="92">
        <f t="shared" ref="AA364" si="1476">(R208+R260+R312)/3</f>
        <v>574.89240659873849</v>
      </c>
      <c r="AC364" s="112">
        <f>+AF364-'Figure 8_data'!I576</f>
        <v>0</v>
      </c>
      <c r="AD364" s="92">
        <f t="shared" ref="AD364" si="1477">(B364/T364-1)*100</f>
        <v>24.278858558233154</v>
      </c>
      <c r="AE364" s="92">
        <f t="shared" ref="AE364" si="1478">(C364/U364-1)*100</f>
        <v>23.721151558410657</v>
      </c>
      <c r="AF364" s="92">
        <f t="shared" ref="AF364" si="1479">(D364/V364-1)*100</f>
        <v>18.328234431493517</v>
      </c>
      <c r="AG364" s="92">
        <f t="shared" ref="AG364" si="1480">(E364/W364-1)*100</f>
        <v>43.502011433410971</v>
      </c>
      <c r="AH364" s="92">
        <f t="shared" ref="AH364" si="1481">(F364/X364-1)*100</f>
        <v>31.37745974955277</v>
      </c>
      <c r="AI364" s="92">
        <f t="shared" ref="AI364" si="1482">(G364/Y364-1)*100</f>
        <v>31.545806522727602</v>
      </c>
      <c r="AJ364" s="92">
        <f t="shared" ref="AJ364" si="1483">(H364/Z364-1)*100</f>
        <v>54.494753757443995</v>
      </c>
      <c r="AK364" s="92">
        <f t="shared" ref="AK364" si="1484">(I364/AA364-1)*100</f>
        <v>62.465182924552053</v>
      </c>
      <c r="AM364" s="112">
        <f>AP364-'Figure 8_data'!H576</f>
        <v>0</v>
      </c>
      <c r="AN364" s="92">
        <f t="shared" ref="AN364" si="1485">(B364/B312-1)*100</f>
        <v>31.692913385826781</v>
      </c>
      <c r="AO364" s="92">
        <f t="shared" ref="AO364" si="1486">(C364/C312-1)*100</f>
        <v>25.240847784200394</v>
      </c>
      <c r="AP364" s="92">
        <f t="shared" ref="AP364" si="1487">(D364/D312-1)*100</f>
        <v>18.181818181818187</v>
      </c>
      <c r="AQ364" s="92">
        <f t="shared" ref="AQ364" si="1488">(E364/E312-1)*100</f>
        <v>50.533049040511727</v>
      </c>
      <c r="AR364" s="92">
        <f t="shared" ref="AR364" si="1489">(F364/F312-1)*100</f>
        <v>27.745664739884401</v>
      </c>
      <c r="AS364" s="92">
        <f t="shared" ref="AS364" si="1490">(G364/G312-1)*100</f>
        <v>27.745664739884401</v>
      </c>
      <c r="AT364" s="92">
        <f t="shared" ref="AT364" si="1491">(H364/H312-1)*100</f>
        <v>55.479452054794521</v>
      </c>
      <c r="AU364" s="92">
        <f t="shared" ref="AU364" si="1492">(I364/I312-1)*100</f>
        <v>60.205831903945104</v>
      </c>
    </row>
    <row r="365" spans="1:47" x14ac:dyDescent="0.3">
      <c r="A365" s="13">
        <f t="shared" si="475"/>
        <v>40134</v>
      </c>
      <c r="B365" s="92">
        <f>TWK!B310</f>
        <v>493.75</v>
      </c>
      <c r="C365" s="92">
        <f>TWK!C310</f>
        <v>432.5</v>
      </c>
      <c r="D365" s="92">
        <f>TWK!D310</f>
        <v>426.25</v>
      </c>
      <c r="E365" s="92">
        <f>TWK!E310</f>
        <v>431.25</v>
      </c>
      <c r="F365" s="92">
        <f>TWK!F310</f>
        <v>542.5</v>
      </c>
      <c r="G365" s="92">
        <f>TWK!G310</f>
        <v>542.5</v>
      </c>
      <c r="H365" s="92">
        <f>TWK!H310</f>
        <v>412.5</v>
      </c>
      <c r="I365" s="92">
        <f>TWK!I310</f>
        <v>565.61135371179034</v>
      </c>
      <c r="K365" s="92">
        <f t="shared" ref="K365" si="1493">AVERAGE(B362:B365)</f>
        <v>521</v>
      </c>
      <c r="L365" s="92">
        <f t="shared" ref="L365" si="1494">AVERAGE(C362:C365)</f>
        <v>501.875</v>
      </c>
      <c r="M365" s="92">
        <f t="shared" ref="M365" si="1495">AVERAGE(D362:D365)</f>
        <v>491.875</v>
      </c>
      <c r="N365" s="92">
        <f t="shared" ref="N365" si="1496">AVERAGE(E362:E365)</f>
        <v>472.125</v>
      </c>
      <c r="O365" s="92">
        <f t="shared" ref="O365" si="1497">AVERAGE(F362:F365)</f>
        <v>541.6875</v>
      </c>
      <c r="P365" s="92">
        <f t="shared" ref="P365" si="1498">AVERAGE(G362:G365)</f>
        <v>541.6875</v>
      </c>
      <c r="Q365" s="92">
        <f t="shared" ref="Q365" si="1499">AVERAGE(H362:H365)</f>
        <v>448.0625</v>
      </c>
      <c r="R365" s="92">
        <f t="shared" ref="R365" si="1500">AVERAGE(I362:I365)</f>
        <v>614.43067685589517</v>
      </c>
      <c r="T365" s="92">
        <f t="shared" ref="T365" si="1501">(K209+K261+K313)/3</f>
        <v>528.30555555555554</v>
      </c>
      <c r="U365" s="92">
        <f t="shared" ref="U365" si="1502">(L209+L261+L313)/3</f>
        <v>505.29166666666669</v>
      </c>
      <c r="V365" s="92">
        <f t="shared" ref="V365" si="1503">(M209+M261+M313)/3</f>
        <v>532.20833333333337</v>
      </c>
      <c r="W365" s="92">
        <f t="shared" ref="W365" si="1504">(N209+N261+N313)/3</f>
        <v>470.8125</v>
      </c>
      <c r="X365" s="92">
        <f t="shared" ref="X365" si="1505">(O209+O261+O313)/3</f>
        <v>460.41666666666669</v>
      </c>
      <c r="Y365" s="92">
        <f t="shared" ref="Y365" si="1506">(P209+P261+P313)/3</f>
        <v>459.77083333333331</v>
      </c>
      <c r="Z365" s="92">
        <f t="shared" ref="Z365" si="1507">(Q209+Q261+Q313)/3</f>
        <v>403.875</v>
      </c>
      <c r="AA365" s="92">
        <f t="shared" ref="AA365" si="1508">(R209+R261+R313)/3</f>
        <v>525.17940320232901</v>
      </c>
      <c r="AC365" s="112">
        <f>+AF365-'Figure 8_data'!I577</f>
        <v>0</v>
      </c>
      <c r="AD365" s="92">
        <f t="shared" ref="AD365" si="1509">(B365/T365-1)*100</f>
        <v>-6.5408275934591753</v>
      </c>
      <c r="AE365" s="92">
        <f t="shared" ref="AE365" si="1510">(C365/U365-1)*100</f>
        <v>-14.405871196503671</v>
      </c>
      <c r="AF365" s="92">
        <f t="shared" ref="AF365" si="1511">(D365/V365-1)*100</f>
        <v>-19.909183433805687</v>
      </c>
      <c r="AG365" s="92">
        <f t="shared" ref="AG365" si="1512">(E365/W365-1)*100</f>
        <v>-8.40302668259657</v>
      </c>
      <c r="AH365" s="92">
        <f t="shared" ref="AH365" si="1513">(F365/X365-1)*100</f>
        <v>17.828054298642538</v>
      </c>
      <c r="AI365" s="92">
        <f t="shared" ref="AI365" si="1514">(G365/Y365-1)*100</f>
        <v>17.993565635053699</v>
      </c>
      <c r="AJ365" s="92">
        <f t="shared" ref="AJ365" si="1515">(H365/Z365-1)*100</f>
        <v>2.1355617455895981</v>
      </c>
      <c r="AK365" s="92">
        <f t="shared" ref="AK365" si="1516">(I365/AA365-1)*100</f>
        <v>7.6986931061888253</v>
      </c>
      <c r="AM365" s="112">
        <f>AP365-'Figure 8_data'!H577</f>
        <v>0</v>
      </c>
      <c r="AN365" s="92">
        <f t="shared" ref="AN365" si="1517">(B365/B313-1)*100</f>
        <v>21.0171568627451</v>
      </c>
      <c r="AO365" s="92">
        <f t="shared" ref="AO365" si="1518">(C365/C313-1)*100</f>
        <v>2.9761904761904656</v>
      </c>
      <c r="AP365" s="92">
        <f t="shared" ref="AP365" si="1519">(D365/D313-1)*100</f>
        <v>-11.012526096033405</v>
      </c>
      <c r="AQ365" s="92">
        <f t="shared" ref="AQ365" si="1520">(E365/E313-1)*100</f>
        <v>16.869918699186993</v>
      </c>
      <c r="AR365" s="92">
        <f t="shared" ref="AR365" si="1521">(F365/F313-1)*100</f>
        <v>48.630136986301366</v>
      </c>
      <c r="AS365" s="92">
        <f t="shared" ref="AS365" si="1522">(G365/G313-1)*100</f>
        <v>48.630136986301366</v>
      </c>
      <c r="AT365" s="92">
        <f t="shared" ref="AT365" si="1523">(H365/H313-1)*100</f>
        <v>23.134328358208943</v>
      </c>
      <c r="AU365" s="92">
        <f t="shared" ref="AU365" si="1524">(I365/I313-1)*100</f>
        <v>23.226874447013145</v>
      </c>
    </row>
    <row r="366" spans="1:47" x14ac:dyDescent="0.3">
      <c r="A366" s="13">
        <f t="shared" si="475"/>
        <v>40141</v>
      </c>
      <c r="B366" s="92">
        <f>TWK!B311</f>
        <v>0</v>
      </c>
      <c r="C366" s="92">
        <f>TWK!C311</f>
        <v>400</v>
      </c>
      <c r="D366" s="92">
        <f>TWK!D311</f>
        <v>403.75</v>
      </c>
      <c r="E366" s="92">
        <f>TWK!E311</f>
        <v>317.5</v>
      </c>
      <c r="F366" s="92">
        <f>TWK!F311</f>
        <v>378.75</v>
      </c>
      <c r="G366" s="92">
        <f>TWK!G311</f>
        <v>378.75</v>
      </c>
      <c r="H366" s="92">
        <f>TWK!H311</f>
        <v>292.5</v>
      </c>
      <c r="I366" s="92">
        <f>TWK!I311</f>
        <v>401.06986899563316</v>
      </c>
      <c r="K366" s="92">
        <f t="shared" ref="K366" si="1525">AVERAGE(B363:B366)</f>
        <v>405.6875</v>
      </c>
      <c r="L366" s="92">
        <f t="shared" ref="L366" si="1526">AVERAGE(C363:C366)</f>
        <v>487.5</v>
      </c>
      <c r="M366" s="92">
        <f t="shared" ref="M366" si="1527">AVERAGE(D363:D366)</f>
        <v>479.375</v>
      </c>
      <c r="N366" s="92">
        <f t="shared" ref="N366" si="1528">AVERAGE(E363:E366)</f>
        <v>456.8125</v>
      </c>
      <c r="O366" s="92">
        <f t="shared" ref="O366" si="1529">AVERAGE(F363:F366)</f>
        <v>516.6875</v>
      </c>
      <c r="P366" s="92">
        <f t="shared" ref="P366" si="1530">AVERAGE(G363:G366)</f>
        <v>516.6875</v>
      </c>
      <c r="Q366" s="92">
        <f t="shared" ref="Q366" si="1531">AVERAGE(H363:H366)</f>
        <v>434.9375</v>
      </c>
      <c r="R366" s="92">
        <f t="shared" ref="R366" si="1532">AVERAGE(I363:I366)</f>
        <v>596.43395196506549</v>
      </c>
      <c r="T366" s="92">
        <f t="shared" ref="T366" si="1533">(K210+K262+K314)/3</f>
        <v>424.16666666666669</v>
      </c>
      <c r="U366" s="92">
        <f t="shared" ref="U366" si="1534">(L210+L262+L314)/3</f>
        <v>473.79166666666669</v>
      </c>
      <c r="V366" s="92">
        <f t="shared" ref="V366" si="1535">(M210+M262+M314)/3</f>
        <v>494.625</v>
      </c>
      <c r="W366" s="92">
        <f t="shared" ref="W366" si="1536">(N210+N262+N314)/3</f>
        <v>427.5625</v>
      </c>
      <c r="X366" s="92">
        <f t="shared" ref="X366" si="1537">(O210+O262+O314)/3</f>
        <v>424.75</v>
      </c>
      <c r="Y366" s="92">
        <f t="shared" ref="Y366" si="1538">(P210+P262+P314)/3</f>
        <v>424.10416666666669</v>
      </c>
      <c r="Z366" s="92">
        <f t="shared" ref="Z366" si="1539">(Q210+Q262+Q314)/3</f>
        <v>367.29166666666669</v>
      </c>
      <c r="AA366" s="92">
        <f t="shared" ref="AA366" si="1540">(R210+R262+R314)/3</f>
        <v>478.86754002911204</v>
      </c>
      <c r="AC366" s="112">
        <f>+AF366-'Figure 8_data'!I578</f>
        <v>0</v>
      </c>
      <c r="AD366" s="92">
        <f t="shared" ref="AD366" si="1541">(B366/T366-1)*100</f>
        <v>-100</v>
      </c>
      <c r="AE366" s="92">
        <f t="shared" ref="AE366" si="1542">(C366/U366-1)*100</f>
        <v>-15.574707589482017</v>
      </c>
      <c r="AF366" s="92">
        <f t="shared" ref="AF366" si="1543">(D366/V366-1)*100</f>
        <v>-18.372504422542335</v>
      </c>
      <c r="AG366" s="92">
        <f t="shared" ref="AG366" si="1544">(E366/W366-1)*100</f>
        <v>-25.741850606636451</v>
      </c>
      <c r="AH366" s="92">
        <f t="shared" ref="AH366" si="1545">(F366/X366-1)*100</f>
        <v>-10.829899941141852</v>
      </c>
      <c r="AI366" s="92">
        <f t="shared" ref="AI366" si="1546">(G366/Y366-1)*100</f>
        <v>-10.694110134106205</v>
      </c>
      <c r="AJ366" s="92">
        <f t="shared" ref="AJ366" si="1547">(H366/Z366-1)*100</f>
        <v>-20.36301758366421</v>
      </c>
      <c r="AK366" s="92">
        <f t="shared" ref="AK366" si="1548">(I366/AA366-1)*100</f>
        <v>-16.246177602422019</v>
      </c>
      <c r="AM366" s="112">
        <f>AP366-'Figure 8_data'!H578</f>
        <v>0</v>
      </c>
      <c r="AO366" s="92">
        <f t="shared" ref="AO366" si="1549">(C366/C314-1)*100</f>
        <v>-1.4778325123152691</v>
      </c>
      <c r="AP366" s="92">
        <f t="shared" ref="AP366" si="1550">(D366/D314-1)*100</f>
        <v>2.2151898734177111</v>
      </c>
      <c r="AQ366" s="92">
        <f t="shared" ref="AQ366" si="1551">(E366/E314-1)*100</f>
        <v>4.0983606557376984</v>
      </c>
      <c r="AR366" s="92">
        <f t="shared" ref="AR366" si="1552">(F366/F314-1)*100</f>
        <v>23.774509803921575</v>
      </c>
      <c r="AS366" s="92">
        <f t="shared" ref="AS366" si="1553">(G366/G314-1)*100</f>
        <v>23.774509803921575</v>
      </c>
      <c r="AT366" s="92">
        <f t="shared" ref="AT366" si="1554">(H366/H314-1)*100</f>
        <v>-2.8239202657807327</v>
      </c>
      <c r="AU366" s="92">
        <f t="shared" ref="AU366" si="1555">(I366/I314-1)*100</f>
        <v>7.8144809128046111</v>
      </c>
    </row>
    <row r="367" spans="1:47" x14ac:dyDescent="0.3">
      <c r="A367" s="13">
        <f t="shared" si="475"/>
        <v>40148</v>
      </c>
      <c r="B367" s="92">
        <f>TWK!B312</f>
        <v>0</v>
      </c>
      <c r="C367" s="92">
        <f>TWK!C312</f>
        <v>392.5</v>
      </c>
      <c r="D367" s="92">
        <f>TWK!D312</f>
        <v>400</v>
      </c>
      <c r="E367" s="92">
        <f>TWK!E312</f>
        <v>285</v>
      </c>
      <c r="F367" s="92">
        <f>TWK!F312</f>
        <v>391.25</v>
      </c>
      <c r="G367" s="92">
        <f>TWK!G312</f>
        <v>367.5</v>
      </c>
      <c r="H367" s="92">
        <f>TWK!H312</f>
        <v>263.75</v>
      </c>
      <c r="I367" s="92">
        <f>TWK!I312</f>
        <v>361.64847161572055</v>
      </c>
      <c r="K367" s="92">
        <f t="shared" ref="K367" si="1556">AVERAGE(B364:B367)</f>
        <v>290.6875</v>
      </c>
      <c r="L367" s="92">
        <f t="shared" ref="L367" si="1557">AVERAGE(C364:C367)</f>
        <v>468.75</v>
      </c>
      <c r="M367" s="92">
        <f t="shared" ref="M367" si="1558">AVERAGE(D364:D367)</f>
        <v>470</v>
      </c>
      <c r="N367" s="92">
        <f t="shared" ref="N367" si="1559">AVERAGE(E364:E367)</f>
        <v>434.9375</v>
      </c>
      <c r="O367" s="92">
        <f t="shared" ref="O367" si="1560">AVERAGE(F364:F367)</f>
        <v>493.875</v>
      </c>
      <c r="P367" s="92">
        <f t="shared" ref="P367" si="1561">AVERAGE(G364:G367)</f>
        <v>487.9375</v>
      </c>
      <c r="Q367" s="92">
        <f t="shared" ref="Q367" si="1562">AVERAGE(H364:H367)</f>
        <v>412.4375</v>
      </c>
      <c r="R367" s="92">
        <f t="shared" ref="R367" si="1563">AVERAGE(I364:I367)</f>
        <v>565.58242358078598</v>
      </c>
      <c r="T367" s="92">
        <f t="shared" ref="T367" si="1564">(K211+K263+K315)/3</f>
        <v>320.11111111111109</v>
      </c>
      <c r="U367" s="92">
        <f t="shared" ref="U367" si="1565">(L211+L263+L315)/3</f>
        <v>428.88888888888891</v>
      </c>
      <c r="V367" s="92">
        <f t="shared" ref="V367" si="1566">(M211+M263+M315)/3</f>
        <v>431.0555555555556</v>
      </c>
      <c r="W367" s="92">
        <f t="shared" ref="W367" si="1567">(N211+N263+N315)/3</f>
        <v>354.3055555555556</v>
      </c>
      <c r="X367" s="92">
        <f t="shared" ref="X367" si="1568">(O211+O263+O315)/3</f>
        <v>373.25</v>
      </c>
      <c r="Y367" s="92">
        <f t="shared" ref="Y367" si="1569">(P211+P263+P315)/3</f>
        <v>372.5</v>
      </c>
      <c r="Z367" s="92">
        <f t="shared" ref="Z367" si="1570">(Q211+Q263+Q315)/3</f>
        <v>303.9444444444444</v>
      </c>
      <c r="AA367" s="92">
        <f t="shared" ref="AA367" si="1571">(R211+R263+R315)/3</f>
        <v>405.10134643377</v>
      </c>
      <c r="AC367" s="112">
        <f>+AF367-'Figure 8_data'!I579</f>
        <v>0</v>
      </c>
      <c r="AD367" s="92">
        <f t="shared" ref="AD367" si="1572">(B367/T367-1)*100</f>
        <v>-100</v>
      </c>
      <c r="AE367" s="92">
        <f t="shared" ref="AE367" si="1573">(C367/U367-1)*100</f>
        <v>-8.4844559585492298</v>
      </c>
      <c r="AF367" s="92">
        <f t="shared" ref="AF367" si="1574">(D367/V367-1)*100</f>
        <v>-7.204536667096284</v>
      </c>
      <c r="AG367" s="92">
        <f t="shared" ref="AG367" si="1575">(E367/W367-1)*100</f>
        <v>-19.560956487651914</v>
      </c>
      <c r="AH367" s="92">
        <f t="shared" ref="AH367" si="1576">(F367/X367-1)*100</f>
        <v>4.8225050234427247</v>
      </c>
      <c r="AI367" s="92">
        <f t="shared" ref="AI367" si="1577">(G367/Y367-1)*100</f>
        <v>-1.3422818791946289</v>
      </c>
      <c r="AJ367" s="92">
        <f t="shared" ref="AJ367" si="1578">(H367/Z367-1)*100</f>
        <v>-13.224273441783939</v>
      </c>
      <c r="AK367" s="92">
        <f t="shared" ref="AK367" si="1579">(I367/AA367-1)*100</f>
        <v>-10.726420734114628</v>
      </c>
      <c r="AM367" s="112">
        <f>AP367-'Figure 8_data'!H579</f>
        <v>0</v>
      </c>
      <c r="AO367" s="92">
        <f t="shared" ref="AO367" si="1580">(C367/C315-1)*100</f>
        <v>-6.1004784688995173</v>
      </c>
      <c r="AP367" s="92">
        <f t="shared" ref="AP367" si="1581">(D367/D315-1)*100</f>
        <v>0</v>
      </c>
      <c r="AQ367" s="92">
        <f t="shared" ref="AQ367" si="1582">(E367/E315-1)*100</f>
        <v>-24.603174603174605</v>
      </c>
      <c r="AR367" s="92">
        <f t="shared" ref="AR367" si="1583">(F367/F315-1)*100</f>
        <v>27.859477124182995</v>
      </c>
      <c r="AS367" s="92">
        <f t="shared" ref="AS367" si="1584">(G367/G315-1)*100</f>
        <v>20.098039215686271</v>
      </c>
      <c r="AT367" s="92">
        <f t="shared" ref="AT367" si="1585">(H367/H315-1)*100</f>
        <v>-22.426470588235293</v>
      </c>
      <c r="AU367" s="92">
        <f t="shared" ref="AU367" si="1586">(I367/I315-1)*100</f>
        <v>-17.807165541881698</v>
      </c>
    </row>
    <row r="368" spans="1:47" x14ac:dyDescent="0.3">
      <c r="A368" s="13">
        <f t="shared" si="475"/>
        <v>40155</v>
      </c>
      <c r="B368" s="92">
        <f>TWK!B313</f>
        <v>0</v>
      </c>
      <c r="C368" s="92">
        <f>TWK!C313</f>
        <v>378.33333333333331</v>
      </c>
      <c r="D368" s="92">
        <f>TWK!D313</f>
        <v>390</v>
      </c>
      <c r="E368" s="92">
        <f>TWK!E313</f>
        <v>275</v>
      </c>
      <c r="F368" s="92">
        <f>TWK!F313</f>
        <v>340</v>
      </c>
      <c r="G368" s="92">
        <f>TWK!G313</f>
        <v>338.33333333333331</v>
      </c>
      <c r="H368" s="92">
        <f>TWK!H313</f>
        <v>250</v>
      </c>
      <c r="I368" s="92">
        <f>TWK!I313</f>
        <v>342.7947598253275</v>
      </c>
      <c r="K368" s="92">
        <f t="shared" ref="K368" si="1587">AVERAGE(B365:B368)</f>
        <v>123.4375</v>
      </c>
      <c r="L368" s="92">
        <f t="shared" ref="L368" si="1588">AVERAGE(C365:C368)</f>
        <v>400.83333333333331</v>
      </c>
      <c r="M368" s="92">
        <f t="shared" ref="M368" si="1589">AVERAGE(D365:D368)</f>
        <v>405</v>
      </c>
      <c r="N368" s="92">
        <f t="shared" ref="N368" si="1590">AVERAGE(E365:E368)</f>
        <v>327.1875</v>
      </c>
      <c r="O368" s="92">
        <f t="shared" ref="O368" si="1591">AVERAGE(F365:F368)</f>
        <v>413.125</v>
      </c>
      <c r="P368" s="92">
        <f t="shared" ref="P368" si="1592">AVERAGE(G365:G368)</f>
        <v>406.77083333333331</v>
      </c>
      <c r="Q368" s="92">
        <f t="shared" ref="Q368" si="1593">AVERAGE(H365:H368)</f>
        <v>304.6875</v>
      </c>
      <c r="R368" s="92">
        <f t="shared" ref="R368" si="1594">AVERAGE(I365:I368)</f>
        <v>417.7811135371179</v>
      </c>
      <c r="T368" s="92">
        <f t="shared" ref="T368" si="1595">(K212+K264+K316)/3</f>
        <v>71.777777777777771</v>
      </c>
      <c r="U368" s="92">
        <f t="shared" ref="U368" si="1596">(L212+L264+L316)/3</f>
        <v>387.3055555555556</v>
      </c>
      <c r="V368" s="92">
        <f t="shared" ref="V368" si="1597">(M212+M264+M316)/3</f>
        <v>418.13888888888891</v>
      </c>
      <c r="W368" s="92">
        <f t="shared" ref="W368" si="1598">(N212+N264+N316)/3</f>
        <v>345.63888888888891</v>
      </c>
      <c r="X368" s="92">
        <f t="shared" ref="X368" si="1599">(O212+O264+O316)/3</f>
        <v>352.625</v>
      </c>
      <c r="Y368" s="92">
        <f t="shared" ref="Y368" si="1600">(P212+P264+P316)/3</f>
        <v>352.625</v>
      </c>
      <c r="Z368" s="92">
        <f t="shared" ref="Z368" si="1601">(Q212+Q264+Q316)/3</f>
        <v>289.77777777777777</v>
      </c>
      <c r="AA368" s="92">
        <f t="shared" ref="AA368" si="1602">(R212+R264+R316)/3</f>
        <v>378.59115720524022</v>
      </c>
      <c r="AC368" s="112">
        <f>+AF368-'Figure 8_data'!I580</f>
        <v>0</v>
      </c>
      <c r="AD368" s="92">
        <f t="shared" ref="AD368" si="1603">(B368/T368-1)*100</f>
        <v>-100</v>
      </c>
      <c r="AE368" s="92">
        <f t="shared" ref="AE368" si="1604">(C368/U368-1)*100</f>
        <v>-2.3165746252600039</v>
      </c>
      <c r="AF368" s="92">
        <f t="shared" ref="AF368" si="1605">(D368/V368-1)*100</f>
        <v>-6.7295555703182135</v>
      </c>
      <c r="AG368" s="92">
        <f t="shared" ref="AG368" si="1606">(E368/W368-1)*100</f>
        <v>-20.437193602828906</v>
      </c>
      <c r="AH368" s="92">
        <f t="shared" ref="AH368" si="1607">(F368/X368-1)*100</f>
        <v>-3.5802906770648679</v>
      </c>
      <c r="AI368" s="92">
        <f t="shared" ref="AI368" si="1608">(G368/Y368-1)*100</f>
        <v>-4.0529363110008321</v>
      </c>
      <c r="AJ368" s="92">
        <f t="shared" ref="AJ368" si="1609">(H368/Z368-1)*100</f>
        <v>-13.726993865030668</v>
      </c>
      <c r="AK368" s="92">
        <f t="shared" ref="AK368" si="1610">(I368/AA368-1)*100</f>
        <v>-9.4551593978479893</v>
      </c>
      <c r="AM368" s="112">
        <f>AP368-'Figure 8_data'!H580</f>
        <v>0</v>
      </c>
      <c r="AO368" s="92">
        <f t="shared" ref="AO368" si="1611">(C368/C316-1)*100</f>
        <v>-23.569023569023571</v>
      </c>
      <c r="AP368" s="92">
        <f t="shared" ref="AP368" si="1612">(D368/D316-1)*100</f>
        <v>-21.999999999999996</v>
      </c>
      <c r="AQ368" s="92">
        <f t="shared" ref="AQ368" si="1613">(E368/E316-1)*100</f>
        <v>-42.468619246861927</v>
      </c>
      <c r="AR368" s="92">
        <f t="shared" ref="AR368" si="1614">(F368/F316-1)*100</f>
        <v>-17.073170731707322</v>
      </c>
      <c r="AS368" s="92">
        <f t="shared" ref="AS368" si="1615">(G368/G316-1)*100</f>
        <v>-17.479674796747968</v>
      </c>
      <c r="AT368" s="92">
        <f t="shared" ref="AT368" si="1616">(H368/H316-1)*100</f>
        <v>-33.333333333333336</v>
      </c>
      <c r="AU368" s="92">
        <f t="shared" ref="AU368" si="1617">(I368/I316-1)*100</f>
        <v>-13.870663360470481</v>
      </c>
    </row>
    <row r="369" spans="1:47" x14ac:dyDescent="0.3">
      <c r="A369" s="13">
        <f t="shared" si="475"/>
        <v>40162</v>
      </c>
      <c r="B369" s="92">
        <f>TWK!B314</f>
        <v>0</v>
      </c>
      <c r="C369" s="92">
        <f>TWK!C314</f>
        <v>0</v>
      </c>
      <c r="D369" s="92">
        <f>TWK!D314</f>
        <v>361.66666666666669</v>
      </c>
      <c r="E369" s="92">
        <f>TWK!E314</f>
        <v>255</v>
      </c>
      <c r="F369" s="92">
        <f>TWK!F314</f>
        <v>315</v>
      </c>
      <c r="G369" s="92">
        <f>TWK!G314</f>
        <v>315</v>
      </c>
      <c r="H369" s="92">
        <f>TWK!H314</f>
        <v>236.66666666666666</v>
      </c>
      <c r="I369" s="92">
        <f>TWK!I314</f>
        <v>324.51237263464333</v>
      </c>
      <c r="L369" s="92">
        <f t="shared" ref="L369" si="1618">AVERAGE(C366:C369)</f>
        <v>292.70833333333331</v>
      </c>
      <c r="M369" s="92">
        <f t="shared" ref="M369" si="1619">AVERAGE(D366:D369)</f>
        <v>388.85416666666669</v>
      </c>
      <c r="N369" s="92">
        <f t="shared" ref="N369" si="1620">AVERAGE(E366:E369)</f>
        <v>283.125</v>
      </c>
      <c r="O369" s="92">
        <f t="shared" ref="O369" si="1621">AVERAGE(F366:F369)</f>
        <v>356.25</v>
      </c>
      <c r="P369" s="92">
        <f t="shared" ref="P369" si="1622">AVERAGE(G366:G369)</f>
        <v>349.89583333333331</v>
      </c>
      <c r="Q369" s="92">
        <f t="shared" ref="Q369" si="1623">AVERAGE(H366:H369)</f>
        <v>260.72916666666669</v>
      </c>
      <c r="R369" s="92">
        <f t="shared" ref="R369" si="1624">AVERAGE(I366:I369)</f>
        <v>357.50636826783114</v>
      </c>
      <c r="U369" s="92">
        <f t="shared" ref="U369" si="1625">(L213+L265+L317)/3</f>
        <v>342.86111111111114</v>
      </c>
      <c r="V369" s="92">
        <f t="shared" ref="V369" si="1626">(M213+M265+M317)/3</f>
        <v>400.0555555555556</v>
      </c>
      <c r="W369" s="92">
        <f t="shared" ref="W369" si="1627">(N213+N265+N317)/3</f>
        <v>331.38888888888891</v>
      </c>
      <c r="X369" s="92">
        <f t="shared" ref="X369" si="1628">(O213+O265+O317)/3</f>
        <v>340.79166666666669</v>
      </c>
      <c r="Y369" s="92">
        <f t="shared" ref="Y369" si="1629">(P213+P265+P317)/3</f>
        <v>340.70833333333331</v>
      </c>
      <c r="Z369" s="92">
        <f t="shared" ref="Z369" si="1630">(Q213+Q265+Q317)/3</f>
        <v>275.86111111111109</v>
      </c>
      <c r="AA369" s="92">
        <f t="shared" ref="AA369" si="1631">(R213+R265+R317)/3</f>
        <v>360.91757641921396</v>
      </c>
      <c r="AC369" s="112">
        <f>+AF369-'Figure 8_data'!I581</f>
        <v>0</v>
      </c>
      <c r="AE369" s="92">
        <f t="shared" ref="AE369" si="1632">(C369/U369-1)*100</f>
        <v>-100</v>
      </c>
      <c r="AF369" s="92">
        <f t="shared" ref="AF369" si="1633">(D369/V369-1)*100</f>
        <v>-9.5958894597972577</v>
      </c>
      <c r="AG369" s="92">
        <f t="shared" ref="AG369" si="1634">(E369/W369-1)*100</f>
        <v>-23.051131601005871</v>
      </c>
      <c r="AH369" s="92">
        <f t="shared" ref="AH369" si="1635">(F369/X369-1)*100</f>
        <v>-7.5681623670375453</v>
      </c>
      <c r="AI369" s="92">
        <f t="shared" ref="AI369" si="1636">(G369/Y369-1)*100</f>
        <v>-7.5455546043781236</v>
      </c>
      <c r="AJ369" s="92">
        <f t="shared" ref="AJ369" si="1637">(H369/Z369-1)*100</f>
        <v>-14.208035444567512</v>
      </c>
      <c r="AK369" s="92">
        <f t="shared" ref="AK369" si="1638">(I369/AA369-1)*100</f>
        <v>-10.086847015254573</v>
      </c>
      <c r="AM369" s="112">
        <f>AP369-'Figure 8_data'!H581</f>
        <v>0</v>
      </c>
      <c r="AP369" s="92">
        <f t="shared" ref="AP369" si="1639">(D369/D317-1)*100</f>
        <v>-23.049645390070918</v>
      </c>
      <c r="AQ369" s="92">
        <f t="shared" ref="AQ369" si="1640">(E369/E317-1)*100</f>
        <v>-36.408977556109726</v>
      </c>
      <c r="AR369" s="92">
        <f t="shared" ref="AR369" si="1641">(F369/F317-1)*100</f>
        <v>-17.105263157894733</v>
      </c>
      <c r="AS369" s="92">
        <f t="shared" ref="AS369" si="1642">(G369/G317-1)*100</f>
        <v>-17.105263157894733</v>
      </c>
      <c r="AT369" s="92">
        <f t="shared" ref="AT369" si="1643">(H369/H317-1)*100</f>
        <v>-21.892189218921899</v>
      </c>
      <c r="AU369" s="92">
        <f t="shared" ref="AU369" si="1644">(I369/I317-1)*100</f>
        <v>-21.425575633258276</v>
      </c>
    </row>
    <row r="370" spans="1:47" x14ac:dyDescent="0.3">
      <c r="A370" s="13">
        <f t="shared" si="475"/>
        <v>40169</v>
      </c>
      <c r="B370" s="92">
        <f>TWK!B315</f>
        <v>0</v>
      </c>
      <c r="C370" s="92">
        <f>TWK!C315</f>
        <v>0</v>
      </c>
      <c r="D370" s="92">
        <f>TWK!D315</f>
        <v>360</v>
      </c>
      <c r="E370" s="92">
        <f>TWK!E315</f>
        <v>284</v>
      </c>
      <c r="F370" s="92">
        <f>TWK!F315</f>
        <v>306</v>
      </c>
      <c r="G370" s="92">
        <f>TWK!G315</f>
        <v>306</v>
      </c>
      <c r="H370" s="92">
        <f>TWK!H315</f>
        <v>243</v>
      </c>
      <c r="I370" s="92">
        <f>TWK!I315</f>
        <v>333.19650655021832</v>
      </c>
      <c r="L370" s="92">
        <f t="shared" ref="L370" si="1645">AVERAGE(C367:C370)</f>
        <v>192.70833333333331</v>
      </c>
      <c r="M370" s="92">
        <f t="shared" ref="M370" si="1646">AVERAGE(D367:D370)</f>
        <v>377.91666666666669</v>
      </c>
      <c r="N370" s="92">
        <f t="shared" ref="N370" si="1647">AVERAGE(E367:E370)</f>
        <v>274.75</v>
      </c>
      <c r="O370" s="92">
        <f t="shared" ref="O370" si="1648">AVERAGE(F367:F370)</f>
        <v>338.0625</v>
      </c>
      <c r="P370" s="92">
        <f t="shared" ref="P370" si="1649">AVERAGE(G367:G370)</f>
        <v>331.70833333333331</v>
      </c>
      <c r="Q370" s="92">
        <f t="shared" ref="Q370" si="1650">AVERAGE(H367:H370)</f>
        <v>248.35416666666666</v>
      </c>
      <c r="R370" s="92">
        <f t="shared" ref="R370" si="1651">AVERAGE(I367:I370)</f>
        <v>340.53802765647742</v>
      </c>
      <c r="U370" s="92">
        <f t="shared" ref="U370" si="1652">(L214+L266+L318)/3</f>
        <v>252.08333333333334</v>
      </c>
      <c r="V370" s="92">
        <f t="shared" ref="V370" si="1653">(M214+M266+M318)/3</f>
        <v>394.45138888888891</v>
      </c>
      <c r="W370" s="92">
        <f t="shared" ref="W370" si="1654">(N214+N266+N318)/3</f>
        <v>324.8055555555556</v>
      </c>
      <c r="X370" s="92">
        <f t="shared" ref="X370" si="1655">(O214+O266+O318)/3</f>
        <v>333.75</v>
      </c>
      <c r="Y370" s="92">
        <f t="shared" ref="Y370" si="1656">(P214+P266+P318)/3</f>
        <v>333.66666666666669</v>
      </c>
      <c r="Z370" s="92">
        <f t="shared" ref="Z370" si="1657">(Q214+Q266+Q318)/3</f>
        <v>266.73611111111109</v>
      </c>
      <c r="AA370" s="92">
        <f t="shared" ref="AA370" si="1658">(R214+R266+R318)/3</f>
        <v>352.68904657933041</v>
      </c>
      <c r="AC370" s="112">
        <f>+AF370-'Figure 8_data'!I582</f>
        <v>0</v>
      </c>
      <c r="AE370" s="92">
        <f t="shared" ref="AE370" si="1659">(C370/U370-1)*100</f>
        <v>-100</v>
      </c>
      <c r="AF370" s="92">
        <f t="shared" ref="AF370" si="1660">(D370/V370-1)*100</f>
        <v>-8.734001161951376</v>
      </c>
      <c r="AG370" s="92">
        <f t="shared" ref="AG370" si="1661">(E370/W370-1)*100</f>
        <v>-12.56307192337297</v>
      </c>
      <c r="AH370" s="92">
        <f t="shared" ref="AH370" si="1662">(F370/X370-1)*100</f>
        <v>-8.3146067415730389</v>
      </c>
      <c r="AI370" s="92">
        <f t="shared" ref="AI370" si="1663">(G370/Y370-1)*100</f>
        <v>-8.2917082917083</v>
      </c>
      <c r="AJ370" s="92">
        <f t="shared" ref="AJ370" si="1664">(H370/Z370-1)*100</f>
        <v>-8.8987242905493318</v>
      </c>
      <c r="AK370" s="92">
        <f t="shared" ref="AK370" si="1665">(I370/AA370-1)*100</f>
        <v>-5.5268345354546273</v>
      </c>
      <c r="AM370" s="112">
        <f>AP370-'Figure 8_data'!H582</f>
        <v>0</v>
      </c>
      <c r="AP370" s="92">
        <f t="shared" ref="AP370" si="1666">(D370/D318-1)*100</f>
        <v>-30.602409638554217</v>
      </c>
      <c r="AQ370" s="92">
        <f t="shared" ref="AQ370" si="1667">(E370/E318-1)*100</f>
        <v>-31.566265060240962</v>
      </c>
      <c r="AR370" s="92">
        <f t="shared" ref="AR370" si="1668">(F370/F318-1)*100</f>
        <v>-21.032258064516128</v>
      </c>
      <c r="AS370" s="92">
        <f t="shared" ref="AS370" si="1669">(G370/G318-1)*100</f>
        <v>-21.032258064516128</v>
      </c>
      <c r="AT370" s="92">
        <f t="shared" ref="AT370" si="1670">(H370/H318-1)*100</f>
        <v>-18.319327731092439</v>
      </c>
      <c r="AU370" s="92">
        <f t="shared" ref="AU370" si="1671">(I370/I318-1)*100</f>
        <v>-18.437199358631752</v>
      </c>
    </row>
    <row r="371" spans="1:47" x14ac:dyDescent="0.3">
      <c r="A371" s="13">
        <f t="shared" si="475"/>
        <v>40176</v>
      </c>
      <c r="B371" s="92">
        <f>TWK!B316</f>
        <v>0</v>
      </c>
      <c r="C371" s="92">
        <f>TWK!C316</f>
        <v>0</v>
      </c>
      <c r="D371" s="92">
        <f>TWK!D316</f>
        <v>360</v>
      </c>
      <c r="E371" s="92">
        <f>TWK!E316</f>
        <v>278</v>
      </c>
      <c r="F371" s="92">
        <f>TWK!F316</f>
        <v>302</v>
      </c>
      <c r="G371" s="92">
        <f>TWK!G316</f>
        <v>302</v>
      </c>
      <c r="H371" s="92">
        <f>TWK!H316</f>
        <v>242</v>
      </c>
      <c r="I371" s="92">
        <f>TWK!I316</f>
        <v>331</v>
      </c>
      <c r="L371" s="92">
        <f t="shared" ref="L371" si="1672">AVERAGE(C368:C371)</f>
        <v>94.583333333333329</v>
      </c>
      <c r="M371" s="92">
        <f t="shared" ref="M371" si="1673">AVERAGE(D368:D371)</f>
        <v>367.91666666666669</v>
      </c>
      <c r="N371" s="92">
        <f t="shared" ref="N371" si="1674">AVERAGE(E368:E371)</f>
        <v>273</v>
      </c>
      <c r="O371" s="92">
        <f t="shared" ref="O371" si="1675">AVERAGE(F368:F371)</f>
        <v>315.75</v>
      </c>
      <c r="P371" s="92">
        <f t="shared" ref="P371" si="1676">AVERAGE(G368:G371)</f>
        <v>315.33333333333331</v>
      </c>
      <c r="Q371" s="92">
        <f t="shared" ref="Q371" si="1677">AVERAGE(H368:H371)</f>
        <v>242.91666666666666</v>
      </c>
      <c r="R371" s="92">
        <f t="shared" ref="R371" si="1678">AVERAGE(I368:I371)</f>
        <v>332.87590975254727</v>
      </c>
      <c r="U371" s="92">
        <f t="shared" ref="U371" si="1679">(L215+L267+L319)/3</f>
        <v>163.91666666666666</v>
      </c>
      <c r="V371" s="92">
        <f t="shared" ref="V371" si="1680">(M215+M267+M319)/3</f>
        <v>386.5625</v>
      </c>
      <c r="W371" s="92">
        <f t="shared" ref="W371" si="1681">(N215+N267+N319)/3</f>
        <v>307.61111111111109</v>
      </c>
      <c r="X371" s="92">
        <f t="shared" ref="X371" si="1682">(O215+O267+O319)/3</f>
        <v>326.33333333333331</v>
      </c>
      <c r="Y371" s="92">
        <f t="shared" ref="Y371" si="1683">(P215+P267+P319)/3</f>
        <v>326.08333333333331</v>
      </c>
      <c r="Z371" s="92">
        <f t="shared" ref="Z371" si="1684">(Q215+Q267+Q319)/3</f>
        <v>253.56944444444446</v>
      </c>
      <c r="AA371" s="92">
        <f t="shared" ref="AA371" si="1685">(R215+R267+R319)/3</f>
        <v>338.34922367782633</v>
      </c>
      <c r="AC371" s="112">
        <f>+AF371-'Figure 8_data'!I583</f>
        <v>0</v>
      </c>
      <c r="AE371" s="92">
        <f t="shared" ref="AE371" si="1686">(C371/U371-1)*100</f>
        <v>-100</v>
      </c>
      <c r="AF371" s="92">
        <f t="shared" ref="AF371" si="1687">(D371/V371-1)*100</f>
        <v>-6.8714632174616046</v>
      </c>
      <c r="AG371" s="92">
        <f t="shared" ref="AG371" si="1688">(E371/W371-1)*100</f>
        <v>-9.6261513454939376</v>
      </c>
      <c r="AH371" s="92">
        <f t="shared" ref="AH371" si="1689">(F371/X371-1)*100</f>
        <v>-7.4565883554647545</v>
      </c>
      <c r="AI371" s="92">
        <f t="shared" ref="AI371" si="1690">(G371/Y371-1)*100</f>
        <v>-7.3856376181957506</v>
      </c>
      <c r="AJ371" s="92">
        <f t="shared" ref="AJ371" si="1691">(H371/Z371-1)*100</f>
        <v>-4.5626335104343552</v>
      </c>
      <c r="AK371" s="92">
        <f t="shared" ref="AK371" si="1692">(I371/AA371-1)*100</f>
        <v>-2.1720823230923725</v>
      </c>
      <c r="AM371" s="112">
        <f>AP371-'Figure 8_data'!H583</f>
        <v>0</v>
      </c>
      <c r="AP371" s="92">
        <f t="shared" ref="AP371" si="1693">(D371/D319-1)*100</f>
        <v>-18.367346938775508</v>
      </c>
      <c r="AQ371" s="92">
        <f t="shared" ref="AQ371" si="1694">(E371/E319-1)*100</f>
        <v>-7.3333333333333357</v>
      </c>
      <c r="AR371" s="92">
        <f t="shared" ref="AR371" si="1695">(F371/F319-1)*100</f>
        <v>-13.218390804597702</v>
      </c>
      <c r="AS371" s="92">
        <f t="shared" ref="AS371" si="1696">(G371/G319-1)*100</f>
        <v>-12.716763005780351</v>
      </c>
      <c r="AT371" s="92">
        <f t="shared" ref="AT371" si="1697">(H371/H319-1)*100</f>
        <v>-9.0225563909774422</v>
      </c>
      <c r="AU371" s="92">
        <f t="shared" ref="AU371" si="1698">(I371/I319-1)*100</f>
        <v>-9.3150684931506795</v>
      </c>
    </row>
    <row r="372" spans="1:47" x14ac:dyDescent="0.3">
      <c r="A372" s="13">
        <f t="shared" si="475"/>
        <v>40183</v>
      </c>
      <c r="B372" s="92">
        <f>TWK!B317</f>
        <v>0</v>
      </c>
      <c r="C372" s="92">
        <f>TWK!C317</f>
        <v>0</v>
      </c>
      <c r="D372" s="92">
        <f>TWK!D317</f>
        <v>380</v>
      </c>
      <c r="E372" s="92">
        <f>TWK!E317</f>
        <v>271.66666666666669</v>
      </c>
      <c r="F372" s="92">
        <f>TWK!F317</f>
        <v>310</v>
      </c>
      <c r="G372" s="92">
        <f>TWK!G317</f>
        <v>310</v>
      </c>
      <c r="H372" s="92">
        <f>TWK!H317</f>
        <v>233.33333333333334</v>
      </c>
      <c r="I372" s="92">
        <f>TWK!I317</f>
        <v>319.94177583697234</v>
      </c>
      <c r="M372" s="92">
        <f t="shared" ref="M372" si="1699">AVERAGE(D369:D372)</f>
        <v>365.41666666666669</v>
      </c>
      <c r="N372" s="92">
        <f t="shared" ref="N372" si="1700">AVERAGE(E369:E372)</f>
        <v>272.16666666666669</v>
      </c>
      <c r="O372" s="92">
        <f t="shared" ref="O372" si="1701">AVERAGE(F369:F372)</f>
        <v>308.25</v>
      </c>
      <c r="P372" s="92">
        <f t="shared" ref="P372" si="1702">AVERAGE(G369:G372)</f>
        <v>308.25</v>
      </c>
      <c r="Q372" s="92">
        <f t="shared" ref="Q372" si="1703">AVERAGE(H369:H372)</f>
        <v>238.75</v>
      </c>
      <c r="R372" s="92">
        <f t="shared" ref="R372" si="1704">AVERAGE(I369:I372)</f>
        <v>327.16266375545848</v>
      </c>
      <c r="U372" s="92">
        <f t="shared" ref="U372" si="1705">(L216+L268+L320)/3</f>
        <v>100.8888888888889</v>
      </c>
      <c r="V372" s="92">
        <f t="shared" ref="V372" si="1706">(M216+M268+M320)/3</f>
        <v>362.5625</v>
      </c>
      <c r="W372" s="92">
        <f t="shared" ref="W372" si="1707">(N216+N268+N320)/3</f>
        <v>279.61111111111109</v>
      </c>
      <c r="X372" s="92">
        <f t="shared" ref="X372" si="1708">(O216+O268+O320)/3</f>
        <v>312.95833333333331</v>
      </c>
      <c r="Y372" s="92">
        <f t="shared" ref="Y372" si="1709">(P216+P268+P320)/3</f>
        <v>312.70833333333331</v>
      </c>
      <c r="Z372" s="92">
        <f t="shared" ref="Z372" si="1710">(Q216+Q268+Q320)/3</f>
        <v>238.23611111111111</v>
      </c>
      <c r="AA372" s="92">
        <f t="shared" ref="AA372" si="1711">(R216+R268+R320)/3</f>
        <v>327.0260795730228</v>
      </c>
      <c r="AC372" s="112">
        <f>+AF372-'Figure 8_data'!I584</f>
        <v>0</v>
      </c>
      <c r="AE372" s="92">
        <f t="shared" ref="AE372" si="1712">(C372/U372-1)*100</f>
        <v>-100</v>
      </c>
      <c r="AF372" s="92">
        <f t="shared" ref="AF372" si="1713">(D372/V372-1)*100</f>
        <v>4.8095156007584849</v>
      </c>
      <c r="AG372" s="92">
        <f t="shared" ref="AG372" si="1714">(E372/W372-1)*100</f>
        <v>-2.8412477647526191</v>
      </c>
      <c r="AH372" s="92">
        <f t="shared" ref="AH372" si="1715">(F372/X372-1)*100</f>
        <v>-0.94528025562508056</v>
      </c>
      <c r="AI372" s="92">
        <f t="shared" ref="AI372" si="1716">(G372/Y372-1)*100</f>
        <v>-0.86608927381744971</v>
      </c>
      <c r="AJ372" s="92">
        <f t="shared" ref="AJ372" si="1717">(H372/Z372-1)*100</f>
        <v>-2.0579490468139672</v>
      </c>
      <c r="AK372" s="92">
        <f t="shared" ref="AK372" si="1718">(I372/AA372-1)*100</f>
        <v>-2.1662809722392762</v>
      </c>
      <c r="AM372" s="112">
        <f>AP372-'Figure 8_data'!H584</f>
        <v>0</v>
      </c>
      <c r="AP372" s="92">
        <f t="shared" ref="AP372" si="1719">(D372/D320-1)*100</f>
        <v>2.4258760107816801</v>
      </c>
      <c r="AQ372" s="92">
        <f t="shared" ref="AQ372" si="1720">(E372/E320-1)*100</f>
        <v>-0.48840048840048667</v>
      </c>
      <c r="AR372" s="92">
        <f t="shared" ref="AR372" si="1721">(F372/F320-1)*100</f>
        <v>-4.9079754601227048</v>
      </c>
      <c r="AS372" s="92">
        <f t="shared" ref="AS372" si="1722">(G372/G320-1)*100</f>
        <v>-4.9079754601227048</v>
      </c>
      <c r="AT372" s="92">
        <f t="shared" ref="AT372" si="1723">(H372/H320-1)*100</f>
        <v>-2.777777777777779</v>
      </c>
      <c r="AU372" s="92">
        <f t="shared" ref="AU372" si="1724">(I372/I320-1)*100</f>
        <v>-2.7532596240205653</v>
      </c>
    </row>
    <row r="373" spans="1:47" x14ac:dyDescent="0.3">
      <c r="A373" s="13">
        <f t="shared" si="475"/>
        <v>40190</v>
      </c>
      <c r="B373" s="92">
        <f>TWK!B318</f>
        <v>0</v>
      </c>
      <c r="C373" s="92">
        <f>TWK!C318</f>
        <v>0</v>
      </c>
      <c r="D373" s="92">
        <f>TWK!D318</f>
        <v>386.25</v>
      </c>
      <c r="E373" s="92">
        <f>TWK!E318</f>
        <v>261.25</v>
      </c>
      <c r="F373" s="92">
        <f>TWK!F318</f>
        <v>310</v>
      </c>
      <c r="G373" s="92">
        <f>TWK!G318</f>
        <v>310</v>
      </c>
      <c r="H373" s="92">
        <f>TWK!H318</f>
        <v>227.5</v>
      </c>
      <c r="I373" s="92">
        <f>TWK!I318</f>
        <v>311.94323144104806</v>
      </c>
      <c r="M373" s="92">
        <f t="shared" ref="M373" si="1725">AVERAGE(D370:D373)</f>
        <v>371.5625</v>
      </c>
      <c r="N373" s="92">
        <f t="shared" ref="N373" si="1726">AVERAGE(E370:E373)</f>
        <v>273.72916666666669</v>
      </c>
      <c r="O373" s="92">
        <f t="shared" ref="O373" si="1727">AVERAGE(F370:F373)</f>
        <v>307</v>
      </c>
      <c r="P373" s="92">
        <f t="shared" ref="P373" si="1728">AVERAGE(G370:G373)</f>
        <v>307</v>
      </c>
      <c r="Q373" s="92">
        <f t="shared" ref="Q373" si="1729">AVERAGE(H370:H373)</f>
        <v>236.45833333333334</v>
      </c>
      <c r="R373" s="92">
        <f t="shared" ref="R373" si="1730">AVERAGE(I370:I373)</f>
        <v>324.02037845705968</v>
      </c>
      <c r="U373" s="92">
        <f t="shared" ref="U373" si="1731">(L217+L269+L321)/3</f>
        <v>96.666666666666671</v>
      </c>
      <c r="V373" s="92">
        <f t="shared" ref="V373" si="1732">(M217+M269+M321)/3</f>
        <v>373.89583333333331</v>
      </c>
      <c r="W373" s="92">
        <f t="shared" ref="W373" si="1733">(N217+N269+N321)/3</f>
        <v>293.86111111111109</v>
      </c>
      <c r="X373" s="92">
        <f t="shared" ref="X373" si="1734">(O217+O269+O321)/3</f>
        <v>323.625</v>
      </c>
      <c r="Y373" s="92">
        <f t="shared" ref="Y373" si="1735">(P217+P269+P321)/3</f>
        <v>323.54166666666669</v>
      </c>
      <c r="Z373" s="92">
        <f t="shared" ref="Z373" si="1736">(Q217+Q269+Q321)/3</f>
        <v>260.98611111111114</v>
      </c>
      <c r="AA373" s="92">
        <f t="shared" ref="AA373" si="1737">(R217+R269+R321)/3</f>
        <v>356.19274623968948</v>
      </c>
      <c r="AC373" s="112">
        <f>+AF373-'Figure 8_data'!I585</f>
        <v>0</v>
      </c>
      <c r="AE373" s="92">
        <f t="shared" ref="AE373" si="1738">(C373/U373-1)*100</f>
        <v>-100</v>
      </c>
      <c r="AF373" s="92">
        <f t="shared" ref="AF373" si="1739">(D373/V373-1)*100</f>
        <v>3.3041733994539468</v>
      </c>
      <c r="AG373" s="92">
        <f t="shared" ref="AG373" si="1740">(E373/W373-1)*100</f>
        <v>-11.097457226580953</v>
      </c>
      <c r="AH373" s="92">
        <f t="shared" ref="AH373" si="1741">(F373/X373-1)*100</f>
        <v>-4.2101197373503263</v>
      </c>
      <c r="AI373" s="92">
        <f t="shared" ref="AI373" si="1742">(G373/Y373-1)*100</f>
        <v>-4.1854475209272435</v>
      </c>
      <c r="AJ373" s="92">
        <f t="shared" ref="AJ373" si="1743">(H373/Z373-1)*100</f>
        <v>-12.830610398595088</v>
      </c>
      <c r="AK373" s="92">
        <f t="shared" ref="AK373" si="1744">(I373/AA373-1)*100</f>
        <v>-12.422912949739018</v>
      </c>
      <c r="AM373" s="112">
        <f>AP373-'Figure 8_data'!H585</f>
        <v>0</v>
      </c>
      <c r="AP373" s="92">
        <f t="shared" ref="AP373" si="1745">(D373/D321-1)*100</f>
        <v>-29.772727272727273</v>
      </c>
      <c r="AQ373" s="92">
        <f t="shared" ref="AQ373" si="1746">(E373/E321-1)*100</f>
        <v>-38.960280373831779</v>
      </c>
      <c r="AR373" s="92">
        <f t="shared" ref="AR373" si="1747">(F373/F321-1)*100</f>
        <v>-25.30120481927711</v>
      </c>
      <c r="AS373" s="92">
        <f t="shared" ref="AS373" si="1748">(G373/G321-1)*100</f>
        <v>-25.30120481927711</v>
      </c>
      <c r="AT373" s="92">
        <f t="shared" ref="AT373" si="1749">(H373/H321-1)*100</f>
        <v>-45.961995249406172</v>
      </c>
      <c r="AU373" s="92">
        <f t="shared" ref="AU373" si="1750">(I373/I321-1)*100</f>
        <v>-46.030582795666433</v>
      </c>
    </row>
    <row r="374" spans="1:47" x14ac:dyDescent="0.3">
      <c r="A374" s="13">
        <f t="shared" si="475"/>
        <v>40197</v>
      </c>
      <c r="B374" s="92">
        <f>TWK!B319</f>
        <v>0</v>
      </c>
      <c r="C374" s="92">
        <f>TWK!C319</f>
        <v>0</v>
      </c>
      <c r="D374" s="92">
        <f>TWK!D319</f>
        <v>391.25</v>
      </c>
      <c r="E374" s="92">
        <f>TWK!E319</f>
        <v>290</v>
      </c>
      <c r="F374" s="92">
        <f>TWK!F319</f>
        <v>328.75</v>
      </c>
      <c r="G374" s="92">
        <f>TWK!G319</f>
        <v>328.75</v>
      </c>
      <c r="H374" s="92">
        <f>TWK!H319</f>
        <v>251.25</v>
      </c>
      <c r="I374" s="92">
        <f>TWK!I319</f>
        <v>344.50873362445412</v>
      </c>
      <c r="M374" s="92">
        <f t="shared" ref="M374" si="1751">AVERAGE(D371:D374)</f>
        <v>379.375</v>
      </c>
      <c r="N374" s="92">
        <f t="shared" ref="N374" si="1752">AVERAGE(E371:E374)</f>
        <v>275.22916666666669</v>
      </c>
      <c r="O374" s="92">
        <f t="shared" ref="O374" si="1753">AVERAGE(F371:F374)</f>
        <v>312.6875</v>
      </c>
      <c r="P374" s="92">
        <f t="shared" ref="P374" si="1754">AVERAGE(G371:G374)</f>
        <v>312.6875</v>
      </c>
      <c r="Q374" s="92">
        <f t="shared" ref="Q374" si="1755">AVERAGE(H371:H374)</f>
        <v>238.52083333333334</v>
      </c>
      <c r="R374" s="92">
        <f t="shared" ref="R374" si="1756">AVERAGE(I371:I374)</f>
        <v>326.84843522561863</v>
      </c>
      <c r="U374" s="92">
        <f t="shared" ref="U374" si="1757">(L218+L270+L322)/3</f>
        <v>96.666666666666671</v>
      </c>
      <c r="V374" s="92">
        <f t="shared" ref="V374" si="1758">(M218+M270+M322)/3</f>
        <v>383.66666666666669</v>
      </c>
      <c r="W374" s="92">
        <f t="shared" ref="W374" si="1759">(N218+N270+N322)/3</f>
        <v>314.1944444444444</v>
      </c>
      <c r="X374" s="92">
        <f t="shared" ref="X374" si="1760">(O218+O270+O322)/3</f>
        <v>339.91666666666669</v>
      </c>
      <c r="Y374" s="92">
        <f t="shared" ref="Y374" si="1761">(P218+P270+P322)/3</f>
        <v>339.83333333333331</v>
      </c>
      <c r="Z374" s="92">
        <f t="shared" ref="Z374" si="1762">(Q218+Q270+Q322)/3</f>
        <v>288.27777777777777</v>
      </c>
      <c r="AA374" s="92">
        <f t="shared" ref="AA374" si="1763">(R218+R270+R322)/3</f>
        <v>390.61741872877246</v>
      </c>
      <c r="AC374" s="112">
        <f>+AF374-'Figure 8_data'!I586</f>
        <v>0</v>
      </c>
      <c r="AE374" s="92">
        <f t="shared" ref="AE374" si="1764">(C374/U374-1)*100</f>
        <v>-100</v>
      </c>
      <c r="AF374" s="92">
        <f t="shared" ref="AF374" si="1765">(D374/V374-1)*100</f>
        <v>1.9765421372719416</v>
      </c>
      <c r="AG374" s="92">
        <f t="shared" ref="AG374" si="1766">(E374/W374-1)*100</f>
        <v>-7.7004685704181615</v>
      </c>
      <c r="AH374" s="92">
        <f t="shared" ref="AH374" si="1767">(F374/X374-1)*100</f>
        <v>-3.2851189016915971</v>
      </c>
      <c r="AI374" s="92">
        <f t="shared" ref="AI374" si="1768">(G374/Y374-1)*100</f>
        <v>-3.2614026483570369</v>
      </c>
      <c r="AJ374" s="92">
        <f t="shared" ref="AJ374" si="1769">(H374/Z374-1)*100</f>
        <v>-12.844478704952778</v>
      </c>
      <c r="AK374" s="92">
        <f t="shared" ref="AK374" si="1770">(I374/AA374-1)*100</f>
        <v>-11.804052480397498</v>
      </c>
      <c r="AM374" s="112">
        <f>AP374-'Figure 8_data'!H586</f>
        <v>0</v>
      </c>
      <c r="AP374" s="92">
        <f t="shared" ref="AP374" si="1771">(D374/D322-1)*100</f>
        <v>-30.506216696269984</v>
      </c>
      <c r="AQ374" s="92">
        <f t="shared" ref="AQ374" si="1772">(E374/E322-1)*100</f>
        <v>-39.708939708939702</v>
      </c>
      <c r="AR374" s="92">
        <f t="shared" ref="AR374" si="1773">(F374/F322-1)*100</f>
        <v>-23.368298368298369</v>
      </c>
      <c r="AS374" s="92">
        <f t="shared" ref="AS374" si="1774">(G374/G322-1)*100</f>
        <v>-23.368298368298369</v>
      </c>
      <c r="AT374" s="92">
        <f t="shared" ref="AT374" si="1775">(H374/H322-1)*100</f>
        <v>-42.37385321100917</v>
      </c>
      <c r="AU374" s="92">
        <f t="shared" ref="AU374" si="1776">(I374/I322-1)*100</f>
        <v>-40.293113756593733</v>
      </c>
    </row>
    <row r="375" spans="1:47" x14ac:dyDescent="0.3">
      <c r="A375" s="13">
        <f t="shared" si="475"/>
        <v>40204</v>
      </c>
      <c r="B375" s="92">
        <f>TWK!B320</f>
        <v>0</v>
      </c>
      <c r="C375" s="92">
        <f>TWK!C320</f>
        <v>0</v>
      </c>
      <c r="D375" s="92">
        <f>TWK!D320</f>
        <v>410</v>
      </c>
      <c r="E375" s="92">
        <f>TWK!E320</f>
        <v>306.66666666666669</v>
      </c>
      <c r="F375" s="92">
        <f>TWK!F320</f>
        <v>326.66666666666669</v>
      </c>
      <c r="G375" s="92">
        <f>TWK!G320</f>
        <v>326.66666666666669</v>
      </c>
      <c r="H375" s="92">
        <f>TWK!H320</f>
        <v>253.33333333333334</v>
      </c>
      <c r="I375" s="92">
        <f>TWK!I320</f>
        <v>347.36535662299849</v>
      </c>
      <c r="M375" s="92">
        <f t="shared" ref="M375" si="1777">AVERAGE(D372:D375)</f>
        <v>391.875</v>
      </c>
      <c r="N375" s="92">
        <f t="shared" ref="N375" si="1778">AVERAGE(E372:E375)</f>
        <v>282.39583333333337</v>
      </c>
      <c r="O375" s="92">
        <f t="shared" ref="O375" si="1779">AVERAGE(F372:F375)</f>
        <v>318.85416666666669</v>
      </c>
      <c r="P375" s="92">
        <f t="shared" ref="P375" si="1780">AVERAGE(G372:G375)</f>
        <v>318.85416666666669</v>
      </c>
      <c r="Q375" s="92">
        <f t="shared" ref="Q375" si="1781">AVERAGE(H372:H375)</f>
        <v>241.35416666666669</v>
      </c>
      <c r="R375" s="92">
        <f t="shared" ref="R375" si="1782">AVERAGE(I372:I375)</f>
        <v>330.93977438136824</v>
      </c>
      <c r="U375" s="92">
        <f t="shared" ref="U375" si="1783">(L219+L271+L323)/3</f>
        <v>0</v>
      </c>
      <c r="V375" s="92">
        <f t="shared" ref="V375" si="1784">(M219+M271+M323)/3</f>
        <v>404.41666666666669</v>
      </c>
      <c r="W375" s="92">
        <f t="shared" ref="W375" si="1785">(N219+N271+N323)/3</f>
        <v>337.75</v>
      </c>
      <c r="X375" s="92">
        <f t="shared" ref="X375" si="1786">(O219+O271+O323)/3</f>
        <v>352.41666666666669</v>
      </c>
      <c r="Y375" s="92">
        <f t="shared" ref="Y375" si="1787">(P219+P271+P323)/3</f>
        <v>353.16666666666669</v>
      </c>
      <c r="Z375" s="92">
        <f t="shared" ref="Z375" si="1788">(Q219+Q271+Q323)/3</f>
        <v>310.08333333333331</v>
      </c>
      <c r="AA375" s="92">
        <f t="shared" ref="AA375" si="1789">(R219+R271+R323)/3</f>
        <v>420.21761280931588</v>
      </c>
      <c r="AC375" s="112">
        <f>+AF375-'Figure 8_data'!I587</f>
        <v>0</v>
      </c>
      <c r="AF375" s="92">
        <f t="shared" ref="AF375" si="1790">(D375/V375-1)*100</f>
        <v>1.3805893261899849</v>
      </c>
      <c r="AG375" s="92">
        <f t="shared" ref="AG375" si="1791">(E375/W375-1)*100</f>
        <v>-9.2030594621268165</v>
      </c>
      <c r="AH375" s="92">
        <f t="shared" ref="AH375" si="1792">(F375/X375-1)*100</f>
        <v>-7.3066918893355375</v>
      </c>
      <c r="AI375" s="92">
        <f t="shared" ref="AI375" si="1793">(G375/Y375-1)*100</f>
        <v>-7.5035394053799003</v>
      </c>
      <c r="AJ375" s="92">
        <f t="shared" ref="AJ375" si="1794">(H375/Z375-1)*100</f>
        <v>-18.301531846277875</v>
      </c>
      <c r="AK375" s="92">
        <f t="shared" ref="AK375" si="1795">(I375/AA375-1)*100</f>
        <v>-17.336792643999889</v>
      </c>
      <c r="AM375" s="112">
        <f>AP375-'Figure 8_data'!H587</f>
        <v>0</v>
      </c>
      <c r="AP375" s="92">
        <f t="shared" ref="AP375" si="1796">(D375/D323-1)*100</f>
        <v>-26.785714285714292</v>
      </c>
      <c r="AQ375" s="92">
        <f t="shared" ref="AQ375" si="1797">(E375/E323-1)*100</f>
        <v>-34.19170243204578</v>
      </c>
      <c r="AR375" s="92">
        <f t="shared" ref="AR375" si="1798">(F375/F323-1)*100</f>
        <v>-21.095008051529785</v>
      </c>
      <c r="AS375" s="92">
        <f t="shared" ref="AS375" si="1799">(G375/G323-1)*100</f>
        <v>-22.95597484276729</v>
      </c>
      <c r="AT375" s="92">
        <f t="shared" ref="AT375" si="1800">(H375/H323-1)*100</f>
        <v>-36.188077246011751</v>
      </c>
      <c r="AU375" s="92">
        <f t="shared" ref="AU375" si="1801">(I375/I323-1)*100</f>
        <v>-36.146074150184106</v>
      </c>
    </row>
    <row r="376" spans="1:47" x14ac:dyDescent="0.3">
      <c r="A376" s="13">
        <f t="shared" si="475"/>
        <v>40211</v>
      </c>
      <c r="B376" s="92">
        <f>TWK!B321</f>
        <v>0</v>
      </c>
      <c r="C376" s="92">
        <f>TWK!C321</f>
        <v>0</v>
      </c>
      <c r="D376" s="92">
        <f>TWK!D321</f>
        <v>400</v>
      </c>
      <c r="E376" s="92">
        <f>TWK!E321</f>
        <v>305</v>
      </c>
      <c r="F376" s="92">
        <f>TWK!F321</f>
        <v>323.75</v>
      </c>
      <c r="G376" s="92">
        <f>TWK!G321</f>
        <v>323.75</v>
      </c>
      <c r="H376" s="92">
        <f>TWK!H321</f>
        <v>258.75</v>
      </c>
      <c r="I376" s="92">
        <f>TWK!I321</f>
        <v>354.79257641921402</v>
      </c>
      <c r="M376" s="92">
        <f t="shared" ref="M376" si="1802">AVERAGE(D373:D376)</f>
        <v>396.875</v>
      </c>
      <c r="N376" s="92">
        <f t="shared" ref="N376" si="1803">AVERAGE(E373:E376)</f>
        <v>290.72916666666669</v>
      </c>
      <c r="O376" s="92">
        <f t="shared" ref="O376" si="1804">AVERAGE(F373:F376)</f>
        <v>322.29166666666669</v>
      </c>
      <c r="P376" s="92">
        <f t="shared" ref="P376" si="1805">AVERAGE(G373:G376)</f>
        <v>322.29166666666669</v>
      </c>
      <c r="Q376" s="92">
        <f t="shared" ref="Q376" si="1806">AVERAGE(H373:H376)</f>
        <v>247.70833333333334</v>
      </c>
      <c r="R376" s="92">
        <f t="shared" ref="R376" si="1807">AVERAGE(I373:I376)</f>
        <v>339.6524745269287</v>
      </c>
      <c r="U376" s="92">
        <f t="shared" ref="U376" si="1808">(L220+L272+L324)/3</f>
        <v>0</v>
      </c>
      <c r="V376" s="92">
        <f t="shared" ref="V376" si="1809">(M220+M272+M324)/3</f>
        <v>431.25</v>
      </c>
      <c r="W376" s="92">
        <f t="shared" ref="W376" si="1810">(N220+N272+N324)/3</f>
        <v>350</v>
      </c>
      <c r="X376" s="92">
        <f t="shared" ref="X376" si="1811">(O220+O272+O324)/3</f>
        <v>357.83333333333331</v>
      </c>
      <c r="Y376" s="92">
        <f t="shared" ref="Y376" si="1812">(P220+P272+P324)/3</f>
        <v>358.58333333333331</v>
      </c>
      <c r="Z376" s="92">
        <f t="shared" ref="Z376" si="1813">(Q220+Q272+Q324)/3</f>
        <v>316.08333333333331</v>
      </c>
      <c r="AA376" s="92">
        <f t="shared" ref="AA376" si="1814">(R220+R272+R324)/3</f>
        <v>429.05094614264925</v>
      </c>
      <c r="AC376" s="112">
        <f>+AF376-'Figure 8_data'!I588</f>
        <v>0</v>
      </c>
      <c r="AF376" s="92">
        <f t="shared" ref="AF376" si="1815">(D376/V376-1)*100</f>
        <v>-7.2463768115942013</v>
      </c>
      <c r="AG376" s="92">
        <f t="shared" ref="AG376" si="1816">(E376/W376-1)*100</f>
        <v>-12.857142857142856</v>
      </c>
      <c r="AH376" s="92">
        <f t="shared" ref="AH376" si="1817">(F376/X376-1)*100</f>
        <v>-9.524918490917555</v>
      </c>
      <c r="AI376" s="92">
        <f t="shared" ref="AI376" si="1818">(G376/Y376-1)*100</f>
        <v>-9.7141529165698302</v>
      </c>
      <c r="AJ376" s="92">
        <f t="shared" ref="AJ376" si="1819">(H376/Z376-1)*100</f>
        <v>-18.138676509359343</v>
      </c>
      <c r="AK376" s="92">
        <f t="shared" ref="AK376" si="1820">(I376/AA376-1)*100</f>
        <v>-17.30758791958149</v>
      </c>
      <c r="AM376" s="112">
        <f>AP376-'Figure 8_data'!H588</f>
        <v>0</v>
      </c>
      <c r="AP376" s="92">
        <f t="shared" ref="AP376" si="1821">(D376/D324-1)*100</f>
        <v>-12.280701754385969</v>
      </c>
      <c r="AQ376" s="92">
        <f t="shared" ref="AQ376" si="1822">(E376/E324-1)*100</f>
        <v>-7.2948328267477214</v>
      </c>
      <c r="AR376" s="92">
        <f t="shared" ref="AR376" si="1823">(F376/F324-1)*100</f>
        <v>-6.4306358381502893</v>
      </c>
      <c r="AS376" s="92">
        <f t="shared" ref="AS376" si="1824">(G376/G324-1)*100</f>
        <v>-6.4306358381502893</v>
      </c>
      <c r="AT376" s="92">
        <f t="shared" ref="AT376" si="1825">(H376/H324-1)*100</f>
        <v>-9.6525096525101883E-2</v>
      </c>
      <c r="AU376" s="92">
        <f t="shared" ref="AU376" si="1826">(I376/I324-1)*100</f>
        <v>-5.8429177686192268E-2</v>
      </c>
    </row>
    <row r="377" spans="1:47" x14ac:dyDescent="0.3">
      <c r="A377" s="13">
        <f t="shared" si="475"/>
        <v>40218</v>
      </c>
      <c r="B377" s="92">
        <f>TWK!B322</f>
        <v>0</v>
      </c>
      <c r="C377" s="92">
        <f>TWK!C322</f>
        <v>0</v>
      </c>
      <c r="D377" s="92">
        <f>TWK!D322</f>
        <v>358</v>
      </c>
      <c r="E377" s="92">
        <f>TWK!E322</f>
        <v>258</v>
      </c>
      <c r="F377" s="92">
        <f>TWK!F322</f>
        <v>302</v>
      </c>
      <c r="G377" s="92">
        <f>TWK!G322</f>
        <v>302</v>
      </c>
      <c r="H377" s="92">
        <f>TWK!H322</f>
        <v>237</v>
      </c>
      <c r="I377" s="92">
        <f>TWK!I322</f>
        <v>325</v>
      </c>
      <c r="M377" s="92">
        <f t="shared" ref="M377" si="1827">AVERAGE(D374:D377)</f>
        <v>389.8125</v>
      </c>
      <c r="N377" s="92">
        <f t="shared" ref="N377" si="1828">AVERAGE(E374:E377)</f>
        <v>289.91666666666669</v>
      </c>
      <c r="O377" s="92">
        <f t="shared" ref="O377" si="1829">AVERAGE(F374:F377)</f>
        <v>320.29166666666669</v>
      </c>
      <c r="P377" s="92">
        <f t="shared" ref="P377" si="1830">AVERAGE(G374:G377)</f>
        <v>320.29166666666669</v>
      </c>
      <c r="Q377" s="92">
        <f t="shared" ref="Q377" si="1831">AVERAGE(H374:H377)</f>
        <v>250.08333333333334</v>
      </c>
      <c r="R377" s="92">
        <f t="shared" ref="R377" si="1832">AVERAGE(I374:I377)</f>
        <v>342.91666666666663</v>
      </c>
      <c r="U377" s="92">
        <f t="shared" ref="U377" si="1833">(L221+L273+L325)/3</f>
        <v>0</v>
      </c>
      <c r="V377" s="92">
        <f t="shared" ref="V377" si="1834">(M221+M273+M325)/3</f>
        <v>425.25</v>
      </c>
      <c r="W377" s="92">
        <f t="shared" ref="W377" si="1835">(N221+N273+N325)/3</f>
        <v>337.08333333333331</v>
      </c>
      <c r="X377" s="92">
        <f t="shared" ref="X377" si="1836">(O221+O273+O325)/3</f>
        <v>344.58333333333331</v>
      </c>
      <c r="Y377" s="92">
        <f t="shared" ref="Y377" si="1837">(P221+P273+P325)/3</f>
        <v>345.41666666666669</v>
      </c>
      <c r="Z377" s="92">
        <f t="shared" ref="Z377" si="1838">(Q221+Q273+Q325)/3</f>
        <v>297.08333333333331</v>
      </c>
      <c r="AA377" s="92">
        <f t="shared" ref="AA377" si="1839">(R221+R273+R325)/3</f>
        <v>395.30094614264925</v>
      </c>
      <c r="AC377" s="112">
        <f>+AF377-'Figure 8_data'!I589</f>
        <v>0</v>
      </c>
      <c r="AF377" s="92">
        <f t="shared" ref="AF377" si="1840">(D377/V377-1)*100</f>
        <v>-15.814226925338037</v>
      </c>
      <c r="AG377" s="92">
        <f t="shared" ref="AG377" si="1841">(E377/W377-1)*100</f>
        <v>-23.461063040791096</v>
      </c>
      <c r="AH377" s="92">
        <f t="shared" ref="AH377" si="1842">(F377/X377-1)*100</f>
        <v>-12.357920193470374</v>
      </c>
      <c r="AI377" s="92">
        <f t="shared" ref="AI377" si="1843">(G377/Y377-1)*100</f>
        <v>-12.569360675512675</v>
      </c>
      <c r="AJ377" s="92">
        <f t="shared" ref="AJ377" si="1844">(H377/Z377-1)*100</f>
        <v>-20.224403927068725</v>
      </c>
      <c r="AK377" s="92">
        <f t="shared" ref="AK377" si="1845">(I377/AA377-1)*100</f>
        <v>-17.784158330165056</v>
      </c>
      <c r="AM377" s="112">
        <f>AP377-'Figure 8_data'!H589</f>
        <v>0</v>
      </c>
      <c r="AP377" s="92">
        <f t="shared" ref="AP377" si="1846">(D377/D325-1)*100</f>
        <v>0.56179775280897903</v>
      </c>
      <c r="AQ377" s="92">
        <f t="shared" ref="AQ377" si="1847">(E377/E325-1)*100</f>
        <v>0.78125</v>
      </c>
      <c r="AR377" s="92">
        <f t="shared" ref="AR377" si="1848">(F377/F325-1)*100</f>
        <v>12.267657992565063</v>
      </c>
      <c r="AS377" s="92">
        <f t="shared" ref="AS377" si="1849">(G377/G325-1)*100</f>
        <v>12.267657992565063</v>
      </c>
      <c r="AT377" s="92">
        <f t="shared" ref="AT377" si="1850">(H377/H325-1)*100</f>
        <v>3.0434782608695699</v>
      </c>
      <c r="AU377" s="92">
        <f t="shared" ref="AU377" si="1851">(I377/I325-1)*100</f>
        <v>3.1746031746031855</v>
      </c>
    </row>
    <row r="378" spans="1:47" x14ac:dyDescent="0.3">
      <c r="A378" s="13">
        <f t="shared" si="475"/>
        <v>40225</v>
      </c>
      <c r="B378" s="92">
        <f>TWK!B323</f>
        <v>0</v>
      </c>
      <c r="C378" s="92">
        <f>TWK!C323</f>
        <v>0</v>
      </c>
      <c r="D378" s="92">
        <f>TWK!D323</f>
        <v>305</v>
      </c>
      <c r="E378" s="92">
        <f>TWK!E323</f>
        <v>215</v>
      </c>
      <c r="F378" s="92">
        <f>TWK!F323</f>
        <v>267</v>
      </c>
      <c r="G378" s="92">
        <f>TWK!G323</f>
        <v>267</v>
      </c>
      <c r="H378" s="92">
        <f>TWK!H323</f>
        <v>198</v>
      </c>
      <c r="I378" s="92">
        <f>TWK!I323</f>
        <v>272</v>
      </c>
      <c r="M378" s="92">
        <f t="shared" ref="M378" si="1852">AVERAGE(D375:D378)</f>
        <v>368.25</v>
      </c>
      <c r="N378" s="92">
        <f t="shared" ref="N378" si="1853">AVERAGE(E375:E378)</f>
        <v>271.16666666666669</v>
      </c>
      <c r="O378" s="92">
        <f t="shared" ref="O378" si="1854">AVERAGE(F375:F378)</f>
        <v>304.85416666666669</v>
      </c>
      <c r="P378" s="92">
        <f t="shared" ref="P378" si="1855">AVERAGE(G375:G378)</f>
        <v>304.85416666666669</v>
      </c>
      <c r="Q378" s="92">
        <f t="shared" ref="Q378" si="1856">AVERAGE(H375:H378)</f>
        <v>236.77083333333334</v>
      </c>
      <c r="R378" s="92">
        <f t="shared" ref="R378" si="1857">AVERAGE(I375:I378)</f>
        <v>324.78948326055314</v>
      </c>
      <c r="U378" s="92">
        <f t="shared" ref="U378" si="1858">(L222+L274+L326)/3</f>
        <v>26.25</v>
      </c>
      <c r="V378" s="92">
        <f t="shared" ref="V378" si="1859">(M222+M274+M326)/3</f>
        <v>416.66666666666669</v>
      </c>
      <c r="W378" s="92">
        <f t="shared" ref="W378" si="1860">(N222+N274+N326)/3</f>
        <v>314.13888888888891</v>
      </c>
      <c r="X378" s="92">
        <f t="shared" ref="X378" si="1861">(O222+O274+O326)/3</f>
        <v>319.4444444444444</v>
      </c>
      <c r="Y378" s="92">
        <f t="shared" ref="Y378" si="1862">(P222+P274+P326)/3</f>
        <v>320.61111111111109</v>
      </c>
      <c r="Z378" s="92">
        <f t="shared" ref="Z378" si="1863">(Q222+Q274+Q326)/3</f>
        <v>272.66666666666669</v>
      </c>
      <c r="AA378" s="92">
        <f t="shared" ref="AA378" si="1864">(R222+R274+R326)/3</f>
        <v>363.31865599223676</v>
      </c>
      <c r="AC378" s="112">
        <f>+AF378-'Figure 8_data'!I590</f>
        <v>0</v>
      </c>
      <c r="AF378" s="92">
        <f t="shared" ref="AF378" si="1865">(D378/V378-1)*100</f>
        <v>-26.8</v>
      </c>
      <c r="AG378" s="92">
        <f t="shared" ref="AG378" si="1866">(E378/W378-1)*100</f>
        <v>-31.558935361216733</v>
      </c>
      <c r="AH378" s="92">
        <f t="shared" ref="AH378" si="1867">(F378/X378-1)*100</f>
        <v>-16.417391304347817</v>
      </c>
      <c r="AI378" s="92">
        <f t="shared" ref="AI378" si="1868">(G378/Y378-1)*100</f>
        <v>-16.721538728123363</v>
      </c>
      <c r="AJ378" s="92">
        <f t="shared" ref="AJ378" si="1869">(H378/Z378-1)*100</f>
        <v>-27.383863080684602</v>
      </c>
      <c r="AK378" s="92">
        <f t="shared" ref="AK378" si="1870">(I378/AA378-1)*100</f>
        <v>-25.134590389486632</v>
      </c>
      <c r="AM378" s="112">
        <f>AP378-'Figure 8_data'!H590</f>
        <v>0</v>
      </c>
      <c r="AP378" s="92">
        <f t="shared" ref="AP378" si="1871">(D378/D326-1)*100</f>
        <v>-1.6129032258064502</v>
      </c>
      <c r="AQ378" s="92">
        <f t="shared" ref="AQ378" si="1872">(E378/E326-1)*100</f>
        <v>-5.1470588235294041</v>
      </c>
      <c r="AR378" s="92">
        <f t="shared" ref="AR378" si="1873">(F378/F326-1)*100</f>
        <v>16.934306569343072</v>
      </c>
      <c r="AS378" s="92">
        <f t="shared" ref="AS378" si="1874">(G378/G326-1)*100</f>
        <v>16.934306569343072</v>
      </c>
      <c r="AT378" s="92">
        <f t="shared" ref="AT378" si="1875">(H378/H326-1)*100</f>
        <v>-1.0000000000000009</v>
      </c>
      <c r="AU378" s="92">
        <f t="shared" ref="AU378" si="1876">(I378/I326-1)*100</f>
        <v>-3.8270715388574406</v>
      </c>
    </row>
    <row r="379" spans="1:47" x14ac:dyDescent="0.3">
      <c r="A379" s="13">
        <f t="shared" si="475"/>
        <v>40232</v>
      </c>
      <c r="B379" s="92">
        <f>TWK!B324</f>
        <v>0</v>
      </c>
      <c r="C379" s="92">
        <f>TWK!C324</f>
        <v>0</v>
      </c>
      <c r="D379" s="92">
        <f>TWK!D324</f>
        <v>317</v>
      </c>
      <c r="E379" s="92">
        <f>TWK!E324</f>
        <v>215</v>
      </c>
      <c r="F379" s="92">
        <f>TWK!F324</f>
        <v>255</v>
      </c>
      <c r="G379" s="92">
        <f>TWK!G324</f>
        <v>255</v>
      </c>
      <c r="H379" s="92">
        <f>TWK!H324</f>
        <v>192</v>
      </c>
      <c r="I379" s="92">
        <f>TWK!I324</f>
        <v>263.26637554585159</v>
      </c>
      <c r="M379" s="92">
        <f t="shared" ref="M379" si="1877">AVERAGE(D376:D379)</f>
        <v>345</v>
      </c>
      <c r="N379" s="92">
        <f t="shared" ref="N379" si="1878">AVERAGE(E376:E379)</f>
        <v>248.25</v>
      </c>
      <c r="O379" s="92">
        <f t="shared" ref="O379" si="1879">AVERAGE(F376:F379)</f>
        <v>286.9375</v>
      </c>
      <c r="P379" s="92">
        <f t="shared" ref="P379" si="1880">AVERAGE(G376:G379)</f>
        <v>286.9375</v>
      </c>
      <c r="Q379" s="92">
        <f t="shared" ref="Q379" si="1881">AVERAGE(H376:H379)</f>
        <v>221.4375</v>
      </c>
      <c r="R379" s="92">
        <f t="shared" ref="R379" si="1882">AVERAGE(I376:I379)</f>
        <v>303.76473799126643</v>
      </c>
      <c r="U379" s="92">
        <f t="shared" ref="U379" si="1883">(L223+L275+L327)/3</f>
        <v>51.5</v>
      </c>
      <c r="V379" s="92">
        <f t="shared" ref="V379" si="1884">(M223+M275+M327)/3</f>
        <v>403</v>
      </c>
      <c r="W379" s="92">
        <f t="shared" ref="W379" si="1885">(N223+N275+N327)/3</f>
        <v>300.55555555555554</v>
      </c>
      <c r="X379" s="92">
        <f t="shared" ref="X379" si="1886">(O223+O275+O327)/3</f>
        <v>303.52777777777777</v>
      </c>
      <c r="Y379" s="92">
        <f t="shared" ref="Y379" si="1887">(P223+P275+P327)/3</f>
        <v>304.52777777777777</v>
      </c>
      <c r="Z379" s="92">
        <f t="shared" ref="Z379" si="1888">(Q223+Q275+Q327)/3</f>
        <v>258.75</v>
      </c>
      <c r="AA379" s="92">
        <f t="shared" ref="AA379" si="1889">(R223+R275+R327)/3</f>
        <v>343.40198932557013</v>
      </c>
      <c r="AC379" s="112">
        <f>+AF379-'Figure 8_data'!I591</f>
        <v>0</v>
      </c>
      <c r="AF379" s="92">
        <f t="shared" ref="AF379" si="1890">(D379/V379-1)*100</f>
        <v>-21.339950372208438</v>
      </c>
      <c r="AG379" s="92">
        <f t="shared" ref="AG379" si="1891">(E379/W379-1)*100</f>
        <v>-28.465804066543431</v>
      </c>
      <c r="AH379" s="92">
        <f t="shared" ref="AH379" si="1892">(F379/X379-1)*100</f>
        <v>-15.987919831609776</v>
      </c>
      <c r="AI379" s="92">
        <f t="shared" ref="AI379" si="1893">(G379/Y379-1)*100</f>
        <v>-16.263796406093224</v>
      </c>
      <c r="AJ379" s="92">
        <f t="shared" ref="AJ379" si="1894">(H379/Z379-1)*100</f>
        <v>-25.79710144927536</v>
      </c>
      <c r="AK379" s="92">
        <f t="shared" ref="AK379" si="1895">(I379/AA379-1)*100</f>
        <v>-23.335803597731676</v>
      </c>
      <c r="AM379" s="112">
        <f>AP379-'Figure 8_data'!H591</f>
        <v>0</v>
      </c>
      <c r="AP379" s="92">
        <f t="shared" ref="AP379" si="1896">(D379/D327-1)*100</f>
        <v>3.9344262295081922</v>
      </c>
      <c r="AQ379" s="92">
        <f t="shared" ref="AQ379" si="1897">(E379/E327-1)*100</f>
        <v>-4.8672566371681381</v>
      </c>
      <c r="AR379" s="92">
        <f t="shared" ref="AR379" si="1898">(F379/F327-1)*100</f>
        <v>14.864864864864868</v>
      </c>
      <c r="AS379" s="92">
        <f t="shared" ref="AS379" si="1899">(G379/G327-1)*100</f>
        <v>14.864864864864868</v>
      </c>
      <c r="AT379" s="92">
        <f t="shared" ref="AT379" si="1900">(H379/H327-1)*100</f>
        <v>-4.0000000000000036</v>
      </c>
      <c r="AU379" s="92">
        <f t="shared" ref="AU379" si="1901">(I379/I327-1)*100</f>
        <v>-3.9173811876454079</v>
      </c>
    </row>
    <row r="380" spans="1:47" x14ac:dyDescent="0.3">
      <c r="A380" s="13">
        <f t="shared" si="475"/>
        <v>40239</v>
      </c>
      <c r="B380" s="92">
        <f>TWK!B325</f>
        <v>0</v>
      </c>
      <c r="C380" s="92">
        <f>TWK!C325</f>
        <v>0</v>
      </c>
      <c r="D380" s="92">
        <f>TWK!D325</f>
        <v>345</v>
      </c>
      <c r="E380" s="92">
        <f>TWK!E325</f>
        <v>262</v>
      </c>
      <c r="F380" s="92">
        <f>TWK!F325</f>
        <v>273.75</v>
      </c>
      <c r="G380" s="92">
        <f>TWK!G325</f>
        <v>273.75</v>
      </c>
      <c r="H380" s="92">
        <f>TWK!H325</f>
        <v>228.75</v>
      </c>
      <c r="I380" s="92">
        <f>TWK!I325</f>
        <v>313.65720524017473</v>
      </c>
      <c r="M380" s="92">
        <f t="shared" ref="M380" si="1902">AVERAGE(D377:D380)</f>
        <v>331.25</v>
      </c>
      <c r="N380" s="92">
        <f t="shared" ref="N380" si="1903">AVERAGE(E377:E380)</f>
        <v>237.5</v>
      </c>
      <c r="O380" s="92">
        <f t="shared" ref="O380" si="1904">AVERAGE(F377:F380)</f>
        <v>274.4375</v>
      </c>
      <c r="P380" s="92">
        <f t="shared" ref="P380" si="1905">AVERAGE(G377:G380)</f>
        <v>274.4375</v>
      </c>
      <c r="Q380" s="92">
        <f t="shared" ref="Q380" si="1906">AVERAGE(H377:H380)</f>
        <v>213.9375</v>
      </c>
      <c r="R380" s="92">
        <f t="shared" ref="R380" si="1907">AVERAGE(I377:I380)</f>
        <v>293.48089519650659</v>
      </c>
      <c r="U380" s="92">
        <f t="shared" ref="U380" si="1908">(L224+L276+L328)/3</f>
        <v>183.83333333333334</v>
      </c>
      <c r="V380" s="92">
        <f t="shared" ref="V380" si="1909">(M224+M276+M328)/3</f>
        <v>377.89583333333331</v>
      </c>
      <c r="W380" s="92">
        <f t="shared" ref="W380" si="1910">(N224+N276+N328)/3</f>
        <v>290.28472222222223</v>
      </c>
      <c r="X380" s="92">
        <f t="shared" ref="X380" si="1911">(O224+O276+O328)/3</f>
        <v>291.90277777777777</v>
      </c>
      <c r="Y380" s="92">
        <f t="shared" ref="Y380" si="1912">(P224+P276+P328)/3</f>
        <v>293.02777777777777</v>
      </c>
      <c r="Z380" s="92">
        <f t="shared" ref="Z380" si="1913">(Q224+Q276+Q328)/3</f>
        <v>254.875</v>
      </c>
      <c r="AA380" s="92">
        <f t="shared" ref="AA380" si="1914">(R224+R276+R328)/3</f>
        <v>337.90708393983505</v>
      </c>
      <c r="AC380" s="112">
        <f>+AF380-'Figure 8_data'!I592</f>
        <v>0</v>
      </c>
      <c r="AE380" s="92">
        <f t="shared" ref="AE380" si="1915">(C380/U380-1)*100</f>
        <v>-100</v>
      </c>
      <c r="AF380" s="92">
        <f t="shared" ref="AF380" si="1916">(D380/V380-1)*100</f>
        <v>-8.7050002756491445</v>
      </c>
      <c r="AG380" s="92">
        <f t="shared" ref="AG380" si="1917">(E380/W380-1)*100</f>
        <v>-9.7437860338269395</v>
      </c>
      <c r="AH380" s="92">
        <f t="shared" ref="AH380" si="1918">(F380/X380-1)*100</f>
        <v>-6.2187752771565847</v>
      </c>
      <c r="AI380" s="92">
        <f t="shared" ref="AI380" si="1919">(G380/Y380-1)*100</f>
        <v>-6.5788226372167973</v>
      </c>
      <c r="AJ380" s="92">
        <f t="shared" ref="AJ380" si="1920">(H380/Z380-1)*100</f>
        <v>-10.250122609122114</v>
      </c>
      <c r="AK380" s="92">
        <f t="shared" ref="AK380" si="1921">(I380/AA380-1)*100</f>
        <v>-7.1764931403385575</v>
      </c>
      <c r="AM380" s="112">
        <f>AP380-'Figure 8_data'!H592</f>
        <v>0</v>
      </c>
      <c r="AP380" s="92">
        <f t="shared" ref="AP380" si="1922">(D380/D328-1)*100</f>
        <v>22.340425531914889</v>
      </c>
      <c r="AQ380" s="92">
        <f t="shared" ref="AQ380" si="1923">(E380/E328-1)*100</f>
        <v>20.737327188940103</v>
      </c>
      <c r="AR380" s="92">
        <f t="shared" ref="AR380" si="1924">(F380/F328-1)*100</f>
        <v>26.152073732718883</v>
      </c>
      <c r="AS380" s="92">
        <f t="shared" ref="AS380" si="1925">(G380/G328-1)*100</f>
        <v>26.152073732718883</v>
      </c>
      <c r="AT380" s="92">
        <f t="shared" ref="AT380" si="1926">(H380/H328-1)*100</f>
        <v>15.530303030303028</v>
      </c>
      <c r="AU380" s="92">
        <f t="shared" ref="AU380" si="1927">(I380/I328-1)*100</f>
        <v>15.315148985358352</v>
      </c>
    </row>
    <row r="381" spans="1:47" x14ac:dyDescent="0.3">
      <c r="A381" s="13">
        <f t="shared" si="475"/>
        <v>40246</v>
      </c>
      <c r="B381" s="92">
        <f>TWK!B326</f>
        <v>0</v>
      </c>
      <c r="C381" s="92">
        <f>TWK!C326</f>
        <v>0</v>
      </c>
      <c r="D381" s="92">
        <f>TWK!D326</f>
        <v>312.5</v>
      </c>
      <c r="E381" s="92">
        <f>TWK!E326</f>
        <v>227.5</v>
      </c>
      <c r="F381" s="92">
        <f>TWK!F326</f>
        <v>270</v>
      </c>
      <c r="G381" s="92">
        <f>TWK!G326</f>
        <v>270</v>
      </c>
      <c r="H381" s="92">
        <f>TWK!H326</f>
        <v>202.5</v>
      </c>
      <c r="I381" s="92">
        <f>TWK!I326</f>
        <v>277.66375545851525</v>
      </c>
      <c r="M381" s="92">
        <f t="shared" ref="M381" si="1928">AVERAGE(D378:D381)</f>
        <v>319.875</v>
      </c>
      <c r="N381" s="92">
        <f t="shared" ref="N381" si="1929">AVERAGE(E378:E381)</f>
        <v>229.875</v>
      </c>
      <c r="O381" s="92">
        <f t="shared" ref="O381" si="1930">AVERAGE(F378:F381)</f>
        <v>266.4375</v>
      </c>
      <c r="P381" s="92">
        <f t="shared" ref="P381" si="1931">AVERAGE(G378:G381)</f>
        <v>266.4375</v>
      </c>
      <c r="Q381" s="92">
        <f t="shared" ref="Q381" si="1932">AVERAGE(H378:H381)</f>
        <v>205.3125</v>
      </c>
      <c r="R381" s="92">
        <f t="shared" ref="R381" si="1933">AVERAGE(I378:I381)</f>
        <v>281.64683406113539</v>
      </c>
      <c r="U381" s="92">
        <f t="shared" ref="U381" si="1934">(L225+L277+L329)/3</f>
        <v>205.75</v>
      </c>
      <c r="V381" s="92">
        <f t="shared" ref="V381" si="1935">(M225+M277+M329)/3</f>
        <v>365.64583333333331</v>
      </c>
      <c r="W381" s="92">
        <f t="shared" ref="W381" si="1936">(N225+N277+N329)/3</f>
        <v>282.61805555555554</v>
      </c>
      <c r="X381" s="92">
        <f t="shared" ref="X381" si="1937">(O225+O277+O329)/3</f>
        <v>285.06944444444446</v>
      </c>
      <c r="Y381" s="92">
        <f t="shared" ref="Y381" si="1938">(P225+P277+P329)/3</f>
        <v>286.36111111111114</v>
      </c>
      <c r="Z381" s="92">
        <f t="shared" ref="Z381" si="1939">(Q225+Q277+Q329)/3</f>
        <v>247.625</v>
      </c>
      <c r="AA381" s="92">
        <f t="shared" ref="AA381" si="1940">(R225+R277+R329)/3</f>
        <v>338.32375060650173</v>
      </c>
      <c r="AC381" s="112">
        <f>+AF381-'Figure 8_data'!I593</f>
        <v>0</v>
      </c>
      <c r="AE381" s="92">
        <f t="shared" ref="AE381" si="1941">(C381/U381-1)*100</f>
        <v>-100</v>
      </c>
      <c r="AF381" s="92">
        <f t="shared" ref="AF381" si="1942">(D381/V381-1)*100</f>
        <v>-14.53478434277249</v>
      </c>
      <c r="AG381" s="92">
        <f t="shared" ref="AG381" si="1943">(E381/W381-1)*100</f>
        <v>-19.50266604418016</v>
      </c>
      <c r="AH381" s="92">
        <f t="shared" ref="AH381" si="1944">(F381/X381-1)*100</f>
        <v>-5.2862362971985437</v>
      </c>
      <c r="AI381" s="92">
        <f t="shared" ref="AI381" si="1945">(G381/Y381-1)*100</f>
        <v>-5.7134542632651169</v>
      </c>
      <c r="AJ381" s="92">
        <f t="shared" ref="AJ381" si="1946">(H381/Z381-1)*100</f>
        <v>-18.223119636547203</v>
      </c>
      <c r="AK381" s="92">
        <f t="shared" ref="AK381" si="1947">(I381/AA381-1)*100</f>
        <v>-17.92957043046588</v>
      </c>
      <c r="AM381" s="112">
        <f>AP381-'Figure 8_data'!H593</f>
        <v>0</v>
      </c>
      <c r="AP381" s="92">
        <f t="shared" ref="AP381" si="1948">(D381/D329-1)*100</f>
        <v>17.041198501872667</v>
      </c>
      <c r="AQ381" s="92">
        <f t="shared" ref="AQ381" si="1949">(E381/E329-1)*100</f>
        <v>9.375</v>
      </c>
      <c r="AR381" s="92">
        <f t="shared" ref="AR381" si="1950">(F381/F329-1)*100</f>
        <v>29.807692307692314</v>
      </c>
      <c r="AS381" s="92">
        <f t="shared" ref="AS381" si="1951">(G381/G329-1)*100</f>
        <v>29.807692307692314</v>
      </c>
      <c r="AT381" s="92">
        <f t="shared" ref="AT381" si="1952">(H381/H329-1)*100</f>
        <v>9.4594594594594525</v>
      </c>
      <c r="AU381" s="92">
        <f t="shared" ref="AU381" si="1953">(I381/I329-1)*100</f>
        <v>9.3164391568957718</v>
      </c>
    </row>
    <row r="382" spans="1:47" x14ac:dyDescent="0.3">
      <c r="A382" s="13">
        <f t="shared" si="475"/>
        <v>40253</v>
      </c>
      <c r="B382" s="92">
        <f>TWK!B327</f>
        <v>0</v>
      </c>
      <c r="C382" s="92">
        <f>TWK!C327</f>
        <v>0</v>
      </c>
      <c r="D382" s="92">
        <f>TWK!D327</f>
        <v>282.5</v>
      </c>
      <c r="E382" s="92">
        <f>TWK!E327</f>
        <v>200</v>
      </c>
      <c r="F382" s="92">
        <f>TWK!F327</f>
        <v>248.75</v>
      </c>
      <c r="G382" s="92">
        <f>TWK!G327</f>
        <v>248.75</v>
      </c>
      <c r="H382" s="92">
        <f>TWK!H327</f>
        <v>186.25</v>
      </c>
      <c r="I382" s="92">
        <f>TWK!I327</f>
        <v>255.38209606986896</v>
      </c>
      <c r="M382" s="92">
        <f t="shared" ref="M382" si="1954">AVERAGE(D379:D382)</f>
        <v>314.25</v>
      </c>
      <c r="N382" s="92">
        <f t="shared" ref="N382" si="1955">AVERAGE(E379:E382)</f>
        <v>226.125</v>
      </c>
      <c r="O382" s="92">
        <f t="shared" ref="O382" si="1956">AVERAGE(F379:F382)</f>
        <v>261.875</v>
      </c>
      <c r="P382" s="92">
        <f t="shared" ref="P382" si="1957">AVERAGE(G379:G382)</f>
        <v>261.875</v>
      </c>
      <c r="Q382" s="92">
        <f t="shared" ref="Q382" si="1958">AVERAGE(H379:H382)</f>
        <v>202.375</v>
      </c>
      <c r="R382" s="92">
        <f t="shared" ref="R382" si="1959">AVERAGE(I379:I382)</f>
        <v>277.49235807860265</v>
      </c>
      <c r="U382" s="92">
        <f t="shared" ref="U382" si="1960">(L226+L278+L330)/3</f>
        <v>239.18055555555557</v>
      </c>
      <c r="V382" s="92">
        <f t="shared" ref="V382" si="1961">(M226+M278+M330)/3</f>
        <v>348.0625</v>
      </c>
      <c r="W382" s="92">
        <f t="shared" ref="W382" si="1962">(N226+N278+N330)/3</f>
        <v>272.52083333333331</v>
      </c>
      <c r="X382" s="92">
        <f t="shared" ref="X382" si="1963">(O226+O278+O330)/3</f>
        <v>283.625</v>
      </c>
      <c r="Y382" s="92">
        <f t="shared" ref="Y382" si="1964">(P226+P278+P330)/3</f>
        <v>284.4444444444444</v>
      </c>
      <c r="Z382" s="92">
        <f t="shared" ref="Z382" si="1965">(Q226+Q278+Q330)/3</f>
        <v>239.84722222222226</v>
      </c>
      <c r="AA382" s="92">
        <f t="shared" ref="AA382" si="1966">(R226+R278+R330)/3</f>
        <v>327.0672003881611</v>
      </c>
      <c r="AC382" s="112">
        <f>+AF382-'Figure 8_data'!I594</f>
        <v>0</v>
      </c>
      <c r="AE382" s="92">
        <f t="shared" ref="AE382" si="1967">(C382/U382-1)*100</f>
        <v>-100</v>
      </c>
      <c r="AF382" s="92">
        <f t="shared" ref="AF382" si="1968">(D382/V382-1)*100</f>
        <v>-18.836415873585921</v>
      </c>
      <c r="AG382" s="92">
        <f t="shared" ref="AG382" si="1969">(E382/W382-1)*100</f>
        <v>-26.611115358153036</v>
      </c>
      <c r="AH382" s="92">
        <f t="shared" ref="AH382" si="1970">(F382/X382-1)*100</f>
        <v>-12.296165711767292</v>
      </c>
      <c r="AI382" s="92">
        <f t="shared" ref="AI382" si="1971">(G382/Y382-1)*100</f>
        <v>-12.548828124999989</v>
      </c>
      <c r="AJ382" s="92">
        <f t="shared" ref="AJ382" si="1972">(H382/Z382-1)*100</f>
        <v>-22.346401065493094</v>
      </c>
      <c r="AK382" s="92">
        <f t="shared" ref="AK382" si="1973">(I382/AA382-1)*100</f>
        <v>-21.917546067969131</v>
      </c>
      <c r="AM382" s="112">
        <f>AP382-'Figure 8_data'!H594</f>
        <v>0</v>
      </c>
      <c r="AP382" s="92">
        <f t="shared" ref="AP382" si="1974">(D382/D330-1)*100</f>
        <v>6.60377358490567</v>
      </c>
      <c r="AQ382" s="92">
        <f t="shared" ref="AQ382" si="1975">(E382/E330-1)*100</f>
        <v>-8.6757990867579959</v>
      </c>
      <c r="AR382" s="92">
        <f t="shared" ref="AR382" si="1976">(F382/F330-1)*100</f>
        <v>16.238317757009348</v>
      </c>
      <c r="AS382" s="92">
        <f t="shared" ref="AS382" si="1977">(G382/G330-1)*100</f>
        <v>16.238317757009348</v>
      </c>
      <c r="AT382" s="92">
        <f t="shared" ref="AT382" si="1978">(H382/H330-1)*100</f>
        <v>-1.4550264550264536</v>
      </c>
      <c r="AU382" s="92">
        <f t="shared" ref="AU382" si="1979">(I382/I330-1)*100</f>
        <v>-1.3968741042976962</v>
      </c>
    </row>
    <row r="383" spans="1:47" x14ac:dyDescent="0.3">
      <c r="A383" s="13">
        <f t="shared" si="475"/>
        <v>40260</v>
      </c>
      <c r="B383" s="92">
        <f>TWK!B328</f>
        <v>0</v>
      </c>
      <c r="C383" s="92">
        <f>TWK!C328</f>
        <v>0</v>
      </c>
      <c r="D383" s="92">
        <f>TWK!D328</f>
        <v>276.66666666666669</v>
      </c>
      <c r="E383" s="92">
        <f>TWK!E328</f>
        <v>196.66666666666666</v>
      </c>
      <c r="F383" s="92">
        <f>TWK!F328</f>
        <v>236.66666666666666</v>
      </c>
      <c r="G383" s="92">
        <f>TWK!G328</f>
        <v>236.66666666666666</v>
      </c>
      <c r="H383" s="92">
        <f>TWK!H328</f>
        <v>181.66666666666666</v>
      </c>
      <c r="I383" s="92">
        <f>TWK!I328</f>
        <v>249.09752547307133</v>
      </c>
      <c r="M383" s="92">
        <f t="shared" ref="M383" si="1980">AVERAGE(D380:D383)</f>
        <v>304.16666666666669</v>
      </c>
      <c r="N383" s="92">
        <f t="shared" ref="N383" si="1981">AVERAGE(E380:E383)</f>
        <v>221.54166666666666</v>
      </c>
      <c r="O383" s="92">
        <f t="shared" ref="O383" si="1982">AVERAGE(F380:F383)</f>
        <v>257.29166666666669</v>
      </c>
      <c r="P383" s="92">
        <f t="shared" ref="P383" si="1983">AVERAGE(G380:G383)</f>
        <v>257.29166666666669</v>
      </c>
      <c r="Q383" s="92">
        <f t="shared" ref="Q383" si="1984">AVERAGE(H380:H383)</f>
        <v>199.79166666666666</v>
      </c>
      <c r="R383" s="92">
        <f t="shared" ref="R383" si="1985">AVERAGE(I380:I383)</f>
        <v>273.95014556040758</v>
      </c>
      <c r="U383" s="92">
        <f t="shared" ref="U383" si="1986">(L227+L279+L331)/3</f>
        <v>279.625</v>
      </c>
      <c r="V383" s="92">
        <f t="shared" ref="V383" si="1987">(M227+M279+M331)/3</f>
        <v>333.89583333333331</v>
      </c>
      <c r="W383" s="92">
        <f t="shared" ref="W383" si="1988">(N227+N279+N331)/3</f>
        <v>260.4375</v>
      </c>
      <c r="X383" s="92">
        <f t="shared" ref="X383" si="1989">(O227+O279+O331)/3</f>
        <v>279.25</v>
      </c>
      <c r="Y383" s="92">
        <f t="shared" ref="Y383" si="1990">(P227+P279+P331)/3</f>
        <v>279.40277777777777</v>
      </c>
      <c r="Z383" s="92">
        <f t="shared" ref="Z383" si="1991">(Q227+Q279+Q331)/3</f>
        <v>230.45138888888891</v>
      </c>
      <c r="AA383" s="92">
        <f t="shared" ref="AA383" si="1992">(R227+R279+R331)/3</f>
        <v>306.60286268801548</v>
      </c>
      <c r="AC383" s="112">
        <f>+AF383-'Figure 8_data'!I595</f>
        <v>0</v>
      </c>
      <c r="AE383" s="92">
        <f t="shared" ref="AE383" si="1993">(C383/U383-1)*100</f>
        <v>-100</v>
      </c>
      <c r="AF383" s="92">
        <f t="shared" ref="AF383" si="1994">(D383/V383-1)*100</f>
        <v>-17.139826542709169</v>
      </c>
      <c r="AG383" s="92">
        <f t="shared" ref="AG383" si="1995">(E383/W383-1)*100</f>
        <v>-24.486041116710666</v>
      </c>
      <c r="AH383" s="92">
        <f t="shared" ref="AH383" si="1996">(F383/X383-1)*100</f>
        <v>-15.249179349447928</v>
      </c>
      <c r="AI383" s="92">
        <f t="shared" ref="AI383" si="1997">(G383/Y383-1)*100</f>
        <v>-15.295521200974305</v>
      </c>
      <c r="AJ383" s="92">
        <f t="shared" ref="AJ383" si="1998">(H383/Z383-1)*100</f>
        <v>-21.169202953141497</v>
      </c>
      <c r="AK383" s="92">
        <f t="shared" ref="AK383" si="1999">(I383/AA383-1)*100</f>
        <v>-18.755642628640047</v>
      </c>
      <c r="AM383" s="112">
        <f>AP383-'Figure 8_data'!H595</f>
        <v>0</v>
      </c>
      <c r="AP383" s="92">
        <f t="shared" ref="AP383" si="2000">(D383/D331-1)*100</f>
        <v>2.0910209102091182</v>
      </c>
      <c r="AQ383" s="92">
        <f t="shared" ref="AQ383" si="2001">(E383/E331-1)*100</f>
        <v>-13.742690058479534</v>
      </c>
      <c r="AR383" s="92">
        <f t="shared" ref="AR383" si="2002">(F383/F331-1)*100</f>
        <v>11.372549019607847</v>
      </c>
      <c r="AS383" s="92">
        <f t="shared" ref="AS383" si="2003">(G383/G331-1)*100</f>
        <v>11.372549019607847</v>
      </c>
      <c r="AT383" s="92">
        <f t="shared" ref="AT383" si="2004">(H383/H331-1)*100</f>
        <v>-7.4309978768577594</v>
      </c>
      <c r="AU383" s="92">
        <f t="shared" ref="AU383" si="2005">(I383/I331-1)*100</f>
        <v>16.168404474856079</v>
      </c>
    </row>
    <row r="384" spans="1:47" x14ac:dyDescent="0.3">
      <c r="A384" s="13">
        <f t="shared" si="475"/>
        <v>40267</v>
      </c>
      <c r="B384" s="92">
        <f>TWK!B329</f>
        <v>0</v>
      </c>
      <c r="C384" s="92">
        <f>TWK!C329</f>
        <v>0</v>
      </c>
      <c r="D384" s="92">
        <f>TWK!D329</f>
        <v>276.25</v>
      </c>
      <c r="E384" s="92">
        <f>TWK!E329</f>
        <v>198.75</v>
      </c>
      <c r="F384" s="92">
        <f>TWK!F329</f>
        <v>232.5</v>
      </c>
      <c r="G384" s="92">
        <f>TWK!G329</f>
        <v>232.5</v>
      </c>
      <c r="H384" s="92">
        <f>TWK!H329</f>
        <v>181.25</v>
      </c>
      <c r="I384" s="92">
        <f>TWK!I329</f>
        <v>248.52620087336246</v>
      </c>
      <c r="M384" s="92">
        <f t="shared" ref="M384" si="2006">AVERAGE(D381:D384)</f>
        <v>286.97916666666669</v>
      </c>
      <c r="N384" s="92">
        <f t="shared" ref="N384" si="2007">AVERAGE(E381:E384)</f>
        <v>205.72916666666666</v>
      </c>
      <c r="O384" s="92">
        <f t="shared" ref="O384" si="2008">AVERAGE(F381:F384)</f>
        <v>246.97916666666666</v>
      </c>
      <c r="P384" s="92">
        <f t="shared" ref="P384" si="2009">AVERAGE(G381:G384)</f>
        <v>246.97916666666666</v>
      </c>
      <c r="Q384" s="92">
        <f t="shared" ref="Q384" si="2010">AVERAGE(H381:H384)</f>
        <v>187.91666666666666</v>
      </c>
      <c r="R384" s="92">
        <f t="shared" ref="R384" si="2011">AVERAGE(I381:I384)</f>
        <v>257.66739446870452</v>
      </c>
      <c r="T384" s="92">
        <f t="shared" ref="T384" si="2012">(K228+K280+K332)/3</f>
        <v>216.11111111111111</v>
      </c>
      <c r="U384" s="92">
        <f t="shared" ref="U384" si="2013">(L228+L280+L332)/3</f>
        <v>318.54166666666669</v>
      </c>
      <c r="V384" s="92">
        <f t="shared" ref="V384" si="2014">(M228+M280+M332)/3</f>
        <v>326.3125</v>
      </c>
      <c r="W384" s="92">
        <f t="shared" ref="W384" si="2015">(N228+N280+N332)/3</f>
        <v>256.33333333333331</v>
      </c>
      <c r="X384" s="92">
        <f t="shared" ref="X384" si="2016">(O228+O280+O332)/3</f>
        <v>278.81944444444446</v>
      </c>
      <c r="Y384" s="92">
        <f t="shared" ref="Y384" si="2017">(P228+P280+P332)/3</f>
        <v>279.01388888888886</v>
      </c>
      <c r="Z384" s="92">
        <f t="shared" ref="Z384" si="2018">(Q228+Q280+Q332)/3</f>
        <v>226.5</v>
      </c>
      <c r="AA384" s="92">
        <f t="shared" ref="AA384" si="2019">(R228+R280+R332)/3</f>
        <v>301.32356865599223</v>
      </c>
      <c r="AC384" s="112">
        <f>+AF384-'Figure 8_data'!I596</f>
        <v>0</v>
      </c>
      <c r="AD384" s="92">
        <f t="shared" ref="AD384" si="2020">(B384/T384-1)*100</f>
        <v>-100</v>
      </c>
      <c r="AE384" s="92">
        <f t="shared" ref="AE384" si="2021">(C384/U384-1)*100</f>
        <v>-100</v>
      </c>
      <c r="AF384" s="92">
        <f t="shared" ref="AF384" si="2022">(D384/V384-1)*100</f>
        <v>-15.341888527102087</v>
      </c>
      <c r="AG384" s="92">
        <f t="shared" ref="AG384" si="2023">(E384/W384-1)*100</f>
        <v>-22.464239271781526</v>
      </c>
      <c r="AH384" s="92">
        <f t="shared" ref="AH384" si="2024">(F384/X384-1)*100</f>
        <v>-16.612702366127031</v>
      </c>
      <c r="AI384" s="92">
        <f t="shared" ref="AI384" si="2025">(G384/Y384-1)*100</f>
        <v>-16.670814873811533</v>
      </c>
      <c r="AJ384" s="92">
        <f t="shared" ref="AJ384" si="2026">(H384/Z384-1)*100</f>
        <v>-19.977924944812365</v>
      </c>
      <c r="AK384" s="92">
        <f t="shared" ref="AK384" si="2027">(I384/AA384-1)*100</f>
        <v>-17.521818163154101</v>
      </c>
      <c r="AM384" s="112">
        <f>AP384-'Figure 8_data'!H596</f>
        <v>0</v>
      </c>
      <c r="AP384" s="92">
        <f t="shared" ref="AP384" si="2028">(D384/D332-1)*100</f>
        <v>11.05527638190955</v>
      </c>
      <c r="AQ384" s="92">
        <f t="shared" ref="AQ384" si="2029">(E384/E332-1)*100</f>
        <v>-1.851851851851849</v>
      </c>
      <c r="AR384" s="92">
        <f t="shared" ref="AR384" si="2030">(F384/F332-1)*100</f>
        <v>11.599999999999987</v>
      </c>
      <c r="AS384" s="92">
        <f t="shared" ref="AS384" si="2031">(G384/G332-1)*100</f>
        <v>11.599999999999987</v>
      </c>
      <c r="AT384" s="92">
        <f t="shared" ref="AT384" si="2032">(H384/H332-1)*100</f>
        <v>-3.7610619469026552</v>
      </c>
      <c r="AU384" s="92">
        <f t="shared" ref="AU384" si="2033">(I384/I332-1)*100</f>
        <v>-4.8445076074235089</v>
      </c>
    </row>
    <row r="385" spans="1:47" x14ac:dyDescent="0.3">
      <c r="A385" s="13">
        <f t="shared" si="475"/>
        <v>40274</v>
      </c>
      <c r="B385" s="92">
        <f>TWK!B330</f>
        <v>0</v>
      </c>
      <c r="C385" s="92">
        <f>TWK!C330</f>
        <v>297.5</v>
      </c>
      <c r="D385" s="92">
        <f>TWK!D330</f>
        <v>275</v>
      </c>
      <c r="E385" s="92">
        <f>TWK!E330</f>
        <v>198.75</v>
      </c>
      <c r="F385" s="92">
        <f>TWK!F330</f>
        <v>230</v>
      </c>
      <c r="G385" s="92">
        <f>TWK!G330</f>
        <v>230</v>
      </c>
      <c r="H385" s="92">
        <f>TWK!H330</f>
        <v>180</v>
      </c>
      <c r="I385" s="92">
        <f>TWK!I330</f>
        <v>246.81222707423584</v>
      </c>
      <c r="L385" s="92">
        <f t="shared" ref="L385" si="2034">AVERAGE(C382:C385)</f>
        <v>74.375</v>
      </c>
      <c r="M385" s="92">
        <f t="shared" ref="M385" si="2035">AVERAGE(D382:D385)</f>
        <v>277.60416666666669</v>
      </c>
      <c r="N385" s="92">
        <f t="shared" ref="N385" si="2036">AVERAGE(E382:E385)</f>
        <v>198.54166666666666</v>
      </c>
      <c r="O385" s="92">
        <f t="shared" ref="O385" si="2037">AVERAGE(F382:F385)</f>
        <v>236.97916666666666</v>
      </c>
      <c r="P385" s="92">
        <f t="shared" ref="P385" si="2038">AVERAGE(G382:G385)</f>
        <v>236.97916666666666</v>
      </c>
      <c r="Q385" s="92">
        <f t="shared" ref="Q385" si="2039">AVERAGE(H382:H385)</f>
        <v>182.29166666666666</v>
      </c>
      <c r="R385" s="92">
        <f t="shared" ref="R385" si="2040">AVERAGE(I382:I385)</f>
        <v>249.95451237263464</v>
      </c>
      <c r="T385" s="92">
        <f t="shared" ref="T385" si="2041">(K229+K281+K333)/3</f>
        <v>215.3240740740741</v>
      </c>
      <c r="U385" s="92">
        <f t="shared" ref="U385" si="2042">(L229+L281+L333)/3</f>
        <v>352.33333333333331</v>
      </c>
      <c r="V385" s="92">
        <f t="shared" ref="V385" si="2043">(M229+M281+M333)/3</f>
        <v>313.9375</v>
      </c>
      <c r="W385" s="92">
        <f t="shared" ref="W385" si="2044">(N229+N281+N333)/3</f>
        <v>246.3125</v>
      </c>
      <c r="X385" s="92">
        <f t="shared" ref="X385" si="2045">(O229+O281+O333)/3</f>
        <v>274.42361111111114</v>
      </c>
      <c r="Y385" s="92">
        <f t="shared" ref="Y385" si="2046">(P229+P281+P333)/3</f>
        <v>274.70138888888886</v>
      </c>
      <c r="Z385" s="92">
        <f t="shared" ref="Z385" si="2047">(Q229+Q281+Q333)/3</f>
        <v>222.25</v>
      </c>
      <c r="AA385" s="92">
        <f t="shared" ref="AA385" si="2048">(R229+R281+R333)/3</f>
        <v>295.57074842309561</v>
      </c>
      <c r="AC385" s="112">
        <f>+AF385-'Figure 8_data'!I597</f>
        <v>0</v>
      </c>
      <c r="AD385" s="92">
        <f t="shared" ref="AD385" si="2049">(B385/T385-1)*100</f>
        <v>-100</v>
      </c>
      <c r="AE385" s="92">
        <f t="shared" ref="AE385" si="2050">(C385/U385-1)*100</f>
        <v>-15.562913907284759</v>
      </c>
      <c r="AF385" s="92">
        <f t="shared" ref="AF385" si="2051">(D385/V385-1)*100</f>
        <v>-12.402946446346807</v>
      </c>
      <c r="AG385" s="92">
        <f t="shared" ref="AG385" si="2052">(E385/W385-1)*100</f>
        <v>-19.30981984267952</v>
      </c>
      <c r="AH385" s="92">
        <f t="shared" ref="AH385" si="2053">(F385/X385-1)*100</f>
        <v>-16.187969734544637</v>
      </c>
      <c r="AI385" s="92">
        <f t="shared" ref="AI385" si="2054">(G385/Y385-1)*100</f>
        <v>-16.272720378188431</v>
      </c>
      <c r="AJ385" s="92">
        <f t="shared" ref="AJ385" si="2055">(H385/Z385-1)*100</f>
        <v>-19.010123734533181</v>
      </c>
      <c r="AK385" s="92">
        <f t="shared" ref="AK385" si="2056">(I385/AA385-1)*100</f>
        <v>-16.496396077417053</v>
      </c>
      <c r="AM385" s="112">
        <f>AP385-'Figure 8_data'!H597</f>
        <v>0</v>
      </c>
      <c r="AO385" s="92">
        <f t="shared" ref="AO385" si="2057">(C385/C333-1)*100</f>
        <v>7.7898550724637694</v>
      </c>
      <c r="AP385" s="92">
        <f t="shared" ref="AP385" si="2058">(D385/D333-1)*100</f>
        <v>8.6956521739130377</v>
      </c>
      <c r="AQ385" s="92">
        <f t="shared" ref="AQ385" si="2059">(E385/E333-1)*100</f>
        <v>-1.1194029850746245</v>
      </c>
      <c r="AR385" s="92">
        <f t="shared" ref="AR385" si="2060">(F385/F333-1)*100</f>
        <v>9.5238095238095344</v>
      </c>
      <c r="AS385" s="92">
        <f t="shared" ref="AS385" si="2061">(G385/G333-1)*100</f>
        <v>9.5238095238095344</v>
      </c>
      <c r="AT385" s="92">
        <f t="shared" ref="AT385" si="2062">(H385/H333-1)*100</f>
        <v>-3.3557046979865723</v>
      </c>
      <c r="AU385" s="92">
        <f t="shared" ref="AU385" si="2063">(I385/I333-1)*100</f>
        <v>-4.5874657100654082</v>
      </c>
    </row>
    <row r="386" spans="1:47" x14ac:dyDescent="0.3">
      <c r="A386" s="13">
        <f t="shared" si="475"/>
        <v>40281</v>
      </c>
      <c r="B386" s="92">
        <f>TWK!B331</f>
        <v>331.25</v>
      </c>
      <c r="C386" s="92">
        <f>TWK!C331</f>
        <v>292.5</v>
      </c>
      <c r="D386" s="92">
        <f>TWK!D331</f>
        <v>275</v>
      </c>
      <c r="E386" s="92">
        <f>TWK!E331</f>
        <v>197.5</v>
      </c>
      <c r="F386" s="92">
        <f>TWK!F331</f>
        <v>226.25</v>
      </c>
      <c r="G386" s="92">
        <f>TWK!G331</f>
        <v>226.25</v>
      </c>
      <c r="H386" s="92">
        <f>TWK!H331</f>
        <v>180</v>
      </c>
      <c r="I386" s="92">
        <f>TWK!I331</f>
        <v>246.81222707423581</v>
      </c>
      <c r="L386" s="92">
        <f t="shared" ref="L386" si="2064">AVERAGE(C383:C386)</f>
        <v>147.5</v>
      </c>
      <c r="M386" s="92">
        <f t="shared" ref="M386" si="2065">AVERAGE(D383:D386)</f>
        <v>275.72916666666669</v>
      </c>
      <c r="N386" s="92">
        <f t="shared" ref="N386" si="2066">AVERAGE(E383:E386)</f>
        <v>197.91666666666666</v>
      </c>
      <c r="O386" s="92">
        <f t="shared" ref="O386" si="2067">AVERAGE(F383:F386)</f>
        <v>231.35416666666666</v>
      </c>
      <c r="P386" s="92">
        <f t="shared" ref="P386" si="2068">AVERAGE(G383:G386)</f>
        <v>231.35416666666666</v>
      </c>
      <c r="Q386" s="92">
        <f t="shared" ref="Q386" si="2069">AVERAGE(H383:H386)</f>
        <v>180.72916666666666</v>
      </c>
      <c r="R386" s="92">
        <f t="shared" ref="R386" si="2070">AVERAGE(I383:I386)</f>
        <v>247.81204512372636</v>
      </c>
      <c r="T386" s="92">
        <f t="shared" ref="T386" si="2071">(K230+K282+K334)/3</f>
        <v>366.99768518518522</v>
      </c>
      <c r="U386" s="92">
        <f t="shared" ref="U386" si="2072">(L230+L282+L334)/3</f>
        <v>346.35416666666669</v>
      </c>
      <c r="V386" s="92">
        <f t="shared" ref="V386" si="2073">(M230+M282+M334)/3</f>
        <v>308.1875</v>
      </c>
      <c r="W386" s="92">
        <f t="shared" ref="W386" si="2074">(N230+N282+N334)/3</f>
        <v>239.3125</v>
      </c>
      <c r="X386" s="92">
        <f t="shared" ref="X386" si="2075">(O230+O282+O334)/3</f>
        <v>269.13888888888891</v>
      </c>
      <c r="Y386" s="92">
        <f t="shared" ref="Y386" si="2076">(P230+P282+P334)/3</f>
        <v>269.4305555555556</v>
      </c>
      <c r="Z386" s="92">
        <f t="shared" ref="Z386" si="2077">(Q230+Q282+Q334)/3</f>
        <v>218.2152777777778</v>
      </c>
      <c r="AA386" s="92">
        <f t="shared" ref="AA386" si="2078">(R230+R282+R334)/3</f>
        <v>292.23189592430862</v>
      </c>
      <c r="AC386" s="112">
        <f>+AF386-'Figure 8_data'!I598</f>
        <v>0</v>
      </c>
      <c r="AD386" s="92">
        <f t="shared" ref="AD386" si="2079">(B386/T386-1)*100</f>
        <v>-9.7405751121147013</v>
      </c>
      <c r="AE386" s="92">
        <f t="shared" ref="AE386" si="2080">(C386/U386-1)*100</f>
        <v>-15.548872180451134</v>
      </c>
      <c r="AF386" s="92">
        <f t="shared" ref="AF386" si="2081">(D386/V386-1)*100</f>
        <v>-10.768606773473943</v>
      </c>
      <c r="AG386" s="92">
        <f t="shared" ref="AG386" si="2082">(E386/W386-1)*100</f>
        <v>-17.471924784539038</v>
      </c>
      <c r="AH386" s="92">
        <f t="shared" ref="AH386" si="2083">(F386/X386-1)*100</f>
        <v>-15.935597068840956</v>
      </c>
      <c r="AI386" s="92">
        <f t="shared" ref="AI386" si="2084">(G386/Y386-1)*100</f>
        <v>-16.026599309242762</v>
      </c>
      <c r="AJ386" s="92">
        <f t="shared" ref="AJ386" si="2085">(H386/Z386-1)*100</f>
        <v>-17.512649969767381</v>
      </c>
      <c r="AK386" s="92">
        <f t="shared" ref="AK386" si="2086">(I386/AA386-1)*100</f>
        <v>-15.542337945833617</v>
      </c>
      <c r="AM386" s="112">
        <f>AP386-'Figure 8_data'!H598</f>
        <v>0</v>
      </c>
      <c r="AN386" s="92">
        <f t="shared" ref="AN386" si="2087">(B386/B334-1)*100</f>
        <v>6.2834224598930399</v>
      </c>
      <c r="AO386" s="92">
        <f t="shared" ref="AO386" si="2088">(C386/C334-1)*100</f>
        <v>5.4054054054053946</v>
      </c>
      <c r="AP386" s="92">
        <f t="shared" ref="AP386" si="2089">(D386/D334-1)*100</f>
        <v>4.7619047619047672</v>
      </c>
      <c r="AQ386" s="92">
        <f t="shared" ref="AQ386" si="2090">(E386/E334-1)*100</f>
        <v>-0.62893081761006275</v>
      </c>
      <c r="AR386" s="92">
        <f t="shared" ref="AR386" si="2091">(F386/F334-1)*100</f>
        <v>1.3059701492537323</v>
      </c>
      <c r="AS386" s="92">
        <f t="shared" ref="AS386" si="2092">(G386/G334-1)*100</f>
        <v>1.3059701492537323</v>
      </c>
      <c r="AT386" s="92">
        <f t="shared" ref="AT386" si="2093">(H386/H334-1)*100</f>
        <v>-5.2631578947368478</v>
      </c>
      <c r="AU386" s="92">
        <f t="shared" ref="AU386" si="2094">(I386/I334-1)*100</f>
        <v>-5.2631578947368585</v>
      </c>
    </row>
    <row r="387" spans="1:47" x14ac:dyDescent="0.3">
      <c r="A387" s="13">
        <f t="shared" si="475"/>
        <v>40288</v>
      </c>
      <c r="B387" s="92">
        <f>TWK!B332</f>
        <v>306.66666666666669</v>
      </c>
      <c r="C387" s="92">
        <f>TWK!C332</f>
        <v>275</v>
      </c>
      <c r="D387" s="92">
        <f>TWK!D332</f>
        <v>275</v>
      </c>
      <c r="E387" s="92">
        <f>TWK!E332</f>
        <v>193.33333333333334</v>
      </c>
      <c r="F387" s="92">
        <f>TWK!F332</f>
        <v>220</v>
      </c>
      <c r="G387" s="92">
        <f>TWK!G332</f>
        <v>220</v>
      </c>
      <c r="H387" s="92">
        <f>TWK!H332</f>
        <v>181.66666666666666</v>
      </c>
      <c r="I387" s="92">
        <f>TWK!I332</f>
        <v>249.09752547307133</v>
      </c>
      <c r="L387" s="92">
        <f t="shared" ref="L387" si="2095">AVERAGE(C384:C387)</f>
        <v>216.25</v>
      </c>
      <c r="M387" s="92">
        <f t="shared" ref="M387" si="2096">AVERAGE(D384:D387)</f>
        <v>275.3125</v>
      </c>
      <c r="N387" s="92">
        <f t="shared" ref="N387" si="2097">AVERAGE(E384:E387)</f>
        <v>197.08333333333334</v>
      </c>
      <c r="O387" s="92">
        <f t="shared" ref="O387" si="2098">AVERAGE(F384:F387)</f>
        <v>227.1875</v>
      </c>
      <c r="P387" s="92">
        <f t="shared" ref="P387" si="2099">AVERAGE(G384:G387)</f>
        <v>227.1875</v>
      </c>
      <c r="Q387" s="92">
        <f t="shared" ref="Q387" si="2100">AVERAGE(H384:H387)</f>
        <v>180.72916666666666</v>
      </c>
      <c r="R387" s="92">
        <f t="shared" ref="R387" si="2101">AVERAGE(I384:I387)</f>
        <v>247.81204512372636</v>
      </c>
      <c r="T387" s="92">
        <f t="shared" ref="T387" si="2102">(K231+K283+K335)/3</f>
        <v>372.8125</v>
      </c>
      <c r="U387" s="92">
        <f t="shared" ref="U387" si="2103">(L231+L283+L335)/3</f>
        <v>337.09166666666664</v>
      </c>
      <c r="V387" s="92">
        <f t="shared" ref="V387" si="2104">(M231+M283+M335)/3</f>
        <v>300.58333333333331</v>
      </c>
      <c r="W387" s="92">
        <f t="shared" ref="W387" si="2105">(N231+N283+N335)/3</f>
        <v>232.85416666666666</v>
      </c>
      <c r="X387" s="92">
        <f t="shared" ref="X387" si="2106">(O231+O283+O335)/3</f>
        <v>264.8055555555556</v>
      </c>
      <c r="Y387" s="92">
        <f t="shared" ref="Y387" si="2107">(P231+P283+P335)/3</f>
        <v>265.26388888888891</v>
      </c>
      <c r="Z387" s="92">
        <f t="shared" ref="Z387" si="2108">(Q231+Q283+Q335)/3</f>
        <v>215.94444444444446</v>
      </c>
      <c r="AA387" s="92">
        <f t="shared" ref="AA387" si="2109">(R231+R283+R335)/3</f>
        <v>297.29958151382829</v>
      </c>
      <c r="AC387" s="112">
        <f>+AF387-'Figure 8_data'!I599</f>
        <v>0</v>
      </c>
      <c r="AD387" s="92">
        <f t="shared" ref="AD387" si="2110">(B387/T387-1)*100</f>
        <v>-17.742386141380273</v>
      </c>
      <c r="AE387" s="92">
        <f t="shared" ref="AE387" si="2111">(C387/U387-1)*100</f>
        <v>-18.419816568193614</v>
      </c>
      <c r="AF387" s="92">
        <f t="shared" ref="AF387" si="2112">(D387/V387-1)*100</f>
        <v>-8.5112281674521668</v>
      </c>
      <c r="AG387" s="92">
        <f t="shared" ref="AG387" si="2113">(E387/W387-1)*100</f>
        <v>-16.972353941129093</v>
      </c>
      <c r="AH387" s="92">
        <f t="shared" ref="AH387" si="2114">(F387/X387-1)*100</f>
        <v>-16.920172033987214</v>
      </c>
      <c r="AI387" s="92">
        <f t="shared" ref="AI387" si="2115">(G387/Y387-1)*100</f>
        <v>-17.063720613644705</v>
      </c>
      <c r="AJ387" s="92">
        <f t="shared" ref="AJ387" si="2116">(H387/Z387-1)*100</f>
        <v>-15.873424234628253</v>
      </c>
      <c r="AK387" s="92">
        <f t="shared" ref="AK387" si="2117">(I387/AA387-1)*100</f>
        <v>-16.213294278893876</v>
      </c>
      <c r="AM387" s="112">
        <f>AP387-'Figure 8_data'!H599</f>
        <v>0</v>
      </c>
      <c r="AN387" s="92">
        <f t="shared" ref="AN387" si="2118">(B387/B335-1)*100</f>
        <v>1.0989010989011172</v>
      </c>
      <c r="AO387" s="92">
        <f t="shared" ref="AO387" si="2119">(C387/C335-1)*100</f>
        <v>3.2863849765258246</v>
      </c>
      <c r="AP387" s="92">
        <f t="shared" ref="AP387" si="2120">(D387/D335-1)*100</f>
        <v>6.2801932367149815</v>
      </c>
      <c r="AQ387" s="92">
        <f t="shared" ref="AQ387" si="2121">(E387/E335-1)*100</f>
        <v>-2.1097046413502074</v>
      </c>
      <c r="AR387" s="92">
        <f t="shared" ref="AR387" si="2122">(F387/F335-1)*100</f>
        <v>1.1494252873563315</v>
      </c>
      <c r="AS387" s="92">
        <f t="shared" ref="AS387" si="2123">(G387/G335-1)*100</f>
        <v>1.1494252873563315</v>
      </c>
      <c r="AT387" s="92">
        <f t="shared" ref="AT387" si="2124">(H387/H335-1)*100</f>
        <v>0.92592592592593004</v>
      </c>
      <c r="AU387" s="92">
        <f t="shared" ref="AU387" si="2125">(I387/I335-1)*100</f>
        <v>0.92592592592590783</v>
      </c>
    </row>
    <row r="388" spans="1:47" x14ac:dyDescent="0.3">
      <c r="A388" s="13">
        <f t="shared" si="475"/>
        <v>40295</v>
      </c>
      <c r="B388" s="92">
        <f>TWK!B333</f>
        <v>318.33333333333331</v>
      </c>
      <c r="C388" s="92">
        <f>TWK!C333</f>
        <v>296.66666666666669</v>
      </c>
      <c r="D388" s="92">
        <f>TWK!D333</f>
        <v>308.33333333333331</v>
      </c>
      <c r="E388" s="92">
        <f>TWK!E333</f>
        <v>198.33333333333334</v>
      </c>
      <c r="F388" s="92">
        <f>TWK!F333</f>
        <v>223.33333333333334</v>
      </c>
      <c r="G388" s="92">
        <f>TWK!G333</f>
        <v>223.33333333333334</v>
      </c>
      <c r="H388" s="92">
        <f>TWK!H333</f>
        <v>180</v>
      </c>
      <c r="I388" s="92">
        <f>TWK!I333</f>
        <v>246.81222707423584</v>
      </c>
      <c r="L388" s="92">
        <f t="shared" ref="L388" si="2126">AVERAGE(C385:C388)</f>
        <v>290.41666666666669</v>
      </c>
      <c r="M388" s="92">
        <f t="shared" ref="M388" si="2127">AVERAGE(D385:D388)</f>
        <v>283.33333333333331</v>
      </c>
      <c r="N388" s="92">
        <f t="shared" ref="N388" si="2128">AVERAGE(E385:E388)</f>
        <v>196.97916666666669</v>
      </c>
      <c r="O388" s="92">
        <f t="shared" ref="O388" si="2129">AVERAGE(F385:F388)</f>
        <v>224.89583333333334</v>
      </c>
      <c r="P388" s="92">
        <f t="shared" ref="P388" si="2130">AVERAGE(G385:G388)</f>
        <v>224.89583333333334</v>
      </c>
      <c r="Q388" s="92">
        <f t="shared" ref="Q388" si="2131">AVERAGE(H385:H388)</f>
        <v>180.41666666666666</v>
      </c>
      <c r="R388" s="92">
        <f t="shared" ref="R388" si="2132">AVERAGE(I385:I388)</f>
        <v>247.38355167394468</v>
      </c>
      <c r="T388" s="92">
        <f t="shared" ref="T388" si="2133">(K232+K284+K336)/3</f>
        <v>369.40046296296299</v>
      </c>
      <c r="U388" s="92">
        <f t="shared" ref="U388" si="2134">(L232+L284+L336)/3</f>
        <v>326.89722222222218</v>
      </c>
      <c r="V388" s="92">
        <f t="shared" ref="V388" si="2135">(M232+M284+M336)/3</f>
        <v>294.86805555555554</v>
      </c>
      <c r="W388" s="92">
        <f t="shared" ref="W388" si="2136">(N232+N284+N336)/3</f>
        <v>226.67361111111111</v>
      </c>
      <c r="X388" s="92">
        <f t="shared" ref="X388" si="2137">(O232+O284+O336)/3</f>
        <v>255.91666666666666</v>
      </c>
      <c r="Y388" s="92">
        <f t="shared" ref="Y388" si="2138">(P232+P284+P336)/3</f>
        <v>256.20833333333331</v>
      </c>
      <c r="Z388" s="92">
        <f t="shared" ref="Z388" si="2139">(Q232+Q284+Q336)/3</f>
        <v>210.4097222222222</v>
      </c>
      <c r="AA388" s="92">
        <f t="shared" ref="AA388" si="2140">(R232+R284+R336)/3</f>
        <v>290.53156841339154</v>
      </c>
      <c r="AC388" s="112">
        <f>+AF388-'Figure 8_data'!I600</f>
        <v>0</v>
      </c>
      <c r="AD388" s="92">
        <f t="shared" ref="AD388" si="2141">(B388/T388-1)*100</f>
        <v>-13.824327457529417</v>
      </c>
      <c r="AE388" s="92">
        <f t="shared" ref="AE388" si="2142">(C388/U388-1)*100</f>
        <v>-9.2477248200674484</v>
      </c>
      <c r="AF388" s="92">
        <f t="shared" ref="AF388" si="2143">(D388/V388-1)*100</f>
        <v>4.5665434163114416</v>
      </c>
      <c r="AG388" s="92">
        <f t="shared" ref="AG388" si="2144">(E388/W388-1)*100</f>
        <v>-12.502680677675315</v>
      </c>
      <c r="AH388" s="92">
        <f t="shared" ref="AH388" si="2145">(F388/X388-1)*100</f>
        <v>-12.732009117551279</v>
      </c>
      <c r="AI388" s="92">
        <f t="shared" ref="AI388" si="2146">(G388/Y388-1)*100</f>
        <v>-12.831354691819797</v>
      </c>
      <c r="AJ388" s="92">
        <f t="shared" ref="AJ388" si="2147">(H388/Z388-1)*100</f>
        <v>-14.452622198752429</v>
      </c>
      <c r="AK388" s="92">
        <f t="shared" ref="AK388" si="2148">(I388/AA388-1)*100</f>
        <v>-15.04805194764527</v>
      </c>
      <c r="AM388" s="112">
        <f>AP388-'Figure 8_data'!H600</f>
        <v>0</v>
      </c>
      <c r="AN388" s="92">
        <f t="shared" ref="AN388" si="2149">(B388/B336-1)*100</f>
        <v>8.6461888509669969</v>
      </c>
      <c r="AO388" s="92">
        <f t="shared" ref="AO388" si="2150">(C388/C336-1)*100</f>
        <v>14.10256410256412</v>
      </c>
      <c r="AP388" s="92">
        <f t="shared" ref="AP388" si="2151">(D388/D336-1)*100</f>
        <v>23.828647925033451</v>
      </c>
      <c r="AQ388" s="92">
        <f t="shared" ref="AQ388" si="2152">(E388/E336-1)*100</f>
        <v>0.16835016835017313</v>
      </c>
      <c r="AR388" s="92">
        <f t="shared" ref="AR388" si="2153">(F388/F336-1)*100</f>
        <v>7.3717948717948678</v>
      </c>
      <c r="AS388" s="92">
        <f t="shared" ref="AS388" si="2154">(G388/G336-1)*100</f>
        <v>7.3717948717948678</v>
      </c>
      <c r="AT388" s="92">
        <f t="shared" ref="AT388" si="2155">(H388/H336-1)*100</f>
        <v>1.1235955056179803</v>
      </c>
      <c r="AU388" s="92">
        <f t="shared" ref="AU388" si="2156">(I388/I336-1)*100</f>
        <v>-0.87862366496552768</v>
      </c>
    </row>
    <row r="389" spans="1:47" x14ac:dyDescent="0.3">
      <c r="A389" s="13">
        <f t="shared" si="475"/>
        <v>40302</v>
      </c>
      <c r="B389" s="92">
        <f>TWK!B334</f>
        <v>368.33333333333331</v>
      </c>
      <c r="C389" s="92">
        <f>TWK!C334</f>
        <v>341.66666666666669</v>
      </c>
      <c r="D389" s="92">
        <f>TWK!D334</f>
        <v>340</v>
      </c>
      <c r="E389" s="92">
        <f>TWK!E334</f>
        <v>241.66666666666666</v>
      </c>
      <c r="F389" s="92">
        <f>TWK!F334</f>
        <v>235</v>
      </c>
      <c r="G389" s="92">
        <f>TWK!G334</f>
        <v>235</v>
      </c>
      <c r="H389" s="92">
        <f>TWK!H334</f>
        <v>210</v>
      </c>
      <c r="I389" s="92">
        <f>TWK!I334</f>
        <v>287.94759825327509</v>
      </c>
      <c r="K389" s="92">
        <f t="shared" ref="K389" si="2157">AVERAGE(B386:B389)</f>
        <v>331.14583333333331</v>
      </c>
      <c r="L389" s="92">
        <f t="shared" ref="L389" si="2158">AVERAGE(C386:C389)</f>
        <v>301.45833333333337</v>
      </c>
      <c r="M389" s="92">
        <f t="shared" ref="M389" si="2159">AVERAGE(D386:D389)</f>
        <v>299.58333333333331</v>
      </c>
      <c r="N389" s="92">
        <f t="shared" ref="N389" si="2160">AVERAGE(E386:E389)</f>
        <v>207.70833333333334</v>
      </c>
      <c r="O389" s="92">
        <f t="shared" ref="O389" si="2161">AVERAGE(F386:F389)</f>
        <v>226.14583333333334</v>
      </c>
      <c r="P389" s="92">
        <f t="shared" ref="P389" si="2162">AVERAGE(G386:G389)</f>
        <v>226.14583333333334</v>
      </c>
      <c r="Q389" s="92">
        <f t="shared" ref="Q389" si="2163">AVERAGE(H386:H389)</f>
        <v>187.91666666666666</v>
      </c>
      <c r="R389" s="92">
        <f t="shared" ref="R389" si="2164">AVERAGE(I386:I389)</f>
        <v>257.66739446870452</v>
      </c>
      <c r="T389" s="92">
        <f t="shared" ref="T389" si="2165">(K233+K285+K337)/3</f>
        <v>363.03472222222223</v>
      </c>
      <c r="U389" s="92">
        <f t="shared" ref="U389" si="2166">(L233+L285+L337)/3</f>
        <v>322.59166666666664</v>
      </c>
      <c r="V389" s="92">
        <f t="shared" ref="V389" si="2167">(M233+M285+M337)/3</f>
        <v>289.92361111111109</v>
      </c>
      <c r="W389" s="92">
        <f t="shared" ref="W389" si="2168">(N233+N285+N337)/3</f>
        <v>222.26388888888891</v>
      </c>
      <c r="X389" s="92">
        <f t="shared" ref="X389" si="2169">(O233+O285+O337)/3</f>
        <v>248.75</v>
      </c>
      <c r="Y389" s="92">
        <f t="shared" ref="Y389" si="2170">(P233+P285+P337)/3</f>
        <v>248.06944444444446</v>
      </c>
      <c r="Z389" s="92">
        <f t="shared" ref="Z389" si="2171">(Q233+Q285+Q337)/3</f>
        <v>206.07638888888889</v>
      </c>
      <c r="AA389" s="92">
        <f t="shared" ref="AA389" si="2172">(R233+R285+R337)/3</f>
        <v>283.70475497331392</v>
      </c>
      <c r="AC389" s="112">
        <f>+AF389-'Figure 8_data'!I601</f>
        <v>0</v>
      </c>
      <c r="AD389" s="92">
        <f t="shared" ref="AD389" si="2173">(B389/T389-1)*100</f>
        <v>1.4595328729651635</v>
      </c>
      <c r="AE389" s="92">
        <f t="shared" ref="AE389" si="2174">(C389/U389-1)*100</f>
        <v>5.9130479708610073</v>
      </c>
      <c r="AF389" s="92">
        <f t="shared" ref="AF389" si="2175">(D389/V389-1)*100</f>
        <v>17.272269994490898</v>
      </c>
      <c r="AG389" s="92">
        <f t="shared" ref="AG389" si="2176">(E389/W389-1)*100</f>
        <v>8.7296131975254543</v>
      </c>
      <c r="AH389" s="92">
        <f t="shared" ref="AH389" si="2177">(F389/X389-1)*100</f>
        <v>-5.5276381909547752</v>
      </c>
      <c r="AI389" s="92">
        <f t="shared" ref="AI389" si="2178">(G389/Y389-1)*100</f>
        <v>-5.268462012205366</v>
      </c>
      <c r="AJ389" s="92">
        <f t="shared" ref="AJ389" si="2179">(H389/Z389-1)*100</f>
        <v>1.9039595619208205</v>
      </c>
      <c r="AK389" s="92">
        <f t="shared" ref="AK389" si="2180">(I389/AA389-1)*100</f>
        <v>1.4955136301329386</v>
      </c>
      <c r="AM389" s="112">
        <f>AP389-'Figure 8_data'!H601</f>
        <v>0</v>
      </c>
      <c r="AN389" s="92">
        <f t="shared" ref="AN389" si="2181">(B389/B337-1)*100</f>
        <v>28.675400291120813</v>
      </c>
      <c r="AO389" s="92">
        <f t="shared" ref="AO389" si="2182">(C389/C337-1)*100</f>
        <v>35.582010582010582</v>
      </c>
      <c r="AP389" s="92">
        <f t="shared" ref="AP389" si="2183">(D389/D337-1)*100</f>
        <v>36.54618473895583</v>
      </c>
      <c r="AQ389" s="92">
        <f t="shared" ref="AQ389" si="2184">(E389/E337-1)*100</f>
        <v>26.527050610820236</v>
      </c>
      <c r="AR389" s="92">
        <f t="shared" ref="AR389" si="2185">(F389/F337-1)*100</f>
        <v>15.337423312883436</v>
      </c>
      <c r="AS389" s="92">
        <f t="shared" ref="AS389" si="2186">(G389/G337-1)*100</f>
        <v>15.337423312883436</v>
      </c>
      <c r="AT389" s="92">
        <f t="shared" ref="AT389" si="2187">(H389/H337-1)*100</f>
        <v>18.644067796610166</v>
      </c>
      <c r="AU389" s="92">
        <f t="shared" ref="AU389" si="2188">(I389/I337-1)*100</f>
        <v>22.355822756624356</v>
      </c>
    </row>
    <row r="390" spans="1:47" x14ac:dyDescent="0.3">
      <c r="A390" s="13">
        <f t="shared" si="475"/>
        <v>40309</v>
      </c>
      <c r="B390" s="92">
        <f>TWK!B335</f>
        <v>421.25</v>
      </c>
      <c r="C390" s="92">
        <f>TWK!C335</f>
        <v>386.25</v>
      </c>
      <c r="D390" s="92">
        <f>TWK!D335</f>
        <v>382.5</v>
      </c>
      <c r="E390" s="92">
        <f>TWK!E335</f>
        <v>273.75</v>
      </c>
      <c r="F390" s="92">
        <f>TWK!F335</f>
        <v>261.25</v>
      </c>
      <c r="G390" s="92">
        <f>TWK!G335</f>
        <v>261.25</v>
      </c>
      <c r="H390" s="92">
        <f>TWK!H335</f>
        <v>233.75</v>
      </c>
      <c r="I390" s="92">
        <f>TWK!I335</f>
        <v>320.51310043668121</v>
      </c>
      <c r="K390" s="92">
        <f t="shared" ref="K390" si="2189">AVERAGE(B387:B390)</f>
        <v>353.64583333333331</v>
      </c>
      <c r="L390" s="92">
        <f t="shared" ref="L390" si="2190">AVERAGE(C387:C390)</f>
        <v>324.89583333333337</v>
      </c>
      <c r="M390" s="92">
        <f t="shared" ref="M390" si="2191">AVERAGE(D387:D390)</f>
        <v>326.45833333333331</v>
      </c>
      <c r="N390" s="92">
        <f t="shared" ref="N390" si="2192">AVERAGE(E387:E390)</f>
        <v>226.77083333333334</v>
      </c>
      <c r="O390" s="92">
        <f t="shared" ref="O390" si="2193">AVERAGE(F387:F390)</f>
        <v>234.89583333333334</v>
      </c>
      <c r="P390" s="92">
        <f t="shared" ref="P390" si="2194">AVERAGE(G387:G390)</f>
        <v>234.89583333333334</v>
      </c>
      <c r="Q390" s="92">
        <f t="shared" ref="Q390" si="2195">AVERAGE(H387:H390)</f>
        <v>201.35416666666666</v>
      </c>
      <c r="R390" s="92">
        <f t="shared" ref="R390" si="2196">AVERAGE(I387:I390)</f>
        <v>276.09261280931588</v>
      </c>
      <c r="T390" s="92">
        <f t="shared" ref="T390" si="2197">(K234+K286+K338)/3</f>
        <v>364.15277777777777</v>
      </c>
      <c r="U390" s="92">
        <f t="shared" ref="U390" si="2198">(L234+L286+L338)/3</f>
        <v>319.52916666666664</v>
      </c>
      <c r="V390" s="92">
        <f t="shared" ref="V390" si="2199">(M234+M286+M338)/3</f>
        <v>288.5069444444444</v>
      </c>
      <c r="W390" s="92">
        <f t="shared" ref="W390" si="2200">(N234+N286+N338)/3</f>
        <v>222.30555555555557</v>
      </c>
      <c r="X390" s="92">
        <f t="shared" ref="X390" si="2201">(O234+O286+O338)/3</f>
        <v>242.5347222222222</v>
      </c>
      <c r="Y390" s="92">
        <f t="shared" ref="Y390" si="2202">(P234+P286+P338)/3</f>
        <v>241.97916666666666</v>
      </c>
      <c r="Z390" s="92">
        <f t="shared" ref="Z390" si="2203">(Q234+Q286+Q338)/3</f>
        <v>203.49305555555554</v>
      </c>
      <c r="AA390" s="92">
        <f t="shared" ref="AA390" si="2204">(R234+R286+R338)/3</f>
        <v>279.32375060650168</v>
      </c>
      <c r="AC390" s="112">
        <f>+AF390-'Figure 8_data'!I602</f>
        <v>0</v>
      </c>
      <c r="AD390" s="92">
        <f t="shared" ref="AD390" si="2205">(B390/T390-1)*100</f>
        <v>15.679469087303112</v>
      </c>
      <c r="AE390" s="92">
        <f t="shared" ref="AE390" si="2206">(C390/U390-1)*100</f>
        <v>20.880983739095281</v>
      </c>
      <c r="AF390" s="92">
        <f t="shared" ref="AF390" si="2207">(D390/V390-1)*100</f>
        <v>32.579131062703112</v>
      </c>
      <c r="AG390" s="92">
        <f t="shared" ref="AG390" si="2208">(E390/W390-1)*100</f>
        <v>23.141322004248387</v>
      </c>
      <c r="AH390" s="92">
        <f t="shared" ref="AH390" si="2209">(F390/X390-1)*100</f>
        <v>7.7165354330708702</v>
      </c>
      <c r="AI390" s="92">
        <f t="shared" ref="AI390" si="2210">(G390/Y390-1)*100</f>
        <v>7.9638398622470907</v>
      </c>
      <c r="AJ390" s="92">
        <f t="shared" ref="AJ390" si="2211">(H390/Z390-1)*100</f>
        <v>14.868784766064923</v>
      </c>
      <c r="AK390" s="92">
        <f t="shared" ref="AK390" si="2212">(I390/AA390-1)*100</f>
        <v>14.746096506560647</v>
      </c>
      <c r="AM390" s="112">
        <f>AP390-'Figure 8_data'!H602</f>
        <v>0</v>
      </c>
      <c r="AN390" s="92">
        <f t="shared" ref="AN390" si="2213">(B390/B338-1)*100</f>
        <v>30.115830115830121</v>
      </c>
      <c r="AO390" s="92">
        <f t="shared" ref="AO390" si="2214">(C390/C338-1)*100</f>
        <v>38.9388489208633</v>
      </c>
      <c r="AP390" s="92">
        <f t="shared" ref="AP390" si="2215">(D390/D338-1)*100</f>
        <v>40.109890109890102</v>
      </c>
      <c r="AQ390" s="92">
        <f t="shared" ref="AQ390" si="2216">(E390/E338-1)*100</f>
        <v>36.874999999999993</v>
      </c>
      <c r="AR390" s="92">
        <f t="shared" ref="AR390" si="2217">(F390/F338-1)*100</f>
        <v>24.404761904761905</v>
      </c>
      <c r="AS390" s="92">
        <f t="shared" ref="AS390" si="2218">(G390/G338-1)*100</f>
        <v>24.404761904761905</v>
      </c>
      <c r="AT390" s="92">
        <f t="shared" ref="AT390" si="2219">(H390/H338-1)*100</f>
        <v>28.965517241379303</v>
      </c>
      <c r="AU390" s="92">
        <f t="shared" ref="AU390" si="2220">(I390/I338-1)*100</f>
        <v>35.338588484764657</v>
      </c>
    </row>
    <row r="391" spans="1:47" x14ac:dyDescent="0.3">
      <c r="A391" s="13">
        <f t="shared" si="475"/>
        <v>40316</v>
      </c>
      <c r="B391" s="92">
        <f>TWK!B336</f>
        <v>476.66666666666669</v>
      </c>
      <c r="C391" s="92">
        <f>TWK!C336</f>
        <v>413.33333333333331</v>
      </c>
      <c r="D391" s="92">
        <f>TWK!D336</f>
        <v>416.66666666666669</v>
      </c>
      <c r="E391" s="92">
        <f>TWK!E336</f>
        <v>300</v>
      </c>
      <c r="F391" s="92">
        <f>TWK!F336</f>
        <v>355</v>
      </c>
      <c r="G391" s="92">
        <f>TWK!G336</f>
        <v>355</v>
      </c>
      <c r="H391" s="92">
        <f>TWK!H336</f>
        <v>276.66666666666669</v>
      </c>
      <c r="I391" s="92">
        <f>TWK!I336</f>
        <v>379.3595342066958</v>
      </c>
      <c r="K391" s="92">
        <f t="shared" ref="K391" si="2221">AVERAGE(B388:B391)</f>
        <v>396.14583333333331</v>
      </c>
      <c r="L391" s="92">
        <f t="shared" ref="L391" si="2222">AVERAGE(C388:C391)</f>
        <v>359.47916666666669</v>
      </c>
      <c r="M391" s="92">
        <f t="shared" ref="M391" si="2223">AVERAGE(D388:D391)</f>
        <v>361.875</v>
      </c>
      <c r="N391" s="92">
        <f t="shared" ref="N391" si="2224">AVERAGE(E388:E391)</f>
        <v>253.4375</v>
      </c>
      <c r="O391" s="92">
        <f t="shared" ref="O391" si="2225">AVERAGE(F388:F391)</f>
        <v>268.64583333333337</v>
      </c>
      <c r="P391" s="92">
        <f t="shared" ref="P391" si="2226">AVERAGE(G388:G391)</f>
        <v>268.64583333333337</v>
      </c>
      <c r="Q391" s="92">
        <f t="shared" ref="Q391" si="2227">AVERAGE(H388:H391)</f>
        <v>225.10416666666669</v>
      </c>
      <c r="R391" s="92">
        <f t="shared" ref="R391" si="2228">AVERAGE(I388:I391)</f>
        <v>308.65811499272201</v>
      </c>
      <c r="T391" s="92">
        <f t="shared" ref="T391" si="2229">(K235+K287+K339)/3</f>
        <v>364.29166666666669</v>
      </c>
      <c r="U391" s="92">
        <f t="shared" ref="U391" si="2230">(L235+L287+L339)/3</f>
        <v>319.73611111111109</v>
      </c>
      <c r="V391" s="92">
        <f t="shared" ref="V391" si="2231">(M235+M287+M339)/3</f>
        <v>291.41666666666669</v>
      </c>
      <c r="W391" s="92">
        <f t="shared" ref="W391" si="2232">(N235+N287+N339)/3</f>
        <v>224.23611111111111</v>
      </c>
      <c r="X391" s="92">
        <f t="shared" ref="X391" si="2233">(O235+O287+O339)/3</f>
        <v>238.6597222222222</v>
      </c>
      <c r="Y391" s="92">
        <f t="shared" ref="Y391" si="2234">(P235+P287+P339)/3</f>
        <v>238.1875</v>
      </c>
      <c r="Z391" s="92">
        <f t="shared" ref="Z391" si="2235">(Q235+Q287+Q339)/3</f>
        <v>203.32638888888889</v>
      </c>
      <c r="AA391" s="92">
        <f t="shared" ref="AA391" si="2236">(R235+R287+R339)/3</f>
        <v>278.28808830664724</v>
      </c>
      <c r="AC391" s="112">
        <f>+AF391-'Figure 8_data'!I603</f>
        <v>0</v>
      </c>
      <c r="AD391" s="92">
        <f t="shared" ref="AD391" si="2237">(B391/T391-1)*100</f>
        <v>30.847535170993943</v>
      </c>
      <c r="AE391" s="92">
        <f t="shared" ref="AE391" si="2238">(C391/U391-1)*100</f>
        <v>29.273272229703331</v>
      </c>
      <c r="AF391" s="92">
        <f t="shared" ref="AF391" si="2239">(D391/V391-1)*100</f>
        <v>42.979696883042593</v>
      </c>
      <c r="AG391" s="92">
        <f t="shared" ref="AG391" si="2240">(E391/W391-1)*100</f>
        <v>33.78755032517806</v>
      </c>
      <c r="AH391" s="92">
        <f t="shared" ref="AH391" si="2241">(F391/X391-1)*100</f>
        <v>48.747344836616534</v>
      </c>
      <c r="AI391" s="92">
        <f t="shared" ref="AI391" si="2242">(G391/Y391-1)*100</f>
        <v>49.042246129624779</v>
      </c>
      <c r="AJ391" s="92">
        <f t="shared" ref="AJ391" si="2243">(H391/Z391-1)*100</f>
        <v>36.070220977492419</v>
      </c>
      <c r="AK391" s="92">
        <f t="shared" ref="AK391" si="2244">(I391/AA391-1)*100</f>
        <v>36.318998242094125</v>
      </c>
      <c r="AM391" s="112">
        <f>AP391-'Figure 8_data'!H603</f>
        <v>0</v>
      </c>
      <c r="AN391" s="92">
        <f t="shared" ref="AN391" si="2245">(B391/B339-1)*100</f>
        <v>34.272300469483575</v>
      </c>
      <c r="AO391" s="92">
        <f t="shared" ref="AO391" si="2246">(C391/C339-1)*100</f>
        <v>38.547486033519561</v>
      </c>
      <c r="AP391" s="92">
        <f t="shared" ref="AP391" si="2247">(D391/D339-1)*100</f>
        <v>53.374233128834362</v>
      </c>
      <c r="AQ391" s="92">
        <f t="shared" ref="AQ391" si="2248">(E391/E339-1)*100</f>
        <v>52.542372881355945</v>
      </c>
      <c r="AR391" s="92">
        <f t="shared" ref="AR391" si="2249">(F391/F339-1)*100</f>
        <v>69.047619047619051</v>
      </c>
      <c r="AS391" s="92">
        <f t="shared" ref="AS391" si="2250">(G391/G339-1)*100</f>
        <v>69.047619047619051</v>
      </c>
      <c r="AT391" s="92">
        <f t="shared" ref="AT391" si="2251">(H391/H339-1)*100</f>
        <v>53.703703703703724</v>
      </c>
      <c r="AU391" s="92">
        <f t="shared" ref="AU391" si="2252">(I391/I339-1)*100</f>
        <v>53.703703703703695</v>
      </c>
    </row>
    <row r="392" spans="1:47" x14ac:dyDescent="0.3">
      <c r="A392" s="13">
        <f t="shared" si="475"/>
        <v>40323</v>
      </c>
      <c r="B392" s="92">
        <f>TWK!B337</f>
        <v>403.75</v>
      </c>
      <c r="C392" s="92">
        <f>TWK!C337</f>
        <v>337.5</v>
      </c>
      <c r="D392" s="92">
        <f>TWK!D337</f>
        <v>337.5</v>
      </c>
      <c r="E392" s="92">
        <f>TWK!E337</f>
        <v>230</v>
      </c>
      <c r="F392" s="92">
        <f>TWK!F337</f>
        <v>316.25</v>
      </c>
      <c r="G392" s="92">
        <f>TWK!G337</f>
        <v>316.25</v>
      </c>
      <c r="H392" s="92">
        <f>TWK!H337</f>
        <v>220</v>
      </c>
      <c r="I392" s="92">
        <f>TWK!I337</f>
        <v>301.65938864628822</v>
      </c>
      <c r="K392" s="92">
        <f t="shared" ref="K392" si="2253">AVERAGE(B389:B392)</f>
        <v>417.5</v>
      </c>
      <c r="L392" s="92">
        <f t="shared" ref="L392" si="2254">AVERAGE(C389:C392)</f>
        <v>369.6875</v>
      </c>
      <c r="M392" s="92">
        <f t="shared" ref="M392" si="2255">AVERAGE(D389:D392)</f>
        <v>369.16666666666669</v>
      </c>
      <c r="N392" s="92">
        <f t="shared" ref="N392" si="2256">AVERAGE(E389:E392)</f>
        <v>261.35416666666663</v>
      </c>
      <c r="O392" s="92">
        <f t="shared" ref="O392" si="2257">AVERAGE(F389:F392)</f>
        <v>291.875</v>
      </c>
      <c r="P392" s="92">
        <f t="shared" ref="P392" si="2258">AVERAGE(G389:G392)</f>
        <v>291.875</v>
      </c>
      <c r="Q392" s="92">
        <f t="shared" ref="Q392" si="2259">AVERAGE(H389:H392)</f>
        <v>235.10416666666669</v>
      </c>
      <c r="R392" s="92">
        <f t="shared" ref="R392" si="2260">AVERAGE(I389:I392)</f>
        <v>322.36990538573508</v>
      </c>
      <c r="T392" s="92">
        <f t="shared" ref="T392" si="2261">(K236+K288+K340)/3</f>
        <v>375.20833333333331</v>
      </c>
      <c r="U392" s="92">
        <f t="shared" ref="U392" si="2262">(L236+L288+L340)/3</f>
        <v>328.78472222222223</v>
      </c>
      <c r="V392" s="92">
        <f t="shared" ref="V392" si="2263">(M236+M288+M340)/3</f>
        <v>304.0069444444444</v>
      </c>
      <c r="W392" s="92">
        <f t="shared" ref="W392" si="2264">(N236+N288+N340)/3</f>
        <v>235.97916666666666</v>
      </c>
      <c r="X392" s="92">
        <f t="shared" ref="X392" si="2265">(O236+O288+O340)/3</f>
        <v>241.8125</v>
      </c>
      <c r="Y392" s="92">
        <f t="shared" ref="Y392" si="2266">(P236+P288+P340)/3</f>
        <v>241.75694444444446</v>
      </c>
      <c r="Z392" s="92">
        <f t="shared" ref="Z392" si="2267">(Q236+Q288+Q340)/3</f>
        <v>214.9375</v>
      </c>
      <c r="AA392" s="92">
        <f t="shared" ref="AA392" si="2268">(R236+R288+R340)/3</f>
        <v>291.79081756428917</v>
      </c>
      <c r="AC392" s="112">
        <f>+AF392-'Figure 8_data'!I604</f>
        <v>0</v>
      </c>
      <c r="AD392" s="92">
        <f t="shared" ref="AD392" si="2269">(B392/T392-1)*100</f>
        <v>7.6068850638534302</v>
      </c>
      <c r="AE392" s="92">
        <f t="shared" ref="AE392" si="2270">(C392/U392-1)*100</f>
        <v>2.6507550955750414</v>
      </c>
      <c r="AF392" s="92">
        <f t="shared" ref="AF392" si="2271">(D392/V392-1)*100</f>
        <v>11.017200813212424</v>
      </c>
      <c r="AG392" s="92">
        <f t="shared" ref="AG392" si="2272">(E392/W392-1)*100</f>
        <v>-2.5337688708395811</v>
      </c>
      <c r="AH392" s="92">
        <f t="shared" ref="AH392" si="2273">(F392/X392-1)*100</f>
        <v>30.783148100284308</v>
      </c>
      <c r="AI392" s="92">
        <f t="shared" ref="AI392" si="2274">(G392/Y392-1)*100</f>
        <v>30.813201964783254</v>
      </c>
      <c r="AJ392" s="92">
        <f t="shared" ref="AJ392" si="2275">(H392/Z392-1)*100</f>
        <v>2.3553358534457614</v>
      </c>
      <c r="AK392" s="92">
        <f t="shared" ref="AK392" si="2276">(I392/AA392-1)*100</f>
        <v>3.382070472394072</v>
      </c>
      <c r="AM392" s="112">
        <f>AP392-'Figure 8_data'!H604</f>
        <v>0</v>
      </c>
      <c r="AN392" s="92">
        <f t="shared" ref="AN392" si="2277">(B392/B340-1)*100</f>
        <v>8.7542087542087579</v>
      </c>
      <c r="AO392" s="92">
        <f t="shared" ref="AO392" si="2278">(C392/C340-1)*100</f>
        <v>10.20408163265305</v>
      </c>
      <c r="AP392" s="92">
        <f t="shared" ref="AP392" si="2279">(D392/D340-1)*100</f>
        <v>24.423963133640548</v>
      </c>
      <c r="AQ392" s="92">
        <f t="shared" ref="AQ392" si="2280">(E392/E340-1)*100</f>
        <v>17.197452229299358</v>
      </c>
      <c r="AR392" s="92">
        <f t="shared" ref="AR392" si="2281">(F392/F340-1)*100</f>
        <v>51.497005988023957</v>
      </c>
      <c r="AS392" s="92">
        <f t="shared" ref="AS392" si="2282">(G392/G340-1)*100</f>
        <v>51.497005988023957</v>
      </c>
      <c r="AT392" s="92">
        <f t="shared" ref="AT392" si="2283">(H392/H340-1)*100</f>
        <v>21.379310344827584</v>
      </c>
      <c r="AU392" s="92">
        <f t="shared" ref="AU392" si="2284">(I392/I340-1)*100</f>
        <v>21.379310344827584</v>
      </c>
    </row>
    <row r="393" spans="1:47" x14ac:dyDescent="0.3">
      <c r="A393" s="13">
        <f t="shared" si="475"/>
        <v>40330</v>
      </c>
      <c r="B393" s="92">
        <f>TWK!B338</f>
        <v>374</v>
      </c>
      <c r="C393" s="92">
        <f>TWK!C338</f>
        <v>312</v>
      </c>
      <c r="D393" s="92">
        <f>TWK!D338</f>
        <v>314</v>
      </c>
      <c r="E393" s="92">
        <f>TWK!E338</f>
        <v>216</v>
      </c>
      <c r="F393" s="92">
        <f>TWK!F338</f>
        <v>291</v>
      </c>
      <c r="G393" s="92">
        <f>TWK!G338</f>
        <v>291</v>
      </c>
      <c r="H393" s="92">
        <f>TWK!H338</f>
        <v>199</v>
      </c>
      <c r="I393" s="92">
        <f>TWK!I338</f>
        <v>273</v>
      </c>
      <c r="K393" s="92">
        <f t="shared" ref="K393" si="2285">AVERAGE(B390:B393)</f>
        <v>418.91666666666669</v>
      </c>
      <c r="L393" s="92">
        <f t="shared" ref="L393" si="2286">AVERAGE(C390:C393)</f>
        <v>362.27083333333331</v>
      </c>
      <c r="M393" s="92">
        <f t="shared" ref="M393" si="2287">AVERAGE(D390:D393)</f>
        <v>362.66666666666669</v>
      </c>
      <c r="N393" s="92">
        <f t="shared" ref="N393" si="2288">AVERAGE(E390:E393)</f>
        <v>254.9375</v>
      </c>
      <c r="O393" s="92">
        <f t="shared" ref="O393" si="2289">AVERAGE(F390:F393)</f>
        <v>305.875</v>
      </c>
      <c r="P393" s="92">
        <f t="shared" ref="P393" si="2290">AVERAGE(G390:G393)</f>
        <v>305.875</v>
      </c>
      <c r="Q393" s="92">
        <f t="shared" ref="Q393" si="2291">AVERAGE(H390:H393)</f>
        <v>232.35416666666669</v>
      </c>
      <c r="R393" s="92">
        <f t="shared" ref="R393" si="2292">AVERAGE(I390:I393)</f>
        <v>318.63300582241629</v>
      </c>
      <c r="T393" s="92">
        <f t="shared" ref="T393" si="2293">(K237+K289+K341)/3</f>
        <v>387.9305555555556</v>
      </c>
      <c r="U393" s="92">
        <f t="shared" ref="U393" si="2294">(L237+L289+L341)/3</f>
        <v>340.54861111111109</v>
      </c>
      <c r="V393" s="92">
        <f t="shared" ref="V393" si="2295">(M237+M289+M341)/3</f>
        <v>321.28472222222223</v>
      </c>
      <c r="W393" s="92">
        <f t="shared" ref="W393" si="2296">(N237+N289+N341)/3</f>
        <v>252.01388888888889</v>
      </c>
      <c r="X393" s="92">
        <f t="shared" ref="X393" si="2297">(O237+O289+O341)/3</f>
        <v>250.57638888888889</v>
      </c>
      <c r="Y393" s="92">
        <f t="shared" ref="Y393" si="2298">(P237+P289+P341)/3</f>
        <v>250.83333333333334</v>
      </c>
      <c r="Z393" s="92">
        <f t="shared" ref="Z393" si="2299">(Q237+Q289+Q341)/3</f>
        <v>229.72916666666666</v>
      </c>
      <c r="AA393" s="92">
        <f t="shared" ref="AA393" si="2300">(R237+R289+R341)/3</f>
        <v>312.37354439592428</v>
      </c>
      <c r="AC393" s="112">
        <f>+AF393-'Figure 8_data'!I605</f>
        <v>0</v>
      </c>
      <c r="AD393" s="92">
        <f t="shared" ref="AD393" si="2301">(B393/T393-1)*100</f>
        <v>-3.5909920876445622</v>
      </c>
      <c r="AE393" s="92">
        <f t="shared" ref="AE393" si="2302">(C393/U393-1)*100</f>
        <v>-8.3831236362894792</v>
      </c>
      <c r="AF393" s="92">
        <f t="shared" ref="AF393" si="2303">(D393/V393-1)*100</f>
        <v>-2.2673727439749269</v>
      </c>
      <c r="AG393" s="92">
        <f t="shared" ref="AG393" si="2304">(E393/W393-1)*100</f>
        <v>-14.290438137227889</v>
      </c>
      <c r="AH393" s="92">
        <f t="shared" ref="AH393" si="2305">(F393/X393-1)*100</f>
        <v>16.132250644347756</v>
      </c>
      <c r="AI393" s="92">
        <f t="shared" ref="AI393" si="2306">(G393/Y393-1)*100</f>
        <v>16.01328903654484</v>
      </c>
      <c r="AJ393" s="92">
        <f t="shared" ref="AJ393" si="2307">(H393/Z393-1)*100</f>
        <v>-13.376258275142828</v>
      </c>
      <c r="AK393" s="92">
        <f t="shared" ref="AK393" si="2308">(I393/AA393-1)*100</f>
        <v>-12.604634772149426</v>
      </c>
      <c r="AM393" s="112">
        <f>AP393-'Figure 8_data'!H605</f>
        <v>0</v>
      </c>
      <c r="AN393" s="92">
        <f t="shared" ref="AN393" si="2309">(B393/B341-1)*100</f>
        <v>4.8598130841121412</v>
      </c>
      <c r="AO393" s="92">
        <f t="shared" ref="AO393" si="2310">(C393/C341-1)*100</f>
        <v>3.568464730290466</v>
      </c>
      <c r="AP393" s="92">
        <f t="shared" ref="AP393" si="2311">(D393/D341-1)*100</f>
        <v>19.052132701421808</v>
      </c>
      <c r="AQ393" s="92">
        <f t="shared" ref="AQ393" si="2312">(E393/E341-1)*100</f>
        <v>4.7272727272727355</v>
      </c>
      <c r="AR393" s="92">
        <f t="shared" ref="AR393" si="2313">(F393/F341-1)*100</f>
        <v>42.822085889570552</v>
      </c>
      <c r="AS393" s="92">
        <f t="shared" ref="AS393" si="2314">(G393/G341-1)*100</f>
        <v>42.822085889570552</v>
      </c>
      <c r="AT393" s="92">
        <f t="shared" ref="AT393" si="2315">(H393/H341-1)*100</f>
        <v>9.0410958904109542</v>
      </c>
      <c r="AU393" s="92">
        <f t="shared" ref="AU393" si="2316">(I393/I341-1)*100</f>
        <v>4.5828279871188871</v>
      </c>
    </row>
    <row r="394" spans="1:47" x14ac:dyDescent="0.3">
      <c r="A394" s="13">
        <f t="shared" si="475"/>
        <v>40337</v>
      </c>
      <c r="B394" s="92">
        <f>TWK!B339</f>
        <v>362.5</v>
      </c>
      <c r="C394" s="92">
        <f>TWK!C339</f>
        <v>298.75</v>
      </c>
      <c r="D394" s="92">
        <f>TWK!D339</f>
        <v>293.75</v>
      </c>
      <c r="E394" s="92">
        <f>TWK!E339</f>
        <v>198.75</v>
      </c>
      <c r="F394" s="92">
        <f>TWK!F339</f>
        <v>261.25</v>
      </c>
      <c r="G394" s="92">
        <f>TWK!G339</f>
        <v>261.25</v>
      </c>
      <c r="H394" s="92">
        <f>TWK!H339</f>
        <v>188.75</v>
      </c>
      <c r="I394" s="92">
        <f>TWK!I339</f>
        <v>258.81004366812226</v>
      </c>
      <c r="K394" s="92">
        <f t="shared" ref="K394" si="2317">AVERAGE(B391:B394)</f>
        <v>404.22916666666669</v>
      </c>
      <c r="L394" s="92">
        <f t="shared" ref="L394" si="2318">AVERAGE(C391:C394)</f>
        <v>340.39583333333331</v>
      </c>
      <c r="M394" s="92">
        <f t="shared" ref="M394" si="2319">AVERAGE(D391:D394)</f>
        <v>340.47916666666669</v>
      </c>
      <c r="N394" s="92">
        <f t="shared" ref="N394" si="2320">AVERAGE(E391:E394)</f>
        <v>236.1875</v>
      </c>
      <c r="O394" s="92">
        <f t="shared" ref="O394" si="2321">AVERAGE(F391:F394)</f>
        <v>305.875</v>
      </c>
      <c r="P394" s="92">
        <f t="shared" ref="P394" si="2322">AVERAGE(G391:G394)</f>
        <v>305.875</v>
      </c>
      <c r="Q394" s="92">
        <f t="shared" ref="Q394" si="2323">AVERAGE(H391:H394)</f>
        <v>221.10416666666669</v>
      </c>
      <c r="R394" s="92">
        <f t="shared" ref="R394" si="2324">AVERAGE(I391:I394)</f>
        <v>303.2072416302766</v>
      </c>
      <c r="T394" s="92">
        <f t="shared" ref="T394" si="2325">(K238+K290+K342)/3</f>
        <v>404.53472222222223</v>
      </c>
      <c r="U394" s="92">
        <f t="shared" ref="U394" si="2326">(L238+L290+L342)/3</f>
        <v>360.15972222222217</v>
      </c>
      <c r="V394" s="92">
        <f t="shared" ref="V394" si="2327">(M238+M290+M342)/3</f>
        <v>341.97916666666669</v>
      </c>
      <c r="W394" s="92">
        <f t="shared" ref="W394" si="2328">(N238+N290+N342)/3</f>
        <v>268.90277777777777</v>
      </c>
      <c r="X394" s="92">
        <f t="shared" ref="X394" si="2329">(O238+O290+O342)/3</f>
        <v>264.99305555555554</v>
      </c>
      <c r="Y394" s="92">
        <f t="shared" ref="Y394" si="2330">(P238+P290+P342)/3</f>
        <v>265.33333333333331</v>
      </c>
      <c r="Z394" s="92">
        <f t="shared" ref="Z394" si="2331">(Q238+Q290+Q342)/3</f>
        <v>248.79166666666666</v>
      </c>
      <c r="AA394" s="92">
        <f t="shared" ref="AA394" si="2332">(R238+R290+R342)/3</f>
        <v>336.36996603590489</v>
      </c>
      <c r="AC394" s="112">
        <f>+AF394-'Figure 8_data'!I606</f>
        <v>0</v>
      </c>
      <c r="AD394" s="92">
        <f t="shared" ref="AD394" si="2333">(B394/T394-1)*100</f>
        <v>-10.390881156335297</v>
      </c>
      <c r="AE394" s="92">
        <f t="shared" ref="AE394" si="2334">(C394/U394-1)*100</f>
        <v>-17.050691244239623</v>
      </c>
      <c r="AF394" s="92">
        <f t="shared" ref="AF394" si="2335">(D394/V394-1)*100</f>
        <v>-14.102954614681696</v>
      </c>
      <c r="AG394" s="92">
        <f t="shared" ref="AG394" si="2336">(E394/W394-1)*100</f>
        <v>-26.088528485098905</v>
      </c>
      <c r="AH394" s="92">
        <f t="shared" ref="AH394" si="2337">(F394/X394-1)*100</f>
        <v>-1.4125108100317085</v>
      </c>
      <c r="AI394" s="92">
        <f t="shared" ref="AI394" si="2338">(G394/Y394-1)*100</f>
        <v>-1.5389447236180853</v>
      </c>
      <c r="AJ394" s="92">
        <f t="shared" ref="AJ394" si="2339">(H394/Z394-1)*100</f>
        <v>-24.133311003182044</v>
      </c>
      <c r="AK394" s="92">
        <f t="shared" ref="AK394" si="2340">(I394/AA394-1)*100</f>
        <v>-23.057921395842961</v>
      </c>
      <c r="AM394" s="112">
        <f>AP394-'Figure 8_data'!H606</f>
        <v>0</v>
      </c>
      <c r="AN394" s="92">
        <f t="shared" ref="AN394" si="2341">(B394/B342-1)*100</f>
        <v>3.5714285714285809</v>
      </c>
      <c r="AO394" s="92">
        <f t="shared" ref="AO394" si="2342">(C394/C342-1)*100</f>
        <v>0.13966480446927498</v>
      </c>
      <c r="AP394" s="92">
        <f t="shared" ref="AP394" si="2343">(D394/D342-1)*100</f>
        <v>9.4720496894409969</v>
      </c>
      <c r="AQ394" s="92">
        <f t="shared" ref="AQ394" si="2344">(E394/E342-1)*100</f>
        <v>-1.4462809917355379</v>
      </c>
      <c r="AR394" s="92">
        <f t="shared" ref="AR394" si="2345">(F394/F342-1)*100</f>
        <v>27.439024390243905</v>
      </c>
      <c r="AS394" s="92">
        <f t="shared" ref="AS394" si="2346">(G394/G342-1)*100</f>
        <v>27.439024390243905</v>
      </c>
      <c r="AT394" s="92">
        <f t="shared" ref="AT394" si="2347">(H394/H342-1)*100</f>
        <v>2.0270270270270174</v>
      </c>
      <c r="AU394" s="92">
        <f t="shared" ref="AU394" si="2348">(I394/I342-1)*100</f>
        <v>-3.4521611642050365</v>
      </c>
    </row>
    <row r="395" spans="1:47" x14ac:dyDescent="0.3">
      <c r="A395" s="13">
        <f t="shared" si="475"/>
        <v>40344</v>
      </c>
      <c r="B395" s="92">
        <f>TWK!B340</f>
        <v>362.5</v>
      </c>
      <c r="C395" s="92">
        <f>TWK!C340</f>
        <v>302.5</v>
      </c>
      <c r="D395" s="92">
        <f>TWK!D340</f>
        <v>298.75</v>
      </c>
      <c r="E395" s="92">
        <f>TWK!E340</f>
        <v>201.25</v>
      </c>
      <c r="F395" s="92">
        <f>TWK!F340</f>
        <v>257.5</v>
      </c>
      <c r="G395" s="92">
        <f>TWK!G340</f>
        <v>257.5</v>
      </c>
      <c r="H395" s="92">
        <f>TWK!H340</f>
        <v>190</v>
      </c>
      <c r="I395" s="92">
        <f>TWK!I340</f>
        <v>260.52401746724894</v>
      </c>
      <c r="K395" s="92">
        <f t="shared" ref="K395" si="2349">AVERAGE(B392:B395)</f>
        <v>375.6875</v>
      </c>
      <c r="L395" s="92">
        <f t="shared" ref="L395" si="2350">AVERAGE(C392:C395)</f>
        <v>312.6875</v>
      </c>
      <c r="M395" s="92">
        <f t="shared" ref="M395" si="2351">AVERAGE(D392:D395)</f>
        <v>311</v>
      </c>
      <c r="N395" s="92">
        <f t="shared" ref="N395" si="2352">AVERAGE(E392:E395)</f>
        <v>211.5</v>
      </c>
      <c r="O395" s="92">
        <f t="shared" ref="O395" si="2353">AVERAGE(F392:F395)</f>
        <v>281.5</v>
      </c>
      <c r="P395" s="92">
        <f t="shared" ref="P395" si="2354">AVERAGE(G392:G395)</f>
        <v>281.5</v>
      </c>
      <c r="Q395" s="92">
        <f t="shared" ref="Q395" si="2355">AVERAGE(H392:H395)</f>
        <v>199.4375</v>
      </c>
      <c r="R395" s="92">
        <f t="shared" ref="R395" si="2356">AVERAGE(I392:I395)</f>
        <v>273.49836244541484</v>
      </c>
      <c r="T395" s="92">
        <f t="shared" ref="T395" si="2357">(K239+K291+K343)/3</f>
        <v>425.00694444444451</v>
      </c>
      <c r="U395" s="92">
        <f t="shared" ref="U395" si="2358">(L239+L291+L343)/3</f>
        <v>383.17361111111109</v>
      </c>
      <c r="V395" s="92">
        <f t="shared" ref="V395" si="2359">(M239+M291+M343)/3</f>
        <v>371.2569444444444</v>
      </c>
      <c r="W395" s="92">
        <f t="shared" ref="W395" si="2360">(N239+N291+N343)/3</f>
        <v>288.78472222222223</v>
      </c>
      <c r="X395" s="92">
        <f t="shared" ref="X395" si="2361">(O239+O291+O343)/3</f>
        <v>294.65972222222223</v>
      </c>
      <c r="Y395" s="92">
        <f t="shared" ref="Y395" si="2362">(P239+P291+P343)/3</f>
        <v>294.66666666666669</v>
      </c>
      <c r="Z395" s="92">
        <f t="shared" ref="Z395" si="2363">(Q239+Q291+Q343)/3</f>
        <v>270.8125</v>
      </c>
      <c r="AA395" s="92">
        <f t="shared" ref="AA395" si="2364">(R239+R291+R343)/3</f>
        <v>349.6356137797186</v>
      </c>
      <c r="AC395" s="112">
        <f>+AF395-'Figure 8_data'!I607</f>
        <v>0</v>
      </c>
      <c r="AD395" s="92">
        <f t="shared" ref="AD395" si="2365">(B395/T395-1)*100</f>
        <v>-14.707276024901573</v>
      </c>
      <c r="AE395" s="92">
        <f t="shared" ref="AE395" si="2366">(C395/U395-1)*100</f>
        <v>-21.054062381064565</v>
      </c>
      <c r="AF395" s="92">
        <f t="shared" ref="AF395" si="2367">(D395/V395-1)*100</f>
        <v>-19.530124763846533</v>
      </c>
      <c r="AG395" s="92">
        <f t="shared" ref="AG395" si="2368">(E395/W395-1)*100</f>
        <v>-30.311410364314064</v>
      </c>
      <c r="AH395" s="92">
        <f t="shared" ref="AH395" si="2369">(F395/X395-1)*100</f>
        <v>-12.611062666446704</v>
      </c>
      <c r="AI395" s="92">
        <f t="shared" ref="AI395" si="2370">(G395/Y395-1)*100</f>
        <v>-12.613122171945712</v>
      </c>
      <c r="AJ395" s="92">
        <f t="shared" ref="AJ395" si="2371">(H395/Z395-1)*100</f>
        <v>-29.840756981306249</v>
      </c>
      <c r="AK395" s="92">
        <f t="shared" ref="AK395" si="2372">(I395/AA395-1)*100</f>
        <v>-25.486990684139165</v>
      </c>
      <c r="AM395" s="112">
        <f>AP395-'Figure 8_data'!H607</f>
        <v>0</v>
      </c>
      <c r="AN395" s="92">
        <f t="shared" ref="AN395" si="2373">(B395/B343-1)*100</f>
        <v>3.0805687203791399</v>
      </c>
      <c r="AO395" s="92">
        <f t="shared" ref="AO395" si="2374">(C395/C343-1)*100</f>
        <v>0</v>
      </c>
      <c r="AP395" s="92">
        <f t="shared" ref="AP395" si="2375">(D395/D343-1)*100</f>
        <v>3.0172413793103425</v>
      </c>
      <c r="AQ395" s="92">
        <f t="shared" ref="AQ395" si="2376">(E395/E343-1)*100</f>
        <v>0</v>
      </c>
      <c r="AR395" s="92">
        <f t="shared" ref="AR395" si="2377">(F395/F343-1)*100</f>
        <v>25.609756097560975</v>
      </c>
      <c r="AS395" s="92">
        <f t="shared" ref="AS395" si="2378">(G395/G343-1)*100</f>
        <v>25.609756097560975</v>
      </c>
      <c r="AT395" s="92">
        <f t="shared" ref="AT395" si="2379">(H395/H343-1)*100</f>
        <v>4.8275862068965614</v>
      </c>
      <c r="AU395" s="92">
        <f t="shared" ref="AU395" si="2380">(I395/I343-1)*100</f>
        <v>4.6281194647586066</v>
      </c>
    </row>
    <row r="396" spans="1:47" x14ac:dyDescent="0.3">
      <c r="A396" s="13">
        <f t="shared" si="475"/>
        <v>40351</v>
      </c>
      <c r="B396" s="92">
        <f>TWK!B341</f>
        <v>360</v>
      </c>
      <c r="C396" s="92">
        <f>TWK!C341</f>
        <v>305</v>
      </c>
      <c r="D396" s="92">
        <f>TWK!D341</f>
        <v>298.33333333333331</v>
      </c>
      <c r="E396" s="92">
        <f>TWK!E341</f>
        <v>200</v>
      </c>
      <c r="F396" s="92">
        <f>TWK!F341</f>
        <v>236.66666666666666</v>
      </c>
      <c r="G396" s="92">
        <f>TWK!G341</f>
        <v>236.66666666666666</v>
      </c>
      <c r="H396" s="92">
        <f>TWK!H341</f>
        <v>190</v>
      </c>
      <c r="I396" s="92">
        <f>TWK!I341</f>
        <v>260.52401746724894</v>
      </c>
      <c r="K396" s="92">
        <f t="shared" ref="K396" si="2381">AVERAGE(B393:B396)</f>
        <v>364.75</v>
      </c>
      <c r="L396" s="92">
        <f t="shared" ref="L396" si="2382">AVERAGE(C393:C396)</f>
        <v>304.5625</v>
      </c>
      <c r="M396" s="92">
        <f t="shared" ref="M396" si="2383">AVERAGE(D393:D396)</f>
        <v>301.20833333333331</v>
      </c>
      <c r="N396" s="92">
        <f t="shared" ref="N396" si="2384">AVERAGE(E393:E396)</f>
        <v>204</v>
      </c>
      <c r="O396" s="92">
        <f t="shared" ref="O396" si="2385">AVERAGE(F393:F396)</f>
        <v>261.60416666666669</v>
      </c>
      <c r="P396" s="92">
        <f t="shared" ref="P396" si="2386">AVERAGE(G393:G396)</f>
        <v>261.60416666666669</v>
      </c>
      <c r="Q396" s="92">
        <f t="shared" ref="Q396" si="2387">AVERAGE(H393:H396)</f>
        <v>191.9375</v>
      </c>
      <c r="R396" s="92">
        <f t="shared" ref="R396" si="2388">AVERAGE(I393:I396)</f>
        <v>263.21451965065506</v>
      </c>
      <c r="T396" s="92">
        <f t="shared" ref="T396" si="2389">(K240+K292+K344)/3</f>
        <v>433.86111111111114</v>
      </c>
      <c r="U396" s="92">
        <f t="shared" ref="U396" si="2390">(L240+L292+L344)/3</f>
        <v>397.0694444444444</v>
      </c>
      <c r="V396" s="92">
        <f t="shared" ref="V396" si="2391">(M240+M292+M344)/3</f>
        <v>388.0069444444444</v>
      </c>
      <c r="W396" s="92">
        <f t="shared" ref="W396" si="2392">(N240+N292+N344)/3</f>
        <v>302.22222222222223</v>
      </c>
      <c r="X396" s="92">
        <f t="shared" ref="X396" si="2393">(O240+O292+O344)/3</f>
        <v>318.93055555555554</v>
      </c>
      <c r="Y396" s="92">
        <f t="shared" ref="Y396" si="2394">(P240+P292+P344)/3</f>
        <v>317.52083333333331</v>
      </c>
      <c r="Z396" s="92">
        <f t="shared" ref="Z396" si="2395">(Q240+Q292+Q344)/3</f>
        <v>278.89583333333331</v>
      </c>
      <c r="AA396" s="92">
        <f t="shared" ref="AA396" si="2396">(R240+R292+R344)/3</f>
        <v>360.73095584667635</v>
      </c>
      <c r="AC396" s="112">
        <f>+AF396-'Figure 8_data'!I608</f>
        <v>0</v>
      </c>
      <c r="AD396" s="92">
        <f t="shared" ref="AD396" si="2397">(B396/T396-1)*100</f>
        <v>-17.024137268711193</v>
      </c>
      <c r="AE396" s="92">
        <f t="shared" ref="AE396" si="2398">(C396/U396-1)*100</f>
        <v>-23.187239847493778</v>
      </c>
      <c r="AF396" s="92">
        <f t="shared" ref="AF396" si="2399">(D396/V396-1)*100</f>
        <v>-23.111341792994821</v>
      </c>
      <c r="AG396" s="92">
        <f t="shared" ref="AG396" si="2400">(E396/W396-1)*100</f>
        <v>-33.82352941176471</v>
      </c>
      <c r="AH396" s="92">
        <f t="shared" ref="AH396" si="2401">(F396/X396-1)*100</f>
        <v>-25.793668074728913</v>
      </c>
      <c r="AI396" s="92">
        <f t="shared" ref="AI396" si="2402">(G396/Y396-1)*100</f>
        <v>-25.464208385276553</v>
      </c>
      <c r="AJ396" s="92">
        <f t="shared" ref="AJ396" si="2403">(H396/Z396-1)*100</f>
        <v>-31.874206319563747</v>
      </c>
      <c r="AK396" s="92">
        <f t="shared" ref="AK396" si="2404">(I396/AA396-1)*100</f>
        <v>-27.778857554442592</v>
      </c>
      <c r="AM396" s="112">
        <f>AP396-'Figure 8_data'!H608</f>
        <v>0</v>
      </c>
      <c r="AN396" s="92">
        <f t="shared" ref="AN396" si="2405">(B396/B344-1)*100</f>
        <v>7.4626865671641784</v>
      </c>
      <c r="AO396" s="92">
        <f t="shared" ref="AO396" si="2406">(C396/C344-1)*100</f>
        <v>7.0175438596491224</v>
      </c>
      <c r="AP396" s="92">
        <f t="shared" ref="AP396" si="2407">(D396/D344-1)*100</f>
        <v>7.9939668174962231</v>
      </c>
      <c r="AQ396" s="92">
        <f t="shared" ref="AQ396" si="2408">(E396/E344-1)*100</f>
        <v>3.8961038961038863</v>
      </c>
      <c r="AR396" s="92">
        <f t="shared" ref="AR396" si="2409">(F396/F344-1)*100</f>
        <v>19.077568134171898</v>
      </c>
      <c r="AS396" s="92">
        <f t="shared" ref="AS396" si="2410">(G396/G344-1)*100</f>
        <v>19.077568134171898</v>
      </c>
      <c r="AT396" s="92">
        <f t="shared" ref="AT396" si="2411">(H396/H344-1)*100</f>
        <v>7.8014184397163122</v>
      </c>
      <c r="AU396" s="92">
        <f t="shared" ref="AU396" si="2412">(I396/I344-1)*100</f>
        <v>7.8014184397163344</v>
      </c>
    </row>
    <row r="397" spans="1:47" x14ac:dyDescent="0.3">
      <c r="A397" s="13">
        <f t="shared" si="475"/>
        <v>40358</v>
      </c>
      <c r="B397" s="92">
        <f>TWK!B342</f>
        <v>393</v>
      </c>
      <c r="C397" s="92">
        <f>TWK!C342</f>
        <v>321</v>
      </c>
      <c r="D397" s="92">
        <f>TWK!D342</f>
        <v>296</v>
      </c>
      <c r="E397" s="92">
        <f>TWK!E342</f>
        <v>200</v>
      </c>
      <c r="F397" s="92">
        <f>TWK!F342</f>
        <v>227</v>
      </c>
      <c r="G397" s="92">
        <f>TWK!G342</f>
        <v>227</v>
      </c>
      <c r="H397" s="92">
        <f>TWK!H342</f>
        <v>190</v>
      </c>
      <c r="I397" s="92">
        <f>TWK!I342</f>
        <v>260.52401746724894</v>
      </c>
      <c r="K397" s="92">
        <f t="shared" ref="K397" si="2413">AVERAGE(B394:B397)</f>
        <v>369.5</v>
      </c>
      <c r="L397" s="92">
        <f t="shared" ref="L397" si="2414">AVERAGE(C394:C397)</f>
        <v>306.8125</v>
      </c>
      <c r="M397" s="92">
        <f t="shared" ref="M397" si="2415">AVERAGE(D394:D397)</f>
        <v>296.70833333333331</v>
      </c>
      <c r="N397" s="92">
        <f t="shared" ref="N397" si="2416">AVERAGE(E394:E397)</f>
        <v>200</v>
      </c>
      <c r="O397" s="92">
        <f t="shared" ref="O397" si="2417">AVERAGE(F394:F397)</f>
        <v>245.60416666666666</v>
      </c>
      <c r="P397" s="92">
        <f t="shared" ref="P397" si="2418">AVERAGE(G394:G397)</f>
        <v>245.60416666666666</v>
      </c>
      <c r="Q397" s="92">
        <f t="shared" ref="Q397" si="2419">AVERAGE(H394:H397)</f>
        <v>189.6875</v>
      </c>
      <c r="R397" s="92">
        <f t="shared" ref="R397" si="2420">AVERAGE(I394:I397)</f>
        <v>260.09552401746731</v>
      </c>
      <c r="T397" s="92">
        <f t="shared" ref="T397" si="2421">(K241+K293+K345)/3</f>
        <v>444.6180555555556</v>
      </c>
      <c r="U397" s="92">
        <f t="shared" ref="U397" si="2422">(L241+L293+L345)/3</f>
        <v>408.65277777777777</v>
      </c>
      <c r="V397" s="92">
        <f t="shared" ref="V397" si="2423">(M241+M293+M345)/3</f>
        <v>402.8819444444444</v>
      </c>
      <c r="W397" s="92">
        <f t="shared" ref="W397" si="2424">(N241+N293+N345)/3</f>
        <v>308.78472222222223</v>
      </c>
      <c r="X397" s="92">
        <f t="shared" ref="X397" si="2425">(O241+O293+O345)/3</f>
        <v>335.3125</v>
      </c>
      <c r="Y397" s="92">
        <f t="shared" ref="Y397" si="2426">(P241+P293+P345)/3</f>
        <v>334.89583333333331</v>
      </c>
      <c r="Z397" s="92">
        <f t="shared" ref="Z397" si="2427">(Q241+Q293+Q345)/3</f>
        <v>280.4375</v>
      </c>
      <c r="AA397" s="92">
        <f t="shared" ref="AA397" si="2428">(R241+R293+R345)/3</f>
        <v>362.14452935468216</v>
      </c>
      <c r="AC397" s="112">
        <f>+AF397-'Figure 8_data'!I609</f>
        <v>0</v>
      </c>
      <c r="AD397" s="92">
        <f t="shared" ref="AD397" si="2429">(B397/T397-1)*100</f>
        <v>-11.609527528309261</v>
      </c>
      <c r="AE397" s="92">
        <f t="shared" ref="AE397" si="2430">(C397/U397-1)*100</f>
        <v>-21.449206403153998</v>
      </c>
      <c r="AF397" s="92">
        <f t="shared" ref="AF397" si="2431">(D397/V397-1)*100</f>
        <v>-26.529345858829601</v>
      </c>
      <c r="AG397" s="92">
        <f t="shared" ref="AG397" si="2432">(E397/W397-1)*100</f>
        <v>-35.229956145282806</v>
      </c>
      <c r="AH397" s="92">
        <f t="shared" ref="AH397" si="2433">(F397/X397-1)*100</f>
        <v>-32.301957129543332</v>
      </c>
      <c r="AI397" s="92">
        <f t="shared" ref="AI397" si="2434">(G397/Y397-1)*100</f>
        <v>-32.217729393468119</v>
      </c>
      <c r="AJ397" s="92">
        <f t="shared" ref="AJ397" si="2435">(H397/Z397-1)*100</f>
        <v>-32.248718520169376</v>
      </c>
      <c r="AK397" s="92">
        <f t="shared" ref="AK397" si="2436">(I397/AA397-1)*100</f>
        <v>-28.060761284593838</v>
      </c>
      <c r="AM397" s="112">
        <f>AP397-'Figure 8_data'!H609</f>
        <v>0</v>
      </c>
      <c r="AN397" s="92">
        <f t="shared" ref="AN397" si="2437">(B397/B345-1)*100</f>
        <v>23.584905660377366</v>
      </c>
      <c r="AO397" s="92">
        <f t="shared" ref="AO397" si="2438">(C397/C345-1)*100</f>
        <v>18.450184501845012</v>
      </c>
      <c r="AP397" s="92">
        <f t="shared" ref="AP397" si="2439">(D397/D345-1)*100</f>
        <v>12.547528517110273</v>
      </c>
      <c r="AQ397" s="92">
        <f t="shared" ref="AQ397" si="2440">(E397/E345-1)*100</f>
        <v>2.0408163265306145</v>
      </c>
      <c r="AR397" s="92">
        <f t="shared" ref="AR397" si="2441">(F397/F345-1)*100</f>
        <v>12.935323383084585</v>
      </c>
      <c r="AS397" s="92">
        <f t="shared" ref="AS397" si="2442">(G397/G345-1)*100</f>
        <v>12.935323383084585</v>
      </c>
      <c r="AT397" s="92">
        <f t="shared" ref="AT397" si="2443">(H397/H345-1)*100</f>
        <v>6.1452513966480549</v>
      </c>
      <c r="AU397" s="92">
        <f t="shared" ref="AU397" si="2444">(I397/I345-1)*100</f>
        <v>6.3363336601016007</v>
      </c>
    </row>
    <row r="398" spans="1:47" x14ac:dyDescent="0.3">
      <c r="A398" s="13">
        <f t="shared" si="475"/>
        <v>40365</v>
      </c>
      <c r="B398" s="92">
        <f>TWK!B343</f>
        <v>405</v>
      </c>
      <c r="C398" s="92">
        <f>TWK!C343</f>
        <v>330</v>
      </c>
      <c r="D398" s="92">
        <f>TWK!D343</f>
        <v>325</v>
      </c>
      <c r="E398" s="92">
        <f>TWK!E343</f>
        <v>224</v>
      </c>
      <c r="F398" s="92">
        <f>TWK!F343</f>
        <v>249</v>
      </c>
      <c r="G398" s="92">
        <f>TWK!G343</f>
        <v>249</v>
      </c>
      <c r="H398" s="92">
        <f>TWK!H343</f>
        <v>203</v>
      </c>
      <c r="I398" s="92">
        <f>TWK!I343</f>
        <v>278</v>
      </c>
      <c r="K398" s="92">
        <f t="shared" ref="K398" si="2445">AVERAGE(B395:B398)</f>
        <v>380.125</v>
      </c>
      <c r="L398" s="92">
        <f t="shared" ref="L398" si="2446">AVERAGE(C395:C398)</f>
        <v>314.625</v>
      </c>
      <c r="M398" s="92">
        <f t="shared" ref="M398" si="2447">AVERAGE(D395:D398)</f>
        <v>304.52083333333331</v>
      </c>
      <c r="N398" s="92">
        <f t="shared" ref="N398" si="2448">AVERAGE(E395:E398)</f>
        <v>206.3125</v>
      </c>
      <c r="O398" s="92">
        <f t="shared" ref="O398" si="2449">AVERAGE(F395:F398)</f>
        <v>242.54166666666666</v>
      </c>
      <c r="P398" s="92">
        <f t="shared" ref="P398" si="2450">AVERAGE(G395:G398)</f>
        <v>242.54166666666666</v>
      </c>
      <c r="Q398" s="92">
        <f t="shared" ref="Q398" si="2451">AVERAGE(H395:H398)</f>
        <v>193.25</v>
      </c>
      <c r="R398" s="92">
        <f t="shared" ref="R398" si="2452">AVERAGE(I395:I398)</f>
        <v>264.89301310043669</v>
      </c>
      <c r="T398" s="92">
        <f t="shared" ref="T398" si="2453">(K242+K294+K346)/3</f>
        <v>447.95138888888891</v>
      </c>
      <c r="U398" s="92">
        <f t="shared" ref="U398" si="2454">(L242+L294+L346)/3</f>
        <v>411.125</v>
      </c>
      <c r="V398" s="92">
        <f t="shared" ref="V398" si="2455">(M242+M294+M346)/3</f>
        <v>405.1875</v>
      </c>
      <c r="W398" s="92">
        <f t="shared" ref="W398" si="2456">(N242+N294+N346)/3</f>
        <v>308.3125</v>
      </c>
      <c r="X398" s="92">
        <f t="shared" ref="X398" si="2457">(O242+O294+O346)/3</f>
        <v>340.8125</v>
      </c>
      <c r="Y398" s="92">
        <f t="shared" ref="Y398" si="2458">(P242+P294+P346)/3</f>
        <v>340.3125</v>
      </c>
      <c r="Z398" s="92">
        <f t="shared" ref="Z398" si="2459">(Q242+Q294+Q346)/3</f>
        <v>273.85416666666669</v>
      </c>
      <c r="AA398" s="92">
        <f t="shared" ref="AA398" si="2460">(R242+R294+R346)/3</f>
        <v>356.4725254730713</v>
      </c>
      <c r="AC398" s="112">
        <f>+AF398-'Figure 8_data'!I610</f>
        <v>0</v>
      </c>
      <c r="AD398" s="92">
        <f t="shared" ref="AD398" si="2461">(B398/T398-1)*100</f>
        <v>-9.5884039996899535</v>
      </c>
      <c r="AE398" s="92">
        <f t="shared" ref="AE398" si="2462">(C398/U398-1)*100</f>
        <v>-19.732441471571903</v>
      </c>
      <c r="AF398" s="92">
        <f t="shared" ref="AF398" si="2463">(D398/V398-1)*100</f>
        <v>-19.790220576893415</v>
      </c>
      <c r="AG398" s="92">
        <f t="shared" ref="AG398" si="2464">(E398/W398-1)*100</f>
        <v>-27.346442327184274</v>
      </c>
      <c r="AH398" s="92">
        <f t="shared" ref="AH398" si="2465">(F398/X398-1)*100</f>
        <v>-26.939299468182654</v>
      </c>
      <c r="AI398" s="92">
        <f t="shared" ref="AI398" si="2466">(G398/Y398-1)*100</f>
        <v>-26.831955922865014</v>
      </c>
      <c r="AJ398" s="92">
        <f t="shared" ref="AJ398" si="2467">(H398/Z398-1)*100</f>
        <v>-25.872955496386464</v>
      </c>
      <c r="AK398" s="92">
        <f t="shared" ref="AK398" si="2468">(I398/AA398-1)*100</f>
        <v>-22.01362513672861</v>
      </c>
      <c r="AM398" s="112">
        <f>AP398-'Figure 8_data'!H610</f>
        <v>0</v>
      </c>
      <c r="AN398" s="92">
        <f t="shared" ref="AN398" si="2469">(B398/B346-1)*100</f>
        <v>29.392971246006393</v>
      </c>
      <c r="AO398" s="92">
        <f t="shared" ref="AO398" si="2470">(C398/C346-1)*100</f>
        <v>25.475285171102669</v>
      </c>
      <c r="AP398" s="92">
        <f t="shared" ref="AP398" si="2471">(D398/D346-1)*100</f>
        <v>30.522088353413658</v>
      </c>
      <c r="AQ398" s="92">
        <f t="shared" ref="AQ398" si="2472">(E398/E346-1)*100</f>
        <v>12.562814070351758</v>
      </c>
      <c r="AR398" s="92">
        <f t="shared" ref="AR398" si="2473">(F398/F346-1)*100</f>
        <v>27.040816326530614</v>
      </c>
      <c r="AS398" s="92">
        <f t="shared" ref="AS398" si="2474">(G398/G346-1)*100</f>
        <v>27.040816326530614</v>
      </c>
      <c r="AT398" s="92">
        <f t="shared" ref="AT398" si="2475">(H398/H346-1)*100</f>
        <v>14.04494382022472</v>
      </c>
      <c r="AU398" s="92">
        <f t="shared" ref="AU398" si="2476">(I398/I346-1)*100</f>
        <v>14.403292181069949</v>
      </c>
    </row>
    <row r="399" spans="1:47" x14ac:dyDescent="0.3">
      <c r="A399" s="13">
        <f t="shared" si="475"/>
        <v>40372</v>
      </c>
      <c r="B399" s="92">
        <f>TWK!B344</f>
        <v>458.75</v>
      </c>
      <c r="C399" s="92">
        <f>TWK!C344</f>
        <v>391.25</v>
      </c>
      <c r="D399" s="92">
        <f>TWK!D344</f>
        <v>387.5</v>
      </c>
      <c r="E399" s="92">
        <f>TWK!E344</f>
        <v>293.75</v>
      </c>
      <c r="F399" s="92">
        <f>TWK!F344</f>
        <v>302.5</v>
      </c>
      <c r="G399" s="92">
        <f>TWK!G344</f>
        <v>302.5</v>
      </c>
      <c r="H399" s="92">
        <f>TWK!H344</f>
        <v>267.5</v>
      </c>
      <c r="I399" s="92">
        <f>TWK!I344</f>
        <v>366.79039301310041</v>
      </c>
      <c r="K399" s="92">
        <f t="shared" ref="K399" si="2477">AVERAGE(B396:B399)</f>
        <v>404.1875</v>
      </c>
      <c r="L399" s="92">
        <f t="shared" ref="L399" si="2478">AVERAGE(C396:C399)</f>
        <v>336.8125</v>
      </c>
      <c r="M399" s="92">
        <f t="shared" ref="M399" si="2479">AVERAGE(D396:D399)</f>
        <v>326.70833333333331</v>
      </c>
      <c r="N399" s="92">
        <f t="shared" ref="N399" si="2480">AVERAGE(E396:E399)</f>
        <v>229.4375</v>
      </c>
      <c r="O399" s="92">
        <f t="shared" ref="O399" si="2481">AVERAGE(F396:F399)</f>
        <v>253.79166666666666</v>
      </c>
      <c r="P399" s="92">
        <f t="shared" ref="P399" si="2482">AVERAGE(G396:G399)</f>
        <v>253.79166666666666</v>
      </c>
      <c r="Q399" s="92">
        <f t="shared" ref="Q399" si="2483">AVERAGE(H396:H399)</f>
        <v>212.625</v>
      </c>
      <c r="R399" s="92">
        <f t="shared" ref="R399" si="2484">AVERAGE(I396:I399)</f>
        <v>291.45960698689959</v>
      </c>
      <c r="T399" s="92">
        <f t="shared" ref="T399" si="2485">(K243+K295+K347)/3</f>
        <v>453.20833333333331</v>
      </c>
      <c r="U399" s="92">
        <f t="shared" ref="U399" si="2486">(L243+L295+L347)/3</f>
        <v>408.5</v>
      </c>
      <c r="V399" s="92">
        <f t="shared" ref="V399" si="2487">(M243+M295+M347)/3</f>
        <v>396.52083333333331</v>
      </c>
      <c r="W399" s="92">
        <f t="shared" ref="W399" si="2488">(N243+N295+N347)/3</f>
        <v>304.125</v>
      </c>
      <c r="X399" s="92">
        <f t="shared" ref="X399" si="2489">(O243+O295+O347)/3</f>
        <v>328.0625</v>
      </c>
      <c r="Y399" s="92">
        <f t="shared" ref="Y399" si="2490">(P243+P295+P347)/3</f>
        <v>327.8125</v>
      </c>
      <c r="Z399" s="92">
        <f t="shared" ref="Z399" si="2491">(Q243+Q295+Q347)/3</f>
        <v>265.95833333333331</v>
      </c>
      <c r="AA399" s="92">
        <f t="shared" ref="AA399" si="2492">(R243+R295+R347)/3</f>
        <v>361.40920669577872</v>
      </c>
      <c r="AC399" s="112">
        <f>+AF399-'Figure 8_data'!I611</f>
        <v>0</v>
      </c>
      <c r="AD399" s="92">
        <f t="shared" ref="AD399" si="2493">(B399/T399-1)*100</f>
        <v>1.2227636296773037</v>
      </c>
      <c r="AE399" s="92">
        <f t="shared" ref="AE399" si="2494">(C399/U399-1)*100</f>
        <v>-4.2227662178702552</v>
      </c>
      <c r="AF399" s="92">
        <f t="shared" ref="AF399" si="2495">(D399/V399-1)*100</f>
        <v>-2.2749960594756424</v>
      </c>
      <c r="AG399" s="92">
        <f t="shared" ref="AG399" si="2496">(E399/W399-1)*100</f>
        <v>-3.4114262227702419</v>
      </c>
      <c r="AH399" s="92">
        <f t="shared" ref="AH399" si="2497">(F399/X399-1)*100</f>
        <v>-7.7919603734044607</v>
      </c>
      <c r="AI399" s="92">
        <f t="shared" ref="AI399" si="2498">(G399/Y399-1)*100</f>
        <v>-7.7216396568160146</v>
      </c>
      <c r="AJ399" s="92">
        <f t="shared" ref="AJ399" si="2499">(H399/Z399-1)*100</f>
        <v>0.57966473445090205</v>
      </c>
      <c r="AK399" s="92">
        <f t="shared" ref="AK399" si="2500">(I399/AA399-1)*100</f>
        <v>1.4889455546857056</v>
      </c>
      <c r="AM399" s="112">
        <f>AP399-'Figure 8_data'!H611</f>
        <v>0</v>
      </c>
      <c r="AN399" s="92">
        <f t="shared" ref="AN399" si="2501">(B399/B347-1)*100</f>
        <v>31.541218637992841</v>
      </c>
      <c r="AO399" s="92">
        <f t="shared" ref="AO399" si="2502">(C399/C347-1)*100</f>
        <v>38.741134751773053</v>
      </c>
      <c r="AP399" s="92">
        <f t="shared" ref="AP399" si="2503">(D399/D347-1)*100</f>
        <v>43.518518518518512</v>
      </c>
      <c r="AQ399" s="92">
        <f t="shared" ref="AQ399" si="2504">(E399/E347-1)*100</f>
        <v>53.795811518324598</v>
      </c>
      <c r="AR399" s="92">
        <f t="shared" ref="AR399" si="2505">(F399/F347-1)*100</f>
        <v>50.497512437810954</v>
      </c>
      <c r="AS399" s="92">
        <f t="shared" ref="AS399" si="2506">(G399/G347-1)*100</f>
        <v>50.497512437810954</v>
      </c>
      <c r="AT399" s="92">
        <f t="shared" ref="AT399" si="2507">(H399/H347-1)*100</f>
        <v>46.575342465753437</v>
      </c>
      <c r="AU399" s="92">
        <f t="shared" ref="AU399" si="2508">(I399/I347-1)*100</f>
        <v>46.575342465753408</v>
      </c>
    </row>
    <row r="400" spans="1:47" x14ac:dyDescent="0.3">
      <c r="A400" s="13">
        <f t="shared" si="475"/>
        <v>40379</v>
      </c>
      <c r="B400" s="92">
        <f>TWK!B345</f>
        <v>496.25</v>
      </c>
      <c r="C400" s="92">
        <f>TWK!C345</f>
        <v>427.5</v>
      </c>
      <c r="D400" s="92">
        <f>TWK!D345</f>
        <v>425</v>
      </c>
      <c r="E400" s="92">
        <f>TWK!E345</f>
        <v>325</v>
      </c>
      <c r="F400" s="92">
        <f>TWK!F345</f>
        <v>405</v>
      </c>
      <c r="G400" s="92">
        <f>TWK!G345</f>
        <v>405</v>
      </c>
      <c r="H400" s="92">
        <f>TWK!H345</f>
        <v>313.75</v>
      </c>
      <c r="I400" s="92">
        <f>TWK!I345</f>
        <v>430.20742358078604</v>
      </c>
      <c r="K400" s="92">
        <f t="shared" ref="K400" si="2509">AVERAGE(B397:B400)</f>
        <v>438.25</v>
      </c>
      <c r="L400" s="92">
        <f t="shared" ref="L400" si="2510">AVERAGE(C397:C400)</f>
        <v>367.4375</v>
      </c>
      <c r="M400" s="92">
        <f t="shared" ref="M400" si="2511">AVERAGE(D397:D400)</f>
        <v>358.375</v>
      </c>
      <c r="N400" s="92">
        <f t="shared" ref="N400" si="2512">AVERAGE(E397:E400)</f>
        <v>260.6875</v>
      </c>
      <c r="O400" s="92">
        <f t="shared" ref="O400" si="2513">AVERAGE(F397:F400)</f>
        <v>295.875</v>
      </c>
      <c r="P400" s="92">
        <f t="shared" ref="P400" si="2514">AVERAGE(G397:G400)</f>
        <v>295.875</v>
      </c>
      <c r="Q400" s="92">
        <f t="shared" ref="Q400" si="2515">AVERAGE(H397:H400)</f>
        <v>243.5625</v>
      </c>
      <c r="R400" s="92">
        <f t="shared" ref="R400" si="2516">AVERAGE(I397:I400)</f>
        <v>333.88045851528386</v>
      </c>
      <c r="T400" s="92">
        <f t="shared" ref="T400" si="2517">(K244+K296+K348)/3</f>
        <v>460.8125</v>
      </c>
      <c r="U400" s="92">
        <f t="shared" ref="U400" si="2518">(L244+L296+L348)/3</f>
        <v>409.58333333333331</v>
      </c>
      <c r="V400" s="92">
        <f t="shared" ref="V400" si="2519">(M244+M296+M348)/3</f>
        <v>397</v>
      </c>
      <c r="W400" s="92">
        <f t="shared" ref="W400" si="2520">(N244+N296+N348)/3</f>
        <v>305.16666666666669</v>
      </c>
      <c r="X400" s="92">
        <f t="shared" ref="X400" si="2521">(O244+O296+O348)/3</f>
        <v>320.41666666666669</v>
      </c>
      <c r="Y400" s="92">
        <f t="shared" ref="Y400" si="2522">(P244+P296+P348)/3</f>
        <v>321.16666666666669</v>
      </c>
      <c r="Z400" s="92">
        <f t="shared" ref="Z400" si="2523">(Q244+Q296+Q348)/3</f>
        <v>271.79166666666669</v>
      </c>
      <c r="AA400" s="92">
        <f t="shared" ref="AA400" si="2524">(R244+R296+R348)/3</f>
        <v>365.10334788937411</v>
      </c>
      <c r="AC400" s="112">
        <f>+AF400-'Figure 8_data'!I612</f>
        <v>0</v>
      </c>
      <c r="AD400" s="92">
        <f t="shared" ref="AD400" si="2525">(B400/T400-1)*100</f>
        <v>7.6902210769022039</v>
      </c>
      <c r="AE400" s="92">
        <f t="shared" ref="AE400" si="2526">(C400/U400-1)*100</f>
        <v>4.3743641912512787</v>
      </c>
      <c r="AF400" s="92">
        <f t="shared" ref="AF400" si="2527">(D400/V400-1)*100</f>
        <v>7.0528967254408048</v>
      </c>
      <c r="AG400" s="92">
        <f t="shared" ref="AG400" si="2528">(E400/W400-1)*100</f>
        <v>6.4991807755324871</v>
      </c>
      <c r="AH400" s="92">
        <f t="shared" ref="AH400" si="2529">(F400/X400-1)*100</f>
        <v>26.397919375812727</v>
      </c>
      <c r="AI400" s="92">
        <f t="shared" ref="AI400" si="2530">(G400/Y400-1)*100</f>
        <v>26.102750389206019</v>
      </c>
      <c r="AJ400" s="92">
        <f t="shared" ref="AJ400" si="2531">(H400/Z400-1)*100</f>
        <v>15.437682048137358</v>
      </c>
      <c r="AK400" s="92">
        <f t="shared" ref="AK400" si="2532">(I400/AA400-1)*100</f>
        <v>17.831684115681789</v>
      </c>
      <c r="AM400" s="112">
        <f>AP400-'Figure 8_data'!H612</f>
        <v>0</v>
      </c>
      <c r="AN400" s="92">
        <f t="shared" ref="AN400" si="2533">(B400/B348-1)*100</f>
        <v>39.7887323943662</v>
      </c>
      <c r="AO400" s="92">
        <f t="shared" ref="AO400" si="2534">(C400/C348-1)*100</f>
        <v>43.456375838926164</v>
      </c>
      <c r="AP400" s="92">
        <f t="shared" ref="AP400" si="2535">(D400/D348-1)*100</f>
        <v>42.617449664429529</v>
      </c>
      <c r="AQ400" s="92">
        <f t="shared" ref="AQ400" si="2536">(E400/E348-1)*100</f>
        <v>44.444444444444443</v>
      </c>
      <c r="AR400" s="92">
        <f t="shared" ref="AR400" si="2537">(F400/F348-1)*100</f>
        <v>90.140845070422529</v>
      </c>
      <c r="AS400" s="92">
        <f t="shared" ref="AS400" si="2538">(G400/G348-1)*100</f>
        <v>90.140845070422529</v>
      </c>
      <c r="AT400" s="92">
        <f t="shared" ref="AT400" si="2539">(H400/H348-1)*100</f>
        <v>53.048780487804883</v>
      </c>
      <c r="AU400" s="92">
        <f t="shared" ref="AU400" si="2540">(I400/I348-1)*100</f>
        <v>53.098727252948777</v>
      </c>
    </row>
    <row r="401" spans="1:47" x14ac:dyDescent="0.3">
      <c r="A401" s="13">
        <f t="shared" si="475"/>
        <v>40386</v>
      </c>
      <c r="B401" s="92">
        <f>TWK!B346</f>
        <v>461.66666666666669</v>
      </c>
      <c r="C401" s="92">
        <f>TWK!C346</f>
        <v>396.66666666666669</v>
      </c>
      <c r="D401" s="92">
        <f>TWK!D346</f>
        <v>388.33333333333331</v>
      </c>
      <c r="E401" s="92">
        <f>TWK!E346</f>
        <v>298.33333333333331</v>
      </c>
      <c r="F401" s="92">
        <f>TWK!F346</f>
        <v>396.66666666666669</v>
      </c>
      <c r="G401" s="92">
        <f>TWK!G346</f>
        <v>396.66666666666669</v>
      </c>
      <c r="H401" s="92">
        <f>TWK!H346</f>
        <v>290</v>
      </c>
      <c r="I401" s="92">
        <f>TWK!I346</f>
        <v>381.76128093158667</v>
      </c>
      <c r="K401" s="92">
        <f t="shared" ref="K401" si="2541">AVERAGE(B398:B401)</f>
        <v>455.41666666666669</v>
      </c>
      <c r="L401" s="92">
        <f t="shared" ref="L401" si="2542">AVERAGE(C398:C401)</f>
        <v>386.35416666666669</v>
      </c>
      <c r="M401" s="92">
        <f t="shared" ref="M401" si="2543">AVERAGE(D398:D401)</f>
        <v>381.45833333333331</v>
      </c>
      <c r="N401" s="92">
        <f t="shared" ref="N401" si="2544">AVERAGE(E398:E401)</f>
        <v>285.27083333333331</v>
      </c>
      <c r="O401" s="92">
        <f t="shared" ref="O401" si="2545">AVERAGE(F398:F401)</f>
        <v>338.29166666666669</v>
      </c>
      <c r="P401" s="92">
        <f t="shared" ref="P401" si="2546">AVERAGE(G398:G401)</f>
        <v>338.29166666666669</v>
      </c>
      <c r="Q401" s="92">
        <f t="shared" ref="Q401" si="2547">AVERAGE(H398:H401)</f>
        <v>268.5625</v>
      </c>
      <c r="R401" s="92">
        <f t="shared" ref="R401" si="2548">AVERAGE(I398:I401)</f>
        <v>364.1897743813683</v>
      </c>
      <c r="T401" s="92">
        <f t="shared" ref="T401" si="2549">(K245+K297+K349)/3</f>
        <v>461.5069444444444</v>
      </c>
      <c r="U401" s="92">
        <f t="shared" ref="U401" si="2550">(L245+L297+L349)/3</f>
        <v>409.83333333333331</v>
      </c>
      <c r="V401" s="92">
        <f t="shared" ref="V401" si="2551">(M245+M297+M349)/3</f>
        <v>392.625</v>
      </c>
      <c r="W401" s="92">
        <f t="shared" ref="W401" si="2552">(N245+N297+N349)/3</f>
        <v>307.89583333333331</v>
      </c>
      <c r="X401" s="92">
        <f t="shared" ref="X401" si="2553">(O245+O297+O349)/3</f>
        <v>316.77777777777777</v>
      </c>
      <c r="Y401" s="92">
        <f t="shared" ref="Y401" si="2554">(P245+P297+P349)/3</f>
        <v>316.77777777777777</v>
      </c>
      <c r="Z401" s="92">
        <f t="shared" ref="Z401" si="2555">(Q245+Q297+Q349)/3</f>
        <v>277.70833333333331</v>
      </c>
      <c r="AA401" s="92">
        <f t="shared" ref="AA401" si="2556">(R245+R297+R349)/3</f>
        <v>372.80167394468708</v>
      </c>
      <c r="AC401" s="112">
        <f>+AF401-'Figure 8_data'!I613</f>
        <v>0</v>
      </c>
      <c r="AD401" s="92">
        <f t="shared" ref="AD401" si="2557">(B401/T401-1)*100</f>
        <v>3.4608844816963469E-2</v>
      </c>
      <c r="AE401" s="92">
        <f t="shared" ref="AE401" si="2558">(C401/U401-1)*100</f>
        <v>-3.212688084587223</v>
      </c>
      <c r="AF401" s="92">
        <f t="shared" ref="AF401" si="2559">(D401/V401-1)*100</f>
        <v>-1.0930701475114102</v>
      </c>
      <c r="AG401" s="92">
        <f t="shared" ref="AG401" si="2560">(E401/W401-1)*100</f>
        <v>-3.1057581703768822</v>
      </c>
      <c r="AH401" s="92">
        <f t="shared" ref="AH401" si="2561">(F401/X401-1)*100</f>
        <v>25.219221325850594</v>
      </c>
      <c r="AI401" s="92">
        <f t="shared" ref="AI401" si="2562">(G401/Y401-1)*100</f>
        <v>25.219221325850594</v>
      </c>
      <c r="AJ401" s="92">
        <f t="shared" ref="AJ401" si="2563">(H401/Z401-1)*100</f>
        <v>4.4261065266316679</v>
      </c>
      <c r="AK401" s="92">
        <f t="shared" ref="AK401" si="2564">(I401/AA401-1)*100</f>
        <v>2.4033172630627542</v>
      </c>
      <c r="AM401" s="112">
        <f>AP401-'Figure 8_data'!H613</f>
        <v>0</v>
      </c>
      <c r="AN401" s="92">
        <f t="shared" ref="AN401" si="2565">(B401/B349-1)*100</f>
        <v>38.500000000000021</v>
      </c>
      <c r="AO401" s="92">
        <f t="shared" ref="AO401" si="2566">(C401/C349-1)*100</f>
        <v>39.181286549707607</v>
      </c>
      <c r="AP401" s="92">
        <f t="shared" ref="AP401" si="2567">(D401/D349-1)*100</f>
        <v>35.072463768115924</v>
      </c>
      <c r="AQ401" s="92">
        <f t="shared" ref="AQ401" si="2568">(E401/E349-1)*100</f>
        <v>30.418943533697629</v>
      </c>
      <c r="AR401" s="92">
        <f t="shared" ref="AR401" si="2569">(F401/F349-1)*100</f>
        <v>70</v>
      </c>
      <c r="AS401" s="92">
        <f t="shared" ref="AS401" si="2570">(G401/G349-1)*100</f>
        <v>70</v>
      </c>
      <c r="AT401" s="92">
        <f t="shared" ref="AT401" si="2571">(H401/H349-1)*100</f>
        <v>48.717948717948723</v>
      </c>
      <c r="AU401" s="92">
        <f t="shared" ref="AU401" si="2572">(I401/I349-1)*100</f>
        <v>42.778594370951062</v>
      </c>
    </row>
    <row r="402" spans="1:47" x14ac:dyDescent="0.3">
      <c r="A402" s="13">
        <f t="shared" si="475"/>
        <v>40393</v>
      </c>
      <c r="B402" s="92">
        <f>TWK!B347</f>
        <v>452.5</v>
      </c>
      <c r="C402" s="92">
        <f>TWK!C347</f>
        <v>386.25</v>
      </c>
      <c r="D402" s="92">
        <f>TWK!D347</f>
        <v>371.25</v>
      </c>
      <c r="E402" s="92">
        <f>TWK!E347</f>
        <v>296.25</v>
      </c>
      <c r="F402" s="92">
        <f>TWK!F347</f>
        <v>393.75</v>
      </c>
      <c r="G402" s="92">
        <f>TWK!G347</f>
        <v>393.75</v>
      </c>
      <c r="H402" s="92">
        <f>TWK!H347</f>
        <v>288.75</v>
      </c>
      <c r="I402" s="92">
        <f>TWK!I347</f>
        <v>395.9279475982533</v>
      </c>
      <c r="K402" s="92">
        <f t="shared" ref="K402" si="2573">AVERAGE(B399:B402)</f>
        <v>467.29166666666669</v>
      </c>
      <c r="L402" s="92">
        <f t="shared" ref="L402" si="2574">AVERAGE(C399:C402)</f>
        <v>400.41666666666669</v>
      </c>
      <c r="M402" s="92">
        <f t="shared" ref="M402" si="2575">AVERAGE(D399:D402)</f>
        <v>393.02083333333331</v>
      </c>
      <c r="N402" s="92">
        <f t="shared" ref="N402" si="2576">AVERAGE(E399:E402)</f>
        <v>303.33333333333331</v>
      </c>
      <c r="O402" s="92">
        <f t="shared" ref="O402" si="2577">AVERAGE(F399:F402)</f>
        <v>374.47916666666669</v>
      </c>
      <c r="P402" s="92">
        <f t="shared" ref="P402" si="2578">AVERAGE(G399:G402)</f>
        <v>374.47916666666669</v>
      </c>
      <c r="Q402" s="92">
        <f t="shared" ref="Q402" si="2579">AVERAGE(H399:H402)</f>
        <v>290</v>
      </c>
      <c r="R402" s="92">
        <f t="shared" ref="R402" si="2580">AVERAGE(I399:I402)</f>
        <v>393.67176128093161</v>
      </c>
      <c r="T402" s="92">
        <f t="shared" ref="T402" si="2581">(K246+K298+K350)/3</f>
        <v>459.92361111111109</v>
      </c>
      <c r="U402" s="92">
        <f t="shared" ref="U402" si="2582">(L246+L298+L350)/3</f>
        <v>409.77083333333331</v>
      </c>
      <c r="V402" s="92">
        <f t="shared" ref="V402" si="2583">(M246+M298+M350)/3</f>
        <v>397.14583333333331</v>
      </c>
      <c r="W402" s="92">
        <f t="shared" ref="W402" si="2584">(N246+N298+N350)/3</f>
        <v>321.11805555555554</v>
      </c>
      <c r="X402" s="92">
        <f t="shared" ref="X402" si="2585">(O246+O298+O350)/3</f>
        <v>323.0555555555556</v>
      </c>
      <c r="Y402" s="92">
        <f t="shared" ref="Y402" si="2586">(P246+P298+P350)/3</f>
        <v>323.0555555555556</v>
      </c>
      <c r="Z402" s="92">
        <f t="shared" ref="Z402" si="2587">(Q246+Q298+Q350)/3</f>
        <v>297.125</v>
      </c>
      <c r="AA402" s="92">
        <f t="shared" ref="AA402" si="2588">(R246+R298+R350)/3</f>
        <v>393.85735080058225</v>
      </c>
      <c r="AC402" s="112">
        <f>+AF402-'Figure 8_data'!I614</f>
        <v>0</v>
      </c>
      <c r="AD402" s="92">
        <f t="shared" ref="AD402" si="2589">(B402/T402-1)*100</f>
        <v>-1.6140965438101063</v>
      </c>
      <c r="AE402" s="92">
        <f t="shared" ref="AE402" si="2590">(C402/U402-1)*100</f>
        <v>-5.7399969495144587</v>
      </c>
      <c r="AF402" s="92">
        <f t="shared" ref="AF402" si="2591">(D402/V402-1)*100</f>
        <v>-6.5204847085978068</v>
      </c>
      <c r="AG402" s="92">
        <f t="shared" ref="AG402" si="2592">(E402/W402-1)*100</f>
        <v>-7.7442096840466217</v>
      </c>
      <c r="AH402" s="92">
        <f t="shared" ref="AH402" si="2593">(F402/X402-1)*100</f>
        <v>21.883061049011165</v>
      </c>
      <c r="AI402" s="92">
        <f t="shared" ref="AI402" si="2594">(G402/Y402-1)*100</f>
        <v>21.883061049011165</v>
      </c>
      <c r="AJ402" s="92">
        <f t="shared" ref="AJ402" si="2595">(H402/Z402-1)*100</f>
        <v>-2.8186790071518697</v>
      </c>
      <c r="AK402" s="92">
        <f t="shared" ref="AK402" si="2596">(I402/AA402-1)*100</f>
        <v>0.52572252198981317</v>
      </c>
      <c r="AM402" s="112">
        <f>AP402-'Figure 8_data'!H614</f>
        <v>0</v>
      </c>
      <c r="AN402" s="92">
        <f t="shared" ref="AN402" si="2597">(B402/B350-1)*100</f>
        <v>43.650793650793652</v>
      </c>
      <c r="AO402" s="92">
        <f t="shared" ref="AO402" si="2598">(C402/C350-1)*100</f>
        <v>39.819004524886871</v>
      </c>
      <c r="AP402" s="92">
        <f t="shared" ref="AP402" si="2599">(D402/D350-1)*100</f>
        <v>34.389140271493225</v>
      </c>
      <c r="AQ402" s="92">
        <f t="shared" ref="AQ402" si="2600">(E402/E350-1)*100</f>
        <v>36.730769230769234</v>
      </c>
      <c r="AR402" s="92">
        <f t="shared" ref="AR402" si="2601">(F402/F350-1)*100</f>
        <v>61.815068493150683</v>
      </c>
      <c r="AS402" s="92">
        <f t="shared" ref="AS402" si="2602">(G402/G350-1)*100</f>
        <v>61.815068493150683</v>
      </c>
      <c r="AT402" s="92">
        <f t="shared" ref="AT402" si="2603">(H402/H350-1)*100</f>
        <v>56.081081081081074</v>
      </c>
      <c r="AU402" s="92">
        <f t="shared" ref="AU402" si="2604">(I402/I350-1)*100</f>
        <v>56.081081081081074</v>
      </c>
    </row>
    <row r="403" spans="1:47" x14ac:dyDescent="0.3">
      <c r="A403" s="13">
        <f t="shared" si="475"/>
        <v>40400</v>
      </c>
      <c r="B403" s="92">
        <f>TWK!B348</f>
        <v>461</v>
      </c>
      <c r="C403" s="92">
        <f>TWK!C348</f>
        <v>438</v>
      </c>
      <c r="D403" s="92">
        <f>TWK!D348</f>
        <v>433</v>
      </c>
      <c r="E403" s="92">
        <f>TWK!E348</f>
        <v>377</v>
      </c>
      <c r="F403" s="92">
        <f>TWK!F348</f>
        <v>447</v>
      </c>
      <c r="G403" s="92">
        <f>TWK!G348</f>
        <v>447</v>
      </c>
      <c r="H403" s="92">
        <f>TWK!H348</f>
        <v>375</v>
      </c>
      <c r="I403" s="92">
        <f>TWK!I348</f>
        <v>514.19213973799128</v>
      </c>
      <c r="K403" s="92">
        <f t="shared" ref="K403" si="2605">AVERAGE(B400:B403)</f>
        <v>467.85416666666669</v>
      </c>
      <c r="L403" s="92">
        <f t="shared" ref="L403" si="2606">AVERAGE(C400:C403)</f>
        <v>412.10416666666669</v>
      </c>
      <c r="M403" s="92">
        <f t="shared" ref="M403" si="2607">AVERAGE(D400:D403)</f>
        <v>404.39583333333331</v>
      </c>
      <c r="N403" s="92">
        <f t="shared" ref="N403" si="2608">AVERAGE(E400:E403)</f>
        <v>324.14583333333331</v>
      </c>
      <c r="O403" s="92">
        <f t="shared" ref="O403" si="2609">AVERAGE(F400:F403)</f>
        <v>410.60416666666669</v>
      </c>
      <c r="P403" s="92">
        <f t="shared" ref="P403" si="2610">AVERAGE(G400:G403)</f>
        <v>410.60416666666669</v>
      </c>
      <c r="Q403" s="92">
        <f t="shared" ref="Q403" si="2611">AVERAGE(H400:H403)</f>
        <v>316.875</v>
      </c>
      <c r="R403" s="92">
        <f t="shared" ref="R403" si="2612">AVERAGE(I400:I403)</f>
        <v>430.52219796215434</v>
      </c>
      <c r="T403" s="92">
        <f t="shared" ref="T403" si="2613">(K247+K299+K351)/3</f>
        <v>450.36111111111109</v>
      </c>
      <c r="U403" s="92">
        <f t="shared" ref="U403" si="2614">(L247+L299+L351)/3</f>
        <v>414.60416666666669</v>
      </c>
      <c r="V403" s="92">
        <f t="shared" ref="V403" si="2615">(M247+M299+M351)/3</f>
        <v>405.14583333333331</v>
      </c>
      <c r="W403" s="92">
        <f t="shared" ref="W403" si="2616">(N247+N299+N351)/3</f>
        <v>341.76388888888891</v>
      </c>
      <c r="X403" s="92">
        <f t="shared" ref="X403" si="2617">(O247+O299+O351)/3</f>
        <v>340.4305555555556</v>
      </c>
      <c r="Y403" s="92">
        <f t="shared" ref="Y403" si="2618">(P247+P299+P351)/3</f>
        <v>340.4305555555556</v>
      </c>
      <c r="Z403" s="92">
        <f t="shared" ref="Z403" si="2619">(Q247+Q299+Q351)/3</f>
        <v>322.4375</v>
      </c>
      <c r="AA403" s="92">
        <f t="shared" ref="AA403" si="2620">(R247+R299+R351)/3</f>
        <v>435.69887190684136</v>
      </c>
      <c r="AC403" s="112">
        <f>+AF403-'Figure 8_data'!I615</f>
        <v>0</v>
      </c>
      <c r="AD403" s="92">
        <f t="shared" ref="AD403" si="2621">(B403/T403-1)*100</f>
        <v>2.3623018565348763</v>
      </c>
      <c r="AE403" s="92">
        <f t="shared" ref="AE403" si="2622">(C403/U403-1)*100</f>
        <v>5.6429325159539578</v>
      </c>
      <c r="AF403" s="92">
        <f t="shared" ref="AF403" si="2623">(D403/V403-1)*100</f>
        <v>6.8750964158996286</v>
      </c>
      <c r="AG403" s="92">
        <f t="shared" ref="AG403" si="2624">(E403/W403-1)*100</f>
        <v>10.310074369081956</v>
      </c>
      <c r="AH403" s="92">
        <f t="shared" ref="AH403" si="2625">(F403/X403-1)*100</f>
        <v>31.304312349557328</v>
      </c>
      <c r="AI403" s="92">
        <f t="shared" ref="AI403" si="2626">(G403/Y403-1)*100</f>
        <v>31.304312349557328</v>
      </c>
      <c r="AJ403" s="92">
        <f t="shared" ref="AJ403" si="2627">(H403/Z403-1)*100</f>
        <v>16.301608838922267</v>
      </c>
      <c r="AK403" s="92">
        <f t="shared" ref="AK403" si="2628">(I403/AA403-1)*100</f>
        <v>18.015485669637641</v>
      </c>
      <c r="AM403" s="112">
        <f>AP403-'Figure 8_data'!H615</f>
        <v>0</v>
      </c>
      <c r="AN403" s="92">
        <f t="shared" ref="AN403" si="2629">(B403/B351-1)*100</f>
        <v>48.112449799196774</v>
      </c>
      <c r="AO403" s="92">
        <f t="shared" ref="AO403" si="2630">(C403/C351-1)*100</f>
        <v>55.319148936170201</v>
      </c>
      <c r="AP403" s="92">
        <f t="shared" ref="AP403" si="2631">(D403/D351-1)*100</f>
        <v>54.642857142857146</v>
      </c>
      <c r="AQ403" s="92">
        <f t="shared" ref="AQ403" si="2632">(E403/E351-1)*100</f>
        <v>76.374269005847964</v>
      </c>
      <c r="AR403" s="92">
        <f t="shared" ref="AR403" si="2633">(F403/F351-1)*100</f>
        <v>77.029702970297038</v>
      </c>
      <c r="AS403" s="92">
        <f t="shared" ref="AS403" si="2634">(G403/G351-1)*100</f>
        <v>77.029702970297038</v>
      </c>
      <c r="AT403" s="92">
        <f t="shared" ref="AT403" si="2635">(H403/H351-1)*100</f>
        <v>101.34228187919464</v>
      </c>
      <c r="AU403" s="92">
        <f t="shared" ref="AU403" si="2636">(I403/I351-1)*100</f>
        <v>101.44561823703006</v>
      </c>
    </row>
    <row r="404" spans="1:47" x14ac:dyDescent="0.3">
      <c r="A404" s="13">
        <f t="shared" si="475"/>
        <v>40407</v>
      </c>
      <c r="B404" s="92">
        <f>TWK!B349</f>
        <v>456</v>
      </c>
      <c r="C404" s="92">
        <f>TWK!C349</f>
        <v>435</v>
      </c>
      <c r="D404" s="92">
        <f>TWK!D349</f>
        <v>437</v>
      </c>
      <c r="E404" s="92">
        <f>TWK!E349</f>
        <v>392</v>
      </c>
      <c r="F404" s="92">
        <f>TWK!F349</f>
        <v>461</v>
      </c>
      <c r="G404" s="92">
        <f>TWK!G349</f>
        <v>461</v>
      </c>
      <c r="H404" s="92">
        <f>TWK!H349</f>
        <v>392</v>
      </c>
      <c r="I404" s="92">
        <f>TWK!I349</f>
        <v>491.82532751091702</v>
      </c>
      <c r="K404" s="92">
        <f t="shared" ref="K404" si="2637">AVERAGE(B401:B404)</f>
        <v>457.79166666666669</v>
      </c>
      <c r="L404" s="92">
        <f t="shared" ref="L404" si="2638">AVERAGE(C401:C404)</f>
        <v>413.97916666666669</v>
      </c>
      <c r="M404" s="92">
        <f t="shared" ref="M404" si="2639">AVERAGE(D401:D404)</f>
        <v>407.39583333333331</v>
      </c>
      <c r="N404" s="92">
        <f t="shared" ref="N404" si="2640">AVERAGE(E401:E404)</f>
        <v>340.89583333333331</v>
      </c>
      <c r="O404" s="92">
        <f t="shared" ref="O404" si="2641">AVERAGE(F401:F404)</f>
        <v>424.60416666666669</v>
      </c>
      <c r="P404" s="92">
        <f t="shared" ref="P404" si="2642">AVERAGE(G401:G404)</f>
        <v>424.60416666666669</v>
      </c>
      <c r="Q404" s="92">
        <f t="shared" ref="Q404" si="2643">AVERAGE(H401:H404)</f>
        <v>336.4375</v>
      </c>
      <c r="R404" s="92">
        <f t="shared" ref="R404" si="2644">AVERAGE(I401:I404)</f>
        <v>445.92667394468708</v>
      </c>
      <c r="T404" s="92">
        <f t="shared" ref="T404" si="2645">(K248+K300+K352)/3</f>
        <v>449.4444444444444</v>
      </c>
      <c r="U404" s="92">
        <f t="shared" ref="U404" si="2646">(L248+L300+L352)/3</f>
        <v>428.60416666666669</v>
      </c>
      <c r="V404" s="92">
        <f t="shared" ref="V404" si="2647">(M248+M300+M352)/3</f>
        <v>422.3125</v>
      </c>
      <c r="W404" s="92">
        <f t="shared" ref="W404" si="2648">(N248+N300+N352)/3</f>
        <v>382.84722222222223</v>
      </c>
      <c r="X404" s="92">
        <f t="shared" ref="X404" si="2649">(O248+O300+O352)/3</f>
        <v>377.34722222222223</v>
      </c>
      <c r="Y404" s="92">
        <f t="shared" ref="Y404" si="2650">(P248+P300+P352)/3</f>
        <v>377.34722222222223</v>
      </c>
      <c r="Z404" s="92">
        <f t="shared" ref="Z404" si="2651">(Q248+Q300+Q352)/3</f>
        <v>374.10416666666669</v>
      </c>
      <c r="AA404" s="92">
        <f t="shared" ref="AA404" si="2652">(R248+R300+R352)/3</f>
        <v>509.78220524017473</v>
      </c>
      <c r="AC404" s="112">
        <f>+AF404-'Figure 8_data'!I616</f>
        <v>0</v>
      </c>
      <c r="AD404" s="92">
        <f t="shared" ref="AD404" si="2653">(B404/T404-1)*100</f>
        <v>1.4585908529048286</v>
      </c>
      <c r="AE404" s="92">
        <f t="shared" ref="AE404" si="2654">(C404/U404-1)*100</f>
        <v>1.4922471200116583</v>
      </c>
      <c r="AF404" s="92">
        <f t="shared" ref="AF404" si="2655">(D404/V404-1)*100</f>
        <v>3.4778747965073187</v>
      </c>
      <c r="AG404" s="92">
        <f t="shared" ref="AG404" si="2656">(E404/W404-1)*100</f>
        <v>2.3907128605115124</v>
      </c>
      <c r="AH404" s="92">
        <f t="shared" ref="AH404" si="2657">(F404/X404-1)*100</f>
        <v>22.168648091574951</v>
      </c>
      <c r="AI404" s="92">
        <f t="shared" ref="AI404" si="2658">(G404/Y404-1)*100</f>
        <v>22.168648091574951</v>
      </c>
      <c r="AJ404" s="92">
        <f t="shared" ref="AJ404" si="2659">(H404/Z404-1)*100</f>
        <v>4.7836498301498054</v>
      </c>
      <c r="AK404" s="92">
        <f t="shared" ref="AK404" si="2660">(I404/AA404-1)*100</f>
        <v>-3.5224606792223501</v>
      </c>
      <c r="AM404" s="112">
        <f>AP404-'Figure 8_data'!H616</f>
        <v>0</v>
      </c>
      <c r="AN404" s="92">
        <f t="shared" ref="AN404" si="2661">(B404/B352-1)*100</f>
        <v>32.173913043478251</v>
      </c>
      <c r="AO404" s="92">
        <f t="shared" ref="AO404" si="2662">(C404/C352-1)*100</f>
        <v>34.259259259259252</v>
      </c>
      <c r="AP404" s="92">
        <f t="shared" ref="AP404" si="2663">(D404/D352-1)*100</f>
        <v>35.714285714285722</v>
      </c>
      <c r="AQ404" s="92">
        <f t="shared" ref="AQ404" si="2664">(E404/E352-1)*100</f>
        <v>44.649446494464939</v>
      </c>
      <c r="AR404" s="92">
        <f t="shared" ref="AR404" si="2665">(F404/F352-1)*100</f>
        <v>46.815286624203821</v>
      </c>
      <c r="AS404" s="92">
        <f t="shared" ref="AS404" si="2666">(G404/G352-1)*100</f>
        <v>46.815286624203821</v>
      </c>
      <c r="AT404" s="92">
        <f t="shared" ref="AT404" si="2667">(H404/H352-1)*100</f>
        <v>49.049429657794683</v>
      </c>
      <c r="AU404" s="92">
        <f t="shared" ref="AU404" si="2668">(I404/I352-1)*100</f>
        <v>36.618146530810279</v>
      </c>
    </row>
    <row r="405" spans="1:47" x14ac:dyDescent="0.3">
      <c r="A405" s="13">
        <f t="shared" si="475"/>
        <v>40414</v>
      </c>
      <c r="B405" s="92">
        <f>TWK!B350</f>
        <v>481.25</v>
      </c>
      <c r="C405" s="92">
        <f>TWK!C350</f>
        <v>456.25</v>
      </c>
      <c r="D405" s="92">
        <f>TWK!D350</f>
        <v>456.25</v>
      </c>
      <c r="E405" s="92">
        <f>TWK!E350</f>
        <v>450</v>
      </c>
      <c r="F405" s="92">
        <f>TWK!F350</f>
        <v>551.25</v>
      </c>
      <c r="G405" s="92">
        <f>TWK!G350</f>
        <v>551.25</v>
      </c>
      <c r="H405" s="92">
        <f>TWK!H350</f>
        <v>437.5</v>
      </c>
      <c r="I405" s="92">
        <f>TWK!I350</f>
        <v>479.91266375545854</v>
      </c>
      <c r="K405" s="92">
        <f t="shared" ref="K405" si="2669">AVERAGE(B402:B405)</f>
        <v>462.6875</v>
      </c>
      <c r="L405" s="92">
        <f t="shared" ref="L405" si="2670">AVERAGE(C402:C405)</f>
        <v>428.875</v>
      </c>
      <c r="M405" s="92">
        <f t="shared" ref="M405" si="2671">AVERAGE(D402:D405)</f>
        <v>424.375</v>
      </c>
      <c r="N405" s="92">
        <f t="shared" ref="N405" si="2672">AVERAGE(E402:E405)</f>
        <v>378.8125</v>
      </c>
      <c r="O405" s="92">
        <f t="shared" ref="O405" si="2673">AVERAGE(F402:F405)</f>
        <v>463.25</v>
      </c>
      <c r="P405" s="92">
        <f t="shared" ref="P405" si="2674">AVERAGE(G402:G405)</f>
        <v>463.25</v>
      </c>
      <c r="Q405" s="92">
        <f t="shared" ref="Q405" si="2675">AVERAGE(H402:H405)</f>
        <v>373.3125</v>
      </c>
      <c r="R405" s="92">
        <f t="shared" ref="R405" si="2676">AVERAGE(I402:I405)</f>
        <v>470.46451965065501</v>
      </c>
      <c r="T405" s="92">
        <f t="shared" ref="T405" si="2677">(K249+K301+K353)/3</f>
        <v>458.66666666666669</v>
      </c>
      <c r="U405" s="92">
        <f t="shared" ref="U405" si="2678">(L249+L301+L353)/3</f>
        <v>458.27083333333331</v>
      </c>
      <c r="V405" s="92">
        <f t="shared" ref="V405" si="2679">(M249+M301+M353)/3</f>
        <v>458.10416666666669</v>
      </c>
      <c r="W405" s="92">
        <f t="shared" ref="W405" si="2680">(N249+N301+N353)/3</f>
        <v>443.03472222222223</v>
      </c>
      <c r="X405" s="92">
        <f t="shared" ref="X405" si="2681">(O249+O301+O353)/3</f>
        <v>437.31944444444451</v>
      </c>
      <c r="Y405" s="92">
        <f t="shared" ref="Y405" si="2682">(P249+P301+P353)/3</f>
        <v>437.73611111111114</v>
      </c>
      <c r="Z405" s="92">
        <f t="shared" ref="Z405" si="2683">(Q249+Q301+Q353)/3</f>
        <v>450.9375</v>
      </c>
      <c r="AA405" s="92">
        <f t="shared" ref="AA405" si="2684">(R249+R301+R353)/3</f>
        <v>597.33387918486176</v>
      </c>
      <c r="AC405" s="112">
        <f>+AF405-'Figure 8_data'!I617</f>
        <v>0</v>
      </c>
      <c r="AD405" s="92">
        <f t="shared" ref="AD405" si="2685">(B405/T405-1)*100</f>
        <v>4.923691860465107</v>
      </c>
      <c r="AE405" s="92">
        <f t="shared" ref="AE405" si="2686">(C405/U405-1)*100</f>
        <v>-0.44096922307587105</v>
      </c>
      <c r="AF405" s="92">
        <f t="shared" ref="AF405" si="2687">(D405/V405-1)*100</f>
        <v>-0.40474782845968393</v>
      </c>
      <c r="AG405" s="92">
        <f t="shared" ref="AG405" si="2688">(E405/W405-1)*100</f>
        <v>1.5721742401680228</v>
      </c>
      <c r="AH405" s="92">
        <f t="shared" ref="AH405" si="2689">(F405/X405-1)*100</f>
        <v>26.052021469177731</v>
      </c>
      <c r="AI405" s="92">
        <f t="shared" ref="AI405" si="2690">(G405/Y405-1)*100</f>
        <v>25.932036678617877</v>
      </c>
      <c r="AJ405" s="92">
        <f t="shared" ref="AJ405" si="2691">(H405/Z405-1)*100</f>
        <v>-2.9799029799029819</v>
      </c>
      <c r="AK405" s="92">
        <f t="shared" ref="AK405" si="2692">(I405/AA405-1)*100</f>
        <v>-19.657551583988408</v>
      </c>
      <c r="AM405" s="112">
        <f>AP405-'Figure 8_data'!H617</f>
        <v>0</v>
      </c>
      <c r="AN405" s="92">
        <f t="shared" ref="AN405" si="2693">(B405/B353-1)*100</f>
        <v>36.331444759206796</v>
      </c>
      <c r="AO405" s="92">
        <f t="shared" ref="AO405" si="2694">(C405/C353-1)*100</f>
        <v>34.985207100591722</v>
      </c>
      <c r="AP405" s="92">
        <f t="shared" ref="AP405" si="2695">(D405/D353-1)*100</f>
        <v>34.191176470588225</v>
      </c>
      <c r="AQ405" s="92">
        <f t="shared" ref="AQ405" si="2696">(E405/E353-1)*100</f>
        <v>59.010600706713781</v>
      </c>
      <c r="AR405" s="92">
        <f t="shared" ref="AR405" si="2697">(F405/F353-1)*100</f>
        <v>53.125</v>
      </c>
      <c r="AS405" s="92">
        <f t="shared" ref="AS405" si="2698">(G405/G353-1)*100</f>
        <v>53.125</v>
      </c>
      <c r="AT405" s="92">
        <f t="shared" ref="AT405" si="2699">(H405/H353-1)*100</f>
        <v>40.224358974358964</v>
      </c>
      <c r="AU405" s="92">
        <f t="shared" ref="AU405" si="2700">(I405/I353-1)*100</f>
        <v>12.391724532894276</v>
      </c>
    </row>
    <row r="406" spans="1:47" x14ac:dyDescent="0.3">
      <c r="A406" s="13">
        <f t="shared" si="475"/>
        <v>40421</v>
      </c>
      <c r="B406" s="92">
        <f>TWK!B351</f>
        <v>506.25</v>
      </c>
      <c r="C406" s="92">
        <f>TWK!C351</f>
        <v>493.75</v>
      </c>
      <c r="D406" s="92">
        <f>TWK!D351</f>
        <v>506.25</v>
      </c>
      <c r="E406" s="92">
        <f>TWK!E351</f>
        <v>525</v>
      </c>
      <c r="F406" s="92">
        <f>TWK!F351</f>
        <v>616.25</v>
      </c>
      <c r="G406" s="92">
        <f>TWK!G351</f>
        <v>616.25</v>
      </c>
      <c r="H406" s="92">
        <f>TWK!H351</f>
        <v>500</v>
      </c>
      <c r="I406" s="92">
        <f>TWK!I351</f>
        <v>685.58951965065501</v>
      </c>
      <c r="K406" s="92">
        <f t="shared" ref="K406" si="2701">AVERAGE(B403:B406)</f>
        <v>476.125</v>
      </c>
      <c r="L406" s="92">
        <f t="shared" ref="L406" si="2702">AVERAGE(C403:C406)</f>
        <v>455.75</v>
      </c>
      <c r="M406" s="92">
        <f t="shared" ref="M406" si="2703">AVERAGE(D403:D406)</f>
        <v>458.125</v>
      </c>
      <c r="N406" s="92">
        <f t="shared" ref="N406" si="2704">AVERAGE(E403:E406)</f>
        <v>436</v>
      </c>
      <c r="O406" s="92">
        <f t="shared" ref="O406" si="2705">AVERAGE(F403:F406)</f>
        <v>518.875</v>
      </c>
      <c r="P406" s="92">
        <f t="shared" ref="P406" si="2706">AVERAGE(G403:G406)</f>
        <v>518.875</v>
      </c>
      <c r="Q406" s="92">
        <f t="shared" ref="Q406" si="2707">AVERAGE(H403:H406)</f>
        <v>426.125</v>
      </c>
      <c r="R406" s="92">
        <f t="shared" ref="R406" si="2708">AVERAGE(I403:I406)</f>
        <v>542.87991266375548</v>
      </c>
      <c r="T406" s="92">
        <f t="shared" ref="T406" si="2709">(K250+K302+K354)/3</f>
        <v>477.83333333333331</v>
      </c>
      <c r="U406" s="92">
        <f t="shared" ref="U406" si="2710">(L250+L302+L354)/3</f>
        <v>498.58333333333331</v>
      </c>
      <c r="V406" s="92">
        <f t="shared" ref="V406" si="2711">(M250+M302+M354)/3</f>
        <v>504.16666666666669</v>
      </c>
      <c r="W406" s="92">
        <f t="shared" ref="W406" si="2712">(N250+N302+N354)/3</f>
        <v>511.3125</v>
      </c>
      <c r="X406" s="92">
        <f t="shared" ref="X406" si="2713">(O250+O302+O354)/3</f>
        <v>504.875</v>
      </c>
      <c r="Y406" s="92">
        <f t="shared" ref="Y406" si="2714">(P250+P302+P354)/3</f>
        <v>506.625</v>
      </c>
      <c r="Z406" s="92">
        <f t="shared" ref="Z406" si="2715">(Q250+Q302+Q354)/3</f>
        <v>524.10416666666663</v>
      </c>
      <c r="AA406" s="92">
        <f t="shared" ref="AA406" si="2716">(R250+R302+R354)/3</f>
        <v>698.36153566229984</v>
      </c>
      <c r="AC406" s="112">
        <f>+AF406-'Figure 8_data'!I618</f>
        <v>0</v>
      </c>
      <c r="AD406" s="92">
        <f t="shared" ref="AD406" si="2717">(B406/T406-1)*100</f>
        <v>5.9469829089640713</v>
      </c>
      <c r="AE406" s="92">
        <f t="shared" ref="AE406" si="2718">(C406/U406-1)*100</f>
        <v>-0.96941333779040351</v>
      </c>
      <c r="AF406" s="92">
        <f t="shared" ref="AF406" si="2719">(D406/V406-1)*100</f>
        <v>0.41322314049585529</v>
      </c>
      <c r="AG406" s="92">
        <f t="shared" ref="AG406" si="2720">(E406/W406-1)*100</f>
        <v>2.6769343601026785</v>
      </c>
      <c r="AH406" s="92">
        <f t="shared" ref="AH406" si="2721">(F406/X406-1)*100</f>
        <v>22.059915820747712</v>
      </c>
      <c r="AI406" s="92">
        <f t="shared" ref="AI406" si="2722">(G406/Y406-1)*100</f>
        <v>21.63829262274859</v>
      </c>
      <c r="AJ406" s="92">
        <f t="shared" ref="AJ406" si="2723">(H406/Z406-1)*100</f>
        <v>-4.5991175418372503</v>
      </c>
      <c r="AK406" s="92">
        <f t="shared" ref="AK406" si="2724">(I406/AA406-1)*100</f>
        <v>-1.8288544485102975</v>
      </c>
      <c r="AM406" s="112">
        <f>AP406-'Figure 8_data'!H618</f>
        <v>0</v>
      </c>
      <c r="AN406" s="92">
        <f t="shared" ref="AN406" si="2725">(B406/B354-1)*100</f>
        <v>41.410614525139657</v>
      </c>
      <c r="AO406" s="92">
        <f t="shared" ref="AO406" si="2726">(C406/C354-1)*100</f>
        <v>39.872521246458923</v>
      </c>
      <c r="AP406" s="92">
        <f t="shared" ref="AP406" si="2727">(D406/D354-1)*100</f>
        <v>42.605633802816897</v>
      </c>
      <c r="AQ406" s="92">
        <f t="shared" ref="AQ406" si="2728">(E406/E354-1)*100</f>
        <v>62.037037037037045</v>
      </c>
      <c r="AR406" s="92">
        <f t="shared" ref="AR406" si="2729">(F406/F354-1)*100</f>
        <v>64.772727272727266</v>
      </c>
      <c r="AS406" s="92">
        <f t="shared" ref="AS406" si="2730">(G406/G354-1)*100</f>
        <v>62.171052631578938</v>
      </c>
      <c r="AT406" s="92">
        <f t="shared" ref="AT406" si="2731">(H406/H354-1)*100</f>
        <v>54.320987654320987</v>
      </c>
      <c r="AU406" s="92">
        <f t="shared" ref="AU406" si="2732">(I406/I354-1)*100</f>
        <v>54.412053975372743</v>
      </c>
    </row>
    <row r="407" spans="1:47" x14ac:dyDescent="0.3">
      <c r="A407" s="13">
        <f t="shared" si="475"/>
        <v>40428</v>
      </c>
      <c r="B407" s="92">
        <f>TWK!B352</f>
        <v>506.25</v>
      </c>
      <c r="C407" s="92">
        <f>TWK!C352</f>
        <v>500</v>
      </c>
      <c r="D407" s="92">
        <f>TWK!D352</f>
        <v>495</v>
      </c>
      <c r="E407" s="92">
        <f>TWK!E352</f>
        <v>506.25</v>
      </c>
      <c r="F407" s="92">
        <f>TWK!F352</f>
        <v>602.5</v>
      </c>
      <c r="G407" s="92">
        <f>TWK!G352</f>
        <v>602.5</v>
      </c>
      <c r="H407" s="92">
        <f>TWK!H352</f>
        <v>487.5</v>
      </c>
      <c r="I407" s="92">
        <f>TWK!I352</f>
        <v>668.44978165938869</v>
      </c>
      <c r="K407" s="92">
        <f t="shared" ref="K407" si="2733">AVERAGE(B404:B407)</f>
        <v>487.4375</v>
      </c>
      <c r="L407" s="92">
        <f t="shared" ref="L407" si="2734">AVERAGE(C404:C407)</f>
        <v>471.25</v>
      </c>
      <c r="M407" s="92">
        <f t="shared" ref="M407" si="2735">AVERAGE(D404:D407)</f>
        <v>473.625</v>
      </c>
      <c r="N407" s="92">
        <f t="shared" ref="N407" si="2736">AVERAGE(E404:E407)</f>
        <v>468.3125</v>
      </c>
      <c r="O407" s="92">
        <f t="shared" ref="O407" si="2737">AVERAGE(F404:F407)</f>
        <v>557.75</v>
      </c>
      <c r="P407" s="92">
        <f t="shared" ref="P407" si="2738">AVERAGE(G404:G407)</f>
        <v>557.75</v>
      </c>
      <c r="Q407" s="92">
        <f t="shared" ref="Q407" si="2739">AVERAGE(H404:H407)</f>
        <v>454.25</v>
      </c>
      <c r="R407" s="92">
        <f t="shared" ref="R407" si="2740">AVERAGE(I404:I407)</f>
        <v>581.44432314410483</v>
      </c>
      <c r="T407" s="92">
        <f t="shared" ref="T407" si="2741">(K251+K303+K355)/3</f>
        <v>493.72916666666669</v>
      </c>
      <c r="U407" s="92">
        <f t="shared" ref="U407" si="2742">(L251+L303+L355)/3</f>
        <v>520.89583333333337</v>
      </c>
      <c r="V407" s="92">
        <f t="shared" ref="V407" si="2743">(M251+M303+M355)/3</f>
        <v>534.35416666666663</v>
      </c>
      <c r="W407" s="92">
        <f t="shared" ref="W407" si="2744">(N251+N303+N355)/3</f>
        <v>545.58333333333337</v>
      </c>
      <c r="X407" s="92">
        <f t="shared" ref="X407" si="2745">(O251+O303+O355)/3</f>
        <v>547.04166666666663</v>
      </c>
      <c r="Y407" s="92">
        <f t="shared" ref="Y407" si="2746">(P251+P303+P355)/3</f>
        <v>547.64583333333337</v>
      </c>
      <c r="Z407" s="92">
        <f t="shared" ref="Z407" si="2747">(Q251+Q303+Q355)/3</f>
        <v>557.79166666666663</v>
      </c>
      <c r="AA407" s="92">
        <f t="shared" ref="AA407" si="2748">(R251+R303+R355)/3</f>
        <v>736.60116448326062</v>
      </c>
      <c r="AC407" s="112">
        <f>+AF407-'Figure 8_data'!I619</f>
        <v>0</v>
      </c>
      <c r="AD407" s="92">
        <f t="shared" ref="AD407" si="2749">(B407/T407-1)*100</f>
        <v>2.5359719819401549</v>
      </c>
      <c r="AE407" s="92">
        <f t="shared" ref="AE407" si="2750">(C407/U407-1)*100</f>
        <v>-4.0115186177658746</v>
      </c>
      <c r="AF407" s="92">
        <f t="shared" ref="AF407" si="2751">(D407/V407-1)*100</f>
        <v>-7.3648095442317318</v>
      </c>
      <c r="AG407" s="92">
        <f t="shared" ref="AG407" si="2752">(E407/W407-1)*100</f>
        <v>-7.2094088895677473</v>
      </c>
      <c r="AH407" s="92">
        <f t="shared" ref="AH407" si="2753">(F407/X407-1)*100</f>
        <v>10.137862746591519</v>
      </c>
      <c r="AI407" s="92">
        <f t="shared" ref="AI407" si="2754">(G407/Y407-1)*100</f>
        <v>10.01635789553772</v>
      </c>
      <c r="AJ407" s="92">
        <f t="shared" ref="AJ407" si="2755">(H407/Z407-1)*100</f>
        <v>-12.601777844177175</v>
      </c>
      <c r="AK407" s="92">
        <f t="shared" ref="AK407" si="2756">(I407/AA407-1)*100</f>
        <v>-9.2521416079597625</v>
      </c>
      <c r="AM407" s="112">
        <f>AP407-'Figure 8_data'!H619</f>
        <v>0</v>
      </c>
      <c r="AN407" s="92">
        <f t="shared" ref="AN407" si="2757">(B407/B355-1)*100</f>
        <v>43.109540636042396</v>
      </c>
      <c r="AO407" s="92">
        <f t="shared" ref="AO407" si="2758">(C407/C355-1)*100</f>
        <v>52.091254752851704</v>
      </c>
      <c r="AP407" s="92">
        <f t="shared" ref="AP407" si="2759">(D407/D355-1)*100</f>
        <v>47.211895910780676</v>
      </c>
      <c r="AQ407" s="92">
        <f t="shared" ref="AQ407" si="2760">(E407/E355-1)*100</f>
        <v>68.75</v>
      </c>
      <c r="AR407" s="92">
        <f t="shared" ref="AR407" si="2761">(F407/F355-1)*100</f>
        <v>73.381294964028783</v>
      </c>
      <c r="AS407" s="92">
        <f t="shared" ref="AS407" si="2762">(G407/G355-1)*100</f>
        <v>67.944250871080129</v>
      </c>
      <c r="AT407" s="92">
        <f t="shared" ref="AT407" si="2763">(H407/H355-1)*100</f>
        <v>69.565217391304344</v>
      </c>
      <c r="AU407" s="92">
        <f t="shared" ref="AU407" si="2764">(I407/I355-1)*100</f>
        <v>69.565217391304344</v>
      </c>
    </row>
    <row r="408" spans="1:47" x14ac:dyDescent="0.3">
      <c r="A408" s="13">
        <f t="shared" si="475"/>
        <v>40435</v>
      </c>
      <c r="B408" s="92">
        <f>TWK!B353</f>
        <v>483.33333333333331</v>
      </c>
      <c r="C408" s="92">
        <f>TWK!C353</f>
        <v>480</v>
      </c>
      <c r="D408" s="92">
        <f>TWK!D353</f>
        <v>483.75</v>
      </c>
      <c r="E408" s="92">
        <f>TWK!E353</f>
        <v>475</v>
      </c>
      <c r="F408" s="92">
        <f>TWK!F353</f>
        <v>546.66666666666663</v>
      </c>
      <c r="G408" s="92">
        <f>TWK!G353</f>
        <v>546.66666666666663</v>
      </c>
      <c r="H408" s="92">
        <f>TWK!H353</f>
        <v>463.33333333333331</v>
      </c>
      <c r="I408" s="92">
        <f>TWK!I353</f>
        <v>476.48471615720518</v>
      </c>
      <c r="K408" s="92">
        <f t="shared" ref="K408" si="2765">AVERAGE(B405:B408)</f>
        <v>494.27083333333331</v>
      </c>
      <c r="L408" s="92">
        <f t="shared" ref="L408" si="2766">AVERAGE(C405:C408)</f>
        <v>482.5</v>
      </c>
      <c r="M408" s="92">
        <f t="shared" ref="M408" si="2767">AVERAGE(D405:D408)</f>
        <v>485.3125</v>
      </c>
      <c r="N408" s="92">
        <f t="shared" ref="N408" si="2768">AVERAGE(E405:E408)</f>
        <v>489.0625</v>
      </c>
      <c r="O408" s="92">
        <f t="shared" ref="O408" si="2769">AVERAGE(F405:F408)</f>
        <v>579.16666666666663</v>
      </c>
      <c r="P408" s="92">
        <f t="shared" ref="P408" si="2770">AVERAGE(G405:G408)</f>
        <v>579.16666666666663</v>
      </c>
      <c r="Q408" s="92">
        <f t="shared" ref="Q408" si="2771">AVERAGE(H405:H408)</f>
        <v>472.08333333333331</v>
      </c>
      <c r="R408" s="92">
        <f t="shared" ref="R408" si="2772">AVERAGE(I405:I408)</f>
        <v>577.6091703056768</v>
      </c>
      <c r="T408" s="92">
        <f t="shared" ref="T408" si="2773">(K252+K304+K356)/3</f>
        <v>509.95138888888891</v>
      </c>
      <c r="U408" s="92">
        <f t="shared" ref="U408" si="2774">(L252+L304+L356)/3</f>
        <v>541.34027777777771</v>
      </c>
      <c r="V408" s="92">
        <f t="shared" ref="V408" si="2775">(M252+M304+M356)/3</f>
        <v>557.52083333333337</v>
      </c>
      <c r="W408" s="92">
        <f t="shared" ref="W408" si="2776">(N252+N304+N356)/3</f>
        <v>553.47222222222229</v>
      </c>
      <c r="X408" s="92">
        <f t="shared" ref="X408" si="2777">(O252+O304+O356)/3</f>
        <v>576.48611111111109</v>
      </c>
      <c r="Y408" s="92">
        <f t="shared" ref="Y408" si="2778">(P252+P304+P356)/3</f>
        <v>576.84027777777771</v>
      </c>
      <c r="Z408" s="92">
        <f t="shared" ref="Z408" si="2779">(Q252+Q304+Q356)/3</f>
        <v>555.45833333333337</v>
      </c>
      <c r="AA408" s="92">
        <f t="shared" ref="AA408" si="2780">(R252+R304+R356)/3</f>
        <v>723.56077147016015</v>
      </c>
      <c r="AC408" s="112">
        <f>+AF408-'Figure 8_data'!I620</f>
        <v>0</v>
      </c>
      <c r="AD408" s="92">
        <f t="shared" ref="AD408" si="2781">(B408/T408-1)*100</f>
        <v>-5.2197241022428731</v>
      </c>
      <c r="AE408" s="92">
        <f t="shared" ref="AE408" si="2782">(C408/U408-1)*100</f>
        <v>-11.331186740728372</v>
      </c>
      <c r="AF408" s="92">
        <f t="shared" ref="AF408" si="2783">(D408/V408-1)*100</f>
        <v>-13.23194200515676</v>
      </c>
      <c r="AG408" s="92">
        <f t="shared" ref="AG408" si="2784">(E408/W408-1)*100</f>
        <v>-14.178168130489343</v>
      </c>
      <c r="AH408" s="92">
        <f t="shared" ref="AH408" si="2785">(F408/X408-1)*100</f>
        <v>-5.1726214855325576</v>
      </c>
      <c r="AI408" s="92">
        <f t="shared" ref="AI408" si="2786">(G408/Y408-1)*100</f>
        <v>-5.2308433154758305</v>
      </c>
      <c r="AJ408" s="92">
        <f t="shared" ref="AJ408" si="2787">(H408/Z408-1)*100</f>
        <v>-16.585402445427956</v>
      </c>
      <c r="AK408" s="92">
        <f t="shared" ref="AK408" si="2788">(I408/AA408-1)*100</f>
        <v>-34.147243058925902</v>
      </c>
      <c r="AM408" s="112">
        <f>AP408-'Figure 8_data'!H620</f>
        <v>0</v>
      </c>
      <c r="AN408" s="92">
        <f t="shared" ref="AN408" si="2789">(B408/B356-1)*100</f>
        <v>39.42307692307692</v>
      </c>
      <c r="AO408" s="92">
        <f t="shared" ref="AO408" si="2790">(C408/C356-1)*100</f>
        <v>44.000000000000014</v>
      </c>
      <c r="AP408" s="92">
        <f t="shared" ref="AP408" si="2791">(D408/D356-1)*100</f>
        <v>44.402985074626855</v>
      </c>
      <c r="AQ408" s="92">
        <f t="shared" ref="AQ408" si="2792">(E408/E356-1)*100</f>
        <v>54.891304347826079</v>
      </c>
      <c r="AR408" s="92">
        <f t="shared" ref="AR408" si="2793">(F408/F356-1)*100</f>
        <v>56.937799043062199</v>
      </c>
      <c r="AS408" s="92">
        <f t="shared" ref="AS408" si="2794">(G408/G356-1)*100</f>
        <v>59.22330097087378</v>
      </c>
      <c r="AT408" s="92">
        <f t="shared" ref="AT408" si="2795">(H408/H356-1)*100</f>
        <v>54.444444444444429</v>
      </c>
      <c r="AU408" s="92">
        <f t="shared" ref="AU408" si="2796">(I408/I356-1)*100</f>
        <v>54.444444444444429</v>
      </c>
    </row>
    <row r="409" spans="1:47" x14ac:dyDescent="0.3">
      <c r="A409" s="13">
        <f t="shared" si="475"/>
        <v>40442</v>
      </c>
      <c r="B409" s="92">
        <f>TWK!B354</f>
        <v>531.25</v>
      </c>
      <c r="C409" s="92">
        <f>TWK!C354</f>
        <v>522.5</v>
      </c>
      <c r="D409" s="92">
        <f>TWK!D354</f>
        <v>545</v>
      </c>
      <c r="E409" s="92">
        <f>TWK!E354</f>
        <v>500</v>
      </c>
      <c r="F409" s="92">
        <f>TWK!F354</f>
        <v>587.5</v>
      </c>
      <c r="G409" s="92">
        <f>TWK!G354</f>
        <v>587.5</v>
      </c>
      <c r="H409" s="92">
        <f>TWK!H354</f>
        <v>466.25</v>
      </c>
      <c r="I409" s="92">
        <f>TWK!I354</f>
        <v>639.31222707423581</v>
      </c>
      <c r="K409" s="92">
        <f t="shared" ref="K409" si="2797">AVERAGE(B406:B409)</f>
        <v>506.77083333333331</v>
      </c>
      <c r="L409" s="92">
        <f t="shared" ref="L409" si="2798">AVERAGE(C406:C409)</f>
        <v>499.0625</v>
      </c>
      <c r="M409" s="92">
        <f t="shared" ref="M409" si="2799">AVERAGE(D406:D409)</f>
        <v>507.5</v>
      </c>
      <c r="N409" s="92">
        <f t="shared" ref="N409" si="2800">AVERAGE(E406:E409)</f>
        <v>501.5625</v>
      </c>
      <c r="O409" s="92">
        <f t="shared" ref="O409" si="2801">AVERAGE(F406:F409)</f>
        <v>588.22916666666663</v>
      </c>
      <c r="P409" s="92">
        <f t="shared" ref="P409" si="2802">AVERAGE(G406:G409)</f>
        <v>588.22916666666663</v>
      </c>
      <c r="Q409" s="92">
        <f t="shared" ref="Q409" si="2803">AVERAGE(H406:H409)</f>
        <v>479.27083333333331</v>
      </c>
      <c r="R409" s="92">
        <f t="shared" ref="R409" si="2804">AVERAGE(I406:I409)</f>
        <v>617.45906113537126</v>
      </c>
      <c r="T409" s="92">
        <f t="shared" ref="T409" si="2805">(K253+K305+K357)/3</f>
        <v>521.07638888888891</v>
      </c>
      <c r="U409" s="92">
        <f t="shared" ref="U409" si="2806">(L253+L305+L357)/3</f>
        <v>545.38194444444446</v>
      </c>
      <c r="V409" s="92">
        <f t="shared" ref="V409" si="2807">(M253+M305+M357)/3</f>
        <v>560.33333333333337</v>
      </c>
      <c r="W409" s="92">
        <f t="shared" ref="W409" si="2808">(N253+N305+N357)/3</f>
        <v>543.15972222222229</v>
      </c>
      <c r="X409" s="92">
        <f t="shared" ref="X409" si="2809">(O253+O305+O357)/3</f>
        <v>582.42361111111109</v>
      </c>
      <c r="Y409" s="92">
        <f t="shared" ref="Y409" si="2810">(P253+P305+P357)/3</f>
        <v>582.86111111111109</v>
      </c>
      <c r="Z409" s="92">
        <f t="shared" ref="Z409" si="2811">(Q253+Q305+Q357)/3</f>
        <v>531.25</v>
      </c>
      <c r="AA409" s="92">
        <f t="shared" ref="AA409" si="2812">(R253+R305+R357)/3</f>
        <v>701.17321688500726</v>
      </c>
      <c r="AC409" s="112">
        <f>+AF409-'Figure 8_data'!I621</f>
        <v>0</v>
      </c>
      <c r="AD409" s="92">
        <f t="shared" ref="AD409" si="2813">(B409/T409-1)*100</f>
        <v>1.9524222029719374</v>
      </c>
      <c r="AE409" s="92">
        <f t="shared" ref="AE409" si="2814">(C409/U409-1)*100</f>
        <v>-4.1955815878270908</v>
      </c>
      <c r="AF409" s="92">
        <f t="shared" ref="AF409" si="2815">(D409/V409-1)*100</f>
        <v>-2.7364663890541374</v>
      </c>
      <c r="AG409" s="92">
        <f t="shared" ref="AG409" si="2816">(E409/W409-1)*100</f>
        <v>-7.946046154829645</v>
      </c>
      <c r="AH409" s="92">
        <f t="shared" ref="AH409" si="2817">(F409/X409-1)*100</f>
        <v>0.87159737209219212</v>
      </c>
      <c r="AI409" s="92">
        <f t="shared" ref="AI409" si="2818">(G409/Y409-1)*100</f>
        <v>0.79588238097507702</v>
      </c>
      <c r="AJ409" s="92">
        <f t="shared" ref="AJ409" si="2819">(H409/Z409-1)*100</f>
        <v>-12.235294117647054</v>
      </c>
      <c r="AK409" s="92">
        <f t="shared" ref="AK409" si="2820">(I409/AA409-1)*100</f>
        <v>-8.8224975399932681</v>
      </c>
      <c r="AM409" s="112">
        <f>AP409-'Figure 8_data'!H621</f>
        <v>0</v>
      </c>
      <c r="AN409" s="92">
        <f t="shared" ref="AN409" si="2821">(B409/B357-1)*100</f>
        <v>38.888888888888886</v>
      </c>
      <c r="AO409" s="92">
        <f t="shared" ref="AO409" si="2822">(C409/C357-1)*100</f>
        <v>34.838709677419352</v>
      </c>
      <c r="AP409" s="92">
        <f t="shared" ref="AP409" si="2823">(D409/D357-1)*100</f>
        <v>40.192926045016073</v>
      </c>
      <c r="AQ409" s="92">
        <f t="shared" ref="AQ409" si="2824">(E409/E357-1)*100</f>
        <v>40.350877192982452</v>
      </c>
      <c r="AR409" s="92">
        <f t="shared" ref="AR409" si="2825">(F409/F357-1)*100</f>
        <v>56.146179401993358</v>
      </c>
      <c r="AS409" s="92">
        <f t="shared" ref="AS409" si="2826">(G409/G357-1)*100</f>
        <v>56.146179401993358</v>
      </c>
      <c r="AT409" s="92">
        <f t="shared" ref="AT409" si="2827">(H409/H357-1)*100</f>
        <v>46.850393700787407</v>
      </c>
      <c r="AU409" s="92">
        <f t="shared" ref="AU409" si="2828">(I409/I357-1)*100</f>
        <v>46.850393700787407</v>
      </c>
    </row>
    <row r="410" spans="1:47" x14ac:dyDescent="0.3">
      <c r="A410" s="13">
        <f t="shared" si="475"/>
        <v>40449</v>
      </c>
      <c r="B410" s="92">
        <f>TWK!B355</f>
        <v>553.75</v>
      </c>
      <c r="C410" s="92">
        <f>TWK!C355</f>
        <v>536.25</v>
      </c>
      <c r="D410" s="92">
        <f>TWK!D355</f>
        <v>558.75</v>
      </c>
      <c r="E410" s="92">
        <f>TWK!E355</f>
        <v>497.5</v>
      </c>
      <c r="F410" s="92">
        <f>TWK!F355</f>
        <v>585</v>
      </c>
      <c r="G410" s="92">
        <f>TWK!G355</f>
        <v>585</v>
      </c>
      <c r="H410" s="92">
        <f>TWK!H355</f>
        <v>462.5</v>
      </c>
      <c r="I410" s="92">
        <f>TWK!I355</f>
        <v>634.17030567685583</v>
      </c>
      <c r="K410" s="92">
        <f t="shared" ref="K410" si="2829">AVERAGE(B407:B410)</f>
        <v>518.64583333333326</v>
      </c>
      <c r="L410" s="92">
        <f t="shared" ref="L410" si="2830">AVERAGE(C407:C410)</f>
        <v>509.6875</v>
      </c>
      <c r="M410" s="92">
        <f t="shared" ref="M410" si="2831">AVERAGE(D407:D410)</f>
        <v>520.625</v>
      </c>
      <c r="N410" s="92">
        <f t="shared" ref="N410" si="2832">AVERAGE(E407:E410)</f>
        <v>494.6875</v>
      </c>
      <c r="O410" s="92">
        <f t="shared" ref="O410" si="2833">AVERAGE(F407:F410)</f>
        <v>580.41666666666663</v>
      </c>
      <c r="P410" s="92">
        <f t="shared" ref="P410" si="2834">AVERAGE(G407:G410)</f>
        <v>580.41666666666663</v>
      </c>
      <c r="Q410" s="92">
        <f t="shared" ref="Q410" si="2835">AVERAGE(H407:H410)</f>
        <v>469.89583333333331</v>
      </c>
      <c r="R410" s="92">
        <f t="shared" ref="R410" si="2836">AVERAGE(I407:I410)</f>
        <v>604.60425764192132</v>
      </c>
      <c r="T410" s="92">
        <f t="shared" ref="T410" si="2837">(K254+K306+K358)/3</f>
        <v>530.1875</v>
      </c>
      <c r="U410" s="92">
        <f t="shared" ref="U410" si="2838">(L254+L306+L358)/3</f>
        <v>547.42361111111109</v>
      </c>
      <c r="V410" s="92">
        <f t="shared" ref="V410" si="2839">(M254+M306+M358)/3</f>
        <v>558.95833333333337</v>
      </c>
      <c r="W410" s="92">
        <f t="shared" ref="W410" si="2840">(N254+N306+N358)/3</f>
        <v>523.21527777777783</v>
      </c>
      <c r="X410" s="92">
        <f t="shared" ref="X410" si="2841">(O254+O306+O358)/3</f>
        <v>579.64583333333337</v>
      </c>
      <c r="Y410" s="92">
        <f t="shared" ref="Y410" si="2842">(P254+P306+P358)/3</f>
        <v>578.83333333333337</v>
      </c>
      <c r="Z410" s="92">
        <f t="shared" ref="Z410" si="2843">(Q254+Q306+Q358)/3</f>
        <v>508</v>
      </c>
      <c r="AA410" s="92">
        <f t="shared" ref="AA410" si="2844">(R254+R306+R358)/3</f>
        <v>664.43922852983985</v>
      </c>
      <c r="AC410" s="112">
        <f>+AF410-'Figure 8_data'!I622</f>
        <v>0</v>
      </c>
      <c r="AD410" s="92">
        <f t="shared" ref="AD410" si="2845">(B410/T410-1)*100</f>
        <v>4.4441824826122911</v>
      </c>
      <c r="AE410" s="92">
        <f t="shared" ref="AE410" si="2846">(C410/U410-1)*100</f>
        <v>-2.0411269964099477</v>
      </c>
      <c r="AF410" s="92">
        <f t="shared" ref="AF410" si="2847">(D410/V410-1)*100</f>
        <v>-3.7271710771535904E-2</v>
      </c>
      <c r="AG410" s="92">
        <f t="shared" ref="AG410" si="2848">(E410/W410-1)*100</f>
        <v>-4.9148560582934149</v>
      </c>
      <c r="AH410" s="92">
        <f t="shared" ref="AH410" si="2849">(F410/X410-1)*100</f>
        <v>0.92369622254968586</v>
      </c>
      <c r="AI410" s="92">
        <f t="shared" ref="AI410" si="2850">(G410/Y410-1)*100</f>
        <v>1.0653613590555722</v>
      </c>
      <c r="AJ410" s="92">
        <f t="shared" ref="AJ410" si="2851">(H410/Z410-1)*100</f>
        <v>-8.9566929133858224</v>
      </c>
      <c r="AK410" s="92">
        <f t="shared" ref="AK410" si="2852">(I410/AA410-1)*100</f>
        <v>-4.555559267618503</v>
      </c>
      <c r="AM410" s="112">
        <f>AP410-'Figure 8_data'!H622</f>
        <v>0</v>
      </c>
      <c r="AN410" s="92">
        <f t="shared" ref="AN410" si="2853">(B410/B358-1)*100</f>
        <v>27.788461538461551</v>
      </c>
      <c r="AO410" s="92">
        <f t="shared" ref="AO410" si="2854">(C410/C358-1)*100</f>
        <v>22.571428571428577</v>
      </c>
      <c r="AP410" s="92">
        <f t="shared" ref="AP410" si="2855">(D410/D358-1)*100</f>
        <v>24.860335195530723</v>
      </c>
      <c r="AQ410" s="92">
        <f t="shared" ref="AQ410" si="2856">(E410/E358-1)*100</f>
        <v>20.850202429149789</v>
      </c>
      <c r="AR410" s="92">
        <f t="shared" ref="AR410" si="2857">(F410/F358-1)*100</f>
        <v>30.970149253731339</v>
      </c>
      <c r="AS410" s="92">
        <f t="shared" ref="AS410" si="2858">(G410/G358-1)*100</f>
        <v>30.970149253731339</v>
      </c>
      <c r="AT410" s="92">
        <f t="shared" ref="AT410" si="2859">(H410/H358-1)*100</f>
        <v>23.333333333333339</v>
      </c>
      <c r="AU410" s="92">
        <f t="shared" ref="AU410" si="2860">(I410/I358-1)*100</f>
        <v>23.333333333333318</v>
      </c>
    </row>
    <row r="411" spans="1:47" x14ac:dyDescent="0.3">
      <c r="A411" s="13">
        <f t="shared" si="475"/>
        <v>40456</v>
      </c>
      <c r="B411" s="92">
        <f>TWK!B356</f>
        <v>656.25</v>
      </c>
      <c r="C411" s="92">
        <f>TWK!C356</f>
        <v>626.25</v>
      </c>
      <c r="D411" s="92">
        <f>TWK!D356</f>
        <v>643.75</v>
      </c>
      <c r="E411" s="92">
        <f>TWK!E356</f>
        <v>538.75</v>
      </c>
      <c r="F411" s="92">
        <f>TWK!F356</f>
        <v>650</v>
      </c>
      <c r="G411" s="92">
        <f>TWK!G356</f>
        <v>650</v>
      </c>
      <c r="H411" s="92">
        <f>TWK!H356</f>
        <v>513.75</v>
      </c>
      <c r="I411" s="92">
        <f>TWK!I356</f>
        <v>704.44323144104806</v>
      </c>
      <c r="K411" s="92">
        <f t="shared" ref="K411" si="2861">AVERAGE(B408:B411)</f>
        <v>556.14583333333326</v>
      </c>
      <c r="L411" s="92">
        <f t="shared" ref="L411" si="2862">AVERAGE(C408:C411)</f>
        <v>541.25</v>
      </c>
      <c r="M411" s="92">
        <f t="shared" ref="M411" si="2863">AVERAGE(D408:D411)</f>
        <v>557.8125</v>
      </c>
      <c r="N411" s="92">
        <f t="shared" ref="N411" si="2864">AVERAGE(E408:E411)</f>
        <v>502.8125</v>
      </c>
      <c r="O411" s="92">
        <f t="shared" ref="O411" si="2865">AVERAGE(F408:F411)</f>
        <v>592.29166666666663</v>
      </c>
      <c r="P411" s="92">
        <f t="shared" ref="P411" si="2866">AVERAGE(G408:G411)</f>
        <v>592.29166666666663</v>
      </c>
      <c r="Q411" s="92">
        <f t="shared" ref="Q411" si="2867">AVERAGE(H408:H411)</f>
        <v>476.45833333333331</v>
      </c>
      <c r="R411" s="92">
        <f t="shared" ref="R411" si="2868">AVERAGE(I408:I411)</f>
        <v>613.60262008733616</v>
      </c>
      <c r="T411" s="92">
        <f t="shared" ref="T411" si="2869">(K255+K307+K359)/3</f>
        <v>549.64583333333337</v>
      </c>
      <c r="U411" s="92">
        <f t="shared" ref="U411" si="2870">(L255+L307+L359)/3</f>
        <v>566.83333333333337</v>
      </c>
      <c r="V411" s="92">
        <f t="shared" ref="V411" si="2871">(M255+M307+M359)/3</f>
        <v>577.60416666666663</v>
      </c>
      <c r="W411" s="92">
        <f t="shared" ref="W411" si="2872">(N255+N307+N359)/3</f>
        <v>546.19444444444446</v>
      </c>
      <c r="X411" s="92">
        <f t="shared" ref="X411" si="2873">(O255+O307+O359)/3</f>
        <v>619.375</v>
      </c>
      <c r="Y411" s="92">
        <f t="shared" ref="Y411" si="2874">(P255+P307+P359)/3</f>
        <v>619.70833333333337</v>
      </c>
      <c r="Z411" s="92">
        <f t="shared" ref="Z411" si="2875">(Q255+Q307+Q359)/3</f>
        <v>553.42361111111109</v>
      </c>
      <c r="AA411" s="92">
        <f t="shared" ref="AA411" si="2876">(R255+R307+R359)/3</f>
        <v>719.07666181465311</v>
      </c>
      <c r="AC411" s="112">
        <f>+AF411-'Figure 8_data'!I623</f>
        <v>0</v>
      </c>
      <c r="AD411" s="92">
        <f t="shared" ref="AD411" si="2877">(B411/T411-1)*100</f>
        <v>19.395065003979827</v>
      </c>
      <c r="AE411" s="92">
        <f t="shared" ref="AE411" si="2878">(C411/U411-1)*100</f>
        <v>10.482211114378126</v>
      </c>
      <c r="AF411" s="92">
        <f t="shared" ref="AF411" si="2879">(D411/V411-1)*100</f>
        <v>11.451758340847618</v>
      </c>
      <c r="AG411" s="92">
        <f t="shared" ref="AG411" si="2880">(E411/W411-1)*100</f>
        <v>-1.3629659767075197</v>
      </c>
      <c r="AH411" s="92">
        <f t="shared" ref="AH411" si="2881">(F411/X411-1)*100</f>
        <v>4.9445005045408719</v>
      </c>
      <c r="AI411" s="92">
        <f t="shared" ref="AI411" si="2882">(G411/Y411-1)*100</f>
        <v>4.8880521750823469</v>
      </c>
      <c r="AJ411" s="92">
        <f t="shared" ref="AJ411" si="2883">(H411/Z411-1)*100</f>
        <v>-7.1687601169487909</v>
      </c>
      <c r="AK411" s="92">
        <f t="shared" ref="AK411" si="2884">(I411/AA411-1)*100</f>
        <v>-2.0350306373003835</v>
      </c>
      <c r="AM411" s="112">
        <f>AP411-'Figure 8_data'!H623</f>
        <v>0</v>
      </c>
      <c r="AN411" s="92">
        <f t="shared" ref="AN411" si="2885">(B411/B359-1)*100</f>
        <v>40.750670241286869</v>
      </c>
      <c r="AO411" s="92">
        <f t="shared" ref="AO411" si="2886">(C411/C359-1)*100</f>
        <v>34.100642398286936</v>
      </c>
      <c r="AP411" s="92">
        <f t="shared" ref="AP411" si="2887">(D411/D359-1)*100</f>
        <v>37.847965738758035</v>
      </c>
      <c r="AQ411" s="92">
        <f t="shared" ref="AQ411" si="2888">(E411/E359-1)*100</f>
        <v>27.138643067846612</v>
      </c>
      <c r="AR411" s="92">
        <f t="shared" ref="AR411" si="2889">(F411/F359-1)*100</f>
        <v>31.645569620253156</v>
      </c>
      <c r="AS411" s="92">
        <f t="shared" ref="AS411" si="2890">(G411/G359-1)*100</f>
        <v>31.645569620253156</v>
      </c>
      <c r="AT411" s="92">
        <f t="shared" ref="AT411" si="2891">(H411/H359-1)*100</f>
        <v>33.009708737864088</v>
      </c>
      <c r="AU411" s="92">
        <f t="shared" ref="AU411" si="2892">(I411/I359-1)*100</f>
        <v>31.73076923076923</v>
      </c>
    </row>
    <row r="412" spans="1:47" x14ac:dyDescent="0.3">
      <c r="A412" s="13">
        <f t="shared" si="475"/>
        <v>40463</v>
      </c>
      <c r="B412" s="92">
        <f>TWK!B357</f>
        <v>718.75</v>
      </c>
      <c r="C412" s="92">
        <f>TWK!C357</f>
        <v>700</v>
      </c>
      <c r="D412" s="92">
        <f>TWK!D357</f>
        <v>593.75</v>
      </c>
      <c r="E412" s="92">
        <f>TWK!E357</f>
        <v>537.5</v>
      </c>
      <c r="F412" s="92">
        <f>TWK!F357</f>
        <v>700</v>
      </c>
      <c r="G412" s="92">
        <f>TWK!G357</f>
        <v>700</v>
      </c>
      <c r="H412" s="92">
        <f>TWK!H357</f>
        <v>500</v>
      </c>
      <c r="I412" s="92">
        <f>TWK!I357</f>
        <v>685.58951965065501</v>
      </c>
      <c r="K412" s="92">
        <f t="shared" ref="K412" si="2893">AVERAGE(B409:B412)</f>
        <v>615</v>
      </c>
      <c r="L412" s="92">
        <f t="shared" ref="L412" si="2894">AVERAGE(C409:C412)</f>
        <v>596.25</v>
      </c>
      <c r="M412" s="92">
        <f t="shared" ref="M412" si="2895">AVERAGE(D409:D412)</f>
        <v>585.3125</v>
      </c>
      <c r="N412" s="92">
        <f t="shared" ref="N412" si="2896">AVERAGE(E409:E412)</f>
        <v>518.4375</v>
      </c>
      <c r="O412" s="92">
        <f t="shared" ref="O412" si="2897">AVERAGE(F409:F412)</f>
        <v>630.625</v>
      </c>
      <c r="P412" s="92">
        <f t="shared" ref="P412" si="2898">AVERAGE(G409:G412)</f>
        <v>630.625</v>
      </c>
      <c r="Q412" s="92">
        <f t="shared" ref="Q412" si="2899">AVERAGE(H409:H412)</f>
        <v>485.625</v>
      </c>
      <c r="R412" s="92">
        <f t="shared" ref="R412" si="2900">AVERAGE(I409:I412)</f>
        <v>665.8788209606987</v>
      </c>
      <c r="T412" s="92">
        <f t="shared" ref="T412" si="2901">(K256+K308+K360)/3</f>
        <v>546.52777777777771</v>
      </c>
      <c r="U412" s="92">
        <f t="shared" ref="U412" si="2902">(L256+L308+L360)/3</f>
        <v>560.22222222222229</v>
      </c>
      <c r="V412" s="92">
        <f t="shared" ref="V412" si="2903">(M256+M308+M360)/3</f>
        <v>570.9375</v>
      </c>
      <c r="W412" s="92">
        <f t="shared" ref="W412" si="2904">(N256+N308+N360)/3</f>
        <v>541.22222222222229</v>
      </c>
      <c r="X412" s="92">
        <f t="shared" ref="X412" si="2905">(O256+O308+O360)/3</f>
        <v>624.32638888888891</v>
      </c>
      <c r="Y412" s="92">
        <f t="shared" ref="Y412" si="2906">(P256+P308+P360)/3</f>
        <v>625.57638888888891</v>
      </c>
      <c r="Z412" s="92">
        <f t="shared" ref="Z412" si="2907">(Q256+Q308+Q360)/3</f>
        <v>562.90277777777771</v>
      </c>
      <c r="AA412" s="92">
        <f t="shared" ref="AA412" si="2908">(R256+R308+R360)/3</f>
        <v>730.2409631246968</v>
      </c>
      <c r="AC412" s="112">
        <f>+AF412-'Figure 8_data'!I624</f>
        <v>0</v>
      </c>
      <c r="AD412" s="92">
        <f t="shared" ref="AD412" si="2909">(B412/T412-1)*100</f>
        <v>31.512071156289736</v>
      </c>
      <c r="AE412" s="92">
        <f t="shared" ref="AE412" si="2910">(C412/U412-1)*100</f>
        <v>24.950416501388318</v>
      </c>
      <c r="AF412" s="92">
        <f t="shared" ref="AF412" si="2911">(D412/V412-1)*100</f>
        <v>3.9956212370005462</v>
      </c>
      <c r="AG412" s="92">
        <f t="shared" ref="AG412" si="2912">(E412/W412-1)*100</f>
        <v>-0.68774378977624062</v>
      </c>
      <c r="AH412" s="92">
        <f t="shared" ref="AH412" si="2913">(F412/X412-1)*100</f>
        <v>12.120841351234102</v>
      </c>
      <c r="AI412" s="92">
        <f t="shared" ref="AI412" si="2914">(G412/Y412-1)*100</f>
        <v>11.896806278654125</v>
      </c>
      <c r="AJ412" s="92">
        <f t="shared" ref="AJ412" si="2915">(H412/Z412-1)*100</f>
        <v>-11.174714402033104</v>
      </c>
      <c r="AK412" s="92">
        <f t="shared" ref="AK412" si="2916">(I412/AA412-1)*100</f>
        <v>-6.1146177397360058</v>
      </c>
      <c r="AM412" s="112">
        <f>AP412-'Figure 8_data'!H624</f>
        <v>0</v>
      </c>
      <c r="AN412" s="92">
        <f t="shared" ref="AN412" si="2917">(B412/B360-1)*100</f>
        <v>64.756446991404019</v>
      </c>
      <c r="AO412" s="92">
        <f t="shared" ref="AO412" si="2918">(C412/C360-1)*100</f>
        <v>65.876777251184834</v>
      </c>
      <c r="AP412" s="92">
        <f t="shared" ref="AP412" si="2919">(D412/D360-1)*100</f>
        <v>39.05152224824355</v>
      </c>
      <c r="AQ412" s="92">
        <f t="shared" ref="AQ412" si="2920">(E412/E360-1)*100</f>
        <v>49.305555555555557</v>
      </c>
      <c r="AR412" s="92">
        <f t="shared" ref="AR412" si="2921">(F412/F360-1)*100</f>
        <v>57.746478873239425</v>
      </c>
      <c r="AS412" s="92">
        <f t="shared" ref="AS412" si="2922">(G412/G360-1)*100</f>
        <v>57.746478873239425</v>
      </c>
      <c r="AT412" s="92">
        <f t="shared" ref="AT412" si="2923">(H412/H360-1)*100</f>
        <v>47.601476014760145</v>
      </c>
      <c r="AU412" s="92">
        <f t="shared" ref="AU412" si="2924">(I412/I360-1)*100</f>
        <v>47.601476014760166</v>
      </c>
    </row>
    <row r="413" spans="1:47" x14ac:dyDescent="0.3">
      <c r="A413" s="13">
        <f t="shared" si="475"/>
        <v>40470</v>
      </c>
      <c r="B413" s="92">
        <f>TWK!B358</f>
        <v>731.25</v>
      </c>
      <c r="C413" s="92">
        <f>TWK!C358</f>
        <v>650</v>
      </c>
      <c r="D413" s="92">
        <f>TWK!D358</f>
        <v>552.5</v>
      </c>
      <c r="E413" s="92">
        <f>TWK!E358</f>
        <v>518.75</v>
      </c>
      <c r="F413" s="92">
        <f>TWK!F358</f>
        <v>596.25</v>
      </c>
      <c r="G413" s="92">
        <f>TWK!G358</f>
        <v>596</v>
      </c>
      <c r="H413" s="92">
        <f>TWK!H358</f>
        <v>491.25</v>
      </c>
      <c r="I413" s="92">
        <f>TWK!I358</f>
        <v>673.59170305676855</v>
      </c>
      <c r="K413" s="92">
        <f t="shared" ref="K413" si="2925">AVERAGE(B410:B413)</f>
        <v>665</v>
      </c>
      <c r="L413" s="92">
        <f t="shared" ref="L413" si="2926">AVERAGE(C410:C413)</f>
        <v>628.125</v>
      </c>
      <c r="M413" s="92">
        <f t="shared" ref="M413" si="2927">AVERAGE(D410:D413)</f>
        <v>587.1875</v>
      </c>
      <c r="N413" s="92">
        <f t="shared" ref="N413" si="2928">AVERAGE(E410:E413)</f>
        <v>523.125</v>
      </c>
      <c r="O413" s="92">
        <f t="shared" ref="O413" si="2929">AVERAGE(F410:F413)</f>
        <v>632.8125</v>
      </c>
      <c r="P413" s="92">
        <f t="shared" ref="P413" si="2930">AVERAGE(G410:G413)</f>
        <v>632.75</v>
      </c>
      <c r="Q413" s="92">
        <f t="shared" ref="Q413" si="2931">AVERAGE(H410:H413)</f>
        <v>491.875</v>
      </c>
      <c r="R413" s="92">
        <f t="shared" ref="R413" si="2932">AVERAGE(I410:I413)</f>
        <v>674.4486899563318</v>
      </c>
      <c r="T413" s="92">
        <f t="shared" ref="T413" si="2933">(K257+K309+K361)/3</f>
        <v>538.69444444444446</v>
      </c>
      <c r="U413" s="92">
        <f t="shared" ref="U413" si="2934">(L257+L309+L361)/3</f>
        <v>551.59722222222229</v>
      </c>
      <c r="V413" s="92">
        <f t="shared" ref="V413" si="2935">(M257+M309+M361)/3</f>
        <v>564.09027777777783</v>
      </c>
      <c r="W413" s="92">
        <f t="shared" ref="W413" si="2936">(N257+N309+N361)/3</f>
        <v>523.97222222222229</v>
      </c>
      <c r="X413" s="92">
        <f t="shared" ref="X413" si="2937">(O257+O309+O361)/3</f>
        <v>618.85416666666674</v>
      </c>
      <c r="Y413" s="92">
        <f t="shared" ref="Y413" si="2938">(P257+P309+P361)/3</f>
        <v>619.50000000000011</v>
      </c>
      <c r="Z413" s="92">
        <f t="shared" ref="Z413" si="2939">(Q257+Q309+Q361)/3</f>
        <v>553.13194444444446</v>
      </c>
      <c r="AA413" s="92">
        <f t="shared" ref="AA413" si="2940">(R257+R309+R361)/3</f>
        <v>722.35334788937416</v>
      </c>
      <c r="AC413" s="112">
        <f>+AF413-'Figure 8_data'!I625</f>
        <v>0</v>
      </c>
      <c r="AD413" s="92">
        <f t="shared" ref="AD413" si="2941">(B413/T413-1)*100</f>
        <v>35.744856391481463</v>
      </c>
      <c r="AE413" s="92">
        <f t="shared" ref="AE413" si="2942">(C413/U413-1)*100</f>
        <v>17.839607201309327</v>
      </c>
      <c r="AF413" s="92">
        <f t="shared" ref="AF413" si="2943">(D413/V413-1)*100</f>
        <v>-2.0546849031749859</v>
      </c>
      <c r="AG413" s="92">
        <f t="shared" ref="AG413" si="2944">(E413/W413-1)*100</f>
        <v>-0.99666012829349171</v>
      </c>
      <c r="AH413" s="92">
        <f t="shared" ref="AH413" si="2945">(F413/X413-1)*100</f>
        <v>-3.6525837401111039</v>
      </c>
      <c r="AI413" s="92">
        <f t="shared" ref="AI413" si="2946">(G413/Y413-1)*100</f>
        <v>-3.7933817594834718</v>
      </c>
      <c r="AJ413" s="92">
        <f t="shared" ref="AJ413" si="2947">(H413/Z413-1)*100</f>
        <v>-11.187555711792696</v>
      </c>
      <c r="AK413" s="92">
        <f t="shared" ref="AK413" si="2948">(I413/AA413-1)*100</f>
        <v>-6.7503867705577925</v>
      </c>
      <c r="AM413" s="112">
        <f>AP413-'Figure 8_data'!H625</f>
        <v>0</v>
      </c>
      <c r="AN413" s="92">
        <f t="shared" ref="AN413" si="2949">(B413/B361-1)*100</f>
        <v>61.602209944751387</v>
      </c>
      <c r="AO413" s="92">
        <f t="shared" ref="AO413" si="2950">(C413/C361-1)*100</f>
        <v>44.444444444444443</v>
      </c>
      <c r="AP413" s="92">
        <f t="shared" ref="AP413" si="2951">(D413/D361-1)*100</f>
        <v>22.437673130193915</v>
      </c>
      <c r="AQ413" s="92">
        <f t="shared" ref="AQ413" si="2952">(E413/E361-1)*100</f>
        <v>39.73063973063973</v>
      </c>
      <c r="AR413" s="92">
        <f t="shared" ref="AR413" si="2953">(F413/F361-1)*100</f>
        <v>29.972752043596728</v>
      </c>
      <c r="AS413" s="92">
        <f t="shared" ref="AS413" si="2954">(G413/G361-1)*100</f>
        <v>30.273224043715842</v>
      </c>
      <c r="AT413" s="92">
        <f t="shared" ref="AT413" si="2955">(H413/H361-1)*100</f>
        <v>46.096654275092931</v>
      </c>
      <c r="AU413" s="92">
        <f t="shared" ref="AU413" si="2956">(I413/I361-1)*100</f>
        <v>46.096654275092931</v>
      </c>
    </row>
    <row r="414" spans="1:47" x14ac:dyDescent="0.3">
      <c r="A414" s="13">
        <f t="shared" si="475"/>
        <v>40477</v>
      </c>
      <c r="B414" s="92">
        <f>TWK!B359</f>
        <v>632.5</v>
      </c>
      <c r="C414" s="92">
        <f>TWK!C359</f>
        <v>541.25</v>
      </c>
      <c r="D414" s="92">
        <f>TWK!D359</f>
        <v>491.25</v>
      </c>
      <c r="E414" s="92">
        <f>TWK!E359</f>
        <v>475</v>
      </c>
      <c r="F414" s="92">
        <f>TWK!F359</f>
        <v>475</v>
      </c>
      <c r="G414" s="92">
        <f>TWK!G359</f>
        <v>475</v>
      </c>
      <c r="H414" s="92">
        <f>TWK!H359</f>
        <v>418.75</v>
      </c>
      <c r="I414" s="92">
        <f>TWK!I359</f>
        <v>574.18122270742356</v>
      </c>
      <c r="K414" s="92">
        <f t="shared" ref="K414" si="2957">AVERAGE(B411:B414)</f>
        <v>684.6875</v>
      </c>
      <c r="L414" s="92">
        <f t="shared" ref="L414" si="2958">AVERAGE(C411:C414)</f>
        <v>629.375</v>
      </c>
      <c r="M414" s="92">
        <f t="shared" ref="M414" si="2959">AVERAGE(D411:D414)</f>
        <v>570.3125</v>
      </c>
      <c r="N414" s="92">
        <f t="shared" ref="N414" si="2960">AVERAGE(E411:E414)</f>
        <v>517.5</v>
      </c>
      <c r="O414" s="92">
        <f t="shared" ref="O414" si="2961">AVERAGE(F411:F414)</f>
        <v>605.3125</v>
      </c>
      <c r="P414" s="92">
        <f t="shared" ref="P414" si="2962">AVERAGE(G411:G414)</f>
        <v>605.25</v>
      </c>
      <c r="Q414" s="92">
        <f t="shared" ref="Q414" si="2963">AVERAGE(H411:H414)</f>
        <v>480.9375</v>
      </c>
      <c r="R414" s="92">
        <f t="shared" ref="R414" si="2964">AVERAGE(I411:I414)</f>
        <v>659.45141921397385</v>
      </c>
      <c r="T414" s="92">
        <f t="shared" ref="T414" si="2965">(K258+K310+K362)/3</f>
        <v>530.10416666666663</v>
      </c>
      <c r="U414" s="92">
        <f t="shared" ref="U414" si="2966">(L258+L310+L362)/3</f>
        <v>536.93055555555554</v>
      </c>
      <c r="V414" s="92">
        <f t="shared" ref="V414" si="2967">(M258+M310+M362)/3</f>
        <v>552.44444444444446</v>
      </c>
      <c r="W414" s="92">
        <f t="shared" ref="W414" si="2968">(N258+N310+N362)/3</f>
        <v>510.47916666666669</v>
      </c>
      <c r="X414" s="92">
        <f t="shared" ref="X414" si="2969">(O258+O310+O362)/3</f>
        <v>599.86111111111109</v>
      </c>
      <c r="Y414" s="92">
        <f t="shared" ref="Y414" si="2970">(P258+P310+P362)/3</f>
        <v>600.42361111111109</v>
      </c>
      <c r="Z414" s="92">
        <f t="shared" ref="Z414" si="2971">(Q258+Q310+Q362)/3</f>
        <v>530.21527777777771</v>
      </c>
      <c r="AA414" s="92">
        <f t="shared" ref="AA414" si="2972">(R258+R310+R362)/3</f>
        <v>693.75873362445418</v>
      </c>
      <c r="AC414" s="112">
        <f>+AF414-'Figure 8_data'!I626</f>
        <v>0</v>
      </c>
      <c r="AD414" s="92">
        <f t="shared" ref="AD414" si="2973">(B414/T414-1)*100</f>
        <v>19.316172135979581</v>
      </c>
      <c r="AE414" s="92">
        <f t="shared" ref="AE414" si="2974">(C414/U414-1)*100</f>
        <v>0.80446985178095343</v>
      </c>
      <c r="AF414" s="92">
        <f t="shared" ref="AF414" si="2975">(D414/V414-1)*100</f>
        <v>-11.07703137570395</v>
      </c>
      <c r="AG414" s="92">
        <f t="shared" ref="AG414" si="2976">(E414/W414-1)*100</f>
        <v>-6.9501693670162901</v>
      </c>
      <c r="AH414" s="92">
        <f t="shared" ref="AH414" si="2977">(F414/X414-1)*100</f>
        <v>-20.815003473026159</v>
      </c>
      <c r="AI414" s="92">
        <f t="shared" ref="AI414" si="2978">(G414/Y414-1)*100</f>
        <v>-20.889187032303582</v>
      </c>
      <c r="AJ414" s="92">
        <f t="shared" ref="AJ414" si="2979">(H414/Z414-1)*100</f>
        <v>-21.022645413943486</v>
      </c>
      <c r="AK414" s="92">
        <f t="shared" ref="AK414" si="2980">(I414/AA414-1)*100</f>
        <v>-17.236180983598317</v>
      </c>
      <c r="AM414" s="112">
        <f>AP414-'Figure 8_data'!H626</f>
        <v>0</v>
      </c>
      <c r="AN414" s="92">
        <f t="shared" ref="AN414" si="2981">(B414/B362-1)*100</f>
        <v>37.127371273712725</v>
      </c>
      <c r="AO414" s="92">
        <f t="shared" ref="AO414" si="2982">(C414/C362-1)*100</f>
        <v>18.306010928961758</v>
      </c>
      <c r="AP414" s="92">
        <f t="shared" ref="AP414" si="2983">(D414/D362-1)*100</f>
        <v>8.2644628099173509</v>
      </c>
      <c r="AQ414" s="92">
        <f t="shared" ref="AQ414" si="2984">(E414/E362-1)*100</f>
        <v>25.412541254125422</v>
      </c>
      <c r="AR414" s="92">
        <f t="shared" ref="AR414" si="2985">(F414/F362-1)*100</f>
        <v>-0.78328981723237989</v>
      </c>
      <c r="AS414" s="92">
        <f t="shared" ref="AS414" si="2986">(G414/G362-1)*100</f>
        <v>-0.78328981723237989</v>
      </c>
      <c r="AT414" s="92">
        <f t="shared" ref="AT414" si="2987">(H414/H362-1)*100</f>
        <v>21.376811594202906</v>
      </c>
      <c r="AU414" s="92">
        <f t="shared" ref="AU414" si="2988">(I414/I362-1)*100</f>
        <v>21.376811594202884</v>
      </c>
    </row>
    <row r="415" spans="1:47" x14ac:dyDescent="0.3">
      <c r="A415" s="13">
        <f t="shared" si="475"/>
        <v>40484</v>
      </c>
      <c r="B415" s="92">
        <f>TWK!B360</f>
        <v>618.75</v>
      </c>
      <c r="C415" s="92">
        <f>TWK!C360</f>
        <v>546.25</v>
      </c>
      <c r="D415" s="92">
        <f>TWK!D360</f>
        <v>443.75</v>
      </c>
      <c r="E415" s="92">
        <f>TWK!E360</f>
        <v>382.5</v>
      </c>
      <c r="F415" s="92">
        <f>TWK!F360</f>
        <v>397.5</v>
      </c>
      <c r="G415" s="92">
        <f>TWK!G360</f>
        <v>397.5</v>
      </c>
      <c r="H415" s="92">
        <f>TWK!H360</f>
        <v>325</v>
      </c>
      <c r="I415" s="92">
        <f>TWK!I360</f>
        <v>445.63318777292574</v>
      </c>
      <c r="K415" s="92">
        <f t="shared" ref="K415" si="2989">AVERAGE(B412:B415)</f>
        <v>675.3125</v>
      </c>
      <c r="L415" s="92">
        <f t="shared" ref="L415" si="2990">AVERAGE(C412:C415)</f>
        <v>609.375</v>
      </c>
      <c r="M415" s="92">
        <f t="shared" ref="M415" si="2991">AVERAGE(D412:D415)</f>
        <v>520.3125</v>
      </c>
      <c r="N415" s="92">
        <f t="shared" ref="N415" si="2992">AVERAGE(E412:E415)</f>
        <v>478.4375</v>
      </c>
      <c r="O415" s="92">
        <f t="shared" ref="O415" si="2993">AVERAGE(F412:F415)</f>
        <v>542.1875</v>
      </c>
      <c r="P415" s="92">
        <f t="shared" ref="P415" si="2994">AVERAGE(G412:G415)</f>
        <v>542.125</v>
      </c>
      <c r="Q415" s="92">
        <f t="shared" ref="Q415" si="2995">AVERAGE(H412:H415)</f>
        <v>433.75</v>
      </c>
      <c r="R415" s="92">
        <f t="shared" ref="R415" si="2996">AVERAGE(I412:I415)</f>
        <v>594.74890829694323</v>
      </c>
      <c r="T415" s="92">
        <f t="shared" ref="T415" si="2997">(K259+K311+K363)/3</f>
        <v>518.97222222222229</v>
      </c>
      <c r="U415" s="92">
        <f t="shared" ref="U415" si="2998">(L259+L311+L363)/3</f>
        <v>530.70833333333337</v>
      </c>
      <c r="V415" s="92">
        <f t="shared" ref="V415" si="2999">(M259+M311+M363)/3</f>
        <v>556.44444444444446</v>
      </c>
      <c r="W415" s="92">
        <f t="shared" ref="W415" si="3000">(N259+N311+N363)/3</f>
        <v>510.9375</v>
      </c>
      <c r="X415" s="92">
        <f t="shared" ref="X415" si="3001">(O259+O311+O363)/3</f>
        <v>565.38194444444446</v>
      </c>
      <c r="Y415" s="92">
        <f t="shared" ref="Y415" si="3002">(P259+P311+P363)/3</f>
        <v>566.04861111111109</v>
      </c>
      <c r="Z415" s="92">
        <f t="shared" ref="Z415" si="3003">(Q259+Q311+Q363)/3</f>
        <v>496.60416666666669</v>
      </c>
      <c r="AA415" s="92">
        <f t="shared" ref="AA415" si="3004">(R259+R311+R363)/3</f>
        <v>642.03050703541965</v>
      </c>
      <c r="AC415" s="112">
        <f>+AF415-'Figure 8_data'!I627</f>
        <v>0</v>
      </c>
      <c r="AD415" s="92">
        <f t="shared" ref="AD415" si="3005">(B415/T415-1)*100</f>
        <v>19.22603436278969</v>
      </c>
      <c r="AE415" s="92">
        <f t="shared" ref="AE415" si="3006">(C415/U415-1)*100</f>
        <v>2.9284760932715592</v>
      </c>
      <c r="AF415" s="92">
        <f t="shared" ref="AF415" si="3007">(D415/V415-1)*100</f>
        <v>-20.25259584664537</v>
      </c>
      <c r="AG415" s="92">
        <f t="shared" ref="AG415" si="3008">(E415/W415-1)*100</f>
        <v>-25.137614678899077</v>
      </c>
      <c r="AH415" s="92">
        <f t="shared" ref="AH415" si="3009">(F415/X415-1)*100</f>
        <v>-29.693545415463984</v>
      </c>
      <c r="AI415" s="92">
        <f t="shared" ref="AI415" si="3010">(G415/Y415-1)*100</f>
        <v>-29.776349204401853</v>
      </c>
      <c r="AJ415" s="92">
        <f t="shared" ref="AJ415" si="3011">(H415/Z415-1)*100</f>
        <v>-34.555522926542771</v>
      </c>
      <c r="AK415" s="92">
        <f t="shared" ref="AK415" si="3012">(I415/AA415-1)*100</f>
        <v>-30.590029151318664</v>
      </c>
      <c r="AM415" s="112">
        <f>AP415-'Figure 8_data'!H627</f>
        <v>0</v>
      </c>
      <c r="AN415" s="92">
        <f t="shared" ref="AN415" si="3013">(B415/B363-1)*100</f>
        <v>34.510869565217384</v>
      </c>
      <c r="AO415" s="92">
        <f t="shared" ref="AO415" si="3014">(C415/C363-1)*100</f>
        <v>16.844919786096256</v>
      </c>
      <c r="AP415" s="92">
        <f t="shared" ref="AP415" si="3015">(D415/D363-1)*100</f>
        <v>1.4285714285714235</v>
      </c>
      <c r="AQ415" s="92">
        <f t="shared" ref="AQ415" si="3016">(E415/E363-1)*100</f>
        <v>2.6845637583892579</v>
      </c>
      <c r="AR415" s="92">
        <f t="shared" ref="AR415" si="3017">(F415/F363-1)*100</f>
        <v>-17.616580310880824</v>
      </c>
      <c r="AS415" s="92">
        <f t="shared" ref="AS415" si="3018">(G415/G363-1)*100</f>
        <v>-17.616580310880824</v>
      </c>
      <c r="AT415" s="92">
        <f t="shared" ref="AT415" si="3019">(H415/H363-1)*100</f>
        <v>-8.1272084805653737</v>
      </c>
      <c r="AU415" s="92">
        <f t="shared" ref="AU415" si="3020">(I415/I363-1)*100</f>
        <v>-8.1272084805653737</v>
      </c>
    </row>
    <row r="416" spans="1:47" x14ac:dyDescent="0.3">
      <c r="A416" s="13">
        <f t="shared" si="475"/>
        <v>40491</v>
      </c>
      <c r="B416" s="92">
        <f>TWK!B361</f>
        <v>618.33333333333337</v>
      </c>
      <c r="C416" s="92">
        <f>TWK!C361</f>
        <v>523.33333333333337</v>
      </c>
      <c r="D416" s="92">
        <f>TWK!D361</f>
        <v>458.33333333333331</v>
      </c>
      <c r="E416" s="92">
        <f>TWK!E361</f>
        <v>408.33333333333331</v>
      </c>
      <c r="F416" s="92">
        <f>TWK!F361</f>
        <v>405</v>
      </c>
      <c r="G416" s="92">
        <f>TWK!G361</f>
        <v>405</v>
      </c>
      <c r="H416" s="92">
        <f>TWK!H361</f>
        <v>335</v>
      </c>
      <c r="I416" s="92">
        <f>TWK!I361</f>
        <v>459.34497816593881</v>
      </c>
      <c r="K416" s="92">
        <f t="shared" ref="K416" si="3021">AVERAGE(B413:B416)</f>
        <v>650.20833333333337</v>
      </c>
      <c r="L416" s="92">
        <f t="shared" ref="L416" si="3022">AVERAGE(C413:C416)</f>
        <v>565.20833333333337</v>
      </c>
      <c r="M416" s="92">
        <f t="shared" ref="M416" si="3023">AVERAGE(D413:D416)</f>
        <v>486.45833333333331</v>
      </c>
      <c r="N416" s="92">
        <f t="shared" ref="N416" si="3024">AVERAGE(E413:E416)</f>
        <v>446.14583333333331</v>
      </c>
      <c r="O416" s="92">
        <f t="shared" ref="O416" si="3025">AVERAGE(F413:F416)</f>
        <v>468.4375</v>
      </c>
      <c r="P416" s="92">
        <f t="shared" ref="P416" si="3026">AVERAGE(G413:G416)</f>
        <v>468.375</v>
      </c>
      <c r="Q416" s="92">
        <f t="shared" ref="Q416" si="3027">AVERAGE(H413:H416)</f>
        <v>392.5</v>
      </c>
      <c r="R416" s="92">
        <f t="shared" ref="R416" si="3028">AVERAGE(I413:I416)</f>
        <v>538.18777292576419</v>
      </c>
      <c r="T416" s="92">
        <f t="shared" ref="T416" si="3029">(K260+K312+K364)/3</f>
        <v>526.53472222222229</v>
      </c>
      <c r="U416" s="92">
        <f t="shared" ref="U416" si="3030">(L260+L312+L364)/3</f>
        <v>532.79166666666663</v>
      </c>
      <c r="V416" s="92">
        <f t="shared" ref="V416" si="3031">(M260+M312+M364)/3</f>
        <v>558.52777777777783</v>
      </c>
      <c r="W416" s="92">
        <f t="shared" ref="W416" si="3032">(N260+N312+N364)/3</f>
        <v>513.02083333333337</v>
      </c>
      <c r="X416" s="92">
        <f t="shared" ref="X416" si="3033">(O260+O312+O364)/3</f>
        <v>547.65277777777771</v>
      </c>
      <c r="Y416" s="92">
        <f t="shared" ref="Y416" si="3034">(P260+P312+P364)/3</f>
        <v>546.90277777777771</v>
      </c>
      <c r="Z416" s="92">
        <f t="shared" ref="Z416" si="3035">(Q260+Q312+Q364)/3</f>
        <v>482.45833333333331</v>
      </c>
      <c r="AA416" s="92">
        <f t="shared" ref="AA416" si="3036">(R260+R312+R364)/3</f>
        <v>633.7399320718099</v>
      </c>
      <c r="AC416" s="112">
        <f>+AF416-'Figure 8_data'!I628</f>
        <v>0</v>
      </c>
      <c r="AD416" s="92">
        <f t="shared" ref="AD416" si="3037">(B416/T416-1)*100</f>
        <v>17.434483850120674</v>
      </c>
      <c r="AE416" s="92">
        <f t="shared" ref="AE416" si="3038">(C416/U416-1)*100</f>
        <v>-1.7752404786110731</v>
      </c>
      <c r="AF416" s="92">
        <f t="shared" ref="AF416" si="3039">(D416/V416-1)*100</f>
        <v>-17.939026209777698</v>
      </c>
      <c r="AG416" s="92">
        <f t="shared" ref="AG416" si="3040">(E416/W416-1)*100</f>
        <v>-20.406091370558389</v>
      </c>
      <c r="AH416" s="92">
        <f t="shared" ref="AH416" si="3041">(F416/X416-1)*100</f>
        <v>-26.048033273312864</v>
      </c>
      <c r="AI416" s="92">
        <f t="shared" ref="AI416" si="3042">(G416/Y416-1)*100</f>
        <v>-25.946618584452843</v>
      </c>
      <c r="AJ416" s="92">
        <f t="shared" ref="AJ416" si="3043">(H416/Z416-1)*100</f>
        <v>-30.563951982036443</v>
      </c>
      <c r="AK416" s="92">
        <f t="shared" ref="AK416" si="3044">(I416/AA416-1)*100</f>
        <v>-27.518378609304705</v>
      </c>
      <c r="AM416" s="112">
        <f>AP416-'Figure 8_data'!H628</f>
        <v>0</v>
      </c>
      <c r="AN416" s="92">
        <f t="shared" ref="AN416" si="3045">(B416/B364-1)*100</f>
        <v>-7.5734927752864944</v>
      </c>
      <c r="AO416" s="92">
        <f t="shared" ref="AO416" si="3046">(C416/C364-1)*100</f>
        <v>-19.487179487179485</v>
      </c>
      <c r="AP416" s="92">
        <f t="shared" ref="AP416" si="3047">(D416/D364-1)*100</f>
        <v>-29.487179487179493</v>
      </c>
      <c r="AQ416" s="92">
        <f t="shared" ref="AQ416" si="3048">(E416/E364-1)*100</f>
        <v>-42.162417374881969</v>
      </c>
      <c r="AR416" s="92">
        <f t="shared" ref="AR416" si="3049">(F416/F364-1)*100</f>
        <v>-38.914027149321264</v>
      </c>
      <c r="AS416" s="92">
        <f t="shared" ref="AS416" si="3050">(G416/G364-1)*100</f>
        <v>-38.914027149321264</v>
      </c>
      <c r="AT416" s="92">
        <f t="shared" ref="AT416" si="3051">(H416/H364-1)*100</f>
        <v>-50.80763582966226</v>
      </c>
      <c r="AU416" s="92">
        <f t="shared" ref="AU416" si="3052">(I416/I364-1)*100</f>
        <v>-50.819595485445525</v>
      </c>
    </row>
    <row r="417" spans="1:47" x14ac:dyDescent="0.3">
      <c r="A417" s="13">
        <f t="shared" si="475"/>
        <v>40498</v>
      </c>
      <c r="B417" s="92">
        <f>TWK!B362</f>
        <v>481.25</v>
      </c>
      <c r="C417" s="92">
        <f>TWK!C362</f>
        <v>408.75</v>
      </c>
      <c r="D417" s="92">
        <f>TWK!D362</f>
        <v>410</v>
      </c>
      <c r="E417" s="92">
        <f>TWK!E362</f>
        <v>321.25</v>
      </c>
      <c r="F417" s="92">
        <f>TWK!F362</f>
        <v>393.75</v>
      </c>
      <c r="G417" s="92">
        <f>TWK!G362</f>
        <v>393.75</v>
      </c>
      <c r="H417" s="92">
        <f>TWK!H362</f>
        <v>298.75</v>
      </c>
      <c r="I417" s="92">
        <f>TWK!I362</f>
        <v>409.63973799126637</v>
      </c>
      <c r="K417" s="92">
        <f t="shared" ref="K417" si="3053">AVERAGE(B414:B417)</f>
        <v>587.70833333333337</v>
      </c>
      <c r="L417" s="92">
        <f t="shared" ref="L417" si="3054">AVERAGE(C414:C417)</f>
        <v>504.89583333333337</v>
      </c>
      <c r="M417" s="92">
        <f t="shared" ref="M417" si="3055">AVERAGE(D414:D417)</f>
        <v>450.83333333333331</v>
      </c>
      <c r="N417" s="92">
        <f t="shared" ref="N417" si="3056">AVERAGE(E414:E417)</f>
        <v>396.77083333333331</v>
      </c>
      <c r="O417" s="92">
        <f t="shared" ref="O417" si="3057">AVERAGE(F414:F417)</f>
        <v>417.8125</v>
      </c>
      <c r="P417" s="92">
        <f t="shared" ref="P417" si="3058">AVERAGE(G414:G417)</f>
        <v>417.8125</v>
      </c>
      <c r="Q417" s="92">
        <f t="shared" ref="Q417" si="3059">AVERAGE(H414:H417)</f>
        <v>344.375</v>
      </c>
      <c r="R417" s="92">
        <f t="shared" ref="R417" si="3060">AVERAGE(I414:I417)</f>
        <v>472.19978165938863</v>
      </c>
      <c r="T417" s="92">
        <f t="shared" ref="T417" si="3061">(K261+K313+K365)/3</f>
        <v>513.75</v>
      </c>
      <c r="U417" s="92">
        <f t="shared" ref="U417" si="3062">(L261+L313+L365)/3</f>
        <v>510.66666666666669</v>
      </c>
      <c r="V417" s="92">
        <f t="shared" ref="V417" si="3063">(M261+M313+M365)/3</f>
        <v>538.16666666666663</v>
      </c>
      <c r="W417" s="92">
        <f t="shared" ref="W417" si="3064">(N261+N313+N365)/3</f>
        <v>494.4375</v>
      </c>
      <c r="X417" s="92">
        <f t="shared" ref="X417" si="3065">(O261+O313+O365)/3</f>
        <v>512.47916666666663</v>
      </c>
      <c r="Y417" s="92">
        <f t="shared" ref="Y417" si="3066">(P261+P313+P365)/3</f>
        <v>511.83333333333331</v>
      </c>
      <c r="Z417" s="92">
        <f t="shared" ref="Z417" si="3067">(Q261+Q313+Q365)/3</f>
        <v>454.5625</v>
      </c>
      <c r="AA417" s="92">
        <f t="shared" ref="AA417" si="3068">(R261+R313+R365)/3</f>
        <v>597.57296215429403</v>
      </c>
      <c r="AC417" s="112">
        <f>+AF417-'Figure 8_data'!I629</f>
        <v>0</v>
      </c>
      <c r="AD417" s="92">
        <f t="shared" ref="AD417" si="3069">(B417/T417-1)*100</f>
        <v>-6.3260340632603445</v>
      </c>
      <c r="AE417" s="92">
        <f t="shared" ref="AE417" si="3070">(C417/U417-1)*100</f>
        <v>-19.957571801566587</v>
      </c>
      <c r="AF417" s="92">
        <f t="shared" ref="AF417" si="3071">(D417/V417-1)*100</f>
        <v>-23.815422731495815</v>
      </c>
      <c r="AG417" s="92">
        <f t="shared" ref="AG417" si="3072">(E417/W417-1)*100</f>
        <v>-35.027177347996464</v>
      </c>
      <c r="AH417" s="92">
        <f t="shared" ref="AH417" si="3073">(F417/X417-1)*100</f>
        <v>-23.167608439367449</v>
      </c>
      <c r="AI417" s="92">
        <f t="shared" ref="AI417" si="3074">(G417/Y417-1)*100</f>
        <v>-23.070661022468254</v>
      </c>
      <c r="AJ417" s="92">
        <f t="shared" ref="AJ417" si="3075">(H417/Z417-1)*100</f>
        <v>-34.277464595077689</v>
      </c>
      <c r="AK417" s="92">
        <f t="shared" ref="AK417" si="3076">(I417/AA417-1)*100</f>
        <v>-31.449418910372838</v>
      </c>
      <c r="AM417" s="112">
        <f>AP417-'Figure 8_data'!H629</f>
        <v>0</v>
      </c>
      <c r="AN417" s="92">
        <f t="shared" ref="AN417" si="3077">(B417/B365-1)*100</f>
        <v>-2.5316455696202556</v>
      </c>
      <c r="AO417" s="92">
        <f t="shared" ref="AO417" si="3078">(C417/C365-1)*100</f>
        <v>-5.4913294797687806</v>
      </c>
      <c r="AP417" s="92">
        <f t="shared" ref="AP417" si="3079">(D417/D365-1)*100</f>
        <v>-3.8123167155425186</v>
      </c>
      <c r="AQ417" s="92">
        <f t="shared" ref="AQ417" si="3080">(E417/E365-1)*100</f>
        <v>-25.507246376811597</v>
      </c>
      <c r="AR417" s="92">
        <f t="shared" ref="AR417" si="3081">(F417/F365-1)*100</f>
        <v>-27.419354838709676</v>
      </c>
      <c r="AS417" s="92">
        <f t="shared" ref="AS417" si="3082">(G417/G365-1)*100</f>
        <v>-27.419354838709676</v>
      </c>
      <c r="AT417" s="92">
        <f t="shared" ref="AT417" si="3083">(H417/H365-1)*100</f>
        <v>-27.575757575757574</v>
      </c>
      <c r="AU417" s="92">
        <f t="shared" ref="AU417" si="3084">(I417/I365-1)*100</f>
        <v>-27.575757575757564</v>
      </c>
    </row>
    <row r="418" spans="1:47" x14ac:dyDescent="0.3">
      <c r="A418" s="13">
        <f t="shared" si="475"/>
        <v>40505</v>
      </c>
      <c r="B418" s="92">
        <f>TWK!B363</f>
        <v>450</v>
      </c>
      <c r="C418" s="92">
        <f>TWK!C363</f>
        <v>438.75</v>
      </c>
      <c r="D418" s="92">
        <f>TWK!D363</f>
        <v>460</v>
      </c>
      <c r="E418" s="92">
        <f>TWK!E363</f>
        <v>371.25</v>
      </c>
      <c r="F418" s="92">
        <f>TWK!F363</f>
        <v>405</v>
      </c>
      <c r="G418" s="92">
        <f>TWK!G363</f>
        <v>405</v>
      </c>
      <c r="H418" s="92">
        <f>TWK!H363</f>
        <v>338.33333333333331</v>
      </c>
      <c r="I418" s="92">
        <f>TWK!I363</f>
        <v>463.91557496360991</v>
      </c>
      <c r="K418" s="92">
        <f t="shared" ref="K418" si="3085">AVERAGE(B415:B418)</f>
        <v>542.08333333333337</v>
      </c>
      <c r="L418" s="92">
        <f t="shared" ref="L418" si="3086">AVERAGE(C415:C418)</f>
        <v>479.27083333333337</v>
      </c>
      <c r="M418" s="92">
        <f t="shared" ref="M418" si="3087">AVERAGE(D415:D418)</f>
        <v>443.02083333333331</v>
      </c>
      <c r="N418" s="92">
        <f t="shared" ref="N418" si="3088">AVERAGE(E415:E418)</f>
        <v>370.83333333333331</v>
      </c>
      <c r="O418" s="92">
        <f t="shared" ref="O418" si="3089">AVERAGE(F415:F418)</f>
        <v>400.3125</v>
      </c>
      <c r="P418" s="92">
        <f t="shared" ref="P418" si="3090">AVERAGE(G415:G418)</f>
        <v>400.3125</v>
      </c>
      <c r="Q418" s="92">
        <f t="shared" ref="Q418" si="3091">AVERAGE(H415:H418)</f>
        <v>324.27083333333331</v>
      </c>
      <c r="R418" s="92">
        <f t="shared" ref="R418" si="3092">AVERAGE(I415:I418)</f>
        <v>444.63336972343524</v>
      </c>
      <c r="T418" s="92">
        <f t="shared" ref="T418" si="3093">(K262+K314+K366)/3</f>
        <v>385.0625</v>
      </c>
      <c r="U418" s="92">
        <f t="shared" ref="U418" si="3094">(L262+L314+L366)/3</f>
        <v>482.29166666666669</v>
      </c>
      <c r="V418" s="92">
        <f t="shared" ref="V418" si="3095">(M262+M314+M366)/3</f>
        <v>503.33333333333331</v>
      </c>
      <c r="W418" s="92">
        <f t="shared" ref="W418" si="3096">(N262+N314+N366)/3</f>
        <v>452.33333333333331</v>
      </c>
      <c r="X418" s="92">
        <f t="shared" ref="X418" si="3097">(O262+O314+O366)/3</f>
        <v>469.8125</v>
      </c>
      <c r="Y418" s="92">
        <f t="shared" ref="Y418" si="3098">(P262+P314+P366)/3</f>
        <v>469.16666666666669</v>
      </c>
      <c r="Z418" s="92">
        <f t="shared" ref="Z418" si="3099">(Q262+Q314+Q366)/3</f>
        <v>418.9375</v>
      </c>
      <c r="AA418" s="92">
        <f t="shared" ref="AA418" si="3100">(R262+R314+R366)/3</f>
        <v>550.84552401746726</v>
      </c>
      <c r="AC418" s="112">
        <f>+AF418-'Figure 8_data'!I630</f>
        <v>0</v>
      </c>
      <c r="AD418" s="92">
        <f t="shared" ref="AD418" si="3101">(B418/T418-1)*100</f>
        <v>16.864145430936528</v>
      </c>
      <c r="AE418" s="92">
        <f t="shared" ref="AE418" si="3102">(C418/U418-1)*100</f>
        <v>-9.0280777537797068</v>
      </c>
      <c r="AF418" s="92">
        <f t="shared" ref="AF418" si="3103">(D418/V418-1)*100</f>
        <v>-8.6092715231788084</v>
      </c>
      <c r="AG418" s="92">
        <f t="shared" ref="AG418" si="3104">(E418/W418-1)*100</f>
        <v>-17.925571112748706</v>
      </c>
      <c r="AH418" s="92">
        <f t="shared" ref="AH418" si="3105">(F418/X418-1)*100</f>
        <v>-13.79539709990688</v>
      </c>
      <c r="AI418" s="92">
        <f t="shared" ref="AI418" si="3106">(G418/Y418-1)*100</f>
        <v>-13.676731793960927</v>
      </c>
      <c r="AJ418" s="92">
        <f t="shared" ref="AJ418" si="3107">(H418/Z418-1)*100</f>
        <v>-19.240141230294896</v>
      </c>
      <c r="AK418" s="92">
        <f t="shared" ref="AK418" si="3108">(I418/AA418-1)*100</f>
        <v>-15.78118460868183</v>
      </c>
      <c r="AM418" s="112">
        <f>AP418-'Figure 8_data'!H630</f>
        <v>0</v>
      </c>
      <c r="AO418" s="92">
        <f t="shared" ref="AO418" si="3109">(C418/C366-1)*100</f>
        <v>9.6875000000000036</v>
      </c>
      <c r="AP418" s="92">
        <f t="shared" ref="AP418" si="3110">(D418/D366-1)*100</f>
        <v>13.931888544891645</v>
      </c>
      <c r="AQ418" s="92">
        <f t="shared" ref="AQ418" si="3111">(E418/E366-1)*100</f>
        <v>16.929133858267708</v>
      </c>
      <c r="AR418" s="92">
        <f t="shared" ref="AR418" si="3112">(F418/F366-1)*100</f>
        <v>6.9306930693069368</v>
      </c>
      <c r="AS418" s="92">
        <f t="shared" ref="AS418" si="3113">(G418/G366-1)*100</f>
        <v>6.9306930693069368</v>
      </c>
      <c r="AT418" s="92">
        <f t="shared" ref="AT418" si="3114">(H418/H366-1)*100</f>
        <v>15.669515669515665</v>
      </c>
      <c r="AU418" s="92">
        <f t="shared" ref="AU418" si="3115">(I418/I366-1)*100</f>
        <v>15.669515669515688</v>
      </c>
    </row>
    <row r="419" spans="1:47" x14ac:dyDescent="0.3">
      <c r="A419" s="13">
        <f t="shared" si="475"/>
        <v>40512</v>
      </c>
      <c r="B419" s="92">
        <f>TWK!B364</f>
        <v>0</v>
      </c>
      <c r="C419" s="92">
        <f>TWK!C364</f>
        <v>453.75</v>
      </c>
      <c r="D419" s="92">
        <f>TWK!D364</f>
        <v>466.25</v>
      </c>
      <c r="E419" s="92">
        <f>TWK!E364</f>
        <v>365</v>
      </c>
      <c r="F419" s="92">
        <f>TWK!F364</f>
        <v>471.25</v>
      </c>
      <c r="G419" s="92">
        <f>TWK!G364</f>
        <v>471.25</v>
      </c>
      <c r="H419" s="92">
        <f>TWK!H364</f>
        <v>340</v>
      </c>
      <c r="I419" s="92">
        <f>TWK!I364</f>
        <v>466.20087336244541</v>
      </c>
      <c r="K419" s="92">
        <f t="shared" ref="K419" si="3116">AVERAGE(B416:B419)</f>
        <v>387.39583333333337</v>
      </c>
      <c r="L419" s="92">
        <f t="shared" ref="L419" si="3117">AVERAGE(C416:C419)</f>
        <v>456.14583333333337</v>
      </c>
      <c r="M419" s="92">
        <f t="shared" ref="M419" si="3118">AVERAGE(D416:D419)</f>
        <v>448.64583333333331</v>
      </c>
      <c r="N419" s="92">
        <f t="shared" ref="N419" si="3119">AVERAGE(E416:E419)</f>
        <v>366.45833333333331</v>
      </c>
      <c r="O419" s="92">
        <f t="shared" ref="O419" si="3120">AVERAGE(F416:F419)</f>
        <v>418.75</v>
      </c>
      <c r="P419" s="92">
        <f t="shared" ref="P419" si="3121">AVERAGE(G416:G419)</f>
        <v>418.75</v>
      </c>
      <c r="Q419" s="92">
        <f t="shared" ref="Q419" si="3122">AVERAGE(H416:H419)</f>
        <v>328.02083333333331</v>
      </c>
      <c r="R419" s="92">
        <f t="shared" ref="R419" si="3123">AVERAGE(I416:I419)</f>
        <v>449.77529112081515</v>
      </c>
      <c r="T419" s="92">
        <f t="shared" ref="T419" si="3124">(K263+K315+K367)/3</f>
        <v>251.00694444444443</v>
      </c>
      <c r="U419" s="92">
        <f t="shared" ref="U419" si="3125">(L263+L315+L367)/3</f>
        <v>438.63888888888891</v>
      </c>
      <c r="V419" s="92">
        <f t="shared" ref="V419" si="3126">(M263+M315+M367)/3</f>
        <v>443.47222222222223</v>
      </c>
      <c r="W419" s="92">
        <f t="shared" ref="W419" si="3127">(N263+N315+N367)/3</f>
        <v>382.20138888888891</v>
      </c>
      <c r="X419" s="92">
        <f t="shared" ref="X419" si="3128">(O263+O315+O367)/3</f>
        <v>416.45833333333331</v>
      </c>
      <c r="Y419" s="92">
        <f t="shared" ref="Y419" si="3129">(P263+P315+P367)/3</f>
        <v>413.72916666666669</v>
      </c>
      <c r="Z419" s="92">
        <f t="shared" ref="Z419" si="3130">(Q263+Q315+Q367)/3</f>
        <v>354.59027777777777</v>
      </c>
      <c r="AA419" s="92">
        <f t="shared" ref="AA419" si="3131">(R263+R315+R367)/3</f>
        <v>475.3788209606987</v>
      </c>
      <c r="AC419" s="112">
        <f>+AF419-'Figure 8_data'!I631</f>
        <v>0</v>
      </c>
      <c r="AD419" s="92">
        <f t="shared" ref="AD419" si="3132">(B419/T419-1)*100</f>
        <v>-100</v>
      </c>
      <c r="AE419" s="92">
        <f t="shared" ref="AE419" si="3133">(C419/U419-1)*100</f>
        <v>3.4450003166360599</v>
      </c>
      <c r="AF419" s="92">
        <f t="shared" ref="AF419" si="3134">(D419/V419-1)*100</f>
        <v>5.136235515189469</v>
      </c>
      <c r="AG419" s="92">
        <f t="shared" ref="AG419" si="3135">(E419/W419-1)*100</f>
        <v>-4.5006086814324942</v>
      </c>
      <c r="AH419" s="92">
        <f t="shared" ref="AH419" si="3136">(F419/X419-1)*100</f>
        <v>13.156578289144583</v>
      </c>
      <c r="AI419" s="92">
        <f t="shared" ref="AI419" si="3137">(G419/Y419-1)*100</f>
        <v>13.903016264665879</v>
      </c>
      <c r="AJ419" s="92">
        <f t="shared" ref="AJ419" si="3138">(H419/Z419-1)*100</f>
        <v>-4.1146863555355351</v>
      </c>
      <c r="AK419" s="92">
        <f t="shared" ref="AK419" si="3139">(I419/AA419-1)*100</f>
        <v>-1.9306597588225505</v>
      </c>
      <c r="AM419" s="112">
        <f>AP419-'Figure 8_data'!H631</f>
        <v>0</v>
      </c>
      <c r="AO419" s="92">
        <f t="shared" ref="AO419" si="3140">(C419/C367-1)*100</f>
        <v>15.605095541401282</v>
      </c>
      <c r="AP419" s="92">
        <f t="shared" ref="AP419" si="3141">(D419/D367-1)*100</f>
        <v>16.562499999999993</v>
      </c>
      <c r="AQ419" s="92">
        <f t="shared" ref="AQ419" si="3142">(E419/E367-1)*100</f>
        <v>28.07017543859649</v>
      </c>
      <c r="AR419" s="92">
        <f t="shared" ref="AR419" si="3143">(F419/F367-1)*100</f>
        <v>20.447284345047922</v>
      </c>
      <c r="AS419" s="92">
        <f t="shared" ref="AS419" si="3144">(G419/G367-1)*100</f>
        <v>28.2312925170068</v>
      </c>
      <c r="AT419" s="92">
        <f t="shared" ref="AT419" si="3145">(H419/H367-1)*100</f>
        <v>28.90995260663507</v>
      </c>
      <c r="AU419" s="92">
        <f t="shared" ref="AU419" si="3146">(I419/I367-1)*100</f>
        <v>28.909952606635049</v>
      </c>
    </row>
    <row r="420" spans="1:47" x14ac:dyDescent="0.3">
      <c r="A420" s="13">
        <f t="shared" si="475"/>
        <v>40519</v>
      </c>
      <c r="B420" s="92">
        <f>TWK!B365</f>
        <v>0</v>
      </c>
      <c r="C420" s="92">
        <f>TWK!C365</f>
        <v>0</v>
      </c>
      <c r="D420" s="92">
        <f>TWK!D365</f>
        <v>559</v>
      </c>
      <c r="E420" s="92">
        <f>TWK!E365</f>
        <v>438</v>
      </c>
      <c r="F420" s="92">
        <f>TWK!F365</f>
        <v>498</v>
      </c>
      <c r="G420" s="92">
        <f>TWK!G365</f>
        <v>498</v>
      </c>
      <c r="H420" s="92">
        <f>TWK!H365</f>
        <v>400</v>
      </c>
      <c r="I420" s="92">
        <f>TWK!I365</f>
        <v>548</v>
      </c>
      <c r="K420" s="92">
        <f t="shared" ref="K420" si="3147">AVERAGE(B417:B420)</f>
        <v>232.8125</v>
      </c>
      <c r="L420" s="92">
        <f t="shared" ref="L420" si="3148">AVERAGE(C417:C420)</f>
        <v>325.3125</v>
      </c>
      <c r="M420" s="92">
        <f t="shared" ref="M420" si="3149">AVERAGE(D417:D420)</f>
        <v>473.8125</v>
      </c>
      <c r="N420" s="92">
        <f t="shared" ref="N420" si="3150">AVERAGE(E417:E420)</f>
        <v>373.875</v>
      </c>
      <c r="O420" s="92">
        <f t="shared" ref="O420" si="3151">AVERAGE(F417:F420)</f>
        <v>442</v>
      </c>
      <c r="P420" s="92">
        <f t="shared" ref="P420" si="3152">AVERAGE(G417:G420)</f>
        <v>442</v>
      </c>
      <c r="Q420" s="92">
        <f t="shared" ref="Q420" si="3153">AVERAGE(H417:H420)</f>
        <v>344.27083333333331</v>
      </c>
      <c r="R420" s="92">
        <f t="shared" ref="R420" si="3154">AVERAGE(I417:I420)</f>
        <v>471.93904657933041</v>
      </c>
      <c r="T420" s="92">
        <f t="shared" ref="T420" si="3155">(K264+K316+K368)/3</f>
        <v>112.9236111111111</v>
      </c>
      <c r="U420" s="92">
        <f t="shared" ref="U420" si="3156">(L264+L316+L368)/3</f>
        <v>377.66666666666669</v>
      </c>
      <c r="V420" s="92">
        <f t="shared" ref="V420" si="3157">(M264+M316+M368)/3</f>
        <v>414.47222222222223</v>
      </c>
      <c r="W420" s="92">
        <f t="shared" ref="W420" si="3158">(N264+N316+N368)/3</f>
        <v>344.8680555555556</v>
      </c>
      <c r="X420" s="92">
        <f t="shared" ref="X420" si="3159">(O264+O316+O368)/3</f>
        <v>374.5</v>
      </c>
      <c r="Y420" s="92">
        <f t="shared" ref="Y420" si="3160">(P264+P316+P368)/3</f>
        <v>372.3819444444444</v>
      </c>
      <c r="Z420" s="92">
        <f t="shared" ref="Z420" si="3161">(Q264+Q316+Q368)/3</f>
        <v>309.09027777777777</v>
      </c>
      <c r="AA420" s="92">
        <f t="shared" ref="AA420" si="3162">(R264+R316+R368)/3</f>
        <v>405.51819505094613</v>
      </c>
      <c r="AC420" s="112">
        <f>+AF420-'Figure 8_data'!I632</f>
        <v>0</v>
      </c>
      <c r="AD420" s="92">
        <f t="shared" ref="AD420" si="3163">(B420/T420-1)*100</f>
        <v>-100</v>
      </c>
      <c r="AE420" s="92">
        <f t="shared" ref="AE420" si="3164">(C420/U420-1)*100</f>
        <v>-100</v>
      </c>
      <c r="AF420" s="92">
        <f t="shared" ref="AF420" si="3165">(D420/V420-1)*100</f>
        <v>34.870317002881833</v>
      </c>
      <c r="AG420" s="92">
        <f t="shared" ref="AG420" si="3166">(E420/W420-1)*100</f>
        <v>27.005094540987873</v>
      </c>
      <c r="AH420" s="92">
        <f t="shared" ref="AH420" si="3167">(F420/X420-1)*100</f>
        <v>32.97730307076101</v>
      </c>
      <c r="AI420" s="92">
        <f t="shared" ref="AI420" si="3168">(G420/Y420-1)*100</f>
        <v>33.733659064207529</v>
      </c>
      <c r="AJ420" s="92">
        <f t="shared" ref="AJ420" si="3169">(H420/Z420-1)*100</f>
        <v>29.412029027837061</v>
      </c>
      <c r="AK420" s="92">
        <f t="shared" ref="AK420" si="3170">(I420/AA420-1)*100</f>
        <v>35.135736617478663</v>
      </c>
      <c r="AM420" s="112">
        <f>AP420-'Figure 8_data'!H632</f>
        <v>0</v>
      </c>
      <c r="AP420" s="92">
        <f t="shared" ref="AP420" si="3171">(D420/D368-1)*100</f>
        <v>43.333333333333336</v>
      </c>
      <c r="AQ420" s="92">
        <f t="shared" ref="AQ420" si="3172">(E420/E368-1)*100</f>
        <v>59.27272727272728</v>
      </c>
      <c r="AR420" s="92">
        <f t="shared" ref="AR420" si="3173">(F420/F368-1)*100</f>
        <v>46.470588235294109</v>
      </c>
      <c r="AS420" s="92">
        <f t="shared" ref="AS420" si="3174">(G420/G368-1)*100</f>
        <v>47.192118226600989</v>
      </c>
      <c r="AT420" s="92">
        <f t="shared" ref="AT420" si="3175">(H420/H368-1)*100</f>
        <v>60.000000000000007</v>
      </c>
      <c r="AU420" s="92">
        <f t="shared" ref="AU420" si="3176">(I420/I368-1)*100</f>
        <v>59.862420382165602</v>
      </c>
    </row>
    <row r="421" spans="1:47" x14ac:dyDescent="0.3">
      <c r="A421" s="13">
        <f t="shared" si="475"/>
        <v>40526</v>
      </c>
      <c r="B421" s="92">
        <f>TWK!B366</f>
        <v>0</v>
      </c>
      <c r="C421" s="92">
        <f>TWK!C366</f>
        <v>0</v>
      </c>
      <c r="D421" s="92">
        <f>TWK!D366</f>
        <v>581.25</v>
      </c>
      <c r="E421" s="92">
        <f>TWK!E366</f>
        <v>473.75</v>
      </c>
      <c r="F421" s="92">
        <f>TWK!F366</f>
        <v>493.75</v>
      </c>
      <c r="G421" s="92">
        <f>TWK!G366</f>
        <v>493.75</v>
      </c>
      <c r="H421" s="92">
        <f>TWK!H366</f>
        <v>417.5</v>
      </c>
      <c r="I421" s="92">
        <f>TWK!I366</f>
        <v>572.46724890829694</v>
      </c>
      <c r="K421" s="92">
        <f t="shared" ref="K421" si="3177">AVERAGE(B418:B421)</f>
        <v>112.5</v>
      </c>
      <c r="L421" s="92">
        <f t="shared" ref="L421" si="3178">AVERAGE(C418:C421)</f>
        <v>223.125</v>
      </c>
      <c r="M421" s="92">
        <f t="shared" ref="M421" si="3179">AVERAGE(D418:D421)</f>
        <v>516.625</v>
      </c>
      <c r="N421" s="92">
        <f t="shared" ref="N421" si="3180">AVERAGE(E418:E421)</f>
        <v>412</v>
      </c>
      <c r="O421" s="92">
        <f t="shared" ref="O421" si="3181">AVERAGE(F418:F421)</f>
        <v>467</v>
      </c>
      <c r="P421" s="92">
        <f t="shared" ref="P421" si="3182">AVERAGE(G418:G421)</f>
        <v>467</v>
      </c>
      <c r="Q421" s="92">
        <f t="shared" ref="Q421" si="3183">AVERAGE(H418:H421)</f>
        <v>373.95833333333331</v>
      </c>
      <c r="R421" s="92">
        <f t="shared" ref="R421" si="3184">AVERAGE(I418:I421)</f>
        <v>512.64592430858806</v>
      </c>
      <c r="U421" s="92">
        <f t="shared" ref="U421" si="3185">(L265+L317+L369)/3</f>
        <v>308.84722222222223</v>
      </c>
      <c r="V421" s="92">
        <f t="shared" ref="V421" si="3186">(M265+M317+M369)/3</f>
        <v>405.92361111111114</v>
      </c>
      <c r="W421" s="92">
        <f t="shared" ref="W421" si="3187">(N265+N317+N369)/3</f>
        <v>329.76388888888891</v>
      </c>
      <c r="X421" s="92">
        <f t="shared" ref="X421" si="3188">(O265+O317+O369)/3</f>
        <v>354.375</v>
      </c>
      <c r="Y421" s="92">
        <f t="shared" ref="Y421" si="3189">(P265+P317+P369)/3</f>
        <v>352.2569444444444</v>
      </c>
      <c r="Z421" s="92">
        <f t="shared" ref="Z421" si="3190">(Q265+Q317+Q369)/3</f>
        <v>287.60416666666669</v>
      </c>
      <c r="AA421" s="92">
        <f t="shared" ref="AA421" si="3191">(R265+R317+R369)/3</f>
        <v>376.503032508491</v>
      </c>
      <c r="AC421" s="112">
        <f>+AF421-'Figure 8_data'!I633</f>
        <v>0</v>
      </c>
      <c r="AE421" s="92">
        <f t="shared" ref="AE421" si="3192">(C421/U421-1)*100</f>
        <v>-100</v>
      </c>
      <c r="AF421" s="92">
        <f t="shared" ref="AF421" si="3193">(D421/V421-1)*100</f>
        <v>43.19196619506269</v>
      </c>
      <c r="AG421" s="92">
        <f t="shared" ref="AG421" si="3194">(E421/W421-1)*100</f>
        <v>43.663395527102722</v>
      </c>
      <c r="AH421" s="92">
        <f t="shared" ref="AH421" si="3195">(F421/X421-1)*100</f>
        <v>39.329805996472665</v>
      </c>
      <c r="AI421" s="92">
        <f t="shared" ref="AI421" si="3196">(G421/Y421-1)*100</f>
        <v>40.167570231641214</v>
      </c>
      <c r="AJ421" s="92">
        <f t="shared" ref="AJ421" si="3197">(H421/Z421-1)*100</f>
        <v>45.164795363998536</v>
      </c>
      <c r="AK421" s="92">
        <f t="shared" ref="AK421" si="3198">(I421/AA421-1)*100</f>
        <v>52.048509435415099</v>
      </c>
      <c r="AM421" s="112">
        <f>AP421-'Figure 8_data'!H633</f>
        <v>0</v>
      </c>
      <c r="AP421" s="92">
        <f t="shared" ref="AP421" si="3199">(D421/D369-1)*100</f>
        <v>60.714285714285701</v>
      </c>
      <c r="AQ421" s="92">
        <f t="shared" ref="AQ421" si="3200">(E421/E369-1)*100</f>
        <v>85.784313725490208</v>
      </c>
      <c r="AR421" s="92">
        <f t="shared" ref="AR421" si="3201">(F421/F369-1)*100</f>
        <v>56.746031746031747</v>
      </c>
      <c r="AS421" s="92">
        <f t="shared" ref="AS421" si="3202">(G421/G369-1)*100</f>
        <v>56.746031746031747</v>
      </c>
      <c r="AT421" s="92">
        <f t="shared" ref="AT421" si="3203">(H421/H369-1)*100</f>
        <v>76.408450704225345</v>
      </c>
      <c r="AU421" s="92">
        <f t="shared" ref="AU421" si="3204">(I421/I369-1)*100</f>
        <v>76.408450704225373</v>
      </c>
    </row>
    <row r="422" spans="1:47" x14ac:dyDescent="0.3">
      <c r="A422" s="13">
        <f t="shared" si="475"/>
        <v>40533</v>
      </c>
      <c r="B422" s="92">
        <f>TWK!B367</f>
        <v>0</v>
      </c>
      <c r="C422" s="92">
        <f>TWK!C367</f>
        <v>0</v>
      </c>
      <c r="D422" s="92">
        <f>TWK!D367</f>
        <v>517.5</v>
      </c>
      <c r="E422" s="92">
        <f>TWK!E367</f>
        <v>381.66666666666669</v>
      </c>
      <c r="F422" s="92">
        <f>TWK!F367</f>
        <v>407.5</v>
      </c>
      <c r="G422" s="92">
        <f>TWK!G367</f>
        <v>407.5</v>
      </c>
      <c r="H422" s="92">
        <f>TWK!H367</f>
        <v>358.75</v>
      </c>
      <c r="I422" s="92">
        <f>TWK!I367</f>
        <v>491.91048034934499</v>
      </c>
      <c r="L422" s="92">
        <f t="shared" ref="L422" si="3205">AVERAGE(C419:C422)</f>
        <v>113.4375</v>
      </c>
      <c r="M422" s="92">
        <f t="shared" ref="M422" si="3206">AVERAGE(D419:D422)</f>
        <v>531</v>
      </c>
      <c r="N422" s="92">
        <f t="shared" ref="N422" si="3207">AVERAGE(E419:E422)</f>
        <v>414.60416666666669</v>
      </c>
      <c r="O422" s="92">
        <f t="shared" ref="O422" si="3208">AVERAGE(F419:F422)</f>
        <v>467.625</v>
      </c>
      <c r="P422" s="92">
        <f t="shared" ref="P422" si="3209">AVERAGE(G419:G422)</f>
        <v>467.625</v>
      </c>
      <c r="Q422" s="92">
        <f t="shared" ref="Q422" si="3210">AVERAGE(H419:H422)</f>
        <v>379.0625</v>
      </c>
      <c r="R422" s="92">
        <f t="shared" ref="R422" si="3211">AVERAGE(I419:I422)</f>
        <v>519.64465065502191</v>
      </c>
      <c r="U422" s="92">
        <f t="shared" ref="U422" si="3212">(L266+L318+L370)/3</f>
        <v>197.90277777777774</v>
      </c>
      <c r="V422" s="92">
        <f t="shared" ref="V422" si="3213">(M266+M318+M370)/3</f>
        <v>410.92361111111114</v>
      </c>
      <c r="W422" s="92">
        <f t="shared" ref="W422" si="3214">(N266+N318+N370)/3</f>
        <v>333.0555555555556</v>
      </c>
      <c r="X422" s="92">
        <f t="shared" ref="X422" si="3215">(O266+O318+O370)/3</f>
        <v>352.10416666666669</v>
      </c>
      <c r="Y422" s="92">
        <f t="shared" ref="Y422" si="3216">(P266+P318+P370)/3</f>
        <v>349.98611111111109</v>
      </c>
      <c r="Z422" s="92">
        <f t="shared" ref="Z422" si="3217">(Q266+Q318+Q370)/3</f>
        <v>280.35416666666663</v>
      </c>
      <c r="AA422" s="92">
        <f t="shared" ref="AA422" si="3218">(R266+R318+R370)/3</f>
        <v>370.70172246482292</v>
      </c>
      <c r="AC422" s="112">
        <f>+AF422-'Figure 8_data'!I634</f>
        <v>0</v>
      </c>
      <c r="AE422" s="92">
        <f t="shared" ref="AE422" si="3219">(C422/U422-1)*100</f>
        <v>-100</v>
      </c>
      <c r="AF422" s="92">
        <f t="shared" ref="AF422" si="3220">(D422/V422-1)*100</f>
        <v>25.935815321176882</v>
      </c>
      <c r="AG422" s="92">
        <f t="shared" ref="AG422" si="3221">(E422/W422-1)*100</f>
        <v>14.595496246872376</v>
      </c>
      <c r="AH422" s="92">
        <f t="shared" ref="AH422" si="3222">(F422/X422-1)*100</f>
        <v>15.732796875924503</v>
      </c>
      <c r="AI422" s="92">
        <f t="shared" ref="AI422" si="3223">(G422/Y422-1)*100</f>
        <v>16.433191793325143</v>
      </c>
      <c r="AJ422" s="92">
        <f t="shared" ref="AJ422" si="3224">(H422/Z422-1)*100</f>
        <v>27.963141859255416</v>
      </c>
      <c r="AK422" s="92">
        <f t="shared" ref="AK422" si="3225">(I422/AA422-1)*100</f>
        <v>32.697112136031123</v>
      </c>
      <c r="AM422" s="112">
        <f>AP422-'Figure 8_data'!H634</f>
        <v>0</v>
      </c>
      <c r="AP422" s="92">
        <f t="shared" ref="AP422" si="3226">(D422/D370-1)*100</f>
        <v>43.75</v>
      </c>
      <c r="AQ422" s="92">
        <f t="shared" ref="AQ422" si="3227">(E422/E370-1)*100</f>
        <v>34.389671361502351</v>
      </c>
      <c r="AR422" s="92">
        <f t="shared" ref="AR422" si="3228">(F422/F370-1)*100</f>
        <v>33.169934640522868</v>
      </c>
      <c r="AS422" s="92">
        <f t="shared" ref="AS422" si="3229">(G422/G370-1)*100</f>
        <v>33.169934640522868</v>
      </c>
      <c r="AT422" s="92">
        <f t="shared" ref="AT422" si="3230">(H422/H370-1)*100</f>
        <v>47.633744855967073</v>
      </c>
      <c r="AU422" s="92">
        <f t="shared" ref="AU422" si="3231">(I422/I370-1)*100</f>
        <v>47.633744855967095</v>
      </c>
    </row>
    <row r="423" spans="1:47" x14ac:dyDescent="0.3">
      <c r="A423" s="13">
        <f t="shared" si="475"/>
        <v>40540</v>
      </c>
      <c r="B423" s="92">
        <f>TWK!B368</f>
        <v>0</v>
      </c>
      <c r="C423" s="92">
        <f>TWK!C368</f>
        <v>0</v>
      </c>
      <c r="D423" s="92">
        <f>TWK!D368</f>
        <v>483.33333333333331</v>
      </c>
      <c r="E423" s="92">
        <f>TWK!E368</f>
        <v>340</v>
      </c>
      <c r="F423" s="92">
        <f>TWK!F368</f>
        <v>408.33333333333331</v>
      </c>
      <c r="G423" s="92">
        <f>TWK!G368</f>
        <v>408.33333333333331</v>
      </c>
      <c r="H423" s="92">
        <f>TWK!H368</f>
        <v>296.66666666666669</v>
      </c>
      <c r="I423" s="92">
        <f>TWK!I368</f>
        <v>406.78311499272195</v>
      </c>
      <c r="M423" s="92">
        <f t="shared" ref="M423" si="3232">AVERAGE(D420:D423)</f>
        <v>535.27083333333337</v>
      </c>
      <c r="N423" s="92">
        <f t="shared" ref="N423" si="3233">AVERAGE(E420:E423)</f>
        <v>408.35416666666669</v>
      </c>
      <c r="O423" s="92">
        <f t="shared" ref="O423" si="3234">AVERAGE(F420:F423)</f>
        <v>451.89583333333331</v>
      </c>
      <c r="P423" s="92">
        <f t="shared" ref="P423" si="3235">AVERAGE(G420:G423)</f>
        <v>451.89583333333331</v>
      </c>
      <c r="Q423" s="92">
        <f t="shared" ref="Q423" si="3236">AVERAGE(H420:H423)</f>
        <v>368.22916666666669</v>
      </c>
      <c r="R423" s="92">
        <f t="shared" ref="R423" si="3237">AVERAGE(I420:I423)</f>
        <v>504.79021106259097</v>
      </c>
      <c r="U423" s="92">
        <f t="shared" ref="U423" si="3238">(L267+L319+L371)/3</f>
        <v>86.527777777777771</v>
      </c>
      <c r="V423" s="92">
        <f t="shared" ref="V423" si="3239">(M267+M319+M371)/3</f>
        <v>408.78472222222223</v>
      </c>
      <c r="W423" s="92">
        <f t="shared" ref="W423" si="3240">(N267+N319+N371)/3</f>
        <v>321.52777777777777</v>
      </c>
      <c r="X423" s="92">
        <f t="shared" ref="X423" si="3241">(O267+O319+O371)/3</f>
        <v>345.66666666666669</v>
      </c>
      <c r="Y423" s="92">
        <f t="shared" ref="Y423" si="3242">(P267+P319+P371)/3</f>
        <v>345.36111111111109</v>
      </c>
      <c r="Z423" s="92">
        <f t="shared" ref="Z423" si="3243">(Q267+Q319+Q371)/3</f>
        <v>268.625</v>
      </c>
      <c r="AA423" s="92">
        <f t="shared" ref="AA423" si="3244">(R267+R319+R371)/3</f>
        <v>357.55786026200877</v>
      </c>
      <c r="AC423" s="112">
        <f>+AF423-'Figure 8_data'!I635</f>
        <v>0</v>
      </c>
      <c r="AE423" s="92">
        <f t="shared" ref="AE423" si="3245">(C423/U423-1)*100</f>
        <v>-100</v>
      </c>
      <c r="AF423" s="92">
        <f t="shared" ref="AF423" si="3246">(D423/V423-1)*100</f>
        <v>18.236643166567568</v>
      </c>
      <c r="AG423" s="92">
        <f t="shared" ref="AG423" si="3247">(E423/W423-1)*100</f>
        <v>5.745140388768899</v>
      </c>
      <c r="AH423" s="92">
        <f t="shared" ref="AH423" si="3248">(F423/X423-1)*100</f>
        <v>18.129218900675003</v>
      </c>
      <c r="AI423" s="92">
        <f t="shared" ref="AI423" si="3249">(G423/Y423-1)*100</f>
        <v>18.233732807850078</v>
      </c>
      <c r="AJ423" s="92">
        <f t="shared" ref="AJ423" si="3250">(H423/Z423-1)*100</f>
        <v>10.438963859159301</v>
      </c>
      <c r="AK423" s="92">
        <f t="shared" ref="AK423" si="3251">(I423/AA423-1)*100</f>
        <v>13.767073864532641</v>
      </c>
      <c r="AM423" s="112">
        <f>AP423-'Figure 8_data'!H635</f>
        <v>0</v>
      </c>
      <c r="AP423" s="92">
        <f t="shared" ref="AP423" si="3252">(D423/D371-1)*100</f>
        <v>34.259259259259252</v>
      </c>
      <c r="AQ423" s="92">
        <f t="shared" ref="AQ423" si="3253">(E423/E371-1)*100</f>
        <v>22.302158273381288</v>
      </c>
      <c r="AR423" s="92">
        <f t="shared" ref="AR423" si="3254">(F423/F371-1)*100</f>
        <v>35.20971302428255</v>
      </c>
      <c r="AS423" s="92">
        <f t="shared" ref="AS423" si="3255">(G423/G371-1)*100</f>
        <v>35.20971302428255</v>
      </c>
      <c r="AT423" s="92">
        <f t="shared" ref="AT423" si="3256">(H423/H371-1)*100</f>
        <v>22.589531680440778</v>
      </c>
      <c r="AU423" s="92">
        <f t="shared" ref="AU423" si="3257">(I423/I371-1)*100</f>
        <v>22.895200904145607</v>
      </c>
    </row>
    <row r="424" spans="1:47" x14ac:dyDescent="0.3">
      <c r="A424" s="13">
        <f t="shared" si="475"/>
        <v>40547</v>
      </c>
      <c r="B424" s="92">
        <f>TWK!B369</f>
        <v>0</v>
      </c>
      <c r="C424" s="92">
        <f>TWK!C369</f>
        <v>0</v>
      </c>
      <c r="D424" s="92">
        <f>TWK!D369</f>
        <v>412.5</v>
      </c>
      <c r="E424" s="92">
        <f>TWK!E369</f>
        <v>301.25</v>
      </c>
      <c r="F424" s="92">
        <f>TWK!F369</f>
        <v>377.5</v>
      </c>
      <c r="G424" s="92">
        <f>TWK!G369</f>
        <v>377.5</v>
      </c>
      <c r="H424" s="92">
        <f>TWK!H369</f>
        <v>277.5</v>
      </c>
      <c r="I424" s="92">
        <f>TWK!I369</f>
        <v>380.50218340611355</v>
      </c>
      <c r="M424" s="92">
        <f t="shared" ref="M424" si="3258">AVERAGE(D421:D424)</f>
        <v>498.64583333333331</v>
      </c>
      <c r="N424" s="92">
        <f t="shared" ref="N424" si="3259">AVERAGE(E421:E424)</f>
        <v>374.16666666666669</v>
      </c>
      <c r="O424" s="92">
        <f t="shared" ref="O424" si="3260">AVERAGE(F421:F424)</f>
        <v>421.77083333333331</v>
      </c>
      <c r="P424" s="92">
        <f t="shared" ref="P424" si="3261">AVERAGE(G421:G424)</f>
        <v>421.77083333333331</v>
      </c>
      <c r="Q424" s="92">
        <f t="shared" ref="Q424" si="3262">AVERAGE(H421:H424)</f>
        <v>337.60416666666669</v>
      </c>
      <c r="R424" s="92">
        <f t="shared" ref="R424" si="3263">AVERAGE(I421:I424)</f>
        <v>462.91575691411936</v>
      </c>
      <c r="V424" s="92">
        <f t="shared" ref="V424" si="3264">(M268+M320+M372)/3</f>
        <v>393.1180555555556</v>
      </c>
      <c r="W424" s="92">
        <f t="shared" ref="W424" si="3265">(N268+N320+N372)/3</f>
        <v>298.91666666666669</v>
      </c>
      <c r="X424" s="92">
        <f t="shared" ref="X424" si="3266">(O268+O320+O372)/3</f>
        <v>334.125</v>
      </c>
      <c r="Y424" s="92">
        <f t="shared" ref="Y424" si="3267">(P268+P320+P372)/3</f>
        <v>333.95833333333331</v>
      </c>
      <c r="Z424" s="92">
        <f t="shared" ref="Z424" si="3268">(Q268+Q320+Q372)/3</f>
        <v>252.9027777777778</v>
      </c>
      <c r="AA424" s="92">
        <f t="shared" ref="AA424" si="3269">(R268+R320+R372)/3</f>
        <v>346.58030082484225</v>
      </c>
      <c r="AC424" s="112">
        <f>+AF424-'Figure 8_data'!I636</f>
        <v>0</v>
      </c>
      <c r="AF424" s="92">
        <f t="shared" ref="AF424" si="3270">(D424/V424-1)*100</f>
        <v>4.930311434577539</v>
      </c>
      <c r="AG424" s="92">
        <f t="shared" ref="AG424" si="3271">(E424/W424-1)*100</f>
        <v>0.78059659882909749</v>
      </c>
      <c r="AH424" s="92">
        <f t="shared" ref="AH424" si="3272">(F424/X424-1)*100</f>
        <v>12.981668537224088</v>
      </c>
      <c r="AI424" s="92">
        <f t="shared" ref="AI424" si="3273">(G424/Y424-1)*100</f>
        <v>13.038053649407377</v>
      </c>
      <c r="AJ424" s="92">
        <f t="shared" ref="AJ424" si="3274">(H424/Z424-1)*100</f>
        <v>9.7259596902630427</v>
      </c>
      <c r="AK424" s="92">
        <f t="shared" ref="AK424" si="3275">(I424/AA424-1)*100</f>
        <v>9.7875968427920021</v>
      </c>
      <c r="AM424" s="112">
        <f>AP424-'Figure 8_data'!H636</f>
        <v>0</v>
      </c>
      <c r="AP424" s="92">
        <f t="shared" ref="AP424" si="3276">(D424/D372-1)*100</f>
        <v>8.5526315789473664</v>
      </c>
      <c r="AQ424" s="92">
        <f t="shared" ref="AQ424" si="3277">(E424/E372-1)*100</f>
        <v>10.889570552147232</v>
      </c>
      <c r="AR424" s="92">
        <f t="shared" ref="AR424" si="3278">(F424/F372-1)*100</f>
        <v>21.7741935483871</v>
      </c>
      <c r="AS424" s="92">
        <f t="shared" ref="AS424" si="3279">(G424/G372-1)*100</f>
        <v>21.7741935483871</v>
      </c>
      <c r="AT424" s="92">
        <f t="shared" ref="AT424" si="3280">(H424/H372-1)*100</f>
        <v>18.928571428571427</v>
      </c>
      <c r="AU424" s="92">
        <f t="shared" ref="AU424" si="3281">(I424/I372-1)*100</f>
        <v>18.928571428571427</v>
      </c>
    </row>
    <row r="425" spans="1:47" x14ac:dyDescent="0.3">
      <c r="A425" s="13">
        <f t="shared" si="475"/>
        <v>40554</v>
      </c>
      <c r="B425" s="92">
        <f>TWK!B370</f>
        <v>0</v>
      </c>
      <c r="C425" s="92">
        <f>TWK!C370</f>
        <v>0</v>
      </c>
      <c r="D425" s="92">
        <f>TWK!D370</f>
        <v>450</v>
      </c>
      <c r="E425" s="92">
        <f>TWK!E370</f>
        <v>380</v>
      </c>
      <c r="F425" s="92">
        <f>TWK!F370</f>
        <v>436.25</v>
      </c>
      <c r="G425" s="92">
        <f>TWK!G370</f>
        <v>436.25</v>
      </c>
      <c r="H425" s="92">
        <f>TWK!H370</f>
        <v>360</v>
      </c>
      <c r="I425" s="92">
        <f>TWK!I370</f>
        <v>493.62445414847161</v>
      </c>
      <c r="M425" s="92">
        <f t="shared" ref="M425" si="3282">AVERAGE(D422:D425)</f>
        <v>465.83333333333331</v>
      </c>
      <c r="N425" s="92">
        <f t="shared" ref="N425" si="3283">AVERAGE(E422:E425)</f>
        <v>350.72916666666669</v>
      </c>
      <c r="O425" s="92">
        <f t="shared" ref="O425" si="3284">AVERAGE(F422:F425)</f>
        <v>407.39583333333331</v>
      </c>
      <c r="P425" s="92">
        <f t="shared" ref="P425" si="3285">AVERAGE(G422:G425)</f>
        <v>407.39583333333331</v>
      </c>
      <c r="Q425" s="92">
        <f t="shared" ref="Q425" si="3286">AVERAGE(H422:H425)</f>
        <v>323.22916666666669</v>
      </c>
      <c r="R425" s="92">
        <f t="shared" ref="R425" si="3287">AVERAGE(I422:I425)</f>
        <v>443.20505822416305</v>
      </c>
      <c r="V425" s="92">
        <f t="shared" ref="V425" si="3288">(M269+M321+M373)/3</f>
        <v>397.5</v>
      </c>
      <c r="W425" s="92">
        <f t="shared" ref="W425" si="3289">(N269+N321+N373)/3</f>
        <v>300.52083333333331</v>
      </c>
      <c r="X425" s="92">
        <f t="shared" ref="X425" si="3290">(O269+O321+O373)/3</f>
        <v>335.625</v>
      </c>
      <c r="Y425" s="92">
        <f t="shared" ref="Y425" si="3291">(P269+P321+P373)/3</f>
        <v>335.45833333333331</v>
      </c>
      <c r="Z425" s="92">
        <f t="shared" ref="Z425" si="3292">(Q269+Q321+Q373)/3</f>
        <v>262.8055555555556</v>
      </c>
      <c r="AA425" s="92">
        <f t="shared" ref="AA425" si="3293">(R269+R321+R373)/3</f>
        <v>358.86620572537601</v>
      </c>
      <c r="AC425" s="112">
        <f>+AF425-'Figure 8_data'!I637</f>
        <v>0</v>
      </c>
      <c r="AF425" s="92">
        <f t="shared" ref="AF425" si="3294">(D425/V425-1)*100</f>
        <v>13.207547169811317</v>
      </c>
      <c r="AG425" s="92">
        <f t="shared" ref="AG425" si="3295">(E425/W425-1)*100</f>
        <v>26.447140381282509</v>
      </c>
      <c r="AH425" s="92">
        <f t="shared" ref="AH425" si="3296">(F425/X425-1)*100</f>
        <v>29.981378026070772</v>
      </c>
      <c r="AI425" s="92">
        <f t="shared" ref="AI425" si="3297">(G425/Y425-1)*100</f>
        <v>30.045957023972193</v>
      </c>
      <c r="AJ425" s="92">
        <f t="shared" ref="AJ425" si="3298">(H425/Z425-1)*100</f>
        <v>36.983405559665968</v>
      </c>
      <c r="AK425" s="92">
        <f t="shared" ref="AK425" si="3299">(I425/AA425-1)*100</f>
        <v>37.551111325935203</v>
      </c>
      <c r="AM425" s="112">
        <f>AP425-'Figure 8_data'!H637</f>
        <v>0</v>
      </c>
      <c r="AP425" s="92">
        <f t="shared" ref="AP425" si="3300">(D425/D373-1)*100</f>
        <v>16.50485436893203</v>
      </c>
      <c r="AQ425" s="92">
        <f t="shared" ref="AQ425" si="3301">(E425/E373-1)*100</f>
        <v>45.45454545454546</v>
      </c>
      <c r="AR425" s="92">
        <f t="shared" ref="AR425" si="3302">(F425/F373-1)*100</f>
        <v>40.725806451612897</v>
      </c>
      <c r="AS425" s="92">
        <f t="shared" ref="AS425" si="3303">(G425/G373-1)*100</f>
        <v>40.725806451612897</v>
      </c>
      <c r="AT425" s="92">
        <f t="shared" ref="AT425" si="3304">(H425/H373-1)*100</f>
        <v>58.241758241758234</v>
      </c>
      <c r="AU425" s="92">
        <f t="shared" ref="AU425" si="3305">(I425/I373-1)*100</f>
        <v>58.241758241758234</v>
      </c>
    </row>
    <row r="426" spans="1:47" x14ac:dyDescent="0.3">
      <c r="A426" s="13">
        <f t="shared" si="475"/>
        <v>40561</v>
      </c>
      <c r="B426" s="92">
        <f>TWK!B371</f>
        <v>0</v>
      </c>
      <c r="C426" s="92">
        <f>TWK!C371</f>
        <v>0</v>
      </c>
      <c r="D426" s="92">
        <f>TWK!D371</f>
        <v>457.5</v>
      </c>
      <c r="E426" s="92">
        <f>TWK!E371</f>
        <v>396.25</v>
      </c>
      <c r="F426" s="92">
        <f>TWK!F371</f>
        <v>438.75</v>
      </c>
      <c r="G426" s="92">
        <f>TWK!G371</f>
        <v>438.75</v>
      </c>
      <c r="H426" s="92">
        <f>TWK!H371</f>
        <v>372.5</v>
      </c>
      <c r="I426" s="92">
        <f>TWK!I371</f>
        <v>510.76419213973799</v>
      </c>
      <c r="M426" s="92">
        <f t="shared" ref="M426" si="3306">AVERAGE(D423:D426)</f>
        <v>450.83333333333331</v>
      </c>
      <c r="N426" s="92">
        <f t="shared" ref="N426" si="3307">AVERAGE(E423:E426)</f>
        <v>354.375</v>
      </c>
      <c r="O426" s="92">
        <f t="shared" ref="O426" si="3308">AVERAGE(F423:F426)</f>
        <v>415.20833333333331</v>
      </c>
      <c r="P426" s="92">
        <f t="shared" ref="P426" si="3309">AVERAGE(G423:G426)</f>
        <v>415.20833333333331</v>
      </c>
      <c r="Q426" s="92">
        <f t="shared" ref="Q426" si="3310">AVERAGE(H423:H426)</f>
        <v>326.66666666666669</v>
      </c>
      <c r="R426" s="92">
        <f t="shared" ref="R426" si="3311">AVERAGE(I423:I426)</f>
        <v>447.91848617176129</v>
      </c>
      <c r="V426" s="92">
        <f t="shared" ref="V426" si="3312">(M270+M322+M374)/3</f>
        <v>408.875</v>
      </c>
      <c r="W426" s="92">
        <f t="shared" ref="W426" si="3313">(N270+N322+N374)/3</f>
        <v>316.35416666666669</v>
      </c>
      <c r="X426" s="92">
        <f t="shared" ref="X426" si="3314">(O270+O322+O374)/3</f>
        <v>345.72916666666669</v>
      </c>
      <c r="Y426" s="92">
        <f t="shared" ref="Y426" si="3315">(P270+P322+P374)/3</f>
        <v>345.5625</v>
      </c>
      <c r="Z426" s="92">
        <f t="shared" ref="Z426" si="3316">(Q270+Q322+Q374)/3</f>
        <v>285.03472222222223</v>
      </c>
      <c r="AA426" s="92">
        <f t="shared" ref="AA426" si="3317">(R270+R322+R374)/3</f>
        <v>386.40023047064534</v>
      </c>
      <c r="AC426" s="112">
        <f>+AF426-'Figure 8_data'!I638</f>
        <v>0</v>
      </c>
      <c r="AF426" s="92">
        <f t="shared" ref="AF426" si="3318">(D426/V426-1)*100</f>
        <v>11.892387649036994</v>
      </c>
      <c r="AG426" s="92">
        <f t="shared" ref="AG426" si="3319">(E426/W426-1)*100</f>
        <v>25.255186038854127</v>
      </c>
      <c r="AH426" s="92">
        <f t="shared" ref="AH426" si="3320">(F426/X426-1)*100</f>
        <v>26.905694486291054</v>
      </c>
      <c r="AI426" s="92">
        <f t="shared" ref="AI426" si="3321">(G426/Y426-1)*100</f>
        <v>26.966901790558872</v>
      </c>
      <c r="AJ426" s="92">
        <f t="shared" ref="AJ426" si="3322">(H426/Z426-1)*100</f>
        <v>30.685832622731148</v>
      </c>
      <c r="AK426" s="92">
        <f t="shared" ref="AK426" si="3323">(I426/AA426-1)*100</f>
        <v>32.185271089930303</v>
      </c>
      <c r="AM426" s="112">
        <f>AP426-'Figure 8_data'!H638</f>
        <v>0</v>
      </c>
      <c r="AP426" s="92">
        <f t="shared" ref="AP426" si="3324">(D426/D374-1)*100</f>
        <v>16.932907348242821</v>
      </c>
      <c r="AQ426" s="92">
        <f t="shared" ref="AQ426" si="3325">(E426/E374-1)*100</f>
        <v>36.637931034482762</v>
      </c>
      <c r="AR426" s="92">
        <f t="shared" ref="AR426" si="3326">(F426/F374-1)*100</f>
        <v>33.460076045627375</v>
      </c>
      <c r="AS426" s="92">
        <f t="shared" ref="AS426" si="3327">(G426/G374-1)*100</f>
        <v>33.460076045627375</v>
      </c>
      <c r="AT426" s="92">
        <f t="shared" ref="AT426" si="3328">(H426/H374-1)*100</f>
        <v>48.258706467661682</v>
      </c>
      <c r="AU426" s="92">
        <f t="shared" ref="AU426" si="3329">(I426/I374-1)*100</f>
        <v>48.258706467661703</v>
      </c>
    </row>
    <row r="427" spans="1:47" x14ac:dyDescent="0.3">
      <c r="A427" s="13">
        <f t="shared" si="475"/>
        <v>40568</v>
      </c>
      <c r="B427" s="92">
        <f>TWK!B372</f>
        <v>0</v>
      </c>
      <c r="C427" s="92">
        <f>TWK!C372</f>
        <v>0</v>
      </c>
      <c r="D427" s="92">
        <f>TWK!D372</f>
        <v>456.25</v>
      </c>
      <c r="E427" s="92">
        <f>TWK!E372</f>
        <v>397.5</v>
      </c>
      <c r="F427" s="92">
        <f>TWK!F372</f>
        <v>400</v>
      </c>
      <c r="G427" s="92">
        <f>TWK!G372</f>
        <v>400</v>
      </c>
      <c r="H427" s="92">
        <f>TWK!H372</f>
        <v>331.25</v>
      </c>
      <c r="I427" s="92">
        <f>TWK!I372</f>
        <v>454.20305676855889</v>
      </c>
      <c r="M427" s="92">
        <f t="shared" ref="M427" si="3330">AVERAGE(D424:D427)</f>
        <v>444.0625</v>
      </c>
      <c r="N427" s="92">
        <f t="shared" ref="N427" si="3331">AVERAGE(E424:E427)</f>
        <v>368.75</v>
      </c>
      <c r="O427" s="92">
        <f t="shared" ref="O427" si="3332">AVERAGE(F424:F427)</f>
        <v>413.125</v>
      </c>
      <c r="P427" s="92">
        <f t="shared" ref="P427" si="3333">AVERAGE(G424:G427)</f>
        <v>413.125</v>
      </c>
      <c r="Q427" s="92">
        <f t="shared" ref="Q427" si="3334">AVERAGE(H424:H427)</f>
        <v>335.3125</v>
      </c>
      <c r="R427" s="92">
        <f t="shared" ref="R427" si="3335">AVERAGE(I424:I427)</f>
        <v>459.7734716157205</v>
      </c>
      <c r="V427" s="92">
        <f t="shared" ref="V427" si="3336">(M271+M323+M375)/3</f>
        <v>430.125</v>
      </c>
      <c r="W427" s="92">
        <f t="shared" ref="W427" si="3337">(N271+N323+N375)/3</f>
        <v>339.04861111111114</v>
      </c>
      <c r="X427" s="92">
        <f t="shared" ref="X427" si="3338">(O271+O323+O375)/3</f>
        <v>354.8680555555556</v>
      </c>
      <c r="Y427" s="92">
        <f t="shared" ref="Y427" si="3339">(P271+P323+P375)/3</f>
        <v>355.53472222222223</v>
      </c>
      <c r="Z427" s="92">
        <f t="shared" ref="Z427" si="3340">(Q271+Q323+Q375)/3</f>
        <v>303.78472222222223</v>
      </c>
      <c r="AA427" s="92">
        <f t="shared" ref="AA427" si="3341">(R271+R323+R375)/3</f>
        <v>412.11420426977196</v>
      </c>
      <c r="AC427" s="112">
        <f>+AF427-'Figure 8_data'!I639</f>
        <v>0</v>
      </c>
      <c r="AF427" s="92">
        <f t="shared" ref="AF427" si="3342">(D427/V427-1)*100</f>
        <v>6.0738157512351121</v>
      </c>
      <c r="AG427" s="92">
        <f t="shared" ref="AG427" si="3343">(E427/W427-1)*100</f>
        <v>17.23982549208365</v>
      </c>
      <c r="AH427" s="92">
        <f t="shared" ref="AH427" si="3344">(F427/X427-1)*100</f>
        <v>12.717950725034722</v>
      </c>
      <c r="AI427" s="92">
        <f t="shared" ref="AI427" si="3345">(G427/Y427-1)*100</f>
        <v>12.506592183135723</v>
      </c>
      <c r="AJ427" s="92">
        <f t="shared" ref="AJ427" si="3346">(H427/Z427-1)*100</f>
        <v>9.0410332609440971</v>
      </c>
      <c r="AK427" s="92">
        <f t="shared" ref="AK427" si="3347">(I427/AA427-1)*100</f>
        <v>10.212909931936087</v>
      </c>
      <c r="AM427" s="112">
        <f>AP427-'Figure 8_data'!H639</f>
        <v>0</v>
      </c>
      <c r="AP427" s="92">
        <f t="shared" ref="AP427" si="3348">(D427/D375-1)*100</f>
        <v>11.280487804878048</v>
      </c>
      <c r="AQ427" s="92">
        <f t="shared" ref="AQ427" si="3349">(E427/E375-1)*100</f>
        <v>29.619565217391287</v>
      </c>
      <c r="AR427" s="92">
        <f t="shared" ref="AR427" si="3350">(F427/F375-1)*100</f>
        <v>22.448979591836739</v>
      </c>
      <c r="AS427" s="92">
        <f t="shared" ref="AS427" si="3351">(G427/G375-1)*100</f>
        <v>22.448979591836739</v>
      </c>
      <c r="AT427" s="92">
        <f t="shared" ref="AT427" si="3352">(H427/H375-1)*100</f>
        <v>30.756578947368407</v>
      </c>
      <c r="AU427" s="92">
        <f t="shared" ref="AU427" si="3353">(I427/I375-1)*100</f>
        <v>30.756578947368428</v>
      </c>
    </row>
    <row r="428" spans="1:47" x14ac:dyDescent="0.3">
      <c r="A428" s="13">
        <f t="shared" si="475"/>
        <v>40575</v>
      </c>
      <c r="B428" s="92">
        <f>TWK!B373</f>
        <v>0</v>
      </c>
      <c r="C428" s="92">
        <f>TWK!C373</f>
        <v>0</v>
      </c>
      <c r="D428" s="92">
        <f>TWK!D373</f>
        <v>550</v>
      </c>
      <c r="E428" s="92">
        <f>TWK!E373</f>
        <v>473.75</v>
      </c>
      <c r="F428" s="92">
        <f>TWK!F373</f>
        <v>422.5</v>
      </c>
      <c r="G428" s="92">
        <f>TWK!G373</f>
        <v>422.5</v>
      </c>
      <c r="H428" s="92">
        <f>TWK!H373</f>
        <v>383.33333333333331</v>
      </c>
      <c r="I428" s="92">
        <f>TWK!I373</f>
        <v>525.61863173216886</v>
      </c>
      <c r="M428" s="92">
        <f t="shared" ref="M428" si="3354">AVERAGE(D425:D428)</f>
        <v>478.4375</v>
      </c>
      <c r="N428" s="92">
        <f t="shared" ref="N428" si="3355">AVERAGE(E425:E428)</f>
        <v>411.875</v>
      </c>
      <c r="O428" s="92">
        <f t="shared" ref="O428" si="3356">AVERAGE(F425:F428)</f>
        <v>424.375</v>
      </c>
      <c r="P428" s="92">
        <f t="shared" ref="P428" si="3357">AVERAGE(G425:G428)</f>
        <v>424.375</v>
      </c>
      <c r="Q428" s="92">
        <f t="shared" ref="Q428" si="3358">AVERAGE(H425:H428)</f>
        <v>361.77083333333331</v>
      </c>
      <c r="R428" s="92">
        <f t="shared" ref="R428" si="3359">AVERAGE(I425:I428)</f>
        <v>496.05258369723435</v>
      </c>
      <c r="V428" s="92">
        <f t="shared" ref="V428" si="3360">(M272+M324+M376)/3</f>
        <v>451.125</v>
      </c>
      <c r="W428" s="92">
        <f t="shared" ref="W428" si="3361">(N272+N324+N376)/3</f>
        <v>353.2430555555556</v>
      </c>
      <c r="X428" s="92">
        <f t="shared" ref="X428" si="3362">(O272+O324+O376)/3</f>
        <v>360.59722222222223</v>
      </c>
      <c r="Y428" s="92">
        <f t="shared" ref="Y428" si="3363">(P272+P324+P376)/3</f>
        <v>361.26388888888891</v>
      </c>
      <c r="Z428" s="92">
        <f t="shared" ref="Z428" si="3364">(Q272+Q324+Q376)/3</f>
        <v>313.40277777777777</v>
      </c>
      <c r="AA428" s="92">
        <f t="shared" ref="AA428" si="3365">(R272+R324+R376)/3</f>
        <v>424.8517709849587</v>
      </c>
      <c r="AC428" s="112">
        <f>+AF428-'Figure 8_data'!I640</f>
        <v>0</v>
      </c>
      <c r="AF428" s="92">
        <f t="shared" ref="AF428" si="3366">(D428/V428-1)*100</f>
        <v>21.917428650595738</v>
      </c>
      <c r="AG428" s="92">
        <f t="shared" ref="AG428" si="3367">(E428/W428-1)*100</f>
        <v>34.114455344329308</v>
      </c>
      <c r="AH428" s="92">
        <f t="shared" ref="AH428" si="3368">(F428/X428-1)*100</f>
        <v>17.166737279975351</v>
      </c>
      <c r="AI428" s="92">
        <f t="shared" ref="AI428" si="3369">(G428/Y428-1)*100</f>
        <v>16.950520933451219</v>
      </c>
      <c r="AJ428" s="92">
        <f t="shared" ref="AJ428" si="3370">(H428/Z428-1)*100</f>
        <v>22.313317083979612</v>
      </c>
      <c r="AK428" s="92">
        <f t="shared" ref="AK428" si="3371">(I428/AA428-1)*100</f>
        <v>23.718121855440643</v>
      </c>
      <c r="AM428" s="112">
        <f>AP428-'Figure 8_data'!H640</f>
        <v>0</v>
      </c>
      <c r="AP428" s="92">
        <f t="shared" ref="AP428" si="3372">(D428/D376-1)*100</f>
        <v>37.5</v>
      </c>
      <c r="AQ428" s="92">
        <f t="shared" ref="AQ428" si="3373">(E428/E376-1)*100</f>
        <v>55.327868852459019</v>
      </c>
      <c r="AR428" s="92">
        <f t="shared" ref="AR428" si="3374">(F428/F376-1)*100</f>
        <v>30.501930501930509</v>
      </c>
      <c r="AS428" s="92">
        <f t="shared" ref="AS428" si="3375">(G428/G376-1)*100</f>
        <v>30.501930501930509</v>
      </c>
      <c r="AT428" s="92">
        <f t="shared" ref="AT428" si="3376">(H428/H376-1)*100</f>
        <v>48.148148148148138</v>
      </c>
      <c r="AU428" s="92">
        <f t="shared" ref="AU428" si="3377">(I428/I376-1)*100</f>
        <v>48.148148148148138</v>
      </c>
    </row>
    <row r="429" spans="1:47" x14ac:dyDescent="0.3">
      <c r="A429" s="13">
        <f t="shared" si="475"/>
        <v>40582</v>
      </c>
      <c r="B429" s="92">
        <f>TWK!B374</f>
        <v>0</v>
      </c>
      <c r="C429" s="92">
        <f>TWK!C374</f>
        <v>0</v>
      </c>
      <c r="D429" s="92">
        <f>TWK!D374</f>
        <v>537.5</v>
      </c>
      <c r="E429" s="92">
        <f>TWK!E374</f>
        <v>428.75</v>
      </c>
      <c r="F429" s="92">
        <f>TWK!F374</f>
        <v>435</v>
      </c>
      <c r="G429" s="92">
        <f>TWK!G374</f>
        <v>435</v>
      </c>
      <c r="H429" s="92">
        <f>TWK!H374</f>
        <v>391.25</v>
      </c>
      <c r="I429" s="92">
        <f>TWK!I374</f>
        <v>536.47379912663757</v>
      </c>
      <c r="M429" s="92">
        <f t="shared" ref="M429" si="3378">AVERAGE(D426:D429)</f>
        <v>500.3125</v>
      </c>
      <c r="N429" s="92">
        <f t="shared" ref="N429" si="3379">AVERAGE(E426:E429)</f>
        <v>424.0625</v>
      </c>
      <c r="O429" s="92">
        <f t="shared" ref="O429" si="3380">AVERAGE(F426:F429)</f>
        <v>424.0625</v>
      </c>
      <c r="P429" s="92">
        <f t="shared" ref="P429" si="3381">AVERAGE(G426:G429)</f>
        <v>424.0625</v>
      </c>
      <c r="Q429" s="92">
        <f t="shared" ref="Q429" si="3382">AVERAGE(H426:H429)</f>
        <v>369.58333333333331</v>
      </c>
      <c r="R429" s="92">
        <f t="shared" ref="R429" si="3383">AVERAGE(I426:I429)</f>
        <v>506.76491994177582</v>
      </c>
      <c r="V429" s="92">
        <f t="shared" ref="V429" si="3384">(M273+M325+M377)/3</f>
        <v>444.6875</v>
      </c>
      <c r="W429" s="92">
        <f t="shared" ref="W429" si="3385">(N273+N325+N377)/3</f>
        <v>347.38888888888891</v>
      </c>
      <c r="X429" s="92">
        <f t="shared" ref="X429" si="3386">(O273+O325+O377)/3</f>
        <v>352.51388888888891</v>
      </c>
      <c r="Y429" s="92">
        <f t="shared" ref="Y429" si="3387">(P273+P325+P377)/3</f>
        <v>353.34722222222223</v>
      </c>
      <c r="Z429" s="92">
        <f t="shared" ref="Z429" si="3388">(Q273+Q325+Q377)/3</f>
        <v>305.19444444444446</v>
      </c>
      <c r="AA429" s="92">
        <f t="shared" ref="AA429" si="3389">(R273+R325+R377)/3</f>
        <v>404.60650169820474</v>
      </c>
      <c r="AC429" s="112">
        <f>+AF429-'Figure 8_data'!I641</f>
        <v>0</v>
      </c>
      <c r="AF429" s="92">
        <f t="shared" ref="AF429" si="3390">(D429/V429-1)*100</f>
        <v>20.871398453970478</v>
      </c>
      <c r="AG429" s="92">
        <f t="shared" ref="AG429" si="3391">(E429/W429-1)*100</f>
        <v>23.420758036142651</v>
      </c>
      <c r="AH429" s="92">
        <f t="shared" ref="AH429" si="3392">(F429/X429-1)*100</f>
        <v>23.399393246916979</v>
      </c>
      <c r="AI429" s="92">
        <f t="shared" ref="AI429" si="3393">(G429/Y429-1)*100</f>
        <v>23.10836838174599</v>
      </c>
      <c r="AJ429" s="92">
        <f t="shared" ref="AJ429" si="3394">(H429/Z429-1)*100</f>
        <v>28.196960043687991</v>
      </c>
      <c r="AK429" s="92">
        <f t="shared" ref="AK429" si="3395">(I429/AA429-1)*100</f>
        <v>32.591492443883773</v>
      </c>
      <c r="AM429" s="112">
        <f>AP429-'Figure 8_data'!H641</f>
        <v>0</v>
      </c>
      <c r="AP429" s="92">
        <f t="shared" ref="AP429" si="3396">(D429/D377-1)*100</f>
        <v>50.139664804469277</v>
      </c>
      <c r="AQ429" s="92">
        <f t="shared" ref="AQ429" si="3397">(E429/E377-1)*100</f>
        <v>66.18217054263566</v>
      </c>
      <c r="AR429" s="92">
        <f t="shared" ref="AR429" si="3398">(F429/F377-1)*100</f>
        <v>44.03973509933774</v>
      </c>
      <c r="AS429" s="92">
        <f t="shared" ref="AS429" si="3399">(G429/G377-1)*100</f>
        <v>44.03973509933774</v>
      </c>
      <c r="AT429" s="92">
        <f t="shared" ref="AT429" si="3400">(H429/H377-1)*100</f>
        <v>65.084388185654007</v>
      </c>
      <c r="AU429" s="92">
        <f t="shared" ref="AU429" si="3401">(I429/I377-1)*100</f>
        <v>65.06886126973464</v>
      </c>
    </row>
    <row r="430" spans="1:47" x14ac:dyDescent="0.3">
      <c r="A430" s="13">
        <f t="shared" si="475"/>
        <v>40589</v>
      </c>
      <c r="B430" s="92">
        <f>TWK!B375</f>
        <v>0</v>
      </c>
      <c r="C430" s="92">
        <f>TWK!C375</f>
        <v>0</v>
      </c>
      <c r="D430" s="92">
        <f>TWK!D375</f>
        <v>583.75</v>
      </c>
      <c r="E430" s="92">
        <f>TWK!E375</f>
        <v>487.5</v>
      </c>
      <c r="F430" s="92">
        <f>TWK!F375</f>
        <v>500</v>
      </c>
      <c r="G430" s="92">
        <f>TWK!G375</f>
        <v>500</v>
      </c>
      <c r="H430" s="92">
        <f>TWK!H375</f>
        <v>437.5</v>
      </c>
      <c r="I430" s="92">
        <f>TWK!I375</f>
        <v>599.8908296943232</v>
      </c>
      <c r="M430" s="92">
        <f t="shared" ref="M430" si="3402">AVERAGE(D427:D430)</f>
        <v>531.875</v>
      </c>
      <c r="N430" s="92">
        <f t="shared" ref="N430" si="3403">AVERAGE(E427:E430)</f>
        <v>446.875</v>
      </c>
      <c r="O430" s="92">
        <f t="shared" ref="O430" si="3404">AVERAGE(F427:F430)</f>
        <v>439.375</v>
      </c>
      <c r="P430" s="92">
        <f t="shared" ref="P430" si="3405">AVERAGE(G427:G430)</f>
        <v>439.375</v>
      </c>
      <c r="Q430" s="92">
        <f t="shared" ref="Q430" si="3406">AVERAGE(H427:H430)</f>
        <v>385.83333333333331</v>
      </c>
      <c r="R430" s="92">
        <f t="shared" ref="R430" si="3407">AVERAGE(I427:I430)</f>
        <v>529.04657933042211</v>
      </c>
      <c r="U430" s="92">
        <f t="shared" ref="U430" si="3408">(L274+L326+L378)/3</f>
        <v>26.25</v>
      </c>
      <c r="V430" s="92">
        <f t="shared" ref="V430" si="3409">(M274+M326+M378)/3</f>
        <v>422.41666666666669</v>
      </c>
      <c r="W430" s="92">
        <f t="shared" ref="W430" si="3410">(N274+N326+N378)/3</f>
        <v>319.69444444444451</v>
      </c>
      <c r="X430" s="92">
        <f t="shared" ref="X430" si="3411">(O274+O326+O378)/3</f>
        <v>329.64583333333331</v>
      </c>
      <c r="Y430" s="92">
        <f t="shared" ref="Y430" si="3412">(P274+P326+P378)/3</f>
        <v>330.8125</v>
      </c>
      <c r="Z430" s="92">
        <f t="shared" ref="Z430" si="3413">(Q274+Q326+Q378)/3</f>
        <v>280.17361111111114</v>
      </c>
      <c r="AA430" s="92">
        <f t="shared" ref="AA430" si="3414">(R274+R326+R378)/3</f>
        <v>372.24848374575453</v>
      </c>
      <c r="AC430" s="112">
        <f>+AF430-'Figure 8_data'!I642</f>
        <v>0</v>
      </c>
      <c r="AE430" s="92">
        <f t="shared" ref="AE430" si="3415">(C430/U430-1)*100</f>
        <v>-100</v>
      </c>
      <c r="AF430" s="92">
        <f t="shared" ref="AF430" si="3416">(D430/V430-1)*100</f>
        <v>38.192937463010445</v>
      </c>
      <c r="AG430" s="92">
        <f t="shared" ref="AG430" si="3417">(E430/W430-1)*100</f>
        <v>52.489356156051748</v>
      </c>
      <c r="AH430" s="92">
        <f t="shared" ref="AH430" si="3418">(F430/X430-1)*100</f>
        <v>51.677937180054357</v>
      </c>
      <c r="AI430" s="92">
        <f t="shared" ref="AI430" si="3419">(G430/Y430-1)*100</f>
        <v>51.143019081806159</v>
      </c>
      <c r="AJ430" s="92">
        <f t="shared" ref="AJ430" si="3420">(H430/Z430-1)*100</f>
        <v>56.153178832569075</v>
      </c>
      <c r="AK430" s="92">
        <f t="shared" ref="AK430" si="3421">(I430/AA430-1)*100</f>
        <v>61.153330608069908</v>
      </c>
      <c r="AM430" s="112">
        <f>AP430-'Figure 8_data'!H642</f>
        <v>0</v>
      </c>
      <c r="AP430" s="92">
        <f t="shared" ref="AP430" si="3422">(D430/D378-1)*100</f>
        <v>91.393442622950815</v>
      </c>
      <c r="AQ430" s="92">
        <f t="shared" ref="AQ430" si="3423">(E430/E378-1)*100</f>
        <v>126.74418604651163</v>
      </c>
      <c r="AR430" s="92">
        <f t="shared" ref="AR430" si="3424">(F430/F378-1)*100</f>
        <v>87.26591760299624</v>
      </c>
      <c r="AS430" s="92">
        <f t="shared" ref="AS430" si="3425">(G430/G378-1)*100</f>
        <v>87.26591760299624</v>
      </c>
      <c r="AT430" s="92">
        <f t="shared" ref="AT430" si="3426">(H430/H378-1)*100</f>
        <v>120.95959595959597</v>
      </c>
      <c r="AU430" s="92">
        <f t="shared" ref="AU430" si="3427">(I430/I378-1)*100</f>
        <v>120.54809915232471</v>
      </c>
    </row>
    <row r="431" spans="1:47" x14ac:dyDescent="0.3">
      <c r="A431" s="13">
        <f t="shared" si="475"/>
        <v>40596</v>
      </c>
      <c r="B431" s="92">
        <f>TWK!B376</f>
        <v>0</v>
      </c>
      <c r="C431" s="92">
        <f>TWK!C376</f>
        <v>0</v>
      </c>
      <c r="D431" s="92">
        <f>TWK!D376</f>
        <v>537.5</v>
      </c>
      <c r="E431" s="92">
        <f>TWK!E376</f>
        <v>440</v>
      </c>
      <c r="F431" s="92">
        <f>TWK!F376</f>
        <v>462.5</v>
      </c>
      <c r="G431" s="92">
        <f>TWK!G376</f>
        <v>462.5</v>
      </c>
      <c r="H431" s="92">
        <f>TWK!H376</f>
        <v>400</v>
      </c>
      <c r="I431" s="92">
        <f>TWK!I376</f>
        <v>548.47161572052403</v>
      </c>
      <c r="M431" s="92">
        <f t="shared" ref="M431" si="3428">AVERAGE(D428:D431)</f>
        <v>552.1875</v>
      </c>
      <c r="N431" s="92">
        <f t="shared" ref="N431" si="3429">AVERAGE(E428:E431)</f>
        <v>457.5</v>
      </c>
      <c r="O431" s="92">
        <f t="shared" ref="O431" si="3430">AVERAGE(F428:F431)</f>
        <v>455</v>
      </c>
      <c r="P431" s="92">
        <f t="shared" ref="P431" si="3431">AVERAGE(G428:G431)</f>
        <v>455</v>
      </c>
      <c r="Q431" s="92">
        <f t="shared" ref="Q431" si="3432">AVERAGE(H428:H431)</f>
        <v>403.02083333333331</v>
      </c>
      <c r="R431" s="92">
        <f t="shared" ref="R431" si="3433">AVERAGE(I428:I431)</f>
        <v>552.61371906841339</v>
      </c>
      <c r="U431" s="92">
        <f t="shared" ref="U431" si="3434">(L275+L327+L379)/3</f>
        <v>51.5</v>
      </c>
      <c r="V431" s="92">
        <f t="shared" ref="V431" si="3435">(M275+M327+M379)/3</f>
        <v>400.33333333333331</v>
      </c>
      <c r="W431" s="92">
        <f t="shared" ref="W431" si="3436">(N275+N327+N379)/3</f>
        <v>298.47222222222223</v>
      </c>
      <c r="X431" s="92">
        <f t="shared" ref="X431" si="3437">(O275+O327+O379)/3</f>
        <v>311.00694444444446</v>
      </c>
      <c r="Y431" s="92">
        <f t="shared" ref="Y431" si="3438">(P275+P327+P379)/3</f>
        <v>312.00694444444446</v>
      </c>
      <c r="Z431" s="92">
        <f t="shared" ref="Z431" si="3439">(Q275+Q327+Q379)/3</f>
        <v>263.14583333333331</v>
      </c>
      <c r="AA431" s="92">
        <f t="shared" ref="AA431" si="3440">(R275+R327+R379)/3</f>
        <v>348.9069019893256</v>
      </c>
      <c r="AC431" s="112">
        <f>+AF431-'Figure 8_data'!I643</f>
        <v>0</v>
      </c>
      <c r="AE431" s="92">
        <f t="shared" ref="AE431" si="3441">(C431/U431-1)*100</f>
        <v>-100</v>
      </c>
      <c r="AF431" s="92">
        <f t="shared" ref="AF431" si="3442">(D431/V431-1)*100</f>
        <v>34.263114071607006</v>
      </c>
      <c r="AG431" s="92">
        <f t="shared" ref="AG431" si="3443">(E431/W431-1)*100</f>
        <v>47.417403443462078</v>
      </c>
      <c r="AH431" s="92">
        <f t="shared" ref="AH431" si="3444">(F431/X431-1)*100</f>
        <v>48.710505749692977</v>
      </c>
      <c r="AI431" s="92">
        <f t="shared" ref="AI431" si="3445">(G431/Y431-1)*100</f>
        <v>48.233880121970209</v>
      </c>
      <c r="AJ431" s="92">
        <f t="shared" ref="AJ431" si="3446">(H431/Z431-1)*100</f>
        <v>52.006966985986857</v>
      </c>
      <c r="AK431" s="92">
        <f t="shared" ref="AK431" si="3447">(I431/AA431-1)*100</f>
        <v>57.197124101977167</v>
      </c>
      <c r="AM431" s="112">
        <f>AP431-'Figure 8_data'!H643</f>
        <v>0</v>
      </c>
      <c r="AP431" s="92">
        <f t="shared" ref="AP431" si="3448">(D431/D379-1)*100</f>
        <v>69.558359621451089</v>
      </c>
      <c r="AQ431" s="92">
        <f t="shared" ref="AQ431" si="3449">(E431/E379-1)*100</f>
        <v>104.65116279069768</v>
      </c>
      <c r="AR431" s="92">
        <f t="shared" ref="AR431" si="3450">(F431/F379-1)*100</f>
        <v>81.372549019607845</v>
      </c>
      <c r="AS431" s="92">
        <f t="shared" ref="AS431" si="3451">(G431/G379-1)*100</f>
        <v>81.372549019607845</v>
      </c>
      <c r="AT431" s="92">
        <f t="shared" ref="AT431" si="3452">(H431/H379-1)*100</f>
        <v>108.33333333333334</v>
      </c>
      <c r="AU431" s="92">
        <f t="shared" ref="AU431" si="3453">(I431/I379-1)*100</f>
        <v>108.3333333333333</v>
      </c>
    </row>
    <row r="432" spans="1:47" x14ac:dyDescent="0.3">
      <c r="A432" s="13">
        <f t="shared" si="475"/>
        <v>40603</v>
      </c>
      <c r="B432" s="92">
        <f>TWK!B377</f>
        <v>0</v>
      </c>
      <c r="C432" s="92">
        <f>TWK!C377</f>
        <v>0</v>
      </c>
      <c r="D432" s="92">
        <f>TWK!D377</f>
        <v>497.5</v>
      </c>
      <c r="E432" s="92">
        <f>TWK!E377</f>
        <v>380</v>
      </c>
      <c r="F432" s="92">
        <f>TWK!F377</f>
        <v>423.75</v>
      </c>
      <c r="G432" s="92">
        <f>TWK!G377</f>
        <v>427.5</v>
      </c>
      <c r="H432" s="92">
        <f>TWK!H377</f>
        <v>331.66666666666669</v>
      </c>
      <c r="I432" s="92">
        <f>TWK!I377</f>
        <v>454.77438136826777</v>
      </c>
      <c r="M432" s="92">
        <f t="shared" ref="M432" si="3454">AVERAGE(D429:D432)</f>
        <v>539.0625</v>
      </c>
      <c r="N432" s="92">
        <f t="shared" ref="N432" si="3455">AVERAGE(E429:E432)</f>
        <v>434.0625</v>
      </c>
      <c r="O432" s="92">
        <f t="shared" ref="O432" si="3456">AVERAGE(F429:F432)</f>
        <v>455.3125</v>
      </c>
      <c r="P432" s="92">
        <f t="shared" ref="P432" si="3457">AVERAGE(G429:G432)</f>
        <v>456.25</v>
      </c>
      <c r="Q432" s="92">
        <f t="shared" ref="Q432" si="3458">AVERAGE(H429:H432)</f>
        <v>390.10416666666669</v>
      </c>
      <c r="R432" s="92">
        <f t="shared" ref="R432" si="3459">AVERAGE(I429:I432)</f>
        <v>534.90265647743809</v>
      </c>
      <c r="U432" s="92">
        <f t="shared" ref="U432" si="3460">(L276+L328+L380)/3</f>
        <v>75.5</v>
      </c>
      <c r="V432" s="92">
        <f t="shared" ref="V432" si="3461">(M276+M328+M380)/3</f>
        <v>376.72916666666669</v>
      </c>
      <c r="W432" s="92">
        <f t="shared" ref="W432" si="3462">(N276+N328+N380)/3</f>
        <v>285.45138888888886</v>
      </c>
      <c r="X432" s="92">
        <f t="shared" ref="X432" si="3463">(O276+O328+O380)/3</f>
        <v>296.88194444444446</v>
      </c>
      <c r="Y432" s="92">
        <f t="shared" ref="Y432" si="3464">(P276+P328+P380)/3</f>
        <v>298.09027777777777</v>
      </c>
      <c r="Z432" s="92">
        <f t="shared" ref="Z432" si="3465">(Q276+Q328+Q380)/3</f>
        <v>257.10416666666669</v>
      </c>
      <c r="AA432" s="92">
        <f t="shared" ref="AA432" si="3466">(R276+R328+R380)/3</f>
        <v>341.0673823386706</v>
      </c>
      <c r="AC432" s="112">
        <f>+AF432-'Figure 8_data'!I644</f>
        <v>0</v>
      </c>
      <c r="AE432" s="92">
        <f t="shared" ref="AE432" si="3467">(C432/U432-1)*100</f>
        <v>-100</v>
      </c>
      <c r="AF432" s="92">
        <f t="shared" ref="AF432" si="3468">(D432/V432-1)*100</f>
        <v>32.05773378311121</v>
      </c>
      <c r="AG432" s="92">
        <f t="shared" ref="AG432" si="3469">(E432/W432-1)*100</f>
        <v>33.122491181121539</v>
      </c>
      <c r="AH432" s="92">
        <f t="shared" ref="AH432" si="3470">(F432/X432-1)*100</f>
        <v>42.733503309864098</v>
      </c>
      <c r="AI432" s="92">
        <f t="shared" ref="AI432" si="3471">(G432/Y432-1)*100</f>
        <v>43.412929528246934</v>
      </c>
      <c r="AJ432" s="92">
        <f t="shared" ref="AJ432" si="3472">(H432/Z432-1)*100</f>
        <v>29.000891337817023</v>
      </c>
      <c r="AK432" s="92">
        <f t="shared" ref="AK432" si="3473">(I432/AA432-1)*100</f>
        <v>33.338573231458767</v>
      </c>
      <c r="AM432" s="112">
        <f>AP432-'Figure 8_data'!H644</f>
        <v>0</v>
      </c>
      <c r="AP432" s="92">
        <f t="shared" ref="AP432" si="3474">(D432/D380-1)*100</f>
        <v>44.202898550724633</v>
      </c>
      <c r="AQ432" s="92">
        <f t="shared" ref="AQ432" si="3475">(E432/E380-1)*100</f>
        <v>45.038167938931295</v>
      </c>
      <c r="AR432" s="92">
        <f t="shared" ref="AR432" si="3476">(F432/F380-1)*100</f>
        <v>54.794520547945204</v>
      </c>
      <c r="AS432" s="92">
        <f t="shared" ref="AS432" si="3477">(G432/G380-1)*100</f>
        <v>56.164383561643838</v>
      </c>
      <c r="AT432" s="92">
        <f t="shared" ref="AT432" si="3478">(H432/H380-1)*100</f>
        <v>44.990892531876135</v>
      </c>
      <c r="AU432" s="92">
        <f t="shared" ref="AU432" si="3479">(I432/I380-1)*100</f>
        <v>44.990892531876092</v>
      </c>
    </row>
    <row r="433" spans="1:47" x14ac:dyDescent="0.3">
      <c r="A433" s="13">
        <f t="shared" si="475"/>
        <v>40610</v>
      </c>
      <c r="B433" s="92">
        <f>TWK!B378</f>
        <v>0</v>
      </c>
      <c r="C433" s="92">
        <f>TWK!C378</f>
        <v>0</v>
      </c>
      <c r="D433" s="92">
        <f>TWK!D378</f>
        <v>633.33333333333337</v>
      </c>
      <c r="E433" s="92">
        <f>TWK!E378</f>
        <v>518.75</v>
      </c>
      <c r="F433" s="92">
        <f>TWK!F378</f>
        <v>455</v>
      </c>
      <c r="G433" s="92">
        <f>TWK!G378</f>
        <v>455</v>
      </c>
      <c r="H433" s="92">
        <f>TWK!H378</f>
        <v>462.5</v>
      </c>
      <c r="I433" s="92">
        <f>TWK!I378</f>
        <v>634.17030567685583</v>
      </c>
      <c r="M433" s="92">
        <f t="shared" ref="M433" si="3480">AVERAGE(D430:D433)</f>
        <v>563.02083333333337</v>
      </c>
      <c r="N433" s="92">
        <f t="shared" ref="N433" si="3481">AVERAGE(E430:E433)</f>
        <v>456.5625</v>
      </c>
      <c r="O433" s="92">
        <f t="shared" ref="O433" si="3482">AVERAGE(F430:F433)</f>
        <v>460.3125</v>
      </c>
      <c r="P433" s="92">
        <f t="shared" ref="P433" si="3483">AVERAGE(G430:G433)</f>
        <v>461.25</v>
      </c>
      <c r="Q433" s="92">
        <f t="shared" ref="Q433" si="3484">AVERAGE(H430:H433)</f>
        <v>407.91666666666669</v>
      </c>
      <c r="R433" s="92">
        <f t="shared" ref="R433" si="3485">AVERAGE(I430:I433)</f>
        <v>559.32678311499262</v>
      </c>
      <c r="U433" s="92">
        <f t="shared" ref="U433" si="3486">(L277+L329+L381)/3</f>
        <v>98.25</v>
      </c>
      <c r="V433" s="92">
        <f t="shared" ref="V433" si="3487">(M277+M329+M381)/3</f>
        <v>366.77083333333331</v>
      </c>
      <c r="W433" s="92">
        <f t="shared" ref="W433" si="3488">(N277+N329+N381)/3</f>
        <v>280.40972222222223</v>
      </c>
      <c r="X433" s="92">
        <f t="shared" ref="X433" si="3489">(O277+O329+O381)/3</f>
        <v>290.04861111111114</v>
      </c>
      <c r="Y433" s="92">
        <f t="shared" ref="Y433" si="3490">(P277+P329+P381)/3</f>
        <v>291.42361111111114</v>
      </c>
      <c r="Z433" s="92">
        <f t="shared" ref="Z433" si="3491">(Q277+Q329+Q381)/3</f>
        <v>248.97916666666666</v>
      </c>
      <c r="AA433" s="92">
        <f t="shared" ref="AA433" si="3492">(R277+R329+R381)/3</f>
        <v>340.4560286268802</v>
      </c>
      <c r="AC433" s="112">
        <f>+AF433-'Figure 8_data'!I645</f>
        <v>0</v>
      </c>
      <c r="AE433" s="92">
        <f t="shared" ref="AE433" si="3493">(C433/U433-1)*100</f>
        <v>-100</v>
      </c>
      <c r="AF433" s="92">
        <f t="shared" ref="AF433" si="3494">(D433/V433-1)*100</f>
        <v>72.678216415790999</v>
      </c>
      <c r="AG433" s="92">
        <f t="shared" ref="AG433" si="3495">(E433/W433-1)*100</f>
        <v>84.997151984942661</v>
      </c>
      <c r="AH433" s="92">
        <f t="shared" ref="AH433" si="3496">(F433/X433-1)*100</f>
        <v>56.870256422534517</v>
      </c>
      <c r="AI433" s="92">
        <f t="shared" ref="AI433" si="3497">(G433/Y433-1)*100</f>
        <v>56.130108423686394</v>
      </c>
      <c r="AJ433" s="92">
        <f t="shared" ref="AJ433" si="3498">(H433/Z433-1)*100</f>
        <v>85.758513931888558</v>
      </c>
      <c r="AK433" s="92">
        <f t="shared" ref="AK433" si="3499">(I433/AA433-1)*100</f>
        <v>86.270840388574598</v>
      </c>
      <c r="AM433" s="112">
        <f>AP433-'Figure 8_data'!H645</f>
        <v>0</v>
      </c>
      <c r="AP433" s="92">
        <f t="shared" ref="AP433" si="3500">(D433/D381-1)*100</f>
        <v>102.66666666666669</v>
      </c>
      <c r="AQ433" s="92">
        <f t="shared" ref="AQ433" si="3501">(E433/E381-1)*100</f>
        <v>128.02197802197801</v>
      </c>
      <c r="AR433" s="92">
        <f t="shared" ref="AR433" si="3502">(F433/F381-1)*100</f>
        <v>68.518518518518505</v>
      </c>
      <c r="AS433" s="92">
        <f t="shared" ref="AS433" si="3503">(G433/G381-1)*100</f>
        <v>68.518518518518505</v>
      </c>
      <c r="AT433" s="92">
        <f t="shared" ref="AT433" si="3504">(H433/H381-1)*100</f>
        <v>128.39506172839506</v>
      </c>
      <c r="AU433" s="92">
        <f t="shared" ref="AU433" si="3505">(I433/I381-1)*100</f>
        <v>128.39506172839506</v>
      </c>
    </row>
    <row r="434" spans="1:47" x14ac:dyDescent="0.3">
      <c r="A434" s="13">
        <f t="shared" si="475"/>
        <v>40617</v>
      </c>
      <c r="B434" s="92">
        <f>TWK!B379</f>
        <v>0</v>
      </c>
      <c r="C434" s="92">
        <f>TWK!C379</f>
        <v>0</v>
      </c>
      <c r="D434" s="92">
        <f>TWK!D379</f>
        <v>556.25</v>
      </c>
      <c r="E434" s="92">
        <f>TWK!E379</f>
        <v>475</v>
      </c>
      <c r="F434" s="92">
        <f>TWK!F379</f>
        <v>512.5</v>
      </c>
      <c r="G434" s="92">
        <f>TWK!G379</f>
        <v>512.5</v>
      </c>
      <c r="H434" s="92">
        <f>TWK!H379</f>
        <v>408.75</v>
      </c>
      <c r="I434" s="92">
        <f>TWK!I379</f>
        <v>560.46943231441048</v>
      </c>
      <c r="M434" s="92">
        <f t="shared" ref="M434" si="3506">AVERAGE(D431:D434)</f>
        <v>556.14583333333337</v>
      </c>
      <c r="N434" s="92">
        <f t="shared" ref="N434" si="3507">AVERAGE(E431:E434)</f>
        <v>453.4375</v>
      </c>
      <c r="O434" s="92">
        <f t="shared" ref="O434" si="3508">AVERAGE(F431:F434)</f>
        <v>463.4375</v>
      </c>
      <c r="P434" s="92">
        <f t="shared" ref="P434" si="3509">AVERAGE(G431:G434)</f>
        <v>464.375</v>
      </c>
      <c r="Q434" s="92">
        <f t="shared" ref="Q434" si="3510">AVERAGE(H431:H434)</f>
        <v>400.72916666666669</v>
      </c>
      <c r="R434" s="92">
        <f t="shared" ref="R434" si="3511">AVERAGE(I431:I434)</f>
        <v>549.47143377001453</v>
      </c>
      <c r="U434" s="92">
        <f t="shared" ref="U434" si="3512">(L278+L330+L382)/3</f>
        <v>134.95833333333334</v>
      </c>
      <c r="V434" s="92">
        <f t="shared" ref="V434" si="3513">(M278+M330+M382)/3</f>
        <v>355.3125</v>
      </c>
      <c r="W434" s="92">
        <f t="shared" ref="W434" si="3514">(N278+N330+N382)/3</f>
        <v>274.14583333333331</v>
      </c>
      <c r="X434" s="92">
        <f t="shared" ref="X434" si="3515">(O278+O330+O382)/3</f>
        <v>288.41666666666669</v>
      </c>
      <c r="Y434" s="92">
        <f t="shared" ref="Y434" si="3516">(P278+P330+P382)/3</f>
        <v>289.3194444444444</v>
      </c>
      <c r="Z434" s="92">
        <f t="shared" ref="Z434" si="3517">(Q278+Q330+Q382)/3</f>
        <v>243.13888888888891</v>
      </c>
      <c r="AA434" s="92">
        <f t="shared" ref="AA434" si="3518">(R278+R330+R382)/3</f>
        <v>332.31465308102861</v>
      </c>
      <c r="AC434" s="112">
        <f>+AF434-'Figure 8_data'!I646</f>
        <v>0</v>
      </c>
      <c r="AE434" s="92">
        <f t="shared" ref="AE434" si="3519">(C434/U434-1)*100</f>
        <v>-100</v>
      </c>
      <c r="AF434" s="92">
        <f t="shared" ref="AF434" si="3520">(D434/V434-1)*100</f>
        <v>56.552330694810912</v>
      </c>
      <c r="AG434" s="92">
        <f t="shared" ref="AG434" si="3521">(E434/W434-1)*100</f>
        <v>73.265445702560996</v>
      </c>
      <c r="AH434" s="92">
        <f t="shared" ref="AH434" si="3522">(F434/X434-1)*100</f>
        <v>77.694308003467199</v>
      </c>
      <c r="AI434" s="92">
        <f t="shared" ref="AI434" si="3523">(G434/Y434-1)*100</f>
        <v>77.139839662042192</v>
      </c>
      <c r="AJ434" s="92">
        <f t="shared" ref="AJ434" si="3524">(H434/Z434-1)*100</f>
        <v>68.113789557865871</v>
      </c>
      <c r="AK434" s="92">
        <f t="shared" ref="AK434" si="3525">(I434/AA434-1)*100</f>
        <v>68.656250068440599</v>
      </c>
      <c r="AM434" s="112">
        <f>AP434-'Figure 8_data'!H646</f>
        <v>0</v>
      </c>
      <c r="AP434" s="92">
        <f t="shared" ref="AP434" si="3526">(D434/D382-1)*100</f>
        <v>96.902654867256643</v>
      </c>
      <c r="AQ434" s="92">
        <f t="shared" ref="AQ434" si="3527">(E434/E382-1)*100</f>
        <v>137.5</v>
      </c>
      <c r="AR434" s="92">
        <f t="shared" ref="AR434" si="3528">(F434/F382-1)*100</f>
        <v>106.03015075376882</v>
      </c>
      <c r="AS434" s="92">
        <f t="shared" ref="AS434" si="3529">(G434/G382-1)*100</f>
        <v>106.03015075376882</v>
      </c>
      <c r="AT434" s="92">
        <f t="shared" ref="AT434" si="3530">(H434/H382-1)*100</f>
        <v>119.46308724832213</v>
      </c>
      <c r="AU434" s="92">
        <f t="shared" ref="AU434" si="3531">(I434/I382-1)*100</f>
        <v>119.46308724832218</v>
      </c>
    </row>
    <row r="435" spans="1:47" x14ac:dyDescent="0.3">
      <c r="A435" s="13">
        <f t="shared" si="475"/>
        <v>40624</v>
      </c>
      <c r="B435" s="92">
        <f>TWK!B380</f>
        <v>0</v>
      </c>
      <c r="C435" s="92">
        <f>TWK!C380</f>
        <v>506.25</v>
      </c>
      <c r="D435" s="92">
        <f>TWK!D380</f>
        <v>491.25</v>
      </c>
      <c r="E435" s="92">
        <f>TWK!E380</f>
        <v>375</v>
      </c>
      <c r="F435" s="92">
        <f>TWK!F380</f>
        <v>440</v>
      </c>
      <c r="G435" s="92">
        <f>TWK!G380</f>
        <v>440</v>
      </c>
      <c r="H435" s="92">
        <f>TWK!H380</f>
        <v>350</v>
      </c>
      <c r="I435" s="92">
        <f>TWK!I380</f>
        <v>479.91266375545848</v>
      </c>
      <c r="L435" s="92">
        <f t="shared" ref="L435:L438" si="3532">+C435</f>
        <v>506.25</v>
      </c>
      <c r="M435" s="92">
        <f t="shared" ref="M435" si="3533">AVERAGE(D432:D435)</f>
        <v>544.58333333333337</v>
      </c>
      <c r="N435" s="92">
        <f t="shared" ref="N435" si="3534">AVERAGE(E432:E435)</f>
        <v>437.1875</v>
      </c>
      <c r="O435" s="92">
        <f t="shared" ref="O435" si="3535">AVERAGE(F432:F435)</f>
        <v>457.8125</v>
      </c>
      <c r="P435" s="92">
        <f t="shared" ref="P435" si="3536">AVERAGE(G432:G435)</f>
        <v>458.75</v>
      </c>
      <c r="Q435" s="92">
        <f t="shared" ref="Q435" si="3537">AVERAGE(H432:H435)</f>
        <v>388.22916666666669</v>
      </c>
      <c r="R435" s="92">
        <f t="shared" ref="R435" si="3538">AVERAGE(I432:I435)</f>
        <v>532.33169577874821</v>
      </c>
      <c r="U435" s="92">
        <f t="shared" ref="U435:U440" si="3539">(L279+L331+L383)/2</f>
        <v>267.1875</v>
      </c>
      <c r="V435" s="92">
        <f t="shared" ref="V435" si="3540">(M279+M331+M383)/3</f>
        <v>344.1180555555556</v>
      </c>
      <c r="W435" s="92">
        <f t="shared" ref="W435" si="3541">(N279+N331+N383)/3</f>
        <v>266.53472222222223</v>
      </c>
      <c r="X435" s="92">
        <f t="shared" ref="X435" si="3542">(O279+O331+O383)/3</f>
        <v>286.1805555555556</v>
      </c>
      <c r="Y435" s="92">
        <f t="shared" ref="Y435" si="3543">(P279+P331+P383)/3</f>
        <v>286.41666666666669</v>
      </c>
      <c r="Z435" s="92">
        <f t="shared" ref="Z435" si="3544">(Q279+Q331+Q383)/3</f>
        <v>236.9652777777778</v>
      </c>
      <c r="AA435" s="92">
        <f t="shared" ref="AA435" si="3545">(R279+R331+R383)/3</f>
        <v>318.00291120815137</v>
      </c>
      <c r="AC435" s="112">
        <f>+AF435-'Figure 8_data'!I647</f>
        <v>0</v>
      </c>
      <c r="AE435" s="92">
        <f t="shared" ref="AE435" si="3546">(C435/U435-1)*100</f>
        <v>89.473684210526301</v>
      </c>
      <c r="AF435" s="92">
        <f t="shared" ref="AF435" si="3547">(D435/V435-1)*100</f>
        <v>42.756240792686604</v>
      </c>
      <c r="AG435" s="92">
        <f t="shared" ref="AG435" si="3548">(E435/W435-1)*100</f>
        <v>40.69461452281076</v>
      </c>
      <c r="AH435" s="92">
        <f t="shared" ref="AH435" si="3549">(F435/X435-1)*100</f>
        <v>53.749090026692528</v>
      </c>
      <c r="AI435" s="92">
        <f t="shared" ref="AI435" si="3550">(G435/Y435-1)*100</f>
        <v>53.622345068373576</v>
      </c>
      <c r="AJ435" s="92">
        <f t="shared" ref="AJ435" si="3551">(H435/Z435-1)*100</f>
        <v>47.700964159071589</v>
      </c>
      <c r="AK435" s="92">
        <f t="shared" ref="AK435" si="3552">(I435/AA435-1)*100</f>
        <v>50.914550414706028</v>
      </c>
      <c r="AM435" s="112">
        <f>AP435-'Figure 8_data'!H647</f>
        <v>0</v>
      </c>
      <c r="AP435" s="92">
        <f t="shared" ref="AP435" si="3553">(D435/D383-1)*100</f>
        <v>77.560240963855406</v>
      </c>
      <c r="AQ435" s="92">
        <f t="shared" ref="AQ435" si="3554">(E435/E383-1)*100</f>
        <v>90.677966101694921</v>
      </c>
      <c r="AR435" s="92">
        <f t="shared" ref="AR435" si="3555">(F435/F383-1)*100</f>
        <v>85.91549295774648</v>
      </c>
      <c r="AS435" s="92">
        <f t="shared" ref="AS435" si="3556">(G435/G383-1)*100</f>
        <v>85.91549295774648</v>
      </c>
      <c r="AT435" s="92">
        <f t="shared" ref="AT435" si="3557">(H435/H383-1)*100</f>
        <v>92.660550458715591</v>
      </c>
      <c r="AU435" s="92">
        <f t="shared" ref="AU435" si="3558">(I435/I383-1)*100</f>
        <v>92.660550458715576</v>
      </c>
    </row>
    <row r="436" spans="1:47" x14ac:dyDescent="0.3">
      <c r="A436" s="13">
        <f t="shared" si="475"/>
        <v>40631</v>
      </c>
      <c r="B436" s="92">
        <f>TWK!B381</f>
        <v>0</v>
      </c>
      <c r="C436" s="92">
        <f>TWK!C381</f>
        <v>511.66666666666669</v>
      </c>
      <c r="D436" s="92">
        <f>TWK!D381</f>
        <v>506.66666666666669</v>
      </c>
      <c r="E436" s="92">
        <f>TWK!E381</f>
        <v>383.33333333333331</v>
      </c>
      <c r="F436" s="92">
        <f>TWK!F381</f>
        <v>456.66666666666669</v>
      </c>
      <c r="G436" s="92">
        <f>TWK!G381</f>
        <v>456.66666666666669</v>
      </c>
      <c r="H436" s="92">
        <f>TWK!H381</f>
        <v>331.66666666666669</v>
      </c>
      <c r="I436" s="92">
        <f>TWK!I381</f>
        <v>454.77438136826783</v>
      </c>
      <c r="L436" s="92">
        <f t="shared" si="3532"/>
        <v>511.66666666666669</v>
      </c>
      <c r="M436" s="92">
        <f t="shared" ref="M436" si="3559">AVERAGE(D433:D436)</f>
        <v>546.875</v>
      </c>
      <c r="N436" s="92">
        <f t="shared" ref="N436" si="3560">AVERAGE(E433:E436)</f>
        <v>438.02083333333331</v>
      </c>
      <c r="O436" s="92">
        <f t="shared" ref="O436" si="3561">AVERAGE(F433:F436)</f>
        <v>466.04166666666669</v>
      </c>
      <c r="P436" s="92">
        <f t="shared" ref="P436" si="3562">AVERAGE(G433:G436)</f>
        <v>466.04166666666669</v>
      </c>
      <c r="Q436" s="92">
        <f t="shared" ref="Q436" si="3563">AVERAGE(H433:H436)</f>
        <v>388.22916666666669</v>
      </c>
      <c r="R436" s="92">
        <f t="shared" ref="R436" si="3564">AVERAGE(I433:I436)</f>
        <v>532.33169577874821</v>
      </c>
      <c r="U436" s="92">
        <f t="shared" si="3539"/>
        <v>331.1875</v>
      </c>
      <c r="V436" s="92">
        <f t="shared" ref="V436" si="3565">(M280+M332+M384)/3</f>
        <v>334.8055555555556</v>
      </c>
      <c r="W436" s="92">
        <f t="shared" ref="W436" si="3566">(N280+N332+N384)/3</f>
        <v>260.82638888888886</v>
      </c>
      <c r="X436" s="92">
        <f t="shared" ref="X436" si="3567">(O280+O332+O384)/3</f>
        <v>285.8125</v>
      </c>
      <c r="Y436" s="92">
        <f t="shared" ref="Y436" si="3568">(P280+P332+P384)/3</f>
        <v>286.0069444444444</v>
      </c>
      <c r="Z436" s="92">
        <f t="shared" ref="Z436" si="3569">(Q280+Q332+Q384)/3</f>
        <v>231.4097222222222</v>
      </c>
      <c r="AA436" s="92">
        <f t="shared" ref="AA436" si="3570">(R280+R332+R384)/3</f>
        <v>310.5018195050946</v>
      </c>
      <c r="AC436" s="112">
        <f>+AF436-'Figure 8_data'!I648</f>
        <v>0</v>
      </c>
      <c r="AE436" s="92">
        <f t="shared" ref="AE436" si="3571">(C436/U436-1)*100</f>
        <v>54.494558721771405</v>
      </c>
      <c r="AF436" s="92">
        <f t="shared" ref="AF436" si="3572">(D436/V436-1)*100</f>
        <v>51.33161868414502</v>
      </c>
      <c r="AG436" s="92">
        <f t="shared" ref="AG436" si="3573">(E436/W436-1)*100</f>
        <v>46.9687691365585</v>
      </c>
      <c r="AH436" s="92">
        <f t="shared" ref="AH436" si="3574">(F436/X436-1)*100</f>
        <v>59.778409505065966</v>
      </c>
      <c r="AI436" s="92">
        <f t="shared" ref="AI436" si="3575">(G436/Y436-1)*100</f>
        <v>59.669782687871816</v>
      </c>
      <c r="AJ436" s="92">
        <f t="shared" ref="AJ436" si="3576">(H436/Z436-1)*100</f>
        <v>43.324430573477791</v>
      </c>
      <c r="AK436" s="92">
        <f t="shared" ref="AK436" si="3577">(I436/AA436-1)*100</f>
        <v>46.464320915454735</v>
      </c>
      <c r="AM436" s="112">
        <f>AP436-'Figure 8_data'!H648</f>
        <v>0</v>
      </c>
      <c r="AP436" s="92">
        <f t="shared" ref="AP436" si="3578">(D436/D384-1)*100</f>
        <v>83.408748114630484</v>
      </c>
      <c r="AQ436" s="92">
        <f t="shared" ref="AQ436" si="3579">(E436/E384-1)*100</f>
        <v>92.87211740041927</v>
      </c>
      <c r="AR436" s="92">
        <f t="shared" ref="AR436" si="3580">(F436/F384-1)*100</f>
        <v>96.415770609319011</v>
      </c>
      <c r="AS436" s="92">
        <f t="shared" ref="AS436" si="3581">(G436/G384-1)*100</f>
        <v>96.415770609319011</v>
      </c>
      <c r="AT436" s="92">
        <f t="shared" ref="AT436" si="3582">(H436/H384-1)*100</f>
        <v>82.988505747126439</v>
      </c>
      <c r="AU436" s="92">
        <f t="shared" ref="AU436" si="3583">(I436/I384-1)*100</f>
        <v>82.988505747126425</v>
      </c>
    </row>
    <row r="437" spans="1:47" x14ac:dyDescent="0.3">
      <c r="A437" s="13">
        <f t="shared" si="475"/>
        <v>40638</v>
      </c>
      <c r="B437" s="92">
        <f>TWK!B382</f>
        <v>0</v>
      </c>
      <c r="C437" s="92">
        <f>TWK!C382</f>
        <v>466.66666666666669</v>
      </c>
      <c r="D437" s="92">
        <f>TWK!D382</f>
        <v>471.66666666666669</v>
      </c>
      <c r="E437" s="92">
        <f>TWK!E382</f>
        <v>363.33333333333331</v>
      </c>
      <c r="F437" s="92">
        <f>TWK!F382</f>
        <v>488.33333333333331</v>
      </c>
      <c r="G437" s="92">
        <f>TWK!G382</f>
        <v>488.33333333333331</v>
      </c>
      <c r="H437" s="92">
        <f>TWK!H382</f>
        <v>333.33333333333331</v>
      </c>
      <c r="I437" s="92">
        <f>TWK!I382</f>
        <v>457.05967976710332</v>
      </c>
      <c r="L437" s="92">
        <f t="shared" si="3532"/>
        <v>466.66666666666669</v>
      </c>
      <c r="M437" s="92">
        <f t="shared" ref="M437" si="3584">AVERAGE(D434:D437)</f>
        <v>506.45833333333337</v>
      </c>
      <c r="N437" s="92">
        <f t="shared" ref="N437" si="3585">AVERAGE(E434:E437)</f>
        <v>399.16666666666663</v>
      </c>
      <c r="O437" s="92">
        <f t="shared" ref="O437" si="3586">AVERAGE(F434:F437)</f>
        <v>474.375</v>
      </c>
      <c r="P437" s="92">
        <f t="shared" ref="P437" si="3587">AVERAGE(G434:G437)</f>
        <v>474.375</v>
      </c>
      <c r="Q437" s="92">
        <f t="shared" ref="Q437" si="3588">AVERAGE(H434:H437)</f>
        <v>355.9375</v>
      </c>
      <c r="R437" s="92">
        <f t="shared" ref="R437" si="3589">AVERAGE(I434:I437)</f>
        <v>488.05403930131001</v>
      </c>
      <c r="U437" s="92">
        <f t="shared" si="3539"/>
        <v>424.84375</v>
      </c>
      <c r="V437" s="92">
        <f t="shared" ref="V437" si="3590">(M281+M333+M385)/3</f>
        <v>324.78472222222223</v>
      </c>
      <c r="W437" s="92">
        <f t="shared" ref="W437" si="3591">(N281+N333+N385)/3</f>
        <v>251.4097222222222</v>
      </c>
      <c r="X437" s="92">
        <f t="shared" ref="X437" si="3592">(O281+O333+O385)/3</f>
        <v>282.04166666666669</v>
      </c>
      <c r="Y437" s="92">
        <f t="shared" ref="Y437" si="3593">(P281+P333+P385)/3</f>
        <v>282.3194444444444</v>
      </c>
      <c r="Z437" s="92">
        <f t="shared" ref="Z437" si="3594">(Q281+Q333+Q385)/3</f>
        <v>227.9097222222222</v>
      </c>
      <c r="AA437" s="92">
        <f t="shared" ref="AA437" si="3595">(R281+R333+R385)/3</f>
        <v>305.99308588064048</v>
      </c>
      <c r="AC437" s="112">
        <f>+AF437-'Figure 8_data'!I649</f>
        <v>0</v>
      </c>
      <c r="AE437" s="92">
        <f t="shared" ref="AE437" si="3596">(C437/U437-1)*100</f>
        <v>9.8443055044746828</v>
      </c>
      <c r="AF437" s="92">
        <f t="shared" ref="AF437" si="3597">(D437/V437-1)*100</f>
        <v>45.224400778293329</v>
      </c>
      <c r="AG437" s="92">
        <f t="shared" ref="AG437" si="3598">(E437/W437-1)*100</f>
        <v>44.518410076513007</v>
      </c>
      <c r="AH437" s="92">
        <f t="shared" ref="AH437" si="3599">(F437/X437-1)*100</f>
        <v>73.1422662136209</v>
      </c>
      <c r="AI437" s="92">
        <f t="shared" ref="AI437" si="3600">(G437/Y437-1)*100</f>
        <v>72.971909283219389</v>
      </c>
      <c r="AJ437" s="92">
        <f t="shared" ref="AJ437" si="3601">(H437/Z437-1)*100</f>
        <v>46.256741521679515</v>
      </c>
      <c r="AK437" s="92">
        <f t="shared" ref="AK437" si="3602">(I437/AA437-1)*100</f>
        <v>49.369283443675506</v>
      </c>
      <c r="AM437" s="112">
        <f>AP437-'Figure 8_data'!H649</f>
        <v>0</v>
      </c>
      <c r="AO437" s="92">
        <f t="shared" ref="AO437:AP437" si="3603">(C437/C385-1)*100</f>
        <v>56.862745098039213</v>
      </c>
      <c r="AP437" s="92">
        <f t="shared" si="3603"/>
        <v>71.51515151515153</v>
      </c>
      <c r="AQ437" s="92">
        <f t="shared" ref="AQ437" si="3604">(E437/E385-1)*100</f>
        <v>82.809224318658266</v>
      </c>
      <c r="AR437" s="92">
        <f t="shared" ref="AR437" si="3605">(F437/F385-1)*100</f>
        <v>112.31884057971016</v>
      </c>
      <c r="AS437" s="92">
        <f t="shared" ref="AS437" si="3606">(G437/G385-1)*100</f>
        <v>112.31884057971016</v>
      </c>
      <c r="AT437" s="92">
        <f t="shared" ref="AT437" si="3607">(H437/H385-1)*100</f>
        <v>85.185185185185162</v>
      </c>
      <c r="AU437" s="92">
        <f t="shared" ref="AU437" si="3608">(I437/I385-1)*100</f>
        <v>85.185185185185162</v>
      </c>
    </row>
    <row r="438" spans="1:47" x14ac:dyDescent="0.3">
      <c r="A438" s="13">
        <f t="shared" si="475"/>
        <v>40645</v>
      </c>
      <c r="B438" s="92">
        <f>TWK!B383</f>
        <v>0</v>
      </c>
      <c r="C438" s="92">
        <f>TWK!C383</f>
        <v>418.75</v>
      </c>
      <c r="D438" s="92">
        <f>TWK!D383</f>
        <v>428.75</v>
      </c>
      <c r="E438" s="92">
        <f>TWK!E383</f>
        <v>313.75</v>
      </c>
      <c r="F438" s="92">
        <f>TWK!F383</f>
        <v>433.75</v>
      </c>
      <c r="G438" s="92">
        <f>TWK!G383</f>
        <v>433.75</v>
      </c>
      <c r="H438" s="92">
        <f>TWK!H383</f>
        <v>282.5</v>
      </c>
      <c r="I438" s="92">
        <f>TWK!I383</f>
        <v>387.35807860262008</v>
      </c>
      <c r="L438" s="92">
        <f t="shared" si="3532"/>
        <v>418.75</v>
      </c>
      <c r="M438" s="92">
        <f t="shared" ref="M438" si="3609">AVERAGE(D435:D438)</f>
        <v>474.58333333333337</v>
      </c>
      <c r="N438" s="92">
        <f t="shared" ref="N438" si="3610">AVERAGE(E435:E438)</f>
        <v>358.85416666666663</v>
      </c>
      <c r="O438" s="92">
        <f t="shared" ref="O438" si="3611">AVERAGE(F435:F438)</f>
        <v>454.6875</v>
      </c>
      <c r="P438" s="92">
        <f t="shared" ref="P438" si="3612">AVERAGE(G435:G438)</f>
        <v>454.6875</v>
      </c>
      <c r="Q438" s="92">
        <f t="shared" ref="Q438" si="3613">AVERAGE(H435:H438)</f>
        <v>324.375</v>
      </c>
      <c r="R438" s="92">
        <f t="shared" ref="R438" si="3614">AVERAGE(I435:I438)</f>
        <v>444.77620087336243</v>
      </c>
      <c r="U438" s="92">
        <f t="shared" si="3539"/>
        <v>457.4375</v>
      </c>
      <c r="V438" s="92">
        <f t="shared" ref="V438" si="3615">(M282+M334+M386)/3</f>
        <v>322.07638888888891</v>
      </c>
      <c r="W438" s="92">
        <f t="shared" ref="W438" si="3616">(N282+N334+N386)/3</f>
        <v>246.2847222222222</v>
      </c>
      <c r="X438" s="92">
        <f t="shared" ref="X438" si="3617">(O282+O334+O386)/3</f>
        <v>278.13194444444446</v>
      </c>
      <c r="Y438" s="92">
        <f t="shared" ref="Y438" si="3618">(P282+P334+P386)/3</f>
        <v>278.34027777777777</v>
      </c>
      <c r="Z438" s="92">
        <f t="shared" ref="Z438" si="3619">(Q282+Q334+Q386)/3</f>
        <v>225.35416666666666</v>
      </c>
      <c r="AA438" s="92">
        <f t="shared" ref="AA438" si="3620">(R282+R334+R386)/3</f>
        <v>303.55215914604565</v>
      </c>
      <c r="AC438" s="112">
        <f>+AF438-'Figure 8_data'!I650</f>
        <v>0</v>
      </c>
      <c r="AE438" s="92">
        <f t="shared" ref="AE438" si="3621">(C438/U438-1)*100</f>
        <v>-8.4574395409208858</v>
      </c>
      <c r="AF438" s="92">
        <f t="shared" ref="AF438" si="3622">(D438/V438-1)*100</f>
        <v>33.120593372000243</v>
      </c>
      <c r="AG438" s="92">
        <f t="shared" ref="AG438" si="3623">(E438/W438-1)*100</f>
        <v>27.393204567883835</v>
      </c>
      <c r="AH438" s="92">
        <f t="shared" ref="AH438" si="3624">(F438/X438-1)*100</f>
        <v>55.951162268108149</v>
      </c>
      <c r="AI438" s="92">
        <f t="shared" ref="AI438" si="3625">(G438/Y438-1)*100</f>
        <v>55.834435268581117</v>
      </c>
      <c r="AJ438" s="92">
        <f t="shared" ref="AJ438" si="3626">(H438/Z438-1)*100</f>
        <v>25.358232411944172</v>
      </c>
      <c r="AK438" s="92">
        <f t="shared" ref="AK438" si="3627">(I438/AA438-1)*100</f>
        <v>27.608408285527485</v>
      </c>
      <c r="AM438" s="112">
        <f>AP438-'Figure 8_data'!H650</f>
        <v>0</v>
      </c>
      <c r="AO438" s="92">
        <f t="shared" ref="AO438" si="3628">(C438/C386-1)*100</f>
        <v>43.162393162393165</v>
      </c>
      <c r="AP438" s="92">
        <f t="shared" ref="AP438" si="3629">(D438/D386-1)*100</f>
        <v>55.909090909090907</v>
      </c>
      <c r="AQ438" s="92">
        <f t="shared" ref="AQ438" si="3630">(E438/E386-1)*100</f>
        <v>58.860759493670891</v>
      </c>
      <c r="AR438" s="92">
        <f t="shared" ref="AR438" si="3631">(F438/F386-1)*100</f>
        <v>91.712707182320457</v>
      </c>
      <c r="AS438" s="92">
        <f t="shared" ref="AS438" si="3632">(G438/G386-1)*100</f>
        <v>91.712707182320457</v>
      </c>
      <c r="AT438" s="92">
        <f t="shared" ref="AT438" si="3633">(H438/H386-1)*100</f>
        <v>56.944444444444443</v>
      </c>
      <c r="AU438" s="92">
        <f t="shared" ref="AU438" si="3634">(I438/I386-1)*100</f>
        <v>56.944444444444443</v>
      </c>
    </row>
    <row r="439" spans="1:47" x14ac:dyDescent="0.3">
      <c r="A439" s="13">
        <f t="shared" si="475"/>
        <v>40652</v>
      </c>
      <c r="B439" s="92">
        <f>TWK!B384</f>
        <v>0</v>
      </c>
      <c r="C439" s="92">
        <f>TWK!C384</f>
        <v>0</v>
      </c>
      <c r="D439" s="92">
        <f>TWK!D384</f>
        <v>413.33333333333331</v>
      </c>
      <c r="E439" s="92">
        <f>TWK!E384</f>
        <v>300</v>
      </c>
      <c r="F439" s="92">
        <f>TWK!F384</f>
        <v>411.66666666666669</v>
      </c>
      <c r="G439" s="92">
        <f>TWK!G384</f>
        <v>416.66666666666669</v>
      </c>
      <c r="H439" s="92">
        <f>TWK!H384</f>
        <v>265</v>
      </c>
      <c r="I439" s="92">
        <f>TWK!I384</f>
        <v>363.36244541484712</v>
      </c>
      <c r="M439" s="92">
        <f t="shared" ref="M439" si="3635">AVERAGE(D436:D439)</f>
        <v>455.10416666666669</v>
      </c>
      <c r="N439" s="92">
        <f t="shared" ref="N439" si="3636">AVERAGE(E436:E439)</f>
        <v>340.10416666666663</v>
      </c>
      <c r="O439" s="92">
        <f t="shared" ref="O439" si="3637">AVERAGE(F436:F439)</f>
        <v>447.60416666666669</v>
      </c>
      <c r="P439" s="92">
        <f t="shared" ref="P439" si="3638">AVERAGE(G436:G439)</f>
        <v>448.85416666666669</v>
      </c>
      <c r="Q439" s="92">
        <f t="shared" ref="Q439" si="3639">AVERAGE(H436:H439)</f>
        <v>303.125</v>
      </c>
      <c r="R439" s="92">
        <f t="shared" ref="R439" si="3640">AVERAGE(I436:I439)</f>
        <v>415.6386462882096</v>
      </c>
      <c r="U439" s="92">
        <f t="shared" si="3539"/>
        <v>482.34375</v>
      </c>
      <c r="V439" s="92">
        <f t="shared" ref="V439" si="3641">(M283+M335+M387)/3</f>
        <v>316.91666666666669</v>
      </c>
      <c r="W439" s="92">
        <f t="shared" ref="W439" si="3642">(N283+N335+N387)/3</f>
        <v>240.79861111111111</v>
      </c>
      <c r="X439" s="92">
        <f t="shared" ref="X439" si="3643">(O283+O335+O387)/3</f>
        <v>273.7430555555556</v>
      </c>
      <c r="Y439" s="92">
        <f t="shared" ref="Y439" si="3644">(P283+P335+P387)/3</f>
        <v>274.1180555555556</v>
      </c>
      <c r="Z439" s="92">
        <f t="shared" ref="Z439" si="3645">(Q283+Q335+Q387)/3</f>
        <v>224</v>
      </c>
      <c r="AA439" s="92">
        <f t="shared" ref="AA439" si="3646">(R283+R335+R387)/3</f>
        <v>307.58418243571083</v>
      </c>
      <c r="AC439" s="112">
        <f>+AF439-'Figure 8_data'!I651</f>
        <v>0</v>
      </c>
      <c r="AE439" s="92">
        <f t="shared" ref="AE439" si="3647">(C439/U439-1)*100</f>
        <v>-100</v>
      </c>
      <c r="AF439" s="92">
        <f t="shared" ref="AF439" si="3648">(D439/V439-1)*100</f>
        <v>30.423349986852479</v>
      </c>
      <c r="AG439" s="92">
        <f t="shared" ref="AG439" si="3649">(E439/W439-1)*100</f>
        <v>24.585436193222776</v>
      </c>
      <c r="AH439" s="92">
        <f t="shared" ref="AH439" si="3650">(F439/X439-1)*100</f>
        <v>50.384332428524289</v>
      </c>
      <c r="AI439" s="92">
        <f t="shared" ref="AI439" si="3651">(G439/Y439-1)*100</f>
        <v>52.002634712334995</v>
      </c>
      <c r="AJ439" s="92">
        <f t="shared" ref="AJ439" si="3652">(H439/Z439-1)*100</f>
        <v>18.30357142857142</v>
      </c>
      <c r="AK439" s="92">
        <f t="shared" ref="AK439" si="3653">(I439/AA439-1)*100</f>
        <v>18.134307992510212</v>
      </c>
      <c r="AM439" s="112">
        <f>AP439-'Figure 8_data'!H651</f>
        <v>0</v>
      </c>
      <c r="AO439" s="92">
        <f t="shared" ref="AO439" si="3654">(C439/C387-1)*100</f>
        <v>-100</v>
      </c>
      <c r="AP439" s="92">
        <f t="shared" ref="AP439" si="3655">(D439/D387-1)*100</f>
        <v>50.303030303030297</v>
      </c>
      <c r="AQ439" s="92">
        <f t="shared" ref="AQ439" si="3656">(E439/E387-1)*100</f>
        <v>55.172413793103445</v>
      </c>
      <c r="AR439" s="92">
        <f t="shared" ref="AR439" si="3657">(F439/F387-1)*100</f>
        <v>87.121212121212139</v>
      </c>
      <c r="AS439" s="92">
        <f t="shared" ref="AS439" si="3658">(G439/G387-1)*100</f>
        <v>89.393939393939405</v>
      </c>
      <c r="AT439" s="92">
        <f t="shared" ref="AT439" si="3659">(H439/H387-1)*100</f>
        <v>45.871559633027537</v>
      </c>
      <c r="AU439" s="92">
        <f t="shared" ref="AU439" si="3660">(I439/I387-1)*100</f>
        <v>45.871559633027495</v>
      </c>
    </row>
    <row r="440" spans="1:47" x14ac:dyDescent="0.3">
      <c r="A440" s="13">
        <f t="shared" si="475"/>
        <v>40659</v>
      </c>
      <c r="B440" s="92">
        <f>TWK!B385</f>
        <v>0</v>
      </c>
      <c r="C440" s="92">
        <f>TWK!C385</f>
        <v>0</v>
      </c>
      <c r="D440" s="92">
        <f>TWK!D385</f>
        <v>402</v>
      </c>
      <c r="E440" s="92">
        <f>TWK!E385</f>
        <v>300</v>
      </c>
      <c r="F440" s="92">
        <f>TWK!F385</f>
        <v>0</v>
      </c>
      <c r="G440" s="92">
        <f>TWK!G385</f>
        <v>0</v>
      </c>
      <c r="H440" s="92">
        <f>TWK!H385</f>
        <v>0</v>
      </c>
      <c r="I440" s="92">
        <f>TWK!I385</f>
        <v>0</v>
      </c>
      <c r="M440" s="92">
        <f t="shared" ref="M440" si="3661">AVERAGE(D437:D440)</f>
        <v>428.9375</v>
      </c>
      <c r="N440" s="92">
        <f t="shared" ref="N440" si="3662">AVERAGE(E437:E440)</f>
        <v>319.27083333333331</v>
      </c>
      <c r="O440" s="92">
        <f t="shared" ref="O440" si="3663">AVERAGE(F437:F440)</f>
        <v>333.4375</v>
      </c>
      <c r="P440" s="92">
        <f t="shared" ref="P440" si="3664">AVERAGE(G437:G440)</f>
        <v>334.6875</v>
      </c>
      <c r="Q440" s="92">
        <f t="shared" ref="Q440" si="3665">AVERAGE(H437:H440)</f>
        <v>220.20833333333331</v>
      </c>
      <c r="R440" s="92">
        <f t="shared" ref="R440" si="3666">AVERAGE(I437:I440)</f>
        <v>301.9450509461426</v>
      </c>
      <c r="U440" s="92">
        <f t="shared" si="3539"/>
        <v>509.55208333333337</v>
      </c>
      <c r="V440" s="92">
        <f t="shared" ref="V440" si="3667">(M284+M336+M388)/3</f>
        <v>315.77777777777777</v>
      </c>
      <c r="W440" s="92">
        <f t="shared" ref="W440" si="3668">(N284+N336+N388)/3</f>
        <v>236.30555555555557</v>
      </c>
      <c r="X440" s="92">
        <f t="shared" ref="X440" si="3669">(O284+O336+O388)/3</f>
        <v>265.28472222222223</v>
      </c>
      <c r="Y440" s="92">
        <f t="shared" ref="Y440" si="3670">(P284+P336+P388)/3</f>
        <v>265.4930555555556</v>
      </c>
      <c r="Z440" s="92">
        <f t="shared" ref="Z440" si="3671">(Q284+Q336+Q388)/3</f>
        <v>219.7847222222222</v>
      </c>
      <c r="AA440" s="92">
        <f t="shared" ref="AA440" si="3672">(R284+R336+R388)/3</f>
        <v>302.00976467734114</v>
      </c>
      <c r="AC440" s="112">
        <f>+AF440-'Figure 8_data'!I652</f>
        <v>0</v>
      </c>
      <c r="AE440" s="92">
        <f t="shared" ref="AE440" si="3673">(C440/U440-1)*100</f>
        <v>-100</v>
      </c>
      <c r="AF440" s="92">
        <f t="shared" ref="AF440" si="3674">(D440/V440-1)*100</f>
        <v>27.304714989444044</v>
      </c>
      <c r="AG440" s="92">
        <f t="shared" ref="AG440" si="3675">(E440/W440-1)*100</f>
        <v>26.954272951686843</v>
      </c>
      <c r="AH440" s="92">
        <f t="shared" ref="AH440" si="3676">(F440/X440-1)*100</f>
        <v>-100</v>
      </c>
      <c r="AI440" s="92">
        <f t="shared" ref="AI440" si="3677">(G440/Y440-1)*100</f>
        <v>-100</v>
      </c>
      <c r="AJ440" s="92">
        <f t="shared" ref="AJ440" si="3678">(H440/Z440-1)*100</f>
        <v>-100</v>
      </c>
      <c r="AK440" s="92">
        <f t="shared" ref="AK440" si="3679">(I440/AA440-1)*100</f>
        <v>-100</v>
      </c>
      <c r="AM440" s="112">
        <f>AP440-'Figure 8_data'!H652</f>
        <v>0</v>
      </c>
      <c r="AO440" s="92">
        <f t="shared" ref="AO440" si="3680">(C440/C388-1)*100</f>
        <v>-100</v>
      </c>
      <c r="AP440" s="92">
        <f t="shared" ref="AP440" si="3681">(D440/D388-1)*100</f>
        <v>30.378378378378379</v>
      </c>
      <c r="AQ440" s="92">
        <f t="shared" ref="AQ440" si="3682">(E440/E388-1)*100</f>
        <v>51.260504201680668</v>
      </c>
      <c r="AR440" s="92">
        <f t="shared" ref="AR440" si="3683">(F440/F388-1)*100</f>
        <v>-100</v>
      </c>
      <c r="AS440" s="92">
        <f t="shared" ref="AS440" si="3684">(G440/G388-1)*100</f>
        <v>-100</v>
      </c>
      <c r="AT440" s="92">
        <f t="shared" ref="AT440" si="3685">(H440/H388-1)*100</f>
        <v>-100</v>
      </c>
      <c r="AU440" s="92">
        <f t="shared" ref="AU440" si="3686">(I440/I388-1)*100</f>
        <v>-100</v>
      </c>
    </row>
    <row r="441" spans="1:47" x14ac:dyDescent="0.3">
      <c r="A441" s="13">
        <f t="shared" si="475"/>
        <v>40666</v>
      </c>
      <c r="B441" s="92">
        <f>TWK!B386</f>
        <v>0</v>
      </c>
      <c r="C441" s="92">
        <f>TWK!C386</f>
        <v>465</v>
      </c>
      <c r="D441" s="92">
        <f>TWK!D386</f>
        <v>460</v>
      </c>
      <c r="E441" s="92">
        <f>TWK!E386</f>
        <v>327.5</v>
      </c>
      <c r="F441" s="92">
        <f>TWK!F386</f>
        <v>386.66666666666669</v>
      </c>
      <c r="G441" s="92">
        <f>TWK!G386</f>
        <v>386.66666666666669</v>
      </c>
      <c r="H441" s="92">
        <f>TWK!H386</f>
        <v>0</v>
      </c>
      <c r="I441" s="92">
        <f>TWK!I386</f>
        <v>0</v>
      </c>
      <c r="L441" s="92">
        <f t="shared" ref="L441" si="3687">+C441</f>
        <v>465</v>
      </c>
      <c r="M441" s="92">
        <f t="shared" ref="M441" si="3688">AVERAGE(D438:D441)</f>
        <v>426.02083333333331</v>
      </c>
      <c r="N441" s="92">
        <f t="shared" ref="N441" si="3689">AVERAGE(E438:E441)</f>
        <v>310.3125</v>
      </c>
      <c r="O441" s="92">
        <f t="shared" ref="O441" si="3690">AVERAGE(F438:F441)</f>
        <v>308.02083333333337</v>
      </c>
      <c r="P441" s="92">
        <f t="shared" ref="P441" si="3691">AVERAGE(G438:G441)</f>
        <v>309.27083333333337</v>
      </c>
      <c r="Q441" s="92">
        <f t="shared" ref="Q441" si="3692">AVERAGE(H438:H441)</f>
        <v>136.875</v>
      </c>
      <c r="R441" s="92">
        <f t="shared" ref="R441" si="3693">AVERAGE(I438:I441)</f>
        <v>187.68013100436679</v>
      </c>
      <c r="U441" s="92">
        <f t="shared" ref="U441:U446" si="3694">(L285+L337+L389)/3</f>
        <v>342.40277777777783</v>
      </c>
      <c r="V441" s="92">
        <f t="shared" ref="V441" si="3695">(M285+M337+M389)/3</f>
        <v>318.09027777777777</v>
      </c>
      <c r="W441" s="92">
        <f t="shared" ref="W441" si="3696">(N285+N337+N389)/3</f>
        <v>237.9027777777778</v>
      </c>
      <c r="X441" s="92">
        <f t="shared" ref="X441" si="3697">(O285+O337+O389)/3</f>
        <v>260.20138888888891</v>
      </c>
      <c r="Y441" s="92">
        <f t="shared" ref="Y441" si="3698">(P285+P337+P389)/3</f>
        <v>259.9930555555556</v>
      </c>
      <c r="Z441" s="92">
        <f t="shared" ref="Z441" si="3699">(Q285+Q337+Q389)/3</f>
        <v>219.4097222222222</v>
      </c>
      <c r="AA441" s="92">
        <f t="shared" ref="AA441" si="3700">(R285+R337+R389)/3</f>
        <v>300.32017224648229</v>
      </c>
      <c r="AC441" s="112">
        <f>+AF441-'Figure 8_data'!I653</f>
        <v>0</v>
      </c>
      <c r="AE441" s="92">
        <f t="shared" ref="AE441" si="3701">(C441/U441-1)*100</f>
        <v>35.804973025595245</v>
      </c>
      <c r="AF441" s="92">
        <f t="shared" ref="AF441" si="3702">(D441/V441-1)*100</f>
        <v>44.613033511625375</v>
      </c>
      <c r="AG441" s="92">
        <f t="shared" ref="AG441" si="3703">(E441/W441-1)*100</f>
        <v>37.661276198260254</v>
      </c>
      <c r="AH441" s="92">
        <f t="shared" ref="AH441" si="3704">(F441/X441-1)*100</f>
        <v>48.602845018548656</v>
      </c>
      <c r="AI441" s="92">
        <f t="shared" ref="AI441" si="3705">(G441/Y441-1)*100</f>
        <v>48.72192099147945</v>
      </c>
      <c r="AJ441" s="92">
        <f t="shared" ref="AJ441" si="3706">(H441/Z441-1)*100</f>
        <v>-100</v>
      </c>
      <c r="AK441" s="92">
        <f t="shared" ref="AK441" si="3707">(I441/AA441-1)*100</f>
        <v>-100</v>
      </c>
      <c r="AM441" s="112">
        <f>AP441-'Figure 8_data'!H653</f>
        <v>0</v>
      </c>
      <c r="AO441" s="92">
        <f t="shared" ref="AO441" si="3708">(C441/C389-1)*100</f>
        <v>36.097560975609746</v>
      </c>
      <c r="AP441" s="92">
        <f t="shared" ref="AP441" si="3709">(D441/D389-1)*100</f>
        <v>35.294117647058833</v>
      </c>
      <c r="AQ441" s="92">
        <f t="shared" ref="AQ441" si="3710">(E441/E389-1)*100</f>
        <v>35.517241379310363</v>
      </c>
      <c r="AR441" s="92">
        <f t="shared" ref="AR441" si="3711">(F441/F389-1)*100</f>
        <v>64.539007092198602</v>
      </c>
      <c r="AS441" s="92">
        <f t="shared" ref="AS441" si="3712">(G441/G389-1)*100</f>
        <v>64.539007092198602</v>
      </c>
      <c r="AT441" s="92">
        <f t="shared" ref="AT441" si="3713">(H441/H389-1)*100</f>
        <v>-100</v>
      </c>
      <c r="AU441" s="92">
        <f t="shared" ref="AU441" si="3714">(I441/I389-1)*100</f>
        <v>-100</v>
      </c>
    </row>
    <row r="442" spans="1:47" x14ac:dyDescent="0.3">
      <c r="A442" s="13">
        <f t="shared" si="475"/>
        <v>40673</v>
      </c>
      <c r="B442" s="92">
        <f>TWK!B387</f>
        <v>555</v>
      </c>
      <c r="C442" s="92">
        <f>TWK!C387</f>
        <v>445</v>
      </c>
      <c r="D442" s="92">
        <f>TWK!D387</f>
        <v>425</v>
      </c>
      <c r="E442" s="92">
        <f>TWK!E387</f>
        <v>325</v>
      </c>
      <c r="F442" s="92">
        <f>TWK!F387</f>
        <v>400</v>
      </c>
      <c r="G442" s="92">
        <f>TWK!G387</f>
        <v>405</v>
      </c>
      <c r="H442" s="92">
        <f>TWK!H387</f>
        <v>300</v>
      </c>
      <c r="I442" s="92">
        <f>TWK!I387</f>
        <v>0</v>
      </c>
      <c r="K442" s="92">
        <f t="shared" ref="K442:K447" si="3715">AVERAGE(B442:B442)</f>
        <v>555</v>
      </c>
      <c r="L442" s="92">
        <f t="shared" ref="L442" si="3716">+C442</f>
        <v>445</v>
      </c>
      <c r="M442" s="92">
        <f t="shared" ref="M442" si="3717">AVERAGE(D439:D442)</f>
        <v>425.08333333333331</v>
      </c>
      <c r="N442" s="92">
        <f t="shared" ref="N442" si="3718">AVERAGE(E439:E442)</f>
        <v>313.125</v>
      </c>
      <c r="O442" s="92">
        <f t="shared" ref="O442" si="3719">AVERAGE(F439:F442)</f>
        <v>299.58333333333337</v>
      </c>
      <c r="P442" s="92">
        <f t="shared" ref="P442" si="3720">AVERAGE(G439:G442)</f>
        <v>302.08333333333337</v>
      </c>
      <c r="Q442" s="92">
        <f t="shared" ref="Q442" si="3721">AVERAGE(H439:H442)</f>
        <v>141.25</v>
      </c>
      <c r="R442" s="92">
        <f t="shared" ref="R442" si="3722">AVERAGE(I439:I442)</f>
        <v>90.840611353711779</v>
      </c>
      <c r="T442" s="92">
        <f t="shared" ref="T442:T447" si="3723">(K286+K338+K390)/3</f>
        <v>387.07638888888886</v>
      </c>
      <c r="U442" s="92">
        <f t="shared" si="3694"/>
        <v>347.65277777777783</v>
      </c>
      <c r="V442" s="92">
        <f t="shared" ref="V442" si="3724">(M286+M338+M390)/3</f>
        <v>325.3819444444444</v>
      </c>
      <c r="W442" s="92">
        <f t="shared" ref="W442" si="3725">(N286+N338+N390)/3</f>
        <v>243.38194444444446</v>
      </c>
      <c r="X442" s="92">
        <f t="shared" ref="X442" si="3726">(O286+O338+O390)/3</f>
        <v>257.98611111111114</v>
      </c>
      <c r="Y442" s="92">
        <f t="shared" ref="Y442" si="3727">(P286+P338+P390)/3</f>
        <v>257.98611111111114</v>
      </c>
      <c r="Z442" s="92">
        <f t="shared" ref="Z442" si="3728">(Q286+Q338+Q390)/3</f>
        <v>221.2222222222222</v>
      </c>
      <c r="AA442" s="92">
        <f t="shared" ref="AA442" si="3729">(R286+R338+R390)/3</f>
        <v>301.86183891314892</v>
      </c>
      <c r="AC442" s="112">
        <f>+AF442-'Figure 8_data'!I654</f>
        <v>0</v>
      </c>
      <c r="AD442" s="92">
        <f t="shared" ref="AD442:AE442" si="3730">(B442/T442-1)*100</f>
        <v>43.382550817201619</v>
      </c>
      <c r="AE442" s="92">
        <f t="shared" si="3730"/>
        <v>28.001278414765672</v>
      </c>
      <c r="AF442" s="92">
        <f t="shared" ref="AF442" si="3731">(D442/V442-1)*100</f>
        <v>30.615729377867918</v>
      </c>
      <c r="AG442" s="92">
        <f t="shared" ref="AG442" si="3732">(E442/W442-1)*100</f>
        <v>33.534967329585982</v>
      </c>
      <c r="AH442" s="92">
        <f t="shared" ref="AH442" si="3733">(F442/X442-1)*100</f>
        <v>55.047106325706572</v>
      </c>
      <c r="AI442" s="92">
        <f t="shared" ref="AI442" si="3734">(G442/Y442-1)*100</f>
        <v>56.985195154777912</v>
      </c>
      <c r="AJ442" s="92">
        <f t="shared" ref="AJ442" si="3735">(H442/Z442-1)*100</f>
        <v>35.61024610748369</v>
      </c>
      <c r="AK442" s="92">
        <f t="shared" ref="AK442" si="3736">(I442/AA442-1)*100</f>
        <v>-100</v>
      </c>
      <c r="AM442" s="112">
        <f>AP442-'Figure 8_data'!H654</f>
        <v>0</v>
      </c>
      <c r="AN442" s="92">
        <f t="shared" ref="AN442:AO442" si="3737">(B442/B390-1)*100</f>
        <v>31.750741839762608</v>
      </c>
      <c r="AO442" s="92">
        <f t="shared" si="3737"/>
        <v>15.210355987055024</v>
      </c>
      <c r="AP442" s="92">
        <f t="shared" ref="AP442" si="3738">(D442/D390-1)*100</f>
        <v>11.111111111111116</v>
      </c>
      <c r="AQ442" s="92">
        <f t="shared" ref="AQ442" si="3739">(E442/E390-1)*100</f>
        <v>18.721461187214604</v>
      </c>
      <c r="AR442" s="92">
        <f t="shared" ref="AR442" si="3740">(F442/F390-1)*100</f>
        <v>53.110047846889955</v>
      </c>
      <c r="AS442" s="92">
        <f t="shared" ref="AS442" si="3741">(G442/G390-1)*100</f>
        <v>55.023923444976084</v>
      </c>
      <c r="AT442" s="92">
        <f t="shared" ref="AT442" si="3742">(H442/H390-1)*100</f>
        <v>28.342245989304814</v>
      </c>
      <c r="AU442" s="92">
        <f t="shared" ref="AU442" si="3743">(I442/I390-1)*100</f>
        <v>-100</v>
      </c>
    </row>
    <row r="443" spans="1:47" x14ac:dyDescent="0.3">
      <c r="A443" s="13">
        <f t="shared" si="475"/>
        <v>40680</v>
      </c>
      <c r="B443" s="92">
        <f>TWK!B388</f>
        <v>550</v>
      </c>
      <c r="C443" s="92">
        <f>TWK!C388</f>
        <v>433.33333333333331</v>
      </c>
      <c r="D443" s="92">
        <f>TWK!D388</f>
        <v>421.66666666666669</v>
      </c>
      <c r="E443" s="92">
        <f>TWK!E388</f>
        <v>315</v>
      </c>
      <c r="F443" s="92">
        <f>TWK!F388</f>
        <v>425</v>
      </c>
      <c r="G443" s="92">
        <f>TWK!G388</f>
        <v>425</v>
      </c>
      <c r="H443" s="92">
        <f>TWK!H388</f>
        <v>292</v>
      </c>
      <c r="I443" s="92">
        <f>TWK!I388</f>
        <v>0</v>
      </c>
      <c r="K443" s="92">
        <f t="shared" si="3715"/>
        <v>550</v>
      </c>
      <c r="L443" s="92">
        <f t="shared" ref="L443" si="3744">+C443</f>
        <v>433.33333333333331</v>
      </c>
      <c r="M443" s="92">
        <f t="shared" ref="M443" si="3745">AVERAGE(D440:D443)</f>
        <v>427.16666666666669</v>
      </c>
      <c r="N443" s="92">
        <f t="shared" ref="N443" si="3746">AVERAGE(E440:E443)</f>
        <v>316.875</v>
      </c>
      <c r="O443" s="92">
        <f t="shared" ref="O443" si="3747">AVERAGE(F440:F443)</f>
        <v>302.91666666666669</v>
      </c>
      <c r="P443" s="92">
        <f t="shared" ref="P443" si="3748">AVERAGE(G440:G443)</f>
        <v>304.16666666666669</v>
      </c>
      <c r="Q443" s="92">
        <f t="shared" ref="Q443" si="3749">AVERAGE(H440:H443)</f>
        <v>148</v>
      </c>
      <c r="R443" s="92">
        <f t="shared" ref="R443" si="3750">AVERAGE(I440:I443)</f>
        <v>0</v>
      </c>
      <c r="T443" s="92">
        <f t="shared" si="3723"/>
        <v>398.29861111111109</v>
      </c>
      <c r="U443" s="92">
        <f t="shared" si="3694"/>
        <v>355.9375</v>
      </c>
      <c r="V443" s="92">
        <f t="shared" ref="V443" si="3751">(M287+M339+M391)/3</f>
        <v>334.9305555555556</v>
      </c>
      <c r="W443" s="92">
        <f t="shared" ref="W443" si="3752">(N287+N339+N391)/3</f>
        <v>251.2847222222222</v>
      </c>
      <c r="X443" s="92">
        <f t="shared" ref="X443" si="3753">(O287+O339+O391)/3</f>
        <v>266.11111111111114</v>
      </c>
      <c r="Y443" s="92">
        <f t="shared" ref="Y443" si="3754">(P287+P339+P391)/3</f>
        <v>266.19444444444446</v>
      </c>
      <c r="Z443" s="92">
        <f t="shared" ref="Z443" si="3755">(Q287+Q339+Q391)/3</f>
        <v>227.38888888888891</v>
      </c>
      <c r="AA443" s="92">
        <f t="shared" ref="AA443" si="3756">(R287+R339+R391)/3</f>
        <v>309.38367297428431</v>
      </c>
      <c r="AC443" s="112">
        <f>+AF443-'Figure 8_data'!I655</f>
        <v>0</v>
      </c>
      <c r="AD443" s="92">
        <f t="shared" ref="AD443" si="3757">(B443/T443-1)*100</f>
        <v>38.087350710487321</v>
      </c>
      <c r="AE443" s="92">
        <f t="shared" ref="AE443" si="3758">(C443/U443-1)*100</f>
        <v>21.744220076090137</v>
      </c>
      <c r="AF443" s="92">
        <f t="shared" ref="AF443" si="3759">(D443/V443-1)*100</f>
        <v>25.896744764669279</v>
      </c>
      <c r="AG443" s="92">
        <f t="shared" ref="AG443" si="3760">(E443/W443-1)*100</f>
        <v>25.355810418681777</v>
      </c>
      <c r="AH443" s="92">
        <f t="shared" ref="AH443" si="3761">(F443/X443-1)*100</f>
        <v>59.707724425887257</v>
      </c>
      <c r="AI443" s="92">
        <f t="shared" ref="AI443" si="3762">(G443/Y443-1)*100</f>
        <v>59.657727225294785</v>
      </c>
      <c r="AJ443" s="92">
        <f t="shared" ref="AJ443" si="3763">(H443/Z443-1)*100</f>
        <v>28.414365990715851</v>
      </c>
      <c r="AK443" s="92">
        <f t="shared" ref="AK443" si="3764">(I443/AA443-1)*100</f>
        <v>-100</v>
      </c>
      <c r="AM443" s="112">
        <f>AP443-'Figure 8_data'!H655</f>
        <v>0</v>
      </c>
      <c r="AN443" s="92">
        <f t="shared" ref="AN443" si="3765">(B443/B391-1)*100</f>
        <v>15.384615384615374</v>
      </c>
      <c r="AO443" s="92">
        <f t="shared" ref="AO443" si="3766">(C443/C391-1)*100</f>
        <v>4.8387096774193505</v>
      </c>
      <c r="AP443" s="92">
        <f t="shared" ref="AP443" si="3767">(D443/D391-1)*100</f>
        <v>1.2000000000000011</v>
      </c>
      <c r="AQ443" s="92">
        <f t="shared" ref="AQ443" si="3768">(E443/E391-1)*100</f>
        <v>5.0000000000000044</v>
      </c>
      <c r="AR443" s="92">
        <f t="shared" ref="AR443" si="3769">(F443/F391-1)*100</f>
        <v>19.718309859154925</v>
      </c>
      <c r="AS443" s="92">
        <f t="shared" ref="AS443" si="3770">(G443/G391-1)*100</f>
        <v>19.718309859154925</v>
      </c>
      <c r="AT443" s="92">
        <f t="shared" ref="AT443" si="3771">(H443/H391-1)*100</f>
        <v>5.5421686746987886</v>
      </c>
      <c r="AU443" s="92">
        <f t="shared" ref="AU443" si="3772">(I443/I391-1)*100</f>
        <v>-100</v>
      </c>
    </row>
    <row r="444" spans="1:47" x14ac:dyDescent="0.3">
      <c r="A444" s="13">
        <f t="shared" si="475"/>
        <v>40687</v>
      </c>
      <c r="B444" s="92">
        <f>TWK!B389</f>
        <v>530</v>
      </c>
      <c r="C444" s="92">
        <f>TWK!C389</f>
        <v>453.33333333333331</v>
      </c>
      <c r="D444" s="92">
        <f>TWK!D389</f>
        <v>448.75</v>
      </c>
      <c r="E444" s="92">
        <f>TWK!E389</f>
        <v>331.25</v>
      </c>
      <c r="F444" s="92">
        <f>TWK!F389</f>
        <v>435</v>
      </c>
      <c r="G444" s="92">
        <f>TWK!G389</f>
        <v>435</v>
      </c>
      <c r="H444" s="92">
        <f>TWK!H389</f>
        <v>295</v>
      </c>
      <c r="I444" s="92">
        <f>TWK!I389</f>
        <v>0</v>
      </c>
      <c r="K444" s="92">
        <f t="shared" si="3715"/>
        <v>530</v>
      </c>
      <c r="L444" s="92">
        <f t="shared" ref="L444" si="3773">+C444</f>
        <v>453.33333333333331</v>
      </c>
      <c r="M444" s="92">
        <f t="shared" ref="M444" si="3774">AVERAGE(D441:D444)</f>
        <v>438.85416666666669</v>
      </c>
      <c r="N444" s="92">
        <f t="shared" ref="N444" si="3775">AVERAGE(E441:E444)</f>
        <v>324.6875</v>
      </c>
      <c r="O444" s="92">
        <f t="shared" ref="O444" si="3776">AVERAGE(F441:F444)</f>
        <v>411.66666666666669</v>
      </c>
      <c r="P444" s="92">
        <f t="shared" ref="P444" si="3777">AVERAGE(G441:G444)</f>
        <v>412.91666666666669</v>
      </c>
      <c r="Q444" s="92">
        <f t="shared" ref="Q444" si="3778">AVERAGE(H441:H444)</f>
        <v>221.75</v>
      </c>
      <c r="R444" s="92">
        <f t="shared" ref="R444" si="3779">AVERAGE(I441:I444)</f>
        <v>0</v>
      </c>
      <c r="T444" s="92">
        <f t="shared" si="3723"/>
        <v>407.6875</v>
      </c>
      <c r="U444" s="92">
        <f t="shared" si="3694"/>
        <v>360.36111111111109</v>
      </c>
      <c r="V444" s="92">
        <f t="shared" ref="V444" si="3780">(M288+M340+M392)/3</f>
        <v>340.63194444444451</v>
      </c>
      <c r="W444" s="92">
        <f t="shared" ref="W444" si="3781">(N288+N340+N392)/3</f>
        <v>257.86111111111109</v>
      </c>
      <c r="X444" s="92">
        <f t="shared" ref="X444" si="3782">(O288+O340+O392)/3</f>
        <v>275.58333333333331</v>
      </c>
      <c r="Y444" s="92">
        <f t="shared" ref="Y444" si="3783">(P288+P340+P392)/3</f>
        <v>275.66666666666669</v>
      </c>
      <c r="Z444" s="92">
        <f t="shared" ref="Z444" si="3784">(Q288+Q340+Q392)/3</f>
        <v>237.15972222222226</v>
      </c>
      <c r="AA444" s="92">
        <f t="shared" ref="AA444" si="3785">(R288+R340+R392)/3</f>
        <v>320.41478651140227</v>
      </c>
      <c r="AC444" s="112">
        <f>+AF444-'Figure 8_data'!I656</f>
        <v>0</v>
      </c>
      <c r="AD444" s="92">
        <f t="shared" ref="AD444" si="3786">(B444/T444-1)*100</f>
        <v>30.001533036946192</v>
      </c>
      <c r="AE444" s="92">
        <f t="shared" ref="AE444" si="3787">(C444/U444-1)*100</f>
        <v>25.799737917212685</v>
      </c>
      <c r="AF444" s="92">
        <f t="shared" ref="AF444" si="3788">(D444/V444-1)*100</f>
        <v>31.74043342643369</v>
      </c>
      <c r="AG444" s="92">
        <f t="shared" ref="AG444" si="3789">(E444/W444-1)*100</f>
        <v>28.460626952493829</v>
      </c>
      <c r="AH444" s="92">
        <f t="shared" ref="AH444" si="3790">(F444/X444-1)*100</f>
        <v>57.846991230722722</v>
      </c>
      <c r="AI444" s="92">
        <f t="shared" ref="AI444" si="3791">(G444/Y444-1)*100</f>
        <v>57.799274486094298</v>
      </c>
      <c r="AJ444" s="92">
        <f t="shared" ref="AJ444" si="3792">(H444/Z444-1)*100</f>
        <v>24.388744107053938</v>
      </c>
      <c r="AK444" s="92">
        <f t="shared" ref="AK444" si="3793">(I444/AA444-1)*100</f>
        <v>-100</v>
      </c>
      <c r="AM444" s="112">
        <f>AP444-'Figure 8_data'!H656</f>
        <v>0</v>
      </c>
      <c r="AN444" s="92">
        <f t="shared" ref="AN444" si="3794">(B444/B392-1)*100</f>
        <v>31.269349845201244</v>
      </c>
      <c r="AO444" s="92">
        <f t="shared" ref="AO444" si="3795">(C444/C392-1)*100</f>
        <v>34.320987654320987</v>
      </c>
      <c r="AP444" s="92">
        <f t="shared" ref="AP444" si="3796">(D444/D392-1)*100</f>
        <v>32.962962962962969</v>
      </c>
      <c r="AQ444" s="92">
        <f t="shared" ref="AQ444" si="3797">(E444/E392-1)*100</f>
        <v>44.021739130434788</v>
      </c>
      <c r="AR444" s="92">
        <f t="shared" ref="AR444" si="3798">(F444/F392-1)*100</f>
        <v>37.549407114624515</v>
      </c>
      <c r="AS444" s="92">
        <f t="shared" ref="AS444" si="3799">(G444/G392-1)*100</f>
        <v>37.549407114624515</v>
      </c>
      <c r="AT444" s="92">
        <f t="shared" ref="AT444" si="3800">(H444/H392-1)*100</f>
        <v>34.090909090909079</v>
      </c>
      <c r="AU444" s="92">
        <f t="shared" ref="AU444" si="3801">(I444/I392-1)*100</f>
        <v>-100</v>
      </c>
    </row>
    <row r="445" spans="1:47" x14ac:dyDescent="0.3">
      <c r="A445" s="13">
        <f t="shared" si="475"/>
        <v>40694</v>
      </c>
      <c r="B445" s="92">
        <f>TWK!B390</f>
        <v>542</v>
      </c>
      <c r="C445" s="92">
        <f>TWK!C390</f>
        <v>485</v>
      </c>
      <c r="D445" s="92">
        <f>TWK!D390</f>
        <v>463</v>
      </c>
      <c r="E445" s="92">
        <f>TWK!E390</f>
        <v>350</v>
      </c>
      <c r="F445" s="92">
        <f>TWK!F390</f>
        <v>438</v>
      </c>
      <c r="G445" s="92">
        <f>TWK!G390</f>
        <v>438</v>
      </c>
      <c r="H445" s="92">
        <f>TWK!H390</f>
        <v>308</v>
      </c>
      <c r="I445" s="92">
        <f>TWK!I390</f>
        <v>0</v>
      </c>
      <c r="K445" s="92">
        <f t="shared" si="3715"/>
        <v>542</v>
      </c>
      <c r="L445" s="92">
        <f t="shared" ref="L445" si="3802">+C445</f>
        <v>485</v>
      </c>
      <c r="M445" s="92">
        <f t="shared" ref="M445" si="3803">AVERAGE(D442:D445)</f>
        <v>439.60416666666669</v>
      </c>
      <c r="N445" s="92">
        <f t="shared" ref="N445" si="3804">AVERAGE(E442:E445)</f>
        <v>330.3125</v>
      </c>
      <c r="O445" s="92">
        <f t="shared" ref="O445" si="3805">AVERAGE(F442:F445)</f>
        <v>424.5</v>
      </c>
      <c r="P445" s="92">
        <f t="shared" ref="P445" si="3806">AVERAGE(G442:G445)</f>
        <v>425.75</v>
      </c>
      <c r="Q445" s="92">
        <f t="shared" ref="Q445" si="3807">AVERAGE(H442:H445)</f>
        <v>298.75</v>
      </c>
      <c r="R445" s="92">
        <f t="shared" ref="R445" si="3808">AVERAGE(I442:I445)</f>
        <v>0</v>
      </c>
      <c r="T445" s="92">
        <f t="shared" si="3723"/>
        <v>410.27777777777783</v>
      </c>
      <c r="U445" s="92">
        <f t="shared" si="3694"/>
        <v>359.65972222222217</v>
      </c>
      <c r="V445" s="92">
        <f t="shared" ref="V445" si="3809">(M289+M341+M393)/3</f>
        <v>343.69444444444451</v>
      </c>
      <c r="W445" s="92">
        <f t="shared" ref="W445" si="3810">(N289+N341+N393)/3</f>
        <v>262.82638888888886</v>
      </c>
      <c r="X445" s="92">
        <f t="shared" ref="X445" si="3811">(O289+O341+O393)/3</f>
        <v>283.25</v>
      </c>
      <c r="Y445" s="92">
        <f t="shared" ref="Y445" si="3812">(P289+P341+P393)/3</f>
        <v>283.33333333333331</v>
      </c>
      <c r="Z445" s="92">
        <f t="shared" ref="Z445" si="3813">(Q289+Q341+Q393)/3</f>
        <v>243.95138888888891</v>
      </c>
      <c r="AA445" s="92">
        <f t="shared" ref="AA445" si="3814">(R289+R341+R393)/3</f>
        <v>329.64422610383309</v>
      </c>
      <c r="AC445" s="112">
        <f>+AF445-'Figure 8_data'!I657</f>
        <v>0</v>
      </c>
      <c r="AD445" s="92">
        <f t="shared" ref="AD445" si="3815">(B445/T445-1)*100</f>
        <v>32.105619498984403</v>
      </c>
      <c r="AE445" s="92">
        <f t="shared" ref="AE445" si="3816">(C445/U445-1)*100</f>
        <v>34.849684308084441</v>
      </c>
      <c r="AF445" s="92">
        <f t="shared" ref="AF445" si="3817">(D445/V445-1)*100</f>
        <v>34.712680837307005</v>
      </c>
      <c r="AG445" s="92">
        <f t="shared" ref="AG445" si="3818">(E445/W445-1)*100</f>
        <v>33.167754379475276</v>
      </c>
      <c r="AH445" s="92">
        <f t="shared" ref="AH445" si="3819">(F445/X445-1)*100</f>
        <v>54.633715798764349</v>
      </c>
      <c r="AI445" s="92">
        <f t="shared" ref="AI445" si="3820">(G445/Y445-1)*100</f>
        <v>54.588235294117652</v>
      </c>
      <c r="AJ445" s="92">
        <f t="shared" ref="AJ445" si="3821">(H445/Z445-1)*100</f>
        <v>26.254661390873622</v>
      </c>
      <c r="AK445" s="92">
        <f t="shared" ref="AK445" si="3822">(I445/AA445-1)*100</f>
        <v>-100</v>
      </c>
      <c r="AM445" s="112">
        <f>AP445-'Figure 8_data'!H657</f>
        <v>0</v>
      </c>
      <c r="AN445" s="92">
        <f t="shared" ref="AN445" si="3823">(B445/B393-1)*100</f>
        <v>44.919786096256686</v>
      </c>
      <c r="AO445" s="92">
        <f t="shared" ref="AO445" si="3824">(C445/C393-1)*100</f>
        <v>55.448717948717949</v>
      </c>
      <c r="AP445" s="92">
        <f t="shared" ref="AP445" si="3825">(D445/D393-1)*100</f>
        <v>47.452229299363054</v>
      </c>
      <c r="AQ445" s="92">
        <f t="shared" ref="AQ445" si="3826">(E445/E393-1)*100</f>
        <v>62.037037037037045</v>
      </c>
      <c r="AR445" s="92">
        <f t="shared" ref="AR445" si="3827">(F445/F393-1)*100</f>
        <v>50.515463917525771</v>
      </c>
      <c r="AS445" s="92">
        <f t="shared" ref="AS445" si="3828">(G445/G393-1)*100</f>
        <v>50.515463917525771</v>
      </c>
      <c r="AT445" s="92">
        <f t="shared" ref="AT445" si="3829">(H445/H393-1)*100</f>
        <v>54.773869346733676</v>
      </c>
      <c r="AU445" s="92">
        <f t="shared" ref="AU445" si="3830">(I445/I393-1)*100</f>
        <v>-100</v>
      </c>
    </row>
    <row r="446" spans="1:47" x14ac:dyDescent="0.3">
      <c r="A446" s="13">
        <f t="shared" si="475"/>
        <v>40701</v>
      </c>
      <c r="B446" s="92">
        <f>TWK!B391</f>
        <v>550</v>
      </c>
      <c r="C446" s="92">
        <f>TWK!C391</f>
        <v>471.66666666666669</v>
      </c>
      <c r="D446" s="92">
        <f>TWK!D391</f>
        <v>446.66666666666669</v>
      </c>
      <c r="E446" s="92">
        <f>TWK!E391</f>
        <v>343.33333333333331</v>
      </c>
      <c r="F446" s="92">
        <f>TWK!F391</f>
        <v>411.25</v>
      </c>
      <c r="G446" s="92">
        <f>TWK!G391</f>
        <v>411.25</v>
      </c>
      <c r="H446" s="92">
        <f>TWK!H391</f>
        <v>312.5</v>
      </c>
      <c r="I446" s="92">
        <f>TWK!I391</f>
        <v>0</v>
      </c>
      <c r="K446" s="92">
        <f t="shared" si="3715"/>
        <v>550</v>
      </c>
      <c r="L446" s="92">
        <f t="shared" ref="L446" si="3831">+C446</f>
        <v>471.66666666666669</v>
      </c>
      <c r="M446" s="92">
        <f t="shared" ref="M446" si="3832">AVERAGE(D443:D446)</f>
        <v>445.02083333333337</v>
      </c>
      <c r="N446" s="92">
        <f t="shared" ref="N446" si="3833">AVERAGE(E443:E446)</f>
        <v>334.89583333333331</v>
      </c>
      <c r="O446" s="92">
        <f t="shared" ref="O446" si="3834">AVERAGE(F443:F446)</f>
        <v>427.3125</v>
      </c>
      <c r="P446" s="92">
        <f t="shared" ref="P446" si="3835">AVERAGE(G443:G446)</f>
        <v>427.3125</v>
      </c>
      <c r="Q446" s="92">
        <f t="shared" ref="Q446" si="3836">AVERAGE(H443:H446)</f>
        <v>301.875</v>
      </c>
      <c r="R446" s="92">
        <f t="shared" ref="R446" si="3837">AVERAGE(I443:I446)</f>
        <v>0</v>
      </c>
      <c r="T446" s="92">
        <f t="shared" si="3723"/>
        <v>412.31944444444451</v>
      </c>
      <c r="U446" s="92">
        <f t="shared" si="3694"/>
        <v>363.0625</v>
      </c>
      <c r="V446" s="92">
        <f t="shared" ref="V446" si="3838">(M290+M342+M394)/3</f>
        <v>348.40972222222223</v>
      </c>
      <c r="W446" s="92">
        <f t="shared" ref="W446" si="3839">(N290+N342+N394)/3</f>
        <v>268.04861111111109</v>
      </c>
      <c r="X446" s="92">
        <f t="shared" ref="X446" si="3840">(O290+O342+O394)/3</f>
        <v>292</v>
      </c>
      <c r="Y446" s="92">
        <f t="shared" ref="Y446" si="3841">(P290+P342+P394)/3</f>
        <v>292.08333333333331</v>
      </c>
      <c r="Z446" s="92">
        <f t="shared" ref="Z446" si="3842">(Q290+Q342+Q394)/3</f>
        <v>252.84722222222226</v>
      </c>
      <c r="AA446" s="92">
        <f t="shared" ref="AA446" si="3843">(R290+R342+R394)/3</f>
        <v>339.93904657933041</v>
      </c>
      <c r="AC446" s="112">
        <f>+AF446-'Figure 8_data'!I658</f>
        <v>0</v>
      </c>
      <c r="AD446" s="92">
        <f t="shared" ref="AD446" si="3844">(B446/T446-1)*100</f>
        <v>33.391720281604734</v>
      </c>
      <c r="AE446" s="92">
        <f t="shared" ref="AE446" si="3845">(C446/U446-1)*100</f>
        <v>29.913352843289154</v>
      </c>
      <c r="AF446" s="92">
        <f t="shared" ref="AF446" si="3846">(D446/V446-1)*100</f>
        <v>28.201550696617559</v>
      </c>
      <c r="AG446" s="92">
        <f t="shared" ref="AG446" si="3847">(E446/W446-1)*100</f>
        <v>28.086219850255191</v>
      </c>
      <c r="AH446" s="92">
        <f t="shared" ref="AH446" si="3848">(F446/X446-1)*100</f>
        <v>40.839041095890408</v>
      </c>
      <c r="AI446" s="92">
        <f t="shared" ref="AI446" si="3849">(G446/Y446-1)*100</f>
        <v>40.798858773181166</v>
      </c>
      <c r="AJ446" s="92">
        <f t="shared" ref="AJ446" si="3850">(H446/Z446-1)*100</f>
        <v>23.592419664927199</v>
      </c>
      <c r="AK446" s="92">
        <f t="shared" ref="AK446" si="3851">(I446/AA446-1)*100</f>
        <v>-100</v>
      </c>
      <c r="AM446" s="112">
        <f>AP446-'Figure 8_data'!H658</f>
        <v>0</v>
      </c>
      <c r="AN446" s="92">
        <f t="shared" ref="AN446" si="3852">(B446/B394-1)*100</f>
        <v>51.724137931034477</v>
      </c>
      <c r="AO446" s="92">
        <f t="shared" ref="AO446" si="3853">(C446/C394-1)*100</f>
        <v>57.880055788005592</v>
      </c>
      <c r="AP446" s="92">
        <f t="shared" ref="AP446" si="3854">(D446/D394-1)*100</f>
        <v>52.056737588652481</v>
      </c>
      <c r="AQ446" s="92">
        <f t="shared" ref="AQ446" si="3855">(E446/E394-1)*100</f>
        <v>72.746331236897262</v>
      </c>
      <c r="AR446" s="92">
        <f t="shared" ref="AR446" si="3856">(F446/F394-1)*100</f>
        <v>57.416267942583744</v>
      </c>
      <c r="AS446" s="92">
        <f t="shared" ref="AS446" si="3857">(G446/G394-1)*100</f>
        <v>57.416267942583744</v>
      </c>
      <c r="AT446" s="92">
        <f t="shared" ref="AT446" si="3858">(H446/H394-1)*100</f>
        <v>65.562913907284766</v>
      </c>
      <c r="AU446" s="92">
        <f t="shared" ref="AU446" si="3859">(I446/I394-1)*100</f>
        <v>-100</v>
      </c>
    </row>
    <row r="447" spans="1:47" x14ac:dyDescent="0.3">
      <c r="A447" s="13">
        <f t="shared" si="475"/>
        <v>40708</v>
      </c>
      <c r="B447" s="92">
        <f>TWK!B392</f>
        <v>535</v>
      </c>
      <c r="C447" s="92">
        <f>TWK!C392</f>
        <v>475</v>
      </c>
      <c r="D447" s="92">
        <f>TWK!D392</f>
        <v>446.25</v>
      </c>
      <c r="E447" s="92">
        <f>TWK!E392</f>
        <v>337.5</v>
      </c>
      <c r="F447" s="92">
        <f>TWK!F392</f>
        <v>395</v>
      </c>
      <c r="G447" s="92">
        <f>TWK!G392</f>
        <v>395</v>
      </c>
      <c r="H447" s="92">
        <f>TWK!H392</f>
        <v>308.75</v>
      </c>
      <c r="I447" s="92">
        <f>TWK!I392</f>
        <v>0</v>
      </c>
      <c r="K447" s="92">
        <f t="shared" si="3715"/>
        <v>535</v>
      </c>
      <c r="L447" s="92">
        <f t="shared" ref="L447" si="3860">+C447</f>
        <v>475</v>
      </c>
      <c r="M447" s="92">
        <f t="shared" ref="M447" si="3861">AVERAGE(D444:D447)</f>
        <v>451.16666666666669</v>
      </c>
      <c r="N447" s="92">
        <f t="shared" ref="N447" si="3862">AVERAGE(E444:E447)</f>
        <v>340.52083333333331</v>
      </c>
      <c r="O447" s="92">
        <f t="shared" ref="O447" si="3863">AVERAGE(F444:F447)</f>
        <v>419.8125</v>
      </c>
      <c r="P447" s="92">
        <f t="shared" ref="P447" si="3864">AVERAGE(G444:G447)</f>
        <v>419.8125</v>
      </c>
      <c r="Q447" s="92">
        <f t="shared" ref="Q447" si="3865">AVERAGE(H444:H447)</f>
        <v>306.0625</v>
      </c>
      <c r="R447" s="92">
        <f t="shared" ref="R447" si="3866">AVERAGE(I444:I447)</f>
        <v>0</v>
      </c>
      <c r="T447" s="92">
        <f t="shared" si="3723"/>
        <v>416.02777777777783</v>
      </c>
      <c r="U447" s="92">
        <f t="shared" ref="U447" si="3867">(L291+L343+L395)/3</f>
        <v>369.17361111111109</v>
      </c>
      <c r="V447" s="92">
        <f t="shared" ref="V447" si="3868">(M291+M343+M395)/3</f>
        <v>362.02777777777777</v>
      </c>
      <c r="W447" s="92">
        <f t="shared" ref="W447" si="3869">(N291+N343+N395)/3</f>
        <v>272.70138888888886</v>
      </c>
      <c r="X447" s="92">
        <f t="shared" ref="X447" si="3870">(O291+O343+O395)/3</f>
        <v>306.45833333333331</v>
      </c>
      <c r="Y447" s="92">
        <f t="shared" ref="Y447" si="3871">(P291+P343+P395)/3</f>
        <v>306.45833333333331</v>
      </c>
      <c r="Z447" s="92">
        <f t="shared" ref="Z447" si="3872">(Q291+Q343+Q395)/3</f>
        <v>260.39583333333331</v>
      </c>
      <c r="AA447" s="92">
        <f t="shared" ref="AA447" si="3873">(R291+R343+R395)/3</f>
        <v>333.8017345948569</v>
      </c>
      <c r="AC447" s="112">
        <f>+AF447-'Figure 8_data'!I659</f>
        <v>0</v>
      </c>
      <c r="AD447" s="92">
        <f t="shared" ref="AD447" si="3874">(B447/T447-1)*100</f>
        <v>28.597182346264248</v>
      </c>
      <c r="AE447" s="92">
        <f t="shared" ref="AE447" si="3875">(C447/U447-1)*100</f>
        <v>28.665751208592781</v>
      </c>
      <c r="AF447" s="92">
        <f t="shared" ref="AF447" si="3876">(D447/V447-1)*100</f>
        <v>23.264022097751869</v>
      </c>
      <c r="AG447" s="92">
        <f t="shared" ref="AG447" si="3877">(E447/W447-1)*100</f>
        <v>23.761745906440201</v>
      </c>
      <c r="AH447" s="92">
        <f t="shared" ref="AH447" si="3878">(F447/X447-1)*100</f>
        <v>28.891910265125766</v>
      </c>
      <c r="AI447" s="92">
        <f t="shared" ref="AI447" si="3879">(G447/Y447-1)*100</f>
        <v>28.891910265125766</v>
      </c>
      <c r="AJ447" s="92">
        <f t="shared" ref="AJ447" si="3880">(H447/Z447-1)*100</f>
        <v>18.569485558844722</v>
      </c>
      <c r="AK447" s="92">
        <f t="shared" ref="AK447" si="3881">(I447/AA447-1)*100</f>
        <v>-100</v>
      </c>
      <c r="AM447" s="112">
        <f>AP447-'Figure 8_data'!H659</f>
        <v>0</v>
      </c>
      <c r="AN447" s="92">
        <f t="shared" ref="AN447" si="3882">(B447/B395-1)*100</f>
        <v>47.58620689655173</v>
      </c>
      <c r="AO447" s="92">
        <f t="shared" ref="AO447" si="3883">(C447/C395-1)*100</f>
        <v>57.024793388429764</v>
      </c>
      <c r="AP447" s="92">
        <f t="shared" ref="AP447" si="3884">(D447/D395-1)*100</f>
        <v>49.3723849372385</v>
      </c>
      <c r="AQ447" s="92">
        <f t="shared" ref="AQ447" si="3885">(E447/E395-1)*100</f>
        <v>67.701863354037272</v>
      </c>
      <c r="AR447" s="92">
        <f t="shared" ref="AR447" si="3886">(F447/F395-1)*100</f>
        <v>53.398058252427184</v>
      </c>
      <c r="AS447" s="92">
        <f t="shared" ref="AS447" si="3887">(G447/G395-1)*100</f>
        <v>53.398058252427184</v>
      </c>
      <c r="AT447" s="92">
        <f t="shared" ref="AT447" si="3888">(H447/H395-1)*100</f>
        <v>62.5</v>
      </c>
      <c r="AU447" s="92">
        <f t="shared" ref="AU447" si="3889">(I447/I395-1)*100</f>
        <v>-100</v>
      </c>
    </row>
    <row r="448" spans="1:47" x14ac:dyDescent="0.3">
      <c r="A448" s="13">
        <f t="shared" si="475"/>
        <v>40715</v>
      </c>
      <c r="B448" s="92">
        <f>TWK!B393</f>
        <v>557.5</v>
      </c>
      <c r="C448" s="92">
        <f>TWK!C393</f>
        <v>485</v>
      </c>
      <c r="D448" s="92">
        <f>TWK!D393</f>
        <v>450</v>
      </c>
      <c r="E448" s="92">
        <f>TWK!E393</f>
        <v>361.66666666666669</v>
      </c>
      <c r="F448" s="92">
        <f>TWK!F393</f>
        <v>393.33333333333331</v>
      </c>
      <c r="G448" s="92">
        <f>TWK!G393</f>
        <v>393.33333333333331</v>
      </c>
      <c r="H448" s="92">
        <f>TWK!H393</f>
        <v>323.33333333333331</v>
      </c>
      <c r="I448" s="92">
        <f>TWK!I393</f>
        <v>443.34788937409024</v>
      </c>
      <c r="K448" s="92">
        <f t="shared" ref="K448" si="3890">AVERAGE(B448:B448)</f>
        <v>557.5</v>
      </c>
      <c r="L448" s="92">
        <f t="shared" ref="L448" si="3891">+C448</f>
        <v>485</v>
      </c>
      <c r="M448" s="92">
        <f t="shared" ref="M448" si="3892">AVERAGE(D445:D448)</f>
        <v>451.47916666666669</v>
      </c>
      <c r="N448" s="92">
        <f t="shared" ref="N448" si="3893">AVERAGE(E445:E448)</f>
        <v>348.125</v>
      </c>
      <c r="O448" s="92">
        <f t="shared" ref="O448" si="3894">AVERAGE(F445:F448)</f>
        <v>409.39583333333331</v>
      </c>
      <c r="P448" s="92">
        <f t="shared" ref="P448" si="3895">AVERAGE(G445:G448)</f>
        <v>409.39583333333331</v>
      </c>
      <c r="Q448" s="92">
        <f t="shared" ref="Q448" si="3896">AVERAGE(H445:H448)</f>
        <v>313.14583333333331</v>
      </c>
      <c r="R448" s="92">
        <f t="shared" ref="R448" si="3897">AVERAGE(I445:I448)</f>
        <v>110.83697234352256</v>
      </c>
      <c r="T448" s="92">
        <f t="shared" ref="T448" si="3898">(K292+K344+K396)/3</f>
        <v>418.11111111111114</v>
      </c>
      <c r="U448" s="92">
        <f t="shared" ref="U448" si="3899">(L292+L344+L396)/3</f>
        <v>373.86111111111109</v>
      </c>
      <c r="V448" s="92">
        <f t="shared" ref="V448" si="3900">(M292+M344+M396)/3</f>
        <v>371.93055555555549</v>
      </c>
      <c r="W448" s="92">
        <f t="shared" ref="W448" si="3901">(N292+N344+N396)/3</f>
        <v>278.97222222222223</v>
      </c>
      <c r="X448" s="92">
        <f t="shared" ref="X448" si="3902">(O292+O344+O396)/3</f>
        <v>317.40972222222223</v>
      </c>
      <c r="Y448" s="92">
        <f t="shared" ref="Y448" si="3903">(P292+P344+P396)/3</f>
        <v>317.40972222222223</v>
      </c>
      <c r="Z448" s="92">
        <f t="shared" ref="Z448" si="3904">(Q292+Q344+Q396)/3</f>
        <v>262.64583333333331</v>
      </c>
      <c r="AA448" s="92">
        <f t="shared" ref="AA448" si="3905">(R292+R344+R396)/3</f>
        <v>337.46912906356141</v>
      </c>
      <c r="AC448" s="112">
        <f>+AF448-'Figure 8_data'!I660</f>
        <v>0</v>
      </c>
      <c r="AD448" s="92">
        <f t="shared" ref="AD448" si="3906">(B448/T448-1)*100</f>
        <v>33.337762423598186</v>
      </c>
      <c r="AE448" s="92">
        <f t="shared" ref="AE448" si="3907">(C448/U448-1)*100</f>
        <v>29.727320008915981</v>
      </c>
      <c r="AF448" s="92">
        <f t="shared" ref="AF448" si="3908">(D448/V448-1)*100</f>
        <v>20.990328242279421</v>
      </c>
      <c r="AG448" s="92">
        <f t="shared" ref="AG448" si="3909">(E448/W448-1)*100</f>
        <v>29.642537090510814</v>
      </c>
      <c r="AH448" s="92">
        <f t="shared" ref="AH448" si="3910">(F448/X448-1)*100</f>
        <v>23.91974971011004</v>
      </c>
      <c r="AI448" s="92">
        <f t="shared" ref="AI448" si="3911">(G448/Y448-1)*100</f>
        <v>23.91974971011004</v>
      </c>
      <c r="AJ448" s="92">
        <f t="shared" ref="AJ448" si="3912">(H448/Z448-1)*100</f>
        <v>23.106210835250263</v>
      </c>
      <c r="AK448" s="92">
        <f t="shared" ref="AK448" si="3913">(I448/AA448-1)*100</f>
        <v>31.374354331114795</v>
      </c>
      <c r="AM448" s="112">
        <f>AP448-'Figure 8_data'!H660</f>
        <v>0</v>
      </c>
      <c r="AN448" s="92">
        <f t="shared" ref="AN448" si="3914">(B448/B396-1)*100</f>
        <v>54.861111111111114</v>
      </c>
      <c r="AO448" s="92">
        <f t="shared" ref="AO448" si="3915">(C448/C396-1)*100</f>
        <v>59.016393442622949</v>
      </c>
      <c r="AP448" s="92">
        <f t="shared" ref="AP448" si="3916">(D448/D396-1)*100</f>
        <v>50.837988826815646</v>
      </c>
      <c r="AQ448" s="92">
        <f t="shared" ref="AQ448" si="3917">(E448/E396-1)*100</f>
        <v>80.833333333333329</v>
      </c>
      <c r="AR448" s="92">
        <f t="shared" ref="AR448" si="3918">(F448/F396-1)*100</f>
        <v>66.197183098591552</v>
      </c>
      <c r="AS448" s="92">
        <f t="shared" ref="AS448" si="3919">(G448/G396-1)*100</f>
        <v>66.197183098591552</v>
      </c>
      <c r="AT448" s="92">
        <f t="shared" ref="AT448" si="3920">(H448/H396-1)*100</f>
        <v>70.175438596491219</v>
      </c>
      <c r="AU448" s="92">
        <f t="shared" ref="AU448" si="3921">(I448/I396-1)*100</f>
        <v>70.175438596491205</v>
      </c>
    </row>
    <row r="449" spans="1:47" x14ac:dyDescent="0.3">
      <c r="A449" s="13">
        <f t="shared" si="475"/>
        <v>40722</v>
      </c>
      <c r="B449" s="92">
        <f>TWK!B394</f>
        <v>550</v>
      </c>
      <c r="C449" s="92">
        <f>TWK!C394</f>
        <v>468.33333333333331</v>
      </c>
      <c r="D449" s="92">
        <f>TWK!D394</f>
        <v>445</v>
      </c>
      <c r="E449" s="92">
        <f>TWK!E394</f>
        <v>336.66666666666669</v>
      </c>
      <c r="F449" s="92">
        <f>TWK!F394</f>
        <v>405</v>
      </c>
      <c r="G449" s="92">
        <f>TWK!G394</f>
        <v>405</v>
      </c>
      <c r="H449" s="92">
        <f>TWK!H394</f>
        <v>303.33333333333331</v>
      </c>
      <c r="I449" s="92">
        <f>TWK!I394</f>
        <v>415.92430858806398</v>
      </c>
      <c r="K449" s="92">
        <f t="shared" ref="K449" si="3922">AVERAGE(B449:B449)</f>
        <v>550</v>
      </c>
      <c r="L449" s="92">
        <f t="shared" ref="L449" si="3923">+C449</f>
        <v>468.33333333333331</v>
      </c>
      <c r="M449" s="92">
        <f t="shared" ref="M449" si="3924">AVERAGE(D446:D449)</f>
        <v>446.97916666666669</v>
      </c>
      <c r="N449" s="92">
        <f t="shared" ref="N449" si="3925">AVERAGE(E446:E449)</f>
        <v>344.79166666666669</v>
      </c>
      <c r="O449" s="92">
        <f t="shared" ref="O449" si="3926">AVERAGE(F446:F449)</f>
        <v>401.14583333333331</v>
      </c>
      <c r="P449" s="92">
        <f t="shared" ref="P449" si="3927">AVERAGE(G446:G449)</f>
        <v>401.14583333333331</v>
      </c>
      <c r="Q449" s="92">
        <f t="shared" ref="Q449" si="3928">AVERAGE(H446:H449)</f>
        <v>311.97916666666663</v>
      </c>
      <c r="R449" s="92">
        <f t="shared" ref="R449" si="3929">AVERAGE(I446:I449)</f>
        <v>214.81804949053856</v>
      </c>
      <c r="T449" s="92">
        <f t="shared" ref="T449" si="3930">(K293+K345+K397)/3</f>
        <v>428.13888888888891</v>
      </c>
      <c r="U449" s="92">
        <f t="shared" ref="U449" si="3931">(L293+L345+L397)/3</f>
        <v>384.42361111111109</v>
      </c>
      <c r="V449" s="92">
        <f t="shared" ref="V449" si="3932">(M293+M345+M397)/3</f>
        <v>384.78472222222217</v>
      </c>
      <c r="W449" s="92">
        <f t="shared" ref="W449" si="3933">(N293+N345+N397)/3</f>
        <v>282.86805555555554</v>
      </c>
      <c r="X449" s="92">
        <f t="shared" ref="X449" si="3934">(O293+O345+O397)/3</f>
        <v>326.01388888888886</v>
      </c>
      <c r="Y449" s="92">
        <f t="shared" ref="Y449" si="3935">(P293+P345+P397)/3</f>
        <v>326.01388888888886</v>
      </c>
      <c r="Z449" s="92">
        <f t="shared" ref="Z449" si="3936">(Q293+Q345+Q397)/3</f>
        <v>260.4375</v>
      </c>
      <c r="AA449" s="92">
        <f t="shared" ref="AA449" si="3937">(R293+R345+R397)/3</f>
        <v>335.34303736050464</v>
      </c>
      <c r="AC449" s="112">
        <f>+AF449-'Figure 8_data'!I661</f>
        <v>0</v>
      </c>
      <c r="AD449" s="92">
        <f t="shared" ref="AD449" si="3938">(B449/T449-1)*100</f>
        <v>28.4629857912152</v>
      </c>
      <c r="AE449" s="92">
        <f t="shared" ref="AE449" si="3939">(C449/U449-1)*100</f>
        <v>21.8274111675127</v>
      </c>
      <c r="AF449" s="92">
        <f t="shared" ref="AF449" si="3940">(D449/V449-1)*100</f>
        <v>15.649082279052152</v>
      </c>
      <c r="AG449" s="92">
        <f t="shared" ref="AG449" si="3941">(E449/W449-1)*100</f>
        <v>19.018977242039625</v>
      </c>
      <c r="AH449" s="92">
        <f t="shared" ref="AH449" si="3942">(F449/X449-1)*100</f>
        <v>24.227836237379119</v>
      </c>
      <c r="AI449" s="92">
        <f t="shared" ref="AI449" si="3943">(G449/Y449-1)*100</f>
        <v>24.227836237379119</v>
      </c>
      <c r="AJ449" s="92">
        <f t="shared" ref="AJ449" si="3944">(H449/Z449-1)*100</f>
        <v>16.470682345412357</v>
      </c>
      <c r="AK449" s="92">
        <f t="shared" ref="AK449" si="3945">(I449/AA449-1)*100</f>
        <v>24.029504790621871</v>
      </c>
      <c r="AM449" s="112">
        <f>AP449-'Figure 8_data'!H661</f>
        <v>0</v>
      </c>
      <c r="AN449" s="92">
        <f t="shared" ref="AN449" si="3946">(B449/B397-1)*100</f>
        <v>39.949109414758269</v>
      </c>
      <c r="AO449" s="92">
        <f t="shared" ref="AO449" si="3947">(C449/C397-1)*100</f>
        <v>45.898234683281402</v>
      </c>
      <c r="AP449" s="92">
        <f t="shared" ref="AP449" si="3948">(D449/D397-1)*100</f>
        <v>50.337837837837832</v>
      </c>
      <c r="AQ449" s="92">
        <f t="shared" ref="AQ449" si="3949">(E449/E397-1)*100</f>
        <v>68.333333333333329</v>
      </c>
      <c r="AR449" s="92">
        <f t="shared" ref="AR449" si="3950">(F449/F397-1)*100</f>
        <v>78.41409691629957</v>
      </c>
      <c r="AS449" s="92">
        <f t="shared" ref="AS449" si="3951">(G449/G397-1)*100</f>
        <v>78.41409691629957</v>
      </c>
      <c r="AT449" s="92">
        <f t="shared" ref="AT449" si="3952">(H449/H397-1)*100</f>
        <v>59.649122807017527</v>
      </c>
      <c r="AU449" s="92">
        <f t="shared" ref="AU449" si="3953">(I449/I397-1)*100</f>
        <v>59.649122807017505</v>
      </c>
    </row>
    <row r="450" spans="1:47" x14ac:dyDescent="0.3">
      <c r="A450" s="13">
        <f t="shared" si="475"/>
        <v>40729</v>
      </c>
      <c r="B450" s="92">
        <f>TWK!B395</f>
        <v>548.33333333333337</v>
      </c>
      <c r="C450" s="92">
        <f>TWK!C395</f>
        <v>476.66666666666669</v>
      </c>
      <c r="D450" s="92">
        <f>TWK!D395</f>
        <v>460</v>
      </c>
      <c r="E450" s="92">
        <f>TWK!E395</f>
        <v>341.66666666666669</v>
      </c>
      <c r="F450" s="92">
        <f>TWK!F395</f>
        <v>398.33333333333331</v>
      </c>
      <c r="G450" s="92">
        <f>TWK!G395</f>
        <v>395</v>
      </c>
      <c r="H450" s="92">
        <f>TWK!H395</f>
        <v>311.66666666666669</v>
      </c>
      <c r="I450" s="92">
        <f>TWK!I395</f>
        <v>427.35080058224162</v>
      </c>
      <c r="K450" s="92">
        <f t="shared" ref="K450" si="3954">AVERAGE(B450:B450)</f>
        <v>548.33333333333337</v>
      </c>
      <c r="L450" s="92">
        <f t="shared" ref="L450" si="3955">+C450</f>
        <v>476.66666666666669</v>
      </c>
      <c r="M450" s="92">
        <f t="shared" ref="M450" si="3956">AVERAGE(D447:D450)</f>
        <v>450.3125</v>
      </c>
      <c r="N450" s="92">
        <f t="shared" ref="N450" si="3957">AVERAGE(E447:E450)</f>
        <v>344.37500000000006</v>
      </c>
      <c r="O450" s="92">
        <f t="shared" ref="O450" si="3958">AVERAGE(F447:F450)</f>
        <v>397.91666666666663</v>
      </c>
      <c r="P450" s="92">
        <f t="shared" ref="P450" si="3959">AVERAGE(G447:G450)</f>
        <v>397.08333333333331</v>
      </c>
      <c r="Q450" s="92">
        <f t="shared" ref="Q450" si="3960">AVERAGE(H447:H450)</f>
        <v>311.77083333333331</v>
      </c>
      <c r="R450" s="92">
        <f t="shared" ref="R450" si="3961">AVERAGE(I447:I450)</f>
        <v>321.65574963609896</v>
      </c>
      <c r="T450" s="92">
        <f t="shared" ref="T450" si="3962">(K294+K346+K398)/3</f>
        <v>433.9305555555556</v>
      </c>
      <c r="U450" s="92">
        <f t="shared" ref="U450" si="3963">(L294+L346+L398)/3</f>
        <v>388.5</v>
      </c>
      <c r="V450" s="92">
        <f t="shared" ref="V450" si="3964">(M294+M346+M398)/3</f>
        <v>387.52777777777777</v>
      </c>
      <c r="W450" s="92">
        <f t="shared" ref="W450" si="3965">(N294+N346+N398)/3</f>
        <v>280.83333333333331</v>
      </c>
      <c r="X450" s="92">
        <f t="shared" ref="X450" si="3966">(O294+O346+O398)/3</f>
        <v>327.15972222222223</v>
      </c>
      <c r="Y450" s="92">
        <f t="shared" ref="Y450" si="3967">(P294+P346+P398)/3</f>
        <v>327.15972222222223</v>
      </c>
      <c r="Z450" s="92">
        <f t="shared" ref="Z450" si="3968">(Q294+Q346+Q398)/3</f>
        <v>252.625</v>
      </c>
      <c r="AA450" s="92">
        <f t="shared" ref="AA450" si="3969">(R294+R346+R398)/3</f>
        <v>327.35352983988355</v>
      </c>
      <c r="AC450" s="112">
        <f>+AF450-'Figure 8_data'!I662</f>
        <v>0</v>
      </c>
      <c r="AD450" s="92">
        <f t="shared" ref="AD450" si="3970">(B450/T450-1)*100</f>
        <v>26.364305604455396</v>
      </c>
      <c r="AE450" s="92">
        <f t="shared" ref="AE450" si="3971">(C450/U450-1)*100</f>
        <v>22.694122694122697</v>
      </c>
      <c r="AF450" s="92">
        <f t="shared" ref="AF450" si="3972">(D450/V450-1)*100</f>
        <v>18.701168375026889</v>
      </c>
      <c r="AG450" s="92">
        <f t="shared" ref="AG450" si="3973">(E450/W450-1)*100</f>
        <v>21.661721068249264</v>
      </c>
      <c r="AH450" s="92">
        <f t="shared" ref="AH450" si="3974">(F450/X450-1)*100</f>
        <v>21.755004139160693</v>
      </c>
      <c r="AI450" s="92">
        <f t="shared" ref="AI450" si="3975">(G450/Y450-1)*100</f>
        <v>20.73613381163635</v>
      </c>
      <c r="AJ450" s="92">
        <f t="shared" ref="AJ450" si="3976">(H450/Z450-1)*100</f>
        <v>23.371268349002161</v>
      </c>
      <c r="AK450" s="92">
        <f t="shared" ref="AK450" si="3977">(I450/AA450-1)*100</f>
        <v>30.547179616871432</v>
      </c>
      <c r="AM450" s="112">
        <f>AP450-'Figure 8_data'!H662</f>
        <v>0</v>
      </c>
      <c r="AN450" s="92">
        <f t="shared" ref="AN450" si="3978">(B450/B398-1)*100</f>
        <v>35.390946502057631</v>
      </c>
      <c r="AO450" s="92">
        <f t="shared" ref="AO450" si="3979">(C450/C398-1)*100</f>
        <v>44.444444444444443</v>
      </c>
      <c r="AP450" s="92">
        <f t="shared" ref="AP450" si="3980">(D450/D398-1)*100</f>
        <v>41.538461538461547</v>
      </c>
      <c r="AQ450" s="92">
        <f t="shared" ref="AQ450" si="3981">(E450/E398-1)*100</f>
        <v>52.529761904761905</v>
      </c>
      <c r="AR450" s="92">
        <f t="shared" ref="AR450" si="3982">(F450/F398-1)*100</f>
        <v>59.973226238286472</v>
      </c>
      <c r="AS450" s="92">
        <f t="shared" ref="AS450" si="3983">(G450/G398-1)*100</f>
        <v>58.634538152610439</v>
      </c>
      <c r="AT450" s="92">
        <f t="shared" ref="AT450" si="3984">(H450/H398-1)*100</f>
        <v>53.530377668308702</v>
      </c>
      <c r="AU450" s="92">
        <f t="shared" ref="AU450" si="3985">(I450/I398-1)*100</f>
        <v>53.723309561957407</v>
      </c>
    </row>
    <row r="451" spans="1:47" x14ac:dyDescent="0.3">
      <c r="A451" s="13">
        <f t="shared" si="475"/>
        <v>40736</v>
      </c>
      <c r="B451" s="92">
        <f>TWK!B396</f>
        <v>533.33333333333337</v>
      </c>
      <c r="C451" s="92">
        <f>TWK!C396</f>
        <v>461.25</v>
      </c>
      <c r="D451" s="92">
        <f>TWK!D396</f>
        <v>448.75</v>
      </c>
      <c r="E451" s="92">
        <f>TWK!E396</f>
        <v>333.75</v>
      </c>
      <c r="F451" s="92">
        <f>TWK!F396</f>
        <v>400</v>
      </c>
      <c r="G451" s="92">
        <f>TWK!G396</f>
        <v>400</v>
      </c>
      <c r="H451" s="92">
        <f>TWK!H396</f>
        <v>308.33333333333331</v>
      </c>
      <c r="I451" s="92">
        <f>TWK!I396</f>
        <v>418.20960698689953</v>
      </c>
      <c r="K451" s="92">
        <f t="shared" ref="K451" si="3986">AVERAGE(B451:B451)</f>
        <v>533.33333333333337</v>
      </c>
      <c r="L451" s="92">
        <f t="shared" ref="L451" si="3987">+C451</f>
        <v>461.25</v>
      </c>
      <c r="M451" s="92">
        <f t="shared" ref="M451" si="3988">AVERAGE(D448:D451)</f>
        <v>450.9375</v>
      </c>
      <c r="N451" s="92">
        <f t="shared" ref="N451" si="3989">AVERAGE(E448:E451)</f>
        <v>343.4375</v>
      </c>
      <c r="O451" s="92">
        <f t="shared" ref="O451" si="3990">AVERAGE(F448:F451)</f>
        <v>399.16666666666663</v>
      </c>
      <c r="P451" s="92">
        <f t="shared" ref="P451" si="3991">AVERAGE(G448:G451)</f>
        <v>398.33333333333331</v>
      </c>
      <c r="Q451" s="92">
        <f t="shared" ref="Q451" si="3992">AVERAGE(H448:H451)</f>
        <v>311.66666666666663</v>
      </c>
      <c r="R451" s="92">
        <f t="shared" ref="R451" si="3993">AVERAGE(I448:I451)</f>
        <v>426.20815138282387</v>
      </c>
      <c r="T451" s="92">
        <f t="shared" ref="T451" si="3994">(K295+K347+K399)/3</f>
        <v>439.20833333333331</v>
      </c>
      <c r="U451" s="92">
        <f t="shared" ref="U451" si="3995">(L295+L347+L399)/3</f>
        <v>388.85416666666669</v>
      </c>
      <c r="V451" s="92">
        <f t="shared" ref="V451" si="3996">(M295+M347+M399)/3</f>
        <v>378.42361111111109</v>
      </c>
      <c r="W451" s="92">
        <f t="shared" ref="W451" si="3997">(N295+N347+N399)/3</f>
        <v>278.02083333333331</v>
      </c>
      <c r="X451" s="92">
        <f t="shared" ref="X451" si="3998">(O295+O347+O399)/3</f>
        <v>312.74305555555554</v>
      </c>
      <c r="Y451" s="92">
        <f t="shared" ref="Y451" si="3999">(P295+P347+P399)/3</f>
        <v>312.74305555555554</v>
      </c>
      <c r="Z451" s="92">
        <f t="shared" ref="Z451" si="4000">(Q295+Q347+Q399)/3</f>
        <v>244.02083333333334</v>
      </c>
      <c r="AA451" s="92">
        <f t="shared" ref="AA451" si="4001">(R295+R347+R399)/3</f>
        <v>332.06240902474525</v>
      </c>
      <c r="AC451" s="112">
        <f>+AF451-'Figure 8_data'!I663</f>
        <v>0</v>
      </c>
      <c r="AD451" s="92">
        <f t="shared" ref="AD451" si="4002">(B451/T451-1)*100</f>
        <v>21.430604306991754</v>
      </c>
      <c r="AE451" s="92">
        <f t="shared" ref="AE451" si="4003">(C451/U451-1)*100</f>
        <v>18.617733726225548</v>
      </c>
      <c r="AF451" s="92">
        <f t="shared" ref="AF451" si="4004">(D451/V451-1)*100</f>
        <v>18.584038316848051</v>
      </c>
      <c r="AG451" s="92">
        <f t="shared" ref="AG451" si="4005">(E451/W451-1)*100</f>
        <v>20.044960659423005</v>
      </c>
      <c r="AH451" s="92">
        <f t="shared" ref="AH451" si="4006">(F451/X451-1)*100</f>
        <v>27.900521816365064</v>
      </c>
      <c r="AI451" s="92">
        <f t="shared" ref="AI451" si="4007">(G451/Y451-1)*100</f>
        <v>27.900521816365064</v>
      </c>
      <c r="AJ451" s="92">
        <f t="shared" ref="AJ451" si="4008">(H451/Z451-1)*100</f>
        <v>26.355331682745664</v>
      </c>
      <c r="AK451" s="92">
        <f t="shared" ref="AK451" si="4009">(I451/AA451-1)*100</f>
        <v>25.943074440484047</v>
      </c>
      <c r="AM451" s="112">
        <f>AP451-'Figure 8_data'!H663</f>
        <v>0</v>
      </c>
      <c r="AN451" s="92">
        <f t="shared" ref="AN451" si="4010">(B451/B399-1)*100</f>
        <v>16.257947320617628</v>
      </c>
      <c r="AO451" s="92">
        <f t="shared" ref="AO451" si="4011">(C451/C399-1)*100</f>
        <v>17.891373801916941</v>
      </c>
      <c r="AP451" s="92">
        <f t="shared" ref="AP451" si="4012">(D451/D399-1)*100</f>
        <v>15.806451612903217</v>
      </c>
      <c r="AQ451" s="92">
        <f t="shared" ref="AQ451" si="4013">(E451/E399-1)*100</f>
        <v>13.617021276595743</v>
      </c>
      <c r="AR451" s="92">
        <f t="shared" ref="AR451" si="4014">(F451/F399-1)*100</f>
        <v>32.231404958677686</v>
      </c>
      <c r="AS451" s="92">
        <f t="shared" ref="AS451" si="4015">(G451/G399-1)*100</f>
        <v>32.231404958677686</v>
      </c>
      <c r="AT451" s="92">
        <f t="shared" ref="AT451" si="4016">(H451/H399-1)*100</f>
        <v>15.264797507788153</v>
      </c>
      <c r="AU451" s="92">
        <f t="shared" ref="AU451" si="4017">(I451/I399-1)*100</f>
        <v>14.018691588785037</v>
      </c>
    </row>
    <row r="452" spans="1:47" x14ac:dyDescent="0.3">
      <c r="A452" s="13">
        <f t="shared" si="475"/>
        <v>40743</v>
      </c>
      <c r="B452" s="92">
        <f>TWK!B397</f>
        <v>515</v>
      </c>
      <c r="C452" s="92">
        <f>TWK!C397</f>
        <v>433.33333333333331</v>
      </c>
      <c r="D452" s="92">
        <f>TWK!D397</f>
        <v>431</v>
      </c>
      <c r="E452" s="92">
        <f>TWK!E397</f>
        <v>313</v>
      </c>
      <c r="F452" s="92">
        <f>TWK!F397</f>
        <v>395</v>
      </c>
      <c r="G452" s="92">
        <f>TWK!G397</f>
        <v>395</v>
      </c>
      <c r="H452" s="92">
        <f>TWK!H397</f>
        <v>300</v>
      </c>
      <c r="I452" s="92">
        <f>TWK!I397</f>
        <v>411.35371179039299</v>
      </c>
      <c r="K452" s="92">
        <f t="shared" ref="K452" si="4018">AVERAGE(B452:B452)</f>
        <v>515</v>
      </c>
      <c r="L452" s="92">
        <f t="shared" ref="L452" si="4019">+C452</f>
        <v>433.33333333333331</v>
      </c>
      <c r="M452" s="92">
        <f t="shared" ref="M452" si="4020">AVERAGE(D449:D452)</f>
        <v>446.1875</v>
      </c>
      <c r="N452" s="92">
        <f t="shared" ref="N452" si="4021">AVERAGE(E449:E452)</f>
        <v>331.27083333333337</v>
      </c>
      <c r="O452" s="92">
        <f t="shared" ref="O452" si="4022">AVERAGE(F449:F452)</f>
        <v>399.58333333333331</v>
      </c>
      <c r="P452" s="92">
        <f t="shared" ref="P452" si="4023">AVERAGE(G449:G452)</f>
        <v>398.75</v>
      </c>
      <c r="Q452" s="92">
        <f t="shared" ref="Q452" si="4024">AVERAGE(H449:H452)</f>
        <v>305.83333333333331</v>
      </c>
      <c r="R452" s="92">
        <f t="shared" ref="R452" si="4025">AVERAGE(I449:I452)</f>
        <v>418.20960698689953</v>
      </c>
      <c r="T452" s="92">
        <f t="shared" ref="T452" si="4026">(K296+K348+K400)/3</f>
        <v>451.8125</v>
      </c>
      <c r="U452" s="92">
        <f t="shared" ref="U452" si="4027">(L296+L348+L400)/3</f>
        <v>396.3125</v>
      </c>
      <c r="V452" s="92">
        <f t="shared" ref="V452" si="4028">(M296+M348+M400)/3</f>
        <v>382.04166666666669</v>
      </c>
      <c r="W452" s="92">
        <f t="shared" ref="W452" si="4029">(N296+N348+N400)/3</f>
        <v>280.8125</v>
      </c>
      <c r="X452" s="92">
        <f t="shared" ref="X452" si="4030">(O296+O348+O400)/3</f>
        <v>311.20833333333331</v>
      </c>
      <c r="Y452" s="92">
        <f t="shared" ref="Y452" si="4031">(P296+P348+P400)/3</f>
        <v>311.20833333333331</v>
      </c>
      <c r="Z452" s="92">
        <f t="shared" ref="Z452" si="4032">(Q296+Q348+Q400)/3</f>
        <v>246.97916666666666</v>
      </c>
      <c r="AA452" s="92">
        <f t="shared" ref="AA452" si="4033">(R296+R348+R400)/3</f>
        <v>336.73016739446871</v>
      </c>
      <c r="AC452" s="112">
        <f>+AF452-'Figure 8_data'!I664</f>
        <v>0</v>
      </c>
      <c r="AD452" s="92">
        <f t="shared" ref="AD452" si="4034">(B452/T452-1)*100</f>
        <v>13.985336837736885</v>
      </c>
      <c r="AE452" s="92">
        <f t="shared" ref="AE452" si="4035">(C452/U452-1)*100</f>
        <v>9.3413236608316232</v>
      </c>
      <c r="AF452" s="92">
        <f t="shared" ref="AF452" si="4036">(D452/V452-1)*100</f>
        <v>12.814919838586537</v>
      </c>
      <c r="AG452" s="92">
        <f t="shared" ref="AG452" si="4037">(E452/W452-1)*100</f>
        <v>11.462274649454706</v>
      </c>
      <c r="AH452" s="92">
        <f t="shared" ref="AH452" si="4038">(F452/X452-1)*100</f>
        <v>26.924621769982604</v>
      </c>
      <c r="AI452" s="92">
        <f t="shared" ref="AI452" si="4039">(G452/Y452-1)*100</f>
        <v>26.924621769982604</v>
      </c>
      <c r="AJ452" s="92">
        <f t="shared" ref="AJ452" si="4040">(H452/Z452-1)*100</f>
        <v>21.467735132855339</v>
      </c>
      <c r="AK452" s="92">
        <f t="shared" ref="AK452" si="4041">(I452/AA452-1)*100</f>
        <v>22.16122926357982</v>
      </c>
      <c r="AM452" s="112">
        <f>AP452-'Figure 8_data'!H664</f>
        <v>0</v>
      </c>
      <c r="AN452" s="92">
        <f t="shared" ref="AN452" si="4042">(B452/B400-1)*100</f>
        <v>3.7783375314861534</v>
      </c>
      <c r="AO452" s="92">
        <f t="shared" ref="AO452" si="4043">(C452/C400-1)*100</f>
        <v>1.3645224171539905</v>
      </c>
      <c r="AP452" s="92">
        <f t="shared" ref="AP452" si="4044">(D452/D400-1)*100</f>
        <v>1.4117647058823568</v>
      </c>
      <c r="AQ452" s="92">
        <f t="shared" ref="AQ452" si="4045">(E452/E400-1)*100</f>
        <v>-3.6923076923076947</v>
      </c>
      <c r="AR452" s="92">
        <f t="shared" ref="AR452" si="4046">(F452/F400-1)*100</f>
        <v>-2.4691358024691357</v>
      </c>
      <c r="AS452" s="92">
        <f t="shared" ref="AS452" si="4047">(G452/G400-1)*100</f>
        <v>-2.4691358024691357</v>
      </c>
      <c r="AT452" s="92">
        <f t="shared" ref="AT452" si="4048">(H452/H400-1)*100</f>
        <v>-4.3824701195219085</v>
      </c>
      <c r="AU452" s="92">
        <f t="shared" ref="AU452" si="4049">(I452/I400-1)*100</f>
        <v>-4.3824701195219191</v>
      </c>
    </row>
    <row r="453" spans="1:47" x14ac:dyDescent="0.3">
      <c r="A453" s="13">
        <f t="shared" si="475"/>
        <v>40750</v>
      </c>
      <c r="B453" s="92">
        <f>TWK!B398</f>
        <v>465</v>
      </c>
      <c r="C453" s="92">
        <f>TWK!C398</f>
        <v>396.66666666666669</v>
      </c>
      <c r="D453" s="92">
        <f>TWK!D398</f>
        <v>390</v>
      </c>
      <c r="E453" s="92">
        <f>TWK!E398</f>
        <v>281.66666666666669</v>
      </c>
      <c r="F453" s="92">
        <f>TWK!F398</f>
        <v>375</v>
      </c>
      <c r="G453" s="92">
        <f>TWK!G398</f>
        <v>375</v>
      </c>
      <c r="H453" s="92">
        <f>TWK!H398</f>
        <v>270</v>
      </c>
      <c r="I453" s="92">
        <f>TWK!I398</f>
        <v>370.21834061135377</v>
      </c>
      <c r="K453" s="92">
        <f t="shared" ref="K453" si="4050">AVERAGE(B453:B453)</f>
        <v>465</v>
      </c>
      <c r="L453" s="92">
        <f t="shared" ref="L453" si="4051">+C453</f>
        <v>396.66666666666669</v>
      </c>
      <c r="M453" s="92">
        <f t="shared" ref="M453" si="4052">AVERAGE(D450:D453)</f>
        <v>432.4375</v>
      </c>
      <c r="N453" s="92">
        <f t="shared" ref="N453" si="4053">AVERAGE(E450:E453)</f>
        <v>317.52083333333337</v>
      </c>
      <c r="O453" s="92">
        <f t="shared" ref="O453" si="4054">AVERAGE(F450:F453)</f>
        <v>392.08333333333331</v>
      </c>
      <c r="P453" s="92">
        <f t="shared" ref="P453" si="4055">AVERAGE(G450:G453)</f>
        <v>391.25</v>
      </c>
      <c r="Q453" s="92">
        <f t="shared" ref="Q453" si="4056">AVERAGE(H450:H453)</f>
        <v>297.5</v>
      </c>
      <c r="R453" s="92">
        <f t="shared" ref="R453" si="4057">AVERAGE(I450:I453)</f>
        <v>406.78311499272201</v>
      </c>
      <c r="T453" s="92">
        <f t="shared" ref="T453" si="4058">(K297+K349+K401)/3</f>
        <v>457.3125</v>
      </c>
      <c r="U453" s="92">
        <f t="shared" ref="U453" si="4059">(L297+L349+L401)/3</f>
        <v>401.20138888888891</v>
      </c>
      <c r="V453" s="92">
        <f t="shared" ref="V453" si="4060">(M297+M349+M401)/3</f>
        <v>382.4444444444444</v>
      </c>
      <c r="W453" s="92">
        <f t="shared" ref="W453" si="4061">(N297+N349+N401)/3</f>
        <v>284.98611111111109</v>
      </c>
      <c r="X453" s="92">
        <f t="shared" ref="X453" si="4062">(O297+O349+O401)/3</f>
        <v>314.375</v>
      </c>
      <c r="Y453" s="92">
        <f t="shared" ref="Y453" si="4063">(P297+P349+P401)/3</f>
        <v>314.375</v>
      </c>
      <c r="Z453" s="92">
        <f t="shared" ref="Z453" si="4064">(Q297+Q349+Q401)/3</f>
        <v>254.89583333333334</v>
      </c>
      <c r="AA453" s="92">
        <f t="shared" ref="AA453" si="4065">(R297+R349+R401)/3</f>
        <v>346.36493207180979</v>
      </c>
      <c r="AC453" s="112">
        <f>+AF453-'Figure 8_data'!I665</f>
        <v>0</v>
      </c>
      <c r="AD453" s="92">
        <f t="shared" ref="AD453" si="4066">(B453/T453-1)*100</f>
        <v>1.6810168101681011</v>
      </c>
      <c r="AE453" s="92">
        <f t="shared" ref="AE453" si="4067">(C453/U453-1)*100</f>
        <v>-1.1302857736312788</v>
      </c>
      <c r="AF453" s="92">
        <f t="shared" ref="AF453" si="4068">(D453/V453-1)*100</f>
        <v>1.9755955839628303</v>
      </c>
      <c r="AG453" s="92">
        <f t="shared" ref="AG453" si="4069">(E453/W453-1)*100</f>
        <v>-1.1647741117988053</v>
      </c>
      <c r="AH453" s="92">
        <f t="shared" ref="AH453" si="4070">(F453/X453-1)*100</f>
        <v>19.284294234592437</v>
      </c>
      <c r="AI453" s="92">
        <f t="shared" ref="AI453" si="4071">(G453/Y453-1)*100</f>
        <v>19.284294234592437</v>
      </c>
      <c r="AJ453" s="92">
        <f t="shared" ref="AJ453" si="4072">(H453/Z453-1)*100</f>
        <v>5.9256232120964425</v>
      </c>
      <c r="AK453" s="92">
        <f t="shared" ref="AK453" si="4073">(I453/AA453-1)*100</f>
        <v>6.8867851017315518</v>
      </c>
      <c r="AM453" s="112">
        <f>AP453-'Figure 8_data'!H665</f>
        <v>0</v>
      </c>
      <c r="AN453" s="92">
        <f t="shared" ref="AN453" si="4074">(B453/B401-1)*100</f>
        <v>0.72202166064980755</v>
      </c>
      <c r="AO453" s="92">
        <f t="shared" ref="AO453" si="4075">(C453/C401-1)*100</f>
        <v>0</v>
      </c>
      <c r="AP453" s="92">
        <f t="shared" ref="AP453" si="4076">(D453/D401-1)*100</f>
        <v>0.42918454935623185</v>
      </c>
      <c r="AQ453" s="92">
        <f t="shared" ref="AQ453" si="4077">(E453/E401-1)*100</f>
        <v>-5.5865921787709327</v>
      </c>
      <c r="AR453" s="92">
        <f t="shared" ref="AR453" si="4078">(F453/F401-1)*100</f>
        <v>-5.4621848739495826</v>
      </c>
      <c r="AS453" s="92">
        <f t="shared" ref="AS453" si="4079">(G453/G401-1)*100</f>
        <v>-5.4621848739495826</v>
      </c>
      <c r="AT453" s="92">
        <f t="shared" ref="AT453" si="4080">(H453/H401-1)*100</f>
        <v>-6.8965517241379342</v>
      </c>
      <c r="AU453" s="92">
        <f t="shared" ref="AU453" si="4081">(I453/I401-1)*100</f>
        <v>-3.0236016319060477</v>
      </c>
    </row>
    <row r="454" spans="1:47" x14ac:dyDescent="0.3">
      <c r="A454" s="13">
        <f t="shared" si="475"/>
        <v>40757</v>
      </c>
      <c r="B454" s="92">
        <f>TWK!B399</f>
        <v>445</v>
      </c>
      <c r="C454" s="92">
        <f>TWK!C399</f>
        <v>371.66666666666669</v>
      </c>
      <c r="D454" s="92">
        <f>TWK!D399</f>
        <v>361.66666666666669</v>
      </c>
      <c r="E454" s="92">
        <f>TWK!E399</f>
        <v>258.33333333333331</v>
      </c>
      <c r="F454" s="92">
        <f>TWK!F399</f>
        <v>356.66666666666669</v>
      </c>
      <c r="G454" s="92">
        <f>TWK!G399</f>
        <v>356.66666666666669</v>
      </c>
      <c r="H454" s="92">
        <f>TWK!H399</f>
        <v>250</v>
      </c>
      <c r="I454" s="92">
        <f>TWK!I399</f>
        <v>342.7947598253275</v>
      </c>
      <c r="K454" s="92">
        <f t="shared" ref="K454" si="4082">AVERAGE(B454:B454)</f>
        <v>445</v>
      </c>
      <c r="L454" s="92">
        <f t="shared" ref="L454" si="4083">+C454</f>
        <v>371.66666666666669</v>
      </c>
      <c r="M454" s="92">
        <f t="shared" ref="M454" si="4084">AVERAGE(D451:D454)</f>
        <v>407.85416666666669</v>
      </c>
      <c r="N454" s="92">
        <f t="shared" ref="N454" si="4085">AVERAGE(E451:E454)</f>
        <v>296.6875</v>
      </c>
      <c r="O454" s="92">
        <f t="shared" ref="O454" si="4086">AVERAGE(F451:F454)</f>
        <v>381.66666666666669</v>
      </c>
      <c r="P454" s="92">
        <f t="shared" ref="P454" si="4087">AVERAGE(G451:G454)</f>
        <v>381.66666666666669</v>
      </c>
      <c r="Q454" s="92">
        <f t="shared" ref="Q454" si="4088">AVERAGE(H451:H454)</f>
        <v>282.08333333333331</v>
      </c>
      <c r="R454" s="92">
        <f t="shared" ref="R454" si="4089">AVERAGE(I451:I454)</f>
        <v>385.64410480349346</v>
      </c>
      <c r="T454" s="92">
        <f t="shared" ref="T454" si="4090">(K298+K350+K402)/3</f>
        <v>458.27083333333331</v>
      </c>
      <c r="U454" s="92">
        <f t="shared" ref="U454" si="4091">(L298+L350+L402)/3</f>
        <v>400.65972222222223</v>
      </c>
      <c r="V454" s="92">
        <f t="shared" ref="V454" si="4092">(M298+M350+M402)/3</f>
        <v>383.3194444444444</v>
      </c>
      <c r="W454" s="92">
        <f t="shared" ref="W454" si="4093">(N298+N350+N402)/3</f>
        <v>294.0625</v>
      </c>
      <c r="X454" s="92">
        <f t="shared" ref="X454" si="4094">(O298+O350+O402)/3</f>
        <v>323.63194444444451</v>
      </c>
      <c r="Y454" s="92">
        <f t="shared" ref="Y454" si="4095">(P298+P350+P402)/3</f>
        <v>323.63194444444451</v>
      </c>
      <c r="Z454" s="92">
        <f t="shared" ref="Z454" si="4096">(Q298+Q350+Q402)/3</f>
        <v>269.54166666666669</v>
      </c>
      <c r="AA454" s="92">
        <f t="shared" ref="AA454" si="4097">(R298+R350+R402)/3</f>
        <v>365.33127122755945</v>
      </c>
      <c r="AC454" s="112">
        <f>+AF454-'Figure 8_data'!I666</f>
        <v>0</v>
      </c>
      <c r="AD454" s="92">
        <f t="shared" ref="AD454" si="4098">(B454/T454-1)*100</f>
        <v>-2.8958494340137197</v>
      </c>
      <c r="AE454" s="92">
        <f t="shared" ref="AE454" si="4099">(C454/U454-1)*100</f>
        <v>-7.2363289713146646</v>
      </c>
      <c r="AF454" s="92">
        <f t="shared" ref="AF454" si="4100">(D454/V454-1)*100</f>
        <v>-5.64875538968802</v>
      </c>
      <c r="AG454" s="92">
        <f t="shared" ref="AG454" si="4101">(E454/W454-1)*100</f>
        <v>-12.150194828196959</v>
      </c>
      <c r="AH454" s="92">
        <f t="shared" ref="AH454" si="4102">(F454/X454-1)*100</f>
        <v>10.207497371413844</v>
      </c>
      <c r="AI454" s="92">
        <f t="shared" ref="AI454" si="4103">(G454/Y454-1)*100</f>
        <v>10.207497371413844</v>
      </c>
      <c r="AJ454" s="92">
        <f t="shared" ref="AJ454" si="4104">(H454/Z454-1)*100</f>
        <v>-7.2499613541505692</v>
      </c>
      <c r="AK454" s="92">
        <f t="shared" ref="AK454" si="4105">(I454/AA454-1)*100</f>
        <v>-6.1687879404646706</v>
      </c>
      <c r="AM454" s="112">
        <f>AP454-'Figure 8_data'!H666</f>
        <v>0</v>
      </c>
      <c r="AN454" s="92">
        <f t="shared" ref="AN454" si="4106">(B454/B402-1)*100</f>
        <v>-1.6574585635359074</v>
      </c>
      <c r="AO454" s="92">
        <f t="shared" ref="AO454" si="4107">(C454/C402-1)*100</f>
        <v>-3.7756202804746453</v>
      </c>
      <c r="AP454" s="92">
        <f t="shared" ref="AP454" si="4108">(D454/D402-1)*100</f>
        <v>-2.5813692480359141</v>
      </c>
      <c r="AQ454" s="92">
        <f t="shared" ref="AQ454" si="4109">(E454/E402-1)*100</f>
        <v>-12.798874824191287</v>
      </c>
      <c r="AR454" s="92">
        <f t="shared" ref="AR454" si="4110">(F454/F402-1)*100</f>
        <v>-9.4179894179894141</v>
      </c>
      <c r="AS454" s="92">
        <f t="shared" ref="AS454" si="4111">(G454/G402-1)*100</f>
        <v>-9.4179894179894141</v>
      </c>
      <c r="AT454" s="92">
        <f t="shared" ref="AT454" si="4112">(H454/H402-1)*100</f>
        <v>-13.419913419913421</v>
      </c>
      <c r="AU454" s="92">
        <f t="shared" ref="AU454" si="4113">(I454/I402-1)*100</f>
        <v>-13.419913419913431</v>
      </c>
    </row>
    <row r="455" spans="1:47" x14ac:dyDescent="0.3">
      <c r="A455" s="13">
        <f t="shared" si="475"/>
        <v>40764</v>
      </c>
      <c r="B455" s="92">
        <f>TWK!B400</f>
        <v>453.33333333333331</v>
      </c>
      <c r="C455" s="92">
        <f>TWK!C400</f>
        <v>393.33333333333331</v>
      </c>
      <c r="D455" s="92">
        <f>TWK!D400</f>
        <v>376.66666666666669</v>
      </c>
      <c r="E455" s="92">
        <f>TWK!E400</f>
        <v>290</v>
      </c>
      <c r="F455" s="92">
        <f>TWK!F400</f>
        <v>358.33333333333331</v>
      </c>
      <c r="G455" s="92">
        <f>TWK!G400</f>
        <v>358.33333333333331</v>
      </c>
      <c r="H455" s="92">
        <f>TWK!H400</f>
        <v>275</v>
      </c>
      <c r="I455" s="92">
        <f>TWK!I400</f>
        <v>377.07423580786025</v>
      </c>
      <c r="K455" s="92">
        <f t="shared" ref="K455" si="4114">AVERAGE(B455:B455)</f>
        <v>453.33333333333331</v>
      </c>
      <c r="L455" s="92">
        <f t="shared" ref="L455" si="4115">+C455</f>
        <v>393.33333333333331</v>
      </c>
      <c r="M455" s="92">
        <f t="shared" ref="M455" si="4116">AVERAGE(D452:D455)</f>
        <v>389.83333333333337</v>
      </c>
      <c r="N455" s="92">
        <f t="shared" ref="N455" si="4117">AVERAGE(E452:E455)</f>
        <v>285.75</v>
      </c>
      <c r="O455" s="92">
        <f t="shared" ref="O455" si="4118">AVERAGE(F452:F455)</f>
        <v>371.25</v>
      </c>
      <c r="P455" s="92">
        <f t="shared" ref="P455" si="4119">AVERAGE(G452:G455)</f>
        <v>371.25</v>
      </c>
      <c r="Q455" s="92">
        <f t="shared" ref="Q455" si="4120">AVERAGE(H452:H455)</f>
        <v>273.75</v>
      </c>
      <c r="R455" s="92">
        <f t="shared" ref="R455" si="4121">AVERAGE(I452:I455)</f>
        <v>375.36026200873363</v>
      </c>
      <c r="T455" s="92">
        <f t="shared" ref="T455" si="4122">(K299+K351+K403)/3</f>
        <v>448.08333333333331</v>
      </c>
      <c r="U455" s="92">
        <f t="shared" ref="U455" si="4123">(L299+L351+L403)/3</f>
        <v>400.3055555555556</v>
      </c>
      <c r="V455" s="92">
        <f t="shared" ref="V455" si="4124">(M299+M351+M403)/3</f>
        <v>387.4444444444444</v>
      </c>
      <c r="W455" s="92">
        <f t="shared" ref="W455" si="4125">(N299+N351+N403)/3</f>
        <v>306.3125</v>
      </c>
      <c r="X455" s="92">
        <f t="shared" ref="X455" si="4126">(O299+O351+O403)/3</f>
        <v>339.88194444444451</v>
      </c>
      <c r="Y455" s="92">
        <f t="shared" ref="Y455" si="4127">(P299+P351+P403)/3</f>
        <v>339.88194444444451</v>
      </c>
      <c r="Z455" s="92">
        <f t="shared" ref="Z455" si="4128">(Q299+Q351+Q403)/3</f>
        <v>286.0625</v>
      </c>
      <c r="AA455" s="92">
        <f t="shared" ref="AA455" si="4129">(R299+R351+R403)/3</f>
        <v>389.78232654051436</v>
      </c>
      <c r="AC455" s="112">
        <f>+AF455-'Figure 8_data'!I667</f>
        <v>0</v>
      </c>
      <c r="AD455" s="92">
        <f t="shared" ref="AD455" si="4130">(B455/T455-1)*100</f>
        <v>1.1716570578389485</v>
      </c>
      <c r="AE455" s="92">
        <f t="shared" ref="AE455" si="4131">(C455/U455-1)*100</f>
        <v>-1.7417250711262433</v>
      </c>
      <c r="AF455" s="92">
        <f t="shared" ref="AF455" si="4132">(D455/V455-1)*100</f>
        <v>-2.7817608259248505</v>
      </c>
      <c r="AG455" s="92">
        <f t="shared" ref="AG455" si="4133">(E455/W455-1)*100</f>
        <v>-5.3254437869822535</v>
      </c>
      <c r="AH455" s="92">
        <f t="shared" ref="AH455" si="4134">(F455/X455-1)*100</f>
        <v>5.4287640724924646</v>
      </c>
      <c r="AI455" s="92">
        <f t="shared" ref="AI455" si="4135">(G455/Y455-1)*100</f>
        <v>5.4287640724924646</v>
      </c>
      <c r="AJ455" s="92">
        <f t="shared" ref="AJ455" si="4136">(H455/Z455-1)*100</f>
        <v>-3.86716189643872</v>
      </c>
      <c r="AK455" s="92">
        <f t="shared" ref="AK455" si="4137">(I455/AA455-1)*100</f>
        <v>-3.2603045000638931</v>
      </c>
      <c r="AM455" s="112">
        <f>AP455-'Figure 8_data'!H667</f>
        <v>0</v>
      </c>
      <c r="AN455" s="92">
        <f t="shared" ref="AN455" si="4138">(B455/B403-1)*100</f>
        <v>-1.6630513376717282</v>
      </c>
      <c r="AO455" s="92">
        <f t="shared" ref="AO455" si="4139">(C455/C403-1)*100</f>
        <v>-10.197869101978696</v>
      </c>
      <c r="AP455" s="92">
        <f t="shared" ref="AP455" si="4140">(D455/D403-1)*100</f>
        <v>-13.010007698229398</v>
      </c>
      <c r="AQ455" s="92">
        <f t="shared" ref="AQ455" si="4141">(E455/E403-1)*100</f>
        <v>-23.076923076923073</v>
      </c>
      <c r="AR455" s="92">
        <f t="shared" ref="AR455" si="4142">(F455/F403-1)*100</f>
        <v>-19.835943325876215</v>
      </c>
      <c r="AS455" s="92">
        <f t="shared" ref="AS455" si="4143">(G455/G403-1)*100</f>
        <v>-19.835943325876215</v>
      </c>
      <c r="AT455" s="92">
        <f t="shared" ref="AT455" si="4144">(H455/H403-1)*100</f>
        <v>-26.666666666666671</v>
      </c>
      <c r="AU455" s="92">
        <f t="shared" ref="AU455" si="4145">(I455/I403-1)*100</f>
        <v>-26.666666666666671</v>
      </c>
    </row>
    <row r="456" spans="1:47" x14ac:dyDescent="0.3">
      <c r="A456" s="13">
        <f t="shared" si="475"/>
        <v>40771</v>
      </c>
      <c r="B456" s="92">
        <f>TWK!B401</f>
        <v>500</v>
      </c>
      <c r="C456" s="92">
        <f>TWK!C401</f>
        <v>431.25</v>
      </c>
      <c r="D456" s="92">
        <f>TWK!D401</f>
        <v>422.5</v>
      </c>
      <c r="E456" s="92">
        <f>TWK!E401</f>
        <v>365</v>
      </c>
      <c r="F456" s="92">
        <f>TWK!F401</f>
        <v>403.33333333333331</v>
      </c>
      <c r="G456" s="92">
        <f>TWK!G401</f>
        <v>403.33333333333331</v>
      </c>
      <c r="H456" s="92">
        <f>TWK!H401</f>
        <v>336.66666666666669</v>
      </c>
      <c r="I456" s="92">
        <f>TWK!I401</f>
        <v>461.63027656477431</v>
      </c>
      <c r="K456" s="92">
        <f t="shared" ref="K456" si="4146">AVERAGE(B456:B456)</f>
        <v>500</v>
      </c>
      <c r="L456" s="92">
        <f t="shared" ref="L456" si="4147">+C456</f>
        <v>431.25</v>
      </c>
      <c r="M456" s="92">
        <f t="shared" ref="M456" si="4148">AVERAGE(D453:D456)</f>
        <v>387.70833333333337</v>
      </c>
      <c r="N456" s="92">
        <f t="shared" ref="N456" si="4149">AVERAGE(E453:E456)</f>
        <v>298.75</v>
      </c>
      <c r="O456" s="92">
        <f t="shared" ref="O456" si="4150">AVERAGE(F453:F456)</f>
        <v>373.33333333333331</v>
      </c>
      <c r="P456" s="92">
        <f t="shared" ref="P456" si="4151">AVERAGE(G453:G456)</f>
        <v>373.33333333333331</v>
      </c>
      <c r="Q456" s="92">
        <f t="shared" ref="Q456" si="4152">AVERAGE(H453:H456)</f>
        <v>282.91666666666669</v>
      </c>
      <c r="R456" s="92">
        <f t="shared" ref="R456" si="4153">AVERAGE(I453:I456)</f>
        <v>387.92940320232896</v>
      </c>
      <c r="T456" s="92">
        <f t="shared" ref="T456" si="4154">(K300+K352+K404)/3</f>
        <v>439.3125</v>
      </c>
      <c r="U456" s="92">
        <f t="shared" ref="U456" si="4155">(L300+L352+L404)/3</f>
        <v>405.09722222222223</v>
      </c>
      <c r="V456" s="92">
        <f t="shared" ref="V456" si="4156">(M300+M352+M404)/3</f>
        <v>395.61111111111109</v>
      </c>
      <c r="W456" s="92">
        <f t="shared" ref="W456" si="4157">(N300+N352+N404)/3</f>
        <v>330.22916666666669</v>
      </c>
      <c r="X456" s="92">
        <f t="shared" ref="X456" si="4158">(O300+O352+O404)/3</f>
        <v>361.79861111111114</v>
      </c>
      <c r="Y456" s="92">
        <f t="shared" ref="Y456" si="4159">(P300+P352+P404)/3</f>
        <v>361.79861111111114</v>
      </c>
      <c r="Z456" s="92">
        <f t="shared" ref="Z456" si="4160">(Q300+Q352+Q404)/3</f>
        <v>315.66666666666669</v>
      </c>
      <c r="AA456" s="92">
        <f t="shared" ref="AA456" si="4161">(R300+R352+R404)/3</f>
        <v>427.25048520135857</v>
      </c>
      <c r="AC456" s="112">
        <f>+AF456-'Figure 8_data'!I668</f>
        <v>0</v>
      </c>
      <c r="AD456" s="92">
        <f t="shared" ref="AD456" si="4162">(B456/T456-1)*100</f>
        <v>13.814198321240578</v>
      </c>
      <c r="AE456" s="92">
        <f t="shared" ref="AE456" si="4163">(C456/U456-1)*100</f>
        <v>6.4559262179860744</v>
      </c>
      <c r="AF456" s="92">
        <f t="shared" ref="AF456" si="4164">(D456/V456-1)*100</f>
        <v>6.7967982024996543</v>
      </c>
      <c r="AG456" s="92">
        <f t="shared" ref="AG456" si="4165">(E456/W456-1)*100</f>
        <v>10.529304144848894</v>
      </c>
      <c r="AH456" s="92">
        <f t="shared" ref="AH456" si="4166">(F456/X456-1)*100</f>
        <v>11.480066795907785</v>
      </c>
      <c r="AI456" s="92">
        <f t="shared" ref="AI456" si="4167">(G456/Y456-1)*100</f>
        <v>11.480066795907785</v>
      </c>
      <c r="AJ456" s="92">
        <f t="shared" ref="AJ456" si="4168">(H456/Z456-1)*100</f>
        <v>6.6525871172122386</v>
      </c>
      <c r="AK456" s="92">
        <f t="shared" ref="AK456" si="4169">(I456/AA456-1)*100</f>
        <v>8.0467530299498371</v>
      </c>
      <c r="AM456" s="112">
        <f>AP456-'Figure 8_data'!H668</f>
        <v>0</v>
      </c>
      <c r="AN456" s="92">
        <f t="shared" ref="AN456" si="4170">(B456/B404-1)*100</f>
        <v>9.6491228070175517</v>
      </c>
      <c r="AO456" s="92">
        <f t="shared" ref="AO456" si="4171">(C456/C404-1)*100</f>
        <v>-0.86206896551723755</v>
      </c>
      <c r="AP456" s="92">
        <f t="shared" ref="AP456" si="4172">(D456/D404-1)*100</f>
        <v>-3.3180778032036562</v>
      </c>
      <c r="AQ456" s="92">
        <f t="shared" ref="AQ456" si="4173">(E456/E404-1)*100</f>
        <v>-6.8877551020408152</v>
      </c>
      <c r="AR456" s="92">
        <f t="shared" ref="AR456" si="4174">(F456/F404-1)*100</f>
        <v>-12.509038322487353</v>
      </c>
      <c r="AS456" s="92">
        <f t="shared" ref="AS456" si="4175">(G456/G404-1)*100</f>
        <v>-12.509038322487353</v>
      </c>
      <c r="AT456" s="92">
        <f t="shared" ref="AT456" si="4176">(H456/H404-1)*100</f>
        <v>-14.1156462585034</v>
      </c>
      <c r="AU456" s="92">
        <f t="shared" ref="AU456" si="4177">(I456/I404-1)*100</f>
        <v>-6.1393851144179834</v>
      </c>
    </row>
    <row r="457" spans="1:47" x14ac:dyDescent="0.3">
      <c r="A457" s="13">
        <f t="shared" si="475"/>
        <v>40778</v>
      </c>
      <c r="B457" s="92">
        <f>TWK!B402</f>
        <v>475</v>
      </c>
      <c r="C457" s="92">
        <f>TWK!C402</f>
        <v>435</v>
      </c>
      <c r="D457" s="92">
        <f>TWK!D402</f>
        <v>435</v>
      </c>
      <c r="E457" s="92">
        <f>TWK!E402</f>
        <v>380</v>
      </c>
      <c r="F457" s="92">
        <f>TWK!F402</f>
        <v>431.66666666666669</v>
      </c>
      <c r="G457" s="92">
        <f>TWK!G402</f>
        <v>431.66666666666669</v>
      </c>
      <c r="H457" s="92">
        <f>TWK!H402</f>
        <v>353.33333333333331</v>
      </c>
      <c r="I457" s="92">
        <f>TWK!I402</f>
        <v>479.91266375545848</v>
      </c>
      <c r="K457" s="92">
        <f t="shared" ref="K457" si="4178">AVERAGE(B457:B457)</f>
        <v>475</v>
      </c>
      <c r="L457" s="92">
        <f t="shared" ref="L457" si="4179">+C457</f>
        <v>435</v>
      </c>
      <c r="M457" s="92">
        <f t="shared" ref="M457" si="4180">AVERAGE(D454:D457)</f>
        <v>398.95833333333337</v>
      </c>
      <c r="N457" s="92">
        <f t="shared" ref="N457" si="4181">AVERAGE(E454:E457)</f>
        <v>323.33333333333331</v>
      </c>
      <c r="O457" s="92">
        <f t="shared" ref="O457" si="4182">AVERAGE(F454:F457)</f>
        <v>387.5</v>
      </c>
      <c r="P457" s="92">
        <f t="shared" ref="P457" si="4183">AVERAGE(G454:G457)</f>
        <v>387.5</v>
      </c>
      <c r="Q457" s="92">
        <f t="shared" ref="Q457" si="4184">AVERAGE(H454:H457)</f>
        <v>303.75</v>
      </c>
      <c r="R457" s="92">
        <f t="shared" ref="R457" si="4185">AVERAGE(I454:I457)</f>
        <v>415.35298398835511</v>
      </c>
      <c r="T457" s="92">
        <f t="shared" ref="T457" si="4186">(K301+K353+K405)/3</f>
        <v>439.08333333333331</v>
      </c>
      <c r="U457" s="92">
        <f t="shared" ref="U457" si="4187">(L301+L353+L405)/3</f>
        <v>415.72916666666669</v>
      </c>
      <c r="V457" s="92">
        <f t="shared" ref="V457" si="4188">(M301+M353+M405)/3</f>
        <v>411.8125</v>
      </c>
      <c r="W457" s="92">
        <f t="shared" ref="W457" si="4189">(N301+N353+N405)/3</f>
        <v>362.63888888888886</v>
      </c>
      <c r="X457" s="92">
        <f t="shared" ref="X457" si="4190">(O301+O353+O405)/3</f>
        <v>398.31944444444451</v>
      </c>
      <c r="Y457" s="92">
        <f t="shared" ref="Y457" si="4191">(P301+P353+P405)/3</f>
        <v>398.31944444444451</v>
      </c>
      <c r="Z457" s="92">
        <f t="shared" ref="Z457" si="4192">(Q301+Q353+Q405)/3</f>
        <v>352.45833333333331</v>
      </c>
      <c r="AA457" s="92">
        <f t="shared" ref="AA457" si="4193">(R301+R353+R405)/3</f>
        <v>465.14810771470161</v>
      </c>
      <c r="AC457" s="112">
        <f>+AF457-'Figure 8_data'!I669</f>
        <v>0</v>
      </c>
      <c r="AD457" s="92">
        <f t="shared" ref="AD457" si="4194">(B457/T457-1)*100</f>
        <v>8.1799202884798028</v>
      </c>
      <c r="AE457" s="92">
        <f t="shared" ref="AE457" si="4195">(C457/U457-1)*100</f>
        <v>4.6354297168629266</v>
      </c>
      <c r="AF457" s="92">
        <f t="shared" ref="AF457" si="4196">(D457/V457-1)*100</f>
        <v>5.6305964486264903</v>
      </c>
      <c r="AG457" s="92">
        <f t="shared" ref="AG457" si="4197">(E457/W457-1)*100</f>
        <v>4.787437763309077</v>
      </c>
      <c r="AH457" s="92">
        <f t="shared" ref="AH457" si="4198">(F457/X457-1)*100</f>
        <v>8.3719794971930597</v>
      </c>
      <c r="AI457" s="92">
        <f t="shared" ref="AI457" si="4199">(G457/Y457-1)*100</f>
        <v>8.3719794971930597</v>
      </c>
      <c r="AJ457" s="92">
        <f t="shared" ref="AJ457" si="4200">(H457/Z457-1)*100</f>
        <v>0.24825629507034819</v>
      </c>
      <c r="AK457" s="92">
        <f t="shared" ref="AK457" si="4201">(I457/AA457-1)*100</f>
        <v>3.1741623357979254</v>
      </c>
      <c r="AM457" s="112">
        <f>AP457-'Figure 8_data'!H669</f>
        <v>0</v>
      </c>
      <c r="AN457" s="92">
        <f t="shared" ref="AN457" si="4202">(B457/B405-1)*100</f>
        <v>-1.2987012987012991</v>
      </c>
      <c r="AO457" s="92">
        <f t="shared" ref="AO457" si="4203">(C457/C405-1)*100</f>
        <v>-4.6575342465753451</v>
      </c>
      <c r="AP457" s="92">
        <f t="shared" ref="AP457" si="4204">(D457/D405-1)*100</f>
        <v>-4.6575342465753451</v>
      </c>
      <c r="AQ457" s="92">
        <f t="shared" ref="AQ457" si="4205">(E457/E405-1)*100</f>
        <v>-15.555555555555555</v>
      </c>
      <c r="AR457" s="92">
        <f t="shared" ref="AR457" si="4206">(F457/F405-1)*100</f>
        <v>-21.693121693121686</v>
      </c>
      <c r="AS457" s="92">
        <f t="shared" ref="AS457" si="4207">(G457/G405-1)*100</f>
        <v>-21.693121693121686</v>
      </c>
      <c r="AT457" s="92">
        <f t="shared" ref="AT457" si="4208">(H457/H405-1)*100</f>
        <v>-19.238095238095244</v>
      </c>
      <c r="AU457" s="92">
        <f t="shared" ref="AU457" si="4209">(I457/I405-1)*100</f>
        <v>-1.1102230246251565E-14</v>
      </c>
    </row>
    <row r="458" spans="1:47" x14ac:dyDescent="0.3">
      <c r="A458" s="13">
        <f t="shared" si="475"/>
        <v>40785</v>
      </c>
      <c r="B458" s="92">
        <f>TWK!B403</f>
        <v>471.66666666666669</v>
      </c>
      <c r="C458" s="92">
        <f>TWK!C403</f>
        <v>438.33333333333331</v>
      </c>
      <c r="D458" s="92">
        <f>TWK!D403</f>
        <v>458.33333333333331</v>
      </c>
      <c r="E458" s="92">
        <f>TWK!E403</f>
        <v>370</v>
      </c>
      <c r="F458" s="92">
        <f>TWK!F403</f>
        <v>455</v>
      </c>
      <c r="G458" s="92">
        <f>TWK!G403</f>
        <v>455</v>
      </c>
      <c r="H458" s="92">
        <f>TWK!H403</f>
        <v>366.66666666666669</v>
      </c>
      <c r="I458" s="92">
        <f>TWK!I403</f>
        <v>473.03493449781655</v>
      </c>
      <c r="K458" s="92">
        <f t="shared" ref="K458" si="4210">AVERAGE(B458:B458)</f>
        <v>471.66666666666669</v>
      </c>
      <c r="L458" s="92">
        <f t="shared" ref="L458" si="4211">+C458</f>
        <v>438.33333333333331</v>
      </c>
      <c r="M458" s="92">
        <f t="shared" ref="M458" si="4212">AVERAGE(D455:D458)</f>
        <v>423.125</v>
      </c>
      <c r="N458" s="92">
        <f t="shared" ref="N458" si="4213">AVERAGE(E455:E458)</f>
        <v>351.25</v>
      </c>
      <c r="O458" s="92">
        <f t="shared" ref="O458" si="4214">AVERAGE(F455:F458)</f>
        <v>412.08333333333331</v>
      </c>
      <c r="P458" s="92">
        <f t="shared" ref="P458" si="4215">AVERAGE(G455:G458)</f>
        <v>412.08333333333331</v>
      </c>
      <c r="Q458" s="92">
        <f t="shared" ref="Q458" si="4216">AVERAGE(H455:H458)</f>
        <v>332.91666666666669</v>
      </c>
      <c r="R458" s="92">
        <f t="shared" ref="R458" si="4217">AVERAGE(I455:I458)</f>
        <v>447.91302765647737</v>
      </c>
      <c r="T458" s="92">
        <f t="shared" ref="T458" si="4218">(K302+K354+K406)/3</f>
        <v>449.8125</v>
      </c>
      <c r="U458" s="92">
        <f t="shared" ref="U458" si="4219">(L302+L354+L406)/3</f>
        <v>439.41666666666669</v>
      </c>
      <c r="V458" s="92">
        <f t="shared" ref="V458" si="4220">(M302+M354+M406)/3</f>
        <v>438.79166666666669</v>
      </c>
      <c r="W458" s="92">
        <f t="shared" ref="W458" si="4221">(N302+N354+N406)/3</f>
        <v>406.64583333333331</v>
      </c>
      <c r="X458" s="92">
        <f t="shared" ref="X458" si="4222">(O302+O354+O406)/3</f>
        <v>444</v>
      </c>
      <c r="Y458" s="92">
        <f t="shared" ref="Y458" si="4223">(P302+P354+P406)/3</f>
        <v>444.5</v>
      </c>
      <c r="Z458" s="92">
        <f t="shared" ref="Z458" si="4224">(Q302+Q354+Q406)/3</f>
        <v>397.64583333333331</v>
      </c>
      <c r="AA458" s="92">
        <f t="shared" ref="AA458" si="4225">(R302+R354+R406)/3</f>
        <v>525.98089519650659</v>
      </c>
      <c r="AC458" s="112">
        <f>+AF458-'Figure 8_data'!I670</f>
        <v>0</v>
      </c>
      <c r="AD458" s="92">
        <f t="shared" ref="AD458" si="4226">(B458/T458-1)*100</f>
        <v>4.8585058589227126</v>
      </c>
      <c r="AE458" s="92">
        <f t="shared" ref="AE458" si="4227">(C458/U458-1)*100</f>
        <v>-0.24653897212214559</v>
      </c>
      <c r="AF458" s="92">
        <f t="shared" ref="AF458" si="4228">(D458/V458-1)*100</f>
        <v>4.4535181844079341</v>
      </c>
      <c r="AG458" s="92">
        <f t="shared" ref="AG458" si="4229">(E458/W458-1)*100</f>
        <v>-9.0117321584097461</v>
      </c>
      <c r="AH458" s="92">
        <f t="shared" ref="AH458" si="4230">(F458/X458-1)*100</f>
        <v>2.4774774774774855</v>
      </c>
      <c r="AI458" s="92">
        <f t="shared" ref="AI458" si="4231">(G458/Y458-1)*100</f>
        <v>2.3622047244094446</v>
      </c>
      <c r="AJ458" s="92">
        <f t="shared" ref="AJ458" si="4232">(H458/Z458-1)*100</f>
        <v>-7.7906428459160626</v>
      </c>
      <c r="AK458" s="92">
        <f t="shared" ref="AK458" si="4233">(I458/AA458-1)*100</f>
        <v>-10.066137607319259</v>
      </c>
      <c r="AM458" s="112">
        <f>AP458-'Figure 8_data'!H670</f>
        <v>0</v>
      </c>
      <c r="AN458" s="92">
        <f t="shared" ref="AN458" si="4234">(B458/B406-1)*100</f>
        <v>-6.8312757201646086</v>
      </c>
      <c r="AO458" s="92">
        <f t="shared" ref="AO458" si="4235">(C458/C406-1)*100</f>
        <v>-11.223628691983123</v>
      </c>
      <c r="AP458" s="92">
        <f t="shared" ref="AP458" si="4236">(D458/D406-1)*100</f>
        <v>-9.465020576131689</v>
      </c>
      <c r="AQ458" s="92">
        <f t="shared" ref="AQ458" si="4237">(E458/E406-1)*100</f>
        <v>-29.523809523809518</v>
      </c>
      <c r="AR458" s="92">
        <f t="shared" ref="AR458" si="4238">(F458/F406-1)*100</f>
        <v>-26.166328600405674</v>
      </c>
      <c r="AS458" s="92">
        <f t="shared" ref="AS458" si="4239">(G458/G406-1)*100</f>
        <v>-26.166328600405674</v>
      </c>
      <c r="AT458" s="92">
        <f t="shared" ref="AT458" si="4240">(H458/H406-1)*100</f>
        <v>-26.666666666666661</v>
      </c>
      <c r="AU458" s="92">
        <f t="shared" ref="AU458" si="4241">(I458/I406-1)*100</f>
        <v>-31.003184713375799</v>
      </c>
    </row>
    <row r="459" spans="1:47" x14ac:dyDescent="0.3">
      <c r="A459" s="13">
        <f t="shared" si="475"/>
        <v>40792</v>
      </c>
      <c r="B459" s="92">
        <f>TWK!B404</f>
        <v>475</v>
      </c>
      <c r="C459" s="92">
        <f>TWK!C404</f>
        <v>460</v>
      </c>
      <c r="D459" s="92">
        <f>TWK!D404</f>
        <v>460</v>
      </c>
      <c r="E459" s="92">
        <f>TWK!E404</f>
        <v>410</v>
      </c>
      <c r="F459" s="92">
        <f>TWK!F404</f>
        <v>485</v>
      </c>
      <c r="G459" s="92">
        <f>TWK!G404</f>
        <v>485</v>
      </c>
      <c r="H459" s="92">
        <f>TWK!H404</f>
        <v>388.33333333333331</v>
      </c>
      <c r="I459" s="92">
        <f>TWK!I404</f>
        <v>531.33187772925771</v>
      </c>
      <c r="K459" s="92">
        <f t="shared" ref="K459" si="4242">AVERAGE(B459:B459)</f>
        <v>475</v>
      </c>
      <c r="L459" s="92">
        <f t="shared" ref="L459" si="4243">+C459</f>
        <v>460</v>
      </c>
      <c r="M459" s="92">
        <f t="shared" ref="M459" si="4244">AVERAGE(D456:D459)</f>
        <v>443.95833333333331</v>
      </c>
      <c r="N459" s="92">
        <f t="shared" ref="N459" si="4245">AVERAGE(E456:E459)</f>
        <v>381.25</v>
      </c>
      <c r="O459" s="92">
        <f t="shared" ref="O459" si="4246">AVERAGE(F456:F459)</f>
        <v>443.75</v>
      </c>
      <c r="P459" s="92">
        <f t="shared" ref="P459" si="4247">AVERAGE(G456:G459)</f>
        <v>443.75</v>
      </c>
      <c r="Q459" s="92">
        <f t="shared" ref="Q459" si="4248">AVERAGE(H456:H459)</f>
        <v>361.25</v>
      </c>
      <c r="R459" s="92">
        <f t="shared" ref="R459" si="4249">AVERAGE(I456:I459)</f>
        <v>486.47743813682678</v>
      </c>
      <c r="T459" s="92">
        <f t="shared" ref="T459" si="4250">(K303+K355+K407)/3</f>
        <v>464.125</v>
      </c>
      <c r="U459" s="92">
        <f t="shared" ref="U459" si="4251">(L303+L355+L407)/3</f>
        <v>457.72916666666669</v>
      </c>
      <c r="V459" s="92">
        <f t="shared" ref="V459" si="4252">(M303+M355+M407)/3</f>
        <v>461.0625</v>
      </c>
      <c r="W459" s="92">
        <f t="shared" ref="W459" si="4253">(N303+N355+N407)/3</f>
        <v>442.52083333333331</v>
      </c>
      <c r="X459" s="92">
        <f t="shared" ref="X459" si="4254">(O303+O355+O407)/3</f>
        <v>483.125</v>
      </c>
      <c r="Y459" s="92">
        <f t="shared" ref="Y459" si="4255">(P303+P355+P407)/3</f>
        <v>484.5625</v>
      </c>
      <c r="Z459" s="92">
        <f t="shared" ref="Z459" si="4256">(Q303+Q355+Q407)/3</f>
        <v>435.625</v>
      </c>
      <c r="AA459" s="92">
        <f t="shared" ref="AA459" si="4257">(R303+R355+R407)/3</f>
        <v>577.16593886462886</v>
      </c>
      <c r="AC459" s="112">
        <f>+AF459-'Figure 8_data'!I671</f>
        <v>0</v>
      </c>
      <c r="AD459" s="92">
        <f t="shared" ref="AD459" si="4258">(B459/T459-1)*100</f>
        <v>2.3431187718825797</v>
      </c>
      <c r="AE459" s="92">
        <f t="shared" ref="AE459" si="4259">(C459/U459-1)*100</f>
        <v>0.49610850666788053</v>
      </c>
      <c r="AF459" s="92">
        <f t="shared" ref="AF459" si="4260">(D459/V459-1)*100</f>
        <v>-0.23044598075098177</v>
      </c>
      <c r="AG459" s="92">
        <f t="shared" ref="AG459" si="4261">(E459/W459-1)*100</f>
        <v>-7.3489948684148487</v>
      </c>
      <c r="AH459" s="92">
        <f t="shared" ref="AH459" si="4262">(F459/X459-1)*100</f>
        <v>0.38809831824062613</v>
      </c>
      <c r="AI459" s="92">
        <f t="shared" ref="AI459" si="4263">(G459/Y459-1)*100</f>
        <v>9.0287630594598767E-2</v>
      </c>
      <c r="AJ459" s="92">
        <f t="shared" ref="AJ459" si="4264">(H459/Z459-1)*100</f>
        <v>-10.856049736967964</v>
      </c>
      <c r="AK459" s="92">
        <f t="shared" ref="AK459" si="4265">(I459/AA459-1)*100</f>
        <v>-7.9412276520568037</v>
      </c>
      <c r="AM459" s="112">
        <f>AP459-'Figure 8_data'!H671</f>
        <v>0</v>
      </c>
      <c r="AN459" s="92">
        <f t="shared" ref="AN459" si="4266">(B459/B407-1)*100</f>
        <v>-6.1728395061728447</v>
      </c>
      <c r="AO459" s="92">
        <f t="shared" ref="AO459" si="4267">(C459/C407-1)*100</f>
        <v>-7.9999999999999964</v>
      </c>
      <c r="AP459" s="92">
        <f t="shared" ref="AP459" si="4268">(D459/D407-1)*100</f>
        <v>-7.0707070707070718</v>
      </c>
      <c r="AQ459" s="92">
        <f t="shared" ref="AQ459" si="4269">(E459/E407-1)*100</f>
        <v>-19.012345679012345</v>
      </c>
      <c r="AR459" s="92">
        <f t="shared" ref="AR459" si="4270">(F459/F407-1)*100</f>
        <v>-19.502074688796679</v>
      </c>
      <c r="AS459" s="92">
        <f t="shared" ref="AS459" si="4271">(G459/G407-1)*100</f>
        <v>-19.502074688796679</v>
      </c>
      <c r="AT459" s="92">
        <f t="shared" ref="AT459" si="4272">(H459/H407-1)*100</f>
        <v>-20.341880341880348</v>
      </c>
      <c r="AU459" s="92">
        <f t="shared" ref="AU459" si="4273">(I459/I407-1)*100</f>
        <v>-20.512820512820507</v>
      </c>
    </row>
    <row r="460" spans="1:47" x14ac:dyDescent="0.3">
      <c r="A460" s="13">
        <f t="shared" si="475"/>
        <v>40799</v>
      </c>
      <c r="B460" s="92">
        <f>TWK!B405</f>
        <v>485</v>
      </c>
      <c r="C460" s="92">
        <f>TWK!C405</f>
        <v>477.5</v>
      </c>
      <c r="D460" s="92">
        <f>TWK!D405</f>
        <v>475</v>
      </c>
      <c r="E460" s="92">
        <f>TWK!E405</f>
        <v>400</v>
      </c>
      <c r="F460" s="92">
        <f>TWK!F405</f>
        <v>477.5</v>
      </c>
      <c r="G460" s="92">
        <f>TWK!G405</f>
        <v>477.5</v>
      </c>
      <c r="H460" s="92">
        <f>TWK!H405</f>
        <v>395</v>
      </c>
      <c r="I460" s="92">
        <f>TWK!I405</f>
        <v>539.33042212518194</v>
      </c>
      <c r="K460" s="92">
        <f t="shared" ref="K460" si="4274">AVERAGE(B460:B460)</f>
        <v>485</v>
      </c>
      <c r="L460" s="92">
        <f t="shared" ref="L460" si="4275">+C460</f>
        <v>477.5</v>
      </c>
      <c r="M460" s="92">
        <f t="shared" ref="M460" si="4276">AVERAGE(D457:D460)</f>
        <v>457.08333333333331</v>
      </c>
      <c r="N460" s="92">
        <f t="shared" ref="N460" si="4277">AVERAGE(E457:E460)</f>
        <v>390</v>
      </c>
      <c r="O460" s="92">
        <f t="shared" ref="O460" si="4278">AVERAGE(F457:F460)</f>
        <v>462.29166666666669</v>
      </c>
      <c r="P460" s="92">
        <f t="shared" ref="P460" si="4279">AVERAGE(G457:G460)</f>
        <v>462.29166666666669</v>
      </c>
      <c r="Q460" s="92">
        <f t="shared" ref="Q460" si="4280">AVERAGE(H457:H460)</f>
        <v>375.83333333333331</v>
      </c>
      <c r="R460" s="92">
        <f t="shared" ref="R460" si="4281">AVERAGE(I457:I460)</f>
        <v>505.9024745269287</v>
      </c>
      <c r="T460" s="92">
        <f t="shared" ref="T460" si="4282">(K304+K356+K408)/3</f>
        <v>472.125</v>
      </c>
      <c r="U460" s="92">
        <f t="shared" ref="U460" si="4283">(L304+L356+L408)/3</f>
        <v>469.59027777777777</v>
      </c>
      <c r="V460" s="92">
        <f t="shared" ref="V460" si="4284">(M304+M356+M408)/3</f>
        <v>474.125</v>
      </c>
      <c r="W460" s="92">
        <f t="shared" ref="W460" si="4285">(N304+N356+N408)/3</f>
        <v>458.2430555555556</v>
      </c>
      <c r="X460" s="92">
        <f t="shared" ref="X460" si="4286">(O304+O356+O408)/3</f>
        <v>507.125</v>
      </c>
      <c r="Y460" s="92">
        <f t="shared" ref="Y460" si="4287">(P304+P356+P408)/3</f>
        <v>508.14583333333331</v>
      </c>
      <c r="Z460" s="92">
        <f t="shared" ref="Z460" si="4288">(Q304+Q356+Q408)/3</f>
        <v>450.48611111111109</v>
      </c>
      <c r="AA460" s="92">
        <f t="shared" ref="AA460" si="4289">(R304+R356+R408)/3</f>
        <v>579.59716157205241</v>
      </c>
      <c r="AC460" s="112">
        <f>+AF460-'Figure 8_data'!I672</f>
        <v>0</v>
      </c>
      <c r="AD460" s="92">
        <f t="shared" ref="AD460" si="4290">(B460/T460-1)*100</f>
        <v>2.7270320360074152</v>
      </c>
      <c r="AE460" s="92">
        <f t="shared" ref="AE460" si="4291">(C460/U460-1)*100</f>
        <v>1.6843879859806954</v>
      </c>
      <c r="AF460" s="92">
        <f t="shared" ref="AF460" si="4292">(D460/V460-1)*100</f>
        <v>0.1845504877405757</v>
      </c>
      <c r="AG460" s="92">
        <f t="shared" ref="AG460" si="4293">(E460/W460-1)*100</f>
        <v>-12.710079258035679</v>
      </c>
      <c r="AH460" s="92">
        <f t="shared" ref="AH460" si="4294">(F460/X460-1)*100</f>
        <v>-5.8417549913729383</v>
      </c>
      <c r="AI460" s="92">
        <f t="shared" ref="AI460" si="4295">(G460/Y460-1)*100</f>
        <v>-6.0309130416957064</v>
      </c>
      <c r="AJ460" s="92">
        <f t="shared" ref="AJ460" si="4296">(H460/Z460-1)*100</f>
        <v>-12.316941575458607</v>
      </c>
      <c r="AK460" s="92">
        <f t="shared" ref="AK460" si="4297">(I460/AA460-1)*100</f>
        <v>-6.9473665705425898</v>
      </c>
      <c r="AM460" s="112">
        <f>AP460-'Figure 8_data'!H672</f>
        <v>0</v>
      </c>
      <c r="AN460" s="92">
        <f t="shared" ref="AN460" si="4298">(B460/B408-1)*100</f>
        <v>0.34482758620690834</v>
      </c>
      <c r="AO460" s="92">
        <f t="shared" ref="AO460" si="4299">(C460/C408-1)*100</f>
        <v>-0.52083333333333703</v>
      </c>
      <c r="AP460" s="92">
        <f t="shared" ref="AP460" si="4300">(D460/D408-1)*100</f>
        <v>-1.8087855297157618</v>
      </c>
      <c r="AQ460" s="92">
        <f t="shared" ref="AQ460" si="4301">(E460/E408-1)*100</f>
        <v>-15.789473684210531</v>
      </c>
      <c r="AR460" s="92">
        <f t="shared" ref="AR460" si="4302">(F460/F408-1)*100</f>
        <v>-12.652439024390238</v>
      </c>
      <c r="AS460" s="92">
        <f t="shared" ref="AS460" si="4303">(G460/G408-1)*100</f>
        <v>-12.652439024390238</v>
      </c>
      <c r="AT460" s="92">
        <f t="shared" ref="AT460" si="4304">(H460/H408-1)*100</f>
        <v>-14.748201438848918</v>
      </c>
      <c r="AU460" s="92">
        <f t="shared" ref="AU460" si="4305">(I460/I408-1)*100</f>
        <v>13.189448441247009</v>
      </c>
    </row>
    <row r="461" spans="1:47" x14ac:dyDescent="0.3">
      <c r="A461" s="13">
        <f t="shared" si="475"/>
        <v>40806</v>
      </c>
      <c r="B461" s="92">
        <f>TWK!B406</f>
        <v>516.66666666666663</v>
      </c>
      <c r="C461" s="92">
        <f>TWK!C406</f>
        <v>516.66666666666663</v>
      </c>
      <c r="D461" s="92">
        <f>TWK!D406</f>
        <v>518.33333333333337</v>
      </c>
      <c r="E461" s="92">
        <f>TWK!E406</f>
        <v>406.66666666666669</v>
      </c>
      <c r="F461" s="92">
        <f>TWK!F406</f>
        <v>491.66666666666669</v>
      </c>
      <c r="G461" s="92">
        <f>TWK!G406</f>
        <v>491.66666666666669</v>
      </c>
      <c r="H461" s="92">
        <f>TWK!H406</f>
        <v>395</v>
      </c>
      <c r="I461" s="92">
        <f>TWK!I406</f>
        <v>541.61572052401743</v>
      </c>
      <c r="K461" s="92">
        <f t="shared" ref="K461" si="4306">AVERAGE(B461:B461)</f>
        <v>516.66666666666663</v>
      </c>
      <c r="L461" s="92">
        <f t="shared" ref="L461" si="4307">+C461</f>
        <v>516.66666666666663</v>
      </c>
      <c r="M461" s="92">
        <f t="shared" ref="M461" si="4308">AVERAGE(D458:D461)</f>
        <v>477.91666666666663</v>
      </c>
      <c r="N461" s="92">
        <f t="shared" ref="N461" si="4309">AVERAGE(E458:E461)</f>
        <v>396.66666666666669</v>
      </c>
      <c r="O461" s="92">
        <f t="shared" ref="O461" si="4310">AVERAGE(F458:F461)</f>
        <v>477.29166666666669</v>
      </c>
      <c r="P461" s="92">
        <f t="shared" ref="P461" si="4311">AVERAGE(G458:G461)</f>
        <v>477.29166666666669</v>
      </c>
      <c r="Q461" s="92">
        <f t="shared" ref="Q461" si="4312">AVERAGE(H458:H461)</f>
        <v>386.25</v>
      </c>
      <c r="R461" s="92">
        <f t="shared" ref="R461" si="4313">AVERAGE(I458:I461)</f>
        <v>521.32823871906839</v>
      </c>
      <c r="T461" s="92">
        <f t="shared" ref="T461" si="4314">(K305+K357+K409)/3</f>
        <v>480.58333333333331</v>
      </c>
      <c r="U461" s="92">
        <f t="shared" ref="U461" si="4315">(L305+L357+L409)/3</f>
        <v>481.40277777777777</v>
      </c>
      <c r="V461" s="92">
        <f t="shared" ref="V461" si="4316">(M305+M357+M409)/3</f>
        <v>488.08333333333331</v>
      </c>
      <c r="W461" s="92">
        <f t="shared" ref="W461" si="4317">(N305+N357+N409)/3</f>
        <v>475.59722222222223</v>
      </c>
      <c r="X461" s="92">
        <f t="shared" ref="X461" si="4318">(O305+O357+O409)/3</f>
        <v>529.33333333333337</v>
      </c>
      <c r="Y461" s="92">
        <f t="shared" ref="Y461" si="4319">(P305+P357+P409)/3</f>
        <v>530.60416666666663</v>
      </c>
      <c r="Z461" s="92">
        <f t="shared" ref="Z461" si="4320">(Q305+Q357+Q409)/3</f>
        <v>465.7569444444444</v>
      </c>
      <c r="AA461" s="92">
        <f t="shared" ref="AA461" si="4321">(R305+R357+R409)/3</f>
        <v>611.32623726346435</v>
      </c>
      <c r="AC461" s="112">
        <f>+AF461-'Figure 8_data'!I673</f>
        <v>0</v>
      </c>
      <c r="AD461" s="92">
        <f t="shared" ref="AD461" si="4322">(B461/T461-1)*100</f>
        <v>7.508236518120337</v>
      </c>
      <c r="AE461" s="92">
        <f t="shared" ref="AE461" si="4323">(C461/U461-1)*100</f>
        <v>7.3252358558610453</v>
      </c>
      <c r="AF461" s="92">
        <f t="shared" ref="AF461" si="4324">(D461/V461-1)*100</f>
        <v>6.197712139320477</v>
      </c>
      <c r="AG461" s="92">
        <f t="shared" ref="AG461" si="4325">(E461/W461-1)*100</f>
        <v>-14.493473118593581</v>
      </c>
      <c r="AH461" s="92">
        <f t="shared" ref="AH461" si="4326">(F461/X461-1)*100</f>
        <v>-7.1158690176322477</v>
      </c>
      <c r="AI461" s="92">
        <f t="shared" ref="AI461" si="4327">(G461/Y461-1)*100</f>
        <v>-7.3383328752601118</v>
      </c>
      <c r="AJ461" s="92">
        <f t="shared" ref="AJ461" si="4328">(H461/Z461-1)*100</f>
        <v>-15.191817382099027</v>
      </c>
      <c r="AK461" s="92">
        <f t="shared" ref="AK461" si="4329">(I461/AA461-1)*100</f>
        <v>-11.4031612730215</v>
      </c>
      <c r="AM461" s="112">
        <f>AP461-'Figure 8_data'!H673</f>
        <v>0</v>
      </c>
      <c r="AN461" s="92">
        <f t="shared" ref="AN461" si="4330">(B461/B409-1)*100</f>
        <v>-2.7450980392156987</v>
      </c>
      <c r="AO461" s="92">
        <f t="shared" ref="AO461" si="4331">(C461/C409-1)*100</f>
        <v>-1.1164274322169154</v>
      </c>
      <c r="AP461" s="92">
        <f t="shared" ref="AP461" si="4332">(D461/D409-1)*100</f>
        <v>-4.8929663608562652</v>
      </c>
      <c r="AQ461" s="92">
        <f t="shared" ref="AQ461" si="4333">(E461/E409-1)*100</f>
        <v>-18.666666666666664</v>
      </c>
      <c r="AR461" s="92">
        <f t="shared" ref="AR461" si="4334">(F461/F409-1)*100</f>
        <v>-16.312056737588655</v>
      </c>
      <c r="AS461" s="92">
        <f t="shared" ref="AS461" si="4335">(G461/G409-1)*100</f>
        <v>-16.312056737588655</v>
      </c>
      <c r="AT461" s="92">
        <f t="shared" ref="AT461" si="4336">(H461/H409-1)*100</f>
        <v>-15.281501340482572</v>
      </c>
      <c r="AU461" s="92">
        <f t="shared" ref="AU461" si="4337">(I461/I409-1)*100</f>
        <v>-15.281501340482585</v>
      </c>
    </row>
    <row r="462" spans="1:47" x14ac:dyDescent="0.3">
      <c r="A462" s="13">
        <f t="shared" si="475"/>
        <v>40813</v>
      </c>
      <c r="B462" s="92">
        <f>TWK!B407</f>
        <v>551.66666666666663</v>
      </c>
      <c r="C462" s="92">
        <f>TWK!C407</f>
        <v>563.33333333333337</v>
      </c>
      <c r="D462" s="92">
        <f>TWK!D407</f>
        <v>563.33333333333337</v>
      </c>
      <c r="E462" s="92">
        <f>TWK!E407</f>
        <v>456.66666666666669</v>
      </c>
      <c r="F462" s="92">
        <f>TWK!F407</f>
        <v>566.66666666666663</v>
      </c>
      <c r="G462" s="92">
        <f>TWK!G407</f>
        <v>566.66666666666663</v>
      </c>
      <c r="H462" s="92">
        <f>TWK!H407</f>
        <v>431.66666666666669</v>
      </c>
      <c r="I462" s="92">
        <f>TWK!I407</f>
        <v>591.89228529839886</v>
      </c>
      <c r="K462" s="92">
        <f t="shared" ref="K462" si="4338">AVERAGE(B462:B462)</f>
        <v>551.66666666666663</v>
      </c>
      <c r="L462" s="92">
        <f t="shared" ref="L462" si="4339">+C462</f>
        <v>563.33333333333337</v>
      </c>
      <c r="M462" s="92">
        <f t="shared" ref="M462" si="4340">AVERAGE(D459:D462)</f>
        <v>504.16666666666674</v>
      </c>
      <c r="N462" s="92">
        <f t="shared" ref="N462" si="4341">AVERAGE(E459:E462)</f>
        <v>418.33333333333337</v>
      </c>
      <c r="O462" s="92">
        <f t="shared" ref="O462" si="4342">AVERAGE(F459:F462)</f>
        <v>505.20833333333337</v>
      </c>
      <c r="P462" s="92">
        <f t="shared" ref="P462" si="4343">AVERAGE(G459:G462)</f>
        <v>505.20833333333337</v>
      </c>
      <c r="Q462" s="92">
        <f t="shared" ref="Q462" si="4344">AVERAGE(H459:H462)</f>
        <v>402.5</v>
      </c>
      <c r="R462" s="92">
        <f t="shared" ref="R462" si="4345">AVERAGE(I459:I462)</f>
        <v>551.04257641921402</v>
      </c>
      <c r="T462" s="92">
        <f t="shared" ref="T462" si="4346">(K306+K358+K410)/3</f>
        <v>488.98611111111109</v>
      </c>
      <c r="U462" s="92">
        <f t="shared" ref="U462" si="4347">(L306+L358+L410)/3</f>
        <v>491.65277777777777</v>
      </c>
      <c r="V462" s="92">
        <f t="shared" ref="V462" si="4348">(M306+M358+M410)/3</f>
        <v>502.66666666666669</v>
      </c>
      <c r="W462" s="92">
        <f t="shared" ref="W462" si="4349">(N306+N358+N410)/3</f>
        <v>486.69444444444451</v>
      </c>
      <c r="X462" s="92">
        <f t="shared" ref="X462" si="4350">(O306+O358+O410)/3</f>
        <v>547.2013888888888</v>
      </c>
      <c r="Y462" s="92">
        <f t="shared" ref="Y462" si="4351">(P306+P358+P410)/3</f>
        <v>547.97222222222217</v>
      </c>
      <c r="Z462" s="92">
        <f t="shared" ref="Z462" si="4352">(Q306+Q358+Q410)/3</f>
        <v>474.79861111111109</v>
      </c>
      <c r="AA462" s="92">
        <f t="shared" ref="AA462" si="4353">(R306+R358+R410)/3</f>
        <v>619.47398107714696</v>
      </c>
      <c r="AC462" s="112">
        <f>+AF462-'Figure 8_data'!I674</f>
        <v>0</v>
      </c>
      <c r="AD462" s="92">
        <f t="shared" ref="AD462" si="4354">(B462/T462-1)*100</f>
        <v>12.818473599000191</v>
      </c>
      <c r="AE462" s="92">
        <f t="shared" ref="AE462" si="4355">(C462/U462-1)*100</f>
        <v>14.57950789570328</v>
      </c>
      <c r="AF462" s="92">
        <f t="shared" ref="AF462" si="4356">(D462/V462-1)*100</f>
        <v>12.068965517241391</v>
      </c>
      <c r="AG462" s="92">
        <f t="shared" ref="AG462" si="4357">(E462/W462-1)*100</f>
        <v>-6.1697391701386994</v>
      </c>
      <c r="AH462" s="92">
        <f t="shared" ref="AH462" si="4358">(F462/X462-1)*100</f>
        <v>3.5572420269807337</v>
      </c>
      <c r="AI462" s="92">
        <f t="shared" ref="AI462" si="4359">(G462/Y462-1)*100</f>
        <v>3.4115679018603906</v>
      </c>
      <c r="AJ462" s="92">
        <f t="shared" ref="AJ462" si="4360">(H462/Z462-1)*100</f>
        <v>-9.0842608708370456</v>
      </c>
      <c r="AK462" s="92">
        <f t="shared" ref="AK462" si="4361">(I462/AA462-1)*100</f>
        <v>-4.4524381364313026</v>
      </c>
      <c r="AM462" s="112">
        <f>AP462-'Figure 8_data'!H674</f>
        <v>0</v>
      </c>
      <c r="AN462" s="92">
        <f t="shared" ref="AN462" si="4362">(B462/B410-1)*100</f>
        <v>-0.3762227238525262</v>
      </c>
      <c r="AO462" s="92">
        <f t="shared" ref="AO462" si="4363">(C462/C410-1)*100</f>
        <v>5.0505050505050608</v>
      </c>
      <c r="AP462" s="92">
        <f t="shared" ref="AP462" si="4364">(D462/D410-1)*100</f>
        <v>0.82028337061894607</v>
      </c>
      <c r="AQ462" s="92">
        <f t="shared" ref="AQ462" si="4365">(E462/E410-1)*100</f>
        <v>-8.2077051926298097</v>
      </c>
      <c r="AR462" s="92">
        <f t="shared" ref="AR462" si="4366">(F462/F410-1)*100</f>
        <v>-3.1339031339031376</v>
      </c>
      <c r="AS462" s="92">
        <f t="shared" ref="AS462" si="4367">(G462/G410-1)*100</f>
        <v>-3.1339031339031376</v>
      </c>
      <c r="AT462" s="92">
        <f t="shared" ref="AT462" si="4368">(H462/H410-1)*100</f>
        <v>-6.6666666666666652</v>
      </c>
      <c r="AU462" s="92">
        <f t="shared" ref="AU462" si="4369">(I462/I410-1)*100</f>
        <v>-6.6666666666666536</v>
      </c>
    </row>
    <row r="463" spans="1:47" x14ac:dyDescent="0.3">
      <c r="A463" s="13">
        <f t="shared" si="475"/>
        <v>40820</v>
      </c>
      <c r="B463" s="92">
        <f>TWK!B408</f>
        <v>566.66666666666663</v>
      </c>
      <c r="C463" s="92">
        <f>TWK!C408</f>
        <v>556.66666666666663</v>
      </c>
      <c r="D463" s="92">
        <f>TWK!D408</f>
        <v>561.66666666666663</v>
      </c>
      <c r="E463" s="92">
        <f>TWK!E408</f>
        <v>475</v>
      </c>
      <c r="F463" s="92">
        <f>TWK!F408</f>
        <v>566.66666666666663</v>
      </c>
      <c r="G463" s="92">
        <f>TWK!G408</f>
        <v>566.66666666666663</v>
      </c>
      <c r="H463" s="92">
        <f>TWK!H408</f>
        <v>471.66666666666669</v>
      </c>
      <c r="I463" s="92">
        <f>TWK!I408</f>
        <v>646.73944687045116</v>
      </c>
      <c r="K463" s="92">
        <f t="shared" ref="K463" si="4370">AVERAGE(B463:B463)</f>
        <v>566.66666666666663</v>
      </c>
      <c r="L463" s="92">
        <f t="shared" ref="L463" si="4371">+C463</f>
        <v>556.66666666666663</v>
      </c>
      <c r="M463" s="92">
        <f t="shared" ref="M463" si="4372">AVERAGE(D460:D463)</f>
        <v>529.58333333333337</v>
      </c>
      <c r="N463" s="92">
        <f t="shared" ref="N463" si="4373">AVERAGE(E460:E463)</f>
        <v>434.58333333333337</v>
      </c>
      <c r="O463" s="92">
        <f t="shared" ref="O463" si="4374">AVERAGE(F460:F463)</f>
        <v>525.625</v>
      </c>
      <c r="P463" s="92">
        <f t="shared" ref="P463" si="4375">AVERAGE(G460:G463)</f>
        <v>525.625</v>
      </c>
      <c r="Q463" s="92">
        <f t="shared" ref="Q463" si="4376">AVERAGE(H460:H463)</f>
        <v>423.33333333333337</v>
      </c>
      <c r="R463" s="92">
        <f t="shared" ref="R463" si="4377">AVERAGE(I460:I463)</f>
        <v>579.89446870451229</v>
      </c>
      <c r="T463" s="92">
        <f t="shared" ref="T463" si="4378">(K307+K359+K411)/3</f>
        <v>517.36111111111109</v>
      </c>
      <c r="U463" s="92">
        <f t="shared" ref="U463" si="4379">(L307+L359+L411)/3</f>
        <v>522.55555555555554</v>
      </c>
      <c r="V463" s="92">
        <f t="shared" ref="V463" si="4380">(M307+M359+M411)/3</f>
        <v>537.70833333333337</v>
      </c>
      <c r="W463" s="92">
        <f t="shared" ref="W463" si="4381">(N307+N359+N411)/3</f>
        <v>518.46527777777783</v>
      </c>
      <c r="X463" s="92">
        <f t="shared" ref="X463" si="4382">(O307+O359+O411)/3</f>
        <v>591.55555555555554</v>
      </c>
      <c r="Y463" s="92">
        <f t="shared" ref="Y463" si="4383">(P307+P359+P411)/3</f>
        <v>591.3888888888888</v>
      </c>
      <c r="Z463" s="92">
        <f t="shared" ref="Z463" si="4384">(Q307+Q359+Q411)/3</f>
        <v>526.15972222222217</v>
      </c>
      <c r="AA463" s="92">
        <f t="shared" ref="AA463" si="4385">(R307+R359+R411)/3</f>
        <v>682.22937894226106</v>
      </c>
      <c r="AC463" s="112">
        <f>+AF463-'Figure 8_data'!I675</f>
        <v>0</v>
      </c>
      <c r="AD463" s="92">
        <f t="shared" ref="AD463" si="4386">(B463/T463-1)*100</f>
        <v>9.5302013422818845</v>
      </c>
      <c r="AE463" s="92">
        <f t="shared" ref="AE463" si="4387">(C463/U463-1)*100</f>
        <v>6.5277482458005576</v>
      </c>
      <c r="AF463" s="92">
        <f t="shared" ref="AF463" si="4388">(D463/V463-1)*100</f>
        <v>4.4556373498643831</v>
      </c>
      <c r="AG463" s="92">
        <f t="shared" ref="AG463" si="4389">(E463/W463-1)*100</f>
        <v>-8.3834500863928074</v>
      </c>
      <c r="AH463" s="92">
        <f t="shared" ref="AH463" si="4390">(F463/X463-1)*100</f>
        <v>-4.2073628850488376</v>
      </c>
      <c r="AI463" s="92">
        <f t="shared" ref="AI463" si="4391">(G463/Y463-1)*100</f>
        <v>-4.1803663691874053</v>
      </c>
      <c r="AJ463" s="92">
        <f t="shared" ref="AJ463" si="4392">(H463/Z463-1)*100</f>
        <v>-10.356751620098448</v>
      </c>
      <c r="AK463" s="92">
        <f t="shared" ref="AK463" si="4393">(I463/AA463-1)*100</f>
        <v>-5.2020527358165092</v>
      </c>
      <c r="AM463" s="112">
        <f>AP463-'Figure 8_data'!H675</f>
        <v>0</v>
      </c>
      <c r="AN463" s="92">
        <f t="shared" ref="AN463" si="4394">(B463/B411-1)*100</f>
        <v>-13.650793650793657</v>
      </c>
      <c r="AO463" s="92">
        <f t="shared" ref="AO463" si="4395">(C463/C411-1)*100</f>
        <v>-11.111111111111116</v>
      </c>
      <c r="AP463" s="92">
        <f t="shared" ref="AP463" si="4396">(D463/D411-1)*100</f>
        <v>-12.750809061488678</v>
      </c>
      <c r="AQ463" s="92">
        <f t="shared" ref="AQ463" si="4397">(E463/E411-1)*100</f>
        <v>-11.832946635730856</v>
      </c>
      <c r="AR463" s="92">
        <f t="shared" ref="AR463" si="4398">(F463/F411-1)*100</f>
        <v>-12.82051282051283</v>
      </c>
      <c r="AS463" s="92">
        <f t="shared" ref="AS463" si="4399">(G463/G411-1)*100</f>
        <v>-12.82051282051283</v>
      </c>
      <c r="AT463" s="92">
        <f t="shared" ref="AT463" si="4400">(H463/H411-1)*100</f>
        <v>-8.1914030819140287</v>
      </c>
      <c r="AU463" s="92">
        <f t="shared" ref="AU463" si="4401">(I463/I411-1)*100</f>
        <v>-8.1914030819140393</v>
      </c>
    </row>
    <row r="464" spans="1:47" x14ac:dyDescent="0.3">
      <c r="A464" s="13">
        <f t="shared" si="475"/>
        <v>40827</v>
      </c>
      <c r="B464" s="92">
        <f>TWK!B409</f>
        <v>541.25</v>
      </c>
      <c r="C464" s="92">
        <f>TWK!C409</f>
        <v>525</v>
      </c>
      <c r="D464" s="92">
        <f>TWK!D409</f>
        <v>525</v>
      </c>
      <c r="E464" s="92">
        <f>TWK!E409</f>
        <v>458.75</v>
      </c>
      <c r="F464" s="92">
        <f>TWK!F409</f>
        <v>525</v>
      </c>
      <c r="G464" s="92">
        <f>TWK!G409</f>
        <v>525</v>
      </c>
      <c r="H464" s="92">
        <f>TWK!H409</f>
        <v>450</v>
      </c>
      <c r="I464" s="92">
        <f>TWK!I409</f>
        <v>617.03056768558952</v>
      </c>
      <c r="K464" s="92">
        <f t="shared" ref="K464" si="4402">AVERAGE(B464:B464)</f>
        <v>541.25</v>
      </c>
      <c r="L464" s="92">
        <f t="shared" ref="L464" si="4403">+C464</f>
        <v>525</v>
      </c>
      <c r="M464" s="92">
        <f t="shared" ref="M464" si="4404">AVERAGE(D461:D464)</f>
        <v>542.08333333333337</v>
      </c>
      <c r="N464" s="92">
        <f t="shared" ref="N464" si="4405">AVERAGE(E461:E464)</f>
        <v>449.27083333333337</v>
      </c>
      <c r="O464" s="92">
        <f t="shared" ref="O464" si="4406">AVERAGE(F461:F464)</f>
        <v>537.5</v>
      </c>
      <c r="P464" s="92">
        <f t="shared" ref="P464" si="4407">AVERAGE(G461:G464)</f>
        <v>537.5</v>
      </c>
      <c r="Q464" s="92">
        <f t="shared" ref="Q464" si="4408">AVERAGE(H461:H464)</f>
        <v>437.08333333333337</v>
      </c>
      <c r="R464" s="92">
        <f t="shared" ref="R464" si="4409">AVERAGE(I461:I464)</f>
        <v>599.31950509461421</v>
      </c>
      <c r="T464" s="92">
        <f t="shared" ref="T464" si="4410">(K308+K360+K412)/3</f>
        <v>547.19444444444446</v>
      </c>
      <c r="U464" s="92">
        <f t="shared" ref="U464" si="4411">(L308+L360+L412)/3</f>
        <v>550.69444444444446</v>
      </c>
      <c r="V464" s="92">
        <f t="shared" ref="V464" si="4412">(M308+M360+M412)/3</f>
        <v>558.54166666666663</v>
      </c>
      <c r="W464" s="92">
        <f t="shared" ref="W464" si="4413">(N308+N360+N412)/3</f>
        <v>539.20138888888891</v>
      </c>
      <c r="X464" s="92">
        <f t="shared" ref="X464" si="4414">(O308+O360+O412)/3</f>
        <v>631.61805555555554</v>
      </c>
      <c r="Y464" s="92">
        <f t="shared" ref="Y464" si="4415">(P308+P360+P412)/3</f>
        <v>632.53472222222229</v>
      </c>
      <c r="Z464" s="92">
        <f t="shared" ref="Z464" si="4416">(Q308+Q360+Q412)/3</f>
        <v>558.52777777777771</v>
      </c>
      <c r="AA464" s="92">
        <f t="shared" ref="AA464" si="4417">(R308+R360+R412)/3</f>
        <v>735.2357472100922</v>
      </c>
      <c r="AC464" s="112">
        <f>+AF464-'Figure 8_data'!I676</f>
        <v>0</v>
      </c>
      <c r="AD464" s="92">
        <f t="shared" ref="AD464" si="4418">(B464/T464-1)*100</f>
        <v>-1.0863495608914198</v>
      </c>
      <c r="AE464" s="92">
        <f t="shared" ref="AE464" si="4419">(C464/U464-1)*100</f>
        <v>-4.6658259773013855</v>
      </c>
      <c r="AF464" s="92">
        <f t="shared" ref="AF464" si="4420">(D464/V464-1)*100</f>
        <v>-6.0052219321148792</v>
      </c>
      <c r="AG464" s="92">
        <f t="shared" ref="AG464" si="4421">(E464/W464-1)*100</f>
        <v>-14.92047137613498</v>
      </c>
      <c r="AH464" s="92">
        <f t="shared" ref="AH464" si="4422">(F464/X464-1)*100</f>
        <v>-16.880146889052583</v>
      </c>
      <c r="AI464" s="92">
        <f t="shared" ref="AI464" si="4423">(G464/Y464-1)*100</f>
        <v>-17.000603831585892</v>
      </c>
      <c r="AJ464" s="92">
        <f t="shared" ref="AJ464" si="4424">(H464/Z464-1)*100</f>
        <v>-19.431043915054445</v>
      </c>
      <c r="AK464" s="92">
        <f t="shared" ref="AK464" si="4425">(I464/AA464-1)*100</f>
        <v>-16.077180682936209</v>
      </c>
      <c r="AM464" s="112">
        <f>AP464-'Figure 8_data'!H676</f>
        <v>0</v>
      </c>
      <c r="AN464" s="92">
        <f t="shared" ref="AN464" si="4426">(B464/B412-1)*100</f>
        <v>-24.695652173913039</v>
      </c>
      <c r="AO464" s="92">
        <f t="shared" ref="AO464" si="4427">(C464/C412-1)*100</f>
        <v>-25</v>
      </c>
      <c r="AP464" s="92">
        <f t="shared" ref="AP464" si="4428">(D464/D412-1)*100</f>
        <v>-11.578947368421055</v>
      </c>
      <c r="AQ464" s="92">
        <f t="shared" ref="AQ464" si="4429">(E464/E412-1)*100</f>
        <v>-14.651162790697668</v>
      </c>
      <c r="AR464" s="92">
        <f t="shared" ref="AR464" si="4430">(F464/F412-1)*100</f>
        <v>-25</v>
      </c>
      <c r="AS464" s="92">
        <f t="shared" ref="AS464" si="4431">(G464/G412-1)*100</f>
        <v>-25</v>
      </c>
      <c r="AT464" s="92">
        <f t="shared" ref="AT464" si="4432">(H464/H412-1)*100</f>
        <v>-9.9999999999999982</v>
      </c>
      <c r="AU464" s="92">
        <f t="shared" ref="AU464" si="4433">(I464/I412-1)*100</f>
        <v>-9.9999999999999982</v>
      </c>
    </row>
    <row r="465" spans="1:47" x14ac:dyDescent="0.3">
      <c r="A465" s="13">
        <f t="shared" si="475"/>
        <v>40834</v>
      </c>
      <c r="B465" s="92">
        <f>TWK!B410</f>
        <v>482</v>
      </c>
      <c r="C465" s="92">
        <f>TWK!C410</f>
        <v>486</v>
      </c>
      <c r="D465" s="92">
        <f>TWK!D410</f>
        <v>496</v>
      </c>
      <c r="E465" s="92">
        <f>TWK!E410</f>
        <v>428</v>
      </c>
      <c r="F465" s="92">
        <f>TWK!F410</f>
        <v>506</v>
      </c>
      <c r="G465" s="92">
        <f>TWK!G410</f>
        <v>506</v>
      </c>
      <c r="H465" s="92">
        <f>TWK!H410</f>
        <v>388</v>
      </c>
      <c r="I465" s="92">
        <f>TWK!I410</f>
        <v>526</v>
      </c>
      <c r="K465" s="92">
        <f t="shared" ref="K465" si="4434">AVERAGE(B465:B465)</f>
        <v>482</v>
      </c>
      <c r="L465" s="92">
        <f t="shared" ref="L465" si="4435">+C465</f>
        <v>486</v>
      </c>
      <c r="M465" s="92">
        <f t="shared" ref="M465" si="4436">AVERAGE(D462:D465)</f>
        <v>536.5</v>
      </c>
      <c r="N465" s="92">
        <f t="shared" ref="N465" si="4437">AVERAGE(E462:E465)</f>
        <v>454.60416666666669</v>
      </c>
      <c r="O465" s="92">
        <f t="shared" ref="O465" si="4438">AVERAGE(F462:F465)</f>
        <v>541.08333333333326</v>
      </c>
      <c r="P465" s="92">
        <f t="shared" ref="P465" si="4439">AVERAGE(G462:G465)</f>
        <v>541.08333333333326</v>
      </c>
      <c r="Q465" s="92">
        <f t="shared" ref="Q465" si="4440">AVERAGE(H462:H465)</f>
        <v>435.33333333333337</v>
      </c>
      <c r="R465" s="92">
        <f t="shared" ref="R465" si="4441">AVERAGE(I462:I465)</f>
        <v>595.41557496360986</v>
      </c>
      <c r="T465" s="92">
        <f t="shared" ref="T465" si="4442">(K309+K361+K413)/3</f>
        <v>568.02777777777771</v>
      </c>
      <c r="U465" s="92">
        <f t="shared" ref="U465" si="4443">(L309+L361+L413)/3</f>
        <v>564.44444444444446</v>
      </c>
      <c r="V465" s="92">
        <f t="shared" ref="V465" si="4444">(M309+M361+M413)/3</f>
        <v>562.29166666666663</v>
      </c>
      <c r="W465" s="92">
        <f t="shared" ref="W465" si="4445">(N309+N361+N413)/3</f>
        <v>537.51388888888891</v>
      </c>
      <c r="X465" s="92">
        <f t="shared" ref="X465" si="4446">(O309+O361+O413)/3</f>
        <v>640.63888888888891</v>
      </c>
      <c r="Y465" s="92">
        <f t="shared" ref="Y465" si="4447">(P309+P361+P413)/3</f>
        <v>641.18055555555554</v>
      </c>
      <c r="Z465" s="92">
        <f t="shared" ref="Z465" si="4448">(Q309+Q361+Q413)/3</f>
        <v>564.59027777777771</v>
      </c>
      <c r="AA465" s="92">
        <f t="shared" ref="AA465" si="4449">(R309+R361+R413)/3</f>
        <v>744.23483745754493</v>
      </c>
      <c r="AC465" s="112">
        <f>+AF465-'Figure 8_data'!I677</f>
        <v>0</v>
      </c>
      <c r="AD465" s="92">
        <f t="shared" ref="AD465" si="4450">(B465/T465-1)*100</f>
        <v>-15.144994865274574</v>
      </c>
      <c r="AE465" s="92">
        <f t="shared" ref="AE465" si="4451">(C465/U465-1)*100</f>
        <v>-13.897637795275596</v>
      </c>
      <c r="AF465" s="92">
        <f t="shared" ref="AF465" si="4452">(D465/V465-1)*100</f>
        <v>-11.789551685809553</v>
      </c>
      <c r="AG465" s="92">
        <f t="shared" ref="AG465" si="4453">(E465/W465-1)*100</f>
        <v>-20.374150538745774</v>
      </c>
      <c r="AH465" s="92">
        <f t="shared" ref="AH465" si="4454">(F465/X465-1)*100</f>
        <v>-21.016346529072539</v>
      </c>
      <c r="AI465" s="92">
        <f t="shared" ref="AI465" si="4455">(G465/Y465-1)*100</f>
        <v>-21.083071591032166</v>
      </c>
      <c r="AJ465" s="92">
        <f t="shared" ref="AJ465" si="4456">(H465/Z465-1)*100</f>
        <v>-31.277598061524447</v>
      </c>
      <c r="AK465" s="92">
        <f t="shared" ref="AK465" si="4457">(I465/AA465-1)*100</f>
        <v>-29.323383759228307</v>
      </c>
      <c r="AM465" s="112">
        <f>AP465-'Figure 8_data'!H677</f>
        <v>0</v>
      </c>
      <c r="AN465" s="92">
        <f t="shared" ref="AN465" si="4458">(B465/B413-1)*100</f>
        <v>-34.085470085470085</v>
      </c>
      <c r="AO465" s="92">
        <f t="shared" ref="AO465" si="4459">(C465/C413-1)*100</f>
        <v>-25.230769230769234</v>
      </c>
      <c r="AP465" s="92">
        <f t="shared" ref="AP465" si="4460">(D465/D413-1)*100</f>
        <v>-10.2262443438914</v>
      </c>
      <c r="AQ465" s="92">
        <f t="shared" ref="AQ465" si="4461">(E465/E413-1)*100</f>
        <v>-17.493975903614455</v>
      </c>
      <c r="AR465" s="92">
        <f t="shared" ref="AR465" si="4462">(F465/F413-1)*100</f>
        <v>-15.136268343815518</v>
      </c>
      <c r="AS465" s="92">
        <f t="shared" ref="AS465" si="4463">(G465/G413-1)*100</f>
        <v>-15.100671140939593</v>
      </c>
      <c r="AT465" s="92">
        <f t="shared" ref="AT465" si="4464">(H465/H413-1)*100</f>
        <v>-21.01781170483461</v>
      </c>
      <c r="AU465" s="92">
        <f t="shared" ref="AU465" si="4465">(I465/I413-1)*100</f>
        <v>-21.911152169332748</v>
      </c>
    </row>
    <row r="466" spans="1:47" x14ac:dyDescent="0.3">
      <c r="A466" s="13">
        <f t="shared" si="475"/>
        <v>40841</v>
      </c>
      <c r="B466" s="92">
        <f>TWK!B411</f>
        <v>513.33333333333337</v>
      </c>
      <c r="C466" s="92">
        <f>TWK!C411</f>
        <v>498.33333333333331</v>
      </c>
      <c r="D466" s="92">
        <f>TWK!D411</f>
        <v>492.5</v>
      </c>
      <c r="E466" s="92">
        <f>TWK!E411</f>
        <v>387.5</v>
      </c>
      <c r="F466" s="92">
        <f>TWK!F411</f>
        <v>475</v>
      </c>
      <c r="G466" s="92">
        <f>TWK!G411</f>
        <v>475</v>
      </c>
      <c r="H466" s="92">
        <f>TWK!H411</f>
        <v>350</v>
      </c>
      <c r="I466" s="92">
        <f>TWK!I411</f>
        <v>479.91266375545848</v>
      </c>
      <c r="K466" s="92">
        <f t="shared" ref="K466" si="4466">AVERAGE(B466:B466)</f>
        <v>513.33333333333337</v>
      </c>
      <c r="L466" s="92">
        <f t="shared" ref="L466" si="4467">+C466</f>
        <v>498.33333333333331</v>
      </c>
      <c r="M466" s="92">
        <f t="shared" ref="M466" si="4468">AVERAGE(D463:D466)</f>
        <v>518.79166666666663</v>
      </c>
      <c r="N466" s="92">
        <f t="shared" ref="N466" si="4469">AVERAGE(E463:E466)</f>
        <v>437.3125</v>
      </c>
      <c r="O466" s="92">
        <f t="shared" ref="O466" si="4470">AVERAGE(F463:F466)</f>
        <v>518.16666666666663</v>
      </c>
      <c r="P466" s="92">
        <f t="shared" ref="P466" si="4471">AVERAGE(G463:G466)</f>
        <v>518.16666666666663</v>
      </c>
      <c r="Q466" s="92">
        <f t="shared" ref="Q466" si="4472">AVERAGE(H463:H466)</f>
        <v>414.91666666666669</v>
      </c>
      <c r="R466" s="92">
        <f t="shared" ref="R466" si="4473">AVERAGE(I463:I466)</f>
        <v>567.42066957787483</v>
      </c>
      <c r="T466" s="92">
        <f t="shared" ref="T466" si="4474">(K310+K362+K414)/3</f>
        <v>574.83333333333337</v>
      </c>
      <c r="U466" s="92">
        <f t="shared" ref="U466" si="4475">(L310+L362+L414)/3</f>
        <v>564.3611111111112</v>
      </c>
      <c r="V466" s="92">
        <f t="shared" ref="V466" si="4476">(M310+M362+M414)/3</f>
        <v>562.9375</v>
      </c>
      <c r="W466" s="92">
        <f t="shared" ref="W466" si="4477">(N310+N362+N414)/3</f>
        <v>540.47916666666663</v>
      </c>
      <c r="X466" s="92">
        <f t="shared" ref="X466" si="4478">(O310+O362+O414)/3</f>
        <v>632.97916666666663</v>
      </c>
      <c r="Y466" s="92">
        <f t="shared" ref="Y466" si="4479">(P310+P362+P414)/3</f>
        <v>633.52083333333337</v>
      </c>
      <c r="Z466" s="92">
        <f t="shared" ref="Z466" si="4480">(Q310+Q362+Q414)/3</f>
        <v>557.52777777777771</v>
      </c>
      <c r="AA466" s="92">
        <f t="shared" ref="AA466" si="4481">(R310+R362+R414)/3</f>
        <v>734.64113294517244</v>
      </c>
      <c r="AC466" s="112">
        <f>+AF466-'Figure 8_data'!I678</f>
        <v>0</v>
      </c>
      <c r="AD466" s="92">
        <f t="shared" ref="AD466" si="4482">(B466/T466-1)*100</f>
        <v>-10.698753261815019</v>
      </c>
      <c r="AE466" s="92">
        <f t="shared" ref="AE466" si="4483">(C466/U466-1)*100</f>
        <v>-11.699561943200287</v>
      </c>
      <c r="AF466" s="92">
        <f t="shared" ref="AF466" si="4484">(D466/V466-1)*100</f>
        <v>-12.512490285333634</v>
      </c>
      <c r="AG466" s="92">
        <f t="shared" ref="AG466" si="4485">(E466/W466-1)*100</f>
        <v>-28.30435955749142</v>
      </c>
      <c r="AH466" s="92">
        <f t="shared" ref="AH466" si="4486">(F466/X466-1)*100</f>
        <v>-24.958035743672447</v>
      </c>
      <c r="AI466" s="92">
        <f t="shared" ref="AI466" si="4487">(G466/Y466-1)*100</f>
        <v>-25.022197375776912</v>
      </c>
      <c r="AJ466" s="92">
        <f t="shared" ref="AJ466" si="4488">(H466/Z466-1)*100</f>
        <v>-37.222858851078669</v>
      </c>
      <c r="AK466" s="92">
        <f t="shared" ref="AK466" si="4489">(I466/AA466-1)*100</f>
        <v>-34.673864253762765</v>
      </c>
      <c r="AM466" s="112">
        <f>AP466-'Figure 8_data'!H678</f>
        <v>0</v>
      </c>
      <c r="AN466" s="92">
        <f t="shared" ref="AN466" si="4490">(B466/B414-1)*100</f>
        <v>-18.840579710144922</v>
      </c>
      <c r="AO466" s="92">
        <f t="shared" ref="AO466" si="4491">(C466/C414-1)*100</f>
        <v>-7.9291762894534319</v>
      </c>
      <c r="AP466" s="92">
        <f t="shared" ref="AP466" si="4492">(D466/D414-1)*100</f>
        <v>0.25445292620864812</v>
      </c>
      <c r="AQ466" s="92">
        <f t="shared" ref="AQ466" si="4493">(E466/E414-1)*100</f>
        <v>-18.421052631578949</v>
      </c>
      <c r="AR466" s="92">
        <f t="shared" ref="AR466" si="4494">(F466/F414-1)*100</f>
        <v>0</v>
      </c>
      <c r="AS466" s="92">
        <f t="shared" ref="AS466" si="4495">(G466/G414-1)*100</f>
        <v>0</v>
      </c>
      <c r="AT466" s="92">
        <f t="shared" ref="AT466" si="4496">(H466/H414-1)*100</f>
        <v>-16.417910447761198</v>
      </c>
      <c r="AU466" s="92">
        <f t="shared" ref="AU466" si="4497">(I466/I414-1)*100</f>
        <v>-16.417910447761198</v>
      </c>
    </row>
    <row r="467" spans="1:47" x14ac:dyDescent="0.3">
      <c r="A467" s="13">
        <f t="shared" si="475"/>
        <v>40848</v>
      </c>
      <c r="B467" s="92">
        <f>TWK!B412</f>
        <v>533</v>
      </c>
      <c r="C467" s="92">
        <f>TWK!C412</f>
        <v>550</v>
      </c>
      <c r="D467" s="92">
        <f>TWK!D412</f>
        <v>485</v>
      </c>
      <c r="E467" s="92">
        <f>TWK!E412</f>
        <v>410</v>
      </c>
      <c r="F467" s="92">
        <f>TWK!F412</f>
        <v>453</v>
      </c>
      <c r="G467" s="92">
        <f>TWK!G412</f>
        <v>453</v>
      </c>
      <c r="H467" s="92">
        <f>TWK!H412</f>
        <v>338</v>
      </c>
      <c r="I467" s="92">
        <f>TWK!I412</f>
        <v>464</v>
      </c>
      <c r="K467" s="92">
        <f t="shared" ref="K467" si="4498">AVERAGE(B467:B467)</f>
        <v>533</v>
      </c>
      <c r="L467" s="92">
        <f t="shared" ref="L467" si="4499">+C467</f>
        <v>550</v>
      </c>
      <c r="M467" s="92">
        <f t="shared" ref="M467" si="4500">AVERAGE(D464:D467)</f>
        <v>499.625</v>
      </c>
      <c r="N467" s="92">
        <f t="shared" ref="N467" si="4501">AVERAGE(E464:E467)</f>
        <v>421.0625</v>
      </c>
      <c r="O467" s="92">
        <f t="shared" ref="O467" si="4502">AVERAGE(F464:F467)</f>
        <v>489.75</v>
      </c>
      <c r="P467" s="92">
        <f t="shared" ref="P467" si="4503">AVERAGE(G464:G467)</f>
        <v>489.75</v>
      </c>
      <c r="Q467" s="92">
        <f t="shared" ref="Q467" si="4504">AVERAGE(H464:H467)</f>
        <v>381.5</v>
      </c>
      <c r="R467" s="92">
        <f t="shared" ref="R467" si="4505">AVERAGE(I464:I467)</f>
        <v>521.73580786026196</v>
      </c>
      <c r="T467" s="92">
        <f t="shared" ref="T467" si="4506">(K311+K363+K415)/3</f>
        <v>574.6875</v>
      </c>
      <c r="U467" s="92">
        <f t="shared" ref="U467" si="4507">(L311+L363+L415)/3</f>
        <v>569.45833333333337</v>
      </c>
      <c r="V467" s="92">
        <f t="shared" ref="V467" si="4508">(M311+M363+M415)/3</f>
        <v>568.8125</v>
      </c>
      <c r="W467" s="92">
        <f t="shared" ref="W467" si="4509">(N311+N363+N415)/3</f>
        <v>550.27083333333337</v>
      </c>
      <c r="X467" s="92">
        <f t="shared" ref="X467" si="4510">(O311+O363+O415)/3</f>
        <v>603.70833333333337</v>
      </c>
      <c r="Y467" s="92">
        <f t="shared" ref="Y467" si="4511">(P311+P363+P415)/3</f>
        <v>604.25</v>
      </c>
      <c r="Z467" s="92">
        <f t="shared" ref="Z467" si="4512">(Q311+Q363+Q415)/3</f>
        <v>531.14583333333337</v>
      </c>
      <c r="AA467" s="92">
        <f t="shared" ref="AA467" si="4513">(R311+R363+R415)/3</f>
        <v>690.38773653566238</v>
      </c>
      <c r="AC467" s="112">
        <f>+AF467-'Figure 8_data'!I679</f>
        <v>0</v>
      </c>
      <c r="AD467" s="92">
        <f t="shared" ref="AD467" si="4514">(B467/T467-1)*100</f>
        <v>-7.2539423599782493</v>
      </c>
      <c r="AE467" s="92">
        <f t="shared" ref="AE467" si="4515">(C467/U467-1)*100</f>
        <v>-3.4169898295163592</v>
      </c>
      <c r="AF467" s="92">
        <f t="shared" ref="AF467" si="4516">(D467/V467-1)*100</f>
        <v>-14.734644544555541</v>
      </c>
      <c r="AG467" s="92">
        <f t="shared" ref="AG467" si="4517">(E467/W467-1)*100</f>
        <v>-25.491235376519139</v>
      </c>
      <c r="AH467" s="92">
        <f t="shared" ref="AH467" si="4518">(F467/X467-1)*100</f>
        <v>-24.963765615294363</v>
      </c>
      <c r="AI467" s="92">
        <f t="shared" ref="AI467" si="4519">(G467/Y467-1)*100</f>
        <v>-25.031030202730655</v>
      </c>
      <c r="AJ467" s="92">
        <f t="shared" ref="AJ467" si="4520">(H467/Z467-1)*100</f>
        <v>-36.363992939792119</v>
      </c>
      <c r="AK467" s="92">
        <f t="shared" ref="AK467" si="4521">(I467/AA467-1)*100</f>
        <v>-32.791390193526162</v>
      </c>
      <c r="AM467" s="112">
        <f>AP467-'Figure 8_data'!H679</f>
        <v>0</v>
      </c>
      <c r="AN467" s="92">
        <f t="shared" ref="AN467" si="4522">(B467/B415-1)*100</f>
        <v>-13.858585858585858</v>
      </c>
      <c r="AO467" s="92">
        <f t="shared" ref="AO467" si="4523">(C467/C415-1)*100</f>
        <v>0.68649885583524917</v>
      </c>
      <c r="AP467" s="92">
        <f t="shared" ref="AP467" si="4524">(D467/D415-1)*100</f>
        <v>9.2957746478873347</v>
      </c>
      <c r="AQ467" s="92">
        <f t="shared" ref="AQ467" si="4525">(E467/E415-1)*100</f>
        <v>7.1895424836601274</v>
      </c>
      <c r="AR467" s="92">
        <f t="shared" ref="AR467" si="4526">(F467/F415-1)*100</f>
        <v>13.962264150943394</v>
      </c>
      <c r="AS467" s="92">
        <f t="shared" ref="AS467" si="4527">(G467/G415-1)*100</f>
        <v>13.962264150943394</v>
      </c>
      <c r="AT467" s="92">
        <f t="shared" ref="AT467" si="4528">(H467/H415-1)*100</f>
        <v>4.0000000000000036</v>
      </c>
      <c r="AU467" s="92">
        <f t="shared" ref="AU467" si="4529">(I467/I415-1)*100</f>
        <v>4.1215090641842256</v>
      </c>
    </row>
    <row r="468" spans="1:47" x14ac:dyDescent="0.3">
      <c r="A468" s="13">
        <f t="shared" si="475"/>
        <v>40855</v>
      </c>
      <c r="B468" s="92">
        <f>TWK!B413</f>
        <v>503.33333333333331</v>
      </c>
      <c r="C468" s="92">
        <f>TWK!C413</f>
        <v>463.33333333333331</v>
      </c>
      <c r="D468" s="92">
        <f>TWK!D413</f>
        <v>443.33333333333331</v>
      </c>
      <c r="E468" s="92">
        <f>TWK!E413</f>
        <v>356.66666666666669</v>
      </c>
      <c r="F468" s="92">
        <f>TWK!F413</f>
        <v>445</v>
      </c>
      <c r="G468" s="92">
        <f>TWK!G413</f>
        <v>445</v>
      </c>
      <c r="H468" s="92">
        <f>TWK!H413</f>
        <v>300</v>
      </c>
      <c r="I468" s="92">
        <f>TWK!I413</f>
        <v>411.35371179039299</v>
      </c>
      <c r="K468" s="92">
        <f t="shared" ref="K468" si="4530">AVERAGE(B468:B468)</f>
        <v>503.33333333333331</v>
      </c>
      <c r="L468" s="92">
        <f t="shared" ref="L468" si="4531">+C468</f>
        <v>463.33333333333331</v>
      </c>
      <c r="M468" s="92">
        <f t="shared" ref="M468" si="4532">AVERAGE(D465:D468)</f>
        <v>479.20833333333331</v>
      </c>
      <c r="N468" s="92">
        <f t="shared" ref="N468" si="4533">AVERAGE(E465:E468)</f>
        <v>395.54166666666669</v>
      </c>
      <c r="O468" s="92">
        <f t="shared" ref="O468" si="4534">AVERAGE(F465:F468)</f>
        <v>469.75</v>
      </c>
      <c r="P468" s="92">
        <f t="shared" ref="P468" si="4535">AVERAGE(G465:G468)</f>
        <v>469.75</v>
      </c>
      <c r="Q468" s="92">
        <f t="shared" ref="Q468" si="4536">AVERAGE(H465:H468)</f>
        <v>344</v>
      </c>
      <c r="R468" s="92">
        <f t="shared" ref="R468" si="4537">AVERAGE(I465:I468)</f>
        <v>470.31659388646284</v>
      </c>
      <c r="T468" s="92">
        <f t="shared" ref="T468" si="4538">(K312+K364+K416)/3</f>
        <v>577.21527777777783</v>
      </c>
      <c r="U468" s="92">
        <f t="shared" ref="U468" si="4539">(L312+L364+L416)/3</f>
        <v>564.31944444444446</v>
      </c>
      <c r="V468" s="92">
        <f t="shared" ref="V468" si="4540">(M312+M364+M416)/3</f>
        <v>566.94444444444446</v>
      </c>
      <c r="W468" s="92">
        <f t="shared" ref="W468" si="4541">(N312+N364+N416)/3</f>
        <v>547.42361111111109</v>
      </c>
      <c r="X468" s="92">
        <f t="shared" ref="X468" si="4542">(O312+O364+O416)/3</f>
        <v>567.97916666666663</v>
      </c>
      <c r="Y468" s="92">
        <f t="shared" ref="Y468" si="4543">(P312+P364+P416)/3</f>
        <v>567.85416666666663</v>
      </c>
      <c r="Z468" s="92">
        <f t="shared" ref="Z468" si="4544">(Q312+Q364+Q416)/3</f>
        <v>507.41666666666669</v>
      </c>
      <c r="AA468" s="92">
        <f t="shared" ref="AA468" si="4545">(R312+R364+R416)/3</f>
        <v>669.66011644832611</v>
      </c>
      <c r="AC468" s="112">
        <f>+AF468-'Figure 8_data'!I680</f>
        <v>0</v>
      </c>
      <c r="AD468" s="92">
        <f t="shared" ref="AD468" si="4546">(B468/T468-1)*100</f>
        <v>-12.79972088210879</v>
      </c>
      <c r="AE468" s="92">
        <f t="shared" ref="AE468" si="4547">(C468/U468-1)*100</f>
        <v>-17.895203169993358</v>
      </c>
      <c r="AF468" s="92">
        <f t="shared" ref="AF468" si="4548">(D468/V468-1)*100</f>
        <v>-21.803037726604614</v>
      </c>
      <c r="AG468" s="92">
        <f t="shared" ref="AG468" si="4549">(E468/W468-1)*100</f>
        <v>-34.846312905149112</v>
      </c>
      <c r="AH468" s="92">
        <f t="shared" ref="AH468" si="4550">(F468/X468-1)*100</f>
        <v>-21.65205589993764</v>
      </c>
      <c r="AI468" s="92">
        <f t="shared" ref="AI468" si="4551">(G468/Y468-1)*100</f>
        <v>-21.634809406757892</v>
      </c>
      <c r="AJ468" s="92">
        <f t="shared" ref="AJ468" si="4552">(H468/Z468-1)*100</f>
        <v>-40.876991295779277</v>
      </c>
      <c r="AK468" s="92">
        <f t="shared" ref="AK468" si="4553">(I468/AA468-1)*100</f>
        <v>-38.572762258548686</v>
      </c>
      <c r="AM468" s="112">
        <f>AP468-'Figure 8_data'!H680</f>
        <v>0</v>
      </c>
      <c r="AN468" s="92">
        <f t="shared" ref="AN468" si="4554">(B468/B416-1)*100</f>
        <v>-18.598382749326159</v>
      </c>
      <c r="AO468" s="92">
        <f t="shared" ref="AO468" si="4555">(C468/C416-1)*100</f>
        <v>-11.46496815286625</v>
      </c>
      <c r="AP468" s="92">
        <f t="shared" ref="AP468" si="4556">(D468/D416-1)*100</f>
        <v>-3.2727272727272716</v>
      </c>
      <c r="AQ468" s="92">
        <f t="shared" ref="AQ468" si="4557">(E468/E416-1)*100</f>
        <v>-12.653061224489793</v>
      </c>
      <c r="AR468" s="92">
        <f t="shared" ref="AR468" si="4558">(F468/F416-1)*100</f>
        <v>9.8765432098765427</v>
      </c>
      <c r="AS468" s="92">
        <f t="shared" ref="AS468" si="4559">(G468/G416-1)*100</f>
        <v>9.8765432098765427</v>
      </c>
      <c r="AT468" s="92">
        <f t="shared" ref="AT468" si="4560">(H468/H416-1)*100</f>
        <v>-10.447761194029848</v>
      </c>
      <c r="AU468" s="92">
        <f t="shared" ref="AU468" si="4561">(I468/I416-1)*100</f>
        <v>-10.447761194029848</v>
      </c>
    </row>
    <row r="469" spans="1:47" x14ac:dyDescent="0.3">
      <c r="A469" s="13">
        <f t="shared" si="475"/>
        <v>40862</v>
      </c>
      <c r="B469" s="92">
        <f>TWK!B414</f>
        <v>476.66666666666669</v>
      </c>
      <c r="C469" s="92">
        <f>TWK!C414</f>
        <v>440</v>
      </c>
      <c r="D469" s="92">
        <f>TWK!D414</f>
        <v>443.33333333333331</v>
      </c>
      <c r="E469" s="92">
        <f>TWK!E414</f>
        <v>346.66666666666669</v>
      </c>
      <c r="F469" s="92">
        <f>TWK!F414</f>
        <v>460</v>
      </c>
      <c r="G469" s="92">
        <f>TWK!G414</f>
        <v>460</v>
      </c>
      <c r="H469" s="92">
        <f>TWK!H414</f>
        <v>300</v>
      </c>
      <c r="I469" s="92">
        <f>TWK!I414</f>
        <v>411.35371179039299</v>
      </c>
      <c r="K469" s="92">
        <f t="shared" ref="K469" si="4562">AVERAGE(B469:B469)</f>
        <v>476.66666666666669</v>
      </c>
      <c r="L469" s="92">
        <f t="shared" ref="L469" si="4563">+C469</f>
        <v>440</v>
      </c>
      <c r="M469" s="92">
        <f t="shared" ref="M469" si="4564">AVERAGE(D466:D469)</f>
        <v>466.04166666666663</v>
      </c>
      <c r="N469" s="92">
        <f t="shared" ref="N469" si="4565">AVERAGE(E466:E469)</f>
        <v>375.20833333333337</v>
      </c>
      <c r="O469" s="92">
        <f t="shared" ref="O469" si="4566">AVERAGE(F466:F469)</f>
        <v>458.25</v>
      </c>
      <c r="P469" s="92">
        <f t="shared" ref="P469" si="4567">AVERAGE(G466:G469)</f>
        <v>458.25</v>
      </c>
      <c r="Q469" s="92">
        <f t="shared" ref="Q469" si="4568">AVERAGE(H466:H469)</f>
        <v>322</v>
      </c>
      <c r="R469" s="92">
        <f t="shared" ref="R469" si="4569">AVERAGE(I466:I469)</f>
        <v>441.65502183406107</v>
      </c>
      <c r="T469" s="92">
        <f t="shared" ref="T469" si="4570">(K313+K365+K417)/3</f>
        <v>547.9861111111112</v>
      </c>
      <c r="U469" s="92">
        <f t="shared" ref="U469" si="4571">(L313+L365+L417)/3</f>
        <v>530.59027777777783</v>
      </c>
      <c r="V469" s="92">
        <f t="shared" ref="V469" si="4572">(M313+M365+M417)/3</f>
        <v>545.31944444444446</v>
      </c>
      <c r="W469" s="92">
        <f t="shared" ref="W469" si="4573">(N313+N365+N417)/3</f>
        <v>518.29861111111109</v>
      </c>
      <c r="X469" s="92">
        <f t="shared" ref="X469" si="4574">(O313+O365+O417)/3</f>
        <v>525.25</v>
      </c>
      <c r="Y469" s="92">
        <f t="shared" ref="Y469" si="4575">(P313+P365+P417)/3</f>
        <v>525.25</v>
      </c>
      <c r="Z469" s="92">
        <f t="shared" ref="Z469" si="4576">(Q313+Q365+Q417)/3</f>
        <v>468.72916666666669</v>
      </c>
      <c r="AA469" s="92">
        <f t="shared" ref="AA469" si="4577">(R313+R365+R417)/3</f>
        <v>618.96015283842792</v>
      </c>
      <c r="AC469" s="112">
        <f>+AF469-'Figure 8_data'!I681</f>
        <v>0</v>
      </c>
      <c r="AD469" s="92">
        <f t="shared" ref="AD469" si="4578">(B469/T469-1)*100</f>
        <v>-13.014827018121922</v>
      </c>
      <c r="AE469" s="92">
        <f t="shared" ref="AE469" si="4579">(C469/U469-1)*100</f>
        <v>-17.0734899548459</v>
      </c>
      <c r="AF469" s="92">
        <f t="shared" ref="AF469" si="4580">(D469/V469-1)*100</f>
        <v>-18.702085933321456</v>
      </c>
      <c r="AG469" s="92">
        <f t="shared" ref="AG469" si="4581">(E469/W469-1)*100</f>
        <v>-33.114490520533259</v>
      </c>
      <c r="AH469" s="92">
        <f t="shared" ref="AH469" si="4582">(F469/X469-1)*100</f>
        <v>-12.422655878153266</v>
      </c>
      <c r="AI469" s="92">
        <f t="shared" ref="AI469" si="4583">(G469/Y469-1)*100</f>
        <v>-12.422655878153266</v>
      </c>
      <c r="AJ469" s="92">
        <f t="shared" ref="AJ469" si="4584">(H469/Z469-1)*100</f>
        <v>-35.997155429130189</v>
      </c>
      <c r="AK469" s="92">
        <f t="shared" ref="AK469" si="4585">(I469/AA469-1)*100</f>
        <v>-33.54116417607711</v>
      </c>
      <c r="AM469" s="112">
        <f>AP469-'Figure 8_data'!H681</f>
        <v>0</v>
      </c>
      <c r="AN469" s="92">
        <f t="shared" ref="AN469" si="4586">(B469/B417-1)*100</f>
        <v>-0.952380952380949</v>
      </c>
      <c r="AO469" s="92">
        <f t="shared" ref="AO469" si="4587">(C469/C417-1)*100</f>
        <v>7.6452599388379117</v>
      </c>
      <c r="AP469" s="92">
        <f t="shared" ref="AP469" si="4588">(D469/D417-1)*100</f>
        <v>8.1300813008130071</v>
      </c>
      <c r="AQ469" s="92">
        <f t="shared" ref="AQ469" si="4589">(E469/E417-1)*100</f>
        <v>7.911802853437111</v>
      </c>
      <c r="AR469" s="92">
        <f t="shared" ref="AR469" si="4590">(F469/F417-1)*100</f>
        <v>16.825396825396833</v>
      </c>
      <c r="AS469" s="92">
        <f t="shared" ref="AS469" si="4591">(G469/G417-1)*100</f>
        <v>16.825396825396833</v>
      </c>
      <c r="AT469" s="92">
        <f t="shared" ref="AT469" si="4592">(H469/H417-1)*100</f>
        <v>0.41841004184099972</v>
      </c>
      <c r="AU469" s="92">
        <f t="shared" ref="AU469" si="4593">(I469/I417-1)*100</f>
        <v>0.41841004184099972</v>
      </c>
    </row>
    <row r="470" spans="1:47" x14ac:dyDescent="0.3">
      <c r="A470" s="13">
        <f t="shared" si="475"/>
        <v>40869</v>
      </c>
      <c r="C470" s="92">
        <f>TWK!C415</f>
        <v>423</v>
      </c>
      <c r="D470" s="92">
        <f>TWK!D415</f>
        <v>423</v>
      </c>
      <c r="E470" s="92">
        <f>TWK!E415</f>
        <v>312</v>
      </c>
      <c r="F470" s="92">
        <f>TWK!F415</f>
        <v>418</v>
      </c>
      <c r="G470" s="92">
        <f>TWK!G415</f>
        <v>418</v>
      </c>
      <c r="H470" s="92">
        <f>TWK!H415</f>
        <v>275</v>
      </c>
      <c r="I470" s="92">
        <f>TWK!I415</f>
        <v>377</v>
      </c>
      <c r="L470" s="92">
        <f t="shared" ref="L470" si="4594">+C470</f>
        <v>423</v>
      </c>
      <c r="M470" s="92">
        <f t="shared" ref="M470" si="4595">AVERAGE(D467:D470)</f>
        <v>448.66666666666663</v>
      </c>
      <c r="N470" s="92">
        <f t="shared" ref="N470" si="4596">AVERAGE(E467:E470)</f>
        <v>356.33333333333337</v>
      </c>
      <c r="O470" s="92">
        <f t="shared" ref="O470" si="4597">AVERAGE(F467:F470)</f>
        <v>444</v>
      </c>
      <c r="P470" s="92">
        <f t="shared" ref="P470" si="4598">AVERAGE(G467:G470)</f>
        <v>444</v>
      </c>
      <c r="Q470" s="92">
        <f t="shared" ref="Q470" si="4599">AVERAGE(H467:H470)</f>
        <v>303.25</v>
      </c>
      <c r="R470" s="92">
        <f t="shared" ref="R470" si="4600">AVERAGE(I467:I470)</f>
        <v>415.92685589519647</v>
      </c>
      <c r="T470" s="92">
        <f t="shared" ref="T470" si="4601">(K314+K366+K418)/3</f>
        <v>449.92361111111114</v>
      </c>
      <c r="U470" s="92">
        <f t="shared" ref="U470" si="4602">(L314+L366+L418)/3</f>
        <v>503.59027777777783</v>
      </c>
      <c r="V470" s="92">
        <f t="shared" ref="V470" si="4603">(M314+M366+M418)/3</f>
        <v>513.63194444444446</v>
      </c>
      <c r="W470" s="92">
        <f t="shared" ref="W470" si="4604">(N314+N366+N418)/3</f>
        <v>466.96527777777777</v>
      </c>
      <c r="X470" s="92">
        <f t="shared" ref="X470" si="4605">(O314+O366+O418)/3</f>
        <v>475.66666666666669</v>
      </c>
      <c r="Y470" s="92">
        <f t="shared" ref="Y470" si="4606">(P314+P366+P418)/3</f>
        <v>475.66666666666669</v>
      </c>
      <c r="Z470" s="92">
        <f t="shared" ref="Z470" si="4607">(Q314+Q366+Q418)/3</f>
        <v>426.98611111111109</v>
      </c>
      <c r="AA470" s="92">
        <f t="shared" ref="AA470" si="4608">(R314+R366+R418)/3</f>
        <v>564.85577389616685</v>
      </c>
      <c r="AC470" s="112">
        <f>+AF470-'Figure 8_data'!I682</f>
        <v>0</v>
      </c>
      <c r="AE470" s="92">
        <f t="shared" ref="AE470" si="4609">(C470/U470-1)*100</f>
        <v>-16.003144090351242</v>
      </c>
      <c r="AF470" s="92">
        <f t="shared" ref="AF470" si="4610">(D470/V470-1)*100</f>
        <v>-17.64530914105702</v>
      </c>
      <c r="AG470" s="92">
        <f t="shared" ref="AG470" si="4611">(E470/W470-1)*100</f>
        <v>-33.185610398108359</v>
      </c>
      <c r="AH470" s="92">
        <f t="shared" ref="AH470" si="4612">(F470/X470-1)*100</f>
        <v>-12.123335669236168</v>
      </c>
      <c r="AI470" s="92">
        <f t="shared" ref="AI470" si="4613">(G470/Y470-1)*100</f>
        <v>-12.123335669236168</v>
      </c>
      <c r="AJ470" s="92">
        <f t="shared" ref="AJ470" si="4614">(H470/Z470-1)*100</f>
        <v>-35.595094818332626</v>
      </c>
      <c r="AK470" s="92">
        <f t="shared" ref="AK470" si="4615">(I470/AA470-1)*100</f>
        <v>-33.257299044746766</v>
      </c>
      <c r="AM470" s="112">
        <f>AP470-'Figure 8_data'!H682</f>
        <v>0</v>
      </c>
      <c r="AO470" s="92">
        <f t="shared" ref="AO470" si="4616">(C470/C418-1)*100</f>
        <v>-3.5897435897435881</v>
      </c>
      <c r="AP470" s="92">
        <f t="shared" ref="AP470" si="4617">(D470/D418-1)*100</f>
        <v>-8.0434782608695627</v>
      </c>
      <c r="AQ470" s="92">
        <f t="shared" ref="AQ470" si="4618">(E470/E418-1)*100</f>
        <v>-15.959595959595962</v>
      </c>
      <c r="AR470" s="92">
        <f t="shared" ref="AR470" si="4619">(F470/F418-1)*100</f>
        <v>3.2098765432098775</v>
      </c>
      <c r="AS470" s="92">
        <f t="shared" ref="AS470" si="4620">(G470/G418-1)*100</f>
        <v>3.2098765432098775</v>
      </c>
      <c r="AT470" s="92">
        <f t="shared" ref="AT470" si="4621">(H470/H418-1)*100</f>
        <v>-18.7192118226601</v>
      </c>
      <c r="AU470" s="92">
        <f t="shared" ref="AU470" si="4622">(I470/I418-1)*100</f>
        <v>-18.735213830755239</v>
      </c>
    </row>
    <row r="471" spans="1:47" x14ac:dyDescent="0.3">
      <c r="A471" s="13">
        <f t="shared" si="475"/>
        <v>40876</v>
      </c>
      <c r="D471" s="92">
        <f>TWK!D416</f>
        <v>405</v>
      </c>
      <c r="E471" s="92">
        <f>TWK!E416</f>
        <v>291.66666666666669</v>
      </c>
      <c r="F471" s="92">
        <f>TWK!F416</f>
        <v>386.66666666666669</v>
      </c>
      <c r="G471" s="92">
        <f>TWK!G416</f>
        <v>386.66666666666669</v>
      </c>
      <c r="H471" s="92">
        <f>TWK!H416</f>
        <v>268.33333333333331</v>
      </c>
      <c r="I471" s="92">
        <f>TWK!I416</f>
        <v>367.93304221251816</v>
      </c>
      <c r="M471" s="92">
        <f t="shared" ref="M471" si="4623">AVERAGE(D468:D471)</f>
        <v>428.66666666666663</v>
      </c>
      <c r="N471" s="92">
        <f t="shared" ref="N471" si="4624">AVERAGE(E468:E471)</f>
        <v>326.75</v>
      </c>
      <c r="O471" s="92">
        <f t="shared" ref="O471" si="4625">AVERAGE(F468:F471)</f>
        <v>427.41666666666669</v>
      </c>
      <c r="P471" s="92">
        <f t="shared" ref="P471" si="4626">AVERAGE(G468:G471)</f>
        <v>427.41666666666669</v>
      </c>
      <c r="Q471" s="92">
        <f t="shared" ref="Q471" si="4627">AVERAGE(H468:H471)</f>
        <v>285.83333333333331</v>
      </c>
      <c r="R471" s="92">
        <f t="shared" ref="R471" si="4628">AVERAGE(I468:I471)</f>
        <v>391.91011644832599</v>
      </c>
      <c r="T471" s="92">
        <f t="shared" ref="T471" si="4629">(K315+K367+K419)/3</f>
        <v>302.36111111111114</v>
      </c>
      <c r="U471" s="92">
        <f t="shared" ref="U471" si="4630">(L315+L367+L419)/3</f>
        <v>455.21527777777783</v>
      </c>
      <c r="V471" s="92">
        <f t="shared" ref="V471" si="4631">(M315+M367+M419)/3</f>
        <v>458.21527777777777</v>
      </c>
      <c r="W471" s="92">
        <f t="shared" ref="W471" si="4632">(N315+N367+N419)/3</f>
        <v>393.8819444444444</v>
      </c>
      <c r="X471" s="92">
        <f t="shared" ref="X471" si="4633">(O315+O367+O419)/3</f>
        <v>428.875</v>
      </c>
      <c r="Y471" s="92">
        <f t="shared" ref="Y471" si="4634">(P315+P367+P419)/3</f>
        <v>426.89583333333331</v>
      </c>
      <c r="Z471" s="92">
        <f t="shared" ref="Z471" si="4635">(Q315+Q367+Q419)/3</f>
        <v>364.65277777777777</v>
      </c>
      <c r="AA471" s="92">
        <f t="shared" ref="AA471" si="4636">(R315+R367+R419)/3</f>
        <v>492.95257156720032</v>
      </c>
      <c r="AC471" s="112">
        <f>+AF471-'Figure 8_data'!I683</f>
        <v>0</v>
      </c>
      <c r="AE471" s="92">
        <f t="shared" ref="AE471" si="4637">(C471/U471-1)*100</f>
        <v>-100</v>
      </c>
      <c r="AF471" s="92">
        <f t="shared" ref="AF471" si="4638">(D471/V471-1)*100</f>
        <v>-11.6135974417653</v>
      </c>
      <c r="AG471" s="92">
        <f t="shared" ref="AG471" si="4639">(E471/W471-1)*100</f>
        <v>-25.950739611065067</v>
      </c>
      <c r="AH471" s="92">
        <f t="shared" ref="AH471" si="4640">(F471/X471-1)*100</f>
        <v>-9.8416399494802302</v>
      </c>
      <c r="AI471" s="92">
        <f t="shared" ref="AI471" si="4641">(G471/Y471-1)*100</f>
        <v>-9.4236494070567449</v>
      </c>
      <c r="AJ471" s="92">
        <f t="shared" ref="AJ471" si="4642">(H471/Z471-1)*100</f>
        <v>-26.414016377832795</v>
      </c>
      <c r="AK471" s="92">
        <f t="shared" ref="AK471" si="4643">(I471/AA471-1)*100</f>
        <v>-25.361370761738534</v>
      </c>
      <c r="AM471" s="112">
        <f>AP471-'Figure 8_data'!H683</f>
        <v>0</v>
      </c>
      <c r="AP471" s="92">
        <f t="shared" ref="AP471" si="4644">(D471/D419-1)*100</f>
        <v>-13.136729222520104</v>
      </c>
      <c r="AQ471" s="92">
        <f t="shared" ref="AQ471" si="4645">(E471/E419-1)*100</f>
        <v>-20.091324200913242</v>
      </c>
      <c r="AR471" s="92">
        <f t="shared" ref="AR471" si="4646">(F471/F419-1)*100</f>
        <v>-17.948717948717942</v>
      </c>
      <c r="AS471" s="92">
        <f t="shared" ref="AS471" si="4647">(G471/G419-1)*100</f>
        <v>-17.948717948717942</v>
      </c>
      <c r="AT471" s="92">
        <f t="shared" ref="AT471" si="4648">(H471/H419-1)*100</f>
        <v>-21.078431372549023</v>
      </c>
      <c r="AU471" s="92">
        <f t="shared" ref="AU471" si="4649">(I471/I419-1)*100</f>
        <v>-21.078431372549023</v>
      </c>
    </row>
    <row r="472" spans="1:47" x14ac:dyDescent="0.3">
      <c r="A472" s="13">
        <f t="shared" si="475"/>
        <v>40883</v>
      </c>
      <c r="D472" s="92">
        <f>TWK!D417</f>
        <v>420</v>
      </c>
      <c r="E472" s="92">
        <f>TWK!E417</f>
        <v>303</v>
      </c>
      <c r="F472" s="92">
        <f>TWK!F417</f>
        <v>375</v>
      </c>
      <c r="G472" s="92">
        <f>TWK!G417</f>
        <v>375</v>
      </c>
      <c r="H472" s="92">
        <f>TWK!H417</f>
        <v>303</v>
      </c>
      <c r="I472" s="92">
        <f>TWK!I417</f>
        <v>416</v>
      </c>
      <c r="M472" s="92">
        <f t="shared" ref="M472" si="4650">AVERAGE(D469:D472)</f>
        <v>422.83333333333331</v>
      </c>
      <c r="N472" s="92">
        <f t="shared" ref="N472" si="4651">AVERAGE(E469:E472)</f>
        <v>313.33333333333337</v>
      </c>
      <c r="O472" s="92">
        <f t="shared" ref="O472" si="4652">AVERAGE(F469:F472)</f>
        <v>409.91666666666669</v>
      </c>
      <c r="P472" s="92">
        <f t="shared" ref="P472" si="4653">AVERAGE(G469:G472)</f>
        <v>409.91666666666669</v>
      </c>
      <c r="Q472" s="92">
        <f t="shared" ref="Q472" si="4654">AVERAGE(H469:H472)</f>
        <v>286.58333333333331</v>
      </c>
      <c r="R472" s="92">
        <f t="shared" ref="R472" si="4655">AVERAGE(I469:I472)</f>
        <v>393.07168850072776</v>
      </c>
      <c r="U472" s="92">
        <f t="shared" ref="U472" si="4656">(L316+L368+L420)/3</f>
        <v>386.96527777777777</v>
      </c>
      <c r="V472" s="92">
        <f t="shared" ref="V472" si="4657">(M316+M368+M420)/3</f>
        <v>440.77083333333331</v>
      </c>
      <c r="W472" s="92">
        <f t="shared" ref="W472" si="4658">(N316+N368+N420)/3</f>
        <v>361.1875</v>
      </c>
      <c r="X472" s="92">
        <f t="shared" ref="X472" si="4659">(O316+O368+O420)/3</f>
        <v>400.625</v>
      </c>
      <c r="Y472" s="92">
        <f t="shared" ref="Y472" si="4660">(P316+P368+P420)/3</f>
        <v>398.5069444444444</v>
      </c>
      <c r="Z472" s="92">
        <f t="shared" ref="Z472" si="4661">(Q316+Q368+Q420)/3</f>
        <v>328.90277777777777</v>
      </c>
      <c r="AA472" s="92">
        <f t="shared" ref="AA472" si="4662">(R316+R368+R420)/3</f>
        <v>435.6567200388161</v>
      </c>
      <c r="AC472" s="112">
        <f>+AF472-'Figure 8_data'!I684</f>
        <v>0</v>
      </c>
      <c r="AE472" s="92">
        <f t="shared" ref="AE472" si="4663">(C472/U472-1)*100</f>
        <v>-100</v>
      </c>
      <c r="AF472" s="92">
        <f t="shared" ref="AF472" si="4664">(D472/V472-1)*100</f>
        <v>-4.7123883348300755</v>
      </c>
      <c r="AG472" s="92">
        <f t="shared" ref="AG472" si="4665">(E472/W472-1)*100</f>
        <v>-16.110053642498702</v>
      </c>
      <c r="AH472" s="92">
        <f t="shared" ref="AH472" si="4666">(F472/X472-1)*100</f>
        <v>-6.3962558502340112</v>
      </c>
      <c r="AI472" s="92">
        <f t="shared" ref="AI472" si="4667">(G472/Y472-1)*100</f>
        <v>-5.898754029798714</v>
      </c>
      <c r="AJ472" s="92">
        <f t="shared" ref="AJ472" si="4668">(H472/Z472-1)*100</f>
        <v>-7.8755120138507611</v>
      </c>
      <c r="AK472" s="92">
        <f t="shared" ref="AK472" si="4669">(I472/AA472-1)*100</f>
        <v>-4.5119744823549857</v>
      </c>
      <c r="AM472" s="112">
        <f>AP472-'Figure 8_data'!H684</f>
        <v>0</v>
      </c>
      <c r="AP472" s="92">
        <f t="shared" ref="AP472" si="4670">(D472/D420-1)*100</f>
        <v>-24.865831842576025</v>
      </c>
      <c r="AQ472" s="92">
        <f t="shared" ref="AQ472" si="4671">(E472/E420-1)*100</f>
        <v>-30.82191780821918</v>
      </c>
      <c r="AR472" s="92">
        <f t="shared" ref="AR472" si="4672">(F472/F420-1)*100</f>
        <v>-24.69879518072289</v>
      </c>
      <c r="AS472" s="92">
        <f t="shared" ref="AS472" si="4673">(G472/G420-1)*100</f>
        <v>-24.69879518072289</v>
      </c>
      <c r="AT472" s="92">
        <f t="shared" ref="AT472" si="4674">(H472/H420-1)*100</f>
        <v>-24.250000000000004</v>
      </c>
      <c r="AU472" s="92">
        <f t="shared" ref="AU472" si="4675">(I472/I420-1)*100</f>
        <v>-24.087591240875916</v>
      </c>
    </row>
    <row r="473" spans="1:47" x14ac:dyDescent="0.3">
      <c r="A473" s="13">
        <f t="shared" si="475"/>
        <v>40890</v>
      </c>
      <c r="D473" s="92">
        <f>TWK!D418</f>
        <v>380</v>
      </c>
      <c r="E473" s="92">
        <f>TWK!E418</f>
        <v>278</v>
      </c>
      <c r="F473" s="92">
        <f>TWK!F418</f>
        <v>353</v>
      </c>
      <c r="G473" s="92">
        <f>TWK!G418</f>
        <v>353</v>
      </c>
      <c r="H473" s="92">
        <f>TWK!H418</f>
        <v>257</v>
      </c>
      <c r="I473" s="92">
        <f>TWK!I418</f>
        <v>454.39349830179526</v>
      </c>
      <c r="M473" s="92">
        <f t="shared" ref="M473" si="4676">AVERAGE(D470:D473)</f>
        <v>407</v>
      </c>
      <c r="N473" s="92">
        <f t="shared" ref="N473" si="4677">AVERAGE(E470:E473)</f>
        <v>296.16666666666669</v>
      </c>
      <c r="O473" s="92">
        <f t="shared" ref="O473" si="4678">AVERAGE(F470:F473)</f>
        <v>383.16666666666669</v>
      </c>
      <c r="P473" s="92">
        <f t="shared" ref="P473" si="4679">AVERAGE(G470:G473)</f>
        <v>383.16666666666669</v>
      </c>
      <c r="Q473" s="92">
        <f t="shared" ref="Q473" si="4680">AVERAGE(H470:H473)</f>
        <v>275.83333333333331</v>
      </c>
      <c r="R473" s="92">
        <f t="shared" ref="R473" si="4681">AVERAGE(I470:I473)</f>
        <v>403.83163512857834</v>
      </c>
      <c r="U473" s="92">
        <f t="shared" ref="U473" si="4682">(L317+L369+L421)/3</f>
        <v>318.5</v>
      </c>
      <c r="V473" s="92">
        <f t="shared" ref="V473" si="4683">(M317+M369+M421)/3</f>
        <v>448.90972222222223</v>
      </c>
      <c r="W473" s="92">
        <f t="shared" ref="W473" si="4684">(N317+N369+N421)/3</f>
        <v>361.875</v>
      </c>
      <c r="X473" s="92">
        <f t="shared" ref="X473" si="4685">(O317+O369+O421)/3</f>
        <v>391.25</v>
      </c>
      <c r="Y473" s="92">
        <f t="shared" ref="Y473" si="4686">(P317+P369+P421)/3</f>
        <v>389.1319444444444</v>
      </c>
      <c r="Z473" s="92">
        <f t="shared" ref="Z473" si="4687">(Q317+Q369+Q421)/3</f>
        <v>321.47916666666669</v>
      </c>
      <c r="AA473" s="92">
        <f t="shared" ref="AA473" si="4688">(R317+R369+R421)/3</f>
        <v>425.30076419213975</v>
      </c>
      <c r="AC473" s="112">
        <f>+AF473-'Figure 8_data'!I685</f>
        <v>0</v>
      </c>
      <c r="AE473" s="92">
        <f t="shared" ref="AE473" si="4689">(C473/U473-1)*100</f>
        <v>-100</v>
      </c>
      <c r="AF473" s="92">
        <f t="shared" ref="AF473" si="4690">(D473/V473-1)*100</f>
        <v>-15.350463313893226</v>
      </c>
      <c r="AG473" s="92">
        <f t="shared" ref="AG473" si="4691">(E473/W473-1)*100</f>
        <v>-23.17789291882556</v>
      </c>
      <c r="AH473" s="92">
        <f t="shared" ref="AH473" si="4692">(F473/X473-1)*100</f>
        <v>-9.7763578274760334</v>
      </c>
      <c r="AI473" s="92">
        <f t="shared" ref="AI473" si="4693">(G473/Y473-1)*100</f>
        <v>-9.2852681359864242</v>
      </c>
      <c r="AJ473" s="92">
        <f t="shared" ref="AJ473" si="4694">(H473/Z473-1)*100</f>
        <v>-20.057028060397908</v>
      </c>
      <c r="AK473" s="92">
        <f t="shared" ref="AK473" si="4695">(I473/AA473-1)*100</f>
        <v>6.8405083082597518</v>
      </c>
      <c r="AM473" s="112">
        <f>AP473-'Figure 8_data'!H685</f>
        <v>0</v>
      </c>
      <c r="AP473" s="92">
        <f t="shared" ref="AP473" si="4696">(D473/D421-1)*100</f>
        <v>-34.623655913978489</v>
      </c>
      <c r="AQ473" s="92">
        <f t="shared" ref="AQ473" si="4697">(E473/E421-1)*100</f>
        <v>-41.319261213720317</v>
      </c>
      <c r="AR473" s="92">
        <f t="shared" ref="AR473" si="4698">(F473/F421-1)*100</f>
        <v>-28.506329113924057</v>
      </c>
      <c r="AS473" s="92">
        <f t="shared" ref="AS473" si="4699">(G473/G421-1)*100</f>
        <v>-28.506329113924057</v>
      </c>
      <c r="AT473" s="92">
        <f t="shared" ref="AT473" si="4700">(H473/H421-1)*100</f>
        <v>-38.443113772455092</v>
      </c>
      <c r="AU473" s="92">
        <f t="shared" ref="AU473" si="4701">(I473/I421-1)*100</f>
        <v>-20.625415834996673</v>
      </c>
    </row>
    <row r="474" spans="1:47" x14ac:dyDescent="0.3">
      <c r="A474" s="13">
        <f t="shared" si="475"/>
        <v>40897</v>
      </c>
      <c r="D474" s="92">
        <f>TWK!D419</f>
        <v>353</v>
      </c>
      <c r="E474" s="92">
        <f>TWK!E419</f>
        <v>260</v>
      </c>
      <c r="F474" s="92">
        <f>TWK!F419</f>
        <v>335</v>
      </c>
      <c r="G474" s="92">
        <f>TWK!G419</f>
        <v>335</v>
      </c>
      <c r="H474" s="92">
        <f>TWK!H419</f>
        <v>238</v>
      </c>
      <c r="I474" s="92">
        <f>TWK!I419</f>
        <v>327</v>
      </c>
      <c r="M474" s="92">
        <f t="shared" ref="M474" si="4702">AVERAGE(D471:D474)</f>
        <v>389.5</v>
      </c>
      <c r="N474" s="92">
        <f t="shared" ref="N474" si="4703">AVERAGE(E471:E474)</f>
        <v>283.16666666666669</v>
      </c>
      <c r="O474" s="92">
        <f t="shared" ref="O474" si="4704">AVERAGE(F471:F474)</f>
        <v>362.41666666666669</v>
      </c>
      <c r="P474" s="92">
        <f t="shared" ref="P474" si="4705">AVERAGE(G471:G474)</f>
        <v>362.41666666666669</v>
      </c>
      <c r="Q474" s="92">
        <f t="shared" ref="Q474" si="4706">AVERAGE(H471:H474)</f>
        <v>266.58333333333331</v>
      </c>
      <c r="R474" s="92">
        <f t="shared" ref="R474" si="4707">AVERAGE(I471:I474)</f>
        <v>391.33163512857834</v>
      </c>
      <c r="V474" s="92">
        <f t="shared" ref="V474" si="4708">(M318+M370+M422)/3</f>
        <v>460.3680555555556</v>
      </c>
      <c r="W474" s="92">
        <f t="shared" ref="W474" si="4709">(N318+N370+N422)/3</f>
        <v>369.1180555555556</v>
      </c>
      <c r="X474" s="92">
        <f t="shared" ref="X474" si="4710">(O318+O370+O422)/3</f>
        <v>392.1875</v>
      </c>
      <c r="Y474" s="92">
        <f t="shared" ref="Y474" si="4711">(P318+P370+P422)/3</f>
        <v>390.0694444444444</v>
      </c>
      <c r="Z474" s="92">
        <f t="shared" ref="Z474" si="4712">(Q318+Q370+Q422)/3</f>
        <v>318.76388888888886</v>
      </c>
      <c r="AA474" s="92">
        <f t="shared" ref="AA474" si="4713">(R318+R370+R422)/3</f>
        <v>425.02049975739936</v>
      </c>
      <c r="AC474" s="112">
        <f>+AF474-'Figure 8_data'!I686</f>
        <v>0</v>
      </c>
      <c r="AF474" s="92">
        <f t="shared" ref="AF474" si="4714">(D474/V474-1)*100</f>
        <v>-23.322221048979543</v>
      </c>
      <c r="AG474" s="92">
        <f t="shared" ref="AG474" si="4715">(E474/W474-1)*100</f>
        <v>-29.561830940868816</v>
      </c>
      <c r="AH474" s="92">
        <f t="shared" ref="AH474" si="4716">(F474/X474-1)*100</f>
        <v>-14.581673306772913</v>
      </c>
      <c r="AI474" s="92">
        <f t="shared" ref="AI474" si="4717">(G474/Y474-1)*100</f>
        <v>-14.117856507032212</v>
      </c>
      <c r="AJ474" s="92">
        <f t="shared" ref="AJ474" si="4718">(H474/Z474-1)*100</f>
        <v>-25.336586641104951</v>
      </c>
      <c r="AK474" s="92">
        <f t="shared" ref="AK474" si="4719">(I474/AA474-1)*100</f>
        <v>-23.062534586766802</v>
      </c>
      <c r="AM474" s="112">
        <f>AP474-'Figure 8_data'!H686</f>
        <v>0</v>
      </c>
      <c r="AP474" s="92">
        <f t="shared" ref="AP474" si="4720">(D474/D422-1)*100</f>
        <v>-31.787439613526569</v>
      </c>
      <c r="AQ474" s="92">
        <f t="shared" ref="AQ474" si="4721">(E474/E422-1)*100</f>
        <v>-31.877729257641928</v>
      </c>
      <c r="AR474" s="92">
        <f t="shared" ref="AR474" si="4722">(F474/F422-1)*100</f>
        <v>-17.791411042944784</v>
      </c>
      <c r="AS474" s="92">
        <f t="shared" ref="AS474" si="4723">(G474/G422-1)*100</f>
        <v>-17.791411042944784</v>
      </c>
      <c r="AT474" s="92">
        <f t="shared" ref="AT474" si="4724">(H474/H422-1)*100</f>
        <v>-33.658536585365852</v>
      </c>
      <c r="AU474" s="92">
        <f t="shared" ref="AU474" si="4725">(I474/I422-1)*100</f>
        <v>-33.524490112963001</v>
      </c>
    </row>
    <row r="475" spans="1:47" x14ac:dyDescent="0.3">
      <c r="A475" s="13">
        <f t="shared" si="475"/>
        <v>40904</v>
      </c>
      <c r="D475" s="92">
        <f>TWK!D420</f>
        <v>341.66666666666669</v>
      </c>
      <c r="E475" s="92">
        <f>TWK!E420</f>
        <v>241.66666666666666</v>
      </c>
      <c r="F475" s="92">
        <f>TWK!F420</f>
        <v>330</v>
      </c>
      <c r="G475" s="92">
        <f>TWK!G420</f>
        <v>330</v>
      </c>
      <c r="H475" s="92">
        <f>TWK!H420</f>
        <v>230</v>
      </c>
      <c r="I475" s="92">
        <f>TWK!I420</f>
        <v>315.3711790393013</v>
      </c>
      <c r="M475" s="92">
        <f t="shared" ref="M475" si="4726">AVERAGE(D472:D475)</f>
        <v>373.66666666666669</v>
      </c>
      <c r="N475" s="92">
        <f t="shared" ref="N475" si="4727">AVERAGE(E472:E475)</f>
        <v>270.66666666666669</v>
      </c>
      <c r="O475" s="92">
        <f t="shared" ref="O475" si="4728">AVERAGE(F472:F475)</f>
        <v>348.25</v>
      </c>
      <c r="P475" s="92">
        <f t="shared" ref="P475" si="4729">AVERAGE(G472:G475)</f>
        <v>348.25</v>
      </c>
      <c r="Q475" s="92">
        <f t="shared" ref="Q475" si="4730">AVERAGE(H472:H475)</f>
        <v>257</v>
      </c>
      <c r="R475" s="92">
        <f t="shared" ref="R475" si="4731">AVERAGE(I472:I475)</f>
        <v>378.19116933527414</v>
      </c>
      <c r="V475" s="92">
        <f t="shared" ref="V475" si="4732">(M319+M371+M423)/3</f>
        <v>461.875</v>
      </c>
      <c r="W475" s="92">
        <f t="shared" ref="W475" si="4733">(N319+N371+N423)/3</f>
        <v>359.95138888888891</v>
      </c>
      <c r="X475" s="92">
        <f t="shared" ref="X475" si="4734">(O319+O371+O423)/3</f>
        <v>383.0069444444444</v>
      </c>
      <c r="Y475" s="92">
        <f t="shared" ref="Y475" si="4735">(P319+P371+P423)/3</f>
        <v>382.70138888888886</v>
      </c>
      <c r="Z475" s="92">
        <f t="shared" ref="Z475" si="4736">(Q319+Q371+Q423)/3</f>
        <v>307.17361111111109</v>
      </c>
      <c r="AA475" s="92">
        <f t="shared" ref="AA475" si="4737">(R319+R371+R423)/3</f>
        <v>411.26498059194563</v>
      </c>
      <c r="AC475" s="112">
        <f>+AF475-'Figure 8_data'!I687</f>
        <v>0</v>
      </c>
      <c r="AF475" s="92">
        <f t="shared" ref="AF475" si="4738">(D475/V475-1)*100</f>
        <v>-26.026161479476762</v>
      </c>
      <c r="AG475" s="92">
        <f t="shared" ref="AG475" si="4739">(E475/W475-1)*100</f>
        <v>-32.861304574305947</v>
      </c>
      <c r="AH475" s="92">
        <f t="shared" ref="AH475" si="4740">(F475/X475-1)*100</f>
        <v>-13.839682338222747</v>
      </c>
      <c r="AI475" s="92">
        <f t="shared" ref="AI475" si="4741">(G475/Y475-1)*100</f>
        <v>-13.770890417173231</v>
      </c>
      <c r="AJ475" s="92">
        <f t="shared" ref="AJ475" si="4742">(H475/Z475-1)*100</f>
        <v>-25.123776366061534</v>
      </c>
      <c r="AK475" s="92">
        <f t="shared" ref="AK475" si="4743">(I475/AA475-1)*100</f>
        <v>-23.316792354802885</v>
      </c>
      <c r="AM475" s="112">
        <f>AP475-'Figure 8_data'!H687</f>
        <v>0</v>
      </c>
      <c r="AP475" s="92">
        <f t="shared" ref="AP475" si="4744">(D475/D423-1)*100</f>
        <v>-29.310344827586199</v>
      </c>
      <c r="AQ475" s="92">
        <f t="shared" ref="AQ475" si="4745">(E475/E423-1)*100</f>
        <v>-28.921568627450988</v>
      </c>
      <c r="AR475" s="92">
        <f t="shared" ref="AR475" si="4746">(F475/F423-1)*100</f>
        <v>-19.183673469387752</v>
      </c>
      <c r="AS475" s="92">
        <f t="shared" ref="AS475" si="4747">(G475/G423-1)*100</f>
        <v>-19.183673469387752</v>
      </c>
      <c r="AT475" s="92">
        <f t="shared" ref="AT475" si="4748">(H475/H423-1)*100</f>
        <v>-22.471910112359559</v>
      </c>
      <c r="AU475" s="92">
        <f t="shared" ref="AU475" si="4749">(I475/I423-1)*100</f>
        <v>-22.471910112359549</v>
      </c>
    </row>
    <row r="476" spans="1:47" x14ac:dyDescent="0.3">
      <c r="A476" s="13">
        <f t="shared" si="475"/>
        <v>40911</v>
      </c>
      <c r="D476" s="92">
        <f>TWK!D421</f>
        <v>343.33333333333331</v>
      </c>
      <c r="E476" s="92">
        <f>TWK!E421</f>
        <v>248.33333333333334</v>
      </c>
      <c r="F476" s="92">
        <f>TWK!F421</f>
        <v>336.66666666666669</v>
      </c>
      <c r="G476" s="92">
        <f>TWK!G421</f>
        <v>336.66666666666669</v>
      </c>
      <c r="H476" s="92">
        <f>TWK!H421</f>
        <v>228.33333333333334</v>
      </c>
      <c r="I476" s="92">
        <f>TWK!I421</f>
        <v>313.0858806404658</v>
      </c>
      <c r="M476" s="92">
        <f t="shared" ref="M476" si="4750">AVERAGE(D473:D476)</f>
        <v>354.5</v>
      </c>
      <c r="N476" s="92">
        <f t="shared" ref="N476" si="4751">AVERAGE(E473:E476)</f>
        <v>257</v>
      </c>
      <c r="O476" s="92">
        <f t="shared" ref="O476" si="4752">AVERAGE(F473:F476)</f>
        <v>338.66666666666669</v>
      </c>
      <c r="P476" s="92">
        <f t="shared" ref="P476" si="4753">AVERAGE(G473:G476)</f>
        <v>338.66666666666669</v>
      </c>
      <c r="Q476" s="92">
        <f t="shared" ref="Q476" si="4754">AVERAGE(H473:H476)</f>
        <v>238.33333333333334</v>
      </c>
      <c r="R476" s="92">
        <f t="shared" ref="R476" si="4755">AVERAGE(I473:I476)</f>
        <v>352.46263949539059</v>
      </c>
      <c r="V476" s="92">
        <f t="shared" ref="V476" si="4756">(M320+M372+M424)/3</f>
        <v>438.08333333333331</v>
      </c>
      <c r="W476" s="92">
        <f t="shared" ref="W476" si="4757">(N320+N372+N424)/3</f>
        <v>331.19444444444451</v>
      </c>
      <c r="X476" s="92">
        <f t="shared" ref="X476" si="4758">(O320+O372+O424)/3</f>
        <v>363.46527777777777</v>
      </c>
      <c r="Y476" s="92">
        <f t="shared" ref="Y476" si="4759">(P320+P372+P424)/3</f>
        <v>363.29861111111109</v>
      </c>
      <c r="Z476" s="92">
        <f t="shared" ref="Z476" si="4760">(Q320+Q372+Q424)/3</f>
        <v>284.32638888888891</v>
      </c>
      <c r="AA476" s="92">
        <f t="shared" ref="AA476" si="4761">(R320+R372+R424)/3</f>
        <v>389.65241387675883</v>
      </c>
      <c r="AC476" s="112">
        <f>+AF476-'Figure 8_data'!I688</f>
        <v>0</v>
      </c>
      <c r="AF476" s="92">
        <f t="shared" ref="AF476" si="4762">(D476/V476-1)*100</f>
        <v>-21.62830511698688</v>
      </c>
      <c r="AG476" s="92">
        <f t="shared" ref="AG476" si="4763">(E476/W476-1)*100</f>
        <v>-25.018871089490911</v>
      </c>
      <c r="AH476" s="92">
        <f t="shared" ref="AH476" si="4764">(F476/X476-1)*100</f>
        <v>-7.3730869905806351</v>
      </c>
      <c r="AI476" s="92">
        <f t="shared" ref="AI476" si="4765">(G476/Y476-1)*100</f>
        <v>-7.3305935200229211</v>
      </c>
      <c r="AJ476" s="92">
        <f t="shared" ref="AJ476" si="4766">(H476/Z476-1)*100</f>
        <v>-19.69323205431942</v>
      </c>
      <c r="AK476" s="92">
        <f t="shared" ref="AK476" si="4767">(I476/AA476-1)*100</f>
        <v>-19.649957374705206</v>
      </c>
      <c r="AM476" s="112">
        <f>AP476-'Figure 8_data'!H688</f>
        <v>0</v>
      </c>
      <c r="AP476" s="92">
        <f t="shared" ref="AP476" si="4768">(D476/D424-1)*100</f>
        <v>-16.767676767676775</v>
      </c>
      <c r="AQ476" s="92">
        <f t="shared" ref="AQ476" si="4769">(E476/E424-1)*100</f>
        <v>-17.565698478561544</v>
      </c>
      <c r="AR476" s="92">
        <f t="shared" ref="AR476" si="4770">(F476/F424-1)*100</f>
        <v>-10.816777041942604</v>
      </c>
      <c r="AS476" s="92">
        <f t="shared" ref="AS476" si="4771">(G476/G424-1)*100</f>
        <v>-10.816777041942604</v>
      </c>
      <c r="AT476" s="92">
        <f t="shared" ref="AT476" si="4772">(H476/H424-1)*100</f>
        <v>-17.717717717717719</v>
      </c>
      <c r="AU476" s="92">
        <f t="shared" ref="AU476" si="4773">(I476/I424-1)*100</f>
        <v>-17.717717717717719</v>
      </c>
    </row>
    <row r="477" spans="1:47" x14ac:dyDescent="0.3">
      <c r="A477" s="13">
        <f t="shared" si="475"/>
        <v>40918</v>
      </c>
      <c r="D477" s="92">
        <f>TWK!D422</f>
        <v>363.33333333333331</v>
      </c>
      <c r="E477" s="92">
        <f>TWK!E422</f>
        <v>266.66666666666669</v>
      </c>
      <c r="F477" s="92">
        <f>TWK!F422</f>
        <v>343.33333333333331</v>
      </c>
      <c r="G477" s="92">
        <f>TWK!G422</f>
        <v>343.33333333333331</v>
      </c>
      <c r="H477" s="92">
        <f>TWK!H422</f>
        <v>233.33333333333334</v>
      </c>
      <c r="I477" s="92">
        <f>TWK!I422</f>
        <v>319.94177583697234</v>
      </c>
      <c r="M477" s="92">
        <f t="shared" ref="M477" si="4774">AVERAGE(D474:D477)</f>
        <v>350.33333333333331</v>
      </c>
      <c r="N477" s="92">
        <f t="shared" ref="N477" si="4775">AVERAGE(E474:E477)</f>
        <v>254.16666666666669</v>
      </c>
      <c r="O477" s="92">
        <f t="shared" ref="O477" si="4776">AVERAGE(F474:F477)</f>
        <v>336.25</v>
      </c>
      <c r="P477" s="92">
        <f t="shared" ref="P477" si="4777">AVERAGE(G474:G477)</f>
        <v>336.25</v>
      </c>
      <c r="Q477" s="92">
        <f t="shared" ref="Q477" si="4778">AVERAGE(H474:H477)</f>
        <v>232.41666666666669</v>
      </c>
      <c r="R477" s="92">
        <f t="shared" ref="R477" si="4779">AVERAGE(I474:I477)</f>
        <v>318.84970887918485</v>
      </c>
      <c r="V477" s="92">
        <f t="shared" ref="V477" si="4780">(M321+M373+M425)/3</f>
        <v>435.86111111111109</v>
      </c>
      <c r="W477" s="92">
        <f t="shared" ref="W477" si="4781">(N321+N373+N425)/3</f>
        <v>326.15277777777783</v>
      </c>
      <c r="X477" s="92">
        <f t="shared" ref="X477" si="4782">(O321+O373+O425)/3</f>
        <v>361.17361111111109</v>
      </c>
      <c r="Y477" s="92">
        <f t="shared" ref="Y477" si="4783">(P321+P373+P425)/3</f>
        <v>361.0069444444444</v>
      </c>
      <c r="Z477" s="92">
        <f t="shared" ref="Z477" si="4784">(Q321+Q373+Q425)/3</f>
        <v>288.60416666666669</v>
      </c>
      <c r="AA477" s="92">
        <f t="shared" ref="AA477" si="4785">(R321+R373+R425)/3</f>
        <v>395.78475254730711</v>
      </c>
      <c r="AC477" s="112">
        <f>+AF477-'Figure 8_data'!I689</f>
        <v>0</v>
      </c>
      <c r="AF477" s="92">
        <f t="shared" ref="AF477" si="4786">(D477/V477-1)*100</f>
        <v>-16.640112166209931</v>
      </c>
      <c r="AG477" s="92">
        <f t="shared" ref="AG477" si="4787">(E477/W477-1)*100</f>
        <v>-18.238725886811746</v>
      </c>
      <c r="AH477" s="92">
        <f t="shared" ref="AH477" si="4788">(F477/X477-1)*100</f>
        <v>-4.9395296967832518</v>
      </c>
      <c r="AI477" s="92">
        <f t="shared" ref="AI477" si="4789">(G477/Y477-1)*100</f>
        <v>-4.8956429739347769</v>
      </c>
      <c r="AJ477" s="92">
        <f t="shared" ref="AJ477" si="4790">(H477/Z477-1)*100</f>
        <v>-19.151086407276409</v>
      </c>
      <c r="AK477" s="92">
        <f t="shared" ref="AK477" si="4791">(I477/AA477-1)*100</f>
        <v>-19.162682802256125</v>
      </c>
      <c r="AM477" s="112">
        <f>AP477-'Figure 8_data'!H689</f>
        <v>0</v>
      </c>
      <c r="AP477" s="92">
        <f t="shared" ref="AP477" si="4792">(D477/D425-1)*100</f>
        <v>-19.259259259259267</v>
      </c>
      <c r="AQ477" s="92">
        <f t="shared" ref="AQ477" si="4793">(E477/E425-1)*100</f>
        <v>-29.824561403508763</v>
      </c>
      <c r="AR477" s="92">
        <f t="shared" ref="AR477" si="4794">(F477/F425-1)*100</f>
        <v>-21.298949379178612</v>
      </c>
      <c r="AS477" s="92">
        <f t="shared" ref="AS477" si="4795">(G477/G425-1)*100</f>
        <v>-21.298949379178612</v>
      </c>
      <c r="AT477" s="92">
        <f t="shared" ref="AT477" si="4796">(H477/H425-1)*100</f>
        <v>-35.185185185185183</v>
      </c>
      <c r="AU477" s="92">
        <f t="shared" ref="AU477" si="4797">(I477/I425-1)*100</f>
        <v>-35.185185185185183</v>
      </c>
    </row>
    <row r="478" spans="1:47" x14ac:dyDescent="0.3">
      <c r="A478" s="13">
        <f t="shared" si="475"/>
        <v>40925</v>
      </c>
      <c r="D478" s="92">
        <f>TWK!D423</f>
        <v>361.66666666666669</v>
      </c>
      <c r="E478" s="92">
        <f>TWK!E423</f>
        <v>296.66666666666669</v>
      </c>
      <c r="F478" s="92">
        <f>TWK!F423</f>
        <v>340</v>
      </c>
      <c r="G478" s="92">
        <f>TWK!G423</f>
        <v>340</v>
      </c>
      <c r="H478" s="92">
        <f>TWK!H423</f>
        <v>240</v>
      </c>
      <c r="I478" s="92">
        <f>TWK!I423</f>
        <v>329.08296943231443</v>
      </c>
      <c r="M478" s="92">
        <f t="shared" ref="M478" si="4798">AVERAGE(D475:D478)</f>
        <v>352.5</v>
      </c>
      <c r="N478" s="92">
        <f t="shared" ref="N478" si="4799">AVERAGE(E475:E478)</f>
        <v>263.33333333333337</v>
      </c>
      <c r="O478" s="92">
        <f t="shared" ref="O478" si="4800">AVERAGE(F475:F478)</f>
        <v>337.5</v>
      </c>
      <c r="P478" s="92">
        <f t="shared" ref="P478" si="4801">AVERAGE(G475:G478)</f>
        <v>337.5</v>
      </c>
      <c r="Q478" s="92">
        <f t="shared" ref="Q478" si="4802">AVERAGE(H475:H478)</f>
        <v>232.91666666666669</v>
      </c>
      <c r="R478" s="92">
        <f t="shared" ref="R478" si="4803">AVERAGE(I475:I478)</f>
        <v>319.37045123726347</v>
      </c>
      <c r="V478" s="92">
        <f t="shared" ref="V478" si="4804">(M322+M374+M426)/3</f>
        <v>437.15277777777777</v>
      </c>
      <c r="W478" s="92">
        <f t="shared" ref="W478" si="4805">(N322+N374+N426)/3</f>
        <v>333.3680555555556</v>
      </c>
      <c r="X478" s="92">
        <f t="shared" ref="X478" si="4806">(O322+O374+O426)/3</f>
        <v>369.1319444444444</v>
      </c>
      <c r="Y478" s="92">
        <f t="shared" ref="Y478" si="4807">(P322+P374+P426)/3</f>
        <v>368.96527777777777</v>
      </c>
      <c r="Z478" s="92">
        <f t="shared" ref="Z478" si="4808">(Q322+Q374+Q426)/3</f>
        <v>301.97916666666669</v>
      </c>
      <c r="AA478" s="92">
        <f t="shared" ref="AA478" si="4809">(R322+R374+R426)/3</f>
        <v>412.33897379912668</v>
      </c>
      <c r="AC478" s="112">
        <f>+AF478-'Figure 8_data'!I690</f>
        <v>0</v>
      </c>
      <c r="AF478" s="92">
        <f t="shared" ref="AF478" si="4810">(D478/V478-1)*100</f>
        <v>-17.267672756155672</v>
      </c>
      <c r="AG478" s="92">
        <f t="shared" ref="AG478" si="4811">(E478/W478-1)*100</f>
        <v>-11.009269867722116</v>
      </c>
      <c r="AH478" s="92">
        <f t="shared" ref="AH478" si="4812">(F478/X478-1)*100</f>
        <v>-7.8920139215501672</v>
      </c>
      <c r="AI478" s="92">
        <f t="shared" ref="AI478" si="4813">(G478/Y478-1)*100</f>
        <v>-7.850407483390109</v>
      </c>
      <c r="AJ478" s="92">
        <f t="shared" ref="AJ478" si="4814">(H478/Z478-1)*100</f>
        <v>-20.524318730596757</v>
      </c>
      <c r="AK478" s="92">
        <f t="shared" ref="AK478" si="4815">(I478/AA478-1)*100</f>
        <v>-20.191155737650668</v>
      </c>
      <c r="AM478" s="112">
        <f>AP478-'Figure 8_data'!H690</f>
        <v>0</v>
      </c>
      <c r="AP478" s="92">
        <f t="shared" ref="AP478" si="4816">(D478/D426-1)*100</f>
        <v>-20.947176684881597</v>
      </c>
      <c r="AQ478" s="92">
        <f t="shared" ref="AQ478" si="4817">(E478/E426-1)*100</f>
        <v>-25.131440588853838</v>
      </c>
      <c r="AR478" s="92">
        <f t="shared" ref="AR478" si="4818">(F478/F426-1)*100</f>
        <v>-22.507122507122514</v>
      </c>
      <c r="AS478" s="92">
        <f t="shared" ref="AS478" si="4819">(G478/G426-1)*100</f>
        <v>-22.507122507122514</v>
      </c>
      <c r="AT478" s="92">
        <f t="shared" ref="AT478" si="4820">(H478/H426-1)*100</f>
        <v>-35.570469798657726</v>
      </c>
      <c r="AU478" s="92">
        <f t="shared" ref="AU478" si="4821">(I478/I426-1)*100</f>
        <v>-35.570469798657712</v>
      </c>
    </row>
    <row r="479" spans="1:47" x14ac:dyDescent="0.3">
      <c r="A479" s="13">
        <f t="shared" si="475"/>
        <v>40932</v>
      </c>
      <c r="D479" s="92">
        <f>TWK!D424</f>
        <v>385</v>
      </c>
      <c r="E479" s="92">
        <f>TWK!E424</f>
        <v>310</v>
      </c>
      <c r="F479" s="92">
        <f>TWK!F424</f>
        <v>340</v>
      </c>
      <c r="G479" s="92">
        <f>TWK!G424</f>
        <v>340</v>
      </c>
      <c r="H479" s="92">
        <f>TWK!H424</f>
        <v>240</v>
      </c>
      <c r="I479" s="92">
        <f>TWK!I424</f>
        <v>329</v>
      </c>
      <c r="M479" s="92">
        <f t="shared" ref="M479" si="4822">AVERAGE(D476:D479)</f>
        <v>363.33333333333331</v>
      </c>
      <c r="N479" s="92">
        <f t="shared" ref="N479" si="4823">AVERAGE(E476:E479)</f>
        <v>280.41666666666669</v>
      </c>
      <c r="O479" s="92">
        <f t="shared" ref="O479" si="4824">AVERAGE(F476:F479)</f>
        <v>340</v>
      </c>
      <c r="P479" s="92">
        <f t="shared" ref="P479" si="4825">AVERAGE(G476:G479)</f>
        <v>340</v>
      </c>
      <c r="Q479" s="92">
        <f t="shared" ref="Q479" si="4826">AVERAGE(H476:H479)</f>
        <v>235.41666666666669</v>
      </c>
      <c r="R479" s="92">
        <f t="shared" ref="R479" si="4827">AVERAGE(I476:I479)</f>
        <v>322.77765647743814</v>
      </c>
      <c r="V479" s="92">
        <f t="shared" ref="V479" si="4828">(M323+M375+M427)/3</f>
        <v>448.97916666666669</v>
      </c>
      <c r="W479" s="92">
        <f t="shared" ref="W479" si="4829">(N323+N375+N427)/3</f>
        <v>354.38194444444451</v>
      </c>
      <c r="X479" s="92">
        <f t="shared" ref="X479" si="4830">(O323+O375+O427)/3</f>
        <v>375.9930555555556</v>
      </c>
      <c r="Y479" s="92">
        <f t="shared" ref="Y479" si="4831">(P323+P375+P427)/3</f>
        <v>376.82638888888891</v>
      </c>
      <c r="Z479" s="92">
        <f t="shared" ref="Z479" si="4832">(Q323+Q375+Q427)/3</f>
        <v>316.72222222222223</v>
      </c>
      <c r="AA479" s="92">
        <f t="shared" ref="AA479" si="4833">(R323+R375+R427)/3</f>
        <v>432.57108199902956</v>
      </c>
      <c r="AC479" s="112">
        <f>+AF479-'Figure 8_data'!I691</f>
        <v>0</v>
      </c>
      <c r="AF479" s="92">
        <f t="shared" ref="AF479" si="4834">(D479/V479-1)*100</f>
        <v>-14.249918797271588</v>
      </c>
      <c r="AG479" s="92">
        <f t="shared" ref="AG479" si="4835">(E479/W479-1)*100</f>
        <v>-12.523760067410027</v>
      </c>
      <c r="AH479" s="92">
        <f t="shared" ref="AH479" si="4836">(F479/X479-1)*100</f>
        <v>-9.5727979609552598</v>
      </c>
      <c r="AI479" s="92">
        <f t="shared" ref="AI479" si="4837">(G479/Y479-1)*100</f>
        <v>-9.7727733446363096</v>
      </c>
      <c r="AJ479" s="92">
        <f t="shared" ref="AJ479" si="4838">(H479/Z479-1)*100</f>
        <v>-24.223820382389061</v>
      </c>
      <c r="AK479" s="92">
        <f t="shared" ref="AK479" si="4839">(I479/AA479-1)*100</f>
        <v>-23.943135893504298</v>
      </c>
      <c r="AM479" s="112">
        <f>AP479-'Figure 8_data'!H691</f>
        <v>0</v>
      </c>
      <c r="AP479" s="92">
        <f t="shared" ref="AP479" si="4840">(D479/D427-1)*100</f>
        <v>-15.616438356164386</v>
      </c>
      <c r="AQ479" s="92">
        <f t="shared" ref="AQ479" si="4841">(E479/E427-1)*100</f>
        <v>-22.012578616352197</v>
      </c>
      <c r="AR479" s="92">
        <f t="shared" ref="AR479" si="4842">(F479/F427-1)*100</f>
        <v>-15.000000000000002</v>
      </c>
      <c r="AS479" s="92">
        <f t="shared" ref="AS479" si="4843">(G479/G427-1)*100</f>
        <v>-15.000000000000002</v>
      </c>
      <c r="AT479" s="92">
        <f t="shared" ref="AT479" si="4844">(H479/H427-1)*100</f>
        <v>-27.54716981132076</v>
      </c>
      <c r="AU479" s="92">
        <f t="shared" ref="AU479" si="4845">(I479/I427-1)*100</f>
        <v>-27.565436846532865</v>
      </c>
    </row>
    <row r="480" spans="1:47" x14ac:dyDescent="0.3">
      <c r="A480" s="13">
        <f t="shared" si="475"/>
        <v>40939</v>
      </c>
      <c r="D480" s="92">
        <f>TWK!D425</f>
        <v>462</v>
      </c>
      <c r="E480" s="92">
        <f>TWK!E425</f>
        <v>357</v>
      </c>
      <c r="F480" s="92">
        <f>TWK!F425</f>
        <v>388</v>
      </c>
      <c r="G480" s="92">
        <f>TWK!G425</f>
        <v>388</v>
      </c>
      <c r="H480" s="92">
        <f>TWK!H425</f>
        <v>272</v>
      </c>
      <c r="I480" s="92">
        <f>TWK!I425</f>
        <v>373</v>
      </c>
      <c r="M480" s="92">
        <f t="shared" ref="M480" si="4846">AVERAGE(D477:D480)</f>
        <v>393</v>
      </c>
      <c r="N480" s="92">
        <f t="shared" ref="N480" si="4847">AVERAGE(E477:E480)</f>
        <v>307.58333333333337</v>
      </c>
      <c r="O480" s="92">
        <f t="shared" ref="O480" si="4848">AVERAGE(F477:F480)</f>
        <v>352.83333333333331</v>
      </c>
      <c r="P480" s="92">
        <f t="shared" ref="P480" si="4849">AVERAGE(G477:G480)</f>
        <v>352.83333333333331</v>
      </c>
      <c r="Q480" s="92">
        <f t="shared" ref="Q480" si="4850">AVERAGE(H477:H480)</f>
        <v>246.33333333333334</v>
      </c>
      <c r="R480" s="92">
        <f t="shared" ref="R480" si="4851">AVERAGE(I477:I480)</f>
        <v>337.75618631732169</v>
      </c>
      <c r="V480" s="92">
        <f t="shared" ref="V480" si="4852">(M324+M376+M428)/3</f>
        <v>469.1875</v>
      </c>
      <c r="W480" s="92">
        <f t="shared" ref="W480" si="4853">(N324+N376+N428)/3</f>
        <v>376.20138888888891</v>
      </c>
      <c r="X480" s="92">
        <f t="shared" ref="X480" si="4854">(O324+O376+O428)/3</f>
        <v>382.5555555555556</v>
      </c>
      <c r="Y480" s="92">
        <f t="shared" ref="Y480" si="4855">(P324+P376+P428)/3</f>
        <v>383.38888888888891</v>
      </c>
      <c r="Z480" s="92">
        <f t="shared" ref="Z480" si="4856">(Q324+Q376+Q428)/3</f>
        <v>329.2430555555556</v>
      </c>
      <c r="AA480" s="92">
        <f t="shared" ref="AA480" si="4857">(R324+R376+R428)/3</f>
        <v>449.73501940805437</v>
      </c>
      <c r="AC480" s="112">
        <f>+AF480-'Figure 8_data'!I692</f>
        <v>0</v>
      </c>
      <c r="AF480" s="92">
        <f t="shared" ref="AF480" si="4858">(D480/V480-1)*100</f>
        <v>-1.5319035566804362</v>
      </c>
      <c r="AG480" s="92">
        <f t="shared" ref="AG480" si="4859">(E480/W480-1)*100</f>
        <v>-5.104018607055183</v>
      </c>
      <c r="AH480" s="92">
        <f t="shared" ref="AH480" si="4860">(F480/X480-1)*100</f>
        <v>1.4231774615161008</v>
      </c>
      <c r="AI480" s="92">
        <f t="shared" ref="AI480" si="4861">(G480/Y480-1)*100</f>
        <v>1.20272424286334</v>
      </c>
      <c r="AJ480" s="92">
        <f t="shared" ref="AJ480" si="4862">(H480/Z480-1)*100</f>
        <v>-17.386260572441003</v>
      </c>
      <c r="AK480" s="92">
        <f t="shared" ref="AK480" si="4863">(I480/AA480-1)*100</f>
        <v>-17.062273582576193</v>
      </c>
      <c r="AM480" s="112">
        <f>AP480-'Figure 8_data'!H692</f>
        <v>0</v>
      </c>
      <c r="AP480" s="92">
        <f t="shared" ref="AP480" si="4864">(D480/D428-1)*100</f>
        <v>-16.000000000000004</v>
      </c>
      <c r="AQ480" s="92">
        <f t="shared" ref="AQ480" si="4865">(E480/E428-1)*100</f>
        <v>-24.643799472295512</v>
      </c>
      <c r="AR480" s="92">
        <f t="shared" ref="AR480" si="4866">(F480/F428-1)*100</f>
        <v>-8.1656804733727828</v>
      </c>
      <c r="AS480" s="92">
        <f t="shared" ref="AS480" si="4867">(G480/G428-1)*100</f>
        <v>-8.1656804733727828</v>
      </c>
      <c r="AT480" s="92">
        <f t="shared" ref="AT480" si="4868">(H480/H428-1)*100</f>
        <v>-29.043478260869559</v>
      </c>
      <c r="AU480" s="92">
        <f t="shared" ref="AU480" si="4869">(I480/I428-1)*100</f>
        <v>-29.036001107726396</v>
      </c>
    </row>
    <row r="481" spans="1:47" x14ac:dyDescent="0.3">
      <c r="A481" s="13">
        <f t="shared" si="475"/>
        <v>40946</v>
      </c>
      <c r="D481" s="92">
        <f>TWK!D426</f>
        <v>395</v>
      </c>
      <c r="E481" s="92">
        <f>TWK!E426</f>
        <v>295</v>
      </c>
      <c r="F481" s="92">
        <f>TWK!F426</f>
        <v>355</v>
      </c>
      <c r="G481" s="92">
        <f>TWK!G426</f>
        <v>355</v>
      </c>
      <c r="H481" s="92">
        <f>TWK!H426</f>
        <v>248.75</v>
      </c>
      <c r="I481" s="92">
        <f>TWK!I426</f>
        <v>340.50946142649201</v>
      </c>
      <c r="M481" s="92">
        <f t="shared" ref="M481" si="4870">AVERAGE(D478:D481)</f>
        <v>400.91666666666669</v>
      </c>
      <c r="N481" s="92">
        <f t="shared" ref="N481" si="4871">AVERAGE(E478:E481)</f>
        <v>314.66666666666669</v>
      </c>
      <c r="O481" s="92">
        <f t="shared" ref="O481" si="4872">AVERAGE(F478:F481)</f>
        <v>355.75</v>
      </c>
      <c r="P481" s="92">
        <f t="shared" ref="P481" si="4873">AVERAGE(G478:G481)</f>
        <v>355.75</v>
      </c>
      <c r="Q481" s="92">
        <f t="shared" ref="Q481" si="4874">AVERAGE(H478:H481)</f>
        <v>250.1875</v>
      </c>
      <c r="R481" s="92">
        <f t="shared" ref="R481" si="4875">AVERAGE(I478:I481)</f>
        <v>342.89810771470161</v>
      </c>
      <c r="V481" s="92">
        <f t="shared" ref="V481" si="4876">(M325+M377+M429)/3</f>
        <v>457.95833333333331</v>
      </c>
      <c r="W481" s="92">
        <f t="shared" ref="W481" si="4877">(N325+N377+N429)/3</f>
        <v>365.65972222222223</v>
      </c>
      <c r="X481" s="92">
        <f t="shared" ref="X481" si="4878">(O325+O377+O429)/3</f>
        <v>369.6180555555556</v>
      </c>
      <c r="Y481" s="92">
        <f t="shared" ref="Y481" si="4879">(P325+P377+P429)/3</f>
        <v>370.45138888888891</v>
      </c>
      <c r="Z481" s="92">
        <f t="shared" ref="Z481" si="4880">(Q325+Q377+Q429)/3</f>
        <v>316.72222222222223</v>
      </c>
      <c r="AA481" s="92">
        <f t="shared" ref="AA481" si="4881">(R325+R377+R429)/3</f>
        <v>432.47719553614752</v>
      </c>
      <c r="AC481" s="112">
        <f>+AF481-'Figure 8_data'!I693</f>
        <v>0</v>
      </c>
      <c r="AF481" s="92">
        <f t="shared" ref="AF481" si="4882">(D481/V481-1)*100</f>
        <v>-13.747611682285498</v>
      </c>
      <c r="AG481" s="92">
        <f t="shared" ref="AG481" si="4883">(E481/W481-1)*100</f>
        <v>-19.323900864115473</v>
      </c>
      <c r="AH481" s="92">
        <f t="shared" ref="AH481" si="4884">(F481/X481-1)*100</f>
        <v>-3.9549084077031615</v>
      </c>
      <c r="AI481" s="92">
        <f t="shared" ref="AI481" si="4885">(G481/Y481-1)*100</f>
        <v>-4.1709626019308388</v>
      </c>
      <c r="AJ481" s="92">
        <f t="shared" ref="AJ481" si="4886">(H481/Z481-1)*100</f>
        <v>-21.461147167163652</v>
      </c>
      <c r="AK481" s="92">
        <f t="shared" ref="AK481" si="4887">(I481/AA481-1)*100</f>
        <v>-21.265337238335057</v>
      </c>
      <c r="AM481" s="112">
        <f>AP481-'Figure 8_data'!H693</f>
        <v>0</v>
      </c>
      <c r="AP481" s="92">
        <f t="shared" ref="AP481" si="4888">(D481/D429-1)*100</f>
        <v>-26.511627906976742</v>
      </c>
      <c r="AQ481" s="92">
        <f t="shared" ref="AQ481" si="4889">(E481/E429-1)*100</f>
        <v>-31.195335276967928</v>
      </c>
      <c r="AR481" s="92">
        <f t="shared" ref="AR481" si="4890">(F481/F429-1)*100</f>
        <v>-18.390804597701148</v>
      </c>
      <c r="AS481" s="92">
        <f t="shared" ref="AS481" si="4891">(G481/G429-1)*100</f>
        <v>-18.390804597701148</v>
      </c>
      <c r="AT481" s="92">
        <f t="shared" ref="AT481" si="4892">(H481/H429-1)*100</f>
        <v>-36.421725239616606</v>
      </c>
      <c r="AU481" s="92">
        <f t="shared" ref="AU481" si="4893">(I481/I429-1)*100</f>
        <v>-36.528221512247072</v>
      </c>
    </row>
    <row r="482" spans="1:47" x14ac:dyDescent="0.3">
      <c r="A482" s="13">
        <f t="shared" si="475"/>
        <v>40953</v>
      </c>
      <c r="D482" s="92">
        <f>TWK!D427</f>
        <v>423.33333333333331</v>
      </c>
      <c r="E482" s="92">
        <f>TWK!E427</f>
        <v>336.66666666666669</v>
      </c>
      <c r="F482" s="92">
        <f>TWK!F427</f>
        <v>366.66666666666669</v>
      </c>
      <c r="G482" s="92">
        <f>TWK!G427</f>
        <v>366.66666666666669</v>
      </c>
      <c r="H482" s="92">
        <f>TWK!H427</f>
        <v>275</v>
      </c>
      <c r="I482" s="92">
        <f>TWK!I427</f>
        <v>377.07423580786025</v>
      </c>
      <c r="M482" s="92">
        <f t="shared" ref="M482" si="4894">AVERAGE(D479:D482)</f>
        <v>416.33333333333331</v>
      </c>
      <c r="N482" s="92">
        <f t="shared" ref="N482" si="4895">AVERAGE(E479:E482)</f>
        <v>324.66666666666669</v>
      </c>
      <c r="O482" s="92">
        <f t="shared" ref="O482" si="4896">AVERAGE(F479:F482)</f>
        <v>362.41666666666669</v>
      </c>
      <c r="P482" s="92">
        <f t="shared" ref="P482" si="4897">AVERAGE(G479:G482)</f>
        <v>362.41666666666669</v>
      </c>
      <c r="Q482" s="92">
        <f t="shared" ref="Q482" si="4898">AVERAGE(H479:H482)</f>
        <v>258.9375</v>
      </c>
      <c r="R482" s="92">
        <f t="shared" ref="R482" si="4899">AVERAGE(I479:I482)</f>
        <v>354.89592430858806</v>
      </c>
      <c r="V482" s="92">
        <f t="shared" ref="V482" si="4900">(M326+M378+M430)/3</f>
        <v>440.20833333333331</v>
      </c>
      <c r="W482" s="92">
        <f t="shared" ref="W482" si="4901">(N326+N378+N430)/3</f>
        <v>345.81944444444451</v>
      </c>
      <c r="X482" s="92">
        <f t="shared" ref="X482" si="4902">(O326+O378+O430)/3</f>
        <v>352.85416666666669</v>
      </c>
      <c r="Y482" s="92">
        <f t="shared" ref="Y482" si="4903">(P326+P378+P430)/3</f>
        <v>353.6875</v>
      </c>
      <c r="Z482" s="92">
        <f t="shared" ref="Z482" si="4904">(Q326+Q378+Q430)/3</f>
        <v>298.03472222222223</v>
      </c>
      <c r="AA482" s="92">
        <f t="shared" ref="AA482" si="4905">(R326+R378+R430)/3</f>
        <v>409.34734352256191</v>
      </c>
      <c r="AC482" s="112">
        <f>+AF482-'Figure 8_data'!I694</f>
        <v>0</v>
      </c>
      <c r="AF482" s="92">
        <f t="shared" ref="AF482" si="4906">(D482/V482-1)*100</f>
        <v>-3.8334122101277845</v>
      </c>
      <c r="AG482" s="92">
        <f t="shared" ref="AG482" si="4907">(E482/W482-1)*100</f>
        <v>-2.6466926382585743</v>
      </c>
      <c r="AH482" s="92">
        <f t="shared" ref="AH482" si="4908">(F482/X482-1)*100</f>
        <v>3.9145067013048429</v>
      </c>
      <c r="AI482" s="92">
        <f t="shared" ref="AI482" si="4909">(G482/Y482-1)*100</f>
        <v>3.6696707309889831</v>
      </c>
      <c r="AJ482" s="92">
        <f t="shared" ref="AJ482" si="4910">(H482/Z482-1)*100</f>
        <v>-7.7288720087611011</v>
      </c>
      <c r="AK482" s="92">
        <f t="shared" ref="AK482" si="4911">(I482/AA482-1)*100</f>
        <v>-7.8840398564655301</v>
      </c>
      <c r="AM482" s="112">
        <f>AP482-'Figure 8_data'!H694</f>
        <v>0</v>
      </c>
      <c r="AP482" s="92">
        <f t="shared" ref="AP482" si="4912">(D482/D430-1)*100</f>
        <v>-27.480371163454677</v>
      </c>
      <c r="AQ482" s="92">
        <f t="shared" ref="AQ482" si="4913">(E482/E430-1)*100</f>
        <v>-30.94017094017094</v>
      </c>
      <c r="AR482" s="92">
        <f t="shared" ref="AR482" si="4914">(F482/F430-1)*100</f>
        <v>-26.666666666666661</v>
      </c>
      <c r="AS482" s="92">
        <f t="shared" ref="AS482" si="4915">(G482/G430-1)*100</f>
        <v>-26.666666666666661</v>
      </c>
      <c r="AT482" s="92">
        <f t="shared" ref="AT482" si="4916">(H482/H430-1)*100</f>
        <v>-37.142857142857146</v>
      </c>
      <c r="AU482" s="92">
        <f t="shared" ref="AU482" si="4917">(I482/I430-1)*100</f>
        <v>-37.142857142857153</v>
      </c>
    </row>
    <row r="483" spans="1:47" x14ac:dyDescent="0.3">
      <c r="A483" s="13">
        <f t="shared" si="475"/>
        <v>40960</v>
      </c>
      <c r="D483" s="92">
        <f>TWK!D428</f>
        <v>405</v>
      </c>
      <c r="E483" s="92">
        <f>TWK!E428</f>
        <v>300</v>
      </c>
      <c r="F483" s="92">
        <f>TWK!F428</f>
        <v>342</v>
      </c>
      <c r="G483" s="92">
        <f>TWK!G428</f>
        <v>342</v>
      </c>
      <c r="H483" s="92">
        <f>TWK!H428</f>
        <v>258</v>
      </c>
      <c r="I483" s="92">
        <f>TWK!I428</f>
        <v>354</v>
      </c>
      <c r="M483" s="92">
        <f t="shared" ref="M483" si="4918">AVERAGE(D480:D483)</f>
        <v>421.33333333333331</v>
      </c>
      <c r="N483" s="92">
        <f t="shared" ref="N483" si="4919">AVERAGE(E480:E483)</f>
        <v>322.16666666666669</v>
      </c>
      <c r="O483" s="92">
        <f t="shared" ref="O483" si="4920">AVERAGE(F480:F483)</f>
        <v>362.91666666666669</v>
      </c>
      <c r="P483" s="92">
        <f t="shared" ref="P483" si="4921">AVERAGE(G480:G483)</f>
        <v>362.91666666666669</v>
      </c>
      <c r="Q483" s="92">
        <f t="shared" ref="Q483" si="4922">AVERAGE(H480:H483)</f>
        <v>263.4375</v>
      </c>
      <c r="R483" s="92">
        <f t="shared" ref="R483" si="4923">AVERAGE(I480:I483)</f>
        <v>361.14592430858806</v>
      </c>
      <c r="V483" s="92">
        <f t="shared" ref="V483" si="4924">(M327+M379+M431)/3</f>
        <v>417.97916666666669</v>
      </c>
      <c r="W483" s="92">
        <f t="shared" ref="W483" si="4925">(N327+N379+N431)/3</f>
        <v>321.72222222222223</v>
      </c>
      <c r="X483" s="92">
        <f t="shared" ref="X483" si="4926">(O327+O379+O431)/3</f>
        <v>336.09027777777777</v>
      </c>
      <c r="Y483" s="92">
        <f t="shared" ref="Y483" si="4927">(P327+P379+P431)/3</f>
        <v>336.09027777777777</v>
      </c>
      <c r="Z483" s="92">
        <f t="shared" ref="Z483" si="4928">(Q327+Q379+Q431)/3</f>
        <v>282.23611111111109</v>
      </c>
      <c r="AA483" s="92">
        <f t="shared" ref="AA483" si="4929">(R327+R379+R431)/3</f>
        <v>387.6948083454634</v>
      </c>
      <c r="AC483" s="112">
        <f>+AF483-'Figure 8_data'!I695</f>
        <v>0</v>
      </c>
      <c r="AF483" s="92">
        <f t="shared" ref="AF483" si="4930">(D483/V483-1)*100</f>
        <v>-3.1052185615311867</v>
      </c>
      <c r="AG483" s="92">
        <f t="shared" ref="AG483" si="4931">(E483/W483-1)*100</f>
        <v>-6.7518563287860545</v>
      </c>
      <c r="AH483" s="92">
        <f t="shared" ref="AH483" si="4932">(F483/X483-1)*100</f>
        <v>1.758373452899975</v>
      </c>
      <c r="AI483" s="92">
        <f t="shared" ref="AI483" si="4933">(G483/Y483-1)*100</f>
        <v>1.758373452899975</v>
      </c>
      <c r="AJ483" s="92">
        <f t="shared" ref="AJ483" si="4934">(H483/Z483-1)*100</f>
        <v>-8.5871758279612127</v>
      </c>
      <c r="AK483" s="92">
        <f t="shared" ref="AK483" si="4935">(I483/AA483-1)*100</f>
        <v>-8.6910651420018414</v>
      </c>
      <c r="AM483" s="112">
        <f>AP483-'Figure 8_data'!H695</f>
        <v>0</v>
      </c>
      <c r="AP483" s="92">
        <f t="shared" ref="AP483" si="4936">(D483/D431-1)*100</f>
        <v>-24.651162790697679</v>
      </c>
      <c r="AQ483" s="92">
        <f t="shared" ref="AQ483" si="4937">(E483/E431-1)*100</f>
        <v>-31.818181818181824</v>
      </c>
      <c r="AR483" s="92">
        <f t="shared" ref="AR483" si="4938">(F483/F431-1)*100</f>
        <v>-26.054054054054056</v>
      </c>
      <c r="AS483" s="92">
        <f t="shared" ref="AS483" si="4939">(G483/G431-1)*100</f>
        <v>-26.054054054054056</v>
      </c>
      <c r="AT483" s="92">
        <f t="shared" ref="AT483" si="4940">(H483/H431-1)*100</f>
        <v>-35.5</v>
      </c>
      <c r="AU483" s="92">
        <f t="shared" ref="AU483" si="4941">(I483/I431-1)*100</f>
        <v>-35.457006369426757</v>
      </c>
    </row>
    <row r="484" spans="1:47" x14ac:dyDescent="0.3">
      <c r="A484" s="13">
        <f t="shared" si="475"/>
        <v>40967</v>
      </c>
      <c r="D484" s="92">
        <f>TWK!D429</f>
        <v>383</v>
      </c>
      <c r="E484" s="92">
        <f>TWK!E429</f>
        <v>282</v>
      </c>
      <c r="F484" s="92">
        <f>TWK!F429</f>
        <v>342</v>
      </c>
      <c r="G484" s="92">
        <f>TWK!G429</f>
        <v>342</v>
      </c>
      <c r="H484" s="92">
        <f>TWK!H429</f>
        <v>242</v>
      </c>
      <c r="I484" s="92">
        <f>TWK!I429</f>
        <v>331</v>
      </c>
      <c r="M484" s="92">
        <f t="shared" ref="M484" si="4942">AVERAGE(D481:D484)</f>
        <v>401.58333333333331</v>
      </c>
      <c r="N484" s="92">
        <f t="shared" ref="N484" si="4943">AVERAGE(E481:E484)</f>
        <v>303.41666666666669</v>
      </c>
      <c r="O484" s="92">
        <f t="shared" ref="O484" si="4944">AVERAGE(F481:F484)</f>
        <v>351.41666666666669</v>
      </c>
      <c r="P484" s="92">
        <f t="shared" ref="P484" si="4945">AVERAGE(G481:G484)</f>
        <v>351.41666666666669</v>
      </c>
      <c r="Q484" s="92">
        <f t="shared" ref="Q484" si="4946">AVERAGE(H481:H484)</f>
        <v>255.9375</v>
      </c>
      <c r="R484" s="92">
        <f t="shared" ref="R484" si="4947">AVERAGE(I481:I484)</f>
        <v>350.64592430858806</v>
      </c>
      <c r="V484" s="92">
        <f t="shared" ref="V484" si="4948">(M328+M380+M432)/3</f>
        <v>394.52083333333331</v>
      </c>
      <c r="W484" s="92">
        <f t="shared" ref="W484" si="4949">(N328+N380+N432)/3</f>
        <v>300.99305555555554</v>
      </c>
      <c r="X484" s="92">
        <f t="shared" ref="X484" si="4950">(O328+O380+O432)/3</f>
        <v>321.27777777777777</v>
      </c>
      <c r="Y484" s="92">
        <f t="shared" ref="Y484" si="4951">(P328+P380+P432)/3</f>
        <v>321.59027777777777</v>
      </c>
      <c r="Z484" s="92">
        <f t="shared" ref="Z484" si="4952">(Q328+Q380+Q432)/3</f>
        <v>270.34722222222223</v>
      </c>
      <c r="AA484" s="92">
        <f t="shared" ref="AA484" si="4953">(R328+R380+R432)/3</f>
        <v>371.44650655021832</v>
      </c>
      <c r="AC484" s="112">
        <f>+AF484-'Figure 8_data'!I696</f>
        <v>0</v>
      </c>
      <c r="AF484" s="92">
        <f t="shared" ref="AF484" si="4954">(D484/V484-1)*100</f>
        <v>-2.9202091144320597</v>
      </c>
      <c r="AG484" s="92">
        <f t="shared" ref="AG484" si="4955">(E484/W484-1)*100</f>
        <v>-6.3101308169715935</v>
      </c>
      <c r="AH484" s="92">
        <f t="shared" ref="AH484" si="4956">(F484/X484-1)*100</f>
        <v>6.4499394777796981</v>
      </c>
      <c r="AI484" s="92">
        <f t="shared" ref="AI484" si="4957">(G484/Y484-1)*100</f>
        <v>6.3464985208058877</v>
      </c>
      <c r="AJ484" s="92">
        <f t="shared" ref="AJ484" si="4958">(H484/Z484-1)*100</f>
        <v>-10.485486771127672</v>
      </c>
      <c r="AK484" s="92">
        <f t="shared" ref="AK484" si="4959">(I484/AA484-1)*100</f>
        <v>-10.88891827947508</v>
      </c>
      <c r="AM484" s="112">
        <f>AP484-'Figure 8_data'!H696</f>
        <v>0</v>
      </c>
      <c r="AP484" s="92">
        <f t="shared" ref="AP484" si="4960">(D484/D432-1)*100</f>
        <v>-23.015075376884418</v>
      </c>
      <c r="AQ484" s="92">
        <f t="shared" ref="AQ484" si="4961">(E484/E432-1)*100</f>
        <v>-25.789473684210527</v>
      </c>
      <c r="AR484" s="92">
        <f t="shared" ref="AR484" si="4962">(F484/F432-1)*100</f>
        <v>-19.292035398230091</v>
      </c>
      <c r="AS484" s="92">
        <f t="shared" ref="AS484" si="4963">(G484/G432-1)*100</f>
        <v>-19.999999999999996</v>
      </c>
      <c r="AT484" s="92">
        <f t="shared" ref="AT484" si="4964">(H484/H432-1)*100</f>
        <v>-27.035175879396988</v>
      </c>
      <c r="AU484" s="92">
        <f t="shared" ref="AU484" si="4965">(I484/I432-1)*100</f>
        <v>-27.216656531062945</v>
      </c>
    </row>
    <row r="485" spans="1:47" x14ac:dyDescent="0.3">
      <c r="A485" s="13">
        <f t="shared" si="475"/>
        <v>40974</v>
      </c>
      <c r="D485" s="92">
        <f>TWK!D430</f>
        <v>347</v>
      </c>
      <c r="E485" s="92">
        <f>TWK!E430</f>
        <v>255</v>
      </c>
      <c r="F485" s="92">
        <f>TWK!F430</f>
        <v>325</v>
      </c>
      <c r="G485" s="92">
        <f>TWK!G430</f>
        <v>325</v>
      </c>
      <c r="H485" s="92">
        <f>TWK!H430</f>
        <v>227</v>
      </c>
      <c r="I485" s="92">
        <f>TWK!I430</f>
        <v>311</v>
      </c>
      <c r="M485" s="92">
        <f t="shared" ref="M485" si="4966">AVERAGE(D482:D485)</f>
        <v>389.58333333333331</v>
      </c>
      <c r="N485" s="92">
        <f t="shared" ref="N485" si="4967">AVERAGE(E482:E485)</f>
        <v>293.41666666666669</v>
      </c>
      <c r="O485" s="92">
        <f t="shared" ref="O485" si="4968">AVERAGE(F482:F485)</f>
        <v>343.91666666666669</v>
      </c>
      <c r="P485" s="92">
        <f t="shared" ref="P485" si="4969">AVERAGE(G482:G485)</f>
        <v>343.91666666666669</v>
      </c>
      <c r="Q485" s="92">
        <f t="shared" ref="Q485" si="4970">AVERAGE(H482:H485)</f>
        <v>250.5</v>
      </c>
      <c r="R485" s="92">
        <f t="shared" ref="R485" si="4971">AVERAGE(I482:I485)</f>
        <v>343.26855895196508</v>
      </c>
      <c r="V485" s="92">
        <f t="shared" ref="V485" si="4972">(M329+M381+M433)/3</f>
        <v>391.29861111111114</v>
      </c>
      <c r="W485" s="92">
        <f t="shared" ref="W485" si="4973">(N329+N381+N433)/3</f>
        <v>301.95138888888886</v>
      </c>
      <c r="X485" s="92">
        <f t="shared" ref="X485" si="4974">(O329+O381+O433)/3</f>
        <v>315.19444444444446</v>
      </c>
      <c r="Y485" s="92">
        <f t="shared" ref="Y485" si="4975">(P329+P381+P433)/3</f>
        <v>315.50694444444446</v>
      </c>
      <c r="Z485" s="92">
        <f t="shared" ref="Z485" si="4976">(Q329+Q381+Q433)/3</f>
        <v>269.65972222222223</v>
      </c>
      <c r="AA485" s="92">
        <f t="shared" ref="AA485" si="4977">(R329+R381+R433)/3</f>
        <v>370.55986171761282</v>
      </c>
      <c r="AC485" s="112">
        <f>+AF485-'Figure 8_data'!I697</f>
        <v>0</v>
      </c>
      <c r="AF485" s="92">
        <f t="shared" ref="AF485" si="4978">(D485/V485-1)*100</f>
        <v>-11.320922143148715</v>
      </c>
      <c r="AG485" s="92">
        <f t="shared" ref="AG485" si="4979">(E485/W485-1)*100</f>
        <v>-15.549320392815247</v>
      </c>
      <c r="AH485" s="92">
        <f t="shared" ref="AH485" si="4980">(F485/X485-1)*100</f>
        <v>3.1109544372961873</v>
      </c>
      <c r="AI485" s="92">
        <f t="shared" ref="AI485" si="4981">(G485/Y485-1)*100</f>
        <v>3.0088261836110242</v>
      </c>
      <c r="AJ485" s="92">
        <f t="shared" ref="AJ485" si="4982">(H485/Z485-1)*100</f>
        <v>-15.81983466817749</v>
      </c>
      <c r="AK485" s="92">
        <f t="shared" ref="AK485" si="4983">(I485/AA485-1)*100</f>
        <v>-16.072939319855628</v>
      </c>
      <c r="AM485" s="112">
        <f>AP485-'Figure 8_data'!H697</f>
        <v>0</v>
      </c>
      <c r="AP485" s="92">
        <f t="shared" ref="AP485" si="4984">(D485/D433-1)*100</f>
        <v>-45.21052631578948</v>
      </c>
      <c r="AQ485" s="92">
        <f t="shared" ref="AQ485" si="4985">(E485/E433-1)*100</f>
        <v>-50.843373493975896</v>
      </c>
      <c r="AR485" s="92">
        <f t="shared" ref="AR485" si="4986">(F485/F433-1)*100</f>
        <v>-28.571428571428569</v>
      </c>
      <c r="AS485" s="92">
        <f t="shared" ref="AS485" si="4987">(G485/G433-1)*100</f>
        <v>-28.571428571428569</v>
      </c>
      <c r="AT485" s="92">
        <f t="shared" ref="AT485" si="4988">(H485/H433-1)*100</f>
        <v>-50.918918918918919</v>
      </c>
      <c r="AU485" s="92">
        <f t="shared" ref="AU485" si="4989">(I485/I433-1)*100</f>
        <v>-50.959545532793939</v>
      </c>
    </row>
    <row r="486" spans="1:47" x14ac:dyDescent="0.3">
      <c r="A486" s="13">
        <f t="shared" si="475"/>
        <v>40981</v>
      </c>
      <c r="C486" s="92">
        <f>TWK!C431</f>
        <v>380</v>
      </c>
      <c r="D486" s="92">
        <f>TWK!D431</f>
        <v>345</v>
      </c>
      <c r="E486" s="92">
        <f>TWK!E431</f>
        <v>252</v>
      </c>
      <c r="F486" s="92">
        <f>TWK!F431</f>
        <v>313</v>
      </c>
      <c r="G486" s="92">
        <f>TWK!G431</f>
        <v>313</v>
      </c>
      <c r="H486" s="92">
        <f>TWK!H431</f>
        <v>222</v>
      </c>
      <c r="I486" s="92">
        <f>TWK!I431</f>
        <v>304</v>
      </c>
      <c r="L486" s="92">
        <f t="shared" ref="L486" si="4990">+C486</f>
        <v>380</v>
      </c>
      <c r="M486" s="92">
        <f t="shared" ref="M486" si="4991">AVERAGE(D483:D486)</f>
        <v>370</v>
      </c>
      <c r="N486" s="92">
        <f t="shared" ref="N486" si="4992">AVERAGE(E483:E486)</f>
        <v>272.25</v>
      </c>
      <c r="O486" s="92">
        <f t="shared" ref="O486" si="4993">AVERAGE(F483:F486)</f>
        <v>330.5</v>
      </c>
      <c r="P486" s="92">
        <f t="shared" ref="P486" si="4994">AVERAGE(G483:G486)</f>
        <v>330.5</v>
      </c>
      <c r="Q486" s="92">
        <f t="shared" ref="Q486" si="4995">AVERAGE(H483:H486)</f>
        <v>237.25</v>
      </c>
      <c r="R486" s="92">
        <f t="shared" ref="R486" si="4996">AVERAGE(I483:I486)</f>
        <v>325</v>
      </c>
      <c r="V486" s="92">
        <f t="shared" ref="V486" si="4997">(M330+M382+M434)/3</f>
        <v>383.38194444444451</v>
      </c>
      <c r="W486" s="92">
        <f t="shared" ref="W486" si="4998">(N330+N382+N434)/3</f>
        <v>299.02083333333331</v>
      </c>
      <c r="X486" s="92">
        <f t="shared" ref="X486" si="4999">(O330+O382+O434)/3</f>
        <v>313.52083333333331</v>
      </c>
      <c r="Y486" s="92">
        <f t="shared" ref="Y486" si="5000">(P330+P382+P434)/3</f>
        <v>313.83333333333331</v>
      </c>
      <c r="Z486" s="92">
        <f t="shared" ref="Z486" si="5001">(Q330+Q382+Q434)/3</f>
        <v>265.3680555555556</v>
      </c>
      <c r="AA486" s="92">
        <f t="shared" ref="AA486" si="5002">(R330+R382+R434)/3</f>
        <v>363.90459728287237</v>
      </c>
      <c r="AC486" s="112">
        <f>+AF486-'Figure 8_data'!I698</f>
        <v>0</v>
      </c>
      <c r="AF486" s="92">
        <f t="shared" ref="AF486" si="5003">(D486/V486-1)*100</f>
        <v>-10.011411596355547</v>
      </c>
      <c r="AG486" s="92">
        <f t="shared" ref="AG486" si="5004">(E486/W486-1)*100</f>
        <v>-15.724935553542807</v>
      </c>
      <c r="AH486" s="92">
        <f t="shared" ref="AH486" si="5005">(F486/X486-1)*100</f>
        <v>-0.16612399494982943</v>
      </c>
      <c r="AI486" s="92">
        <f t="shared" ref="AI486" si="5006">(G486/Y486-1)*100</f>
        <v>-0.26553372278278475</v>
      </c>
      <c r="AJ486" s="92">
        <f t="shared" ref="AJ486" si="5007">(H486/Z486-1)*100</f>
        <v>-16.342605919451515</v>
      </c>
      <c r="AK486" s="92">
        <f t="shared" ref="AK486" si="5008">(I486/AA486-1)*100</f>
        <v>-16.461621460722299</v>
      </c>
      <c r="AM486" s="112">
        <f>AP486-'Figure 8_data'!H698</f>
        <v>0</v>
      </c>
      <c r="AP486" s="92">
        <f t="shared" ref="AP486" si="5009">(D486/D434-1)*100</f>
        <v>-37.977528089887635</v>
      </c>
      <c r="AQ486" s="92">
        <f t="shared" ref="AQ486" si="5010">(E486/E434-1)*100</f>
        <v>-46.94736842105263</v>
      </c>
      <c r="AR486" s="92">
        <f t="shared" ref="AR486" si="5011">(F486/F434-1)*100</f>
        <v>-38.926829268292686</v>
      </c>
      <c r="AS486" s="92">
        <f t="shared" ref="AS486" si="5012">(G486/G434-1)*100</f>
        <v>-38.926829268292686</v>
      </c>
      <c r="AT486" s="92">
        <f t="shared" ref="AT486" si="5013">(H486/H434-1)*100</f>
        <v>-45.688073394495412</v>
      </c>
      <c r="AU486" s="92">
        <f t="shared" ref="AU486" si="5014">(I486/I434-1)*100</f>
        <v>-45.759753793412415</v>
      </c>
    </row>
    <row r="487" spans="1:47" x14ac:dyDescent="0.3">
      <c r="A487" s="13">
        <f t="shared" si="475"/>
        <v>40988</v>
      </c>
      <c r="B487" s="92">
        <f>TWK!B432</f>
        <v>433</v>
      </c>
      <c r="C487" s="92">
        <f>TWK!C432</f>
        <v>378</v>
      </c>
      <c r="D487" s="92">
        <f>TWK!D432</f>
        <v>362</v>
      </c>
      <c r="E487" s="92">
        <f>TWK!E432</f>
        <v>258</v>
      </c>
      <c r="F487" s="92">
        <f>TWK!F432</f>
        <v>310</v>
      </c>
      <c r="G487" s="92">
        <f>TWK!G432</f>
        <v>310</v>
      </c>
      <c r="H487" s="92">
        <f>TWK!H432</f>
        <v>223</v>
      </c>
      <c r="I487" s="92">
        <f>TWK!I432</f>
        <v>306</v>
      </c>
      <c r="K487" s="92">
        <f t="shared" ref="K487" si="5015">AVERAGE(B487:B487)</f>
        <v>433</v>
      </c>
      <c r="L487" s="92">
        <f t="shared" ref="L487" si="5016">+C487</f>
        <v>378</v>
      </c>
      <c r="M487" s="92">
        <f t="shared" ref="M487" si="5017">AVERAGE(D484:D487)</f>
        <v>359.25</v>
      </c>
      <c r="N487" s="92">
        <f t="shared" ref="N487" si="5018">AVERAGE(E484:E487)</f>
        <v>261.75</v>
      </c>
      <c r="O487" s="92">
        <f t="shared" ref="O487" si="5019">AVERAGE(F484:F487)</f>
        <v>322.5</v>
      </c>
      <c r="P487" s="92">
        <f t="shared" ref="P487" si="5020">AVERAGE(G484:G487)</f>
        <v>322.5</v>
      </c>
      <c r="Q487" s="92">
        <f t="shared" ref="Q487" si="5021">AVERAGE(H484:H487)</f>
        <v>228.5</v>
      </c>
      <c r="R487" s="92">
        <f t="shared" ref="R487" si="5022">AVERAGE(I484:I487)</f>
        <v>313</v>
      </c>
      <c r="T487" s="92">
        <f t="shared" ref="T487:U489" si="5023">AVERAGE(K331,K383,K435)</f>
        <v>336.66666666666669</v>
      </c>
      <c r="U487" s="92">
        <f t="shared" si="5023"/>
        <v>397.125</v>
      </c>
      <c r="V487" s="92">
        <f t="shared" ref="V487" si="5024">(M331+M383+M435)/3</f>
        <v>373.33333333333331</v>
      </c>
      <c r="W487" s="92">
        <f t="shared" ref="W487" si="5025">(N331+N383+N435)/3</f>
        <v>292.24305555555554</v>
      </c>
      <c r="X487" s="92">
        <f t="shared" ref="X487" si="5026">(O331+O383+O435)/3</f>
        <v>309.32638888888891</v>
      </c>
      <c r="Y487" s="92">
        <f t="shared" ref="Y487" si="5027">(P331+P383+P435)/3</f>
        <v>309.63888888888891</v>
      </c>
      <c r="Z487" s="92">
        <f t="shared" ref="Z487" si="5028">(Q331+Q383+Q435)/3</f>
        <v>260.02777777777777</v>
      </c>
      <c r="AA487" s="92">
        <f t="shared" ref="AA487" si="5029">(R331+R383+R435)/3</f>
        <v>352.04627607957309</v>
      </c>
      <c r="AC487" s="112">
        <f>+AF487-'Figure 8_data'!I699</f>
        <v>0</v>
      </c>
      <c r="AD487" s="92">
        <f t="shared" ref="AD487:AE489" si="5030">(B487/T487-1)*100</f>
        <v>28.613861386138616</v>
      </c>
      <c r="AE487" s="92">
        <f t="shared" si="5030"/>
        <v>-4.8158640226628862</v>
      </c>
      <c r="AF487" s="92">
        <f t="shared" ref="AF487" si="5031">(D487/V487-1)*100</f>
        <v>-3.035714285714286</v>
      </c>
      <c r="AG487" s="92">
        <f t="shared" ref="AG487" si="5032">(E487/W487-1)*100</f>
        <v>-11.717320533231945</v>
      </c>
      <c r="AH487" s="92">
        <f t="shared" ref="AH487" si="5033">(F487/X487-1)*100</f>
        <v>0.2177671014525151</v>
      </c>
      <c r="AI487" s="92">
        <f t="shared" ref="AI487" si="5034">(G487/Y487-1)*100</f>
        <v>0.11662330671928789</v>
      </c>
      <c r="AJ487" s="92">
        <f t="shared" ref="AJ487" si="5035">(H487/Z487-1)*100</f>
        <v>-14.239931631235979</v>
      </c>
      <c r="AK487" s="92">
        <f t="shared" ref="AK487" si="5036">(I487/AA487-1)*100</f>
        <v>-13.079608906064733</v>
      </c>
      <c r="AM487" s="112">
        <f>AP487-'Figure 8_data'!H699</f>
        <v>0</v>
      </c>
      <c r="AN487" s="92" t="e">
        <f t="shared" ref="AN487:AO487" si="5037">(B487/B435-1)*100</f>
        <v>#DIV/0!</v>
      </c>
      <c r="AO487" s="92">
        <f t="shared" si="5037"/>
        <v>-25.333333333333329</v>
      </c>
      <c r="AP487" s="92">
        <f t="shared" ref="AP487" si="5038">(D487/D435-1)*100</f>
        <v>-26.310432569974552</v>
      </c>
      <c r="AQ487" s="92">
        <f t="shared" ref="AQ487" si="5039">(E487/E435-1)*100</f>
        <v>-31.200000000000006</v>
      </c>
      <c r="AR487" s="92">
        <f t="shared" ref="AR487" si="5040">(F487/F435-1)*100</f>
        <v>-29.54545454545454</v>
      </c>
      <c r="AS487" s="92">
        <f t="shared" ref="AS487" si="5041">(G487/G435-1)*100</f>
        <v>-29.54545454545454</v>
      </c>
      <c r="AT487" s="92">
        <f t="shared" ref="AT487" si="5042">(H487/H435-1)*100</f>
        <v>-36.285714285714285</v>
      </c>
      <c r="AU487" s="92">
        <f t="shared" ref="AU487" si="5043">(I487/I435-1)*100</f>
        <v>-36.238398544131023</v>
      </c>
    </row>
    <row r="488" spans="1:47" x14ac:dyDescent="0.3">
      <c r="A488" s="13">
        <f t="shared" si="475"/>
        <v>40995</v>
      </c>
      <c r="B488" s="92">
        <f>TWK!B433</f>
        <v>425</v>
      </c>
      <c r="C488" s="92">
        <f>TWK!C433</f>
        <v>371</v>
      </c>
      <c r="D488" s="92">
        <f>TWK!D433</f>
        <v>353</v>
      </c>
      <c r="E488" s="92">
        <f>TWK!E433</f>
        <v>251</v>
      </c>
      <c r="F488" s="92">
        <f>TWK!F433</f>
        <v>302</v>
      </c>
      <c r="G488" s="92">
        <f>TWK!G433</f>
        <v>302</v>
      </c>
      <c r="H488" s="92">
        <f>TWK!H433</f>
        <v>220</v>
      </c>
      <c r="I488" s="92">
        <f>TWK!I433</f>
        <v>302</v>
      </c>
      <c r="K488" s="92">
        <f t="shared" ref="K488" si="5044">AVERAGE(B488:B488)</f>
        <v>425</v>
      </c>
      <c r="L488" s="92">
        <f t="shared" ref="L488" si="5045">+C488</f>
        <v>371</v>
      </c>
      <c r="M488" s="92">
        <f t="shared" ref="M488" si="5046">AVERAGE(D485:D488)</f>
        <v>351.75</v>
      </c>
      <c r="N488" s="92">
        <f t="shared" ref="N488" si="5047">AVERAGE(E485:E488)</f>
        <v>254</v>
      </c>
      <c r="O488" s="92">
        <f t="shared" ref="O488" si="5048">AVERAGE(F485:F488)</f>
        <v>312.5</v>
      </c>
      <c r="P488" s="92">
        <f t="shared" ref="P488" si="5049">AVERAGE(G485:G488)</f>
        <v>312.5</v>
      </c>
      <c r="Q488" s="92">
        <f t="shared" ref="Q488" si="5050">AVERAGE(H485:H488)</f>
        <v>223</v>
      </c>
      <c r="R488" s="92">
        <f t="shared" ref="R488" si="5051">AVERAGE(I485:I488)</f>
        <v>305.75</v>
      </c>
      <c r="T488" s="92">
        <f t="shared" si="5023"/>
        <v>328.33333333333337</v>
      </c>
      <c r="U488" s="92">
        <f t="shared" si="5023"/>
        <v>398.20833333333337</v>
      </c>
      <c r="V488" s="92">
        <f t="shared" ref="V488" si="5052">(M332+M384+M436)/3</f>
        <v>365.59722222222223</v>
      </c>
      <c r="W488" s="92">
        <f t="shared" ref="W488" si="5053">(N332+N384+N436)/3</f>
        <v>286.04166666666669</v>
      </c>
      <c r="X488" s="92">
        <f t="shared" ref="X488" si="5054">(O332+O384+O436)/3</f>
        <v>307.90972222222223</v>
      </c>
      <c r="Y488" s="92">
        <f t="shared" ref="Y488" si="5055">(P332+P384+P436)/3</f>
        <v>307.90972222222223</v>
      </c>
      <c r="Z488" s="92">
        <f t="shared" ref="Z488" si="5056">(Q332+Q384+Q436)/3</f>
        <v>255.26388888888891</v>
      </c>
      <c r="AA488" s="92">
        <f t="shared" ref="AA488" si="5057">(R332+R384+R436)/3</f>
        <v>345.71694565744787</v>
      </c>
      <c r="AC488" s="112">
        <f>+AF488-'Figure 8_data'!I700</f>
        <v>0</v>
      </c>
      <c r="AD488" s="92">
        <f t="shared" si="5030"/>
        <v>29.441624365482213</v>
      </c>
      <c r="AE488" s="92">
        <f t="shared" si="5030"/>
        <v>-6.8326880820341218</v>
      </c>
      <c r="AF488" s="92">
        <f t="shared" ref="AF488" si="5058">(D488/V488-1)*100</f>
        <v>-3.445655890286059</v>
      </c>
      <c r="AG488" s="92">
        <f t="shared" ref="AG488" si="5059">(E488/W488-1)*100</f>
        <v>-12.250546249089588</v>
      </c>
      <c r="AH488" s="92">
        <f t="shared" ref="AH488" si="5060">(F488/X488-1)*100</f>
        <v>-1.9193035476668396</v>
      </c>
      <c r="AI488" s="92">
        <f t="shared" ref="AI488" si="5061">(G488/Y488-1)*100</f>
        <v>-1.9193035476668396</v>
      </c>
      <c r="AJ488" s="92">
        <f t="shared" ref="AJ488" si="5062">(H488/Z488-1)*100</f>
        <v>-13.814679797595087</v>
      </c>
      <c r="AK488" s="92">
        <f t="shared" ref="AK488" si="5063">(I488/AA488-1)*100</f>
        <v>-12.645300210642441</v>
      </c>
      <c r="AM488" s="112">
        <f>AP488-'Figure 8_data'!H700</f>
        <v>0</v>
      </c>
      <c r="AN488" s="92" t="e">
        <f t="shared" ref="AN488" si="5064">(B488/B436-1)*100</f>
        <v>#DIV/0!</v>
      </c>
      <c r="AO488" s="92">
        <f t="shared" ref="AO488" si="5065">(C488/C436-1)*100</f>
        <v>-27.491856677524428</v>
      </c>
      <c r="AP488" s="92">
        <f t="shared" ref="AP488" si="5066">(D488/D436-1)*100</f>
        <v>-30.328947368421055</v>
      </c>
      <c r="AQ488" s="92">
        <f t="shared" ref="AQ488" si="5067">(E488/E436-1)*100</f>
        <v>-34.521739130434781</v>
      </c>
      <c r="AR488" s="92">
        <f t="shared" ref="AR488" si="5068">(F488/F436-1)*100</f>
        <v>-33.868613138686129</v>
      </c>
      <c r="AS488" s="92">
        <f t="shared" ref="AS488" si="5069">(G488/G436-1)*100</f>
        <v>-33.868613138686129</v>
      </c>
      <c r="AT488" s="92">
        <f t="shared" ref="AT488" si="5070">(H488/H436-1)*100</f>
        <v>-33.668341708542712</v>
      </c>
      <c r="AU488" s="92">
        <f t="shared" ref="AU488" si="5071">(I488/I436-1)*100</f>
        <v>-33.593444931664692</v>
      </c>
    </row>
    <row r="489" spans="1:47" x14ac:dyDescent="0.3">
      <c r="A489" s="13">
        <f t="shared" si="475"/>
        <v>41002</v>
      </c>
      <c r="B489" s="92">
        <f>TWK!B434</f>
        <v>428</v>
      </c>
      <c r="C489" s="92">
        <f>TWK!C434</f>
        <v>367</v>
      </c>
      <c r="D489" s="92">
        <f>TWK!D434</f>
        <v>325</v>
      </c>
      <c r="E489" s="92">
        <f>TWK!E434</f>
        <v>238</v>
      </c>
      <c r="F489" s="92">
        <f>TWK!F434</f>
        <v>285</v>
      </c>
      <c r="G489" s="92">
        <f>TWK!G434</f>
        <v>285</v>
      </c>
      <c r="H489" s="92">
        <f>TWK!H434</f>
        <v>212</v>
      </c>
      <c r="I489" s="92">
        <f>TWK!I434</f>
        <v>290</v>
      </c>
      <c r="K489" s="92">
        <f t="shared" ref="K489" si="5072">AVERAGE(B489:B489)</f>
        <v>428</v>
      </c>
      <c r="L489" s="92">
        <f t="shared" ref="L489" si="5073">+C489</f>
        <v>367</v>
      </c>
      <c r="M489" s="92">
        <f t="shared" ref="M489" si="5074">AVERAGE(D486:D489)</f>
        <v>346.25</v>
      </c>
      <c r="N489" s="92">
        <f t="shared" ref="N489" si="5075">AVERAGE(E486:E489)</f>
        <v>249.75</v>
      </c>
      <c r="O489" s="92">
        <f t="shared" ref="O489" si="5076">AVERAGE(F486:F489)</f>
        <v>302.5</v>
      </c>
      <c r="P489" s="92">
        <f t="shared" ref="P489" si="5077">AVERAGE(G486:G489)</f>
        <v>302.5</v>
      </c>
      <c r="Q489" s="92">
        <f t="shared" ref="Q489" si="5078">AVERAGE(H486:H489)</f>
        <v>219.25</v>
      </c>
      <c r="R489" s="92">
        <f t="shared" ref="R489" si="5079">AVERAGE(I486:I489)</f>
        <v>300.5</v>
      </c>
      <c r="T489" s="92">
        <f t="shared" si="5023"/>
        <v>325.13888888888891</v>
      </c>
      <c r="U489" s="92">
        <f t="shared" si="5023"/>
        <v>275.51388888888891</v>
      </c>
      <c r="V489" s="92">
        <f t="shared" ref="V489" si="5080">(M333+M385+M437)/3</f>
        <v>347.83333333333331</v>
      </c>
      <c r="W489" s="92">
        <f t="shared" ref="W489" si="5081">(N333+N385+N437)/3</f>
        <v>270.11111111111109</v>
      </c>
      <c r="X489" s="92">
        <f t="shared" ref="X489" si="5082">(O333+O385+O437)/3</f>
        <v>307.52083333333331</v>
      </c>
      <c r="Y489" s="92">
        <f t="shared" ref="Y489" si="5083">(P333+P385+P437)/3</f>
        <v>307.52083333333331</v>
      </c>
      <c r="Z489" s="92">
        <f t="shared" ref="Z489" si="5084">(Q333+Q385+Q437)/3</f>
        <v>242.72916666666666</v>
      </c>
      <c r="AA489" s="92">
        <f t="shared" ref="AA489" si="5085">(R333+R385+R437)/3</f>
        <v>328.776686074721</v>
      </c>
      <c r="AC489" s="112">
        <f>+AF489-'Figure 8_data'!I701</f>
        <v>0</v>
      </c>
      <c r="AD489" s="92">
        <f t="shared" si="5030"/>
        <v>31.636052968816731</v>
      </c>
      <c r="AE489" s="92">
        <f t="shared" si="5030"/>
        <v>33.205625850683049</v>
      </c>
      <c r="AF489" s="92">
        <f t="shared" ref="AF489" si="5086">(D489/V489-1)*100</f>
        <v>-6.5644465740297031</v>
      </c>
      <c r="AG489" s="92">
        <f t="shared" ref="AG489" si="5087">(E489/W489-1)*100</f>
        <v>-11.888111888111885</v>
      </c>
      <c r="AH489" s="92">
        <f t="shared" ref="AH489" si="5088">(F489/X489-1)*100</f>
        <v>-7.3233520764175779</v>
      </c>
      <c r="AI489" s="92">
        <f t="shared" ref="AI489" si="5089">(G489/Y489-1)*100</f>
        <v>-7.3233520764175779</v>
      </c>
      <c r="AJ489" s="92">
        <f t="shared" ref="AJ489" si="5090">(H489/Z489-1)*100</f>
        <v>-12.659857522959395</v>
      </c>
      <c r="AK489" s="92">
        <f t="shared" ref="AK489" si="5091">(I489/AA489-1)*100</f>
        <v>-11.794232291126693</v>
      </c>
      <c r="AM489" s="112">
        <f>AP489-'Figure 8_data'!H701</f>
        <v>0</v>
      </c>
      <c r="AN489" s="92" t="e">
        <f t="shared" ref="AN489" si="5092">(B489/B437-1)*100</f>
        <v>#DIV/0!</v>
      </c>
      <c r="AO489" s="92">
        <f t="shared" ref="AO489" si="5093">(C489/C437-1)*100</f>
        <v>-21.357142857142865</v>
      </c>
      <c r="AP489" s="92">
        <f t="shared" ref="AP489" si="5094">(D489/D437-1)*100</f>
        <v>-31.095406360424029</v>
      </c>
      <c r="AQ489" s="92">
        <f t="shared" ref="AQ489" si="5095">(E489/E437-1)*100</f>
        <v>-34.4954128440367</v>
      </c>
      <c r="AR489" s="92">
        <f t="shared" ref="AR489" si="5096">(F489/F437-1)*100</f>
        <v>-41.638225255972692</v>
      </c>
      <c r="AS489" s="92">
        <f t="shared" ref="AS489" si="5097">(G489/G437-1)*100</f>
        <v>-41.638225255972692</v>
      </c>
      <c r="AT489" s="92">
        <f t="shared" ref="AT489" si="5098">(H489/H437-1)*100</f>
        <v>-36.4</v>
      </c>
      <c r="AU489" s="92">
        <f t="shared" ref="AU489" si="5099">(I489/I437-1)*100</f>
        <v>-36.550955414012734</v>
      </c>
    </row>
    <row r="490" spans="1:47" x14ac:dyDescent="0.3">
      <c r="A490" s="13">
        <f t="shared" si="475"/>
        <v>41009</v>
      </c>
      <c r="B490" s="92">
        <f>TWK!B435</f>
        <v>427.5</v>
      </c>
      <c r="C490" s="92">
        <f>TWK!C435</f>
        <v>362.5</v>
      </c>
      <c r="D490" s="92">
        <f>TWK!D435</f>
        <v>320</v>
      </c>
      <c r="E490" s="92">
        <f>TWK!E435</f>
        <v>237.5</v>
      </c>
      <c r="F490" s="92">
        <f>TWK!F435</f>
        <v>282.5</v>
      </c>
      <c r="G490" s="92">
        <f>TWK!G435</f>
        <v>282.5</v>
      </c>
      <c r="H490" s="92">
        <f>TWK!H435</f>
        <v>207.5</v>
      </c>
      <c r="I490" s="92">
        <f>TWK!I435</f>
        <v>250.54585152838428</v>
      </c>
      <c r="K490" s="92">
        <f t="shared" ref="K490" si="5100">AVERAGE(B490:B490)</f>
        <v>427.5</v>
      </c>
      <c r="L490" s="92">
        <f t="shared" ref="L490" si="5101">+C490</f>
        <v>362.5</v>
      </c>
      <c r="M490" s="92">
        <f t="shared" ref="M490" si="5102">AVERAGE(D487:D490)</f>
        <v>340</v>
      </c>
      <c r="N490" s="92">
        <f t="shared" ref="N490" si="5103">AVERAGE(E487:E490)</f>
        <v>246.125</v>
      </c>
      <c r="O490" s="92">
        <f t="shared" ref="O490" si="5104">AVERAGE(F487:F490)</f>
        <v>294.875</v>
      </c>
      <c r="P490" s="92">
        <f t="shared" ref="P490" si="5105">AVERAGE(G487:G490)</f>
        <v>294.875</v>
      </c>
      <c r="Q490" s="92">
        <f t="shared" ref="Q490" si="5106">AVERAGE(H487:H490)</f>
        <v>215.625</v>
      </c>
      <c r="R490" s="92">
        <f t="shared" ref="R490" si="5107">AVERAGE(I487:I490)</f>
        <v>287.13646288209605</v>
      </c>
      <c r="T490" s="92">
        <f t="shared" ref="T490:T495" si="5108">AVERAGE(K334,K386,K438)</f>
        <v>321.77083333333337</v>
      </c>
      <c r="U490" s="92">
        <f t="shared" ref="U490" si="5109">AVERAGE(L334,L386,L438)</f>
        <v>283.45833333333331</v>
      </c>
      <c r="V490" s="92">
        <f t="shared" ref="V490" si="5110">(M334+M386+M438)/3</f>
        <v>336.37500000000006</v>
      </c>
      <c r="W490" s="92">
        <f t="shared" ref="W490" si="5111">(N334+N386+N438)/3</f>
        <v>254.77777777777774</v>
      </c>
      <c r="X490" s="92">
        <f t="shared" ref="X490" si="5112">(O334+O386+O438)/3</f>
        <v>299.86111111111114</v>
      </c>
      <c r="Y490" s="92">
        <f t="shared" ref="Y490" si="5113">(P334+P386+P438)/3</f>
        <v>299.86111111111114</v>
      </c>
      <c r="Z490" s="92">
        <f t="shared" ref="Z490" si="5114">(Q334+Q386+Q438)/3</f>
        <v>231.77083333333334</v>
      </c>
      <c r="AA490" s="92">
        <f t="shared" ref="AA490" si="5115">(R334+R386+R438)/3</f>
        <v>313.76358563803979</v>
      </c>
      <c r="AC490" s="112">
        <f>+AF490-'Figure 8_data'!I702</f>
        <v>0</v>
      </c>
      <c r="AD490" s="92">
        <f t="shared" ref="AD490" si="5116">(B490/T490-1)*100</f>
        <v>32.858530268695361</v>
      </c>
      <c r="AE490" s="92">
        <f t="shared" ref="AE490" si="5117">(C490/U490-1)*100</f>
        <v>27.884756724974281</v>
      </c>
      <c r="AF490" s="92">
        <f t="shared" ref="AF490" si="5118">(D490/V490-1)*100</f>
        <v>-4.8680787811222759</v>
      </c>
      <c r="AG490" s="92">
        <f t="shared" ref="AG490" si="5119">(E490/W490-1)*100</f>
        <v>-6.7815089402529338</v>
      </c>
      <c r="AH490" s="92">
        <f t="shared" ref="AH490" si="5120">(F490/X490-1)*100</f>
        <v>-5.7897174617878804</v>
      </c>
      <c r="AI490" s="92">
        <f t="shared" ref="AI490" si="5121">(G490/Y490-1)*100</f>
        <v>-5.7897174617878804</v>
      </c>
      <c r="AJ490" s="92">
        <f t="shared" ref="AJ490" si="5122">(H490/Z490-1)*100</f>
        <v>-10.47191011235955</v>
      </c>
      <c r="AK490" s="92">
        <f t="shared" ref="AK490" si="5123">(I490/AA490-1)*100</f>
        <v>-20.148206166468274</v>
      </c>
      <c r="AM490" s="112">
        <f>AP490-'Figure 8_data'!H702</f>
        <v>0</v>
      </c>
      <c r="AN490" s="92" t="e">
        <f t="shared" ref="AN490" si="5124">(B490/B438-1)*100</f>
        <v>#DIV/0!</v>
      </c>
      <c r="AO490" s="92">
        <f t="shared" ref="AO490" si="5125">(C490/C438-1)*100</f>
        <v>-13.432835820895528</v>
      </c>
      <c r="AP490" s="92">
        <f t="shared" ref="AP490" si="5126">(D490/D438-1)*100</f>
        <v>-25.364431486880466</v>
      </c>
      <c r="AQ490" s="92">
        <f t="shared" ref="AQ490" si="5127">(E490/E438-1)*100</f>
        <v>-24.302788844621514</v>
      </c>
      <c r="AR490" s="92">
        <f t="shared" ref="AR490" si="5128">(F490/F438-1)*100</f>
        <v>-34.870317002881848</v>
      </c>
      <c r="AS490" s="92">
        <f t="shared" ref="AS490" si="5129">(G490/G438-1)*100</f>
        <v>-34.870317002881848</v>
      </c>
      <c r="AT490" s="92">
        <f t="shared" ref="AT490" si="5130">(H490/H438-1)*100</f>
        <v>-26.548672566371678</v>
      </c>
      <c r="AU490" s="92">
        <f t="shared" ref="AU490" si="5131">(I490/I438-1)*100</f>
        <v>-35.319316836705937</v>
      </c>
    </row>
    <row r="491" spans="1:47" x14ac:dyDescent="0.3">
      <c r="A491" s="13">
        <f t="shared" si="475"/>
        <v>41016</v>
      </c>
      <c r="B491" s="92">
        <f>TWK!B436</f>
        <v>423</v>
      </c>
      <c r="C491" s="92">
        <f>TWK!C436</f>
        <v>350</v>
      </c>
      <c r="D491" s="92">
        <f>TWK!D436</f>
        <v>328</v>
      </c>
      <c r="E491" s="92">
        <f>TWK!E436</f>
        <v>237</v>
      </c>
      <c r="F491" s="92">
        <f>TWK!F436</f>
        <v>287</v>
      </c>
      <c r="G491" s="92">
        <f>TWK!G436</f>
        <v>287</v>
      </c>
      <c r="H491" s="92">
        <f>TWK!H436</f>
        <v>207</v>
      </c>
      <c r="I491" s="92">
        <f>TWK!I436</f>
        <v>283</v>
      </c>
      <c r="K491" s="92">
        <f t="shared" ref="K491" si="5132">AVERAGE(B491:B491)</f>
        <v>423</v>
      </c>
      <c r="L491" s="92">
        <f t="shared" ref="L491" si="5133">+C491</f>
        <v>350</v>
      </c>
      <c r="M491" s="92">
        <f t="shared" ref="M491" si="5134">AVERAGE(D488:D491)</f>
        <v>331.5</v>
      </c>
      <c r="N491" s="92">
        <f t="shared" ref="N491" si="5135">AVERAGE(E488:E491)</f>
        <v>240.875</v>
      </c>
      <c r="O491" s="92">
        <f t="shared" ref="O491" si="5136">AVERAGE(F488:F491)</f>
        <v>289.125</v>
      </c>
      <c r="P491" s="92">
        <f t="shared" ref="P491" si="5137">AVERAGE(G488:G491)</f>
        <v>289.125</v>
      </c>
      <c r="Q491" s="92">
        <f t="shared" ref="Q491" si="5138">AVERAGE(H488:H491)</f>
        <v>211.625</v>
      </c>
      <c r="R491" s="92">
        <f t="shared" ref="R491" si="5139">AVERAGE(I488:I491)</f>
        <v>281.38646288209605</v>
      </c>
      <c r="T491" s="92">
        <f t="shared" si="5108"/>
        <v>313.4375</v>
      </c>
      <c r="U491" s="92">
        <f t="shared" ref="U491" si="5140">AVERAGE(L335,L387,L439)</f>
        <v>244.96875</v>
      </c>
      <c r="V491" s="92">
        <f t="shared" ref="V491" si="5141">(M335+M387+M439)/3</f>
        <v>328.72222222222223</v>
      </c>
      <c r="W491" s="92">
        <f t="shared" ref="W491" si="5142">(N335+N387+N439)/3</f>
        <v>245.70833333333334</v>
      </c>
      <c r="X491" s="92">
        <f t="shared" ref="X491" si="5143">(O335+O387+O439)/3</f>
        <v>296.52777777777777</v>
      </c>
      <c r="Y491" s="92">
        <f t="shared" ref="Y491" si="5144">(P335+P387+P439)/3</f>
        <v>296.94444444444446</v>
      </c>
      <c r="Z491" s="92">
        <f t="shared" ref="Z491" si="5145">(Q335+Q387+Q439)/3</f>
        <v>223.33333333333334</v>
      </c>
      <c r="AA491" s="92">
        <f t="shared" ref="AA491" si="5146">(R335+R387+R439)/3</f>
        <v>306.74975739932074</v>
      </c>
      <c r="AC491" s="112">
        <f>+AF491-'Figure 8_data'!I703</f>
        <v>0</v>
      </c>
      <c r="AD491" s="92">
        <f t="shared" ref="AD491" si="5147">(B491/T491-1)*100</f>
        <v>34.955134596211359</v>
      </c>
      <c r="AE491" s="92">
        <f t="shared" ref="AE491" si="5148">(C491/U491-1)*100</f>
        <v>42.875366755963775</v>
      </c>
      <c r="AF491" s="92">
        <f t="shared" ref="AF491" si="5149">(D491/V491-1)*100</f>
        <v>-0.21970593206016575</v>
      </c>
      <c r="AG491" s="92">
        <f t="shared" ref="AG491" si="5150">(E491/W491-1)*100</f>
        <v>-3.5441750042394471</v>
      </c>
      <c r="AH491" s="92">
        <f t="shared" ref="AH491" si="5151">(F491/X491-1)*100</f>
        <v>-3.2131147540983562</v>
      </c>
      <c r="AI491" s="92">
        <f t="shared" ref="AI491" si="5152">(G491/Y491-1)*100</f>
        <v>-3.3489242282507048</v>
      </c>
      <c r="AJ491" s="92">
        <f t="shared" ref="AJ491" si="5153">(H491/Z491-1)*100</f>
        <v>-7.3134328358208993</v>
      </c>
      <c r="AK491" s="92">
        <f t="shared" ref="AK491" si="5154">(I491/AA491-1)*100</f>
        <v>-7.7423883235231976</v>
      </c>
      <c r="AM491" s="112">
        <f>AP491-'Figure 8_data'!H703</f>
        <v>0</v>
      </c>
      <c r="AN491" s="92" t="e">
        <f t="shared" ref="AN491" si="5155">(B491/B439-1)*100</f>
        <v>#DIV/0!</v>
      </c>
      <c r="AO491" s="92" t="e">
        <f t="shared" ref="AO491" si="5156">(C491/C439-1)*100</f>
        <v>#DIV/0!</v>
      </c>
      <c r="AP491" s="92">
        <f t="shared" ref="AP491" si="5157">(D491/D439-1)*100</f>
        <v>-20.645161290322577</v>
      </c>
      <c r="AQ491" s="92">
        <f t="shared" ref="AQ491" si="5158">(E491/E439-1)*100</f>
        <v>-20.999999999999996</v>
      </c>
      <c r="AR491" s="92">
        <f t="shared" ref="AR491" si="5159">(F491/F439-1)*100</f>
        <v>-30.2834008097166</v>
      </c>
      <c r="AS491" s="92">
        <f t="shared" ref="AS491" si="5160">(G491/G439-1)*100</f>
        <v>-31.120000000000005</v>
      </c>
      <c r="AT491" s="92">
        <f t="shared" ref="AT491" si="5161">(H491/H439-1)*100</f>
        <v>-21.886792452830186</v>
      </c>
      <c r="AU491" s="92">
        <f t="shared" ref="AU491" si="5162">(I491/I439-1)*100</f>
        <v>-22.116332171613983</v>
      </c>
    </row>
    <row r="492" spans="1:47" x14ac:dyDescent="0.3">
      <c r="A492" s="13">
        <f t="shared" si="475"/>
        <v>41023</v>
      </c>
      <c r="B492" s="92">
        <f>TWK!B437</f>
        <v>423.33333333333331</v>
      </c>
      <c r="C492" s="92">
        <f>TWK!C437</f>
        <v>351.66666666666669</v>
      </c>
      <c r="D492" s="92">
        <f>TWK!D437</f>
        <v>323.33333333333331</v>
      </c>
      <c r="E492" s="92">
        <f>TWK!E437</f>
        <v>235</v>
      </c>
      <c r="F492" s="92">
        <f>TWK!F437</f>
        <v>275</v>
      </c>
      <c r="G492" s="92">
        <f>TWK!G437</f>
        <v>275</v>
      </c>
      <c r="H492" s="92">
        <f>TWK!H437</f>
        <v>205</v>
      </c>
      <c r="I492" s="92">
        <f>TWK!I437</f>
        <v>281.09170305676855</v>
      </c>
      <c r="K492" s="92">
        <f t="shared" ref="K492" si="5163">AVERAGE(B492:B492)</f>
        <v>423.33333333333331</v>
      </c>
      <c r="L492" s="92">
        <f t="shared" ref="L492" si="5164">+C492</f>
        <v>351.66666666666669</v>
      </c>
      <c r="M492" s="92">
        <f t="shared" ref="M492" si="5165">AVERAGE(D489:D492)</f>
        <v>324.08333333333331</v>
      </c>
      <c r="N492" s="92">
        <f t="shared" ref="N492" si="5166">AVERAGE(E489:E492)</f>
        <v>236.875</v>
      </c>
      <c r="O492" s="92">
        <f t="shared" ref="O492" si="5167">AVERAGE(F489:F492)</f>
        <v>282.375</v>
      </c>
      <c r="P492" s="92">
        <f t="shared" ref="P492" si="5168">AVERAGE(G489:G492)</f>
        <v>282.375</v>
      </c>
      <c r="Q492" s="92">
        <f t="shared" ref="Q492" si="5169">AVERAGE(H489:H492)</f>
        <v>207.875</v>
      </c>
      <c r="R492" s="92">
        <f t="shared" ref="R492" si="5170">AVERAGE(I489:I492)</f>
        <v>276.15938864628822</v>
      </c>
      <c r="T492" s="92">
        <f t="shared" si="5108"/>
        <v>306.6875</v>
      </c>
      <c r="U492" s="92">
        <f t="shared" ref="U492" si="5171">AVERAGE(L336,L388,L440)</f>
        <v>280.17708333333337</v>
      </c>
      <c r="V492" s="92">
        <f t="shared" ref="V492" si="5172">(M336+M388+M440)/3</f>
        <v>322.6944444444444</v>
      </c>
      <c r="W492" s="92">
        <f t="shared" ref="W492" si="5173">(N336+N388+N440)/3</f>
        <v>238.35416666666666</v>
      </c>
      <c r="X492" s="92">
        <f t="shared" ref="X492" si="5174">(O336+O388+O440)/3</f>
        <v>257.6805555555556</v>
      </c>
      <c r="Y492" s="92">
        <f t="shared" ref="Y492" si="5175">(P336+P388+P440)/3</f>
        <v>258.09722222222223</v>
      </c>
      <c r="Z492" s="92">
        <f t="shared" ref="Z492" si="5176">(Q336+Q388+Q440)/3</f>
        <v>194.72916666666666</v>
      </c>
      <c r="AA492" s="92">
        <f t="shared" ref="AA492" si="5177">(R336+R388+R440)/3</f>
        <v>267.69414119359533</v>
      </c>
      <c r="AC492" s="112">
        <f>+AF492-'Figure 8_data'!I704</f>
        <v>0</v>
      </c>
      <c r="AD492" s="92">
        <f t="shared" ref="AD492" si="5178">(B492/T492-1)*100</f>
        <v>38.034100944229323</v>
      </c>
      <c r="AE492" s="92">
        <f t="shared" ref="AE492" si="5179">(C492/U492-1)*100</f>
        <v>25.515856787002257</v>
      </c>
      <c r="AF492" s="92">
        <f t="shared" ref="AF492" si="5180">(D492/V492-1)*100</f>
        <v>0.19798571059654879</v>
      </c>
      <c r="AG492" s="92">
        <f t="shared" ref="AG492" si="5181">(E492/W492-1)*100</f>
        <v>-1.4072196486321076</v>
      </c>
      <c r="AH492" s="92">
        <f t="shared" ref="AH492" si="5182">(F492/X492-1)*100</f>
        <v>6.721284967390706</v>
      </c>
      <c r="AI492" s="92">
        <f t="shared" ref="AI492" si="5183">(G492/Y492-1)*100</f>
        <v>6.5489963945541518</v>
      </c>
      <c r="AJ492" s="92">
        <f t="shared" ref="AJ492" si="5184">(H492/Z492-1)*100</f>
        <v>5.274419599871627</v>
      </c>
      <c r="AK492" s="92">
        <f t="shared" ref="AK492" si="5185">(I492/AA492-1)*100</f>
        <v>5.0048020488741907</v>
      </c>
      <c r="AM492" s="112">
        <f>AP492-'Figure 8_data'!H704</f>
        <v>0</v>
      </c>
      <c r="AN492" s="92" t="e">
        <f t="shared" ref="AN492" si="5186">(B492/B440-1)*100</f>
        <v>#DIV/0!</v>
      </c>
      <c r="AO492" s="92" t="e">
        <f t="shared" ref="AO492" si="5187">(C492/C440-1)*100</f>
        <v>#DIV/0!</v>
      </c>
      <c r="AP492" s="92">
        <f t="shared" ref="AP492" si="5188">(D492/D440-1)*100</f>
        <v>-19.568822553897181</v>
      </c>
      <c r="AQ492" s="92">
        <f t="shared" ref="AQ492" si="5189">(E492/E440-1)*100</f>
        <v>-21.666666666666668</v>
      </c>
      <c r="AR492" s="92" t="e">
        <f t="shared" ref="AR492" si="5190">(F492/F440-1)*100</f>
        <v>#DIV/0!</v>
      </c>
      <c r="AS492" s="92" t="e">
        <f t="shared" ref="AS492" si="5191">(G492/G440-1)*100</f>
        <v>#DIV/0!</v>
      </c>
      <c r="AT492" s="92" t="e">
        <f t="shared" ref="AT492" si="5192">(H492/H440-1)*100</f>
        <v>#DIV/0!</v>
      </c>
      <c r="AU492" s="92" t="e">
        <f t="shared" ref="AU492" si="5193">(I492/I440-1)*100</f>
        <v>#DIV/0!</v>
      </c>
    </row>
    <row r="493" spans="1:47" x14ac:dyDescent="0.3">
      <c r="A493" s="13">
        <f t="shared" si="475"/>
        <v>41030</v>
      </c>
      <c r="B493" s="92">
        <f>TWK!B438</f>
        <v>427</v>
      </c>
      <c r="C493" s="92">
        <f>TWK!C438</f>
        <v>358</v>
      </c>
      <c r="D493" s="92">
        <f>TWK!D438</f>
        <v>337</v>
      </c>
      <c r="E493" s="92">
        <f>TWK!E438</f>
        <v>242</v>
      </c>
      <c r="F493" s="92">
        <f>TWK!F438</f>
        <v>285</v>
      </c>
      <c r="G493" s="92">
        <f>TWK!G438</f>
        <v>285</v>
      </c>
      <c r="H493" s="92">
        <f>TWK!H438</f>
        <v>212</v>
      </c>
      <c r="I493" s="92">
        <f>TWK!I438</f>
        <v>290</v>
      </c>
      <c r="K493" s="92">
        <f t="shared" ref="K493" si="5194">AVERAGE(B493:B493)</f>
        <v>427</v>
      </c>
      <c r="L493" s="92">
        <f t="shared" ref="L493" si="5195">+C493</f>
        <v>358</v>
      </c>
      <c r="M493" s="92">
        <f t="shared" ref="M493" si="5196">AVERAGE(D490:D493)</f>
        <v>327.08333333333331</v>
      </c>
      <c r="N493" s="92">
        <f t="shared" ref="N493" si="5197">AVERAGE(E490:E493)</f>
        <v>237.875</v>
      </c>
      <c r="O493" s="92">
        <f t="shared" ref="O493" si="5198">AVERAGE(F490:F493)</f>
        <v>282.375</v>
      </c>
      <c r="P493" s="92">
        <f t="shared" ref="P493" si="5199">AVERAGE(G490:G493)</f>
        <v>282.375</v>
      </c>
      <c r="Q493" s="92">
        <f t="shared" ref="Q493" si="5200">AVERAGE(H490:H493)</f>
        <v>207.875</v>
      </c>
      <c r="R493" s="92">
        <f t="shared" ref="R493" si="5201">AVERAGE(I490:I493)</f>
        <v>276.15938864628822</v>
      </c>
      <c r="T493" s="92">
        <f t="shared" si="5108"/>
        <v>314.85416666666663</v>
      </c>
      <c r="U493" s="92">
        <f t="shared" ref="U493" si="5202">AVERAGE(L337,L389,L441)</f>
        <v>343.46527777777783</v>
      </c>
      <c r="V493" s="92">
        <f t="shared" ref="V493" si="5203">(M337+M389+M441)/3</f>
        <v>326.80555555555549</v>
      </c>
      <c r="W493" s="92">
        <f t="shared" ref="W493" si="5204">(N337+N389+N441)/3</f>
        <v>238.11111111111111</v>
      </c>
      <c r="X493" s="92">
        <f t="shared" ref="X493" si="5205">(O337+O389+O441)/3</f>
        <v>249.10416666666666</v>
      </c>
      <c r="Y493" s="92">
        <f t="shared" ref="Y493" si="5206">(P337+P389+P441)/3</f>
        <v>249.52083333333334</v>
      </c>
      <c r="Z493" s="92">
        <f t="shared" ref="Z493" si="5207">(Q337+Q389+Q441)/3</f>
        <v>168.68055555555554</v>
      </c>
      <c r="AA493" s="92">
        <f t="shared" ref="AA493" si="5208">(R337+R389+R441)/3</f>
        <v>231.08854924793789</v>
      </c>
      <c r="AC493" s="112">
        <f>+AF493-'Figure 8_data'!I705</f>
        <v>0</v>
      </c>
      <c r="AD493" s="92">
        <f t="shared" ref="AD493" si="5209">(B493/T493-1)*100</f>
        <v>35.618341824918964</v>
      </c>
      <c r="AE493" s="92">
        <f t="shared" ref="AE493" si="5210">(C493/U493-1)*100</f>
        <v>4.2317879455710639</v>
      </c>
      <c r="AF493" s="92">
        <f t="shared" ref="AF493" si="5211">(D493/V493-1)*100</f>
        <v>3.1194220144496576</v>
      </c>
      <c r="AG493" s="92">
        <f t="shared" ref="AG493" si="5212">(E493/W493-1)*100</f>
        <v>1.6332244517032191</v>
      </c>
      <c r="AH493" s="92">
        <f t="shared" ref="AH493" si="5213">(F493/X493-1)*100</f>
        <v>14.409969055783222</v>
      </c>
      <c r="AI493" s="92">
        <f t="shared" ref="AI493" si="5214">(G493/Y493-1)*100</f>
        <v>14.218919595892121</v>
      </c>
      <c r="AJ493" s="92">
        <f t="shared" ref="AJ493" si="5215">(H493/Z493-1)*100</f>
        <v>25.68135034993826</v>
      </c>
      <c r="AK493" s="92">
        <f t="shared" ref="AK493" si="5216">(I493/AA493-1)*100</f>
        <v>25.493020291912117</v>
      </c>
      <c r="AM493" s="112">
        <f>AP493-'Figure 8_data'!H705</f>
        <v>0</v>
      </c>
      <c r="AN493" s="92" t="e">
        <f t="shared" ref="AN493" si="5217">(B493/B441-1)*100</f>
        <v>#DIV/0!</v>
      </c>
      <c r="AO493" s="92">
        <f t="shared" ref="AO493" si="5218">(C493/C441-1)*100</f>
        <v>-23.010752688172044</v>
      </c>
      <c r="AP493" s="92">
        <f t="shared" ref="AP493" si="5219">(D493/D441-1)*100</f>
        <v>-26.739130434782609</v>
      </c>
      <c r="AQ493" s="92">
        <f t="shared" ref="AQ493" si="5220">(E493/E441-1)*100</f>
        <v>-26.10687022900763</v>
      </c>
      <c r="AR493" s="92">
        <f t="shared" ref="AR493" si="5221">(F493/F441-1)*100</f>
        <v>-26.293103448275868</v>
      </c>
      <c r="AS493" s="92">
        <f t="shared" ref="AS493" si="5222">(G493/G441-1)*100</f>
        <v>-26.293103448275868</v>
      </c>
      <c r="AT493" s="92" t="e">
        <f t="shared" ref="AT493" si="5223">(H493/H441-1)*100</f>
        <v>#DIV/0!</v>
      </c>
      <c r="AU493" s="92" t="e">
        <f t="shared" ref="AU493" si="5224">(I493/I441-1)*100</f>
        <v>#DIV/0!</v>
      </c>
    </row>
    <row r="494" spans="1:47" x14ac:dyDescent="0.3">
      <c r="A494" s="13">
        <f t="shared" si="475"/>
        <v>41037</v>
      </c>
      <c r="B494" s="92">
        <f>TWK!B439</f>
        <v>438</v>
      </c>
      <c r="C494" s="92">
        <f>TWK!C439</f>
        <v>368</v>
      </c>
      <c r="D494" s="92">
        <f>TWK!D439</f>
        <v>350</v>
      </c>
      <c r="E494" s="92">
        <f>TWK!E439</f>
        <v>242</v>
      </c>
      <c r="F494" s="92">
        <f>TWK!F439</f>
        <v>280</v>
      </c>
      <c r="G494" s="92">
        <f>TWK!G439</f>
        <v>280</v>
      </c>
      <c r="H494" s="92">
        <f>TWK!H439</f>
        <v>210</v>
      </c>
      <c r="I494" s="92">
        <f>TWK!I439</f>
        <v>288</v>
      </c>
      <c r="K494" s="92">
        <f t="shared" ref="K494" si="5225">AVERAGE(B494:B494)</f>
        <v>438</v>
      </c>
      <c r="L494" s="92">
        <f t="shared" ref="L494" si="5226">+C494</f>
        <v>368</v>
      </c>
      <c r="M494" s="92">
        <f t="shared" ref="M494" si="5227">AVERAGE(D491:D494)</f>
        <v>334.58333333333331</v>
      </c>
      <c r="N494" s="92">
        <f t="shared" ref="N494" si="5228">AVERAGE(E491:E494)</f>
        <v>239</v>
      </c>
      <c r="O494" s="92">
        <f t="shared" ref="O494" si="5229">AVERAGE(F491:F494)</f>
        <v>281.75</v>
      </c>
      <c r="P494" s="92">
        <f t="shared" ref="P494" si="5230">AVERAGE(G491:G494)</f>
        <v>281.75</v>
      </c>
      <c r="Q494" s="92">
        <f t="shared" ref="Q494" si="5231">AVERAGE(H491:H494)</f>
        <v>208.5</v>
      </c>
      <c r="R494" s="92">
        <f t="shared" ref="R494" si="5232">AVERAGE(I491:I494)</f>
        <v>285.52292576419211</v>
      </c>
      <c r="T494" s="92">
        <f t="shared" si="5108"/>
        <v>403.40972222222217</v>
      </c>
      <c r="U494" s="92">
        <f t="shared" ref="U494" si="5233">AVERAGE(L338,L390,L442)</f>
        <v>344.65277777777783</v>
      </c>
      <c r="V494" s="92">
        <f t="shared" ref="V494" si="5234">(M338+M390+M442)/3</f>
        <v>336.32638888888886</v>
      </c>
      <c r="W494" s="92">
        <f t="shared" ref="W494" si="5235">(N338+N390+N442)/3</f>
        <v>245.50694444444446</v>
      </c>
      <c r="X494" s="92">
        <f t="shared" ref="X494" si="5236">(O338+O390+O442)/3</f>
        <v>248.09722222222226</v>
      </c>
      <c r="Y494" s="92">
        <f t="shared" ref="Y494" si="5237">(P338+P390+P442)/3</f>
        <v>248.93055555555557</v>
      </c>
      <c r="Z494" s="92">
        <f t="shared" ref="Z494" si="5238">(Q338+Q390+Q442)/3</f>
        <v>173.88888888888889</v>
      </c>
      <c r="AA494" s="92">
        <f t="shared" ref="AA494" si="5239">(R338+R390+R442)/3</f>
        <v>202.97537603105289</v>
      </c>
      <c r="AC494" s="112">
        <f>+AF494-'Figure 8_data'!I706</f>
        <v>0</v>
      </c>
      <c r="AD494" s="92">
        <f t="shared" ref="AD494" si="5240">(B494/T494-1)*100</f>
        <v>8.5744779742128898</v>
      </c>
      <c r="AE494" s="92">
        <f t="shared" ref="AE494" si="5241">(C494/U494-1)*100</f>
        <v>6.7741285512794569</v>
      </c>
      <c r="AF494" s="92">
        <f t="shared" ref="AF494" si="5242">(D494/V494-1)*100</f>
        <v>4.0655778323801073</v>
      </c>
      <c r="AG494" s="92">
        <f t="shared" ref="AG494" si="5243">(E494/W494-1)*100</f>
        <v>-1.4284502022459233</v>
      </c>
      <c r="AH494" s="92">
        <f t="shared" ref="AH494" si="5244">(F494/X494-1)*100</f>
        <v>12.858982253820738</v>
      </c>
      <c r="AI494" s="92">
        <f t="shared" ref="AI494" si="5245">(G494/Y494-1)*100</f>
        <v>12.481169447079154</v>
      </c>
      <c r="AJ494" s="92">
        <f t="shared" ref="AJ494" si="5246">(H494/Z494-1)*100</f>
        <v>20.766773162939288</v>
      </c>
      <c r="AK494" s="92">
        <f t="shared" ref="AK494" si="5247">(I494/AA494-1)*100</f>
        <v>41.889132382215323</v>
      </c>
      <c r="AM494" s="112">
        <f>AP494-'Figure 8_data'!H706</f>
        <v>0</v>
      </c>
      <c r="AN494" s="92">
        <f t="shared" ref="AN494" si="5248">(B494/B442-1)*100</f>
        <v>-21.081081081081077</v>
      </c>
      <c r="AO494" s="92">
        <f t="shared" ref="AO494" si="5249">(C494/C442-1)*100</f>
        <v>-17.303370786516858</v>
      </c>
      <c r="AP494" s="92">
        <f t="shared" ref="AP494" si="5250">(D494/D442-1)*100</f>
        <v>-17.647058823529417</v>
      </c>
      <c r="AQ494" s="92">
        <f t="shared" ref="AQ494" si="5251">(E494/E442-1)*100</f>
        <v>-25.538461538461544</v>
      </c>
      <c r="AR494" s="92">
        <f t="shared" ref="AR494" si="5252">(F494/F442-1)*100</f>
        <v>-30.000000000000004</v>
      </c>
      <c r="AS494" s="92">
        <f t="shared" ref="AS494" si="5253">(G494/G442-1)*100</f>
        <v>-30.864197530864203</v>
      </c>
      <c r="AT494" s="92">
        <f t="shared" ref="AT494" si="5254">(H494/H442-1)*100</f>
        <v>-30.000000000000004</v>
      </c>
      <c r="AU494" s="92" t="e">
        <f t="shared" ref="AU494" si="5255">(I494/I442-1)*100</f>
        <v>#DIV/0!</v>
      </c>
    </row>
    <row r="495" spans="1:47" x14ac:dyDescent="0.3">
      <c r="A495" s="13">
        <f t="shared" si="475"/>
        <v>41044</v>
      </c>
      <c r="B495" s="92">
        <f>TWK!B440</f>
        <v>436.66666666666669</v>
      </c>
      <c r="C495" s="92">
        <f>TWK!C440</f>
        <v>365</v>
      </c>
      <c r="D495" s="92">
        <f>TWK!D440</f>
        <v>343.33333333333331</v>
      </c>
      <c r="E495" s="92">
        <f>TWK!E440</f>
        <v>250</v>
      </c>
      <c r="F495" s="92">
        <f>TWK!F440</f>
        <v>276.66666666666669</v>
      </c>
      <c r="G495" s="92">
        <f>TWK!G440</f>
        <v>276.66666666666669</v>
      </c>
      <c r="H495" s="92">
        <f>TWK!H440</f>
        <v>218.33333333333334</v>
      </c>
      <c r="I495" s="92">
        <f>TWK!I440</f>
        <v>299.37409024745267</v>
      </c>
      <c r="K495" s="92">
        <f t="shared" ref="K495" si="5256">AVERAGE(B495:B495)</f>
        <v>436.66666666666669</v>
      </c>
      <c r="L495" s="92">
        <f t="shared" ref="L495" si="5257">+C495</f>
        <v>365</v>
      </c>
      <c r="M495" s="92">
        <f t="shared" ref="M495" si="5258">AVERAGE(D492:D495)</f>
        <v>338.41666666666663</v>
      </c>
      <c r="N495" s="92">
        <f t="shared" ref="N495" si="5259">AVERAGE(E492:E495)</f>
        <v>242.25</v>
      </c>
      <c r="O495" s="92">
        <f t="shared" ref="O495" si="5260">AVERAGE(F492:F495)</f>
        <v>279.16666666666669</v>
      </c>
      <c r="P495" s="92">
        <f t="shared" ref="P495" si="5261">AVERAGE(G492:G495)</f>
        <v>279.16666666666669</v>
      </c>
      <c r="Q495" s="92">
        <f t="shared" ref="Q495" si="5262">AVERAGE(H492:H495)</f>
        <v>211.33333333333334</v>
      </c>
      <c r="R495" s="92">
        <f t="shared" ref="R495" si="5263">AVERAGE(I492:I495)</f>
        <v>289.61644832605532</v>
      </c>
      <c r="T495" s="92">
        <f t="shared" si="5108"/>
        <v>420.21527777777777</v>
      </c>
      <c r="U495" s="92">
        <f t="shared" ref="U495" si="5264">AVERAGE(L339,L391,L443)</f>
        <v>354.96527777777777</v>
      </c>
      <c r="V495" s="92">
        <f t="shared" ref="V495" si="5265">(M339+M391+M443)/3</f>
        <v>349.90277777777783</v>
      </c>
      <c r="W495" s="92">
        <f t="shared" ref="W495" si="5266">(N339+N391+N443)/3</f>
        <v>255.57638888888889</v>
      </c>
      <c r="X495" s="92">
        <f t="shared" ref="X495" si="5267">(O339+O391+O443)/3</f>
        <v>259.83333333333331</v>
      </c>
      <c r="Y495" s="92">
        <f t="shared" ref="Y495" si="5268">(P339+P391+P443)/3</f>
        <v>260.25</v>
      </c>
      <c r="Z495" s="92">
        <f t="shared" ref="Z495" si="5269">(Q339+Q391+Q443)/3</f>
        <v>184.05555555555557</v>
      </c>
      <c r="AA495" s="92">
        <f t="shared" ref="AA495" si="5270">(R339+R391+R443)/3</f>
        <v>183.55033964095102</v>
      </c>
      <c r="AC495" s="112">
        <f>+AF495-'Figure 8_data'!I707</f>
        <v>0</v>
      </c>
      <c r="AD495" s="92">
        <f t="shared" ref="AD495" si="5271">(B495/T495-1)*100</f>
        <v>3.9149906628547004</v>
      </c>
      <c r="AE495" s="92">
        <f t="shared" ref="AE495" si="5272">(C495/U495-1)*100</f>
        <v>2.8269588183507777</v>
      </c>
      <c r="AF495" s="92">
        <f t="shared" ref="AF495" si="5273">(D495/V495-1)*100</f>
        <v>-1.8775056563331227</v>
      </c>
      <c r="AG495" s="92">
        <f t="shared" ref="AG495" si="5274">(E495/W495-1)*100</f>
        <v>-2.1818873461402544</v>
      </c>
      <c r="AH495" s="92">
        <f t="shared" ref="AH495" si="5275">(F495/X495-1)*100</f>
        <v>6.4785118665811492</v>
      </c>
      <c r="AI495" s="92">
        <f t="shared" ref="AI495" si="5276">(G495/Y495-1)*100</f>
        <v>6.3080371437720162</v>
      </c>
      <c r="AJ495" s="92">
        <f t="shared" ref="AJ495" si="5277">(H495/Z495-1)*100</f>
        <v>18.62360398430425</v>
      </c>
      <c r="AK495" s="92">
        <f t="shared" ref="AK495" si="5278">(I495/AA495-1)*100</f>
        <v>63.101899366172987</v>
      </c>
      <c r="AM495" s="112">
        <f>AP495-'Figure 8_data'!H707</f>
        <v>0</v>
      </c>
      <c r="AN495" s="92">
        <f t="shared" ref="AN495" si="5279">(B495/B443-1)*100</f>
        <v>-20.606060606060606</v>
      </c>
      <c r="AO495" s="92">
        <f t="shared" ref="AO495" si="5280">(C495/C443-1)*100</f>
        <v>-15.769230769230768</v>
      </c>
      <c r="AP495" s="92">
        <f t="shared" ref="AP495" si="5281">(D495/D443-1)*100</f>
        <v>-18.577075098814234</v>
      </c>
      <c r="AQ495" s="92">
        <f t="shared" ref="AQ495" si="5282">(E495/E443-1)*100</f>
        <v>-20.63492063492064</v>
      </c>
      <c r="AR495" s="92">
        <f t="shared" ref="AR495" si="5283">(F495/F443-1)*100</f>
        <v>-34.901960784313722</v>
      </c>
      <c r="AS495" s="92">
        <f t="shared" ref="AS495" si="5284">(G495/G443-1)*100</f>
        <v>-34.901960784313722</v>
      </c>
      <c r="AT495" s="92">
        <f t="shared" ref="AT495" si="5285">(H495/H443-1)*100</f>
        <v>-25.228310502283101</v>
      </c>
      <c r="AU495" s="92" t="e">
        <f t="shared" ref="AU495" si="5286">(I495/I443-1)*100</f>
        <v>#DIV/0!</v>
      </c>
    </row>
    <row r="496" spans="1:47" x14ac:dyDescent="0.3">
      <c r="A496" s="13">
        <f t="shared" si="475"/>
        <v>41051</v>
      </c>
      <c r="B496" s="92">
        <f>TWK!B441</f>
        <v>423</v>
      </c>
      <c r="C496" s="92">
        <f>TWK!C441</f>
        <v>350</v>
      </c>
      <c r="D496" s="92">
        <f>TWK!D441</f>
        <v>323</v>
      </c>
      <c r="E496" s="92">
        <f>TWK!E441</f>
        <v>242</v>
      </c>
      <c r="F496" s="92">
        <f>TWK!F441</f>
        <v>277</v>
      </c>
      <c r="G496" s="92">
        <f>TWK!G441</f>
        <v>277</v>
      </c>
      <c r="H496" s="92">
        <f>TWK!H441</f>
        <v>210</v>
      </c>
      <c r="I496" s="92">
        <f>TWK!I441</f>
        <v>288</v>
      </c>
      <c r="K496" s="92">
        <f t="shared" ref="K496" si="5287">AVERAGE(B496:B496)</f>
        <v>423</v>
      </c>
      <c r="L496" s="92">
        <f t="shared" ref="L496" si="5288">+C496</f>
        <v>350</v>
      </c>
      <c r="M496" s="92">
        <f t="shared" ref="M496" si="5289">AVERAGE(D493:D496)</f>
        <v>338.33333333333331</v>
      </c>
      <c r="N496" s="92">
        <f t="shared" ref="N496" si="5290">AVERAGE(E493:E496)</f>
        <v>244</v>
      </c>
      <c r="O496" s="92">
        <f t="shared" ref="O496" si="5291">AVERAGE(F493:F496)</f>
        <v>279.66666666666669</v>
      </c>
      <c r="P496" s="92">
        <f t="shared" ref="P496" si="5292">AVERAGE(G493:G496)</f>
        <v>279.66666666666669</v>
      </c>
      <c r="Q496" s="92">
        <f t="shared" ref="Q496" si="5293">AVERAGE(H493:H496)</f>
        <v>212.58333333333334</v>
      </c>
      <c r="R496" s="92">
        <f t="shared" ref="R496" si="5294">AVERAGE(I493:I496)</f>
        <v>291.34352256186315</v>
      </c>
      <c r="T496" s="92">
        <f t="shared" ref="T496" si="5295">AVERAGE(K340,K392,K444)</f>
        <v>427.1875</v>
      </c>
      <c r="U496" s="92">
        <f t="shared" ref="U496" si="5296">AVERAGE(L340,L392,L444)</f>
        <v>368.88888888888886</v>
      </c>
      <c r="V496" s="92">
        <f t="shared" ref="V496" si="5297">(M340+M392+M444)/3</f>
        <v>358.08333333333331</v>
      </c>
      <c r="W496" s="92">
        <f t="shared" ref="W496" si="5298">(N340+N392+N444)/3</f>
        <v>260.67361111111109</v>
      </c>
      <c r="X496" s="92">
        <f t="shared" ref="X496" si="5299">(O340+O392+O444)/3</f>
        <v>303.88888888888891</v>
      </c>
      <c r="Y496" s="92">
        <f t="shared" ref="Y496" si="5300">(P340+P392+P444)/3</f>
        <v>304.3055555555556</v>
      </c>
      <c r="Z496" s="92">
        <f t="shared" ref="Z496" si="5301">(Q340+Q392+Q444)/3</f>
        <v>212.24305555555557</v>
      </c>
      <c r="AA496" s="92">
        <f t="shared" ref="AA496" si="5302">(R340+R392+R444)/3</f>
        <v>188.08145317806893</v>
      </c>
      <c r="AC496" s="112">
        <f>+AF496-'Figure 8_data'!I708</f>
        <v>0</v>
      </c>
      <c r="AD496" s="92">
        <f t="shared" ref="AD496" si="5303">(B496/T496-1)*100</f>
        <v>-0.98024871982442807</v>
      </c>
      <c r="AE496" s="92">
        <f t="shared" ref="AE496" si="5304">(C496/U496-1)*100</f>
        <v>-5.1204819277108404</v>
      </c>
      <c r="AF496" s="92">
        <f t="shared" ref="AF496" si="5305">(D496/V496-1)*100</f>
        <v>-9.7975331626716233</v>
      </c>
      <c r="AG496" s="92">
        <f t="shared" ref="AG496" si="5306">(E496/W496-1)*100</f>
        <v>-7.1635985827317006</v>
      </c>
      <c r="AH496" s="92">
        <f t="shared" ref="AH496" si="5307">(F496/X496-1)*100</f>
        <v>-8.8482632541133537</v>
      </c>
      <c r="AI496" s="92">
        <f t="shared" ref="AI496" si="5308">(G496/Y496-1)*100</f>
        <v>-8.9730716567777424</v>
      </c>
      <c r="AJ496" s="92">
        <f t="shared" ref="AJ496" si="5309">(H496/Z496-1)*100</f>
        <v>-1.0568334260380285</v>
      </c>
      <c r="AK496" s="92">
        <f t="shared" ref="AK496" si="5310">(I496/AA496-1)*100</f>
        <v>53.125146118119204</v>
      </c>
      <c r="AM496" s="112">
        <f>AP496-'Figure 8_data'!H708</f>
        <v>0</v>
      </c>
      <c r="AN496" s="92">
        <f t="shared" ref="AN496" si="5311">(B496/B444-1)*100</f>
        <v>-20.188679245283016</v>
      </c>
      <c r="AO496" s="92">
        <f t="shared" ref="AO496" si="5312">(C496/C444-1)*100</f>
        <v>-22.794117647058819</v>
      </c>
      <c r="AP496" s="92">
        <f t="shared" ref="AP496" si="5313">(D496/D444-1)*100</f>
        <v>-28.022284122562681</v>
      </c>
      <c r="AQ496" s="92">
        <f t="shared" ref="AQ496" si="5314">(E496/E444-1)*100</f>
        <v>-26.943396226415096</v>
      </c>
      <c r="AR496" s="92">
        <f t="shared" ref="AR496" si="5315">(F496/F444-1)*100</f>
        <v>-36.321839080459775</v>
      </c>
      <c r="AS496" s="92">
        <f t="shared" ref="AS496" si="5316">(G496/G444-1)*100</f>
        <v>-36.321839080459775</v>
      </c>
      <c r="AT496" s="92">
        <f t="shared" ref="AT496" si="5317">(H496/H444-1)*100</f>
        <v>-28.8135593220339</v>
      </c>
      <c r="AU496" s="92" t="e">
        <f t="shared" ref="AU496" si="5318">(I496/I444-1)*100</f>
        <v>#DIV/0!</v>
      </c>
    </row>
    <row r="497" spans="1:47" x14ac:dyDescent="0.3">
      <c r="A497" s="13">
        <f t="shared" si="475"/>
        <v>41058</v>
      </c>
      <c r="B497" s="92">
        <f>TWK!B442</f>
        <v>422.5</v>
      </c>
      <c r="C497" s="92">
        <f>TWK!C442</f>
        <v>347.5</v>
      </c>
      <c r="D497" s="92">
        <f>TWK!D442</f>
        <v>330</v>
      </c>
      <c r="E497" s="92">
        <f>TWK!E442</f>
        <v>240</v>
      </c>
      <c r="F497" s="92">
        <f>TWK!F442</f>
        <v>272.5</v>
      </c>
      <c r="G497" s="92">
        <f>TWK!G442</f>
        <v>272.5</v>
      </c>
      <c r="H497" s="92">
        <f>TWK!H442</f>
        <v>205</v>
      </c>
      <c r="I497" s="92">
        <f>TWK!I442</f>
        <v>281.09170305676855</v>
      </c>
      <c r="K497" s="92">
        <f t="shared" ref="K497" si="5319">AVERAGE(B497:B497)</f>
        <v>422.5</v>
      </c>
      <c r="L497" s="92">
        <f t="shared" ref="L497" si="5320">+C497</f>
        <v>347.5</v>
      </c>
      <c r="M497" s="92">
        <f t="shared" ref="M497" si="5321">AVERAGE(D494:D497)</f>
        <v>336.58333333333331</v>
      </c>
      <c r="N497" s="92">
        <f t="shared" ref="N497" si="5322">AVERAGE(E494:E497)</f>
        <v>243.5</v>
      </c>
      <c r="O497" s="92">
        <f t="shared" ref="O497" si="5323">AVERAGE(F494:F497)</f>
        <v>276.54166666666669</v>
      </c>
      <c r="P497" s="92">
        <f t="shared" ref="P497" si="5324">AVERAGE(G494:G497)</f>
        <v>276.54166666666669</v>
      </c>
      <c r="Q497" s="92">
        <f t="shared" ref="Q497" si="5325">AVERAGE(H494:H497)</f>
        <v>210.83333333333334</v>
      </c>
      <c r="R497" s="92">
        <f t="shared" ref="R497" si="5326">AVERAGE(I494:I497)</f>
        <v>289.11644832605532</v>
      </c>
      <c r="T497" s="92">
        <f t="shared" ref="T497" si="5327">AVERAGE(K341,K393,K445)</f>
        <v>437.52777777777783</v>
      </c>
      <c r="U497" s="92">
        <f t="shared" ref="U497" si="5328">AVERAGE(L341,L393,L445)</f>
        <v>381.07638888888886</v>
      </c>
      <c r="V497" s="92">
        <f t="shared" ref="V497" si="5329">(M341+M393+M445)/3</f>
        <v>357.39583333333331</v>
      </c>
      <c r="W497" s="92">
        <f t="shared" ref="W497" si="5330">(N341+N393+N445)/3</f>
        <v>261.68055555555554</v>
      </c>
      <c r="X497" s="92">
        <f t="shared" ref="X497" si="5331">(O341+O393+O445)/3</f>
        <v>312.83333333333331</v>
      </c>
      <c r="Y497" s="92">
        <f t="shared" ref="Y497" si="5332">(P341+P393+P445)/3</f>
        <v>313.25</v>
      </c>
      <c r="Z497" s="92">
        <f t="shared" ref="Z497" si="5333">(Q341+Q393+Q445)/3</f>
        <v>237.45138888888891</v>
      </c>
      <c r="AA497" s="92">
        <f t="shared" ref="AA497" si="5334">(R341+R393+R445)/3</f>
        <v>188.97755943716643</v>
      </c>
      <c r="AC497" s="112">
        <f>+AF497-'Figure 8_data'!I709</f>
        <v>0</v>
      </c>
      <c r="AD497" s="92">
        <f t="shared" ref="AD497" si="5335">(B497/T497-1)*100</f>
        <v>-3.434702558567726</v>
      </c>
      <c r="AE497" s="92">
        <f t="shared" ref="AE497" si="5336">(C497/U497-1)*100</f>
        <v>-8.8109339407744791</v>
      </c>
      <c r="AF497" s="92">
        <f t="shared" ref="AF497" si="5337">(D497/V497-1)*100</f>
        <v>-7.6654036723987069</v>
      </c>
      <c r="AG497" s="92">
        <f t="shared" ref="AG497" si="5338">(E497/W497-1)*100</f>
        <v>-8.2851228703359698</v>
      </c>
      <c r="AH497" s="92">
        <f t="shared" ref="AH497" si="5339">(F497/X497-1)*100</f>
        <v>-12.892914224826846</v>
      </c>
      <c r="AI497" s="92">
        <f t="shared" ref="AI497" si="5340">(G497/Y497-1)*100</f>
        <v>-13.008778930566645</v>
      </c>
      <c r="AJ497" s="92">
        <f t="shared" ref="AJ497" si="5341">(H497/Z497-1)*100</f>
        <v>-13.666539935074439</v>
      </c>
      <c r="AK497" s="92">
        <f t="shared" ref="AK497" si="5342">(I497/AA497-1)*100</f>
        <v>48.743429587061286</v>
      </c>
      <c r="AM497" s="112">
        <f>AP497-'Figure 8_data'!H709</f>
        <v>0</v>
      </c>
      <c r="AN497" s="92">
        <f t="shared" ref="AN497" si="5343">(B497/B445-1)*100</f>
        <v>-22.047970479704794</v>
      </c>
      <c r="AO497" s="92">
        <f t="shared" ref="AO497" si="5344">(C497/C445-1)*100</f>
        <v>-28.350515463917525</v>
      </c>
      <c r="AP497" s="92">
        <f t="shared" ref="AP497" si="5345">(D497/D445-1)*100</f>
        <v>-28.725701943844495</v>
      </c>
      <c r="AQ497" s="92">
        <f t="shared" ref="AQ497" si="5346">(E497/E445-1)*100</f>
        <v>-31.428571428571427</v>
      </c>
      <c r="AR497" s="92">
        <f t="shared" ref="AR497" si="5347">(F497/F445-1)*100</f>
        <v>-37.785388127853878</v>
      </c>
      <c r="AS497" s="92">
        <f t="shared" ref="AS497" si="5348">(G497/G445-1)*100</f>
        <v>-37.785388127853878</v>
      </c>
      <c r="AT497" s="92">
        <f t="shared" ref="AT497" si="5349">(H497/H445-1)*100</f>
        <v>-33.441558441558442</v>
      </c>
      <c r="AU497" s="92" t="e">
        <f t="shared" ref="AU497" si="5350">(I497/I445-1)*100</f>
        <v>#DIV/0!</v>
      </c>
    </row>
    <row r="498" spans="1:47" x14ac:dyDescent="0.3">
      <c r="A498" s="13">
        <f t="shared" si="475"/>
        <v>41065</v>
      </c>
      <c r="B498" s="92">
        <f>TWK!B443</f>
        <v>388.75</v>
      </c>
      <c r="C498" s="92">
        <f>TWK!C443</f>
        <v>320</v>
      </c>
      <c r="D498" s="92">
        <f>TWK!D443</f>
        <v>285</v>
      </c>
      <c r="E498" s="92">
        <f>TWK!E443</f>
        <v>220</v>
      </c>
      <c r="F498" s="92">
        <f>TWK!F443</f>
        <v>263.75</v>
      </c>
      <c r="G498" s="92">
        <f>TWK!G443</f>
        <v>263.75</v>
      </c>
      <c r="H498" s="92">
        <f>TWK!H443</f>
        <v>203.75</v>
      </c>
      <c r="I498" s="92">
        <f>TWK!I443</f>
        <v>281.09170305676855</v>
      </c>
      <c r="K498" s="92">
        <f t="shared" ref="K498" si="5351">AVERAGE(B498:B498)</f>
        <v>388.75</v>
      </c>
      <c r="L498" s="92">
        <f t="shared" ref="L498" si="5352">+C498</f>
        <v>320</v>
      </c>
      <c r="M498" s="92">
        <f t="shared" ref="M498" si="5353">AVERAGE(D495:D498)</f>
        <v>320.33333333333331</v>
      </c>
      <c r="N498" s="92">
        <f t="shared" ref="N498" si="5354">AVERAGE(E495:E498)</f>
        <v>238</v>
      </c>
      <c r="O498" s="92">
        <f t="shared" ref="O498" si="5355">AVERAGE(F495:F498)</f>
        <v>272.47916666666669</v>
      </c>
      <c r="P498" s="92">
        <f t="shared" ref="P498" si="5356">AVERAGE(G495:G498)</f>
        <v>272.47916666666669</v>
      </c>
      <c r="Q498" s="92">
        <f t="shared" ref="Q498" si="5357">AVERAGE(H495:H498)</f>
        <v>209.27083333333334</v>
      </c>
      <c r="R498" s="92">
        <f t="shared" ref="R498" si="5358">AVERAGE(I495:I498)</f>
        <v>287.38937409024743</v>
      </c>
      <c r="T498" s="92">
        <f t="shared" ref="T498" si="5359">AVERAGE(K342,K394,K446)</f>
        <v>437.48611111111114</v>
      </c>
      <c r="U498" s="92">
        <f t="shared" ref="U498" si="5360">AVERAGE(L342,L394,L446)</f>
        <v>371.03472222222223</v>
      </c>
      <c r="V498" s="92">
        <f t="shared" ref="V498" si="5361">(M342+M394+M446)/3</f>
        <v>351.41666666666669</v>
      </c>
      <c r="W498" s="92">
        <f t="shared" ref="W498" si="5362">(N342+N394+N446)/3</f>
        <v>257.09722222222223</v>
      </c>
      <c r="X498" s="92">
        <f t="shared" ref="X498" si="5363">(O342+O394+O446)/3</f>
        <v>313.35416666666669</v>
      </c>
      <c r="Y498" s="92">
        <f t="shared" ref="Y498" si="5364">(P342+P394+P446)/3</f>
        <v>313.35416666666669</v>
      </c>
      <c r="Z498" s="92">
        <f t="shared" ref="Z498" si="5365">(Q342+Q394+Q446)/3</f>
        <v>235.05555555555557</v>
      </c>
      <c r="AA498" s="92">
        <f t="shared" ref="AA498" si="5366">(R342+R394+R446)/3</f>
        <v>186.43904657933044</v>
      </c>
      <c r="AC498" s="112">
        <f>+AF498-'Figure 8_data'!I710</f>
        <v>0</v>
      </c>
      <c r="AD498" s="92">
        <f t="shared" ref="AD498" si="5367">(B498/T498-1)*100</f>
        <v>-11.140036191625136</v>
      </c>
      <c r="AE498" s="92">
        <f t="shared" ref="AE498" si="5368">(C498/U498-1)*100</f>
        <v>-13.754702502386351</v>
      </c>
      <c r="AF498" s="92">
        <f t="shared" ref="AF498" si="5369">(D498/V498-1)*100</f>
        <v>-18.899691723974399</v>
      </c>
      <c r="AG498" s="92">
        <f t="shared" ref="AG498" si="5370">(E498/W498-1)*100</f>
        <v>-14.429258278861223</v>
      </c>
      <c r="AH498" s="92">
        <f t="shared" ref="AH498" si="5371">(F498/X498-1)*100</f>
        <v>-15.830064490392937</v>
      </c>
      <c r="AI498" s="92">
        <f t="shared" ref="AI498" si="5372">(G498/Y498-1)*100</f>
        <v>-15.830064490392937</v>
      </c>
      <c r="AJ498" s="92">
        <f t="shared" ref="AJ498" si="5373">(H498/Z498-1)*100</f>
        <v>-13.31836445284803</v>
      </c>
      <c r="AK498" s="92">
        <f t="shared" ref="AK498" si="5374">(I498/AA498-1)*100</f>
        <v>50.768687254127912</v>
      </c>
      <c r="AM498" s="112">
        <f>AP498-'Figure 8_data'!H710</f>
        <v>0</v>
      </c>
      <c r="AN498" s="92">
        <f t="shared" ref="AN498" si="5375">(B498/B446-1)*100</f>
        <v>-29.31818181818182</v>
      </c>
      <c r="AO498" s="92">
        <f t="shared" ref="AO498" si="5376">(C498/C446-1)*100</f>
        <v>-32.155477031802128</v>
      </c>
      <c r="AP498" s="92">
        <f t="shared" ref="AP498" si="5377">(D498/D446-1)*100</f>
        <v>-36.194029850746269</v>
      </c>
      <c r="AQ498" s="92">
        <f t="shared" ref="AQ498" si="5378">(E498/E446-1)*100</f>
        <v>-35.922330097087375</v>
      </c>
      <c r="AR498" s="92">
        <f t="shared" ref="AR498" si="5379">(F498/F446-1)*100</f>
        <v>-35.866261398176292</v>
      </c>
      <c r="AS498" s="92">
        <f t="shared" ref="AS498" si="5380">(G498/G446-1)*100</f>
        <v>-35.866261398176292</v>
      </c>
      <c r="AT498" s="92">
        <f t="shared" ref="AT498" si="5381">(H498/H446-1)*100</f>
        <v>-34.799999999999997</v>
      </c>
      <c r="AU498" s="92" t="e">
        <f t="shared" ref="AU498" si="5382">(I498/I446-1)*100</f>
        <v>#DIV/0!</v>
      </c>
    </row>
    <row r="499" spans="1:47" x14ac:dyDescent="0.3">
      <c r="A499" s="13">
        <f t="shared" si="475"/>
        <v>41072</v>
      </c>
      <c r="B499" s="92">
        <f>TWK!B444</f>
        <v>386.25</v>
      </c>
      <c r="C499" s="92">
        <f>TWK!C444</f>
        <v>320</v>
      </c>
      <c r="D499" s="92">
        <f>TWK!D444</f>
        <v>283.75</v>
      </c>
      <c r="E499" s="92">
        <f>TWK!E444</f>
        <v>217.5</v>
      </c>
      <c r="F499" s="92">
        <f>TWK!F444</f>
        <v>266.25</v>
      </c>
      <c r="G499" s="92">
        <f>TWK!G444</f>
        <v>266.25</v>
      </c>
      <c r="H499" s="92">
        <f>TWK!H444</f>
        <v>200</v>
      </c>
      <c r="I499" s="92">
        <f>TWK!I444</f>
        <v>274.23580786026201</v>
      </c>
      <c r="K499" s="92">
        <f t="shared" ref="K499" si="5383">AVERAGE(B499:B499)</f>
        <v>386.25</v>
      </c>
      <c r="L499" s="92">
        <f t="shared" ref="L499" si="5384">+C499</f>
        <v>320</v>
      </c>
      <c r="M499" s="92">
        <f t="shared" ref="M499" si="5385">AVERAGE(D496:D499)</f>
        <v>305.4375</v>
      </c>
      <c r="N499" s="92">
        <f t="shared" ref="N499" si="5386">AVERAGE(E496:E499)</f>
        <v>229.875</v>
      </c>
      <c r="O499" s="92">
        <f t="shared" ref="O499" si="5387">AVERAGE(F496:F499)</f>
        <v>269.875</v>
      </c>
      <c r="P499" s="92">
        <f t="shared" ref="P499" si="5388">AVERAGE(G496:G499)</f>
        <v>269.875</v>
      </c>
      <c r="Q499" s="92">
        <f t="shared" ref="Q499" si="5389">AVERAGE(H496:H499)</f>
        <v>204.6875</v>
      </c>
      <c r="R499" s="92">
        <f t="shared" ref="R499" si="5390">AVERAGE(I496:I499)</f>
        <v>281.10480349344977</v>
      </c>
      <c r="T499" s="92">
        <f t="shared" ref="T499" si="5391">AVERAGE(K343,K395,K447)</f>
        <v>422.69444444444451</v>
      </c>
      <c r="U499" s="92">
        <f t="shared" ref="U499" si="5392">AVERAGE(L343,L395,L447)</f>
        <v>363.2569444444444</v>
      </c>
      <c r="V499" s="92">
        <f t="shared" ref="V499" si="5393">(M343+M395+M447)/3</f>
        <v>345.16666666666669</v>
      </c>
      <c r="W499" s="92">
        <f t="shared" ref="W499" si="5394">(N343+N395+N447)/3</f>
        <v>251.125</v>
      </c>
      <c r="X499" s="92">
        <f t="shared" ref="X499" si="5395">(O343+O395+O447)/3</f>
        <v>302.3125</v>
      </c>
      <c r="Y499" s="92">
        <f t="shared" ref="Y499" si="5396">(P343+P395+P447)/3</f>
        <v>302.3125</v>
      </c>
      <c r="Z499" s="92">
        <f t="shared" ref="Z499" si="5397">(Q343+Q395+Q447)/3</f>
        <v>229.33333333333334</v>
      </c>
      <c r="AA499" s="92">
        <f t="shared" ref="AA499" si="5398">(R343+R395+R447)/3</f>
        <v>176.71840126152355</v>
      </c>
      <c r="AC499" s="112">
        <f>+AF499-'Figure 8_data'!I711</f>
        <v>0</v>
      </c>
      <c r="AD499" s="92">
        <f t="shared" ref="AD499" si="5399">(B499/T499-1)*100</f>
        <v>-8.6219359926398287</v>
      </c>
      <c r="AE499" s="92">
        <f t="shared" ref="AE499" si="5400">(C499/U499-1)*100</f>
        <v>-11.90808465082489</v>
      </c>
      <c r="AF499" s="92">
        <f t="shared" ref="AF499" si="5401">(D499/V499-1)*100</f>
        <v>-17.793336552390148</v>
      </c>
      <c r="AG499" s="92">
        <f t="shared" ref="AG499" si="5402">(E499/W499-1)*100</f>
        <v>-13.389746142359382</v>
      </c>
      <c r="AH499" s="92">
        <f t="shared" ref="AH499" si="5403">(F499/X499-1)*100</f>
        <v>-11.928881538143477</v>
      </c>
      <c r="AI499" s="92">
        <f t="shared" ref="AI499" si="5404">(G499/Y499-1)*100</f>
        <v>-11.928881538143477</v>
      </c>
      <c r="AJ499" s="92">
        <f t="shared" ref="AJ499" si="5405">(H499/Z499-1)*100</f>
        <v>-12.790697674418606</v>
      </c>
      <c r="AK499" s="92">
        <f t="shared" ref="AK499" si="5406">(I499/AA499-1)*100</f>
        <v>55.182372578407126</v>
      </c>
      <c r="AM499" s="112">
        <f>AP499-'Figure 8_data'!H711</f>
        <v>0</v>
      </c>
      <c r="AN499" s="92">
        <f t="shared" ref="AN499" si="5407">(B499/B447-1)*100</f>
        <v>-27.803738317757009</v>
      </c>
      <c r="AO499" s="92">
        <f t="shared" ref="AO499" si="5408">(C499/C447-1)*100</f>
        <v>-32.631578947368425</v>
      </c>
      <c r="AP499" s="92">
        <f t="shared" ref="AP499" si="5409">(D499/D447-1)*100</f>
        <v>-36.414565826330538</v>
      </c>
      <c r="AQ499" s="92">
        <f t="shared" ref="AQ499" si="5410">(E499/E447-1)*100</f>
        <v>-35.55555555555555</v>
      </c>
      <c r="AR499" s="92">
        <f t="shared" ref="AR499" si="5411">(F499/F447-1)*100</f>
        <v>-32.594936708860757</v>
      </c>
      <c r="AS499" s="92">
        <f t="shared" ref="AS499" si="5412">(G499/G447-1)*100</f>
        <v>-32.594936708860757</v>
      </c>
      <c r="AT499" s="92">
        <f t="shared" ref="AT499" si="5413">(H499/H447-1)*100</f>
        <v>-35.222672064777328</v>
      </c>
      <c r="AU499" s="92" t="e">
        <f t="shared" ref="AU499" si="5414">(I499/I447-1)*100</f>
        <v>#DIV/0!</v>
      </c>
    </row>
    <row r="500" spans="1:47" x14ac:dyDescent="0.3">
      <c r="A500" s="13">
        <f t="shared" si="475"/>
        <v>41079</v>
      </c>
      <c r="B500" s="92">
        <f>TWK!B445</f>
        <v>375</v>
      </c>
      <c r="C500" s="92">
        <f>TWK!C445</f>
        <v>313.33333333333331</v>
      </c>
      <c r="D500" s="92">
        <f>TWK!D445</f>
        <v>276.66666666666669</v>
      </c>
      <c r="E500" s="92">
        <f>TWK!E445</f>
        <v>231.66666666666666</v>
      </c>
      <c r="F500" s="92">
        <f>TWK!F445</f>
        <v>265</v>
      </c>
      <c r="G500" s="92">
        <f>TWK!G445</f>
        <v>265</v>
      </c>
      <c r="H500" s="92">
        <f>TWK!H445</f>
        <v>197.5</v>
      </c>
      <c r="I500" s="92">
        <f>TWK!I445</f>
        <v>270.80786026200872</v>
      </c>
      <c r="K500" s="92">
        <f t="shared" ref="K500" si="5415">AVERAGE(B500:B500)</f>
        <v>375</v>
      </c>
      <c r="L500" s="92">
        <f t="shared" ref="L500" si="5416">+C500</f>
        <v>313.33333333333331</v>
      </c>
      <c r="M500" s="92">
        <f t="shared" ref="M500" si="5417">AVERAGE(D497:D500)</f>
        <v>293.85416666666669</v>
      </c>
      <c r="N500" s="92">
        <f t="shared" ref="N500" si="5418">AVERAGE(E497:E500)</f>
        <v>227.29166666666666</v>
      </c>
      <c r="O500" s="92">
        <f t="shared" ref="O500" si="5419">AVERAGE(F497:F500)</f>
        <v>266.875</v>
      </c>
      <c r="P500" s="92">
        <f t="shared" ref="P500" si="5420">AVERAGE(G497:G500)</f>
        <v>266.875</v>
      </c>
      <c r="Q500" s="92">
        <f t="shared" ref="Q500" si="5421">AVERAGE(H497:H500)</f>
        <v>201.5625</v>
      </c>
      <c r="R500" s="92">
        <f t="shared" ref="R500" si="5422">AVERAGE(I497:I500)</f>
        <v>276.80676855895194</v>
      </c>
      <c r="T500" s="92">
        <f t="shared" ref="T500" si="5423">AVERAGE(K344,K396,K448)</f>
        <v>423.52777777777783</v>
      </c>
      <c r="U500" s="92">
        <f t="shared" ref="U500" si="5424">AVERAGE(L344,L396,L448)</f>
        <v>362.11111111111109</v>
      </c>
      <c r="V500" s="92">
        <f t="shared" ref="V500" si="5425">(M344+M396+M448)/3</f>
        <v>342.42361111111109</v>
      </c>
      <c r="W500" s="92">
        <f t="shared" ref="W500" si="5426">(N344+N396+N448)/3</f>
        <v>250.8472222222222</v>
      </c>
      <c r="X500" s="92">
        <f t="shared" ref="X500" si="5427">(O344+O396+O448)/3</f>
        <v>291.375</v>
      </c>
      <c r="Y500" s="92">
        <f t="shared" ref="Y500" si="5428">(P344+P396+P448)/3</f>
        <v>291.375</v>
      </c>
      <c r="Z500" s="92">
        <f t="shared" ref="Z500" si="5429">(Q344+Q396+Q448)/3</f>
        <v>228.77777777777774</v>
      </c>
      <c r="AA500" s="92">
        <f t="shared" ref="AA500" si="5430">(R344+R396+R448)/3</f>
        <v>209.66478651140224</v>
      </c>
      <c r="AC500" s="112">
        <f>+AF500-'Figure 8_data'!I712</f>
        <v>0</v>
      </c>
      <c r="AD500" s="92">
        <f t="shared" ref="AD500" si="5431">(B500/T500-1)*100</f>
        <v>-11.457991736079244</v>
      </c>
      <c r="AE500" s="92">
        <f t="shared" ref="AE500" si="5432">(C500/U500-1)*100</f>
        <v>-13.470389690088979</v>
      </c>
      <c r="AF500" s="92">
        <f t="shared" ref="AF500" si="5433">(D500/V500-1)*100</f>
        <v>-19.203390861708801</v>
      </c>
      <c r="AG500" s="92">
        <f t="shared" ref="AG500" si="5434">(E500/W500-1)*100</f>
        <v>-7.6463097281435077</v>
      </c>
      <c r="AH500" s="92">
        <f t="shared" ref="AH500" si="5435">(F500/X500-1)*100</f>
        <v>-9.0519090519090568</v>
      </c>
      <c r="AI500" s="92">
        <f t="shared" ref="AI500" si="5436">(G500/Y500-1)*100</f>
        <v>-9.0519090519090568</v>
      </c>
      <c r="AJ500" s="92">
        <f t="shared" ref="AJ500" si="5437">(H500/Z500-1)*100</f>
        <v>-13.671685284118496</v>
      </c>
      <c r="AK500" s="92">
        <f t="shared" ref="AK500" si="5438">(I500/AA500-1)*100</f>
        <v>29.162299863492478</v>
      </c>
      <c r="AM500" s="112">
        <f>AP500-'Figure 8_data'!H712</f>
        <v>0</v>
      </c>
      <c r="AN500" s="92">
        <f t="shared" ref="AN500" si="5439">(B500/B448-1)*100</f>
        <v>-32.735426008968602</v>
      </c>
      <c r="AO500" s="92">
        <f t="shared" ref="AO500" si="5440">(C500/C448-1)*100</f>
        <v>-35.395189003436435</v>
      </c>
      <c r="AP500" s="92">
        <f t="shared" ref="AP500" si="5441">(D500/D448-1)*100</f>
        <v>-38.518518518518519</v>
      </c>
      <c r="AQ500" s="92">
        <f t="shared" ref="AQ500" si="5442">(E500/E448-1)*100</f>
        <v>-35.944700460829502</v>
      </c>
      <c r="AR500" s="92">
        <f t="shared" ref="AR500" si="5443">(F500/F448-1)*100</f>
        <v>-32.627118644067799</v>
      </c>
      <c r="AS500" s="92">
        <f t="shared" ref="AS500" si="5444">(G500/G448-1)*100</f>
        <v>-32.627118644067799</v>
      </c>
      <c r="AT500" s="92">
        <f t="shared" ref="AT500" si="5445">(H500/H448-1)*100</f>
        <v>-38.917525773195869</v>
      </c>
      <c r="AU500" s="92">
        <f t="shared" ref="AU500" si="5446">(I500/I448-1)*100</f>
        <v>-38.917525773195884</v>
      </c>
    </row>
    <row r="501" spans="1:47" x14ac:dyDescent="0.3">
      <c r="A501" s="13">
        <f t="shared" si="475"/>
        <v>41086</v>
      </c>
      <c r="B501" s="92">
        <f>TWK!B446</f>
        <v>375</v>
      </c>
      <c r="C501" s="92">
        <f>TWK!C446</f>
        <v>306.66666666666669</v>
      </c>
      <c r="D501" s="92">
        <f>TWK!D446</f>
        <v>270</v>
      </c>
      <c r="E501" s="92">
        <f>TWK!E446</f>
        <v>238.33333333333334</v>
      </c>
      <c r="F501" s="92">
        <f>TWK!F446</f>
        <v>250</v>
      </c>
      <c r="G501" s="92">
        <f>TWK!G446</f>
        <v>256.66666666666669</v>
      </c>
      <c r="H501" s="92">
        <f>TWK!H446</f>
        <v>196.66666666666666</v>
      </c>
      <c r="I501" s="92">
        <f>TWK!I446</f>
        <v>269.66521106259097</v>
      </c>
      <c r="K501" s="92">
        <f t="shared" ref="K501" si="5447">AVERAGE(B501:B501)</f>
        <v>375</v>
      </c>
      <c r="L501" s="92">
        <f t="shared" ref="L501" si="5448">+C501</f>
        <v>306.66666666666669</v>
      </c>
      <c r="M501" s="92">
        <f t="shared" ref="M501" si="5449">AVERAGE(D498:D501)</f>
        <v>278.85416666666669</v>
      </c>
      <c r="N501" s="92">
        <f t="shared" ref="N501" si="5450">AVERAGE(E498:E501)</f>
        <v>226.875</v>
      </c>
      <c r="O501" s="92">
        <f t="shared" ref="O501" si="5451">AVERAGE(F498:F501)</f>
        <v>261.25</v>
      </c>
      <c r="P501" s="92">
        <f t="shared" ref="P501" si="5452">AVERAGE(G498:G501)</f>
        <v>262.91666666666669</v>
      </c>
      <c r="Q501" s="92">
        <f t="shared" ref="Q501" si="5453">AVERAGE(H498:H501)</f>
        <v>199.47916666666666</v>
      </c>
      <c r="R501" s="92">
        <f t="shared" ref="R501" si="5454">AVERAGE(I498:I501)</f>
        <v>273.95014556040758</v>
      </c>
      <c r="T501" s="92">
        <f t="shared" ref="T501" si="5455">AVERAGE(K345,K397,K449)</f>
        <v>419.38888888888891</v>
      </c>
      <c r="U501" s="92">
        <f t="shared" ref="U501" si="5456">AVERAGE(L345,L397,L449)</f>
        <v>354.78472222222217</v>
      </c>
      <c r="V501" s="92">
        <f t="shared" ref="V501" si="5457">(M345+M397+M449)/3</f>
        <v>339.36111111111109</v>
      </c>
      <c r="W501" s="92">
        <f t="shared" ref="W501" si="5458">(N345+N397+N449)/3</f>
        <v>247.54861111111109</v>
      </c>
      <c r="X501" s="92">
        <f t="shared" ref="X501" si="5459">(O345+O397+O449)/3</f>
        <v>283.0625</v>
      </c>
      <c r="Y501" s="92">
        <f t="shared" ref="Y501" si="5460">(P345+P397+P449)/3</f>
        <v>283.0625</v>
      </c>
      <c r="Z501" s="92">
        <f t="shared" ref="Z501" si="5461">(Q345+Q397+Q449)/3</f>
        <v>227.3472222222222</v>
      </c>
      <c r="AA501" s="92">
        <f t="shared" ref="AA501" si="5462">(R345+R397+R449)/3</f>
        <v>241.9490538573508</v>
      </c>
      <c r="AC501" s="112">
        <f>+AF501-'Figure 8_data'!I713</f>
        <v>0</v>
      </c>
      <c r="AD501" s="92">
        <f t="shared" ref="AD501" si="5463">(B501/T501-1)*100</f>
        <v>-10.584183335541141</v>
      </c>
      <c r="AE501" s="92">
        <f t="shared" ref="AE501" si="5464">(C501/U501-1)*100</f>
        <v>-13.562606431912915</v>
      </c>
      <c r="AF501" s="92">
        <f t="shared" ref="AF501" si="5465">(D501/V501-1)*100</f>
        <v>-20.4387329131538</v>
      </c>
      <c r="AG501" s="92">
        <f t="shared" ref="AG501" si="5466">(E501/W501-1)*100</f>
        <v>-3.7226134036524638</v>
      </c>
      <c r="AH501" s="92">
        <f t="shared" ref="AH501" si="5467">(F501/X501-1)*100</f>
        <v>-11.680282623095605</v>
      </c>
      <c r="AI501" s="92">
        <f t="shared" ref="AI501" si="5468">(G501/Y501-1)*100</f>
        <v>-9.325090159711479</v>
      </c>
      <c r="AJ501" s="92">
        <f t="shared" ref="AJ501" si="5469">(H501/Z501-1)*100</f>
        <v>-13.495021076424941</v>
      </c>
      <c r="AK501" s="92">
        <f t="shared" ref="AK501" si="5470">(I501/AA501-1)*100</f>
        <v>11.455369121460235</v>
      </c>
      <c r="AM501" s="112">
        <f>AP501-'Figure 8_data'!H713</f>
        <v>0</v>
      </c>
      <c r="AN501" s="92">
        <f t="shared" ref="AN501" si="5471">(B501/B449-1)*100</f>
        <v>-31.818181818181824</v>
      </c>
      <c r="AO501" s="92">
        <f t="shared" ref="AO501" si="5472">(C501/C449-1)*100</f>
        <v>-34.519572953736642</v>
      </c>
      <c r="AP501" s="92">
        <f t="shared" ref="AP501" si="5473">(D501/D449-1)*100</f>
        <v>-39.325842696629209</v>
      </c>
      <c r="AQ501" s="92">
        <f t="shared" ref="AQ501" si="5474">(E501/E449-1)*100</f>
        <v>-29.207920792079211</v>
      </c>
      <c r="AR501" s="92">
        <f t="shared" ref="AR501" si="5475">(F501/F449-1)*100</f>
        <v>-38.271604938271608</v>
      </c>
      <c r="AS501" s="92">
        <f t="shared" ref="AS501" si="5476">(G501/G449-1)*100</f>
        <v>-36.625514403292179</v>
      </c>
      <c r="AT501" s="92">
        <f t="shared" ref="AT501" si="5477">(H501/H449-1)*100</f>
        <v>-35.164835164835161</v>
      </c>
      <c r="AU501" s="92">
        <f t="shared" ref="AU501" si="5478">(I501/I449-1)*100</f>
        <v>-35.164835164835154</v>
      </c>
    </row>
    <row r="502" spans="1:47" x14ac:dyDescent="0.3">
      <c r="A502" s="13">
        <f t="shared" si="475"/>
        <v>41093</v>
      </c>
      <c r="B502" s="92">
        <f>TWK!B447</f>
        <v>400</v>
      </c>
      <c r="C502" s="92">
        <f>TWK!C447</f>
        <v>323</v>
      </c>
      <c r="D502" s="92">
        <f>TWK!D447</f>
        <v>320</v>
      </c>
      <c r="E502" s="92">
        <f>TWK!E447</f>
        <v>293</v>
      </c>
      <c r="F502" s="92">
        <f>TWK!F447</f>
        <v>265</v>
      </c>
      <c r="G502" s="92">
        <f>TWK!G447</f>
        <v>265</v>
      </c>
      <c r="H502" s="92">
        <f>TWK!H447</f>
        <v>223</v>
      </c>
      <c r="I502" s="92">
        <f>TWK!I447</f>
        <v>305</v>
      </c>
      <c r="K502" s="92">
        <f t="shared" ref="K502" si="5479">AVERAGE(B502:B502)</f>
        <v>400</v>
      </c>
      <c r="L502" s="92">
        <f t="shared" ref="L502" si="5480">+C502</f>
        <v>323</v>
      </c>
      <c r="M502" s="92">
        <f t="shared" ref="M502" si="5481">AVERAGE(D499:D502)</f>
        <v>287.60416666666669</v>
      </c>
      <c r="N502" s="92">
        <f t="shared" ref="N502" si="5482">AVERAGE(E499:E502)</f>
        <v>245.125</v>
      </c>
      <c r="O502" s="92">
        <f t="shared" ref="O502" si="5483">AVERAGE(F499:F502)</f>
        <v>261.5625</v>
      </c>
      <c r="P502" s="92">
        <f t="shared" ref="P502" si="5484">AVERAGE(G499:G502)</f>
        <v>263.22916666666669</v>
      </c>
      <c r="Q502" s="92">
        <f t="shared" ref="Q502" si="5485">AVERAGE(H499:H502)</f>
        <v>204.29166666666666</v>
      </c>
      <c r="R502" s="92">
        <f t="shared" ref="R502" si="5486">AVERAGE(I499:I502)</f>
        <v>279.92721979621541</v>
      </c>
      <c r="T502" s="92">
        <f t="shared" ref="T502" si="5487">AVERAGE(K346,K398,K450)</f>
        <v>419.29166666666669</v>
      </c>
      <c r="U502" s="92">
        <f t="shared" ref="U502" si="5488">AVERAGE(L346,L398,L450)</f>
        <v>357.22222222222223</v>
      </c>
      <c r="V502" s="92">
        <f t="shared" ref="V502" si="5489">(M346+M398+M450)/3</f>
        <v>341.46527777777777</v>
      </c>
      <c r="W502" s="92">
        <f t="shared" ref="W502" si="5490">(N346+N398+N450)/3</f>
        <v>249.29166666666666</v>
      </c>
      <c r="X502" s="92">
        <f t="shared" ref="X502" si="5491">(O346+O398+O450)/3</f>
        <v>280.21527777777777</v>
      </c>
      <c r="Y502" s="92">
        <f t="shared" ref="Y502" si="5492">(P346+P398+P450)/3</f>
        <v>279.9375</v>
      </c>
      <c r="Z502" s="92">
        <f t="shared" ref="Z502" si="5493">(Q346+Q398+Q450)/3</f>
        <v>227.88194444444443</v>
      </c>
      <c r="AA502" s="92">
        <f t="shared" ref="AA502" si="5494">(R346+R398+R450)/3</f>
        <v>277.07211305191657</v>
      </c>
      <c r="AC502" s="112">
        <f>+AF502-'Figure 8_data'!I714</f>
        <v>0</v>
      </c>
      <c r="AD502" s="92">
        <f t="shared" ref="AD502" si="5495">(B502/T502-1)*100</f>
        <v>-4.6010136142303537</v>
      </c>
      <c r="AE502" s="92">
        <f t="shared" ref="AE502" si="5496">(C502/U502-1)*100</f>
        <v>-9.5800933125972048</v>
      </c>
      <c r="AF502" s="92">
        <f t="shared" ref="AF502" si="5497">(D502/V502-1)*100</f>
        <v>-6.2862256207927398</v>
      </c>
      <c r="AG502" s="92">
        <f t="shared" ref="AG502" si="5498">(E502/W502-1)*100</f>
        <v>17.533010195554066</v>
      </c>
      <c r="AH502" s="92">
        <f t="shared" ref="AH502" si="5499">(F502/X502-1)*100</f>
        <v>-5.4298530395777034</v>
      </c>
      <c r="AI502" s="92">
        <f t="shared" ref="AI502" si="5500">(G502/Y502-1)*100</f>
        <v>-5.3360125027907994</v>
      </c>
      <c r="AJ502" s="92">
        <f t="shared" ref="AJ502" si="5501">(H502/Z502-1)*100</f>
        <v>-2.1423129666311103</v>
      </c>
      <c r="AK502" s="92">
        <f t="shared" ref="AK502" si="5502">(I502/AA502-1)*100</f>
        <v>10.079645562471473</v>
      </c>
      <c r="AM502" s="112">
        <f>AP502-'Figure 8_data'!H714</f>
        <v>0</v>
      </c>
      <c r="AN502" s="92">
        <f t="shared" ref="AN502" si="5503">(B502/B450-1)*100</f>
        <v>-27.051671732522799</v>
      </c>
      <c r="AO502" s="92">
        <f t="shared" ref="AO502" si="5504">(C502/C450-1)*100</f>
        <v>-32.237762237762233</v>
      </c>
      <c r="AP502" s="92">
        <f t="shared" ref="AP502" si="5505">(D502/D450-1)*100</f>
        <v>-30.434782608695656</v>
      </c>
      <c r="AQ502" s="92">
        <f t="shared" ref="AQ502" si="5506">(E502/E450-1)*100</f>
        <v>-14.243902439024392</v>
      </c>
      <c r="AR502" s="92">
        <f t="shared" ref="AR502" si="5507">(F502/F450-1)*100</f>
        <v>-33.472803347280333</v>
      </c>
      <c r="AS502" s="92">
        <f t="shared" ref="AS502" si="5508">(G502/G450-1)*100</f>
        <v>-32.911392405063289</v>
      </c>
      <c r="AT502" s="92">
        <f t="shared" ref="AT502" si="5509">(H502/H450-1)*100</f>
        <v>-28.44919786096257</v>
      </c>
      <c r="AU502" s="92">
        <f t="shared" ref="AU502" si="5510">(I502/I450-1)*100</f>
        <v>-28.630062331823293</v>
      </c>
    </row>
    <row r="503" spans="1:47" x14ac:dyDescent="0.3">
      <c r="A503" s="13">
        <f t="shared" si="475"/>
        <v>41100</v>
      </c>
      <c r="B503" s="92">
        <f>TWK!B448</f>
        <v>475</v>
      </c>
      <c r="C503" s="92">
        <f>TWK!C448</f>
        <v>356.66666666666669</v>
      </c>
      <c r="D503" s="92">
        <f>TWK!D448</f>
        <v>353.33333333333331</v>
      </c>
      <c r="E503" s="92">
        <f>TWK!E448</f>
        <v>323.33333333333331</v>
      </c>
      <c r="F503" s="92">
        <f>TWK!F448</f>
        <v>285</v>
      </c>
      <c r="G503" s="92">
        <f>TWK!G448</f>
        <v>285</v>
      </c>
      <c r="H503" s="92">
        <f>TWK!H448</f>
        <v>250</v>
      </c>
      <c r="I503" s="92">
        <f>TWK!I448</f>
        <v>342.7947598253275</v>
      </c>
      <c r="K503" s="92">
        <f t="shared" ref="K503" si="5511">AVERAGE(B503:B503)</f>
        <v>475</v>
      </c>
      <c r="L503" s="92">
        <f t="shared" ref="L503" si="5512">+C503</f>
        <v>356.66666666666669</v>
      </c>
      <c r="M503" s="92">
        <f t="shared" ref="M503" si="5513">AVERAGE(D500:D503)</f>
        <v>305</v>
      </c>
      <c r="N503" s="92">
        <f t="shared" ref="N503" si="5514">AVERAGE(E500:E503)</f>
        <v>271.58333333333331</v>
      </c>
      <c r="O503" s="92">
        <f t="shared" ref="O503" si="5515">AVERAGE(F500:F503)</f>
        <v>266.25</v>
      </c>
      <c r="P503" s="92">
        <f t="shared" ref="P503" si="5516">AVERAGE(G500:G503)</f>
        <v>267.91666666666669</v>
      </c>
      <c r="Q503" s="92">
        <f t="shared" ref="Q503" si="5517">AVERAGE(H500:H503)</f>
        <v>216.79166666666666</v>
      </c>
      <c r="R503" s="92">
        <f t="shared" ref="R503" si="5518">AVERAGE(I500:I503)</f>
        <v>297.06695778748178</v>
      </c>
      <c r="T503" s="92">
        <f t="shared" ref="T503" si="5519">AVERAGE(K347,K399,K451)</f>
        <v>422.06944444444451</v>
      </c>
      <c r="U503" s="92">
        <f t="shared" ref="U503" si="5520">AVERAGE(L347,L399,L451)</f>
        <v>357.77083333333331</v>
      </c>
      <c r="V503" s="92">
        <f t="shared" ref="V503" si="5521">(M347+M399+M451)/3</f>
        <v>347.40277777777777</v>
      </c>
      <c r="W503" s="92">
        <f t="shared" ref="W503" si="5522">(N347+N399+N451)/3</f>
        <v>255.83333333333334</v>
      </c>
      <c r="X503" s="92">
        <f t="shared" ref="X503" si="5523">(O347+O399+O451)/3</f>
        <v>284.04861111111109</v>
      </c>
      <c r="Y503" s="92">
        <f t="shared" ref="Y503" si="5524">(P347+P399+P451)/3</f>
        <v>283.77083333333331</v>
      </c>
      <c r="Z503" s="92">
        <f t="shared" ref="Z503" si="5525">(Q347+Q399+Q451)/3</f>
        <v>234.4097222222222</v>
      </c>
      <c r="AA503" s="92">
        <f t="shared" ref="AA503" si="5526">(R347+R399+R451)/3</f>
        <v>320.88179281901989</v>
      </c>
      <c r="AC503" s="112">
        <f>+AF503-'Figure 8_data'!I715</f>
        <v>0</v>
      </c>
      <c r="AD503" s="92">
        <f t="shared" ref="AD503" si="5527">(B503/T503-1)*100</f>
        <v>12.540721971766079</v>
      </c>
      <c r="AE503" s="92">
        <f t="shared" ref="AE503" si="5528">(C503/U503-1)*100</f>
        <v>-0.30862400279507707</v>
      </c>
      <c r="AF503" s="92">
        <f t="shared" ref="AF503" si="5529">(D503/V503-1)*100</f>
        <v>1.7071123016031642</v>
      </c>
      <c r="AG503" s="92">
        <f t="shared" ref="AG503" si="5530">(E503/W503-1)*100</f>
        <v>26.384364820846894</v>
      </c>
      <c r="AH503" s="92">
        <f t="shared" ref="AH503" si="5531">(F503/X503-1)*100</f>
        <v>0.33493875754835312</v>
      </c>
      <c r="AI503" s="92">
        <f t="shared" ref="AI503" si="5532">(G503/Y503-1)*100</f>
        <v>0.43315468761471188</v>
      </c>
      <c r="AJ503" s="92">
        <f t="shared" ref="AJ503" si="5533">(H503/Z503-1)*100</f>
        <v>6.650866538290634</v>
      </c>
      <c r="AK503" s="92">
        <f t="shared" ref="AK503" si="5534">(I503/AA503-1)*100</f>
        <v>6.82898422306768</v>
      </c>
      <c r="AM503" s="112">
        <f>AP503-'Figure 8_data'!H715</f>
        <v>0</v>
      </c>
      <c r="AN503" s="92">
        <f t="shared" ref="AN503" si="5535">(B503/B451-1)*100</f>
        <v>-10.937500000000011</v>
      </c>
      <c r="AO503" s="92">
        <f t="shared" ref="AO503" si="5536">(C503/C451-1)*100</f>
        <v>-22.673893405600719</v>
      </c>
      <c r="AP503" s="92">
        <f t="shared" ref="AP503" si="5537">(D503/D451-1)*100</f>
        <v>-21.262766945218203</v>
      </c>
      <c r="AQ503" s="92">
        <f t="shared" ref="AQ503" si="5538">(E503/E451-1)*100</f>
        <v>-3.1210986267166119</v>
      </c>
      <c r="AR503" s="92">
        <f t="shared" ref="AR503" si="5539">(F503/F451-1)*100</f>
        <v>-28.749999999999996</v>
      </c>
      <c r="AS503" s="92">
        <f t="shared" ref="AS503" si="5540">(G503/G451-1)*100</f>
        <v>-28.749999999999996</v>
      </c>
      <c r="AT503" s="92">
        <f t="shared" ref="AT503" si="5541">(H503/H451-1)*100</f>
        <v>-18.918918918918916</v>
      </c>
      <c r="AU503" s="92">
        <f t="shared" ref="AU503" si="5542">(I503/I451-1)*100</f>
        <v>-18.032786885245898</v>
      </c>
    </row>
    <row r="504" spans="1:47" x14ac:dyDescent="0.3">
      <c r="A504" s="13">
        <f t="shared" si="475"/>
        <v>41107</v>
      </c>
      <c r="B504" s="92">
        <f>TWK!B449</f>
        <v>512.5</v>
      </c>
      <c r="C504" s="92">
        <f>TWK!C449</f>
        <v>412.5</v>
      </c>
      <c r="D504" s="92">
        <f>TWK!D449</f>
        <v>408.75</v>
      </c>
      <c r="E504" s="92">
        <f>TWK!E449</f>
        <v>380</v>
      </c>
      <c r="F504" s="92">
        <f>TWK!F449</f>
        <v>350</v>
      </c>
      <c r="G504" s="92">
        <f>TWK!G449</f>
        <v>345</v>
      </c>
      <c r="H504" s="92">
        <f>TWK!H449</f>
        <v>312.5</v>
      </c>
      <c r="I504" s="92">
        <f>TWK!I449</f>
        <v>428.49344978165936</v>
      </c>
      <c r="K504" s="92">
        <f t="shared" ref="K504" si="5543">AVERAGE(B504:B504)</f>
        <v>512.5</v>
      </c>
      <c r="L504" s="92">
        <f t="shared" ref="L504" si="5544">+C504</f>
        <v>412.5</v>
      </c>
      <c r="M504" s="92">
        <f t="shared" ref="M504" si="5545">AVERAGE(D501:D504)</f>
        <v>338.02083333333331</v>
      </c>
      <c r="N504" s="92">
        <f t="shared" ref="N504" si="5546">AVERAGE(E501:E504)</f>
        <v>308.66666666666669</v>
      </c>
      <c r="O504" s="92">
        <f t="shared" ref="O504" si="5547">AVERAGE(F501:F504)</f>
        <v>287.5</v>
      </c>
      <c r="P504" s="92">
        <f t="shared" ref="P504" si="5548">AVERAGE(G501:G504)</f>
        <v>287.91666666666669</v>
      </c>
      <c r="Q504" s="92">
        <f t="shared" ref="Q504" si="5549">AVERAGE(H501:H504)</f>
        <v>245.54166666666666</v>
      </c>
      <c r="R504" s="92">
        <f t="shared" ref="R504" si="5550">AVERAGE(I501:I504)</f>
        <v>336.48835516739445</v>
      </c>
      <c r="T504" s="92">
        <f t="shared" ref="T504" si="5551">AVERAGE(K348,K400,K452)</f>
        <v>428.97916666666669</v>
      </c>
      <c r="U504" s="92">
        <f t="shared" ref="U504" si="5552">AVERAGE(L348,L400,L452)</f>
        <v>359.7569444444444</v>
      </c>
      <c r="V504" s="92">
        <f t="shared" ref="V504" si="5553">(M348+M400+M452)/3</f>
        <v>358.1875</v>
      </c>
      <c r="W504" s="92">
        <f t="shared" ref="W504" si="5554">(N348+N400+N452)/3</f>
        <v>264.90277777777777</v>
      </c>
      <c r="X504" s="92">
        <f t="shared" ref="X504" si="5555">(O348+O400+O452)/3</f>
        <v>299.40277777777777</v>
      </c>
      <c r="Y504" s="92">
        <f t="shared" ref="Y504" si="5556">(P348+P400+P452)/3</f>
        <v>299.125</v>
      </c>
      <c r="Z504" s="92">
        <f t="shared" ref="Z504" si="5557">(Q348+Q400+Q452)/3</f>
        <v>245.17361111111109</v>
      </c>
      <c r="AA504" s="92">
        <f t="shared" ref="AA504" si="5558">(R348+R400+R452)/3</f>
        <v>335.63336972343524</v>
      </c>
      <c r="AC504" s="112">
        <f>+AF504-'Figure 8_data'!I716</f>
        <v>0</v>
      </c>
      <c r="AD504" s="92">
        <f t="shared" ref="AD504" si="5559">(B504/T504-1)*100</f>
        <v>19.469671215579609</v>
      </c>
      <c r="AE504" s="92">
        <f t="shared" ref="AE504" si="5560">(C504/U504-1)*100</f>
        <v>14.660747032139776</v>
      </c>
      <c r="AF504" s="92">
        <f t="shared" ref="AF504" si="5561">(D504/V504-1)*100</f>
        <v>14.116210085499903</v>
      </c>
      <c r="AG504" s="92">
        <f t="shared" ref="AG504" si="5562">(E504/W504-1)*100</f>
        <v>43.448854401509983</v>
      </c>
      <c r="AH504" s="92">
        <f t="shared" ref="AH504" si="5563">(F504/X504-1)*100</f>
        <v>16.899383031033999</v>
      </c>
      <c r="AI504" s="92">
        <f t="shared" ref="AI504" si="5564">(G504/Y504-1)*100</f>
        <v>15.336397826995407</v>
      </c>
      <c r="AJ504" s="92">
        <f t="shared" ref="AJ504" si="5565">(H504/Z504-1)*100</f>
        <v>27.460699617617923</v>
      </c>
      <c r="AK504" s="92">
        <f t="shared" ref="AK504" si="5566">(I504/AA504-1)*100</f>
        <v>27.667117883642376</v>
      </c>
      <c r="AM504" s="112">
        <f>AP504-'Figure 8_data'!H716</f>
        <v>0</v>
      </c>
      <c r="AN504" s="92">
        <f t="shared" ref="AN504" si="5567">(B504/B452-1)*100</f>
        <v>-0.48543689320388328</v>
      </c>
      <c r="AO504" s="92">
        <f t="shared" ref="AO504" si="5568">(C504/C452-1)*100</f>
        <v>-4.8076923076923013</v>
      </c>
      <c r="AP504" s="92">
        <f t="shared" ref="AP504" si="5569">(D504/D452-1)*100</f>
        <v>-5.1624129930394442</v>
      </c>
      <c r="AQ504" s="92">
        <f t="shared" ref="AQ504" si="5570">(E504/E452-1)*100</f>
        <v>21.405750798722046</v>
      </c>
      <c r="AR504" s="92">
        <f t="shared" ref="AR504" si="5571">(F504/F452-1)*100</f>
        <v>-11.392405063291145</v>
      </c>
      <c r="AS504" s="92">
        <f t="shared" ref="AS504" si="5572">(G504/G452-1)*100</f>
        <v>-12.658227848101266</v>
      </c>
      <c r="AT504" s="92">
        <f t="shared" ref="AT504" si="5573">(H504/H452-1)*100</f>
        <v>4.1666666666666741</v>
      </c>
      <c r="AU504" s="92">
        <f t="shared" ref="AU504" si="5574">(I504/I452-1)*100</f>
        <v>4.1666666666666741</v>
      </c>
    </row>
    <row r="505" spans="1:47" x14ac:dyDescent="0.3">
      <c r="A505" s="13">
        <f t="shared" si="475"/>
        <v>41114</v>
      </c>
      <c r="B505" s="92">
        <f>TWK!B450</f>
        <v>478.33333333333331</v>
      </c>
      <c r="C505" s="92">
        <f>TWK!C450</f>
        <v>370</v>
      </c>
      <c r="D505" s="92">
        <f>TWK!D450</f>
        <v>356.66666666666669</v>
      </c>
      <c r="E505" s="92">
        <f>TWK!E450</f>
        <v>338.33333333333331</v>
      </c>
      <c r="F505" s="92">
        <f>TWK!F450</f>
        <v>330.66666666666669</v>
      </c>
      <c r="G505" s="92">
        <f>TWK!G450</f>
        <v>330.66666666666669</v>
      </c>
      <c r="H505" s="92">
        <f>TWK!H450</f>
        <v>301.66666666666669</v>
      </c>
      <c r="I505" s="92">
        <f>TWK!I450</f>
        <v>413.63901018922849</v>
      </c>
      <c r="K505" s="92">
        <f t="shared" ref="K505" si="5575">AVERAGE(B505:B505)</f>
        <v>478.33333333333331</v>
      </c>
      <c r="L505" s="92">
        <f t="shared" ref="L505" si="5576">+C505</f>
        <v>370</v>
      </c>
      <c r="M505" s="92">
        <f t="shared" ref="M505" si="5577">AVERAGE(D502:D505)</f>
        <v>359.6875</v>
      </c>
      <c r="N505" s="92">
        <f t="shared" ref="N505" si="5578">AVERAGE(E502:E505)</f>
        <v>333.66666666666663</v>
      </c>
      <c r="O505" s="92">
        <f t="shared" ref="O505" si="5579">AVERAGE(F502:F505)</f>
        <v>307.66666666666669</v>
      </c>
      <c r="P505" s="92">
        <f t="shared" ref="P505" si="5580">AVERAGE(G502:G505)</f>
        <v>306.41666666666669</v>
      </c>
      <c r="Q505" s="92">
        <f t="shared" ref="Q505" si="5581">AVERAGE(H502:H505)</f>
        <v>271.79166666666669</v>
      </c>
      <c r="R505" s="92">
        <f t="shared" ref="R505" si="5582">AVERAGE(I502:I505)</f>
        <v>372.48180494905381</v>
      </c>
      <c r="T505" s="92">
        <f t="shared" ref="T505" si="5583">AVERAGE(K349,K401,K453)</f>
        <v>419.3125</v>
      </c>
      <c r="U505" s="92">
        <f t="shared" ref="U505" si="5584">AVERAGE(L349,L401,L453)</f>
        <v>355.00694444444451</v>
      </c>
      <c r="V505" s="92">
        <f t="shared" ref="V505" si="5585">(M349+M401+M453)/3</f>
        <v>363.34027777777777</v>
      </c>
      <c r="W505" s="92">
        <f t="shared" ref="W505" si="5586">(N349+N401+N453)/3</f>
        <v>271.2430555555556</v>
      </c>
      <c r="X505" s="92">
        <f t="shared" ref="X505" si="5587">(O349+O401+O453)/3</f>
        <v>313.73611111111109</v>
      </c>
      <c r="Y505" s="92">
        <f t="shared" ref="Y505" si="5588">(P349+P401+P453)/3</f>
        <v>313.45833333333331</v>
      </c>
      <c r="Z505" s="92">
        <f t="shared" ref="Z505" si="5589">(Q349+Q401+Q453)/3</f>
        <v>252.0625</v>
      </c>
      <c r="AA505" s="92">
        <f t="shared" ref="AA505" si="5590">(R349+R401+R453)/3</f>
        <v>343.79263706938377</v>
      </c>
      <c r="AC505" s="112">
        <f>+AF505-'Figure 8_data'!I717</f>
        <v>0</v>
      </c>
      <c r="AD505" s="92">
        <f t="shared" ref="AD505" si="5591">(B505/T505-1)*100</f>
        <v>14.075619814179952</v>
      </c>
      <c r="AE505" s="92">
        <f t="shared" ref="AE505" si="5592">(C505/U505-1)*100</f>
        <v>4.2233133154672142</v>
      </c>
      <c r="AF505" s="92">
        <f t="shared" ref="AF505" si="5593">(D505/V505-1)*100</f>
        <v>-1.8367385944458192</v>
      </c>
      <c r="AG505" s="92">
        <f t="shared" ref="AG505" si="5594">(E505/W505-1)*100</f>
        <v>24.734376200107498</v>
      </c>
      <c r="AH505" s="92">
        <f t="shared" ref="AH505" si="5595">(F505/X505-1)*100</f>
        <v>5.3964318916286835</v>
      </c>
      <c r="AI505" s="92">
        <f t="shared" ref="AI505" si="5596">(G505/Y505-1)*100</f>
        <v>5.4898311843679437</v>
      </c>
      <c r="AJ505" s="92">
        <f t="shared" ref="AJ505" si="5597">(H505/Z505-1)*100</f>
        <v>19.679312339862797</v>
      </c>
      <c r="AK505" s="92">
        <f t="shared" ref="AK505" si="5598">(I505/AA505-1)*100</f>
        <v>20.316424957567779</v>
      </c>
      <c r="AM505" s="112">
        <f>AP505-'Figure 8_data'!H717</f>
        <v>0</v>
      </c>
      <c r="AN505" s="92">
        <f t="shared" ref="AN505" si="5599">(B505/B453-1)*100</f>
        <v>2.8673835125448077</v>
      </c>
      <c r="AO505" s="92">
        <f t="shared" ref="AO505" si="5600">(C505/C453-1)*100</f>
        <v>-6.722689075630262</v>
      </c>
      <c r="AP505" s="92">
        <f t="shared" ref="AP505" si="5601">(D505/D453-1)*100</f>
        <v>-8.547008547008538</v>
      </c>
      <c r="AQ505" s="92">
        <f t="shared" ref="AQ505" si="5602">(E505/E453-1)*100</f>
        <v>20.118343195266263</v>
      </c>
      <c r="AR505" s="92">
        <f t="shared" ref="AR505" si="5603">(F505/F453-1)*100</f>
        <v>-11.822222222222212</v>
      </c>
      <c r="AS505" s="92">
        <f t="shared" ref="AS505" si="5604">(G505/G453-1)*100</f>
        <v>-11.822222222222212</v>
      </c>
      <c r="AT505" s="92">
        <f t="shared" ref="AT505" si="5605">(H505/H453-1)*100</f>
        <v>11.728395061728403</v>
      </c>
      <c r="AU505" s="92">
        <f t="shared" ref="AU505" si="5606">(I505/I453-1)*100</f>
        <v>11.728395061728358</v>
      </c>
    </row>
    <row r="506" spans="1:47" x14ac:dyDescent="0.3">
      <c r="A506" s="13">
        <f t="shared" si="475"/>
        <v>41121</v>
      </c>
      <c r="B506" s="92">
        <f>TWK!B451</f>
        <v>445</v>
      </c>
      <c r="C506" s="92">
        <f>TWK!C451</f>
        <v>356.66666666666669</v>
      </c>
      <c r="D506" s="92">
        <f>TWK!D451</f>
        <v>355</v>
      </c>
      <c r="E506" s="92">
        <f>TWK!E451</f>
        <v>330</v>
      </c>
      <c r="F506" s="92">
        <f>TWK!F451</f>
        <v>333.33333333333331</v>
      </c>
      <c r="G506" s="92">
        <f>TWK!G451</f>
        <v>333.33333333333331</v>
      </c>
      <c r="H506" s="92">
        <f>TWK!H451</f>
        <v>311.66666666666669</v>
      </c>
      <c r="I506" s="92">
        <f>TWK!I451</f>
        <v>427.35080058224162</v>
      </c>
      <c r="K506" s="92">
        <f t="shared" ref="K506" si="5607">AVERAGE(B506:B506)</f>
        <v>445</v>
      </c>
      <c r="L506" s="92">
        <f t="shared" ref="L506" si="5608">+C506</f>
        <v>356.66666666666669</v>
      </c>
      <c r="M506" s="92">
        <f t="shared" ref="M506" si="5609">AVERAGE(D503:D506)</f>
        <v>368.4375</v>
      </c>
      <c r="N506" s="92">
        <f t="shared" ref="N506" si="5610">AVERAGE(E503:E506)</f>
        <v>342.91666666666663</v>
      </c>
      <c r="O506" s="92">
        <f t="shared" ref="O506" si="5611">AVERAGE(F503:F506)</f>
        <v>324.75</v>
      </c>
      <c r="P506" s="92">
        <f t="shared" ref="P506" si="5612">AVERAGE(G503:G506)</f>
        <v>323.5</v>
      </c>
      <c r="Q506" s="92">
        <f t="shared" ref="Q506" si="5613">AVERAGE(H503:H506)</f>
        <v>293.95833333333337</v>
      </c>
      <c r="R506" s="92">
        <f t="shared" ref="R506" si="5614">AVERAGE(I503:I506)</f>
        <v>403.06950509461421</v>
      </c>
      <c r="T506" s="92">
        <f t="shared" ref="T506" si="5615">AVERAGE(K350,K402,K454)</f>
        <v>416.77083333333331</v>
      </c>
      <c r="U506" s="92">
        <f t="shared" ref="U506" si="5616">AVERAGE(L350,L402,L454)</f>
        <v>352.46527777777783</v>
      </c>
      <c r="V506" s="92">
        <f t="shared" ref="V506" si="5617">(M350+M402+M454)/3</f>
        <v>361.27083333333331</v>
      </c>
      <c r="W506" s="92">
        <f t="shared" ref="W506" si="5618">(N350+N402+N454)/3</f>
        <v>271.79166666666669</v>
      </c>
      <c r="X506" s="92">
        <f t="shared" ref="X506" si="5619">(O350+O402+O454)/3</f>
        <v>326.27083333333331</v>
      </c>
      <c r="Y506" s="92">
        <f t="shared" ref="Y506" si="5620">(P350+P402+P454)/3</f>
        <v>326.27083333333331</v>
      </c>
      <c r="Z506" s="92">
        <f t="shared" ref="Z506" si="5621">(Q350+Q402+Q454)/3</f>
        <v>254.65277777777774</v>
      </c>
      <c r="AA506" s="92">
        <f t="shared" ref="AA506" si="5622">(R350+R402+R454)/3</f>
        <v>347.46263949539065</v>
      </c>
      <c r="AC506" s="112">
        <f>+AF506-'Figure 8_data'!I718</f>
        <v>0</v>
      </c>
      <c r="AD506" s="92">
        <f t="shared" ref="AD506" si="5623">(B506/T506-1)*100</f>
        <v>6.7733066733316694</v>
      </c>
      <c r="AE506" s="92">
        <f t="shared" ref="AE506" si="5624">(C506/U506-1)*100</f>
        <v>1.1920007880996897</v>
      </c>
      <c r="AF506" s="92">
        <f t="shared" ref="AF506" si="5625">(D506/V506-1)*100</f>
        <v>-1.7357707167983349</v>
      </c>
      <c r="AG506" s="92">
        <f t="shared" ref="AG506" si="5626">(E506/W506-1)*100</f>
        <v>21.416526138279934</v>
      </c>
      <c r="AH506" s="92">
        <f t="shared" ref="AH506" si="5627">(F506/X506-1)*100</f>
        <v>2.1646127322648701</v>
      </c>
      <c r="AI506" s="92">
        <f t="shared" ref="AI506" si="5628">(G506/Y506-1)*100</f>
        <v>2.1646127322648701</v>
      </c>
      <c r="AJ506" s="92">
        <f t="shared" ref="AJ506" si="5629">(H506/Z506-1)*100</f>
        <v>22.388873738751048</v>
      </c>
      <c r="AK506" s="92">
        <f t="shared" ref="AK506" si="5630">(I506/AA506-1)*100</f>
        <v>22.99187078152347</v>
      </c>
      <c r="AM506" s="112">
        <f>AP506-'Figure 8_data'!H718</f>
        <v>0</v>
      </c>
      <c r="AN506" s="92">
        <f t="shared" ref="AN506" si="5631">(B506/B454-1)*100</f>
        <v>0</v>
      </c>
      <c r="AO506" s="92">
        <f t="shared" ref="AO506" si="5632">(C506/C454-1)*100</f>
        <v>-4.0358744394618835</v>
      </c>
      <c r="AP506" s="92">
        <f t="shared" ref="AP506" si="5633">(D506/D454-1)*100</f>
        <v>-1.8433179723502335</v>
      </c>
      <c r="AQ506" s="92">
        <f t="shared" ref="AQ506" si="5634">(E506/E454-1)*100</f>
        <v>27.741935483870982</v>
      </c>
      <c r="AR506" s="92">
        <f t="shared" ref="AR506" si="5635">(F506/F454-1)*100</f>
        <v>-6.542056074766367</v>
      </c>
      <c r="AS506" s="92">
        <f t="shared" ref="AS506" si="5636">(G506/G454-1)*100</f>
        <v>-6.542056074766367</v>
      </c>
      <c r="AT506" s="92">
        <f t="shared" ref="AT506" si="5637">(H506/H454-1)*100</f>
        <v>24.666666666666682</v>
      </c>
      <c r="AU506" s="92">
        <f t="shared" ref="AU506" si="5638">(I506/I454-1)*100</f>
        <v>24.666666666666657</v>
      </c>
    </row>
    <row r="507" spans="1:47" x14ac:dyDescent="0.3">
      <c r="A507" s="13">
        <f t="shared" si="475"/>
        <v>41128</v>
      </c>
      <c r="B507" s="92">
        <f>TWK!B452</f>
        <v>395</v>
      </c>
      <c r="C507" s="92">
        <f>TWK!C452</f>
        <v>322</v>
      </c>
      <c r="D507" s="92">
        <f>TWK!D452</f>
        <v>305</v>
      </c>
      <c r="E507" s="92">
        <f>TWK!E452</f>
        <v>313</v>
      </c>
      <c r="F507" s="92">
        <f>TWK!F452</f>
        <v>328</v>
      </c>
      <c r="G507" s="92">
        <f>TWK!G452</f>
        <v>328</v>
      </c>
      <c r="H507" s="92">
        <f>TWK!H452</f>
        <v>325</v>
      </c>
      <c r="I507" s="92">
        <f>TWK!I452</f>
        <v>446</v>
      </c>
      <c r="K507" s="92">
        <f t="shared" ref="K507" si="5639">AVERAGE(B507:B507)</f>
        <v>395</v>
      </c>
      <c r="L507" s="92">
        <f t="shared" ref="L507" si="5640">+C507</f>
        <v>322</v>
      </c>
      <c r="M507" s="92">
        <f t="shared" ref="M507" si="5641">AVERAGE(D504:D507)</f>
        <v>356.35416666666669</v>
      </c>
      <c r="N507" s="92">
        <f t="shared" ref="N507" si="5642">AVERAGE(E504:E507)</f>
        <v>340.33333333333331</v>
      </c>
      <c r="O507" s="92">
        <f t="shared" ref="O507" si="5643">AVERAGE(F504:F507)</f>
        <v>335.5</v>
      </c>
      <c r="P507" s="92">
        <f t="shared" ref="P507" si="5644">AVERAGE(G504:G507)</f>
        <v>334.25</v>
      </c>
      <c r="Q507" s="92">
        <f t="shared" ref="Q507" si="5645">AVERAGE(H504:H507)</f>
        <v>312.70833333333337</v>
      </c>
      <c r="R507" s="92">
        <f t="shared" ref="R507" si="5646">AVERAGE(I504:I507)</f>
        <v>428.87081513828235</v>
      </c>
      <c r="T507" s="92">
        <f t="shared" ref="T507" si="5647">AVERAGE(K351,K403,K455)</f>
        <v>416.61111111111109</v>
      </c>
      <c r="U507" s="92">
        <f t="shared" ref="U507" si="5648">AVERAGE(L351,L403,L455)</f>
        <v>363.58333333333331</v>
      </c>
      <c r="V507" s="92">
        <f t="shared" ref="V507" si="5649">(M351+M403+M455)/3</f>
        <v>359.88888888888886</v>
      </c>
      <c r="W507" s="92">
        <f t="shared" ref="W507" si="5650">(N351+N403+N455)/3</f>
        <v>276.97916666666669</v>
      </c>
      <c r="X507" s="92">
        <f t="shared" ref="X507" si="5651">(O351+O403+O455)/3</f>
        <v>339.13194444444446</v>
      </c>
      <c r="Y507" s="92">
        <f t="shared" ref="Y507" si="5652">(P351+P403+P455)/3</f>
        <v>339.13194444444446</v>
      </c>
      <c r="Z507" s="92">
        <f t="shared" ref="Z507" si="5653">(Q351+Q403+Q455)/3</f>
        <v>261.14583333333331</v>
      </c>
      <c r="AA507" s="92">
        <f t="shared" ref="AA507" si="5654">(R351+R403+R455)/3</f>
        <v>356.73574721009226</v>
      </c>
      <c r="AC507" s="112">
        <f>+AF507-'Figure 8_data'!I719</f>
        <v>0</v>
      </c>
      <c r="AD507" s="92">
        <f t="shared" ref="AD507" si="5655">(B507/T507-1)*100</f>
        <v>-5.187358314441914</v>
      </c>
      <c r="AE507" s="92">
        <f t="shared" ref="AE507" si="5656">(C507/U507-1)*100</f>
        <v>-11.437084574833822</v>
      </c>
      <c r="AF507" s="92">
        <f t="shared" ref="AF507" si="5657">(D507/V507-1)*100</f>
        <v>-15.251620870639082</v>
      </c>
      <c r="AG507" s="92">
        <f t="shared" ref="AG507" si="5658">(E507/W507-1)*100</f>
        <v>13.004889056036095</v>
      </c>
      <c r="AH507" s="92">
        <f t="shared" ref="AH507" si="5659">(F507/X507-1)*100</f>
        <v>-3.2824818265588251</v>
      </c>
      <c r="AI507" s="92">
        <f t="shared" ref="AI507" si="5660">(G507/Y507-1)*100</f>
        <v>-3.2824818265588251</v>
      </c>
      <c r="AJ507" s="92">
        <f t="shared" ref="AJ507" si="5661">(H507/Z507-1)*100</f>
        <v>24.451535700039905</v>
      </c>
      <c r="AK507" s="92">
        <f t="shared" ref="AK507" si="5662">(I507/AA507-1)*100</f>
        <v>25.022514140512353</v>
      </c>
      <c r="AM507" s="112">
        <f>AP507-'Figure 8_data'!H719</f>
        <v>0</v>
      </c>
      <c r="AN507" s="92">
        <f t="shared" ref="AN507" si="5663">(B507/B455-1)*100</f>
        <v>-12.867647058823529</v>
      </c>
      <c r="AO507" s="92">
        <f t="shared" ref="AO507" si="5664">(C507/C455-1)*100</f>
        <v>-18.135593220338976</v>
      </c>
      <c r="AP507" s="92">
        <f t="shared" ref="AP507" si="5665">(D507/D455-1)*100</f>
        <v>-19.026548672566378</v>
      </c>
      <c r="AQ507" s="92">
        <f t="shared" ref="AQ507" si="5666">(E507/E455-1)*100</f>
        <v>7.9310344827586254</v>
      </c>
      <c r="AR507" s="92">
        <f t="shared" ref="AR507" si="5667">(F507/F455-1)*100</f>
        <v>-8.4651162790697612</v>
      </c>
      <c r="AS507" s="92">
        <f t="shared" ref="AS507" si="5668">(G507/G455-1)*100</f>
        <v>-8.4651162790697612</v>
      </c>
      <c r="AT507" s="92">
        <f t="shared" ref="AT507" si="5669">(H507/H455-1)*100</f>
        <v>18.181818181818187</v>
      </c>
      <c r="AU507" s="92">
        <f t="shared" ref="AU507" si="5670">(I507/I455-1)*100</f>
        <v>18.27909669947887</v>
      </c>
    </row>
    <row r="508" spans="1:47" x14ac:dyDescent="0.3">
      <c r="A508" s="13">
        <f t="shared" si="475"/>
        <v>41135</v>
      </c>
      <c r="B508" s="92">
        <f>TWK!B453</f>
        <v>400</v>
      </c>
      <c r="C508" s="92">
        <f>TWK!C453</f>
        <v>368.33333333333331</v>
      </c>
      <c r="D508" s="92">
        <f>TWK!D453</f>
        <v>365</v>
      </c>
      <c r="E508" s="92">
        <f>TWK!E453</f>
        <v>348.33333333333331</v>
      </c>
      <c r="F508" s="92">
        <f>TWK!F453</f>
        <v>348.33333333333331</v>
      </c>
      <c r="G508" s="92">
        <f>TWK!G453</f>
        <v>348.33333333333331</v>
      </c>
      <c r="H508" s="92">
        <f>TWK!H453</f>
        <v>386.66666666666669</v>
      </c>
      <c r="I508" s="92">
        <f>TWK!I453</f>
        <v>530.18922852983997</v>
      </c>
      <c r="K508" s="92">
        <f t="shared" ref="K508" si="5671">AVERAGE(B508:B508)</f>
        <v>400</v>
      </c>
      <c r="L508" s="92">
        <f t="shared" ref="L508" si="5672">+C508</f>
        <v>368.33333333333331</v>
      </c>
      <c r="M508" s="92">
        <f t="shared" ref="M508" si="5673">AVERAGE(D505:D508)</f>
        <v>345.41666666666669</v>
      </c>
      <c r="N508" s="92">
        <f t="shared" ref="N508" si="5674">AVERAGE(E505:E508)</f>
        <v>332.41666666666663</v>
      </c>
      <c r="O508" s="92">
        <f t="shared" ref="O508" si="5675">AVERAGE(F505:F508)</f>
        <v>335.08333333333331</v>
      </c>
      <c r="P508" s="92">
        <f t="shared" ref="P508" si="5676">AVERAGE(G505:G508)</f>
        <v>335.08333333333331</v>
      </c>
      <c r="Q508" s="92">
        <f t="shared" ref="Q508" si="5677">AVERAGE(H505:H508)</f>
        <v>331.25</v>
      </c>
      <c r="R508" s="92">
        <f t="shared" ref="R508" si="5678">AVERAGE(I505:I508)</f>
        <v>454.2947598253275</v>
      </c>
      <c r="T508" s="92">
        <f t="shared" ref="T508" si="5679">AVERAGE(K352,K404,K456)</f>
        <v>427.97916666666669</v>
      </c>
      <c r="U508" s="92">
        <f t="shared" ref="U508" si="5680">AVERAGE(L352,L404,L456)</f>
        <v>379.01388888888891</v>
      </c>
      <c r="V508" s="92">
        <f t="shared" ref="V508" si="5681">(M352+M404+M456)/3</f>
        <v>362.18055555555549</v>
      </c>
      <c r="W508" s="92">
        <f t="shared" ref="W508" si="5682">(N352+N404+N456)/3</f>
        <v>290.72916666666669</v>
      </c>
      <c r="X508" s="92">
        <f t="shared" ref="X508" si="5683">(O352+O404+O456)/3</f>
        <v>352.90972222222223</v>
      </c>
      <c r="Y508" s="92">
        <f t="shared" ref="Y508" si="5684">(P352+P404+P456)/3</f>
        <v>352.90972222222223</v>
      </c>
      <c r="Z508" s="92">
        <f t="shared" ref="Z508" si="5685">(Q352+Q404+Q456)/3</f>
        <v>275.5555555555556</v>
      </c>
      <c r="AA508" s="92">
        <f t="shared" ref="AA508" si="5686">(R352+R404+R456)/3</f>
        <v>372.64361960213495</v>
      </c>
      <c r="AC508" s="112">
        <f>+AF508-'Figure 8_data'!I720</f>
        <v>0</v>
      </c>
      <c r="AD508" s="92">
        <f t="shared" ref="AD508" si="5687">(B508/T508-1)*100</f>
        <v>-6.5375066932775177</v>
      </c>
      <c r="AE508" s="92">
        <f t="shared" ref="AE508" si="5688">(C508/U508-1)*100</f>
        <v>-2.8179852687896356</v>
      </c>
      <c r="AF508" s="92">
        <f t="shared" ref="AF508" si="5689">(D508/V508-1)*100</f>
        <v>0.77846378034285291</v>
      </c>
      <c r="AG508" s="92">
        <f t="shared" ref="AG508" si="5690">(E508/W508-1)*100</f>
        <v>19.813686850591171</v>
      </c>
      <c r="AH508" s="92">
        <f t="shared" ref="AH508" si="5691">(F508/X508-1)*100</f>
        <v>-1.2967590861685641</v>
      </c>
      <c r="AI508" s="92">
        <f t="shared" ref="AI508" si="5692">(G508/Y508-1)*100</f>
        <v>-1.2967590861685641</v>
      </c>
      <c r="AJ508" s="92">
        <f t="shared" ref="AJ508" si="5693">(H508/Z508-1)*100</f>
        <v>40.322580645161274</v>
      </c>
      <c r="AK508" s="92">
        <f t="shared" ref="AK508" si="5694">(I508/AA508-1)*100</f>
        <v>42.277822734738812</v>
      </c>
      <c r="AM508" s="112">
        <f>AP508-'Figure 8_data'!H720</f>
        <v>0</v>
      </c>
      <c r="AN508" s="92">
        <f t="shared" ref="AN508" si="5695">(B508/B456-1)*100</f>
        <v>-19.999999999999996</v>
      </c>
      <c r="AO508" s="92">
        <f t="shared" ref="AO508" si="5696">(C508/C456-1)*100</f>
        <v>-14.589371980676336</v>
      </c>
      <c r="AP508" s="92">
        <f t="shared" ref="AP508" si="5697">(D508/D456-1)*100</f>
        <v>-13.609467455621305</v>
      </c>
      <c r="AQ508" s="92">
        <f t="shared" ref="AQ508" si="5698">(E508/E456-1)*100</f>
        <v>-4.5662100456620998</v>
      </c>
      <c r="AR508" s="92">
        <f t="shared" ref="AR508" si="5699">(F508/F456-1)*100</f>
        <v>-13.636363636363635</v>
      </c>
      <c r="AS508" s="92">
        <f t="shared" ref="AS508" si="5700">(G508/G456-1)*100</f>
        <v>-13.636363636363635</v>
      </c>
      <c r="AT508" s="92">
        <f t="shared" ref="AT508" si="5701">(H508/H456-1)*100</f>
        <v>14.851485148514843</v>
      </c>
      <c r="AU508" s="92">
        <f t="shared" ref="AU508" si="5702">(I508/I456-1)*100</f>
        <v>14.851485148514886</v>
      </c>
    </row>
    <row r="509" spans="1:47" x14ac:dyDescent="0.3">
      <c r="A509" s="13">
        <f t="shared" si="475"/>
        <v>41142</v>
      </c>
      <c r="B509" s="92">
        <f>TWK!B454</f>
        <v>401.66666666666669</v>
      </c>
      <c r="C509" s="92">
        <f>TWK!C454</f>
        <v>346.66666666666669</v>
      </c>
      <c r="D509" s="92">
        <f>TWK!D454</f>
        <v>330</v>
      </c>
      <c r="E509" s="92">
        <f>TWK!E454</f>
        <v>353.33333333333331</v>
      </c>
      <c r="F509" s="92">
        <f>TWK!F454</f>
        <v>343.33333333333331</v>
      </c>
      <c r="G509" s="92">
        <f>TWK!G454</f>
        <v>343.33333333333331</v>
      </c>
      <c r="H509" s="92">
        <f>TWK!H454</f>
        <v>380</v>
      </c>
      <c r="I509" s="92">
        <f>TWK!I454</f>
        <v>521.04803493449788</v>
      </c>
      <c r="K509" s="92">
        <f t="shared" ref="K509" si="5703">AVERAGE(B509:B509)</f>
        <v>401.66666666666669</v>
      </c>
      <c r="L509" s="92">
        <f t="shared" ref="L509" si="5704">+C509</f>
        <v>346.66666666666669</v>
      </c>
      <c r="M509" s="92">
        <f t="shared" ref="M509" si="5705">AVERAGE(D506:D509)</f>
        <v>338.75</v>
      </c>
      <c r="N509" s="92">
        <f t="shared" ref="N509" si="5706">AVERAGE(E506:E509)</f>
        <v>336.16666666666663</v>
      </c>
      <c r="O509" s="92">
        <f t="shared" ref="O509" si="5707">AVERAGE(F506:F509)</f>
        <v>338.24999999999994</v>
      </c>
      <c r="P509" s="92">
        <f t="shared" ref="P509" si="5708">AVERAGE(G506:G509)</f>
        <v>338.24999999999994</v>
      </c>
      <c r="Q509" s="92">
        <f t="shared" ref="Q509" si="5709">AVERAGE(H506:H509)</f>
        <v>350.83333333333337</v>
      </c>
      <c r="R509" s="92">
        <f t="shared" ref="R509" si="5710">AVERAGE(I506:I509)</f>
        <v>481.14701601164484</v>
      </c>
      <c r="T509" s="92">
        <f t="shared" ref="T509" si="5711">AVERAGE(K353,K405,K457)</f>
        <v>422.91666666666669</v>
      </c>
      <c r="U509" s="92">
        <f t="shared" ref="U509" si="5712">AVERAGE(L353,L405,L457)</f>
        <v>389.64583333333331</v>
      </c>
      <c r="V509" s="92">
        <f t="shared" ref="V509" si="5713">(M353+M405+M457)/3</f>
        <v>375.96527777777783</v>
      </c>
      <c r="W509" s="92">
        <f t="shared" ref="W509" si="5714">(N353+N405+N457)/3</f>
        <v>316.08333333333331</v>
      </c>
      <c r="X509" s="92">
        <f t="shared" ref="X509" si="5715">(O353+O405+O457)/3</f>
        <v>381.06944444444451</v>
      </c>
      <c r="Y509" s="92">
        <f t="shared" ref="Y509" si="5716">(P353+P405+P457)/3</f>
        <v>381.06944444444451</v>
      </c>
      <c r="Z509" s="92">
        <f t="shared" ref="Z509" si="5717">(Q353+Q405+Q457)/3</f>
        <v>304.54166666666669</v>
      </c>
      <c r="AA509" s="92">
        <f t="shared" ref="AA509" si="5718">(R353+R405+R457)/3</f>
        <v>403.26576904415333</v>
      </c>
      <c r="AC509" s="112">
        <f>+AF509-'Figure 8_data'!I721</f>
        <v>0</v>
      </c>
      <c r="AD509" s="92">
        <f t="shared" ref="AD509" si="5719">(B509/T509-1)*100</f>
        <v>-5.0246305418719217</v>
      </c>
      <c r="AE509" s="92">
        <f t="shared" ref="AE509" si="5720">(C509/U509-1)*100</f>
        <v>-11.030315992086825</v>
      </c>
      <c r="AF509" s="92">
        <f t="shared" ref="AF509" si="5721">(D509/V509-1)*100</f>
        <v>-12.225936940098647</v>
      </c>
      <c r="AG509" s="92">
        <f t="shared" ref="AG509" si="5722">(E509/W509-1)*100</f>
        <v>11.784866860005284</v>
      </c>
      <c r="AH509" s="92">
        <f t="shared" ref="AH509" si="5723">(F509/X509-1)*100</f>
        <v>-9.9026861537340309</v>
      </c>
      <c r="AI509" s="92">
        <f t="shared" ref="AI509" si="5724">(G509/Y509-1)*100</f>
        <v>-9.9026861537340309</v>
      </c>
      <c r="AJ509" s="92">
        <f t="shared" ref="AJ509" si="5725">(H509/Z509-1)*100</f>
        <v>24.777671364071672</v>
      </c>
      <c r="AK509" s="92">
        <f t="shared" ref="AK509" si="5726">(I509/AA509-1)*100</f>
        <v>29.207107305318701</v>
      </c>
      <c r="AM509" s="112">
        <f>AP509-'Figure 8_data'!H721</f>
        <v>0</v>
      </c>
      <c r="AN509" s="92">
        <f t="shared" ref="AN509" si="5727">(B509/B457-1)*100</f>
        <v>-15.438596491228063</v>
      </c>
      <c r="AO509" s="92">
        <f t="shared" ref="AO509" si="5728">(C509/C457-1)*100</f>
        <v>-20.306513409961681</v>
      </c>
      <c r="AP509" s="92">
        <f t="shared" ref="AP509" si="5729">(D509/D457-1)*100</f>
        <v>-24.137931034482762</v>
      </c>
      <c r="AQ509" s="92">
        <f t="shared" ref="AQ509" si="5730">(E509/E457-1)*100</f>
        <v>-7.0175438596491224</v>
      </c>
      <c r="AR509" s="92">
        <f t="shared" ref="AR509" si="5731">(F509/F457-1)*100</f>
        <v>-20.463320463320468</v>
      </c>
      <c r="AS509" s="92">
        <f t="shared" ref="AS509" si="5732">(G509/G457-1)*100</f>
        <v>-20.463320463320468</v>
      </c>
      <c r="AT509" s="92">
        <f t="shared" ref="AT509" si="5733">(H509/H457-1)*100</f>
        <v>7.547169811320753</v>
      </c>
      <c r="AU509" s="92">
        <f t="shared" ref="AU509" si="5734">(I509/I457-1)*100</f>
        <v>8.5714285714285854</v>
      </c>
    </row>
    <row r="510" spans="1:47" x14ac:dyDescent="0.3">
      <c r="A510" s="13">
        <f t="shared" si="475"/>
        <v>41149</v>
      </c>
      <c r="B510" s="92">
        <f>TWK!B455</f>
        <v>425</v>
      </c>
      <c r="C510" s="92">
        <f>TWK!C455</f>
        <v>412.5</v>
      </c>
      <c r="D510" s="92">
        <f>TWK!D455</f>
        <v>437.5</v>
      </c>
      <c r="E510" s="92">
        <f>TWK!E455</f>
        <v>500</v>
      </c>
      <c r="F510" s="92">
        <f>TWK!F455</f>
        <v>437.5</v>
      </c>
      <c r="G510" s="92">
        <f>TWK!G455</f>
        <v>437.5</v>
      </c>
      <c r="H510" s="92">
        <f>TWK!H455</f>
        <v>525</v>
      </c>
      <c r="I510" s="92">
        <f>TWK!I455</f>
        <v>719.86899563318775</v>
      </c>
      <c r="K510" s="92">
        <f t="shared" ref="K510" si="5735">AVERAGE(B510:B510)</f>
        <v>425</v>
      </c>
      <c r="L510" s="92">
        <f t="shared" ref="L510" si="5736">+C510</f>
        <v>412.5</v>
      </c>
      <c r="M510" s="92">
        <f t="shared" ref="M510" si="5737">AVERAGE(D507:D510)</f>
        <v>359.375</v>
      </c>
      <c r="N510" s="92">
        <f t="shared" ref="N510" si="5738">AVERAGE(E507:E510)</f>
        <v>378.66666666666663</v>
      </c>
      <c r="O510" s="92">
        <f t="shared" ref="O510" si="5739">AVERAGE(F507:F510)</f>
        <v>364.29166666666663</v>
      </c>
      <c r="P510" s="92">
        <f t="shared" ref="P510" si="5740">AVERAGE(G507:G510)</f>
        <v>364.29166666666663</v>
      </c>
      <c r="Q510" s="92">
        <f t="shared" ref="Q510" si="5741">AVERAGE(H507:H510)</f>
        <v>404.16666666666669</v>
      </c>
      <c r="R510" s="92">
        <f t="shared" ref="R510" si="5742">AVERAGE(I507:I510)</f>
        <v>554.27656477438143</v>
      </c>
      <c r="T510" s="92">
        <f t="shared" ref="T510" si="5743">AVERAGE(K354,K406,K458)</f>
        <v>429.8680555555556</v>
      </c>
      <c r="U510" s="92">
        <f t="shared" ref="U510" si="5744">AVERAGE(L354,L406,L458)</f>
        <v>406.11111111111109</v>
      </c>
      <c r="V510" s="92">
        <f t="shared" ref="V510" si="5745">(M354+M406+M458)/3</f>
        <v>401.83333333333331</v>
      </c>
      <c r="W510" s="92">
        <f t="shared" ref="W510" si="5746">(N354+N406+N458)/3</f>
        <v>353.39583333333331</v>
      </c>
      <c r="X510" s="92">
        <f t="shared" ref="X510" si="5747">(O354+O406+O458)/3</f>
        <v>418.6944444444444</v>
      </c>
      <c r="Y510" s="92">
        <f t="shared" ref="Y510" si="5748">(P354+P406+P458)/3</f>
        <v>419.1944444444444</v>
      </c>
      <c r="Z510" s="92">
        <f t="shared" ref="Z510" si="5749">(Q354+Q406+Q458)/3</f>
        <v>343.45138888888891</v>
      </c>
      <c r="AA510" s="92">
        <f t="shared" ref="AA510" si="5750">(R354+R406+R458)/3</f>
        <v>454.11857108199905</v>
      </c>
      <c r="AC510" s="112">
        <f>+AF510-'Figure 8_data'!I722</f>
        <v>0</v>
      </c>
      <c r="AD510" s="92">
        <f t="shared" ref="AD510" si="5751">(B510/T510-1)*100</f>
        <v>-1.1324534337086689</v>
      </c>
      <c r="AE510" s="92">
        <f t="shared" ref="AE510" si="5752">(C510/U510-1)*100</f>
        <v>1.5731874145006985</v>
      </c>
      <c r="AF510" s="92">
        <f t="shared" ref="AF510" si="5753">(D510/V510-1)*100</f>
        <v>8.8759850684363428</v>
      </c>
      <c r="AG510" s="92">
        <f t="shared" ref="AG510" si="5754">(E510/W510-1)*100</f>
        <v>41.484407239285503</v>
      </c>
      <c r="AH510" s="92">
        <f t="shared" ref="AH510" si="5755">(F510/X510-1)*100</f>
        <v>4.4914748225303613</v>
      </c>
      <c r="AI510" s="92">
        <f t="shared" ref="AI510" si="5756">(G510/Y510-1)*100</f>
        <v>4.36684116360746</v>
      </c>
      <c r="AJ510" s="92">
        <f t="shared" ref="AJ510" si="5757">(H510/Z510-1)*100</f>
        <v>52.860060254362359</v>
      </c>
      <c r="AK510" s="92">
        <f t="shared" ref="AK510" si="5758">(I510/AA510-1)*100</f>
        <v>58.520052134842729</v>
      </c>
      <c r="AM510" s="112">
        <f>AP510-'Figure 8_data'!H722</f>
        <v>0</v>
      </c>
      <c r="AN510" s="92">
        <f t="shared" ref="AN510" si="5759">(B510/B458-1)*100</f>
        <v>-9.8939929328621936</v>
      </c>
      <c r="AO510" s="92">
        <f t="shared" ref="AO510" si="5760">(C510/C458-1)*100</f>
        <v>-5.8935361216730042</v>
      </c>
      <c r="AP510" s="92">
        <f t="shared" ref="AP510" si="5761">(D510/D458-1)*100</f>
        <v>-4.5454545454545414</v>
      </c>
      <c r="AQ510" s="92">
        <f t="shared" ref="AQ510" si="5762">(E510/E458-1)*100</f>
        <v>35.13513513513513</v>
      </c>
      <c r="AR510" s="92">
        <f t="shared" ref="AR510" si="5763">(F510/F458-1)*100</f>
        <v>-3.8461538461538436</v>
      </c>
      <c r="AS510" s="92">
        <f t="shared" ref="AS510" si="5764">(G510/G458-1)*100</f>
        <v>-3.8461538461538436</v>
      </c>
      <c r="AT510" s="92">
        <f t="shared" ref="AT510" si="5765">(H510/H458-1)*100</f>
        <v>43.181818181818166</v>
      </c>
      <c r="AU510" s="92">
        <f t="shared" ref="AU510" si="5766">(I510/I458-1)*100</f>
        <v>52.180936995153495</v>
      </c>
    </row>
    <row r="511" spans="1:47" x14ac:dyDescent="0.3">
      <c r="A511" s="13">
        <f t="shared" si="475"/>
        <v>41156</v>
      </c>
      <c r="B511" s="92">
        <f>TWK!B456</f>
        <v>475</v>
      </c>
      <c r="C511" s="92">
        <f>TWK!C456</f>
        <v>495</v>
      </c>
      <c r="D511" s="92">
        <f>TWK!D456</f>
        <v>500</v>
      </c>
      <c r="E511" s="92">
        <f>TWK!E456</f>
        <v>533.33333333333337</v>
      </c>
      <c r="F511" s="92">
        <f>TWK!F456</f>
        <v>495</v>
      </c>
      <c r="G511" s="92">
        <f>TWK!G456</f>
        <v>495</v>
      </c>
      <c r="H511" s="92">
        <f>TWK!H456</f>
        <v>587.5</v>
      </c>
      <c r="I511" s="92">
        <f>TWK!I456</f>
        <v>806</v>
      </c>
      <c r="K511" s="92">
        <f t="shared" ref="K511:L513" si="5767">AVERAGE(B508:B511)</f>
        <v>425.41666666666669</v>
      </c>
      <c r="L511" s="92">
        <f t="shared" si="5767"/>
        <v>405.625</v>
      </c>
      <c r="M511" s="92">
        <f t="shared" ref="M511" si="5768">AVERAGE(D508:D511)</f>
        <v>408.125</v>
      </c>
      <c r="N511" s="92">
        <f t="shared" ref="N511" si="5769">AVERAGE(E508:E511)</f>
        <v>433.75</v>
      </c>
      <c r="O511" s="92">
        <f t="shared" ref="O511" si="5770">AVERAGE(F508:F511)</f>
        <v>406.04166666666663</v>
      </c>
      <c r="P511" s="92">
        <f t="shared" ref="P511" si="5771">AVERAGE(G508:G511)</f>
        <v>406.04166666666663</v>
      </c>
      <c r="Q511" s="92">
        <f t="shared" ref="Q511" si="5772">AVERAGE(H508:H511)</f>
        <v>469.79166666666669</v>
      </c>
      <c r="R511" s="92">
        <f t="shared" ref="R511" si="5773">AVERAGE(I508:I511)</f>
        <v>644.27656477438143</v>
      </c>
      <c r="T511" s="92">
        <f t="shared" ref="T511" si="5774">AVERAGE(K355,K407,K459)</f>
        <v>438.29166666666669</v>
      </c>
      <c r="U511" s="92">
        <f t="shared" ref="U511" si="5775">AVERAGE(L355,L407,L459)</f>
        <v>422.39583333333331</v>
      </c>
      <c r="V511" s="92">
        <f t="shared" ref="V511" si="5776">(M355+M407+M459)/3</f>
        <v>418.6319444444444</v>
      </c>
      <c r="W511" s="92">
        <f t="shared" ref="W511" si="5777">(N355+N407+N459)/3</f>
        <v>381.35416666666669</v>
      </c>
      <c r="X511" s="92">
        <f t="shared" ref="X511" si="5778">(O355+O407+O459)/3</f>
        <v>450.125</v>
      </c>
      <c r="Y511" s="92">
        <f t="shared" ref="Y511" si="5779">(P355+P407+P459)/3</f>
        <v>451.5625</v>
      </c>
      <c r="Z511" s="92">
        <f t="shared" ref="Z511" si="5780">(Q355+Q407+Q459)/3</f>
        <v>370.70833333333331</v>
      </c>
      <c r="AA511" s="92">
        <f t="shared" ref="AA511" si="5781">(R355+R407+R459)/3</f>
        <v>491.40841824357108</v>
      </c>
      <c r="AC511" s="112">
        <f>+AF511-'Figure 8_data'!I723</f>
        <v>0</v>
      </c>
      <c r="AD511" s="92">
        <f t="shared" ref="AD511" si="5782">(B511/T511-1)*100</f>
        <v>8.3753208479893537</v>
      </c>
      <c r="AE511" s="92">
        <f t="shared" ref="AE511" si="5783">(C511/U511-1)*100</f>
        <v>17.188655980271285</v>
      </c>
      <c r="AF511" s="92">
        <f t="shared" ref="AF511" si="5784">(D511/V511-1)*100</f>
        <v>19.43665710067517</v>
      </c>
      <c r="AG511" s="92">
        <f t="shared" ref="AG511" si="5785">(E511/W511-1)*100</f>
        <v>39.852499317126465</v>
      </c>
      <c r="AH511" s="92">
        <f t="shared" ref="AH511" si="5786">(F511/X511-1)*100</f>
        <v>9.96945292974174</v>
      </c>
      <c r="AI511" s="92">
        <f t="shared" ref="AI511" si="5787">(G511/Y511-1)*100</f>
        <v>9.6193771626297497</v>
      </c>
      <c r="AJ511" s="92">
        <f t="shared" ref="AJ511" si="5788">(H511/Z511-1)*100</f>
        <v>58.480386647184446</v>
      </c>
      <c r="AK511" s="92">
        <f t="shared" ref="AK511" si="5789">(I511/AA511-1)*100</f>
        <v>64.01835419931669</v>
      </c>
      <c r="AM511" s="112">
        <f>AP511-'Figure 8_data'!H723</f>
        <v>0</v>
      </c>
      <c r="AN511" s="92">
        <f t="shared" ref="AN511" si="5790">(B511/B459-1)*100</f>
        <v>0</v>
      </c>
      <c r="AO511" s="92">
        <f t="shared" ref="AO511" si="5791">(C511/C459-1)*100</f>
        <v>7.6086956521739024</v>
      </c>
      <c r="AP511" s="92">
        <f t="shared" ref="AP511" si="5792">(D511/D459-1)*100</f>
        <v>8.6956521739130377</v>
      </c>
      <c r="AQ511" s="92">
        <f t="shared" ref="AQ511" si="5793">(E511/E459-1)*100</f>
        <v>30.081300813008149</v>
      </c>
      <c r="AR511" s="92">
        <f t="shared" ref="AR511" si="5794">(F511/F459-1)*100</f>
        <v>2.0618556701030855</v>
      </c>
      <c r="AS511" s="92">
        <f t="shared" ref="AS511" si="5795">(G511/G459-1)*100</f>
        <v>2.0618556701030855</v>
      </c>
      <c r="AT511" s="92">
        <f t="shared" ref="AT511" si="5796">(H511/H459-1)*100</f>
        <v>51.287553648068673</v>
      </c>
      <c r="AU511" s="92">
        <f t="shared" ref="AU511" si="5797">(I511/I459-1)*100</f>
        <v>51.694267515923542</v>
      </c>
    </row>
    <row r="512" spans="1:47" x14ac:dyDescent="0.3">
      <c r="A512" s="13">
        <f t="shared" si="475"/>
        <v>41163</v>
      </c>
      <c r="B512" s="92">
        <f>TWK!B457</f>
        <v>537.5</v>
      </c>
      <c r="C512" s="92">
        <f>TWK!C457</f>
        <v>545</v>
      </c>
      <c r="D512" s="92">
        <f>TWK!D457</f>
        <v>550</v>
      </c>
      <c r="E512" s="92">
        <f>TWK!E457</f>
        <v>600</v>
      </c>
      <c r="F512" s="92">
        <f>TWK!F457</f>
        <v>587.5</v>
      </c>
      <c r="G512" s="92">
        <f>TWK!G457</f>
        <v>587.5</v>
      </c>
      <c r="H512" s="92">
        <f>TWK!H457</f>
        <v>700</v>
      </c>
      <c r="I512" s="92">
        <f>TWK!I457</f>
        <v>959.82532751091696</v>
      </c>
      <c r="K512" s="92">
        <f t="shared" si="5767"/>
        <v>459.79166666666669</v>
      </c>
      <c r="L512" s="92">
        <f t="shared" si="5767"/>
        <v>449.79166666666669</v>
      </c>
      <c r="M512" s="92">
        <f t="shared" ref="M512" si="5798">AVERAGE(D509:D512)</f>
        <v>454.375</v>
      </c>
      <c r="N512" s="92">
        <f t="shared" ref="N512" si="5799">AVERAGE(E509:E512)</f>
        <v>496.66666666666663</v>
      </c>
      <c r="O512" s="92">
        <f t="shared" ref="O512" si="5800">AVERAGE(F509:F512)</f>
        <v>465.83333333333331</v>
      </c>
      <c r="P512" s="92">
        <f t="shared" ref="P512" si="5801">AVERAGE(G509:G512)</f>
        <v>465.83333333333331</v>
      </c>
      <c r="Q512" s="92">
        <f t="shared" ref="Q512" si="5802">AVERAGE(H509:H512)</f>
        <v>548.125</v>
      </c>
      <c r="R512" s="92">
        <f t="shared" ref="R512" si="5803">AVERAGE(I509:I512)</f>
        <v>751.68558951965065</v>
      </c>
      <c r="T512" s="92">
        <f t="shared" ref="T512" si="5804">AVERAGE(K356,K408,K460)</f>
        <v>444.04166666666669</v>
      </c>
      <c r="U512" s="92">
        <f t="shared" ref="U512" si="5805">AVERAGE(L356,L408,L460)</f>
        <v>432.7569444444444</v>
      </c>
      <c r="V512" s="92">
        <f t="shared" ref="V512" si="5806">(M356+M408+M460)/3</f>
        <v>427.98611111111109</v>
      </c>
      <c r="W512" s="92">
        <f t="shared" ref="W512" si="5807">(N356+N408+N460)/3</f>
        <v>394.15972222222223</v>
      </c>
      <c r="X512" s="92">
        <f t="shared" ref="X512" si="5808">(O356+O408+O460)/3</f>
        <v>466.3055555555556</v>
      </c>
      <c r="Y512" s="92">
        <f t="shared" ref="Y512" si="5809">(P356+P408+P460)/3</f>
        <v>467.32638888888891</v>
      </c>
      <c r="Z512" s="92">
        <f t="shared" ref="Z512" si="5810">(Q356+Q408+Q460)/3</f>
        <v>384.59722222222217</v>
      </c>
      <c r="AA512" s="92">
        <f t="shared" ref="AA512" si="5811">(R356+R408+R460)/3</f>
        <v>492.31465308102861</v>
      </c>
      <c r="AC512" s="112">
        <f>+AF512-'Figure 8_data'!I724</f>
        <v>0</v>
      </c>
      <c r="AD512" s="92">
        <f t="shared" ref="AD512" si="5812">(B512/T512-1)*100</f>
        <v>21.047199024115603</v>
      </c>
      <c r="AE512" s="92">
        <f t="shared" ref="AE512" si="5813">(C512/U512-1)*100</f>
        <v>25.936742782868262</v>
      </c>
      <c r="AF512" s="92">
        <f t="shared" ref="AF512" si="5814">(D512/V512-1)*100</f>
        <v>28.508843095894854</v>
      </c>
      <c r="AG512" s="92">
        <f t="shared" ref="AG512" si="5815">(E512/W512-1)*100</f>
        <v>52.222555013301864</v>
      </c>
      <c r="AH512" s="92">
        <f t="shared" ref="AH512" si="5816">(F512/X512-1)*100</f>
        <v>25.990349675343992</v>
      </c>
      <c r="AI512" s="92">
        <f t="shared" ref="AI512" si="5817">(G512/Y512-1)*100</f>
        <v>25.715134854001032</v>
      </c>
      <c r="AJ512" s="92">
        <f t="shared" ref="AJ512" si="5818">(H512/Z512-1)*100</f>
        <v>82.008594850312406</v>
      </c>
      <c r="AK512" s="92">
        <f t="shared" ref="AK512" si="5819">(I512/AA512-1)*100</f>
        <v>94.961763072475975</v>
      </c>
      <c r="AM512" s="112">
        <f>AP512-'Figure 8_data'!H724</f>
        <v>0</v>
      </c>
      <c r="AN512" s="92">
        <f t="shared" ref="AN512" si="5820">(B512/B460-1)*100</f>
        <v>10.824742268041243</v>
      </c>
      <c r="AO512" s="92">
        <f t="shared" ref="AO512" si="5821">(C512/C460-1)*100</f>
        <v>14.136125654450261</v>
      </c>
      <c r="AP512" s="92">
        <f t="shared" ref="AP512" si="5822">(D512/D460-1)*100</f>
        <v>15.789473684210531</v>
      </c>
      <c r="AQ512" s="92">
        <f t="shared" ref="AQ512" si="5823">(E512/E460-1)*100</f>
        <v>50</v>
      </c>
      <c r="AR512" s="92">
        <f t="shared" ref="AR512" si="5824">(F512/F460-1)*100</f>
        <v>23.03664921465969</v>
      </c>
      <c r="AS512" s="92">
        <f t="shared" ref="AS512" si="5825">(G512/G460-1)*100</f>
        <v>23.03664921465969</v>
      </c>
      <c r="AT512" s="92">
        <f t="shared" ref="AT512" si="5826">(H512/H460-1)*100</f>
        <v>77.215189873417714</v>
      </c>
      <c r="AU512" s="92">
        <f t="shared" ref="AU512" si="5827">(I512/I460-1)*100</f>
        <v>77.966101694915253</v>
      </c>
    </row>
    <row r="513" spans="1:47" x14ac:dyDescent="0.3">
      <c r="A513" s="13">
        <f t="shared" si="475"/>
        <v>41170</v>
      </c>
      <c r="B513" s="92">
        <f>TWK!B458</f>
        <v>600</v>
      </c>
      <c r="C513" s="92">
        <f>TWK!C458</f>
        <v>595</v>
      </c>
      <c r="D513" s="92">
        <f>TWK!D458</f>
        <v>625</v>
      </c>
      <c r="E513" s="92">
        <f>TWK!E458</f>
        <v>612.5</v>
      </c>
      <c r="F513" s="92">
        <f>TWK!F458</f>
        <v>625</v>
      </c>
      <c r="G513" s="92">
        <f>TWK!G458</f>
        <v>625</v>
      </c>
      <c r="H513" s="92">
        <f>TWK!H458</f>
        <v>750</v>
      </c>
      <c r="I513" s="92">
        <f>TWK!I458</f>
        <v>1028.3842794759826</v>
      </c>
      <c r="K513" s="92">
        <f t="shared" si="5767"/>
        <v>509.375</v>
      </c>
      <c r="L513" s="92">
        <f t="shared" si="5767"/>
        <v>511.875</v>
      </c>
      <c r="M513" s="92">
        <f t="shared" ref="M513" si="5828">AVERAGE(D510:D513)</f>
        <v>528.125</v>
      </c>
      <c r="N513" s="92">
        <f t="shared" ref="N513" si="5829">AVERAGE(E510:E513)</f>
        <v>561.45833333333337</v>
      </c>
      <c r="O513" s="92">
        <f t="shared" ref="O513" si="5830">AVERAGE(F510:F513)</f>
        <v>536.25</v>
      </c>
      <c r="P513" s="92">
        <f t="shared" ref="P513" si="5831">AVERAGE(G510:G513)</f>
        <v>536.25</v>
      </c>
      <c r="Q513" s="92">
        <f t="shared" ref="Q513" si="5832">AVERAGE(H510:H513)</f>
        <v>640.625</v>
      </c>
      <c r="R513" s="92">
        <f t="shared" ref="R513" si="5833">AVERAGE(I510:I513)</f>
        <v>878.51965065502179</v>
      </c>
      <c r="T513" s="92">
        <f t="shared" ref="T513" si="5834">AVERAGE(K357,K409,K461)</f>
        <v>461.22222222222217</v>
      </c>
      <c r="U513" s="92">
        <f t="shared" ref="U513" si="5835">AVERAGE(L357,L409,L461)</f>
        <v>455.45833333333331</v>
      </c>
      <c r="V513" s="92">
        <f t="shared" ref="V513" si="5836">(M357+M409+M461)/3</f>
        <v>446.38888888888886</v>
      </c>
      <c r="W513" s="92">
        <f t="shared" ref="W513" si="5837">(N357+N409+N461)/3</f>
        <v>406.65277777777783</v>
      </c>
      <c r="X513" s="92">
        <f t="shared" ref="X513" si="5838">(O357+O409+O461)/3</f>
        <v>475.6805555555556</v>
      </c>
      <c r="Y513" s="92">
        <f t="shared" ref="Y513" si="5839">(P357+P409+P461)/3</f>
        <v>476.70138888888891</v>
      </c>
      <c r="Z513" s="92">
        <f t="shared" ref="Z513" si="5840">(Q357+Q409+Q461)/3</f>
        <v>390.92361111111109</v>
      </c>
      <c r="AA513" s="92">
        <f t="shared" ref="AA513" si="5841">(R357+R409+R461)/3</f>
        <v>511.43565016982052</v>
      </c>
      <c r="AC513" s="112">
        <f>+AF513-'Figure 8_data'!I725</f>
        <v>0</v>
      </c>
      <c r="AD513" s="92">
        <f t="shared" ref="AD513" si="5842">(B513/T513-1)*100</f>
        <v>30.089135148157077</v>
      </c>
      <c r="AE513" s="92">
        <f t="shared" ref="AE513" si="5843">(C513/U513-1)*100</f>
        <v>30.637636080870934</v>
      </c>
      <c r="AF513" s="92">
        <f t="shared" ref="AF513" si="5844">(D513/V513-1)*100</f>
        <v>40.01244555071564</v>
      </c>
      <c r="AG513" s="92">
        <f t="shared" ref="AG513" si="5845">(E513/W513-1)*100</f>
        <v>50.619898220567627</v>
      </c>
      <c r="AH513" s="92">
        <f t="shared" ref="AH513" si="5846">(F513/X513-1)*100</f>
        <v>31.390697538614255</v>
      </c>
      <c r="AI513" s="92">
        <f t="shared" ref="AI513" si="5847">(G513/Y513-1)*100</f>
        <v>31.109330614028696</v>
      </c>
      <c r="AJ513" s="92">
        <f t="shared" ref="AJ513" si="5848">(H513/Z513-1)*100</f>
        <v>91.853338781020739</v>
      </c>
      <c r="AK513" s="92">
        <f t="shared" ref="AK513" si="5849">(I513/AA513-1)*100</f>
        <v>101.07794189445163</v>
      </c>
      <c r="AM513" s="112">
        <f>AP513-'Figure 8_data'!H725</f>
        <v>0</v>
      </c>
      <c r="AN513" s="92">
        <f t="shared" ref="AN513" si="5850">(B513/B461-1)*100</f>
        <v>16.129032258064523</v>
      </c>
      <c r="AO513" s="92">
        <f t="shared" ref="AO513" si="5851">(C513/C461-1)*100</f>
        <v>15.161290322580644</v>
      </c>
      <c r="AP513" s="92">
        <f t="shared" ref="AP513" si="5852">(D513/D461-1)*100</f>
        <v>20.578778135048225</v>
      </c>
      <c r="AQ513" s="92">
        <f t="shared" ref="AQ513" si="5853">(E513/E461-1)*100</f>
        <v>50.614754098360649</v>
      </c>
      <c r="AR513" s="92">
        <f t="shared" ref="AR513" si="5854">(F513/F461-1)*100</f>
        <v>27.118644067796605</v>
      </c>
      <c r="AS513" s="92">
        <f t="shared" ref="AS513" si="5855">(G513/G461-1)*100</f>
        <v>27.118644067796605</v>
      </c>
      <c r="AT513" s="92">
        <f t="shared" ref="AT513" si="5856">(H513/H461-1)*100</f>
        <v>89.873417721518976</v>
      </c>
      <c r="AU513" s="92">
        <f t="shared" ref="AU513" si="5857">(I513/I461-1)*100</f>
        <v>89.873417721519004</v>
      </c>
    </row>
    <row r="514" spans="1:47" x14ac:dyDescent="0.3">
      <c r="A514" s="13">
        <f t="shared" si="475"/>
        <v>41177</v>
      </c>
      <c r="B514" s="92">
        <f>TWK!B459</f>
        <v>616.66666666666663</v>
      </c>
      <c r="C514" s="92">
        <f>TWK!C459</f>
        <v>605</v>
      </c>
      <c r="D514" s="92">
        <f>TWK!D459</f>
        <v>608.33333333333337</v>
      </c>
      <c r="E514" s="92">
        <f>TWK!E459</f>
        <v>600</v>
      </c>
      <c r="F514" s="92">
        <f>TWK!F459</f>
        <v>625</v>
      </c>
      <c r="G514" s="92">
        <f>TWK!G459</f>
        <v>625</v>
      </c>
      <c r="H514" s="92">
        <f>TWK!H459</f>
        <v>565</v>
      </c>
      <c r="I514" s="92">
        <f>TWK!I459</f>
        <v>774.71615720524017</v>
      </c>
      <c r="K514" s="92">
        <f t="shared" ref="K514" si="5858">AVERAGE(B511:B514)</f>
        <v>557.29166666666663</v>
      </c>
      <c r="L514" s="92">
        <f t="shared" ref="L514" si="5859">AVERAGE(C511:C514)</f>
        <v>560</v>
      </c>
      <c r="M514" s="92">
        <f t="shared" ref="M514" si="5860">AVERAGE(D511:D514)</f>
        <v>570.83333333333337</v>
      </c>
      <c r="N514" s="92">
        <f t="shared" ref="N514" si="5861">AVERAGE(E511:E514)</f>
        <v>586.45833333333337</v>
      </c>
      <c r="O514" s="92">
        <f t="shared" ref="O514" si="5862">AVERAGE(F511:F514)</f>
        <v>583.125</v>
      </c>
      <c r="P514" s="92">
        <f t="shared" ref="P514" si="5863">AVERAGE(G511:G514)</f>
        <v>583.125</v>
      </c>
      <c r="Q514" s="92">
        <f t="shared" ref="Q514" si="5864">AVERAGE(H511:H514)</f>
        <v>650.625</v>
      </c>
      <c r="R514" s="92">
        <f t="shared" ref="R514" si="5865">AVERAGE(I511:I514)</f>
        <v>892.23144104803487</v>
      </c>
      <c r="T514" s="92">
        <f t="shared" ref="T514" si="5866">AVERAGE(K358,K410,K462)</f>
        <v>483.125</v>
      </c>
      <c r="U514" s="92">
        <f t="shared" ref="U514" si="5867">AVERAGE(L358,L410,L462)</f>
        <v>481.59722222222217</v>
      </c>
      <c r="V514" s="92">
        <f t="shared" ref="V514" si="5868">(M358+M410+M462)/3</f>
        <v>467.22222222222223</v>
      </c>
      <c r="W514" s="92">
        <f t="shared" ref="W514" si="5869">(N358+N410+N462)/3</f>
        <v>418.88888888888891</v>
      </c>
      <c r="X514" s="92">
        <f t="shared" ref="X514" si="5870">(O358+O410+O462)/3</f>
        <v>488.4375</v>
      </c>
      <c r="Y514" s="92">
        <f t="shared" ref="Y514" si="5871">(P358+P410+P462)/3</f>
        <v>488.95833333333331</v>
      </c>
      <c r="Z514" s="92">
        <f t="shared" ref="Z514" si="5872">(Q358+Q410+Q462)/3</f>
        <v>397.46527777777777</v>
      </c>
      <c r="AA514" s="92">
        <f t="shared" ref="AA514" si="5873">(R358+R410+R462)/3</f>
        <v>522.90483988355163</v>
      </c>
      <c r="AC514" s="112">
        <f>+AF514-'Figure 8_data'!I726</f>
        <v>0</v>
      </c>
      <c r="AD514" s="92">
        <f t="shared" ref="AD514" si="5874">(B514/T514-1)*100</f>
        <v>27.641224665804209</v>
      </c>
      <c r="AE514" s="92">
        <f t="shared" ref="AE514" si="5875">(C514/U514-1)*100</f>
        <v>25.623648161499645</v>
      </c>
      <c r="AF514" s="92">
        <f t="shared" ref="AF514" si="5876">(D514/V514-1)*100</f>
        <v>30.20214030915578</v>
      </c>
      <c r="AG514" s="92">
        <f t="shared" ref="AG514" si="5877">(E514/W514-1)*100</f>
        <v>43.236074270557026</v>
      </c>
      <c r="AH514" s="92">
        <f t="shared" ref="AH514" si="5878">(F514/X514-1)*100</f>
        <v>27.959053103007037</v>
      </c>
      <c r="AI514" s="92">
        <f t="shared" ref="AI514" si="5879">(G514/Y514-1)*100</f>
        <v>27.822752449936083</v>
      </c>
      <c r="AJ514" s="92">
        <f t="shared" ref="AJ514" si="5880">(H514/Z514-1)*100</f>
        <v>42.150781864243903</v>
      </c>
      <c r="AK514" s="92">
        <f t="shared" ref="AK514" si="5881">(I514/AA514-1)*100</f>
        <v>48.156241464080864</v>
      </c>
      <c r="AM514" s="112">
        <f>AP514-'Figure 8_data'!H726</f>
        <v>0</v>
      </c>
      <c r="AN514" s="92">
        <f t="shared" ref="AN514" si="5882">(B514/B462-1)*100</f>
        <v>11.782477341389729</v>
      </c>
      <c r="AO514" s="92">
        <f t="shared" ref="AO514" si="5883">(C514/C462-1)*100</f>
        <v>7.3964497041419941</v>
      </c>
      <c r="AP514" s="92">
        <f t="shared" ref="AP514" si="5884">(D514/D462-1)*100</f>
        <v>7.9881656804733803</v>
      </c>
      <c r="AQ514" s="92">
        <f t="shared" ref="AQ514" si="5885">(E514/E462-1)*100</f>
        <v>31.386861313868607</v>
      </c>
      <c r="AR514" s="92">
        <f t="shared" ref="AR514" si="5886">(F514/F462-1)*100</f>
        <v>10.294117647058831</v>
      </c>
      <c r="AS514" s="92">
        <f t="shared" ref="AS514" si="5887">(G514/G462-1)*100</f>
        <v>10.294117647058831</v>
      </c>
      <c r="AT514" s="92">
        <f t="shared" ref="AT514" si="5888">(H514/H462-1)*100</f>
        <v>30.888030888030894</v>
      </c>
      <c r="AU514" s="92">
        <f t="shared" ref="AU514" si="5889">(I514/I462-1)*100</f>
        <v>30.888030888030869</v>
      </c>
    </row>
    <row r="515" spans="1:47" x14ac:dyDescent="0.3">
      <c r="A515" s="13">
        <f t="shared" si="475"/>
        <v>41184</v>
      </c>
      <c r="B515" s="92">
        <f>TWK!B460</f>
        <v>696.66666666666663</v>
      </c>
      <c r="C515" s="92">
        <f>TWK!C460</f>
        <v>690</v>
      </c>
      <c r="D515" s="92">
        <f>TWK!D460</f>
        <v>633.33333333333337</v>
      </c>
      <c r="E515" s="92">
        <f>TWK!E460</f>
        <v>600</v>
      </c>
      <c r="F515" s="92">
        <f>TWK!F460</f>
        <v>623.33333333333337</v>
      </c>
      <c r="G515" s="92">
        <f>TWK!G460</f>
        <v>623.33333333333337</v>
      </c>
      <c r="H515" s="92">
        <f>TWK!H460</f>
        <v>561.66666666666663</v>
      </c>
      <c r="I515" s="92">
        <f>TWK!I460</f>
        <v>770.14556040756906</v>
      </c>
      <c r="K515" s="92">
        <f t="shared" ref="K515" si="5890">AVERAGE(B512:B515)</f>
        <v>612.70833333333326</v>
      </c>
      <c r="L515" s="92">
        <f t="shared" ref="L515" si="5891">AVERAGE(C512:C515)</f>
        <v>608.75</v>
      </c>
      <c r="M515" s="92">
        <f t="shared" ref="M515" si="5892">AVERAGE(D512:D515)</f>
        <v>604.16666666666674</v>
      </c>
      <c r="N515" s="92">
        <f t="shared" ref="N515" si="5893">AVERAGE(E512:E515)</f>
        <v>603.125</v>
      </c>
      <c r="O515" s="92">
        <f t="shared" ref="O515" si="5894">AVERAGE(F512:F515)</f>
        <v>615.20833333333337</v>
      </c>
      <c r="P515" s="92">
        <f t="shared" ref="P515" si="5895">AVERAGE(G512:G515)</f>
        <v>615.20833333333337</v>
      </c>
      <c r="Q515" s="92">
        <f t="shared" ref="Q515" si="5896">AVERAGE(H512:H515)</f>
        <v>644.16666666666663</v>
      </c>
      <c r="R515" s="92">
        <f t="shared" ref="R515" si="5897">AVERAGE(I512:I515)</f>
        <v>883.26783114992713</v>
      </c>
      <c r="T515" s="92">
        <f t="shared" ref="T515" si="5898">AVERAGE(K359,K411,K463)</f>
        <v>510</v>
      </c>
      <c r="U515" s="92">
        <f t="shared" ref="U515" si="5899">AVERAGE(L359,L411,L463)</f>
        <v>501.41666666666669</v>
      </c>
      <c r="V515" s="92">
        <f t="shared" ref="V515" si="5900">(M359+M411+M463)/3</f>
        <v>498.98611111111114</v>
      </c>
      <c r="W515" s="92">
        <f t="shared" ref="W515" si="5901">(N359+N411+N463)/3</f>
        <v>437.32638888888891</v>
      </c>
      <c r="X515" s="92">
        <f t="shared" ref="X515" si="5902">(O359+O411+O463)/3</f>
        <v>511.38888888888886</v>
      </c>
      <c r="Y515" s="92">
        <f t="shared" ref="Y515" si="5903">(P359+P411+P463)/3</f>
        <v>510.97222222222217</v>
      </c>
      <c r="Z515" s="92">
        <f t="shared" ref="Z515" si="5904">(Q359+Q411+Q463)/3</f>
        <v>414.82638888888886</v>
      </c>
      <c r="AA515" s="92">
        <f t="shared" ref="AA515" si="5905">(R359+R411+R463)/3</f>
        <v>547.23374575448804</v>
      </c>
      <c r="AC515" s="112">
        <f>+AF515-'Figure 8_data'!I727</f>
        <v>0</v>
      </c>
      <c r="AD515" s="92">
        <f t="shared" ref="AD515" si="5906">(B515/T515-1)*100</f>
        <v>36.601307189542489</v>
      </c>
      <c r="AE515" s="92">
        <f t="shared" ref="AE515" si="5907">(C515/U515-1)*100</f>
        <v>37.610104703340518</v>
      </c>
      <c r="AF515" s="92">
        <f t="shared" ref="AF515" si="5908">(D515/V515-1)*100</f>
        <v>26.924040415286555</v>
      </c>
      <c r="AG515" s="92">
        <f t="shared" ref="AG515" si="5909">(E515/W515-1)*100</f>
        <v>37.197300516077789</v>
      </c>
      <c r="AH515" s="92">
        <f t="shared" ref="AH515" si="5910">(F515/X515-1)*100</f>
        <v>21.890277023356887</v>
      </c>
      <c r="AI515" s="92">
        <f t="shared" ref="AI515" si="5911">(G515/Y515-1)*100</f>
        <v>21.989671106278898</v>
      </c>
      <c r="AJ515" s="92">
        <f t="shared" ref="AJ515" si="5912">(H515/Z515-1)*100</f>
        <v>35.398007868084051</v>
      </c>
      <c r="AK515" s="92">
        <f t="shared" ref="AK515" si="5913">(I515/AA515-1)*100</f>
        <v>40.734296154515405</v>
      </c>
      <c r="AM515" s="112">
        <f>AP515-'Figure 8_data'!H727</f>
        <v>0</v>
      </c>
      <c r="AN515" s="92">
        <f t="shared" ref="AN515" si="5914">(B515/B463-1)*100</f>
        <v>22.941176470588243</v>
      </c>
      <c r="AO515" s="92">
        <f t="shared" ref="AO515" si="5915">(C515/C463-1)*100</f>
        <v>23.952095808383245</v>
      </c>
      <c r="AP515" s="92">
        <f t="shared" ref="AP515" si="5916">(D515/D463-1)*100</f>
        <v>12.759643916913955</v>
      </c>
      <c r="AQ515" s="92">
        <f t="shared" ref="AQ515" si="5917">(E515/E463-1)*100</f>
        <v>26.315789473684205</v>
      </c>
      <c r="AR515" s="92">
        <f t="shared" ref="AR515" si="5918">(F515/F463-1)*100</f>
        <v>10.000000000000009</v>
      </c>
      <c r="AS515" s="92">
        <f t="shared" ref="AS515" si="5919">(G515/G463-1)*100</f>
        <v>10.000000000000009</v>
      </c>
      <c r="AT515" s="92">
        <f t="shared" ref="AT515" si="5920">(H515/H463-1)*100</f>
        <v>19.081272084805633</v>
      </c>
      <c r="AU515" s="92">
        <f t="shared" ref="AU515" si="5921">(I515/I463-1)*100</f>
        <v>19.081272084805654</v>
      </c>
    </row>
    <row r="516" spans="1:47" x14ac:dyDescent="0.3">
      <c r="A516" s="13">
        <f t="shared" si="475"/>
        <v>41191</v>
      </c>
      <c r="B516" s="92">
        <f>TWK!B461</f>
        <v>575</v>
      </c>
      <c r="C516" s="92">
        <f>TWK!C461</f>
        <v>537.5</v>
      </c>
      <c r="D516" s="92">
        <f>TWK!D461</f>
        <v>512.5</v>
      </c>
      <c r="E516" s="92">
        <f>TWK!E461</f>
        <v>495</v>
      </c>
      <c r="F516" s="92">
        <f>TWK!F461</f>
        <v>512.5</v>
      </c>
      <c r="G516" s="92">
        <f>TWK!G461</f>
        <v>512.5</v>
      </c>
      <c r="H516" s="92">
        <f>TWK!H461</f>
        <v>475</v>
      </c>
      <c r="I516" s="92">
        <f>TWK!I461</f>
        <v>651.31004366812226</v>
      </c>
      <c r="K516" s="92">
        <f t="shared" ref="K516" si="5922">AVERAGE(B513:B516)</f>
        <v>622.08333333333326</v>
      </c>
      <c r="L516" s="92">
        <f t="shared" ref="L516" si="5923">AVERAGE(C513:C516)</f>
        <v>606.875</v>
      </c>
      <c r="M516" s="92">
        <f t="shared" ref="M516" si="5924">AVERAGE(D513:D516)</f>
        <v>594.79166666666674</v>
      </c>
      <c r="N516" s="92">
        <f t="shared" ref="N516" si="5925">AVERAGE(E513:E516)</f>
        <v>576.875</v>
      </c>
      <c r="O516" s="92">
        <f t="shared" ref="O516" si="5926">AVERAGE(F513:F516)</f>
        <v>596.45833333333337</v>
      </c>
      <c r="P516" s="92">
        <f t="shared" ref="P516" si="5927">AVERAGE(G513:G516)</f>
        <v>596.45833333333337</v>
      </c>
      <c r="Q516" s="92">
        <f t="shared" ref="Q516" si="5928">AVERAGE(H513:H516)</f>
        <v>587.91666666666663</v>
      </c>
      <c r="R516" s="92">
        <f t="shared" ref="R516" si="5929">AVERAGE(I513:I516)</f>
        <v>806.13901018922843</v>
      </c>
      <c r="T516" s="92">
        <f t="shared" ref="T516" si="5930">AVERAGE(K360,K412,K464)</f>
        <v>528.61111111111109</v>
      </c>
      <c r="U516" s="92">
        <f t="shared" ref="U516" si="5931">AVERAGE(L360,L412,L464)</f>
        <v>516.58333333333337</v>
      </c>
      <c r="V516" s="92">
        <f t="shared" ref="V516" si="5932">(M360+M412+M464)/3</f>
        <v>519.9861111111112</v>
      </c>
      <c r="W516" s="92">
        <f t="shared" ref="W516" si="5933">(N360+N412+N464)/3</f>
        <v>451.875</v>
      </c>
      <c r="X516" s="92">
        <f t="shared" ref="X516" si="5934">(O360+O412+O464)/3</f>
        <v>536.07638888888891</v>
      </c>
      <c r="Y516" s="92">
        <f t="shared" ref="Y516" si="5935">(P360+P412+P464)/3</f>
        <v>536.07638888888891</v>
      </c>
      <c r="Z516" s="92">
        <f t="shared" ref="Z516" si="5936">(Q360+Q412+Q464)/3</f>
        <v>425.69444444444451</v>
      </c>
      <c r="AA516" s="92">
        <f t="shared" ref="AA516" si="5937">(R360+R412+R464)/3</f>
        <v>584.13179281901989</v>
      </c>
      <c r="AC516" s="112">
        <f>+AF516-'Figure 8_data'!I728</f>
        <v>0</v>
      </c>
      <c r="AD516" s="92">
        <f t="shared" ref="AD516" si="5938">(B516/T516-1)*100</f>
        <v>8.7756174461376837</v>
      </c>
      <c r="AE516" s="92">
        <f t="shared" ref="AE516" si="5939">(C516/U516-1)*100</f>
        <v>4.0490401677689913</v>
      </c>
      <c r="AF516" s="92">
        <f t="shared" ref="AF516" si="5940">(D516/V516-1)*100</f>
        <v>-1.439675205000146</v>
      </c>
      <c r="AG516" s="92">
        <f t="shared" ref="AG516" si="5941">(E516/W516-1)*100</f>
        <v>9.543568464730301</v>
      </c>
      <c r="AH516" s="92">
        <f t="shared" ref="AH516" si="5942">(F516/X516-1)*100</f>
        <v>-4.3979532353131674</v>
      </c>
      <c r="AI516" s="92">
        <f t="shared" ref="AI516" si="5943">(G516/Y516-1)*100</f>
        <v>-4.3979532353131674</v>
      </c>
      <c r="AJ516" s="92">
        <f t="shared" ref="AJ516" si="5944">(H516/Z516-1)*100</f>
        <v>11.58238172920063</v>
      </c>
      <c r="AK516" s="92">
        <f t="shared" ref="AK516" si="5945">(I516/AA516-1)*100</f>
        <v>11.500529790528979</v>
      </c>
      <c r="AM516" s="112">
        <f>AP516-'Figure 8_data'!H728</f>
        <v>0</v>
      </c>
      <c r="AN516" s="92">
        <f t="shared" ref="AN516" si="5946">(B516/B464-1)*100</f>
        <v>6.2355658198614217</v>
      </c>
      <c r="AO516" s="92">
        <f t="shared" ref="AO516" si="5947">(C516/C464-1)*100</f>
        <v>2.3809523809523725</v>
      </c>
      <c r="AP516" s="92">
        <f t="shared" ref="AP516" si="5948">(D516/D464-1)*100</f>
        <v>-2.3809523809523836</v>
      </c>
      <c r="AQ516" s="92">
        <f t="shared" ref="AQ516" si="5949">(E516/E464-1)*100</f>
        <v>7.9019073569482234</v>
      </c>
      <c r="AR516" s="92">
        <f t="shared" ref="AR516" si="5950">(F516/F464-1)*100</f>
        <v>-2.3809523809523836</v>
      </c>
      <c r="AS516" s="92">
        <f t="shared" ref="AS516" si="5951">(G516/G464-1)*100</f>
        <v>-2.3809523809523836</v>
      </c>
      <c r="AT516" s="92">
        <f t="shared" ref="AT516" si="5952">(H516/H464-1)*100</f>
        <v>5.555555555555558</v>
      </c>
      <c r="AU516" s="92">
        <f t="shared" ref="AU516" si="5953">(I516/I464-1)*100</f>
        <v>5.555555555555558</v>
      </c>
    </row>
    <row r="517" spans="1:47" x14ac:dyDescent="0.3">
      <c r="A517" s="13">
        <f t="shared" si="475"/>
        <v>41198</v>
      </c>
      <c r="B517" s="92">
        <f>TWK!B462</f>
        <v>525</v>
      </c>
      <c r="C517" s="92">
        <f>TWK!C462</f>
        <v>500</v>
      </c>
      <c r="D517" s="92">
        <f>TWK!D462</f>
        <v>500</v>
      </c>
      <c r="E517" s="92">
        <f>TWK!E462</f>
        <v>500</v>
      </c>
      <c r="F517" s="92">
        <f>TWK!F462</f>
        <v>550</v>
      </c>
      <c r="G517" s="92">
        <f>TWK!G462</f>
        <v>550</v>
      </c>
      <c r="H517" s="92">
        <f>TWK!H462</f>
        <v>425</v>
      </c>
      <c r="I517" s="92">
        <f>TWK!I462</f>
        <v>582.75109170305677</v>
      </c>
      <c r="K517" s="92">
        <f t="shared" ref="K517" si="5954">AVERAGE(B514:B517)</f>
        <v>603.33333333333326</v>
      </c>
      <c r="L517" s="92">
        <f t="shared" ref="L517" si="5955">AVERAGE(C514:C517)</f>
        <v>583.125</v>
      </c>
      <c r="M517" s="92">
        <f t="shared" ref="M517" si="5956">AVERAGE(D514:D517)</f>
        <v>563.54166666666674</v>
      </c>
      <c r="N517" s="92">
        <f t="shared" ref="N517" si="5957">AVERAGE(E514:E517)</f>
        <v>548.75</v>
      </c>
      <c r="O517" s="92">
        <f t="shared" ref="O517" si="5958">AVERAGE(F514:F517)</f>
        <v>577.70833333333337</v>
      </c>
      <c r="P517" s="92">
        <f t="shared" ref="P517" si="5959">AVERAGE(G514:G517)</f>
        <v>577.70833333333337</v>
      </c>
      <c r="Q517" s="92">
        <f t="shared" ref="Q517" si="5960">AVERAGE(H514:H517)</f>
        <v>506.66666666666663</v>
      </c>
      <c r="R517" s="92">
        <f t="shared" ref="R517" si="5961">AVERAGE(I514:I517)</f>
        <v>694.73071324599709</v>
      </c>
      <c r="T517" s="92">
        <f t="shared" ref="T517" si="5962">AVERAGE(K361,K413,K465)</f>
        <v>531.36111111111109</v>
      </c>
      <c r="U517" s="92">
        <f t="shared" ref="U517" si="5963">AVERAGE(L361,L413,L465)</f>
        <v>519.41666666666663</v>
      </c>
      <c r="V517" s="92">
        <f t="shared" ref="V517" si="5964">(M361+M413+M465)/3</f>
        <v>523.95833333333337</v>
      </c>
      <c r="W517" s="92">
        <f t="shared" ref="W517" si="5965">(N361+N413+N465)/3</f>
        <v>456.46527777777783</v>
      </c>
      <c r="X517" s="92">
        <f t="shared" ref="X517" si="5966">(O361+O413+O465)/3</f>
        <v>544.875</v>
      </c>
      <c r="Y517" s="92">
        <f t="shared" ref="Y517" si="5967">(P361+P413+P465)/3</f>
        <v>544.75</v>
      </c>
      <c r="Z517" s="92">
        <f t="shared" ref="Z517" si="5968">(Q361+Q413+Q465)/3</f>
        <v>428.75694444444451</v>
      </c>
      <c r="AA517" s="92">
        <f t="shared" ref="AA517" si="5969">(R361+R413+R465)/3</f>
        <v>587.82957302280431</v>
      </c>
      <c r="AC517" s="112">
        <f>+AF517-'Figure 8_data'!I729</f>
        <v>0</v>
      </c>
      <c r="AD517" s="92">
        <f t="shared" ref="AD517" si="5970">(B517/T517-1)*100</f>
        <v>-1.1971352396884294</v>
      </c>
      <c r="AE517" s="92">
        <f t="shared" ref="AE517" si="5971">(C517/U517-1)*100</f>
        <v>-3.738167816460769</v>
      </c>
      <c r="AF517" s="92">
        <f t="shared" ref="AF517" si="5972">(D517/V517-1)*100</f>
        <v>-4.5725646123260466</v>
      </c>
      <c r="AG517" s="92">
        <f t="shared" ref="AG517" si="5973">(E517/W517-1)*100</f>
        <v>9.537356802726249</v>
      </c>
      <c r="AH517" s="92">
        <f t="shared" ref="AH517" si="5974">(F517/X517-1)*100</f>
        <v>0.94058270245469533</v>
      </c>
      <c r="AI517" s="92">
        <f t="shared" ref="AI517" si="5975">(G517/Y517-1)*100</f>
        <v>0.96374483708123737</v>
      </c>
      <c r="AJ517" s="92">
        <f t="shared" ref="AJ517" si="5976">(H517/Z517-1)*100</f>
        <v>-0.87624107157320275</v>
      </c>
      <c r="AK517" s="92">
        <f t="shared" ref="AK517" si="5977">(I517/AA517-1)*100</f>
        <v>-0.86393770453438989</v>
      </c>
      <c r="AM517" s="112">
        <f>AP517-'Figure 8_data'!H729</f>
        <v>0</v>
      </c>
      <c r="AN517" s="92">
        <f t="shared" ref="AN517" si="5978">(B517/B465-1)*100</f>
        <v>8.9211618257261307</v>
      </c>
      <c r="AO517" s="92">
        <f t="shared" ref="AO517" si="5979">(C517/C465-1)*100</f>
        <v>2.8806584362139898</v>
      </c>
      <c r="AP517" s="92">
        <f t="shared" ref="AP517" si="5980">(D517/D465-1)*100</f>
        <v>0.80645161290322509</v>
      </c>
      <c r="AQ517" s="92">
        <f t="shared" ref="AQ517" si="5981">(E517/E465-1)*100</f>
        <v>16.822429906542059</v>
      </c>
      <c r="AR517" s="92">
        <f t="shared" ref="AR517" si="5982">(F517/F465-1)*100</f>
        <v>8.6956521739130377</v>
      </c>
      <c r="AS517" s="92">
        <f t="shared" ref="AS517" si="5983">(G517/G465-1)*100</f>
        <v>8.6956521739130377</v>
      </c>
      <c r="AT517" s="92">
        <f t="shared" ref="AT517" si="5984">(H517/H465-1)*100</f>
        <v>9.5360824742268147</v>
      </c>
      <c r="AU517" s="92">
        <f t="shared" ref="AU517" si="5985">(I517/I465-1)*100</f>
        <v>10.789180932140074</v>
      </c>
    </row>
    <row r="518" spans="1:47" x14ac:dyDescent="0.3">
      <c r="A518" s="13">
        <f t="shared" si="475"/>
        <v>41205</v>
      </c>
      <c r="B518" s="92">
        <f>TWK!B463</f>
        <v>640</v>
      </c>
      <c r="C518" s="92">
        <f>TWK!C463</f>
        <v>562.5</v>
      </c>
      <c r="D518" s="92">
        <f>TWK!D463</f>
        <v>587.5</v>
      </c>
      <c r="E518" s="92">
        <f>TWK!E463</f>
        <v>612.5</v>
      </c>
      <c r="F518" s="92">
        <f>TWK!F463</f>
        <v>570</v>
      </c>
      <c r="G518" s="92">
        <f>TWK!G463</f>
        <v>570</v>
      </c>
      <c r="H518" s="92">
        <f>TWK!H463</f>
        <v>662.5</v>
      </c>
      <c r="I518" s="92">
        <f>TWK!I463</f>
        <v>908.40611353711779</v>
      </c>
      <c r="K518" s="92">
        <f t="shared" ref="K518" si="5986">AVERAGE(B515:B518)</f>
        <v>609.16666666666663</v>
      </c>
      <c r="L518" s="92">
        <f t="shared" ref="L518" si="5987">AVERAGE(C515:C518)</f>
        <v>572.5</v>
      </c>
      <c r="M518" s="92">
        <f t="shared" ref="M518" si="5988">AVERAGE(D515:D518)</f>
        <v>558.33333333333337</v>
      </c>
      <c r="N518" s="92">
        <f t="shared" ref="N518" si="5989">AVERAGE(E515:E518)</f>
        <v>551.875</v>
      </c>
      <c r="O518" s="92">
        <f t="shared" ref="O518" si="5990">AVERAGE(F515:F518)</f>
        <v>563.95833333333337</v>
      </c>
      <c r="P518" s="92">
        <f t="shared" ref="P518" si="5991">AVERAGE(G515:G518)</f>
        <v>563.95833333333337</v>
      </c>
      <c r="Q518" s="92">
        <f t="shared" ref="Q518" si="5992">AVERAGE(H515:H518)</f>
        <v>531.04166666666663</v>
      </c>
      <c r="R518" s="92">
        <f t="shared" ref="R518" si="5993">AVERAGE(I515:I518)</f>
        <v>728.15320232896647</v>
      </c>
      <c r="T518" s="92">
        <f t="shared" ref="T518" si="5994">AVERAGE(K362,K414,K466)</f>
        <v>550.69444444444446</v>
      </c>
      <c r="U518" s="92">
        <f t="shared" ref="U518" si="5995">AVERAGE(L362,L414,L466)</f>
        <v>525.61111111111109</v>
      </c>
      <c r="V518" s="92">
        <f t="shared" ref="V518" si="5996">(M362+M414+M466)/3</f>
        <v>512.9513888888888</v>
      </c>
      <c r="W518" s="92">
        <f t="shared" ref="W518" si="5997">(N362+N414+N466)/3</f>
        <v>446.08333333333331</v>
      </c>
      <c r="X518" s="92">
        <f t="shared" ref="X518" si="5998">(O362+O414+O466)/3</f>
        <v>530.74305555555554</v>
      </c>
      <c r="Y518" s="92">
        <f t="shared" ref="Y518" si="5999">(P362+P414+P466)/3</f>
        <v>530.61805555555554</v>
      </c>
      <c r="Z518" s="92">
        <f t="shared" ref="Z518" si="6000">(Q362+Q414+Q466)/3</f>
        <v>415.8055555555556</v>
      </c>
      <c r="AA518" s="92">
        <f t="shared" ref="AA518" si="6001">(R362+R414+R466)/3</f>
        <v>570.07090004852023</v>
      </c>
      <c r="AC518" s="112">
        <f>+AF518-'Figure 8_data'!I730</f>
        <v>0</v>
      </c>
      <c r="AD518" s="92">
        <f t="shared" ref="AD518" si="6002">(B518/T518-1)*100</f>
        <v>16.21689785624212</v>
      </c>
      <c r="AE518" s="92">
        <f t="shared" ref="AE518" si="6003">(C518/U518-1)*100</f>
        <v>7.0182855934890709</v>
      </c>
      <c r="AF518" s="92">
        <f t="shared" ref="AF518" si="6004">(D518/V518-1)*100</f>
        <v>14.533270155012534</v>
      </c>
      <c r="AG518" s="92">
        <f t="shared" ref="AG518" si="6005">(E518/W518-1)*100</f>
        <v>37.306183448533538</v>
      </c>
      <c r="AH518" s="92">
        <f t="shared" ref="AH518" si="6006">(F518/X518-1)*100</f>
        <v>7.3966006777709481</v>
      </c>
      <c r="AI518" s="92">
        <f t="shared" ref="AI518" si="6007">(G518/Y518-1)*100</f>
        <v>7.4219005614521771</v>
      </c>
      <c r="AJ518" s="92">
        <f t="shared" ref="AJ518" si="6008">(H518/Z518-1)*100</f>
        <v>59.329280513060297</v>
      </c>
      <c r="AK518" s="92">
        <f t="shared" ref="AK518" si="6009">(I518/AA518-1)*100</f>
        <v>59.349672726638204</v>
      </c>
      <c r="AM518" s="112">
        <f>AP518-'Figure 8_data'!H730</f>
        <v>0</v>
      </c>
      <c r="AN518" s="92">
        <f t="shared" ref="AN518" si="6010">(B518/B466-1)*100</f>
        <v>24.675324675324674</v>
      </c>
      <c r="AO518" s="92">
        <f t="shared" ref="AO518" si="6011">(C518/C466-1)*100</f>
        <v>12.876254180602009</v>
      </c>
      <c r="AP518" s="92">
        <f t="shared" ref="AP518" si="6012">(D518/D466-1)*100</f>
        <v>19.289340101522832</v>
      </c>
      <c r="AQ518" s="92">
        <f t="shared" ref="AQ518" si="6013">(E518/E466-1)*100</f>
        <v>58.064516129032249</v>
      </c>
      <c r="AR518" s="92">
        <f t="shared" ref="AR518" si="6014">(F518/F466-1)*100</f>
        <v>19.999999999999996</v>
      </c>
      <c r="AS518" s="92">
        <f t="shared" ref="AS518" si="6015">(G518/G466-1)*100</f>
        <v>19.999999999999996</v>
      </c>
      <c r="AT518" s="92">
        <f t="shared" ref="AT518" si="6016">(H518/H466-1)*100</f>
        <v>89.285714285714278</v>
      </c>
      <c r="AU518" s="92">
        <f t="shared" ref="AU518" si="6017">(I518/I466-1)*100</f>
        <v>89.285714285714278</v>
      </c>
    </row>
    <row r="519" spans="1:47" x14ac:dyDescent="0.3">
      <c r="A519" s="13">
        <f t="shared" si="475"/>
        <v>41212</v>
      </c>
      <c r="B519" s="92">
        <f>TWK!B464</f>
        <v>618.33333333333337</v>
      </c>
      <c r="C519" s="92">
        <f>TWK!C464</f>
        <v>550</v>
      </c>
      <c r="D519" s="92">
        <f>TWK!D464</f>
        <v>546.66666666666663</v>
      </c>
      <c r="E519" s="92">
        <f>TWK!E464</f>
        <v>633.33333333333337</v>
      </c>
      <c r="F519" s="92">
        <f>TWK!F464</f>
        <v>566.66666666666663</v>
      </c>
      <c r="G519" s="92">
        <f>TWK!G464</f>
        <v>566.66666666666663</v>
      </c>
      <c r="H519" s="92">
        <f>TWK!H464</f>
        <v>616.66666666666663</v>
      </c>
      <c r="I519" s="92">
        <f>TWK!I464</f>
        <v>845.56040756914115</v>
      </c>
      <c r="K519" s="92">
        <f t="shared" ref="K519" si="6018">AVERAGE(B516:B519)</f>
        <v>589.58333333333337</v>
      </c>
      <c r="L519" s="92">
        <f t="shared" ref="L519" si="6019">AVERAGE(C516:C519)</f>
        <v>537.5</v>
      </c>
      <c r="M519" s="92">
        <f t="shared" ref="M519" si="6020">AVERAGE(D516:D519)</f>
        <v>536.66666666666663</v>
      </c>
      <c r="N519" s="92">
        <f t="shared" ref="N519" si="6021">AVERAGE(E516:E519)</f>
        <v>560.20833333333337</v>
      </c>
      <c r="O519" s="92">
        <f t="shared" ref="O519" si="6022">AVERAGE(F516:F519)</f>
        <v>549.79166666666663</v>
      </c>
      <c r="P519" s="92">
        <f t="shared" ref="P519" si="6023">AVERAGE(G516:G519)</f>
        <v>549.79166666666663</v>
      </c>
      <c r="Q519" s="92">
        <f t="shared" ref="Q519" si="6024">AVERAGE(H516:H519)</f>
        <v>544.79166666666663</v>
      </c>
      <c r="R519" s="92">
        <f t="shared" ref="R519" si="6025">AVERAGE(I516:I519)</f>
        <v>747.00691411935952</v>
      </c>
      <c r="T519" s="92">
        <f t="shared" ref="T519" si="6026">AVERAGE(K363,K415,K467)</f>
        <v>553.60416666666663</v>
      </c>
      <c r="U519" s="92">
        <f t="shared" ref="U519" si="6027">AVERAGE(L363,L415,L467)</f>
        <v>536.20833333333337</v>
      </c>
      <c r="V519" s="92">
        <f t="shared" ref="V519" si="6028">(M363+M415+M467)/3</f>
        <v>487.4375</v>
      </c>
      <c r="W519" s="92">
        <f t="shared" ref="W519" si="6029">(N363+N415+N467)/3</f>
        <v>423.375</v>
      </c>
      <c r="X519" s="92">
        <f t="shared" ref="X519" si="6030">(O363+O415+O467)/3</f>
        <v>499.29166666666669</v>
      </c>
      <c r="Y519" s="92">
        <f t="shared" ref="Y519" si="6031">(P363+P415+P467)/3</f>
        <v>499.16666666666669</v>
      </c>
      <c r="Z519" s="92">
        <f t="shared" ref="Z519" si="6032">(Q363+Q415+Q467)/3</f>
        <v>386.22916666666669</v>
      </c>
      <c r="AA519" s="92">
        <f t="shared" ref="AA519" si="6033">(R363+R415+R467)/3</f>
        <v>529.13300582241629</v>
      </c>
      <c r="AC519" s="112">
        <f>+AF519-'Figure 8_data'!I731</f>
        <v>0</v>
      </c>
      <c r="AD519" s="92">
        <f t="shared" ref="AD519" si="6034">(B519/T519-1)*100</f>
        <v>11.692319271440944</v>
      </c>
      <c r="AE519" s="92">
        <f t="shared" ref="AE519" si="6035">(C519/U519-1)*100</f>
        <v>2.5720724220996027</v>
      </c>
      <c r="AF519" s="92">
        <f t="shared" ref="AF519" si="6036">(D519/V519-1)*100</f>
        <v>12.151130486814532</v>
      </c>
      <c r="AG519" s="92">
        <f t="shared" ref="AG519" si="6037">(E519/W519-1)*100</f>
        <v>49.59157563231966</v>
      </c>
      <c r="AH519" s="92">
        <f t="shared" ref="AH519" si="6038">(F519/X519-1)*100</f>
        <v>13.494116665275801</v>
      </c>
      <c r="AI519" s="92">
        <f t="shared" ref="AI519" si="6039">(G519/Y519-1)*100</f>
        <v>13.522537562604331</v>
      </c>
      <c r="AJ519" s="92">
        <f t="shared" ref="AJ519" si="6040">(H519/Z519-1)*100</f>
        <v>59.663412266033752</v>
      </c>
      <c r="AK519" s="92">
        <f t="shared" ref="AK519" si="6041">(I519/AA519-1)*100</f>
        <v>59.801108278042634</v>
      </c>
      <c r="AM519" s="112">
        <f>AP519-'Figure 8_data'!H731</f>
        <v>0</v>
      </c>
      <c r="AN519" s="92">
        <f t="shared" ref="AN519" si="6042">(B519/B467-1)*100</f>
        <v>16.010006253908692</v>
      </c>
      <c r="AO519" s="92">
        <f t="shared" ref="AO519" si="6043">(C519/C467-1)*100</f>
        <v>0</v>
      </c>
      <c r="AP519" s="92">
        <f t="shared" ref="AP519" si="6044">(D519/D467-1)*100</f>
        <v>12.714776632302405</v>
      </c>
      <c r="AQ519" s="92">
        <f t="shared" ref="AQ519" si="6045">(E519/E467-1)*100</f>
        <v>54.471544715447173</v>
      </c>
      <c r="AR519" s="92">
        <f t="shared" ref="AR519" si="6046">(F519/F467-1)*100</f>
        <v>25.091979396615159</v>
      </c>
      <c r="AS519" s="92">
        <f t="shared" ref="AS519" si="6047">(G519/G467-1)*100</f>
        <v>25.091979396615159</v>
      </c>
      <c r="AT519" s="92">
        <f t="shared" ref="AT519" si="6048">(H519/H467-1)*100</f>
        <v>82.445759368836292</v>
      </c>
      <c r="AU519" s="92">
        <f t="shared" ref="AU519" si="6049">(I519/I467-1)*100</f>
        <v>82.232846458866632</v>
      </c>
    </row>
    <row r="520" spans="1:47" x14ac:dyDescent="0.3">
      <c r="A520" s="13">
        <f t="shared" si="475"/>
        <v>41219</v>
      </c>
      <c r="B520" s="92">
        <f>TWK!B465</f>
        <v>587.5</v>
      </c>
      <c r="C520" s="92">
        <f>TWK!C465</f>
        <v>625</v>
      </c>
      <c r="D520" s="92">
        <f>TWK!D465</f>
        <v>595</v>
      </c>
      <c r="E520" s="92">
        <f>TWK!E465</f>
        <v>625</v>
      </c>
      <c r="F520" s="92">
        <f>TWK!F465</f>
        <v>500</v>
      </c>
      <c r="G520" s="92">
        <f>TWK!G465</f>
        <v>500</v>
      </c>
      <c r="H520" s="92">
        <f>TWK!H465</f>
        <v>425</v>
      </c>
      <c r="I520" s="92">
        <f>TWK!I465</f>
        <v>582.75109170305677</v>
      </c>
      <c r="K520" s="92">
        <f t="shared" ref="K520" si="6050">AVERAGE(B517:B520)</f>
        <v>592.70833333333337</v>
      </c>
      <c r="L520" s="92">
        <f t="shared" ref="L520" si="6051">AVERAGE(C517:C520)</f>
        <v>559.375</v>
      </c>
      <c r="M520" s="92">
        <f t="shared" ref="M520" si="6052">AVERAGE(D517:D520)</f>
        <v>557.29166666666663</v>
      </c>
      <c r="N520" s="92">
        <f t="shared" ref="N520" si="6053">AVERAGE(E517:E520)</f>
        <v>592.70833333333337</v>
      </c>
      <c r="O520" s="92">
        <f t="shared" ref="O520" si="6054">AVERAGE(F517:F520)</f>
        <v>546.66666666666663</v>
      </c>
      <c r="P520" s="92">
        <f t="shared" ref="P520" si="6055">AVERAGE(G517:G520)</f>
        <v>546.66666666666663</v>
      </c>
      <c r="Q520" s="92">
        <f t="shared" ref="Q520" si="6056">AVERAGE(H517:H520)</f>
        <v>532.29166666666663</v>
      </c>
      <c r="R520" s="92">
        <f t="shared" ref="R520" si="6057">AVERAGE(I517:I520)</f>
        <v>729.86717612809309</v>
      </c>
      <c r="T520" s="92">
        <f t="shared" ref="T520" si="6058">AVERAGE(K364,K416,K468)</f>
        <v>554.74305555555554</v>
      </c>
      <c r="U520" s="92">
        <f t="shared" ref="U520" si="6059">AVERAGE(L364,L416,L468)</f>
        <v>511.59722222222223</v>
      </c>
      <c r="V520" s="92">
        <f t="shared" ref="V520" si="6060">(M364+M416+M468)/3</f>
        <v>487.93055555555549</v>
      </c>
      <c r="W520" s="92">
        <f t="shared" ref="W520" si="6061">(N364+N416+N468)/3</f>
        <v>432.9375</v>
      </c>
      <c r="X520" s="92">
        <f t="shared" ref="X520" si="6062">(O364+O416+O468)/3</f>
        <v>486.3125</v>
      </c>
      <c r="Y520" s="92">
        <f t="shared" ref="Y520" si="6063">(P364+P416+P468)/3</f>
        <v>486.1875</v>
      </c>
      <c r="Z520" s="92">
        <f t="shared" ref="Z520" si="6064">(Q364+Q416+Q468)/3</f>
        <v>388.5</v>
      </c>
      <c r="AA520" s="92">
        <f t="shared" ref="AA520" si="6065">(R364+R416+R468)/3</f>
        <v>532.2656477438137</v>
      </c>
      <c r="AC520" s="112">
        <f>+AF520-'Figure 8_data'!I732</f>
        <v>0</v>
      </c>
      <c r="AD520" s="92">
        <f t="shared" ref="AD520" si="6066">(B520/T520-1)*100</f>
        <v>5.9048858956223471</v>
      </c>
      <c r="AE520" s="92">
        <f t="shared" ref="AE520" si="6067">(C520/U520-1)*100</f>
        <v>22.166417809148896</v>
      </c>
      <c r="AF520" s="92">
        <f t="shared" ref="AF520" si="6068">(D520/V520-1)*100</f>
        <v>21.943582590874165</v>
      </c>
      <c r="AG520" s="92">
        <f t="shared" ref="AG520" si="6069">(E520/W520-1)*100</f>
        <v>44.362638949039976</v>
      </c>
      <c r="AH520" s="92">
        <f t="shared" ref="AH520" si="6070">(F520/X520-1)*100</f>
        <v>2.8145482585785864</v>
      </c>
      <c r="AI520" s="92">
        <f t="shared" ref="AI520" si="6071">(G520/Y520-1)*100</f>
        <v>2.8409821313793548</v>
      </c>
      <c r="AJ520" s="92">
        <f t="shared" ref="AJ520" si="6072">(H520/Z520-1)*100</f>
        <v>9.3951093951093902</v>
      </c>
      <c r="AK520" s="92">
        <f t="shared" ref="AK520" si="6073">(I520/AA520-1)*100</f>
        <v>9.4850088810432442</v>
      </c>
      <c r="AM520" s="112">
        <f>AP520-'Figure 8_data'!H732</f>
        <v>0</v>
      </c>
      <c r="AN520" s="92">
        <f t="shared" ref="AN520" si="6074">(B520/B468-1)*100</f>
        <v>16.721854304635777</v>
      </c>
      <c r="AO520" s="92">
        <f t="shared" ref="AO520" si="6075">(C520/C468-1)*100</f>
        <v>34.892086330935257</v>
      </c>
      <c r="AP520" s="92">
        <f t="shared" ref="AP520" si="6076">(D520/D468-1)*100</f>
        <v>34.210526315789465</v>
      </c>
      <c r="AQ520" s="92">
        <f t="shared" ref="AQ520" si="6077">(E520/E468-1)*100</f>
        <v>75.233644859813069</v>
      </c>
      <c r="AR520" s="92">
        <f t="shared" ref="AR520" si="6078">(F520/F468-1)*100</f>
        <v>12.359550561797761</v>
      </c>
      <c r="AS520" s="92">
        <f t="shared" ref="AS520" si="6079">(G520/G468-1)*100</f>
        <v>12.359550561797761</v>
      </c>
      <c r="AT520" s="92">
        <f t="shared" ref="AT520" si="6080">(H520/H468-1)*100</f>
        <v>41.666666666666671</v>
      </c>
      <c r="AU520" s="92">
        <f t="shared" ref="AU520" si="6081">(I520/I468-1)*100</f>
        <v>41.666666666666671</v>
      </c>
    </row>
    <row r="521" spans="1:47" x14ac:dyDescent="0.3">
      <c r="A521" s="13">
        <f t="shared" si="475"/>
        <v>41226</v>
      </c>
      <c r="B521" s="92">
        <f>TWK!B466</f>
        <v>550</v>
      </c>
      <c r="C521" s="92">
        <f>TWK!C466</f>
        <v>558.33333333333337</v>
      </c>
      <c r="D521" s="92">
        <f>TWK!D466</f>
        <v>533.33333333333337</v>
      </c>
      <c r="E521" s="92">
        <f>TWK!E466</f>
        <v>500</v>
      </c>
      <c r="F521" s="92">
        <f>TWK!F466</f>
        <v>416.66666666666669</v>
      </c>
      <c r="G521" s="92">
        <f>TWK!G466</f>
        <v>416.66666666666669</v>
      </c>
      <c r="H521" s="92">
        <f>TWK!H466</f>
        <v>383.33333333333331</v>
      </c>
      <c r="I521" s="92">
        <f>TWK!I466</f>
        <v>525.61863173216886</v>
      </c>
      <c r="K521" s="92">
        <f t="shared" ref="K521" si="6082">AVERAGE(B518:B521)</f>
        <v>598.95833333333337</v>
      </c>
      <c r="L521" s="92">
        <f t="shared" ref="L521" si="6083">AVERAGE(C518:C521)</f>
        <v>573.95833333333337</v>
      </c>
      <c r="M521" s="92">
        <f t="shared" ref="M521" si="6084">AVERAGE(D518:D521)</f>
        <v>565.625</v>
      </c>
      <c r="N521" s="92">
        <f t="shared" ref="N521" si="6085">AVERAGE(E518:E521)</f>
        <v>592.70833333333337</v>
      </c>
      <c r="O521" s="92">
        <f t="shared" ref="O521" si="6086">AVERAGE(F518:F521)</f>
        <v>513.33333333333326</v>
      </c>
      <c r="P521" s="92">
        <f t="shared" ref="P521" si="6087">AVERAGE(G518:G521)</f>
        <v>513.33333333333326</v>
      </c>
      <c r="Q521" s="92">
        <f t="shared" ref="Q521" si="6088">AVERAGE(H518:H521)</f>
        <v>521.875</v>
      </c>
      <c r="R521" s="92">
        <f t="shared" ref="R521" si="6089">AVERAGE(I518:I521)</f>
        <v>715.58406113537114</v>
      </c>
      <c r="T521" s="92">
        <f t="shared" ref="T521" si="6090">AVERAGE(K365,K417,K469)</f>
        <v>528.45833333333337</v>
      </c>
      <c r="U521" s="92">
        <f t="shared" ref="U521" si="6091">AVERAGE(L365,L417,L469)</f>
        <v>482.25694444444451</v>
      </c>
      <c r="V521" s="92">
        <f t="shared" ref="V521" si="6092">(M365+M417+M469)/3</f>
        <v>469.58333333333331</v>
      </c>
      <c r="W521" s="92">
        <f t="shared" ref="W521" si="6093">(N365+N417+N469)/3</f>
        <v>414.70138888888886</v>
      </c>
      <c r="X521" s="92">
        <f t="shared" ref="X521" si="6094">(O365+O417+O469)/3</f>
        <v>472.58333333333331</v>
      </c>
      <c r="Y521" s="92">
        <f t="shared" ref="Y521" si="6095">(P365+P417+P469)/3</f>
        <v>472.58333333333331</v>
      </c>
      <c r="Z521" s="92">
        <f t="shared" ref="Z521" si="6096">(Q365+Q417+Q469)/3</f>
        <v>371.47916666666669</v>
      </c>
      <c r="AA521" s="92">
        <f t="shared" ref="AA521" si="6097">(R365+R417+R469)/3</f>
        <v>509.42849344978163</v>
      </c>
      <c r="AC521" s="112">
        <f>+AF521-'Figure 8_data'!I733</f>
        <v>0</v>
      </c>
      <c r="AD521" s="92">
        <f t="shared" ref="AD521" si="6098">(B521/T521-1)*100</f>
        <v>4.0763226366001604</v>
      </c>
      <c r="AE521" s="92">
        <f t="shared" ref="AE521" si="6099">(C521/U521-1)*100</f>
        <v>15.77507379940959</v>
      </c>
      <c r="AF521" s="92">
        <f t="shared" ref="AF521" si="6100">(D521/V521-1)*100</f>
        <v>13.57586512866018</v>
      </c>
      <c r="AG521" s="92">
        <f t="shared" ref="AG521" si="6101">(E521/W521-1)*100</f>
        <v>20.568682284776528</v>
      </c>
      <c r="AH521" s="92">
        <f t="shared" ref="AH521" si="6102">(F521/X521-1)*100</f>
        <v>-11.83212837242108</v>
      </c>
      <c r="AI521" s="92">
        <f t="shared" ref="AI521" si="6103">(G521/Y521-1)*100</f>
        <v>-11.83212837242108</v>
      </c>
      <c r="AJ521" s="92">
        <f t="shared" ref="AJ521" si="6104">(H521/Z521-1)*100</f>
        <v>3.1910717290112522</v>
      </c>
      <c r="AK521" s="92">
        <f t="shared" ref="AK521" si="6105">(I521/AA521-1)*100</f>
        <v>3.1780982984971562</v>
      </c>
      <c r="AM521" s="112">
        <f>AP521-'Figure 8_data'!H733</f>
        <v>0</v>
      </c>
      <c r="AN521" s="92">
        <f t="shared" ref="AN521" si="6106">(B521/B469-1)*100</f>
        <v>15.384615384615374</v>
      </c>
      <c r="AO521" s="92">
        <f t="shared" ref="AO521" si="6107">(C521/C469-1)*100</f>
        <v>26.893939393939405</v>
      </c>
      <c r="AP521" s="92">
        <f t="shared" ref="AP521" si="6108">(D521/D469-1)*100</f>
        <v>20.300751879699263</v>
      </c>
      <c r="AQ521" s="92">
        <f t="shared" ref="AQ521" si="6109">(E521/E469-1)*100</f>
        <v>44.230769230769226</v>
      </c>
      <c r="AR521" s="92">
        <f t="shared" ref="AR521" si="6110">(F521/F469-1)*100</f>
        <v>-9.4202898550724612</v>
      </c>
      <c r="AS521" s="92">
        <f t="shared" ref="AS521" si="6111">(G521/G469-1)*100</f>
        <v>-9.4202898550724612</v>
      </c>
      <c r="AT521" s="92">
        <f t="shared" ref="AT521" si="6112">(H521/H469-1)*100</f>
        <v>27.777777777777768</v>
      </c>
      <c r="AU521" s="92">
        <f t="shared" ref="AU521" si="6113">(I521/I469-1)*100</f>
        <v>27.777777777777789</v>
      </c>
    </row>
    <row r="522" spans="1:47" x14ac:dyDescent="0.3">
      <c r="A522" s="13">
        <f t="shared" si="475"/>
        <v>41233</v>
      </c>
      <c r="B522" s="92">
        <f>TWK!B467</f>
        <v>625</v>
      </c>
      <c r="C522" s="92">
        <f>TWK!C467</f>
        <v>600</v>
      </c>
      <c r="D522" s="92">
        <f>TWK!D467</f>
        <v>600</v>
      </c>
      <c r="E522" s="92">
        <f>TWK!E467</f>
        <v>533.33333333333337</v>
      </c>
      <c r="F522" s="92">
        <f>TWK!F467</f>
        <v>533.33333333333337</v>
      </c>
      <c r="G522" s="92">
        <f>TWK!G467</f>
        <v>533.33333333333337</v>
      </c>
      <c r="H522" s="92">
        <f>TWK!H467</f>
        <v>383.33333333333331</v>
      </c>
      <c r="I522" s="92">
        <f>TWK!I467</f>
        <v>525.61863173216886</v>
      </c>
      <c r="K522" s="92">
        <f t="shared" ref="K522" si="6114">AVERAGE(B519:B522)</f>
        <v>595.20833333333337</v>
      </c>
      <c r="L522" s="92">
        <f t="shared" ref="L522" si="6115">AVERAGE(C519:C522)</f>
        <v>583.33333333333337</v>
      </c>
      <c r="M522" s="92">
        <f t="shared" ref="M522" si="6116">AVERAGE(D519:D522)</f>
        <v>568.75</v>
      </c>
      <c r="N522" s="92">
        <f t="shared" ref="N522" si="6117">AVERAGE(E519:E522)</f>
        <v>572.91666666666674</v>
      </c>
      <c r="O522" s="92">
        <f t="shared" ref="O522" si="6118">AVERAGE(F519:F522)</f>
        <v>504.16666666666663</v>
      </c>
      <c r="P522" s="92">
        <f t="shared" ref="P522" si="6119">AVERAGE(G519:G522)</f>
        <v>504.16666666666663</v>
      </c>
      <c r="Q522" s="92">
        <f t="shared" ref="Q522" si="6120">AVERAGE(H519:H522)</f>
        <v>452.08333333333326</v>
      </c>
      <c r="R522" s="92">
        <f t="shared" ref="R522" si="6121">AVERAGE(I519:I522)</f>
        <v>619.887190684134</v>
      </c>
      <c r="T522" s="92">
        <f t="shared" ref="T522" si="6122">AVERAGE(K366,K418,K470)</f>
        <v>473.88541666666669</v>
      </c>
      <c r="U522" s="92">
        <f t="shared" ref="U522" si="6123">AVERAGE(L366,L418,L470)</f>
        <v>463.25694444444451</v>
      </c>
      <c r="V522" s="92">
        <f t="shared" ref="V522" si="6124">(M366+M418+M470)/3</f>
        <v>457.02083333333331</v>
      </c>
      <c r="W522" s="92">
        <f t="shared" ref="W522" si="6125">(N366+N418+N470)/3</f>
        <v>394.65972222222217</v>
      </c>
      <c r="X522" s="92">
        <f t="shared" ref="X522" si="6126">(O366+O418+O470)/3</f>
        <v>453.66666666666669</v>
      </c>
      <c r="Y522" s="92">
        <f t="shared" ref="Y522" si="6127">(P366+P418+P470)/3</f>
        <v>453.66666666666669</v>
      </c>
      <c r="Z522" s="92">
        <f t="shared" ref="Z522" si="6128">(Q366+Q418+Q470)/3</f>
        <v>354.15277777777777</v>
      </c>
      <c r="AA522" s="92">
        <f t="shared" ref="AA522" si="6129">(R366+R418+R470)/3</f>
        <v>485.6647258612324</v>
      </c>
      <c r="AC522" s="112">
        <f>+AF522-'Figure 8_data'!I734</f>
        <v>0</v>
      </c>
      <c r="AD522" s="92">
        <f t="shared" ref="AD522" si="6130">(B522/T522-1)*100</f>
        <v>31.888422394654125</v>
      </c>
      <c r="AE522" s="92">
        <f t="shared" ref="AE522" si="6131">(C522/U522-1)*100</f>
        <v>29.517756224797242</v>
      </c>
      <c r="AF522" s="92">
        <f t="shared" ref="AF522" si="6132">(D522/V522-1)*100</f>
        <v>31.285043533755761</v>
      </c>
      <c r="AG522" s="92">
        <f t="shared" ref="AG522" si="6133">(E522/W522-1)*100</f>
        <v>35.13751297707239</v>
      </c>
      <c r="AH522" s="92">
        <f t="shared" ref="AH522" si="6134">(F522/X522-1)*100</f>
        <v>17.560617193240269</v>
      </c>
      <c r="AI522" s="92">
        <f t="shared" ref="AI522" si="6135">(G522/Y522-1)*100</f>
        <v>17.560617193240269</v>
      </c>
      <c r="AJ522" s="92">
        <f t="shared" ref="AJ522" si="6136">(H522/Z522-1)*100</f>
        <v>8.2395388054433472</v>
      </c>
      <c r="AK522" s="92">
        <f t="shared" ref="AK522" si="6137">(I522/AA522-1)*100</f>
        <v>8.2266435554045891</v>
      </c>
      <c r="AM522" s="112">
        <f>AP522-'Figure 8_data'!H734</f>
        <v>0</v>
      </c>
      <c r="AN522" s="92" t="e">
        <f t="shared" ref="AN522" si="6138">(B522/B470-1)*100</f>
        <v>#DIV/0!</v>
      </c>
      <c r="AO522" s="92">
        <f t="shared" ref="AO522" si="6139">(C522/C470-1)*100</f>
        <v>41.843971631205676</v>
      </c>
      <c r="AP522" s="92">
        <f t="shared" ref="AP522" si="6140">(D522/D470-1)*100</f>
        <v>41.843971631205676</v>
      </c>
      <c r="AQ522" s="92">
        <f t="shared" ref="AQ522" si="6141">(E522/E470-1)*100</f>
        <v>70.940170940170958</v>
      </c>
      <c r="AR522" s="92">
        <f t="shared" ref="AR522" si="6142">(F522/F470-1)*100</f>
        <v>27.591706539074966</v>
      </c>
      <c r="AS522" s="92">
        <f t="shared" ref="AS522" si="6143">(G522/G470-1)*100</f>
        <v>27.591706539074966</v>
      </c>
      <c r="AT522" s="92">
        <f t="shared" ref="AT522" si="6144">(H522/H470-1)*100</f>
        <v>39.393939393939384</v>
      </c>
      <c r="AU522" s="92">
        <f t="shared" ref="AU522" si="6145">(I522/I470-1)*100</f>
        <v>39.42138772736574</v>
      </c>
    </row>
    <row r="523" spans="1:47" x14ac:dyDescent="0.3">
      <c r="A523" s="13">
        <f t="shared" si="475"/>
        <v>41240</v>
      </c>
      <c r="B523" s="92">
        <f>TWK!B468</f>
        <v>0</v>
      </c>
      <c r="C523" s="92">
        <f>TWK!C468</f>
        <v>588</v>
      </c>
      <c r="D523" s="92">
        <f>TWK!D468</f>
        <v>613</v>
      </c>
      <c r="E523" s="92">
        <f>TWK!E468</f>
        <v>513</v>
      </c>
      <c r="F523" s="92">
        <f>TWK!F468</f>
        <v>508</v>
      </c>
      <c r="G523" s="92">
        <f>TWK!G468</f>
        <v>508</v>
      </c>
      <c r="H523" s="92">
        <f>TWK!H468</f>
        <v>350</v>
      </c>
      <c r="I523" s="92">
        <f>TWK!I468</f>
        <v>480</v>
      </c>
      <c r="K523" s="92">
        <f t="shared" ref="K523:K528" si="6146">AVERAGE(B520:B523)</f>
        <v>440.625</v>
      </c>
      <c r="L523" s="92">
        <f t="shared" ref="L523" si="6147">AVERAGE(C520:C523)</f>
        <v>592.83333333333337</v>
      </c>
      <c r="M523" s="92">
        <f t="shared" ref="M523" si="6148">AVERAGE(D520:D523)</f>
        <v>585.33333333333337</v>
      </c>
      <c r="N523" s="92">
        <f t="shared" ref="N523" si="6149">AVERAGE(E520:E523)</f>
        <v>542.83333333333337</v>
      </c>
      <c r="O523" s="92">
        <f t="shared" ref="O523" si="6150">AVERAGE(F520:F523)</f>
        <v>489.5</v>
      </c>
      <c r="P523" s="92">
        <f t="shared" ref="P523" si="6151">AVERAGE(G520:G523)</f>
        <v>489.5</v>
      </c>
      <c r="Q523" s="92">
        <f t="shared" ref="Q523" si="6152">AVERAGE(H520:H523)</f>
        <v>385.41666666666663</v>
      </c>
      <c r="R523" s="92">
        <f t="shared" ref="R523" si="6153">AVERAGE(I520:I523)</f>
        <v>528.49708879184868</v>
      </c>
      <c r="T523" s="92">
        <f t="shared" ref="T523" si="6154">AVERAGE(K367,K419,K471)</f>
        <v>339.04166666666669</v>
      </c>
      <c r="U523" s="92">
        <f t="shared" ref="U523" si="6155">AVERAGE(L367,L419,L471)</f>
        <v>462.44791666666669</v>
      </c>
      <c r="V523" s="92">
        <f t="shared" ref="V523" si="6156">(M367+M419+M471)/3</f>
        <v>449.10416666666669</v>
      </c>
      <c r="W523" s="92">
        <f t="shared" ref="W523" si="6157">(N367+N419+N471)/3</f>
        <v>376.04861111111109</v>
      </c>
      <c r="X523" s="92">
        <f t="shared" ref="X523" si="6158">(O367+O419+O471)/3</f>
        <v>446.6805555555556</v>
      </c>
      <c r="Y523" s="92">
        <f t="shared" ref="Y523" si="6159">(P367+P419+P471)/3</f>
        <v>444.70138888888891</v>
      </c>
      <c r="Z523" s="92">
        <f t="shared" ref="Z523" si="6160">(Q367+Q419+Q471)/3</f>
        <v>342.09722222222217</v>
      </c>
      <c r="AA523" s="92">
        <f t="shared" ref="AA523" si="6161">(R367+R419+R471)/3</f>
        <v>469.08927704997569</v>
      </c>
      <c r="AC523" s="112">
        <f>+AF523-'Figure 8_data'!I735</f>
        <v>0</v>
      </c>
      <c r="AD523" s="92">
        <f t="shared" ref="AD523" si="6162">(B523/T523-1)*100</f>
        <v>-100</v>
      </c>
      <c r="AE523" s="92">
        <f t="shared" ref="AE523" si="6163">(C523/U523-1)*100</f>
        <v>27.149453767316125</v>
      </c>
      <c r="AF523" s="92">
        <f t="shared" ref="AF523" si="6164">(D523/V523-1)*100</f>
        <v>36.493946281950173</v>
      </c>
      <c r="AG523" s="92">
        <f t="shared" ref="AG523" si="6165">(E523/W523-1)*100</f>
        <v>36.418533360418095</v>
      </c>
      <c r="AH523" s="92">
        <f t="shared" ref="AH523" si="6166">(F523/X523-1)*100</f>
        <v>13.72780697117626</v>
      </c>
      <c r="AI523" s="92">
        <f t="shared" ref="AI523" si="6167">(G523/Y523-1)*100</f>
        <v>14.233958492746378</v>
      </c>
      <c r="AJ523" s="92">
        <f t="shared" ref="AJ523" si="6168">(H523/Z523-1)*100</f>
        <v>2.3100970321952241</v>
      </c>
      <c r="AK523" s="92">
        <f t="shared" ref="AK523" si="6169">(I523/AA523-1)*100</f>
        <v>2.3259374033531621</v>
      </c>
      <c r="AM523" s="112">
        <f>AP523-'Figure 8_data'!H735</f>
        <v>0</v>
      </c>
      <c r="AN523" s="92" t="e">
        <f t="shared" ref="AN523" si="6170">(B523/B471-1)*100</f>
        <v>#DIV/0!</v>
      </c>
      <c r="AO523" s="92" t="e">
        <f t="shared" ref="AO523" si="6171">(C523/C471-1)*100</f>
        <v>#DIV/0!</v>
      </c>
      <c r="AP523" s="92">
        <f t="shared" ref="AP523" si="6172">(D523/D471-1)*100</f>
        <v>51.358024691358018</v>
      </c>
      <c r="AQ523" s="92">
        <f t="shared" ref="AQ523" si="6173">(E523/E471-1)*100</f>
        <v>75.885714285714272</v>
      </c>
      <c r="AR523" s="92">
        <f t="shared" ref="AR523" si="6174">(F523/F471-1)*100</f>
        <v>31.379310344827573</v>
      </c>
      <c r="AS523" s="92">
        <f t="shared" ref="AS523" si="6175">(G523/G471-1)*100</f>
        <v>31.379310344827573</v>
      </c>
      <c r="AT523" s="92">
        <f t="shared" ref="AT523" si="6176">(H523/H471-1)*100</f>
        <v>30.434782608695656</v>
      </c>
      <c r="AU523" s="92">
        <f t="shared" ref="AU523" si="6177">(I523/I471-1)*100</f>
        <v>30.458519602800969</v>
      </c>
    </row>
    <row r="524" spans="1:47" x14ac:dyDescent="0.3">
      <c r="A524" s="13">
        <f t="shared" si="475"/>
        <v>41247</v>
      </c>
      <c r="B524" s="92">
        <f>TWK!B469</f>
        <v>0</v>
      </c>
      <c r="C524" s="92">
        <f>TWK!C469</f>
        <v>0</v>
      </c>
      <c r="D524" s="92">
        <f>TWK!D469</f>
        <v>575</v>
      </c>
      <c r="E524" s="92">
        <f>TWK!E469</f>
        <v>525</v>
      </c>
      <c r="F524" s="92">
        <f>TWK!F469</f>
        <v>525</v>
      </c>
      <c r="G524" s="92">
        <f>TWK!G469</f>
        <v>525</v>
      </c>
      <c r="H524" s="92">
        <f>TWK!H469</f>
        <v>392</v>
      </c>
      <c r="I524" s="92">
        <f>TWK!I469</f>
        <v>537</v>
      </c>
      <c r="K524" s="92">
        <f t="shared" si="6146"/>
        <v>293.75</v>
      </c>
      <c r="L524" s="92">
        <f t="shared" ref="L524" si="6178">AVERAGE(C521:C524)</f>
        <v>436.58333333333337</v>
      </c>
      <c r="M524" s="92">
        <f t="shared" ref="M524" si="6179">AVERAGE(D521:D524)</f>
        <v>580.33333333333337</v>
      </c>
      <c r="N524" s="92">
        <f t="shared" ref="N524" si="6180">AVERAGE(E521:E524)</f>
        <v>517.83333333333337</v>
      </c>
      <c r="O524" s="92">
        <f t="shared" ref="O524" si="6181">AVERAGE(F521:F524)</f>
        <v>495.75</v>
      </c>
      <c r="P524" s="92">
        <f t="shared" ref="P524" si="6182">AVERAGE(G521:G524)</f>
        <v>495.75</v>
      </c>
      <c r="Q524" s="92">
        <f t="shared" ref="Q524" si="6183">AVERAGE(H521:H524)</f>
        <v>377.16666666666663</v>
      </c>
      <c r="R524" s="92">
        <f t="shared" ref="R524" si="6184">AVERAGE(I521:I524)</f>
        <v>517.05931586608449</v>
      </c>
      <c r="T524" s="92">
        <f t="shared" ref="T524" si="6185">AVERAGE(K368,K420,K472)</f>
        <v>178.125</v>
      </c>
      <c r="U524" s="92">
        <f t="shared" ref="U524" si="6186">AVERAGE(L368,L420,L472)</f>
        <v>363.07291666666663</v>
      </c>
      <c r="V524" s="92">
        <f t="shared" ref="V524" si="6187">(M368+M420+M472)/3</f>
        <v>433.8819444444444</v>
      </c>
      <c r="W524" s="92">
        <f t="shared" ref="W524" si="6188">(N368+N420+N472)/3</f>
        <v>338.13194444444446</v>
      </c>
      <c r="X524" s="92">
        <f t="shared" ref="X524" si="6189">(O368+O420+O472)/3</f>
        <v>421.6805555555556</v>
      </c>
      <c r="Y524" s="92">
        <f t="shared" ref="Y524" si="6190">(P368+P420+P472)/3</f>
        <v>419.5625</v>
      </c>
      <c r="Z524" s="92">
        <f t="shared" ref="Z524" si="6191">(Q368+Q420+Q472)/3</f>
        <v>311.84722222222217</v>
      </c>
      <c r="AA524" s="92">
        <f t="shared" ref="AA524" si="6192">(R368+R420+R472)/3</f>
        <v>427.59728287239204</v>
      </c>
      <c r="AC524" s="112">
        <f>+AF524-'Figure 8_data'!I736</f>
        <v>0</v>
      </c>
      <c r="AD524" s="92">
        <f t="shared" ref="AD524" si="6193">(B524/T524-1)*100</f>
        <v>-100</v>
      </c>
      <c r="AE524" s="92">
        <f t="shared" ref="AE524" si="6194">(C524/U524-1)*100</f>
        <v>-100</v>
      </c>
      <c r="AF524" s="92">
        <f t="shared" ref="AF524" si="6195">(D524/V524-1)*100</f>
        <v>32.524528241489151</v>
      </c>
      <c r="AG524" s="92">
        <f t="shared" ref="AG524" si="6196">(E524/W524-1)*100</f>
        <v>55.264833336756269</v>
      </c>
      <c r="AH524" s="92">
        <f t="shared" ref="AH524" si="6197">(F524/X524-1)*100</f>
        <v>24.50182800303018</v>
      </c>
      <c r="AI524" s="92">
        <f t="shared" ref="AI524" si="6198">(G524/Y524-1)*100</f>
        <v>25.130344108446302</v>
      </c>
      <c r="AJ524" s="92">
        <f t="shared" ref="AJ524" si="6199">(H524/Z524-1)*100</f>
        <v>25.702578719992886</v>
      </c>
      <c r="AK524" s="92">
        <f t="shared" ref="AK524" si="6200">(I524/AA524-1)*100</f>
        <v>25.585456575564123</v>
      </c>
      <c r="AM524" s="112">
        <f>AP524-'Figure 8_data'!H736</f>
        <v>0</v>
      </c>
      <c r="AN524" s="92" t="e">
        <f t="shared" ref="AN524" si="6201">(B524/B472-1)*100</f>
        <v>#DIV/0!</v>
      </c>
      <c r="AO524" s="92" t="e">
        <f t="shared" ref="AO524" si="6202">(C524/C472-1)*100</f>
        <v>#DIV/0!</v>
      </c>
      <c r="AP524" s="92">
        <f t="shared" ref="AP524" si="6203">(D524/D472-1)*100</f>
        <v>36.904761904761905</v>
      </c>
      <c r="AQ524" s="92">
        <f t="shared" ref="AQ524" si="6204">(E524/E472-1)*100</f>
        <v>73.267326732673268</v>
      </c>
      <c r="AR524" s="92">
        <f t="shared" ref="AR524" si="6205">(F524/F472-1)*100</f>
        <v>39.999999999999993</v>
      </c>
      <c r="AS524" s="92">
        <f t="shared" ref="AS524" si="6206">(G524/G472-1)*100</f>
        <v>39.999999999999993</v>
      </c>
      <c r="AT524" s="92">
        <f t="shared" ref="AT524" si="6207">(H524/H472-1)*100</f>
        <v>29.372937293729361</v>
      </c>
      <c r="AU524" s="92">
        <f t="shared" ref="AU524" si="6208">(I524/I472-1)*100</f>
        <v>29.08653846153846</v>
      </c>
    </row>
    <row r="525" spans="1:47" x14ac:dyDescent="0.3">
      <c r="A525" s="13">
        <f t="shared" si="475"/>
        <v>41254</v>
      </c>
      <c r="B525" s="92">
        <f>TWK!B470</f>
        <v>0</v>
      </c>
      <c r="C525" s="92">
        <f>TWK!C470</f>
        <v>0</v>
      </c>
      <c r="D525" s="92">
        <f>TWK!D470</f>
        <v>600</v>
      </c>
      <c r="E525" s="92">
        <f>TWK!E470</f>
        <v>500</v>
      </c>
      <c r="F525" s="92">
        <f>TWK!F470</f>
        <v>520</v>
      </c>
      <c r="G525" s="92">
        <f>TWK!G470</f>
        <v>520</v>
      </c>
      <c r="H525" s="92">
        <f>TWK!H470</f>
        <v>438</v>
      </c>
      <c r="I525" s="92">
        <f>TWK!I470</f>
        <v>600</v>
      </c>
      <c r="K525" s="92">
        <f t="shared" si="6146"/>
        <v>156.25</v>
      </c>
      <c r="L525" s="92">
        <f t="shared" ref="L525" si="6209">AVERAGE(C522:C525)</f>
        <v>297</v>
      </c>
      <c r="M525" s="92">
        <f t="shared" ref="M525" si="6210">AVERAGE(D522:D525)</f>
        <v>597</v>
      </c>
      <c r="N525" s="92">
        <f t="shared" ref="N525" si="6211">AVERAGE(E522:E525)</f>
        <v>517.83333333333337</v>
      </c>
      <c r="O525" s="92">
        <f t="shared" ref="O525" si="6212">AVERAGE(F522:F525)</f>
        <v>521.58333333333337</v>
      </c>
      <c r="P525" s="92">
        <f t="shared" ref="P525" si="6213">AVERAGE(G522:G525)</f>
        <v>521.58333333333337</v>
      </c>
      <c r="Q525" s="92">
        <f t="shared" ref="Q525" si="6214">AVERAGE(H522:H525)</f>
        <v>390.83333333333331</v>
      </c>
      <c r="R525" s="92">
        <f t="shared" ref="R525" si="6215">AVERAGE(I522:I525)</f>
        <v>535.65465793304224</v>
      </c>
      <c r="T525" s="92">
        <f t="shared" ref="T525" si="6216">AVERAGE(K369,K421,K473)</f>
        <v>112.5</v>
      </c>
      <c r="U525" s="92">
        <f t="shared" ref="U525" si="6217">AVERAGE(L369,L421,L473)</f>
        <v>257.91666666666663</v>
      </c>
      <c r="V525" s="92">
        <f t="shared" ref="V525" si="6218">(M369+M421+M473)/3</f>
        <v>437.4930555555556</v>
      </c>
      <c r="W525" s="92">
        <f t="shared" ref="W525" si="6219">(N369+N421+N473)/3</f>
        <v>330.4305555555556</v>
      </c>
      <c r="X525" s="92">
        <f t="shared" ref="X525" si="6220">(O369+O421+O473)/3</f>
        <v>402.13888888888891</v>
      </c>
      <c r="Y525" s="92">
        <f t="shared" ref="Y525" si="6221">(P369+P421+P473)/3</f>
        <v>400.02083333333331</v>
      </c>
      <c r="Z525" s="92">
        <f t="shared" ref="Z525" si="6222">(Q369+Q421+Q473)/3</f>
        <v>303.5069444444444</v>
      </c>
      <c r="AA525" s="92">
        <f t="shared" ref="AA525" si="6223">(R369+R421+R473)/3</f>
        <v>424.66130923499918</v>
      </c>
      <c r="AC525" s="112">
        <f>+AF525-'Figure 8_data'!I737</f>
        <v>0</v>
      </c>
      <c r="AD525" s="92">
        <f t="shared" ref="AD525" si="6224">(B525/T525-1)*100</f>
        <v>-100</v>
      </c>
      <c r="AE525" s="92">
        <f t="shared" ref="AE525" si="6225">(C525/U525-1)*100</f>
        <v>-100</v>
      </c>
      <c r="AF525" s="92">
        <f t="shared" ref="AF525" si="6226">(D525/V525-1)*100</f>
        <v>37.145034048159474</v>
      </c>
      <c r="AG525" s="92">
        <f t="shared" ref="AG525" si="6227">(E525/W525-1)*100</f>
        <v>51.317725190197947</v>
      </c>
      <c r="AH525" s="92">
        <f t="shared" ref="AH525" si="6228">(F525/X525-1)*100</f>
        <v>29.30855840298403</v>
      </c>
      <c r="AI525" s="92">
        <f t="shared" ref="AI525" si="6229">(G525/Y525-1)*100</f>
        <v>29.993229519295884</v>
      </c>
      <c r="AJ525" s="92">
        <f t="shared" ref="AJ525" si="6230">(H525/Z525-1)*100</f>
        <v>44.313007665026902</v>
      </c>
      <c r="AK525" s="92">
        <f t="shared" ref="AK525" si="6231">(I525/AA525-1)*100</f>
        <v>41.289066593060376</v>
      </c>
      <c r="AM525" s="112">
        <f>AP525-'Figure 8_data'!H737</f>
        <v>0</v>
      </c>
      <c r="AN525" s="92" t="e">
        <f t="shared" ref="AN525" si="6232">(B525/B473-1)*100</f>
        <v>#DIV/0!</v>
      </c>
      <c r="AO525" s="92" t="e">
        <f t="shared" ref="AO525" si="6233">(C525/C473-1)*100</f>
        <v>#DIV/0!</v>
      </c>
      <c r="AP525" s="92">
        <f t="shared" ref="AP525" si="6234">(D525/D473-1)*100</f>
        <v>57.894736842105267</v>
      </c>
      <c r="AQ525" s="92">
        <f t="shared" ref="AQ525" si="6235">(E525/E473-1)*100</f>
        <v>79.856115107913666</v>
      </c>
      <c r="AR525" s="92">
        <f t="shared" ref="AR525" si="6236">(F525/F473-1)*100</f>
        <v>47.308781869688389</v>
      </c>
      <c r="AS525" s="92">
        <f t="shared" ref="AS525" si="6237">(G525/G473-1)*100</f>
        <v>47.308781869688389</v>
      </c>
      <c r="AT525" s="92">
        <f t="shared" ref="AT525" si="6238">(H525/H473-1)*100</f>
        <v>70.428015564202326</v>
      </c>
      <c r="AU525" s="92">
        <f t="shared" ref="AU525" si="6239">(I525/I473-1)*100</f>
        <v>32.044142850278433</v>
      </c>
    </row>
    <row r="526" spans="1:47" x14ac:dyDescent="0.3">
      <c r="A526" s="13">
        <f t="shared" si="475"/>
        <v>41261</v>
      </c>
      <c r="B526" s="92">
        <f>TWK!B471</f>
        <v>0</v>
      </c>
      <c r="C526" s="92">
        <f>TWK!C471</f>
        <v>0</v>
      </c>
      <c r="D526" s="92">
        <f>TWK!D471</f>
        <v>575</v>
      </c>
      <c r="E526" s="92">
        <f>TWK!E471</f>
        <v>500</v>
      </c>
      <c r="F526" s="92">
        <f>TWK!F471</f>
        <v>445</v>
      </c>
      <c r="G526" s="92">
        <f>TWK!G471</f>
        <v>445</v>
      </c>
      <c r="H526" s="92">
        <f>TWK!H471</f>
        <v>353</v>
      </c>
      <c r="I526" s="92">
        <f>TWK!I471</f>
        <v>483</v>
      </c>
      <c r="K526" s="92">
        <f t="shared" si="6146"/>
        <v>0</v>
      </c>
      <c r="L526" s="92">
        <f t="shared" ref="L526" si="6240">AVERAGE(C523:C526)</f>
        <v>147</v>
      </c>
      <c r="M526" s="92">
        <f t="shared" ref="M526" si="6241">AVERAGE(D523:D526)</f>
        <v>590.75</v>
      </c>
      <c r="N526" s="92">
        <f t="shared" ref="N526" si="6242">AVERAGE(E523:E526)</f>
        <v>509.5</v>
      </c>
      <c r="O526" s="92">
        <f t="shared" ref="O526" si="6243">AVERAGE(F523:F526)</f>
        <v>499.5</v>
      </c>
      <c r="P526" s="92">
        <f t="shared" ref="P526" si="6244">AVERAGE(G523:G526)</f>
        <v>499.5</v>
      </c>
      <c r="Q526" s="92">
        <f t="shared" ref="Q526" si="6245">AVERAGE(H523:H526)</f>
        <v>383.25</v>
      </c>
      <c r="R526" s="92">
        <f t="shared" ref="R526" si="6246">AVERAGE(I523:I526)</f>
        <v>525</v>
      </c>
      <c r="T526" s="92" t="e">
        <f t="shared" ref="T526" si="6247">AVERAGE(K370,K422,K474)</f>
        <v>#DIV/0!</v>
      </c>
      <c r="U526" s="92">
        <f t="shared" ref="U526" si="6248">AVERAGE(L370,L422,L474)</f>
        <v>153.07291666666666</v>
      </c>
      <c r="V526" s="92">
        <f t="shared" ref="V526" si="6249">(M370+M422+M474)/3</f>
        <v>432.8055555555556</v>
      </c>
      <c r="W526" s="92">
        <f t="shared" ref="W526" si="6250">(N370+N422+N474)/3</f>
        <v>324.17361111111114</v>
      </c>
      <c r="X526" s="92">
        <f t="shared" ref="X526" si="6251">(O370+O422+O474)/3</f>
        <v>389.3680555555556</v>
      </c>
      <c r="Y526" s="92">
        <f t="shared" ref="Y526" si="6252">(P370+P422+P474)/3</f>
        <v>387.25</v>
      </c>
      <c r="Z526" s="92">
        <f t="shared" ref="Z526" si="6253">(Q370+Q422+Q474)/3</f>
        <v>298</v>
      </c>
      <c r="AA526" s="92">
        <f t="shared" ref="AA526" si="6254">(R370+R422+R474)/3</f>
        <v>417.17143781335926</v>
      </c>
      <c r="AC526" s="112">
        <f>+AF526-'Figure 8_data'!I738</f>
        <v>0</v>
      </c>
      <c r="AD526" s="92" t="e">
        <f t="shared" ref="AD526" si="6255">(B526/T526-1)*100</f>
        <v>#DIV/0!</v>
      </c>
      <c r="AE526" s="92">
        <f t="shared" ref="AE526" si="6256">(C526/U526-1)*100</f>
        <v>-100</v>
      </c>
      <c r="AF526" s="92">
        <f t="shared" ref="AF526" si="6257">(D526/V526-1)*100</f>
        <v>32.854117194018343</v>
      </c>
      <c r="AG526" s="92">
        <f t="shared" ref="AG526" si="6258">(E526/W526-1)*100</f>
        <v>54.238341080953688</v>
      </c>
      <c r="AH526" s="92">
        <f t="shared" ref="AH526" si="6259">(F526/X526-1)*100</f>
        <v>14.287752590558057</v>
      </c>
      <c r="AI526" s="92">
        <f t="shared" ref="AI526" si="6260">(G526/Y526-1)*100</f>
        <v>14.912846998063255</v>
      </c>
      <c r="AJ526" s="92">
        <f t="shared" ref="AJ526" si="6261">(H526/Z526-1)*100</f>
        <v>18.456375838926164</v>
      </c>
      <c r="AK526" s="92">
        <f t="shared" ref="AK526" si="6262">(I526/AA526-1)*100</f>
        <v>15.779738548661658</v>
      </c>
      <c r="AM526" s="112">
        <f>AP526-'Figure 8_data'!H738</f>
        <v>0</v>
      </c>
      <c r="AN526" s="92" t="e">
        <f t="shared" ref="AN526" si="6263">(B526/B474-1)*100</f>
        <v>#DIV/0!</v>
      </c>
      <c r="AO526" s="92" t="e">
        <f t="shared" ref="AO526" si="6264">(C526/C474-1)*100</f>
        <v>#DIV/0!</v>
      </c>
      <c r="AP526" s="92">
        <f t="shared" ref="AP526" si="6265">(D526/D474-1)*100</f>
        <v>62.889518413597735</v>
      </c>
      <c r="AQ526" s="92">
        <f t="shared" ref="AQ526" si="6266">(E526/E474-1)*100</f>
        <v>92.307692307692307</v>
      </c>
      <c r="AR526" s="92">
        <f t="shared" ref="AR526" si="6267">(F526/F474-1)*100</f>
        <v>32.835820895522396</v>
      </c>
      <c r="AS526" s="92">
        <f t="shared" ref="AS526" si="6268">(G526/G474-1)*100</f>
        <v>32.835820895522396</v>
      </c>
      <c r="AT526" s="92">
        <f t="shared" ref="AT526" si="6269">(H526/H474-1)*100</f>
        <v>48.319327731092443</v>
      </c>
      <c r="AU526" s="92">
        <f t="shared" ref="AU526" si="6270">(I526/I474-1)*100</f>
        <v>47.706422018348626</v>
      </c>
    </row>
    <row r="527" spans="1:47" x14ac:dyDescent="0.3">
      <c r="A527" s="13">
        <f t="shared" si="475"/>
        <v>41268</v>
      </c>
      <c r="B527" s="92">
        <f>TWK!B472</f>
        <v>0</v>
      </c>
      <c r="C527" s="92">
        <f>TWK!C472</f>
        <v>0</v>
      </c>
      <c r="D527" s="92">
        <f>TWK!D472</f>
        <v>563</v>
      </c>
      <c r="E527" s="92">
        <f>TWK!E472</f>
        <v>500</v>
      </c>
      <c r="F527" s="92">
        <f>TWK!F472</f>
        <v>413</v>
      </c>
      <c r="G527" s="92">
        <f>TWK!G472</f>
        <v>413</v>
      </c>
      <c r="H527" s="92">
        <f>TWK!H472</f>
        <v>313</v>
      </c>
      <c r="I527" s="92">
        <f>TWK!I472</f>
        <v>428</v>
      </c>
      <c r="K527" s="92">
        <f t="shared" si="6146"/>
        <v>0</v>
      </c>
      <c r="L527" s="92">
        <f t="shared" ref="L527" si="6271">AVERAGE(C524:C527)</f>
        <v>0</v>
      </c>
      <c r="M527" s="92">
        <f t="shared" ref="M527" si="6272">AVERAGE(D524:D527)</f>
        <v>578.25</v>
      </c>
      <c r="N527" s="92">
        <f t="shared" ref="N527" si="6273">AVERAGE(E524:E527)</f>
        <v>506.25</v>
      </c>
      <c r="O527" s="92">
        <f t="shared" ref="O527" si="6274">AVERAGE(F524:F527)</f>
        <v>475.75</v>
      </c>
      <c r="P527" s="92">
        <f t="shared" ref="P527" si="6275">AVERAGE(G524:G527)</f>
        <v>475.75</v>
      </c>
      <c r="Q527" s="92">
        <f t="shared" ref="Q527" si="6276">AVERAGE(H524:H527)</f>
        <v>374</v>
      </c>
      <c r="R527" s="92">
        <f t="shared" ref="R527" si="6277">AVERAGE(I524:I527)</f>
        <v>512</v>
      </c>
      <c r="T527" s="92" t="e">
        <f t="shared" ref="T527" si="6278">AVERAGE(K371,K423,K475)</f>
        <v>#DIV/0!</v>
      </c>
      <c r="U527" s="92">
        <f t="shared" ref="U527" si="6279">AVERAGE(L371,L423,L475)</f>
        <v>94.583333333333329</v>
      </c>
      <c r="V527" s="92">
        <f t="shared" ref="V527" si="6280">(M371+M423+M475)/3</f>
        <v>425.6180555555556</v>
      </c>
      <c r="W527" s="92">
        <f t="shared" ref="W527" si="6281">(N371+N423+N475)/3</f>
        <v>317.34027777777783</v>
      </c>
      <c r="X527" s="92">
        <f t="shared" ref="X527" si="6282">(O371+O423+O475)/3</f>
        <v>371.96527777777777</v>
      </c>
      <c r="Y527" s="92">
        <f t="shared" ref="Y527" si="6283">(P371+P423+P475)/3</f>
        <v>371.82638888888886</v>
      </c>
      <c r="Z527" s="92">
        <f t="shared" ref="Z527" si="6284">(Q371+Q423+Q475)/3</f>
        <v>289.38194444444446</v>
      </c>
      <c r="AA527" s="92">
        <f t="shared" ref="AA527" si="6285">(R371+R423+R475)/3</f>
        <v>405.28576338347079</v>
      </c>
      <c r="AC527" s="112">
        <f>+AF527-'Figure 8_data'!I739</f>
        <v>0</v>
      </c>
      <c r="AD527" s="92" t="e">
        <f t="shared" ref="AD527" si="6286">(B527/T527-1)*100</f>
        <v>#DIV/0!</v>
      </c>
      <c r="AE527" s="92">
        <f t="shared" ref="AE527" si="6287">(C527/U527-1)*100</f>
        <v>-100</v>
      </c>
      <c r="AF527" s="92">
        <f t="shared" ref="AF527" si="6288">(D527/V527-1)*100</f>
        <v>32.278222845861393</v>
      </c>
      <c r="AG527" s="92">
        <f t="shared" ref="AG527" si="6289">(E527/W527-1)*100</f>
        <v>57.559577215134453</v>
      </c>
      <c r="AH527" s="92">
        <f t="shared" ref="AH527" si="6290">(F527/X527-1)*100</f>
        <v>11.031869014058216</v>
      </c>
      <c r="AI527" s="92">
        <f t="shared" ref="AI527" si="6291">(G527/Y527-1)*100</f>
        <v>11.073342920643237</v>
      </c>
      <c r="AJ527" s="92">
        <f t="shared" ref="AJ527" si="6292">(H527/Z527-1)*100</f>
        <v>8.161551198675344</v>
      </c>
      <c r="AK527" s="92">
        <f t="shared" ref="AK527" si="6293">(I527/AA527-1)*100</f>
        <v>5.6044990149425988</v>
      </c>
      <c r="AM527" s="112">
        <f>AP527-'Figure 8_data'!H739</f>
        <v>0</v>
      </c>
      <c r="AN527" s="92" t="e">
        <f t="shared" ref="AN527" si="6294">(B527/B475-1)*100</f>
        <v>#DIV/0!</v>
      </c>
      <c r="AO527" s="92" t="e">
        <f t="shared" ref="AO527" si="6295">(C527/C475-1)*100</f>
        <v>#DIV/0!</v>
      </c>
      <c r="AP527" s="92">
        <f t="shared" ref="AP527" si="6296">(D527/D475-1)*100</f>
        <v>64.780487804878035</v>
      </c>
      <c r="AQ527" s="92">
        <f t="shared" ref="AQ527" si="6297">(E527/E475-1)*100</f>
        <v>106.89655172413795</v>
      </c>
      <c r="AR527" s="92">
        <f t="shared" ref="AR527" si="6298">(F527/F475-1)*100</f>
        <v>25.151515151515149</v>
      </c>
      <c r="AS527" s="92">
        <f t="shared" ref="AS527" si="6299">(G527/G475-1)*100</f>
        <v>25.151515151515149</v>
      </c>
      <c r="AT527" s="92">
        <f t="shared" ref="AT527" si="6300">(H527/H475-1)*100</f>
        <v>36.086956521739125</v>
      </c>
      <c r="AU527" s="92">
        <f t="shared" ref="AU527" si="6301">(I527/I475-1)*100</f>
        <v>35.713098864580452</v>
      </c>
    </row>
    <row r="528" spans="1:47" x14ac:dyDescent="0.3">
      <c r="A528" s="13">
        <f t="shared" si="475"/>
        <v>41275</v>
      </c>
      <c r="B528" s="92">
        <f>TWK!B473</f>
        <v>0</v>
      </c>
      <c r="C528" s="92">
        <f>TWK!C473</f>
        <v>0</v>
      </c>
      <c r="D528" s="92">
        <f>TWK!D473</f>
        <v>500</v>
      </c>
      <c r="E528" s="92">
        <f>TWK!E473</f>
        <v>450</v>
      </c>
      <c r="F528" s="92">
        <f>TWK!F473</f>
        <v>350</v>
      </c>
      <c r="G528" s="92">
        <f>TWK!G473</f>
        <v>350</v>
      </c>
      <c r="H528" s="92">
        <f>TWK!H473</f>
        <v>250</v>
      </c>
      <c r="I528" s="92">
        <f>TWK!I473</f>
        <v>342.7947598253275</v>
      </c>
      <c r="K528" s="92">
        <f t="shared" si="6146"/>
        <v>0</v>
      </c>
      <c r="L528" s="92">
        <f t="shared" ref="L528" si="6302">AVERAGE(C525:C528)</f>
        <v>0</v>
      </c>
      <c r="M528" s="92">
        <f t="shared" ref="M528" si="6303">AVERAGE(D525:D528)</f>
        <v>559.5</v>
      </c>
      <c r="N528" s="92">
        <f t="shared" ref="N528" si="6304">AVERAGE(E525:E528)</f>
        <v>487.5</v>
      </c>
      <c r="O528" s="92">
        <f t="shared" ref="O528" si="6305">AVERAGE(F525:F528)</f>
        <v>432</v>
      </c>
      <c r="P528" s="92">
        <f t="shared" ref="P528" si="6306">AVERAGE(G525:G528)</f>
        <v>432</v>
      </c>
      <c r="Q528" s="92">
        <f t="shared" ref="Q528" si="6307">AVERAGE(H525:H528)</f>
        <v>338.5</v>
      </c>
      <c r="R528" s="92">
        <f t="shared" ref="R528" si="6308">AVERAGE(I525:I528)</f>
        <v>463.44868995633186</v>
      </c>
      <c r="T528" s="92" t="e">
        <f t="shared" ref="T528" si="6309">AVERAGE(K372,K424,K476)</f>
        <v>#DIV/0!</v>
      </c>
      <c r="U528" s="92" t="e">
        <f t="shared" ref="U528" si="6310">AVERAGE(L372,L424,L476)</f>
        <v>#DIV/0!</v>
      </c>
      <c r="V528" s="92">
        <f t="shared" ref="V528" si="6311">(M372+M424+M476)/3</f>
        <v>406.1875</v>
      </c>
      <c r="W528" s="92">
        <f t="shared" ref="W528" si="6312">(N372+N424+N476)/3</f>
        <v>301.11111111111114</v>
      </c>
      <c r="X528" s="92">
        <f t="shared" ref="X528" si="6313">(O372+O424+O476)/3</f>
        <v>356.22916666666669</v>
      </c>
      <c r="Y528" s="92">
        <f t="shared" ref="Y528" si="6314">(P372+P424+P476)/3</f>
        <v>356.22916666666669</v>
      </c>
      <c r="Z528" s="92">
        <f t="shared" ref="Z528" si="6315">(Q372+Q424+Q476)/3</f>
        <v>271.56250000000006</v>
      </c>
      <c r="AA528" s="92">
        <f t="shared" ref="AA528" si="6316">(R372+R424+R476)/3</f>
        <v>380.8470200549894</v>
      </c>
      <c r="AC528" s="112">
        <f>+AF528-'Figure 8_data'!I740</f>
        <v>0</v>
      </c>
      <c r="AD528" s="92" t="e">
        <f t="shared" ref="AD528" si="6317">(B528/T528-1)*100</f>
        <v>#DIV/0!</v>
      </c>
      <c r="AE528" s="92" t="e">
        <f t="shared" ref="AE528" si="6318">(C528/U528-1)*100</f>
        <v>#DIV/0!</v>
      </c>
      <c r="AF528" s="92">
        <f t="shared" ref="AF528" si="6319">(D528/V528-1)*100</f>
        <v>23.095860901677192</v>
      </c>
      <c r="AG528" s="92">
        <f t="shared" ref="AG528" si="6320">(E528/W528-1)*100</f>
        <v>49.446494464944621</v>
      </c>
      <c r="AH528" s="92">
        <f t="shared" ref="AH528" si="6321">(F528/X528-1)*100</f>
        <v>-1.7486402713609017</v>
      </c>
      <c r="AI528" s="92">
        <f t="shared" ref="AI528" si="6322">(G528/Y528-1)*100</f>
        <v>-1.7486402713609017</v>
      </c>
      <c r="AJ528" s="92">
        <f t="shared" ref="AJ528" si="6323">(H528/Z528-1)*100</f>
        <v>-7.9401611047180909</v>
      </c>
      <c r="AK528" s="92">
        <f t="shared" ref="AK528" si="6324">(I528/AA528-1)*100</f>
        <v>-9.9914816779103752</v>
      </c>
      <c r="AM528" s="112">
        <f>AP528-'Figure 8_data'!H740</f>
        <v>0</v>
      </c>
      <c r="AN528" s="92" t="e">
        <f t="shared" ref="AN528" si="6325">(B528/B476-1)*100</f>
        <v>#DIV/0!</v>
      </c>
      <c r="AO528" s="92" t="e">
        <f t="shared" ref="AO528" si="6326">(C528/C476-1)*100</f>
        <v>#DIV/0!</v>
      </c>
      <c r="AP528" s="92">
        <f t="shared" ref="AP528" si="6327">(D528/D476-1)*100</f>
        <v>45.631067961165051</v>
      </c>
      <c r="AQ528" s="92">
        <f t="shared" ref="AQ528" si="6328">(E528/E476-1)*100</f>
        <v>81.208053691275154</v>
      </c>
      <c r="AR528" s="92">
        <f t="shared" ref="AR528" si="6329">(F528/F476-1)*100</f>
        <v>3.9603960396039639</v>
      </c>
      <c r="AS528" s="92">
        <f t="shared" ref="AS528" si="6330">(G528/G476-1)*100</f>
        <v>3.9603960396039639</v>
      </c>
      <c r="AT528" s="92">
        <f t="shared" ref="AT528" si="6331">(H528/H476-1)*100</f>
        <v>9.4890510948905096</v>
      </c>
      <c r="AU528" s="92">
        <f t="shared" ref="AU528" si="6332">(I528/I476-1)*100</f>
        <v>9.4890510948905096</v>
      </c>
    </row>
    <row r="529" spans="1:47" x14ac:dyDescent="0.3">
      <c r="A529" s="13">
        <f t="shared" si="475"/>
        <v>41282</v>
      </c>
      <c r="B529" s="92">
        <f>TWK!B474</f>
        <v>0</v>
      </c>
      <c r="C529" s="92">
        <f>TWK!C474</f>
        <v>0</v>
      </c>
      <c r="D529" s="92">
        <f>TWK!D474</f>
        <v>372.5</v>
      </c>
      <c r="E529" s="92">
        <f>TWK!E474</f>
        <v>340</v>
      </c>
      <c r="F529" s="92">
        <f>TWK!F474</f>
        <v>275</v>
      </c>
      <c r="G529" s="92">
        <f>TWK!G474</f>
        <v>275</v>
      </c>
      <c r="H529" s="92">
        <f>TWK!H474</f>
        <v>192.5</v>
      </c>
      <c r="I529" s="92">
        <f>TWK!I474</f>
        <v>263.95196506550218</v>
      </c>
      <c r="K529" s="92">
        <f t="shared" ref="K529" si="6333">AVERAGE(B526:B529)</f>
        <v>0</v>
      </c>
      <c r="L529" s="92">
        <f t="shared" ref="L529" si="6334">AVERAGE(C526:C529)</f>
        <v>0</v>
      </c>
      <c r="M529" s="92">
        <f t="shared" ref="M529" si="6335">AVERAGE(D526:D529)</f>
        <v>502.625</v>
      </c>
      <c r="N529" s="92">
        <f t="shared" ref="N529" si="6336">AVERAGE(E526:E529)</f>
        <v>447.5</v>
      </c>
      <c r="O529" s="92">
        <f t="shared" ref="O529" si="6337">AVERAGE(F526:F529)</f>
        <v>370.75</v>
      </c>
      <c r="P529" s="92">
        <f t="shared" ref="P529" si="6338">AVERAGE(G526:G529)</f>
        <v>370.75</v>
      </c>
      <c r="Q529" s="92">
        <f t="shared" ref="Q529" si="6339">AVERAGE(H526:H529)</f>
        <v>277.125</v>
      </c>
      <c r="R529" s="92">
        <f t="shared" ref="R529" si="6340">AVERAGE(I526:I529)</f>
        <v>379.43668122270742</v>
      </c>
      <c r="T529" s="92" t="e">
        <f t="shared" ref="T529" si="6341">AVERAGE(K373,K425,K477)</f>
        <v>#DIV/0!</v>
      </c>
      <c r="U529" s="92" t="e">
        <f t="shared" ref="U529" si="6342">AVERAGE(L373,L425,L477)</f>
        <v>#DIV/0!</v>
      </c>
      <c r="V529" s="92">
        <f t="shared" ref="V529" si="6343">(M373+M425+M477)/3</f>
        <v>395.90972222222217</v>
      </c>
      <c r="W529" s="92">
        <f t="shared" ref="W529" si="6344">(N373+N425+N477)/3</f>
        <v>292.875</v>
      </c>
      <c r="X529" s="92">
        <f t="shared" ref="X529" si="6345">(O373+O425+O477)/3</f>
        <v>350.21527777777777</v>
      </c>
      <c r="Y529" s="92">
        <f t="shared" ref="Y529" si="6346">(P373+P425+P477)/3</f>
        <v>350.21527777777777</v>
      </c>
      <c r="Z529" s="92">
        <f t="shared" ref="Z529" si="6347">(Q373+Q425+Q477)/3</f>
        <v>264.03472222222223</v>
      </c>
      <c r="AA529" s="92">
        <f t="shared" ref="AA529" si="6348">(R373+R425+R477)/3</f>
        <v>362.0250485201359</v>
      </c>
      <c r="AC529" s="112">
        <f>+AF529-'Figure 8_data'!I741</f>
        <v>0</v>
      </c>
      <c r="AD529" s="92" t="e">
        <f t="shared" ref="AD529" si="6349">(B529/T529-1)*100</f>
        <v>#DIV/0!</v>
      </c>
      <c r="AE529" s="92" t="e">
        <f t="shared" ref="AE529" si="6350">(C529/U529-1)*100</f>
        <v>#DIV/0!</v>
      </c>
      <c r="AF529" s="92">
        <f t="shared" ref="AF529" si="6351">(D529/V529-1)*100</f>
        <v>-5.9128940029117061</v>
      </c>
      <c r="AG529" s="92">
        <f t="shared" ref="AG529" si="6352">(E529/W529-1)*100</f>
        <v>16.090482287665388</v>
      </c>
      <c r="AH529" s="92">
        <f t="shared" ref="AH529" si="6353">(F529/X529-1)*100</f>
        <v>-21.476869385893593</v>
      </c>
      <c r="AI529" s="92">
        <f t="shared" ref="AI529" si="6354">(G529/Y529-1)*100</f>
        <v>-21.476869385893593</v>
      </c>
      <c r="AJ529" s="92">
        <f t="shared" ref="AJ529" si="6355">(H529/Z529-1)*100</f>
        <v>-27.092922332395254</v>
      </c>
      <c r="AK529" s="92">
        <f t="shared" ref="AK529" si="6356">(I529/AA529-1)*100</f>
        <v>-27.090137507205903</v>
      </c>
      <c r="AM529" s="112">
        <f>AP529-'Figure 8_data'!H741</f>
        <v>0</v>
      </c>
      <c r="AN529" s="92" t="e">
        <f t="shared" ref="AN529" si="6357">(B529/B477-1)*100</f>
        <v>#DIV/0!</v>
      </c>
      <c r="AO529" s="92" t="e">
        <f t="shared" ref="AO529" si="6358">(C529/C477-1)*100</f>
        <v>#DIV/0!</v>
      </c>
      <c r="AP529" s="92">
        <f t="shared" ref="AP529" si="6359">(D529/D477-1)*100</f>
        <v>2.5229357798165264</v>
      </c>
      <c r="AQ529" s="92">
        <f t="shared" ref="AQ529" si="6360">(E529/E477-1)*100</f>
        <v>27.499999999999993</v>
      </c>
      <c r="AR529" s="92">
        <f t="shared" ref="AR529" si="6361">(F529/F477-1)*100</f>
        <v>-19.902912621359214</v>
      </c>
      <c r="AS529" s="92">
        <f t="shared" ref="AS529" si="6362">(G529/G477-1)*100</f>
        <v>-19.902912621359214</v>
      </c>
      <c r="AT529" s="92">
        <f t="shared" ref="AT529" si="6363">(H529/H477-1)*100</f>
        <v>-17.500000000000004</v>
      </c>
      <c r="AU529" s="92">
        <f t="shared" ref="AU529" si="6364">(I529/I477-1)*100</f>
        <v>-17.500000000000004</v>
      </c>
    </row>
    <row r="530" spans="1:47" x14ac:dyDescent="0.3">
      <c r="A530" s="13">
        <f t="shared" si="475"/>
        <v>41289</v>
      </c>
      <c r="B530" s="92">
        <f>TWK!B475</f>
        <v>0</v>
      </c>
      <c r="C530" s="92">
        <f>TWK!C475</f>
        <v>0</v>
      </c>
      <c r="D530" s="92">
        <f>TWK!D475</f>
        <v>347.5</v>
      </c>
      <c r="E530" s="92">
        <f>TWK!E475</f>
        <v>282.5</v>
      </c>
      <c r="F530" s="92">
        <f>TWK!F475</f>
        <v>247.5</v>
      </c>
      <c r="G530" s="92">
        <f>TWK!G475</f>
        <v>247.5</v>
      </c>
      <c r="H530" s="92">
        <f>TWK!H475</f>
        <v>195</v>
      </c>
      <c r="I530" s="92">
        <f>TWK!I475</f>
        <v>267.37991266375548</v>
      </c>
      <c r="K530" s="92">
        <f t="shared" ref="K530" si="6365">AVERAGE(B527:B530)</f>
        <v>0</v>
      </c>
      <c r="L530" s="92">
        <f t="shared" ref="L530" si="6366">AVERAGE(C527:C530)</f>
        <v>0</v>
      </c>
      <c r="M530" s="92">
        <f t="shared" ref="M530" si="6367">AVERAGE(D527:D530)</f>
        <v>445.75</v>
      </c>
      <c r="N530" s="92">
        <f t="shared" ref="N530" si="6368">AVERAGE(E527:E530)</f>
        <v>393.125</v>
      </c>
      <c r="O530" s="92">
        <f t="shared" ref="O530" si="6369">AVERAGE(F527:F530)</f>
        <v>321.375</v>
      </c>
      <c r="P530" s="92">
        <f t="shared" ref="P530" si="6370">AVERAGE(G527:G530)</f>
        <v>321.375</v>
      </c>
      <c r="Q530" s="92">
        <f t="shared" ref="Q530" si="6371">AVERAGE(H527:H530)</f>
        <v>237.625</v>
      </c>
      <c r="R530" s="92">
        <f t="shared" ref="R530" si="6372">AVERAGE(I527:I530)</f>
        <v>325.53165938864629</v>
      </c>
      <c r="T530" s="92" t="e">
        <f t="shared" ref="T530" si="6373">AVERAGE(K374,K426,K478)</f>
        <v>#DIV/0!</v>
      </c>
      <c r="U530" s="92" t="e">
        <f t="shared" ref="U530" si="6374">AVERAGE(L374,L426,L478)</f>
        <v>#DIV/0!</v>
      </c>
      <c r="V530" s="92">
        <f t="shared" ref="V530" si="6375">(M374+M426+M478)/3</f>
        <v>394.23611111111109</v>
      </c>
      <c r="W530" s="92">
        <f t="shared" ref="W530" si="6376">(N374+N426+N478)/3</f>
        <v>297.64583333333337</v>
      </c>
      <c r="X530" s="92">
        <f t="shared" ref="X530" si="6377">(O374+O426+O478)/3</f>
        <v>355.1319444444444</v>
      </c>
      <c r="Y530" s="92">
        <f t="shared" ref="Y530" si="6378">(P374+P426+P478)/3</f>
        <v>355.1319444444444</v>
      </c>
      <c r="Z530" s="92">
        <f t="shared" ref="Z530" si="6379">(Q374+Q426+Q478)/3</f>
        <v>266.03472222222223</v>
      </c>
      <c r="AA530" s="92">
        <f t="shared" ref="AA530" si="6380">(R374+R426+R478)/3</f>
        <v>364.71245754488115</v>
      </c>
      <c r="AC530" s="112">
        <f>+AF530-'Figure 8_data'!I742</f>
        <v>0</v>
      </c>
      <c r="AD530" s="92" t="e">
        <f t="shared" ref="AD530" si="6381">(B530/T530-1)*100</f>
        <v>#DIV/0!</v>
      </c>
      <c r="AE530" s="92" t="e">
        <f t="shared" ref="AE530" si="6382">(C530/U530-1)*100</f>
        <v>#DIV/0!</v>
      </c>
      <c r="AF530" s="92">
        <f t="shared" ref="AF530" si="6383">(D530/V530-1)*100</f>
        <v>-11.85485291527214</v>
      </c>
      <c r="AG530" s="92">
        <f t="shared" ref="AG530" si="6384">(E530/W530-1)*100</f>
        <v>-5.0885420312172025</v>
      </c>
      <c r="AH530" s="92">
        <f t="shared" ref="AH530" si="6385">(F530/X530-1)*100</f>
        <v>-30.307593030759293</v>
      </c>
      <c r="AI530" s="92">
        <f t="shared" ref="AI530" si="6386">(G530/Y530-1)*100</f>
        <v>-30.307593030759293</v>
      </c>
      <c r="AJ530" s="92">
        <f t="shared" ref="AJ530" si="6387">(H530/Z530-1)*100</f>
        <v>-26.701297345271346</v>
      </c>
      <c r="AK530" s="92">
        <f t="shared" ref="AK530" si="6388">(I530/AA530-1)*100</f>
        <v>-26.687474712636604</v>
      </c>
      <c r="AM530" s="112">
        <f>AP530-'Figure 8_data'!H742</f>
        <v>0</v>
      </c>
      <c r="AN530" s="92" t="e">
        <f t="shared" ref="AN530" si="6389">(B530/B478-1)*100</f>
        <v>#DIV/0!</v>
      </c>
      <c r="AO530" s="92" t="e">
        <f t="shared" ref="AO530" si="6390">(C530/C478-1)*100</f>
        <v>#DIV/0!</v>
      </c>
      <c r="AP530" s="92">
        <f t="shared" ref="AP530" si="6391">(D530/D478-1)*100</f>
        <v>-3.9170506912442393</v>
      </c>
      <c r="AQ530" s="92">
        <f t="shared" ref="AQ530" si="6392">(E530/E478-1)*100</f>
        <v>-4.7752808988764102</v>
      </c>
      <c r="AR530" s="92">
        <f t="shared" ref="AR530" si="6393">(F530/F478-1)*100</f>
        <v>-27.205882352941181</v>
      </c>
      <c r="AS530" s="92">
        <f t="shared" ref="AS530" si="6394">(G530/G478-1)*100</f>
        <v>-27.205882352941181</v>
      </c>
      <c r="AT530" s="92">
        <f t="shared" ref="AT530" si="6395">(H530/H478-1)*100</f>
        <v>-18.75</v>
      </c>
      <c r="AU530" s="92">
        <f t="shared" ref="AU530" si="6396">(I530/I478-1)*100</f>
        <v>-18.75</v>
      </c>
    </row>
    <row r="531" spans="1:47" x14ac:dyDescent="0.3">
      <c r="A531" s="13">
        <f t="shared" si="475"/>
        <v>41296</v>
      </c>
      <c r="B531" s="92">
        <f>TWK!B476</f>
        <v>0</v>
      </c>
      <c r="C531" s="92">
        <f>TWK!C476</f>
        <v>0</v>
      </c>
      <c r="D531" s="92">
        <f>TWK!D476</f>
        <v>333</v>
      </c>
      <c r="E531" s="92">
        <f>TWK!E476</f>
        <v>280</v>
      </c>
      <c r="F531" s="92">
        <f>TWK!F476</f>
        <v>232</v>
      </c>
      <c r="G531" s="92">
        <f>TWK!G476</f>
        <v>232</v>
      </c>
      <c r="H531" s="92">
        <f>TWK!H476</f>
        <v>187</v>
      </c>
      <c r="I531" s="92">
        <f>TWK!I476</f>
        <v>256</v>
      </c>
      <c r="K531" s="92">
        <f t="shared" ref="K531" si="6397">AVERAGE(B528:B531)</f>
        <v>0</v>
      </c>
      <c r="L531" s="92">
        <f t="shared" ref="L531" si="6398">AVERAGE(C528:C531)</f>
        <v>0</v>
      </c>
      <c r="M531" s="92">
        <f t="shared" ref="M531" si="6399">AVERAGE(D528:D531)</f>
        <v>388.25</v>
      </c>
      <c r="N531" s="92">
        <f t="shared" ref="N531" si="6400">AVERAGE(E528:E531)</f>
        <v>338.125</v>
      </c>
      <c r="O531" s="92">
        <f t="shared" ref="O531" si="6401">AVERAGE(F528:F531)</f>
        <v>276.125</v>
      </c>
      <c r="P531" s="92">
        <f t="shared" ref="P531" si="6402">AVERAGE(G528:G531)</f>
        <v>276.125</v>
      </c>
      <c r="Q531" s="92">
        <f t="shared" ref="Q531" si="6403">AVERAGE(H528:H531)</f>
        <v>206.125</v>
      </c>
      <c r="R531" s="92">
        <f t="shared" ref="R531" si="6404">AVERAGE(I528:I531)</f>
        <v>282.53165938864629</v>
      </c>
      <c r="T531" s="92" t="e">
        <f t="shared" ref="T531" si="6405">AVERAGE(K375,K427,K479)</f>
        <v>#DIV/0!</v>
      </c>
      <c r="U531" s="92" t="e">
        <f t="shared" ref="U531" si="6406">AVERAGE(L375,L427,L479)</f>
        <v>#DIV/0!</v>
      </c>
      <c r="V531" s="92">
        <f t="shared" ref="V531" si="6407">(M375+M427+M479)/3</f>
        <v>399.7569444444444</v>
      </c>
      <c r="W531" s="92">
        <f t="shared" ref="W531" si="6408">(N375+N427+N479)/3</f>
        <v>310.52083333333331</v>
      </c>
      <c r="X531" s="92">
        <f t="shared" ref="X531" si="6409">(O375+O427+O479)/3</f>
        <v>357.32638888888891</v>
      </c>
      <c r="Y531" s="92">
        <f t="shared" ref="Y531" si="6410">(P375+P427+P479)/3</f>
        <v>357.32638888888891</v>
      </c>
      <c r="Z531" s="92">
        <f t="shared" ref="Z531" si="6411">(Q375+Q427+Q479)/3</f>
        <v>270.69444444444451</v>
      </c>
      <c r="AA531" s="92">
        <f t="shared" ref="AA531" si="6412">(R375+R427+R479)/3</f>
        <v>371.16363415817563</v>
      </c>
      <c r="AC531" s="112">
        <f>+AF531-'Figure 8_data'!I743</f>
        <v>0</v>
      </c>
      <c r="AD531" s="92" t="e">
        <f t="shared" ref="AD531" si="6413">(B531/T531-1)*100</f>
        <v>#DIV/0!</v>
      </c>
      <c r="AE531" s="92" t="e">
        <f t="shared" ref="AE531" si="6414">(C531/U531-1)*100</f>
        <v>#DIV/0!</v>
      </c>
      <c r="AF531" s="92">
        <f t="shared" ref="AF531" si="6415">(D531/V531-1)*100</f>
        <v>-16.699383305828185</v>
      </c>
      <c r="AG531" s="92">
        <f t="shared" ref="AG531" si="6416">(E531/W531-1)*100</f>
        <v>-9.8289164709828842</v>
      </c>
      <c r="AH531" s="92">
        <f t="shared" ref="AH531" si="6417">(F531/X531-1)*100</f>
        <v>-35.073365076280247</v>
      </c>
      <c r="AI531" s="92">
        <f t="shared" ref="AI531" si="6418">(G531/Y531-1)*100</f>
        <v>-35.073365076280247</v>
      </c>
      <c r="AJ531" s="92">
        <f t="shared" ref="AJ531" si="6419">(H531/Z531-1)*100</f>
        <v>-30.918419702411516</v>
      </c>
      <c r="AK531" s="92">
        <f t="shared" ref="AK531" si="6420">(I531/AA531-1)*100</f>
        <v>-31.027725660509432</v>
      </c>
      <c r="AM531" s="112">
        <f>AP531-'Figure 8_data'!H743</f>
        <v>0</v>
      </c>
      <c r="AN531" s="92" t="e">
        <f t="shared" ref="AN531" si="6421">(B531/B479-1)*100</f>
        <v>#DIV/0!</v>
      </c>
      <c r="AO531" s="92" t="e">
        <f t="shared" ref="AO531" si="6422">(C531/C479-1)*100</f>
        <v>#DIV/0!</v>
      </c>
      <c r="AP531" s="92">
        <f t="shared" ref="AP531" si="6423">(D531/D479-1)*100</f>
        <v>-13.506493506493511</v>
      </c>
      <c r="AQ531" s="92">
        <f t="shared" ref="AQ531" si="6424">(E531/E479-1)*100</f>
        <v>-9.6774193548387117</v>
      </c>
      <c r="AR531" s="92">
        <f t="shared" ref="AR531" si="6425">(F531/F479-1)*100</f>
        <v>-31.764705882352938</v>
      </c>
      <c r="AS531" s="92">
        <f t="shared" ref="AS531" si="6426">(G531/G479-1)*100</f>
        <v>-31.764705882352938</v>
      </c>
      <c r="AT531" s="92">
        <f t="shared" ref="AT531" si="6427">(H531/H479-1)*100</f>
        <v>-22.083333333333332</v>
      </c>
      <c r="AU531" s="92">
        <f t="shared" ref="AU531" si="6428">(I531/I479-1)*100</f>
        <v>-22.188449848024316</v>
      </c>
    </row>
    <row r="532" spans="1:47" x14ac:dyDescent="0.3">
      <c r="A532" s="13">
        <f t="shared" si="475"/>
        <v>41303</v>
      </c>
      <c r="B532" s="92">
        <f>TWK!B477</f>
        <v>0</v>
      </c>
      <c r="C532" s="92">
        <f>TWK!C477</f>
        <v>0</v>
      </c>
      <c r="D532" s="92">
        <f>TWK!D477</f>
        <v>330</v>
      </c>
      <c r="E532" s="92">
        <f>TWK!E477</f>
        <v>272.5</v>
      </c>
      <c r="F532" s="92">
        <f>TWK!F477</f>
        <v>225</v>
      </c>
      <c r="G532" s="92">
        <f>TWK!G477</f>
        <v>225</v>
      </c>
      <c r="H532" s="92">
        <f>TWK!H477</f>
        <v>182.5</v>
      </c>
      <c r="I532" s="92">
        <f>TWK!I477</f>
        <v>250.2401746724891</v>
      </c>
      <c r="K532" s="92">
        <f t="shared" ref="K532" si="6429">AVERAGE(B529:B532)</f>
        <v>0</v>
      </c>
      <c r="L532" s="92">
        <f t="shared" ref="L532" si="6430">AVERAGE(C529:C532)</f>
        <v>0</v>
      </c>
      <c r="M532" s="92">
        <f t="shared" ref="M532" si="6431">AVERAGE(D529:D532)</f>
        <v>345.75</v>
      </c>
      <c r="N532" s="92">
        <f t="shared" ref="N532" si="6432">AVERAGE(E529:E532)</f>
        <v>293.75</v>
      </c>
      <c r="O532" s="92">
        <f t="shared" ref="O532" si="6433">AVERAGE(F529:F532)</f>
        <v>244.875</v>
      </c>
      <c r="P532" s="92">
        <f t="shared" ref="P532" si="6434">AVERAGE(G529:G532)</f>
        <v>244.875</v>
      </c>
      <c r="Q532" s="92">
        <f t="shared" ref="Q532" si="6435">AVERAGE(H529:H532)</f>
        <v>189.25</v>
      </c>
      <c r="R532" s="92">
        <f t="shared" ref="R532" si="6436">AVERAGE(I529:I532)</f>
        <v>259.39301310043669</v>
      </c>
      <c r="T532" s="92" t="e">
        <f t="shared" ref="T532" si="6437">AVERAGE(K376,K428,K480)</f>
        <v>#DIV/0!</v>
      </c>
      <c r="U532" s="92" t="e">
        <f t="shared" ref="U532" si="6438">AVERAGE(L376,L428,L480)</f>
        <v>#DIV/0!</v>
      </c>
      <c r="V532" s="92">
        <f t="shared" ref="V532" si="6439">(M376+M428+M480)/3</f>
        <v>422.77083333333331</v>
      </c>
      <c r="W532" s="92">
        <f t="shared" ref="W532" si="6440">(N376+N428+N480)/3</f>
        <v>336.72916666666669</v>
      </c>
      <c r="X532" s="92">
        <f t="shared" ref="X532" si="6441">(O376+O428+O480)/3</f>
        <v>366.5</v>
      </c>
      <c r="Y532" s="92">
        <f t="shared" ref="Y532" si="6442">(P376+P428+P480)/3</f>
        <v>366.5</v>
      </c>
      <c r="Z532" s="92">
        <f t="shared" ref="Z532" si="6443">(Q376+Q428+Q480)/3</f>
        <v>285.27083333333331</v>
      </c>
      <c r="AA532" s="92">
        <f t="shared" ref="AA532" si="6444">(R376+R428+R480)/3</f>
        <v>391.15374818049492</v>
      </c>
      <c r="AC532" s="112">
        <f>+AF532-'Figure 8_data'!I744</f>
        <v>0</v>
      </c>
      <c r="AD532" s="92" t="e">
        <f t="shared" ref="AD532" si="6445">(B532/T532-1)*100</f>
        <v>#DIV/0!</v>
      </c>
      <c r="AE532" s="92" t="e">
        <f t="shared" ref="AE532" si="6446">(C532/U532-1)*100</f>
        <v>#DIV/0!</v>
      </c>
      <c r="AF532" s="92">
        <f t="shared" ref="AF532" si="6447">(D532/V532-1)*100</f>
        <v>-21.943527324693235</v>
      </c>
      <c r="AG532" s="92">
        <f t="shared" ref="AG532" si="6448">(E532/W532-1)*100</f>
        <v>-19.074429251995305</v>
      </c>
      <c r="AH532" s="92">
        <f t="shared" ref="AH532" si="6449">(F532/X532-1)*100</f>
        <v>-38.608458390177361</v>
      </c>
      <c r="AI532" s="92">
        <f t="shared" ref="AI532" si="6450">(G532/Y532-1)*100</f>
        <v>-38.608458390177361</v>
      </c>
      <c r="AJ532" s="92">
        <f t="shared" ref="AJ532" si="6451">(H532/Z532-1)*100</f>
        <v>-36.025706565398373</v>
      </c>
      <c r="AK532" s="92">
        <f t="shared" ref="AK532" si="6452">(I532/AA532-1)*100</f>
        <v>-36.025111395067675</v>
      </c>
      <c r="AM532" s="112">
        <f>AP532-'Figure 8_data'!H744</f>
        <v>0</v>
      </c>
      <c r="AN532" s="92" t="e">
        <f t="shared" ref="AN532" si="6453">(B532/B480-1)*100</f>
        <v>#DIV/0!</v>
      </c>
      <c r="AO532" s="92" t="e">
        <f t="shared" ref="AO532" si="6454">(C532/C480-1)*100</f>
        <v>#DIV/0!</v>
      </c>
      <c r="AP532" s="92">
        <f t="shared" ref="AP532" si="6455">(D532/D480-1)*100</f>
        <v>-28.571428571428569</v>
      </c>
      <c r="AQ532" s="92">
        <f t="shared" ref="AQ532" si="6456">(E532/E480-1)*100</f>
        <v>-23.669467787114851</v>
      </c>
      <c r="AR532" s="92">
        <f t="shared" ref="AR532" si="6457">(F532/F480-1)*100</f>
        <v>-42.010309278350512</v>
      </c>
      <c r="AS532" s="92">
        <f t="shared" ref="AS532" si="6458">(G532/G480-1)*100</f>
        <v>-42.010309278350512</v>
      </c>
      <c r="AT532" s="92">
        <f t="shared" ref="AT532" si="6459">(H532/H480-1)*100</f>
        <v>-32.904411764705884</v>
      </c>
      <c r="AU532" s="92">
        <f t="shared" ref="AU532" si="6460">(I532/I480-1)*100</f>
        <v>-32.911481321048498</v>
      </c>
    </row>
    <row r="533" spans="1:47" x14ac:dyDescent="0.3">
      <c r="A533" s="13">
        <f t="shared" si="475"/>
        <v>41310</v>
      </c>
      <c r="B533" s="92">
        <f>TWK!B478</f>
        <v>0</v>
      </c>
      <c r="C533" s="92">
        <f>TWK!C478</f>
        <v>0</v>
      </c>
      <c r="D533" s="92">
        <f>TWK!D478</f>
        <v>323.33333333333331</v>
      </c>
      <c r="E533" s="92">
        <f>TWK!E478</f>
        <v>248.33333333333334</v>
      </c>
      <c r="F533" s="92">
        <f>TWK!F478</f>
        <v>208.33333333333334</v>
      </c>
      <c r="G533" s="92">
        <f>TWK!G478</f>
        <v>208.33333333333334</v>
      </c>
      <c r="H533" s="92">
        <f>TWK!H478</f>
        <v>191.66666666666666</v>
      </c>
      <c r="I533" s="92">
        <f>TWK!I478</f>
        <v>262.80931586608443</v>
      </c>
      <c r="K533" s="92">
        <f t="shared" ref="K533" si="6461">AVERAGE(B530:B533)</f>
        <v>0</v>
      </c>
      <c r="L533" s="92">
        <f t="shared" ref="L533" si="6462">AVERAGE(C530:C533)</f>
        <v>0</v>
      </c>
      <c r="M533" s="92">
        <f t="shared" ref="M533" si="6463">AVERAGE(D530:D533)</f>
        <v>333.45833333333331</v>
      </c>
      <c r="N533" s="92">
        <f t="shared" ref="N533" si="6464">AVERAGE(E530:E533)</f>
        <v>270.83333333333331</v>
      </c>
      <c r="O533" s="92">
        <f t="shared" ref="O533" si="6465">AVERAGE(F530:F533)</f>
        <v>228.20833333333334</v>
      </c>
      <c r="P533" s="92">
        <f t="shared" ref="P533" si="6466">AVERAGE(G530:G533)</f>
        <v>228.20833333333334</v>
      </c>
      <c r="Q533" s="92">
        <f t="shared" ref="Q533" si="6467">AVERAGE(H530:H533)</f>
        <v>189.04166666666666</v>
      </c>
      <c r="R533" s="92">
        <f t="shared" ref="R533" si="6468">AVERAGE(I530:I533)</f>
        <v>259.10735080058225</v>
      </c>
      <c r="T533" s="92" t="e">
        <f t="shared" ref="T533" si="6469">AVERAGE(K377,K429,K481)</f>
        <v>#DIV/0!</v>
      </c>
      <c r="U533" s="92" t="e">
        <f t="shared" ref="U533" si="6470">AVERAGE(L377,L429,L481)</f>
        <v>#DIV/0!</v>
      </c>
      <c r="V533" s="92">
        <f t="shared" ref="V533" si="6471">(M377+M429+M481)/3</f>
        <v>430.34722222222223</v>
      </c>
      <c r="W533" s="92">
        <f t="shared" ref="W533" si="6472">(N377+N429+N481)/3</f>
        <v>342.88194444444451</v>
      </c>
      <c r="X533" s="92">
        <f t="shared" ref="X533" si="6473">(O377+O429+O481)/3</f>
        <v>366.70138888888891</v>
      </c>
      <c r="Y533" s="92">
        <f t="shared" ref="Y533" si="6474">(P377+P429+P481)/3</f>
        <v>366.70138888888891</v>
      </c>
      <c r="Z533" s="92">
        <f t="shared" ref="Z533" si="6475">(Q377+Q429+Q481)/3</f>
        <v>289.95138888888886</v>
      </c>
      <c r="AA533" s="92">
        <f t="shared" ref="AA533" si="6476">(R377+R429+R481)/3</f>
        <v>397.52656477438131</v>
      </c>
      <c r="AC533" s="112">
        <f>+AF533-'Figure 8_data'!I745</f>
        <v>0</v>
      </c>
      <c r="AD533" s="92" t="e">
        <f t="shared" ref="AD533" si="6477">(B533/T533-1)*100</f>
        <v>#DIV/0!</v>
      </c>
      <c r="AE533" s="92" t="e">
        <f t="shared" ref="AE533" si="6478">(C533/U533-1)*100</f>
        <v>#DIV/0!</v>
      </c>
      <c r="AF533" s="92">
        <f t="shared" ref="AF533" si="6479">(D533/V533-1)*100</f>
        <v>-24.866871066645157</v>
      </c>
      <c r="AG533" s="92">
        <f t="shared" ref="AG533" si="6480">(E533/W533-1)*100</f>
        <v>-27.574683544303813</v>
      </c>
      <c r="AH533" s="92">
        <f t="shared" ref="AH533" si="6481">(F533/X533-1)*100</f>
        <v>-43.18719818199034</v>
      </c>
      <c r="AI533" s="92">
        <f t="shared" ref="AI533" si="6482">(G533/Y533-1)*100</f>
        <v>-43.18719818199034</v>
      </c>
      <c r="AJ533" s="92">
        <f t="shared" ref="AJ533" si="6483">(H533/Z533-1)*100</f>
        <v>-33.896965487509881</v>
      </c>
      <c r="AK533" s="92">
        <f t="shared" ref="AK533" si="6484">(I533/AA533-1)*100</f>
        <v>-33.888867020687407</v>
      </c>
      <c r="AM533" s="112">
        <f>AP533-'Figure 8_data'!H745</f>
        <v>0</v>
      </c>
      <c r="AN533" s="92" t="e">
        <f t="shared" ref="AN533" si="6485">(B533/B481-1)*100</f>
        <v>#DIV/0!</v>
      </c>
      <c r="AO533" s="92" t="e">
        <f t="shared" ref="AO533" si="6486">(C533/C481-1)*100</f>
        <v>#DIV/0!</v>
      </c>
      <c r="AP533" s="92">
        <f t="shared" ref="AP533" si="6487">(D533/D481-1)*100</f>
        <v>-18.143459915611814</v>
      </c>
      <c r="AQ533" s="92">
        <f t="shared" ref="AQ533" si="6488">(E533/E481-1)*100</f>
        <v>-15.819209039548021</v>
      </c>
      <c r="AR533" s="92">
        <f t="shared" ref="AR533" si="6489">(F533/F481-1)*100</f>
        <v>-41.314553990610328</v>
      </c>
      <c r="AS533" s="92">
        <f t="shared" ref="AS533" si="6490">(G533/G481-1)*100</f>
        <v>-41.314553990610328</v>
      </c>
      <c r="AT533" s="92">
        <f t="shared" ref="AT533" si="6491">(H533/H481-1)*100</f>
        <v>-22.948073701842553</v>
      </c>
      <c r="AU533" s="92">
        <f t="shared" ref="AU533" si="6492">(I533/I481-1)*100</f>
        <v>-22.818791946308725</v>
      </c>
    </row>
    <row r="534" spans="1:47" x14ac:dyDescent="0.3">
      <c r="A534" s="13">
        <f t="shared" si="475"/>
        <v>41317</v>
      </c>
      <c r="B534" s="92">
        <f>TWK!B479</f>
        <v>0</v>
      </c>
      <c r="C534" s="92">
        <f>TWK!C479</f>
        <v>0</v>
      </c>
      <c r="D534" s="92">
        <f>TWK!D479</f>
        <v>325</v>
      </c>
      <c r="E534" s="92">
        <f>TWK!E479</f>
        <v>250</v>
      </c>
      <c r="F534" s="92">
        <f>TWK!F479</f>
        <v>215</v>
      </c>
      <c r="G534" s="92">
        <f>TWK!G479</f>
        <v>211.66666666666666</v>
      </c>
      <c r="H534" s="92">
        <f>TWK!H479</f>
        <v>183.33333333333334</v>
      </c>
      <c r="I534" s="92">
        <f>TWK!I479</f>
        <v>251.38282387190688</v>
      </c>
      <c r="K534" s="92">
        <f t="shared" ref="K534" si="6493">AVERAGE(B531:B534)</f>
        <v>0</v>
      </c>
      <c r="L534" s="92">
        <f t="shared" ref="L534" si="6494">AVERAGE(C531:C534)</f>
        <v>0</v>
      </c>
      <c r="M534" s="92">
        <f t="shared" ref="M534" si="6495">AVERAGE(D531:D534)</f>
        <v>327.83333333333331</v>
      </c>
      <c r="N534" s="92">
        <f t="shared" ref="N534" si="6496">AVERAGE(E531:E534)</f>
        <v>262.70833333333337</v>
      </c>
      <c r="O534" s="92">
        <f t="shared" ref="O534" si="6497">AVERAGE(F531:F534)</f>
        <v>220.08333333333334</v>
      </c>
      <c r="P534" s="92">
        <f t="shared" ref="P534" si="6498">AVERAGE(G531:G534)</f>
        <v>219.25</v>
      </c>
      <c r="Q534" s="92">
        <f t="shared" ref="Q534" si="6499">AVERAGE(H531:H534)</f>
        <v>186.125</v>
      </c>
      <c r="R534" s="92">
        <f t="shared" ref="R534" si="6500">AVERAGE(I531:I534)</f>
        <v>255.10807860262011</v>
      </c>
      <c r="T534" s="92" t="e">
        <f t="shared" ref="T534" si="6501">AVERAGE(K378,K430,K482)</f>
        <v>#DIV/0!</v>
      </c>
      <c r="U534" s="92" t="e">
        <f t="shared" ref="U534" si="6502">AVERAGE(L378,L430,L482)</f>
        <v>#DIV/0!</v>
      </c>
      <c r="V534" s="92">
        <f t="shared" ref="V534" si="6503">(M378+M430+M482)/3</f>
        <v>438.8194444444444</v>
      </c>
      <c r="W534" s="92">
        <f t="shared" ref="W534" si="6504">(N378+N430+N482)/3</f>
        <v>347.56944444444451</v>
      </c>
      <c r="X534" s="92">
        <f t="shared" ref="X534" si="6505">(O378+O430+O482)/3</f>
        <v>368.88194444444451</v>
      </c>
      <c r="Y534" s="92">
        <f t="shared" ref="Y534" si="6506">(P378+P430+P482)/3</f>
        <v>368.88194444444451</v>
      </c>
      <c r="Z534" s="92">
        <f t="shared" ref="Z534" si="6507">(Q378+Q430+Q482)/3</f>
        <v>293.84722222222223</v>
      </c>
      <c r="AA534" s="92">
        <f t="shared" ref="AA534" si="6508">(R378+R430+R482)/3</f>
        <v>402.91066229985444</v>
      </c>
      <c r="AC534" s="112">
        <f>+AF534-'Figure 8_data'!I746</f>
        <v>0</v>
      </c>
      <c r="AD534" s="92" t="e">
        <f t="shared" ref="AD534" si="6509">(B534/T534-1)*100</f>
        <v>#DIV/0!</v>
      </c>
      <c r="AE534" s="92" t="e">
        <f t="shared" ref="AE534" si="6510">(C534/U534-1)*100</f>
        <v>#DIV/0!</v>
      </c>
      <c r="AF534" s="92">
        <f t="shared" ref="AF534" si="6511">(D534/V534-1)*100</f>
        <v>-25.937648362082598</v>
      </c>
      <c r="AG534" s="92">
        <f t="shared" ref="AG534" si="6512">(E534/W534-1)*100</f>
        <v>-28.071928071928088</v>
      </c>
      <c r="AH534" s="92">
        <f t="shared" ref="AH534" si="6513">(F534/X534-1)*100</f>
        <v>-41.715770251699027</v>
      </c>
      <c r="AI534" s="92">
        <f t="shared" ref="AI534" si="6514">(G534/Y534-1)*100</f>
        <v>-42.619401720664939</v>
      </c>
      <c r="AJ534" s="92">
        <f t="shared" ref="AJ534" si="6515">(H534/Z534-1)*100</f>
        <v>-37.609301885900649</v>
      </c>
      <c r="AK534" s="92">
        <f t="shared" ref="AK534" si="6516">(I534/AA534-1)*100</f>
        <v>-37.6082969765584</v>
      </c>
      <c r="AM534" s="112">
        <f>AP534-'Figure 8_data'!H746</f>
        <v>0</v>
      </c>
      <c r="AN534" s="92" t="e">
        <f t="shared" ref="AN534" si="6517">(B534/B482-1)*100</f>
        <v>#DIV/0!</v>
      </c>
      <c r="AO534" s="92" t="e">
        <f t="shared" ref="AO534" si="6518">(C534/C482-1)*100</f>
        <v>#DIV/0!</v>
      </c>
      <c r="AP534" s="92">
        <f t="shared" ref="AP534" si="6519">(D534/D482-1)*100</f>
        <v>-23.228346456692904</v>
      </c>
      <c r="AQ534" s="92">
        <f t="shared" ref="AQ534" si="6520">(E534/E482-1)*100</f>
        <v>-25.742574257425744</v>
      </c>
      <c r="AR534" s="92">
        <f t="shared" ref="AR534" si="6521">(F534/F482-1)*100</f>
        <v>-41.363636363636367</v>
      </c>
      <c r="AS534" s="92">
        <f t="shared" ref="AS534" si="6522">(G534/G482-1)*100</f>
        <v>-42.272727272727273</v>
      </c>
      <c r="AT534" s="92">
        <f t="shared" ref="AT534" si="6523">(H534/H482-1)*100</f>
        <v>-33.333333333333329</v>
      </c>
      <c r="AU534" s="92">
        <f t="shared" ref="AU534" si="6524">(I534/I482-1)*100</f>
        <v>-33.333333333333329</v>
      </c>
    </row>
    <row r="535" spans="1:47" x14ac:dyDescent="0.3">
      <c r="A535" s="13">
        <f t="shared" si="475"/>
        <v>41324</v>
      </c>
      <c r="B535" s="92">
        <f>TWK!B480</f>
        <v>0</v>
      </c>
      <c r="C535" s="92">
        <f>TWK!C480</f>
        <v>0</v>
      </c>
      <c r="D535" s="92">
        <f>TWK!D480</f>
        <v>325</v>
      </c>
      <c r="E535" s="92">
        <f>TWK!E480</f>
        <v>250</v>
      </c>
      <c r="F535" s="92">
        <f>TWK!F480</f>
        <v>220</v>
      </c>
      <c r="G535" s="92">
        <f>TWK!G480</f>
        <v>220</v>
      </c>
      <c r="H535" s="92">
        <f>TWK!H480</f>
        <v>185</v>
      </c>
      <c r="I535" s="92">
        <f>TWK!I480</f>
        <v>169.11208151382823</v>
      </c>
      <c r="K535" s="92">
        <f t="shared" ref="K535" si="6525">AVERAGE(B532:B535)</f>
        <v>0</v>
      </c>
      <c r="L535" s="92">
        <f t="shared" ref="L535" si="6526">AVERAGE(C532:C535)</f>
        <v>0</v>
      </c>
      <c r="M535" s="92">
        <f t="shared" ref="M535" si="6527">AVERAGE(D532:D535)</f>
        <v>325.83333333333331</v>
      </c>
      <c r="N535" s="92">
        <f t="shared" ref="N535" si="6528">AVERAGE(E532:E535)</f>
        <v>255.20833333333334</v>
      </c>
      <c r="O535" s="92">
        <f t="shared" ref="O535" si="6529">AVERAGE(F532:F535)</f>
        <v>217.08333333333334</v>
      </c>
      <c r="P535" s="92">
        <f t="shared" ref="P535" si="6530">AVERAGE(G532:G535)</f>
        <v>216.25</v>
      </c>
      <c r="Q535" s="92">
        <f t="shared" ref="Q535" si="6531">AVERAGE(H532:H535)</f>
        <v>185.625</v>
      </c>
      <c r="R535" s="92">
        <f t="shared" ref="R535" si="6532">AVERAGE(I532:I535)</f>
        <v>233.38609898107717</v>
      </c>
      <c r="T535" s="92" t="e">
        <f t="shared" ref="T535" si="6533">AVERAGE(K379,K431,K483)</f>
        <v>#DIV/0!</v>
      </c>
      <c r="U535" s="92" t="e">
        <f t="shared" ref="U535" si="6534">AVERAGE(L379,L431,L483)</f>
        <v>#DIV/0!</v>
      </c>
      <c r="V535" s="92">
        <f t="shared" ref="V535" si="6535">(M379+M431+M483)/3</f>
        <v>439.5069444444444</v>
      </c>
      <c r="W535" s="92">
        <f t="shared" ref="W535" si="6536">(N379+N431+N483)/3</f>
        <v>342.63888888888891</v>
      </c>
      <c r="X535" s="92">
        <f t="shared" ref="X535" si="6537">(O379+O431+O483)/3</f>
        <v>368.28472222222223</v>
      </c>
      <c r="Y535" s="92">
        <f t="shared" ref="Y535" si="6538">(P379+P431+P483)/3</f>
        <v>368.28472222222223</v>
      </c>
      <c r="Z535" s="92">
        <f t="shared" ref="Z535" si="6539">(Q379+Q431+Q483)/3</f>
        <v>295.96527777777777</v>
      </c>
      <c r="AA535" s="92">
        <f t="shared" ref="AA535" si="6540">(R379+R431+R483)/3</f>
        <v>405.84146045608924</v>
      </c>
      <c r="AC535" s="112">
        <f>+AF535-'Figure 8_data'!I747</f>
        <v>0</v>
      </c>
      <c r="AD535" s="92" t="e">
        <f t="shared" ref="AD535" si="6541">(B535/T535-1)*100</f>
        <v>#DIV/0!</v>
      </c>
      <c r="AE535" s="92" t="e">
        <f t="shared" ref="AE535" si="6542">(C535/U535-1)*100</f>
        <v>#DIV/0!</v>
      </c>
      <c r="AF535" s="92">
        <f t="shared" ref="AF535" si="6543">(D535/V535-1)*100</f>
        <v>-26.053500608320558</v>
      </c>
      <c r="AG535" s="92">
        <f t="shared" ref="AG535" si="6544">(E535/W535-1)*100</f>
        <v>-27.036886907174708</v>
      </c>
      <c r="AH535" s="92">
        <f t="shared" ref="AH535" si="6545">(F535/X535-1)*100</f>
        <v>-40.263609450719365</v>
      </c>
      <c r="AI535" s="92">
        <f t="shared" ref="AI535" si="6546">(G535/Y535-1)*100</f>
        <v>-40.263609450719365</v>
      </c>
      <c r="AJ535" s="92">
        <f t="shared" ref="AJ535" si="6547">(H535/Z535-1)*100</f>
        <v>-37.492667589572726</v>
      </c>
      <c r="AK535" s="92">
        <f t="shared" ref="AK535" si="6548">(I535/AA535-1)*100</f>
        <v>-58.330506369709454</v>
      </c>
      <c r="AM535" s="112">
        <f>AP535-'Figure 8_data'!H747</f>
        <v>0</v>
      </c>
      <c r="AN535" s="92" t="e">
        <f t="shared" ref="AN535" si="6549">(B535/B483-1)*100</f>
        <v>#DIV/0!</v>
      </c>
      <c r="AO535" s="92" t="e">
        <f t="shared" ref="AO535" si="6550">(C535/C483-1)*100</f>
        <v>#DIV/0!</v>
      </c>
      <c r="AP535" s="92">
        <f t="shared" ref="AP535" si="6551">(D535/D483-1)*100</f>
        <v>-19.753086419753085</v>
      </c>
      <c r="AQ535" s="92">
        <f t="shared" ref="AQ535" si="6552">(E535/E483-1)*100</f>
        <v>-16.666666666666664</v>
      </c>
      <c r="AR535" s="92">
        <f t="shared" ref="AR535" si="6553">(F535/F483-1)*100</f>
        <v>-35.672514619883046</v>
      </c>
      <c r="AS535" s="92">
        <f t="shared" ref="AS535" si="6554">(G535/G483-1)*100</f>
        <v>-35.672514619883046</v>
      </c>
      <c r="AT535" s="92">
        <f t="shared" ref="AT535" si="6555">(H535/H483-1)*100</f>
        <v>-28.294573643410846</v>
      </c>
      <c r="AU535" s="92">
        <f t="shared" ref="AU535" si="6556">(I535/I483-1)*100</f>
        <v>-52.228225561065479</v>
      </c>
    </row>
    <row r="536" spans="1:47" x14ac:dyDescent="0.3">
      <c r="A536" s="13">
        <f t="shared" si="475"/>
        <v>41331</v>
      </c>
      <c r="B536" s="92">
        <f>TWK!B481</f>
        <v>0</v>
      </c>
      <c r="C536" s="92">
        <f>TWK!C481</f>
        <v>0</v>
      </c>
      <c r="D536" s="92">
        <f>TWK!D481</f>
        <v>326.66666666666669</v>
      </c>
      <c r="E536" s="92">
        <f>TWK!E481</f>
        <v>254</v>
      </c>
      <c r="F536" s="92">
        <f>TWK!F481</f>
        <v>220</v>
      </c>
      <c r="G536" s="92">
        <f>TWK!G481</f>
        <v>220</v>
      </c>
      <c r="H536" s="92">
        <f>TWK!H481</f>
        <v>185</v>
      </c>
      <c r="I536" s="92">
        <f>TWK!I481</f>
        <v>253.66812227074234</v>
      </c>
      <c r="K536" s="92">
        <f t="shared" ref="K536" si="6557">AVERAGE(B533:B536)</f>
        <v>0</v>
      </c>
      <c r="L536" s="92">
        <f t="shared" ref="L536" si="6558">AVERAGE(C533:C536)</f>
        <v>0</v>
      </c>
      <c r="M536" s="92">
        <f t="shared" ref="M536" si="6559">AVERAGE(D533:D536)</f>
        <v>325</v>
      </c>
      <c r="N536" s="92">
        <f t="shared" ref="N536" si="6560">AVERAGE(E533:E536)</f>
        <v>250.58333333333334</v>
      </c>
      <c r="O536" s="92">
        <f t="shared" ref="O536" si="6561">AVERAGE(F533:F536)</f>
        <v>215.83333333333334</v>
      </c>
      <c r="P536" s="92">
        <f t="shared" ref="P536" si="6562">AVERAGE(G533:G536)</f>
        <v>215</v>
      </c>
      <c r="Q536" s="92">
        <f t="shared" ref="Q536" si="6563">AVERAGE(H533:H536)</f>
        <v>186.25</v>
      </c>
      <c r="R536" s="92">
        <f t="shared" ref="R536" si="6564">AVERAGE(I533:I536)</f>
        <v>234.24308588064048</v>
      </c>
      <c r="T536" s="92" t="e">
        <f t="shared" ref="T536" si="6565">AVERAGE(K380,K432,K484)</f>
        <v>#DIV/0!</v>
      </c>
      <c r="U536" s="92" t="e">
        <f t="shared" ref="U536" si="6566">AVERAGE(L380,L432,L484)</f>
        <v>#DIV/0!</v>
      </c>
      <c r="V536" s="92">
        <f t="shared" ref="V536" si="6567">(M380+M432+M484)/3</f>
        <v>423.96527777777777</v>
      </c>
      <c r="W536" s="92">
        <f t="shared" ref="W536" si="6568">(N380+N432+N484)/3</f>
        <v>324.9930555555556</v>
      </c>
      <c r="X536" s="92">
        <f t="shared" ref="X536" si="6569">(O380+O432+O484)/3</f>
        <v>360.38888888888891</v>
      </c>
      <c r="Y536" s="92">
        <f t="shared" ref="Y536" si="6570">(P380+P432+P484)/3</f>
        <v>360.70138888888891</v>
      </c>
      <c r="Z536" s="92">
        <f t="shared" ref="Z536" si="6571">(Q380+Q432+Q484)/3</f>
        <v>286.65972222222223</v>
      </c>
      <c r="AA536" s="92">
        <f t="shared" ref="AA536" si="6572">(R380+R432+R484)/3</f>
        <v>393.00982532751095</v>
      </c>
      <c r="AC536" s="112">
        <f>+AF536-'Figure 8_data'!I748</f>
        <v>0</v>
      </c>
      <c r="AD536" s="92" t="e">
        <f t="shared" ref="AD536" si="6573">(B536/T536-1)*100</f>
        <v>#DIV/0!</v>
      </c>
      <c r="AE536" s="92" t="e">
        <f t="shared" ref="AE536" si="6574">(C536/U536-1)*100</f>
        <v>#DIV/0!</v>
      </c>
      <c r="AF536" s="92">
        <f t="shared" ref="AF536" si="6575">(D536/V536-1)*100</f>
        <v>-22.949665034151767</v>
      </c>
      <c r="AG536" s="92">
        <f t="shared" ref="AG536" si="6576">(E536/W536-1)*100</f>
        <v>-21.844483856492669</v>
      </c>
      <c r="AH536" s="92">
        <f t="shared" ref="AH536" si="6577">(F536/X536-1)*100</f>
        <v>-38.954832742407895</v>
      </c>
      <c r="AI536" s="92">
        <f t="shared" ref="AI536" si="6578">(G536/Y536-1)*100</f>
        <v>-39.007720298030456</v>
      </c>
      <c r="AJ536" s="92">
        <f t="shared" ref="AJ536" si="6579">(H536/Z536-1)*100</f>
        <v>-35.463552896145742</v>
      </c>
      <c r="AK536" s="92">
        <f t="shared" ref="AK536" si="6580">(I536/AA536-1)*100</f>
        <v>-35.455017680702902</v>
      </c>
      <c r="AM536" s="112">
        <f>AP536-'Figure 8_data'!H748</f>
        <v>0</v>
      </c>
      <c r="AN536" s="92" t="e">
        <f t="shared" ref="AN536" si="6581">(B536/B484-1)*100</f>
        <v>#DIV/0!</v>
      </c>
      <c r="AO536" s="92" t="e">
        <f t="shared" ref="AO536" si="6582">(C536/C484-1)*100</f>
        <v>#DIV/0!</v>
      </c>
      <c r="AP536" s="92">
        <f t="shared" ref="AP536" si="6583">(D536/D484-1)*100</f>
        <v>-14.708442123585719</v>
      </c>
      <c r="AQ536" s="92">
        <f t="shared" ref="AQ536" si="6584">(E536/E484-1)*100</f>
        <v>-9.9290780141843999</v>
      </c>
      <c r="AR536" s="92">
        <f t="shared" ref="AR536" si="6585">(F536/F484-1)*100</f>
        <v>-35.672514619883046</v>
      </c>
      <c r="AS536" s="92">
        <f t="shared" ref="AS536" si="6586">(G536/G484-1)*100</f>
        <v>-35.672514619883046</v>
      </c>
      <c r="AT536" s="92">
        <f t="shared" ref="AT536" si="6587">(H536/H484-1)*100</f>
        <v>-23.553719008264462</v>
      </c>
      <c r="AU536" s="92">
        <f t="shared" ref="AU536" si="6588">(I536/I484-1)*100</f>
        <v>-23.363105054156396</v>
      </c>
    </row>
    <row r="537" spans="1:47" x14ac:dyDescent="0.3">
      <c r="A537" s="13">
        <f t="shared" si="475"/>
        <v>41338</v>
      </c>
      <c r="B537" s="92">
        <f>TWK!B482</f>
        <v>0</v>
      </c>
      <c r="C537" s="92">
        <f>TWK!C482</f>
        <v>345</v>
      </c>
      <c r="D537" s="92">
        <f>TWK!D482</f>
        <v>325</v>
      </c>
      <c r="E537" s="92">
        <f>TWK!E482</f>
        <v>250</v>
      </c>
      <c r="F537" s="92">
        <f>TWK!F482</f>
        <v>230</v>
      </c>
      <c r="G537" s="92">
        <f>TWK!G482</f>
        <v>230</v>
      </c>
      <c r="H537" s="92">
        <f>TWK!H482</f>
        <v>185</v>
      </c>
      <c r="I537" s="92">
        <f>TWK!I482</f>
        <v>253.66812227074234</v>
      </c>
      <c r="K537" s="92">
        <f t="shared" ref="K537" si="6589">AVERAGE(B534:B537)</f>
        <v>0</v>
      </c>
      <c r="L537" s="92">
        <f t="shared" ref="L537" si="6590">AVERAGE(C534:C537)</f>
        <v>86.25</v>
      </c>
      <c r="M537" s="92">
        <f t="shared" ref="M537" si="6591">AVERAGE(D534:D537)</f>
        <v>325.41666666666669</v>
      </c>
      <c r="N537" s="92">
        <f t="shared" ref="N537" si="6592">AVERAGE(E534:E537)</f>
        <v>251</v>
      </c>
      <c r="O537" s="92">
        <f t="shared" ref="O537" si="6593">AVERAGE(F534:F537)</f>
        <v>221.25</v>
      </c>
      <c r="P537" s="92">
        <f t="shared" ref="P537" si="6594">AVERAGE(G534:G537)</f>
        <v>220.41666666666666</v>
      </c>
      <c r="Q537" s="92">
        <f t="shared" ref="Q537" si="6595">AVERAGE(H534:H537)</f>
        <v>184.58333333333334</v>
      </c>
      <c r="R537" s="92">
        <f t="shared" ref="R537" si="6596">AVERAGE(I534:I537)</f>
        <v>231.95778748180493</v>
      </c>
      <c r="T537" s="92" t="e">
        <f t="shared" ref="T537" si="6597">AVERAGE(K381,K433,K485)</f>
        <v>#DIV/0!</v>
      </c>
      <c r="U537" s="92" t="e">
        <f t="shared" ref="U537" si="6598">AVERAGE(L381,L433,L485)</f>
        <v>#DIV/0!</v>
      </c>
      <c r="V537" s="92">
        <f t="shared" ref="V537" si="6599">(M381+M433+M485)/3</f>
        <v>424.15972222222223</v>
      </c>
      <c r="W537" s="92">
        <f t="shared" ref="W537" si="6600">(N381+N433+N485)/3</f>
        <v>326.6180555555556</v>
      </c>
      <c r="X537" s="92">
        <f t="shared" ref="X537" si="6601">(O381+O433+O485)/3</f>
        <v>356.88888888888891</v>
      </c>
      <c r="Y537" s="92">
        <f t="shared" ref="Y537" si="6602">(P381+P433+P485)/3</f>
        <v>357.20138888888891</v>
      </c>
      <c r="Z537" s="92">
        <f t="shared" ref="Z537" si="6603">(Q381+Q433+Q485)/3</f>
        <v>287.90972222222223</v>
      </c>
      <c r="AA537" s="92">
        <f t="shared" ref="AA537" si="6604">(R381+R433+R485)/3</f>
        <v>394.74739204269775</v>
      </c>
      <c r="AC537" s="112">
        <f>+AF537-'Figure 8_data'!I749</f>
        <v>0</v>
      </c>
      <c r="AD537" s="92" t="e">
        <f t="shared" ref="AD537" si="6605">(B537/T537-1)*100</f>
        <v>#DIV/0!</v>
      </c>
      <c r="AE537" s="92" t="e">
        <f t="shared" ref="AE537" si="6606">(C537/U537-1)*100</f>
        <v>#DIV/0!</v>
      </c>
      <c r="AF537" s="92">
        <f t="shared" ref="AF537" si="6607">(D537/V537-1)*100</f>
        <v>-23.377920398172858</v>
      </c>
      <c r="AG537" s="92">
        <f t="shared" ref="AG537" si="6608">(E537/W537-1)*100</f>
        <v>-23.45799757616993</v>
      </c>
      <c r="AH537" s="92">
        <f t="shared" ref="AH537" si="6609">(F537/X537-1)*100</f>
        <v>-35.554171855541725</v>
      </c>
      <c r="AI537" s="92">
        <f t="shared" ref="AI537" si="6610">(G537/Y537-1)*100</f>
        <v>-35.610552714971725</v>
      </c>
      <c r="AJ537" s="92">
        <f t="shared" ref="AJ537" si="6611">(H537/Z537-1)*100</f>
        <v>-35.743746834221767</v>
      </c>
      <c r="AK537" s="92">
        <f t="shared" ref="AK537" si="6612">(I537/AA537-1)*100</f>
        <v>-35.7391264935059</v>
      </c>
      <c r="AM537" s="112">
        <f>AP537-'Figure 8_data'!H749</f>
        <v>0</v>
      </c>
      <c r="AN537" s="92" t="e">
        <f t="shared" ref="AN537" si="6613">(B537/B485-1)*100</f>
        <v>#DIV/0!</v>
      </c>
      <c r="AO537" s="92" t="e">
        <f t="shared" ref="AO537" si="6614">(C537/C485-1)*100</f>
        <v>#DIV/0!</v>
      </c>
      <c r="AP537" s="92">
        <f t="shared" ref="AP537" si="6615">(D537/D485-1)*100</f>
        <v>-6.3400576368876083</v>
      </c>
      <c r="AQ537" s="92">
        <f t="shared" ref="AQ537" si="6616">(E537/E485-1)*100</f>
        <v>-1.9607843137254943</v>
      </c>
      <c r="AR537" s="92">
        <f t="shared" ref="AR537" si="6617">(F537/F485-1)*100</f>
        <v>-29.230769230769226</v>
      </c>
      <c r="AS537" s="92">
        <f t="shared" ref="AS537" si="6618">(G537/G485-1)*100</f>
        <v>-29.230769230769226</v>
      </c>
      <c r="AT537" s="92">
        <f t="shared" ref="AT537" si="6619">(H537/H485-1)*100</f>
        <v>-18.502202643171806</v>
      </c>
      <c r="AU537" s="92">
        <f t="shared" ref="AU537" si="6620">(I537/I485-1)*100</f>
        <v>-18.434687372751657</v>
      </c>
    </row>
    <row r="538" spans="1:47" x14ac:dyDescent="0.3">
      <c r="A538" s="13">
        <f t="shared" si="475"/>
        <v>41345</v>
      </c>
      <c r="B538" s="92">
        <f>TWK!B483</f>
        <v>0</v>
      </c>
      <c r="C538" s="92">
        <f>TWK!C483</f>
        <v>340</v>
      </c>
      <c r="D538" s="92">
        <f>TWK!D483</f>
        <v>325</v>
      </c>
      <c r="E538" s="92">
        <f>TWK!E483</f>
        <v>250</v>
      </c>
      <c r="F538" s="92">
        <f>TWK!F483</f>
        <v>223.33333333333334</v>
      </c>
      <c r="G538" s="92">
        <f>TWK!G483</f>
        <v>223.33333333333334</v>
      </c>
      <c r="H538" s="92">
        <f>TWK!H483</f>
        <v>185</v>
      </c>
      <c r="I538" s="92">
        <f>TWK!I483</f>
        <v>254</v>
      </c>
      <c r="K538" s="92">
        <f t="shared" ref="K538" si="6621">AVERAGE(B535:B538)</f>
        <v>0</v>
      </c>
      <c r="L538" s="92">
        <f t="shared" ref="L538" si="6622">AVERAGE(C535:C538)</f>
        <v>171.25</v>
      </c>
      <c r="M538" s="92">
        <f t="shared" ref="M538" si="6623">AVERAGE(D535:D538)</f>
        <v>325.41666666666669</v>
      </c>
      <c r="N538" s="92">
        <f t="shared" ref="N538" si="6624">AVERAGE(E535:E538)</f>
        <v>251</v>
      </c>
      <c r="O538" s="92">
        <f t="shared" ref="O538" si="6625">AVERAGE(F535:F538)</f>
        <v>223.33333333333334</v>
      </c>
      <c r="P538" s="92">
        <f t="shared" ref="P538" si="6626">AVERAGE(G535:G538)</f>
        <v>223.33333333333334</v>
      </c>
      <c r="Q538" s="92">
        <f t="shared" ref="Q538" si="6627">AVERAGE(H535:H538)</f>
        <v>185</v>
      </c>
      <c r="R538" s="92">
        <f t="shared" ref="R538" si="6628">AVERAGE(I535:I538)</f>
        <v>232.61208151382823</v>
      </c>
      <c r="T538" s="92" t="e">
        <f t="shared" ref="T538" si="6629">AVERAGE(K382,K434,K486)</f>
        <v>#DIV/0!</v>
      </c>
      <c r="U538" s="92">
        <f t="shared" ref="U538" si="6630">AVERAGE(L382,L434,L486)</f>
        <v>380</v>
      </c>
      <c r="V538" s="92">
        <f t="shared" ref="V538" si="6631">(M382+M434+M486)/3</f>
        <v>413.46527777777783</v>
      </c>
      <c r="W538" s="92">
        <f t="shared" ref="W538" si="6632">(N382+N434+N486)/3</f>
        <v>317.27083333333331</v>
      </c>
      <c r="X538" s="92">
        <f t="shared" ref="X538" si="6633">(O382+O434+O486)/3</f>
        <v>351.9375</v>
      </c>
      <c r="Y538" s="92">
        <f t="shared" ref="Y538" si="6634">(P382+P434+P486)/3</f>
        <v>352.25</v>
      </c>
      <c r="Z538" s="92">
        <f t="shared" ref="Z538" si="6635">(Q382+Q434+Q486)/3</f>
        <v>280.1180555555556</v>
      </c>
      <c r="AA538" s="92">
        <f t="shared" ref="AA538" si="6636">(R382+R434+R486)/3</f>
        <v>383.98793061620569</v>
      </c>
      <c r="AC538" s="112">
        <f>+AF538-'Figure 8_data'!I750</f>
        <v>0</v>
      </c>
      <c r="AD538" s="92" t="e">
        <f t="shared" ref="AD538" si="6637">(B538/T538-1)*100</f>
        <v>#DIV/0!</v>
      </c>
      <c r="AE538" s="92">
        <f t="shared" ref="AE538" si="6638">(C538/U538-1)*100</f>
        <v>-10.526315789473683</v>
      </c>
      <c r="AF538" s="92">
        <f t="shared" ref="AF538" si="6639">(D538/V538-1)*100</f>
        <v>-21.396059725558047</v>
      </c>
      <c r="AG538" s="92">
        <f t="shared" ref="AG538" si="6640">(E538/W538-1)*100</f>
        <v>-21.202968021537849</v>
      </c>
      <c r="AH538" s="92">
        <f t="shared" ref="AH538" si="6641">(F538/X538-1)*100</f>
        <v>-36.54176286035635</v>
      </c>
      <c r="AI538" s="92">
        <f t="shared" ref="AI538" si="6642">(G538/Y538-1)*100</f>
        <v>-36.598060089898269</v>
      </c>
      <c r="AJ538" s="92">
        <f t="shared" ref="AJ538" si="6643">(H538/Z538-1)*100</f>
        <v>-33.956417185214583</v>
      </c>
      <c r="AK538" s="92">
        <f t="shared" ref="AK538" si="6644">(I538/AA538-1)*100</f>
        <v>-33.852087592338428</v>
      </c>
      <c r="AM538" s="112">
        <f>AP538-'Figure 8_data'!H750</f>
        <v>0</v>
      </c>
      <c r="AN538" s="92" t="e">
        <f t="shared" ref="AN538" si="6645">(B538/B486-1)*100</f>
        <v>#DIV/0!</v>
      </c>
      <c r="AO538" s="92">
        <f t="shared" ref="AO538" si="6646">(C538/C486-1)*100</f>
        <v>-10.526315789473683</v>
      </c>
      <c r="AP538" s="92">
        <f t="shared" ref="AP538" si="6647">(D538/D486-1)*100</f>
        <v>-5.7971014492753659</v>
      </c>
      <c r="AQ538" s="92">
        <f t="shared" ref="AQ538" si="6648">(E538/E486-1)*100</f>
        <v>-0.79365079365079083</v>
      </c>
      <c r="AR538" s="92">
        <f t="shared" ref="AR538" si="6649">(F538/F486-1)*100</f>
        <v>-28.647497337593187</v>
      </c>
      <c r="AS538" s="92">
        <f t="shared" ref="AS538" si="6650">(G538/G486-1)*100</f>
        <v>-28.647497337593187</v>
      </c>
      <c r="AT538" s="92">
        <f t="shared" ref="AT538" si="6651">(H538/H486-1)*100</f>
        <v>-16.666666666666664</v>
      </c>
      <c r="AU538" s="92">
        <f t="shared" ref="AU538" si="6652">(I538/I486-1)*100</f>
        <v>-16.447368421052634</v>
      </c>
    </row>
    <row r="539" spans="1:47" x14ac:dyDescent="0.3">
      <c r="A539" s="13">
        <f t="shared" si="475"/>
        <v>41352</v>
      </c>
      <c r="B539" s="92">
        <f>TWK!B484</f>
        <v>0</v>
      </c>
      <c r="C539" s="92">
        <f>TWK!C484</f>
        <v>312</v>
      </c>
      <c r="D539" s="92">
        <f>TWK!D484</f>
        <v>307</v>
      </c>
      <c r="E539" s="92">
        <f>TWK!E484</f>
        <v>250</v>
      </c>
      <c r="F539" s="92">
        <f>TWK!F484</f>
        <v>208</v>
      </c>
      <c r="G539" s="92">
        <f>TWK!G484</f>
        <v>208</v>
      </c>
      <c r="H539" s="92">
        <f>TWK!H484</f>
        <v>185</v>
      </c>
      <c r="I539" s="92">
        <f>TWK!I484</f>
        <v>254</v>
      </c>
      <c r="K539" s="92">
        <f t="shared" ref="K539" si="6653">AVERAGE(B536:B539)</f>
        <v>0</v>
      </c>
      <c r="L539" s="92">
        <f t="shared" ref="L539" si="6654">AVERAGE(C536:C539)</f>
        <v>249.25</v>
      </c>
      <c r="M539" s="92">
        <f t="shared" ref="M539" si="6655">AVERAGE(D536:D539)</f>
        <v>320.91666666666669</v>
      </c>
      <c r="N539" s="92">
        <f t="shared" ref="N539" si="6656">AVERAGE(E536:E539)</f>
        <v>251</v>
      </c>
      <c r="O539" s="92">
        <f t="shared" ref="O539" si="6657">AVERAGE(F536:F539)</f>
        <v>220.33333333333334</v>
      </c>
      <c r="P539" s="92">
        <f t="shared" ref="P539" si="6658">AVERAGE(G536:G539)</f>
        <v>220.33333333333334</v>
      </c>
      <c r="Q539" s="92">
        <f t="shared" ref="Q539" si="6659">AVERAGE(H536:H539)</f>
        <v>185</v>
      </c>
      <c r="R539" s="92">
        <f t="shared" ref="R539" si="6660">AVERAGE(I536:I539)</f>
        <v>253.83406113537117</v>
      </c>
      <c r="T539" s="92">
        <f t="shared" ref="T539" si="6661">AVERAGE(K383,K435,K487)</f>
        <v>433</v>
      </c>
      <c r="U539" s="92">
        <f t="shared" ref="U539" si="6662">AVERAGE(L383,L435,L487)</f>
        <v>442.125</v>
      </c>
      <c r="V539" s="92">
        <f t="shared" ref="V539" si="6663">(M383+M435+M487)/3</f>
        <v>402.66666666666669</v>
      </c>
      <c r="W539" s="92">
        <f t="shared" ref="W539" si="6664">(N383+N435+N487)/3</f>
        <v>306.82638888888886</v>
      </c>
      <c r="X539" s="92">
        <f t="shared" ref="X539" si="6665">(O383+O435+O487)/3</f>
        <v>345.8680555555556</v>
      </c>
      <c r="Y539" s="92">
        <f t="shared" ref="Y539" si="6666">(P383+P435+P487)/3</f>
        <v>346.1805555555556</v>
      </c>
      <c r="Z539" s="92">
        <f t="shared" ref="Z539" si="6667">(Q383+Q435+Q487)/3</f>
        <v>272.17361111111114</v>
      </c>
      <c r="AA539" s="92">
        <f t="shared" ref="AA539" si="6668">(R383+R435+R487)/3</f>
        <v>373.09394711305191</v>
      </c>
      <c r="AC539" s="112">
        <f>+AF539-'Figure 8_data'!I751</f>
        <v>0</v>
      </c>
      <c r="AD539" s="92">
        <f t="shared" ref="AD539" si="6669">(B539/T539-1)*100</f>
        <v>-100</v>
      </c>
      <c r="AE539" s="92">
        <f t="shared" ref="AE539" si="6670">(C539/U539-1)*100</f>
        <v>-29.431721798134014</v>
      </c>
      <c r="AF539" s="92">
        <f t="shared" ref="AF539" si="6671">(D539/V539-1)*100</f>
        <v>-23.758278145695368</v>
      </c>
      <c r="AG539" s="92">
        <f t="shared" ref="AG539" si="6672">(E539/W539-1)*100</f>
        <v>-18.52069800602041</v>
      </c>
      <c r="AH539" s="92">
        <f t="shared" ref="AH539" si="6673">(F539/X539-1)*100</f>
        <v>-39.861459692801937</v>
      </c>
      <c r="AI539" s="92">
        <f t="shared" ref="AI539" si="6674">(G539/Y539-1)*100</f>
        <v>-39.915747241725185</v>
      </c>
      <c r="AJ539" s="92">
        <f t="shared" ref="AJ539" si="6675">(H539/Z539-1)*100</f>
        <v>-32.028678590564652</v>
      </c>
      <c r="AK539" s="92">
        <f t="shared" ref="AK539" si="6676">(I539/AA539-1)*100</f>
        <v>-31.92063233257575</v>
      </c>
      <c r="AM539" s="112">
        <f>AP539-'Figure 8_data'!H751</f>
        <v>0</v>
      </c>
      <c r="AN539" s="92">
        <f t="shared" ref="AN539" si="6677">(B539/B487-1)*100</f>
        <v>-100</v>
      </c>
      <c r="AO539" s="92">
        <f t="shared" ref="AO539" si="6678">(C539/C487-1)*100</f>
        <v>-17.460317460317466</v>
      </c>
      <c r="AP539" s="92">
        <f t="shared" ref="AP539" si="6679">(D539/D487-1)*100</f>
        <v>-15.193370165745856</v>
      </c>
      <c r="AQ539" s="92">
        <f t="shared" ref="AQ539" si="6680">(E539/E487-1)*100</f>
        <v>-3.1007751937984551</v>
      </c>
      <c r="AR539" s="92">
        <f t="shared" ref="AR539" si="6681">(F539/F487-1)*100</f>
        <v>-32.903225806451609</v>
      </c>
      <c r="AS539" s="92">
        <f t="shared" ref="AS539" si="6682">(G539/G487-1)*100</f>
        <v>-32.903225806451609</v>
      </c>
      <c r="AT539" s="92">
        <f t="shared" ref="AT539" si="6683">(H539/H487-1)*100</f>
        <v>-17.040358744394624</v>
      </c>
      <c r="AU539" s="92">
        <f t="shared" ref="AU539" si="6684">(I539/I487-1)*100</f>
        <v>-16.993464052287578</v>
      </c>
    </row>
    <row r="540" spans="1:47" x14ac:dyDescent="0.3">
      <c r="A540" s="13">
        <f t="shared" si="475"/>
        <v>41359</v>
      </c>
      <c r="B540" s="92">
        <f>TWK!B485</f>
        <v>0</v>
      </c>
      <c r="C540" s="92">
        <f>TWK!C485</f>
        <v>298.33333333333331</v>
      </c>
      <c r="D540" s="92">
        <f>TWK!D485</f>
        <v>293.33333333333331</v>
      </c>
      <c r="E540" s="92">
        <f>TWK!E485</f>
        <v>245</v>
      </c>
      <c r="F540" s="92">
        <f>TWK!F485</f>
        <v>205</v>
      </c>
      <c r="G540" s="92">
        <f>TWK!G485</f>
        <v>205</v>
      </c>
      <c r="H540" s="92">
        <f>TWK!H485</f>
        <v>176.66666666666666</v>
      </c>
      <c r="I540" s="92">
        <f>TWK!I485</f>
        <v>242.24163027656479</v>
      </c>
      <c r="K540" s="92">
        <f t="shared" ref="K540" si="6685">AVERAGE(B537:B540)</f>
        <v>0</v>
      </c>
      <c r="L540" s="92">
        <f t="shared" ref="L540" si="6686">AVERAGE(C537:C540)</f>
        <v>323.83333333333331</v>
      </c>
      <c r="M540" s="92">
        <f t="shared" ref="M540" si="6687">AVERAGE(D537:D540)</f>
        <v>312.58333333333331</v>
      </c>
      <c r="N540" s="92">
        <f t="shared" ref="N540" si="6688">AVERAGE(E537:E540)</f>
        <v>248.75</v>
      </c>
      <c r="O540" s="92">
        <f t="shared" ref="O540" si="6689">AVERAGE(F537:F540)</f>
        <v>216.58333333333334</v>
      </c>
      <c r="P540" s="92">
        <f t="shared" ref="P540" si="6690">AVERAGE(G537:G540)</f>
        <v>216.58333333333334</v>
      </c>
      <c r="Q540" s="92">
        <f t="shared" ref="Q540" si="6691">AVERAGE(H537:H540)</f>
        <v>182.91666666666666</v>
      </c>
      <c r="R540" s="92">
        <f t="shared" ref="R540" si="6692">AVERAGE(I537:I540)</f>
        <v>250.97743813682678</v>
      </c>
      <c r="T540" s="92">
        <f t="shared" ref="T540" si="6693">AVERAGE(K384,K436,K488)</f>
        <v>425</v>
      </c>
      <c r="U540" s="92">
        <f t="shared" ref="U540" si="6694">AVERAGE(L384,L436,L488)</f>
        <v>441.33333333333337</v>
      </c>
      <c r="V540" s="92">
        <f t="shared" ref="V540" si="6695">(M384+M436+M488)/3</f>
        <v>395.20138888888891</v>
      </c>
      <c r="W540" s="92">
        <f t="shared" ref="W540" si="6696">(N384+N436+N488)/3</f>
        <v>299.25</v>
      </c>
      <c r="X540" s="92">
        <f t="shared" ref="X540" si="6697">(O384+O436+O488)/3</f>
        <v>341.84027777777783</v>
      </c>
      <c r="Y540" s="92">
        <f t="shared" ref="Y540" si="6698">(P384+P436+P488)/3</f>
        <v>341.84027777777783</v>
      </c>
      <c r="Z540" s="92">
        <f t="shared" ref="Z540" si="6699">(Q384+Q436+Q488)/3</f>
        <v>266.38194444444446</v>
      </c>
      <c r="AA540" s="92">
        <f t="shared" ref="AA540" si="6700">(R384+R436+R488)/3</f>
        <v>365.24969674915093</v>
      </c>
      <c r="AC540" s="112">
        <f>+AF540-'Figure 8_data'!I752</f>
        <v>0</v>
      </c>
      <c r="AD540" s="92">
        <f t="shared" ref="AD540" si="6701">(B540/T540-1)*100</f>
        <v>-100</v>
      </c>
      <c r="AE540" s="92">
        <f t="shared" ref="AE540" si="6702">(C540/U540-1)*100</f>
        <v>-32.401812688821764</v>
      </c>
      <c r="AF540" s="92">
        <f t="shared" ref="AF540" si="6703">(D540/V540-1)*100</f>
        <v>-25.776239259168154</v>
      </c>
      <c r="AG540" s="92">
        <f t="shared" ref="AG540" si="6704">(E540/W540-1)*100</f>
        <v>-18.128654970760238</v>
      </c>
      <c r="AH540" s="92">
        <f t="shared" ref="AH540" si="6705">(F540/X540-1)*100</f>
        <v>-40.030472320975122</v>
      </c>
      <c r="AI540" s="92">
        <f t="shared" ref="AI540" si="6706">(G540/Y540-1)*100</f>
        <v>-40.030472320975122</v>
      </c>
      <c r="AJ540" s="92">
        <f t="shared" ref="AJ540" si="6707">(H540/Z540-1)*100</f>
        <v>-33.679188717119843</v>
      </c>
      <c r="AK540" s="92">
        <f t="shared" ref="AK540" si="6708">(I540/AA540-1)*100</f>
        <v>-33.677801122738948</v>
      </c>
      <c r="AM540" s="112">
        <f>AP540-'Figure 8_data'!H752</f>
        <v>0</v>
      </c>
      <c r="AN540" s="92">
        <f t="shared" ref="AN540" si="6709">(B540/B488-1)*100</f>
        <v>-100</v>
      </c>
      <c r="AO540" s="92">
        <f t="shared" ref="AO540" si="6710">(C540/C488-1)*100</f>
        <v>-19.586702605570537</v>
      </c>
      <c r="AP540" s="92">
        <f t="shared" ref="AP540" si="6711">(D540/D488-1)*100</f>
        <v>-16.902738432483478</v>
      </c>
      <c r="AQ540" s="92">
        <f t="shared" ref="AQ540" si="6712">(E540/E488-1)*100</f>
        <v>-2.3904382470119501</v>
      </c>
      <c r="AR540" s="92">
        <f t="shared" ref="AR540" si="6713">(F540/F488-1)*100</f>
        <v>-32.119205298013242</v>
      </c>
      <c r="AS540" s="92">
        <f t="shared" ref="AS540" si="6714">(G540/G488-1)*100</f>
        <v>-32.119205298013242</v>
      </c>
      <c r="AT540" s="92">
        <f t="shared" ref="AT540" si="6715">(H540/H488-1)*100</f>
        <v>-19.696969696969703</v>
      </c>
      <c r="AU540" s="92">
        <f t="shared" ref="AU540" si="6716">(I540/I488-1)*100</f>
        <v>-19.78753964352159</v>
      </c>
    </row>
    <row r="541" spans="1:47" x14ac:dyDescent="0.3">
      <c r="A541" s="13">
        <f t="shared" si="475"/>
        <v>41366</v>
      </c>
      <c r="B541" s="92">
        <f>TWK!B486</f>
        <v>0</v>
      </c>
      <c r="C541" s="92">
        <f>TWK!C486</f>
        <v>290</v>
      </c>
      <c r="D541" s="92">
        <f>TWK!D486</f>
        <v>262.5</v>
      </c>
      <c r="E541" s="92">
        <f>TWK!E486</f>
        <v>232.5</v>
      </c>
      <c r="F541" s="92">
        <f>TWK!F486</f>
        <v>193.5</v>
      </c>
      <c r="G541" s="92">
        <f>TWK!G486</f>
        <v>193.5</v>
      </c>
      <c r="H541" s="92">
        <f>TWK!H486</f>
        <v>180</v>
      </c>
      <c r="I541" s="92">
        <f>TWK!I486</f>
        <v>246.81222707423584</v>
      </c>
      <c r="K541" s="92">
        <f t="shared" ref="K541" si="6717">AVERAGE(B538:B541)</f>
        <v>0</v>
      </c>
      <c r="L541" s="92">
        <f t="shared" ref="L541" si="6718">AVERAGE(C538:C541)</f>
        <v>310.08333333333331</v>
      </c>
      <c r="M541" s="92">
        <f t="shared" ref="M541" si="6719">AVERAGE(D538:D541)</f>
        <v>296.95833333333331</v>
      </c>
      <c r="N541" s="92">
        <f t="shared" ref="N541" si="6720">AVERAGE(E538:E541)</f>
        <v>244.375</v>
      </c>
      <c r="O541" s="92">
        <f t="shared" ref="O541" si="6721">AVERAGE(F538:F541)</f>
        <v>207.45833333333334</v>
      </c>
      <c r="P541" s="92">
        <f t="shared" ref="P541" si="6722">AVERAGE(G538:G541)</f>
        <v>207.45833333333334</v>
      </c>
      <c r="Q541" s="92">
        <f t="shared" ref="Q541" si="6723">AVERAGE(H538:H541)</f>
        <v>181.66666666666666</v>
      </c>
      <c r="R541" s="92">
        <f t="shared" ref="R541" si="6724">AVERAGE(I538:I541)</f>
        <v>249.26346433770016</v>
      </c>
      <c r="T541" s="92">
        <f t="shared" ref="T541" si="6725">AVERAGE(K385,K437,K489)</f>
        <v>428</v>
      </c>
      <c r="U541" s="92">
        <f t="shared" ref="U541" si="6726">AVERAGE(L385,L437,L489)</f>
        <v>302.6805555555556</v>
      </c>
      <c r="V541" s="92">
        <f t="shared" ref="V541" si="6727">(M385+M437+M489)/3</f>
        <v>376.77083333333331</v>
      </c>
      <c r="W541" s="92">
        <f t="shared" ref="W541" si="6728">(N385+N437+N489)/3</f>
        <v>282.48611111111109</v>
      </c>
      <c r="X541" s="92">
        <f t="shared" ref="X541" si="6729">(O385+O437+O489)/3</f>
        <v>337.95138888888886</v>
      </c>
      <c r="Y541" s="92">
        <f t="shared" ref="Y541" si="6730">(P385+P437+P489)/3</f>
        <v>337.95138888888886</v>
      </c>
      <c r="Z541" s="92">
        <f t="shared" ref="Z541" si="6731">(Q385+Q437+Q489)/3</f>
        <v>252.49305555555554</v>
      </c>
      <c r="AA541" s="92">
        <f t="shared" ref="AA541" si="6732">(R385+R437+R489)/3</f>
        <v>346.16951722464819</v>
      </c>
      <c r="AC541" s="112">
        <f>+AF541-'Figure 8_data'!I753</f>
        <v>0</v>
      </c>
      <c r="AD541" s="92">
        <f t="shared" ref="AD541" si="6733">(B541/T541-1)*100</f>
        <v>-100</v>
      </c>
      <c r="AE541" s="92">
        <f t="shared" ref="AE541" si="6734">(C541/U541-1)*100</f>
        <v>-4.1894186206580253</v>
      </c>
      <c r="AF541" s="92">
        <f t="shared" ref="AF541" si="6735">(D541/V541-1)*100</f>
        <v>-30.329001935305499</v>
      </c>
      <c r="AG541" s="92">
        <f t="shared" ref="AG541" si="6736">(E541/W541-1)*100</f>
        <v>-17.69506858744284</v>
      </c>
      <c r="AH541" s="92">
        <f t="shared" ref="AH541" si="6737">(F541/X541-1)*100</f>
        <v>-42.743244631665469</v>
      </c>
      <c r="AI541" s="92">
        <f t="shared" ref="AI541" si="6738">(G541/Y541-1)*100</f>
        <v>-42.743244631665469</v>
      </c>
      <c r="AJ541" s="92">
        <f t="shared" ref="AJ541" si="6739">(H541/Z541-1)*100</f>
        <v>-28.710910641106736</v>
      </c>
      <c r="AK541" s="92">
        <f t="shared" ref="AK541" si="6740">(I541/AA541-1)*100</f>
        <v>-28.701917761850194</v>
      </c>
      <c r="AM541" s="112">
        <f>AP541-'Figure 8_data'!H753</f>
        <v>0</v>
      </c>
      <c r="AN541" s="92">
        <f t="shared" ref="AN541" si="6741">(B541/B489-1)*100</f>
        <v>-100</v>
      </c>
      <c r="AO541" s="92">
        <f t="shared" ref="AO541" si="6742">(C541/C489-1)*100</f>
        <v>-20.980926430517709</v>
      </c>
      <c r="AP541" s="92">
        <f t="shared" ref="AP541" si="6743">(D541/D489-1)*100</f>
        <v>-19.23076923076923</v>
      </c>
      <c r="AQ541" s="92">
        <f t="shared" ref="AQ541" si="6744">(E541/E489-1)*100</f>
        <v>-2.3109243697479021</v>
      </c>
      <c r="AR541" s="92">
        <f t="shared" ref="AR541" si="6745">(F541/F489-1)*100</f>
        <v>-32.10526315789474</v>
      </c>
      <c r="AS541" s="92">
        <f t="shared" ref="AS541" si="6746">(G541/G489-1)*100</f>
        <v>-32.10526315789474</v>
      </c>
      <c r="AT541" s="92">
        <f t="shared" ref="AT541" si="6747">(H541/H489-1)*100</f>
        <v>-15.094339622641506</v>
      </c>
      <c r="AU541" s="92">
        <f t="shared" ref="AU541" si="6748">(I541/I489-1)*100</f>
        <v>-14.892335491642816</v>
      </c>
    </row>
    <row r="542" spans="1:47" x14ac:dyDescent="0.3">
      <c r="A542" s="13">
        <f t="shared" si="475"/>
        <v>41373</v>
      </c>
      <c r="B542" s="92">
        <f>TWK!B487</f>
        <v>355</v>
      </c>
      <c r="C542" s="92">
        <f>TWK!C487</f>
        <v>292.5</v>
      </c>
      <c r="D542" s="92">
        <f>TWK!D487</f>
        <v>285</v>
      </c>
      <c r="E542" s="92">
        <f>TWK!E487</f>
        <v>227.5</v>
      </c>
      <c r="F542" s="92">
        <f>TWK!F487</f>
        <v>197.5</v>
      </c>
      <c r="G542" s="92">
        <f>TWK!G487</f>
        <v>197.5</v>
      </c>
      <c r="H542" s="92">
        <f>TWK!H487</f>
        <v>180</v>
      </c>
      <c r="I542" s="92">
        <f>TWK!I487</f>
        <v>246.81222707423584</v>
      </c>
      <c r="K542" s="92">
        <f t="shared" ref="K542" si="6749">AVERAGE(B539:B542)</f>
        <v>88.75</v>
      </c>
      <c r="L542" s="92">
        <f t="shared" ref="L542" si="6750">AVERAGE(C539:C542)</f>
        <v>298.20833333333331</v>
      </c>
      <c r="M542" s="92">
        <f t="shared" ref="M542" si="6751">AVERAGE(D539:D542)</f>
        <v>286.95833333333331</v>
      </c>
      <c r="N542" s="92">
        <f t="shared" ref="N542" si="6752">AVERAGE(E539:E542)</f>
        <v>238.75</v>
      </c>
      <c r="O542" s="92">
        <f t="shared" ref="O542" si="6753">AVERAGE(F539:F542)</f>
        <v>201</v>
      </c>
      <c r="P542" s="92">
        <f t="shared" ref="P542" si="6754">AVERAGE(G539:G542)</f>
        <v>201</v>
      </c>
      <c r="Q542" s="92">
        <f t="shared" ref="Q542" si="6755">AVERAGE(H539:H542)</f>
        <v>180.41666666666666</v>
      </c>
      <c r="R542" s="92">
        <f t="shared" ref="R542" si="6756">AVERAGE(I539:I542)</f>
        <v>247.46652110625911</v>
      </c>
      <c r="T542" s="92">
        <f t="shared" ref="T542" si="6757">AVERAGE(K386,K438,K490)</f>
        <v>427.5</v>
      </c>
      <c r="U542" s="92">
        <f t="shared" ref="U542" si="6758">AVERAGE(L386,L438,L490)</f>
        <v>309.58333333333331</v>
      </c>
      <c r="V542" s="92">
        <f t="shared" ref="V542" si="6759">(M386+M438+M490)/3</f>
        <v>363.4375</v>
      </c>
      <c r="W542" s="92">
        <f t="shared" ref="W542" si="6760">(N386+N438+N490)/3</f>
        <v>267.6319444444444</v>
      </c>
      <c r="X542" s="92">
        <f t="shared" ref="X542" si="6761">(O386+O438+O490)/3</f>
        <v>326.97222222222223</v>
      </c>
      <c r="Y542" s="92">
        <f t="shared" ref="Y542" si="6762">(P386+P438+P490)/3</f>
        <v>326.97222222222223</v>
      </c>
      <c r="Z542" s="92">
        <f t="shared" ref="Z542" si="6763">(Q386+Q438+Q490)/3</f>
        <v>240.24305555555554</v>
      </c>
      <c r="AA542" s="92">
        <f t="shared" ref="AA542" si="6764">(R386+R438+R490)/3</f>
        <v>326.57490295972826</v>
      </c>
      <c r="AC542" s="112">
        <f>+AF542-'Figure 8_data'!I754</f>
        <v>0</v>
      </c>
      <c r="AD542" s="92">
        <f t="shared" ref="AD542:AE542" si="6765">(B542/T542-1)*100</f>
        <v>-16.959064327485386</v>
      </c>
      <c r="AE542" s="92">
        <f t="shared" si="6765"/>
        <v>-5.5181695827725363</v>
      </c>
      <c r="AF542" s="92">
        <f t="shared" ref="AF542" si="6766">(D542/V542-1)*100</f>
        <v>-21.582115219260533</v>
      </c>
      <c r="AG542" s="92">
        <f t="shared" ref="AG542" si="6767">(E542/W542-1)*100</f>
        <v>-14.995199667868897</v>
      </c>
      <c r="AH542" s="92">
        <f t="shared" ref="AH542" si="6768">(F542/X542-1)*100</f>
        <v>-39.597315436241608</v>
      </c>
      <c r="AI542" s="92">
        <f t="shared" ref="AI542" si="6769">(G542/Y542-1)*100</f>
        <v>-39.597315436241608</v>
      </c>
      <c r="AJ542" s="92">
        <f t="shared" ref="AJ542" si="6770">(H542/Z542-1)*100</f>
        <v>-25.075878017054485</v>
      </c>
      <c r="AK542" s="92">
        <f t="shared" ref="AK542" si="6771">(I542/AA542-1)*100</f>
        <v>-24.424006610002237</v>
      </c>
      <c r="AM542" s="112">
        <f>AP542-'Figure 8_data'!H754</f>
        <v>0</v>
      </c>
      <c r="AN542" s="92">
        <f t="shared" ref="AN542" si="6772">(B542/B490-1)*100</f>
        <v>-16.959064327485386</v>
      </c>
      <c r="AO542" s="92">
        <f t="shared" ref="AO542" si="6773">(C542/C490-1)*100</f>
        <v>-19.310344827586214</v>
      </c>
      <c r="AP542" s="92">
        <f t="shared" ref="AP542" si="6774">(D542/D490-1)*100</f>
        <v>-10.9375</v>
      </c>
      <c r="AQ542" s="92">
        <f t="shared" ref="AQ542" si="6775">(E542/E490-1)*100</f>
        <v>-4.2105263157894761</v>
      </c>
      <c r="AR542" s="92">
        <f t="shared" ref="AR542" si="6776">(F542/F490-1)*100</f>
        <v>-30.088495575221241</v>
      </c>
      <c r="AS542" s="92">
        <f t="shared" ref="AS542" si="6777">(G542/G490-1)*100</f>
        <v>-30.088495575221241</v>
      </c>
      <c r="AT542" s="92">
        <f t="shared" ref="AT542" si="6778">(H542/H490-1)*100</f>
        <v>-13.253012048192769</v>
      </c>
      <c r="AU542" s="92">
        <f t="shared" ref="AU542" si="6779">(I542/I490-1)*100</f>
        <v>-1.4901960784313606</v>
      </c>
    </row>
    <row r="543" spans="1:47" x14ac:dyDescent="0.3">
      <c r="A543" s="13">
        <f t="shared" si="475"/>
        <v>41380</v>
      </c>
      <c r="B543" s="92">
        <f>TWK!B488</f>
        <v>391.66666666666669</v>
      </c>
      <c r="C543" s="92">
        <f>TWK!C488</f>
        <v>311.66666666666669</v>
      </c>
      <c r="D543" s="92">
        <f>TWK!D488</f>
        <v>273.33333333333331</v>
      </c>
      <c r="E543" s="92">
        <f>TWK!E488</f>
        <v>225</v>
      </c>
      <c r="F543" s="92">
        <f>TWK!F488</f>
        <v>196.66666666666666</v>
      </c>
      <c r="G543" s="92">
        <f>TWK!G488</f>
        <v>196.66666666666666</v>
      </c>
      <c r="H543" s="92">
        <f>TWK!H488</f>
        <v>181.66666666666666</v>
      </c>
      <c r="I543" s="92">
        <f>TWK!I488</f>
        <v>249.09752547307133</v>
      </c>
      <c r="K543" s="92">
        <f t="shared" ref="K543" si="6780">AVERAGE(B540:B543)</f>
        <v>186.66666666666669</v>
      </c>
      <c r="L543" s="92">
        <f t="shared" ref="L543" si="6781">AVERAGE(C540:C543)</f>
        <v>298.125</v>
      </c>
      <c r="M543" s="92">
        <f t="shared" ref="M543" si="6782">AVERAGE(D540:D543)</f>
        <v>278.54166666666663</v>
      </c>
      <c r="N543" s="92">
        <f t="shared" ref="N543" si="6783">AVERAGE(E540:E543)</f>
        <v>232.5</v>
      </c>
      <c r="O543" s="92">
        <f t="shared" ref="O543" si="6784">AVERAGE(F540:F543)</f>
        <v>198.16666666666666</v>
      </c>
      <c r="P543" s="92">
        <f t="shared" ref="P543" si="6785">AVERAGE(G540:G543)</f>
        <v>198.16666666666666</v>
      </c>
      <c r="Q543" s="92">
        <f t="shared" ref="Q543" si="6786">AVERAGE(H540:H543)</f>
        <v>179.58333333333331</v>
      </c>
      <c r="R543" s="92">
        <f t="shared" ref="R543" si="6787">AVERAGE(I540:I543)</f>
        <v>246.24090247452693</v>
      </c>
      <c r="T543" s="92">
        <f t="shared" ref="T543" si="6788">AVERAGE(K387,K439,K491)</f>
        <v>423</v>
      </c>
      <c r="U543" s="92">
        <f t="shared" ref="U543" si="6789">AVERAGE(L387,L439,L491)</f>
        <v>283.125</v>
      </c>
      <c r="V543" s="92">
        <f t="shared" ref="V543" si="6790">(M387+M439+M491)/3</f>
        <v>353.97222222222223</v>
      </c>
      <c r="W543" s="92">
        <f t="shared" ref="W543" si="6791">(N387+N439+N491)/3</f>
        <v>259.35416666666669</v>
      </c>
      <c r="X543" s="92">
        <f t="shared" ref="X543" si="6792">(O387+O439+O491)/3</f>
        <v>321.3055555555556</v>
      </c>
      <c r="Y543" s="92">
        <f t="shared" ref="Y543" si="6793">(P387+P439+P491)/3</f>
        <v>321.72222222222223</v>
      </c>
      <c r="Z543" s="92">
        <f t="shared" ref="Z543" si="6794">(Q387+Q439+Q491)/3</f>
        <v>231.82638888888889</v>
      </c>
      <c r="AA543" s="92">
        <f t="shared" ref="AA543" si="6795">(R387+R439+R491)/3</f>
        <v>314.94571809801067</v>
      </c>
      <c r="AC543" s="112">
        <f>+AF543-'Figure 8_data'!I755</f>
        <v>0</v>
      </c>
      <c r="AD543" s="92">
        <f t="shared" ref="AD543" si="6796">(B543/T543-1)*100</f>
        <v>-7.4074074074074066</v>
      </c>
      <c r="AE543" s="92">
        <f t="shared" ref="AE543" si="6797">(C543/U543-1)*100</f>
        <v>10.080941869021354</v>
      </c>
      <c r="AF543" s="92">
        <f t="shared" ref="AF543" si="6798">(D543/V543-1)*100</f>
        <v>-22.781134740641928</v>
      </c>
      <c r="AG543" s="92">
        <f t="shared" ref="AG543" si="6799">(E543/W543-1)*100</f>
        <v>-13.2460438589445</v>
      </c>
      <c r="AH543" s="92">
        <f t="shared" ref="AH543" si="6800">(F543/X543-1)*100</f>
        <v>-38.791389297138423</v>
      </c>
      <c r="AI543" s="92">
        <f t="shared" ref="AI543" si="6801">(G543/Y543-1)*100</f>
        <v>-38.870661371093085</v>
      </c>
      <c r="AJ543" s="92">
        <f t="shared" ref="AJ543" si="6802">(H543/Z543-1)*100</f>
        <v>-21.636761225773604</v>
      </c>
      <c r="AK543" s="92">
        <f t="shared" ref="AK543" si="6803">(I543/AA543-1)*100</f>
        <v>-20.907791038596525</v>
      </c>
      <c r="AM543" s="112">
        <f>AP543-'Figure 8_data'!H755</f>
        <v>0</v>
      </c>
      <c r="AN543" s="92">
        <f t="shared" ref="AN543" si="6804">(B543/B491-1)*100</f>
        <v>-7.4074074074074066</v>
      </c>
      <c r="AO543" s="92">
        <f t="shared" ref="AO543" si="6805">(C543/C491-1)*100</f>
        <v>-10.952380952380947</v>
      </c>
      <c r="AP543" s="92">
        <f t="shared" ref="AP543" si="6806">(D543/D491-1)*100</f>
        <v>-16.666666666666675</v>
      </c>
      <c r="AQ543" s="92">
        <f t="shared" ref="AQ543" si="6807">(E543/E491-1)*100</f>
        <v>-5.0632911392405111</v>
      </c>
      <c r="AR543" s="92">
        <f t="shared" ref="AR543" si="6808">(F543/F491-1)*100</f>
        <v>-31.475029036004653</v>
      </c>
      <c r="AS543" s="92">
        <f t="shared" ref="AS543" si="6809">(G543/G491-1)*100</f>
        <v>-31.475029036004653</v>
      </c>
      <c r="AT543" s="92">
        <f t="shared" ref="AT543" si="6810">(H543/H491-1)*100</f>
        <v>-12.238325281803553</v>
      </c>
      <c r="AU543" s="92">
        <f t="shared" ref="AU543" si="6811">(I543/I491-1)*100</f>
        <v>-11.979672977713307</v>
      </c>
    </row>
    <row r="544" spans="1:47" x14ac:dyDescent="0.3">
      <c r="A544" s="13">
        <f t="shared" si="475"/>
        <v>41387</v>
      </c>
      <c r="B544" s="135">
        <f>(+B543+B545)/2</f>
        <v>408.33333333333337</v>
      </c>
      <c r="C544" s="135">
        <f t="shared" ref="C544" si="6812">(+C543+C545)/2</f>
        <v>312.08333333333337</v>
      </c>
      <c r="D544" s="135">
        <f>(+D543+D546)/2</f>
        <v>280.41666666666663</v>
      </c>
      <c r="E544" s="92">
        <f>TWK!E489</f>
        <v>223</v>
      </c>
      <c r="F544" s="92">
        <f>TWK!F489</f>
        <v>195</v>
      </c>
      <c r="G544" s="92">
        <f>TWK!G489</f>
        <v>195</v>
      </c>
      <c r="H544" s="92">
        <f>TWK!H489</f>
        <v>180</v>
      </c>
      <c r="I544" s="92">
        <f>TWK!I489</f>
        <v>247</v>
      </c>
      <c r="K544" s="92">
        <f t="shared" ref="K544" si="6813">AVERAGE(B541:B544)</f>
        <v>288.75</v>
      </c>
      <c r="L544" s="92">
        <f t="shared" ref="L544" si="6814">AVERAGE(C541:C544)</f>
        <v>301.5625</v>
      </c>
      <c r="M544" s="92">
        <f t="shared" ref="M544" si="6815">AVERAGE(D541:D544)</f>
        <v>275.3125</v>
      </c>
      <c r="N544" s="92">
        <f t="shared" ref="N544" si="6816">AVERAGE(E541:E544)</f>
        <v>227</v>
      </c>
      <c r="O544" s="92">
        <f t="shared" ref="O544" si="6817">AVERAGE(F541:F544)</f>
        <v>195.66666666666666</v>
      </c>
      <c r="P544" s="92">
        <f t="shared" ref="P544" si="6818">AVERAGE(G541:G544)</f>
        <v>195.66666666666666</v>
      </c>
      <c r="Q544" s="92">
        <f t="shared" ref="Q544" si="6819">AVERAGE(H541:H544)</f>
        <v>180.41666666666666</v>
      </c>
      <c r="R544" s="92">
        <f t="shared" ref="R544" si="6820">AVERAGE(I541:I544)</f>
        <v>247.43049490538576</v>
      </c>
      <c r="T544" s="92">
        <f t="shared" ref="T544" si="6821">AVERAGE(K388,K440,K492)</f>
        <v>423.33333333333331</v>
      </c>
      <c r="U544" s="92">
        <f t="shared" ref="U544" si="6822">AVERAGE(L388,L440,L492)</f>
        <v>321.04166666666669</v>
      </c>
      <c r="V544" s="92">
        <f t="shared" ref="V544" si="6823">(M388+M440+M492)/3</f>
        <v>345.45138888888886</v>
      </c>
      <c r="W544" s="92">
        <f t="shared" ref="W544" si="6824">(N388+N440+N492)/3</f>
        <v>251.04166666666666</v>
      </c>
      <c r="X544" s="92">
        <f t="shared" ref="X544" si="6825">(O388+O440+O492)/3</f>
        <v>280.23611111111114</v>
      </c>
      <c r="Y544" s="92">
        <f t="shared" ref="Y544" si="6826">(P388+P440+P492)/3</f>
        <v>280.65277777777777</v>
      </c>
      <c r="Z544" s="92">
        <f t="shared" ref="Z544" si="6827">(Q388+Q440+Q492)/3</f>
        <v>202.83333333333334</v>
      </c>
      <c r="AA544" s="92">
        <f t="shared" ref="AA544" si="6828">(R388+R440+R492)/3</f>
        <v>275.16266375545848</v>
      </c>
      <c r="AC544" s="112">
        <f>+AF544-'Figure 8_data'!I756</f>
        <v>0</v>
      </c>
      <c r="AD544" s="92">
        <f t="shared" ref="AD544" si="6829">(B544/T544-1)*100</f>
        <v>-3.5433070866141558</v>
      </c>
      <c r="AE544" s="92">
        <f t="shared" ref="AE544" si="6830">(C544/U544-1)*100</f>
        <v>-2.790395846852689</v>
      </c>
      <c r="AF544" s="92">
        <f t="shared" ref="AF544" si="6831">(D544/V544-1)*100</f>
        <v>-18.82601266458941</v>
      </c>
      <c r="AG544" s="92">
        <f t="shared" ref="AG544" si="6832">(E544/W544-1)*100</f>
        <v>-11.170124481327793</v>
      </c>
      <c r="AH544" s="92">
        <f t="shared" ref="AH544" si="6833">(F544/X544-1)*100</f>
        <v>-30.415819993061412</v>
      </c>
      <c r="AI544" s="92">
        <f t="shared" ref="AI544" si="6834">(G544/Y544-1)*100</f>
        <v>-30.519127035185821</v>
      </c>
      <c r="AJ544" s="92">
        <f t="shared" ref="AJ544" si="6835">(H544/Z544-1)*100</f>
        <v>-11.257189811010681</v>
      </c>
      <c r="AK544" s="92">
        <f t="shared" ref="AK544" si="6836">(I544/AA544-1)*100</f>
        <v>-10.234914639613713</v>
      </c>
      <c r="AM544" s="112">
        <f>AP544-'Figure 8_data'!H756</f>
        <v>0</v>
      </c>
      <c r="AN544" s="92">
        <f t="shared" ref="AN544" si="6837">(B544/B492-1)*100</f>
        <v>-3.5433070866141558</v>
      </c>
      <c r="AO544" s="92">
        <f t="shared" ref="AO544" si="6838">(C544/C492-1)*100</f>
        <v>-11.255924170616105</v>
      </c>
      <c r="AP544" s="92">
        <f t="shared" ref="AP544" si="6839">(D544/D492-1)*100</f>
        <v>-13.273195876288668</v>
      </c>
      <c r="AQ544" s="92">
        <f t="shared" ref="AQ544" si="6840">(E544/E492-1)*100</f>
        <v>-5.106382978723401</v>
      </c>
      <c r="AR544" s="92">
        <f t="shared" ref="AR544" si="6841">(F544/F492-1)*100</f>
        <v>-29.09090909090909</v>
      </c>
      <c r="AS544" s="92">
        <f t="shared" ref="AS544" si="6842">(G544/G492-1)*100</f>
        <v>-29.09090909090909</v>
      </c>
      <c r="AT544" s="92">
        <f t="shared" ref="AT544" si="6843">(H544/H492-1)*100</f>
        <v>-12.195121951219512</v>
      </c>
      <c r="AU544" s="92">
        <f t="shared" ref="AU544" si="6844">(I544/I492-1)*100</f>
        <v>-12.128320646263791</v>
      </c>
    </row>
    <row r="545" spans="1:47" x14ac:dyDescent="0.3">
      <c r="A545" s="13">
        <f t="shared" si="475"/>
        <v>41394</v>
      </c>
      <c r="B545" s="92">
        <f>TWK!B490</f>
        <v>425</v>
      </c>
      <c r="C545" s="92">
        <f>TWK!C490</f>
        <v>312.5</v>
      </c>
      <c r="D545" s="135">
        <f>+D544</f>
        <v>280.41666666666663</v>
      </c>
      <c r="E545" s="92">
        <f>TWK!E490</f>
        <v>220</v>
      </c>
      <c r="F545" s="92">
        <f>TWK!F490</f>
        <v>192.5</v>
      </c>
      <c r="G545" s="92">
        <f>TWK!G490</f>
        <v>192.5</v>
      </c>
      <c r="H545" s="92">
        <f>TWK!H490</f>
        <v>180</v>
      </c>
      <c r="I545" s="92">
        <f>TWK!I490</f>
        <v>246.81222707423584</v>
      </c>
      <c r="K545" s="92">
        <f t="shared" ref="K545" si="6845">AVERAGE(B542:B545)</f>
        <v>395</v>
      </c>
      <c r="L545" s="92">
        <f t="shared" ref="L545" si="6846">AVERAGE(C542:C545)</f>
        <v>307.1875</v>
      </c>
      <c r="M545" s="92">
        <f t="shared" ref="M545" si="6847">AVERAGE(D542:D545)</f>
        <v>279.79166666666663</v>
      </c>
      <c r="N545" s="92">
        <f t="shared" ref="N545" si="6848">AVERAGE(E542:E545)</f>
        <v>223.875</v>
      </c>
      <c r="O545" s="92">
        <f t="shared" ref="O545" si="6849">AVERAGE(F542:F545)</f>
        <v>195.41666666666666</v>
      </c>
      <c r="P545" s="92">
        <f t="shared" ref="P545" si="6850">AVERAGE(G542:G545)</f>
        <v>195.41666666666666</v>
      </c>
      <c r="Q545" s="92">
        <f t="shared" ref="Q545" si="6851">AVERAGE(H542:H545)</f>
        <v>180.41666666666666</v>
      </c>
      <c r="R545" s="92">
        <f t="shared" ref="R545" si="6852">AVERAGE(I542:I545)</f>
        <v>247.43049490538573</v>
      </c>
      <c r="T545" s="92">
        <f t="shared" ref="T545" si="6853">AVERAGE(K389,K441,K493)</f>
        <v>379.07291666666663</v>
      </c>
      <c r="U545" s="92">
        <f t="shared" ref="U545" si="6854">AVERAGE(L389,L441,L493)</f>
        <v>374.81944444444451</v>
      </c>
      <c r="V545" s="92">
        <f t="shared" ref="V545" si="6855">(M389+M441+M493)/3</f>
        <v>350.89583333333331</v>
      </c>
      <c r="W545" s="92">
        <f t="shared" ref="W545" si="6856">(N389+N441+N493)/3</f>
        <v>251.9652777777778</v>
      </c>
      <c r="X545" s="92">
        <f t="shared" ref="X545" si="6857">(O389+O441+O493)/3</f>
        <v>272.1805555555556</v>
      </c>
      <c r="Y545" s="92">
        <f t="shared" ref="Y545" si="6858">(P389+P441+P493)/3</f>
        <v>272.59722222222223</v>
      </c>
      <c r="Z545" s="92">
        <f t="shared" ref="Z545" si="6859">(Q389+Q441+Q493)/3</f>
        <v>177.55555555555554</v>
      </c>
      <c r="AA545" s="92">
        <f t="shared" ref="AA545" si="6860">(R389+R441+R493)/3</f>
        <v>240.50230470645317</v>
      </c>
      <c r="AC545" s="112">
        <f>+AF545-'Figure 8_data'!I757</f>
        <v>0</v>
      </c>
      <c r="AD545" s="92">
        <f t="shared" ref="AD545" si="6861">(B545/T545-1)*100</f>
        <v>12.115632986177904</v>
      </c>
      <c r="AE545" s="92">
        <f t="shared" ref="AE545" si="6862">(C545/U545-1)*100</f>
        <v>-16.626523881869058</v>
      </c>
      <c r="AF545" s="92">
        <f t="shared" ref="AF545" si="6863">(D545/V545-1)*100</f>
        <v>-20.085495458053792</v>
      </c>
      <c r="AG545" s="92">
        <f t="shared" ref="AG545" si="6864">(E545/W545-1)*100</f>
        <v>-12.686382052200763</v>
      </c>
      <c r="AH545" s="92">
        <f t="shared" ref="AH545" si="6865">(F545/X545-1)*100</f>
        <v>-29.274889013624549</v>
      </c>
      <c r="AI545" s="92">
        <f t="shared" ref="AI545" si="6866">(G545/Y545-1)*100</f>
        <v>-29.382992816018749</v>
      </c>
      <c r="AJ545" s="92">
        <f t="shared" ref="AJ545" si="6867">(H545/Z545-1)*100</f>
        <v>1.3767209011264159</v>
      </c>
      <c r="AK545" s="92">
        <f t="shared" ref="AK545" si="6868">(I545/AA545-1)*100</f>
        <v>2.6236432018746259</v>
      </c>
      <c r="AM545" s="112">
        <f>AP545-'Figure 8_data'!H757</f>
        <v>0</v>
      </c>
      <c r="AN545" s="92">
        <f t="shared" ref="AN545" si="6869">(B545/B493-1)*100</f>
        <v>-0.46838407494145251</v>
      </c>
      <c r="AO545" s="92">
        <f t="shared" ref="AO545" si="6870">(C545/C493-1)*100</f>
        <v>-12.709497206703912</v>
      </c>
      <c r="AP545" s="92">
        <f t="shared" ref="AP545" si="6871">(D545/D493-1)*100</f>
        <v>-16.790306627101891</v>
      </c>
      <c r="AQ545" s="92">
        <f t="shared" ref="AQ545" si="6872">(E545/E493-1)*100</f>
        <v>-9.0909090909090935</v>
      </c>
      <c r="AR545" s="92">
        <f t="shared" ref="AR545" si="6873">(F545/F493-1)*100</f>
        <v>-32.456140350877192</v>
      </c>
      <c r="AS545" s="92">
        <f t="shared" ref="AS545" si="6874">(G545/G493-1)*100</f>
        <v>-32.456140350877192</v>
      </c>
      <c r="AT545" s="92">
        <f t="shared" ref="AT545" si="6875">(H545/H493-1)*100</f>
        <v>-15.094339622641506</v>
      </c>
      <c r="AU545" s="92">
        <f t="shared" ref="AU545" si="6876">(I545/I493-1)*100</f>
        <v>-14.892335491642816</v>
      </c>
    </row>
    <row r="546" spans="1:47" x14ac:dyDescent="0.3">
      <c r="A546" s="13">
        <f t="shared" si="475"/>
        <v>41401</v>
      </c>
      <c r="B546" s="92">
        <f>TWK!B491</f>
        <v>387.5</v>
      </c>
      <c r="C546" s="92">
        <f>TWK!C491</f>
        <v>305</v>
      </c>
      <c r="D546" s="92">
        <f>TWK!D491</f>
        <v>287.5</v>
      </c>
      <c r="E546" s="92">
        <f>TWK!E491</f>
        <v>220</v>
      </c>
      <c r="F546" s="92">
        <f>TWK!F491</f>
        <v>190</v>
      </c>
      <c r="G546" s="92">
        <f>TWK!G491</f>
        <v>190</v>
      </c>
      <c r="H546" s="92">
        <f>TWK!H491</f>
        <v>180</v>
      </c>
      <c r="I546" s="92">
        <f>TWK!I491</f>
        <v>246.81222707423584</v>
      </c>
      <c r="K546" s="92">
        <f t="shared" ref="K546" si="6877">AVERAGE(B543:B546)</f>
        <v>403.125</v>
      </c>
      <c r="L546" s="92">
        <f t="shared" ref="L546" si="6878">AVERAGE(C543:C546)</f>
        <v>310.3125</v>
      </c>
      <c r="M546" s="92">
        <f t="shared" ref="M546" si="6879">AVERAGE(D543:D546)</f>
        <v>280.41666666666663</v>
      </c>
      <c r="N546" s="92">
        <f t="shared" ref="N546" si="6880">AVERAGE(E543:E546)</f>
        <v>222</v>
      </c>
      <c r="O546" s="92">
        <f t="shared" ref="O546" si="6881">AVERAGE(F543:F546)</f>
        <v>193.54166666666666</v>
      </c>
      <c r="P546" s="92">
        <f t="shared" ref="P546" si="6882">AVERAGE(G543:G546)</f>
        <v>193.54166666666666</v>
      </c>
      <c r="Q546" s="92">
        <f t="shared" ref="Q546" si="6883">AVERAGE(H543:H546)</f>
        <v>180.41666666666666</v>
      </c>
      <c r="R546" s="92">
        <f t="shared" ref="R546" si="6884">AVERAGE(I543:I546)</f>
        <v>247.43049490538573</v>
      </c>
      <c r="T546" s="92">
        <f t="shared" ref="T546" si="6885">AVERAGE(K390,K442,K494)</f>
        <v>448.8819444444444</v>
      </c>
      <c r="U546" s="92">
        <f t="shared" ref="U546" si="6886">AVERAGE(L390,L442,L494)</f>
        <v>379.29861111111114</v>
      </c>
      <c r="V546" s="92">
        <f t="shared" ref="V546" si="6887">(M390+M442+M494)/3</f>
        <v>362.04166666666669</v>
      </c>
      <c r="W546" s="92">
        <f t="shared" ref="W546" si="6888">(N390+N442+N494)/3</f>
        <v>259.63194444444446</v>
      </c>
      <c r="X546" s="92">
        <f t="shared" ref="X546" si="6889">(O390+O442+O494)/3</f>
        <v>272.07638888888891</v>
      </c>
      <c r="Y546" s="92">
        <f t="shared" ref="Y546" si="6890">(P390+P442+P494)/3</f>
        <v>272.90972222222223</v>
      </c>
      <c r="Z546" s="92">
        <f t="shared" ref="Z546" si="6891">(Q390+Q442+Q494)/3</f>
        <v>183.70138888888889</v>
      </c>
      <c r="AA546" s="92">
        <f t="shared" ref="AA546" si="6892">(R390+R442+R494)/3</f>
        <v>217.48538330907323</v>
      </c>
      <c r="AC546" s="112">
        <f>+AF546-'Figure 8_data'!I758</f>
        <v>0</v>
      </c>
      <c r="AD546" s="92">
        <f t="shared" ref="AD546" si="6893">(B546/T546-1)*100</f>
        <v>-13.674407091693864</v>
      </c>
      <c r="AE546" s="92">
        <f t="shared" ref="AE546" si="6894">(C546/U546-1)*100</f>
        <v>-19.588421611527128</v>
      </c>
      <c r="AF546" s="92">
        <f t="shared" ref="AF546" si="6895">(D546/V546-1)*100</f>
        <v>-20.589250776844292</v>
      </c>
      <c r="AG546" s="92">
        <f t="shared" ref="AG546" si="6896">(E546/W546-1)*100</f>
        <v>-15.264664188086774</v>
      </c>
      <c r="AH546" s="92">
        <f t="shared" ref="AH546" si="6897">(F546/X546-1)*100</f>
        <v>-30.166670920646265</v>
      </c>
      <c r="AI546" s="92">
        <f t="shared" ref="AI546" si="6898">(G546/Y546-1)*100</f>
        <v>-30.379907885696845</v>
      </c>
      <c r="AJ546" s="92">
        <f t="shared" ref="AJ546" si="6899">(H546/Z546-1)*100</f>
        <v>-2.0148943409065145</v>
      </c>
      <c r="AK546" s="92">
        <f t="shared" ref="AK546" si="6900">(I546/AA546-1)*100</f>
        <v>13.484512530888381</v>
      </c>
      <c r="AM546" s="112">
        <f>AP546-'Figure 8_data'!H758</f>
        <v>0</v>
      </c>
      <c r="AN546" s="92">
        <f t="shared" ref="AN546" si="6901">(B546/B494-1)*100</f>
        <v>-11.529680365296802</v>
      </c>
      <c r="AO546" s="92">
        <f t="shared" ref="AO546" si="6902">(C546/C494-1)*100</f>
        <v>-17.119565217391308</v>
      </c>
      <c r="AP546" s="92">
        <f t="shared" ref="AP546" si="6903">(D546/D494-1)*100</f>
        <v>-17.857142857142861</v>
      </c>
      <c r="AQ546" s="92">
        <f t="shared" ref="AQ546" si="6904">(E546/E494-1)*100</f>
        <v>-9.0909090909090935</v>
      </c>
      <c r="AR546" s="92">
        <f t="shared" ref="AR546" si="6905">(F546/F494-1)*100</f>
        <v>-32.142857142857139</v>
      </c>
      <c r="AS546" s="92">
        <f t="shared" ref="AS546" si="6906">(G546/G494-1)*100</f>
        <v>-32.142857142857139</v>
      </c>
      <c r="AT546" s="92">
        <f t="shared" ref="AT546" si="6907">(H546/H494-1)*100</f>
        <v>-14.28571428571429</v>
      </c>
      <c r="AU546" s="92">
        <f t="shared" ref="AU546" si="6908">(I546/I494-1)*100</f>
        <v>-14.301310043668114</v>
      </c>
    </row>
    <row r="547" spans="1:47" x14ac:dyDescent="0.3">
      <c r="A547" s="13">
        <f t="shared" si="475"/>
        <v>41408</v>
      </c>
      <c r="B547" s="92">
        <f>TWK!B492</f>
        <v>362.5</v>
      </c>
      <c r="C547" s="92">
        <f>TWK!C492</f>
        <v>290</v>
      </c>
      <c r="D547" s="92">
        <f>TWK!D492</f>
        <v>277.5</v>
      </c>
      <c r="E547" s="92">
        <f>TWK!E492</f>
        <v>220</v>
      </c>
      <c r="F547" s="92">
        <f>TWK!F492</f>
        <v>190</v>
      </c>
      <c r="G547" s="92">
        <f>TWK!G492</f>
        <v>190</v>
      </c>
      <c r="H547" s="92">
        <f>TWK!H492</f>
        <v>177.5</v>
      </c>
      <c r="I547" s="92">
        <f>TWK!I492</f>
        <v>243.38427947598254</v>
      </c>
      <c r="K547" s="92">
        <f t="shared" ref="K547" si="6909">AVERAGE(B544:B547)</f>
        <v>395.83333333333337</v>
      </c>
      <c r="L547" s="92">
        <f t="shared" ref="L547" si="6910">AVERAGE(C544:C547)</f>
        <v>304.89583333333337</v>
      </c>
      <c r="M547" s="92">
        <f t="shared" ref="M547" si="6911">AVERAGE(D544:D547)</f>
        <v>281.45833333333331</v>
      </c>
      <c r="N547" s="92">
        <f t="shared" ref="N547" si="6912">AVERAGE(E544:E547)</f>
        <v>220.75</v>
      </c>
      <c r="O547" s="92">
        <f t="shared" ref="O547" si="6913">AVERAGE(F544:F547)</f>
        <v>191.875</v>
      </c>
      <c r="P547" s="92">
        <f t="shared" ref="P547" si="6914">AVERAGE(G544:G547)</f>
        <v>191.875</v>
      </c>
      <c r="Q547" s="92">
        <f t="shared" ref="Q547" si="6915">AVERAGE(H544:H547)</f>
        <v>179.375</v>
      </c>
      <c r="R547" s="92">
        <f t="shared" ref="R547" si="6916">AVERAGE(I544:I547)</f>
        <v>246.00218340611355</v>
      </c>
      <c r="T547" s="92">
        <f t="shared" ref="T547" si="6917">AVERAGE(K391,K443,K495)</f>
        <v>460.9375</v>
      </c>
      <c r="U547" s="92">
        <f t="shared" ref="U547" si="6918">AVERAGE(L391,L443,L495)</f>
        <v>385.9375</v>
      </c>
      <c r="V547" s="92">
        <f t="shared" ref="V547" si="6919">(M391+M443+M495)/3</f>
        <v>375.81944444444451</v>
      </c>
      <c r="W547" s="92">
        <f t="shared" ref="W547" si="6920">(N391+N443+N495)/3</f>
        <v>270.85416666666669</v>
      </c>
      <c r="X547" s="92">
        <f t="shared" ref="X547" si="6921">(O391+O443+O495)/3</f>
        <v>283.57638888888891</v>
      </c>
      <c r="Y547" s="92">
        <f t="shared" ref="Y547" si="6922">(P391+P443+P495)/3</f>
        <v>283.9930555555556</v>
      </c>
      <c r="Z547" s="92">
        <f t="shared" ref="Z547" si="6923">(Q391+Q443+Q495)/3</f>
        <v>194.8125</v>
      </c>
      <c r="AA547" s="92">
        <f t="shared" ref="AA547" si="6924">(R391+R443+R495)/3</f>
        <v>199.42485443959245</v>
      </c>
      <c r="AC547" s="112">
        <f>+AF547-'Figure 8_data'!I759</f>
        <v>0</v>
      </c>
      <c r="AD547" s="92">
        <f t="shared" ref="AD547" si="6925">(B547/T547-1)*100</f>
        <v>-21.355932203389827</v>
      </c>
      <c r="AE547" s="92">
        <f t="shared" ref="AE547" si="6926">(C547/U547-1)*100</f>
        <v>-24.858299595141698</v>
      </c>
      <c r="AF547" s="92">
        <f t="shared" ref="AF547" si="6927">(D547/V547-1)*100</f>
        <v>-26.161351121623134</v>
      </c>
      <c r="AG547" s="92">
        <f t="shared" ref="AG547" si="6928">(E547/W547-1)*100</f>
        <v>-18.775478809322365</v>
      </c>
      <c r="AH547" s="92">
        <f t="shared" ref="AH547" si="6929">(F547/X547-1)*100</f>
        <v>-32.99865311619935</v>
      </c>
      <c r="AI547" s="92">
        <f t="shared" ref="AI547" si="6930">(G547/Y547-1)*100</f>
        <v>-33.096955618046231</v>
      </c>
      <c r="AJ547" s="92">
        <f t="shared" ref="AJ547" si="6931">(H547/Z547-1)*100</f>
        <v>-8.8867500802053296</v>
      </c>
      <c r="AK547" s="92">
        <f t="shared" ref="AK547" si="6932">(I547/AA547-1)*100</f>
        <v>22.043102480842357</v>
      </c>
      <c r="AM547" s="112">
        <f>AP547-'Figure 8_data'!H759</f>
        <v>0</v>
      </c>
      <c r="AN547" s="92">
        <f t="shared" ref="AN547" si="6933">(B547/B495-1)*100</f>
        <v>-16.984732824427486</v>
      </c>
      <c r="AO547" s="92">
        <f t="shared" ref="AO547" si="6934">(C547/C495-1)*100</f>
        <v>-20.547945205479458</v>
      </c>
      <c r="AP547" s="92">
        <f t="shared" ref="AP547" si="6935">(D547/D495-1)*100</f>
        <v>-19.17475728155339</v>
      </c>
      <c r="AQ547" s="92">
        <f t="shared" ref="AQ547" si="6936">(E547/E495-1)*100</f>
        <v>-12</v>
      </c>
      <c r="AR547" s="92">
        <f t="shared" ref="AR547" si="6937">(F547/F495-1)*100</f>
        <v>-31.325301204819279</v>
      </c>
      <c r="AS547" s="92">
        <f t="shared" ref="AS547" si="6938">(G547/G495-1)*100</f>
        <v>-31.325301204819279</v>
      </c>
      <c r="AT547" s="92">
        <f t="shared" ref="AT547" si="6939">(H547/H495-1)*100</f>
        <v>-18.702290076335881</v>
      </c>
      <c r="AU547" s="92">
        <f t="shared" ref="AU547" si="6940">(I547/I495-1)*100</f>
        <v>-18.702290076335871</v>
      </c>
    </row>
    <row r="548" spans="1:47" x14ac:dyDescent="0.3">
      <c r="A548" s="13">
        <f t="shared" si="475"/>
        <v>41415</v>
      </c>
      <c r="B548" s="92">
        <f>TWK!B493</f>
        <v>343.33333333333331</v>
      </c>
      <c r="C548" s="92">
        <f>TWK!C493</f>
        <v>286.66666666666669</v>
      </c>
      <c r="D548" s="92">
        <f>TWK!D493</f>
        <v>273.33333333333331</v>
      </c>
      <c r="E548" s="92">
        <f>TWK!E493</f>
        <v>218.33333333333334</v>
      </c>
      <c r="F548" s="92">
        <f>TWK!F493</f>
        <v>190</v>
      </c>
      <c r="G548" s="92">
        <f>TWK!G493</f>
        <v>190</v>
      </c>
      <c r="H548" s="92">
        <f>TWK!H493</f>
        <v>180</v>
      </c>
      <c r="I548" s="92">
        <f>TWK!I493</f>
        <v>246.81222707423584</v>
      </c>
      <c r="K548" s="92">
        <f t="shared" ref="K548" si="6941">AVERAGE(B545:B548)</f>
        <v>379.58333333333331</v>
      </c>
      <c r="L548" s="92">
        <f t="shared" ref="L548" si="6942">AVERAGE(C545:C548)</f>
        <v>298.54166666666669</v>
      </c>
      <c r="M548" s="92">
        <f t="shared" ref="M548" si="6943">AVERAGE(D545:D548)</f>
        <v>279.6875</v>
      </c>
      <c r="N548" s="92">
        <f t="shared" ref="N548" si="6944">AVERAGE(E545:E548)</f>
        <v>219.58333333333334</v>
      </c>
      <c r="O548" s="92">
        <f t="shared" ref="O548" si="6945">AVERAGE(F545:F548)</f>
        <v>190.625</v>
      </c>
      <c r="P548" s="92">
        <f t="shared" ref="P548" si="6946">AVERAGE(G545:G548)</f>
        <v>190.625</v>
      </c>
      <c r="Q548" s="92">
        <f t="shared" ref="Q548" si="6947">AVERAGE(H545:H548)</f>
        <v>179.375</v>
      </c>
      <c r="R548" s="92">
        <f t="shared" ref="R548" si="6948">AVERAGE(I545:I548)</f>
        <v>245.9552401746725</v>
      </c>
      <c r="T548" s="92">
        <f t="shared" ref="T548" si="6949">AVERAGE(K392,K444,K496)</f>
        <v>456.83333333333331</v>
      </c>
      <c r="U548" s="92">
        <f t="shared" ref="U548" si="6950">AVERAGE(L392,L444,L496)</f>
        <v>391.0069444444444</v>
      </c>
      <c r="V548" s="92">
        <f t="shared" ref="V548" si="6951">(M392+M444+M496)/3</f>
        <v>382.1180555555556</v>
      </c>
      <c r="W548" s="92">
        <f t="shared" ref="W548" si="6952">(N392+N444+N496)/3</f>
        <v>276.68055555555554</v>
      </c>
      <c r="X548" s="92">
        <f t="shared" ref="X548" si="6953">(O392+O444+O496)/3</f>
        <v>327.73611111111114</v>
      </c>
      <c r="Y548" s="92">
        <f t="shared" ref="Y548" si="6954">(P392+P444+P496)/3</f>
        <v>328.15277777777783</v>
      </c>
      <c r="Z548" s="92">
        <f t="shared" ref="Z548" si="6955">(Q392+Q444+Q496)/3</f>
        <v>223.14583333333334</v>
      </c>
      <c r="AA548" s="92">
        <f t="shared" ref="AA548" si="6956">(R392+R444+R496)/3</f>
        <v>204.5711426491994</v>
      </c>
      <c r="AC548" s="112">
        <f>+AF548-'Figure 8_data'!I760</f>
        <v>0</v>
      </c>
      <c r="AD548" s="92">
        <f t="shared" ref="AD548" si="6957">(B548/T548-1)*100</f>
        <v>-24.844947099598691</v>
      </c>
      <c r="AE548" s="92">
        <f t="shared" ref="AE548" si="6958">(C548/U548-1)*100</f>
        <v>-26.685019092442928</v>
      </c>
      <c r="AF548" s="92">
        <f t="shared" ref="AF548" si="6959">(D548/V548-1)*100</f>
        <v>-28.468877782825995</v>
      </c>
      <c r="AG548" s="92">
        <f t="shared" ref="AG548" si="6960">(E548/W548-1)*100</f>
        <v>-21.088298780181713</v>
      </c>
      <c r="AH548" s="92">
        <f t="shared" ref="AH548" si="6961">(F548/X548-1)*100</f>
        <v>-42.026528796033404</v>
      </c>
      <c r="AI548" s="92">
        <f t="shared" ref="AI548" si="6962">(G548/Y548-1)*100</f>
        <v>-42.10013967071572</v>
      </c>
      <c r="AJ548" s="92">
        <f t="shared" ref="AJ548" si="6963">(H548/Z548-1)*100</f>
        <v>-19.33526281392961</v>
      </c>
      <c r="AK548" s="92">
        <f t="shared" ref="AK548" si="6964">(I548/AA548-1)*100</f>
        <v>20.648603648595664</v>
      </c>
      <c r="AM548" s="112">
        <f>AP548-'Figure 8_data'!H760</f>
        <v>0</v>
      </c>
      <c r="AN548" s="92">
        <f t="shared" ref="AN548" si="6965">(B548/B496-1)*100</f>
        <v>-18.833727344365649</v>
      </c>
      <c r="AO548" s="92">
        <f t="shared" ref="AO548" si="6966">(C548/C496-1)*100</f>
        <v>-18.095238095238088</v>
      </c>
      <c r="AP548" s="92">
        <f t="shared" ref="AP548" si="6967">(D548/D496-1)*100</f>
        <v>-15.376676986584116</v>
      </c>
      <c r="AQ548" s="92">
        <f t="shared" ref="AQ548" si="6968">(E548/E496-1)*100</f>
        <v>-9.779614325068863</v>
      </c>
      <c r="AR548" s="92">
        <f t="shared" ref="AR548" si="6969">(F548/F496-1)*100</f>
        <v>-31.40794223826715</v>
      </c>
      <c r="AS548" s="92">
        <f t="shared" ref="AS548" si="6970">(G548/G496-1)*100</f>
        <v>-31.40794223826715</v>
      </c>
      <c r="AT548" s="92">
        <f t="shared" ref="AT548" si="6971">(H548/H496-1)*100</f>
        <v>-14.28571428571429</v>
      </c>
      <c r="AU548" s="92">
        <f t="shared" ref="AU548" si="6972">(I548/I496-1)*100</f>
        <v>-14.301310043668114</v>
      </c>
    </row>
    <row r="549" spans="1:47" x14ac:dyDescent="0.3">
      <c r="A549" s="13">
        <f t="shared" si="475"/>
        <v>41422</v>
      </c>
      <c r="B549" s="92">
        <f>TWK!B494</f>
        <v>361.66666666666669</v>
      </c>
      <c r="C549" s="92">
        <f>TWK!C494</f>
        <v>296.66666666666669</v>
      </c>
      <c r="D549" s="92">
        <f>TWK!D494</f>
        <v>310</v>
      </c>
      <c r="E549" s="92">
        <f>TWK!E494</f>
        <v>216.66666666666666</v>
      </c>
      <c r="F549" s="92">
        <f>TWK!F494</f>
        <v>190</v>
      </c>
      <c r="G549" s="92">
        <f>TWK!G494</f>
        <v>190</v>
      </c>
      <c r="H549" s="92">
        <f>TWK!H494</f>
        <v>180</v>
      </c>
      <c r="I549" s="92">
        <f>TWK!I494</f>
        <v>246.81222707423584</v>
      </c>
      <c r="K549" s="92">
        <f t="shared" ref="K549" si="6973">AVERAGE(B546:B549)</f>
        <v>363.75</v>
      </c>
      <c r="L549" s="92">
        <f t="shared" ref="L549" si="6974">AVERAGE(C546:C549)</f>
        <v>294.58333333333337</v>
      </c>
      <c r="M549" s="92">
        <f t="shared" ref="M549" si="6975">AVERAGE(D546:D549)</f>
        <v>287.08333333333331</v>
      </c>
      <c r="N549" s="92">
        <f t="shared" ref="N549" si="6976">AVERAGE(E546:E549)</f>
        <v>218.75</v>
      </c>
      <c r="O549" s="92">
        <f t="shared" ref="O549" si="6977">AVERAGE(F546:F549)</f>
        <v>190</v>
      </c>
      <c r="P549" s="92">
        <f t="shared" ref="P549" si="6978">AVERAGE(G546:G549)</f>
        <v>190</v>
      </c>
      <c r="Q549" s="92">
        <f t="shared" ref="Q549" si="6979">AVERAGE(H546:H549)</f>
        <v>179.375</v>
      </c>
      <c r="R549" s="92">
        <f t="shared" ref="R549" si="6980">AVERAGE(I546:I549)</f>
        <v>245.9552401746725</v>
      </c>
      <c r="T549" s="92">
        <f t="shared" ref="T549" si="6981">AVERAGE(K393,K445,K497)</f>
        <v>461.13888888888891</v>
      </c>
      <c r="U549" s="92">
        <f t="shared" ref="U549" si="6982">AVERAGE(L393,L445,L497)</f>
        <v>398.2569444444444</v>
      </c>
      <c r="V549" s="92">
        <f t="shared" ref="V549" si="6983">(M393+M445+M497)/3</f>
        <v>379.6180555555556</v>
      </c>
      <c r="W549" s="92">
        <f t="shared" ref="W549" si="6984">(N393+N445+N497)/3</f>
        <v>276.25</v>
      </c>
      <c r="X549" s="92">
        <f t="shared" ref="X549" si="6985">(O393+O445+O497)/3</f>
        <v>335.63888888888891</v>
      </c>
      <c r="Y549" s="92">
        <f t="shared" ref="Y549" si="6986">(P393+P445+P497)/3</f>
        <v>336.0555555555556</v>
      </c>
      <c r="Z549" s="92">
        <f t="shared" ref="Z549" si="6987">(Q393+Q445+Q497)/3</f>
        <v>247.31250000000003</v>
      </c>
      <c r="AA549" s="92">
        <f t="shared" ref="AA549" si="6988">(R393+R445+R497)/3</f>
        <v>202.58315138282387</v>
      </c>
      <c r="AC549" s="112">
        <f>+AF549-'Figure 8_data'!I761</f>
        <v>0</v>
      </c>
      <c r="AD549" s="92">
        <f t="shared" ref="AD549" si="6989">(B549/T549-1)*100</f>
        <v>-21.570989699415698</v>
      </c>
      <c r="AE549" s="92">
        <f t="shared" ref="AE549" si="6990">(C549/U549-1)*100</f>
        <v>-25.508727266386501</v>
      </c>
      <c r="AF549" s="92">
        <f t="shared" ref="AF549" si="6991">(D549/V549-1)*100</f>
        <v>-18.338973749199681</v>
      </c>
      <c r="AG549" s="92">
        <f t="shared" ref="AG549" si="6992">(E549/W549-1)*100</f>
        <v>-21.568627450980394</v>
      </c>
      <c r="AH549" s="92">
        <f t="shared" ref="AH549" si="6993">(F549/X549-1)*100</f>
        <v>-43.391541835636851</v>
      </c>
      <c r="AI549" s="92">
        <f t="shared" ref="AI549" si="6994">(G549/Y549-1)*100</f>
        <v>-43.461729211439916</v>
      </c>
      <c r="AJ549" s="92">
        <f t="shared" ref="AJ549" si="6995">(H549/Z549-1)*100</f>
        <v>-27.217589082638373</v>
      </c>
      <c r="AK549" s="92">
        <f t="shared" ref="AK549" si="6996">(I549/AA549-1)*100</f>
        <v>21.832553886888519</v>
      </c>
      <c r="AM549" s="112">
        <f>AP549-'Figure 8_data'!H761</f>
        <v>0</v>
      </c>
      <c r="AN549" s="92">
        <f t="shared" ref="AN549" si="6997">(B549/B497-1)*100</f>
        <v>-14.398422090729779</v>
      </c>
      <c r="AO549" s="92">
        <f t="shared" ref="AO549" si="6998">(C549/C497-1)*100</f>
        <v>-14.62829736211031</v>
      </c>
      <c r="AP549" s="92">
        <f t="shared" ref="AP549" si="6999">(D549/D497-1)*100</f>
        <v>-6.0606060606060552</v>
      </c>
      <c r="AQ549" s="92">
        <f t="shared" ref="AQ549" si="7000">(E549/E497-1)*100</f>
        <v>-9.7222222222222214</v>
      </c>
      <c r="AR549" s="92">
        <f t="shared" ref="AR549" si="7001">(F549/F497-1)*100</f>
        <v>-30.27522935779816</v>
      </c>
      <c r="AS549" s="92">
        <f t="shared" ref="AS549" si="7002">(G549/G497-1)*100</f>
        <v>-30.27522935779816</v>
      </c>
      <c r="AT549" s="92">
        <f t="shared" ref="AT549" si="7003">(H549/H497-1)*100</f>
        <v>-12.195121951219512</v>
      </c>
      <c r="AU549" s="92">
        <f t="shared" ref="AU549" si="7004">(I549/I497-1)*100</f>
        <v>-12.195121951219502</v>
      </c>
    </row>
    <row r="550" spans="1:47" x14ac:dyDescent="0.3">
      <c r="A550" s="13">
        <f t="shared" si="475"/>
        <v>41429</v>
      </c>
      <c r="B550" s="92">
        <f>TWK!B495</f>
        <v>396.66666666666669</v>
      </c>
      <c r="C550" s="92">
        <f>TWK!C495</f>
        <v>316.66666666666669</v>
      </c>
      <c r="D550" s="92">
        <f>TWK!D495</f>
        <v>315</v>
      </c>
      <c r="E550" s="92">
        <f>TWK!E495</f>
        <v>221.66666666666666</v>
      </c>
      <c r="F550" s="92">
        <f>TWK!F495</f>
        <v>193.33333333333334</v>
      </c>
      <c r="G550" s="92">
        <f>TWK!G495</f>
        <v>193.33333333333334</v>
      </c>
      <c r="H550" s="92">
        <f>TWK!H495</f>
        <v>181.66666666666666</v>
      </c>
      <c r="I550" s="92">
        <f>TWK!I495</f>
        <v>249.09752547307133</v>
      </c>
      <c r="K550" s="92">
        <f t="shared" ref="K550" si="7005">AVERAGE(B547:B550)</f>
        <v>366.04166666666669</v>
      </c>
      <c r="L550" s="92">
        <f t="shared" ref="L550" si="7006">AVERAGE(C547:C550)</f>
        <v>297.50000000000006</v>
      </c>
      <c r="M550" s="92">
        <f t="shared" ref="M550" si="7007">AVERAGE(D547:D550)</f>
        <v>293.95833333333331</v>
      </c>
      <c r="N550" s="92">
        <f t="shared" ref="N550" si="7008">AVERAGE(E547:E550)</f>
        <v>219.16666666666666</v>
      </c>
      <c r="O550" s="92">
        <f t="shared" ref="O550" si="7009">AVERAGE(F547:F550)</f>
        <v>190.83333333333334</v>
      </c>
      <c r="P550" s="92">
        <f t="shared" ref="P550" si="7010">AVERAGE(G547:G550)</f>
        <v>190.83333333333334</v>
      </c>
      <c r="Q550" s="92">
        <f t="shared" ref="Q550" si="7011">AVERAGE(H547:H550)</f>
        <v>179.79166666666666</v>
      </c>
      <c r="R550" s="92">
        <f t="shared" ref="R550" si="7012">AVERAGE(I547:I550)</f>
        <v>246.52656477438137</v>
      </c>
      <c r="T550" s="92">
        <f t="shared" ref="T550" si="7013">AVERAGE(K394,K446,K498)</f>
        <v>447.65972222222223</v>
      </c>
      <c r="U550" s="92">
        <f t="shared" ref="U550" si="7014">AVERAGE(L394,L446,L498)</f>
        <v>377.35416666666669</v>
      </c>
      <c r="V550" s="92">
        <f t="shared" ref="V550" si="7015">(M394+M446+M498)/3</f>
        <v>368.61111111111109</v>
      </c>
      <c r="W550" s="92">
        <f t="shared" ref="W550" si="7016">(N394+N446+N498)/3</f>
        <v>269.6944444444444</v>
      </c>
      <c r="X550" s="92">
        <f t="shared" ref="X550" si="7017">(O394+O446+O498)/3</f>
        <v>335.22222222222223</v>
      </c>
      <c r="Y550" s="92">
        <f t="shared" ref="Y550" si="7018">(P394+P446+P498)/3</f>
        <v>335.22222222222223</v>
      </c>
      <c r="Z550" s="92">
        <f t="shared" ref="Z550" si="7019">(Q394+Q446+Q498)/3</f>
        <v>244.08333333333337</v>
      </c>
      <c r="AA550" s="92">
        <f t="shared" ref="AA550" si="7020">(R394+R446+R498)/3</f>
        <v>196.86553857350802</v>
      </c>
      <c r="AC550" s="112">
        <f>+AF550-'Figure 8_data'!I762</f>
        <v>0</v>
      </c>
      <c r="AD550" s="92">
        <f t="shared" ref="AD550" si="7021">(B550/T550-1)*100</f>
        <v>-11.391030513627964</v>
      </c>
      <c r="AE550" s="92">
        <f t="shared" ref="AE550" si="7022">(C550/U550-1)*100</f>
        <v>-16.082371777176608</v>
      </c>
      <c r="AF550" s="92">
        <f t="shared" ref="AF550" si="7023">(D550/V550-1)*100</f>
        <v>-14.544084400904289</v>
      </c>
      <c r="AG550" s="92">
        <f t="shared" ref="AG550" si="7024">(E550/W550-1)*100</f>
        <v>-17.808219178082187</v>
      </c>
      <c r="AH550" s="92">
        <f t="shared" ref="AH550" si="7025">(F550/X550-1)*100</f>
        <v>-42.326814716605895</v>
      </c>
      <c r="AI550" s="92">
        <f t="shared" ref="AI550" si="7026">(G550/Y550-1)*100</f>
        <v>-42.326814716605895</v>
      </c>
      <c r="AJ550" s="92">
        <f t="shared" ref="AJ550" si="7027">(H550/Z550-1)*100</f>
        <v>-25.571867531580761</v>
      </c>
      <c r="AK550" s="92">
        <f t="shared" ref="AK550" si="7028">(I550/AA550-1)*100</f>
        <v>26.531808095026399</v>
      </c>
      <c r="AM550" s="112">
        <f>AP550-'Figure 8_data'!H762</f>
        <v>0</v>
      </c>
      <c r="AN550" s="92">
        <f t="shared" ref="AN550" si="7029">(B550/B498-1)*100</f>
        <v>2.0364415862808238</v>
      </c>
      <c r="AO550" s="92">
        <f t="shared" ref="AO550" si="7030">(C550/C498-1)*100</f>
        <v>-1.041666666666663</v>
      </c>
      <c r="AP550" s="92">
        <f t="shared" ref="AP550" si="7031">(D550/D498-1)*100</f>
        <v>10.526315789473696</v>
      </c>
      <c r="AQ550" s="92">
        <f t="shared" ref="AQ550" si="7032">(E550/E498-1)*100</f>
        <v>0.7575757575757569</v>
      </c>
      <c r="AR550" s="92">
        <f t="shared" ref="AR550" si="7033">(F550/F498-1)*100</f>
        <v>-26.698262243285942</v>
      </c>
      <c r="AS550" s="92">
        <f t="shared" ref="AS550" si="7034">(G550/G498-1)*100</f>
        <v>-26.698262243285942</v>
      </c>
      <c r="AT550" s="92">
        <f t="shared" ref="AT550" si="7035">(H550/H498-1)*100</f>
        <v>-10.838445807770968</v>
      </c>
      <c r="AU550" s="92">
        <f t="shared" ref="AU550" si="7036">(I550/I498-1)*100</f>
        <v>-11.382113821138207</v>
      </c>
    </row>
    <row r="551" spans="1:47" x14ac:dyDescent="0.3">
      <c r="A551" s="13">
        <f t="shared" si="475"/>
        <v>41436</v>
      </c>
      <c r="B551" s="92">
        <f>TWK!B496</f>
        <v>355</v>
      </c>
      <c r="C551" s="92">
        <f>TWK!C496</f>
        <v>305</v>
      </c>
      <c r="D551" s="92">
        <f>TWK!D496</f>
        <v>292.5</v>
      </c>
      <c r="E551" s="92">
        <f>TWK!E496</f>
        <v>217.5</v>
      </c>
      <c r="F551" s="92">
        <f>TWK!F496</f>
        <v>190</v>
      </c>
      <c r="G551" s="92">
        <f>TWK!G496</f>
        <v>190</v>
      </c>
      <c r="H551" s="92">
        <f>TWK!H496</f>
        <v>187.5</v>
      </c>
      <c r="I551" s="92">
        <f>TWK!I496</f>
        <v>171.39737991266375</v>
      </c>
      <c r="K551" s="92">
        <f t="shared" ref="K551" si="7037">AVERAGE(B548:B551)</f>
        <v>364.16666666666669</v>
      </c>
      <c r="L551" s="92">
        <f t="shared" ref="L551" si="7038">AVERAGE(C548:C551)</f>
        <v>301.25</v>
      </c>
      <c r="M551" s="92">
        <f t="shared" ref="M551" si="7039">AVERAGE(D548:D551)</f>
        <v>297.70833333333331</v>
      </c>
      <c r="N551" s="92">
        <f t="shared" ref="N551" si="7040">AVERAGE(E548:E551)</f>
        <v>218.54166666666666</v>
      </c>
      <c r="O551" s="92">
        <f t="shared" ref="O551" si="7041">AVERAGE(F548:F551)</f>
        <v>190.83333333333334</v>
      </c>
      <c r="P551" s="92">
        <f t="shared" ref="P551" si="7042">AVERAGE(G548:G551)</f>
        <v>190.83333333333334</v>
      </c>
      <c r="Q551" s="92">
        <f t="shared" ref="Q551" si="7043">AVERAGE(H548:H551)</f>
        <v>182.29166666666666</v>
      </c>
      <c r="R551" s="92">
        <f t="shared" ref="R551" si="7044">AVERAGE(I548:I551)</f>
        <v>228.52983988355169</v>
      </c>
      <c r="T551" s="92">
        <f t="shared" ref="T551" si="7045">AVERAGE(K395,K447,K499)</f>
        <v>432.3125</v>
      </c>
      <c r="U551" s="92">
        <f t="shared" ref="U551" si="7046">AVERAGE(L395,L447,L499)</f>
        <v>369.22916666666669</v>
      </c>
      <c r="V551" s="92">
        <f t="shared" ref="V551" si="7047">(M395+M447+M499)/3</f>
        <v>355.8680555555556</v>
      </c>
      <c r="W551" s="92">
        <f t="shared" ref="W551" si="7048">(N395+N447+N499)/3</f>
        <v>260.6319444444444</v>
      </c>
      <c r="X551" s="92">
        <f t="shared" ref="X551" si="7049">(O395+O447+O499)/3</f>
        <v>323.72916666666669</v>
      </c>
      <c r="Y551" s="92">
        <f t="shared" ref="Y551" si="7050">(P395+P447+P499)/3</f>
        <v>323.72916666666669</v>
      </c>
      <c r="Z551" s="92">
        <f t="shared" ref="Z551" si="7051">(Q395+Q447+Q499)/3</f>
        <v>236.72916666666666</v>
      </c>
      <c r="AA551" s="92">
        <f t="shared" ref="AA551" si="7052">(R395+R447+R499)/3</f>
        <v>184.86772197962151</v>
      </c>
      <c r="AC551" s="112">
        <f>+AF551-'Figure 8_data'!I763</f>
        <v>0</v>
      </c>
      <c r="AD551" s="92">
        <f t="shared" ref="AD551" si="7053">(B551/T551-1)*100</f>
        <v>-17.883475495156866</v>
      </c>
      <c r="AE551" s="92">
        <f t="shared" ref="AE551" si="7054">(C551/U551-1)*100</f>
        <v>-17.3954748067483</v>
      </c>
      <c r="AF551" s="92">
        <f t="shared" ref="AF551" si="7055">(D551/V551-1)*100</f>
        <v>-17.806615279539471</v>
      </c>
      <c r="AG551" s="92">
        <f t="shared" ref="AG551" si="7056">(E551/W551-1)*100</f>
        <v>-16.548986171431601</v>
      </c>
      <c r="AH551" s="92">
        <f t="shared" ref="AH551" si="7057">(F551/X551-1)*100</f>
        <v>-41.308964540832747</v>
      </c>
      <c r="AI551" s="92">
        <f t="shared" ref="AI551" si="7058">(G551/Y551-1)*100</f>
        <v>-41.308964540832747</v>
      </c>
      <c r="AJ551" s="92">
        <f t="shared" ref="AJ551" si="7059">(H551/Z551-1)*100</f>
        <v>-20.795564551614888</v>
      </c>
      <c r="AK551" s="92">
        <f t="shared" ref="AK551" si="7060">(I551/AA551-1)*100</f>
        <v>-7.286475931391978</v>
      </c>
      <c r="AM551" s="112">
        <f>AP551-'Figure 8_data'!H763</f>
        <v>0</v>
      </c>
      <c r="AN551" s="92">
        <f t="shared" ref="AN551" si="7061">(B551/B499-1)*100</f>
        <v>-8.0906148867313945</v>
      </c>
      <c r="AO551" s="92">
        <f t="shared" ref="AO551" si="7062">(C551/C499-1)*100</f>
        <v>-4.6875</v>
      </c>
      <c r="AP551" s="92">
        <f t="shared" ref="AP551" si="7063">(D551/D499-1)*100</f>
        <v>3.0837004405286361</v>
      </c>
      <c r="AQ551" s="92">
        <f t="shared" ref="AQ551" si="7064">(E551/E499-1)*100</f>
        <v>0</v>
      </c>
      <c r="AR551" s="92">
        <f t="shared" ref="AR551" si="7065">(F551/F499-1)*100</f>
        <v>-28.638497652582164</v>
      </c>
      <c r="AS551" s="92">
        <f t="shared" ref="AS551" si="7066">(G551/G499-1)*100</f>
        <v>-28.638497652582164</v>
      </c>
      <c r="AT551" s="92">
        <f t="shared" ref="AT551" si="7067">(H551/H499-1)*100</f>
        <v>-6.25</v>
      </c>
      <c r="AU551" s="92">
        <f t="shared" ref="AU551" si="7068">(I551/I499-1)*100</f>
        <v>-37.5</v>
      </c>
    </row>
    <row r="552" spans="1:47" x14ac:dyDescent="0.3">
      <c r="A552" s="13">
        <f t="shared" si="475"/>
        <v>41443</v>
      </c>
      <c r="B552" s="92">
        <f>TWK!B497</f>
        <v>360</v>
      </c>
      <c r="C552" s="92">
        <f>TWK!C497</f>
        <v>300</v>
      </c>
      <c r="D552" s="92">
        <f>TWK!D497</f>
        <v>295</v>
      </c>
      <c r="E552" s="92">
        <f>TWK!E497</f>
        <v>220</v>
      </c>
      <c r="F552" s="92">
        <f>TWK!F497</f>
        <v>190</v>
      </c>
      <c r="G552" s="92">
        <f>TWK!G497</f>
        <v>190</v>
      </c>
      <c r="H552" s="92">
        <f>TWK!H497</f>
        <v>192.5</v>
      </c>
      <c r="I552" s="92">
        <f>TWK!I497</f>
        <v>175.96797671033482</v>
      </c>
      <c r="K552" s="92">
        <f t="shared" ref="K552" si="7069">AVERAGE(B549:B552)</f>
        <v>368.33333333333337</v>
      </c>
      <c r="L552" s="92">
        <f t="shared" ref="L552" si="7070">AVERAGE(C549:C552)</f>
        <v>304.58333333333337</v>
      </c>
      <c r="M552" s="92">
        <f t="shared" ref="M552" si="7071">AVERAGE(D549:D552)</f>
        <v>303.125</v>
      </c>
      <c r="N552" s="92">
        <f t="shared" ref="N552" si="7072">AVERAGE(E549:E552)</f>
        <v>218.95833333333331</v>
      </c>
      <c r="O552" s="92">
        <f t="shared" ref="O552" si="7073">AVERAGE(F549:F552)</f>
        <v>190.83333333333334</v>
      </c>
      <c r="P552" s="92">
        <f t="shared" ref="P552" si="7074">AVERAGE(G549:G552)</f>
        <v>190.83333333333334</v>
      </c>
      <c r="Q552" s="92">
        <f t="shared" ref="Q552" si="7075">AVERAGE(H549:H552)</f>
        <v>185.41666666666666</v>
      </c>
      <c r="R552" s="92">
        <f t="shared" ref="R552" si="7076">AVERAGE(I549:I552)</f>
        <v>210.81877729257644</v>
      </c>
      <c r="T552" s="92">
        <f t="shared" ref="T552" si="7077">AVERAGE(K396,K448,K500)</f>
        <v>432.41666666666669</v>
      </c>
      <c r="U552" s="92">
        <f t="shared" ref="U552" si="7078">AVERAGE(L396,L448,L500)</f>
        <v>367.6319444444444</v>
      </c>
      <c r="V552" s="92">
        <f t="shared" ref="V552" si="7079">(M396+M448+M500)/3</f>
        <v>348.84722222222223</v>
      </c>
      <c r="W552" s="92">
        <f t="shared" ref="W552" si="7080">(N396+N448+N500)/3</f>
        <v>259.80555555555554</v>
      </c>
      <c r="X552" s="92">
        <f t="shared" ref="X552" si="7081">(O396+O448+O500)/3</f>
        <v>312.625</v>
      </c>
      <c r="Y552" s="92">
        <f t="shared" ref="Y552" si="7082">(P396+P448+P500)/3</f>
        <v>312.625</v>
      </c>
      <c r="Z552" s="92">
        <f t="shared" ref="Z552" si="7083">(Q396+Q448+Q500)/3</f>
        <v>235.54861111111109</v>
      </c>
      <c r="AA552" s="92">
        <f t="shared" ref="AA552" si="7084">(R396+R448+R500)/3</f>
        <v>216.95275351770988</v>
      </c>
      <c r="AC552" s="112">
        <f>+AF552-'Figure 8_data'!I764</f>
        <v>0</v>
      </c>
      <c r="AD552" s="92">
        <f t="shared" ref="AD552" si="7085">(B552/T552-1)*100</f>
        <v>-16.746964733089232</v>
      </c>
      <c r="AE552" s="92">
        <f t="shared" ref="AE552" si="7086">(C552/U552-1)*100</f>
        <v>-18.396645195413576</v>
      </c>
      <c r="AF552" s="92">
        <f t="shared" ref="AF552" si="7087">(D552/V552-1)*100</f>
        <v>-15.435760640203844</v>
      </c>
      <c r="AG552" s="92">
        <f t="shared" ref="AG552" si="7088">(E552/W552-1)*100</f>
        <v>-15.321287287501328</v>
      </c>
      <c r="AH552" s="92">
        <f t="shared" ref="AH552" si="7089">(F552/X552-1)*100</f>
        <v>-39.224310275889643</v>
      </c>
      <c r="AI552" s="92">
        <f t="shared" ref="AI552" si="7090">(G552/Y552-1)*100</f>
        <v>-39.224310275889643</v>
      </c>
      <c r="AJ552" s="92">
        <f t="shared" ref="AJ552" si="7091">(H552/Z552-1)*100</f>
        <v>-18.275892567587483</v>
      </c>
      <c r="AK552" s="92">
        <f t="shared" ref="AK552" si="7092">(I552/AA552-1)*100</f>
        <v>-18.891107000414021</v>
      </c>
      <c r="AM552" s="112">
        <f>AP552-'Figure 8_data'!H764</f>
        <v>0</v>
      </c>
      <c r="AN552" s="92">
        <f t="shared" ref="AN552" si="7093">(B552/B500-1)*100</f>
        <v>-4.0000000000000036</v>
      </c>
      <c r="AO552" s="92">
        <f t="shared" ref="AO552" si="7094">(C552/C500-1)*100</f>
        <v>-4.2553191489361648</v>
      </c>
      <c r="AP552" s="92">
        <f t="shared" ref="AP552" si="7095">(D552/D500-1)*100</f>
        <v>6.6265060240963791</v>
      </c>
      <c r="AQ552" s="92">
        <f t="shared" ref="AQ552" si="7096">(E552/E500-1)*100</f>
        <v>-5.0359712230215736</v>
      </c>
      <c r="AR552" s="92">
        <f t="shared" ref="AR552" si="7097">(F552/F500-1)*100</f>
        <v>-28.301886792452834</v>
      </c>
      <c r="AS552" s="92">
        <f t="shared" ref="AS552" si="7098">(G552/G500-1)*100</f>
        <v>-28.301886792452834</v>
      </c>
      <c r="AT552" s="92">
        <f t="shared" ref="AT552" si="7099">(H552/H500-1)*100</f>
        <v>-2.5316455696202556</v>
      </c>
      <c r="AU552" s="92">
        <f t="shared" ref="AU552" si="7100">(I552/I500-1)*100</f>
        <v>-35.021097046413487</v>
      </c>
    </row>
    <row r="553" spans="1:47" x14ac:dyDescent="0.3">
      <c r="A553" s="13">
        <f t="shared" si="475"/>
        <v>41450</v>
      </c>
      <c r="B553" s="92">
        <f>TWK!B498</f>
        <v>386.66666666666669</v>
      </c>
      <c r="C553" s="92">
        <f>TWK!C498</f>
        <v>335</v>
      </c>
      <c r="D553" s="92">
        <f>TWK!D498</f>
        <v>323.33333333333331</v>
      </c>
      <c r="E553" s="92">
        <f>TWK!E498</f>
        <v>233.33333333333334</v>
      </c>
      <c r="F553" s="92">
        <f>TWK!F498</f>
        <v>211.66666666666666</v>
      </c>
      <c r="G553" s="92">
        <f>TWK!G498</f>
        <v>211.66666666666666</v>
      </c>
      <c r="H553" s="92">
        <f>TWK!H498</f>
        <v>196.66666666666666</v>
      </c>
      <c r="I553" s="92">
        <f>TWK!I498</f>
        <v>269.66521106259097</v>
      </c>
      <c r="K553" s="92">
        <f t="shared" ref="K553" si="7101">AVERAGE(B550:B553)</f>
        <v>374.58333333333337</v>
      </c>
      <c r="L553" s="92">
        <f t="shared" ref="L553" si="7102">AVERAGE(C550:C553)</f>
        <v>314.16666666666669</v>
      </c>
      <c r="M553" s="92">
        <f t="shared" ref="M553" si="7103">AVERAGE(D550:D553)</f>
        <v>306.45833333333331</v>
      </c>
      <c r="N553" s="92">
        <f t="shared" ref="N553" si="7104">AVERAGE(E550:E553)</f>
        <v>223.125</v>
      </c>
      <c r="O553" s="92">
        <f t="shared" ref="O553" si="7105">AVERAGE(F550:F553)</f>
        <v>196.25</v>
      </c>
      <c r="P553" s="92">
        <f t="shared" ref="P553" si="7106">AVERAGE(G550:G553)</f>
        <v>196.25</v>
      </c>
      <c r="Q553" s="92">
        <f t="shared" ref="Q553" si="7107">AVERAGE(H550:H553)</f>
        <v>189.58333333333331</v>
      </c>
      <c r="R553" s="92">
        <f t="shared" ref="R553" si="7108">AVERAGE(I550:I553)</f>
        <v>216.53202328966523</v>
      </c>
      <c r="T553" s="92">
        <f t="shared" ref="T553" si="7109">AVERAGE(K397,K449,K501)</f>
        <v>431.5</v>
      </c>
      <c r="U553" s="92">
        <f t="shared" ref="U553" si="7110">AVERAGE(L397,L449,L501)</f>
        <v>360.60416666666669</v>
      </c>
      <c r="V553" s="92">
        <f t="shared" ref="V553" si="7111">(M397+M449+M501)/3</f>
        <v>340.84722222222223</v>
      </c>
      <c r="W553" s="92">
        <f t="shared" ref="W553" si="7112">(N397+N449+N501)/3</f>
        <v>257.22222222222223</v>
      </c>
      <c r="X553" s="92">
        <f t="shared" ref="X553" si="7113">(O397+O449+O501)/3</f>
        <v>302.66666666666669</v>
      </c>
      <c r="Y553" s="92">
        <f t="shared" ref="Y553" si="7114">(P397+P449+P501)/3</f>
        <v>303.22222222222223</v>
      </c>
      <c r="Z553" s="92">
        <f t="shared" ref="Z553" si="7115">(Q397+Q449+Q501)/3</f>
        <v>233.71527777777774</v>
      </c>
      <c r="AA553" s="92">
        <f t="shared" ref="AA553" si="7116">(R397+R449+R501)/3</f>
        <v>249.62123968947117</v>
      </c>
      <c r="AC553" s="112">
        <f>+AF553-'Figure 8_data'!I765</f>
        <v>0</v>
      </c>
      <c r="AD553" s="92">
        <f t="shared" ref="AD553" si="7117">(B553/T553-1)*100</f>
        <v>-10.390112012359975</v>
      </c>
      <c r="AE553" s="92">
        <f t="shared" ref="AE553" si="7118">(C553/U553-1)*100</f>
        <v>-7.1003524178173238</v>
      </c>
      <c r="AF553" s="92">
        <f t="shared" ref="AF553" si="7119">(D553/V553-1)*100</f>
        <v>-5.1383399209486207</v>
      </c>
      <c r="AG553" s="92">
        <f t="shared" ref="AG553" si="7120">(E553/W553-1)*100</f>
        <v>-9.2872570194384441</v>
      </c>
      <c r="AH553" s="92">
        <f t="shared" ref="AH553" si="7121">(F553/X553-1)*100</f>
        <v>-30.066079295154189</v>
      </c>
      <c r="AI553" s="92">
        <f t="shared" ref="AI553" si="7122">(G553/Y553-1)*100</f>
        <v>-30.194210333455484</v>
      </c>
      <c r="AJ553" s="92">
        <f t="shared" ref="AJ553" si="7123">(H553/Z553-1)*100</f>
        <v>-15.852027930470946</v>
      </c>
      <c r="AK553" s="92">
        <f t="shared" ref="AK553" si="7124">(I553/AA553-1)*100</f>
        <v>8.0297539576578139</v>
      </c>
      <c r="AM553" s="112">
        <f>AP553-'Figure 8_data'!H765</f>
        <v>0</v>
      </c>
      <c r="AN553" s="92">
        <f t="shared" ref="AN553" si="7125">(B553/B501-1)*100</f>
        <v>3.1111111111111089</v>
      </c>
      <c r="AO553" s="92">
        <f t="shared" ref="AO553" si="7126">(C553/C501-1)*100</f>
        <v>9.2391304347825951</v>
      </c>
      <c r="AP553" s="92">
        <f t="shared" ref="AP553" si="7127">(D553/D501-1)*100</f>
        <v>19.753086419753085</v>
      </c>
      <c r="AQ553" s="92">
        <f t="shared" ref="AQ553" si="7128">(E553/E501-1)*100</f>
        <v>-2.0979020979020935</v>
      </c>
      <c r="AR553" s="92">
        <f t="shared" ref="AR553" si="7129">(F553/F501-1)*100</f>
        <v>-15.333333333333332</v>
      </c>
      <c r="AS553" s="92">
        <f t="shared" ref="AS553" si="7130">(G553/G501-1)*100</f>
        <v>-17.532467532467543</v>
      </c>
      <c r="AT553" s="92">
        <f t="shared" ref="AT553" si="7131">(H553/H501-1)*100</f>
        <v>0</v>
      </c>
      <c r="AU553" s="92">
        <f t="shared" ref="AU553" si="7132">(I553/I501-1)*100</f>
        <v>0</v>
      </c>
    </row>
    <row r="554" spans="1:47" x14ac:dyDescent="0.3">
      <c r="A554" s="13">
        <f t="shared" si="475"/>
        <v>41457</v>
      </c>
      <c r="B554" s="92">
        <f>TWK!B499</f>
        <v>380</v>
      </c>
      <c r="C554" s="92">
        <f>TWK!C499</f>
        <v>310</v>
      </c>
      <c r="D554" s="92">
        <f>TWK!D499</f>
        <v>306.66666666666669</v>
      </c>
      <c r="E554" s="92">
        <f>TWK!E499</f>
        <v>225</v>
      </c>
      <c r="F554" s="92">
        <f>TWK!F499</f>
        <v>210</v>
      </c>
      <c r="G554" s="92">
        <f>TWK!G499</f>
        <v>210</v>
      </c>
      <c r="H554" s="92">
        <f>TWK!H499</f>
        <v>191.66666666666666</v>
      </c>
      <c r="I554" s="92">
        <f>TWK!I499</f>
        <v>262.80931586608443</v>
      </c>
      <c r="K554" s="92">
        <f t="shared" ref="K554" si="7133">AVERAGE(B551:B554)</f>
        <v>370.41666666666669</v>
      </c>
      <c r="L554" s="92">
        <f t="shared" ref="L554" si="7134">AVERAGE(C551:C554)</f>
        <v>312.5</v>
      </c>
      <c r="M554" s="92">
        <f t="shared" ref="M554" si="7135">AVERAGE(D551:D554)</f>
        <v>304.375</v>
      </c>
      <c r="N554" s="92">
        <f t="shared" ref="N554" si="7136">AVERAGE(E551:E554)</f>
        <v>223.95833333333334</v>
      </c>
      <c r="O554" s="92">
        <f t="shared" ref="O554" si="7137">AVERAGE(F551:F554)</f>
        <v>200.41666666666666</v>
      </c>
      <c r="P554" s="92">
        <f t="shared" ref="P554" si="7138">AVERAGE(G551:G554)</f>
        <v>200.41666666666666</v>
      </c>
      <c r="Q554" s="92">
        <f t="shared" ref="Q554" si="7139">AVERAGE(H551:H554)</f>
        <v>192.08333333333331</v>
      </c>
      <c r="R554" s="92">
        <f t="shared" ref="R554" si="7140">AVERAGE(I551:I554)</f>
        <v>219.95997088791847</v>
      </c>
      <c r="T554" s="92">
        <f t="shared" ref="T554" si="7141">AVERAGE(K398,K450,K502)</f>
        <v>442.81944444444451</v>
      </c>
      <c r="U554" s="92">
        <f t="shared" ref="U554" si="7142">AVERAGE(L398,L450,L502)</f>
        <v>371.4305555555556</v>
      </c>
      <c r="V554" s="92">
        <f t="shared" ref="V554" si="7143">(M398+M450+M502)/3</f>
        <v>347.47916666666669</v>
      </c>
      <c r="W554" s="92">
        <f t="shared" ref="W554" si="7144">(N398+N450+N502)/3</f>
        <v>265.27083333333331</v>
      </c>
      <c r="X554" s="92">
        <f t="shared" ref="X554" si="7145">(O398+O450+O502)/3</f>
        <v>300.67361111111109</v>
      </c>
      <c r="Y554" s="92">
        <f t="shared" ref="Y554" si="7146">(P398+P450+P502)/3</f>
        <v>300.95138888888891</v>
      </c>
      <c r="Z554" s="92">
        <f t="shared" ref="Z554" si="7147">(Q398+Q450+Q502)/3</f>
        <v>236.4375</v>
      </c>
      <c r="AA554" s="92">
        <f t="shared" ref="AA554" si="7148">(R398+R450+R502)/3</f>
        <v>288.82532751091702</v>
      </c>
      <c r="AC554" s="112">
        <f>+AF554-'Figure 8_data'!I766</f>
        <v>0</v>
      </c>
      <c r="AD554" s="92">
        <f t="shared" ref="AD554" si="7149">(B554/T554-1)*100</f>
        <v>-14.186243452623671</v>
      </c>
      <c r="AE554" s="92">
        <f t="shared" ref="AE554" si="7150">(C554/U554-1)*100</f>
        <v>-16.538907377631539</v>
      </c>
      <c r="AF554" s="92">
        <f t="shared" ref="AF554" si="7151">(D554/V554-1)*100</f>
        <v>-11.745308471730919</v>
      </c>
      <c r="AG554" s="92">
        <f t="shared" ref="AG554" si="7152">(E554/W554-1)*100</f>
        <v>-15.181025681300554</v>
      </c>
      <c r="AH554" s="92">
        <f t="shared" ref="AH554" si="7153">(F554/X554-1)*100</f>
        <v>-30.156823798415587</v>
      </c>
      <c r="AI554" s="92">
        <f t="shared" ref="AI554" si="7154">(G554/Y554-1)*100</f>
        <v>-30.221288967856573</v>
      </c>
      <c r="AJ554" s="92">
        <f t="shared" ref="AJ554" si="7155">(H554/Z554-1)*100</f>
        <v>-18.935589038681822</v>
      </c>
      <c r="AK554" s="92">
        <f t="shared" ref="AK554" si="7156">(I554/AA554-1)*100</f>
        <v>-9.0075243293368139</v>
      </c>
      <c r="AM554" s="112">
        <f>AP554-'Figure 8_data'!H766</f>
        <v>0</v>
      </c>
      <c r="AN554" s="92">
        <f t="shared" ref="AN554" si="7157">(B554/B502-1)*100</f>
        <v>-5.0000000000000044</v>
      </c>
      <c r="AO554" s="92">
        <f t="shared" ref="AO554" si="7158">(C554/C502-1)*100</f>
        <v>-4.0247678018575872</v>
      </c>
      <c r="AP554" s="92">
        <f t="shared" ref="AP554" si="7159">(D554/D502-1)*100</f>
        <v>-4.1666666666666625</v>
      </c>
      <c r="AQ554" s="92">
        <f t="shared" ref="AQ554" si="7160">(E554/E502-1)*100</f>
        <v>-23.208191126279864</v>
      </c>
      <c r="AR554" s="92">
        <f t="shared" ref="AR554" si="7161">(F554/F502-1)*100</f>
        <v>-20.75471698113207</v>
      </c>
      <c r="AS554" s="92">
        <f t="shared" ref="AS554" si="7162">(G554/G502-1)*100</f>
        <v>-20.75471698113207</v>
      </c>
      <c r="AT554" s="92">
        <f t="shared" ref="AT554" si="7163">(H554/H502-1)*100</f>
        <v>-14.050822122571006</v>
      </c>
      <c r="AU554" s="92">
        <f t="shared" ref="AU554" si="7164">(I554/I502-1)*100</f>
        <v>-13.833011191447731</v>
      </c>
    </row>
    <row r="555" spans="1:47" x14ac:dyDescent="0.3">
      <c r="A555" s="13">
        <f t="shared" si="475"/>
        <v>41464</v>
      </c>
      <c r="B555" s="92">
        <f>TWK!B500</f>
        <v>363.33333333333331</v>
      </c>
      <c r="C555" s="92">
        <f>TWK!C500</f>
        <v>298.33333333333331</v>
      </c>
      <c r="D555" s="92">
        <f>TWK!D500</f>
        <v>288.33333333333331</v>
      </c>
      <c r="E555" s="92">
        <f>TWK!E500</f>
        <v>226.66666666666666</v>
      </c>
      <c r="F555" s="92">
        <f>TWK!F500</f>
        <v>211.66666666666666</v>
      </c>
      <c r="G555" s="92">
        <f>TWK!G500</f>
        <v>211.66666666666666</v>
      </c>
      <c r="H555" s="92">
        <f>TWK!H500</f>
        <v>191.66666666666666</v>
      </c>
      <c r="I555" s="92">
        <f>TWK!I500</f>
        <v>262.80931586608443</v>
      </c>
      <c r="K555" s="92">
        <f t="shared" ref="K555" si="7165">AVERAGE(B552:B555)</f>
        <v>372.5</v>
      </c>
      <c r="L555" s="92">
        <f t="shared" ref="L555" si="7166">AVERAGE(C552:C555)</f>
        <v>310.83333333333331</v>
      </c>
      <c r="M555" s="92">
        <f t="shared" ref="M555" si="7167">AVERAGE(D552:D555)</f>
        <v>303.33333333333331</v>
      </c>
      <c r="N555" s="92">
        <f t="shared" ref="N555" si="7168">AVERAGE(E552:E555)</f>
        <v>226.25</v>
      </c>
      <c r="O555" s="92">
        <f t="shared" ref="O555" si="7169">AVERAGE(F552:F555)</f>
        <v>205.83333333333331</v>
      </c>
      <c r="P555" s="92">
        <f t="shared" ref="P555" si="7170">AVERAGE(G552:G555)</f>
        <v>205.83333333333331</v>
      </c>
      <c r="Q555" s="92">
        <f t="shared" ref="Q555" si="7171">AVERAGE(H552:H555)</f>
        <v>193.12499999999997</v>
      </c>
      <c r="R555" s="92">
        <f t="shared" ref="R555" si="7172">AVERAGE(I552:I555)</f>
        <v>242.81295487627369</v>
      </c>
      <c r="T555" s="92">
        <f t="shared" ref="T555" si="7173">AVERAGE(K399,K451,K503)</f>
        <v>470.84027777777783</v>
      </c>
      <c r="U555" s="92">
        <f t="shared" ref="U555" si="7174">AVERAGE(L399,L451,L503)</f>
        <v>384.90972222222223</v>
      </c>
      <c r="V555" s="92">
        <f t="shared" ref="V555" si="7175">(M399+M451+M503)/3</f>
        <v>360.8819444444444</v>
      </c>
      <c r="W555" s="92">
        <f t="shared" ref="W555" si="7176">(N399+N451+N503)/3</f>
        <v>281.48611111111109</v>
      </c>
      <c r="X555" s="92">
        <f t="shared" ref="X555" si="7177">(O399+O451+O503)/3</f>
        <v>306.40277777777777</v>
      </c>
      <c r="Y555" s="92">
        <f t="shared" ref="Y555" si="7178">(P399+P451+P503)/3</f>
        <v>306.6805555555556</v>
      </c>
      <c r="Z555" s="92">
        <f t="shared" ref="Z555" si="7179">(Q399+Q451+Q503)/3</f>
        <v>247.02777777777774</v>
      </c>
      <c r="AA555" s="92">
        <f t="shared" ref="AA555" si="7180">(R399+R451+R503)/3</f>
        <v>338.24490538573508</v>
      </c>
      <c r="AC555" s="112">
        <f>+AF555-'Figure 8_data'!I767</f>
        <v>0</v>
      </c>
      <c r="AD555" s="92">
        <f t="shared" ref="AD555" si="7181">(B555/T555-1)*100</f>
        <v>-22.83299656347253</v>
      </c>
      <c r="AE555" s="92">
        <f t="shared" ref="AE555" si="7182">(C555/U555-1)*100</f>
        <v>-22.49264798744295</v>
      </c>
      <c r="AF555" s="92">
        <f t="shared" ref="AF555" si="7183">(D555/V555-1)*100</f>
        <v>-20.103142378817317</v>
      </c>
      <c r="AG555" s="92">
        <f t="shared" ref="AG555" si="7184">(E555/W555-1)*100</f>
        <v>-19.4750086347264</v>
      </c>
      <c r="AH555" s="92">
        <f t="shared" ref="AH555" si="7185">(F555/X555-1)*100</f>
        <v>-30.91881601015367</v>
      </c>
      <c r="AI555" s="92">
        <f t="shared" ref="AI555" si="7186">(G555/Y555-1)*100</f>
        <v>-30.981386712558322</v>
      </c>
      <c r="AJ555" s="92">
        <f t="shared" ref="AJ555" si="7187">(H555/Z555-1)*100</f>
        <v>-22.41088496570336</v>
      </c>
      <c r="AK555" s="92">
        <f t="shared" ref="AK555" si="7188">(I555/AA555-1)*100</f>
        <v>-22.302062298210746</v>
      </c>
      <c r="AM555" s="112">
        <f>AP555-'Figure 8_data'!H767</f>
        <v>0</v>
      </c>
      <c r="AN555" s="92">
        <f t="shared" ref="AN555" si="7189">(B555/B503-1)*100</f>
        <v>-23.508771929824569</v>
      </c>
      <c r="AO555" s="92">
        <f t="shared" ref="AO555" si="7190">(C555/C503-1)*100</f>
        <v>-16.355140186915897</v>
      </c>
      <c r="AP555" s="92">
        <f t="shared" ref="AP555" si="7191">(D555/D503-1)*100</f>
        <v>-18.39622641509434</v>
      </c>
      <c r="AQ555" s="92">
        <f t="shared" ref="AQ555" si="7192">(E555/E503-1)*100</f>
        <v>-29.896907216494839</v>
      </c>
      <c r="AR555" s="92">
        <f t="shared" ref="AR555" si="7193">(F555/F503-1)*100</f>
        <v>-25.730994152046783</v>
      </c>
      <c r="AS555" s="92">
        <f t="shared" ref="AS555" si="7194">(G555/G503-1)*100</f>
        <v>-25.730994152046783</v>
      </c>
      <c r="AT555" s="92">
        <f t="shared" ref="AT555" si="7195">(H555/H503-1)*100</f>
        <v>-23.333333333333339</v>
      </c>
      <c r="AU555" s="92">
        <f t="shared" ref="AU555" si="7196">(I555/I503-1)*100</f>
        <v>-23.333333333333329</v>
      </c>
    </row>
    <row r="556" spans="1:47" x14ac:dyDescent="0.3">
      <c r="A556" s="13">
        <f t="shared" si="475"/>
        <v>41471</v>
      </c>
      <c r="B556" s="92">
        <f>TWK!B501</f>
        <v>356.66666666666703</v>
      </c>
      <c r="C556" s="92">
        <f>TWK!C501</f>
        <v>300</v>
      </c>
      <c r="D556" s="92">
        <f>TWK!D501</f>
        <v>281.66666666666669</v>
      </c>
      <c r="E556" s="92">
        <f>TWK!E501</f>
        <v>223.33333333333334</v>
      </c>
      <c r="F556" s="92">
        <f>TWK!F501</f>
        <v>200</v>
      </c>
      <c r="G556" s="92">
        <f>TWK!G501</f>
        <v>200</v>
      </c>
      <c r="H556" s="92">
        <f>TWK!H501</f>
        <v>185</v>
      </c>
      <c r="I556" s="92">
        <f>TWK!I501</f>
        <v>253.66812227074237</v>
      </c>
      <c r="K556" s="92">
        <f t="shared" ref="K556" si="7197">AVERAGE(B553:B556)</f>
        <v>371.66666666666674</v>
      </c>
      <c r="L556" s="92">
        <f t="shared" ref="L556" si="7198">AVERAGE(C553:C556)</f>
        <v>310.83333333333331</v>
      </c>
      <c r="M556" s="92">
        <f t="shared" ref="M556" si="7199">AVERAGE(D553:D556)</f>
        <v>300</v>
      </c>
      <c r="N556" s="92">
        <f t="shared" ref="N556" si="7200">AVERAGE(E553:E556)</f>
        <v>227.08333333333334</v>
      </c>
      <c r="O556" s="92">
        <f t="shared" ref="O556" si="7201">AVERAGE(F553:F556)</f>
        <v>208.33333333333331</v>
      </c>
      <c r="P556" s="92">
        <f t="shared" ref="P556" si="7202">AVERAGE(G553:G556)</f>
        <v>208.33333333333331</v>
      </c>
      <c r="Q556" s="92">
        <f t="shared" ref="Q556" si="7203">AVERAGE(H553:H556)</f>
        <v>191.25</v>
      </c>
      <c r="R556" s="92">
        <f t="shared" ref="R556" si="7204">AVERAGE(I553:I556)</f>
        <v>262.23799126637556</v>
      </c>
      <c r="T556" s="92">
        <f t="shared" ref="T556" si="7205">AVERAGE(K400,K452,K504)</f>
        <v>488.58333333333331</v>
      </c>
      <c r="U556" s="92">
        <f t="shared" ref="U556" si="7206">AVERAGE(L400,L452,L504)</f>
        <v>404.42361111111109</v>
      </c>
      <c r="V556" s="92">
        <f t="shared" ref="V556" si="7207">(M400+M452+M504)/3</f>
        <v>380.86111111111109</v>
      </c>
      <c r="W556" s="92">
        <f t="shared" ref="W556" si="7208">(N400+N452+N504)/3</f>
        <v>300.20833333333331</v>
      </c>
      <c r="X556" s="92">
        <f t="shared" ref="X556" si="7209">(O400+O452+O504)/3</f>
        <v>327.65277777777777</v>
      </c>
      <c r="Y556" s="92">
        <f t="shared" ref="Y556" si="7210">(P400+P452+P504)/3</f>
        <v>327.51388888888891</v>
      </c>
      <c r="Z556" s="92">
        <f t="shared" ref="Z556" si="7211">(Q400+Q452+Q504)/3</f>
        <v>264.97916666666663</v>
      </c>
      <c r="AA556" s="92">
        <f t="shared" ref="AA556" si="7212">(R400+R452+R504)/3</f>
        <v>362.85947355652593</v>
      </c>
      <c r="AC556" s="112">
        <f>+AF556-'Figure 8_data'!I768</f>
        <v>0</v>
      </c>
      <c r="AD556" s="92">
        <f t="shared" ref="AD556" si="7213">(B556/T556-1)*100</f>
        <v>-26.999829438853752</v>
      </c>
      <c r="AE556" s="92">
        <f t="shared" ref="AE556" si="7214">(C556/U556-1)*100</f>
        <v>-25.820354757284882</v>
      </c>
      <c r="AF556" s="92">
        <f t="shared" ref="AF556" si="7215">(D556/V556-1)*100</f>
        <v>-26.044781562249277</v>
      </c>
      <c r="AG556" s="92">
        <f t="shared" ref="AG556" si="7216">(E556/W556-1)*100</f>
        <v>-25.60721721027064</v>
      </c>
      <c r="AH556" s="92">
        <f t="shared" ref="AH556" si="7217">(F556/X556-1)*100</f>
        <v>-38.959772794709849</v>
      </c>
      <c r="AI556" s="92">
        <f t="shared" ref="AI556" si="7218">(G556/Y556-1)*100</f>
        <v>-38.933887451762018</v>
      </c>
      <c r="AJ556" s="92">
        <f t="shared" ref="AJ556" si="7219">(H556/Z556-1)*100</f>
        <v>-30.18319050239797</v>
      </c>
      <c r="AK556" s="92">
        <f t="shared" ref="AK556" si="7220">(I556/AA556-1)*100</f>
        <v>-30.091911399076043</v>
      </c>
      <c r="AM556" s="112">
        <f>AP556-'Figure 8_data'!H768</f>
        <v>0</v>
      </c>
      <c r="AN556" s="92">
        <f t="shared" ref="AN556" si="7221">(B556/B504-1)*100</f>
        <v>-30.406504065040586</v>
      </c>
      <c r="AO556" s="92">
        <f t="shared" ref="AO556" si="7222">(C556/C504-1)*100</f>
        <v>-27.27272727272727</v>
      </c>
      <c r="AP556" s="92">
        <f t="shared" ref="AP556" si="7223">(D556/D504-1)*100</f>
        <v>-31.090723751274208</v>
      </c>
      <c r="AQ556" s="92">
        <f t="shared" ref="AQ556" si="7224">(E556/E504-1)*100</f>
        <v>-41.228070175438589</v>
      </c>
      <c r="AR556" s="92">
        <f t="shared" ref="AR556" si="7225">(F556/F504-1)*100</f>
        <v>-42.857142857142861</v>
      </c>
      <c r="AS556" s="92">
        <f t="shared" ref="AS556" si="7226">(G556/G504-1)*100</f>
        <v>-42.028985507246375</v>
      </c>
      <c r="AT556" s="92">
        <f t="shared" ref="AT556" si="7227">(H556/H504-1)*100</f>
        <v>-40.800000000000004</v>
      </c>
      <c r="AU556" s="92">
        <f t="shared" ref="AU556" si="7228">(I556/I504-1)*100</f>
        <v>-40.79999999999999</v>
      </c>
    </row>
    <row r="557" spans="1:47" x14ac:dyDescent="0.3">
      <c r="A557" s="13">
        <f t="shared" si="475"/>
        <v>41478</v>
      </c>
      <c r="B557" s="92">
        <f>TWK!B502</f>
        <v>340</v>
      </c>
      <c r="C557" s="92">
        <f>TWK!C502</f>
        <v>293.33333333333331</v>
      </c>
      <c r="D557" s="92">
        <f>TWK!D502</f>
        <v>265</v>
      </c>
      <c r="E557" s="92">
        <f>TWK!E502</f>
        <v>220</v>
      </c>
      <c r="F557" s="92">
        <f>TWK!F502</f>
        <v>200</v>
      </c>
      <c r="G557" s="92">
        <f>TWK!G502</f>
        <v>200</v>
      </c>
      <c r="H557" s="92">
        <f>TWK!H502</f>
        <v>185</v>
      </c>
      <c r="I557" s="92">
        <f>TWK!I502</f>
        <v>253.66812227074237</v>
      </c>
      <c r="K557" s="92">
        <f t="shared" ref="K557" si="7229">AVERAGE(B554:B557)</f>
        <v>360.00000000000006</v>
      </c>
      <c r="L557" s="92">
        <f t="shared" ref="L557" si="7230">AVERAGE(C554:C557)</f>
        <v>300.41666666666663</v>
      </c>
      <c r="M557" s="92">
        <f t="shared" ref="M557" si="7231">AVERAGE(D554:D557)</f>
        <v>285.41666666666669</v>
      </c>
      <c r="N557" s="92">
        <f t="shared" ref="N557" si="7232">AVERAGE(E554:E557)</f>
        <v>223.75</v>
      </c>
      <c r="O557" s="92">
        <f t="shared" ref="O557" si="7233">AVERAGE(F554:F557)</f>
        <v>205.41666666666666</v>
      </c>
      <c r="P557" s="92">
        <f t="shared" ref="P557" si="7234">AVERAGE(G554:G557)</f>
        <v>205.41666666666666</v>
      </c>
      <c r="Q557" s="92">
        <f t="shared" ref="Q557" si="7235">AVERAGE(H554:H557)</f>
        <v>188.33333333333331</v>
      </c>
      <c r="R557" s="92">
        <f t="shared" ref="R557" si="7236">AVERAGE(I554:I557)</f>
        <v>258.23871906841339</v>
      </c>
      <c r="T557" s="92">
        <f t="shared" ref="T557" si="7237">AVERAGE(K401,K453,K505)</f>
        <v>466.25</v>
      </c>
      <c r="U557" s="92">
        <f t="shared" ref="U557" si="7238">AVERAGE(L401,L453,L505)</f>
        <v>384.34027777777783</v>
      </c>
      <c r="V557" s="92">
        <f t="shared" ref="V557" si="7239">(M401+M453+M505)/3</f>
        <v>391.1944444444444</v>
      </c>
      <c r="W557" s="92">
        <f t="shared" ref="W557" si="7240">(N401+N453+N505)/3</f>
        <v>312.15277777777777</v>
      </c>
      <c r="X557" s="92">
        <f t="shared" ref="X557" si="7241">(O401+O453+O505)/3</f>
        <v>346.01388888888891</v>
      </c>
      <c r="Y557" s="92">
        <f t="shared" ref="Y557" si="7242">(P401+P453+P505)/3</f>
        <v>345.31944444444451</v>
      </c>
      <c r="Z557" s="92">
        <f t="shared" ref="Z557" si="7243">(Q401+Q453+Q505)/3</f>
        <v>279.28472222222223</v>
      </c>
      <c r="AA557" s="92">
        <f t="shared" ref="AA557" si="7244">(R401+R453+R505)/3</f>
        <v>381.15156477438137</v>
      </c>
      <c r="AC557" s="112">
        <f>+AF557-'Figure 8_data'!I769</f>
        <v>0</v>
      </c>
      <c r="AD557" s="92">
        <f t="shared" ref="AD557" si="7245">(B557/T557-1)*100</f>
        <v>-27.077747989276133</v>
      </c>
      <c r="AE557" s="92">
        <f t="shared" ref="AE557" si="7246">(C557/U557-1)*100</f>
        <v>-23.678742433824208</v>
      </c>
      <c r="AF557" s="92">
        <f t="shared" ref="AF557" si="7247">(D557/V557-1)*100</f>
        <v>-32.258751686430443</v>
      </c>
      <c r="AG557" s="92">
        <f t="shared" ref="AG557" si="7248">(E557/W557-1)*100</f>
        <v>-29.521690767519459</v>
      </c>
      <c r="AH557" s="92">
        <f t="shared" ref="AH557" si="7249">(F557/X557-1)*100</f>
        <v>-42.198852004977326</v>
      </c>
      <c r="AI557" s="92">
        <f t="shared" ref="AI557" si="7250">(G557/Y557-1)*100</f>
        <v>-42.082612717692967</v>
      </c>
      <c r="AJ557" s="92">
        <f t="shared" ref="AJ557" si="7251">(H557/Z557-1)*100</f>
        <v>-33.759355496431851</v>
      </c>
      <c r="AK557" s="92">
        <f t="shared" ref="AK557" si="7252">(I557/AA557-1)*100</f>
        <v>-33.446915685391843</v>
      </c>
      <c r="AM557" s="112">
        <f>AP557-'Figure 8_data'!H769</f>
        <v>0</v>
      </c>
      <c r="AN557" s="92">
        <f t="shared" ref="AN557" si="7253">(B557/B505-1)*100</f>
        <v>-28.919860627177695</v>
      </c>
      <c r="AO557" s="92">
        <f t="shared" ref="AO557" si="7254">(C557/C505-1)*100</f>
        <v>-20.720720720720731</v>
      </c>
      <c r="AP557" s="92">
        <f t="shared" ref="AP557" si="7255">(D557/D505-1)*100</f>
        <v>-25.700934579439259</v>
      </c>
      <c r="AQ557" s="92">
        <f t="shared" ref="AQ557" si="7256">(E557/E505-1)*100</f>
        <v>-34.975369458128078</v>
      </c>
      <c r="AR557" s="92">
        <f t="shared" ref="AR557" si="7257">(F557/F505-1)*100</f>
        <v>-39.516129032258064</v>
      </c>
      <c r="AS557" s="92">
        <f t="shared" ref="AS557" si="7258">(G557/G505-1)*100</f>
        <v>-39.516129032258064</v>
      </c>
      <c r="AT557" s="92">
        <f t="shared" ref="AT557" si="7259">(H557/H505-1)*100</f>
        <v>-38.674033149171272</v>
      </c>
      <c r="AU557" s="92">
        <f t="shared" ref="AU557" si="7260">(I557/I505-1)*100</f>
        <v>-38.674033149171258</v>
      </c>
    </row>
    <row r="558" spans="1:47" x14ac:dyDescent="0.3">
      <c r="A558" s="13">
        <f t="shared" si="475"/>
        <v>41485</v>
      </c>
      <c r="B558" s="92">
        <f>TWK!B503</f>
        <v>328.33333333333331</v>
      </c>
      <c r="C558" s="92">
        <f>TWK!C503</f>
        <v>278.33333333333331</v>
      </c>
      <c r="D558" s="92">
        <f>TWK!D503</f>
        <v>258.33333333333331</v>
      </c>
      <c r="E558" s="92">
        <f>TWK!E503</f>
        <v>216.66666666666666</v>
      </c>
      <c r="F558" s="92">
        <f>TWK!F503</f>
        <v>206.66666666666666</v>
      </c>
      <c r="G558" s="92">
        <f>TWK!G503</f>
        <v>206.66666666666666</v>
      </c>
      <c r="H558" s="92">
        <f>TWK!H503</f>
        <v>188.33333333333334</v>
      </c>
      <c r="I558" s="92">
        <f>TWK!I503</f>
        <v>258.23871906841345</v>
      </c>
      <c r="K558" s="92">
        <f t="shared" ref="K558" si="7261">AVERAGE(B555:B558)</f>
        <v>347.08333333333343</v>
      </c>
      <c r="L558" s="92">
        <f t="shared" ref="L558" si="7262">AVERAGE(C555:C558)</f>
        <v>292.49999999999994</v>
      </c>
      <c r="M558" s="92">
        <f t="shared" ref="M558" si="7263">AVERAGE(D555:D558)</f>
        <v>273.33333333333331</v>
      </c>
      <c r="N558" s="92">
        <f t="shared" ref="N558" si="7264">AVERAGE(E555:E558)</f>
        <v>221.66666666666666</v>
      </c>
      <c r="O558" s="92">
        <f t="shared" ref="O558" si="7265">AVERAGE(F555:F558)</f>
        <v>204.58333333333331</v>
      </c>
      <c r="P558" s="92">
        <f t="shared" ref="P558" si="7266">AVERAGE(G555:G558)</f>
        <v>204.58333333333331</v>
      </c>
      <c r="Q558" s="92">
        <f t="shared" ref="Q558" si="7267">AVERAGE(H555:H558)</f>
        <v>187.5</v>
      </c>
      <c r="R558" s="92">
        <f t="shared" ref="R558" si="7268">AVERAGE(I555:I558)</f>
        <v>257.09606986899564</v>
      </c>
      <c r="T558" s="92">
        <f t="shared" ref="T558" si="7269">AVERAGE(K402,K454,K506)</f>
        <v>452.4305555555556</v>
      </c>
      <c r="U558" s="92">
        <f t="shared" ref="U558" si="7270">AVERAGE(L402,L454,L506)</f>
        <v>376.25</v>
      </c>
      <c r="V558" s="92">
        <f t="shared" ref="V558" si="7271">(M402+M454+M506)/3</f>
        <v>389.77083333333331</v>
      </c>
      <c r="W558" s="92">
        <f t="shared" ref="W558" si="7272">(N402+N454+N506)/3</f>
        <v>314.31249999999994</v>
      </c>
      <c r="X558" s="92">
        <f t="shared" ref="X558" si="7273">(O402+O454+O506)/3</f>
        <v>360.29861111111114</v>
      </c>
      <c r="Y558" s="92">
        <f t="shared" ref="Y558" si="7274">(P402+P454+P506)/3</f>
        <v>359.88194444444451</v>
      </c>
      <c r="Z558" s="92">
        <f t="shared" ref="Z558" si="7275">(Q402+Q454+Q506)/3</f>
        <v>288.68055555555554</v>
      </c>
      <c r="AA558" s="92">
        <f t="shared" ref="AA558" si="7276">(R402+R454+R506)/3</f>
        <v>394.12845705967976</v>
      </c>
      <c r="AC558" s="112">
        <f>+AF558-'Figure 8_data'!I770</f>
        <v>0</v>
      </c>
      <c r="AD558" s="92">
        <f t="shared" ref="AD558" si="7277">(B558/T558-1)*100</f>
        <v>-27.429009976976214</v>
      </c>
      <c r="AE558" s="92">
        <f t="shared" ref="AE558" si="7278">(C558/U558-1)*100</f>
        <v>-26.024363233665561</v>
      </c>
      <c r="AF558" s="92">
        <f t="shared" ref="AF558" si="7279">(D558/V558-1)*100</f>
        <v>-33.721738200865893</v>
      </c>
      <c r="AG558" s="92">
        <f t="shared" ref="AG558" si="7280">(E558/W558-1)*100</f>
        <v>-31.066481076423401</v>
      </c>
      <c r="AH558" s="92">
        <f t="shared" ref="AH558" si="7281">(F558/X558-1)*100</f>
        <v>-42.640171154328009</v>
      </c>
      <c r="AI558" s="92">
        <f t="shared" ref="AI558" si="7282">(G558/Y558-1)*100</f>
        <v>-42.573760685409965</v>
      </c>
      <c r="AJ558" s="92">
        <f t="shared" ref="AJ558" si="7283">(H558/Z558-1)*100</f>
        <v>-34.760644695693998</v>
      </c>
      <c r="AK558" s="92">
        <f t="shared" ref="AK558" si="7284">(I558/AA558-1)*100</f>
        <v>-34.478540069155571</v>
      </c>
      <c r="AM558" s="112">
        <f>AP558-'Figure 8_data'!H770</f>
        <v>0</v>
      </c>
      <c r="AN558" s="92">
        <f t="shared" ref="AN558" si="7285">(B558/B506-1)*100</f>
        <v>-26.217228464419485</v>
      </c>
      <c r="AO558" s="92">
        <f t="shared" ref="AO558" si="7286">(C558/C506-1)*100</f>
        <v>-21.962616822429915</v>
      </c>
      <c r="AP558" s="92">
        <f t="shared" ref="AP558" si="7287">(D558/D506-1)*100</f>
        <v>-27.230046948356811</v>
      </c>
      <c r="AQ558" s="92">
        <f t="shared" ref="AQ558" si="7288">(E558/E506-1)*100</f>
        <v>-34.343434343434339</v>
      </c>
      <c r="AR558" s="92">
        <f t="shared" ref="AR558" si="7289">(F558/F506-1)*100</f>
        <v>-38</v>
      </c>
      <c r="AS558" s="92">
        <f t="shared" ref="AS558" si="7290">(G558/G506-1)*100</f>
        <v>-38</v>
      </c>
      <c r="AT558" s="92">
        <f t="shared" ref="AT558" si="7291">(H558/H506-1)*100</f>
        <v>-39.572192513368989</v>
      </c>
      <c r="AU558" s="92">
        <f t="shared" ref="AU558" si="7292">(I558/I506-1)*100</f>
        <v>-39.572192513368961</v>
      </c>
    </row>
    <row r="559" spans="1:47" x14ac:dyDescent="0.3">
      <c r="A559" s="13">
        <f t="shared" si="475"/>
        <v>41492</v>
      </c>
      <c r="B559" s="92">
        <f>TWK!B504</f>
        <v>336.66666666666669</v>
      </c>
      <c r="C559" s="92">
        <f>TWK!C504</f>
        <v>296.66666666666669</v>
      </c>
      <c r="D559" s="92">
        <f>TWK!D504</f>
        <v>285</v>
      </c>
      <c r="E559" s="92">
        <f>TWK!E504</f>
        <v>230</v>
      </c>
      <c r="F559" s="92">
        <f>TWK!F504</f>
        <v>276.66666666666669</v>
      </c>
      <c r="G559" s="92">
        <f>TWK!G504</f>
        <v>276.66666666666669</v>
      </c>
      <c r="H559" s="92">
        <f>TWK!H504</f>
        <v>203.33333333333334</v>
      </c>
      <c r="I559" s="92">
        <f>TWK!I504</f>
        <v>278.806404657933</v>
      </c>
      <c r="K559" s="92">
        <f t="shared" ref="K559" si="7293">AVERAGE(B556:B559)</f>
        <v>340.41666666666674</v>
      </c>
      <c r="L559" s="92">
        <f t="shared" ref="L559" si="7294">AVERAGE(C556:C559)</f>
        <v>292.08333333333331</v>
      </c>
      <c r="M559" s="92">
        <f t="shared" ref="M559" si="7295">AVERAGE(D556:D559)</f>
        <v>272.5</v>
      </c>
      <c r="N559" s="92">
        <f t="shared" ref="N559" si="7296">AVERAGE(E556:E559)</f>
        <v>222.5</v>
      </c>
      <c r="O559" s="92">
        <f t="shared" ref="O559" si="7297">AVERAGE(F556:F559)</f>
        <v>220.83333333333331</v>
      </c>
      <c r="P559" s="92">
        <f t="shared" ref="P559" si="7298">AVERAGE(G556:G559)</f>
        <v>220.83333333333331</v>
      </c>
      <c r="Q559" s="92">
        <f t="shared" ref="Q559" si="7299">AVERAGE(H556:H559)</f>
        <v>190.41666666666669</v>
      </c>
      <c r="R559" s="92">
        <f t="shared" ref="R559" si="7300">AVERAGE(I556:I559)</f>
        <v>261.09534206695781</v>
      </c>
      <c r="T559" s="92">
        <f t="shared" ref="T559" si="7301">AVERAGE(K403,K455,K507)</f>
        <v>438.72916666666669</v>
      </c>
      <c r="U559" s="92">
        <f t="shared" ref="U559" si="7302">AVERAGE(L403,L455,L507)</f>
        <v>375.8125</v>
      </c>
      <c r="V559" s="92">
        <f t="shared" ref="V559" si="7303">(M403+M455+M507)/3</f>
        <v>383.52777777777783</v>
      </c>
      <c r="W559" s="92">
        <f t="shared" ref="W559" si="7304">(N403+N455+N507)/3</f>
        <v>316.74305555555549</v>
      </c>
      <c r="X559" s="92">
        <f t="shared" ref="X559" si="7305">(O403+O455+O507)/3</f>
        <v>372.45138888888891</v>
      </c>
      <c r="Y559" s="92">
        <f t="shared" ref="Y559" si="7306">(P403+P455+P507)/3</f>
        <v>372.03472222222223</v>
      </c>
      <c r="Z559" s="92">
        <f t="shared" ref="Z559" si="7307">(Q403+Q455+Q507)/3</f>
        <v>301.11111111111114</v>
      </c>
      <c r="AA559" s="92">
        <f t="shared" ref="AA559" si="7308">(R403+R455+R507)/3</f>
        <v>411.58442503639009</v>
      </c>
      <c r="AC559" s="112">
        <f>+AF559-'Figure 8_data'!I771</f>
        <v>0</v>
      </c>
      <c r="AD559" s="92">
        <f t="shared" ref="AD559" si="7309">(B559/T559-1)*100</f>
        <v>-23.263212878104376</v>
      </c>
      <c r="AE559" s="92">
        <f t="shared" ref="AE559" si="7310">(C559/U559-1)*100</f>
        <v>-21.059925716503123</v>
      </c>
      <c r="AF559" s="92">
        <f t="shared" ref="AF559" si="7311">(D559/V559-1)*100</f>
        <v>-25.689867458535531</v>
      </c>
      <c r="AG559" s="92">
        <f t="shared" ref="AG559" si="7312">(E559/W559-1)*100</f>
        <v>-27.38593760277125</v>
      </c>
      <c r="AH559" s="92">
        <f t="shared" ref="AH559" si="7313">(F559/X559-1)*100</f>
        <v>-25.71737549642944</v>
      </c>
      <c r="AI559" s="92">
        <f t="shared" ref="AI559" si="7314">(G559/Y559-1)*100</f>
        <v>-25.634181397345678</v>
      </c>
      <c r="AJ559" s="92">
        <f t="shared" ref="AJ559" si="7315">(H559/Z559-1)*100</f>
        <v>-32.47232472324724</v>
      </c>
      <c r="AK559" s="92">
        <f t="shared" ref="AK559" si="7316">(I559/AA559-1)*100</f>
        <v>-32.260214989116164</v>
      </c>
      <c r="AM559" s="112">
        <f>AP559-'Figure 8_data'!H771</f>
        <v>0</v>
      </c>
      <c r="AN559" s="92">
        <f t="shared" ref="AN559" si="7317">(B559/B507-1)*100</f>
        <v>-14.767932489451475</v>
      </c>
      <c r="AO559" s="92">
        <f t="shared" ref="AO559" si="7318">(C559/C507-1)*100</f>
        <v>-7.8674948240165516</v>
      </c>
      <c r="AP559" s="92">
        <f t="shared" ref="AP559" si="7319">(D559/D507-1)*100</f>
        <v>-6.5573770491803245</v>
      </c>
      <c r="AQ559" s="92">
        <f t="shared" ref="AQ559" si="7320">(E559/E507-1)*100</f>
        <v>-26.517571884984026</v>
      </c>
      <c r="AR559" s="92">
        <f t="shared" ref="AR559" si="7321">(F559/F507-1)*100</f>
        <v>-15.650406504065039</v>
      </c>
      <c r="AS559" s="92">
        <f t="shared" ref="AS559" si="7322">(G559/G507-1)*100</f>
        <v>-15.650406504065039</v>
      </c>
      <c r="AT559" s="92">
        <f t="shared" ref="AT559" si="7323">(H559/H507-1)*100</f>
        <v>-37.435897435897438</v>
      </c>
      <c r="AU559" s="92">
        <f t="shared" ref="AU559" si="7324">(I559/I507-1)*100</f>
        <v>-37.487353215710087</v>
      </c>
    </row>
    <row r="560" spans="1:47" x14ac:dyDescent="0.3">
      <c r="A560" s="13">
        <f t="shared" si="475"/>
        <v>41499</v>
      </c>
      <c r="B560" s="92">
        <f>TWK!B505</f>
        <v>370</v>
      </c>
      <c r="C560" s="92">
        <f>TWK!C505</f>
        <v>353.33333333333331</v>
      </c>
      <c r="D560" s="92">
        <f>TWK!D505</f>
        <v>351.66666666666669</v>
      </c>
      <c r="E560" s="92">
        <f>TWK!E505</f>
        <v>308.33333333333331</v>
      </c>
      <c r="F560" s="92">
        <f>TWK!F505</f>
        <v>360</v>
      </c>
      <c r="G560" s="92">
        <f>TWK!G505</f>
        <v>360</v>
      </c>
      <c r="H560" s="92">
        <f>TWK!H505</f>
        <v>278.33333333333331</v>
      </c>
      <c r="I560" s="92">
        <f>TWK!I505</f>
        <v>381.64483260553129</v>
      </c>
      <c r="K560" s="92">
        <f t="shared" ref="K560" si="7325">AVERAGE(B557:B560)</f>
        <v>343.75</v>
      </c>
      <c r="L560" s="92">
        <f t="shared" ref="L560" si="7326">AVERAGE(C557:C560)</f>
        <v>305.41666666666663</v>
      </c>
      <c r="M560" s="92">
        <f t="shared" ref="M560" si="7327">AVERAGE(D557:D560)</f>
        <v>290</v>
      </c>
      <c r="N560" s="92">
        <f t="shared" ref="N560" si="7328">AVERAGE(E557:E560)</f>
        <v>243.75</v>
      </c>
      <c r="O560" s="92">
        <f t="shared" ref="O560" si="7329">AVERAGE(F557:F560)</f>
        <v>260.83333333333331</v>
      </c>
      <c r="P560" s="92">
        <f t="shared" ref="P560" si="7330">AVERAGE(G557:G560)</f>
        <v>260.83333333333331</v>
      </c>
      <c r="Q560" s="92">
        <f t="shared" ref="Q560" si="7331">AVERAGE(H557:H560)</f>
        <v>213.75</v>
      </c>
      <c r="R560" s="92">
        <f t="shared" ref="R560" si="7332">AVERAGE(I557:I560)</f>
        <v>293.08951965065501</v>
      </c>
      <c r="T560" s="92">
        <f t="shared" ref="T560" si="7333">AVERAGE(K404,K456,K508)</f>
        <v>452.59722222222223</v>
      </c>
      <c r="U560" s="92">
        <f t="shared" ref="U560" si="7334">AVERAGE(L404,L456,L508)</f>
        <v>404.52083333333331</v>
      </c>
      <c r="V560" s="92">
        <f t="shared" ref="V560" si="7335">(M404+M456+M508)/3</f>
        <v>380.17361111111114</v>
      </c>
      <c r="W560" s="92">
        <f t="shared" ref="W560" si="7336">(N404+N456+N508)/3</f>
        <v>324.02083333333331</v>
      </c>
      <c r="X560" s="92">
        <f t="shared" ref="X560" si="7337">(O404+O456+O508)/3</f>
        <v>377.67361111111109</v>
      </c>
      <c r="Y560" s="92">
        <f t="shared" ref="Y560" si="7338">(P404+P456+P508)/3</f>
        <v>377.67361111111109</v>
      </c>
      <c r="Z560" s="92">
        <f t="shared" ref="Z560" si="7339">(Q404+Q456+Q508)/3</f>
        <v>316.8680555555556</v>
      </c>
      <c r="AA560" s="92">
        <f t="shared" ref="AA560" si="7340">(R404+R456+R508)/3</f>
        <v>429.38361232411449</v>
      </c>
      <c r="AC560" s="112">
        <f>+AF560-'Figure 8_data'!I772</f>
        <v>0</v>
      </c>
      <c r="AD560" s="92">
        <f t="shared" ref="AD560" si="7341">(B560/T560-1)*100</f>
        <v>-18.249608739681467</v>
      </c>
      <c r="AE560" s="92">
        <f t="shared" ref="AE560" si="7342">(C560/U560-1)*100</f>
        <v>-12.653860019570484</v>
      </c>
      <c r="AF560" s="92">
        <f t="shared" ref="AF560" si="7343">(D560/V560-1)*100</f>
        <v>-7.4984016805187732</v>
      </c>
      <c r="AG560" s="92">
        <f t="shared" ref="AG560" si="7344">(E560/W560-1)*100</f>
        <v>-4.8415096765897285</v>
      </c>
      <c r="AH560" s="92">
        <f t="shared" ref="AH560" si="7345">(F560/X560-1)*100</f>
        <v>-4.679599154178538</v>
      </c>
      <c r="AI560" s="92">
        <f t="shared" ref="AI560" si="7346">(G560/Y560-1)*100</f>
        <v>-4.679599154178538</v>
      </c>
      <c r="AJ560" s="92">
        <f t="shared" ref="AJ560" si="7347">(H560/Z560-1)*100</f>
        <v>-12.16112559994742</v>
      </c>
      <c r="AK560" s="92">
        <f t="shared" ref="AK560" si="7348">(I560/AA560-1)*100</f>
        <v>-11.117978969944531</v>
      </c>
      <c r="AM560" s="112">
        <f>AP560-'Figure 8_data'!H772</f>
        <v>0</v>
      </c>
      <c r="AN560" s="92">
        <f t="shared" ref="AN560" si="7349">(B560/B508-1)*100</f>
        <v>-7.4999999999999956</v>
      </c>
      <c r="AO560" s="92">
        <f t="shared" ref="AO560" si="7350">(C560/C508-1)*100</f>
        <v>-4.0723981900452451</v>
      </c>
      <c r="AP560" s="92">
        <f t="shared" ref="AP560" si="7351">(D560/D508-1)*100</f>
        <v>-3.6529680365296802</v>
      </c>
      <c r="AQ560" s="92">
        <f t="shared" ref="AQ560" si="7352">(E560/E508-1)*100</f>
        <v>-11.483253588516751</v>
      </c>
      <c r="AR560" s="92">
        <f t="shared" ref="AR560" si="7353">(F560/F508-1)*100</f>
        <v>3.3492822966507241</v>
      </c>
      <c r="AS560" s="92">
        <f t="shared" ref="AS560" si="7354">(G560/G508-1)*100</f>
        <v>3.3492822966507241</v>
      </c>
      <c r="AT560" s="92">
        <f t="shared" ref="AT560" si="7355">(H560/H508-1)*100</f>
        <v>-28.017241379310352</v>
      </c>
      <c r="AU560" s="92">
        <f t="shared" ref="AU560" si="7356">(I560/I508-1)*100</f>
        <v>-28.017241379310352</v>
      </c>
    </row>
    <row r="561" spans="1:47" x14ac:dyDescent="0.3">
      <c r="A561" s="13">
        <f t="shared" si="475"/>
        <v>41506</v>
      </c>
      <c r="B561" s="92">
        <f>TWK!B506</f>
        <v>368.33333333333331</v>
      </c>
      <c r="C561" s="92">
        <f>TWK!C506</f>
        <v>358.33333333333331</v>
      </c>
      <c r="D561" s="92">
        <f>TWK!D506</f>
        <v>355</v>
      </c>
      <c r="E561" s="92">
        <f>TWK!E506</f>
        <v>308.33333333333331</v>
      </c>
      <c r="F561" s="92">
        <f>TWK!F506</f>
        <v>363.33333333333331</v>
      </c>
      <c r="G561" s="92">
        <f>TWK!G506</f>
        <v>363.33333333333331</v>
      </c>
      <c r="H561" s="92">
        <f>TWK!H506</f>
        <v>290</v>
      </c>
      <c r="I561" s="92">
        <f>TWK!I506</f>
        <v>397.64192139737992</v>
      </c>
      <c r="K561" s="92">
        <f t="shared" ref="K561" si="7357">AVERAGE(B558:B561)</f>
        <v>350.83333333333331</v>
      </c>
      <c r="L561" s="92">
        <f t="shared" ref="L561" si="7358">AVERAGE(C558:C561)</f>
        <v>321.66666666666663</v>
      </c>
      <c r="M561" s="92">
        <f t="shared" ref="M561" si="7359">AVERAGE(D558:D561)</f>
        <v>312.5</v>
      </c>
      <c r="N561" s="92">
        <f t="shared" ref="N561" si="7360">AVERAGE(E558:E561)</f>
        <v>265.83333333333331</v>
      </c>
      <c r="O561" s="92">
        <f t="shared" ref="O561" si="7361">AVERAGE(F558:F561)</f>
        <v>301.66666666666669</v>
      </c>
      <c r="P561" s="92">
        <f t="shared" ref="P561" si="7362">AVERAGE(G558:G561)</f>
        <v>301.66666666666669</v>
      </c>
      <c r="Q561" s="92">
        <f t="shared" ref="Q561" si="7363">AVERAGE(H558:H561)</f>
        <v>240</v>
      </c>
      <c r="R561" s="92">
        <f t="shared" ref="R561" si="7364">AVERAGE(I558:I561)</f>
        <v>329.08296943231443</v>
      </c>
      <c r="T561" s="92">
        <f t="shared" ref="T561" si="7365">AVERAGE(K405,K457,K509)</f>
        <v>446.45138888888891</v>
      </c>
      <c r="U561" s="92">
        <f t="shared" ref="U561" si="7366">AVERAGE(L405,L457,L509)</f>
        <v>403.51388888888891</v>
      </c>
      <c r="V561" s="92">
        <f t="shared" ref="V561" si="7367">(M405+M457+M509)/3</f>
        <v>387.36111111111114</v>
      </c>
      <c r="W561" s="92">
        <f t="shared" ref="W561" si="7368">(N405+N457+N509)/3</f>
        <v>346.10416666666669</v>
      </c>
      <c r="X561" s="92">
        <f t="shared" ref="X561" si="7369">(O405+O457+O509)/3</f>
        <v>396.33333333333331</v>
      </c>
      <c r="Y561" s="92">
        <f t="shared" ref="Y561" si="7370">(P405+P457+P509)/3</f>
        <v>396.33333333333331</v>
      </c>
      <c r="Z561" s="92">
        <f t="shared" ref="Z561" si="7371">(Q405+Q457+Q509)/3</f>
        <v>342.63194444444451</v>
      </c>
      <c r="AA561" s="92">
        <f t="shared" ref="AA561" si="7372">(R405+R457+R509)/3</f>
        <v>455.65483988355163</v>
      </c>
      <c r="AC561" s="112">
        <f>+AF561-'Figure 8_data'!I773</f>
        <v>0</v>
      </c>
      <c r="AD561" s="92">
        <f t="shared" ref="AD561" si="7373">(B561/T561-1)*100</f>
        <v>-17.497550125215831</v>
      </c>
      <c r="AE561" s="92">
        <f t="shared" ref="AE561" si="7374">(C561/U561-1)*100</f>
        <v>-11.196778301724441</v>
      </c>
      <c r="AF561" s="92">
        <f t="shared" ref="AF561" si="7375">(D561/V561-1)*100</f>
        <v>-8.3542488347077892</v>
      </c>
      <c r="AG561" s="92">
        <f t="shared" ref="AG561" si="7376">(E561/W561-1)*100</f>
        <v>-10.913140311804014</v>
      </c>
      <c r="AH561" s="92">
        <f t="shared" ref="AH561" si="7377">(F561/X561-1)*100</f>
        <v>-8.3263246425567701</v>
      </c>
      <c r="AI561" s="92">
        <f t="shared" ref="AI561" si="7378">(G561/Y561-1)*100</f>
        <v>-8.3263246425567701</v>
      </c>
      <c r="AJ561" s="92">
        <f t="shared" ref="AJ561" si="7379">(H561/Z561-1)*100</f>
        <v>-15.361073390218705</v>
      </c>
      <c r="AK561" s="92">
        <f t="shared" ref="AK561" si="7380">(I561/AA561-1)*100</f>
        <v>-12.731768305368519</v>
      </c>
      <c r="AM561" s="112">
        <f>AP561-'Figure 8_data'!H773</f>
        <v>0</v>
      </c>
      <c r="AN561" s="92">
        <f t="shared" ref="AN561" si="7381">(B561/B509-1)*100</f>
        <v>-8.298755186721996</v>
      </c>
      <c r="AO561" s="92">
        <f t="shared" ref="AO561" si="7382">(C561/C509-1)*100</f>
        <v>3.3653846153846034</v>
      </c>
      <c r="AP561" s="92">
        <f t="shared" ref="AP561" si="7383">(D561/D509-1)*100</f>
        <v>7.575757575757569</v>
      </c>
      <c r="AQ561" s="92">
        <f t="shared" ref="AQ561" si="7384">(E561/E509-1)*100</f>
        <v>-12.735849056603776</v>
      </c>
      <c r="AR561" s="92">
        <f t="shared" ref="AR561" si="7385">(F561/F509-1)*100</f>
        <v>5.8252427184465994</v>
      </c>
      <c r="AS561" s="92">
        <f t="shared" ref="AS561" si="7386">(G561/G509-1)*100</f>
        <v>5.8252427184465994</v>
      </c>
      <c r="AT561" s="92">
        <f t="shared" ref="AT561" si="7387">(H561/H509-1)*100</f>
        <v>-23.684210526315784</v>
      </c>
      <c r="AU561" s="92">
        <f t="shared" ref="AU561" si="7388">(I561/I509-1)*100</f>
        <v>-23.684210526315795</v>
      </c>
    </row>
    <row r="562" spans="1:47" x14ac:dyDescent="0.3">
      <c r="A562" s="13">
        <f t="shared" si="475"/>
        <v>41513</v>
      </c>
      <c r="B562" s="92">
        <f>TWK!B507</f>
        <v>383.33333333333331</v>
      </c>
      <c r="C562" s="92">
        <f>TWK!C507</f>
        <v>383.33333333333331</v>
      </c>
      <c r="D562" s="92">
        <f>TWK!D507</f>
        <v>391.66666666666669</v>
      </c>
      <c r="E562" s="92">
        <f>TWK!E507</f>
        <v>355</v>
      </c>
      <c r="F562" s="92">
        <f>TWK!F507</f>
        <v>391.66666666666669</v>
      </c>
      <c r="G562" s="92">
        <f>TWK!G507</f>
        <v>391.66666666666669</v>
      </c>
      <c r="H562" s="92">
        <f>TWK!H507</f>
        <v>325</v>
      </c>
      <c r="I562" s="92">
        <f>TWK!I507</f>
        <v>445.63318777292574</v>
      </c>
      <c r="K562" s="92">
        <f t="shared" ref="K562" si="7389">AVERAGE(B559:B562)</f>
        <v>364.58333333333331</v>
      </c>
      <c r="L562" s="92">
        <f t="shared" ref="L562" si="7390">AVERAGE(C559:C562)</f>
        <v>347.91666666666663</v>
      </c>
      <c r="M562" s="92">
        <f t="shared" ref="M562" si="7391">AVERAGE(D559:D562)</f>
        <v>345.83333333333337</v>
      </c>
      <c r="N562" s="92">
        <f t="shared" ref="N562" si="7392">AVERAGE(E559:E562)</f>
        <v>300.41666666666663</v>
      </c>
      <c r="O562" s="92">
        <f t="shared" ref="O562" si="7393">AVERAGE(F559:F562)</f>
        <v>347.91666666666669</v>
      </c>
      <c r="P562" s="92">
        <f t="shared" ref="P562" si="7394">AVERAGE(G559:G562)</f>
        <v>347.91666666666669</v>
      </c>
      <c r="Q562" s="92">
        <f t="shared" ref="Q562" si="7395">AVERAGE(H559:H562)</f>
        <v>274.16666666666663</v>
      </c>
      <c r="R562" s="92">
        <f t="shared" ref="R562" si="7396">AVERAGE(I559:I562)</f>
        <v>375.9315866084425</v>
      </c>
      <c r="T562" s="92">
        <f t="shared" ref="T562" si="7397">AVERAGE(K406,K458,K510)</f>
        <v>457.59722222222223</v>
      </c>
      <c r="U562" s="92">
        <f t="shared" ref="U562" si="7398">AVERAGE(L406,L458,L510)</f>
        <v>435.52777777777777</v>
      </c>
      <c r="V562" s="92">
        <f t="shared" ref="V562" si="7399">(M406+M458+M510)/3</f>
        <v>413.54166666666669</v>
      </c>
      <c r="W562" s="92">
        <f t="shared" ref="W562" si="7400">(N406+N458+N510)/3</f>
        <v>388.63888888888886</v>
      </c>
      <c r="X562" s="92">
        <f t="shared" ref="X562" si="7401">(O406+O458+O510)/3</f>
        <v>431.75</v>
      </c>
      <c r="Y562" s="92">
        <f t="shared" ref="Y562" si="7402">(P406+P458+P510)/3</f>
        <v>431.75</v>
      </c>
      <c r="Z562" s="92">
        <f t="shared" ref="Z562" si="7403">(Q406+Q458+Q510)/3</f>
        <v>387.73611111111114</v>
      </c>
      <c r="AA562" s="92">
        <f t="shared" ref="AA562" si="7404">(R406+R458+R510)/3</f>
        <v>515.02316836487137</v>
      </c>
      <c r="AC562" s="112">
        <f>+AF562-'Figure 8_data'!I774</f>
        <v>0</v>
      </c>
      <c r="AD562" s="92">
        <f t="shared" ref="AD562" si="7405">(B562/T562-1)*100</f>
        <v>-16.229095213524758</v>
      </c>
      <c r="AE562" s="92">
        <f t="shared" ref="AE562" si="7406">(C562/U562-1)*100</f>
        <v>-11.984182664710763</v>
      </c>
      <c r="AF562" s="92">
        <f t="shared" ref="AF562" si="7407">(D562/V562-1)*100</f>
        <v>-5.2896725440806041</v>
      </c>
      <c r="AG562" s="92">
        <f t="shared" ref="AG562" si="7408">(E562/W562-1)*100</f>
        <v>-8.6555642913301316</v>
      </c>
      <c r="AH562" s="92">
        <f t="shared" ref="AH562" si="7409">(F562/X562-1)*100</f>
        <v>-9.2839220227755259</v>
      </c>
      <c r="AI562" s="92">
        <f t="shared" ref="AI562" si="7410">(G562/Y562-1)*100</f>
        <v>-9.2839220227755259</v>
      </c>
      <c r="AJ562" s="92">
        <f t="shared" ref="AJ562" si="7411">(H562/Z562-1)*100</f>
        <v>-16.180105312175385</v>
      </c>
      <c r="AK562" s="92">
        <f t="shared" ref="AK562" si="7412">(I562/AA562-1)*100</f>
        <v>-13.473176519854324</v>
      </c>
      <c r="AM562" s="112">
        <f>AP562-'Figure 8_data'!H774</f>
        <v>0</v>
      </c>
      <c r="AN562" s="92">
        <f t="shared" ref="AN562" si="7413">(B562/B510-1)*100</f>
        <v>-9.8039215686274606</v>
      </c>
      <c r="AO562" s="92">
        <f t="shared" ref="AO562" si="7414">(C562/C510-1)*100</f>
        <v>-7.0707070707070718</v>
      </c>
      <c r="AP562" s="92">
        <f t="shared" ref="AP562" si="7415">(D562/D510-1)*100</f>
        <v>-10.476190476190473</v>
      </c>
      <c r="AQ562" s="92">
        <f t="shared" ref="AQ562" si="7416">(E562/E510-1)*100</f>
        <v>-29.000000000000004</v>
      </c>
      <c r="AR562" s="92">
        <f t="shared" ref="AR562" si="7417">(F562/F510-1)*100</f>
        <v>-10.476190476190473</v>
      </c>
      <c r="AS562" s="92">
        <f t="shared" ref="AS562" si="7418">(G562/G510-1)*100</f>
        <v>-10.476190476190473</v>
      </c>
      <c r="AT562" s="92">
        <f t="shared" ref="AT562" si="7419">(H562/H510-1)*100</f>
        <v>-38.095238095238095</v>
      </c>
      <c r="AU562" s="92">
        <f t="shared" ref="AU562" si="7420">(I562/I510-1)*100</f>
        <v>-38.095238095238095</v>
      </c>
    </row>
    <row r="563" spans="1:47" x14ac:dyDescent="0.3">
      <c r="A563" s="13">
        <f t="shared" si="475"/>
        <v>41520</v>
      </c>
      <c r="B563" s="92">
        <f>TWK!B508</f>
        <v>418.75</v>
      </c>
      <c r="C563" s="92">
        <f>TWK!C508</f>
        <v>421.25</v>
      </c>
      <c r="D563" s="92">
        <f>TWK!D508</f>
        <v>425</v>
      </c>
      <c r="E563" s="92">
        <f>TWK!E508</f>
        <v>387.5</v>
      </c>
      <c r="F563" s="92">
        <f>TWK!F508</f>
        <v>431.25</v>
      </c>
      <c r="G563" s="92">
        <f>TWK!G508</f>
        <v>431.25</v>
      </c>
      <c r="H563" s="92">
        <f>TWK!H508</f>
        <v>387.5</v>
      </c>
      <c r="I563" s="92">
        <f>TWK!I508</f>
        <v>525.61863173216886</v>
      </c>
      <c r="K563" s="92">
        <f t="shared" ref="K563" si="7421">AVERAGE(B560:B563)</f>
        <v>385.10416666666663</v>
      </c>
      <c r="L563" s="92">
        <f t="shared" ref="L563" si="7422">AVERAGE(C560:C563)</f>
        <v>379.0625</v>
      </c>
      <c r="M563" s="92">
        <f t="shared" ref="M563" si="7423">AVERAGE(D560:D563)</f>
        <v>380.83333333333337</v>
      </c>
      <c r="N563" s="92">
        <f t="shared" ref="N563" si="7424">AVERAGE(E560:E563)</f>
        <v>339.79166666666663</v>
      </c>
      <c r="O563" s="92">
        <f t="shared" ref="O563" si="7425">AVERAGE(F560:F563)</f>
        <v>386.5625</v>
      </c>
      <c r="P563" s="92">
        <f t="shared" ref="P563" si="7426">AVERAGE(G560:G563)</f>
        <v>386.5625</v>
      </c>
      <c r="Q563" s="92">
        <f t="shared" ref="Q563" si="7427">AVERAGE(H560:H563)</f>
        <v>320.20833333333331</v>
      </c>
      <c r="R563" s="92">
        <f t="shared" ref="R563" si="7428">AVERAGE(I560:I563)</f>
        <v>437.63464337700145</v>
      </c>
      <c r="T563" s="92">
        <f t="shared" ref="T563" si="7429">AVERAGE(K407,K459,K511)</f>
        <v>462.6180555555556</v>
      </c>
      <c r="U563" s="92">
        <f t="shared" ref="U563" si="7430">AVERAGE(L407,L459,L511)</f>
        <v>445.625</v>
      </c>
      <c r="V563" s="92">
        <f t="shared" ref="V563" si="7431">(M407+M459+M511)/3</f>
        <v>441.90277777777777</v>
      </c>
      <c r="W563" s="92">
        <f t="shared" ref="W563" si="7432">(N407+N459+N511)/3</f>
        <v>427.77083333333331</v>
      </c>
      <c r="X563" s="92">
        <f t="shared" ref="X563" si="7433">(O407+O459+O511)/3</f>
        <v>469.18055555555549</v>
      </c>
      <c r="Y563" s="92">
        <f t="shared" ref="Y563" si="7434">(P407+P459+P511)/3</f>
        <v>469.18055555555549</v>
      </c>
      <c r="Z563" s="92">
        <f t="shared" ref="Z563" si="7435">(Q407+Q459+Q511)/3</f>
        <v>428.4305555555556</v>
      </c>
      <c r="AA563" s="92">
        <f t="shared" ref="AA563" si="7436">(R407+R459+R511)/3</f>
        <v>570.73277535177101</v>
      </c>
      <c r="AC563" s="112">
        <f>+AF563-'Figure 8_data'!I775</f>
        <v>0</v>
      </c>
      <c r="AD563" s="92">
        <f t="shared" ref="AD563" si="7437">(B563/T563-1)*100</f>
        <v>-9.4825645105603762</v>
      </c>
      <c r="AE563" s="92">
        <f t="shared" ref="AE563" si="7438">(C563/U563-1)*100</f>
        <v>-5.4698457223001373</v>
      </c>
      <c r="AF563" s="92">
        <f t="shared" ref="AF563" si="7439">(D563/V563-1)*100</f>
        <v>-3.8249992142565303</v>
      </c>
      <c r="AG563" s="92">
        <f t="shared" ref="AG563" si="7440">(E563/W563-1)*100</f>
        <v>-9.4141138654848291</v>
      </c>
      <c r="AH563" s="92">
        <f t="shared" ref="AH563" si="7441">(F563/X563-1)*100</f>
        <v>-8.0844261567152955</v>
      </c>
      <c r="AI563" s="92">
        <f t="shared" ref="AI563" si="7442">(G563/Y563-1)*100</f>
        <v>-8.0844261567152955</v>
      </c>
      <c r="AJ563" s="92">
        <f t="shared" ref="AJ563" si="7443">(H563/Z563-1)*100</f>
        <v>-9.5536032677407956</v>
      </c>
      <c r="AK563" s="92">
        <f t="shared" ref="AK563" si="7444">(I563/AA563-1)*100</f>
        <v>-7.9046001154911893</v>
      </c>
      <c r="AM563" s="112">
        <f>AP563-'Figure 8_data'!H775</f>
        <v>0</v>
      </c>
      <c r="AN563" s="92">
        <f t="shared" ref="AN563" si="7445">(B563/B511-1)*100</f>
        <v>-11.842105263157897</v>
      </c>
      <c r="AO563" s="92">
        <f t="shared" ref="AO563" si="7446">(C563/C511-1)*100</f>
        <v>-14.8989898989899</v>
      </c>
      <c r="AP563" s="92">
        <f t="shared" ref="AP563" si="7447">(D563/D511-1)*100</f>
        <v>-15.000000000000002</v>
      </c>
      <c r="AQ563" s="92">
        <f t="shared" ref="AQ563" si="7448">(E563/E511-1)*100</f>
        <v>-27.34375</v>
      </c>
      <c r="AR563" s="92">
        <f t="shared" ref="AR563" si="7449">(F563/F511-1)*100</f>
        <v>-12.878787878787879</v>
      </c>
      <c r="AS563" s="92">
        <f t="shared" ref="AS563" si="7450">(G563/G511-1)*100</f>
        <v>-12.878787878787879</v>
      </c>
      <c r="AT563" s="92">
        <f t="shared" ref="AT563" si="7451">(H563/H511-1)*100</f>
        <v>-34.042553191489368</v>
      </c>
      <c r="AU563" s="92">
        <f t="shared" ref="AU563" si="7452">(I563/I511-1)*100</f>
        <v>-34.786770256554732</v>
      </c>
    </row>
    <row r="564" spans="1:47" x14ac:dyDescent="0.3">
      <c r="A564" s="13">
        <f t="shared" si="475"/>
        <v>41527</v>
      </c>
      <c r="B564" s="92">
        <f>TWK!B509</f>
        <v>446.66666666666669</v>
      </c>
      <c r="C564" s="92">
        <f>TWK!C509</f>
        <v>446.66666666666669</v>
      </c>
      <c r="D564" s="92">
        <f>TWK!D509</f>
        <v>453.33333333333331</v>
      </c>
      <c r="E564" s="92">
        <f>TWK!E509</f>
        <v>441.66666666666669</v>
      </c>
      <c r="F564" s="92">
        <f>TWK!F509</f>
        <v>458.33333333333331</v>
      </c>
      <c r="G564" s="92">
        <f>TWK!G509</f>
        <v>458.33333333333331</v>
      </c>
      <c r="H564" s="92">
        <f>TWK!H509</f>
        <v>425</v>
      </c>
      <c r="I564" s="92">
        <f>TWK!I509</f>
        <v>582.75109170305677</v>
      </c>
      <c r="K564" s="92">
        <f t="shared" ref="K564" si="7453">AVERAGE(B561:B564)</f>
        <v>404.27083333333331</v>
      </c>
      <c r="L564" s="92">
        <f t="shared" ref="L564" si="7454">AVERAGE(C561:C564)</f>
        <v>402.39583333333331</v>
      </c>
      <c r="M564" s="92">
        <f t="shared" ref="M564" si="7455">AVERAGE(D561:D564)</f>
        <v>406.25</v>
      </c>
      <c r="N564" s="92">
        <f t="shared" ref="N564" si="7456">AVERAGE(E561:E564)</f>
        <v>373.125</v>
      </c>
      <c r="O564" s="92">
        <f t="shared" ref="O564" si="7457">AVERAGE(F561:F564)</f>
        <v>411.14583333333331</v>
      </c>
      <c r="P564" s="92">
        <f t="shared" ref="P564" si="7458">AVERAGE(G561:G564)</f>
        <v>411.14583333333331</v>
      </c>
      <c r="Q564" s="92">
        <f t="shared" ref="Q564" si="7459">AVERAGE(H561:H564)</f>
        <v>356.875</v>
      </c>
      <c r="R564" s="92">
        <f t="shared" ref="R564" si="7460">AVERAGE(I561:I564)</f>
        <v>487.91120815138282</v>
      </c>
      <c r="T564" s="92">
        <f t="shared" ref="T564" si="7461">AVERAGE(K408,K460,K512)</f>
        <v>479.6875</v>
      </c>
      <c r="U564" s="92">
        <f t="shared" ref="U564" si="7462">AVERAGE(L408,L460,L512)</f>
        <v>469.9305555555556</v>
      </c>
      <c r="V564" s="92">
        <f t="shared" ref="V564" si="7463">(M408+M460+M512)/3</f>
        <v>465.59027777777777</v>
      </c>
      <c r="W564" s="92">
        <f t="shared" ref="W564" si="7464">(N408+N460+N512)/3</f>
        <v>458.57638888888886</v>
      </c>
      <c r="X564" s="92">
        <f t="shared" ref="X564" si="7465">(O408+O460+O512)/3</f>
        <v>502.43055555555549</v>
      </c>
      <c r="Y564" s="92">
        <f t="shared" ref="Y564" si="7466">(P408+P460+P512)/3</f>
        <v>502.43055555555549</v>
      </c>
      <c r="Z564" s="92">
        <f t="shared" ref="Z564" si="7467">(Q408+Q460+Q512)/3</f>
        <v>465.34722222222217</v>
      </c>
      <c r="AA564" s="92">
        <f t="shared" ref="AA564" si="7468">(R408+R460+R512)/3</f>
        <v>611.73241145075201</v>
      </c>
      <c r="AC564" s="112">
        <f>+AF564-'Figure 8_data'!I776</f>
        <v>0</v>
      </c>
      <c r="AD564" s="92">
        <f t="shared" ref="AD564" si="7469">(B564/T564-1)*100</f>
        <v>-6.8838219326818662</v>
      </c>
      <c r="AE564" s="92">
        <f t="shared" ref="AE564" si="7470">(C564/U564-1)*100</f>
        <v>-4.9504950495049549</v>
      </c>
      <c r="AF564" s="92">
        <f t="shared" ref="AF564" si="7471">(D564/V564-1)*100</f>
        <v>-2.6325602207472598</v>
      </c>
      <c r="AG564" s="92">
        <f t="shared" ref="AG564" si="7472">(E564/W564-1)*100</f>
        <v>-3.6874384795941406</v>
      </c>
      <c r="AH564" s="92">
        <f t="shared" ref="AH564" si="7473">(F564/X564-1)*100</f>
        <v>-8.7767795438838832</v>
      </c>
      <c r="AI564" s="92">
        <f t="shared" ref="AI564" si="7474">(G564/Y564-1)*100</f>
        <v>-8.7767795438838832</v>
      </c>
      <c r="AJ564" s="92">
        <f t="shared" ref="AJ564" si="7475">(H564/Z564-1)*100</f>
        <v>-8.6703477092971113</v>
      </c>
      <c r="AK564" s="92">
        <f t="shared" ref="AK564" si="7476">(I564/AA564-1)*100</f>
        <v>-4.7375812046585359</v>
      </c>
      <c r="AM564" s="112">
        <f>AP564-'Figure 8_data'!H776</f>
        <v>0</v>
      </c>
      <c r="AN564" s="92">
        <f t="shared" ref="AN564" si="7477">(B564/B512-1)*100</f>
        <v>-16.899224806201552</v>
      </c>
      <c r="AO564" s="92">
        <f t="shared" ref="AO564" si="7478">(C564/C512-1)*100</f>
        <v>-18.042813455657491</v>
      </c>
      <c r="AP564" s="92">
        <f t="shared" ref="AP564" si="7479">(D564/D512-1)*100</f>
        <v>-17.575757575757578</v>
      </c>
      <c r="AQ564" s="92">
        <f t="shared" ref="AQ564" si="7480">(E564/E512-1)*100</f>
        <v>-26.388888888888886</v>
      </c>
      <c r="AR564" s="92">
        <f t="shared" ref="AR564" si="7481">(F564/F512-1)*100</f>
        <v>-21.98581560283688</v>
      </c>
      <c r="AS564" s="92">
        <f t="shared" ref="AS564" si="7482">(G564/G512-1)*100</f>
        <v>-21.98581560283688</v>
      </c>
      <c r="AT564" s="92">
        <f t="shared" ref="AT564" si="7483">(H564/H512-1)*100</f>
        <v>-39.285714285714292</v>
      </c>
      <c r="AU564" s="92">
        <f t="shared" ref="AU564" si="7484">(I564/I512-1)*100</f>
        <v>-39.285714285714278</v>
      </c>
    </row>
    <row r="565" spans="1:47" x14ac:dyDescent="0.3">
      <c r="A565" s="13">
        <f t="shared" si="475"/>
        <v>41534</v>
      </c>
      <c r="B565" s="92">
        <f>TWK!B510</f>
        <v>550</v>
      </c>
      <c r="C565" s="92">
        <f>TWK!C510</f>
        <v>555</v>
      </c>
      <c r="D565" s="92">
        <f>TWK!D510</f>
        <v>550</v>
      </c>
      <c r="E565" s="92">
        <f>TWK!E510</f>
        <v>538.33333333333337</v>
      </c>
      <c r="F565" s="92">
        <f>TWK!F510</f>
        <v>630</v>
      </c>
      <c r="G565" s="92">
        <f>TWK!G510</f>
        <v>630</v>
      </c>
      <c r="H565" s="92">
        <f>TWK!H510</f>
        <v>558.33333333333337</v>
      </c>
      <c r="I565" s="92">
        <f>TWK!I510</f>
        <v>765.57496360989808</v>
      </c>
      <c r="K565" s="92">
        <f t="shared" ref="K565" si="7485">AVERAGE(B562:B565)</f>
        <v>449.6875</v>
      </c>
      <c r="L565" s="92">
        <f t="shared" ref="L565" si="7486">AVERAGE(C562:C565)</f>
        <v>451.5625</v>
      </c>
      <c r="M565" s="92">
        <f t="shared" ref="M565" si="7487">AVERAGE(D562:D565)</f>
        <v>455</v>
      </c>
      <c r="N565" s="92">
        <f t="shared" ref="N565" si="7488">AVERAGE(E562:E565)</f>
        <v>430.625</v>
      </c>
      <c r="O565" s="92">
        <f t="shared" ref="O565" si="7489">AVERAGE(F562:F565)</f>
        <v>477.8125</v>
      </c>
      <c r="P565" s="92">
        <f t="shared" ref="P565" si="7490">AVERAGE(G562:G565)</f>
        <v>477.8125</v>
      </c>
      <c r="Q565" s="92">
        <f t="shared" ref="Q565" si="7491">AVERAGE(H562:H565)</f>
        <v>423.95833333333337</v>
      </c>
      <c r="R565" s="92">
        <f t="shared" ref="R565" si="7492">AVERAGE(I562:I565)</f>
        <v>579.89446870451229</v>
      </c>
      <c r="T565" s="92">
        <f t="shared" ref="T565" si="7493">AVERAGE(K409,K461,K513)</f>
        <v>510.9375</v>
      </c>
      <c r="U565" s="92">
        <f t="shared" ref="U565" si="7494">AVERAGE(L409,L461,L513)</f>
        <v>509.20138888888886</v>
      </c>
      <c r="V565" s="92">
        <f t="shared" ref="V565" si="7495">(M409+M461+M513)/3</f>
        <v>504.51388888888886</v>
      </c>
      <c r="W565" s="92">
        <f t="shared" ref="W565" si="7496">(N409+N461+N513)/3</f>
        <v>486.5625</v>
      </c>
      <c r="X565" s="92">
        <f t="shared" ref="X565" si="7497">(O409+O461+O513)/3</f>
        <v>533.92361111111109</v>
      </c>
      <c r="Y565" s="92">
        <f t="shared" ref="Y565" si="7498">(P409+P461+P513)/3</f>
        <v>533.92361111111109</v>
      </c>
      <c r="Z565" s="92">
        <f t="shared" ref="Z565" si="7499">(Q409+Q461+Q513)/3</f>
        <v>502.04861111111109</v>
      </c>
      <c r="AA565" s="92">
        <f t="shared" ref="AA565" si="7500">(R409+R461+R513)/3</f>
        <v>672.43565016982041</v>
      </c>
      <c r="AC565" s="112">
        <f>+AF565-'Figure 8_data'!I777</f>
        <v>0</v>
      </c>
      <c r="AD565" s="92">
        <f t="shared" ref="AD565" si="7501">(B565/T565-1)*100</f>
        <v>7.6452599388379117</v>
      </c>
      <c r="AE565" s="92">
        <f t="shared" ref="AE565" si="7502">(C565/U565-1)*100</f>
        <v>8.9942038868053196</v>
      </c>
      <c r="AF565" s="92">
        <f t="shared" ref="AF565" si="7503">(D565/V565-1)*100</f>
        <v>9.0158293186510807</v>
      </c>
      <c r="AG565" s="92">
        <f t="shared" ref="AG565" si="7504">(E565/W565-1)*100</f>
        <v>10.640119888674814</v>
      </c>
      <c r="AH565" s="92">
        <f t="shared" ref="AH565" si="7505">(F565/X565-1)*100</f>
        <v>17.994407231579636</v>
      </c>
      <c r="AI565" s="92">
        <f t="shared" ref="AI565" si="7506">(G565/Y565-1)*100</f>
        <v>17.994407231579636</v>
      </c>
      <c r="AJ565" s="92">
        <f t="shared" ref="AJ565" si="7507">(H565/Z565-1)*100</f>
        <v>11.211010443322511</v>
      </c>
      <c r="AK565" s="92">
        <f t="shared" ref="AK565" si="7508">(I565/AA565-1)*100</f>
        <v>13.851037406561616</v>
      </c>
      <c r="AM565" s="112">
        <f>AP565-'Figure 8_data'!H777</f>
        <v>0</v>
      </c>
      <c r="AN565" s="92">
        <f t="shared" ref="AN565" si="7509">(B565/B513-1)*100</f>
        <v>-8.3333333333333375</v>
      </c>
      <c r="AO565" s="92">
        <f t="shared" ref="AO565" si="7510">(C565/C513-1)*100</f>
        <v>-6.7226890756302504</v>
      </c>
      <c r="AP565" s="92">
        <f t="shared" ref="AP565" si="7511">(D565/D513-1)*100</f>
        <v>-12</v>
      </c>
      <c r="AQ565" s="92">
        <f t="shared" ref="AQ565" si="7512">(E565/E513-1)*100</f>
        <v>-12.108843537414959</v>
      </c>
      <c r="AR565" s="92">
        <f t="shared" ref="AR565" si="7513">(F565/F513-1)*100</f>
        <v>0.80000000000000071</v>
      </c>
      <c r="AS565" s="92">
        <f t="shared" ref="AS565" si="7514">(G565/G513-1)*100</f>
        <v>0.80000000000000071</v>
      </c>
      <c r="AT565" s="92">
        <f t="shared" ref="AT565" si="7515">(H565/H513-1)*100</f>
        <v>-25.555555555555554</v>
      </c>
      <c r="AU565" s="92">
        <f t="shared" ref="AU565" si="7516">(I565/I513-1)*100</f>
        <v>-25.555555555555564</v>
      </c>
    </row>
    <row r="566" spans="1:47" x14ac:dyDescent="0.3">
      <c r="A566" s="13">
        <f t="shared" si="475"/>
        <v>41541</v>
      </c>
      <c r="B566" s="92">
        <f>TWK!B511</f>
        <v>555</v>
      </c>
      <c r="C566" s="92">
        <f>TWK!C511</f>
        <v>570</v>
      </c>
      <c r="D566" s="92">
        <f>TWK!D511</f>
        <v>558.33333333333337</v>
      </c>
      <c r="E566" s="92">
        <f>TWK!E511</f>
        <v>591.66666666666663</v>
      </c>
      <c r="F566" s="92">
        <f>TWK!F511</f>
        <v>675</v>
      </c>
      <c r="G566" s="92">
        <f>TWK!G511</f>
        <v>675</v>
      </c>
      <c r="H566" s="92">
        <f>TWK!H511</f>
        <v>616.66666666666663</v>
      </c>
      <c r="I566" s="92">
        <f>TWK!I511</f>
        <v>845.56040756914115</v>
      </c>
      <c r="K566" s="92">
        <f t="shared" ref="K566" si="7517">AVERAGE(B563:B566)</f>
        <v>492.60416666666669</v>
      </c>
      <c r="L566" s="92">
        <f t="shared" ref="L566" si="7518">AVERAGE(C563:C566)</f>
        <v>498.22916666666669</v>
      </c>
      <c r="M566" s="92">
        <f t="shared" ref="M566" si="7519">AVERAGE(D563:D566)</f>
        <v>496.66666666666663</v>
      </c>
      <c r="N566" s="92">
        <f t="shared" ref="N566" si="7520">AVERAGE(E563:E566)</f>
        <v>489.79166666666663</v>
      </c>
      <c r="O566" s="92">
        <f t="shared" ref="O566" si="7521">AVERAGE(F563:F566)</f>
        <v>548.64583333333326</v>
      </c>
      <c r="P566" s="92">
        <f t="shared" ref="P566" si="7522">AVERAGE(G563:G566)</f>
        <v>548.64583333333326</v>
      </c>
      <c r="Q566" s="92">
        <f t="shared" ref="Q566" si="7523">AVERAGE(H563:H566)</f>
        <v>496.875</v>
      </c>
      <c r="R566" s="92">
        <f t="shared" ref="R566" si="7524">AVERAGE(I563:I566)</f>
        <v>679.87627365356627</v>
      </c>
      <c r="T566" s="92">
        <f t="shared" ref="T566" si="7525">AVERAGE(K410,K462,K514)</f>
        <v>542.53472222222217</v>
      </c>
      <c r="U566" s="92">
        <f t="shared" ref="U566" si="7526">AVERAGE(L410,L462,L514)</f>
        <v>544.34027777777783</v>
      </c>
      <c r="V566" s="92">
        <f t="shared" ref="V566" si="7527">(M410+M462+M514)/3</f>
        <v>531.875</v>
      </c>
      <c r="W566" s="92">
        <f t="shared" ref="W566" si="7528">(N410+N462+N514)/3</f>
        <v>499.82638888888891</v>
      </c>
      <c r="X566" s="92">
        <f t="shared" ref="X566" si="7529">(O410+O462+O514)/3</f>
        <v>556.25</v>
      </c>
      <c r="Y566" s="92">
        <f t="shared" ref="Y566" si="7530">(P410+P462+P514)/3</f>
        <v>556.25</v>
      </c>
      <c r="Z566" s="92">
        <f t="shared" ref="Z566" si="7531">(Q410+Q462+Q514)/3</f>
        <v>507.67361111111109</v>
      </c>
      <c r="AA566" s="92">
        <f t="shared" ref="AA566" si="7532">(R410+R462+R514)/3</f>
        <v>682.62609170305677</v>
      </c>
      <c r="AC566" s="112">
        <f>+AF566-'Figure 8_data'!I778</f>
        <v>0</v>
      </c>
      <c r="AD566" s="92">
        <f t="shared" ref="AD566" si="7533">(B566/T566-1)*100</f>
        <v>2.2976000000000107</v>
      </c>
      <c r="AE566" s="92">
        <f t="shared" ref="AE566" si="7534">(C566/U566-1)*100</f>
        <v>4.7139121005294271</v>
      </c>
      <c r="AF566" s="92">
        <f t="shared" ref="AF566" si="7535">(D566/V566-1)*100</f>
        <v>4.9745397571484551</v>
      </c>
      <c r="AG566" s="92">
        <f t="shared" ref="AG566" si="7536">(E566/W566-1)*100</f>
        <v>18.3744355679055</v>
      </c>
      <c r="AH566" s="92">
        <f t="shared" ref="AH566" si="7537">(F566/X566-1)*100</f>
        <v>21.348314606741582</v>
      </c>
      <c r="AI566" s="92">
        <f t="shared" ref="AI566" si="7538">(G566/Y566-1)*100</f>
        <v>21.348314606741582</v>
      </c>
      <c r="AJ566" s="92">
        <f t="shared" ref="AJ566" si="7539">(H566/Z566-1)*100</f>
        <v>21.46911975925039</v>
      </c>
      <c r="AK566" s="92">
        <f t="shared" ref="AK566" si="7540">(I566/AA566-1)*100</f>
        <v>23.868750088292991</v>
      </c>
      <c r="AM566" s="112">
        <f>AP566-'Figure 8_data'!H778</f>
        <v>0</v>
      </c>
      <c r="AN566" s="92">
        <f t="shared" ref="AN566" si="7541">(B566/B514-1)*100</f>
        <v>-9.9999999999999982</v>
      </c>
      <c r="AO566" s="92">
        <f t="shared" ref="AO566" si="7542">(C566/C514-1)*100</f>
        <v>-5.7851239669421517</v>
      </c>
      <c r="AP566" s="92">
        <f t="shared" ref="AP566" si="7543">(D566/D514-1)*100</f>
        <v>-8.2191780821917799</v>
      </c>
      <c r="AQ566" s="92">
        <f t="shared" ref="AQ566" si="7544">(E566/E514-1)*100</f>
        <v>-1.3888888888888951</v>
      </c>
      <c r="AR566" s="92">
        <f t="shared" ref="AR566" si="7545">(F566/F514-1)*100</f>
        <v>8.0000000000000071</v>
      </c>
      <c r="AS566" s="92">
        <f t="shared" ref="AS566" si="7546">(G566/G514-1)*100</f>
        <v>8.0000000000000071</v>
      </c>
      <c r="AT566" s="92">
        <f t="shared" ref="AT566" si="7547">(H566/H514-1)*100</f>
        <v>9.1445427728613424</v>
      </c>
      <c r="AU566" s="92">
        <f t="shared" ref="AU566" si="7548">(I566/I514-1)*100</f>
        <v>9.1445427728613424</v>
      </c>
    </row>
    <row r="567" spans="1:47" x14ac:dyDescent="0.3">
      <c r="A567" s="13">
        <f t="shared" si="475"/>
        <v>41548</v>
      </c>
      <c r="B567" s="92">
        <f>TWK!B512</f>
        <v>610</v>
      </c>
      <c r="C567" s="92">
        <f>TWK!C512</f>
        <v>610</v>
      </c>
      <c r="D567" s="92">
        <f>TWK!D512</f>
        <v>595</v>
      </c>
      <c r="E567" s="92">
        <f>TWK!E512</f>
        <v>590</v>
      </c>
      <c r="F567" s="92">
        <f>TWK!F512</f>
        <v>660</v>
      </c>
      <c r="G567" s="92">
        <f>TWK!G512</f>
        <v>660</v>
      </c>
      <c r="H567" s="92">
        <f>TWK!H512</f>
        <v>575</v>
      </c>
      <c r="I567" s="92">
        <f>TWK!I512</f>
        <v>788</v>
      </c>
      <c r="K567" s="92">
        <f t="shared" ref="K567:K570" si="7549">AVERAGE(B564:B567)</f>
        <v>540.41666666666674</v>
      </c>
      <c r="L567" s="92">
        <f t="shared" ref="L567:L570" si="7550">AVERAGE(C564:C567)</f>
        <v>545.41666666666674</v>
      </c>
      <c r="M567" s="92">
        <f t="shared" ref="M567:M570" si="7551">AVERAGE(D564:D567)</f>
        <v>539.16666666666663</v>
      </c>
      <c r="N567" s="92">
        <f t="shared" ref="N567:N570" si="7552">AVERAGE(E564:E567)</f>
        <v>540.41666666666663</v>
      </c>
      <c r="O567" s="92">
        <f t="shared" ref="O567:O570" si="7553">AVERAGE(F564:F567)</f>
        <v>605.83333333333326</v>
      </c>
      <c r="P567" s="92">
        <f t="shared" ref="P567:P570" si="7554">AVERAGE(G564:G567)</f>
        <v>605.83333333333326</v>
      </c>
      <c r="Q567" s="92">
        <f t="shared" ref="Q567:Q570" si="7555">AVERAGE(H564:H567)</f>
        <v>543.75</v>
      </c>
      <c r="R567" s="92">
        <f t="shared" ref="R567:R570" si="7556">AVERAGE(I564:I567)</f>
        <v>745.47161572052403</v>
      </c>
      <c r="T567" s="92">
        <f t="shared" ref="T567:T570" si="7557">AVERAGE(K411,K463,K515)</f>
        <v>578.50694444444446</v>
      </c>
      <c r="U567" s="92">
        <f t="shared" ref="U567:U570" si="7558">AVERAGE(L411,L463,L515)</f>
        <v>568.8888888888888</v>
      </c>
      <c r="V567" s="92">
        <f t="shared" ref="V567:V570" si="7559">(M411+M463+M515)/3</f>
        <v>563.85416666666674</v>
      </c>
      <c r="W567" s="92">
        <f t="shared" ref="W567:W570" si="7560">(N411+N463+N515)/3</f>
        <v>513.50694444444446</v>
      </c>
      <c r="X567" s="92">
        <f t="shared" ref="X567:X570" si="7561">(O411+O463+O515)/3</f>
        <v>577.70833333333337</v>
      </c>
      <c r="Y567" s="92">
        <f t="shared" ref="Y567:Y570" si="7562">(P411+P463+P515)/3</f>
        <v>577.70833333333337</v>
      </c>
      <c r="Z567" s="92">
        <f t="shared" ref="Z567:Z570" si="7563">(Q411+Q463+Q515)/3</f>
        <v>514.65277777777783</v>
      </c>
      <c r="AA567" s="92">
        <f t="shared" ref="AA567:AA570" si="7564">(R411+R463+R515)/3</f>
        <v>692.25497331392523</v>
      </c>
      <c r="AC567" s="112">
        <f>+AF567-'Figure 8_data'!I779</f>
        <v>0</v>
      </c>
      <c r="AD567" s="92">
        <f t="shared" ref="AD567:AD570" si="7565">(B567/T567-1)*100</f>
        <v>5.4438509093091669</v>
      </c>
      <c r="AE567" s="92">
        <f t="shared" ref="AE567:AE570" si="7566">(C567/U567-1)*100</f>
        <v>7.2265625000000222</v>
      </c>
      <c r="AF567" s="92">
        <f t="shared" ref="AF567:AF570" si="7567">(D567/V567-1)*100</f>
        <v>5.5237391464991514</v>
      </c>
      <c r="AG567" s="92">
        <f t="shared" ref="AG567:AG570" si="7568">(E567/W567-1)*100</f>
        <v>14.89620664007032</v>
      </c>
      <c r="AH567" s="92">
        <f t="shared" ref="AH567:AH570" si="7569">(F567/X567-1)*100</f>
        <v>14.244500540930382</v>
      </c>
      <c r="AI567" s="92">
        <f t="shared" ref="AI567:AI570" si="7570">(G567/Y567-1)*100</f>
        <v>14.244500540930382</v>
      </c>
      <c r="AJ567" s="92">
        <f t="shared" ref="AJ567:AJ570" si="7571">(H567/Z567-1)*100</f>
        <v>11.725812980704342</v>
      </c>
      <c r="AK567" s="92">
        <f t="shared" ref="AK567:AK570" si="7572">(I567/AA567-1)*100</f>
        <v>13.830890405558138</v>
      </c>
      <c r="AM567" s="112">
        <f>AP567-'Figure 8_data'!H779</f>
        <v>0</v>
      </c>
      <c r="AN567" s="92">
        <f t="shared" ref="AN567:AN570" si="7573">(B567/B515-1)*100</f>
        <v>-12.440191387559807</v>
      </c>
      <c r="AO567" s="92">
        <f t="shared" ref="AO567:AO570" si="7574">(C567/C515-1)*100</f>
        <v>-11.594202898550721</v>
      </c>
      <c r="AP567" s="92">
        <f t="shared" ref="AP567:AP570" si="7575">(D567/D515-1)*100</f>
        <v>-6.0526315789473761</v>
      </c>
      <c r="AQ567" s="92">
        <f t="shared" ref="AQ567:AQ570" si="7576">(E567/E515-1)*100</f>
        <v>-1.6666666666666718</v>
      </c>
      <c r="AR567" s="92">
        <f t="shared" ref="AR567:AR570" si="7577">(F567/F515-1)*100</f>
        <v>5.8823529411764719</v>
      </c>
      <c r="AS567" s="92">
        <f t="shared" ref="AS567:AS570" si="7578">(G567/G515-1)*100</f>
        <v>5.8823529411764719</v>
      </c>
      <c r="AT567" s="92">
        <f t="shared" ref="AT567:AT570" si="7579">(H567/H515-1)*100</f>
        <v>2.3738872403560984</v>
      </c>
      <c r="AU567" s="92">
        <f t="shared" ref="AU567:AU570" si="7580">(I567/I515-1)*100</f>
        <v>2.318320134570695</v>
      </c>
    </row>
    <row r="568" spans="1:47" x14ac:dyDescent="0.3">
      <c r="A568" s="13">
        <f t="shared" ref="A568:A622" si="7581">7+A567</f>
        <v>41555</v>
      </c>
      <c r="B568" s="92">
        <f>TWK!B513</f>
        <v>575</v>
      </c>
      <c r="C568" s="92">
        <f>TWK!C513</f>
        <v>570</v>
      </c>
      <c r="D568" s="92">
        <f>TWK!D513</f>
        <v>550</v>
      </c>
      <c r="E568" s="92">
        <f>TWK!E513</f>
        <v>525</v>
      </c>
      <c r="F568" s="92">
        <f>TWK!F513</f>
        <v>590</v>
      </c>
      <c r="G568" s="92">
        <f>TWK!G513</f>
        <v>590</v>
      </c>
      <c r="H568" s="92">
        <f>TWK!H513</f>
        <v>475</v>
      </c>
      <c r="I568" s="92">
        <f>TWK!I513</f>
        <v>651</v>
      </c>
      <c r="K568" s="92">
        <f t="shared" si="7549"/>
        <v>572.5</v>
      </c>
      <c r="L568" s="92">
        <f t="shared" si="7550"/>
        <v>576.25</v>
      </c>
      <c r="M568" s="92">
        <f t="shared" si="7551"/>
        <v>563.33333333333337</v>
      </c>
      <c r="N568" s="92">
        <f t="shared" si="7552"/>
        <v>561.25</v>
      </c>
      <c r="O568" s="92">
        <f t="shared" si="7553"/>
        <v>638.75</v>
      </c>
      <c r="P568" s="92">
        <f t="shared" si="7554"/>
        <v>638.75</v>
      </c>
      <c r="Q568" s="92">
        <f t="shared" si="7555"/>
        <v>556.25</v>
      </c>
      <c r="R568" s="92">
        <f t="shared" si="7556"/>
        <v>762.53384279475983</v>
      </c>
      <c r="T568" s="92">
        <f t="shared" si="7557"/>
        <v>592.77777777777771</v>
      </c>
      <c r="U568" s="92">
        <f t="shared" si="7558"/>
        <v>576.04166666666663</v>
      </c>
      <c r="V568" s="92">
        <f t="shared" si="7559"/>
        <v>574.06250000000011</v>
      </c>
      <c r="W568" s="92">
        <f t="shared" si="7560"/>
        <v>514.8611111111112</v>
      </c>
      <c r="X568" s="92">
        <f t="shared" si="7561"/>
        <v>588.19444444444446</v>
      </c>
      <c r="Y568" s="92">
        <f t="shared" si="7562"/>
        <v>588.19444444444446</v>
      </c>
      <c r="Z568" s="92">
        <f t="shared" si="7563"/>
        <v>503.54166666666669</v>
      </c>
      <c r="AA568" s="92">
        <f t="shared" si="7564"/>
        <v>690.44577874818049</v>
      </c>
      <c r="AC568" s="112">
        <f>+AF568-'Figure 8_data'!I780</f>
        <v>0</v>
      </c>
      <c r="AD568" s="92">
        <f t="shared" si="7565"/>
        <v>-2.9990627928772162</v>
      </c>
      <c r="AE568" s="92">
        <f t="shared" si="7566"/>
        <v>-1.0488245931283835</v>
      </c>
      <c r="AF568" s="92">
        <f t="shared" si="7567"/>
        <v>-4.1916167664670878</v>
      </c>
      <c r="AG568" s="92">
        <f t="shared" si="7568"/>
        <v>1.9692473698408319</v>
      </c>
      <c r="AH568" s="92">
        <f t="shared" si="7569"/>
        <v>0.30696576151121313</v>
      </c>
      <c r="AI568" s="92">
        <f t="shared" si="7570"/>
        <v>0.30696576151121313</v>
      </c>
      <c r="AJ568" s="92">
        <f t="shared" si="7571"/>
        <v>-5.668183698800167</v>
      </c>
      <c r="AK568" s="92">
        <f t="shared" si="7572"/>
        <v>-5.7130885526880952</v>
      </c>
      <c r="AM568" s="112">
        <f>AP568-'Figure 8_data'!H780</f>
        <v>0</v>
      </c>
      <c r="AN568" s="92">
        <f t="shared" si="7573"/>
        <v>0</v>
      </c>
      <c r="AO568" s="92">
        <f t="shared" si="7574"/>
        <v>6.0465116279069697</v>
      </c>
      <c r="AP568" s="92">
        <f t="shared" si="7575"/>
        <v>7.3170731707317138</v>
      </c>
      <c r="AQ568" s="92">
        <f t="shared" si="7576"/>
        <v>6.0606060606060552</v>
      </c>
      <c r="AR568" s="92">
        <f t="shared" si="7577"/>
        <v>15.121951219512187</v>
      </c>
      <c r="AS568" s="92">
        <f t="shared" si="7578"/>
        <v>15.121951219512187</v>
      </c>
      <c r="AT568" s="92">
        <f t="shared" si="7579"/>
        <v>0</v>
      </c>
      <c r="AU568" s="92">
        <f t="shared" si="7580"/>
        <v>-4.7603084143477137E-2</v>
      </c>
    </row>
    <row r="569" spans="1:47" x14ac:dyDescent="0.3">
      <c r="A569" s="13">
        <f t="shared" si="7581"/>
        <v>41562</v>
      </c>
      <c r="B569" s="92">
        <f>TWK!B514</f>
        <v>615</v>
      </c>
      <c r="C569" s="92">
        <f>TWK!C514</f>
        <v>625</v>
      </c>
      <c r="D569" s="92">
        <f>TWK!D514</f>
        <v>625</v>
      </c>
      <c r="E569" s="92">
        <f>TWK!E514</f>
        <v>545</v>
      </c>
      <c r="F569" s="92">
        <f>TWK!F514</f>
        <v>630</v>
      </c>
      <c r="G569" s="92">
        <f>TWK!G514</f>
        <v>630</v>
      </c>
      <c r="H569" s="92">
        <f>TWK!H514</f>
        <v>480</v>
      </c>
      <c r="I569" s="92">
        <f>TWK!I514</f>
        <v>658</v>
      </c>
      <c r="K569" s="92">
        <f t="shared" si="7549"/>
        <v>588.75</v>
      </c>
      <c r="L569" s="92">
        <f t="shared" si="7550"/>
        <v>593.75</v>
      </c>
      <c r="M569" s="92">
        <f t="shared" si="7551"/>
        <v>582.08333333333337</v>
      </c>
      <c r="N569" s="92">
        <f t="shared" si="7552"/>
        <v>562.91666666666663</v>
      </c>
      <c r="O569" s="92">
        <f t="shared" si="7553"/>
        <v>638.75</v>
      </c>
      <c r="P569" s="92">
        <f t="shared" si="7554"/>
        <v>638.75</v>
      </c>
      <c r="Q569" s="92">
        <f t="shared" si="7555"/>
        <v>536.66666666666663</v>
      </c>
      <c r="R569" s="92">
        <f t="shared" si="7556"/>
        <v>735.64010189228532</v>
      </c>
      <c r="T569" s="92">
        <f t="shared" si="7557"/>
        <v>583.44444444444446</v>
      </c>
      <c r="U569" s="92">
        <f t="shared" si="7558"/>
        <v>565.75</v>
      </c>
      <c r="V569" s="92">
        <f t="shared" si="7559"/>
        <v>562.40972222222229</v>
      </c>
      <c r="W569" s="92">
        <f t="shared" si="7560"/>
        <v>508.82638888888891</v>
      </c>
      <c r="X569" s="92">
        <f t="shared" si="7561"/>
        <v>583.86805555555554</v>
      </c>
      <c r="Y569" s="92">
        <f t="shared" si="7562"/>
        <v>583.84722222222217</v>
      </c>
      <c r="Z569" s="92">
        <f t="shared" si="7563"/>
        <v>477.95833333333331</v>
      </c>
      <c r="AA569" s="92">
        <f t="shared" si="7564"/>
        <v>654.86499272197955</v>
      </c>
      <c r="AC569" s="112">
        <f>+AF569-'Figure 8_data'!I781</f>
        <v>0</v>
      </c>
      <c r="AD569" s="92">
        <f t="shared" si="7565"/>
        <v>5.4084936202628109</v>
      </c>
      <c r="AE569" s="92">
        <f t="shared" si="7566"/>
        <v>10.472823685373388</v>
      </c>
      <c r="AF569" s="92">
        <f t="shared" si="7567"/>
        <v>11.12894662106263</v>
      </c>
      <c r="AG569" s="92">
        <f t="shared" si="7568"/>
        <v>7.1092246591420771</v>
      </c>
      <c r="AH569" s="92">
        <f t="shared" si="7569"/>
        <v>7.9010906668886882</v>
      </c>
      <c r="AI569" s="92">
        <f t="shared" si="7570"/>
        <v>7.9049408854104719</v>
      </c>
      <c r="AJ569" s="92">
        <f t="shared" si="7571"/>
        <v>0.42716415308168276</v>
      </c>
      <c r="AK569" s="92">
        <f t="shared" si="7572"/>
        <v>0.47872573932981055</v>
      </c>
      <c r="AM569" s="112">
        <f>AP569-'Figure 8_data'!H781</f>
        <v>0</v>
      </c>
      <c r="AN569" s="92">
        <f t="shared" si="7573"/>
        <v>17.142857142857149</v>
      </c>
      <c r="AO569" s="92">
        <f t="shared" si="7574"/>
        <v>25</v>
      </c>
      <c r="AP569" s="92">
        <f t="shared" si="7575"/>
        <v>25</v>
      </c>
      <c r="AQ569" s="92">
        <f t="shared" si="7576"/>
        <v>9.0000000000000071</v>
      </c>
      <c r="AR569" s="92">
        <f t="shared" si="7577"/>
        <v>14.54545454545455</v>
      </c>
      <c r="AS569" s="92">
        <f t="shared" si="7578"/>
        <v>14.54545454545455</v>
      </c>
      <c r="AT569" s="92">
        <f t="shared" si="7579"/>
        <v>12.941176470588234</v>
      </c>
      <c r="AU569" s="92">
        <f t="shared" si="7580"/>
        <v>12.912701386286995</v>
      </c>
    </row>
    <row r="570" spans="1:47" x14ac:dyDescent="0.3">
      <c r="A570" s="13">
        <f t="shared" si="7581"/>
        <v>41569</v>
      </c>
      <c r="B570" s="92">
        <f>TWK!B515</f>
        <v>616.66666666666663</v>
      </c>
      <c r="C570" s="92">
        <f>TWK!C515</f>
        <v>630.66666666666663</v>
      </c>
      <c r="D570" s="92">
        <f>TWK!D515</f>
        <v>640.66666666666663</v>
      </c>
      <c r="E570" s="92">
        <f>TWK!E515</f>
        <v>568.33333333333337</v>
      </c>
      <c r="F570" s="92">
        <f>TWK!F515</f>
        <v>694</v>
      </c>
      <c r="G570" s="92">
        <f>TWK!G515</f>
        <v>694</v>
      </c>
      <c r="H570" s="92">
        <f>TWK!H515</f>
        <v>511.66666666666669</v>
      </c>
      <c r="I570" s="92">
        <f>TWK!I515</f>
        <v>700</v>
      </c>
      <c r="K570" s="92">
        <f t="shared" si="7549"/>
        <v>604.16666666666663</v>
      </c>
      <c r="L570" s="92">
        <f t="shared" si="7550"/>
        <v>608.91666666666663</v>
      </c>
      <c r="M570" s="92">
        <f t="shared" si="7551"/>
        <v>602.66666666666663</v>
      </c>
      <c r="N570" s="92">
        <f t="shared" si="7552"/>
        <v>557.08333333333337</v>
      </c>
      <c r="O570" s="92">
        <f t="shared" si="7553"/>
        <v>643.5</v>
      </c>
      <c r="P570" s="92">
        <f t="shared" si="7554"/>
        <v>643.5</v>
      </c>
      <c r="Q570" s="92">
        <f t="shared" si="7555"/>
        <v>510.41666666666669</v>
      </c>
      <c r="R570" s="92">
        <f t="shared" si="7556"/>
        <v>699.25</v>
      </c>
      <c r="T570" s="92">
        <f t="shared" si="7557"/>
        <v>602.39583333333337</v>
      </c>
      <c r="U570" s="92">
        <f t="shared" si="7558"/>
        <v>566.73611111111109</v>
      </c>
      <c r="V570" s="92">
        <f t="shared" si="7559"/>
        <v>549.14583333333337</v>
      </c>
      <c r="W570" s="92">
        <f t="shared" si="7560"/>
        <v>502.22916666666669</v>
      </c>
      <c r="X570" s="92">
        <f t="shared" si="7561"/>
        <v>562.47916666666663</v>
      </c>
      <c r="Y570" s="92">
        <f t="shared" si="7562"/>
        <v>562.45833333333337</v>
      </c>
      <c r="Z570" s="92">
        <f t="shared" si="7563"/>
        <v>475.63194444444451</v>
      </c>
      <c r="AA570" s="92">
        <f t="shared" si="7564"/>
        <v>651.67509704027168</v>
      </c>
      <c r="AC570" s="112">
        <f>+AF570-'Figure 8_data'!I782</f>
        <v>0</v>
      </c>
      <c r="AD570" s="92">
        <f t="shared" si="7565"/>
        <v>2.3690126232059461</v>
      </c>
      <c r="AE570" s="92">
        <f t="shared" si="7566"/>
        <v>11.280480333292498</v>
      </c>
      <c r="AF570" s="92">
        <f t="shared" si="7567"/>
        <v>16.666034371561889</v>
      </c>
      <c r="AG570" s="92">
        <f t="shared" si="7568"/>
        <v>13.16215207201228</v>
      </c>
      <c r="AH570" s="92">
        <f t="shared" si="7569"/>
        <v>23.382347494351642</v>
      </c>
      <c r="AI570" s="92">
        <f t="shared" si="7570"/>
        <v>23.386917549448107</v>
      </c>
      <c r="AJ570" s="92">
        <f t="shared" si="7571"/>
        <v>7.5761778919857914</v>
      </c>
      <c r="AK570" s="92">
        <f t="shared" si="7572"/>
        <v>7.415490200439856</v>
      </c>
      <c r="AM570" s="112">
        <f>AP570-'Figure 8_data'!H782</f>
        <v>0</v>
      </c>
      <c r="AN570" s="92">
        <f t="shared" si="7573"/>
        <v>-3.645833333333337</v>
      </c>
      <c r="AO570" s="92">
        <f t="shared" si="7574"/>
        <v>12.118518518518506</v>
      </c>
      <c r="AP570" s="92">
        <f t="shared" si="7575"/>
        <v>9.0496453900709142</v>
      </c>
      <c r="AQ570" s="92">
        <f t="shared" si="7576"/>
        <v>-7.2108843537414868</v>
      </c>
      <c r="AR570" s="92">
        <f t="shared" si="7577"/>
        <v>21.754385964912281</v>
      </c>
      <c r="AS570" s="92">
        <f t="shared" si="7578"/>
        <v>21.754385964912281</v>
      </c>
      <c r="AT570" s="92">
        <f t="shared" si="7579"/>
        <v>-22.767295597484271</v>
      </c>
      <c r="AU570" s="92">
        <f t="shared" si="7580"/>
        <v>-22.941954092056239</v>
      </c>
    </row>
    <row r="571" spans="1:47" x14ac:dyDescent="0.3">
      <c r="A571" s="13">
        <f t="shared" si="7581"/>
        <v>41576</v>
      </c>
      <c r="B571" s="92">
        <f>TWK!B516</f>
        <v>563.33333333333337</v>
      </c>
      <c r="C571" s="92">
        <f>TWK!C516</f>
        <v>591.66666666666663</v>
      </c>
      <c r="D571" s="92">
        <f>TWK!D516</f>
        <v>618.33333333333337</v>
      </c>
      <c r="E571" s="92">
        <f>TWK!E516</f>
        <v>560</v>
      </c>
      <c r="F571" s="92">
        <f>TWK!F516</f>
        <v>725</v>
      </c>
      <c r="G571" s="92">
        <f>TWK!G516</f>
        <v>725</v>
      </c>
      <c r="H571" s="92">
        <f>TWK!H516</f>
        <v>600</v>
      </c>
      <c r="I571" s="92">
        <f>TWK!I516</f>
        <v>0</v>
      </c>
      <c r="K571" s="92">
        <f t="shared" ref="K571" si="7582">AVERAGE(B568:B571)</f>
        <v>592.5</v>
      </c>
      <c r="L571" s="92">
        <f t="shared" ref="L571" si="7583">AVERAGE(C568:C571)</f>
        <v>604.33333333333326</v>
      </c>
      <c r="M571" s="92">
        <f t="shared" ref="M571" si="7584">AVERAGE(D568:D571)</f>
        <v>608.5</v>
      </c>
      <c r="N571" s="92">
        <f t="shared" ref="N571" si="7585">AVERAGE(E568:E571)</f>
        <v>549.58333333333337</v>
      </c>
      <c r="O571" s="92">
        <f t="shared" ref="O571" si="7586">AVERAGE(F568:F571)</f>
        <v>659.75</v>
      </c>
      <c r="P571" s="92">
        <f t="shared" ref="P571" si="7587">AVERAGE(G568:G571)</f>
        <v>659.75</v>
      </c>
      <c r="Q571" s="92">
        <f t="shared" ref="Q571" si="7588">AVERAGE(H568:H571)</f>
        <v>516.66666666666674</v>
      </c>
      <c r="R571" s="92">
        <f t="shared" ref="R571" si="7589">AVERAGE(I568:I571)</f>
        <v>502.25</v>
      </c>
      <c r="T571" s="92">
        <f t="shared" ref="T571" si="7590">AVERAGE(K415,K467,K519)</f>
        <v>599.2986111111112</v>
      </c>
      <c r="U571" s="92">
        <f t="shared" ref="U571" si="7591">AVERAGE(L415,L467,L519)</f>
        <v>565.625</v>
      </c>
      <c r="V571" s="92">
        <f t="shared" ref="V571" si="7592">(M415+M467+M519)/3</f>
        <v>518.86805555555554</v>
      </c>
      <c r="W571" s="92">
        <f t="shared" ref="W571" si="7593">(N415+N467+N519)/3</f>
        <v>486.56944444444451</v>
      </c>
      <c r="X571" s="92">
        <f t="shared" ref="X571" si="7594">(O415+O467+O519)/3</f>
        <v>527.24305555555554</v>
      </c>
      <c r="Y571" s="92">
        <f t="shared" ref="Y571" si="7595">(P415+P467+P519)/3</f>
        <v>527.22222222222217</v>
      </c>
      <c r="Z571" s="92">
        <f t="shared" ref="Z571" si="7596">(Q415+Q467+Q519)/3</f>
        <v>453.34722222222217</v>
      </c>
      <c r="AA571" s="92">
        <f t="shared" ref="AA571" si="7597">(R415+R467+R519)/3</f>
        <v>621.16387675885483</v>
      </c>
      <c r="AC571" s="112">
        <f>+AF571-'Figure 8_data'!I783</f>
        <v>0</v>
      </c>
      <c r="AD571" s="92">
        <f t="shared" ref="AD571" si="7598">(B571/T571-1)*100</f>
        <v>-6.001228287697435</v>
      </c>
      <c r="AE571" s="92">
        <f t="shared" ref="AE571" si="7599">(C571/U571-1)*100</f>
        <v>4.6040515653775316</v>
      </c>
      <c r="AF571" s="92">
        <f t="shared" ref="AF571" si="7600">(D571/V571-1)*100</f>
        <v>19.16966687634676</v>
      </c>
      <c r="AG571" s="92">
        <f t="shared" ref="AG571" si="7601">(E571/W571-1)*100</f>
        <v>15.091485171124353</v>
      </c>
      <c r="AH571" s="92">
        <f t="shared" ref="AH571" si="7602">(F571/X571-1)*100</f>
        <v>37.507738103078125</v>
      </c>
      <c r="AI571" s="92">
        <f t="shared" ref="AI571" si="7603">(G571/Y571-1)*100</f>
        <v>37.513171759747109</v>
      </c>
      <c r="AJ571" s="92">
        <f t="shared" ref="AJ571" si="7604">(H571/Z571-1)*100</f>
        <v>32.3488863699029</v>
      </c>
      <c r="AK571" s="92">
        <f t="shared" ref="AK571" si="7605">(I571/AA571-1)*100</f>
        <v>-100</v>
      </c>
      <c r="AM571" s="112">
        <f>AP571-'Figure 8_data'!H783</f>
        <v>0</v>
      </c>
      <c r="AN571" s="92">
        <f t="shared" ref="AN571" si="7606">(B571/B519-1)*100</f>
        <v>-8.8948787061994601</v>
      </c>
      <c r="AO571" s="92">
        <f t="shared" ref="AO571" si="7607">(C571/C519-1)*100</f>
        <v>7.575757575757569</v>
      </c>
      <c r="AP571" s="92">
        <f t="shared" ref="AP571" si="7608">(D571/D519-1)*100</f>
        <v>13.109756097560998</v>
      </c>
      <c r="AQ571" s="92">
        <f t="shared" ref="AQ571" si="7609">(E571/E519-1)*100</f>
        <v>-11.578947368421055</v>
      </c>
      <c r="AR571" s="92">
        <f t="shared" ref="AR571" si="7610">(F571/F519-1)*100</f>
        <v>27.941176470588246</v>
      </c>
      <c r="AS571" s="92">
        <f t="shared" ref="AS571" si="7611">(G571/G519-1)*100</f>
        <v>27.941176470588246</v>
      </c>
      <c r="AT571" s="92">
        <f t="shared" ref="AT571" si="7612">(H571/H519-1)*100</f>
        <v>-2.7027027027026973</v>
      </c>
      <c r="AU571" s="92">
        <f t="shared" ref="AU571" si="7613">(I571/I519-1)*100</f>
        <v>-100</v>
      </c>
    </row>
    <row r="572" spans="1:47" x14ac:dyDescent="0.3">
      <c r="A572" s="13">
        <f t="shared" si="7581"/>
        <v>41583</v>
      </c>
      <c r="B572" s="92">
        <f>TWK!B517</f>
        <v>503.33333333333331</v>
      </c>
      <c r="C572" s="92">
        <f>TWK!C517</f>
        <v>546.66666666666663</v>
      </c>
      <c r="D572" s="92">
        <f>TWK!D517</f>
        <v>583.33333333333337</v>
      </c>
      <c r="E572" s="92">
        <f>TWK!E517</f>
        <v>540</v>
      </c>
      <c r="F572" s="92">
        <f>TWK!F517</f>
        <v>575</v>
      </c>
      <c r="G572" s="92">
        <f>TWK!G517</f>
        <v>575</v>
      </c>
      <c r="H572" s="92">
        <f>TWK!H517</f>
        <v>456.66666666666669</v>
      </c>
      <c r="I572" s="92">
        <f>TWK!I517</f>
        <v>570.49490538573502</v>
      </c>
      <c r="K572" s="92">
        <f t="shared" ref="K572" si="7614">AVERAGE(B569:B572)</f>
        <v>574.58333333333337</v>
      </c>
      <c r="L572" s="92">
        <f t="shared" ref="L572" si="7615">AVERAGE(C569:C572)</f>
        <v>598.49999999999989</v>
      </c>
      <c r="M572" s="92">
        <f t="shared" ref="M572" si="7616">AVERAGE(D569:D572)</f>
        <v>616.83333333333337</v>
      </c>
      <c r="N572" s="92">
        <f t="shared" ref="N572" si="7617">AVERAGE(E569:E572)</f>
        <v>553.33333333333337</v>
      </c>
      <c r="O572" s="92">
        <f t="shared" ref="O572" si="7618">AVERAGE(F569:F572)</f>
        <v>656</v>
      </c>
      <c r="P572" s="92">
        <f t="shared" ref="P572" si="7619">AVERAGE(G569:G572)</f>
        <v>656</v>
      </c>
      <c r="Q572" s="92">
        <f t="shared" ref="Q572" si="7620">AVERAGE(H569:H572)</f>
        <v>512.08333333333337</v>
      </c>
      <c r="R572" s="92">
        <f t="shared" ref="R572" si="7621">AVERAGE(I569:I572)</f>
        <v>482.12372634643373</v>
      </c>
      <c r="T572" s="92">
        <f t="shared" ref="T572" si="7622">AVERAGE(K416,K468,K520)</f>
        <v>582.08333333333337</v>
      </c>
      <c r="U572" s="92">
        <f t="shared" ref="U572" si="7623">AVERAGE(L416,L468,L520)</f>
        <v>529.30555555555554</v>
      </c>
      <c r="V572" s="92">
        <f t="shared" ref="V572" si="7624">(M416+M468+M520)/3</f>
        <v>507.65277777777777</v>
      </c>
      <c r="W572" s="92">
        <f t="shared" ref="W572" si="7625">(N416+N468+N520)/3</f>
        <v>478.13194444444451</v>
      </c>
      <c r="X572" s="92">
        <f t="shared" ref="X572" si="7626">(O416+O468+O520)/3</f>
        <v>494.95138888888886</v>
      </c>
      <c r="Y572" s="92">
        <f t="shared" ref="Y572" si="7627">(P416+P468+P520)/3</f>
        <v>494.93055555555549</v>
      </c>
      <c r="Z572" s="92">
        <f t="shared" ref="Z572" si="7628">(Q416+Q468+Q520)/3</f>
        <v>422.93055555555549</v>
      </c>
      <c r="AA572" s="92">
        <f t="shared" ref="AA572" si="7629">(R416+R468+R520)/3</f>
        <v>579.45718098010673</v>
      </c>
      <c r="AC572" s="112">
        <f>+AF572-'Figure 8_data'!I784</f>
        <v>0</v>
      </c>
      <c r="AD572" s="92">
        <f t="shared" ref="AD572" si="7630">(B572/T572-1)*100</f>
        <v>-13.528990694345033</v>
      </c>
      <c r="AE572" s="92">
        <f t="shared" ref="AE572" si="7631">(C572/U572-1)*100</f>
        <v>3.2799790081343483</v>
      </c>
      <c r="AF572" s="92">
        <f t="shared" ref="AF572" si="7632">(D572/V572-1)*100</f>
        <v>14.90793685535281</v>
      </c>
      <c r="AG572" s="92">
        <f t="shared" ref="AG572" si="7633">(E572/W572-1)*100</f>
        <v>12.939536099693516</v>
      </c>
      <c r="AH572" s="92">
        <f t="shared" ref="AH572" si="7634">(F572/X572-1)*100</f>
        <v>16.173024848119223</v>
      </c>
      <c r="AI572" s="92">
        <f t="shared" ref="AI572" si="7635">(G572/Y572-1)*100</f>
        <v>16.177914971236152</v>
      </c>
      <c r="AJ572" s="92">
        <f t="shared" ref="AJ572" si="7636">(H572/Z572-1)*100</f>
        <v>7.9767495320350879</v>
      </c>
      <c r="AK572" s="92">
        <f t="shared" ref="AK572" si="7637">(I572/AA572-1)*100</f>
        <v>-1.5466674481818821</v>
      </c>
      <c r="AM572" s="112">
        <f>AP572-'Figure 8_data'!H784</f>
        <v>0</v>
      </c>
      <c r="AN572" s="92">
        <f t="shared" ref="AN572" si="7638">(B572/B520-1)*100</f>
        <v>-14.326241134751772</v>
      </c>
      <c r="AO572" s="92">
        <f t="shared" ref="AO572" si="7639">(C572/C520-1)*100</f>
        <v>-12.53333333333334</v>
      </c>
      <c r="AP572" s="92">
        <f t="shared" ref="AP572" si="7640">(D572/D520-1)*100</f>
        <v>-1.9607843137254832</v>
      </c>
      <c r="AQ572" s="92">
        <f t="shared" ref="AQ572" si="7641">(E572/E520-1)*100</f>
        <v>-13.600000000000001</v>
      </c>
      <c r="AR572" s="92">
        <f t="shared" ref="AR572" si="7642">(F572/F520-1)*100</f>
        <v>14.999999999999991</v>
      </c>
      <c r="AS572" s="92">
        <f t="shared" ref="AS572" si="7643">(G572/G520-1)*100</f>
        <v>14.999999999999991</v>
      </c>
      <c r="AT572" s="92">
        <f t="shared" ref="AT572" si="7644">(H572/H520-1)*100</f>
        <v>7.4509803921568585</v>
      </c>
      <c r="AU572" s="92">
        <f t="shared" ref="AU572" si="7645">(I572/I520-1)*100</f>
        <v>-2.1031597352316855</v>
      </c>
    </row>
    <row r="573" spans="1:47" x14ac:dyDescent="0.3">
      <c r="A573" s="13">
        <f t="shared" si="7581"/>
        <v>41590</v>
      </c>
      <c r="B573" s="92">
        <f>TWK!B518</f>
        <v>475</v>
      </c>
      <c r="C573" s="92">
        <f>TWK!C518</f>
        <v>536.66666666666663</v>
      </c>
      <c r="D573" s="92">
        <f>TWK!D518</f>
        <v>691.66666666666663</v>
      </c>
      <c r="E573" s="92">
        <f>TWK!E518</f>
        <v>600</v>
      </c>
      <c r="F573" s="92">
        <f>TWK!F518</f>
        <v>750</v>
      </c>
      <c r="G573" s="92">
        <f>TWK!G518</f>
        <v>750</v>
      </c>
      <c r="H573" s="92">
        <f>TWK!H518</f>
        <v>566.66666666666663</v>
      </c>
      <c r="I573" s="92">
        <f>TWK!I518</f>
        <v>675.61863173216886</v>
      </c>
      <c r="K573" s="92">
        <f t="shared" ref="K573" si="7646">AVERAGE(B570:B573)</f>
        <v>539.58333333333326</v>
      </c>
      <c r="L573" s="92">
        <f t="shared" ref="L573" si="7647">AVERAGE(C570:C573)</f>
        <v>576.41666666666663</v>
      </c>
      <c r="M573" s="92">
        <f t="shared" ref="M573" si="7648">AVERAGE(D570:D573)</f>
        <v>633.5</v>
      </c>
      <c r="N573" s="92">
        <f t="shared" ref="N573" si="7649">AVERAGE(E570:E573)</f>
        <v>567.08333333333337</v>
      </c>
      <c r="O573" s="92">
        <f t="shared" ref="O573" si="7650">AVERAGE(F570:F573)</f>
        <v>686</v>
      </c>
      <c r="P573" s="92">
        <f t="shared" ref="P573" si="7651">AVERAGE(G570:G573)</f>
        <v>686</v>
      </c>
      <c r="Q573" s="92">
        <f t="shared" ref="Q573" si="7652">AVERAGE(H570:H573)</f>
        <v>533.75</v>
      </c>
      <c r="R573" s="92">
        <f t="shared" ref="R573" si="7653">AVERAGE(I570:I573)</f>
        <v>486.52838427947597</v>
      </c>
      <c r="T573" s="92">
        <f t="shared" ref="T573" si="7654">AVERAGE(K417,K469,K521)</f>
        <v>554.44444444444446</v>
      </c>
      <c r="U573" s="92">
        <f t="shared" ref="U573" si="7655">AVERAGE(L417,L469,L521)</f>
        <v>506.28472222222223</v>
      </c>
      <c r="V573" s="92">
        <f t="shared" ref="V573" si="7656">(M417+M469+M521)/3</f>
        <v>494.16666666666669</v>
      </c>
      <c r="W573" s="92">
        <f t="shared" ref="W573" si="7657">(N417+N469+N521)/3</f>
        <v>454.89583333333331</v>
      </c>
      <c r="X573" s="92">
        <f t="shared" ref="X573" si="7658">(O417+O469+O521)/3</f>
        <v>463.1319444444444</v>
      </c>
      <c r="Y573" s="92">
        <f t="shared" ref="Y573" si="7659">(P417+P469+P521)/3</f>
        <v>463.1319444444444</v>
      </c>
      <c r="Z573" s="92">
        <f t="shared" ref="Z573" si="7660">(Q417+Q469+Q521)/3</f>
        <v>396.08333333333331</v>
      </c>
      <c r="AA573" s="92">
        <f t="shared" ref="AA573" si="7661">(R417+R469+R521)/3</f>
        <v>543.14628820960695</v>
      </c>
      <c r="AC573" s="112">
        <f>+AF573-'Figure 8_data'!I785</f>
        <v>0</v>
      </c>
      <c r="AD573" s="92">
        <f t="shared" ref="AD573" si="7662">(B573/T573-1)*100</f>
        <v>-14.328657314629256</v>
      </c>
      <c r="AE573" s="92">
        <f t="shared" ref="AE573" si="7663">(C573/U573-1)*100</f>
        <v>6.0009601536245682</v>
      </c>
      <c r="AF573" s="92">
        <f t="shared" ref="AF573" si="7664">(D573/V573-1)*100</f>
        <v>39.966273187183802</v>
      </c>
      <c r="AG573" s="92">
        <f t="shared" ref="AG573" si="7665">(E573/W573-1)*100</f>
        <v>31.898328371880027</v>
      </c>
      <c r="AH573" s="92">
        <f t="shared" ref="AH573" si="7666">(F573/X573-1)*100</f>
        <v>61.940891574575296</v>
      </c>
      <c r="AI573" s="92">
        <f t="shared" ref="AI573" si="7667">(G573/Y573-1)*100</f>
        <v>61.940891574575296</v>
      </c>
      <c r="AJ573" s="92">
        <f t="shared" ref="AJ573" si="7668">(H573/Z573-1)*100</f>
        <v>43.067536292867658</v>
      </c>
      <c r="AK573" s="92">
        <f t="shared" ref="AK573" si="7669">(I573/AA573-1)*100</f>
        <v>24.389809227866643</v>
      </c>
      <c r="AM573" s="112">
        <f>AP573-'Figure 8_data'!H785</f>
        <v>0</v>
      </c>
      <c r="AN573" s="92">
        <f t="shared" ref="AN573" si="7670">(B573/B521-1)*100</f>
        <v>-13.636363636363635</v>
      </c>
      <c r="AO573" s="92">
        <f t="shared" ref="AO573" si="7671">(C573/C521-1)*100</f>
        <v>-3.880597014925391</v>
      </c>
      <c r="AP573" s="92">
        <f t="shared" ref="AP573" si="7672">(D573/D521-1)*100</f>
        <v>29.687499999999979</v>
      </c>
      <c r="AQ573" s="92">
        <f t="shared" ref="AQ573" si="7673">(E573/E521-1)*100</f>
        <v>19.999999999999996</v>
      </c>
      <c r="AR573" s="92">
        <f t="shared" ref="AR573" si="7674">(F573/F521-1)*100</f>
        <v>79.999999999999986</v>
      </c>
      <c r="AS573" s="92">
        <f t="shared" ref="AS573" si="7675">(G573/G521-1)*100</f>
        <v>79.999999999999986</v>
      </c>
      <c r="AT573" s="92">
        <f t="shared" ref="AT573" si="7676">(H573/H521-1)*100</f>
        <v>47.826086956521728</v>
      </c>
      <c r="AU573" s="92">
        <f t="shared" ref="AU573" si="7677">(I573/I521-1)*100</f>
        <v>28.537801163112707</v>
      </c>
    </row>
    <row r="574" spans="1:47" x14ac:dyDescent="0.3">
      <c r="A574" s="13">
        <f t="shared" si="7581"/>
        <v>41597</v>
      </c>
      <c r="B574" s="92">
        <f>TWK!B519</f>
        <v>520</v>
      </c>
      <c r="C574" s="92">
        <f>TWK!C519</f>
        <v>545</v>
      </c>
      <c r="D574" s="92">
        <f>TWK!D519</f>
        <v>650</v>
      </c>
      <c r="E574" s="92">
        <f>TWK!E519</f>
        <v>616.66666666666663</v>
      </c>
      <c r="F574" s="92">
        <f>TWK!F519</f>
        <v>700</v>
      </c>
      <c r="G574" s="92">
        <f>TWK!G519</f>
        <v>700</v>
      </c>
      <c r="H574" s="92">
        <f>TWK!H519</f>
        <v>558.33333333333337</v>
      </c>
      <c r="I574" s="92">
        <f>TWK!I519</f>
        <v>765.57496360989808</v>
      </c>
      <c r="K574" s="92">
        <f t="shared" ref="K574" si="7678">AVERAGE(B571:B574)</f>
        <v>515.41666666666674</v>
      </c>
      <c r="L574" s="92">
        <f t="shared" ref="L574" si="7679">AVERAGE(C571:C574)</f>
        <v>555</v>
      </c>
      <c r="M574" s="92">
        <f t="shared" ref="M574" si="7680">AVERAGE(D571:D574)</f>
        <v>635.83333333333337</v>
      </c>
      <c r="N574" s="92">
        <f t="shared" ref="N574" si="7681">AVERAGE(E571:E574)</f>
        <v>579.16666666666663</v>
      </c>
      <c r="O574" s="92">
        <f t="shared" ref="O574" si="7682">AVERAGE(F571:F574)</f>
        <v>687.5</v>
      </c>
      <c r="P574" s="92">
        <f t="shared" ref="P574" si="7683">AVERAGE(G571:G574)</f>
        <v>687.5</v>
      </c>
      <c r="Q574" s="92">
        <f t="shared" ref="Q574" si="7684">AVERAGE(H571:H574)</f>
        <v>545.41666666666674</v>
      </c>
      <c r="R574" s="92">
        <f t="shared" ref="R574" si="7685">AVERAGE(I571:I574)</f>
        <v>502.92212518195049</v>
      </c>
      <c r="T574" s="92">
        <f t="shared" ref="T574" si="7686">AVERAGE(K418,K470,K522)</f>
        <v>568.64583333333337</v>
      </c>
      <c r="U574" s="92">
        <f t="shared" ref="U574" si="7687">AVERAGE(L418,L470,L522)</f>
        <v>495.20138888888891</v>
      </c>
      <c r="V574" s="92">
        <f t="shared" ref="V574" si="7688">(M418+M470+M522)/3</f>
        <v>486.8125</v>
      </c>
      <c r="W574" s="92">
        <f t="shared" ref="W574" si="7689">(N418+N470+N522)/3</f>
        <v>433.36111111111114</v>
      </c>
      <c r="X574" s="92">
        <f t="shared" ref="X574" si="7690">(O418+O470+O522)/3</f>
        <v>449.49305555555549</v>
      </c>
      <c r="Y574" s="92">
        <f t="shared" ref="Y574" si="7691">(P418+P470+P522)/3</f>
        <v>449.49305555555549</v>
      </c>
      <c r="Z574" s="92">
        <f t="shared" ref="Z574" si="7692">(Q418+Q470+Q522)/3</f>
        <v>359.86805555555549</v>
      </c>
      <c r="AA574" s="92">
        <f t="shared" ref="AA574" si="7693">(R418+R470+R522)/3</f>
        <v>493.48247210092194</v>
      </c>
      <c r="AC574" s="112">
        <f>+AF574-'Figure 8_data'!I786</f>
        <v>0</v>
      </c>
      <c r="AD574" s="92">
        <f t="shared" ref="AD574" si="7694">(B574/T574-1)*100</f>
        <v>-8.5546803443854245</v>
      </c>
      <c r="AE574" s="92">
        <f t="shared" ref="AE574" si="7695">(C574/U574-1)*100</f>
        <v>10.056234135943566</v>
      </c>
      <c r="AF574" s="92">
        <f t="shared" ref="AF574" si="7696">(D574/V574-1)*100</f>
        <v>33.521633072281418</v>
      </c>
      <c r="AG574" s="92">
        <f t="shared" ref="AG574" si="7697">(E574/W574-1)*100</f>
        <v>42.298570604448415</v>
      </c>
      <c r="AH574" s="92">
        <f t="shared" ref="AH574" si="7698">(F574/X574-1)*100</f>
        <v>55.730993248567074</v>
      </c>
      <c r="AI574" s="92">
        <f t="shared" ref="AI574" si="7699">(G574/Y574-1)*100</f>
        <v>55.730993248567074</v>
      </c>
      <c r="AJ574" s="92">
        <f t="shared" ref="AJ574" si="7700">(H574/Z574-1)*100</f>
        <v>55.149456783929331</v>
      </c>
      <c r="AK574" s="92">
        <f t="shared" ref="AK574" si="7701">(I574/AA574-1)*100</f>
        <v>55.137214975556525</v>
      </c>
      <c r="AM574" s="112">
        <f>AP574-'Figure 8_data'!H786</f>
        <v>0</v>
      </c>
      <c r="AN574" s="92">
        <f t="shared" ref="AN574" si="7702">(B574/B522-1)*100</f>
        <v>-16.800000000000004</v>
      </c>
      <c r="AO574" s="92">
        <f t="shared" ref="AO574" si="7703">(C574/C522-1)*100</f>
        <v>-9.1666666666666679</v>
      </c>
      <c r="AP574" s="92">
        <f t="shared" ref="AP574" si="7704">(D574/D522-1)*100</f>
        <v>8.333333333333325</v>
      </c>
      <c r="AQ574" s="92">
        <f t="shared" ref="AQ574" si="7705">(E574/E522-1)*100</f>
        <v>15.624999999999979</v>
      </c>
      <c r="AR574" s="92">
        <f t="shared" ref="AR574" si="7706">(F574/F522-1)*100</f>
        <v>31.25</v>
      </c>
      <c r="AS574" s="92">
        <f t="shared" ref="AS574" si="7707">(G574/G522-1)*100</f>
        <v>31.25</v>
      </c>
      <c r="AT574" s="92">
        <f t="shared" ref="AT574" si="7708">(H574/H522-1)*100</f>
        <v>45.652173913043505</v>
      </c>
      <c r="AU574" s="92">
        <f t="shared" ref="AU574" si="7709">(I574/I522-1)*100</f>
        <v>45.652173913043455</v>
      </c>
    </row>
    <row r="575" spans="1:47" x14ac:dyDescent="0.3">
      <c r="A575" s="13">
        <f t="shared" si="7581"/>
        <v>41604</v>
      </c>
      <c r="B575" s="92">
        <f>TWK!B520</f>
        <v>500</v>
      </c>
      <c r="C575" s="92">
        <f>TWK!C520</f>
        <v>542.5</v>
      </c>
      <c r="D575" s="92">
        <f>TWK!D520</f>
        <v>530</v>
      </c>
      <c r="E575" s="92">
        <f>TWK!E520</f>
        <v>460</v>
      </c>
      <c r="F575" s="92">
        <f>TWK!F520</f>
        <v>537.5</v>
      </c>
      <c r="G575" s="92">
        <f>TWK!G520</f>
        <v>537.5</v>
      </c>
      <c r="H575" s="92">
        <f>TWK!H520</f>
        <v>362.5</v>
      </c>
      <c r="I575" s="92">
        <f>TWK!I520</f>
        <v>502.76564774381376</v>
      </c>
      <c r="K575" s="92">
        <f t="shared" ref="K575" si="7710">AVERAGE(B572:B575)</f>
        <v>499.58333333333331</v>
      </c>
      <c r="L575" s="92">
        <f t="shared" ref="L575" si="7711">AVERAGE(C572:C575)</f>
        <v>542.70833333333326</v>
      </c>
      <c r="M575" s="92">
        <f t="shared" ref="M575" si="7712">AVERAGE(D572:D575)</f>
        <v>613.75</v>
      </c>
      <c r="N575" s="92">
        <f t="shared" ref="N575" si="7713">AVERAGE(E572:E575)</f>
        <v>554.16666666666663</v>
      </c>
      <c r="O575" s="92">
        <f t="shared" ref="O575" si="7714">AVERAGE(F572:F575)</f>
        <v>640.625</v>
      </c>
      <c r="P575" s="92">
        <f t="shared" ref="P575" si="7715">AVERAGE(G572:G575)</f>
        <v>640.625</v>
      </c>
      <c r="Q575" s="92">
        <f t="shared" ref="Q575" si="7716">AVERAGE(H572:H575)</f>
        <v>486.04166666666663</v>
      </c>
      <c r="R575" s="92">
        <f t="shared" ref="R575" si="7717">AVERAGE(I572:I575)</f>
        <v>628.61353711790389</v>
      </c>
      <c r="T575" s="92">
        <f t="shared" ref="T575" si="7718">AVERAGE(K419,K471,K523)</f>
        <v>414.01041666666669</v>
      </c>
      <c r="U575" s="92">
        <f t="shared" ref="U575" si="7719">AVERAGE(L419,L471,L523)</f>
        <v>524.48958333333337</v>
      </c>
      <c r="V575" s="92">
        <f t="shared" ref="V575" si="7720">(M419+M471+M523)/3</f>
        <v>487.54861111111114</v>
      </c>
      <c r="W575" s="92">
        <f t="shared" ref="W575" si="7721">(N419+N471+N523)/3</f>
        <v>412.01388888888886</v>
      </c>
      <c r="X575" s="92">
        <f t="shared" ref="X575" si="7722">(O419+O471+O523)/3</f>
        <v>445.22222222222223</v>
      </c>
      <c r="Y575" s="92">
        <f t="shared" ref="Y575" si="7723">(P419+P471+P523)/3</f>
        <v>445.22222222222223</v>
      </c>
      <c r="Z575" s="92">
        <f t="shared" ref="Z575" si="7724">(Q419+Q471+Q523)/3</f>
        <v>333.09027777777777</v>
      </c>
      <c r="AA575" s="92">
        <f t="shared" ref="AA575" si="7725">(R419+R471+R523)/3</f>
        <v>456.72749878699659</v>
      </c>
      <c r="AC575" s="112">
        <f>+AF575-'Figure 8_data'!I787</f>
        <v>0</v>
      </c>
      <c r="AD575" s="92">
        <f t="shared" ref="AD575" si="7726">(B575/T575-1)*100</f>
        <v>20.769908164549001</v>
      </c>
      <c r="AE575" s="92">
        <f t="shared" ref="AE575" si="7727">(C575/U575-1)*100</f>
        <v>3.4338940636730042</v>
      </c>
      <c r="AF575" s="92">
        <f t="shared" ref="AF575" si="7728">(D575/V575-1)*100</f>
        <v>8.7071089777372546</v>
      </c>
      <c r="AG575" s="92">
        <f t="shared" ref="AG575" si="7729">(E575/W575-1)*100</f>
        <v>11.646721725939656</v>
      </c>
      <c r="AH575" s="92">
        <f t="shared" ref="AH575" si="7730">(F575/X575-1)*100</f>
        <v>20.726229099076619</v>
      </c>
      <c r="AI575" s="92">
        <f t="shared" ref="AI575" si="7731">(G575/Y575-1)*100</f>
        <v>20.726229099076619</v>
      </c>
      <c r="AJ575" s="92">
        <f t="shared" ref="AJ575" si="7732">(H575/Z575-1)*100</f>
        <v>8.8293547378296644</v>
      </c>
      <c r="AK575" s="92">
        <f t="shared" ref="AK575" si="7733">(I575/AA575-1)*100</f>
        <v>10.080003739448129</v>
      </c>
      <c r="AM575" s="112">
        <f>AP575-'Figure 8_data'!H787</f>
        <v>0</v>
      </c>
      <c r="AN575" s="92" t="e">
        <f t="shared" ref="AN575" si="7734">(B575/B523-1)*100</f>
        <v>#DIV/0!</v>
      </c>
      <c r="AO575" s="92">
        <f t="shared" ref="AO575" si="7735">(C575/C523-1)*100</f>
        <v>-7.7380952380952328</v>
      </c>
      <c r="AP575" s="92">
        <f t="shared" ref="AP575" si="7736">(D575/D523-1)*100</f>
        <v>-13.539967373572592</v>
      </c>
      <c r="AQ575" s="92">
        <f t="shared" ref="AQ575" si="7737">(E575/E523-1)*100</f>
        <v>-10.331384015594548</v>
      </c>
      <c r="AR575" s="92">
        <f t="shared" ref="AR575" si="7738">(F575/F523-1)*100</f>
        <v>5.807086614173218</v>
      </c>
      <c r="AS575" s="92">
        <f t="shared" ref="AS575" si="7739">(G575/G523-1)*100</f>
        <v>5.807086614173218</v>
      </c>
      <c r="AT575" s="92">
        <f t="shared" ref="AT575" si="7740">(H575/H523-1)*100</f>
        <v>3.5714285714285809</v>
      </c>
      <c r="AU575" s="92">
        <f t="shared" ref="AU575" si="7741">(I575/I523-1)*100</f>
        <v>4.7428432799611953</v>
      </c>
    </row>
    <row r="576" spans="1:47" x14ac:dyDescent="0.3">
      <c r="A576" s="13">
        <f t="shared" si="7581"/>
        <v>41611</v>
      </c>
      <c r="B576" s="92">
        <f>TWK!B521</f>
        <v>0</v>
      </c>
      <c r="C576" s="92">
        <f>TWK!C521</f>
        <v>0</v>
      </c>
      <c r="D576" s="92">
        <f>TWK!D521</f>
        <v>541.66666666666663</v>
      </c>
      <c r="E576" s="92">
        <f>TWK!E521</f>
        <v>461.66666666666669</v>
      </c>
      <c r="F576" s="92">
        <f>TWK!F521</f>
        <v>541.66666666666663</v>
      </c>
      <c r="G576" s="92">
        <f>TWK!G521</f>
        <v>541.66666666666663</v>
      </c>
      <c r="H576" s="92">
        <f>TWK!H521</f>
        <v>336.66666666666669</v>
      </c>
      <c r="I576" s="92">
        <f>TWK!I521</f>
        <v>461.63027656477442</v>
      </c>
      <c r="K576" s="92">
        <f t="shared" ref="K576" si="7742">AVERAGE(B573:B576)</f>
        <v>373.75</v>
      </c>
      <c r="L576" s="92">
        <f t="shared" ref="L576" si="7743">AVERAGE(C573:C576)</f>
        <v>406.04166666666663</v>
      </c>
      <c r="M576" s="92">
        <f t="shared" ref="M576" si="7744">AVERAGE(D573:D576)</f>
        <v>603.33333333333326</v>
      </c>
      <c r="N576" s="92">
        <f t="shared" ref="N576" si="7745">AVERAGE(E573:E576)</f>
        <v>534.58333333333326</v>
      </c>
      <c r="O576" s="92">
        <f t="shared" ref="O576" si="7746">AVERAGE(F573:F576)</f>
        <v>632.29166666666663</v>
      </c>
      <c r="P576" s="92">
        <f t="shared" ref="P576" si="7747">AVERAGE(G573:G576)</f>
        <v>632.29166666666663</v>
      </c>
      <c r="Q576" s="92">
        <f t="shared" ref="Q576" si="7748">AVERAGE(H573:H576)</f>
        <v>456.04166666666669</v>
      </c>
      <c r="R576" s="92">
        <f t="shared" ref="R576" si="7749">AVERAGE(I573:I576)</f>
        <v>601.39737991266384</v>
      </c>
      <c r="T576" s="92">
        <f t="shared" ref="T576" si="7750">AVERAGE(K420,K472,K524)</f>
        <v>263.28125</v>
      </c>
      <c r="U576" s="92">
        <f t="shared" ref="U576" si="7751">AVERAGE(L420,L472,L524)</f>
        <v>380.94791666666669</v>
      </c>
      <c r="V576" s="92">
        <f t="shared" ref="V576" si="7752">(M420+M472+M524)/3</f>
        <v>492.32638888888886</v>
      </c>
      <c r="W576" s="92">
        <f t="shared" ref="W576" si="7753">(N420+N472+N524)/3</f>
        <v>401.6805555555556</v>
      </c>
      <c r="X576" s="92">
        <f t="shared" ref="X576" si="7754">(O420+O472+O524)/3</f>
        <v>449.22222222222223</v>
      </c>
      <c r="Y576" s="92">
        <f t="shared" ref="Y576" si="7755">(P420+P472+P524)/3</f>
        <v>449.22222222222223</v>
      </c>
      <c r="Z576" s="92">
        <f t="shared" ref="Z576" si="7756">(Q420+Q472+Q524)/3</f>
        <v>336.0069444444444</v>
      </c>
      <c r="AA576" s="92">
        <f t="shared" ref="AA576" si="7757">(R420+R472+R524)/3</f>
        <v>460.69001698204755</v>
      </c>
      <c r="AC576" s="112">
        <f>+AF576-'Figure 8_data'!I788</f>
        <v>0</v>
      </c>
      <c r="AD576" s="92">
        <f t="shared" ref="AD576" si="7758">(B576/T576-1)*100</f>
        <v>-100</v>
      </c>
      <c r="AE576" s="92">
        <f t="shared" ref="AE576" si="7759">(C576/U576-1)*100</f>
        <v>-100</v>
      </c>
      <c r="AF576" s="92">
        <f t="shared" ref="AF576" si="7760">(D576/V576-1)*100</f>
        <v>10.021863318992885</v>
      </c>
      <c r="AG576" s="92">
        <f t="shared" ref="AG576" si="7761">(E576/W576-1)*100</f>
        <v>14.933785138826462</v>
      </c>
      <c r="AH576" s="92">
        <f t="shared" ref="AH576" si="7762">(F576/X576-1)*100</f>
        <v>20.578778135048225</v>
      </c>
      <c r="AI576" s="92">
        <f t="shared" ref="AI576" si="7763">(G576/Y576-1)*100</f>
        <v>20.578778135048225</v>
      </c>
      <c r="AJ576" s="92">
        <f t="shared" ref="AJ576" si="7764">(H576/Z576-1)*100</f>
        <v>0.19634184147980793</v>
      </c>
      <c r="AK576" s="92">
        <f t="shared" ref="AK576" si="7765">(I576/AA576-1)*100</f>
        <v>0.20409810242609794</v>
      </c>
      <c r="AM576" s="112">
        <f>AP576-'Figure 8_data'!H788</f>
        <v>0</v>
      </c>
      <c r="AN576" s="92" t="e">
        <f t="shared" ref="AN576" si="7766">(B576/B524-1)*100</f>
        <v>#DIV/0!</v>
      </c>
      <c r="AO576" s="92" t="e">
        <f t="shared" ref="AO576" si="7767">(C576/C524-1)*100</f>
        <v>#DIV/0!</v>
      </c>
      <c r="AP576" s="92">
        <f t="shared" ref="AP576" si="7768">(D576/D524-1)*100</f>
        <v>-5.7971014492753659</v>
      </c>
      <c r="AQ576" s="92">
        <f t="shared" ref="AQ576" si="7769">(E576/E524-1)*100</f>
        <v>-12.063492063492065</v>
      </c>
      <c r="AR576" s="92">
        <f t="shared" ref="AR576" si="7770">(F576/F524-1)*100</f>
        <v>3.1746031746031633</v>
      </c>
      <c r="AS576" s="92">
        <f t="shared" ref="AS576" si="7771">(G576/G524-1)*100</f>
        <v>3.1746031746031633</v>
      </c>
      <c r="AT576" s="92">
        <f t="shared" ref="AT576" si="7772">(H576/H524-1)*100</f>
        <v>-14.1156462585034</v>
      </c>
      <c r="AU576" s="92">
        <f t="shared" ref="AU576" si="7773">(I576/I524-1)*100</f>
        <v>-14.035330248645362</v>
      </c>
    </row>
    <row r="577" spans="1:47" x14ac:dyDescent="0.3">
      <c r="A577" s="13">
        <f t="shared" si="7581"/>
        <v>41618</v>
      </c>
      <c r="B577" s="92">
        <f>TWK!B522</f>
        <v>0</v>
      </c>
      <c r="C577" s="92">
        <f>TWK!C522</f>
        <v>0</v>
      </c>
      <c r="D577" s="92">
        <f>TWK!D522</f>
        <v>538.33333333333337</v>
      </c>
      <c r="E577" s="92">
        <f>TWK!E522</f>
        <v>430</v>
      </c>
      <c r="F577" s="92">
        <f>TWK!F522</f>
        <v>510</v>
      </c>
      <c r="G577" s="92">
        <f>TWK!G522</f>
        <v>510</v>
      </c>
      <c r="H577" s="92">
        <f>TWK!H522</f>
        <v>315</v>
      </c>
      <c r="I577" s="92">
        <f>TWK!I522</f>
        <v>431.92139737991266</v>
      </c>
      <c r="K577" s="92">
        <f t="shared" ref="K577" si="7774">AVERAGE(B574:B577)</f>
        <v>255</v>
      </c>
      <c r="L577" s="92">
        <f t="shared" ref="L577" si="7775">AVERAGE(C574:C577)</f>
        <v>271.875</v>
      </c>
      <c r="M577" s="92">
        <f t="shared" ref="M577" si="7776">AVERAGE(D574:D577)</f>
        <v>565</v>
      </c>
      <c r="N577" s="92">
        <f t="shared" ref="N577" si="7777">AVERAGE(E574:E577)</f>
        <v>492.08333333333331</v>
      </c>
      <c r="O577" s="92">
        <f t="shared" ref="O577" si="7778">AVERAGE(F574:F577)</f>
        <v>572.29166666666663</v>
      </c>
      <c r="P577" s="92">
        <f t="shared" ref="P577" si="7779">AVERAGE(G574:G577)</f>
        <v>572.29166666666663</v>
      </c>
      <c r="Q577" s="92">
        <f t="shared" ref="Q577" si="7780">AVERAGE(H574:H577)</f>
        <v>393.125</v>
      </c>
      <c r="R577" s="92">
        <f t="shared" ref="R577" si="7781">AVERAGE(I574:I577)</f>
        <v>540.4730713245998</v>
      </c>
      <c r="T577" s="92">
        <f t="shared" ref="T577" si="7782">AVERAGE(K421,K473,K525)</f>
        <v>134.375</v>
      </c>
      <c r="U577" s="92">
        <f t="shared" ref="U577" si="7783">AVERAGE(L421,L473,L525)</f>
        <v>260.0625</v>
      </c>
      <c r="V577" s="92">
        <f t="shared" ref="V577" si="7784">(M421+M473+M525)/3</f>
        <v>506.875</v>
      </c>
      <c r="W577" s="92">
        <f t="shared" ref="W577" si="7785">(N421+N473+N525)/3</f>
        <v>408.66666666666669</v>
      </c>
      <c r="X577" s="92">
        <f t="shared" ref="X577" si="7786">(O421+O473+O525)/3</f>
        <v>457.25</v>
      </c>
      <c r="Y577" s="92">
        <f t="shared" ref="Y577" si="7787">(P421+P473+P525)/3</f>
        <v>457.25</v>
      </c>
      <c r="Z577" s="92">
        <f t="shared" ref="Z577" si="7788">(Q421+Q473+Q525)/3</f>
        <v>346.875</v>
      </c>
      <c r="AA577" s="92">
        <f t="shared" ref="AA577" si="7789">(R421+R473+R525)/3</f>
        <v>484.04407245673627</v>
      </c>
      <c r="AC577" s="112">
        <f>+AF577-'Figure 8_data'!I789</f>
        <v>0</v>
      </c>
      <c r="AD577" s="92">
        <f t="shared" ref="AD577" si="7790">(B577/T577-1)*100</f>
        <v>-100</v>
      </c>
      <c r="AE577" s="92">
        <f t="shared" ref="AE577" si="7791">(C577/U577-1)*100</f>
        <v>-100</v>
      </c>
      <c r="AF577" s="92">
        <f t="shared" ref="AF577" si="7792">(D577/V577-1)*100</f>
        <v>6.2063296341964724</v>
      </c>
      <c r="AG577" s="92">
        <f t="shared" ref="AG577" si="7793">(E577/W577-1)*100</f>
        <v>5.2202283849918318</v>
      </c>
      <c r="AH577" s="92">
        <f t="shared" ref="AH577" si="7794">(F577/X577-1)*100</f>
        <v>11.536358665937673</v>
      </c>
      <c r="AI577" s="92">
        <f t="shared" ref="AI577" si="7795">(G577/Y577-1)*100</f>
        <v>11.536358665937673</v>
      </c>
      <c r="AJ577" s="92">
        <f t="shared" ref="AJ577" si="7796">(H577/Z577-1)*100</f>
        <v>-9.1891891891891841</v>
      </c>
      <c r="AK577" s="92">
        <f t="shared" ref="AK577" si="7797">(I577/AA577-1)*100</f>
        <v>-10.768167206816138</v>
      </c>
      <c r="AM577" s="112">
        <f>AP577-'Figure 8_data'!H789</f>
        <v>0</v>
      </c>
      <c r="AN577" s="92" t="e">
        <f t="shared" ref="AN577" si="7798">(B577/B525-1)*100</f>
        <v>#DIV/0!</v>
      </c>
      <c r="AO577" s="92" t="e">
        <f t="shared" ref="AO577" si="7799">(C577/C525-1)*100</f>
        <v>#DIV/0!</v>
      </c>
      <c r="AP577" s="92">
        <f t="shared" ref="AP577" si="7800">(D577/D525-1)*100</f>
        <v>-10.277777777777775</v>
      </c>
      <c r="AQ577" s="92">
        <f t="shared" ref="AQ577" si="7801">(E577/E525-1)*100</f>
        <v>-14.000000000000002</v>
      </c>
      <c r="AR577" s="92">
        <f t="shared" ref="AR577" si="7802">(F577/F525-1)*100</f>
        <v>-1.9230769230769273</v>
      </c>
      <c r="AS577" s="92">
        <f t="shared" ref="AS577" si="7803">(G577/G525-1)*100</f>
        <v>-1.9230769230769273</v>
      </c>
      <c r="AT577" s="92">
        <f t="shared" ref="AT577" si="7804">(H577/H525-1)*100</f>
        <v>-28.082191780821919</v>
      </c>
      <c r="AU577" s="92">
        <f t="shared" ref="AU577" si="7805">(I577/I525-1)*100</f>
        <v>-28.013100436681228</v>
      </c>
    </row>
    <row r="578" spans="1:47" x14ac:dyDescent="0.3">
      <c r="A578" s="13">
        <f t="shared" si="7581"/>
        <v>41625</v>
      </c>
      <c r="B578" s="92">
        <f>TWK!B523</f>
        <v>0</v>
      </c>
      <c r="C578" s="92">
        <f>TWK!C523</f>
        <v>0</v>
      </c>
      <c r="D578" s="92">
        <f>TWK!D523</f>
        <v>576.66666666666663</v>
      </c>
      <c r="E578" s="92">
        <f>TWK!E523</f>
        <v>475</v>
      </c>
      <c r="F578" s="92">
        <f>TWK!F523</f>
        <v>430</v>
      </c>
      <c r="G578" s="92">
        <f>TWK!G523</f>
        <v>430</v>
      </c>
      <c r="H578" s="92">
        <f>TWK!H523</f>
        <v>298.33333333333331</v>
      </c>
      <c r="I578" s="92">
        <f>TWK!I523</f>
        <v>409.0684133915575</v>
      </c>
      <c r="K578" s="92">
        <f t="shared" ref="K578" si="7806">AVERAGE(B575:B578)</f>
        <v>125</v>
      </c>
      <c r="L578" s="92">
        <f t="shared" ref="L578" si="7807">AVERAGE(C575:C578)</f>
        <v>135.625</v>
      </c>
      <c r="M578" s="92">
        <f t="shared" ref="M578" si="7808">AVERAGE(D575:D578)</f>
        <v>546.66666666666663</v>
      </c>
      <c r="N578" s="92">
        <f t="shared" ref="N578" si="7809">AVERAGE(E575:E578)</f>
        <v>456.66666666666669</v>
      </c>
      <c r="O578" s="92">
        <f t="shared" ref="O578" si="7810">AVERAGE(F575:F578)</f>
        <v>504.79166666666663</v>
      </c>
      <c r="P578" s="92">
        <f t="shared" ref="P578" si="7811">AVERAGE(G575:G578)</f>
        <v>504.79166666666663</v>
      </c>
      <c r="Q578" s="92">
        <f t="shared" ref="Q578" si="7812">AVERAGE(H575:H578)</f>
        <v>328.125</v>
      </c>
      <c r="R578" s="92">
        <f t="shared" ref="R578" si="7813">AVERAGE(I575:I578)</f>
        <v>451.34643377001458</v>
      </c>
      <c r="T578" s="92">
        <f t="shared" ref="T578" si="7814">AVERAGE(K422,K474,K526)</f>
        <v>0</v>
      </c>
      <c r="U578" s="92">
        <f t="shared" ref="U578" si="7815">AVERAGE(L422,L474,L526)</f>
        <v>130.21875</v>
      </c>
      <c r="V578" s="92">
        <f t="shared" ref="V578" si="7816">(M422+M474+M526)/3</f>
        <v>503.75</v>
      </c>
      <c r="W578" s="92">
        <f t="shared" ref="W578" si="7817">(N422+N474+N526)/3</f>
        <v>402.42361111111114</v>
      </c>
      <c r="X578" s="92">
        <f t="shared" ref="X578" si="7818">(O422+O474+O526)/3</f>
        <v>443.1805555555556</v>
      </c>
      <c r="Y578" s="92">
        <f t="shared" ref="Y578" si="7819">(P422+P474+P526)/3</f>
        <v>443.1805555555556</v>
      </c>
      <c r="Z578" s="92">
        <f t="shared" ref="Z578" si="7820">(Q422+Q474+Q526)/3</f>
        <v>342.96527777777777</v>
      </c>
      <c r="AA578" s="92">
        <f t="shared" ref="AA578" si="7821">(R422+R474+R526)/3</f>
        <v>478.65876192786681</v>
      </c>
      <c r="AC578" s="112">
        <f>+AF578-'Figure 8_data'!I790</f>
        <v>0</v>
      </c>
      <c r="AD578" s="92" t="e">
        <f t="shared" ref="AD578" si="7822">(B578/T578-1)*100</f>
        <v>#DIV/0!</v>
      </c>
      <c r="AE578" s="92">
        <f t="shared" ref="AE578" si="7823">(C578/U578-1)*100</f>
        <v>-100</v>
      </c>
      <c r="AF578" s="92">
        <f t="shared" ref="AF578" si="7824">(D578/V578-1)*100</f>
        <v>14.474772539288661</v>
      </c>
      <c r="AG578" s="92">
        <f t="shared" ref="AG578" si="7825">(E578/W578-1)*100</f>
        <v>18.034823724309291</v>
      </c>
      <c r="AH578" s="92">
        <f t="shared" ref="AH578" si="7826">(F578/X578-1)*100</f>
        <v>-2.9740825472437393</v>
      </c>
      <c r="AI578" s="92">
        <f t="shared" ref="AI578" si="7827">(G578/Y578-1)*100</f>
        <v>-2.9740825472437393</v>
      </c>
      <c r="AJ578" s="92">
        <f t="shared" ref="AJ578" si="7828">(H578/Z578-1)*100</f>
        <v>-13.013546074878013</v>
      </c>
      <c r="AK578" s="92">
        <f t="shared" ref="AK578" si="7829">(I578/AA578-1)*100</f>
        <v>-14.538613741452089</v>
      </c>
      <c r="AM578" s="112">
        <f>AP578-'Figure 8_data'!H790</f>
        <v>0</v>
      </c>
      <c r="AN578" s="92" t="e">
        <f t="shared" ref="AN578" si="7830">(B578/B526-1)*100</f>
        <v>#DIV/0!</v>
      </c>
      <c r="AO578" s="92" t="e">
        <f t="shared" ref="AO578" si="7831">(C578/C526-1)*100</f>
        <v>#DIV/0!</v>
      </c>
      <c r="AP578" s="92">
        <f t="shared" ref="AP578" si="7832">(D578/D526-1)*100</f>
        <v>0.28985507246375164</v>
      </c>
      <c r="AQ578" s="92">
        <f t="shared" ref="AQ578" si="7833">(E578/E526-1)*100</f>
        <v>-5.0000000000000044</v>
      </c>
      <c r="AR578" s="92">
        <f t="shared" ref="AR578" si="7834">(F578/F526-1)*100</f>
        <v>-3.3707865168539297</v>
      </c>
      <c r="AS578" s="92">
        <f t="shared" ref="AS578" si="7835">(G578/G526-1)*100</f>
        <v>-3.3707865168539297</v>
      </c>
      <c r="AT578" s="92">
        <f t="shared" ref="AT578" si="7836">(H578/H526-1)*100</f>
        <v>-15.486307837582636</v>
      </c>
      <c r="AU578" s="92">
        <f t="shared" ref="AU578" si="7837">(I578/I526-1)*100</f>
        <v>-15.306746709822461</v>
      </c>
    </row>
    <row r="579" spans="1:47" x14ac:dyDescent="0.3">
      <c r="A579" s="13">
        <f t="shared" si="7581"/>
        <v>41632</v>
      </c>
      <c r="B579" s="92">
        <f>TWK!B524</f>
        <v>0</v>
      </c>
      <c r="C579" s="92">
        <f>TWK!C524</f>
        <v>0</v>
      </c>
      <c r="D579" s="92">
        <f>TWK!D524</f>
        <v>590</v>
      </c>
      <c r="E579" s="92">
        <f>TWK!E524</f>
        <v>490</v>
      </c>
      <c r="F579" s="92">
        <f>TWK!F524</f>
        <v>428.33333333333331</v>
      </c>
      <c r="G579" s="92">
        <f>TWK!G524</f>
        <v>428.33333333333331</v>
      </c>
      <c r="H579" s="92">
        <f>TWK!H524</f>
        <v>308.33333333333331</v>
      </c>
      <c r="I579" s="92">
        <f>TWK!I524</f>
        <v>422.78020378457057</v>
      </c>
      <c r="K579" s="92">
        <f t="shared" ref="K579" si="7838">AVERAGE(B576:B579)</f>
        <v>0</v>
      </c>
      <c r="L579" s="92">
        <f t="shared" ref="L579" si="7839">AVERAGE(C576:C579)</f>
        <v>0</v>
      </c>
      <c r="M579" s="92">
        <f t="shared" ref="M579" si="7840">AVERAGE(D576:D579)</f>
        <v>561.66666666666663</v>
      </c>
      <c r="N579" s="92">
        <f t="shared" ref="N579" si="7841">AVERAGE(E576:E579)</f>
        <v>464.16666666666669</v>
      </c>
      <c r="O579" s="92">
        <f t="shared" ref="O579" si="7842">AVERAGE(F576:F579)</f>
        <v>477.49999999999994</v>
      </c>
      <c r="P579" s="92">
        <f t="shared" ref="P579" si="7843">AVERAGE(G576:G579)</f>
        <v>477.49999999999994</v>
      </c>
      <c r="Q579" s="92">
        <f t="shared" ref="Q579" si="7844">AVERAGE(H576:H579)</f>
        <v>314.58333333333331</v>
      </c>
      <c r="R579" s="92">
        <f t="shared" ref="R579" si="7845">AVERAGE(I576:I579)</f>
        <v>431.35007278020379</v>
      </c>
      <c r="T579" s="92">
        <f t="shared" ref="T579" si="7846">AVERAGE(K423,K475,K527)</f>
        <v>0</v>
      </c>
      <c r="U579" s="92">
        <f t="shared" ref="U579" si="7847">AVERAGE(L423,L475,L527)</f>
        <v>0</v>
      </c>
      <c r="V579" s="92">
        <f t="shared" ref="V579" si="7848">(M423+M475+M527)/3</f>
        <v>495.72916666666669</v>
      </c>
      <c r="W579" s="92">
        <f t="shared" ref="W579" si="7849">(N423+N475+N527)/3</f>
        <v>395.09027777777783</v>
      </c>
      <c r="X579" s="92">
        <f t="shared" ref="X579" si="7850">(O423+O475+O527)/3</f>
        <v>425.29861111111109</v>
      </c>
      <c r="Y579" s="92">
        <f t="shared" ref="Y579" si="7851">(P423+P475+P527)/3</f>
        <v>425.29861111111109</v>
      </c>
      <c r="Z579" s="92">
        <f t="shared" ref="Z579" si="7852">(Q423+Q475+Q527)/3</f>
        <v>333.07638888888891</v>
      </c>
      <c r="AA579" s="92">
        <f t="shared" ref="AA579" si="7853">(R423+R475+R527)/3</f>
        <v>464.99379346595498</v>
      </c>
      <c r="AC579" s="112">
        <f>+AF579-'Figure 8_data'!I791</f>
        <v>0</v>
      </c>
      <c r="AD579" s="92" t="e">
        <f t="shared" ref="AD579" si="7854">(B579/T579-1)*100</f>
        <v>#DIV/0!</v>
      </c>
      <c r="AE579" s="92" t="e">
        <f t="shared" ref="AE579" si="7855">(C579/U579-1)*100</f>
        <v>#DIV/0!</v>
      </c>
      <c r="AF579" s="92">
        <f t="shared" ref="AF579" si="7856">(D579/V579-1)*100</f>
        <v>19.016600126076909</v>
      </c>
      <c r="AG579" s="92">
        <f t="shared" ref="AG579" si="7857">(E579/W579-1)*100</f>
        <v>24.022287451883351</v>
      </c>
      <c r="AH579" s="92">
        <f t="shared" ref="AH579" si="7858">(F579/X579-1)*100</f>
        <v>0.71355093643354905</v>
      </c>
      <c r="AI579" s="92">
        <f t="shared" ref="AI579" si="7859">(G579/Y579-1)*100</f>
        <v>0.71355093643354905</v>
      </c>
      <c r="AJ579" s="92">
        <f t="shared" ref="AJ579" si="7860">(H579/Z579-1)*100</f>
        <v>-7.4286429122448645</v>
      </c>
      <c r="AK579" s="92">
        <f t="shared" ref="AK579" si="7861">(I579/AA579-1)*100</f>
        <v>-9.0783125010624683</v>
      </c>
      <c r="AM579" s="112">
        <f>AP579-'Figure 8_data'!H791</f>
        <v>0</v>
      </c>
      <c r="AN579" s="92" t="e">
        <f t="shared" ref="AN579" si="7862">(B579/B527-1)*100</f>
        <v>#DIV/0!</v>
      </c>
      <c r="AO579" s="92" t="e">
        <f t="shared" ref="AO579" si="7863">(C579/C527-1)*100</f>
        <v>#DIV/0!</v>
      </c>
      <c r="AP579" s="92">
        <f t="shared" ref="AP579" si="7864">(D579/D527-1)*100</f>
        <v>4.7957371225577194</v>
      </c>
      <c r="AQ579" s="92">
        <f t="shared" ref="AQ579" si="7865">(E579/E527-1)*100</f>
        <v>-2.0000000000000018</v>
      </c>
      <c r="AR579" s="92">
        <f t="shared" ref="AR579" si="7866">(F579/F527-1)*100</f>
        <v>3.7126715092816731</v>
      </c>
      <c r="AS579" s="92">
        <f t="shared" ref="AS579" si="7867">(G579/G527-1)*100</f>
        <v>3.7126715092816731</v>
      </c>
      <c r="AT579" s="92">
        <f t="shared" ref="AT579" si="7868">(H579/H527-1)*100</f>
        <v>-1.4909478168264156</v>
      </c>
      <c r="AU579" s="92">
        <f t="shared" ref="AU579" si="7869">(I579/I527-1)*100</f>
        <v>-1.2195785550068727</v>
      </c>
    </row>
    <row r="580" spans="1:47" x14ac:dyDescent="0.3">
      <c r="A580" s="13">
        <f t="shared" si="7581"/>
        <v>41639</v>
      </c>
      <c r="B580" s="92">
        <f>TWK!B525</f>
        <v>0</v>
      </c>
      <c r="C580" s="92">
        <f>TWK!C525</f>
        <v>0</v>
      </c>
      <c r="D580" s="92">
        <f>TWK!D525</f>
        <v>586.66666666666663</v>
      </c>
      <c r="E580" s="92">
        <f>TWK!E525</f>
        <v>450</v>
      </c>
      <c r="F580" s="92">
        <f>TWK!F525</f>
        <v>433.33333333333331</v>
      </c>
      <c r="G580" s="92">
        <f>TWK!G525</f>
        <v>433.33333333333331</v>
      </c>
      <c r="H580" s="92">
        <f>TWK!H525</f>
        <v>298.33333333333331</v>
      </c>
      <c r="I580" s="92">
        <f>TWK!I525</f>
        <v>409.0684133915575</v>
      </c>
      <c r="K580" s="92">
        <f t="shared" ref="K580" si="7870">AVERAGE(B577:B580)</f>
        <v>0</v>
      </c>
      <c r="L580" s="92">
        <f t="shared" ref="L580" si="7871">AVERAGE(C577:C580)</f>
        <v>0</v>
      </c>
      <c r="M580" s="92">
        <f t="shared" ref="M580" si="7872">AVERAGE(D577:D580)</f>
        <v>572.91666666666663</v>
      </c>
      <c r="N580" s="92">
        <f t="shared" ref="N580" si="7873">AVERAGE(E577:E580)</f>
        <v>461.25</v>
      </c>
      <c r="O580" s="92">
        <f t="shared" ref="O580" si="7874">AVERAGE(F577:F580)</f>
        <v>450.41666666666663</v>
      </c>
      <c r="P580" s="92">
        <f t="shared" ref="P580" si="7875">AVERAGE(G577:G580)</f>
        <v>450.41666666666663</v>
      </c>
      <c r="Q580" s="92">
        <f t="shared" ref="Q580" si="7876">AVERAGE(H577:H580)</f>
        <v>304.99999999999994</v>
      </c>
      <c r="R580" s="92">
        <f t="shared" ref="R580" si="7877">AVERAGE(I577:I580)</f>
        <v>418.20960698689953</v>
      </c>
      <c r="T580" s="92">
        <f t="shared" ref="T580" si="7878">AVERAGE(K424,K476,K528)</f>
        <v>0</v>
      </c>
      <c r="U580" s="92">
        <f t="shared" ref="U580" si="7879">AVERAGE(L424,L476,L528)</f>
        <v>0</v>
      </c>
      <c r="V580" s="92">
        <f t="shared" ref="V580" si="7880">(M424+M476+M528)/3</f>
        <v>470.8819444444444</v>
      </c>
      <c r="W580" s="92">
        <f t="shared" ref="W580" si="7881">(N424+N476+N528)/3</f>
        <v>372.88888888888891</v>
      </c>
      <c r="X580" s="92">
        <f t="shared" ref="X580" si="7882">(O424+O476+O528)/3</f>
        <v>397.47916666666669</v>
      </c>
      <c r="Y580" s="92">
        <f t="shared" ref="Y580" si="7883">(P424+P476+P528)/3</f>
        <v>397.47916666666669</v>
      </c>
      <c r="Z580" s="92">
        <f t="shared" ref="Z580" si="7884">(Q424+Q476+Q528)/3</f>
        <v>304.8125</v>
      </c>
      <c r="AA580" s="92">
        <f t="shared" ref="AA580" si="7885">(R424+R476+R528)/3</f>
        <v>426.27569545528058</v>
      </c>
      <c r="AC580" s="112">
        <f>+AF580-'Figure 8_data'!I792</f>
        <v>0</v>
      </c>
      <c r="AD580" s="92" t="e">
        <f t="shared" ref="AD580" si="7886">(B580/T580-1)*100</f>
        <v>#DIV/0!</v>
      </c>
      <c r="AE580" s="92" t="e">
        <f t="shared" ref="AE580" si="7887">(C580/U580-1)*100</f>
        <v>#DIV/0!</v>
      </c>
      <c r="AF580" s="92">
        <f t="shared" ref="AF580" si="7888">(D580/V580-1)*100</f>
        <v>24.58890675004055</v>
      </c>
      <c r="AG580" s="92">
        <f t="shared" ref="AG580" si="7889">(E580/W580-1)*100</f>
        <v>20.679380214541119</v>
      </c>
      <c r="AH580" s="92">
        <f t="shared" ref="AH580" si="7890">(F580/X580-1)*100</f>
        <v>9.0203889092719702</v>
      </c>
      <c r="AI580" s="92">
        <f t="shared" ref="AI580" si="7891">(G580/Y580-1)*100</f>
        <v>9.0203889092719702</v>
      </c>
      <c r="AJ580" s="92">
        <f t="shared" ref="AJ580" si="7892">(H580/Z580-1)*100</f>
        <v>-2.1256236757569602</v>
      </c>
      <c r="AK580" s="92">
        <f t="shared" ref="AK580" si="7893">(I580/AA580-1)*100</f>
        <v>-4.036655677810808</v>
      </c>
      <c r="AM580" s="112">
        <f>AP580-'Figure 8_data'!H792</f>
        <v>0</v>
      </c>
      <c r="AN580" s="92" t="e">
        <f t="shared" ref="AN580" si="7894">(B580/B528-1)*100</f>
        <v>#DIV/0!</v>
      </c>
      <c r="AO580" s="92" t="e">
        <f t="shared" ref="AO580" si="7895">(C580/C528-1)*100</f>
        <v>#DIV/0!</v>
      </c>
      <c r="AP580" s="92">
        <f t="shared" ref="AP580" si="7896">(D580/D528-1)*100</f>
        <v>17.333333333333336</v>
      </c>
      <c r="AQ580" s="92">
        <f t="shared" ref="AQ580" si="7897">(E580/E528-1)*100</f>
        <v>0</v>
      </c>
      <c r="AR580" s="92">
        <f t="shared" ref="AR580" si="7898">(F580/F528-1)*100</f>
        <v>23.809523809523814</v>
      </c>
      <c r="AS580" s="92">
        <f t="shared" ref="AS580" si="7899">(G580/G528-1)*100</f>
        <v>23.809523809523814</v>
      </c>
      <c r="AT580" s="92">
        <f t="shared" ref="AT580" si="7900">(H580/H528-1)*100</f>
        <v>19.333333333333336</v>
      </c>
      <c r="AU580" s="92">
        <f t="shared" ref="AU580" si="7901">(I580/I528-1)*100</f>
        <v>19.333333333333336</v>
      </c>
    </row>
    <row r="581" spans="1:47" x14ac:dyDescent="0.3">
      <c r="A581" s="13">
        <f t="shared" si="7581"/>
        <v>41646</v>
      </c>
      <c r="B581" s="92">
        <f>TWK!B526</f>
        <v>0</v>
      </c>
      <c r="C581" s="92">
        <f>TWK!C526</f>
        <v>0</v>
      </c>
      <c r="D581" s="92">
        <f>TWK!D526</f>
        <v>567.5</v>
      </c>
      <c r="E581" s="92">
        <f>TWK!E526</f>
        <v>425</v>
      </c>
      <c r="F581" s="92">
        <f>TWK!F526</f>
        <v>411.66666666666669</v>
      </c>
      <c r="G581" s="92">
        <f>TWK!G526</f>
        <v>411.66666666666669</v>
      </c>
      <c r="H581" s="92">
        <f>TWK!H526</f>
        <v>270</v>
      </c>
      <c r="I581" s="92">
        <f>TWK!I526</f>
        <v>370.21834061135377</v>
      </c>
      <c r="K581" s="92">
        <f t="shared" ref="K581" si="7902">AVERAGE(B578:B581)</f>
        <v>0</v>
      </c>
      <c r="L581" s="92">
        <f t="shared" ref="L581" si="7903">AVERAGE(C578:C581)</f>
        <v>0</v>
      </c>
      <c r="M581" s="92">
        <f t="shared" ref="M581" si="7904">AVERAGE(D578:D581)</f>
        <v>580.20833333333326</v>
      </c>
      <c r="N581" s="92">
        <f t="shared" ref="N581" si="7905">AVERAGE(E578:E581)</f>
        <v>460</v>
      </c>
      <c r="O581" s="92">
        <f t="shared" ref="O581" si="7906">AVERAGE(F578:F581)</f>
        <v>425.83333333333331</v>
      </c>
      <c r="P581" s="92">
        <f t="shared" ref="P581" si="7907">AVERAGE(G578:G581)</f>
        <v>425.83333333333331</v>
      </c>
      <c r="Q581" s="92">
        <f t="shared" ref="Q581" si="7908">AVERAGE(H578:H581)</f>
        <v>293.75</v>
      </c>
      <c r="R581" s="92">
        <f t="shared" ref="R581" si="7909">AVERAGE(I578:I581)</f>
        <v>402.78384279475983</v>
      </c>
      <c r="T581" s="92">
        <f t="shared" ref="T581" si="7910">AVERAGE(K425,K477,K529)</f>
        <v>0</v>
      </c>
      <c r="U581" s="92">
        <f t="shared" ref="U581" si="7911">AVERAGE(L425,L477,L529)</f>
        <v>0</v>
      </c>
      <c r="V581" s="92">
        <f t="shared" ref="V581" si="7912">(M425+M477+M529)/3</f>
        <v>439.59722222222217</v>
      </c>
      <c r="W581" s="92">
        <f t="shared" ref="W581" si="7913">(N425+N477+N529)/3</f>
        <v>350.79861111111114</v>
      </c>
      <c r="X581" s="92">
        <f t="shared" ref="X581" si="7914">(O425+O477+O529)/3</f>
        <v>371.46527777777777</v>
      </c>
      <c r="Y581" s="92">
        <f t="shared" ref="Y581" si="7915">(P425+P477+P529)/3</f>
        <v>371.46527777777777</v>
      </c>
      <c r="Z581" s="92">
        <f t="shared" ref="Z581" si="7916">(Q425+Q477+Q529)/3</f>
        <v>277.59027777777777</v>
      </c>
      <c r="AA581" s="92">
        <f t="shared" ref="AA581" si="7917">(R425+R477+R529)/3</f>
        <v>380.4971494420185</v>
      </c>
      <c r="AC581" s="112">
        <f>+AF581-'Figure 8_data'!I793</f>
        <v>0</v>
      </c>
      <c r="AD581" s="92" t="e">
        <f t="shared" ref="AD581" si="7918">(B581/T581-1)*100</f>
        <v>#DIV/0!</v>
      </c>
      <c r="AE581" s="92" t="e">
        <f t="shared" ref="AE581" si="7919">(C581/U581-1)*100</f>
        <v>#DIV/0!</v>
      </c>
      <c r="AF581" s="92">
        <f t="shared" ref="AF581" si="7920">(D581/V581-1)*100</f>
        <v>29.095447221256855</v>
      </c>
      <c r="AG581" s="92">
        <f t="shared" ref="AG581" si="7921">(E581/W581-1)*100</f>
        <v>21.152133029793131</v>
      </c>
      <c r="AH581" s="92">
        <f t="shared" ref="AH581" si="7922">(F581/X581-1)*100</f>
        <v>10.822381335177877</v>
      </c>
      <c r="AI581" s="92">
        <f t="shared" ref="AI581" si="7923">(G581/Y581-1)*100</f>
        <v>10.822381335177877</v>
      </c>
      <c r="AJ581" s="92">
        <f t="shared" ref="AJ581" si="7924">(H581/Z581-1)*100</f>
        <v>-2.7343456833362478</v>
      </c>
      <c r="AK581" s="92">
        <f t="shared" ref="AK581" si="7925">(I581/AA581-1)*100</f>
        <v>-2.7014154628328013</v>
      </c>
      <c r="AM581" s="112">
        <f>AP581-'Figure 8_data'!H793</f>
        <v>0</v>
      </c>
      <c r="AN581" s="92" t="e">
        <f t="shared" ref="AN581" si="7926">(B581/B529-1)*100</f>
        <v>#DIV/0!</v>
      </c>
      <c r="AO581" s="92" t="e">
        <f t="shared" ref="AO581" si="7927">(C581/C529-1)*100</f>
        <v>#DIV/0!</v>
      </c>
      <c r="AP581" s="92">
        <f t="shared" ref="AP581" si="7928">(D581/D529-1)*100</f>
        <v>52.348993288590592</v>
      </c>
      <c r="AQ581" s="92">
        <f t="shared" ref="AQ581" si="7929">(E581/E529-1)*100</f>
        <v>25</v>
      </c>
      <c r="AR581" s="92">
        <f t="shared" ref="AR581" si="7930">(F581/F529-1)*100</f>
        <v>49.696969696969703</v>
      </c>
      <c r="AS581" s="92">
        <f t="shared" ref="AS581" si="7931">(G581/G529-1)*100</f>
        <v>49.696969696969703</v>
      </c>
      <c r="AT581" s="92">
        <f t="shared" ref="AT581" si="7932">(H581/H529-1)*100</f>
        <v>40.259740259740262</v>
      </c>
      <c r="AU581" s="92">
        <f t="shared" ref="AU581" si="7933">(I581/I529-1)*100</f>
        <v>40.259740259740283</v>
      </c>
    </row>
    <row r="582" spans="1:47" x14ac:dyDescent="0.3">
      <c r="A582" s="13">
        <f t="shared" si="7581"/>
        <v>41653</v>
      </c>
      <c r="B582" s="92">
        <f>TWK!B527</f>
        <v>0</v>
      </c>
      <c r="C582" s="92">
        <f>TWK!C527</f>
        <v>0</v>
      </c>
      <c r="D582" s="92">
        <f>TWK!D527</f>
        <v>560</v>
      </c>
      <c r="E582" s="92">
        <f>TWK!E527</f>
        <v>385</v>
      </c>
      <c r="F582" s="92">
        <f>TWK!F527</f>
        <v>395</v>
      </c>
      <c r="G582" s="92">
        <f>TWK!G527</f>
        <v>395</v>
      </c>
      <c r="H582" s="92">
        <f>TWK!H527</f>
        <v>260</v>
      </c>
      <c r="I582" s="92">
        <f>TWK!I527</f>
        <v>356.50655021834064</v>
      </c>
      <c r="K582" s="92">
        <f t="shared" ref="K582" si="7934">AVERAGE(B579:B582)</f>
        <v>0</v>
      </c>
      <c r="L582" s="92">
        <f t="shared" ref="L582" si="7935">AVERAGE(C579:C582)</f>
        <v>0</v>
      </c>
      <c r="M582" s="92">
        <f t="shared" ref="M582" si="7936">AVERAGE(D579:D582)</f>
        <v>576.04166666666663</v>
      </c>
      <c r="N582" s="92">
        <f t="shared" ref="N582" si="7937">AVERAGE(E579:E582)</f>
        <v>437.5</v>
      </c>
      <c r="O582" s="92">
        <f t="shared" ref="O582" si="7938">AVERAGE(F579:F582)</f>
        <v>417.08333333333331</v>
      </c>
      <c r="P582" s="92">
        <f t="shared" ref="P582" si="7939">AVERAGE(G579:G582)</f>
        <v>417.08333333333331</v>
      </c>
      <c r="Q582" s="92">
        <f t="shared" ref="Q582" si="7940">AVERAGE(H579:H582)</f>
        <v>284.16666666666663</v>
      </c>
      <c r="R582" s="92">
        <f t="shared" ref="R582" si="7941">AVERAGE(I579:I582)</f>
        <v>389.64337700145563</v>
      </c>
      <c r="T582" s="92">
        <f t="shared" ref="T582" si="7942">AVERAGE(K426,K478,K530)</f>
        <v>0</v>
      </c>
      <c r="U582" s="92">
        <f t="shared" ref="U582" si="7943">AVERAGE(L426,L478,L530)</f>
        <v>0</v>
      </c>
      <c r="V582" s="92">
        <f t="shared" ref="V582" si="7944">(M426+M478+M530)/3</f>
        <v>416.36111111111109</v>
      </c>
      <c r="W582" s="92">
        <f t="shared" ref="W582" si="7945">(N426+N478+N530)/3</f>
        <v>336.94444444444446</v>
      </c>
      <c r="X582" s="92">
        <f t="shared" ref="X582" si="7946">(O426+O478+O530)/3</f>
        <v>358.02777777777777</v>
      </c>
      <c r="Y582" s="92">
        <f t="shared" ref="Y582" si="7947">(P426+P478+P530)/3</f>
        <v>358.02777777777777</v>
      </c>
      <c r="Z582" s="92">
        <f t="shared" ref="Z582" si="7948">(Q426+Q478+Q530)/3</f>
        <v>265.73611111111114</v>
      </c>
      <c r="AA582" s="92">
        <f t="shared" ref="AA582" si="7949">(R426+R478+R530)/3</f>
        <v>364.27353226589031</v>
      </c>
      <c r="AC582" s="112">
        <f>+AF582-'Figure 8_data'!I794</f>
        <v>0</v>
      </c>
      <c r="AD582" s="92" t="e">
        <f t="shared" ref="AD582" si="7950">(B582/T582-1)*100</f>
        <v>#DIV/0!</v>
      </c>
      <c r="AE582" s="92" t="e">
        <f t="shared" ref="AE582" si="7951">(C582/U582-1)*100</f>
        <v>#DIV/0!</v>
      </c>
      <c r="AF582" s="92">
        <f t="shared" ref="AF582" si="7952">(D582/V582-1)*100</f>
        <v>34.498632330375621</v>
      </c>
      <c r="AG582" s="92">
        <f t="shared" ref="AG582" si="7953">(E582/W582-1)*100</f>
        <v>14.262159934047801</v>
      </c>
      <c r="AH582" s="92">
        <f t="shared" ref="AH582" si="7954">(F582/X582-1)*100</f>
        <v>10.326635115214522</v>
      </c>
      <c r="AI582" s="92">
        <f t="shared" ref="AI582" si="7955">(G582/Y582-1)*100</f>
        <v>10.326635115214522</v>
      </c>
      <c r="AJ582" s="92">
        <f t="shared" ref="AJ582" si="7956">(H582/Z582-1)*100</f>
        <v>-2.1585741911880119</v>
      </c>
      <c r="AK582" s="92">
        <f t="shared" ref="AK582" si="7957">(I582/AA582-1)*100</f>
        <v>-2.1321840209571952</v>
      </c>
      <c r="AM582" s="112">
        <f>AP582-'Figure 8_data'!H794</f>
        <v>0</v>
      </c>
      <c r="AN582" s="92" t="e">
        <f t="shared" ref="AN582" si="7958">(B582/B530-1)*100</f>
        <v>#DIV/0!</v>
      </c>
      <c r="AO582" s="92" t="e">
        <f t="shared" ref="AO582" si="7959">(C582/C530-1)*100</f>
        <v>#DIV/0!</v>
      </c>
      <c r="AP582" s="92">
        <f t="shared" ref="AP582" si="7960">(D582/D530-1)*100</f>
        <v>61.151079136690647</v>
      </c>
      <c r="AQ582" s="92">
        <f t="shared" ref="AQ582" si="7961">(E582/E530-1)*100</f>
        <v>36.283185840707958</v>
      </c>
      <c r="AR582" s="92">
        <f t="shared" ref="AR582" si="7962">(F582/F530-1)*100</f>
        <v>59.595959595959599</v>
      </c>
      <c r="AS582" s="92">
        <f t="shared" ref="AS582" si="7963">(G582/G530-1)*100</f>
        <v>59.595959595959599</v>
      </c>
      <c r="AT582" s="92">
        <f t="shared" ref="AT582" si="7964">(H582/H530-1)*100</f>
        <v>33.333333333333329</v>
      </c>
      <c r="AU582" s="92">
        <f t="shared" ref="AU582" si="7965">(I582/I530-1)*100</f>
        <v>33.333333333333329</v>
      </c>
    </row>
    <row r="583" spans="1:47" x14ac:dyDescent="0.3">
      <c r="A583" s="13">
        <f t="shared" si="7581"/>
        <v>41660</v>
      </c>
      <c r="B583" s="92">
        <f>TWK!B528</f>
        <v>0</v>
      </c>
      <c r="C583" s="92">
        <f>TWK!C528</f>
        <v>0</v>
      </c>
      <c r="D583" s="92">
        <f>TWK!D528</f>
        <v>555</v>
      </c>
      <c r="E583" s="92">
        <f>TWK!E528</f>
        <v>443.33333333333331</v>
      </c>
      <c r="F583" s="92">
        <f>TWK!F528</f>
        <v>443.33333333333331</v>
      </c>
      <c r="G583" s="92">
        <f>TWK!G528</f>
        <v>443.33333333333331</v>
      </c>
      <c r="H583" s="92">
        <f>TWK!H528</f>
        <v>308.33333333333331</v>
      </c>
      <c r="I583" s="92">
        <f>TWK!I528</f>
        <v>422.78020378457063</v>
      </c>
      <c r="K583" s="92">
        <f t="shared" ref="K583" si="7966">AVERAGE(B580:B583)</f>
        <v>0</v>
      </c>
      <c r="L583" s="92">
        <f t="shared" ref="L583" si="7967">AVERAGE(C580:C583)</f>
        <v>0</v>
      </c>
      <c r="M583" s="92">
        <f t="shared" ref="M583" si="7968">AVERAGE(D580:D583)</f>
        <v>567.29166666666663</v>
      </c>
      <c r="N583" s="92">
        <f t="shared" ref="N583" si="7969">AVERAGE(E580:E583)</f>
        <v>425.83333333333331</v>
      </c>
      <c r="O583" s="92">
        <f t="shared" ref="O583" si="7970">AVERAGE(F580:F583)</f>
        <v>420.83333333333331</v>
      </c>
      <c r="P583" s="92">
        <f t="shared" ref="P583" si="7971">AVERAGE(G580:G583)</f>
        <v>420.83333333333331</v>
      </c>
      <c r="Q583" s="92">
        <f t="shared" ref="Q583" si="7972">AVERAGE(H580:H583)</f>
        <v>284.16666666666663</v>
      </c>
      <c r="R583" s="92">
        <f t="shared" ref="R583" si="7973">AVERAGE(I580:I583)</f>
        <v>389.64337700145563</v>
      </c>
      <c r="T583" s="92">
        <f t="shared" ref="T583" si="7974">AVERAGE(K427,K479,K531)</f>
        <v>0</v>
      </c>
      <c r="U583" s="92">
        <f t="shared" ref="U583" si="7975">AVERAGE(L427,L479,L531)</f>
        <v>0</v>
      </c>
      <c r="V583" s="92">
        <f t="shared" ref="V583" si="7976">(M427+M479+M531)/3</f>
        <v>398.54861111111109</v>
      </c>
      <c r="W583" s="92">
        <f t="shared" ref="W583" si="7977">(N427+N479+N531)/3</f>
        <v>329.09722222222223</v>
      </c>
      <c r="X583" s="92">
        <f t="shared" ref="X583" si="7978">(O427+O479+O531)/3</f>
        <v>343.08333333333331</v>
      </c>
      <c r="Y583" s="92">
        <f t="shared" ref="Y583" si="7979">(P427+P479+P531)/3</f>
        <v>343.08333333333331</v>
      </c>
      <c r="Z583" s="92">
        <f t="shared" ref="Z583" si="7980">(Q427+Q479+Q531)/3</f>
        <v>258.95138888888891</v>
      </c>
      <c r="AA583" s="92">
        <f t="shared" ref="AA583" si="7981">(R427+R479+R531)/3</f>
        <v>355.02759582726839</v>
      </c>
      <c r="AC583" s="112">
        <f>+AF583-'Figure 8_data'!I795</f>
        <v>0</v>
      </c>
      <c r="AD583" s="92" t="e">
        <f t="shared" ref="AD583" si="7982">(B583/T583-1)*100</f>
        <v>#DIV/0!</v>
      </c>
      <c r="AE583" s="92" t="e">
        <f t="shared" ref="AE583" si="7983">(C583/U583-1)*100</f>
        <v>#DIV/0!</v>
      </c>
      <c r="AF583" s="92">
        <f t="shared" ref="AF583" si="7984">(D583/V583-1)*100</f>
        <v>39.255283929535992</v>
      </c>
      <c r="AG583" s="92">
        <f t="shared" ref="AG583" si="7985">(E583/W583-1)*100</f>
        <v>34.711964549483</v>
      </c>
      <c r="AH583" s="92">
        <f t="shared" ref="AH583" si="7986">(F583/X583-1)*100</f>
        <v>29.220306048093271</v>
      </c>
      <c r="AI583" s="92">
        <f t="shared" ref="AI583" si="7987">(G583/Y583-1)*100</f>
        <v>29.220306048093271</v>
      </c>
      <c r="AJ583" s="92">
        <f t="shared" ref="AJ583" si="7988">(H583/Z583-1)*100</f>
        <v>19.069967014401001</v>
      </c>
      <c r="AK583" s="92">
        <f t="shared" ref="AK583" si="7989">(I583/AA583-1)*100</f>
        <v>19.083758207422829</v>
      </c>
      <c r="AM583" s="112">
        <f>AP583-'Figure 8_data'!H795</f>
        <v>0</v>
      </c>
      <c r="AN583" s="92" t="e">
        <f t="shared" ref="AN583" si="7990">(B583/B531-1)*100</f>
        <v>#DIV/0!</v>
      </c>
      <c r="AO583" s="92" t="e">
        <f t="shared" ref="AO583" si="7991">(C583/C531-1)*100</f>
        <v>#DIV/0!</v>
      </c>
      <c r="AP583" s="92">
        <f t="shared" ref="AP583" si="7992">(D583/D531-1)*100</f>
        <v>66.666666666666671</v>
      </c>
      <c r="AQ583" s="92">
        <f t="shared" ref="AQ583" si="7993">(E583/E531-1)*100</f>
        <v>58.333333333333329</v>
      </c>
      <c r="AR583" s="92">
        <f t="shared" ref="AR583" si="7994">(F583/F531-1)*100</f>
        <v>91.091954022988503</v>
      </c>
      <c r="AS583" s="92">
        <f t="shared" ref="AS583" si="7995">(G583/G531-1)*100</f>
        <v>91.091954022988503</v>
      </c>
      <c r="AT583" s="92">
        <f t="shared" ref="AT583" si="7996">(H583/H531-1)*100</f>
        <v>64.884135472370758</v>
      </c>
      <c r="AU583" s="92">
        <f t="shared" ref="AU583" si="7997">(I583/I531-1)*100</f>
        <v>65.148517103347899</v>
      </c>
    </row>
    <row r="584" spans="1:47" x14ac:dyDescent="0.3">
      <c r="A584" s="13">
        <f t="shared" si="7581"/>
        <v>41667</v>
      </c>
      <c r="B584" s="92">
        <f>TWK!B529</f>
        <v>0</v>
      </c>
      <c r="C584" s="92">
        <f>TWK!C529</f>
        <v>0</v>
      </c>
      <c r="D584" s="92">
        <f>TWK!D529</f>
        <v>590</v>
      </c>
      <c r="E584" s="92">
        <f>TWK!E529</f>
        <v>491.66666666666669</v>
      </c>
      <c r="F584" s="92">
        <f>TWK!F529</f>
        <v>475</v>
      </c>
      <c r="G584" s="92">
        <f>TWK!G529</f>
        <v>475</v>
      </c>
      <c r="H584" s="92">
        <f>TWK!H529</f>
        <v>325</v>
      </c>
      <c r="I584" s="92">
        <f>TWK!I529</f>
        <v>445.63318777292579</v>
      </c>
      <c r="K584" s="92">
        <f t="shared" ref="K584" si="7998">AVERAGE(B581:B584)</f>
        <v>0</v>
      </c>
      <c r="L584" s="92">
        <f t="shared" ref="L584" si="7999">AVERAGE(C581:C584)</f>
        <v>0</v>
      </c>
      <c r="M584" s="92">
        <f t="shared" ref="M584" si="8000">AVERAGE(D581:D584)</f>
        <v>568.125</v>
      </c>
      <c r="N584" s="92">
        <f t="shared" ref="N584" si="8001">AVERAGE(E581:E584)</f>
        <v>436.25</v>
      </c>
      <c r="O584" s="92">
        <f t="shared" ref="O584" si="8002">AVERAGE(F581:F584)</f>
        <v>431.25</v>
      </c>
      <c r="P584" s="92">
        <f t="shared" ref="P584" si="8003">AVERAGE(G581:G584)</f>
        <v>431.25</v>
      </c>
      <c r="Q584" s="92">
        <f t="shared" ref="Q584" si="8004">AVERAGE(H581:H584)</f>
        <v>290.83333333333331</v>
      </c>
      <c r="R584" s="92">
        <f t="shared" ref="R584" si="8005">AVERAGE(I581:I584)</f>
        <v>398.78457059679772</v>
      </c>
      <c r="T584" s="92">
        <f t="shared" ref="T584" si="8006">AVERAGE(K428,K480,K532)</f>
        <v>0</v>
      </c>
      <c r="U584" s="92">
        <f t="shared" ref="U584" si="8007">AVERAGE(L428,L480,L532)</f>
        <v>0</v>
      </c>
      <c r="V584" s="92">
        <f t="shared" ref="V584" si="8008">(M428+M480+M532)/3</f>
        <v>405.72916666666669</v>
      </c>
      <c r="W584" s="92">
        <f t="shared" ref="W584" si="8009">(N428+N480+N532)/3</f>
        <v>337.73611111111114</v>
      </c>
      <c r="X584" s="92">
        <f t="shared" ref="X584" si="8010">(O428+O480+O532)/3</f>
        <v>340.6944444444444</v>
      </c>
      <c r="Y584" s="92">
        <f t="shared" ref="Y584" si="8011">(P428+P480+P532)/3</f>
        <v>340.6944444444444</v>
      </c>
      <c r="Z584" s="92">
        <f t="shared" ref="Z584" si="8012">(Q428+Q480+Q532)/3</f>
        <v>265.78472222222223</v>
      </c>
      <c r="AA584" s="92">
        <f t="shared" ref="AA584" si="8013">(R428+R480+R532)/3</f>
        <v>364.40059437166428</v>
      </c>
      <c r="AC584" s="112">
        <f>+AF584-'Figure 8_data'!I796</f>
        <v>0</v>
      </c>
      <c r="AD584" s="92" t="e">
        <f t="shared" ref="AD584" si="8014">(B584/T584-1)*100</f>
        <v>#DIV/0!</v>
      </c>
      <c r="AE584" s="92" t="e">
        <f t="shared" ref="AE584" si="8015">(C584/U584-1)*100</f>
        <v>#DIV/0!</v>
      </c>
      <c r="AF584" s="92">
        <f t="shared" ref="AF584" si="8016">(D584/V584-1)*100</f>
        <v>45.417201540436444</v>
      </c>
      <c r="AG584" s="92">
        <f t="shared" ref="AG584" si="8017">(E584/W584-1)*100</f>
        <v>45.577168236213339</v>
      </c>
      <c r="AH584" s="92">
        <f t="shared" ref="AH584" si="8018">(F584/X584-1)*100</f>
        <v>39.421116999592364</v>
      </c>
      <c r="AI584" s="92">
        <f t="shared" ref="AI584" si="8019">(G584/Y584-1)*100</f>
        <v>39.421116999592364</v>
      </c>
      <c r="AJ584" s="92">
        <f t="shared" ref="AJ584" si="8020">(H584/Z584-1)*100</f>
        <v>22.279413685888215</v>
      </c>
      <c r="AK584" s="92">
        <f t="shared" ref="AK584" si="8021">(I584/AA584-1)*100</f>
        <v>22.29211331044365</v>
      </c>
      <c r="AM584" s="112">
        <f>AP584-'Figure 8_data'!H796</f>
        <v>0</v>
      </c>
      <c r="AN584" s="92" t="e">
        <f t="shared" ref="AN584" si="8022">(B584/B532-1)*100</f>
        <v>#DIV/0!</v>
      </c>
      <c r="AO584" s="92" t="e">
        <f t="shared" ref="AO584" si="8023">(C584/C532-1)*100</f>
        <v>#DIV/0!</v>
      </c>
      <c r="AP584" s="92">
        <f t="shared" ref="AP584" si="8024">(D584/D532-1)*100</f>
        <v>78.787878787878782</v>
      </c>
      <c r="AQ584" s="92">
        <f t="shared" ref="AQ584" si="8025">(E584/E532-1)*100</f>
        <v>80.428134556574932</v>
      </c>
      <c r="AR584" s="92">
        <f t="shared" ref="AR584" si="8026">(F584/F532-1)*100</f>
        <v>111.11111111111111</v>
      </c>
      <c r="AS584" s="92">
        <f t="shared" ref="AS584" si="8027">(G584/G532-1)*100</f>
        <v>111.11111111111111</v>
      </c>
      <c r="AT584" s="92">
        <f t="shared" ref="AT584" si="8028">(H584/H532-1)*100</f>
        <v>78.082191780821915</v>
      </c>
      <c r="AU584" s="92">
        <f t="shared" ref="AU584" si="8029">(I584/I532-1)*100</f>
        <v>78.082191780821915</v>
      </c>
    </row>
    <row r="585" spans="1:47" x14ac:dyDescent="0.3">
      <c r="A585" s="13">
        <f t="shared" si="7581"/>
        <v>41674</v>
      </c>
      <c r="B585" s="92">
        <f>TWK!B530</f>
        <v>0</v>
      </c>
      <c r="C585" s="92">
        <f>TWK!C530</f>
        <v>0</v>
      </c>
      <c r="D585" s="92">
        <f>TWK!D530</f>
        <v>0</v>
      </c>
      <c r="E585" s="92">
        <f>TWK!E530</f>
        <v>491.66666666666669</v>
      </c>
      <c r="F585" s="92">
        <f>TWK!F530</f>
        <v>491.66666666666669</v>
      </c>
      <c r="G585" s="92">
        <f>TWK!G530</f>
        <v>491.66666666666669</v>
      </c>
      <c r="H585" s="92">
        <f>TWK!H530</f>
        <v>341.66666666666669</v>
      </c>
      <c r="I585" s="92">
        <f>TWK!I530</f>
        <v>468.48617176128096</v>
      </c>
      <c r="K585" s="92">
        <f t="shared" ref="K585" si="8030">AVERAGE(B582:B585)</f>
        <v>0</v>
      </c>
      <c r="L585" s="92">
        <f t="shared" ref="L585" si="8031">AVERAGE(C582:C585)</f>
        <v>0</v>
      </c>
      <c r="M585" s="92">
        <f t="shared" ref="M585" si="8032">AVERAGE(D582:D585)</f>
        <v>426.25</v>
      </c>
      <c r="N585" s="92">
        <f t="shared" ref="N585" si="8033">AVERAGE(E582:E585)</f>
        <v>452.91666666666669</v>
      </c>
      <c r="O585" s="92">
        <f t="shared" ref="O585" si="8034">AVERAGE(F582:F585)</f>
        <v>451.25</v>
      </c>
      <c r="P585" s="92">
        <f t="shared" ref="P585" si="8035">AVERAGE(G582:G585)</f>
        <v>451.25</v>
      </c>
      <c r="Q585" s="92">
        <f t="shared" ref="Q585" si="8036">AVERAGE(H582:H585)</f>
        <v>308.75</v>
      </c>
      <c r="R585" s="92">
        <f t="shared" ref="R585" si="8037">AVERAGE(I582:I585)</f>
        <v>423.3515283842795</v>
      </c>
      <c r="T585" s="92">
        <f t="shared" ref="T585" si="8038">AVERAGE(K429,K481,K533)</f>
        <v>0</v>
      </c>
      <c r="U585" s="92">
        <f t="shared" ref="U585" si="8039">AVERAGE(L429,L481,L533)</f>
        <v>0</v>
      </c>
      <c r="V585" s="92">
        <f t="shared" ref="V585" si="8040">(M429+M481+M533)/3</f>
        <v>411.5625</v>
      </c>
      <c r="W585" s="92">
        <f t="shared" ref="W585" si="8041">(N429+N481+N533)/3</f>
        <v>336.52083333333331</v>
      </c>
      <c r="X585" s="92">
        <f t="shared" ref="X585" si="8042">(O429+O481+O533)/3</f>
        <v>336.00694444444446</v>
      </c>
      <c r="Y585" s="92">
        <f t="shared" ref="Y585" si="8043">(P429+P481+P533)/3</f>
        <v>336.00694444444446</v>
      </c>
      <c r="Z585" s="92">
        <f t="shared" ref="Z585" si="8044">(Q429+Q481+Q533)/3</f>
        <v>269.60416666666663</v>
      </c>
      <c r="AA585" s="92">
        <f t="shared" ref="AA585" si="8045">(R429+R481+R533)/3</f>
        <v>369.59012615235321</v>
      </c>
      <c r="AC585" s="112">
        <f>+AF585-'Figure 8_data'!I797</f>
        <v>0</v>
      </c>
      <c r="AD585" s="92" t="e">
        <f t="shared" ref="AD585" si="8046">(B585/T585-1)*100</f>
        <v>#DIV/0!</v>
      </c>
      <c r="AE585" s="92" t="e">
        <f t="shared" ref="AE585" si="8047">(C585/U585-1)*100</f>
        <v>#DIV/0!</v>
      </c>
      <c r="AF585" s="92">
        <f t="shared" ref="AF585" si="8048">(D585/V585-1)*100</f>
        <v>-100</v>
      </c>
      <c r="AG585" s="92">
        <f t="shared" ref="AG585" si="8049">(E585/W585-1)*100</f>
        <v>46.102891103819729</v>
      </c>
      <c r="AH585" s="92">
        <f t="shared" ref="AH585" si="8050">(F585/X585-1)*100</f>
        <v>46.326340808101676</v>
      </c>
      <c r="AI585" s="92">
        <f t="shared" ref="AI585" si="8051">(G585/Y585-1)*100</f>
        <v>46.326340808101676</v>
      </c>
      <c r="AJ585" s="92">
        <f t="shared" ref="AJ585" si="8052">(H585/Z585-1)*100</f>
        <v>26.729000850011619</v>
      </c>
      <c r="AK585" s="92">
        <f t="shared" ref="AK585" si="8053">(I585/AA585-1)*100</f>
        <v>26.758302944532829</v>
      </c>
      <c r="AM585" s="112">
        <f>AP585-'Figure 8_data'!H797</f>
        <v>0</v>
      </c>
      <c r="AN585" s="92" t="e">
        <f t="shared" ref="AN585" si="8054">(B585/B533-1)*100</f>
        <v>#DIV/0!</v>
      </c>
      <c r="AO585" s="92" t="e">
        <f t="shared" ref="AO585" si="8055">(C585/C533-1)*100</f>
        <v>#DIV/0!</v>
      </c>
      <c r="AP585" s="92">
        <f t="shared" ref="AP585" si="8056">(D585/D533-1)*100</f>
        <v>-100</v>
      </c>
      <c r="AQ585" s="92">
        <f t="shared" ref="AQ585" si="8057">(E585/E533-1)*100</f>
        <v>97.986577181208048</v>
      </c>
      <c r="AR585" s="92">
        <f t="shared" ref="AR585" si="8058">(F585/F533-1)*100</f>
        <v>136</v>
      </c>
      <c r="AS585" s="92">
        <f t="shared" ref="AS585" si="8059">(G585/G533-1)*100</f>
        <v>136</v>
      </c>
      <c r="AT585" s="92">
        <f t="shared" ref="AT585" si="8060">(H585/H533-1)*100</f>
        <v>78.260869565217405</v>
      </c>
      <c r="AU585" s="92">
        <f t="shared" ref="AU585" si="8061">(I585/I533-1)*100</f>
        <v>78.260869565217405</v>
      </c>
    </row>
    <row r="586" spans="1:47" x14ac:dyDescent="0.3">
      <c r="A586" s="13">
        <f t="shared" si="7581"/>
        <v>41681</v>
      </c>
      <c r="B586" s="92">
        <f>TWK!B531</f>
        <v>0</v>
      </c>
      <c r="C586" s="92">
        <f>TWK!C531</f>
        <v>0</v>
      </c>
      <c r="D586" s="92">
        <f>TWK!D531</f>
        <v>597</v>
      </c>
      <c r="E586" s="92">
        <f>TWK!E531</f>
        <v>457</v>
      </c>
      <c r="F586" s="92">
        <f>TWK!F531</f>
        <v>472</v>
      </c>
      <c r="G586" s="92">
        <f>TWK!G531</f>
        <v>472</v>
      </c>
      <c r="H586" s="92">
        <f>TWK!H531</f>
        <v>315</v>
      </c>
      <c r="I586" s="92">
        <f>TWK!I531</f>
        <v>432</v>
      </c>
      <c r="K586" s="92">
        <f t="shared" ref="K586" si="8062">AVERAGE(B583:B586)</f>
        <v>0</v>
      </c>
      <c r="L586" s="92">
        <f t="shared" ref="L586" si="8063">AVERAGE(C583:C586)</f>
        <v>0</v>
      </c>
      <c r="M586" s="92">
        <f t="shared" ref="M586" si="8064">AVERAGE(D583:D586)</f>
        <v>435.5</v>
      </c>
      <c r="N586" s="92">
        <f t="shared" ref="N586" si="8065">AVERAGE(E583:E586)</f>
        <v>470.91666666666669</v>
      </c>
      <c r="O586" s="92">
        <f t="shared" ref="O586" si="8066">AVERAGE(F583:F586)</f>
        <v>470.5</v>
      </c>
      <c r="P586" s="92">
        <f t="shared" ref="P586" si="8067">AVERAGE(G583:G586)</f>
        <v>470.5</v>
      </c>
      <c r="Q586" s="92">
        <f t="shared" ref="Q586" si="8068">AVERAGE(H583:H586)</f>
        <v>322.5</v>
      </c>
      <c r="R586" s="92">
        <f t="shared" ref="R586" si="8069">AVERAGE(I583:I586)</f>
        <v>442.22489082969435</v>
      </c>
      <c r="T586" s="92">
        <f t="shared" ref="T586" si="8070">AVERAGE(K430,K482,K534)</f>
        <v>0</v>
      </c>
      <c r="U586" s="92">
        <f t="shared" ref="U586" si="8071">AVERAGE(L430,L482,L534)</f>
        <v>0</v>
      </c>
      <c r="V586" s="92">
        <f t="shared" ref="V586" si="8072">(M430+M482+M534)/3</f>
        <v>425.34722222222217</v>
      </c>
      <c r="W586" s="92">
        <f t="shared" ref="W586" si="8073">(N430+N482+N534)/3</f>
        <v>344.75</v>
      </c>
      <c r="X586" s="92">
        <f t="shared" ref="X586" si="8074">(O430+O482+O534)/3</f>
        <v>340.62500000000006</v>
      </c>
      <c r="Y586" s="92">
        <f t="shared" ref="Y586" si="8075">(P430+P482+P534)/3</f>
        <v>340.34722222222223</v>
      </c>
      <c r="Z586" s="92">
        <f t="shared" ref="Z586" si="8076">(Q430+Q482+Q534)/3</f>
        <v>276.96527777777777</v>
      </c>
      <c r="AA586" s="92">
        <f t="shared" ref="AA586" si="8077">(R430+R482+R534)/3</f>
        <v>379.68352741387679</v>
      </c>
      <c r="AC586" s="112">
        <f>+AF586-'Figure 8_data'!I798</f>
        <v>0</v>
      </c>
      <c r="AD586" s="92" t="e">
        <f t="shared" ref="AD586" si="8078">(B586/T586-1)*100</f>
        <v>#DIV/0!</v>
      </c>
      <c r="AE586" s="92" t="e">
        <f t="shared" ref="AE586" si="8079">(C586/U586-1)*100</f>
        <v>#DIV/0!</v>
      </c>
      <c r="AF586" s="92">
        <f t="shared" ref="AF586" si="8080">(D586/V586-1)*100</f>
        <v>40.355918367346952</v>
      </c>
      <c r="AG586" s="92">
        <f t="shared" ref="AG586" si="8081">(E586/W586-1)*100</f>
        <v>32.559825960841195</v>
      </c>
      <c r="AH586" s="92">
        <f t="shared" ref="AH586" si="8082">(F586/X586-1)*100</f>
        <v>38.568807339449521</v>
      </c>
      <c r="AI586" s="92">
        <f t="shared" ref="AI586" si="8083">(G586/Y586-1)*100</f>
        <v>38.681901652723937</v>
      </c>
      <c r="AJ586" s="92">
        <f t="shared" ref="AJ586" si="8084">(H586/Z586-1)*100</f>
        <v>13.732668054058127</v>
      </c>
      <c r="AK586" s="92">
        <f t="shared" ref="AK586" si="8085">(I586/AA586-1)*100</f>
        <v>13.778968221893727</v>
      </c>
      <c r="AM586" s="112">
        <f>AP586-'Figure 8_data'!H798</f>
        <v>0</v>
      </c>
      <c r="AN586" s="92" t="e">
        <f t="shared" ref="AN586" si="8086">(B586/B534-1)*100</f>
        <v>#DIV/0!</v>
      </c>
      <c r="AO586" s="92" t="e">
        <f t="shared" ref="AO586" si="8087">(C586/C534-1)*100</f>
        <v>#DIV/0!</v>
      </c>
      <c r="AP586" s="92">
        <f t="shared" ref="AP586" si="8088">(D586/D534-1)*100</f>
        <v>83.692307692307693</v>
      </c>
      <c r="AQ586" s="92">
        <f t="shared" ref="AQ586" si="8089">(E586/E534-1)*100</f>
        <v>82.800000000000011</v>
      </c>
      <c r="AR586" s="92">
        <f t="shared" ref="AR586" si="8090">(F586/F534-1)*100</f>
        <v>119.53488372093024</v>
      </c>
      <c r="AS586" s="92">
        <f t="shared" ref="AS586" si="8091">(G586/G534-1)*100</f>
        <v>122.992125984252</v>
      </c>
      <c r="AT586" s="92">
        <f t="shared" ref="AT586" si="8092">(H586/H534-1)*100</f>
        <v>71.818181818181799</v>
      </c>
      <c r="AU586" s="92">
        <f t="shared" ref="AU586" si="8093">(I586/I534-1)*100</f>
        <v>71.849449913144142</v>
      </c>
    </row>
    <row r="587" spans="1:47" x14ac:dyDescent="0.3">
      <c r="A587" s="13">
        <f t="shared" si="7581"/>
        <v>41688</v>
      </c>
      <c r="B587" s="92">
        <f>TWK!B532</f>
        <v>0</v>
      </c>
      <c r="C587" s="92">
        <f>TWK!C532</f>
        <v>0</v>
      </c>
      <c r="D587" s="92">
        <f>TWK!D532</f>
        <v>600</v>
      </c>
      <c r="E587" s="92">
        <f>TWK!E532</f>
        <v>463.33333333333331</v>
      </c>
      <c r="F587" s="92">
        <f>TWK!F532</f>
        <v>456.66666666666669</v>
      </c>
      <c r="G587" s="92">
        <f>TWK!G532</f>
        <v>456.66666666666669</v>
      </c>
      <c r="H587" s="92">
        <f>TWK!H532</f>
        <v>308.33333333333331</v>
      </c>
      <c r="I587" s="92">
        <f>TWK!I532</f>
        <v>422.78020378457057</v>
      </c>
      <c r="K587" s="92">
        <f t="shared" ref="K587" si="8094">AVERAGE(B584:B587)</f>
        <v>0</v>
      </c>
      <c r="L587" s="92">
        <f t="shared" ref="L587" si="8095">AVERAGE(C584:C587)</f>
        <v>0</v>
      </c>
      <c r="M587" s="92">
        <f t="shared" ref="M587" si="8096">AVERAGE(D584:D587)</f>
        <v>446.75</v>
      </c>
      <c r="N587" s="92">
        <f t="shared" ref="N587" si="8097">AVERAGE(E584:E587)</f>
        <v>475.91666666666669</v>
      </c>
      <c r="O587" s="92">
        <f t="shared" ref="O587" si="8098">AVERAGE(F584:F587)</f>
        <v>473.83333333333337</v>
      </c>
      <c r="P587" s="92">
        <f t="shared" ref="P587" si="8099">AVERAGE(G584:G587)</f>
        <v>473.83333333333337</v>
      </c>
      <c r="Q587" s="92">
        <f t="shared" ref="Q587" si="8100">AVERAGE(H584:H587)</f>
        <v>322.5</v>
      </c>
      <c r="R587" s="92">
        <f t="shared" ref="R587" si="8101">AVERAGE(I584:I587)</f>
        <v>442.22489082969435</v>
      </c>
      <c r="T587" s="92">
        <f t="shared" ref="T587" si="8102">AVERAGE(K431,K483,K535)</f>
        <v>0</v>
      </c>
      <c r="U587" s="92">
        <f t="shared" ref="U587" si="8103">AVERAGE(L431,L483,L535)</f>
        <v>0</v>
      </c>
      <c r="V587" s="92">
        <f t="shared" ref="V587" si="8104">(M431+M483+M535)/3</f>
        <v>433.11805555555549</v>
      </c>
      <c r="W587" s="92">
        <f t="shared" ref="W587" si="8105">(N431+N483+N535)/3</f>
        <v>344.95833333333331</v>
      </c>
      <c r="X587" s="92">
        <f t="shared" ref="X587" si="8106">(O431+O483+O535)/3</f>
        <v>345</v>
      </c>
      <c r="Y587" s="92">
        <f t="shared" ref="Y587" si="8107">(P431+P483+P535)/3</f>
        <v>344.72222222222223</v>
      </c>
      <c r="Z587" s="92">
        <f t="shared" ref="Z587" si="8108">(Q431+Q483+Q535)/3</f>
        <v>284.02777777777777</v>
      </c>
      <c r="AA587" s="92">
        <f t="shared" ref="AA587" si="8109">(R431+R483+R535)/3</f>
        <v>382.38191411935958</v>
      </c>
      <c r="AC587" s="112">
        <f>+AF587-'Figure 8_data'!I799</f>
        <v>0</v>
      </c>
      <c r="AD587" s="92" t="e">
        <f t="shared" ref="AD587" si="8110">(B587/T587-1)*100</f>
        <v>#DIV/0!</v>
      </c>
      <c r="AE587" s="92" t="e">
        <f t="shared" ref="AE587" si="8111">(C587/U587-1)*100</f>
        <v>#DIV/0!</v>
      </c>
      <c r="AF587" s="92">
        <f t="shared" ref="AF587" si="8112">(D587/V587-1)*100</f>
        <v>38.530359633792457</v>
      </c>
      <c r="AG587" s="92">
        <f t="shared" ref="AG587" si="8113">(E587/W587-1)*100</f>
        <v>34.315738615774862</v>
      </c>
      <c r="AH587" s="92">
        <f t="shared" ref="AH587" si="8114">(F587/X587-1)*100</f>
        <v>32.367149758454119</v>
      </c>
      <c r="AI587" s="92">
        <f t="shared" ref="AI587" si="8115">(G587/Y587-1)*100</f>
        <v>32.47381144238517</v>
      </c>
      <c r="AJ587" s="92">
        <f t="shared" ref="AJ587" si="8116">(H587/Z587-1)*100</f>
        <v>8.5574572127139259</v>
      </c>
      <c r="AK587" s="92">
        <f t="shared" ref="AK587" si="8117">(I587/AA587-1)*100</f>
        <v>10.564905967963956</v>
      </c>
      <c r="AM587" s="112">
        <f>AP587-'Figure 8_data'!H799</f>
        <v>0</v>
      </c>
      <c r="AN587" s="92" t="e">
        <f t="shared" ref="AN587" si="8118">(B587/B535-1)*100</f>
        <v>#DIV/0!</v>
      </c>
      <c r="AO587" s="92" t="e">
        <f t="shared" ref="AO587" si="8119">(C587/C535-1)*100</f>
        <v>#DIV/0!</v>
      </c>
      <c r="AP587" s="92">
        <f t="shared" ref="AP587" si="8120">(D587/D535-1)*100</f>
        <v>84.615384615384627</v>
      </c>
      <c r="AQ587" s="92">
        <f t="shared" ref="AQ587" si="8121">(E587/E535-1)*100</f>
        <v>85.333333333333329</v>
      </c>
      <c r="AR587" s="92">
        <f t="shared" ref="AR587" si="8122">(F587/F535-1)*100</f>
        <v>107.57575757575756</v>
      </c>
      <c r="AS587" s="92">
        <f t="shared" ref="AS587" si="8123">(G587/G535-1)*100</f>
        <v>107.57575757575756</v>
      </c>
      <c r="AT587" s="92">
        <f t="shared" ref="AT587" si="8124">(H587/H535-1)*100</f>
        <v>66.666666666666657</v>
      </c>
      <c r="AU587" s="92">
        <f t="shared" ref="AU587" si="8125">(I587/I535-1)*100</f>
        <v>150</v>
      </c>
    </row>
    <row r="588" spans="1:47" x14ac:dyDescent="0.3">
      <c r="A588" s="13">
        <f t="shared" si="7581"/>
        <v>41695</v>
      </c>
      <c r="B588" s="92">
        <f>TWK!B533</f>
        <v>0</v>
      </c>
      <c r="C588" s="92">
        <f>TWK!C533</f>
        <v>0</v>
      </c>
      <c r="D588" s="92">
        <f>TWK!D533</f>
        <v>591.66666666666663</v>
      </c>
      <c r="E588" s="92">
        <f>TWK!E533</f>
        <v>485</v>
      </c>
      <c r="F588" s="92">
        <f>TWK!F533</f>
        <v>483.33333333333331</v>
      </c>
      <c r="G588" s="92">
        <f>TWK!G533</f>
        <v>483.33333333333331</v>
      </c>
      <c r="H588" s="92">
        <f>TWK!H533</f>
        <v>363.33333333333331</v>
      </c>
      <c r="I588" s="92">
        <f>TWK!I533</f>
        <v>498.19505094614266</v>
      </c>
      <c r="K588" s="92">
        <f t="shared" ref="K588" si="8126">AVERAGE(B585:B588)</f>
        <v>0</v>
      </c>
      <c r="L588" s="92">
        <f t="shared" ref="L588" si="8127">AVERAGE(C585:C588)</f>
        <v>0</v>
      </c>
      <c r="M588" s="92">
        <f t="shared" ref="M588" si="8128">AVERAGE(D585:D588)</f>
        <v>447.16666666666663</v>
      </c>
      <c r="N588" s="92">
        <f t="shared" ref="N588" si="8129">AVERAGE(E585:E588)</f>
        <v>474.25</v>
      </c>
      <c r="O588" s="92">
        <f t="shared" ref="O588" si="8130">AVERAGE(F585:F588)</f>
        <v>475.91666666666669</v>
      </c>
      <c r="P588" s="92">
        <f t="shared" ref="P588" si="8131">AVERAGE(G585:G588)</f>
        <v>475.91666666666669</v>
      </c>
      <c r="Q588" s="92">
        <f t="shared" ref="Q588" si="8132">AVERAGE(H585:H588)</f>
        <v>332.08333333333331</v>
      </c>
      <c r="R588" s="92">
        <f t="shared" ref="R588" si="8133">AVERAGE(I585:I588)</f>
        <v>455.36535662299855</v>
      </c>
      <c r="T588" s="92">
        <f t="shared" ref="T588" si="8134">AVERAGE(K432,K484,K536)</f>
        <v>0</v>
      </c>
      <c r="U588" s="92">
        <f t="shared" ref="U588" si="8135">AVERAGE(L432,L484,L536)</f>
        <v>0</v>
      </c>
      <c r="V588" s="92">
        <f t="shared" ref="V588" si="8136">(M432+M484+M536)/3</f>
        <v>421.8819444444444</v>
      </c>
      <c r="W588" s="92">
        <f t="shared" ref="W588" si="8137">(N432+N484+N536)/3</f>
        <v>329.35416666666669</v>
      </c>
      <c r="X588" s="92">
        <f t="shared" ref="X588" si="8138">(O432+O484+O536)/3</f>
        <v>340.85416666666669</v>
      </c>
      <c r="Y588" s="92">
        <f t="shared" ref="Y588" si="8139">(P432+P484+P536)/3</f>
        <v>340.88888888888891</v>
      </c>
      <c r="Z588" s="92">
        <f t="shared" ref="Z588" si="8140">(Q432+Q484+Q536)/3</f>
        <v>277.4305555555556</v>
      </c>
      <c r="AA588" s="92">
        <f t="shared" ref="AA588" si="8141">(R432+R484+R536)/3</f>
        <v>373.26388888888886</v>
      </c>
      <c r="AC588" s="112">
        <f>+AF588-'Figure 8_data'!I800</f>
        <v>0</v>
      </c>
      <c r="AD588" s="92" t="e">
        <f t="shared" ref="AD588" si="8142">(B588/T588-1)*100</f>
        <v>#DIV/0!</v>
      </c>
      <c r="AE588" s="92" t="e">
        <f t="shared" ref="AE588" si="8143">(C588/U588-1)*100</f>
        <v>#DIV/0!</v>
      </c>
      <c r="AF588" s="92">
        <f t="shared" ref="AF588" si="8144">(D588/V588-1)*100</f>
        <v>40.244605027077739</v>
      </c>
      <c r="AG588" s="92">
        <f t="shared" ref="AG588" si="8145">(E588/W588-1)*100</f>
        <v>47.257891074704283</v>
      </c>
      <c r="AH588" s="92">
        <f t="shared" ref="AH588" si="8146">(F588/X588-1)*100</f>
        <v>41.800623433775421</v>
      </c>
      <c r="AI588" s="92">
        <f t="shared" ref="AI588" si="8147">(G588/Y588-1)*100</f>
        <v>41.78617992177314</v>
      </c>
      <c r="AJ588" s="92">
        <f t="shared" ref="AJ588" si="8148">(H588/Z588-1)*100</f>
        <v>30.963704630788456</v>
      </c>
      <c r="AK588" s="92">
        <f t="shared" ref="AK588" si="8149">(I588/AA588-1)*100</f>
        <v>33.469929927896835</v>
      </c>
      <c r="AM588" s="112">
        <f>AP588-'Figure 8_data'!H800</f>
        <v>0</v>
      </c>
      <c r="AN588" s="92" t="e">
        <f t="shared" ref="AN588" si="8150">(B588/B536-1)*100</f>
        <v>#DIV/0!</v>
      </c>
      <c r="AO588" s="92" t="e">
        <f t="shared" ref="AO588" si="8151">(C588/C536-1)*100</f>
        <v>#DIV/0!</v>
      </c>
      <c r="AP588" s="92">
        <f t="shared" ref="AP588" si="8152">(D588/D536-1)*100</f>
        <v>81.122448979591823</v>
      </c>
      <c r="AQ588" s="92">
        <f t="shared" ref="AQ588" si="8153">(E588/E536-1)*100</f>
        <v>90.944881889763778</v>
      </c>
      <c r="AR588" s="92">
        <f t="shared" ref="AR588" si="8154">(F588/F536-1)*100</f>
        <v>119.69696969696967</v>
      </c>
      <c r="AS588" s="92">
        <f t="shared" ref="AS588" si="8155">(G588/G536-1)*100</f>
        <v>119.69696969696967</v>
      </c>
      <c r="AT588" s="92">
        <f t="shared" ref="AT588" si="8156">(H588/H536-1)*100</f>
        <v>96.396396396396383</v>
      </c>
      <c r="AU588" s="92">
        <f t="shared" ref="AU588" si="8157">(I588/I536-1)*100</f>
        <v>96.396396396396412</v>
      </c>
    </row>
    <row r="589" spans="1:47" x14ac:dyDescent="0.3">
      <c r="A589" s="13">
        <f t="shared" si="7581"/>
        <v>41702</v>
      </c>
      <c r="B589" s="92">
        <f>TWK!B534</f>
        <v>0</v>
      </c>
      <c r="C589" s="92">
        <f>TWK!C534</f>
        <v>0</v>
      </c>
      <c r="D589" s="92">
        <f>TWK!D534</f>
        <v>620</v>
      </c>
      <c r="E589" s="92">
        <f>TWK!E534</f>
        <v>595</v>
      </c>
      <c r="F589" s="92">
        <f>TWK!F534</f>
        <v>591.66666666666663</v>
      </c>
      <c r="G589" s="92">
        <f>TWK!G534</f>
        <v>591.66666666666663</v>
      </c>
      <c r="H589" s="92">
        <f>TWK!H534</f>
        <v>500</v>
      </c>
      <c r="I589" s="92">
        <f>TWK!I534</f>
        <v>685.58951965065501</v>
      </c>
      <c r="K589" s="92">
        <f t="shared" ref="K589" si="8158">AVERAGE(B586:B589)</f>
        <v>0</v>
      </c>
      <c r="L589" s="92">
        <f t="shared" ref="L589" si="8159">AVERAGE(C586:C589)</f>
        <v>0</v>
      </c>
      <c r="M589" s="92">
        <f t="shared" ref="M589" si="8160">AVERAGE(D586:D589)</f>
        <v>602.16666666666663</v>
      </c>
      <c r="N589" s="92">
        <f t="shared" ref="N589" si="8161">AVERAGE(E586:E589)</f>
        <v>500.08333333333331</v>
      </c>
      <c r="O589" s="92">
        <f t="shared" ref="O589" si="8162">AVERAGE(F586:F589)</f>
        <v>500.91666666666663</v>
      </c>
      <c r="P589" s="92">
        <f t="shared" ref="P589" si="8163">AVERAGE(G586:G589)</f>
        <v>500.91666666666663</v>
      </c>
      <c r="Q589" s="92">
        <f t="shared" ref="Q589" si="8164">AVERAGE(H586:H589)</f>
        <v>371.66666666666663</v>
      </c>
      <c r="R589" s="92">
        <f t="shared" ref="R589" si="8165">AVERAGE(I586:I589)</f>
        <v>509.64119359534209</v>
      </c>
      <c r="T589" s="92">
        <f t="shared" ref="T589" si="8166">AVERAGE(K433,K485,K537)</f>
        <v>0</v>
      </c>
      <c r="U589" s="92">
        <f t="shared" ref="U589" si="8167">AVERAGE(L433,L485,L537)</f>
        <v>86.25</v>
      </c>
      <c r="V589" s="92">
        <f t="shared" ref="V589" si="8168">(M433+M485+M537)/3</f>
        <v>426.00694444444451</v>
      </c>
      <c r="W589" s="92">
        <f t="shared" ref="W589" si="8169">(N433+N485+N537)/3</f>
        <v>333.65972222222223</v>
      </c>
      <c r="X589" s="92">
        <f t="shared" ref="X589" si="8170">(O433+O485+O537)/3</f>
        <v>341.82638888888891</v>
      </c>
      <c r="Y589" s="92">
        <f t="shared" ref="Y589" si="8171">(P433+P485+P537)/3</f>
        <v>341.86111111111114</v>
      </c>
      <c r="Z589" s="92">
        <f t="shared" ref="Z589" si="8172">(Q433+Q485+Q537)/3</f>
        <v>281.00000000000006</v>
      </c>
      <c r="AA589" s="92">
        <f t="shared" ref="AA589" si="8173">(R433+R485+R537)/3</f>
        <v>378.18437651625419</v>
      </c>
      <c r="AC589" s="112">
        <f>+AF589-'Figure 8_data'!I801</f>
        <v>0</v>
      </c>
      <c r="AD589" s="92" t="e">
        <f t="shared" ref="AD589" si="8174">(B589/T589-1)*100</f>
        <v>#DIV/0!</v>
      </c>
      <c r="AE589" s="92">
        <f t="shared" ref="AE589" si="8175">(C589/U589-1)*100</f>
        <v>-100</v>
      </c>
      <c r="AF589" s="92">
        <f t="shared" ref="AF589" si="8176">(D589/V589-1)*100</f>
        <v>45.537533621321998</v>
      </c>
      <c r="AG589" s="92">
        <f t="shared" ref="AG589" si="8177">(E589/W589-1)*100</f>
        <v>78.325389722563315</v>
      </c>
      <c r="AH589" s="92">
        <f t="shared" ref="AH589" si="8178">(F589/X589-1)*100</f>
        <v>73.089815736545887</v>
      </c>
      <c r="AI589" s="92">
        <f t="shared" ref="AI589" si="8179">(G589/Y589-1)*100</f>
        <v>73.072235313236348</v>
      </c>
      <c r="AJ589" s="92">
        <f t="shared" ref="AJ589" si="8180">(H589/Z589-1)*100</f>
        <v>77.935943060498175</v>
      </c>
      <c r="AK589" s="92">
        <f t="shared" ref="AK589" si="8181">(I589/AA589-1)*100</f>
        <v>81.284463934270619</v>
      </c>
      <c r="AM589" s="112">
        <f>AP589-'Figure 8_data'!H801</f>
        <v>0</v>
      </c>
      <c r="AN589" s="92" t="e">
        <f t="shared" ref="AN589" si="8182">(B589/B537-1)*100</f>
        <v>#DIV/0!</v>
      </c>
      <c r="AO589" s="92">
        <f t="shared" ref="AO589" si="8183">(C589/C537-1)*100</f>
        <v>-100</v>
      </c>
      <c r="AP589" s="92">
        <f t="shared" ref="AP589" si="8184">(D589/D537-1)*100</f>
        <v>90.769230769230774</v>
      </c>
      <c r="AQ589" s="92">
        <f t="shared" ref="AQ589" si="8185">(E589/E537-1)*100</f>
        <v>138</v>
      </c>
      <c r="AR589" s="92">
        <f t="shared" ref="AR589" si="8186">(F589/F537-1)*100</f>
        <v>157.24637681159419</v>
      </c>
      <c r="AS589" s="92">
        <f t="shared" ref="AS589" si="8187">(G589/G537-1)*100</f>
        <v>157.24637681159419</v>
      </c>
      <c r="AT589" s="92">
        <f t="shared" ref="AT589" si="8188">(H589/H537-1)*100</f>
        <v>170.27027027027026</v>
      </c>
      <c r="AU589" s="92">
        <f t="shared" ref="AU589" si="8189">(I589/I537-1)*100</f>
        <v>170.27027027027026</v>
      </c>
    </row>
    <row r="590" spans="1:47" x14ac:dyDescent="0.3">
      <c r="A590" s="13">
        <f t="shared" si="7581"/>
        <v>41709</v>
      </c>
      <c r="B590" s="92">
        <f>TWK!B535</f>
        <v>0</v>
      </c>
      <c r="C590" s="92">
        <f>TWK!C535</f>
        <v>0</v>
      </c>
      <c r="D590" s="92">
        <f>TWK!D535</f>
        <v>625</v>
      </c>
      <c r="E590" s="92">
        <f>TWK!E535</f>
        <v>595</v>
      </c>
      <c r="F590" s="92">
        <f>TWK!F535</f>
        <v>612.5</v>
      </c>
      <c r="G590" s="92">
        <f>TWK!G535</f>
        <v>612.5</v>
      </c>
      <c r="H590" s="92">
        <f>TWK!H535</f>
        <v>500</v>
      </c>
      <c r="I590" s="92">
        <f>TWK!I535</f>
        <v>685.58951965065501</v>
      </c>
      <c r="K590" s="92">
        <f t="shared" ref="K590" si="8190">AVERAGE(B587:B590)</f>
        <v>0</v>
      </c>
      <c r="L590" s="92">
        <f t="shared" ref="L590" si="8191">AVERAGE(C587:C590)</f>
        <v>0</v>
      </c>
      <c r="M590" s="92">
        <f t="shared" ref="M590" si="8192">AVERAGE(D587:D590)</f>
        <v>609.16666666666663</v>
      </c>
      <c r="N590" s="92">
        <f t="shared" ref="N590" si="8193">AVERAGE(E587:E590)</f>
        <v>534.58333333333326</v>
      </c>
      <c r="O590" s="92">
        <f t="shared" ref="O590" si="8194">AVERAGE(F587:F590)</f>
        <v>536.04166666666663</v>
      </c>
      <c r="P590" s="92">
        <f t="shared" ref="P590" si="8195">AVERAGE(G587:G590)</f>
        <v>536.04166666666663</v>
      </c>
      <c r="Q590" s="92">
        <f t="shared" ref="Q590" si="8196">AVERAGE(H587:H590)</f>
        <v>417.91666666666663</v>
      </c>
      <c r="R590" s="92">
        <f t="shared" ref="R590" si="8197">AVERAGE(I587:I590)</f>
        <v>573.03857350800581</v>
      </c>
      <c r="T590" s="92">
        <f t="shared" ref="T590" si="8198">AVERAGE(K434,K486,K538)</f>
        <v>0</v>
      </c>
      <c r="U590" s="92">
        <f t="shared" ref="U590" si="8199">AVERAGE(L434,L486,L538)</f>
        <v>275.625</v>
      </c>
      <c r="V590" s="92">
        <f t="shared" ref="V590" si="8200">(M434+M486+M538)/3</f>
        <v>417.1875</v>
      </c>
      <c r="W590" s="92">
        <f t="shared" ref="W590" si="8201">(N434+N486+N538)/3</f>
        <v>325.5625</v>
      </c>
      <c r="X590" s="92">
        <f t="shared" ref="X590" si="8202">(O434+O486+O538)/3</f>
        <v>339.09027777777777</v>
      </c>
      <c r="Y590" s="92">
        <f t="shared" ref="Y590" si="8203">(P434+P486+P538)/3</f>
        <v>339.40277777777777</v>
      </c>
      <c r="Z590" s="92">
        <f t="shared" ref="Z590" si="8204">(Q434+Q486+Q538)/3</f>
        <v>274.32638888888891</v>
      </c>
      <c r="AA590" s="92">
        <f t="shared" ref="AA590" si="8205">(R434+R486+R538)/3</f>
        <v>369.02783842794753</v>
      </c>
      <c r="AC590" s="112">
        <f>+AF590-'Figure 8_data'!I802</f>
        <v>0</v>
      </c>
      <c r="AD590" s="92" t="e">
        <f t="shared" ref="AD590" si="8206">(B590/T590-1)*100</f>
        <v>#DIV/0!</v>
      </c>
      <c r="AE590" s="92">
        <f t="shared" ref="AE590" si="8207">(C590/U590-1)*100</f>
        <v>-100</v>
      </c>
      <c r="AF590" s="92">
        <f t="shared" ref="AF590" si="8208">(D590/V590-1)*100</f>
        <v>49.812734082397014</v>
      </c>
      <c r="AG590" s="92">
        <f t="shared" ref="AG590" si="8209">(E590/W590-1)*100</f>
        <v>82.760606642349785</v>
      </c>
      <c r="AH590" s="92">
        <f t="shared" ref="AH590" si="8210">(F590/X590-1)*100</f>
        <v>80.630363103893174</v>
      </c>
      <c r="AI590" s="92">
        <f t="shared" ref="AI590" si="8211">(G590/Y590-1)*100</f>
        <v>80.464050415353768</v>
      </c>
      <c r="AJ590" s="92">
        <f t="shared" ref="AJ590" si="8212">(H590/Z590-1)*100</f>
        <v>82.264638128749695</v>
      </c>
      <c r="AK590" s="92">
        <f t="shared" ref="AK590" si="8213">(I590/AA590-1)*100</f>
        <v>85.782601814338719</v>
      </c>
      <c r="AM590" s="112">
        <f>AP590-'Figure 8_data'!H802</f>
        <v>0</v>
      </c>
      <c r="AN590" s="92" t="e">
        <f t="shared" ref="AN590" si="8214">(B590/B538-1)*100</f>
        <v>#DIV/0!</v>
      </c>
      <c r="AO590" s="92">
        <f t="shared" ref="AO590" si="8215">(C590/C538-1)*100</f>
        <v>-100</v>
      </c>
      <c r="AP590" s="92">
        <f t="shared" ref="AP590" si="8216">(D590/D538-1)*100</f>
        <v>92.307692307692307</v>
      </c>
      <c r="AQ590" s="92">
        <f t="shared" ref="AQ590" si="8217">(E590/E538-1)*100</f>
        <v>138</v>
      </c>
      <c r="AR590" s="92">
        <f t="shared" ref="AR590" si="8218">(F590/F538-1)*100</f>
        <v>174.25373134328356</v>
      </c>
      <c r="AS590" s="92">
        <f t="shared" ref="AS590" si="8219">(G590/G538-1)*100</f>
        <v>174.25373134328356</v>
      </c>
      <c r="AT590" s="92">
        <f t="shared" ref="AT590" si="8220">(H590/H538-1)*100</f>
        <v>170.27027027027026</v>
      </c>
      <c r="AU590" s="92">
        <f t="shared" ref="AU590" si="8221">(I590/I538-1)*100</f>
        <v>169.91713372073031</v>
      </c>
    </row>
    <row r="591" spans="1:47" x14ac:dyDescent="0.3">
      <c r="A591" s="13">
        <f t="shared" si="7581"/>
        <v>41716</v>
      </c>
      <c r="B591" s="92">
        <f>TWK!B536</f>
        <v>0</v>
      </c>
      <c r="C591" s="92">
        <f>TWK!C536</f>
        <v>0</v>
      </c>
      <c r="D591" s="92">
        <f>TWK!D536</f>
        <v>578.33333333333337</v>
      </c>
      <c r="E591" s="92">
        <f>TWK!E536</f>
        <v>463.33333333333331</v>
      </c>
      <c r="F591" s="92">
        <f>TWK!F536</f>
        <v>483.33333333333331</v>
      </c>
      <c r="G591" s="92">
        <f>TWK!G536</f>
        <v>483.33333333333331</v>
      </c>
      <c r="H591" s="92">
        <f>TWK!H536</f>
        <v>376.66666666666669</v>
      </c>
      <c r="I591" s="92">
        <f>TWK!I536</f>
        <v>516.47743813682689</v>
      </c>
      <c r="K591" s="92">
        <f t="shared" ref="K591" si="8222">AVERAGE(B588:B591)</f>
        <v>0</v>
      </c>
      <c r="L591" s="92">
        <f t="shared" ref="L591" si="8223">AVERAGE(C588:C591)</f>
        <v>0</v>
      </c>
      <c r="M591" s="92">
        <f t="shared" ref="M591" si="8224">AVERAGE(D588:D591)</f>
        <v>603.75</v>
      </c>
      <c r="N591" s="92">
        <f t="shared" ref="N591" si="8225">AVERAGE(E588:E591)</f>
        <v>534.58333333333337</v>
      </c>
      <c r="O591" s="92">
        <f t="shared" ref="O591" si="8226">AVERAGE(F588:F591)</f>
        <v>542.70833333333337</v>
      </c>
      <c r="P591" s="92">
        <f t="shared" ref="P591" si="8227">AVERAGE(G588:G591)</f>
        <v>542.70833333333337</v>
      </c>
      <c r="Q591" s="92">
        <f t="shared" ref="Q591" si="8228">AVERAGE(H588:H591)</f>
        <v>435</v>
      </c>
      <c r="R591" s="92">
        <f t="shared" ref="R591" si="8229">AVERAGE(I588:I591)</f>
        <v>596.46288209606996</v>
      </c>
      <c r="T591" s="92">
        <f t="shared" ref="T591" si="8230">AVERAGE(K435,K487,K539)</f>
        <v>216.5</v>
      </c>
      <c r="U591" s="92">
        <f t="shared" ref="U591" si="8231">AVERAGE(L435,L487,L539)</f>
        <v>377.83333333333331</v>
      </c>
      <c r="V591" s="92">
        <f t="shared" ref="V591" si="8232">(M435+M487+M539)/3</f>
        <v>408.25</v>
      </c>
      <c r="W591" s="92">
        <f t="shared" ref="W591" si="8233">(N435+N487+N539)/3</f>
        <v>316.64583333333331</v>
      </c>
      <c r="X591" s="92">
        <f t="shared" ref="X591" si="8234">(O435+O487+O539)/3</f>
        <v>333.54861111111114</v>
      </c>
      <c r="Y591" s="92">
        <f t="shared" ref="Y591" si="8235">(P435+P487+P539)/3</f>
        <v>333.86111111111114</v>
      </c>
      <c r="Z591" s="92">
        <f t="shared" ref="Z591" si="8236">(Q435+Q487+Q539)/3</f>
        <v>267.2430555555556</v>
      </c>
      <c r="AA591" s="92">
        <f t="shared" ref="AA591" si="8237">(R435+R487+R539)/3</f>
        <v>366.38858563803979</v>
      </c>
      <c r="AC591" s="112">
        <f>+AF591-'Figure 8_data'!I803</f>
        <v>0</v>
      </c>
      <c r="AD591" s="92">
        <f t="shared" ref="AD591" si="8238">(B591/T591-1)*100</f>
        <v>-100</v>
      </c>
      <c r="AE591" s="92">
        <f t="shared" ref="AE591" si="8239">(C591/U591-1)*100</f>
        <v>-100</v>
      </c>
      <c r="AF591" s="92">
        <f t="shared" ref="AF591" si="8240">(D591/V591-1)*100</f>
        <v>41.661563584404981</v>
      </c>
      <c r="AG591" s="92">
        <f t="shared" ref="AG591" si="8241">(E591/W591-1)*100</f>
        <v>46.325416145799061</v>
      </c>
      <c r="AH591" s="92">
        <f t="shared" ref="AH591" si="8242">(F591/X591-1)*100</f>
        <v>44.906414607232811</v>
      </c>
      <c r="AI591" s="92">
        <f t="shared" ref="AI591" si="8243">(G591/Y591-1)*100</f>
        <v>44.770779598968289</v>
      </c>
      <c r="AJ591" s="92">
        <f t="shared" ref="AJ591" si="8244">(H591/Z591-1)*100</f>
        <v>40.945352493308704</v>
      </c>
      <c r="AK591" s="92">
        <f t="shared" ref="AK591" si="8245">(I591/AA591-1)*100</f>
        <v>40.964390917751437</v>
      </c>
      <c r="AM591" s="112">
        <f>AP591-'Figure 8_data'!H803</f>
        <v>0</v>
      </c>
      <c r="AN591" s="92" t="e">
        <f t="shared" ref="AN591" si="8246">(B591/B539-1)*100</f>
        <v>#DIV/0!</v>
      </c>
      <c r="AO591" s="92">
        <f t="shared" ref="AO591" si="8247">(C591/C539-1)*100</f>
        <v>-100</v>
      </c>
      <c r="AP591" s="92">
        <f t="shared" ref="AP591" si="8248">(D591/D539-1)*100</f>
        <v>88.382193268186768</v>
      </c>
      <c r="AQ591" s="92">
        <f t="shared" ref="AQ591" si="8249">(E591/E539-1)*100</f>
        <v>85.333333333333329</v>
      </c>
      <c r="AR591" s="92">
        <f t="shared" ref="AR591" si="8250">(F591/F539-1)*100</f>
        <v>132.37179487179483</v>
      </c>
      <c r="AS591" s="92">
        <f t="shared" ref="AS591" si="8251">(G591/G539-1)*100</f>
        <v>132.37179487179483</v>
      </c>
      <c r="AT591" s="92">
        <f t="shared" ref="AT591" si="8252">(H591/H539-1)*100</f>
        <v>103.60360360360362</v>
      </c>
      <c r="AU591" s="92">
        <f t="shared" ref="AU591" si="8253">(I591/I539-1)*100</f>
        <v>103.33757406961688</v>
      </c>
    </row>
    <row r="592" spans="1:47" x14ac:dyDescent="0.3">
      <c r="A592" s="13">
        <f t="shared" si="7581"/>
        <v>41723</v>
      </c>
      <c r="B592" s="92">
        <f>TWK!B537</f>
        <v>0</v>
      </c>
      <c r="C592" s="92">
        <f>TWK!C537</f>
        <v>467.5</v>
      </c>
      <c r="D592" s="92">
        <f>TWK!D537</f>
        <v>468.75</v>
      </c>
      <c r="E592" s="92">
        <f>TWK!E537</f>
        <v>350</v>
      </c>
      <c r="F592" s="92">
        <f>TWK!F537</f>
        <v>381.25</v>
      </c>
      <c r="G592" s="92">
        <f>TWK!G537</f>
        <v>381.25</v>
      </c>
      <c r="H592" s="92">
        <f>TWK!H537</f>
        <v>281.25</v>
      </c>
      <c r="I592" s="92">
        <f>TWK!I537</f>
        <v>388.50072780203783</v>
      </c>
      <c r="K592" s="92">
        <f t="shared" ref="K592" si="8254">AVERAGE(B589:B592)</f>
        <v>0</v>
      </c>
      <c r="L592" s="92">
        <f t="shared" ref="L592" si="8255">AVERAGE(C589:C592)</f>
        <v>116.875</v>
      </c>
      <c r="M592" s="92">
        <f t="shared" ref="M592" si="8256">AVERAGE(D589:D592)</f>
        <v>573.02083333333337</v>
      </c>
      <c r="N592" s="92">
        <f t="shared" ref="N592" si="8257">AVERAGE(E589:E592)</f>
        <v>500.83333333333331</v>
      </c>
      <c r="O592" s="92">
        <f t="shared" ref="O592" si="8258">AVERAGE(F589:F592)</f>
        <v>517.1875</v>
      </c>
      <c r="P592" s="92">
        <f t="shared" ref="P592" si="8259">AVERAGE(G589:G592)</f>
        <v>517.1875</v>
      </c>
      <c r="Q592" s="92">
        <f t="shared" ref="Q592" si="8260">AVERAGE(H589:H592)</f>
        <v>414.47916666666669</v>
      </c>
      <c r="R592" s="92">
        <f t="shared" ref="R592" si="8261">AVERAGE(I589:I592)</f>
        <v>569.0393013100437</v>
      </c>
      <c r="T592" s="92">
        <f t="shared" ref="T592" si="8262">AVERAGE(K436,K488,K540)</f>
        <v>212.5</v>
      </c>
      <c r="U592" s="92">
        <f t="shared" ref="U592" si="8263">AVERAGE(L436,L488,L540)</f>
        <v>402.16666666666669</v>
      </c>
      <c r="V592" s="92">
        <f t="shared" ref="V592" si="8264">(M436+M488+M540)/3</f>
        <v>403.73611111111109</v>
      </c>
      <c r="W592" s="92">
        <f t="shared" ref="W592" si="8265">(N436+N488+N540)/3</f>
        <v>313.59027777777777</v>
      </c>
      <c r="X592" s="92">
        <f t="shared" ref="X592" si="8266">(O436+O488+O540)/3</f>
        <v>331.70833333333337</v>
      </c>
      <c r="Y592" s="92">
        <f t="shared" ref="Y592" si="8267">(P436+P488+P540)/3</f>
        <v>331.70833333333337</v>
      </c>
      <c r="Z592" s="92">
        <f t="shared" ref="Z592" si="8268">(Q436+Q488+Q540)/3</f>
        <v>264.71527777777777</v>
      </c>
      <c r="AA592" s="92">
        <f t="shared" ref="AA592" si="8269">(R436+R488+R540)/3</f>
        <v>363.01971130519161</v>
      </c>
      <c r="AC592" s="112">
        <f>+AF592-'Figure 8_data'!I804</f>
        <v>0</v>
      </c>
      <c r="AD592" s="92">
        <f t="shared" ref="AD592" si="8270">(B592/T592-1)*100</f>
        <v>-100</v>
      </c>
      <c r="AE592" s="92">
        <f t="shared" ref="AE592" si="8271">(C592/U592-1)*100</f>
        <v>16.24533775383339</v>
      </c>
      <c r="AF592" s="92">
        <f t="shared" ref="AF592" si="8272">(D592/V592-1)*100</f>
        <v>16.10306512091919</v>
      </c>
      <c r="AG592" s="92">
        <f t="shared" ref="AG592" si="8273">(E592/W592-1)*100</f>
        <v>11.610603007285691</v>
      </c>
      <c r="AH592" s="92">
        <f t="shared" ref="AH592" si="8274">(F592/X592-1)*100</f>
        <v>14.935309634468009</v>
      </c>
      <c r="AI592" s="92">
        <f t="shared" ref="AI592" si="8275">(G592/Y592-1)*100</f>
        <v>14.935309634468009</v>
      </c>
      <c r="AJ592" s="92">
        <f t="shared" ref="AJ592" si="8276">(H592/Z592-1)*100</f>
        <v>6.2462289147144467</v>
      </c>
      <c r="AK592" s="92">
        <f t="shared" ref="AK592" si="8277">(I592/AA592-1)*100</f>
        <v>7.0191826237843813</v>
      </c>
      <c r="AM592" s="112">
        <f>AP592-'Figure 8_data'!H804</f>
        <v>0</v>
      </c>
      <c r="AN592" s="92" t="e">
        <f t="shared" ref="AN592" si="8278">(B592/B540-1)*100</f>
        <v>#DIV/0!</v>
      </c>
      <c r="AO592" s="92">
        <f t="shared" ref="AO592" si="8279">(C592/C540-1)*100</f>
        <v>56.703910614525157</v>
      </c>
      <c r="AP592" s="92">
        <f t="shared" ref="AP592" si="8280">(D592/D540-1)*100</f>
        <v>59.801136363636374</v>
      </c>
      <c r="AQ592" s="92">
        <f t="shared" ref="AQ592" si="8281">(E592/E540-1)*100</f>
        <v>42.857142857142861</v>
      </c>
      <c r="AR592" s="92">
        <f t="shared" ref="AR592" si="8282">(F592/F540-1)*100</f>
        <v>85.975609756097569</v>
      </c>
      <c r="AS592" s="92">
        <f t="shared" ref="AS592" si="8283">(G592/G540-1)*100</f>
        <v>85.975609756097569</v>
      </c>
      <c r="AT592" s="92">
        <f t="shared" ref="AT592" si="8284">(H592/H540-1)*100</f>
        <v>59.198113207547173</v>
      </c>
      <c r="AU592" s="92">
        <f t="shared" ref="AU592" si="8285">(I592/I540-1)*100</f>
        <v>60.377358490566024</v>
      </c>
    </row>
    <row r="593" spans="1:47" x14ac:dyDescent="0.3">
      <c r="A593" s="13">
        <f t="shared" si="7581"/>
        <v>41730</v>
      </c>
      <c r="B593" s="92">
        <f>TWK!B538</f>
        <v>0</v>
      </c>
      <c r="C593" s="92">
        <f>TWK!C538</f>
        <v>421.25</v>
      </c>
      <c r="D593" s="92">
        <f>TWK!D538</f>
        <v>416.25</v>
      </c>
      <c r="E593" s="92">
        <f>TWK!E538</f>
        <v>300</v>
      </c>
      <c r="F593" s="92">
        <f>TWK!F538</f>
        <v>336.25</v>
      </c>
      <c r="G593" s="92">
        <f>TWK!G538</f>
        <v>336.25</v>
      </c>
      <c r="H593" s="92">
        <f>TWK!H538</f>
        <v>250</v>
      </c>
      <c r="I593" s="92">
        <f>TWK!I538</f>
        <v>342.7947598253275</v>
      </c>
      <c r="K593" s="92">
        <f t="shared" ref="K593" si="8286">AVERAGE(B590:B593)</f>
        <v>0</v>
      </c>
      <c r="L593" s="92">
        <f t="shared" ref="L593" si="8287">AVERAGE(C590:C593)</f>
        <v>222.1875</v>
      </c>
      <c r="M593" s="92">
        <f t="shared" ref="M593" si="8288">AVERAGE(D590:D593)</f>
        <v>522.08333333333337</v>
      </c>
      <c r="N593" s="92">
        <f t="shared" ref="N593" si="8289">AVERAGE(E590:E593)</f>
        <v>427.08333333333331</v>
      </c>
      <c r="O593" s="92">
        <f t="shared" ref="O593" si="8290">AVERAGE(F590:F593)</f>
        <v>453.33333333333331</v>
      </c>
      <c r="P593" s="92">
        <f t="shared" ref="P593" si="8291">AVERAGE(G590:G593)</f>
        <v>453.33333333333331</v>
      </c>
      <c r="Q593" s="92">
        <f t="shared" ref="Q593" si="8292">AVERAGE(H590:H593)</f>
        <v>351.97916666666669</v>
      </c>
      <c r="R593" s="92">
        <f t="shared" ref="R593" si="8293">AVERAGE(I590:I593)</f>
        <v>483.34061135371178</v>
      </c>
      <c r="T593" s="92">
        <f t="shared" ref="T593" si="8294">AVERAGE(K437,K489,K541)</f>
        <v>214</v>
      </c>
      <c r="U593" s="92">
        <f t="shared" ref="U593" si="8295">AVERAGE(L437,L489,L541)</f>
        <v>381.25</v>
      </c>
      <c r="V593" s="92">
        <f t="shared" ref="V593" si="8296">(M437+M489+M541)/3</f>
        <v>383.22222222222223</v>
      </c>
      <c r="W593" s="92">
        <f t="shared" ref="W593" si="8297">(N437+N489+N541)/3</f>
        <v>297.76388888888886</v>
      </c>
      <c r="X593" s="92">
        <f t="shared" ref="X593" si="8298">(O437+O489+O541)/3</f>
        <v>328.11111111111114</v>
      </c>
      <c r="Y593" s="92">
        <f t="shared" ref="Y593" si="8299">(P437+P489+P541)/3</f>
        <v>328.11111111111114</v>
      </c>
      <c r="Z593" s="92">
        <f t="shared" ref="Z593" si="8300">(Q437+Q489+Q541)/3</f>
        <v>252.2847222222222</v>
      </c>
      <c r="AA593" s="92">
        <f t="shared" ref="AA593" si="8301">(R437+R489+R541)/3</f>
        <v>345.93916787967009</v>
      </c>
      <c r="AC593" s="112">
        <f>+AF593-'Figure 8_data'!I805</f>
        <v>0</v>
      </c>
      <c r="AD593" s="92">
        <f t="shared" ref="AD593" si="8302">(B593/T593-1)*100</f>
        <v>-100</v>
      </c>
      <c r="AE593" s="92">
        <f t="shared" ref="AE593" si="8303">(C593/U593-1)*100</f>
        <v>10.491803278688527</v>
      </c>
      <c r="AF593" s="92">
        <f t="shared" ref="AF593" si="8304">(D593/V593-1)*100</f>
        <v>8.6184401275732014</v>
      </c>
      <c r="AG593" s="92">
        <f t="shared" ref="AG593" si="8305">(E593/W593-1)*100</f>
        <v>0.75096786230701706</v>
      </c>
      <c r="AH593" s="92">
        <f t="shared" ref="AH593" si="8306">(F593/X593-1)*100</f>
        <v>2.4805282763291414</v>
      </c>
      <c r="AI593" s="92">
        <f t="shared" ref="AI593" si="8307">(G593/Y593-1)*100</f>
        <v>2.4805282763291414</v>
      </c>
      <c r="AJ593" s="92">
        <f t="shared" ref="AJ593" si="8308">(H593/Z593-1)*100</f>
        <v>-0.90561259599768462</v>
      </c>
      <c r="AK593" s="92">
        <f t="shared" ref="AK593" si="8309">(I593/AA593-1)*100</f>
        <v>-0.90894826209338975</v>
      </c>
      <c r="AM593" s="112">
        <f>AP593-'Figure 8_data'!H805</f>
        <v>0</v>
      </c>
      <c r="AN593" s="92" t="e">
        <f t="shared" ref="AN593" si="8310">(B593/B541-1)*100</f>
        <v>#DIV/0!</v>
      </c>
      <c r="AO593" s="92">
        <f t="shared" ref="AO593" si="8311">(C593/C541-1)*100</f>
        <v>45.258620689655181</v>
      </c>
      <c r="AP593" s="92">
        <f t="shared" ref="AP593" si="8312">(D593/D541-1)*100</f>
        <v>58.571428571428562</v>
      </c>
      <c r="AQ593" s="92">
        <f t="shared" ref="AQ593" si="8313">(E593/E541-1)*100</f>
        <v>29.032258064516125</v>
      </c>
      <c r="AR593" s="92">
        <f t="shared" ref="AR593" si="8314">(F593/F541-1)*100</f>
        <v>73.772609819121442</v>
      </c>
      <c r="AS593" s="92">
        <f t="shared" ref="AS593" si="8315">(G593/G541-1)*100</f>
        <v>73.772609819121442</v>
      </c>
      <c r="AT593" s="92">
        <f t="shared" ref="AT593" si="8316">(H593/H541-1)*100</f>
        <v>38.888888888888886</v>
      </c>
      <c r="AU593" s="92">
        <f t="shared" ref="AU593" si="8317">(I593/I541-1)*100</f>
        <v>38.888888888888864</v>
      </c>
    </row>
    <row r="594" spans="1:47" x14ac:dyDescent="0.3">
      <c r="A594" s="13">
        <f t="shared" si="7581"/>
        <v>41737</v>
      </c>
      <c r="B594" s="92">
        <f>TWK!B539</f>
        <v>0</v>
      </c>
      <c r="C594" s="92">
        <f>TWK!C539</f>
        <v>390</v>
      </c>
      <c r="D594" s="92">
        <f>TWK!D539</f>
        <v>370</v>
      </c>
      <c r="E594" s="92">
        <f>TWK!E539</f>
        <v>251.66666666666666</v>
      </c>
      <c r="F594" s="92">
        <f>TWK!F539</f>
        <v>311.66666666666669</v>
      </c>
      <c r="G594" s="92">
        <f>TWK!G539</f>
        <v>311.66666666666669</v>
      </c>
      <c r="H594" s="92">
        <f>TWK!H539</f>
        <v>221.66666666666666</v>
      </c>
      <c r="I594" s="92">
        <f>TWK!I539</f>
        <v>303.94468704512371</v>
      </c>
      <c r="K594" s="92">
        <f t="shared" ref="K594" si="8318">AVERAGE(B591:B594)</f>
        <v>0</v>
      </c>
      <c r="L594" s="92">
        <f t="shared" ref="L594" si="8319">AVERAGE(C591:C594)</f>
        <v>319.6875</v>
      </c>
      <c r="M594" s="92">
        <f t="shared" ref="M594" si="8320">AVERAGE(D591:D594)</f>
        <v>458.33333333333337</v>
      </c>
      <c r="N594" s="92">
        <f t="shared" ref="N594" si="8321">AVERAGE(E591:E594)</f>
        <v>341.25</v>
      </c>
      <c r="O594" s="92">
        <f t="shared" ref="O594" si="8322">AVERAGE(F591:F594)</f>
        <v>378.125</v>
      </c>
      <c r="P594" s="92">
        <f t="shared" ref="P594" si="8323">AVERAGE(G591:G594)</f>
        <v>378.125</v>
      </c>
      <c r="Q594" s="92">
        <f t="shared" ref="Q594" si="8324">AVERAGE(H591:H594)</f>
        <v>282.39583333333337</v>
      </c>
      <c r="R594" s="92">
        <f t="shared" ref="R594" si="8325">AVERAGE(I591:I594)</f>
        <v>387.92940320232901</v>
      </c>
      <c r="T594" s="92">
        <f t="shared" ref="T594" si="8326">AVERAGE(K438,K490,K542)</f>
        <v>258.125</v>
      </c>
      <c r="U594" s="92">
        <f t="shared" ref="U594" si="8327">AVERAGE(L438,L490,L542)</f>
        <v>359.8194444444444</v>
      </c>
      <c r="V594" s="92">
        <f t="shared" ref="V594" si="8328">(M438+M490+M542)/3</f>
        <v>367.1805555555556</v>
      </c>
      <c r="W594" s="92">
        <f t="shared" ref="W594" si="8329">(N438+N490+N542)/3</f>
        <v>281.24305555555554</v>
      </c>
      <c r="X594" s="92">
        <f t="shared" ref="X594" si="8330">(O438+O490+O542)/3</f>
        <v>316.85416666666669</v>
      </c>
      <c r="Y594" s="92">
        <f t="shared" ref="Y594" si="8331">(P438+P490+P542)/3</f>
        <v>316.85416666666669</v>
      </c>
      <c r="Z594" s="92">
        <f t="shared" ref="Z594" si="8332">(Q438+Q490+Q542)/3</f>
        <v>240.13888888888889</v>
      </c>
      <c r="AA594" s="92">
        <f t="shared" ref="AA594" si="8333">(R438+R490+R542)/3</f>
        <v>326.45972828723916</v>
      </c>
      <c r="AC594" s="112">
        <f>+AF594-'Figure 8_data'!I806</f>
        <v>0</v>
      </c>
      <c r="AD594" s="92">
        <f t="shared" ref="AD594" si="8334">(B594/T594-1)*100</f>
        <v>-100</v>
      </c>
      <c r="AE594" s="92">
        <f t="shared" ref="AE594" si="8335">(C594/U594-1)*100</f>
        <v>8.387694445516658</v>
      </c>
      <c r="AF594" s="92">
        <f t="shared" ref="AF594" si="8336">(D594/V594-1)*100</f>
        <v>0.76786322199946522</v>
      </c>
      <c r="AG594" s="92">
        <f t="shared" ref="AG594" si="8337">(E594/W594-1)*100</f>
        <v>-10.516309044667771</v>
      </c>
      <c r="AH594" s="92">
        <f t="shared" ref="AH594" si="8338">(F594/X594-1)*100</f>
        <v>-1.6371885068051761</v>
      </c>
      <c r="AI594" s="92">
        <f t="shared" ref="AI594" si="8339">(G594/Y594-1)*100</f>
        <v>-1.6371885068051761</v>
      </c>
      <c r="AJ594" s="92">
        <f t="shared" ref="AJ594" si="8340">(H594/Z594-1)*100</f>
        <v>-7.6923076923076987</v>
      </c>
      <c r="AK594" s="92">
        <f t="shared" ref="AK594" si="8341">(I594/AA594-1)*100</f>
        <v>-6.8967285368519704</v>
      </c>
      <c r="AM594" s="112">
        <f>AP594-'Figure 8_data'!H806</f>
        <v>0</v>
      </c>
      <c r="AN594" s="92">
        <f t="shared" ref="AN594" si="8342">(B594/B542-1)*100</f>
        <v>-100</v>
      </c>
      <c r="AO594" s="92">
        <f t="shared" ref="AO594" si="8343">(C594/C542-1)*100</f>
        <v>33.333333333333329</v>
      </c>
      <c r="AP594" s="92">
        <f t="shared" ref="AP594" si="8344">(D594/D542-1)*100</f>
        <v>29.824561403508774</v>
      </c>
      <c r="AQ594" s="92">
        <f t="shared" ref="AQ594" si="8345">(E594/E542-1)*100</f>
        <v>10.622710622710629</v>
      </c>
      <c r="AR594" s="92">
        <f t="shared" ref="AR594" si="8346">(F594/F542-1)*100</f>
        <v>57.805907172995788</v>
      </c>
      <c r="AS594" s="92">
        <f t="shared" ref="AS594" si="8347">(G594/G542-1)*100</f>
        <v>57.805907172995788</v>
      </c>
      <c r="AT594" s="92">
        <f t="shared" ref="AT594" si="8348">(H594/H542-1)*100</f>
        <v>23.148148148148138</v>
      </c>
      <c r="AU594" s="92">
        <f t="shared" ref="AU594" si="8349">(I594/I542-1)*100</f>
        <v>23.148148148148138</v>
      </c>
    </row>
    <row r="595" spans="1:47" x14ac:dyDescent="0.3">
      <c r="A595" s="13">
        <f t="shared" si="7581"/>
        <v>41744</v>
      </c>
      <c r="B595" s="92">
        <f>TWK!B540</f>
        <v>0</v>
      </c>
      <c r="C595" s="92">
        <f>TWK!C540</f>
        <v>388.75</v>
      </c>
      <c r="D595" s="92">
        <f>TWK!D540</f>
        <v>383.75</v>
      </c>
      <c r="E595" s="92">
        <f>TWK!E540</f>
        <v>263.75</v>
      </c>
      <c r="F595" s="92">
        <f>TWK!F540</f>
        <v>296.25</v>
      </c>
      <c r="G595" s="92">
        <f>TWK!G540</f>
        <v>296.25</v>
      </c>
      <c r="H595" s="92">
        <f>TWK!H540</f>
        <v>216.25</v>
      </c>
      <c r="I595" s="92">
        <f>TWK!I540</f>
        <v>294.80349344978168</v>
      </c>
      <c r="K595" s="92">
        <f t="shared" ref="K595" si="8350">AVERAGE(B592:B595)</f>
        <v>0</v>
      </c>
      <c r="L595" s="92">
        <f t="shared" ref="L595" si="8351">AVERAGE(C592:C595)</f>
        <v>416.875</v>
      </c>
      <c r="M595" s="92">
        <f t="shared" ref="M595" si="8352">AVERAGE(D592:D595)</f>
        <v>409.6875</v>
      </c>
      <c r="N595" s="92">
        <f t="shared" ref="N595" si="8353">AVERAGE(E592:E595)</f>
        <v>291.35416666666663</v>
      </c>
      <c r="O595" s="92">
        <f t="shared" ref="O595" si="8354">AVERAGE(F592:F595)</f>
        <v>331.35416666666669</v>
      </c>
      <c r="P595" s="92">
        <f t="shared" ref="P595" si="8355">AVERAGE(G592:G595)</f>
        <v>331.35416666666669</v>
      </c>
      <c r="Q595" s="92">
        <f t="shared" ref="Q595" si="8356">AVERAGE(H592:H595)</f>
        <v>242.29166666666666</v>
      </c>
      <c r="R595" s="92">
        <f t="shared" ref="R595" si="8357">AVERAGE(I592:I595)</f>
        <v>332.51091703056767</v>
      </c>
      <c r="T595" s="92">
        <f t="shared" ref="T595" si="8358">AVERAGE(K439,K491,K543)</f>
        <v>304.83333333333337</v>
      </c>
      <c r="U595" s="92">
        <f t="shared" ref="U595" si="8359">AVERAGE(L439,L491,L543)</f>
        <v>324.0625</v>
      </c>
      <c r="V595" s="92">
        <f t="shared" ref="V595" si="8360">(M439+M491+M543)/3</f>
        <v>355.04861111111114</v>
      </c>
      <c r="W595" s="92">
        <f t="shared" ref="W595" si="8361">(N439+N491+N543)/3</f>
        <v>271.15972222222223</v>
      </c>
      <c r="X595" s="92">
        <f t="shared" ref="X595" si="8362">(O439+O491+O543)/3</f>
        <v>311.63194444444446</v>
      </c>
      <c r="Y595" s="92">
        <f t="shared" ref="Y595" si="8363">(P439+P491+P543)/3</f>
        <v>312.04861111111114</v>
      </c>
      <c r="Z595" s="92">
        <f t="shared" ref="Z595" si="8364">(Q439+Q491+Q543)/3</f>
        <v>231.44444444444443</v>
      </c>
      <c r="AA595" s="92">
        <f t="shared" ref="AA595" si="8365">(R439+R491+R543)/3</f>
        <v>314.42200388161086</v>
      </c>
      <c r="AC595" s="112">
        <f>+AF595-'Figure 8_data'!I807</f>
        <v>0</v>
      </c>
      <c r="AD595" s="92">
        <f t="shared" ref="AD595" si="8366">(B595/T595-1)*100</f>
        <v>-100</v>
      </c>
      <c r="AE595" s="92">
        <f t="shared" ref="AE595" si="8367">(C595/U595-1)*100</f>
        <v>19.961427193828342</v>
      </c>
      <c r="AF595" s="92">
        <f t="shared" ref="AF595" si="8368">(D595/V595-1)*100</f>
        <v>8.0837913431259345</v>
      </c>
      <c r="AG595" s="92">
        <f t="shared" ref="AG595" si="8369">(E595/W595-1)*100</f>
        <v>-2.7326042973851994</v>
      </c>
      <c r="AH595" s="92">
        <f t="shared" ref="AH595" si="8370">(F595/X595-1)*100</f>
        <v>-4.9359331476323209</v>
      </c>
      <c r="AI595" s="92">
        <f t="shared" ref="AI595" si="8371">(G595/Y595-1)*100</f>
        <v>-5.0628685879604003</v>
      </c>
      <c r="AJ595" s="92">
        <f t="shared" ref="AJ595" si="8372">(H595/Z595-1)*100</f>
        <v>-6.5650504080652876</v>
      </c>
      <c r="AK595" s="92">
        <f t="shared" ref="AK595" si="8373">(I595/AA595-1)*100</f>
        <v>-6.2395475474471329</v>
      </c>
      <c r="AM595" s="112">
        <f>AP595-'Figure 8_data'!H807</f>
        <v>0</v>
      </c>
      <c r="AN595" s="92">
        <f t="shared" ref="AN595" si="8374">(B595/B543-1)*100</f>
        <v>-100</v>
      </c>
      <c r="AO595" s="92">
        <f t="shared" ref="AO595" si="8375">(C595/C543-1)*100</f>
        <v>24.732620320855613</v>
      </c>
      <c r="AP595" s="92">
        <f t="shared" ref="AP595" si="8376">(D595/D543-1)*100</f>
        <v>40.396341463414643</v>
      </c>
      <c r="AQ595" s="92">
        <f t="shared" ref="AQ595" si="8377">(E595/E543-1)*100</f>
        <v>17.222222222222229</v>
      </c>
      <c r="AR595" s="92">
        <f t="shared" ref="AR595" si="8378">(F595/F543-1)*100</f>
        <v>50.63559322033899</v>
      </c>
      <c r="AS595" s="92">
        <f t="shared" ref="AS595" si="8379">(G595/G543-1)*100</f>
        <v>50.63559322033899</v>
      </c>
      <c r="AT595" s="92">
        <f t="shared" ref="AT595" si="8380">(H595/H543-1)*100</f>
        <v>19.036697247706424</v>
      </c>
      <c r="AU595" s="92">
        <f t="shared" ref="AU595" si="8381">(I595/I543-1)*100</f>
        <v>18.348623853211009</v>
      </c>
    </row>
    <row r="596" spans="1:47" x14ac:dyDescent="0.3">
      <c r="A596" s="13">
        <f t="shared" si="7581"/>
        <v>41751</v>
      </c>
      <c r="B596" s="92">
        <f>TWK!B541</f>
        <v>475</v>
      </c>
      <c r="C596" s="92">
        <f>TWK!C541</f>
        <v>402</v>
      </c>
      <c r="D596" s="92">
        <f>TWK!D541</f>
        <v>377</v>
      </c>
      <c r="E596" s="92">
        <f>TWK!E541</f>
        <v>238</v>
      </c>
      <c r="F596" s="92">
        <f>TWK!F541</f>
        <v>282</v>
      </c>
      <c r="G596" s="92">
        <f>TWK!G541</f>
        <v>282</v>
      </c>
      <c r="H596" s="92">
        <f>TWK!H541</f>
        <v>208</v>
      </c>
      <c r="I596" s="92">
        <f>TWK!I541</f>
        <v>285.6622998544396</v>
      </c>
      <c r="K596" s="92">
        <f t="shared" ref="K596:K601" si="8382">AVERAGEIF(B593:B596,"&lt;&gt;0")</f>
        <v>475</v>
      </c>
      <c r="L596" s="92">
        <f t="shared" ref="L596" si="8383">AVERAGE(C593:C596)</f>
        <v>400.5</v>
      </c>
      <c r="M596" s="92">
        <f t="shared" ref="M596" si="8384">AVERAGE(D593:D596)</f>
        <v>386.75</v>
      </c>
      <c r="N596" s="92">
        <f t="shared" ref="N596" si="8385">AVERAGE(E593:E596)</f>
        <v>263.35416666666663</v>
      </c>
      <c r="O596" s="92">
        <f t="shared" ref="O596" si="8386">AVERAGE(F593:F596)</f>
        <v>306.54166666666669</v>
      </c>
      <c r="P596" s="92">
        <f t="shared" ref="P596" si="8387">AVERAGE(G593:G596)</f>
        <v>306.54166666666669</v>
      </c>
      <c r="Q596" s="92">
        <f t="shared" ref="Q596" si="8388">AVERAGE(H593:H596)</f>
        <v>223.97916666666666</v>
      </c>
      <c r="R596" s="92">
        <f t="shared" ref="R596" si="8389">AVERAGE(I593:I596)</f>
        <v>306.80131004366814</v>
      </c>
      <c r="T596" s="92">
        <f t="shared" ref="T596:T601" si="8390">AVERAGE(K440,K492,K544)</f>
        <v>356.04166666666663</v>
      </c>
      <c r="U596" s="92">
        <f t="shared" ref="U596" si="8391">AVERAGE(L440,L492,L544)</f>
        <v>326.61458333333337</v>
      </c>
      <c r="V596" s="92">
        <f t="shared" ref="V596:W596" si="8392">(M440+M492+M544)/3</f>
        <v>342.77777777777777</v>
      </c>
      <c r="W596" s="92">
        <f t="shared" si="8392"/>
        <v>261.04861111111109</v>
      </c>
      <c r="X596" s="92">
        <f t="shared" ref="X596" si="8393">(O440+O492+O544)/3</f>
        <v>270.49305555555554</v>
      </c>
      <c r="Y596" s="92">
        <f t="shared" ref="Y596" si="8394">(P440+P492+P544)/3</f>
        <v>270.90972222222223</v>
      </c>
      <c r="Z596" s="92">
        <f t="shared" ref="Z596" si="8395">(Q440+Q492+Q544)/3</f>
        <v>202.83333333333334</v>
      </c>
      <c r="AA596" s="92">
        <f t="shared" ref="AA596" si="8396">(R440+R492+R544)/3</f>
        <v>275.17831149927218</v>
      </c>
      <c r="AC596" s="112">
        <f>+AF596-'Figure 8_data'!I808</f>
        <v>0</v>
      </c>
      <c r="AD596" s="92">
        <f t="shared" ref="AD596" si="8397">(B596/T596-1)*100</f>
        <v>33.41135166764191</v>
      </c>
      <c r="AE596" s="92">
        <f t="shared" ref="AE596" si="8398">(C596/U596-1)*100</f>
        <v>23.080848349545512</v>
      </c>
      <c r="AF596" s="92">
        <f t="shared" ref="AF596" si="8399">(D596/V596-1)*100</f>
        <v>9.9837925445705125</v>
      </c>
      <c r="AG596" s="92">
        <f t="shared" ref="AG596" si="8400">(E596/W596-1)*100</f>
        <v>-8.8292410417387011</v>
      </c>
      <c r="AH596" s="92">
        <f t="shared" ref="AH596" si="8401">(F596/X596-1)*100</f>
        <v>4.2540627968473244</v>
      </c>
      <c r="AI596" s="92">
        <f t="shared" ref="AI596" si="8402">(G596/Y596-1)*100</f>
        <v>4.0937171566993946</v>
      </c>
      <c r="AJ596" s="92">
        <f t="shared" ref="AJ596" si="8403">(H596/Z596-1)*100</f>
        <v>2.5472473294987585</v>
      </c>
      <c r="AK596" s="92">
        <f t="shared" ref="AK596" si="8404">(I596/AA596-1)*100</f>
        <v>3.8098890490485315</v>
      </c>
      <c r="AM596" s="112">
        <f>AP596-'Figure 8_data'!H808</f>
        <v>0</v>
      </c>
      <c r="AN596" s="92">
        <f t="shared" ref="AN596" si="8405">(B596/B544-1)*100</f>
        <v>16.326530612244895</v>
      </c>
      <c r="AO596" s="92">
        <f t="shared" ref="AO596" si="8406">(C596/C544-1)*100</f>
        <v>28.811748998664875</v>
      </c>
      <c r="AP596" s="92">
        <f t="shared" ref="AP596" si="8407">(D596/D544-1)*100</f>
        <v>34.442793462109968</v>
      </c>
      <c r="AQ596" s="92">
        <f t="shared" ref="AQ596" si="8408">(E596/E544-1)*100</f>
        <v>6.7264573991031362</v>
      </c>
      <c r="AR596" s="92">
        <f t="shared" ref="AR596" si="8409">(F596/F544-1)*100</f>
        <v>44.615384615384613</v>
      </c>
      <c r="AS596" s="92">
        <f t="shared" ref="AS596" si="8410">(G596/G544-1)*100</f>
        <v>44.615384615384613</v>
      </c>
      <c r="AT596" s="92">
        <f t="shared" ref="AT596" si="8411">(H596/H544-1)*100</f>
        <v>15.555555555555545</v>
      </c>
      <c r="AU596" s="92">
        <f t="shared" ref="AU596" si="8412">(I596/I544-1)*100</f>
        <v>15.652752977505902</v>
      </c>
    </row>
    <row r="597" spans="1:47" x14ac:dyDescent="0.3">
      <c r="A597" s="13">
        <f t="shared" si="7581"/>
        <v>41758</v>
      </c>
      <c r="B597" s="92">
        <f>TWK!B542</f>
        <v>463.33333333333331</v>
      </c>
      <c r="C597" s="92">
        <f>TWK!C542</f>
        <v>375</v>
      </c>
      <c r="D597" s="92">
        <f>TWK!D542</f>
        <v>360</v>
      </c>
      <c r="E597" s="92">
        <f>TWK!E542</f>
        <v>243.33333333333334</v>
      </c>
      <c r="F597" s="92">
        <f>TWK!F542</f>
        <v>272.5</v>
      </c>
      <c r="G597" s="92">
        <f>TWK!G542</f>
        <v>272.5</v>
      </c>
      <c r="H597" s="92">
        <f>TWK!H542</f>
        <v>206.66666666666666</v>
      </c>
      <c r="I597" s="92">
        <f>TWK!I542</f>
        <v>283.3770014556041</v>
      </c>
      <c r="K597" s="92">
        <f t="shared" si="8382"/>
        <v>469.16666666666663</v>
      </c>
      <c r="L597" s="92">
        <f t="shared" ref="L597" si="8413">AVERAGE(C594:C597)</f>
        <v>388.9375</v>
      </c>
      <c r="M597" s="92">
        <f t="shared" ref="M597" si="8414">AVERAGE(D594:D597)</f>
        <v>372.6875</v>
      </c>
      <c r="N597" s="92">
        <f t="shared" ref="N597" si="8415">AVERAGE(E594:E597)</f>
        <v>249.1875</v>
      </c>
      <c r="O597" s="92">
        <f t="shared" ref="O597" si="8416">AVERAGE(F594:F597)</f>
        <v>290.60416666666669</v>
      </c>
      <c r="P597" s="92">
        <f t="shared" ref="P597" si="8417">AVERAGE(G594:G597)</f>
        <v>290.60416666666669</v>
      </c>
      <c r="Q597" s="92">
        <f t="shared" ref="Q597" si="8418">AVERAGE(H594:H597)</f>
        <v>213.14583333333331</v>
      </c>
      <c r="R597" s="92">
        <f t="shared" ref="R597" si="8419">AVERAGE(I594:I597)</f>
        <v>291.94687045123732</v>
      </c>
      <c r="T597" s="92">
        <f t="shared" si="8390"/>
        <v>411</v>
      </c>
      <c r="U597" s="92">
        <f t="shared" ref="U597" si="8420">AVERAGE(L441,L493,L545)</f>
        <v>376.72916666666669</v>
      </c>
      <c r="V597" s="92">
        <f t="shared" ref="V597" si="8421">(M441+M493+M545)/3</f>
        <v>344.29861111111109</v>
      </c>
      <c r="W597" s="92">
        <f t="shared" ref="W597" si="8422">(N441+N493+N545)/3</f>
        <v>257.35416666666669</v>
      </c>
      <c r="X597" s="92">
        <f t="shared" ref="X597" si="8423">(O441+O493+O545)/3</f>
        <v>261.9375</v>
      </c>
      <c r="Y597" s="92">
        <f t="shared" ref="Y597" si="8424">(P441+P493+P545)/3</f>
        <v>262.35416666666669</v>
      </c>
      <c r="Z597" s="92">
        <f t="shared" ref="Z597" si="8425">(Q441+Q493+Q545)/3</f>
        <v>175.05555555555554</v>
      </c>
      <c r="AA597" s="92">
        <f t="shared" ref="AA597" si="8426">(R441+R493+R545)/3</f>
        <v>237.09000485201355</v>
      </c>
      <c r="AC597" s="112">
        <f>+AF597-'Figure 8_data'!I809</f>
        <v>0</v>
      </c>
      <c r="AD597" s="92">
        <f t="shared" ref="AD597" si="8427">(B597/T597-1)*100</f>
        <v>12.733171127331699</v>
      </c>
      <c r="AE597" s="92">
        <f t="shared" ref="AE597" si="8428">(C597/U597-1)*100</f>
        <v>-0.4589946358458219</v>
      </c>
      <c r="AF597" s="92">
        <f t="shared" ref="AF597" si="8429">(D597/V597-1)*100</f>
        <v>4.5603985558401838</v>
      </c>
      <c r="AG597" s="92">
        <f t="shared" ref="AG597" si="8430">(E597/W597-1)*100</f>
        <v>-5.4480692949081195</v>
      </c>
      <c r="AH597" s="92">
        <f t="shared" ref="AH597" si="8431">(F597/X597-1)*100</f>
        <v>4.0324504891434021</v>
      </c>
      <c r="AI597" s="92">
        <f t="shared" ref="AI597" si="8432">(G597/Y597-1)*100</f>
        <v>3.8672278249821224</v>
      </c>
      <c r="AJ597" s="92">
        <f t="shared" ref="AJ597" si="8433">(H597/Z597-1)*100</f>
        <v>18.057759441447164</v>
      </c>
      <c r="AK597" s="92">
        <f t="shared" ref="AK597" si="8434">(I597/AA597-1)*100</f>
        <v>19.522964130217922</v>
      </c>
      <c r="AM597" s="112">
        <f>AP597-'Figure 8_data'!H809</f>
        <v>0</v>
      </c>
      <c r="AN597" s="92">
        <f t="shared" ref="AN597" si="8435">(B597/B545-1)*100</f>
        <v>9.0196078431372442</v>
      </c>
      <c r="AO597" s="92">
        <f t="shared" ref="AO597" si="8436">(C597/C545-1)*100</f>
        <v>19.999999999999996</v>
      </c>
      <c r="AP597" s="92">
        <f t="shared" ref="AP597" si="8437">(D597/D545-1)*100</f>
        <v>28.38038632986628</v>
      </c>
      <c r="AQ597" s="92">
        <f t="shared" ref="AQ597" si="8438">(E597/E545-1)*100</f>
        <v>10.60606060606062</v>
      </c>
      <c r="AR597" s="92">
        <f t="shared" ref="AR597" si="8439">(F597/F545-1)*100</f>
        <v>41.558441558441551</v>
      </c>
      <c r="AS597" s="92">
        <f t="shared" ref="AS597" si="8440">(G597/G545-1)*100</f>
        <v>41.558441558441551</v>
      </c>
      <c r="AT597" s="92">
        <f t="shared" ref="AT597" si="8441">(H597/H545-1)*100</f>
        <v>14.814814814814813</v>
      </c>
      <c r="AU597" s="92">
        <f t="shared" ref="AU597" si="8442">(I597/I545-1)*100</f>
        <v>14.814814814814813</v>
      </c>
    </row>
    <row r="598" spans="1:47" x14ac:dyDescent="0.3">
      <c r="A598" s="13">
        <f t="shared" si="7581"/>
        <v>41765</v>
      </c>
      <c r="B598" s="92">
        <f>TWK!B543</f>
        <v>453.33333333333331</v>
      </c>
      <c r="C598" s="92">
        <f>TWK!C543</f>
        <v>373.33333333333331</v>
      </c>
      <c r="D598" s="92">
        <f>TWK!D543</f>
        <v>365</v>
      </c>
      <c r="E598" s="92">
        <f>TWK!E543</f>
        <v>243.33333333333334</v>
      </c>
      <c r="F598" s="92">
        <f>TWK!F543</f>
        <v>246.66666666666666</v>
      </c>
      <c r="G598" s="92">
        <f>TWK!G543</f>
        <v>246.66666666666666</v>
      </c>
      <c r="H598" s="92">
        <f>TWK!H543</f>
        <v>203.33333333333334</v>
      </c>
      <c r="I598" s="92">
        <f>TWK!I543</f>
        <v>278.806404657933</v>
      </c>
      <c r="K598" s="92">
        <f t="shared" si="8382"/>
        <v>463.88888888888886</v>
      </c>
      <c r="L598" s="92">
        <f t="shared" ref="L598" si="8443">AVERAGE(C595:C598)</f>
        <v>384.77083333333331</v>
      </c>
      <c r="M598" s="92">
        <f t="shared" ref="M598" si="8444">AVERAGE(D595:D598)</f>
        <v>371.4375</v>
      </c>
      <c r="N598" s="92">
        <f t="shared" ref="N598" si="8445">AVERAGE(E595:E598)</f>
        <v>247.10416666666669</v>
      </c>
      <c r="O598" s="92">
        <f t="shared" ref="O598" si="8446">AVERAGE(F595:F598)</f>
        <v>274.35416666666669</v>
      </c>
      <c r="P598" s="92">
        <f t="shared" ref="P598" si="8447">AVERAGE(G595:G598)</f>
        <v>274.35416666666669</v>
      </c>
      <c r="Q598" s="92">
        <f t="shared" ref="Q598" si="8448">AVERAGE(H595:H598)</f>
        <v>208.5625</v>
      </c>
      <c r="R598" s="92">
        <f t="shared" ref="R598" si="8449">AVERAGE(I595:I598)</f>
        <v>285.6622998544396</v>
      </c>
      <c r="T598" s="92">
        <f t="shared" si="8390"/>
        <v>465.375</v>
      </c>
      <c r="U598" s="92">
        <f t="shared" ref="U598" si="8450">AVERAGE(L442,L494,L546)</f>
        <v>374.4375</v>
      </c>
      <c r="V598" s="92">
        <f t="shared" ref="V598" si="8451">(M442+M494+M546)/3</f>
        <v>346.6944444444444</v>
      </c>
      <c r="W598" s="92">
        <f t="shared" ref="W598" si="8452">(N442+N494+N546)/3</f>
        <v>258.04166666666669</v>
      </c>
      <c r="X598" s="92">
        <f t="shared" ref="X598" si="8453">(O442+O494+O546)/3</f>
        <v>258.29166666666669</v>
      </c>
      <c r="Y598" s="92">
        <f t="shared" ref="Y598" si="8454">(P442+P494+P546)/3</f>
        <v>259.125</v>
      </c>
      <c r="Z598" s="92">
        <f t="shared" ref="Z598" si="8455">(Q442+Q494+Q546)/3</f>
        <v>176.7222222222222</v>
      </c>
      <c r="AA598" s="92">
        <f t="shared" ref="AA598" si="8456">(R442+R494+R546)/3</f>
        <v>207.93134400776322</v>
      </c>
      <c r="AC598" s="112">
        <f>+AF598-'Figure 8_data'!I810</f>
        <v>0</v>
      </c>
      <c r="AD598" s="92">
        <f t="shared" ref="AD598" si="8457">(B598/T598-1)*100</f>
        <v>-2.5875190258751957</v>
      </c>
      <c r="AE598" s="92">
        <f t="shared" ref="AE598" si="8458">(C598/U598-1)*100</f>
        <v>-0.29488677460636215</v>
      </c>
      <c r="AF598" s="92">
        <f t="shared" ref="AF598" si="8459">(D598/V598-1)*100</f>
        <v>5.280025638971253</v>
      </c>
      <c r="AG598" s="92">
        <f t="shared" ref="AG598" si="8460">(E598/W598-1)*100</f>
        <v>-5.6999838527369668</v>
      </c>
      <c r="AH598" s="92">
        <f t="shared" ref="AH598" si="8461">(F598/X598-1)*100</f>
        <v>-4.5007259235360646</v>
      </c>
      <c r="AI598" s="92">
        <f t="shared" ref="AI598" si="8462">(G598/Y598-1)*100</f>
        <v>-4.80784692072681</v>
      </c>
      <c r="AJ598" s="92">
        <f t="shared" ref="AJ598" si="8463">(H598/Z598-1)*100</f>
        <v>15.058157812008833</v>
      </c>
      <c r="AK598" s="92">
        <f t="shared" ref="AK598" si="8464">(I598/AA598-1)*100</f>
        <v>34.085799323994003</v>
      </c>
      <c r="AM598" s="112">
        <f>AP598-'Figure 8_data'!H810</f>
        <v>0</v>
      </c>
      <c r="AN598" s="92">
        <f t="shared" ref="AN598" si="8465">(B598/B546-1)*100</f>
        <v>16.98924731182796</v>
      </c>
      <c r="AO598" s="92">
        <f t="shared" ref="AO598" si="8466">(C598/C546-1)*100</f>
        <v>22.404371584699454</v>
      </c>
      <c r="AP598" s="92">
        <f t="shared" ref="AP598:AP603" si="8467">(D598/D546-1)*100</f>
        <v>26.956521739130434</v>
      </c>
      <c r="AQ598" s="92">
        <f t="shared" ref="AQ598" si="8468">(E598/E546-1)*100</f>
        <v>10.60606060606062</v>
      </c>
      <c r="AR598" s="92">
        <f t="shared" ref="AR598" si="8469">(F598/F546-1)*100</f>
        <v>29.824561403508774</v>
      </c>
      <c r="AS598" s="92">
        <f t="shared" ref="AS598" si="8470">(G598/G546-1)*100</f>
        <v>29.824561403508774</v>
      </c>
      <c r="AT598" s="92">
        <f t="shared" ref="AT598" si="8471">(H598/H546-1)*100</f>
        <v>12.962962962962976</v>
      </c>
      <c r="AU598" s="92">
        <f t="shared" ref="AU598" si="8472">(I598/I546-1)*100</f>
        <v>12.962962962962932</v>
      </c>
    </row>
    <row r="599" spans="1:47" x14ac:dyDescent="0.3">
      <c r="A599" s="13">
        <f t="shared" si="7581"/>
        <v>41772</v>
      </c>
      <c r="B599" s="92">
        <f>TWK!B544</f>
        <v>442.5</v>
      </c>
      <c r="C599" s="92">
        <f>TWK!C544</f>
        <v>360</v>
      </c>
      <c r="D599" s="92">
        <f>TWK!D544</f>
        <v>355</v>
      </c>
      <c r="E599" s="92">
        <f>TWK!E544</f>
        <v>247.5</v>
      </c>
      <c r="F599" s="92">
        <f>TWK!F544</f>
        <v>247.5</v>
      </c>
      <c r="G599" s="92">
        <f>TWK!G544</f>
        <v>247.5</v>
      </c>
      <c r="H599" s="92">
        <f>TWK!H544</f>
        <v>202.5</v>
      </c>
      <c r="I599" s="92">
        <f>TWK!I544</f>
        <v>277.66375545851531</v>
      </c>
      <c r="K599" s="92">
        <f t="shared" si="8382"/>
        <v>458.54166666666663</v>
      </c>
      <c r="L599" s="92">
        <f t="shared" ref="L599" si="8473">AVERAGE(C596:C599)</f>
        <v>377.58333333333331</v>
      </c>
      <c r="M599" s="92">
        <f t="shared" ref="M599" si="8474">AVERAGE(D596:D599)</f>
        <v>364.25</v>
      </c>
      <c r="N599" s="92">
        <f t="shared" ref="N599" si="8475">AVERAGE(E596:E599)</f>
        <v>243.04166666666669</v>
      </c>
      <c r="O599" s="92">
        <f t="shared" ref="O599" si="8476">AVERAGE(F596:F599)</f>
        <v>262.16666666666663</v>
      </c>
      <c r="P599" s="92">
        <f t="shared" ref="P599" si="8477">AVERAGE(G596:G599)</f>
        <v>262.16666666666663</v>
      </c>
      <c r="Q599" s="92">
        <f t="shared" ref="Q599" si="8478">AVERAGE(H596:H599)</f>
        <v>205.125</v>
      </c>
      <c r="R599" s="92">
        <f t="shared" ref="R599" si="8479">AVERAGE(I596:I599)</f>
        <v>281.37736535662305</v>
      </c>
      <c r="T599" s="92">
        <f t="shared" si="8390"/>
        <v>460.83333333333331</v>
      </c>
      <c r="U599" s="92">
        <f t="shared" ref="U599" si="8480">AVERAGE(L443,L495,L547)</f>
        <v>367.74305555555549</v>
      </c>
      <c r="V599" s="92">
        <f t="shared" ref="V599" si="8481">(M443+M495+M547)/3</f>
        <v>349.01388888888886</v>
      </c>
      <c r="W599" s="92">
        <f t="shared" ref="W599" si="8482">(N443+N495+N547)/3</f>
        <v>259.95833333333331</v>
      </c>
      <c r="X599" s="92">
        <f t="shared" ref="X599" si="8483">(O443+O495+O547)/3</f>
        <v>257.98611111111114</v>
      </c>
      <c r="Y599" s="92">
        <f t="shared" ref="Y599" si="8484">(P443+P495+P547)/3</f>
        <v>258.40277777777777</v>
      </c>
      <c r="Z599" s="92">
        <f t="shared" ref="Z599" si="8485">(Q443+Q495+Q547)/3</f>
        <v>179.56944444444446</v>
      </c>
      <c r="AA599" s="92">
        <f t="shared" ref="AA599" si="8486">(R443+R495+R547)/3</f>
        <v>178.53954391072295</v>
      </c>
      <c r="AC599" s="112">
        <f>+AF599-'Figure 8_data'!I811</f>
        <v>0</v>
      </c>
      <c r="AD599" s="92">
        <f t="shared" ref="AD599" si="8487">(B599/T599-1)*100</f>
        <v>-3.9783001808318175</v>
      </c>
      <c r="AE599" s="92">
        <f t="shared" ref="AE599" si="8488">(C599/U599-1)*100</f>
        <v>-2.1055613256538375</v>
      </c>
      <c r="AF599" s="92">
        <f t="shared" ref="AF599" si="8489">(D599/V599-1)*100</f>
        <v>1.7151498268932475</v>
      </c>
      <c r="AG599" s="92">
        <f t="shared" ref="AG599" si="8490">(E599/W599-1)*100</f>
        <v>-4.7924346850456772</v>
      </c>
      <c r="AH599" s="92">
        <f t="shared" ref="AH599" si="8491">(F599/X599-1)*100</f>
        <v>-4.0646029609690544</v>
      </c>
      <c r="AI599" s="92">
        <f t="shared" ref="AI599" si="8492">(G599/Y599-1)*100</f>
        <v>-4.2192958882020903</v>
      </c>
      <c r="AJ599" s="92">
        <f t="shared" ref="AJ599" si="8493">(H599/Z599-1)*100</f>
        <v>12.769742439477128</v>
      </c>
      <c r="AK599" s="92">
        <f t="shared" ref="AK599" si="8494">(I599/AA599-1)*100</f>
        <v>55.519471696062197</v>
      </c>
      <c r="AM599" s="112">
        <f>AP599-'Figure 8_data'!H811</f>
        <v>0</v>
      </c>
      <c r="AN599" s="92">
        <f t="shared" ref="AN599" si="8495">(B599/B547-1)*100</f>
        <v>22.068965517241381</v>
      </c>
      <c r="AO599" s="92">
        <f t="shared" ref="AO599" si="8496">(C599/C547-1)*100</f>
        <v>24.137931034482762</v>
      </c>
      <c r="AP599" s="92">
        <f t="shared" si="8467"/>
        <v>27.927927927927932</v>
      </c>
      <c r="AQ599" s="92">
        <f t="shared" ref="AQ599" si="8497">(E599/E547-1)*100</f>
        <v>12.5</v>
      </c>
      <c r="AR599" s="92">
        <f t="shared" ref="AR599" si="8498">(F599/F547-1)*100</f>
        <v>30.263157894736835</v>
      </c>
      <c r="AS599" s="92">
        <f t="shared" ref="AS599" si="8499">(G599/G547-1)*100</f>
        <v>30.263157894736835</v>
      </c>
      <c r="AT599" s="92">
        <f t="shared" ref="AT599" si="8500">(H599/H547-1)*100</f>
        <v>14.084507042253524</v>
      </c>
      <c r="AU599" s="92">
        <f t="shared" ref="AU599" si="8501">(I599/I547-1)*100</f>
        <v>14.084507042253524</v>
      </c>
    </row>
    <row r="600" spans="1:47" x14ac:dyDescent="0.3">
      <c r="A600" s="13">
        <f t="shared" si="7581"/>
        <v>41779</v>
      </c>
      <c r="B600" s="92">
        <f>TWK!B545</f>
        <v>462.5</v>
      </c>
      <c r="C600" s="92">
        <f>TWK!C545</f>
        <v>367.5</v>
      </c>
      <c r="D600" s="92">
        <f>TWK!D545</f>
        <v>372.5</v>
      </c>
      <c r="E600" s="92">
        <f>TWK!E545</f>
        <v>242.5</v>
      </c>
      <c r="F600" s="92">
        <f>TWK!F545</f>
        <v>230</v>
      </c>
      <c r="G600" s="92">
        <f>TWK!G545</f>
        <v>230</v>
      </c>
      <c r="H600" s="92">
        <f>TWK!H545</f>
        <v>200</v>
      </c>
      <c r="I600" s="92">
        <f>TWK!I545</f>
        <v>274.23580786026201</v>
      </c>
      <c r="K600" s="92">
        <f t="shared" si="8382"/>
        <v>455.41666666666663</v>
      </c>
      <c r="L600" s="92">
        <f t="shared" ref="L600" si="8502">AVERAGE(C597:C600)</f>
        <v>368.95833333333331</v>
      </c>
      <c r="M600" s="92">
        <f t="shared" ref="M600" si="8503">AVERAGE(D597:D600)</f>
        <v>363.125</v>
      </c>
      <c r="N600" s="92">
        <f t="shared" ref="N600" si="8504">AVERAGE(E597:E600)</f>
        <v>244.16666666666669</v>
      </c>
      <c r="O600" s="92">
        <f t="shared" ref="O600" si="8505">AVERAGE(F597:F600)</f>
        <v>249.16666666666666</v>
      </c>
      <c r="P600" s="92">
        <f t="shared" ref="P600" si="8506">AVERAGE(G597:G600)</f>
        <v>249.16666666666666</v>
      </c>
      <c r="Q600" s="92">
        <f t="shared" ref="Q600" si="8507">AVERAGE(H597:H600)</f>
        <v>203.125</v>
      </c>
      <c r="R600" s="92">
        <f t="shared" ref="R600" si="8508">AVERAGE(I597:I600)</f>
        <v>278.52074235807862</v>
      </c>
      <c r="T600" s="92">
        <f t="shared" si="8390"/>
        <v>444.1944444444444</v>
      </c>
      <c r="U600" s="92">
        <f t="shared" ref="U600" si="8509">AVERAGE(L444,L496,L548)</f>
        <v>367.29166666666669</v>
      </c>
      <c r="V600" s="92">
        <f t="shared" ref="V600" si="8510">(M444+M496+M548)/3</f>
        <v>352.29166666666669</v>
      </c>
      <c r="W600" s="92">
        <f t="shared" ref="W600" si="8511">(N444+N496+N548)/3</f>
        <v>262.75694444444446</v>
      </c>
      <c r="X600" s="92">
        <f t="shared" ref="X600" si="8512">(O444+O496+O548)/3</f>
        <v>293.98611111111114</v>
      </c>
      <c r="Y600" s="92">
        <f t="shared" ref="Y600" si="8513">(P444+P496+P548)/3</f>
        <v>294.40277777777777</v>
      </c>
      <c r="Z600" s="92">
        <f t="shared" ref="Z600" si="8514">(Q444+Q496+Q548)/3</f>
        <v>204.56944444444446</v>
      </c>
      <c r="AA600" s="92">
        <f t="shared" ref="AA600" si="8515">(R444+R496+R548)/3</f>
        <v>179.09958757884522</v>
      </c>
      <c r="AC600" s="112">
        <f>+AF600-'Figure 8_data'!I812</f>
        <v>0</v>
      </c>
      <c r="AD600" s="92">
        <f t="shared" ref="AD600" si="8516">(B600/T600-1)*100</f>
        <v>4.121068100806724</v>
      </c>
      <c r="AE600" s="92">
        <f t="shared" ref="AE600" si="8517">(C600/U600-1)*100</f>
        <v>5.6721497447531632E-2</v>
      </c>
      <c r="AF600" s="92">
        <f t="shared" ref="AF600" si="8518">(D600/V600-1)*100</f>
        <v>5.7362507392075601</v>
      </c>
      <c r="AG600" s="92">
        <f t="shared" ref="AG600" si="8519">(E600/W600-1)*100</f>
        <v>-7.7093849935248588</v>
      </c>
      <c r="AH600" s="92">
        <f t="shared" ref="AH600" si="8520">(F600/X600-1)*100</f>
        <v>-21.765011574620885</v>
      </c>
      <c r="AI600" s="92">
        <f t="shared" ref="AI600" si="8521">(G600/Y600-1)*100</f>
        <v>-21.875737132613104</v>
      </c>
      <c r="AJ600" s="92">
        <f t="shared" ref="AJ600" si="8522">(H600/Z600-1)*100</f>
        <v>-2.2336886414556334</v>
      </c>
      <c r="AK600" s="92">
        <f t="shared" ref="AK600" si="8523">(I600/AA600-1)*100</f>
        <v>53.119173286501777</v>
      </c>
      <c r="AM600" s="112">
        <f>AP600-'Figure 8_data'!H812</f>
        <v>0</v>
      </c>
      <c r="AN600" s="92">
        <f t="shared" ref="AN600" si="8524">(B600/B548-1)*100</f>
        <v>34.70873786407769</v>
      </c>
      <c r="AO600" s="92">
        <f t="shared" ref="AO600" si="8525">(C600/C548-1)*100</f>
        <v>28.197674418604635</v>
      </c>
      <c r="AP600" s="92">
        <f t="shared" si="8467"/>
        <v>36.280487804878049</v>
      </c>
      <c r="AQ600" s="92">
        <f t="shared" ref="AQ600" si="8526">(E600/E548-1)*100</f>
        <v>11.068702290076327</v>
      </c>
      <c r="AR600" s="92">
        <f t="shared" ref="AR600" si="8527">(F600/F548-1)*100</f>
        <v>21.052631578947366</v>
      </c>
      <c r="AS600" s="92">
        <f t="shared" ref="AS600" si="8528">(G600/G548-1)*100</f>
        <v>21.052631578947366</v>
      </c>
      <c r="AT600" s="92">
        <f t="shared" ref="AT600" si="8529">(H600/H548-1)*100</f>
        <v>11.111111111111116</v>
      </c>
      <c r="AU600" s="92">
        <f t="shared" ref="AU600" si="8530">(I600/I548-1)*100</f>
        <v>11.111111111111093</v>
      </c>
    </row>
    <row r="601" spans="1:47" x14ac:dyDescent="0.3">
      <c r="A601" s="13">
        <f t="shared" si="7581"/>
        <v>41786</v>
      </c>
      <c r="B601" s="92">
        <f>TWK!B546</f>
        <v>446.66666666666669</v>
      </c>
      <c r="C601" s="92">
        <f>TWK!C546</f>
        <v>360</v>
      </c>
      <c r="D601" s="92">
        <f>TWK!D546</f>
        <v>360</v>
      </c>
      <c r="E601" s="92">
        <f>TWK!E546</f>
        <v>238.33333333333334</v>
      </c>
      <c r="F601" s="92">
        <f>TWK!F546</f>
        <v>231.66666666666666</v>
      </c>
      <c r="G601" s="92">
        <f>TWK!G546</f>
        <v>231.66666666666666</v>
      </c>
      <c r="H601" s="92">
        <f>TWK!H546</f>
        <v>200</v>
      </c>
      <c r="I601" s="92">
        <f>TWK!I546</f>
        <v>274</v>
      </c>
      <c r="K601" s="92">
        <f t="shared" si="8382"/>
        <v>451.25</v>
      </c>
      <c r="L601" s="92">
        <f t="shared" ref="L601" si="8531">AVERAGE(C598:C601)</f>
        <v>365.20833333333331</v>
      </c>
      <c r="M601" s="92">
        <f t="shared" ref="M601" si="8532">AVERAGE(D598:D601)</f>
        <v>363.125</v>
      </c>
      <c r="N601" s="92">
        <f t="shared" ref="N601" si="8533">AVERAGE(E598:E601)</f>
        <v>242.91666666666669</v>
      </c>
      <c r="O601" s="92">
        <f t="shared" ref="O601" si="8534">AVERAGE(F598:F601)</f>
        <v>238.95833333333331</v>
      </c>
      <c r="P601" s="92">
        <f t="shared" ref="P601" si="8535">AVERAGE(G598:G601)</f>
        <v>238.95833333333331</v>
      </c>
      <c r="Q601" s="92">
        <f t="shared" ref="Q601" si="8536">AVERAGE(H598:H601)</f>
        <v>201.45833333333334</v>
      </c>
      <c r="R601" s="92">
        <f t="shared" ref="R601" si="8537">AVERAGE(I598:I601)</f>
        <v>276.17649199417758</v>
      </c>
      <c r="T601" s="92">
        <f t="shared" si="8390"/>
        <v>442.75</v>
      </c>
      <c r="U601" s="92">
        <f t="shared" ref="U601" si="8538">AVERAGE(L445,L497,L549)</f>
        <v>375.69444444444451</v>
      </c>
      <c r="V601" s="92">
        <f t="shared" ref="V601" si="8539">(M445+M497+M549)/3</f>
        <v>354.42361111111109</v>
      </c>
      <c r="W601" s="92">
        <f t="shared" ref="W601" si="8540">(N445+N497+N549)/3</f>
        <v>264.1875</v>
      </c>
      <c r="X601" s="92">
        <f t="shared" ref="X601" si="8541">(O445+O497+O549)/3</f>
        <v>297.01388888888891</v>
      </c>
      <c r="Y601" s="92">
        <f t="shared" ref="Y601" si="8542">(P445+P497+P549)/3</f>
        <v>297.4305555555556</v>
      </c>
      <c r="Z601" s="92">
        <f t="shared" ref="Z601" si="8543">(Q445+Q497+Q549)/3</f>
        <v>229.6527777777778</v>
      </c>
      <c r="AA601" s="92">
        <f t="shared" ref="AA601" si="8544">(R445+R497+R549)/3</f>
        <v>178.3572295002426</v>
      </c>
      <c r="AC601" s="112">
        <f>+AF601-'Figure 8_data'!I813</f>
        <v>0</v>
      </c>
      <c r="AD601" s="92">
        <f t="shared" ref="AD601" si="8545">(B601/T601-1)*100</f>
        <v>0.88462262375306189</v>
      </c>
      <c r="AE601" s="92">
        <f t="shared" ref="AE601" si="8546">(C601/U601-1)*100</f>
        <v>-4.1774491682070369</v>
      </c>
      <c r="AF601" s="92">
        <f t="shared" ref="AF601" si="8547">(D601/V601-1)*100</f>
        <v>1.5733683406156329</v>
      </c>
      <c r="AG601" s="92">
        <f t="shared" ref="AG601" si="8548">(E601/W601-1)*100</f>
        <v>-9.7862944562731595</v>
      </c>
      <c r="AH601" s="92">
        <f t="shared" ref="AH601" si="8549">(F601/X601-1)*100</f>
        <v>-22.00140285246669</v>
      </c>
      <c r="AI601" s="92">
        <f t="shared" ref="AI601" si="8550">(G601/Y601-1)*100</f>
        <v>-22.110670091057681</v>
      </c>
      <c r="AJ601" s="92">
        <f t="shared" ref="AJ601" si="8551">(H601/Z601-1)*100</f>
        <v>-12.912004838221957</v>
      </c>
      <c r="AK601" s="92">
        <f t="shared" ref="AK601" si="8552">(I601/AA601-1)*100</f>
        <v>53.624274590802237</v>
      </c>
      <c r="AM601" s="112">
        <f>AP601-'Figure 8_data'!H813</f>
        <v>0</v>
      </c>
      <c r="AN601" s="92">
        <f t="shared" ref="AN601" si="8553">(B601/B549-1)*100</f>
        <v>23.502304147465438</v>
      </c>
      <c r="AO601" s="92">
        <f t="shared" ref="AO601" si="8554">(C601/C549-1)*100</f>
        <v>21.34831460674156</v>
      </c>
      <c r="AP601" s="92">
        <f t="shared" si="8467"/>
        <v>16.129032258064523</v>
      </c>
      <c r="AQ601" s="92">
        <f t="shared" ref="AQ601" si="8555">(E601/E549-1)*100</f>
        <v>10.000000000000009</v>
      </c>
      <c r="AR601" s="92">
        <f t="shared" ref="AR601" si="8556">(F601/F549-1)*100</f>
        <v>21.92982456140351</v>
      </c>
      <c r="AS601" s="92">
        <f t="shared" ref="AS601" si="8557">(G601/G549-1)*100</f>
        <v>21.92982456140351</v>
      </c>
      <c r="AT601" s="92">
        <f t="shared" ref="AT601" si="8558">(H601/H549-1)*100</f>
        <v>11.111111111111116</v>
      </c>
      <c r="AU601" s="92">
        <f t="shared" ref="AU601" si="8559">(I601/I549-1)*100</f>
        <v>11.015569709837214</v>
      </c>
    </row>
    <row r="602" spans="1:47" x14ac:dyDescent="0.3">
      <c r="A602" s="13">
        <f t="shared" si="7581"/>
        <v>41793</v>
      </c>
      <c r="B602" s="92">
        <f>TWK!B547</f>
        <v>420</v>
      </c>
      <c r="C602" s="92">
        <f>TWK!C547</f>
        <v>355</v>
      </c>
      <c r="D602" s="92">
        <f>TWK!D547</f>
        <v>353.33333333333331</v>
      </c>
      <c r="E602" s="92">
        <f>TWK!E547</f>
        <v>240</v>
      </c>
      <c r="F602" s="92">
        <f>TWK!F547</f>
        <v>231.66666666666666</v>
      </c>
      <c r="G602" s="92">
        <f>TWK!G547</f>
        <v>231.66666666666666</v>
      </c>
      <c r="H602" s="92">
        <f>TWK!H547</f>
        <v>200</v>
      </c>
      <c r="I602" s="92">
        <f>TWK!I547</f>
        <v>274.23580786026201</v>
      </c>
      <c r="K602" s="92">
        <f t="shared" ref="K602" si="8560">AVERAGEIF(B599:B602,"&lt;&gt;0")</f>
        <v>442.91666666666669</v>
      </c>
      <c r="L602" s="92">
        <f t="shared" ref="L602" si="8561">AVERAGE(C599:C602)</f>
        <v>360.625</v>
      </c>
      <c r="M602" s="92">
        <f t="shared" ref="M602" si="8562">AVERAGE(D599:D602)</f>
        <v>360.20833333333331</v>
      </c>
      <c r="N602" s="92">
        <f t="shared" ref="N602" si="8563">AVERAGE(E599:E602)</f>
        <v>242.08333333333334</v>
      </c>
      <c r="O602" s="92">
        <f t="shared" ref="O602" si="8564">AVERAGE(F599:F602)</f>
        <v>235.20833333333331</v>
      </c>
      <c r="P602" s="92">
        <f t="shared" ref="P602" si="8565">AVERAGE(G599:G602)</f>
        <v>235.20833333333331</v>
      </c>
      <c r="Q602" s="92">
        <f t="shared" ref="Q602" si="8566">AVERAGE(H599:H602)</f>
        <v>200.625</v>
      </c>
      <c r="R602" s="92">
        <f t="shared" ref="R602" si="8567">AVERAGE(I599:I602)</f>
        <v>275.03384279475983</v>
      </c>
      <c r="T602" s="92">
        <f t="shared" ref="T602" si="8568">AVERAGE(K446,K498,K550)</f>
        <v>434.9305555555556</v>
      </c>
      <c r="U602" s="92">
        <f t="shared" ref="U602" si="8569">AVERAGE(L446,L498,L550)</f>
        <v>363.0555555555556</v>
      </c>
      <c r="V602" s="92">
        <f t="shared" ref="V602" si="8570">(M446+M498+M550)/3</f>
        <v>353.10416666666669</v>
      </c>
      <c r="W602" s="92">
        <f t="shared" ref="W602" si="8571">(N446+N498+N550)/3</f>
        <v>264.02083333333331</v>
      </c>
      <c r="X602" s="92">
        <f t="shared" ref="X602" si="8572">(O446+O498+O550)/3</f>
        <v>296.87500000000006</v>
      </c>
      <c r="Y602" s="92">
        <f t="shared" ref="Y602" si="8573">(P446+P498+P550)/3</f>
        <v>296.87500000000006</v>
      </c>
      <c r="Z602" s="92">
        <f t="shared" ref="Z602" si="8574">(Q446+Q498+Q550)/3</f>
        <v>230.3125</v>
      </c>
      <c r="AA602" s="92">
        <f t="shared" ref="AA602" si="8575">(R446+R498+R550)/3</f>
        <v>177.97197962154291</v>
      </c>
      <c r="AC602" s="112">
        <f>+AF602-'Figure 8_data'!I814</f>
        <v>0</v>
      </c>
      <c r="AD602" s="92">
        <f t="shared" ref="AD602" si="8576">(B602/T602-1)*100</f>
        <v>-3.4328596519240029</v>
      </c>
      <c r="AE602" s="92">
        <f t="shared" ref="AE602" si="8577">(C602/U602-1)*100</f>
        <v>-2.2188217291507439</v>
      </c>
      <c r="AF602" s="92">
        <f t="shared" ref="AF602" si="8578">(D602/V602-1)*100</f>
        <v>6.490058410524302E-2</v>
      </c>
      <c r="AG602" s="92">
        <f t="shared" ref="AG602" si="8579">(E602/W602-1)*100</f>
        <v>-9.0980825376785202</v>
      </c>
      <c r="AH602" s="92">
        <f t="shared" ref="AH602" si="8580">(F602/X602-1)*100</f>
        <v>-21.964912280701775</v>
      </c>
      <c r="AI602" s="92">
        <f t="shared" ref="AI602" si="8581">(G602/Y602-1)*100</f>
        <v>-21.964912280701775</v>
      </c>
      <c r="AJ602" s="92">
        <f t="shared" ref="AJ602" si="8582">(H602/Z602-1)*100</f>
        <v>-13.161465400271366</v>
      </c>
      <c r="AK602" s="92">
        <f t="shared" ref="AK602" si="8583">(I602/AA602-1)*100</f>
        <v>54.089317005645476</v>
      </c>
      <c r="AM602" s="112">
        <f>AP602-'Figure 8_data'!H814</f>
        <v>0</v>
      </c>
      <c r="AN602" s="92">
        <f t="shared" ref="AN602" si="8584">(B602/B550-1)*100</f>
        <v>5.8823529411764719</v>
      </c>
      <c r="AO602" s="92">
        <f t="shared" ref="AO602" si="8585">(C602/C550-1)*100</f>
        <v>12.105263157894729</v>
      </c>
      <c r="AP602" s="92">
        <f t="shared" si="8467"/>
        <v>12.169312169312164</v>
      </c>
      <c r="AQ602" s="92">
        <f t="shared" ref="AQ602" si="8586">(E602/E550-1)*100</f>
        <v>8.2706766917293173</v>
      </c>
      <c r="AR602" s="92">
        <f t="shared" ref="AR602" si="8587">(F602/F550-1)*100</f>
        <v>19.82758620689653</v>
      </c>
      <c r="AS602" s="92">
        <f t="shared" ref="AS602" si="8588">(G602/G550-1)*100</f>
        <v>19.82758620689653</v>
      </c>
      <c r="AT602" s="92">
        <f t="shared" ref="AT602" si="8589">(H602/H550-1)*100</f>
        <v>10.091743119266061</v>
      </c>
      <c r="AU602" s="92">
        <f t="shared" ref="AU602" si="8590">(I602/I550-1)*100</f>
        <v>10.091743119266061</v>
      </c>
    </row>
    <row r="603" spans="1:47" x14ac:dyDescent="0.3">
      <c r="A603" s="13">
        <f t="shared" si="7581"/>
        <v>41800</v>
      </c>
      <c r="B603" s="92">
        <f>TWK!B548</f>
        <v>421.66666666666669</v>
      </c>
      <c r="C603" s="92">
        <f>TWK!C548</f>
        <v>363.33333333333331</v>
      </c>
      <c r="D603" s="92">
        <f>TWK!D548</f>
        <v>373.33333333333331</v>
      </c>
      <c r="E603" s="92">
        <f>TWK!E548</f>
        <v>245</v>
      </c>
      <c r="F603" s="92">
        <f>TWK!F548</f>
        <v>231.66666666666666</v>
      </c>
      <c r="G603" s="92">
        <f>TWK!G548</f>
        <v>231.66666666666666</v>
      </c>
      <c r="H603" s="92">
        <f>TWK!H548</f>
        <v>200</v>
      </c>
      <c r="I603" s="92">
        <f>TWK!I548</f>
        <v>274.23580786026201</v>
      </c>
      <c r="K603" s="92">
        <f t="shared" ref="K603" si="8591">AVERAGEIF(B600:B603,"&lt;&gt;0")</f>
        <v>437.70833333333337</v>
      </c>
      <c r="L603" s="92">
        <f t="shared" ref="L603" si="8592">AVERAGE(C600:C603)</f>
        <v>361.45833333333331</v>
      </c>
      <c r="M603" s="92">
        <f t="shared" ref="M603" si="8593">AVERAGE(D600:D603)</f>
        <v>364.79166666666663</v>
      </c>
      <c r="N603" s="92">
        <f t="shared" ref="N603" si="8594">AVERAGE(E600:E603)</f>
        <v>241.45833333333334</v>
      </c>
      <c r="O603" s="92">
        <f t="shared" ref="O603" si="8595">AVERAGE(F600:F603)</f>
        <v>231.24999999999997</v>
      </c>
      <c r="P603" s="92">
        <f t="shared" ref="P603" si="8596">AVERAGE(G600:G603)</f>
        <v>231.24999999999997</v>
      </c>
      <c r="Q603" s="92">
        <f t="shared" ref="Q603" si="8597">AVERAGE(H600:H603)</f>
        <v>200</v>
      </c>
      <c r="R603" s="92">
        <f t="shared" ref="R603" si="8598">AVERAGE(I600:I603)</f>
        <v>274.17685589519647</v>
      </c>
      <c r="T603" s="92">
        <f t="shared" ref="T603" si="8599">AVERAGE(K447,K499,K551)</f>
        <v>428.47222222222223</v>
      </c>
      <c r="U603" s="92">
        <f t="shared" ref="U603" si="8600">AVERAGE(L447,L499,L551)</f>
        <v>365.41666666666669</v>
      </c>
      <c r="V603" s="92">
        <f t="shared" ref="V603" si="8601">(M447+M499+M551)/3</f>
        <v>351.4375</v>
      </c>
      <c r="W603" s="92">
        <f t="shared" ref="W603" si="8602">(N447+N499+N551)/3</f>
        <v>262.97916666666663</v>
      </c>
      <c r="X603" s="92">
        <f t="shared" ref="X603" si="8603">(O447+O499+O551)/3</f>
        <v>293.50694444444446</v>
      </c>
      <c r="Y603" s="92">
        <f t="shared" ref="Y603" si="8604">(P447+P499+P551)/3</f>
        <v>293.50694444444446</v>
      </c>
      <c r="Z603" s="92">
        <f t="shared" ref="Z603" si="8605">(Q447+Q499+Q551)/3</f>
        <v>231.01388888888889</v>
      </c>
      <c r="AA603" s="92">
        <f t="shared" ref="AA603" si="8606">(R447+R499+R551)/3</f>
        <v>169.87821445900047</v>
      </c>
      <c r="AC603" s="112">
        <f>+AF603-'Figure 8_data'!I815</f>
        <v>0</v>
      </c>
      <c r="AD603" s="92">
        <f t="shared" ref="AD603" si="8607">(B603/T603-1)*100</f>
        <v>-1.588330632090762</v>
      </c>
      <c r="AE603" s="92">
        <f t="shared" ref="AE603" si="8608">(C603/U603-1)*100</f>
        <v>-0.57012542759408147</v>
      </c>
      <c r="AF603" s="92">
        <f t="shared" ref="AF603" si="8609">(D603/V603-1)*100</f>
        <v>6.230363388464033</v>
      </c>
      <c r="AG603" s="92">
        <f t="shared" ref="AG603" si="8610">(E603/W603-1)*100</f>
        <v>-6.8367266101560524</v>
      </c>
      <c r="AH603" s="92">
        <f t="shared" ref="AH603" si="8611">(F603/X603-1)*100</f>
        <v>-21.069442801372297</v>
      </c>
      <c r="AI603" s="92">
        <f t="shared" ref="AI603" si="8612">(G603/Y603-1)*100</f>
        <v>-21.069442801372297</v>
      </c>
      <c r="AJ603" s="92">
        <f t="shared" ref="AJ603" si="8613">(H603/Z603-1)*100</f>
        <v>-13.425118739854502</v>
      </c>
      <c r="AK603" s="92">
        <f t="shared" ref="AK603" si="8614">(I603/AA603-1)*100</f>
        <v>61.430827804260858</v>
      </c>
      <c r="AM603" s="112">
        <f>AP603-'Figure 8_data'!H815</f>
        <v>0</v>
      </c>
      <c r="AN603" s="92">
        <f t="shared" ref="AN603" si="8615">(B603/B551-1)*100</f>
        <v>18.779342723004699</v>
      </c>
      <c r="AO603" s="92">
        <f t="shared" ref="AO603" si="8616">(C603/C551-1)*100</f>
        <v>19.125683060109289</v>
      </c>
      <c r="AP603" s="92">
        <f t="shared" si="8467"/>
        <v>27.635327635327634</v>
      </c>
      <c r="AQ603" s="92">
        <f t="shared" ref="AQ603" si="8617">(E603/E551-1)*100</f>
        <v>12.643678160919535</v>
      </c>
      <c r="AR603" s="92">
        <f t="shared" ref="AR603" si="8618">(F603/F551-1)*100</f>
        <v>21.92982456140351</v>
      </c>
      <c r="AS603" s="92">
        <f t="shared" ref="AS603" si="8619">(G603/G551-1)*100</f>
        <v>21.92982456140351</v>
      </c>
      <c r="AT603" s="92">
        <f t="shared" ref="AT603" si="8620">(H603/H551-1)*100</f>
        <v>6.6666666666666652</v>
      </c>
      <c r="AU603" s="92">
        <f t="shared" ref="AU603" si="8621">(I603/I551-1)*100</f>
        <v>60.000000000000007</v>
      </c>
    </row>
    <row r="604" spans="1:47" x14ac:dyDescent="0.3">
      <c r="A604" s="13">
        <f t="shared" si="7581"/>
        <v>41807</v>
      </c>
      <c r="B604" s="92">
        <f>TWK!B549</f>
        <v>430</v>
      </c>
      <c r="C604" s="92">
        <f>TWK!C549</f>
        <v>366.66666666666669</v>
      </c>
      <c r="D604" s="92">
        <f>TWK!D549</f>
        <v>366.66666666666669</v>
      </c>
      <c r="E604" s="92">
        <f>TWK!E549</f>
        <v>248.33333333333334</v>
      </c>
      <c r="F604" s="92">
        <f>TWK!F549</f>
        <v>226.66666666666666</v>
      </c>
      <c r="G604" s="92">
        <f>TWK!G549</f>
        <v>226.66666666666666</v>
      </c>
      <c r="H604" s="92">
        <f>TWK!H549</f>
        <v>206.66666666666666</v>
      </c>
      <c r="I604" s="92">
        <f>TWK!I549</f>
        <v>283.3770014556041</v>
      </c>
      <c r="K604" s="92">
        <f t="shared" ref="K604" si="8622">AVERAGEIF(B601:B604,"&lt;&gt;0")</f>
        <v>429.58333333333337</v>
      </c>
      <c r="L604" s="92">
        <f t="shared" ref="L604" si="8623">AVERAGE(C601:C604)</f>
        <v>361.25</v>
      </c>
      <c r="M604" s="92">
        <f t="shared" ref="M604" si="8624">AVERAGE(D601:D604)</f>
        <v>363.33333333333331</v>
      </c>
      <c r="N604" s="92">
        <f t="shared" ref="N604" si="8625">AVERAGE(E601:E604)</f>
        <v>242.91666666666669</v>
      </c>
      <c r="O604" s="92">
        <f t="shared" ref="O604" si="8626">AVERAGE(F601:F604)</f>
        <v>230.41666666666666</v>
      </c>
      <c r="P604" s="92">
        <f t="shared" ref="P604" si="8627">AVERAGE(G601:G604)</f>
        <v>230.41666666666666</v>
      </c>
      <c r="Q604" s="92">
        <f t="shared" ref="Q604" si="8628">AVERAGE(H601:H604)</f>
        <v>201.66666666666666</v>
      </c>
      <c r="R604" s="92">
        <f t="shared" ref="R604" si="8629">AVERAGE(I601:I604)</f>
        <v>276.46215429403202</v>
      </c>
      <c r="T604" s="92">
        <f t="shared" ref="T604" si="8630">AVERAGE(K448,K500,K552)</f>
        <v>433.61111111111114</v>
      </c>
      <c r="U604" s="92">
        <f t="shared" ref="U604" si="8631">AVERAGE(L448,L500,L552)</f>
        <v>367.63888888888886</v>
      </c>
      <c r="V604" s="92">
        <f t="shared" ref="V604" si="8632">(M448+M500+M552)/3</f>
        <v>349.48611111111114</v>
      </c>
      <c r="W604" s="92">
        <f t="shared" ref="W604" si="8633">(N448+N500+N552)/3</f>
        <v>264.79166666666669</v>
      </c>
      <c r="X604" s="92">
        <f t="shared" ref="X604" si="8634">(O448+O500+O552)/3</f>
        <v>289.03472222222223</v>
      </c>
      <c r="Y604" s="92">
        <f t="shared" ref="Y604" si="8635">(P448+P500+P552)/3</f>
        <v>289.03472222222223</v>
      </c>
      <c r="Z604" s="92">
        <f t="shared" ref="Z604" si="8636">(Q448+Q500+Q552)/3</f>
        <v>233.37499999999997</v>
      </c>
      <c r="AA604" s="92">
        <f t="shared" ref="AA604" si="8637">(R448+R500+R552)/3</f>
        <v>199.48750606501699</v>
      </c>
      <c r="AC604" s="112">
        <f>+AF604-'Figure 8_data'!I816</f>
        <v>0</v>
      </c>
      <c r="AD604" s="92">
        <f t="shared" ref="AD604" si="8638">(B604/T604-1)*100</f>
        <v>-0.83279948750801802</v>
      </c>
      <c r="AE604" s="92">
        <f t="shared" ref="AE604" si="8639">(C604/U604-1)*100</f>
        <v>-0.26445032111823696</v>
      </c>
      <c r="AF604" s="92">
        <f t="shared" ref="AF604" si="8640">(D604/V604-1)*100</f>
        <v>4.9159480189166604</v>
      </c>
      <c r="AG604" s="92">
        <f t="shared" ref="AG604" si="8641">(E604/W604-1)*100</f>
        <v>-6.2155782848151038</v>
      </c>
      <c r="AH604" s="92">
        <f t="shared" ref="AH604" si="8642">(F604/X604-1)*100</f>
        <v>-21.578049542298359</v>
      </c>
      <c r="AI604" s="92">
        <f t="shared" ref="AI604" si="8643">(G604/Y604-1)*100</f>
        <v>-21.578049542298359</v>
      </c>
      <c r="AJ604" s="92">
        <f t="shared" ref="AJ604" si="8644">(H604/Z604-1)*100</f>
        <v>-11.444384931262263</v>
      </c>
      <c r="AK604" s="92">
        <f t="shared" ref="AK604" si="8645">(I604/AA604-1)*100</f>
        <v>42.05250596658712</v>
      </c>
      <c r="AM604" s="112">
        <f>AP604-'Figure 8_data'!H816</f>
        <v>0</v>
      </c>
      <c r="AN604" s="92">
        <f t="shared" ref="AN604" si="8646">(B604/B552-1)*100</f>
        <v>19.444444444444443</v>
      </c>
      <c r="AO604" s="92">
        <f t="shared" ref="AO604" si="8647">(C604/C552-1)*100</f>
        <v>22.222222222222232</v>
      </c>
      <c r="AP604" s="92">
        <f t="shared" ref="AP604" si="8648">(D604/D552-1)*100</f>
        <v>24.293785310734471</v>
      </c>
      <c r="AQ604" s="92">
        <f t="shared" ref="AQ604" si="8649">(E604/E552-1)*100</f>
        <v>12.87878787878789</v>
      </c>
      <c r="AR604" s="92">
        <f t="shared" ref="AR604" si="8650">(F604/F552-1)*100</f>
        <v>19.298245614035082</v>
      </c>
      <c r="AS604" s="92">
        <f t="shared" ref="AS604" si="8651">(G604/G552-1)*100</f>
        <v>19.298245614035082</v>
      </c>
      <c r="AT604" s="92">
        <f t="shared" ref="AT604" si="8652">(H604/H552-1)*100</f>
        <v>7.3593073593073655</v>
      </c>
      <c r="AU604" s="92">
        <f t="shared" ref="AU604" si="8653">(I604/I552-1)*100</f>
        <v>61.038961038961027</v>
      </c>
    </row>
    <row r="605" spans="1:47" x14ac:dyDescent="0.3">
      <c r="A605" s="13">
        <f t="shared" si="7581"/>
        <v>41814</v>
      </c>
      <c r="B605" s="92">
        <f>TWK!B550</f>
        <v>0</v>
      </c>
      <c r="C605" s="92">
        <f>TWK!C550</f>
        <v>370</v>
      </c>
      <c r="D605" s="92">
        <f>TWK!D550</f>
        <v>368.75</v>
      </c>
      <c r="E605" s="92">
        <f>TWK!E550</f>
        <v>248.75</v>
      </c>
      <c r="F605" s="92">
        <f>TWK!F550</f>
        <v>237.5</v>
      </c>
      <c r="G605" s="92">
        <f>TWK!G550</f>
        <v>231.25</v>
      </c>
      <c r="H605" s="92">
        <f>TWK!H550</f>
        <v>213.75</v>
      </c>
      <c r="I605" s="92">
        <f>TWK!I550</f>
        <v>294.80349344978163</v>
      </c>
      <c r="K605" s="92">
        <f t="shared" ref="K605" si="8654">AVERAGEIF(B602:B605,"&lt;&gt;0")</f>
        <v>423.88888888888891</v>
      </c>
      <c r="L605" s="92">
        <f t="shared" ref="L605" si="8655">AVERAGE(C602:C605)</f>
        <v>363.75</v>
      </c>
      <c r="M605" s="92">
        <f t="shared" ref="M605" si="8656">AVERAGE(D602:D605)</f>
        <v>365.52083333333331</v>
      </c>
      <c r="N605" s="92">
        <f t="shared" ref="N605" si="8657">AVERAGE(E602:E605)</f>
        <v>245.52083333333334</v>
      </c>
      <c r="O605" s="92">
        <f t="shared" ref="O605" si="8658">AVERAGE(F602:F605)</f>
        <v>231.875</v>
      </c>
      <c r="P605" s="92">
        <f t="shared" ref="P605" si="8659">AVERAGE(G602:G605)</f>
        <v>230.3125</v>
      </c>
      <c r="Q605" s="92">
        <f t="shared" ref="Q605" si="8660">AVERAGE(H602:H605)</f>
        <v>205.10416666666666</v>
      </c>
      <c r="R605" s="92">
        <f t="shared" ref="R605" si="8661">AVERAGE(I602:I605)</f>
        <v>281.66302765647742</v>
      </c>
      <c r="T605" s="92">
        <f t="shared" ref="T605" si="8662">AVERAGE(K449,K501,K553)</f>
        <v>433.19444444444451</v>
      </c>
      <c r="U605" s="92">
        <f t="shared" ref="U605" si="8663">AVERAGE(L449,L501,L553)</f>
        <v>363.0555555555556</v>
      </c>
      <c r="V605" s="92">
        <f t="shared" ref="V605" si="8664">(M449+M501+M553)/3</f>
        <v>344.09722222222223</v>
      </c>
      <c r="W605" s="92">
        <f t="shared" ref="W605" si="8665">(N449+N501+N553)/3</f>
        <v>264.9305555555556</v>
      </c>
      <c r="X605" s="92">
        <f t="shared" ref="X605" si="8666">(O449+O501+O553)/3</f>
        <v>286.21527777777777</v>
      </c>
      <c r="Y605" s="92">
        <f t="shared" ref="Y605" si="8667">(P449+P501+P553)/3</f>
        <v>286.77083333333331</v>
      </c>
      <c r="Z605" s="92">
        <f t="shared" ref="Z605" si="8668">(Q449+Q501+Q553)/3</f>
        <v>233.68055555555551</v>
      </c>
      <c r="AA605" s="92">
        <f t="shared" ref="AA605" si="8669">(R449+R501+R553)/3</f>
        <v>235.10007278020376</v>
      </c>
      <c r="AC605" s="112">
        <f>+AF605-'Figure 8_data'!I817</f>
        <v>0</v>
      </c>
      <c r="AD605" s="92">
        <f t="shared" ref="AD605" si="8670">(B605/T605-1)*100</f>
        <v>-100</v>
      </c>
      <c r="AE605" s="92">
        <f t="shared" ref="AE605" si="8671">(C605/U605-1)*100</f>
        <v>1.9127773527161329</v>
      </c>
      <c r="AF605" s="92">
        <f t="shared" ref="AF605" si="8672">(D605/V605-1)*100</f>
        <v>7.1644803229061527</v>
      </c>
      <c r="AG605" s="92">
        <f t="shared" ref="AG605" si="8673">(E605/W605-1)*100</f>
        <v>-6.1074705111402565</v>
      </c>
      <c r="AH605" s="92">
        <f t="shared" ref="AH605" si="8674">(F605/X605-1)*100</f>
        <v>-17.020502244328519</v>
      </c>
      <c r="AI605" s="92">
        <f t="shared" ref="AI605" si="8675">(G605/Y605-1)*100</f>
        <v>-19.360697420995276</v>
      </c>
      <c r="AJ605" s="92">
        <f t="shared" ref="AJ605" si="8676">(H605/Z605-1)*100</f>
        <v>-8.5289747399702627</v>
      </c>
      <c r="AK605" s="92">
        <f t="shared" ref="AK605" si="8677">(I605/AA605-1)*100</f>
        <v>25.394896719319561</v>
      </c>
      <c r="AM605" s="112">
        <f>AP605-'Figure 8_data'!H817</f>
        <v>0</v>
      </c>
      <c r="AN605" s="92">
        <f t="shared" ref="AN605" si="8678">(B605/B553-1)*100</f>
        <v>-100</v>
      </c>
      <c r="AO605" s="92">
        <f t="shared" ref="AO605" si="8679">(C605/C553-1)*100</f>
        <v>10.447761194029859</v>
      </c>
      <c r="AP605" s="92">
        <f t="shared" ref="AP605" si="8680">(D605/D553-1)*100</f>
        <v>14.046391752577335</v>
      </c>
      <c r="AQ605" s="92">
        <f t="shared" ref="AQ605" si="8681">(E605/E553-1)*100</f>
        <v>6.6071428571428559</v>
      </c>
      <c r="AR605" s="92">
        <f t="shared" ref="AR605" si="8682">(F605/F553-1)*100</f>
        <v>12.204724409448819</v>
      </c>
      <c r="AS605" s="92">
        <f t="shared" ref="AS605" si="8683">(G605/G553-1)*100</f>
        <v>9.2519685039370145</v>
      </c>
      <c r="AT605" s="92">
        <f t="shared" ref="AT605" si="8684">(H605/H553-1)*100</f>
        <v>8.686440677966111</v>
      </c>
      <c r="AU605" s="92">
        <f t="shared" ref="AU605" si="8685">(I605/I553-1)*100</f>
        <v>9.322033898305083</v>
      </c>
    </row>
    <row r="606" spans="1:47" x14ac:dyDescent="0.3">
      <c r="A606" s="13">
        <f t="shared" si="7581"/>
        <v>41821</v>
      </c>
      <c r="B606" s="92">
        <f>TWK!B551</f>
        <v>0</v>
      </c>
      <c r="C606" s="92">
        <f>TWK!C551</f>
        <v>0</v>
      </c>
      <c r="D606" s="92">
        <f>TWK!D551</f>
        <v>378.33333333333331</v>
      </c>
      <c r="E606" s="92">
        <f>TWK!E551</f>
        <v>260</v>
      </c>
      <c r="F606" s="92">
        <f>TWK!F551</f>
        <v>243.33333333333334</v>
      </c>
      <c r="G606" s="92">
        <f>TWK!G551</f>
        <v>243.33333333333334</v>
      </c>
      <c r="H606" s="92">
        <f>TWK!H551</f>
        <v>213.33333333333334</v>
      </c>
      <c r="I606" s="92">
        <f>TWK!I551</f>
        <v>292.51819505094613</v>
      </c>
      <c r="K606" s="92">
        <f t="shared" ref="K606" si="8686">AVERAGEIF(B603:B606,"&lt;&gt;0")</f>
        <v>425.83333333333337</v>
      </c>
      <c r="L606" s="92">
        <f t="shared" ref="L606" si="8687">AVERAGE(C603:C606)</f>
        <v>275</v>
      </c>
      <c r="M606" s="92">
        <f t="shared" ref="M606" si="8688">AVERAGE(D603:D606)</f>
        <v>371.77083333333331</v>
      </c>
      <c r="N606" s="92">
        <f t="shared" ref="N606" si="8689">AVERAGE(E603:E606)</f>
        <v>250.52083333333334</v>
      </c>
      <c r="O606" s="92">
        <f t="shared" ref="O606" si="8690">AVERAGE(F603:F606)</f>
        <v>234.79166666666666</v>
      </c>
      <c r="P606" s="92">
        <f t="shared" ref="P606" si="8691">AVERAGE(G603:G606)</f>
        <v>233.22916666666666</v>
      </c>
      <c r="Q606" s="92">
        <f t="shared" ref="Q606" si="8692">AVERAGE(H603:H606)</f>
        <v>208.4375</v>
      </c>
      <c r="R606" s="92">
        <f t="shared" ref="R606" si="8693">AVERAGE(I603:I606)</f>
        <v>286.23362445414847</v>
      </c>
      <c r="T606" s="92">
        <f t="shared" ref="T606" si="8694">AVERAGE(K450,K502,K554)</f>
        <v>439.58333333333331</v>
      </c>
      <c r="U606" s="92">
        <f t="shared" ref="U606" si="8695">AVERAGE(L450,L502,L554)</f>
        <v>370.72222222222223</v>
      </c>
      <c r="V606" s="92">
        <f t="shared" ref="V606" si="8696">(M450+M502+M554)/3</f>
        <v>347.4305555555556</v>
      </c>
      <c r="W606" s="92">
        <f t="shared" ref="W606" si="8697">(N450+N502+N554)/3</f>
        <v>271.15277777777777</v>
      </c>
      <c r="X606" s="92">
        <f t="shared" ref="X606" si="8698">(O450+O502+O554)/3</f>
        <v>286.6319444444444</v>
      </c>
      <c r="Y606" s="92">
        <f t="shared" ref="Y606" si="8699">(P450+P502+P554)/3</f>
        <v>286.90972222222223</v>
      </c>
      <c r="Z606" s="92">
        <f t="shared" ref="Z606" si="8700">(Q450+Q502+Q554)/3</f>
        <v>236.04861111111109</v>
      </c>
      <c r="AA606" s="92">
        <f t="shared" ref="AA606" si="8701">(R450+R502+R554)/3</f>
        <v>273.84764677341099</v>
      </c>
      <c r="AC606" s="112">
        <f>+AF606-'Figure 8_data'!I818</f>
        <v>0</v>
      </c>
      <c r="AD606" s="92">
        <f t="shared" ref="AD606" si="8702">(B606/T606-1)*100</f>
        <v>-100</v>
      </c>
      <c r="AE606" s="92">
        <f t="shared" ref="AE606" si="8703">(C606/U606-1)*100</f>
        <v>-100</v>
      </c>
      <c r="AF606" s="92">
        <f t="shared" ref="AF606" si="8704">(D606/V606-1)*100</f>
        <v>8.8946632020787231</v>
      </c>
      <c r="AG606" s="92">
        <f t="shared" ref="AG606" si="8705">(E606/W606-1)*100</f>
        <v>-4.1130973723300652</v>
      </c>
      <c r="AH606" s="92">
        <f t="shared" ref="AH606" si="8706">(F606/X606-1)*100</f>
        <v>-15.10599636583887</v>
      </c>
      <c r="AI606" s="92">
        <f t="shared" ref="AI606" si="8707">(G606/Y606-1)*100</f>
        <v>-15.188188309330751</v>
      </c>
      <c r="AJ606" s="92">
        <f t="shared" ref="AJ606" si="8708">(H606/Z606-1)*100</f>
        <v>-9.6231355358771253</v>
      </c>
      <c r="AK606" s="92">
        <f t="shared" ref="AK606" si="8709">(I606/AA606-1)*100</f>
        <v>6.8178596739900676</v>
      </c>
      <c r="AM606" s="112">
        <f>AP606-'Figure 8_data'!H818</f>
        <v>0</v>
      </c>
      <c r="AN606" s="92">
        <f t="shared" ref="AN606" si="8710">(B606/B554-1)*100</f>
        <v>-100</v>
      </c>
      <c r="AO606" s="92">
        <f t="shared" ref="AO606" si="8711">(C606/C554-1)*100</f>
        <v>-100</v>
      </c>
      <c r="AP606" s="92">
        <f t="shared" ref="AP606" si="8712">(D606/D554-1)*100</f>
        <v>23.369565217391287</v>
      </c>
      <c r="AQ606" s="92">
        <f t="shared" ref="AQ606" si="8713">(E606/E554-1)*100</f>
        <v>15.555555555555545</v>
      </c>
      <c r="AR606" s="92">
        <f t="shared" ref="AR606" si="8714">(F606/F554-1)*100</f>
        <v>15.873015873015884</v>
      </c>
      <c r="AS606" s="92">
        <f t="shared" ref="AS606" si="8715">(G606/G554-1)*100</f>
        <v>15.873015873015884</v>
      </c>
      <c r="AT606" s="92">
        <f t="shared" ref="AT606" si="8716">(H606/H554-1)*100</f>
        <v>11.304347826086957</v>
      </c>
      <c r="AU606" s="92">
        <f t="shared" ref="AU606" si="8717">(I606/I554-1)*100</f>
        <v>11.304347826086957</v>
      </c>
    </row>
    <row r="607" spans="1:47" x14ac:dyDescent="0.3">
      <c r="A607" s="13">
        <f t="shared" si="7581"/>
        <v>41828</v>
      </c>
      <c r="B607" s="92">
        <f>TWK!B552</f>
        <v>0</v>
      </c>
      <c r="C607" s="92">
        <f>TWK!C552</f>
        <v>0</v>
      </c>
      <c r="D607" s="92">
        <f>TWK!D552</f>
        <v>345</v>
      </c>
      <c r="E607" s="92">
        <f>TWK!E552</f>
        <v>245</v>
      </c>
      <c r="F607" s="92">
        <f>TWK!F552</f>
        <v>242.5</v>
      </c>
      <c r="G607" s="92">
        <f>TWK!G552</f>
        <v>242.5</v>
      </c>
      <c r="H607" s="92">
        <f>TWK!H552</f>
        <v>207.5</v>
      </c>
      <c r="I607" s="92">
        <f>TWK!I552</f>
        <v>284.51965065502185</v>
      </c>
      <c r="K607" s="92">
        <f t="shared" ref="K607" si="8718">AVERAGEIF(B604:B607,"&lt;&gt;0")</f>
        <v>430</v>
      </c>
      <c r="L607" s="92">
        <f t="shared" ref="L607" si="8719">AVERAGE(C604:C607)</f>
        <v>184.16666666666669</v>
      </c>
      <c r="M607" s="92">
        <f t="shared" ref="M607" si="8720">AVERAGE(D604:D607)</f>
        <v>364.6875</v>
      </c>
      <c r="N607" s="92">
        <f t="shared" ref="N607" si="8721">AVERAGE(E604:E607)</f>
        <v>250.52083333333334</v>
      </c>
      <c r="O607" s="92">
        <f t="shared" ref="O607" si="8722">AVERAGE(F604:F607)</f>
        <v>237.5</v>
      </c>
      <c r="P607" s="92">
        <f t="shared" ref="P607" si="8723">AVERAGE(G604:G607)</f>
        <v>235.9375</v>
      </c>
      <c r="Q607" s="92">
        <f t="shared" ref="Q607" si="8724">AVERAGE(H604:H607)</f>
        <v>210.3125</v>
      </c>
      <c r="R607" s="92">
        <f t="shared" ref="R607" si="8725">AVERAGE(I604:I607)</f>
        <v>288.80458515283846</v>
      </c>
      <c r="T607" s="92">
        <f t="shared" ref="T607" si="8726">AVERAGE(K451,K503,K555)</f>
        <v>460.27777777777783</v>
      </c>
      <c r="U607" s="92">
        <f t="shared" ref="U607" si="8727">AVERAGE(L451,L503,L555)</f>
        <v>376.25</v>
      </c>
      <c r="V607" s="92">
        <f t="shared" ref="V607" si="8728">(M451+M503+M555)/3</f>
        <v>353.09027777777777</v>
      </c>
      <c r="W607" s="92">
        <f t="shared" ref="W607" si="8729">(N451+N503+N555)/3</f>
        <v>280.42361111111109</v>
      </c>
      <c r="X607" s="92">
        <f t="shared" ref="X607" si="8730">(O451+O503+O555)/3</f>
        <v>290.41666666666669</v>
      </c>
      <c r="Y607" s="92">
        <f t="shared" ref="Y607" si="8731">(P451+P503+P555)/3</f>
        <v>290.6944444444444</v>
      </c>
      <c r="Z607" s="92">
        <f t="shared" ref="Z607" si="8732">(Q451+Q503+Q555)/3</f>
        <v>240.52777777777774</v>
      </c>
      <c r="AA607" s="92">
        <f t="shared" ref="AA607" si="8733">(R451+R503+R555)/3</f>
        <v>322.02935468219312</v>
      </c>
      <c r="AC607" s="112">
        <f>+AF607-'Figure 8_data'!I819</f>
        <v>0</v>
      </c>
      <c r="AD607" s="92">
        <f t="shared" ref="AD607" si="8734">(B607/T607-1)*100</f>
        <v>-100</v>
      </c>
      <c r="AE607" s="92">
        <f t="shared" ref="AE607" si="8735">(C607/U607-1)*100</f>
        <v>-100</v>
      </c>
      <c r="AF607" s="92">
        <f t="shared" ref="AF607" si="8736">(D607/V607-1)*100</f>
        <v>-2.2912774117415657</v>
      </c>
      <c r="AG607" s="92">
        <f t="shared" ref="AG607" si="8737">(E607/W607-1)*100</f>
        <v>-12.632178499789493</v>
      </c>
      <c r="AH607" s="92">
        <f t="shared" ref="AH607" si="8738">(F607/X607-1)*100</f>
        <v>-16.499282639885227</v>
      </c>
      <c r="AI607" s="92">
        <f t="shared" ref="AI607" si="8739">(G607/Y607-1)*100</f>
        <v>-16.579073100812213</v>
      </c>
      <c r="AJ607" s="92">
        <f t="shared" ref="AJ607" si="8740">(H607/Z607-1)*100</f>
        <v>-13.731377757246788</v>
      </c>
      <c r="AK607" s="92">
        <f t="shared" ref="AK607" si="8741">(I607/AA607-1)*100</f>
        <v>-11.647914540023574</v>
      </c>
      <c r="AM607" s="112">
        <f>AP607-'Figure 8_data'!H819</f>
        <v>0</v>
      </c>
      <c r="AN607" s="92">
        <f t="shared" ref="AN607" si="8742">(B607/B555-1)*100</f>
        <v>-100</v>
      </c>
      <c r="AO607" s="92">
        <f t="shared" ref="AO607" si="8743">(C607/C555-1)*100</f>
        <v>-100</v>
      </c>
      <c r="AP607" s="92">
        <f t="shared" ref="AP607" si="8744">(D607/D555-1)*100</f>
        <v>19.653179190751445</v>
      </c>
      <c r="AQ607" s="92">
        <f t="shared" ref="AQ607" si="8745">(E607/E555-1)*100</f>
        <v>8.0882352941176414</v>
      </c>
      <c r="AR607" s="92">
        <f t="shared" ref="AR607" si="8746">(F607/F555-1)*100</f>
        <v>14.566929133858263</v>
      </c>
      <c r="AS607" s="92">
        <f t="shared" ref="AS607" si="8747">(G607/G555-1)*100</f>
        <v>14.566929133858263</v>
      </c>
      <c r="AT607" s="92">
        <f t="shared" ref="AT607" si="8748">(H607/H555-1)*100</f>
        <v>8.2608695652173871</v>
      </c>
      <c r="AU607" s="92">
        <f t="shared" ref="AU607" si="8749">(I607/I555-1)*100</f>
        <v>8.2608695652173871</v>
      </c>
    </row>
    <row r="608" spans="1:47" x14ac:dyDescent="0.3">
      <c r="A608" s="13">
        <f t="shared" si="7581"/>
        <v>41835</v>
      </c>
      <c r="B608" s="92">
        <f>TWK!B553</f>
        <v>508.33333333333331</v>
      </c>
      <c r="C608" s="92">
        <f>TWK!C553</f>
        <v>401.66666666666669</v>
      </c>
      <c r="D608" s="92">
        <f>TWK!D553</f>
        <v>405</v>
      </c>
      <c r="E608" s="92">
        <f>TWK!E553</f>
        <v>280</v>
      </c>
      <c r="F608" s="92">
        <f>TWK!F553</f>
        <v>286.66666666666669</v>
      </c>
      <c r="G608" s="92">
        <f>TWK!G553</f>
        <v>286.66666666666669</v>
      </c>
      <c r="H608" s="92">
        <f>TWK!H553</f>
        <v>226.66666666666666</v>
      </c>
      <c r="I608" s="92">
        <f>TWK!I553</f>
        <v>310.80058224163025</v>
      </c>
      <c r="K608" s="92">
        <f t="shared" ref="K608" si="8750">AVERAGEIF(B605:B608,"&lt;&gt;0")</f>
        <v>508.33333333333331</v>
      </c>
      <c r="L608" s="92">
        <f t="shared" ref="L608" si="8751">AVERAGE(C605:C608)</f>
        <v>192.91666666666669</v>
      </c>
      <c r="M608" s="92">
        <f t="shared" ref="M608" si="8752">AVERAGE(D605:D608)</f>
        <v>374.27083333333331</v>
      </c>
      <c r="N608" s="92">
        <f t="shared" ref="N608" si="8753">AVERAGE(E605:E608)</f>
        <v>258.4375</v>
      </c>
      <c r="O608" s="92">
        <f t="shared" ref="O608" si="8754">AVERAGE(F605:F608)</f>
        <v>252.5</v>
      </c>
      <c r="P608" s="92">
        <f t="shared" ref="P608" si="8755">AVERAGE(G605:G608)</f>
        <v>250.9375</v>
      </c>
      <c r="Q608" s="92">
        <f t="shared" ref="Q608" si="8756">AVERAGE(H605:H608)</f>
        <v>215.3125</v>
      </c>
      <c r="R608" s="92">
        <f t="shared" ref="R608" si="8757">AVERAGE(I605:I608)</f>
        <v>295.66048034934499</v>
      </c>
      <c r="T608" s="92">
        <f t="shared" ref="T608" si="8758">AVERAGE(K452,K504,K556)</f>
        <v>466.38888888888891</v>
      </c>
      <c r="U608" s="92">
        <f t="shared" ref="U608" si="8759">AVERAGE(L452,L504,L556)</f>
        <v>385.55555555555549</v>
      </c>
      <c r="V608" s="92">
        <f t="shared" ref="V608" si="8760">(M452+M504+M556)/3</f>
        <v>361.40277777777777</v>
      </c>
      <c r="W608" s="92">
        <f t="shared" ref="W608" si="8761">(N452+N504+N556)/3</f>
        <v>289.00694444444446</v>
      </c>
      <c r="X608" s="92">
        <f t="shared" ref="X608" si="8762">(O452+O504+O556)/3</f>
        <v>298.47222222222217</v>
      </c>
      <c r="Y608" s="92">
        <f t="shared" ref="Y608" si="8763">(P452+P504+P556)/3</f>
        <v>298.33333333333331</v>
      </c>
      <c r="Z608" s="92">
        <f t="shared" ref="Z608" si="8764">(Q452+Q504+Q556)/3</f>
        <v>247.54166666666666</v>
      </c>
      <c r="AA608" s="92">
        <f t="shared" ref="AA608" si="8765">(R452+R504+R556)/3</f>
        <v>338.97865114022312</v>
      </c>
      <c r="AC608" s="112">
        <f>+AF608-'Figure 8_data'!I820</f>
        <v>0</v>
      </c>
      <c r="AD608" s="92">
        <f t="shared" ref="AD608" si="8766">(B608/T608-1)*100</f>
        <v>8.9934484812388185</v>
      </c>
      <c r="AE608" s="92">
        <f t="shared" ref="AE608" si="8767">(C608/U608-1)*100</f>
        <v>4.1786743515850322</v>
      </c>
      <c r="AF608" s="92">
        <f t="shared" ref="AF608" si="8768">(D608/V608-1)*100</f>
        <v>12.063333461435001</v>
      </c>
      <c r="AG608" s="92">
        <f t="shared" ref="AG608" si="8769">(E608/W608-1)*100</f>
        <v>-3.1165148857438152</v>
      </c>
      <c r="AH608" s="92">
        <f t="shared" ref="AH608" si="8770">(F608/X608-1)*100</f>
        <v>-3.9553280595625684</v>
      </c>
      <c r="AI608" s="92">
        <f t="shared" ref="AI608" si="8771">(G608/Y608-1)*100</f>
        <v>-3.9106145251396551</v>
      </c>
      <c r="AJ608" s="92">
        <f t="shared" ref="AJ608" si="8772">(H608/Z608-1)*100</f>
        <v>-8.4329237502103975</v>
      </c>
      <c r="AK608" s="92">
        <f t="shared" ref="AK608" si="8773">(I608/AA608-1)*100</f>
        <v>-8.3126382159496632</v>
      </c>
      <c r="AM608" s="112">
        <f>AP608-'Figure 8_data'!H820</f>
        <v>0</v>
      </c>
      <c r="AN608" s="92">
        <f t="shared" ref="AN608" si="8774">(B608/B556-1)*100</f>
        <v>42.523364485981155</v>
      </c>
      <c r="AO608" s="92">
        <f t="shared" ref="AO608" si="8775">(C608/C556-1)*100</f>
        <v>33.8888888888889</v>
      </c>
      <c r="AP608" s="92">
        <f t="shared" ref="AP608" si="8776">(D608/D556-1)*100</f>
        <v>43.786982248520687</v>
      </c>
      <c r="AQ608" s="92">
        <f t="shared" ref="AQ608" si="8777">(E608/E556-1)*100</f>
        <v>25.373134328358194</v>
      </c>
      <c r="AR608" s="92">
        <f t="shared" ref="AR608" si="8778">(F608/F556-1)*100</f>
        <v>43.333333333333336</v>
      </c>
      <c r="AS608" s="92">
        <f t="shared" ref="AS608" si="8779">(G608/G556-1)*100</f>
        <v>43.333333333333336</v>
      </c>
      <c r="AT608" s="92">
        <f t="shared" ref="AT608" si="8780">(H608/H556-1)*100</f>
        <v>22.522522522522515</v>
      </c>
      <c r="AU608" s="92">
        <f t="shared" ref="AU608" si="8781">(I608/I556-1)*100</f>
        <v>22.522522522522515</v>
      </c>
    </row>
    <row r="609" spans="1:47" x14ac:dyDescent="0.3">
      <c r="A609" s="13">
        <f t="shared" si="7581"/>
        <v>41842</v>
      </c>
      <c r="B609" s="92">
        <f>TWK!B554</f>
        <v>595</v>
      </c>
      <c r="C609" s="92">
        <f>TWK!C554</f>
        <v>538.33333333333337</v>
      </c>
      <c r="D609" s="92">
        <f>TWK!D554</f>
        <v>546.66666666666663</v>
      </c>
      <c r="E609" s="92">
        <f>TWK!E554</f>
        <v>395</v>
      </c>
      <c r="F609" s="92">
        <f>TWK!F554</f>
        <v>446.66666666666669</v>
      </c>
      <c r="G609" s="92">
        <f>TWK!G554</f>
        <v>446.66666666666669</v>
      </c>
      <c r="H609" s="92">
        <f>TWK!H554</f>
        <v>322.66666666666669</v>
      </c>
      <c r="I609" s="92">
        <f>TWK!I554</f>
        <v>442.43377001455605</v>
      </c>
      <c r="K609" s="92">
        <f t="shared" ref="K609" si="8782">AVERAGEIF(B606:B609,"&lt;&gt;0")</f>
        <v>551.66666666666663</v>
      </c>
      <c r="L609" s="92">
        <f t="shared" ref="L609" si="8783">AVERAGE(C606:C609)</f>
        <v>235</v>
      </c>
      <c r="M609" s="92">
        <f t="shared" ref="M609" si="8784">AVERAGE(D606:D609)</f>
        <v>418.75</v>
      </c>
      <c r="N609" s="92">
        <f t="shared" ref="N609" si="8785">AVERAGE(E606:E609)</f>
        <v>295</v>
      </c>
      <c r="O609" s="92">
        <f t="shared" ref="O609" si="8786">AVERAGE(F606:F609)</f>
        <v>304.79166666666669</v>
      </c>
      <c r="P609" s="92">
        <f t="shared" ref="P609" si="8787">AVERAGE(G606:G609)</f>
        <v>304.79166666666669</v>
      </c>
      <c r="Q609" s="92">
        <f t="shared" ref="Q609" si="8788">AVERAGE(H606:H609)</f>
        <v>242.54166666666669</v>
      </c>
      <c r="R609" s="92">
        <f t="shared" ref="R609" si="8789">AVERAGE(I606:I609)</f>
        <v>332.56804949053861</v>
      </c>
      <c r="T609" s="92">
        <f t="shared" ref="T609" si="8790">AVERAGE(K453,K505,K557)</f>
        <v>434.4444444444444</v>
      </c>
      <c r="U609" s="92">
        <f t="shared" ref="U609" si="8791">AVERAGE(L453,L505,L557)</f>
        <v>355.69444444444451</v>
      </c>
      <c r="V609" s="92">
        <f t="shared" ref="V609" si="8792">(M453+M505+M557)/3</f>
        <v>359.1805555555556</v>
      </c>
      <c r="W609" s="92">
        <f t="shared" ref="W609" si="8793">(N453+N505+N557)/3</f>
        <v>291.64583333333331</v>
      </c>
      <c r="X609" s="92">
        <f t="shared" ref="X609" si="8794">(O453+O505+O557)/3</f>
        <v>301.72222222222223</v>
      </c>
      <c r="Y609" s="92">
        <f t="shared" ref="Y609" si="8795">(P453+P505+P557)/3</f>
        <v>301.02777777777777</v>
      </c>
      <c r="Z609" s="92">
        <f t="shared" ref="Z609" si="8796">(Q453+Q505+Q557)/3</f>
        <v>252.54166666666666</v>
      </c>
      <c r="AA609" s="92">
        <f t="shared" ref="AA609" si="8797">(R453+R505+R557)/3</f>
        <v>345.83454633672972</v>
      </c>
      <c r="AC609" s="112">
        <f>+AF609-'Figure 8_data'!I821</f>
        <v>0</v>
      </c>
      <c r="AD609" s="92">
        <f t="shared" ref="AD609" si="8798">(B609/T609-1)*100</f>
        <v>36.956521739130444</v>
      </c>
      <c r="AE609" s="92">
        <f t="shared" ref="AE609" si="8799">(C609/U609-1)*100</f>
        <v>51.347130027333044</v>
      </c>
      <c r="AF609" s="92">
        <f t="shared" ref="AF609" si="8800">(D609/V609-1)*100</f>
        <v>52.198290862688964</v>
      </c>
      <c r="AG609" s="92">
        <f t="shared" ref="AG609" si="8801">(E609/W609-1)*100</f>
        <v>35.438245588970638</v>
      </c>
      <c r="AH609" s="92">
        <f t="shared" ref="AH609" si="8802">(F609/X609-1)*100</f>
        <v>48.03903516847727</v>
      </c>
      <c r="AI609" s="92">
        <f t="shared" ref="AI609" si="8803">(G609/Y609-1)*100</f>
        <v>48.380548122174048</v>
      </c>
      <c r="AJ609" s="92">
        <f t="shared" ref="AJ609" si="8804">(H609/Z609-1)*100</f>
        <v>27.767695099818535</v>
      </c>
      <c r="AK609" s="92">
        <f t="shared" ref="AK609" si="8805">(I609/AA609-1)*100</f>
        <v>27.932207670129717</v>
      </c>
      <c r="AM609" s="112">
        <f>AP609-'Figure 8_data'!H821</f>
        <v>0</v>
      </c>
      <c r="AN609" s="92">
        <f t="shared" ref="AN609" si="8806">(B609/B557-1)*100</f>
        <v>75</v>
      </c>
      <c r="AO609" s="92">
        <f t="shared" ref="AO609" si="8807">(C609/C557-1)*100</f>
        <v>83.522727272727295</v>
      </c>
      <c r="AP609" s="92">
        <f t="shared" ref="AP609" si="8808">(D609/D557-1)*100</f>
        <v>106.28930817610063</v>
      </c>
      <c r="AQ609" s="92">
        <f t="shared" ref="AQ609" si="8809">(E609/E557-1)*100</f>
        <v>79.545454545454547</v>
      </c>
      <c r="AR609" s="92">
        <f t="shared" ref="AR609" si="8810">(F609/F557-1)*100</f>
        <v>123.33333333333334</v>
      </c>
      <c r="AS609" s="92">
        <f t="shared" ref="AS609" si="8811">(G609/G557-1)*100</f>
        <v>123.33333333333334</v>
      </c>
      <c r="AT609" s="92">
        <f t="shared" ref="AT609" si="8812">(H609/H557-1)*100</f>
        <v>74.414414414414438</v>
      </c>
      <c r="AU609" s="92">
        <f t="shared" ref="AU609" si="8813">(I609/I557-1)*100</f>
        <v>74.414414414414409</v>
      </c>
    </row>
    <row r="610" spans="1:47" x14ac:dyDescent="0.3">
      <c r="A610" s="13">
        <f t="shared" si="7581"/>
        <v>41849</v>
      </c>
      <c r="B610" s="92">
        <f>TWK!B555</f>
        <v>0</v>
      </c>
      <c r="C610" s="92">
        <f>TWK!C555</f>
        <v>568.33333333333337</v>
      </c>
      <c r="D610" s="92">
        <f>TWK!D555</f>
        <v>560</v>
      </c>
      <c r="E610" s="92">
        <f>TWK!E555</f>
        <v>408.33333333333331</v>
      </c>
      <c r="F610" s="92">
        <f>TWK!F555</f>
        <v>455</v>
      </c>
      <c r="G610" s="92">
        <f>TWK!G555</f>
        <v>455</v>
      </c>
      <c r="H610" s="92">
        <f>TWK!H555</f>
        <v>366.66666666666669</v>
      </c>
      <c r="I610" s="92">
        <f>TWK!I555</f>
        <v>502.76564774381364</v>
      </c>
      <c r="K610" s="92">
        <f t="shared" ref="K610" si="8814">AVERAGEIF(B607:B610,"&lt;&gt;0")</f>
        <v>551.66666666666663</v>
      </c>
      <c r="L610" s="92">
        <f t="shared" ref="L610" si="8815">AVERAGE(C607:C610)</f>
        <v>377.08333333333337</v>
      </c>
      <c r="M610" s="92">
        <f t="shared" ref="M610" si="8816">AVERAGE(D607:D610)</f>
        <v>464.16666666666663</v>
      </c>
      <c r="N610" s="92">
        <f t="shared" ref="N610" si="8817">AVERAGE(E607:E610)</f>
        <v>332.08333333333331</v>
      </c>
      <c r="O610" s="92">
        <f t="shared" ref="O610" si="8818">AVERAGE(F607:F610)</f>
        <v>357.70833333333337</v>
      </c>
      <c r="P610" s="92">
        <f t="shared" ref="P610" si="8819">AVERAGE(G607:G610)</f>
        <v>357.70833333333337</v>
      </c>
      <c r="Q610" s="92">
        <f t="shared" ref="Q610" si="8820">AVERAGE(H607:H610)</f>
        <v>280.875</v>
      </c>
      <c r="R610" s="92">
        <f t="shared" ref="R610" si="8821">AVERAGE(I607:I610)</f>
        <v>385.12991266375542</v>
      </c>
      <c r="T610" s="92">
        <f t="shared" ref="T610" si="8822">AVERAGE(K454,K506,K558)</f>
        <v>412.36111111111114</v>
      </c>
      <c r="U610" s="92">
        <f t="shared" ref="U610" si="8823">AVERAGE(L454,L506,L558)</f>
        <v>340.27777777777777</v>
      </c>
      <c r="V610" s="92">
        <f t="shared" ref="V610" si="8824">(M454+M506+M558)/3</f>
        <v>349.875</v>
      </c>
      <c r="W610" s="92">
        <f t="shared" ref="W610" si="8825">(N454+N506+N558)/3</f>
        <v>287.09027777777777</v>
      </c>
      <c r="X610" s="92">
        <f t="shared" ref="X610" si="8826">(O454+O506+O558)/3</f>
        <v>303.66666666666669</v>
      </c>
      <c r="Y610" s="92">
        <f t="shared" ref="Y610" si="8827">(P454+P506+P558)/3</f>
        <v>303.25</v>
      </c>
      <c r="Z610" s="92">
        <f t="shared" ref="Z610" si="8828">(Q454+Q506+Q558)/3</f>
        <v>254.51388888888891</v>
      </c>
      <c r="AA610" s="92">
        <f t="shared" ref="AA610" si="8829">(R454+R506+R558)/3</f>
        <v>348.60322658903442</v>
      </c>
      <c r="AC610" s="112">
        <f>+AF610-'Figure 8_data'!I822</f>
        <v>0</v>
      </c>
      <c r="AD610" s="92">
        <f t="shared" ref="AD610" si="8830">(B610/T610-1)*100</f>
        <v>-100</v>
      </c>
      <c r="AE610" s="92">
        <f t="shared" ref="AE610" si="8831">(C610/U610-1)*100</f>
        <v>67.020408163265316</v>
      </c>
      <c r="AF610" s="92">
        <f t="shared" ref="AF610" si="8832">(D610/V610-1)*100</f>
        <v>60.057163272597357</v>
      </c>
      <c r="AG610" s="92">
        <f t="shared" ref="AG610" si="8833">(E610/W610-1)*100</f>
        <v>42.231682833022901</v>
      </c>
      <c r="AH610" s="92">
        <f t="shared" ref="AH610" si="8834">(F610/X610-1)*100</f>
        <v>49.835345773874849</v>
      </c>
      <c r="AI610" s="92">
        <f t="shared" ref="AI610" si="8835">(G610/Y610-1)*100</f>
        <v>50.041220115416316</v>
      </c>
      <c r="AJ610" s="92">
        <f t="shared" ref="AJ610" si="8836">(H610/Z610-1)*100</f>
        <v>44.065484311050461</v>
      </c>
      <c r="AK610" s="92">
        <f t="shared" ref="AK610" si="8837">(I610/AA610-1)*100</f>
        <v>44.22288992078667</v>
      </c>
      <c r="AM610" s="112">
        <f>AP610-'Figure 8_data'!H822</f>
        <v>0</v>
      </c>
      <c r="AN610" s="92">
        <f t="shared" ref="AN610" si="8838">(B610/B558-1)*100</f>
        <v>-100</v>
      </c>
      <c r="AO610" s="92">
        <f t="shared" ref="AO610" si="8839">(C610/C558-1)*100</f>
        <v>104.19161676646711</v>
      </c>
      <c r="AP610" s="92">
        <f t="shared" ref="AP610" si="8840">(D610/D558-1)*100</f>
        <v>116.77419354838712</v>
      </c>
      <c r="AQ610" s="92">
        <f t="shared" ref="AQ610" si="8841">(E610/E558-1)*100</f>
        <v>88.461538461538453</v>
      </c>
      <c r="AR610" s="92">
        <f t="shared" ref="AR610" si="8842">(F610/F558-1)*100</f>
        <v>120.16129032258065</v>
      </c>
      <c r="AS610" s="92">
        <f t="shared" ref="AS610" si="8843">(G610/G558-1)*100</f>
        <v>120.16129032258065</v>
      </c>
      <c r="AT610" s="92">
        <f t="shared" ref="AT610" si="8844">(H610/H558-1)*100</f>
        <v>94.69026548672565</v>
      </c>
      <c r="AU610" s="92">
        <f t="shared" ref="AU610" si="8845">(I610/I558-1)*100</f>
        <v>94.690265486725608</v>
      </c>
    </row>
    <row r="611" spans="1:47" x14ac:dyDescent="0.3">
      <c r="A611" s="13">
        <f t="shared" si="7581"/>
        <v>41856</v>
      </c>
      <c r="B611" s="92">
        <f>TWK!B556</f>
        <v>0</v>
      </c>
      <c r="C611" s="92">
        <f>TWK!C556</f>
        <v>495</v>
      </c>
      <c r="D611" s="92">
        <f>TWK!D556</f>
        <v>467.5</v>
      </c>
      <c r="E611" s="92">
        <f>TWK!E556</f>
        <v>417.5</v>
      </c>
      <c r="F611" s="92">
        <f>TWK!F556</f>
        <v>460</v>
      </c>
      <c r="G611" s="92">
        <f>TWK!G556</f>
        <v>460</v>
      </c>
      <c r="H611" s="92">
        <f>TWK!H556</f>
        <v>387.5</v>
      </c>
      <c r="I611" s="92">
        <f>TWK!I556</f>
        <v>531.33187772925771</v>
      </c>
      <c r="K611" s="92">
        <f t="shared" ref="K611" si="8846">AVERAGEIF(B608:B611,"&lt;&gt;0")</f>
        <v>551.66666666666663</v>
      </c>
      <c r="L611" s="92">
        <f t="shared" ref="L611" si="8847">AVERAGE(C608:C611)</f>
        <v>500.83333333333337</v>
      </c>
      <c r="M611" s="92">
        <f t="shared" ref="M611" si="8848">AVERAGE(D608:D611)</f>
        <v>494.79166666666663</v>
      </c>
      <c r="N611" s="92">
        <f t="shared" ref="N611" si="8849">AVERAGE(E608:E611)</f>
        <v>375.20833333333331</v>
      </c>
      <c r="O611" s="92">
        <f t="shared" ref="O611" si="8850">AVERAGE(F608:F611)</f>
        <v>412.08333333333337</v>
      </c>
      <c r="P611" s="92">
        <f t="shared" ref="P611" si="8851">AVERAGE(G608:G611)</f>
        <v>412.08333333333337</v>
      </c>
      <c r="Q611" s="92">
        <f t="shared" ref="Q611" si="8852">AVERAGE(H608:H611)</f>
        <v>325.875</v>
      </c>
      <c r="R611" s="92">
        <f t="shared" ref="R611" si="8853">AVERAGE(I608:I611)</f>
        <v>446.83296943231443</v>
      </c>
      <c r="T611" s="92">
        <f t="shared" ref="T611" si="8854">AVERAGE(K455,K507,K559)</f>
        <v>396.25</v>
      </c>
      <c r="U611" s="92">
        <f t="shared" ref="U611" si="8855">AVERAGE(L455,L507,L559)</f>
        <v>335.80555555555549</v>
      </c>
      <c r="V611" s="92">
        <f t="shared" ref="V611" si="8856">(M455+M507+M559)/3</f>
        <v>339.5625</v>
      </c>
      <c r="W611" s="92">
        <f t="shared" ref="W611" si="8857">(N455+N507+N559)/3</f>
        <v>282.86111111111109</v>
      </c>
      <c r="X611" s="92">
        <f t="shared" ref="X611" si="8858">(O455+O507+O559)/3</f>
        <v>309.1944444444444</v>
      </c>
      <c r="Y611" s="92">
        <f t="shared" ref="Y611" si="8859">(P455+P507+P559)/3</f>
        <v>308.77777777777777</v>
      </c>
      <c r="Z611" s="92">
        <f t="shared" ref="Z611" si="8860">(Q455+Q507+Q559)/3</f>
        <v>258.95833333333331</v>
      </c>
      <c r="AA611" s="92">
        <f t="shared" ref="AA611" si="8861">(R455+R507+R559)/3</f>
        <v>355.10880640465797</v>
      </c>
      <c r="AC611" s="112">
        <f>+AF611-'Figure 8_data'!I823</f>
        <v>0</v>
      </c>
      <c r="AD611" s="92">
        <f t="shared" ref="AD611" si="8862">(B611/T611-1)*100</f>
        <v>-100</v>
      </c>
      <c r="AE611" s="92">
        <f t="shared" ref="AE611" si="8863">(C611/U611-1)*100</f>
        <v>47.406733393994571</v>
      </c>
      <c r="AF611" s="92">
        <f t="shared" ref="AF611" si="8864">(D611/V611-1)*100</f>
        <v>37.677158107859384</v>
      </c>
      <c r="AG611" s="92">
        <f t="shared" ref="AG611" si="8865">(E611/W611-1)*100</f>
        <v>47.59893940881863</v>
      </c>
      <c r="AH611" s="92">
        <f t="shared" ref="AH611" si="8866">(F611/X611-1)*100</f>
        <v>48.773695085796454</v>
      </c>
      <c r="AI611" s="92">
        <f t="shared" ref="AI611" si="8867">(G611/Y611-1)*100</f>
        <v>48.974451241453764</v>
      </c>
      <c r="AJ611" s="92">
        <f t="shared" ref="AJ611" si="8868">(H611/Z611-1)*100</f>
        <v>49.637972646822213</v>
      </c>
      <c r="AK611" s="92">
        <f t="shared" ref="AK611" si="8869">(I611/AA611-1)*100</f>
        <v>49.625091844043958</v>
      </c>
      <c r="AM611" s="112">
        <f>AP611-'Figure 8_data'!H823</f>
        <v>0</v>
      </c>
      <c r="AN611" s="92">
        <f t="shared" ref="AN611" si="8870">(B611/B559-1)*100</f>
        <v>-100</v>
      </c>
      <c r="AO611" s="92">
        <f t="shared" ref="AO611" si="8871">(C611/C559-1)*100</f>
        <v>66.853932584269657</v>
      </c>
      <c r="AP611" s="92">
        <f t="shared" ref="AP611" si="8872">(D611/D559-1)*100</f>
        <v>64.035087719298247</v>
      </c>
      <c r="AQ611" s="92">
        <f t="shared" ref="AQ611" si="8873">(E611/E559-1)*100</f>
        <v>81.521739130434796</v>
      </c>
      <c r="AR611" s="92">
        <f t="shared" ref="AR611" si="8874">(F611/F559-1)*100</f>
        <v>66.265060240963834</v>
      </c>
      <c r="AS611" s="92">
        <f t="shared" ref="AS611" si="8875">(G611/G559-1)*100</f>
        <v>66.265060240963834</v>
      </c>
      <c r="AT611" s="92">
        <f t="shared" ref="AT611" si="8876">(H611/H559-1)*100</f>
        <v>90.573770491803259</v>
      </c>
      <c r="AU611" s="92">
        <f t="shared" ref="AU611" si="8877">(I611/I559-1)*100</f>
        <v>90.57377049180333</v>
      </c>
    </row>
    <row r="612" spans="1:47" x14ac:dyDescent="0.3">
      <c r="A612" s="13">
        <f t="shared" si="7581"/>
        <v>41863</v>
      </c>
      <c r="B612" s="92">
        <f>TWK!B557</f>
        <v>631.66666666666663</v>
      </c>
      <c r="C612" s="92">
        <f>TWK!C557</f>
        <v>470</v>
      </c>
      <c r="D612" s="92">
        <f>TWK!D557</f>
        <v>441.66666666666669</v>
      </c>
      <c r="E612" s="92">
        <f>TWK!E557</f>
        <v>388.33333333333331</v>
      </c>
      <c r="F612" s="92">
        <f>TWK!F557</f>
        <v>442.5</v>
      </c>
      <c r="G612" s="92">
        <f>TWK!G557</f>
        <v>442.5</v>
      </c>
      <c r="H612" s="92">
        <f>TWK!H557</f>
        <v>377.5</v>
      </c>
      <c r="I612" s="92">
        <f>TWK!I557</f>
        <v>530.18922852983985</v>
      </c>
      <c r="K612" s="92">
        <f t="shared" ref="K612" si="8878">AVERAGEIF(B609:B612,"&lt;&gt;0")</f>
        <v>613.33333333333326</v>
      </c>
      <c r="L612" s="92">
        <f t="shared" ref="L612" si="8879">AVERAGE(C609:C612)</f>
        <v>517.91666666666674</v>
      </c>
      <c r="M612" s="92">
        <f t="shared" ref="M612" si="8880">AVERAGE(D609:D612)</f>
        <v>503.95833333333331</v>
      </c>
      <c r="N612" s="92">
        <f t="shared" ref="N612" si="8881">AVERAGE(E609:E612)</f>
        <v>402.29166666666663</v>
      </c>
      <c r="O612" s="92">
        <f t="shared" ref="O612" si="8882">AVERAGE(F609:F612)</f>
        <v>451.04166666666669</v>
      </c>
      <c r="P612" s="92">
        <f t="shared" ref="P612" si="8883">AVERAGE(G609:G612)</f>
        <v>451.04166666666669</v>
      </c>
      <c r="Q612" s="92">
        <f t="shared" ref="Q612" si="8884">AVERAGE(H609:H612)</f>
        <v>363.58333333333337</v>
      </c>
      <c r="R612" s="92">
        <f t="shared" ref="R612" si="8885">AVERAGE(I609:I612)</f>
        <v>501.68013100436679</v>
      </c>
      <c r="T612" s="92">
        <f t="shared" ref="T612" si="8886">AVERAGE(K456,K508,K560)</f>
        <v>414.58333333333331</v>
      </c>
      <c r="U612" s="92">
        <f t="shared" ref="U612" si="8887">AVERAGE(L456,L508,L560)</f>
        <v>368.33333333333331</v>
      </c>
      <c r="V612" s="92">
        <f t="shared" ref="V612" si="8888">(M456+M508+M560)/3</f>
        <v>341.04166666666669</v>
      </c>
      <c r="W612" s="92">
        <f t="shared" ref="W612" si="8889">(N456+N508+N560)/3</f>
        <v>291.63888888888886</v>
      </c>
      <c r="X612" s="92">
        <f t="shared" ref="X612" si="8890">(O456+O508+O560)/3</f>
        <v>323.08333333333331</v>
      </c>
      <c r="Y612" s="92">
        <f t="shared" ref="Y612" si="8891">(P456+P508+P560)/3</f>
        <v>323.08333333333331</v>
      </c>
      <c r="Z612" s="92">
        <f t="shared" ref="Z612" si="8892">(Q456+Q508+Q560)/3</f>
        <v>275.97222222222223</v>
      </c>
      <c r="AA612" s="92">
        <f t="shared" ref="AA612" si="8893">(R456+R508+R560)/3</f>
        <v>378.43789422610388</v>
      </c>
      <c r="AC612" s="112">
        <f>+AF612-'Figure 8_data'!I824</f>
        <v>0</v>
      </c>
      <c r="AD612" s="92">
        <f t="shared" ref="AD612" si="8894">(B612/T612-1)*100</f>
        <v>52.361809045226138</v>
      </c>
      <c r="AE612" s="92">
        <f t="shared" ref="AE612" si="8895">(C612/U612-1)*100</f>
        <v>27.601809954751143</v>
      </c>
      <c r="AF612" s="92">
        <f t="shared" ref="AF612" si="8896">(D612/V612-1)*100</f>
        <v>29.50519242516798</v>
      </c>
      <c r="AG612" s="92">
        <f t="shared" ref="AG612" si="8897">(E612/W612-1)*100</f>
        <v>33.155538622725977</v>
      </c>
      <c r="AH612" s="92">
        <f t="shared" ref="AH612" si="8898">(F612/X612-1)*100</f>
        <v>36.961568222852726</v>
      </c>
      <c r="AI612" s="92">
        <f t="shared" ref="AI612" si="8899">(G612/Y612-1)*100</f>
        <v>36.961568222852726</v>
      </c>
      <c r="AJ612" s="92">
        <f t="shared" ref="AJ612" si="8900">(H612/Z612-1)*100</f>
        <v>36.789129340714631</v>
      </c>
      <c r="AK612" s="92">
        <f t="shared" ref="AK612" si="8901">(I612/AA612-1)*100</f>
        <v>40.099402469740419</v>
      </c>
      <c r="AM612" s="112">
        <f>AP612-'Figure 8_data'!H824</f>
        <v>0</v>
      </c>
      <c r="AN612" s="92">
        <f t="shared" ref="AN612" si="8902">(B612/B560-1)*100</f>
        <v>70.720720720720706</v>
      </c>
      <c r="AO612" s="92">
        <f t="shared" ref="AO612" si="8903">(C612/C560-1)*100</f>
        <v>33.018867924528308</v>
      </c>
      <c r="AP612" s="92">
        <f t="shared" ref="AP612" si="8904">(D612/D560-1)*100</f>
        <v>25.592417061611371</v>
      </c>
      <c r="AQ612" s="92">
        <f t="shared" ref="AQ612" si="8905">(E612/E560-1)*100</f>
        <v>25.945945945945947</v>
      </c>
      <c r="AR612" s="92">
        <f t="shared" ref="AR612" si="8906">(F612/F560-1)*100</f>
        <v>22.916666666666675</v>
      </c>
      <c r="AS612" s="92">
        <f t="shared" ref="AS612" si="8907">(G612/G560-1)*100</f>
        <v>22.916666666666675</v>
      </c>
      <c r="AT612" s="92">
        <f t="shared" ref="AT612" si="8908">(H612/H560-1)*100</f>
        <v>35.628742514970078</v>
      </c>
      <c r="AU612" s="92">
        <f t="shared" ref="AU612" si="8909">(I612/I560-1)*100</f>
        <v>38.922155688622738</v>
      </c>
    </row>
    <row r="613" spans="1:47" x14ac:dyDescent="0.3">
      <c r="A613" s="13">
        <f t="shared" si="7581"/>
        <v>41870</v>
      </c>
      <c r="B613" s="92">
        <f>TWK!B558</f>
        <v>555</v>
      </c>
      <c r="C613" s="92">
        <f>TWK!C558</f>
        <v>488.33333333333331</v>
      </c>
      <c r="D613" s="92">
        <f>TWK!D558</f>
        <v>466.66666666666669</v>
      </c>
      <c r="E613" s="92">
        <f>TWK!E558</f>
        <v>400</v>
      </c>
      <c r="F613" s="92">
        <f>TWK!F558</f>
        <v>450</v>
      </c>
      <c r="G613" s="92">
        <f>TWK!G558</f>
        <v>450</v>
      </c>
      <c r="H613" s="92">
        <f>TWK!H558</f>
        <v>408</v>
      </c>
      <c r="I613" s="92">
        <f>TWK!I558</f>
        <v>605.60407569141182</v>
      </c>
      <c r="K613" s="92">
        <f t="shared" ref="K613" si="8910">AVERAGEIF(B610:B613,"&lt;&gt;0")</f>
        <v>593.33333333333326</v>
      </c>
      <c r="L613" s="92">
        <f t="shared" ref="L613" si="8911">AVERAGE(C610:C613)</f>
        <v>505.41666666666669</v>
      </c>
      <c r="M613" s="92">
        <f t="shared" ref="M613" si="8912">AVERAGE(D610:D613)</f>
        <v>483.95833333333337</v>
      </c>
      <c r="N613" s="92">
        <f t="shared" ref="N613" si="8913">AVERAGE(E610:E613)</f>
        <v>403.54166666666663</v>
      </c>
      <c r="O613" s="92">
        <f t="shared" ref="O613" si="8914">AVERAGE(F610:F613)</f>
        <v>451.875</v>
      </c>
      <c r="P613" s="92">
        <f t="shared" ref="P613" si="8915">AVERAGE(G610:G613)</f>
        <v>451.875</v>
      </c>
      <c r="Q613" s="92">
        <f t="shared" ref="Q613" si="8916">AVERAGE(H610:H613)</f>
        <v>384.91666666666669</v>
      </c>
      <c r="R613" s="92">
        <f t="shared" ref="R613" si="8917">AVERAGE(I610:I613)</f>
        <v>542.47270742358069</v>
      </c>
      <c r="T613" s="92">
        <f t="shared" ref="T613" si="8918">AVERAGE(K457,K509,K561)</f>
        <v>409.16666666666669</v>
      </c>
      <c r="U613" s="92">
        <f t="shared" ref="U613" si="8919">AVERAGE(L457,L509,L561)</f>
        <v>367.77777777777783</v>
      </c>
      <c r="V613" s="92">
        <f t="shared" ref="V613" si="8920">(M457+M509+M561)/3</f>
        <v>350.06944444444451</v>
      </c>
      <c r="W613" s="92">
        <f t="shared" ref="W613" si="8921">(N457+N509+N561)/3</f>
        <v>308.4444444444444</v>
      </c>
      <c r="X613" s="92">
        <f t="shared" ref="X613" si="8922">(O457+O509+O561)/3</f>
        <v>342.47222222222223</v>
      </c>
      <c r="Y613" s="92">
        <f t="shared" ref="Y613" si="8923">(P457+P509+P561)/3</f>
        <v>342.47222222222223</v>
      </c>
      <c r="Z613" s="92">
        <f t="shared" ref="Z613" si="8924">(Q457+Q509+Q561)/3</f>
        <v>298.19444444444446</v>
      </c>
      <c r="AA613" s="92">
        <f t="shared" ref="AA613" si="8925">(R457+R509+R561)/3</f>
        <v>408.52765647743814</v>
      </c>
      <c r="AC613" s="112">
        <f>+AF613-'Figure 8_data'!I825</f>
        <v>0</v>
      </c>
      <c r="AD613" s="92">
        <f t="shared" ref="AD613" si="8926">(B613/T613-1)*100</f>
        <v>35.641547861507128</v>
      </c>
      <c r="AE613" s="92">
        <f t="shared" ref="AE613" si="8927">(C613/U613-1)*100</f>
        <v>32.779456193353454</v>
      </c>
      <c r="AF613" s="92">
        <f t="shared" ref="AF613" si="8928">(D613/V613-1)*100</f>
        <v>33.306883554850209</v>
      </c>
      <c r="AG613" s="92">
        <f t="shared" ref="AG613" si="8929">(E613/W613-1)*100</f>
        <v>29.68299711815563</v>
      </c>
      <c r="AH613" s="92">
        <f t="shared" ref="AH613" si="8930">(F613/X613-1)*100</f>
        <v>31.397518046881334</v>
      </c>
      <c r="AI613" s="92">
        <f t="shared" ref="AI613" si="8931">(G613/Y613-1)*100</f>
        <v>31.397518046881334</v>
      </c>
      <c r="AJ613" s="92">
        <f t="shared" ref="AJ613" si="8932">(H613/Z613-1)*100</f>
        <v>36.823474615742889</v>
      </c>
      <c r="AK613" s="92">
        <f t="shared" ref="AK613" si="8933">(I613/AA613-1)*100</f>
        <v>48.240655458502026</v>
      </c>
      <c r="AM613" s="112">
        <f>AP613-'Figure 8_data'!H825</f>
        <v>0</v>
      </c>
      <c r="AN613" s="92">
        <f t="shared" ref="AN613" si="8934">(B613/B561-1)*100</f>
        <v>50.678733031674206</v>
      </c>
      <c r="AO613" s="92">
        <f t="shared" ref="AO613" si="8935">(C613/C561-1)*100</f>
        <v>36.279069767441861</v>
      </c>
      <c r="AP613" s="92">
        <f t="shared" ref="AP613" si="8936">(D613/D561-1)*100</f>
        <v>31.455399061032875</v>
      </c>
      <c r="AQ613" s="92">
        <f t="shared" ref="AQ613" si="8937">(E613/E561-1)*100</f>
        <v>29.729729729729737</v>
      </c>
      <c r="AR613" s="92">
        <f t="shared" ref="AR613" si="8938">(F613/F561-1)*100</f>
        <v>23.853211009174323</v>
      </c>
      <c r="AS613" s="92">
        <f t="shared" ref="AS613" si="8939">(G613/G561-1)*100</f>
        <v>23.853211009174323</v>
      </c>
      <c r="AT613" s="92">
        <f t="shared" ref="AT613" si="8940">(H613/H561-1)*100</f>
        <v>40.689655172413786</v>
      </c>
      <c r="AU613" s="92">
        <f t="shared" ref="AU613" si="8941">(I613/I561-1)*100</f>
        <v>52.298850574712617</v>
      </c>
    </row>
    <row r="614" spans="1:47" x14ac:dyDescent="0.3">
      <c r="A614" s="13">
        <f t="shared" si="7581"/>
        <v>41877</v>
      </c>
      <c r="B614" s="92">
        <f>TWK!B559</f>
        <v>525</v>
      </c>
      <c r="C614" s="92">
        <f>TWK!C559</f>
        <v>498.75</v>
      </c>
      <c r="D614" s="92">
        <f>TWK!D559</f>
        <v>468.75</v>
      </c>
      <c r="E614" s="92">
        <f>TWK!E559</f>
        <v>456.25</v>
      </c>
      <c r="F614" s="92">
        <f>TWK!F559</f>
        <v>493.75</v>
      </c>
      <c r="G614" s="92">
        <f>TWK!G559</f>
        <v>493.75</v>
      </c>
      <c r="H614" s="92">
        <f>TWK!H559</f>
        <v>452.5</v>
      </c>
      <c r="I614" s="92">
        <f>TWK!I559</f>
        <v>621.60116448326062</v>
      </c>
      <c r="K614" s="92">
        <f t="shared" ref="K614" si="8942">AVERAGEIF(B611:B614,"&lt;&gt;0")</f>
        <v>570.55555555555554</v>
      </c>
      <c r="L614" s="92">
        <f t="shared" ref="L614" si="8943">AVERAGE(C611:C614)</f>
        <v>488.02083333333331</v>
      </c>
      <c r="M614" s="92">
        <f t="shared" ref="M614" si="8944">AVERAGE(D611:D614)</f>
        <v>461.14583333333337</v>
      </c>
      <c r="N614" s="92">
        <f t="shared" ref="N614" si="8945">AVERAGE(E611:E614)</f>
        <v>415.52083333333331</v>
      </c>
      <c r="O614" s="92">
        <f t="shared" ref="O614" si="8946">AVERAGE(F611:F614)</f>
        <v>461.5625</v>
      </c>
      <c r="P614" s="92">
        <f t="shared" ref="P614" si="8947">AVERAGE(G611:G614)</f>
        <v>461.5625</v>
      </c>
      <c r="Q614" s="92">
        <f t="shared" ref="Q614" si="8948">AVERAGE(H611:H614)</f>
        <v>406.375</v>
      </c>
      <c r="R614" s="92">
        <f t="shared" ref="R614" si="8949">AVERAGE(I611:I614)</f>
        <v>572.18158660844244</v>
      </c>
      <c r="T614" s="92">
        <f t="shared" ref="T614" si="8950">AVERAGE(K458,K510,K562)</f>
        <v>420.41666666666669</v>
      </c>
      <c r="U614" s="92">
        <f t="shared" ref="U614" si="8951">AVERAGE(L458,L510,L562)</f>
        <v>399.58333333333331</v>
      </c>
      <c r="V614" s="92">
        <f t="shared" ref="V614" si="8952">(M458+M510+M562)/3</f>
        <v>376.11111111111114</v>
      </c>
      <c r="W614" s="92">
        <f t="shared" ref="W614" si="8953">(N458+N510+N562)/3</f>
        <v>343.4444444444444</v>
      </c>
      <c r="X614" s="92">
        <f t="shared" ref="X614" si="8954">(O458+O510+O562)/3</f>
        <v>374.76388888888891</v>
      </c>
      <c r="Y614" s="92">
        <f t="shared" ref="Y614" si="8955">(P458+P510+P562)/3</f>
        <v>374.76388888888891</v>
      </c>
      <c r="Z614" s="92">
        <f t="shared" ref="Z614" si="8956">(Q458+Q510+Q562)/3</f>
        <v>337.08333333333331</v>
      </c>
      <c r="AA614" s="92">
        <f t="shared" ref="AA614" si="8957">(R458+R510+R562)/3</f>
        <v>459.37372634643378</v>
      </c>
      <c r="AC614" s="112">
        <f>+AF614-'Figure 8_data'!I826</f>
        <v>0</v>
      </c>
      <c r="AD614" s="92">
        <f t="shared" ref="AD614" si="8958">(B614/T614-1)*100</f>
        <v>24.87611496531219</v>
      </c>
      <c r="AE614" s="92">
        <f t="shared" ref="AE614" si="8959">(C614/U614-1)*100</f>
        <v>24.817518248175197</v>
      </c>
      <c r="AF614" s="92">
        <f t="shared" ref="AF614" si="8960">(D614/V614-1)*100</f>
        <v>24.630723781388465</v>
      </c>
      <c r="AG614" s="92">
        <f t="shared" ref="AG614" si="8961">(E614/W614-1)*100</f>
        <v>32.845357489485629</v>
      </c>
      <c r="AH614" s="92">
        <f t="shared" ref="AH614" si="8962">(F614/X614-1)*100</f>
        <v>31.749620131193712</v>
      </c>
      <c r="AI614" s="92">
        <f t="shared" ref="AI614" si="8963">(G614/Y614-1)*100</f>
        <v>31.749620131193712</v>
      </c>
      <c r="AJ614" s="92">
        <f t="shared" ref="AJ614" si="8964">(H614/Z614-1)*100</f>
        <v>34.239802224969097</v>
      </c>
      <c r="AK614" s="92">
        <f t="shared" ref="AK614" si="8965">(I614/AA614-1)*100</f>
        <v>35.314914378556338</v>
      </c>
      <c r="AM614" s="112">
        <f>AP614-'Figure 8_data'!H826</f>
        <v>0</v>
      </c>
      <c r="AN614" s="92">
        <f t="shared" ref="AN614" si="8966">(B614/B562-1)*100</f>
        <v>36.956521739130444</v>
      </c>
      <c r="AO614" s="92">
        <f t="shared" ref="AO614" si="8967">(C614/C562-1)*100</f>
        <v>30.10869565217391</v>
      </c>
      <c r="AP614" s="92">
        <f t="shared" ref="AP614" si="8968">(D614/D562-1)*100</f>
        <v>19.680851063829774</v>
      </c>
      <c r="AQ614" s="92">
        <f t="shared" ref="AQ614" si="8969">(E614/E562-1)*100</f>
        <v>28.521126760563376</v>
      </c>
      <c r="AR614" s="92">
        <f t="shared" ref="AR614" si="8970">(F614/F562-1)*100</f>
        <v>26.063829787234027</v>
      </c>
      <c r="AS614" s="92">
        <f t="shared" ref="AS614" si="8971">(G614/G562-1)*100</f>
        <v>26.063829787234027</v>
      </c>
      <c r="AT614" s="92">
        <f t="shared" ref="AT614" si="8972">(H614/H562-1)*100</f>
        <v>39.230769230769226</v>
      </c>
      <c r="AU614" s="92">
        <f t="shared" ref="AU614" si="8973">(I614/I562-1)*100</f>
        <v>39.487179487179503</v>
      </c>
    </row>
    <row r="615" spans="1:47" x14ac:dyDescent="0.3">
      <c r="A615" s="13">
        <f t="shared" si="7581"/>
        <v>41884</v>
      </c>
      <c r="B615" s="92">
        <f>TWK!B560</f>
        <v>555</v>
      </c>
      <c r="C615" s="92">
        <f>TWK!C560</f>
        <v>585</v>
      </c>
      <c r="D615" s="92">
        <f>TWK!D560</f>
        <v>596.25</v>
      </c>
      <c r="E615" s="92">
        <f>TWK!E560</f>
        <v>583.33333333333337</v>
      </c>
      <c r="F615" s="92">
        <f>TWK!F560</f>
        <v>575</v>
      </c>
      <c r="G615" s="92">
        <f>TWK!G560</f>
        <v>575</v>
      </c>
      <c r="H615" s="92">
        <f>TWK!H560</f>
        <v>582.5</v>
      </c>
      <c r="I615" s="92">
        <f>TWK!I560</f>
        <v>790.71324599708885</v>
      </c>
      <c r="K615" s="92">
        <f t="shared" ref="K615" si="8974">AVERAGEIF(B612:B615,"&lt;&gt;0")</f>
        <v>566.66666666666663</v>
      </c>
      <c r="L615" s="92">
        <f t="shared" ref="L615" si="8975">AVERAGE(C612:C615)</f>
        <v>510.52083333333331</v>
      </c>
      <c r="M615" s="92">
        <f t="shared" ref="M615" si="8976">AVERAGE(D612:D615)</f>
        <v>493.33333333333337</v>
      </c>
      <c r="N615" s="92">
        <f t="shared" ref="N615" si="8977">AVERAGE(E612:E615)</f>
        <v>456.97916666666663</v>
      </c>
      <c r="O615" s="92">
        <f t="shared" ref="O615" si="8978">AVERAGE(F612:F615)</f>
        <v>490.3125</v>
      </c>
      <c r="P615" s="92">
        <f t="shared" ref="P615" si="8979">AVERAGE(G612:G615)</f>
        <v>490.3125</v>
      </c>
      <c r="Q615" s="92">
        <f t="shared" ref="Q615" si="8980">AVERAGE(H612:H615)</f>
        <v>455.125</v>
      </c>
      <c r="R615" s="92">
        <f t="shared" ref="R615" si="8981">AVERAGE(I612:I615)</f>
        <v>637.02692867540031</v>
      </c>
      <c r="T615" s="92">
        <f t="shared" ref="T615" si="8982">AVERAGE(K459,K511,K563)</f>
        <v>428.50694444444451</v>
      </c>
      <c r="U615" s="92">
        <f t="shared" ref="U615" si="8983">AVERAGE(L459,L511,L563)</f>
        <v>414.89583333333331</v>
      </c>
      <c r="V615" s="92">
        <f t="shared" ref="V615" si="8984">(M459+M511+M563)/3</f>
        <v>410.97222222222217</v>
      </c>
      <c r="W615" s="92">
        <f t="shared" ref="W615" si="8985">(N459+N511+N563)/3</f>
        <v>384.93055555555549</v>
      </c>
      <c r="X615" s="92">
        <f t="shared" ref="X615" si="8986">(O459+O511+O563)/3</f>
        <v>412.11805555555549</v>
      </c>
      <c r="Y615" s="92">
        <f t="shared" ref="Y615" si="8987">(P459+P511+P563)/3</f>
        <v>412.11805555555549</v>
      </c>
      <c r="Z615" s="92">
        <f t="shared" ref="Z615" si="8988">(Q459+Q511+Q563)/3</f>
        <v>383.75</v>
      </c>
      <c r="AA615" s="92">
        <f t="shared" ref="AA615" si="8989">(R459+R511+R563)/3</f>
        <v>522.79621542940322</v>
      </c>
      <c r="AC615" s="112">
        <f>+AF615-'Figure 8_data'!I827</f>
        <v>0</v>
      </c>
      <c r="AD615" s="92">
        <f t="shared" ref="AD615" si="8990">(B615/T615-1)*100</f>
        <v>29.519487885908745</v>
      </c>
      <c r="AE615" s="92">
        <f t="shared" ref="AE615" si="8991">(C615/U615-1)*100</f>
        <v>40.999246798895307</v>
      </c>
      <c r="AF615" s="92">
        <f t="shared" ref="AF615" si="8992">(D615/V615-1)*100</f>
        <v>45.082798242649559</v>
      </c>
      <c r="AG615" s="92">
        <f t="shared" ref="AG615" si="8993">(E615/W615-1)*100</f>
        <v>51.542486018401632</v>
      </c>
      <c r="AH615" s="92">
        <f t="shared" ref="AH615" si="8994">(F615/X615-1)*100</f>
        <v>39.523127474934739</v>
      </c>
      <c r="AI615" s="92">
        <f t="shared" ref="AI615" si="8995">(G615/Y615-1)*100</f>
        <v>39.523127474934739</v>
      </c>
      <c r="AJ615" s="92">
        <f t="shared" ref="AJ615" si="8996">(H615/Z615-1)*100</f>
        <v>51.791530944625407</v>
      </c>
      <c r="AK615" s="92">
        <f t="shared" ref="AK615" si="8997">(I615/AA615-1)*100</f>
        <v>51.246933826334164</v>
      </c>
      <c r="AM615" s="112">
        <f>AP615-'Figure 8_data'!H827</f>
        <v>0</v>
      </c>
      <c r="AN615" s="92">
        <f t="shared" ref="AN615" si="8998">(B615/B563-1)*100</f>
        <v>32.537313432835816</v>
      </c>
      <c r="AO615" s="92">
        <f t="shared" ref="AO615" si="8999">(C615/C563-1)*100</f>
        <v>38.872403560830861</v>
      </c>
      <c r="AP615" s="92">
        <f t="shared" ref="AP615" si="9000">(D615/D563-1)*100</f>
        <v>40.294117647058812</v>
      </c>
      <c r="AQ615" s="92">
        <f t="shared" ref="AQ615" si="9001">(E615/E563-1)*100</f>
        <v>50.537634408602152</v>
      </c>
      <c r="AR615" s="92">
        <f t="shared" ref="AR615" si="9002">(F615/F563-1)*100</f>
        <v>33.333333333333329</v>
      </c>
      <c r="AS615" s="92">
        <f t="shared" ref="AS615" si="9003">(G615/G563-1)*100</f>
        <v>33.333333333333329</v>
      </c>
      <c r="AT615" s="92">
        <f t="shared" ref="AT615" si="9004">(H615/H563-1)*100</f>
        <v>50.322580645161288</v>
      </c>
      <c r="AU615" s="92">
        <f t="shared" ref="AU615" si="9005">(I615/I563-1)*100</f>
        <v>50.434782608695649</v>
      </c>
    </row>
    <row r="616" spans="1:47" x14ac:dyDescent="0.3">
      <c r="A616" s="13">
        <f t="shared" si="7581"/>
        <v>41891</v>
      </c>
      <c r="B616" s="92">
        <f>TWK!B561</f>
        <v>587.5</v>
      </c>
      <c r="C616" s="92">
        <f>TWK!C561</f>
        <v>575</v>
      </c>
      <c r="D616" s="92">
        <f>TWK!D561</f>
        <v>666.66666666666663</v>
      </c>
      <c r="E616" s="92">
        <f>TWK!E561</f>
        <v>608.33333333333337</v>
      </c>
      <c r="F616" s="92">
        <f>TWK!F561</f>
        <v>641.66666666666663</v>
      </c>
      <c r="G616" s="92">
        <f>TWK!G561</f>
        <v>641.66666666666663</v>
      </c>
      <c r="H616" s="92">
        <f>TWK!H561</f>
        <v>632.5</v>
      </c>
      <c r="I616" s="92">
        <f>TWK!I561</f>
        <v>867.27074235807856</v>
      </c>
      <c r="K616" s="92">
        <f t="shared" ref="K616" si="9006">AVERAGEIF(B613:B616,"&lt;&gt;0")</f>
        <v>555.625</v>
      </c>
      <c r="L616" s="92">
        <f t="shared" ref="L616" si="9007">AVERAGE(C613:C616)</f>
        <v>536.77083333333326</v>
      </c>
      <c r="M616" s="92">
        <f t="shared" ref="M616" si="9008">AVERAGE(D613:D616)</f>
        <v>549.58333333333337</v>
      </c>
      <c r="N616" s="92">
        <f t="shared" ref="N616" si="9009">AVERAGE(E613:E616)</f>
        <v>511.97916666666674</v>
      </c>
      <c r="O616" s="92">
        <f t="shared" ref="O616" si="9010">AVERAGE(F613:F616)</f>
        <v>540.10416666666663</v>
      </c>
      <c r="P616" s="92">
        <f t="shared" ref="P616" si="9011">AVERAGE(G613:G616)</f>
        <v>540.10416666666663</v>
      </c>
      <c r="Q616" s="92">
        <f t="shared" ref="Q616" si="9012">AVERAGE(H613:H616)</f>
        <v>518.875</v>
      </c>
      <c r="R616" s="92">
        <f t="shared" ref="R616" si="9013">AVERAGE(I613:I616)</f>
        <v>721.29730713245999</v>
      </c>
      <c r="T616" s="92">
        <f t="shared" ref="T616" si="9014">AVERAGE(K460,K512,K564)</f>
        <v>449.6875</v>
      </c>
      <c r="U616" s="92">
        <f t="shared" ref="U616" si="9015">AVERAGE(L460,L512,L564)</f>
        <v>443.22916666666669</v>
      </c>
      <c r="V616" s="92">
        <f t="shared" ref="V616" si="9016">(M460+M512+M564)/3</f>
        <v>439.23611111111109</v>
      </c>
      <c r="W616" s="92">
        <f t="shared" ref="W616" si="9017">(N460+N512+N564)/3</f>
        <v>419.93055555555549</v>
      </c>
      <c r="X616" s="92">
        <f t="shared" ref="X616" si="9018">(O460+O512+O564)/3</f>
        <v>446.42361111111109</v>
      </c>
      <c r="Y616" s="92">
        <f t="shared" ref="Y616" si="9019">(P460+P512+P564)/3</f>
        <v>446.42361111111109</v>
      </c>
      <c r="Z616" s="92">
        <f t="shared" ref="Z616" si="9020">(Q460+Q512+Q564)/3</f>
        <v>426.9444444444444</v>
      </c>
      <c r="AA616" s="92">
        <f t="shared" ref="AA616" si="9021">(R460+R512+R564)/3</f>
        <v>581.83309073265411</v>
      </c>
      <c r="AC616" s="112">
        <f>+AF616-'Figure 8_data'!I828</f>
        <v>0</v>
      </c>
      <c r="AD616" s="92">
        <f t="shared" ref="AD616" si="9022">(B616/T616-1)*100</f>
        <v>30.646282140375259</v>
      </c>
      <c r="AE616" s="92">
        <f t="shared" ref="AE616" si="9023">(C616/U616-1)*100</f>
        <v>29.729729729729716</v>
      </c>
      <c r="AF616" s="92">
        <f t="shared" ref="AF616" si="9024">(D616/V616-1)*100</f>
        <v>51.778656126482204</v>
      </c>
      <c r="AG616" s="92">
        <f t="shared" ref="AG616" si="9025">(E616/W616-1)*100</f>
        <v>44.865222424342676</v>
      </c>
      <c r="AH616" s="92">
        <f t="shared" ref="AH616" si="9026">(F616/X616-1)*100</f>
        <v>43.734930388115423</v>
      </c>
      <c r="AI616" s="92">
        <f t="shared" ref="AI616" si="9027">(G616/Y616-1)*100</f>
        <v>43.734930388115423</v>
      </c>
      <c r="AJ616" s="92">
        <f t="shared" ref="AJ616" si="9028">(H616/Z616-1)*100</f>
        <v>48.145738451528963</v>
      </c>
      <c r="AK616" s="92">
        <f t="shared" ref="AK616" si="9029">(I616/AA616-1)*100</f>
        <v>49.058339268053054</v>
      </c>
      <c r="AM616" s="112">
        <f>AP616-'Figure 8_data'!H828</f>
        <v>0</v>
      </c>
      <c r="AN616" s="92">
        <f t="shared" ref="AN616" si="9030">(B616/B564-1)*100</f>
        <v>31.529850746268661</v>
      </c>
      <c r="AO616" s="92">
        <f t="shared" ref="AO616" si="9031">(C616/C564-1)*100</f>
        <v>28.731343283582088</v>
      </c>
      <c r="AP616" s="92">
        <f t="shared" ref="AP616" si="9032">(D616/D564-1)*100</f>
        <v>47.058823529411754</v>
      </c>
      <c r="AQ616" s="92">
        <f t="shared" ref="AQ616" si="9033">(E616/E564-1)*100</f>
        <v>37.735849056603769</v>
      </c>
      <c r="AR616" s="92">
        <f t="shared" ref="AR616" si="9034">(F616/F564-1)*100</f>
        <v>39.999999999999993</v>
      </c>
      <c r="AS616" s="92">
        <f t="shared" ref="AS616" si="9035">(G616/G564-1)*100</f>
        <v>39.999999999999993</v>
      </c>
      <c r="AT616" s="92">
        <f t="shared" ref="AT616" si="9036">(H616/H564-1)*100</f>
        <v>48.82352941176471</v>
      </c>
      <c r="AU616" s="92">
        <f t="shared" ref="AU616" si="9037">(I616/I564-1)*100</f>
        <v>48.823529411764689</v>
      </c>
    </row>
    <row r="617" spans="1:47" x14ac:dyDescent="0.3">
      <c r="A617" s="13">
        <f t="shared" si="7581"/>
        <v>41898</v>
      </c>
      <c r="B617" s="92">
        <f>TWK!B562</f>
        <v>550</v>
      </c>
      <c r="C617" s="92">
        <f>TWK!C562</f>
        <v>583.33333333333337</v>
      </c>
      <c r="D617" s="92">
        <f>TWK!D562</f>
        <v>633.33333333333337</v>
      </c>
      <c r="E617" s="92">
        <f>TWK!E562</f>
        <v>658.33333333333337</v>
      </c>
      <c r="F617" s="92">
        <f>TWK!F562</f>
        <v>691.66666666666663</v>
      </c>
      <c r="G617" s="92">
        <f>TWK!G562</f>
        <v>691.66666666666663</v>
      </c>
      <c r="H617" s="92">
        <f>TWK!H562</f>
        <v>641.66666666666663</v>
      </c>
      <c r="I617" s="92">
        <f>TWK!I562</f>
        <v>879.83988355167401</v>
      </c>
      <c r="K617" s="92">
        <f t="shared" ref="K617" si="9038">AVERAGEIF(B614:B617,"&lt;&gt;0")</f>
        <v>554.375</v>
      </c>
      <c r="L617" s="92">
        <f t="shared" ref="L617" si="9039">AVERAGE(C614:C617)</f>
        <v>560.52083333333337</v>
      </c>
      <c r="M617" s="92">
        <f t="shared" ref="M617" si="9040">AVERAGE(D614:D617)</f>
        <v>591.25</v>
      </c>
      <c r="N617" s="92">
        <f t="shared" ref="N617" si="9041">AVERAGE(E614:E617)</f>
        <v>576.56250000000011</v>
      </c>
      <c r="O617" s="92">
        <f t="shared" ref="O617" si="9042">AVERAGE(F614:F617)</f>
        <v>600.52083333333326</v>
      </c>
      <c r="P617" s="92">
        <f t="shared" ref="P617" si="9043">AVERAGE(G614:G617)</f>
        <v>600.52083333333326</v>
      </c>
      <c r="Q617" s="92">
        <f t="shared" ref="Q617" si="9044">AVERAGE(H614:H617)</f>
        <v>577.29166666666663</v>
      </c>
      <c r="R617" s="92">
        <f t="shared" ref="R617" si="9045">AVERAGE(I614:I617)</f>
        <v>789.85625909752559</v>
      </c>
      <c r="T617" s="92">
        <f t="shared" ref="T617" si="9046">AVERAGE(K461,K513,K565)</f>
        <v>491.90972222222217</v>
      </c>
      <c r="U617" s="92">
        <f t="shared" ref="U617" si="9047">AVERAGE(L461,L513,L565)</f>
        <v>493.36805555555549</v>
      </c>
      <c r="V617" s="92">
        <f t="shared" ref="V617" si="9048">(M461+M513+M565)/3</f>
        <v>487.01388888888886</v>
      </c>
      <c r="W617" s="92">
        <f t="shared" ref="W617" si="9049">(N461+N513+N565)/3</f>
        <v>462.91666666666669</v>
      </c>
      <c r="X617" s="92">
        <f t="shared" ref="X617" si="9050">(O461+O513+O565)/3</f>
        <v>497.1180555555556</v>
      </c>
      <c r="Y617" s="92">
        <f t="shared" ref="Y617" si="9051">(P461+P513+P565)/3</f>
        <v>497.1180555555556</v>
      </c>
      <c r="Z617" s="92">
        <f t="shared" ref="Z617" si="9052">(Q461+Q513+Q565)/3</f>
        <v>483.61111111111114</v>
      </c>
      <c r="AA617" s="92">
        <f t="shared" ref="AA617" si="9053">(R461+R513+R565)/3</f>
        <v>659.9141193595342</v>
      </c>
      <c r="AC617" s="112">
        <f>+AF617-'Figure 8_data'!I829</f>
        <v>0</v>
      </c>
      <c r="AD617" s="92">
        <f t="shared" ref="AD617" si="9054">(B617/T617-1)*100</f>
        <v>11.809133902731705</v>
      </c>
      <c r="AE617" s="92">
        <f t="shared" ref="AE617" si="9055">(C617/U617-1)*100</f>
        <v>18.234921528608659</v>
      </c>
      <c r="AF617" s="92">
        <f t="shared" ref="AF617" si="9056">(D617/V617-1)*100</f>
        <v>30.044203621845167</v>
      </c>
      <c r="AG617" s="92">
        <f t="shared" ref="AG617" si="9057">(E617/W617-1)*100</f>
        <v>42.214221422142217</v>
      </c>
      <c r="AH617" s="92">
        <f t="shared" ref="AH617" si="9058">(F617/X617-1)*100</f>
        <v>39.135293706782129</v>
      </c>
      <c r="AI617" s="92">
        <f t="shared" ref="AI617" si="9059">(G617/Y617-1)*100</f>
        <v>39.135293706782129</v>
      </c>
      <c r="AJ617" s="92">
        <f t="shared" ref="AJ617" si="9060">(H617/Z617-1)*100</f>
        <v>32.682366456059711</v>
      </c>
      <c r="AK617" s="92">
        <f t="shared" ref="AK617" si="9061">(I617/AA617-1)*100</f>
        <v>33.326421990422659</v>
      </c>
      <c r="AM617" s="112">
        <f>AP617-'Figure 8_data'!H829</f>
        <v>0</v>
      </c>
      <c r="AN617" s="92">
        <f t="shared" ref="AN617" si="9062">(B617/B565-1)*100</f>
        <v>0</v>
      </c>
      <c r="AO617" s="92">
        <f t="shared" ref="AO617" si="9063">(C617/C565-1)*100</f>
        <v>5.1051051051051122</v>
      </c>
      <c r="AP617" s="92">
        <f t="shared" ref="AP617" si="9064">(D617/D565-1)*100</f>
        <v>15.151515151515159</v>
      </c>
      <c r="AQ617" s="92">
        <f t="shared" ref="AQ617" si="9065">(E617/E565-1)*100</f>
        <v>22.291021671826616</v>
      </c>
      <c r="AR617" s="92">
        <f t="shared" ref="AR617" si="9066">(F617/F565-1)*100</f>
        <v>9.7883597883597915</v>
      </c>
      <c r="AS617" s="92">
        <f t="shared" ref="AS617" si="9067">(G617/G565-1)*100</f>
        <v>9.7883597883597915</v>
      </c>
      <c r="AT617" s="92">
        <f t="shared" ref="AT617" si="9068">(H617/H565-1)*100</f>
        <v>14.925373134328336</v>
      </c>
      <c r="AU617" s="92">
        <f t="shared" ref="AU617" si="9069">(I617/I565-1)*100</f>
        <v>14.925373134328378</v>
      </c>
    </row>
    <row r="618" spans="1:47" x14ac:dyDescent="0.3">
      <c r="A618" s="13">
        <f t="shared" si="7581"/>
        <v>41905</v>
      </c>
      <c r="B618" s="92">
        <f>TWK!B563</f>
        <v>762.5</v>
      </c>
      <c r="C618" s="92">
        <f>TWK!C563</f>
        <v>828.75</v>
      </c>
      <c r="D618" s="92">
        <f>TWK!D563</f>
        <v>825</v>
      </c>
      <c r="E618" s="92">
        <f>TWK!E563</f>
        <v>868.75</v>
      </c>
      <c r="F618" s="92">
        <f>TWK!F563</f>
        <v>896.25</v>
      </c>
      <c r="G618" s="92">
        <f>TWK!G563</f>
        <v>896.25</v>
      </c>
      <c r="H618" s="92">
        <f>TWK!H563</f>
        <v>896.25</v>
      </c>
      <c r="I618" s="92">
        <f>TWK!I563</f>
        <v>1234.061135371179</v>
      </c>
      <c r="K618" s="92">
        <f t="shared" ref="K618" si="9070">AVERAGEIF(B615:B618,"&lt;&gt;0")</f>
        <v>613.75</v>
      </c>
      <c r="L618" s="92">
        <f t="shared" ref="L618" si="9071">AVERAGE(C615:C618)</f>
        <v>643.02083333333337</v>
      </c>
      <c r="M618" s="92">
        <f t="shared" ref="M618" si="9072">AVERAGE(D615:D618)</f>
        <v>680.3125</v>
      </c>
      <c r="N618" s="92">
        <f t="shared" ref="N618" si="9073">AVERAGE(E615:E618)</f>
        <v>679.6875</v>
      </c>
      <c r="O618" s="92">
        <f t="shared" ref="O618" si="9074">AVERAGE(F615:F618)</f>
        <v>701.14583333333326</v>
      </c>
      <c r="P618" s="92">
        <f t="shared" ref="P618" si="9075">AVERAGE(G615:G618)</f>
        <v>701.14583333333326</v>
      </c>
      <c r="Q618" s="92">
        <f t="shared" ref="Q618" si="9076">AVERAGE(H615:H618)</f>
        <v>688.22916666666663</v>
      </c>
      <c r="R618" s="92">
        <f t="shared" ref="R618" si="9077">AVERAGE(I615:I618)</f>
        <v>942.97125181950514</v>
      </c>
      <c r="T618" s="92">
        <f t="shared" ref="T618" si="9078">AVERAGE(K462,K514,K566)</f>
        <v>533.85416666666663</v>
      </c>
      <c r="U618" s="92">
        <f t="shared" ref="U618" si="9079">AVERAGE(L462,L514,L566)</f>
        <v>540.52083333333337</v>
      </c>
      <c r="V618" s="92">
        <f t="shared" ref="V618" si="9080">(M462+M514+M566)/3</f>
        <v>523.8888888888888</v>
      </c>
      <c r="W618" s="92">
        <f t="shared" ref="W618" si="9081">(N462+N514+N566)/3</f>
        <v>498.19444444444451</v>
      </c>
      <c r="X618" s="92">
        <f t="shared" ref="X618" si="9082">(O462+O514+O566)/3</f>
        <v>545.65972222222229</v>
      </c>
      <c r="Y618" s="92">
        <f t="shared" ref="Y618" si="9083">(P462+P514+P566)/3</f>
        <v>545.65972222222229</v>
      </c>
      <c r="Z618" s="92">
        <f t="shared" ref="Z618" si="9084">(Q462+Q514+Q566)/3</f>
        <v>516.66666666666663</v>
      </c>
      <c r="AA618" s="92">
        <f t="shared" ref="AA618" si="9085">(R462+R514+R566)/3</f>
        <v>707.71676370693842</v>
      </c>
      <c r="AC618" s="112">
        <f>+AF618-'Figure 8_data'!I830</f>
        <v>0</v>
      </c>
      <c r="AD618" s="92">
        <f t="shared" ref="AD618" si="9086">(B618/T618-1)*100</f>
        <v>42.82926829268294</v>
      </c>
      <c r="AE618" s="92">
        <f t="shared" ref="AE618" si="9087">(C618/U618-1)*100</f>
        <v>53.324339949894004</v>
      </c>
      <c r="AF618" s="92">
        <f t="shared" ref="AF618" si="9088">(D618/V618-1)*100</f>
        <v>57.476139978791132</v>
      </c>
      <c r="AG618" s="92">
        <f t="shared" ref="AG618" si="9089">(E618/W618-1)*100</f>
        <v>74.379704488430406</v>
      </c>
      <c r="AH618" s="92">
        <f t="shared" ref="AH618" si="9090">(F618/X618-1)*100</f>
        <v>64.250715876551041</v>
      </c>
      <c r="AI618" s="92">
        <f t="shared" ref="AI618" si="9091">(G618/Y618-1)*100</f>
        <v>64.250715876551041</v>
      </c>
      <c r="AJ618" s="92">
        <f t="shared" ref="AJ618" si="9092">(H618/Z618-1)*100</f>
        <v>73.467741935483886</v>
      </c>
      <c r="AK618" s="92">
        <f t="shared" ref="AK618" si="9093">(I618/AA618-1)*100</f>
        <v>74.372178059950116</v>
      </c>
      <c r="AM618" s="112">
        <f>AP618-'Figure 8_data'!H830</f>
        <v>0</v>
      </c>
      <c r="AN618" s="92">
        <f t="shared" ref="AN618" si="9094">(B618/B566-1)*100</f>
        <v>37.387387387387385</v>
      </c>
      <c r="AO618" s="92">
        <f t="shared" ref="AO618" si="9095">(C618/C566-1)*100</f>
        <v>45.394736842105267</v>
      </c>
      <c r="AP618" s="92">
        <f t="shared" ref="AP618" si="9096">(D618/D566-1)*100</f>
        <v>47.761194029850728</v>
      </c>
      <c r="AQ618" s="92">
        <f t="shared" ref="AQ618" si="9097">(E618/E566-1)*100</f>
        <v>46.830985915492974</v>
      </c>
      <c r="AR618" s="92">
        <f t="shared" ref="AR618" si="9098">(F618/F566-1)*100</f>
        <v>32.777777777777771</v>
      </c>
      <c r="AS618" s="92">
        <f t="shared" ref="AS618" si="9099">(G618/G566-1)*100</f>
        <v>32.777777777777771</v>
      </c>
      <c r="AT618" s="92">
        <f t="shared" ref="AT618" si="9100">(H618/H566-1)*100</f>
        <v>45.337837837837846</v>
      </c>
      <c r="AU618" s="92">
        <f t="shared" ref="AU618" si="9101">(I618/I566-1)*100</f>
        <v>45.945945945945944</v>
      </c>
    </row>
    <row r="619" spans="1:47" x14ac:dyDescent="0.3">
      <c r="A619" s="13">
        <f t="shared" si="7581"/>
        <v>41912</v>
      </c>
      <c r="B619" s="92">
        <f>TWK!B564</f>
        <v>883.33333333333337</v>
      </c>
      <c r="C619" s="92">
        <f>TWK!C564</f>
        <v>1016.6666666666666</v>
      </c>
      <c r="D619" s="92">
        <f>TWK!D564</f>
        <v>1066.6666666666667</v>
      </c>
      <c r="E619" s="92">
        <f>TWK!E564</f>
        <v>1033.3333333333333</v>
      </c>
      <c r="F619" s="92">
        <f>TWK!F564</f>
        <v>1100</v>
      </c>
      <c r="G619" s="92">
        <f>TWK!G564</f>
        <v>1100</v>
      </c>
      <c r="H619" s="92">
        <f>TWK!H564</f>
        <v>1066.6666666666667</v>
      </c>
      <c r="I619" s="92">
        <f>TWK!I564</f>
        <v>1462.5909752547307</v>
      </c>
      <c r="K619" s="92">
        <f t="shared" ref="K619" si="9102">AVERAGEIF(B616:B619,"&lt;&gt;0")</f>
        <v>695.83333333333337</v>
      </c>
      <c r="L619" s="92">
        <f t="shared" ref="L619" si="9103">AVERAGE(C616:C619)</f>
        <v>750.9375</v>
      </c>
      <c r="M619" s="92">
        <f t="shared" ref="M619" si="9104">AVERAGE(D616:D619)</f>
        <v>797.91666666666674</v>
      </c>
      <c r="N619" s="92">
        <f t="shared" ref="N619" si="9105">AVERAGE(E616:E619)</f>
        <v>792.1875</v>
      </c>
      <c r="O619" s="92">
        <f t="shared" ref="O619" si="9106">AVERAGE(F616:F619)</f>
        <v>832.39583333333326</v>
      </c>
      <c r="P619" s="92">
        <f t="shared" ref="P619" si="9107">AVERAGE(G616:G619)</f>
        <v>832.39583333333326</v>
      </c>
      <c r="Q619" s="92">
        <f t="shared" ref="Q619" si="9108">AVERAGE(H616:H619)</f>
        <v>809.27083333333326</v>
      </c>
      <c r="R619" s="92">
        <f t="shared" ref="R619" si="9109">AVERAGE(I616:I619)</f>
        <v>1110.9406841339155</v>
      </c>
      <c r="T619" s="92">
        <f t="shared" ref="T619" si="9110">AVERAGE(K463,K515,K567)</f>
        <v>573.26388888888891</v>
      </c>
      <c r="U619" s="92">
        <f t="shared" ref="U619" si="9111">AVERAGE(L463,L515,L567)</f>
        <v>570.27777777777771</v>
      </c>
      <c r="V619" s="92">
        <f t="shared" ref="V619" si="9112">(M463+M515+M567)/3</f>
        <v>557.6388888888888</v>
      </c>
      <c r="W619" s="92">
        <f t="shared" ref="W619" si="9113">(N463+N515+N567)/3</f>
        <v>526.04166666666663</v>
      </c>
      <c r="X619" s="92">
        <f t="shared" ref="X619" si="9114">(O463+O515+O567)/3</f>
        <v>582.22222222222229</v>
      </c>
      <c r="Y619" s="92">
        <f t="shared" ref="Y619" si="9115">(P463+P515+P567)/3</f>
        <v>582.22222222222229</v>
      </c>
      <c r="Z619" s="92">
        <f t="shared" ref="Z619" si="9116">(Q463+Q515+Q567)/3</f>
        <v>537.08333333333337</v>
      </c>
      <c r="AA619" s="92">
        <f t="shared" ref="AA619" si="9117">(R463+R515+R567)/3</f>
        <v>736.21130519165445</v>
      </c>
      <c r="AC619" s="112">
        <f>+AF619-'Figure 8_data'!I831</f>
        <v>0</v>
      </c>
      <c r="AD619" s="92">
        <f t="shared" ref="AD619" si="9118">(B619/T619-1)*100</f>
        <v>54.088431253785572</v>
      </c>
      <c r="AE619" s="92">
        <f t="shared" ref="AE619" si="9119">(C619/U619-1)*100</f>
        <v>78.275694106186094</v>
      </c>
      <c r="AF619" s="92">
        <f t="shared" ref="AF619" si="9120">(D619/V619-1)*100</f>
        <v>91.282689912826953</v>
      </c>
      <c r="AG619" s="92">
        <f t="shared" ref="AG619" si="9121">(E619/W619-1)*100</f>
        <v>96.43564356435644</v>
      </c>
      <c r="AH619" s="92">
        <f t="shared" ref="AH619" si="9122">(F619/X619-1)*100</f>
        <v>88.931297709923655</v>
      </c>
      <c r="AI619" s="92">
        <f t="shared" ref="AI619" si="9123">(G619/Y619-1)*100</f>
        <v>88.931297709923655</v>
      </c>
      <c r="AJ619" s="92">
        <f t="shared" ref="AJ619" si="9124">(H619/Z619-1)*100</f>
        <v>98.60356865787432</v>
      </c>
      <c r="AK619" s="92">
        <f t="shared" ref="AK619" si="9125">(I619/AA619-1)*100</f>
        <v>98.664563412807311</v>
      </c>
      <c r="AM619" s="112">
        <f>AP619-'Figure 8_data'!H831</f>
        <v>0</v>
      </c>
      <c r="AN619" s="92">
        <f t="shared" ref="AN619" si="9126">(B619/B567-1)*100</f>
        <v>44.808743169398909</v>
      </c>
      <c r="AO619" s="92">
        <f t="shared" ref="AO619" si="9127">(C619/C567-1)*100</f>
        <v>66.666666666666657</v>
      </c>
      <c r="AP619" s="92">
        <f t="shared" ref="AP619" si="9128">(D619/D567-1)*100</f>
        <v>79.271708683473392</v>
      </c>
      <c r="AQ619" s="92">
        <f t="shared" ref="AQ619" si="9129">(E619/E567-1)*100</f>
        <v>75.141242937853093</v>
      </c>
      <c r="AR619" s="92">
        <f t="shared" ref="AR619" si="9130">(F619/F567-1)*100</f>
        <v>66.666666666666671</v>
      </c>
      <c r="AS619" s="92">
        <f t="shared" ref="AS619" si="9131">(G619/G567-1)*100</f>
        <v>66.666666666666671</v>
      </c>
      <c r="AT619" s="92">
        <f t="shared" ref="AT619" si="9132">(H619/H567-1)*100</f>
        <v>85.507246376811594</v>
      </c>
      <c r="AU619" s="92">
        <f t="shared" ref="AU619" si="9133">(I619/I567-1)*100</f>
        <v>85.607991783595267</v>
      </c>
    </row>
    <row r="620" spans="1:47" x14ac:dyDescent="0.3">
      <c r="A620" s="13">
        <f t="shared" si="7581"/>
        <v>41919</v>
      </c>
      <c r="B620" s="92">
        <f>TWK!B565</f>
        <v>791.66666666666663</v>
      </c>
      <c r="C620" s="92">
        <f>TWK!C565</f>
        <v>900</v>
      </c>
      <c r="D620" s="92">
        <f>TWK!D565</f>
        <v>891.66666666666663</v>
      </c>
      <c r="E620" s="92">
        <f>TWK!E565</f>
        <v>833.33333333333337</v>
      </c>
      <c r="F620" s="92">
        <f>TWK!F565</f>
        <v>933.33333333333337</v>
      </c>
      <c r="G620" s="92">
        <f>TWK!G565</f>
        <v>933.33333333333337</v>
      </c>
      <c r="H620" s="92">
        <f>TWK!H565</f>
        <v>826.66666666666663</v>
      </c>
      <c r="I620" s="92">
        <f>TWK!I565</f>
        <v>1133.5080058224164</v>
      </c>
      <c r="K620" s="92">
        <f t="shared" ref="K620" si="9134">AVERAGEIF(B617:B620,"&lt;&gt;0")</f>
        <v>746.875</v>
      </c>
      <c r="L620" s="92">
        <f t="shared" ref="L620" si="9135">AVERAGE(C617:C620)</f>
        <v>832.1875</v>
      </c>
      <c r="M620" s="92">
        <f t="shared" ref="M620" si="9136">AVERAGE(D617:D620)</f>
        <v>854.16666666666663</v>
      </c>
      <c r="N620" s="92">
        <f t="shared" ref="N620" si="9137">AVERAGE(E617:E620)</f>
        <v>848.43750000000011</v>
      </c>
      <c r="O620" s="92">
        <f t="shared" ref="O620" si="9138">AVERAGE(F617:F620)</f>
        <v>905.3125</v>
      </c>
      <c r="P620" s="92">
        <f t="shared" ref="P620" si="9139">AVERAGE(G617:G620)</f>
        <v>905.3125</v>
      </c>
      <c r="Q620" s="92">
        <f t="shared" ref="Q620" si="9140">AVERAGE(H617:H620)</f>
        <v>857.81249999999989</v>
      </c>
      <c r="R620" s="92">
        <f t="shared" ref="R620" si="9141">AVERAGE(I617:I620)</f>
        <v>1177.5</v>
      </c>
      <c r="T620" s="92">
        <f t="shared" ref="T620" si="9142">AVERAGE(K464,K516,K568)</f>
        <v>578.61111111111109</v>
      </c>
      <c r="U620" s="92">
        <f t="shared" ref="U620" si="9143">AVERAGE(L464,L516,L568)</f>
        <v>569.375</v>
      </c>
      <c r="V620" s="92">
        <f t="shared" ref="V620" si="9144">(M464+M516+M568)/3</f>
        <v>566.7361111111112</v>
      </c>
      <c r="W620" s="92">
        <f t="shared" ref="W620" si="9145">(N464+N516+N568)/3</f>
        <v>529.13194444444446</v>
      </c>
      <c r="X620" s="92">
        <f t="shared" ref="X620" si="9146">(O464+O516+O568)/3</f>
        <v>590.90277777777783</v>
      </c>
      <c r="Y620" s="92">
        <f t="shared" ref="Y620" si="9147">(P464+P516+P568)/3</f>
        <v>590.90277777777783</v>
      </c>
      <c r="Z620" s="92">
        <f t="shared" ref="Z620" si="9148">(Q464+Q516+Q568)/3</f>
        <v>527.08333333333337</v>
      </c>
      <c r="AA620" s="92">
        <f t="shared" ref="AA620" si="9149">(R464+R516+R568)/3</f>
        <v>722.6641193595342</v>
      </c>
      <c r="AC620" s="112">
        <f>+AF620-'Figure 8_data'!I832</f>
        <v>0</v>
      </c>
      <c r="AD620" s="92">
        <f t="shared" ref="AD620" si="9150">(B620/T620-1)*100</f>
        <v>36.821891502640412</v>
      </c>
      <c r="AE620" s="92">
        <f t="shared" ref="AE620" si="9151">(C620/U620-1)*100</f>
        <v>58.068057080131716</v>
      </c>
      <c r="AF620" s="92">
        <f t="shared" ref="AF620" si="9152">(D620/V620-1)*100</f>
        <v>57.333660090675131</v>
      </c>
      <c r="AG620" s="92">
        <f t="shared" ref="AG620" si="9153">(E620/W620-1)*100</f>
        <v>57.490648992716054</v>
      </c>
      <c r="AH620" s="92">
        <f t="shared" ref="AH620" si="9154">(F620/X620-1)*100</f>
        <v>57.950405453049704</v>
      </c>
      <c r="AI620" s="92">
        <f t="shared" ref="AI620" si="9155">(G620/Y620-1)*100</f>
        <v>57.950405453049704</v>
      </c>
      <c r="AJ620" s="92">
        <f t="shared" ref="AJ620" si="9156">(H620/Z620-1)*100</f>
        <v>56.837944664031603</v>
      </c>
      <c r="AK620" s="92">
        <f t="shared" ref="AK620" si="9157">(I620/AA620-1)*100</f>
        <v>56.851291693711772</v>
      </c>
      <c r="AM620" s="112">
        <f>AP620-'Figure 8_data'!H832</f>
        <v>0</v>
      </c>
      <c r="AN620" s="92">
        <f t="shared" ref="AN620" si="9158">(B620/B568-1)*100</f>
        <v>37.681159420289845</v>
      </c>
      <c r="AO620" s="92">
        <f t="shared" ref="AO620" si="9159">(C620/C568-1)*100</f>
        <v>57.894736842105267</v>
      </c>
      <c r="AP620" s="92">
        <f t="shared" ref="AP620" si="9160">(D620/D568-1)*100</f>
        <v>62.12121212121211</v>
      </c>
      <c r="AQ620" s="92">
        <f t="shared" ref="AQ620" si="9161">(E620/E568-1)*100</f>
        <v>58.730158730158742</v>
      </c>
      <c r="AR620" s="92">
        <f t="shared" ref="AR620" si="9162">(F620/F568-1)*100</f>
        <v>58.192090395480236</v>
      </c>
      <c r="AS620" s="92">
        <f t="shared" ref="AS620" si="9163">(G620/G568-1)*100</f>
        <v>58.192090395480236</v>
      </c>
      <c r="AT620" s="92">
        <f t="shared" ref="AT620" si="9164">(H620/H568-1)*100</f>
        <v>74.035087719298232</v>
      </c>
      <c r="AU620" s="92">
        <f t="shared" ref="AU620" si="9165">(I620/I568-1)*100</f>
        <v>74.117973244610823</v>
      </c>
    </row>
    <row r="621" spans="1:47" x14ac:dyDescent="0.3">
      <c r="A621" s="13">
        <f t="shared" si="7581"/>
        <v>41926</v>
      </c>
      <c r="B621" s="92">
        <f>TWK!B566</f>
        <v>741.66666666666663</v>
      </c>
      <c r="C621" s="92">
        <f>TWK!C566</f>
        <v>836.66666666666663</v>
      </c>
      <c r="D621" s="92">
        <f>TWK!D566</f>
        <v>833.33333333333337</v>
      </c>
      <c r="E621" s="92">
        <f>TWK!E566</f>
        <v>683.33333333333337</v>
      </c>
      <c r="F621" s="92">
        <f>TWK!F566</f>
        <v>808.33333333333337</v>
      </c>
      <c r="G621" s="92">
        <f>TWK!G566</f>
        <v>808.33333333333337</v>
      </c>
      <c r="H621" s="92">
        <f>TWK!H566</f>
        <v>616.66666666666663</v>
      </c>
      <c r="I621" s="92">
        <f>TWK!I566</f>
        <v>845.56040756914115</v>
      </c>
      <c r="K621" s="92">
        <f t="shared" ref="K621" si="9166">AVERAGEIF(B618:B621,"&lt;&gt;0")</f>
        <v>794.79166666666663</v>
      </c>
      <c r="L621" s="92">
        <f t="shared" ref="L621" si="9167">AVERAGE(C618:C621)</f>
        <v>895.52083333333326</v>
      </c>
      <c r="M621" s="92">
        <f t="shared" ref="M621" si="9168">AVERAGE(D618:D621)</f>
        <v>904.16666666666674</v>
      </c>
      <c r="N621" s="92">
        <f t="shared" ref="N621" si="9169">AVERAGE(E618:E621)</f>
        <v>854.6875</v>
      </c>
      <c r="O621" s="92">
        <f t="shared" ref="O621" si="9170">AVERAGE(F618:F621)</f>
        <v>934.47916666666674</v>
      </c>
      <c r="P621" s="92">
        <f t="shared" ref="P621" si="9171">AVERAGE(G618:G621)</f>
        <v>934.47916666666674</v>
      </c>
      <c r="Q621" s="92">
        <f t="shared" ref="Q621" si="9172">AVERAGE(H618:H621)</f>
        <v>851.5625</v>
      </c>
      <c r="R621" s="92">
        <f t="shared" ref="R621" si="9173">AVERAGE(I618:I621)</f>
        <v>1168.9301310043668</v>
      </c>
      <c r="T621" s="92">
        <f t="shared" ref="T621" si="9174">AVERAGE(K465,K517,K569)</f>
        <v>558.02777777777771</v>
      </c>
      <c r="U621" s="92">
        <f t="shared" ref="U621" si="9175">AVERAGE(L465,L517,L569)</f>
        <v>554.29166666666663</v>
      </c>
      <c r="V621" s="92">
        <f t="shared" ref="V621" si="9176">(M465+M517+M569)/3</f>
        <v>560.70833333333337</v>
      </c>
      <c r="W621" s="92">
        <f t="shared" ref="W621" si="9177">(N465+N517+N569)/3</f>
        <v>522.09027777777783</v>
      </c>
      <c r="X621" s="92">
        <f t="shared" ref="X621" si="9178">(O465+O517+O569)/3</f>
        <v>585.84722222222217</v>
      </c>
      <c r="Y621" s="92">
        <f t="shared" ref="Y621" si="9179">(P465+P517+P569)/3</f>
        <v>585.84722222222217</v>
      </c>
      <c r="Z621" s="92">
        <f t="shared" ref="Z621" si="9180">(Q465+Q517+Q569)/3</f>
        <v>492.88888888888886</v>
      </c>
      <c r="AA621" s="92">
        <f t="shared" ref="AA621" si="9181">(R465+R517+R569)/3</f>
        <v>675.26213003396413</v>
      </c>
      <c r="AC621" s="112">
        <f>+AF621-'Figure 8_data'!I833</f>
        <v>0</v>
      </c>
      <c r="AD621" s="92">
        <f t="shared" ref="AD621" si="9182">(B621/T621-1)*100</f>
        <v>32.908556921698448</v>
      </c>
      <c r="AE621" s="92">
        <f t="shared" ref="AE621" si="9183">(C621/U621-1)*100</f>
        <v>50.943396226415103</v>
      </c>
      <c r="AF621" s="92">
        <f t="shared" ref="AF621" si="9184">(D621/V621-1)*100</f>
        <v>48.621535260459247</v>
      </c>
      <c r="AG621" s="92">
        <f t="shared" ref="AG621" si="9185">(E621/W621-1)*100</f>
        <v>30.88413295912531</v>
      </c>
      <c r="AH621" s="92">
        <f t="shared" ref="AH621" si="9186">(F621/X621-1)*100</f>
        <v>37.976814205447965</v>
      </c>
      <c r="AI621" s="92">
        <f t="shared" ref="AI621" si="9187">(G621/Y621-1)*100</f>
        <v>37.976814205447965</v>
      </c>
      <c r="AJ621" s="92">
        <f t="shared" ref="AJ621" si="9188">(H621/Z621-1)*100</f>
        <v>25.112714156898107</v>
      </c>
      <c r="AK621" s="92">
        <f t="shared" ref="AK621" si="9189">(I621/AA621-1)*100</f>
        <v>25.21958065775307</v>
      </c>
      <c r="AM621" s="112">
        <f>AP621-'Figure 8_data'!H833</f>
        <v>0</v>
      </c>
      <c r="AN621" s="92">
        <f t="shared" ref="AN621" si="9190">(B621/B569-1)*100</f>
        <v>20.596205962059621</v>
      </c>
      <c r="AO621" s="92">
        <f t="shared" ref="AO621" si="9191">(C621/C569-1)*100</f>
        <v>33.866666666666667</v>
      </c>
      <c r="AP621" s="92">
        <f t="shared" ref="AP621" si="9192">(D621/D569-1)*100</f>
        <v>33.33333333333335</v>
      </c>
      <c r="AQ621" s="92">
        <f t="shared" ref="AQ621" si="9193">(E621/E569-1)*100</f>
        <v>25.382262996941908</v>
      </c>
      <c r="AR621" s="92">
        <f t="shared" ref="AR621" si="9194">(F621/F569-1)*100</f>
        <v>28.306878306878303</v>
      </c>
      <c r="AS621" s="92">
        <f t="shared" ref="AS621" si="9195">(G621/G569-1)*100</f>
        <v>28.306878306878303</v>
      </c>
      <c r="AT621" s="92">
        <f t="shared" ref="AT621" si="9196">(H621/H569-1)*100</f>
        <v>28.472222222222211</v>
      </c>
      <c r="AU621" s="92">
        <f t="shared" ref="AU621" si="9197">(I621/I569-1)*100</f>
        <v>28.504621211115676</v>
      </c>
    </row>
    <row r="622" spans="1:47" x14ac:dyDescent="0.3">
      <c r="A622" s="13">
        <f t="shared" si="7581"/>
        <v>41933</v>
      </c>
      <c r="B622" s="92">
        <f>TWK!B567</f>
        <v>793.75</v>
      </c>
      <c r="C622" s="92">
        <f>TWK!C567</f>
        <v>856.25</v>
      </c>
      <c r="D622" s="92">
        <f>TWK!D567</f>
        <v>872.5</v>
      </c>
      <c r="E622" s="92">
        <f>TWK!E567</f>
        <v>731.25</v>
      </c>
      <c r="F622" s="92">
        <f>TWK!F567</f>
        <v>887.5</v>
      </c>
      <c r="G622" s="92">
        <f>TWK!G567</f>
        <v>887.5</v>
      </c>
      <c r="H622" s="92">
        <f>TWK!H567</f>
        <v>650</v>
      </c>
      <c r="I622" s="92">
        <f>TWK!I567</f>
        <v>868.41339155749631</v>
      </c>
      <c r="K622" s="92">
        <f t="shared" ref="K622" si="9198">AVERAGEIF(B619:B622,"&lt;&gt;0")</f>
        <v>802.60416666666663</v>
      </c>
      <c r="L622" s="92">
        <f t="shared" ref="L622" si="9199">AVERAGE(C619:C622)</f>
        <v>902.39583333333326</v>
      </c>
      <c r="M622" s="92">
        <f t="shared" ref="M622" si="9200">AVERAGE(D619:D622)</f>
        <v>916.04166666666674</v>
      </c>
      <c r="N622" s="92">
        <f t="shared" ref="N622" si="9201">AVERAGE(E619:E622)</f>
        <v>820.3125</v>
      </c>
      <c r="O622" s="92">
        <f t="shared" ref="O622" si="9202">AVERAGE(F619:F622)</f>
        <v>932.29166666666674</v>
      </c>
      <c r="P622" s="92">
        <f t="shared" ref="P622" si="9203">AVERAGE(G619:G622)</f>
        <v>932.29166666666674</v>
      </c>
      <c r="Q622" s="92">
        <f t="shared" ref="Q622" si="9204">AVERAGE(H619:H622)</f>
        <v>790</v>
      </c>
      <c r="R622" s="92">
        <f t="shared" ref="R622" si="9205">AVERAGE(I619:I622)</f>
        <v>1077.5181950509461</v>
      </c>
      <c r="T622" s="92">
        <f t="shared" ref="T622" si="9206">AVERAGE(K466,K518,K570)</f>
        <v>575.55555555555554</v>
      </c>
      <c r="U622" s="92">
        <f t="shared" ref="U622" si="9207">AVERAGE(L466,L518,L570)</f>
        <v>559.91666666666663</v>
      </c>
      <c r="V622" s="92">
        <f t="shared" ref="V622" si="9208">(M466+M518+M570)/3</f>
        <v>559.93055555555554</v>
      </c>
      <c r="W622" s="92">
        <f t="shared" ref="W622" si="9209">(N466+N518+N570)/3</f>
        <v>515.4236111111112</v>
      </c>
      <c r="X622" s="92">
        <f t="shared" ref="X622" si="9210">(O466+O518+O570)/3</f>
        <v>575.20833333333337</v>
      </c>
      <c r="Y622" s="92">
        <f t="shared" ref="Y622" si="9211">(P466+P518+P570)/3</f>
        <v>575.20833333333337</v>
      </c>
      <c r="Z622" s="92">
        <f t="shared" ref="Z622" si="9212">(Q466+Q518+Q570)/3</f>
        <v>485.45833333333331</v>
      </c>
      <c r="AA622" s="92">
        <f t="shared" ref="AA622" si="9213">(R466+R518+R570)/3</f>
        <v>664.94129063561377</v>
      </c>
      <c r="AC622" s="112">
        <f>+AF622-'Figure 8_data'!I834</f>
        <v>0</v>
      </c>
      <c r="AD622" s="92">
        <f t="shared" ref="AD622" si="9214">(B622/T622-1)*100</f>
        <v>37.910231660231666</v>
      </c>
      <c r="AE622" s="92">
        <f t="shared" ref="AE622" si="9215">(C622/U622-1)*100</f>
        <v>52.924542342610522</v>
      </c>
      <c r="AF622" s="92">
        <f t="shared" ref="AF622" si="9216">(D622/V622-1)*100</f>
        <v>55.822894704204387</v>
      </c>
      <c r="AG622" s="92">
        <f t="shared" ref="AG622" si="9217">(E622/W622-1)*100</f>
        <v>41.873593726842785</v>
      </c>
      <c r="AH622" s="92">
        <f t="shared" ref="AH622" si="9218">(F622/X622-1)*100</f>
        <v>54.291923216226003</v>
      </c>
      <c r="AI622" s="92">
        <f t="shared" ref="AI622" si="9219">(G622/Y622-1)*100</f>
        <v>54.291923216226003</v>
      </c>
      <c r="AJ622" s="92">
        <f t="shared" ref="AJ622" si="9220">(H622/Z622-1)*100</f>
        <v>33.894086344519778</v>
      </c>
      <c r="AK622" s="92">
        <f t="shared" ref="AK622" si="9221">(I622/AA622-1)*100</f>
        <v>30.600009923791127</v>
      </c>
      <c r="AM622" s="112">
        <f>AP622-'Figure 8_data'!H834</f>
        <v>0</v>
      </c>
      <c r="AN622" s="92">
        <f t="shared" ref="AN622" si="9222">(B622/B570-1)*100</f>
        <v>28.716216216216228</v>
      </c>
      <c r="AO622" s="92">
        <f t="shared" ref="AO622" si="9223">(C622/C570-1)*100</f>
        <v>35.76902748414377</v>
      </c>
      <c r="AP622" s="92">
        <f t="shared" ref="AP622" si="9224">(D622/D570-1)*100</f>
        <v>36.186264308012504</v>
      </c>
      <c r="AQ622" s="92">
        <f t="shared" ref="AQ622" si="9225">(E622/E570-1)*100</f>
        <v>28.665689149560116</v>
      </c>
      <c r="AR622" s="92">
        <f t="shared" ref="AR622" si="9226">(F622/F570-1)*100</f>
        <v>27.881844380403464</v>
      </c>
      <c r="AS622" s="92">
        <f t="shared" ref="AS622" si="9227">(G622/G570-1)*100</f>
        <v>27.881844380403464</v>
      </c>
      <c r="AT622" s="92">
        <f t="shared" ref="AT622" si="9228">(H622/H570-1)*100</f>
        <v>27.035830618892497</v>
      </c>
      <c r="AU622" s="92">
        <f t="shared" ref="AU622" si="9229">(I622/I570-1)*100</f>
        <v>24.059055936785189</v>
      </c>
    </row>
  </sheetData>
  <mergeCells count="3">
    <mergeCell ref="AC1:AC3"/>
    <mergeCell ref="AM1:AM3"/>
    <mergeCell ref="T6:AU6"/>
  </mergeCells>
  <phoneticPr fontId="6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1"/>
  </sheetPr>
  <dimension ref="A1:N33"/>
  <sheetViews>
    <sheetView zoomScaleNormal="100" workbookViewId="0">
      <selection activeCell="A2" sqref="A2:J20"/>
    </sheetView>
  </sheetViews>
  <sheetFormatPr defaultRowHeight="12.5" x14ac:dyDescent="0.25"/>
  <cols>
    <col min="1" max="1" width="7.90625" customWidth="1"/>
    <col min="2" max="2" width="11.08984375" customWidth="1"/>
    <col min="3" max="3" width="10.36328125" customWidth="1"/>
    <col min="4" max="4" width="11.1796875" customWidth="1"/>
    <col min="5" max="8" width="10.36328125" customWidth="1"/>
    <col min="9" max="9" width="11" customWidth="1"/>
    <col min="10" max="10" width="2.08984375" customWidth="1"/>
  </cols>
  <sheetData>
    <row r="1" spans="1:14" s="57" customFormat="1" x14ac:dyDescent="0.25">
      <c r="A1" s="58" t="s">
        <v>54</v>
      </c>
    </row>
    <row r="2" spans="1:14" ht="19.25" customHeight="1" x14ac:dyDescent="0.3">
      <c r="A2" s="2" t="s">
        <v>33</v>
      </c>
      <c r="B2" s="1"/>
      <c r="C2" s="2"/>
      <c r="D2" s="2"/>
      <c r="E2" s="2"/>
      <c r="F2" s="2"/>
      <c r="G2" s="2"/>
      <c r="H2" s="22"/>
      <c r="I2" s="6"/>
      <c r="J2" s="15"/>
    </row>
    <row r="3" spans="1:14" s="3" customFormat="1" ht="13.5" customHeight="1" x14ac:dyDescent="0.3">
      <c r="A3" s="23" t="s">
        <v>47</v>
      </c>
      <c r="B3" s="24"/>
      <c r="C3" s="24"/>
      <c r="D3" s="24"/>
      <c r="E3" s="24"/>
      <c r="F3" s="24"/>
      <c r="G3" s="24"/>
      <c r="H3" s="24"/>
      <c r="I3" s="5"/>
      <c r="J3" s="25"/>
    </row>
    <row r="4" spans="1:14" s="3" customFormat="1" ht="39.65" customHeight="1" x14ac:dyDescent="0.3">
      <c r="A4" s="26"/>
      <c r="B4" s="26"/>
      <c r="C4" s="27" t="s">
        <v>34</v>
      </c>
      <c r="D4" s="27" t="s">
        <v>13</v>
      </c>
      <c r="E4" s="27" t="s">
        <v>58</v>
      </c>
      <c r="F4" s="27" t="s">
        <v>14</v>
      </c>
      <c r="G4" s="27" t="s">
        <v>35</v>
      </c>
      <c r="H4" s="27" t="s">
        <v>36</v>
      </c>
      <c r="I4" s="27" t="s">
        <v>15</v>
      </c>
      <c r="J4" s="28"/>
    </row>
    <row r="5" spans="1:14" s="3" customFormat="1" ht="6" customHeight="1" x14ac:dyDescent="0.3">
      <c r="A5" s="24"/>
      <c r="B5" s="24"/>
      <c r="C5" s="29"/>
      <c r="D5" s="29"/>
      <c r="E5" s="29"/>
      <c r="F5" s="29"/>
      <c r="G5" s="29"/>
      <c r="H5" s="29"/>
      <c r="I5" s="30"/>
      <c r="J5" s="31"/>
    </row>
    <row r="6" spans="1:14" s="3" customFormat="1" ht="15" x14ac:dyDescent="0.3">
      <c r="A6" s="32" t="s">
        <v>48</v>
      </c>
      <c r="B6" s="34">
        <v>41933</v>
      </c>
      <c r="C6" s="141">
        <f>+TWK!B567</f>
        <v>793.75</v>
      </c>
      <c r="D6" s="141">
        <f>+TWK!C567</f>
        <v>856.25</v>
      </c>
      <c r="E6" s="141">
        <f>+TWK!D567</f>
        <v>872.5</v>
      </c>
      <c r="F6" s="141">
        <f>+TWK!E567</f>
        <v>731.25</v>
      </c>
      <c r="G6" s="141">
        <f>+TWK!F567</f>
        <v>887.5</v>
      </c>
      <c r="H6" s="141">
        <f>+TWK!G567</f>
        <v>887.5</v>
      </c>
      <c r="I6" s="141">
        <f>+TWK!H567</f>
        <v>650</v>
      </c>
      <c r="J6" s="15"/>
      <c r="N6" s="127"/>
    </row>
    <row r="7" spans="1:14" s="3" customFormat="1" ht="13.5" customHeight="1" x14ac:dyDescent="0.3">
      <c r="A7" s="32"/>
      <c r="B7" s="34">
        <f>+B6-7</f>
        <v>41926</v>
      </c>
      <c r="C7" s="142">
        <f>+TWK!B566</f>
        <v>741.66666666666663</v>
      </c>
      <c r="D7" s="142">
        <f>+TWK!C566</f>
        <v>836.66666666666663</v>
      </c>
      <c r="E7" s="142">
        <f>+TWK!D566</f>
        <v>833.33333333333337</v>
      </c>
      <c r="F7" s="142">
        <f>+TWK!E566</f>
        <v>683.33333333333337</v>
      </c>
      <c r="G7" s="142">
        <f>+TWK!F566</f>
        <v>808.33333333333337</v>
      </c>
      <c r="H7" s="142">
        <f>+TWK!G566</f>
        <v>808.33333333333337</v>
      </c>
      <c r="I7" s="142">
        <f>+TWK!H566</f>
        <v>616.66666666666663</v>
      </c>
      <c r="J7" s="42"/>
      <c r="L7" s="127" t="s">
        <v>57</v>
      </c>
    </row>
    <row r="8" spans="1:14" s="3" customFormat="1" ht="6.65" customHeight="1" x14ac:dyDescent="0.3">
      <c r="A8" s="32"/>
      <c r="B8" s="34"/>
      <c r="C8" s="35"/>
      <c r="D8" s="35"/>
      <c r="E8" s="35"/>
      <c r="F8" s="35"/>
      <c r="G8" s="35"/>
      <c r="H8" s="35"/>
      <c r="I8" s="35"/>
      <c r="J8" s="15"/>
    </row>
    <row r="9" spans="1:14" s="3" customFormat="1" ht="13.5" customHeight="1" x14ac:dyDescent="0.3">
      <c r="A9" s="32" t="s">
        <v>24</v>
      </c>
      <c r="B9" s="33">
        <f>B6</f>
        <v>41933</v>
      </c>
      <c r="C9" s="36">
        <f t="shared" ref="C9:I10" si="0">(ROUND(C6,0))*C$24/100</f>
        <v>49.148600000000009</v>
      </c>
      <c r="D9" s="36">
        <f t="shared" si="0"/>
        <v>45.539200000000001</v>
      </c>
      <c r="E9" s="36">
        <f t="shared" si="0"/>
        <v>40.507199999999997</v>
      </c>
      <c r="F9" s="36">
        <f t="shared" si="0"/>
        <v>29.166900000000002</v>
      </c>
      <c r="G9" s="36">
        <f t="shared" si="0"/>
        <v>41.647200000000005</v>
      </c>
      <c r="H9" s="36">
        <f t="shared" si="0"/>
        <v>35.8752</v>
      </c>
      <c r="I9" s="36">
        <f t="shared" si="0"/>
        <v>20.41</v>
      </c>
      <c r="J9" s="15"/>
    </row>
    <row r="10" spans="1:14" s="3" customFormat="1" ht="13.5" customHeight="1" x14ac:dyDescent="0.3">
      <c r="A10" s="32"/>
      <c r="B10" s="34">
        <f>B7</f>
        <v>41926</v>
      </c>
      <c r="C10" s="36">
        <f t="shared" ref="C10:F10" si="1">(ROUND(C7,0))*C$24/100</f>
        <v>45.929800000000007</v>
      </c>
      <c r="D10" s="36">
        <f t="shared" si="1"/>
        <v>44.528400000000005</v>
      </c>
      <c r="E10" s="36">
        <f t="shared" si="1"/>
        <v>38.651199999999996</v>
      </c>
      <c r="F10" s="36">
        <f t="shared" si="1"/>
        <v>27.2517</v>
      </c>
      <c r="G10" s="36">
        <f t="shared" si="0"/>
        <v>37.895200000000003</v>
      </c>
      <c r="H10" s="36">
        <f t="shared" si="0"/>
        <v>32.6432</v>
      </c>
      <c r="I10" s="36">
        <f t="shared" si="0"/>
        <v>19.373800000000003</v>
      </c>
      <c r="J10" s="15"/>
    </row>
    <row r="11" spans="1:14" s="3" customFormat="1" ht="4.25" customHeight="1" x14ac:dyDescent="0.3">
      <c r="A11" s="32"/>
      <c r="B11" s="37"/>
      <c r="C11" s="38"/>
      <c r="D11" s="38"/>
      <c r="E11" s="38"/>
      <c r="F11" s="38"/>
      <c r="G11" s="38"/>
      <c r="H11" s="38"/>
      <c r="I11" s="38"/>
      <c r="J11" s="15"/>
    </row>
    <row r="12" spans="1:14" s="3" customFormat="1" ht="13.5" customHeight="1" x14ac:dyDescent="0.3">
      <c r="A12" s="39" t="s">
        <v>37</v>
      </c>
      <c r="B12" s="39"/>
      <c r="C12" s="39"/>
      <c r="D12" s="39"/>
      <c r="E12" s="39"/>
      <c r="F12" s="38"/>
      <c r="G12" s="38"/>
      <c r="H12" s="38"/>
      <c r="I12" s="38"/>
      <c r="J12" s="15"/>
    </row>
    <row r="13" spans="1:14" s="3" customFormat="1" ht="4.25" customHeight="1" x14ac:dyDescent="0.3">
      <c r="A13" s="32"/>
      <c r="B13" s="1"/>
      <c r="C13" s="54"/>
      <c r="D13" s="54"/>
      <c r="E13" s="54"/>
      <c r="F13" s="54"/>
      <c r="G13" s="54"/>
      <c r="H13" s="54"/>
      <c r="I13" s="54"/>
      <c r="J13" s="15"/>
      <c r="K13" s="16"/>
    </row>
    <row r="14" spans="1:14" ht="13.25" customHeight="1" x14ac:dyDescent="0.3">
      <c r="A14" s="32"/>
      <c r="B14" s="41" t="s">
        <v>38</v>
      </c>
      <c r="C14" s="55">
        <f>+'Table 9_data'!AN622</f>
        <v>28.716216216216228</v>
      </c>
      <c r="D14" s="55">
        <f>+'Table 9_data'!AO622</f>
        <v>35.76902748414377</v>
      </c>
      <c r="E14" s="55">
        <f>+'Table 9_data'!AP622</f>
        <v>36.186264308012504</v>
      </c>
      <c r="F14" s="55">
        <f>+'Table 9_data'!AQ622</f>
        <v>28.665689149560116</v>
      </c>
      <c r="G14" s="55">
        <f>+'Table 9_data'!AR622</f>
        <v>27.881844380403464</v>
      </c>
      <c r="H14" s="55">
        <f>+'Table 9_data'!AS622</f>
        <v>27.881844380403464</v>
      </c>
      <c r="I14" s="55">
        <f>+'Table 9_data'!AT622</f>
        <v>27.035830618892497</v>
      </c>
      <c r="J14" s="55"/>
    </row>
    <row r="15" spans="1:14" ht="13.25" customHeight="1" x14ac:dyDescent="0.3">
      <c r="A15" s="32"/>
      <c r="B15" s="41" t="s">
        <v>39</v>
      </c>
      <c r="C15" s="42">
        <f>+'Table 9_data'!AD622</f>
        <v>37.910231660231666</v>
      </c>
      <c r="D15" s="42">
        <f>+'Table 9_data'!AE622</f>
        <v>52.924542342610522</v>
      </c>
      <c r="E15" s="42">
        <f>+'Table 9_data'!AF622</f>
        <v>55.822894704204387</v>
      </c>
      <c r="F15" s="42">
        <f>+'Table 9_data'!AG622</f>
        <v>41.873593726842785</v>
      </c>
      <c r="G15" s="42">
        <f>+'Table 9_data'!AH622</f>
        <v>54.291923216226003</v>
      </c>
      <c r="H15" s="42">
        <f>+'Table 9_data'!AI622</f>
        <v>54.291923216226003</v>
      </c>
      <c r="I15" s="42">
        <f>+'Table 9_data'!AJ622</f>
        <v>33.894086344519778</v>
      </c>
      <c r="J15" s="42"/>
    </row>
    <row r="16" spans="1:14" ht="2.25" customHeight="1" x14ac:dyDescent="0.3">
      <c r="A16" s="32"/>
      <c r="B16" s="40"/>
      <c r="C16" s="29"/>
      <c r="D16" s="29"/>
      <c r="E16" s="30"/>
      <c r="F16" s="42">
        <f>+'Table 9_data'!AG495</f>
        <v>-2.1818873461402544</v>
      </c>
      <c r="G16" s="42">
        <f>+'Table 9_data'!AH495</f>
        <v>6.4785118665811492</v>
      </c>
      <c r="H16" s="42">
        <f>+'Table 9_data'!AI495</f>
        <v>6.3080371437720162</v>
      </c>
      <c r="I16" s="30"/>
      <c r="J16" s="15"/>
    </row>
    <row r="17" spans="1:10" ht="15" x14ac:dyDescent="0.3">
      <c r="A17" s="32" t="s">
        <v>48</v>
      </c>
      <c r="B17" s="41" t="s">
        <v>69</v>
      </c>
      <c r="C17" s="142">
        <f>+NXTMONTH!C567</f>
        <v>775</v>
      </c>
      <c r="D17" s="142">
        <f>+NXTMONTH!D567</f>
        <v>787.5</v>
      </c>
      <c r="E17" s="142">
        <f>+NXTMONTH!E567</f>
        <v>756.25</v>
      </c>
      <c r="F17" s="142">
        <f>+NXTMONTH!F567</f>
        <v>625</v>
      </c>
      <c r="G17" s="142">
        <f>+NXTMONTH!G567</f>
        <v>743.75</v>
      </c>
      <c r="H17" s="142">
        <f>+NXTMONTH!H567</f>
        <v>766.66666666666663</v>
      </c>
      <c r="I17" s="142">
        <f>+NXTMONTH!I567</f>
        <v>558.33333333333337</v>
      </c>
      <c r="J17" s="42"/>
    </row>
    <row r="18" spans="1:10" ht="13" x14ac:dyDescent="0.3">
      <c r="A18" s="43"/>
      <c r="B18" s="44" t="s">
        <v>70</v>
      </c>
      <c r="C18" s="56" t="s">
        <v>57</v>
      </c>
      <c r="D18" s="56" t="s">
        <v>57</v>
      </c>
      <c r="E18" s="56">
        <f>+THREEMONTH!E567</f>
        <v>600</v>
      </c>
      <c r="F18" s="56">
        <f>+THREEMONTH!F567</f>
        <v>468.75</v>
      </c>
      <c r="G18" s="56">
        <f>+THREEMONTH!G567</f>
        <v>520</v>
      </c>
      <c r="H18" s="56">
        <f>+THREEMONTH!H567</f>
        <v>545</v>
      </c>
      <c r="I18" s="56">
        <f>+THREEMONTH!I567</f>
        <v>431.25</v>
      </c>
      <c r="J18" s="56"/>
    </row>
    <row r="19" spans="1:10" ht="12.65" customHeight="1" x14ac:dyDescent="0.3">
      <c r="A19" s="45" t="s">
        <v>68</v>
      </c>
      <c r="B19" s="1"/>
      <c r="C19" s="1"/>
      <c r="D19" s="1"/>
      <c r="E19" s="29"/>
      <c r="F19" s="29"/>
      <c r="G19" s="29"/>
      <c r="H19" s="29"/>
      <c r="I19" s="5"/>
      <c r="J19" s="31"/>
    </row>
    <row r="20" spans="1:10" ht="12.65" customHeight="1" x14ac:dyDescent="0.25">
      <c r="A20" s="4" t="s">
        <v>16</v>
      </c>
      <c r="B20" s="6"/>
      <c r="C20" s="6"/>
      <c r="D20" s="5"/>
      <c r="E20" s="6"/>
      <c r="F20" s="6"/>
      <c r="G20" s="120"/>
      <c r="H20" s="120"/>
      <c r="I20" s="5"/>
      <c r="J20" s="15"/>
    </row>
    <row r="21" spans="1:10" x14ac:dyDescent="0.25">
      <c r="A21" s="4"/>
      <c r="B21" s="6"/>
      <c r="C21" s="6"/>
      <c r="D21" s="5"/>
      <c r="E21" s="6"/>
      <c r="F21" s="6"/>
      <c r="G21" s="6"/>
      <c r="H21" s="6"/>
      <c r="I21" s="5"/>
      <c r="J21" s="15"/>
    </row>
    <row r="22" spans="1:10" ht="13" x14ac:dyDescent="0.3">
      <c r="A22" s="4"/>
      <c r="B22" s="42"/>
      <c r="C22" s="6"/>
      <c r="D22" s="5"/>
      <c r="E22" s="6"/>
      <c r="F22" s="6"/>
      <c r="G22" s="6"/>
      <c r="H22" s="6"/>
      <c r="I22" s="5"/>
      <c r="J22" s="15"/>
    </row>
    <row r="23" spans="1:10" ht="13" x14ac:dyDescent="0.3">
      <c r="A23" s="4"/>
      <c r="B23" s="6"/>
      <c r="C23" s="46" t="s">
        <v>10</v>
      </c>
      <c r="D23" s="46" t="s">
        <v>7</v>
      </c>
      <c r="E23" s="46" t="s">
        <v>5</v>
      </c>
      <c r="F23" s="46" t="s">
        <v>9</v>
      </c>
      <c r="G23" s="47" t="str">
        <f>+TWK!F3</f>
        <v>CINC</v>
      </c>
      <c r="H23" s="46" t="s">
        <v>6</v>
      </c>
      <c r="I23" s="46" t="s">
        <v>2</v>
      </c>
      <c r="J23" s="48"/>
    </row>
    <row r="24" spans="1:10" ht="13" x14ac:dyDescent="0.3">
      <c r="A24" s="49" t="s">
        <v>25</v>
      </c>
      <c r="B24" s="50"/>
      <c r="C24" s="50">
        <v>6.19</v>
      </c>
      <c r="D24" s="50">
        <v>5.32</v>
      </c>
      <c r="E24" s="50">
        <v>4.6399999999999997</v>
      </c>
      <c r="F24" s="50">
        <v>3.99</v>
      </c>
      <c r="G24" s="50">
        <v>4.6900000000000004</v>
      </c>
      <c r="H24" s="50">
        <v>4.04</v>
      </c>
      <c r="I24" s="50">
        <v>3.14</v>
      </c>
    </row>
    <row r="26" spans="1:10" x14ac:dyDescent="0.25">
      <c r="A26" s="21"/>
    </row>
    <row r="27" spans="1:10" x14ac:dyDescent="0.25">
      <c r="B27" s="21"/>
      <c r="C27" s="21"/>
      <c r="D27" s="21"/>
      <c r="E27" s="21"/>
      <c r="F27" s="21"/>
      <c r="G27" s="21"/>
      <c r="H27" s="21"/>
      <c r="I27" s="21"/>
    </row>
    <row r="28" spans="1:10" ht="14" x14ac:dyDescent="0.3">
      <c r="A28" s="63"/>
      <c r="B28" s="63"/>
      <c r="C28" s="63"/>
      <c r="D28" s="63"/>
      <c r="E28" s="63"/>
      <c r="F28" s="63"/>
      <c r="G28" s="63"/>
      <c r="H28" s="63"/>
      <c r="I28" s="63"/>
    </row>
    <row r="29" spans="1:10" ht="14" x14ac:dyDescent="0.3">
      <c r="A29" s="63"/>
      <c r="B29" s="68"/>
      <c r="C29" s="68"/>
      <c r="D29" s="68"/>
      <c r="E29" s="68"/>
      <c r="F29" s="68"/>
      <c r="G29" s="68"/>
      <c r="H29" s="68"/>
      <c r="I29" s="68"/>
    </row>
    <row r="30" spans="1:10" ht="14" x14ac:dyDescent="0.3">
      <c r="A30" s="63"/>
      <c r="B30" s="68"/>
      <c r="C30" s="68"/>
      <c r="D30" s="68"/>
      <c r="E30" s="68"/>
      <c r="F30" s="68"/>
      <c r="G30" s="68"/>
      <c r="H30" s="68"/>
      <c r="I30" s="68"/>
    </row>
    <row r="31" spans="1:10" ht="14" x14ac:dyDescent="0.3">
      <c r="A31" s="63"/>
      <c r="B31" s="68"/>
      <c r="C31" s="68"/>
      <c r="D31" s="68"/>
      <c r="E31" s="68"/>
      <c r="F31" s="68"/>
      <c r="G31" s="68"/>
      <c r="H31" s="68"/>
      <c r="I31" s="68"/>
    </row>
    <row r="32" spans="1:10" x14ac:dyDescent="0.25">
      <c r="B32" s="21"/>
      <c r="C32" s="21"/>
      <c r="D32" s="21"/>
      <c r="E32" s="21"/>
      <c r="F32" s="21"/>
      <c r="G32" s="21"/>
      <c r="H32" s="21"/>
      <c r="I32" s="21"/>
    </row>
    <row r="33" spans="2:9" x14ac:dyDescent="0.25">
      <c r="B33" s="21"/>
      <c r="C33" s="21"/>
      <c r="D33" s="21"/>
      <c r="E33" s="21"/>
      <c r="F33" s="21"/>
      <c r="G33" s="21"/>
      <c r="H33" s="21"/>
      <c r="I33" s="21"/>
    </row>
  </sheetData>
  <phoneticPr fontId="6" type="noConversion"/>
  <pageMargins left="0.75" right="0.48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TWK</vt:lpstr>
      <vt:lpstr>NXTMONTH</vt:lpstr>
      <vt:lpstr>THREEMONTH</vt:lpstr>
      <vt:lpstr>New Figure 8</vt:lpstr>
      <vt:lpstr>Figure 8_data</vt:lpstr>
      <vt:lpstr>Table 9_data</vt:lpstr>
      <vt:lpstr>New Table 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Barge Rates</dc:title>
  <dc:creator>Sparger, Adam (AMS)</dc:creator>
  <cp:lastModifiedBy>NIck</cp:lastModifiedBy>
  <cp:lastPrinted>2014-04-02T12:17:25Z</cp:lastPrinted>
  <dcterms:created xsi:type="dcterms:W3CDTF">2001-05-02T19:10:15Z</dcterms:created>
  <dcterms:modified xsi:type="dcterms:W3CDTF">2014-10-21T19:41:35Z</dcterms:modified>
</cp:coreProperties>
</file>