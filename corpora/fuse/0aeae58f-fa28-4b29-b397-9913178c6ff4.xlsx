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5180" windowHeight="858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I2234" i="1"/>
  <c r="I2230"/>
  <c r="I2229"/>
  <c r="I2233" s="1"/>
  <c r="I2228"/>
  <c r="I2232" s="1"/>
  <c r="I2227"/>
  <c r="I2231" s="1"/>
  <c r="I2226"/>
  <c r="I2225"/>
  <c r="I2216"/>
  <c r="I2220" s="1"/>
  <c r="I2215"/>
  <c r="I2219" s="1"/>
  <c r="I2214"/>
  <c r="I2218" s="1"/>
  <c r="I2213"/>
  <c r="I2212"/>
  <c r="I2204"/>
  <c r="I2208" s="1"/>
  <c r="I2203"/>
  <c r="I2207" s="1"/>
  <c r="I2202"/>
  <c r="I2206" s="1"/>
  <c r="I2201"/>
  <c r="I2200"/>
  <c r="I2192"/>
  <c r="I2191"/>
  <c r="I2190"/>
  <c r="I2189"/>
  <c r="I2188"/>
  <c r="I2180"/>
  <c r="I2179"/>
  <c r="I2178"/>
  <c r="I2177"/>
  <c r="I2176"/>
  <c r="I2168"/>
  <c r="I2167"/>
  <c r="I2166"/>
  <c r="I2165"/>
  <c r="I2164"/>
  <c r="I2156"/>
  <c r="I2161" s="1"/>
  <c r="I2155"/>
  <c r="I2159" s="1"/>
  <c r="I2154"/>
  <c r="I2157" s="1"/>
  <c r="I2153"/>
  <c r="I2152"/>
  <c r="I2144"/>
  <c r="I2149" s="1"/>
  <c r="I2143"/>
  <c r="I2147" s="1"/>
  <c r="I2142"/>
  <c r="I2145" s="1"/>
  <c r="I2141"/>
  <c r="I2140"/>
  <c r="I2132"/>
  <c r="I2137" s="1"/>
  <c r="I2131"/>
  <c r="I2135" s="1"/>
  <c r="I2130"/>
  <c r="I2133" s="1"/>
  <c r="I2129"/>
  <c r="I2128"/>
  <c r="I2120"/>
  <c r="I2125" s="1"/>
  <c r="I2119"/>
  <c r="I2123" s="1"/>
  <c r="I2118"/>
  <c r="I2121" s="1"/>
  <c r="I2117"/>
  <c r="I2116"/>
  <c r="I2108"/>
  <c r="I2113" s="1"/>
  <c r="I2107"/>
  <c r="I2111" s="1"/>
  <c r="I2106"/>
  <c r="I2109" s="1"/>
  <c r="I2105"/>
  <c r="I2104"/>
  <c r="I2096"/>
  <c r="I2101" s="1"/>
  <c r="I2095"/>
  <c r="I2099" s="1"/>
  <c r="I2094"/>
  <c r="I2097" s="1"/>
  <c r="I2093"/>
  <c r="I2092"/>
  <c r="I2084"/>
  <c r="I2089" s="1"/>
  <c r="I2083"/>
  <c r="I2087" s="1"/>
  <c r="I2082"/>
  <c r="I2085" s="1"/>
  <c r="I2081"/>
  <c r="I2080"/>
  <c r="I2072"/>
  <c r="I2077" s="1"/>
  <c r="I2071"/>
  <c r="I2075" s="1"/>
  <c r="I2070"/>
  <c r="I2073" s="1"/>
  <c r="I2069"/>
  <c r="I2068"/>
  <c r="I2060"/>
  <c r="I2065" s="1"/>
  <c r="I2059"/>
  <c r="I2063" s="1"/>
  <c r="I2058"/>
  <c r="I2061" s="1"/>
  <c r="I2057"/>
  <c r="I2056"/>
  <c r="I2048"/>
  <c r="I2053" s="1"/>
  <c r="I2047"/>
  <c r="I2051" s="1"/>
  <c r="I2046"/>
  <c r="I2049" s="1"/>
  <c r="I2045"/>
  <c r="I2044"/>
  <c r="I2036"/>
  <c r="I2041" s="1"/>
  <c r="I2035"/>
  <c r="I2039" s="1"/>
  <c r="I2034"/>
  <c r="I2037" s="1"/>
  <c r="I2033"/>
  <c r="I2032"/>
  <c r="I2024"/>
  <c r="I2029" s="1"/>
  <c r="I2023"/>
  <c r="I2027" s="1"/>
  <c r="I2022"/>
  <c r="I2025" s="1"/>
  <c r="I2021"/>
  <c r="I2020"/>
  <c r="I2012"/>
  <c r="I2017" s="1"/>
  <c r="I2011"/>
  <c r="I2015" s="1"/>
  <c r="I2010"/>
  <c r="I2013" s="1"/>
  <c r="I2009"/>
  <c r="I2008"/>
  <c r="I2000"/>
  <c r="I2005" s="1"/>
  <c r="I1999"/>
  <c r="I2003" s="1"/>
  <c r="I1998"/>
  <c r="I2001" s="1"/>
  <c r="I1997"/>
  <c r="I1996"/>
  <c r="I1988"/>
  <c r="I1993" s="1"/>
  <c r="I1987"/>
  <c r="I1991" s="1"/>
  <c r="I1986"/>
  <c r="I1989" s="1"/>
  <c r="I1985"/>
  <c r="I1984"/>
  <c r="I1976"/>
  <c r="I1981" s="1"/>
  <c r="I1975"/>
  <c r="I1979" s="1"/>
  <c r="I1974"/>
  <c r="I1977" s="1"/>
  <c r="I1973"/>
  <c r="I1972"/>
  <c r="I1964"/>
  <c r="I1969" s="1"/>
  <c r="I1963"/>
  <c r="I1967" s="1"/>
  <c r="I1962"/>
  <c r="I1965" s="1"/>
  <c r="I1961"/>
  <c r="I1960"/>
  <c r="I1952"/>
  <c r="I1957" s="1"/>
  <c r="I1951"/>
  <c r="I1955" s="1"/>
  <c r="I1950"/>
  <c r="I1953" s="1"/>
  <c r="I1949"/>
  <c r="I1948"/>
  <c r="I1940"/>
  <c r="I1945" s="1"/>
  <c r="I1939"/>
  <c r="I1943" s="1"/>
  <c r="I1938"/>
  <c r="I1941" s="1"/>
  <c r="I1937"/>
  <c r="I1936"/>
  <c r="I1928"/>
  <c r="I1933" s="1"/>
  <c r="I1927"/>
  <c r="I1931" s="1"/>
  <c r="I1926"/>
  <c r="I1929" s="1"/>
  <c r="I1925"/>
  <c r="I1924"/>
  <c r="I1916"/>
  <c r="I1921" s="1"/>
  <c r="I1915"/>
  <c r="I1919" s="1"/>
  <c r="I1914"/>
  <c r="I1917" s="1"/>
  <c r="I1913"/>
  <c r="I1912"/>
  <c r="I1904"/>
  <c r="I1909" s="1"/>
  <c r="I1903"/>
  <c r="I1907" s="1"/>
  <c r="I1902"/>
  <c r="I1905" s="1"/>
  <c r="I1901"/>
  <c r="I1900"/>
  <c r="I1892"/>
  <c r="I1897" s="1"/>
  <c r="I1891"/>
  <c r="I1895" s="1"/>
  <c r="I1890"/>
  <c r="I1893" s="1"/>
  <c r="I1889"/>
  <c r="I1888"/>
  <c r="I1880"/>
  <c r="I1885" s="1"/>
  <c r="I1879"/>
  <c r="I1883" s="1"/>
  <c r="I1878"/>
  <c r="I1881" s="1"/>
  <c r="I1877"/>
  <c r="I1876"/>
  <c r="I1868"/>
  <c r="I1873" s="1"/>
  <c r="I1867"/>
  <c r="I1871" s="1"/>
  <c r="I1866"/>
  <c r="I1869" s="1"/>
  <c r="I1865"/>
  <c r="I1864"/>
  <c r="I1856"/>
  <c r="I1861" s="1"/>
  <c r="I1855"/>
  <c r="I1859" s="1"/>
  <c r="I1854"/>
  <c r="I1857" s="1"/>
  <c r="I1853"/>
  <c r="I1852"/>
  <c r="I1844"/>
  <c r="I1849" s="1"/>
  <c r="I1843"/>
  <c r="I1847" s="1"/>
  <c r="I1842"/>
  <c r="I1845" s="1"/>
  <c r="I1841"/>
  <c r="I1840"/>
  <c r="I1832"/>
  <c r="I1837" s="1"/>
  <c r="I1831"/>
  <c r="I1835" s="1"/>
  <c r="I1830"/>
  <c r="I1833" s="1"/>
  <c r="I1829"/>
  <c r="I1828"/>
  <c r="I1820"/>
  <c r="I1825" s="1"/>
  <c r="I1819"/>
  <c r="I1823" s="1"/>
  <c r="I1818"/>
  <c r="I1821" s="1"/>
  <c r="I1817"/>
  <c r="I1816"/>
  <c r="I1808"/>
  <c r="I1813" s="1"/>
  <c r="I1807"/>
  <c r="I1811" s="1"/>
  <c r="I1806"/>
  <c r="I1809" s="1"/>
  <c r="I1805"/>
  <c r="I1804"/>
  <c r="I1796"/>
  <c r="I1795"/>
  <c r="I1794"/>
  <c r="I1793"/>
  <c r="I1792"/>
  <c r="I1789"/>
  <c r="I1785"/>
  <c r="I1784"/>
  <c r="I1788" s="1"/>
  <c r="I1783"/>
  <c r="I1787" s="1"/>
  <c r="I1782"/>
  <c r="I1786" s="1"/>
  <c r="I1781"/>
  <c r="I1780"/>
  <c r="I1777"/>
  <c r="I1773"/>
  <c r="I1772"/>
  <c r="I1776" s="1"/>
  <c r="I1771"/>
  <c r="I1775" s="1"/>
  <c r="I1770"/>
  <c r="I1774" s="1"/>
  <c r="I1769"/>
  <c r="I1768"/>
  <c r="I1765"/>
  <c r="I1761"/>
  <c r="I1760"/>
  <c r="I1764" s="1"/>
  <c r="I1759"/>
  <c r="I1763" s="1"/>
  <c r="I1758"/>
  <c r="I1762" s="1"/>
  <c r="I1757"/>
  <c r="I1756"/>
  <c r="I1753"/>
  <c r="I1749"/>
  <c r="I1748"/>
  <c r="I1752" s="1"/>
  <c r="I1747"/>
  <c r="I1751" s="1"/>
  <c r="I1746"/>
  <c r="I1750" s="1"/>
  <c r="I1745"/>
  <c r="I1744"/>
  <c r="I1741"/>
  <c r="I1737"/>
  <c r="I1736"/>
  <c r="I1740" s="1"/>
  <c r="I1735"/>
  <c r="I1739" s="1"/>
  <c r="I1734"/>
  <c r="I1738" s="1"/>
  <c r="I1733"/>
  <c r="I1732"/>
  <c r="I1729"/>
  <c r="I1725"/>
  <c r="I1724"/>
  <c r="I1728" s="1"/>
  <c r="I1723"/>
  <c r="I1727" s="1"/>
  <c r="I1722"/>
  <c r="I1726" s="1"/>
  <c r="I1721"/>
  <c r="I1720"/>
  <c r="I1717"/>
  <c r="I1713"/>
  <c r="I1712"/>
  <c r="I1716" s="1"/>
  <c r="I1711"/>
  <c r="I1715" s="1"/>
  <c r="I1710"/>
  <c r="I1714" s="1"/>
  <c r="I1709"/>
  <c r="I1708"/>
  <c r="I1705"/>
  <c r="I1701"/>
  <c r="I1700"/>
  <c r="I1704" s="1"/>
  <c r="I1699"/>
  <c r="I1703" s="1"/>
  <c r="I1698"/>
  <c r="I1702" s="1"/>
  <c r="I1697"/>
  <c r="I1696"/>
  <c r="I1693"/>
  <c r="I1689"/>
  <c r="I1688"/>
  <c r="I1692" s="1"/>
  <c r="I1687"/>
  <c r="I1691" s="1"/>
  <c r="I1686"/>
  <c r="I1690" s="1"/>
  <c r="I1685"/>
  <c r="I1684"/>
  <c r="I1681"/>
  <c r="I1677"/>
  <c r="I1676"/>
  <c r="I1680" s="1"/>
  <c r="I1675"/>
  <c r="I1679" s="1"/>
  <c r="I1674"/>
  <c r="I1678" s="1"/>
  <c r="I1673"/>
  <c r="I1672"/>
  <c r="I1669"/>
  <c r="I1665"/>
  <c r="I1664"/>
  <c r="I1668" s="1"/>
  <c r="I1663"/>
  <c r="I1667" s="1"/>
  <c r="I1662"/>
  <c r="I1666" s="1"/>
  <c r="I1661"/>
  <c r="I1660"/>
  <c r="I1652"/>
  <c r="I1656" s="1"/>
  <c r="I1651"/>
  <c r="I1655" s="1"/>
  <c r="I1650"/>
  <c r="I1654" s="1"/>
  <c r="I1649"/>
  <c r="I1648"/>
  <c r="I1653" s="1"/>
  <c r="I1640"/>
  <c r="I1644" s="1"/>
  <c r="I1639"/>
  <c r="I1643" s="1"/>
  <c r="I1638"/>
  <c r="I1642" s="1"/>
  <c r="I1637"/>
  <c r="I1636"/>
  <c r="I1628"/>
  <c r="I1632" s="1"/>
  <c r="I1627"/>
  <c r="I1631" s="1"/>
  <c r="I1626"/>
  <c r="I1630" s="1"/>
  <c r="I1625"/>
  <c r="I1624"/>
  <c r="I1616"/>
  <c r="I1620" s="1"/>
  <c r="I1615"/>
  <c r="I1619" s="1"/>
  <c r="I1614"/>
  <c r="I1618" s="1"/>
  <c r="I1613"/>
  <c r="I1612"/>
  <c r="I1604"/>
  <c r="I1608" s="1"/>
  <c r="I1603"/>
  <c r="I1607" s="1"/>
  <c r="I1602"/>
  <c r="I1606" s="1"/>
  <c r="I1601"/>
  <c r="I1600"/>
  <c r="I1592"/>
  <c r="I1596" s="1"/>
  <c r="I1591"/>
  <c r="I1595" s="1"/>
  <c r="I1590"/>
  <c r="I1594" s="1"/>
  <c r="I1589"/>
  <c r="I1588"/>
  <c r="I1580"/>
  <c r="I1584" s="1"/>
  <c r="I1579"/>
  <c r="I1583" s="1"/>
  <c r="I1578"/>
  <c r="I1582" s="1"/>
  <c r="I1577"/>
  <c r="I1576"/>
  <c r="I1568"/>
  <c r="I1572" s="1"/>
  <c r="I1567"/>
  <c r="I1571" s="1"/>
  <c r="I1566"/>
  <c r="I1570" s="1"/>
  <c r="I1565"/>
  <c r="I1564"/>
  <c r="I1556"/>
  <c r="I1560" s="1"/>
  <c r="I1555"/>
  <c r="I1559" s="1"/>
  <c r="I1554"/>
  <c r="I1558" s="1"/>
  <c r="I1553"/>
  <c r="I1552"/>
  <c r="I1544"/>
  <c r="I1548" s="1"/>
  <c r="I1543"/>
  <c r="I1547" s="1"/>
  <c r="I1542"/>
  <c r="I1546" s="1"/>
  <c r="I1541"/>
  <c r="I1540"/>
  <c r="I1532"/>
  <c r="I1536" s="1"/>
  <c r="I1531"/>
  <c r="I1535" s="1"/>
  <c r="I1530"/>
  <c r="I1534" s="1"/>
  <c r="I1529"/>
  <c r="I1528"/>
  <c r="I1520"/>
  <c r="I1524" s="1"/>
  <c r="I1519"/>
  <c r="I1523" s="1"/>
  <c r="I1518"/>
  <c r="I1522" s="1"/>
  <c r="I1517"/>
  <c r="I1516"/>
  <c r="I1508"/>
  <c r="I1512" s="1"/>
  <c r="I1507"/>
  <c r="I1511" s="1"/>
  <c r="I1506"/>
  <c r="I1510" s="1"/>
  <c r="I1505"/>
  <c r="I1504"/>
  <c r="I1496"/>
  <c r="I1500" s="1"/>
  <c r="I1495"/>
  <c r="I1499" s="1"/>
  <c r="I1494"/>
  <c r="I1498" s="1"/>
  <c r="I1493"/>
  <c r="I1492"/>
  <c r="I1484"/>
  <c r="I1488" s="1"/>
  <c r="I1483"/>
  <c r="I1487" s="1"/>
  <c r="I1482"/>
  <c r="I1486" s="1"/>
  <c r="I1481"/>
  <c r="I1480"/>
  <c r="I1472"/>
  <c r="I1476" s="1"/>
  <c r="I1471"/>
  <c r="I1475" s="1"/>
  <c r="I1470"/>
  <c r="I1474" s="1"/>
  <c r="I1469"/>
  <c r="I1468"/>
  <c r="I1460"/>
  <c r="I1464" s="1"/>
  <c r="I1459"/>
  <c r="I1463" s="1"/>
  <c r="I1458"/>
  <c r="I1462" s="1"/>
  <c r="I1457"/>
  <c r="I1456"/>
  <c r="I1448"/>
  <c r="I1452" s="1"/>
  <c r="I1447"/>
  <c r="I1451" s="1"/>
  <c r="I1446"/>
  <c r="I1450" s="1"/>
  <c r="I1445"/>
  <c r="I1444"/>
  <c r="I1436"/>
  <c r="I1440" s="1"/>
  <c r="I1435"/>
  <c r="I1439" s="1"/>
  <c r="I1434"/>
  <c r="I1438" s="1"/>
  <c r="I1433"/>
  <c r="I1432"/>
  <c r="I1424"/>
  <c r="I1428" s="1"/>
  <c r="I1423"/>
  <c r="I1427" s="1"/>
  <c r="I1422"/>
  <c r="I1426" s="1"/>
  <c r="I1421"/>
  <c r="I1420"/>
  <c r="I1412"/>
  <c r="I1416" s="1"/>
  <c r="I1411"/>
  <c r="I1415" s="1"/>
  <c r="I1410"/>
  <c r="I1414" s="1"/>
  <c r="I1409"/>
  <c r="I1408"/>
  <c r="I1400"/>
  <c r="I1404" s="1"/>
  <c r="I1399"/>
  <c r="I1403" s="1"/>
  <c r="I1398"/>
  <c r="I1402" s="1"/>
  <c r="I1397"/>
  <c r="I1396"/>
  <c r="I1388"/>
  <c r="I1392" s="1"/>
  <c r="I1387"/>
  <c r="I1391" s="1"/>
  <c r="I1386"/>
  <c r="I1390" s="1"/>
  <c r="I1385"/>
  <c r="I1384"/>
  <c r="I1376"/>
  <c r="I1380" s="1"/>
  <c r="I1375"/>
  <c r="I1379" s="1"/>
  <c r="I1374"/>
  <c r="I1378" s="1"/>
  <c r="I1373"/>
  <c r="I1372"/>
  <c r="I1364"/>
  <c r="I1368" s="1"/>
  <c r="I1363"/>
  <c r="I1367" s="1"/>
  <c r="I1362"/>
  <c r="I1366" s="1"/>
  <c r="I1361"/>
  <c r="I1360"/>
  <c r="I1352"/>
  <c r="I1356" s="1"/>
  <c r="I1351"/>
  <c r="I1355" s="1"/>
  <c r="I1350"/>
  <c r="I1354" s="1"/>
  <c r="I1349"/>
  <c r="I1348"/>
  <c r="I1340"/>
  <c r="I1344" s="1"/>
  <c r="I1339"/>
  <c r="I1343" s="1"/>
  <c r="I1338"/>
  <c r="I1342" s="1"/>
  <c r="I1337"/>
  <c r="I1336"/>
  <c r="I1328"/>
  <c r="I1332" s="1"/>
  <c r="I1327"/>
  <c r="I1331" s="1"/>
  <c r="I1326"/>
  <c r="I1330" s="1"/>
  <c r="I1325"/>
  <c r="I1324"/>
  <c r="I1316"/>
  <c r="I1320" s="1"/>
  <c r="I1315"/>
  <c r="I1319" s="1"/>
  <c r="I1314"/>
  <c r="I1318" s="1"/>
  <c r="I1313"/>
  <c r="I1312"/>
  <c r="I1304"/>
  <c r="I1308" s="1"/>
  <c r="I1303"/>
  <c r="I1307" s="1"/>
  <c r="I1302"/>
  <c r="I1306" s="1"/>
  <c r="I1301"/>
  <c r="I1300"/>
  <c r="I1292"/>
  <c r="I1296" s="1"/>
  <c r="I1291"/>
  <c r="I1295" s="1"/>
  <c r="I1290"/>
  <c r="I1294" s="1"/>
  <c r="I1289"/>
  <c r="I1288"/>
  <c r="I1280"/>
  <c r="I1284" s="1"/>
  <c r="I1279"/>
  <c r="I1283" s="1"/>
  <c r="I1278"/>
  <c r="I1282" s="1"/>
  <c r="I1277"/>
  <c r="I1276"/>
  <c r="I1268"/>
  <c r="I1272" s="1"/>
  <c r="I1267"/>
  <c r="I1271" s="1"/>
  <c r="I1266"/>
  <c r="I1270" s="1"/>
  <c r="I1265"/>
  <c r="I1264"/>
  <c r="I1256"/>
  <c r="I1260" s="1"/>
  <c r="I1255"/>
  <c r="I1259" s="1"/>
  <c r="I1254"/>
  <c r="I1258" s="1"/>
  <c r="I1253"/>
  <c r="I1252"/>
  <c r="I1244"/>
  <c r="I1248" s="1"/>
  <c r="I1243"/>
  <c r="I1247" s="1"/>
  <c r="I1242"/>
  <c r="I1246" s="1"/>
  <c r="I1241"/>
  <c r="I1240"/>
  <c r="I1232"/>
  <c r="I1236" s="1"/>
  <c r="I1231"/>
  <c r="I1235" s="1"/>
  <c r="I1230"/>
  <c r="I1234" s="1"/>
  <c r="I1229"/>
  <c r="I1228"/>
  <c r="I1220"/>
  <c r="I1224" s="1"/>
  <c r="I1219"/>
  <c r="I1223" s="1"/>
  <c r="I1218"/>
  <c r="I1222" s="1"/>
  <c r="I1217"/>
  <c r="I1216"/>
  <c r="I1208"/>
  <c r="I1212" s="1"/>
  <c r="I1207"/>
  <c r="I1211" s="1"/>
  <c r="I1206"/>
  <c r="I1210" s="1"/>
  <c r="I1205"/>
  <c r="I1204"/>
  <c r="I1196"/>
  <c r="I1200" s="1"/>
  <c r="I1195"/>
  <c r="I1199" s="1"/>
  <c r="I1194"/>
  <c r="I1198" s="1"/>
  <c r="I1193"/>
  <c r="I1192"/>
  <c r="I1184"/>
  <c r="I1188" s="1"/>
  <c r="I1183"/>
  <c r="I1187" s="1"/>
  <c r="I1182"/>
  <c r="I1186" s="1"/>
  <c r="I1181"/>
  <c r="I1180"/>
  <c r="I1172"/>
  <c r="I1176" s="1"/>
  <c r="I1171"/>
  <c r="I1175" s="1"/>
  <c r="I1170"/>
  <c r="I1174" s="1"/>
  <c r="I1169"/>
  <c r="I1168"/>
  <c r="I1160"/>
  <c r="I1164" s="1"/>
  <c r="I1159"/>
  <c r="I1163" s="1"/>
  <c r="I1158"/>
  <c r="I1162" s="1"/>
  <c r="I1157"/>
  <c r="I1156"/>
  <c r="I1148"/>
  <c r="I1152" s="1"/>
  <c r="I1147"/>
  <c r="I1151" s="1"/>
  <c r="I1146"/>
  <c r="I1150" s="1"/>
  <c r="I1145"/>
  <c r="I1144"/>
  <c r="I1136"/>
  <c r="I1140" s="1"/>
  <c r="I1135"/>
  <c r="I1139" s="1"/>
  <c r="I1134"/>
  <c r="I1138" s="1"/>
  <c r="I1133"/>
  <c r="I1132"/>
  <c r="I1124"/>
  <c r="I1128" s="1"/>
  <c r="I1123"/>
  <c r="I1127" s="1"/>
  <c r="I1122"/>
  <c r="I1126" s="1"/>
  <c r="I1121"/>
  <c r="I1120"/>
  <c r="I1112"/>
  <c r="I1116" s="1"/>
  <c r="I1111"/>
  <c r="I1115" s="1"/>
  <c r="I1110"/>
  <c r="I1114" s="1"/>
  <c r="I1109"/>
  <c r="I1108"/>
  <c r="I1100"/>
  <c r="I1104" s="1"/>
  <c r="I1099"/>
  <c r="I1103" s="1"/>
  <c r="I1098"/>
  <c r="I1102" s="1"/>
  <c r="I1097"/>
  <c r="I1096"/>
  <c r="I1088"/>
  <c r="I1092" s="1"/>
  <c r="I1087"/>
  <c r="I1091" s="1"/>
  <c r="I1086"/>
  <c r="I1090" s="1"/>
  <c r="I1085"/>
  <c r="I1084"/>
  <c r="I1076"/>
  <c r="I1080" s="1"/>
  <c r="I1075"/>
  <c r="I1079" s="1"/>
  <c r="I1074"/>
  <c r="I1078" s="1"/>
  <c r="I1073"/>
  <c r="I1072"/>
  <c r="I1064"/>
  <c r="I1068" s="1"/>
  <c r="I1063"/>
  <c r="I1067" s="1"/>
  <c r="I1062"/>
  <c r="I1066" s="1"/>
  <c r="I1061"/>
  <c r="I1060"/>
  <c r="I1052"/>
  <c r="I1056" s="1"/>
  <c r="I1051"/>
  <c r="I1055" s="1"/>
  <c r="I1050"/>
  <c r="I1054" s="1"/>
  <c r="I1049"/>
  <c r="I1048"/>
  <c r="I1040"/>
  <c r="I1039"/>
  <c r="I1038"/>
  <c r="I1042" s="1"/>
  <c r="I1037"/>
  <c r="I1036"/>
  <c r="I1030"/>
  <c r="I1028"/>
  <c r="I1027"/>
  <c r="I1031" s="1"/>
  <c r="I1026"/>
  <c r="I1025"/>
  <c r="I1024"/>
  <c r="I1016"/>
  <c r="I1015"/>
  <c r="I1014"/>
  <c r="I1018" s="1"/>
  <c r="I1013"/>
  <c r="I1012"/>
  <c r="I1006"/>
  <c r="I1004"/>
  <c r="I1003"/>
  <c r="I1007" s="1"/>
  <c r="I1002"/>
  <c r="I1001"/>
  <c r="I1000"/>
  <c r="I992"/>
  <c r="I991"/>
  <c r="I990"/>
  <c r="I994" s="1"/>
  <c r="I989"/>
  <c r="I988"/>
  <c r="I982"/>
  <c r="I980"/>
  <c r="I979"/>
  <c r="I983" s="1"/>
  <c r="I978"/>
  <c r="I977"/>
  <c r="I976"/>
  <c r="I968"/>
  <c r="I967"/>
  <c r="I966"/>
  <c r="I970" s="1"/>
  <c r="I965"/>
  <c r="I964"/>
  <c r="I958"/>
  <c r="I956"/>
  <c r="I955"/>
  <c r="I959" s="1"/>
  <c r="I954"/>
  <c r="I953"/>
  <c r="I952"/>
  <c r="I944"/>
  <c r="I943"/>
  <c r="I947" s="1"/>
  <c r="I942"/>
  <c r="I946" s="1"/>
  <c r="I941"/>
  <c r="I940"/>
  <c r="I932"/>
  <c r="I936" s="1"/>
  <c r="I931"/>
  <c r="I935" s="1"/>
  <c r="I930"/>
  <c r="I934" s="1"/>
  <c r="I929"/>
  <c r="I928"/>
  <c r="I920"/>
  <c r="I924" s="1"/>
  <c r="I919"/>
  <c r="I923" s="1"/>
  <c r="I918"/>
  <c r="I922" s="1"/>
  <c r="I917"/>
  <c r="I916"/>
  <c r="I908"/>
  <c r="I912" s="1"/>
  <c r="I907"/>
  <c r="I911" s="1"/>
  <c r="I906"/>
  <c r="I910" s="1"/>
  <c r="I905"/>
  <c r="I904"/>
  <c r="I896"/>
  <c r="I900" s="1"/>
  <c r="I895"/>
  <c r="I899" s="1"/>
  <c r="I894"/>
  <c r="I898" s="1"/>
  <c r="I893"/>
  <c r="I892"/>
  <c r="I884"/>
  <c r="I888" s="1"/>
  <c r="I883"/>
  <c r="I887" s="1"/>
  <c r="I882"/>
  <c r="I886" s="1"/>
  <c r="I881"/>
  <c r="I880"/>
  <c r="I872"/>
  <c r="I876" s="1"/>
  <c r="I871"/>
  <c r="I875" s="1"/>
  <c r="I870"/>
  <c r="I874" s="1"/>
  <c r="I869"/>
  <c r="I868"/>
  <c r="I860"/>
  <c r="I864" s="1"/>
  <c r="I859"/>
  <c r="I863" s="1"/>
  <c r="I858"/>
  <c r="I862" s="1"/>
  <c r="I857"/>
  <c r="I856"/>
  <c r="I848"/>
  <c r="I852" s="1"/>
  <c r="I847"/>
  <c r="I851" s="1"/>
  <c r="I846"/>
  <c r="I850" s="1"/>
  <c r="I845"/>
  <c r="I844"/>
  <c r="I836"/>
  <c r="I840" s="1"/>
  <c r="I835"/>
  <c r="I839" s="1"/>
  <c r="I834"/>
  <c r="I838" s="1"/>
  <c r="I833"/>
  <c r="I832"/>
  <c r="I824"/>
  <c r="I828" s="1"/>
  <c r="I823"/>
  <c r="I827" s="1"/>
  <c r="I822"/>
  <c r="I826" s="1"/>
  <c r="I821"/>
  <c r="I820"/>
  <c r="I812"/>
  <c r="I816" s="1"/>
  <c r="I811"/>
  <c r="I815" s="1"/>
  <c r="I810"/>
  <c r="I814" s="1"/>
  <c r="I809"/>
  <c r="I808"/>
  <c r="I800"/>
  <c r="I804" s="1"/>
  <c r="I799"/>
  <c r="I803" s="1"/>
  <c r="I798"/>
  <c r="I802" s="1"/>
  <c r="I797"/>
  <c r="I796"/>
  <c r="I788"/>
  <c r="I792" s="1"/>
  <c r="I787"/>
  <c r="I791" s="1"/>
  <c r="I786"/>
  <c r="I790" s="1"/>
  <c r="I785"/>
  <c r="I784"/>
  <c r="I776"/>
  <c r="I780" s="1"/>
  <c r="I775"/>
  <c r="I779" s="1"/>
  <c r="I774"/>
  <c r="I778" s="1"/>
  <c r="I773"/>
  <c r="I772"/>
  <c r="I764"/>
  <c r="I768" s="1"/>
  <c r="I763"/>
  <c r="I767" s="1"/>
  <c r="I762"/>
  <c r="I766" s="1"/>
  <c r="I761"/>
  <c r="I760"/>
  <c r="I752"/>
  <c r="I756" s="1"/>
  <c r="I751"/>
  <c r="I755" s="1"/>
  <c r="I750"/>
  <c r="I754" s="1"/>
  <c r="I749"/>
  <c r="I748"/>
  <c r="I740"/>
  <c r="I744" s="1"/>
  <c r="I739"/>
  <c r="I743" s="1"/>
  <c r="I738"/>
  <c r="I742" s="1"/>
  <c r="I737"/>
  <c r="I736"/>
  <c r="I728"/>
  <c r="I732" s="1"/>
  <c r="I727"/>
  <c r="I731" s="1"/>
  <c r="I726"/>
  <c r="I730" s="1"/>
  <c r="I725"/>
  <c r="I724"/>
  <c r="I716"/>
  <c r="I720" s="1"/>
  <c r="I715"/>
  <c r="I719" s="1"/>
  <c r="I714"/>
  <c r="I718" s="1"/>
  <c r="I713"/>
  <c r="I712"/>
  <c r="I704"/>
  <c r="I708" s="1"/>
  <c r="I703"/>
  <c r="I707" s="1"/>
  <c r="I702"/>
  <c r="I706" s="1"/>
  <c r="I701"/>
  <c r="I700"/>
  <c r="I692"/>
  <c r="I696" s="1"/>
  <c r="I691"/>
  <c r="I695" s="1"/>
  <c r="I690"/>
  <c r="I694" s="1"/>
  <c r="I689"/>
  <c r="I688"/>
  <c r="I680"/>
  <c r="I684" s="1"/>
  <c r="I679"/>
  <c r="I683" s="1"/>
  <c r="I678"/>
  <c r="I682" s="1"/>
  <c r="I677"/>
  <c r="I676"/>
  <c r="I668"/>
  <c r="I672" s="1"/>
  <c r="I667"/>
  <c r="I671" s="1"/>
  <c r="I666"/>
  <c r="I670" s="1"/>
  <c r="I665"/>
  <c r="I664"/>
  <c r="I656"/>
  <c r="I660" s="1"/>
  <c r="I655"/>
  <c r="I659" s="1"/>
  <c r="I654"/>
  <c r="I658" s="1"/>
  <c r="I653"/>
  <c r="I652"/>
  <c r="I644"/>
  <c r="I648" s="1"/>
  <c r="I643"/>
  <c r="I647" s="1"/>
  <c r="I642"/>
  <c r="I646" s="1"/>
  <c r="I641"/>
  <c r="I640"/>
  <c r="I632"/>
  <c r="I636" s="1"/>
  <c r="I631"/>
  <c r="I635" s="1"/>
  <c r="I630"/>
  <c r="I634" s="1"/>
  <c r="I629"/>
  <c r="I628"/>
  <c r="I620"/>
  <c r="I624" s="1"/>
  <c r="I619"/>
  <c r="I623" s="1"/>
  <c r="I618"/>
  <c r="I622" s="1"/>
  <c r="I617"/>
  <c r="I616"/>
  <c r="I608"/>
  <c r="I612" s="1"/>
  <c r="I607"/>
  <c r="I611" s="1"/>
  <c r="I606"/>
  <c r="I610" s="1"/>
  <c r="I605"/>
  <c r="I604"/>
  <c r="I596"/>
  <c r="I600" s="1"/>
  <c r="I595"/>
  <c r="I599" s="1"/>
  <c r="I594"/>
  <c r="I598" s="1"/>
  <c r="I593"/>
  <c r="I592"/>
  <c r="I584"/>
  <c r="I588" s="1"/>
  <c r="I583"/>
  <c r="I587" s="1"/>
  <c r="I582"/>
  <c r="I586" s="1"/>
  <c r="I581"/>
  <c r="I580"/>
  <c r="I572"/>
  <c r="I576" s="1"/>
  <c r="I571"/>
  <c r="I575" s="1"/>
  <c r="I570"/>
  <c r="I574" s="1"/>
  <c r="I569"/>
  <c r="I568"/>
  <c r="I560"/>
  <c r="I564" s="1"/>
  <c r="I559"/>
  <c r="I563" s="1"/>
  <c r="I558"/>
  <c r="I562" s="1"/>
  <c r="I557"/>
  <c r="I556"/>
  <c r="I548"/>
  <c r="I552" s="1"/>
  <c r="I547"/>
  <c r="I551" s="1"/>
  <c r="I546"/>
  <c r="I550" s="1"/>
  <c r="I545"/>
  <c r="I544"/>
  <c r="I536"/>
  <c r="I540" s="1"/>
  <c r="I535"/>
  <c r="I539" s="1"/>
  <c r="I534"/>
  <c r="I538" s="1"/>
  <c r="I533"/>
  <c r="I532"/>
  <c r="I524"/>
  <c r="I528" s="1"/>
  <c r="I523"/>
  <c r="I527" s="1"/>
  <c r="I522"/>
  <c r="I526" s="1"/>
  <c r="I521"/>
  <c r="I520"/>
  <c r="I512"/>
  <c r="I516" s="1"/>
  <c r="I511"/>
  <c r="I515" s="1"/>
  <c r="I510"/>
  <c r="I514" s="1"/>
  <c r="I509"/>
  <c r="I508"/>
  <c r="I500"/>
  <c r="I504" s="1"/>
  <c r="I499"/>
  <c r="I503" s="1"/>
  <c r="I498"/>
  <c r="I502" s="1"/>
  <c r="I497"/>
  <c r="I496"/>
  <c r="I488"/>
  <c r="I492" s="1"/>
  <c r="I487"/>
  <c r="I491" s="1"/>
  <c r="I486"/>
  <c r="I490" s="1"/>
  <c r="I485"/>
  <c r="I484"/>
  <c r="I476"/>
  <c r="I480" s="1"/>
  <c r="I475"/>
  <c r="I479" s="1"/>
  <c r="I474"/>
  <c r="I478" s="1"/>
  <c r="I473"/>
  <c r="I472"/>
  <c r="I464"/>
  <c r="I468" s="1"/>
  <c r="I463"/>
  <c r="I467" s="1"/>
  <c r="I462"/>
  <c r="I466" s="1"/>
  <c r="I461"/>
  <c r="I460"/>
  <c r="I452"/>
  <c r="I456" s="1"/>
  <c r="I451"/>
  <c r="I455" s="1"/>
  <c r="I450"/>
  <c r="I454" s="1"/>
  <c r="I449"/>
  <c r="I448"/>
  <c r="I440"/>
  <c r="I444" s="1"/>
  <c r="I439"/>
  <c r="I443" s="1"/>
  <c r="I438"/>
  <c r="I442" s="1"/>
  <c r="I437"/>
  <c r="I436"/>
  <c r="I428"/>
  <c r="I432" s="1"/>
  <c r="I427"/>
  <c r="I431" s="1"/>
  <c r="I426"/>
  <c r="I430" s="1"/>
  <c r="I425"/>
  <c r="I424"/>
  <c r="I416"/>
  <c r="I420" s="1"/>
  <c r="I415"/>
  <c r="I419" s="1"/>
  <c r="I414"/>
  <c r="I418" s="1"/>
  <c r="I413"/>
  <c r="I412"/>
  <c r="I404"/>
  <c r="I408" s="1"/>
  <c r="I403"/>
  <c r="I407" s="1"/>
  <c r="I402"/>
  <c r="I406" s="1"/>
  <c r="I401"/>
  <c r="I400"/>
  <c r="I392"/>
  <c r="I396" s="1"/>
  <c r="I391"/>
  <c r="I395" s="1"/>
  <c r="I390"/>
  <c r="I394" s="1"/>
  <c r="I389"/>
  <c r="I388"/>
  <c r="I380"/>
  <c r="I384" s="1"/>
  <c r="I379"/>
  <c r="I383" s="1"/>
  <c r="I378"/>
  <c r="I382" s="1"/>
  <c r="I377"/>
  <c r="I376"/>
  <c r="I368"/>
  <c r="I372" s="1"/>
  <c r="I367"/>
  <c r="I371" s="1"/>
  <c r="I366"/>
  <c r="I370" s="1"/>
  <c r="I365"/>
  <c r="I364"/>
  <c r="I356"/>
  <c r="I360" s="1"/>
  <c r="I355"/>
  <c r="I359" s="1"/>
  <c r="I354"/>
  <c r="I358" s="1"/>
  <c r="I353"/>
  <c r="I352"/>
  <c r="I344"/>
  <c r="I348" s="1"/>
  <c r="I343"/>
  <c r="I347" s="1"/>
  <c r="I342"/>
  <c r="I346" s="1"/>
  <c r="I341"/>
  <c r="I340"/>
  <c r="I332"/>
  <c r="I336" s="1"/>
  <c r="I331"/>
  <c r="I335" s="1"/>
  <c r="I330"/>
  <c r="I334" s="1"/>
  <c r="I329"/>
  <c r="I328"/>
  <c r="I320"/>
  <c r="I324" s="1"/>
  <c r="I319"/>
  <c r="I323" s="1"/>
  <c r="I318"/>
  <c r="I322" s="1"/>
  <c r="I317"/>
  <c r="I316"/>
  <c r="I308"/>
  <c r="I312" s="1"/>
  <c r="I307"/>
  <c r="I311" s="1"/>
  <c r="I306"/>
  <c r="I310" s="1"/>
  <c r="I305"/>
  <c r="I304"/>
  <c r="I296"/>
  <c r="I300" s="1"/>
  <c r="I295"/>
  <c r="I299" s="1"/>
  <c r="I294"/>
  <c r="I298" s="1"/>
  <c r="I293"/>
  <c r="I292"/>
  <c r="I284"/>
  <c r="I288" s="1"/>
  <c r="I283"/>
  <c r="I287" s="1"/>
  <c r="I282"/>
  <c r="I286" s="1"/>
  <c r="I281"/>
  <c r="I280"/>
  <c r="I272"/>
  <c r="I276" s="1"/>
  <c r="I271"/>
  <c r="I275" s="1"/>
  <c r="I270"/>
  <c r="I274" s="1"/>
  <c r="I269"/>
  <c r="I268"/>
  <c r="I260"/>
  <c r="I264" s="1"/>
  <c r="I259"/>
  <c r="I263" s="1"/>
  <c r="I258"/>
  <c r="I262" s="1"/>
  <c r="I257"/>
  <c r="I256"/>
  <c r="I248"/>
  <c r="I252" s="1"/>
  <c r="I247"/>
  <c r="I251" s="1"/>
  <c r="I246"/>
  <c r="I250" s="1"/>
  <c r="I245"/>
  <c r="I244"/>
  <c r="I236"/>
  <c r="I240" s="1"/>
  <c r="I235"/>
  <c r="I239" s="1"/>
  <c r="I234"/>
  <c r="I238" s="1"/>
  <c r="I233"/>
  <c r="I232"/>
  <c r="I224"/>
  <c r="I228" s="1"/>
  <c r="I223"/>
  <c r="I227" s="1"/>
  <c r="I222"/>
  <c r="I226" s="1"/>
  <c r="I221"/>
  <c r="I220"/>
  <c r="I212"/>
  <c r="I216" s="1"/>
  <c r="I211"/>
  <c r="I215" s="1"/>
  <c r="I210"/>
  <c r="I214" s="1"/>
  <c r="I209"/>
  <c r="I208"/>
  <c r="I200"/>
  <c r="I204" s="1"/>
  <c r="I199"/>
  <c r="I203" s="1"/>
  <c r="I198"/>
  <c r="I202" s="1"/>
  <c r="I197"/>
  <c r="I196"/>
  <c r="I188"/>
  <c r="I192" s="1"/>
  <c r="I187"/>
  <c r="I191" s="1"/>
  <c r="I186"/>
  <c r="I190" s="1"/>
  <c r="I185"/>
  <c r="I184"/>
  <c r="I176"/>
  <c r="I180" s="1"/>
  <c r="I175"/>
  <c r="I179" s="1"/>
  <c r="I174"/>
  <c r="I178" s="1"/>
  <c r="I173"/>
  <c r="I172"/>
  <c r="I164"/>
  <c r="I168" s="1"/>
  <c r="I163"/>
  <c r="I167" s="1"/>
  <c r="I162"/>
  <c r="I166" s="1"/>
  <c r="I161"/>
  <c r="I160"/>
  <c r="I152"/>
  <c r="I156" s="1"/>
  <c r="I151"/>
  <c r="I155" s="1"/>
  <c r="I150"/>
  <c r="I154" s="1"/>
  <c r="I149"/>
  <c r="I148"/>
  <c r="I140"/>
  <c r="I144" s="1"/>
  <c r="I139"/>
  <c r="I143" s="1"/>
  <c r="I138"/>
  <c r="I142" s="1"/>
  <c r="I137"/>
  <c r="I136"/>
  <c r="I128"/>
  <c r="I132" s="1"/>
  <c r="I127"/>
  <c r="I131" s="1"/>
  <c r="I126"/>
  <c r="I130" s="1"/>
  <c r="I125"/>
  <c r="I124"/>
  <c r="I116"/>
  <c r="I120" s="1"/>
  <c r="I115"/>
  <c r="I119" s="1"/>
  <c r="I114"/>
  <c r="I118" s="1"/>
  <c r="I113"/>
  <c r="I112"/>
  <c r="I104"/>
  <c r="I108" s="1"/>
  <c r="I103"/>
  <c r="I107" s="1"/>
  <c r="I102"/>
  <c r="I106" s="1"/>
  <c r="I101"/>
  <c r="I100"/>
  <c r="I92"/>
  <c r="I96" s="1"/>
  <c r="I91"/>
  <c r="I95" s="1"/>
  <c r="I90"/>
  <c r="I94" s="1"/>
  <c r="I89"/>
  <c r="I88"/>
  <c r="I80"/>
  <c r="I84" s="1"/>
  <c r="I79"/>
  <c r="I83" s="1"/>
  <c r="I78"/>
  <c r="I82" s="1"/>
  <c r="I77"/>
  <c r="I76"/>
  <c r="I68"/>
  <c r="I72" s="1"/>
  <c r="I67"/>
  <c r="I71" s="1"/>
  <c r="I66"/>
  <c r="I70" s="1"/>
  <c r="I65"/>
  <c r="I64"/>
  <c r="I56"/>
  <c r="I60" s="1"/>
  <c r="I55"/>
  <c r="I59" s="1"/>
  <c r="I54"/>
  <c r="I58" s="1"/>
  <c r="I53"/>
  <c r="I52"/>
  <c r="I44"/>
  <c r="I48" s="1"/>
  <c r="I43"/>
  <c r="I47" s="1"/>
  <c r="I42"/>
  <c r="I46" s="1"/>
  <c r="I41"/>
  <c r="I40"/>
  <c r="I32"/>
  <c r="I36" s="1"/>
  <c r="I31"/>
  <c r="I35" s="1"/>
  <c r="I30"/>
  <c r="I34" s="1"/>
  <c r="I29"/>
  <c r="I28"/>
  <c r="I20"/>
  <c r="I24" s="1"/>
  <c r="I19"/>
  <c r="I23" s="1"/>
  <c r="I18"/>
  <c r="I22" s="1"/>
  <c r="I17"/>
  <c r="I16"/>
  <c r="I8"/>
  <c r="I12" s="1"/>
  <c r="I7"/>
  <c r="I11" s="1"/>
  <c r="I6"/>
  <c r="I10" s="1"/>
  <c r="I5"/>
  <c r="I4"/>
  <c r="I9" l="1"/>
  <c r="I13"/>
  <c r="I21"/>
  <c r="I25"/>
  <c r="I33"/>
  <c r="I37"/>
  <c r="I45"/>
  <c r="I49"/>
  <c r="I57"/>
  <c r="I61"/>
  <c r="I69"/>
  <c r="I73"/>
  <c r="I81"/>
  <c r="I85"/>
  <c r="I93"/>
  <c r="I97"/>
  <c r="I105"/>
  <c r="I109"/>
  <c r="I117"/>
  <c r="I121"/>
  <c r="I129"/>
  <c r="I133"/>
  <c r="I141"/>
  <c r="I145"/>
  <c r="I153"/>
  <c r="I157"/>
  <c r="I165"/>
  <c r="I169"/>
  <c r="I177"/>
  <c r="I181"/>
  <c r="I189"/>
  <c r="I193"/>
  <c r="I201"/>
  <c r="I205"/>
  <c r="I213"/>
  <c r="I217"/>
  <c r="I225"/>
  <c r="I229"/>
  <c r="I237"/>
  <c r="I241"/>
  <c r="I249"/>
  <c r="I253"/>
  <c r="I261"/>
  <c r="I265"/>
  <c r="I273"/>
  <c r="I277"/>
  <c r="I285"/>
  <c r="I289"/>
  <c r="I297"/>
  <c r="I301"/>
  <c r="I309"/>
  <c r="I313"/>
  <c r="I321"/>
  <c r="I325"/>
  <c r="I333"/>
  <c r="I337"/>
  <c r="I345"/>
  <c r="I349"/>
  <c r="I357"/>
  <c r="I361"/>
  <c r="I369"/>
  <c r="I373"/>
  <c r="I381"/>
  <c r="I385"/>
  <c r="I393"/>
  <c r="I397"/>
  <c r="I405"/>
  <c r="I409"/>
  <c r="I417"/>
  <c r="I421"/>
  <c r="I429"/>
  <c r="I433"/>
  <c r="I441"/>
  <c r="I445"/>
  <c r="I453"/>
  <c r="I457"/>
  <c r="I465"/>
  <c r="I469"/>
  <c r="I477"/>
  <c r="I481"/>
  <c r="I489"/>
  <c r="I493"/>
  <c r="I501"/>
  <c r="I505"/>
  <c r="I513"/>
  <c r="I517"/>
  <c r="I525"/>
  <c r="I529"/>
  <c r="I537"/>
  <c r="I541"/>
  <c r="I549"/>
  <c r="I553"/>
  <c r="I561"/>
  <c r="I565"/>
  <c r="I573"/>
  <c r="I577"/>
  <c r="I585"/>
  <c r="I589"/>
  <c r="I597"/>
  <c r="I601"/>
  <c r="I609"/>
  <c r="I613"/>
  <c r="I621"/>
  <c r="I625"/>
  <c r="I633"/>
  <c r="I637"/>
  <c r="I645"/>
  <c r="I649"/>
  <c r="I657"/>
  <c r="I661"/>
  <c r="I669"/>
  <c r="I673"/>
  <c r="I681"/>
  <c r="I685"/>
  <c r="I693"/>
  <c r="I697"/>
  <c r="I705"/>
  <c r="I709"/>
  <c r="I717"/>
  <c r="I721"/>
  <c r="I729"/>
  <c r="I733"/>
  <c r="I741"/>
  <c r="I745"/>
  <c r="I753"/>
  <c r="I757"/>
  <c r="I765"/>
  <c r="I769"/>
  <c r="I777"/>
  <c r="I781"/>
  <c r="I789"/>
  <c r="I793"/>
  <c r="I801"/>
  <c r="I805"/>
  <c r="I813"/>
  <c r="I817"/>
  <c r="I825"/>
  <c r="I829"/>
  <c r="I837"/>
  <c r="I841"/>
  <c r="I849"/>
  <c r="I853"/>
  <c r="I861"/>
  <c r="I865"/>
  <c r="I873"/>
  <c r="I877"/>
  <c r="I885"/>
  <c r="I889"/>
  <c r="I897"/>
  <c r="I901"/>
  <c r="I909"/>
  <c r="I913"/>
  <c r="I921"/>
  <c r="I925"/>
  <c r="I933"/>
  <c r="I937"/>
  <c r="I945"/>
  <c r="I957"/>
  <c r="I961"/>
  <c r="I960"/>
  <c r="I971"/>
  <c r="I981"/>
  <c r="I985"/>
  <c r="I984"/>
  <c r="I995"/>
  <c r="I1005"/>
  <c r="I1009"/>
  <c r="I1008"/>
  <c r="I1019"/>
  <c r="I1029"/>
  <c r="I1033"/>
  <c r="I1032"/>
  <c r="I1043"/>
  <c r="I949"/>
  <c r="I948"/>
  <c r="I969"/>
  <c r="I973"/>
  <c r="I972"/>
  <c r="I993"/>
  <c r="I997"/>
  <c r="I996"/>
  <c r="I1017"/>
  <c r="I1021"/>
  <c r="I1020"/>
  <c r="I1041"/>
  <c r="I1045"/>
  <c r="I1044"/>
  <c r="I1053"/>
  <c r="I1057"/>
  <c r="I1065"/>
  <c r="I1069"/>
  <c r="I1077"/>
  <c r="I1081"/>
  <c r="I1089"/>
  <c r="I1093"/>
  <c r="I1101"/>
  <c r="I1105"/>
  <c r="I1113"/>
  <c r="I1117"/>
  <c r="I1125"/>
  <c r="I1129"/>
  <c r="I1137"/>
  <c r="I1141"/>
  <c r="I1149"/>
  <c r="I1153"/>
  <c r="I1161"/>
  <c r="I1165"/>
  <c r="I1173"/>
  <c r="I1177"/>
  <c r="I1185"/>
  <c r="I1189"/>
  <c r="I1197"/>
  <c r="I1201"/>
  <c r="I1209"/>
  <c r="I1213"/>
  <c r="I1221"/>
  <c r="I1225"/>
  <c r="I1233"/>
  <c r="I1237"/>
  <c r="I1245"/>
  <c r="I1249"/>
  <c r="I1257"/>
  <c r="I1261"/>
  <c r="I1269"/>
  <c r="I1273"/>
  <c r="I1281"/>
  <c r="I1285"/>
  <c r="I1293"/>
  <c r="I1297"/>
  <c r="I1305"/>
  <c r="I1309"/>
  <c r="I1317"/>
  <c r="I1321"/>
  <c r="I1329"/>
  <c r="I1333"/>
  <c r="I1341"/>
  <c r="I1345"/>
  <c r="I1353"/>
  <c r="I1357"/>
  <c r="I1365"/>
  <c r="I1369"/>
  <c r="I1377"/>
  <c r="I1381"/>
  <c r="I1389"/>
  <c r="I1393"/>
  <c r="I1401"/>
  <c r="I1405"/>
  <c r="I1413"/>
  <c r="I1417"/>
  <c r="I1425"/>
  <c r="I1429"/>
  <c r="I1437"/>
  <c r="I1441"/>
  <c r="I1449"/>
  <c r="I1453"/>
  <c r="I1461"/>
  <c r="I1465"/>
  <c r="I1473"/>
  <c r="I1477"/>
  <c r="I1485"/>
  <c r="I1489"/>
  <c r="I1497"/>
  <c r="I1501"/>
  <c r="I1509"/>
  <c r="I1513"/>
  <c r="I1521"/>
  <c r="I1525"/>
  <c r="I1533"/>
  <c r="I1537"/>
  <c r="I1545"/>
  <c r="I1549"/>
  <c r="I1557"/>
  <c r="I1561"/>
  <c r="I1569"/>
  <c r="I1573"/>
  <c r="I1581"/>
  <c r="I1585"/>
  <c r="I1593"/>
  <c r="I1597"/>
  <c r="I1605"/>
  <c r="I1609"/>
  <c r="I1617"/>
  <c r="I1621"/>
  <c r="I1629"/>
  <c r="I1633"/>
  <c r="I1641"/>
  <c r="I1645"/>
  <c r="I1657"/>
  <c r="I1810"/>
  <c r="I1812"/>
  <c r="I1822"/>
  <c r="I1824"/>
  <c r="I1834"/>
  <c r="I1836"/>
  <c r="I1846"/>
  <c r="I1848"/>
  <c r="I1858"/>
  <c r="I1860"/>
  <c r="I1870"/>
  <c r="I1872"/>
  <c r="I1882"/>
  <c r="I1884"/>
  <c r="I1894"/>
  <c r="I1896"/>
  <c r="I1906"/>
  <c r="I1908"/>
  <c r="I1918"/>
  <c r="I1920"/>
  <c r="I1930"/>
  <c r="I1932"/>
  <c r="I1942"/>
  <c r="I1944"/>
  <c r="I1954"/>
  <c r="I1956"/>
  <c r="I1966"/>
  <c r="I1968"/>
  <c r="I1978"/>
  <c r="I1980"/>
  <c r="I1990"/>
  <c r="I1992"/>
  <c r="I2002"/>
  <c r="I2004"/>
  <c r="I2014"/>
  <c r="I2016"/>
  <c r="I2026"/>
  <c r="I2028"/>
  <c r="I2038"/>
  <c r="I2040"/>
  <c r="I2050"/>
  <c r="I2052"/>
  <c r="I2062"/>
  <c r="I2064"/>
  <c r="I2074"/>
  <c r="I2076"/>
  <c r="I2086"/>
  <c r="I2088"/>
  <c r="I2098"/>
  <c r="I2100"/>
  <c r="I2110"/>
  <c r="I2112"/>
  <c r="I2122"/>
  <c r="I2124"/>
  <c r="I2134"/>
  <c r="I2136"/>
  <c r="I2146"/>
  <c r="I2148"/>
  <c r="I2158"/>
  <c r="I2160"/>
  <c r="I2205"/>
  <c r="I2209"/>
  <c r="I2217"/>
  <c r="I2221"/>
</calcChain>
</file>

<file path=xl/sharedStrings.xml><?xml version="1.0" encoding="utf-8"?>
<sst xmlns="http://schemas.openxmlformats.org/spreadsheetml/2006/main" count="4316" uniqueCount="441">
  <si>
    <t>COUNTY</t>
  </si>
  <si>
    <t xml:space="preserve"> </t>
  </si>
  <si>
    <t>SCHOOL DISTRICT</t>
  </si>
  <si>
    <t>FY 2008-2009</t>
  </si>
  <si>
    <t>FY 2009-2010</t>
  </si>
  <si>
    <t>FY 2010-2011</t>
  </si>
  <si>
    <t>FY 2011-12</t>
  </si>
  <si>
    <t>FY 2012-13</t>
  </si>
  <si>
    <t>ADAMS</t>
  </si>
  <si>
    <t>0010</t>
  </si>
  <si>
    <t>MAPLETON 1</t>
  </si>
  <si>
    <t>Number of Pupils Transported</t>
  </si>
  <si>
    <t>Total Miles</t>
  </si>
  <si>
    <t>Current Operating Expenditures (C.O.E.)</t>
  </si>
  <si>
    <t>Entitlement</t>
  </si>
  <si>
    <t>Reimbursement Payment</t>
  </si>
  <si>
    <t>Current Operating Expenditures Per Pupil</t>
  </si>
  <si>
    <t>Current Operating Expenditures Per Mile</t>
  </si>
  <si>
    <t>Percentage of Current Operating Expenditures to which District is Entitled</t>
  </si>
  <si>
    <t>Percentage of Entitlement Reimbursed</t>
  </si>
  <si>
    <t>Percentage of Current Operating Expenditures Reimbursed</t>
  </si>
  <si>
    <t>0020</t>
  </si>
  <si>
    <t>ADAMS 12 FIVE STAR SCHOOLS</t>
  </si>
  <si>
    <t>Current Operating Expenditures</t>
  </si>
  <si>
    <t>0030</t>
  </si>
  <si>
    <t>ADAMS COUNTY 14</t>
  </si>
  <si>
    <t>0040</t>
  </si>
  <si>
    <t>BRIGHTON 27J</t>
  </si>
  <si>
    <t>0050</t>
  </si>
  <si>
    <t>BENNETT 29J</t>
  </si>
  <si>
    <t>0060</t>
  </si>
  <si>
    <t>STRASBURG 31J</t>
  </si>
  <si>
    <t>0070</t>
  </si>
  <si>
    <t>WESTMINSTER 50</t>
  </si>
  <si>
    <t>ALAMOSA</t>
  </si>
  <si>
    <t>0100</t>
  </si>
  <si>
    <t>ALAMOSA RE-11J</t>
  </si>
  <si>
    <t>0110</t>
  </si>
  <si>
    <t>SANGRE DE CRISTO RE-22J</t>
  </si>
  <si>
    <t>ARAPAHOE</t>
  </si>
  <si>
    <t>0120</t>
  </si>
  <si>
    <t>ENGLEWOOD 1</t>
  </si>
  <si>
    <t>0123</t>
  </si>
  <si>
    <t>SHERIDAN 2</t>
  </si>
  <si>
    <t>0130</t>
  </si>
  <si>
    <t>CHERRY CREEK 5</t>
  </si>
  <si>
    <t>0140</t>
  </si>
  <si>
    <t>LITTLETON 6</t>
  </si>
  <si>
    <t>0170</t>
  </si>
  <si>
    <t>DEER TRAIL 26J</t>
  </si>
  <si>
    <t>0180</t>
  </si>
  <si>
    <t>ADAMS-ARAPAHOE 28J</t>
  </si>
  <si>
    <t>0190</t>
  </si>
  <si>
    <t>BYERS 32J</t>
  </si>
  <si>
    <t>ARCHULETA</t>
  </si>
  <si>
    <t>0220</t>
  </si>
  <si>
    <t>ARCHULETA COUNTY 50 JT</t>
  </si>
  <si>
    <t>BACA</t>
  </si>
  <si>
    <t>0230</t>
  </si>
  <si>
    <t>WALSH RE-1</t>
  </si>
  <si>
    <t>0240</t>
  </si>
  <si>
    <t>PRITCHETT RE-3</t>
  </si>
  <si>
    <t>0250</t>
  </si>
  <si>
    <t>SPRINGFIELD RE-4</t>
  </si>
  <si>
    <t>0260</t>
  </si>
  <si>
    <t>VILAS RE-5</t>
  </si>
  <si>
    <t>0270</t>
  </si>
  <si>
    <t>CAMPO RE-6</t>
  </si>
  <si>
    <t>BENT</t>
  </si>
  <si>
    <t>0290</t>
  </si>
  <si>
    <t>LAS ANIMAS RE-1</t>
  </si>
  <si>
    <t>0310</t>
  </si>
  <si>
    <t>MC CLAVE RE-2</t>
  </si>
  <si>
    <t>BOULDER</t>
  </si>
  <si>
    <t>0470</t>
  </si>
  <si>
    <t>ST VRAIN VALLEY RE 1J</t>
  </si>
  <si>
    <t>0480</t>
  </si>
  <si>
    <t>BOULDER VALLEY RE 2</t>
  </si>
  <si>
    <t>CHAFFEE</t>
  </si>
  <si>
    <t>0490</t>
  </si>
  <si>
    <t>BUENA VISTA R-31</t>
  </si>
  <si>
    <t>0500</t>
  </si>
  <si>
    <t>SALIDA R-32</t>
  </si>
  <si>
    <t>CHEYENNE</t>
  </si>
  <si>
    <t>0510</t>
  </si>
  <si>
    <t>KIT CARSON R-1</t>
  </si>
  <si>
    <t>0520</t>
  </si>
  <si>
    <t>CHEYENNE COUNTY RE-5</t>
  </si>
  <si>
    <t>CLEAR CREEK</t>
  </si>
  <si>
    <t>0540</t>
  </si>
  <si>
    <t>CLEAR CREEK RE-1</t>
  </si>
  <si>
    <t>CONEJOS</t>
  </si>
  <si>
    <t>0550</t>
  </si>
  <si>
    <t>NORTH CONEJOS RE-1J</t>
  </si>
  <si>
    <t>0560</t>
  </si>
  <si>
    <t>SANFORD 6J</t>
  </si>
  <si>
    <t>0580</t>
  </si>
  <si>
    <t>SOUTH CONEJOS RE-10</t>
  </si>
  <si>
    <t>COSTILLA</t>
  </si>
  <si>
    <t>0640</t>
  </si>
  <si>
    <t>CENTENNIAL R-1</t>
  </si>
  <si>
    <t>0740</t>
  </si>
  <si>
    <t>SIERRA GRANDE R-30</t>
  </si>
  <si>
    <t>CROWLEY</t>
  </si>
  <si>
    <t>0770</t>
  </si>
  <si>
    <t>CROWLEY COUNTY RE-1-J</t>
  </si>
  <si>
    <t>CUSTER</t>
  </si>
  <si>
    <t>0860</t>
  </si>
  <si>
    <t>CONSOLIDATED C-1</t>
  </si>
  <si>
    <t>DELTA</t>
  </si>
  <si>
    <t>0870</t>
  </si>
  <si>
    <t>DELTA COUNTY 50(J)</t>
  </si>
  <si>
    <t>DENVER</t>
  </si>
  <si>
    <t>0880</t>
  </si>
  <si>
    <t>DENVER COUNTY 1</t>
  </si>
  <si>
    <t>DOLORES</t>
  </si>
  <si>
    <t>0890</t>
  </si>
  <si>
    <t>DOLORES COUNTY RE NO.2</t>
  </si>
  <si>
    <t>DOUGLAS</t>
  </si>
  <si>
    <t>0900</t>
  </si>
  <si>
    <t>DOUGLAS COUNTY RE 1</t>
  </si>
  <si>
    <t>EAGLE</t>
  </si>
  <si>
    <t>0910</t>
  </si>
  <si>
    <t>EAGLE COUNTY RE 50</t>
  </si>
  <si>
    <t>ELBERT</t>
  </si>
  <si>
    <t>0920</t>
  </si>
  <si>
    <t>ELIZABETH C-1</t>
  </si>
  <si>
    <t>0930</t>
  </si>
  <si>
    <t>KIOWA C-2</t>
  </si>
  <si>
    <t>0940</t>
  </si>
  <si>
    <t>BIG SANDY 100J</t>
  </si>
  <si>
    <t>0950</t>
  </si>
  <si>
    <t>ELBERT 200</t>
  </si>
  <si>
    <t>0960</t>
  </si>
  <si>
    <t>AGATE 300</t>
  </si>
  <si>
    <t>EL PASO</t>
  </si>
  <si>
    <t>0970</t>
  </si>
  <si>
    <t>CALHAN RJ-1</t>
  </si>
  <si>
    <t>0980</t>
  </si>
  <si>
    <t>HARRISON 2</t>
  </si>
  <si>
    <t>0990</t>
  </si>
  <si>
    <t>WIDEFIELD 3</t>
  </si>
  <si>
    <t>1000</t>
  </si>
  <si>
    <t>FOUNTAIN 8</t>
  </si>
  <si>
    <t>1010</t>
  </si>
  <si>
    <t>COLORADO SPRINGS 11</t>
  </si>
  <si>
    <t>1020</t>
  </si>
  <si>
    <t>CHEYENNE MOUNTAIN 12</t>
  </si>
  <si>
    <t>1030</t>
  </si>
  <si>
    <t>MANITOU SPRINGS 14</t>
  </si>
  <si>
    <t>1040</t>
  </si>
  <si>
    <t>ACADEMY 20</t>
  </si>
  <si>
    <t>1050</t>
  </si>
  <si>
    <t>ELLICOTT 22</t>
  </si>
  <si>
    <t>1060</t>
  </si>
  <si>
    <t>PEYTON 23 JT</t>
  </si>
  <si>
    <t>1070</t>
  </si>
  <si>
    <t>HANOVER 28</t>
  </si>
  <si>
    <t>1080</t>
  </si>
  <si>
    <t>LEWIS-PALMER 38</t>
  </si>
  <si>
    <t>1110</t>
  </si>
  <si>
    <t>FALCON 49</t>
  </si>
  <si>
    <t>1120</t>
  </si>
  <si>
    <t>EDISON 54 JT</t>
  </si>
  <si>
    <t>1130</t>
  </si>
  <si>
    <t>MIAMI/YODER 60 JT</t>
  </si>
  <si>
    <t>FREMONT</t>
  </si>
  <si>
    <t>1140</t>
  </si>
  <si>
    <t>CANON CITY RE-1</t>
  </si>
  <si>
    <t>1150</t>
  </si>
  <si>
    <t>FLORENCE RE-2</t>
  </si>
  <si>
    <t>1160</t>
  </si>
  <si>
    <t>COTOPAXI RE-3</t>
  </si>
  <si>
    <t>GARFIELD</t>
  </si>
  <si>
    <t>1180</t>
  </si>
  <si>
    <t>ROARING FORK RE-1</t>
  </si>
  <si>
    <t>1195</t>
  </si>
  <si>
    <t>GARFIELD RE-2</t>
  </si>
  <si>
    <t>1220</t>
  </si>
  <si>
    <t>GARFIELD 16</t>
  </si>
  <si>
    <t>GILPIN</t>
  </si>
  <si>
    <t>1330</t>
  </si>
  <si>
    <t>GILPIN COUNTY RE-1</t>
  </si>
  <si>
    <t>GRAND</t>
  </si>
  <si>
    <t>1340</t>
  </si>
  <si>
    <t>WEST GRAND 1-JT.</t>
  </si>
  <si>
    <t>1350</t>
  </si>
  <si>
    <t>EAST GRAND 2</t>
  </si>
  <si>
    <t>GUNNISON</t>
  </si>
  <si>
    <t>1360</t>
  </si>
  <si>
    <t>GUNNISON WATERSHED RE1J</t>
  </si>
  <si>
    <t>HINSDALE</t>
  </si>
  <si>
    <t>1380</t>
  </si>
  <si>
    <t>HINSDALE COUNTY RE 1</t>
  </si>
  <si>
    <t>HUERFANO</t>
  </si>
  <si>
    <t>1390</t>
  </si>
  <si>
    <t>HUERFANO RE-1</t>
  </si>
  <si>
    <t>1400</t>
  </si>
  <si>
    <t>LA VETA RE-2</t>
  </si>
  <si>
    <t>JACKSON</t>
  </si>
  <si>
    <t>1410</t>
  </si>
  <si>
    <t>NORTH PARK R-1</t>
  </si>
  <si>
    <t>JEFFERSON</t>
  </si>
  <si>
    <t>1420</t>
  </si>
  <si>
    <t>JEFFERSON COUNTY R-1</t>
  </si>
  <si>
    <t>KIOWA</t>
  </si>
  <si>
    <t>1430</t>
  </si>
  <si>
    <t>EADS RE-1</t>
  </si>
  <si>
    <t>1440</t>
  </si>
  <si>
    <t>PLAINVIEW RE-2</t>
  </si>
  <si>
    <t>KIT CARSON</t>
  </si>
  <si>
    <t>1450</t>
  </si>
  <si>
    <t>ARRIBA-FLAGLER C-20</t>
  </si>
  <si>
    <t>1460</t>
  </si>
  <si>
    <t>HI-PLAINS R-23</t>
  </si>
  <si>
    <t>1480</t>
  </si>
  <si>
    <t>STRATTON R-4</t>
  </si>
  <si>
    <t>1490</t>
  </si>
  <si>
    <t>BETHUNE R-5</t>
  </si>
  <si>
    <t>1500</t>
  </si>
  <si>
    <t>BURLINGTON RE-6J</t>
  </si>
  <si>
    <t>LAKE</t>
  </si>
  <si>
    <t>1510</t>
  </si>
  <si>
    <t>LAKE COUNTY R-1</t>
  </si>
  <si>
    <t>LA PLATA</t>
  </si>
  <si>
    <t>1520</t>
  </si>
  <si>
    <t>DURANGO 9-R</t>
  </si>
  <si>
    <t>1530</t>
  </si>
  <si>
    <t>BAYFIELD 10 JT-R</t>
  </si>
  <si>
    <t>1540</t>
  </si>
  <si>
    <t>IGNACIO 11 JT</t>
  </si>
  <si>
    <t>LARIMER</t>
  </si>
  <si>
    <t>1550</t>
  </si>
  <si>
    <t>POUDRE R-1</t>
  </si>
  <si>
    <t>1560</t>
  </si>
  <si>
    <t>THOMPSON R-2J</t>
  </si>
  <si>
    <t>PARK (ESTES PARK) R-3</t>
  </si>
  <si>
    <t>LAS ANIMAS</t>
  </si>
  <si>
    <t>1580</t>
  </si>
  <si>
    <t>TRINIDAD 1</t>
  </si>
  <si>
    <t>1590</t>
  </si>
  <si>
    <t>PRIMERO REORGANIZED 2</t>
  </si>
  <si>
    <t>1600</t>
  </si>
  <si>
    <t>HOEHNE REORGANIZED 3</t>
  </si>
  <si>
    <t>1620</t>
  </si>
  <si>
    <t>AGUILAR REORGANIZED 6</t>
  </si>
  <si>
    <t>1750</t>
  </si>
  <si>
    <t>BRANSON REORGANIZED 82</t>
  </si>
  <si>
    <t>1760</t>
  </si>
  <si>
    <t>KIM REORGANIZED 88</t>
  </si>
  <si>
    <t>LINCOLN</t>
  </si>
  <si>
    <t>1780</t>
  </si>
  <si>
    <t>GENOA-HUGO C113</t>
  </si>
  <si>
    <t>1790</t>
  </si>
  <si>
    <t>LIMON RE-4J</t>
  </si>
  <si>
    <t>1810</t>
  </si>
  <si>
    <t>KARVAL RE-23</t>
  </si>
  <si>
    <t>LOGAN</t>
  </si>
  <si>
    <t>1828</t>
  </si>
  <si>
    <t>VALLEY RE-1</t>
  </si>
  <si>
    <t>1850</t>
  </si>
  <si>
    <t>FRENCHMAN RE-3</t>
  </si>
  <si>
    <t>1860</t>
  </si>
  <si>
    <t>BUFFALO RE-4</t>
  </si>
  <si>
    <t>1870</t>
  </si>
  <si>
    <t>PLATEAU RE-5</t>
  </si>
  <si>
    <t>MESA</t>
  </si>
  <si>
    <t>1980</t>
  </si>
  <si>
    <t>DE BEQUE 49JT</t>
  </si>
  <si>
    <t>1990</t>
  </si>
  <si>
    <t>PLATEAU VALLEY 50</t>
  </si>
  <si>
    <t>2000</t>
  </si>
  <si>
    <t>MESA COUNTY VALLEY 51</t>
  </si>
  <si>
    <t>MINERAL</t>
  </si>
  <si>
    <t>2010</t>
  </si>
  <si>
    <t>CREEDE CONSOLIDATED 1</t>
  </si>
  <si>
    <t>MOFFAT</t>
  </si>
  <si>
    <t>2020</t>
  </si>
  <si>
    <t>MOFFAT COUNTY RE:NO 1</t>
  </si>
  <si>
    <t>MONTEZUMA</t>
  </si>
  <si>
    <t>2035</t>
  </si>
  <si>
    <t>MONTEZUMA-CORTEZ RE-1</t>
  </si>
  <si>
    <t>2055</t>
  </si>
  <si>
    <t>DOLORES RE-4A</t>
  </si>
  <si>
    <t>2070</t>
  </si>
  <si>
    <t>MANCOS RE-6</t>
  </si>
  <si>
    <t>MONTROSE</t>
  </si>
  <si>
    <t>2180</t>
  </si>
  <si>
    <t>MONTROSE COUNTY RE-1J</t>
  </si>
  <si>
    <t>2190</t>
  </si>
  <si>
    <t>WEST END RE-2</t>
  </si>
  <si>
    <t>MORGAN</t>
  </si>
  <si>
    <t>2395</t>
  </si>
  <si>
    <t>BRUSH RE-2(J)</t>
  </si>
  <si>
    <t>2405</t>
  </si>
  <si>
    <t>FORT MORGAN RE-3</t>
  </si>
  <si>
    <t>2505</t>
  </si>
  <si>
    <t>WELDON VALLEY RE-20(J)</t>
  </si>
  <si>
    <t>2515</t>
  </si>
  <si>
    <t>WIGGINS RE-50(J)</t>
  </si>
  <si>
    <t>OTERO</t>
  </si>
  <si>
    <t>2520</t>
  </si>
  <si>
    <t>EAST OTERO R-1</t>
  </si>
  <si>
    <t>2530</t>
  </si>
  <si>
    <t>ROCKY FORD R-2</t>
  </si>
  <si>
    <t>2535</t>
  </si>
  <si>
    <t>MANZANOLA 3J</t>
  </si>
  <si>
    <t>2540</t>
  </si>
  <si>
    <t>FOWLER R-4J</t>
  </si>
  <si>
    <t>2560</t>
  </si>
  <si>
    <t>CHERAW 31</t>
  </si>
  <si>
    <t>2570</t>
  </si>
  <si>
    <t>SWINK 33</t>
  </si>
  <si>
    <t>OURAY</t>
  </si>
  <si>
    <t>2580</t>
  </si>
  <si>
    <t>OURAY R-1</t>
  </si>
  <si>
    <t>2590</t>
  </si>
  <si>
    <t>RIDGWAY R-2</t>
  </si>
  <si>
    <t>PARK</t>
  </si>
  <si>
    <t>2600</t>
  </si>
  <si>
    <t>PLATTE CANYON 1</t>
  </si>
  <si>
    <t>2610</t>
  </si>
  <si>
    <t>PARK COUNTY RE-2</t>
  </si>
  <si>
    <t>PHILLIPS</t>
  </si>
  <si>
    <t>2620</t>
  </si>
  <si>
    <t>HOLYOKE RE-1J</t>
  </si>
  <si>
    <t>2630</t>
  </si>
  <si>
    <t>HAXTUN RE-2J</t>
  </si>
  <si>
    <t>PITKIN</t>
  </si>
  <si>
    <t>2640</t>
  </si>
  <si>
    <t>ASPEN 1</t>
  </si>
  <si>
    <t>PROWERS</t>
  </si>
  <si>
    <t>2650</t>
  </si>
  <si>
    <t>GRANADA RE-1</t>
  </si>
  <si>
    <t>2660</t>
  </si>
  <si>
    <t>LAMAR RE-2</t>
  </si>
  <si>
    <t>2670</t>
  </si>
  <si>
    <t>HOLLY RE-3</t>
  </si>
  <si>
    <t>2680</t>
  </si>
  <si>
    <t>WILEY RE-13 JT</t>
  </si>
  <si>
    <t>PUEBLO</t>
  </si>
  <si>
    <t>2690</t>
  </si>
  <si>
    <t>PUEBLO CITY 60</t>
  </si>
  <si>
    <t>2700</t>
  </si>
  <si>
    <t>PUEBLO 70</t>
  </si>
  <si>
    <t>RIO BLANCO</t>
  </si>
  <si>
    <t>2710</t>
  </si>
  <si>
    <t>MEEKER RE1</t>
  </si>
  <si>
    <t>2720</t>
  </si>
  <si>
    <t>RANGELY RE-4</t>
  </si>
  <si>
    <t>RIO GRANDE</t>
  </si>
  <si>
    <t>2730</t>
  </si>
  <si>
    <t>DEL NORTE C-7</t>
  </si>
  <si>
    <t>2740</t>
  </si>
  <si>
    <t>MONTE VISTA C-8</t>
  </si>
  <si>
    <t>2750</t>
  </si>
  <si>
    <t>SARGENT RE-33J</t>
  </si>
  <si>
    <t>ROUTT</t>
  </si>
  <si>
    <t>2760</t>
  </si>
  <si>
    <t>HAYDEN RE-1</t>
  </si>
  <si>
    <t>2770</t>
  </si>
  <si>
    <t>STEAMBOAT SPRINGS RE-2</t>
  </si>
  <si>
    <t>2780</t>
  </si>
  <si>
    <t>SOUTH ROUTT RE 3</t>
  </si>
  <si>
    <t>SAGUACHE</t>
  </si>
  <si>
    <t>2790</t>
  </si>
  <si>
    <t>MOUNTAIN VALLEY RE 1</t>
  </si>
  <si>
    <t>2800</t>
  </si>
  <si>
    <t>MOFFAT 2</t>
  </si>
  <si>
    <t>2810</t>
  </si>
  <si>
    <t>CENTER 26 JT</t>
  </si>
  <si>
    <t>SAN JUAN</t>
  </si>
  <si>
    <t>2820</t>
  </si>
  <si>
    <t>SILVERTON 1</t>
  </si>
  <si>
    <t>SAN MIGUEL</t>
  </si>
  <si>
    <t>2830</t>
  </si>
  <si>
    <t>TELLURIDE R-1</t>
  </si>
  <si>
    <t>2840</t>
  </si>
  <si>
    <t>NORWOOD R-2J</t>
  </si>
  <si>
    <t>SEDGWICK</t>
  </si>
  <si>
    <t>2862</t>
  </si>
  <si>
    <t>JULESBURG RE-1</t>
  </si>
  <si>
    <t>2865</t>
  </si>
  <si>
    <t>PLATTE VALLEY RE-3</t>
  </si>
  <si>
    <t>SUMMIT</t>
  </si>
  <si>
    <t>3000</t>
  </si>
  <si>
    <t>SUMMIT RE-1</t>
  </si>
  <si>
    <t>TELLER</t>
  </si>
  <si>
    <t>3010</t>
  </si>
  <si>
    <t>CRIPPLE CREEK-VICTOR RE-1</t>
  </si>
  <si>
    <t>3020</t>
  </si>
  <si>
    <t>WOODLAND PARK RE-2</t>
  </si>
  <si>
    <t>WASHINGTON</t>
  </si>
  <si>
    <t>3030</t>
  </si>
  <si>
    <t>AKRON R-1</t>
  </si>
  <si>
    <t>3040</t>
  </si>
  <si>
    <t>ARICKAREE R-2</t>
  </si>
  <si>
    <t>3050</t>
  </si>
  <si>
    <t>OTIS R-3</t>
  </si>
  <si>
    <t>3060</t>
  </si>
  <si>
    <t>LONE STAR 101</t>
  </si>
  <si>
    <t>3070</t>
  </si>
  <si>
    <t>WOODLIN R-104</t>
  </si>
  <si>
    <t>WELD</t>
  </si>
  <si>
    <t>3080</t>
  </si>
  <si>
    <t>GILCREST RE-1</t>
  </si>
  <si>
    <t>3085</t>
  </si>
  <si>
    <t>EATON RE-2</t>
  </si>
  <si>
    <t>3090</t>
  </si>
  <si>
    <t>KEENESBURG RE-3(J)</t>
  </si>
  <si>
    <t>3100</t>
  </si>
  <si>
    <t>WINDSOR RE-4</t>
  </si>
  <si>
    <t>3110</t>
  </si>
  <si>
    <t>JOHNSTOWN-MILLIKEN RE-5J</t>
  </si>
  <si>
    <t>3120</t>
  </si>
  <si>
    <t>GREELEY 6</t>
  </si>
  <si>
    <t>3130</t>
  </si>
  <si>
    <t>PLATTE VALLEY RE-7</t>
  </si>
  <si>
    <t>3140</t>
  </si>
  <si>
    <t>FORT LUPTON RE-8</t>
  </si>
  <si>
    <t>3145</t>
  </si>
  <si>
    <t>AULT-HIGHLAND RE-9</t>
  </si>
  <si>
    <t>3146</t>
  </si>
  <si>
    <t>BRIGGSDALE RE-10</t>
  </si>
  <si>
    <t>3147</t>
  </si>
  <si>
    <t>PRAIRIE RE-11</t>
  </si>
  <si>
    <t>3148</t>
  </si>
  <si>
    <t>PAWNEE RE-12</t>
  </si>
  <si>
    <t>YUMA</t>
  </si>
  <si>
    <t>YUMA COUNTY 1</t>
  </si>
  <si>
    <t>WRAY RE-2</t>
  </si>
  <si>
    <t>IDALIA RD-3</t>
  </si>
  <si>
    <t>LIBERTY RJ-4</t>
  </si>
  <si>
    <t>CHARTER SCHOOL INSTITUTE (CSI)</t>
  </si>
  <si>
    <t>East Central BOCES</t>
  </si>
  <si>
    <t>SLVALLEY BOCES</t>
  </si>
  <si>
    <t>S. CENTRAL BOCES</t>
  </si>
  <si>
    <t>S.PLATTE  BOCES</t>
  </si>
  <si>
    <t>CENTENNIAL BOCES</t>
  </si>
  <si>
    <t>Rocky Mountain Youth Academy</t>
  </si>
  <si>
    <t>State Totals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</si>
</sst>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#,##0.0"/>
    <numFmt numFmtId="165" formatCode="#,##0.0_);\(#,##0.0\)"/>
    <numFmt numFmtId="166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40" fontId="0" fillId="0" borderId="0" xfId="0" applyNumberFormat="1"/>
    <xf numFmtId="2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1" xfId="0" applyFill="1" applyBorder="1" applyAlignment="1">
      <alignment horizontal="right"/>
    </xf>
    <xf numFmtId="0" fontId="1" fillId="2" borderId="1" xfId="0" applyFont="1" applyFill="1" applyBorder="1"/>
    <xf numFmtId="0" fontId="0" fillId="2" borderId="1" xfId="0" applyFill="1" applyBorder="1"/>
    <xf numFmtId="3" fontId="0" fillId="2" borderId="1" xfId="0" applyNumberFormat="1" applyFill="1" applyBorder="1"/>
    <xf numFmtId="3" fontId="0" fillId="2" borderId="1" xfId="0" applyNumberFormat="1" applyFill="1" applyBorder="1" applyAlignment="1">
      <alignment horizontal="right"/>
    </xf>
    <xf numFmtId="43" fontId="0" fillId="2" borderId="1" xfId="0" applyNumberFormat="1" applyFill="1" applyBorder="1"/>
    <xf numFmtId="43" fontId="0" fillId="2" borderId="1" xfId="0" applyNumberFormat="1" applyFill="1" applyBorder="1" applyAlignment="1">
      <alignment horizontal="right"/>
    </xf>
    <xf numFmtId="4" fontId="0" fillId="2" borderId="1" xfId="0" applyNumberFormat="1" applyFill="1" applyBorder="1"/>
    <xf numFmtId="4" fontId="0" fillId="2" borderId="1" xfId="0" applyNumberFormat="1" applyFill="1" applyBorder="1" applyAlignment="1">
      <alignment horizontal="right"/>
    </xf>
    <xf numFmtId="40" fontId="0" fillId="2" borderId="1" xfId="0" applyNumberFormat="1" applyFill="1" applyBorder="1"/>
    <xf numFmtId="1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Y10-13%20for%20Web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istoric Data"/>
      <sheetName val="FY12-13 Data"/>
      <sheetName val="Sheet3"/>
    </sheetNames>
    <sheetDataSet>
      <sheetData sheetId="0"/>
      <sheetData sheetId="1"/>
      <sheetData sheetId="2">
        <row r="6">
          <cell r="GH6">
            <v>347028</v>
          </cell>
        </row>
        <row r="7">
          <cell r="GH7">
            <v>49982013.900000006</v>
          </cell>
        </row>
        <row r="8">
          <cell r="GH8">
            <v>213737057.74000004</v>
          </cell>
        </row>
        <row r="9">
          <cell r="GH9">
            <v>84538041.629999995</v>
          </cell>
        </row>
        <row r="10">
          <cell r="GH10">
            <v>53053629.269999996</v>
          </cell>
        </row>
        <row r="13">
          <cell r="E13" t="str">
            <v>Number of Pupils Transported</v>
          </cell>
          <cell r="F13" t="str">
            <v>Total Miles</v>
          </cell>
          <cell r="G13" t="str">
            <v>Current Operating Expenditures (C.O.E.)</v>
          </cell>
          <cell r="H13" t="str">
            <v>Entitlement</v>
          </cell>
          <cell r="I13" t="str">
            <v>Reimbursement Payment</v>
          </cell>
        </row>
        <row r="14">
          <cell r="A14" t="str">
            <v>0010</v>
          </cell>
          <cell r="B14" t="str">
            <v>ADAMS</v>
          </cell>
          <cell r="C14" t="str">
            <v>MAPLETON PUBLIC SCHOOLS</v>
          </cell>
          <cell r="E14">
            <v>4629</v>
          </cell>
          <cell r="F14">
            <v>280894</v>
          </cell>
          <cell r="G14">
            <v>1903668.29</v>
          </cell>
          <cell r="H14">
            <v>715117.95</v>
          </cell>
          <cell r="I14">
            <v>478466.97</v>
          </cell>
        </row>
        <row r="15">
          <cell r="A15" t="str">
            <v>0020</v>
          </cell>
          <cell r="B15" t="str">
            <v>ADAMS</v>
          </cell>
          <cell r="C15" t="str">
            <v>NORTHGLENN 12</v>
          </cell>
          <cell r="E15">
            <v>8317</v>
          </cell>
          <cell r="F15">
            <v>985250</v>
          </cell>
          <cell r="G15">
            <v>6865715.6500000004</v>
          </cell>
          <cell r="H15">
            <v>2572158.3000000003</v>
          </cell>
          <cell r="I15">
            <v>1623565.52</v>
          </cell>
        </row>
        <row r="16">
          <cell r="A16" t="str">
            <v>0030</v>
          </cell>
          <cell r="B16" t="str">
            <v>ADAMS</v>
          </cell>
          <cell r="C16" t="str">
            <v>COMMERCE CITY 14</v>
          </cell>
          <cell r="E16">
            <v>6592</v>
          </cell>
          <cell r="F16">
            <v>228206.1</v>
          </cell>
          <cell r="G16">
            <v>2026031</v>
          </cell>
          <cell r="H16">
            <v>743367.34</v>
          </cell>
          <cell r="I16">
            <v>469214.09</v>
          </cell>
        </row>
        <row r="17">
          <cell r="A17" t="str">
            <v>0040</v>
          </cell>
          <cell r="B17" t="str">
            <v>ADAMS</v>
          </cell>
          <cell r="C17" t="str">
            <v>BRIGHTON 27J</v>
          </cell>
          <cell r="E17">
            <v>7308</v>
          </cell>
          <cell r="F17">
            <v>1091328</v>
          </cell>
          <cell r="G17">
            <v>4944407</v>
          </cell>
          <cell r="H17">
            <v>1947976.6199999999</v>
          </cell>
          <cell r="I17">
            <v>1198258.31</v>
          </cell>
        </row>
        <row r="18">
          <cell r="A18" t="str">
            <v>0050</v>
          </cell>
          <cell r="B18" t="str">
            <v>ADAMS</v>
          </cell>
          <cell r="C18" t="str">
            <v>BENNETT 29J</v>
          </cell>
          <cell r="E18">
            <v>852</v>
          </cell>
          <cell r="F18">
            <v>165963</v>
          </cell>
          <cell r="G18">
            <v>475550</v>
          </cell>
          <cell r="H18">
            <v>202631.62</v>
          </cell>
          <cell r="I18">
            <v>124829.26999999999</v>
          </cell>
        </row>
        <row r="19">
          <cell r="A19" t="str">
            <v>0060</v>
          </cell>
          <cell r="B19" t="str">
            <v>ADAMS</v>
          </cell>
          <cell r="C19" t="str">
            <v>STRASBURG 31J</v>
          </cell>
          <cell r="E19">
            <v>656</v>
          </cell>
          <cell r="F19">
            <v>84836</v>
          </cell>
          <cell r="G19">
            <v>248770</v>
          </cell>
          <cell r="H19">
            <v>105504.24</v>
          </cell>
          <cell r="I19">
            <v>83311.850000000006</v>
          </cell>
        </row>
        <row r="20">
          <cell r="A20" t="str">
            <v>0070</v>
          </cell>
          <cell r="B20" t="str">
            <v>ADAMS</v>
          </cell>
          <cell r="C20" t="str">
            <v>WESTMINSTER 50</v>
          </cell>
          <cell r="E20">
            <v>5385</v>
          </cell>
          <cell r="F20">
            <v>321470</v>
          </cell>
          <cell r="G20">
            <v>2207574.5</v>
          </cell>
          <cell r="H20">
            <v>828212.60000000009</v>
          </cell>
          <cell r="I20">
            <v>505185.03</v>
          </cell>
        </row>
        <row r="21">
          <cell r="A21" t="str">
            <v>0100</v>
          </cell>
          <cell r="B21" t="str">
            <v>ALAMOSA</v>
          </cell>
          <cell r="C21" t="str">
            <v>ALAMOSA 11J</v>
          </cell>
          <cell r="E21">
            <v>1747</v>
          </cell>
          <cell r="F21">
            <v>112047</v>
          </cell>
          <cell r="G21">
            <v>401083.7</v>
          </cell>
          <cell r="H21">
            <v>163907.46</v>
          </cell>
          <cell r="I21">
            <v>113029.5</v>
          </cell>
        </row>
        <row r="22">
          <cell r="A22" t="str">
            <v>0110</v>
          </cell>
          <cell r="B22" t="str">
            <v>ALAMOSA</v>
          </cell>
          <cell r="C22" t="str">
            <v>SANGRE DECRISTO 22J</v>
          </cell>
          <cell r="E22">
            <v>192</v>
          </cell>
          <cell r="F22">
            <v>72930</v>
          </cell>
          <cell r="G22">
            <v>130474.98</v>
          </cell>
          <cell r="H22">
            <v>62456.05</v>
          </cell>
          <cell r="I22">
            <v>39011.93</v>
          </cell>
        </row>
        <row r="23">
          <cell r="A23" t="str">
            <v>0120</v>
          </cell>
          <cell r="B23" t="str">
            <v>ARAPAHOE</v>
          </cell>
          <cell r="C23" t="str">
            <v>ENGLEWOOD 1</v>
          </cell>
          <cell r="E23">
            <v>775</v>
          </cell>
          <cell r="F23">
            <v>71044.2</v>
          </cell>
          <cell r="G23">
            <v>561986.42000000004</v>
          </cell>
          <cell r="H23">
            <v>208136.71</v>
          </cell>
          <cell r="I23">
            <v>128008.31</v>
          </cell>
        </row>
        <row r="24">
          <cell r="A24" t="str">
            <v>0123</v>
          </cell>
          <cell r="B24" t="str">
            <v>ARAPAHOE</v>
          </cell>
          <cell r="C24" t="str">
            <v>SHERIDAN 2</v>
          </cell>
          <cell r="E24">
            <v>1918</v>
          </cell>
          <cell r="F24">
            <v>81703.8</v>
          </cell>
          <cell r="G24">
            <v>579116.14</v>
          </cell>
          <cell r="H24">
            <v>216608.07</v>
          </cell>
          <cell r="I24">
            <v>134251.60999999999</v>
          </cell>
        </row>
        <row r="25">
          <cell r="A25" t="str">
            <v>0130</v>
          </cell>
          <cell r="B25" t="str">
            <v>ARAPAHOE</v>
          </cell>
          <cell r="C25" t="str">
            <v>CHERRY CREEK 5</v>
          </cell>
          <cell r="E25">
            <v>21006</v>
          </cell>
          <cell r="F25">
            <v>2467734</v>
          </cell>
          <cell r="G25">
            <v>18515831.73</v>
          </cell>
          <cell r="H25">
            <v>6889317.4699999997</v>
          </cell>
          <cell r="I25">
            <v>4267367.83</v>
          </cell>
        </row>
        <row r="26">
          <cell r="A26" t="str">
            <v>0140</v>
          </cell>
          <cell r="B26" t="str">
            <v>ARAPAHOE</v>
          </cell>
          <cell r="C26" t="str">
            <v>LITTLETON 6</v>
          </cell>
          <cell r="E26">
            <v>10983</v>
          </cell>
          <cell r="F26">
            <v>678699</v>
          </cell>
          <cell r="G26">
            <v>3909311</v>
          </cell>
          <cell r="H26">
            <v>1494053.1500000001</v>
          </cell>
          <cell r="I26">
            <v>922877.13</v>
          </cell>
        </row>
        <row r="27">
          <cell r="A27" t="str">
            <v>0170</v>
          </cell>
          <cell r="B27" t="str">
            <v>ARAPAHOE</v>
          </cell>
          <cell r="C27" t="str">
            <v>DEER TRAIL 26J</v>
          </cell>
          <cell r="E27">
            <v>72</v>
          </cell>
          <cell r="F27">
            <v>74675</v>
          </cell>
          <cell r="G27">
            <v>68184.91</v>
          </cell>
          <cell r="H27">
            <v>41795.409999999996</v>
          </cell>
          <cell r="I27">
            <v>25867.17</v>
          </cell>
        </row>
        <row r="28">
          <cell r="A28" t="str">
            <v>0180</v>
          </cell>
          <cell r="B28" t="str">
            <v>ARAPAHOE</v>
          </cell>
          <cell r="C28" t="str">
            <v>AURORA 28J</v>
          </cell>
          <cell r="E28">
            <v>8984</v>
          </cell>
          <cell r="F28">
            <v>1167992.3999999999</v>
          </cell>
          <cell r="G28">
            <v>5731403.6799999997</v>
          </cell>
          <cell r="H28">
            <v>2233731.7999999998</v>
          </cell>
          <cell r="I28">
            <v>1348091.0499999998</v>
          </cell>
        </row>
        <row r="29">
          <cell r="A29" t="str">
            <v>0190</v>
          </cell>
          <cell r="B29" t="str">
            <v>ARAPAHOE</v>
          </cell>
          <cell r="C29" t="str">
            <v>BYERS 32J</v>
          </cell>
          <cell r="E29">
            <v>283</v>
          </cell>
          <cell r="F29">
            <v>90856</v>
          </cell>
          <cell r="G29">
            <v>266249.87</v>
          </cell>
          <cell r="H29">
            <v>112932.29</v>
          </cell>
          <cell r="I29">
            <v>71235.239999999991</v>
          </cell>
        </row>
        <row r="30">
          <cell r="A30" t="str">
            <v>0220</v>
          </cell>
          <cell r="B30" t="str">
            <v>ARCHULETA</v>
          </cell>
          <cell r="C30" t="str">
            <v>ARCHULETA 50J</v>
          </cell>
          <cell r="E30">
            <v>1181</v>
          </cell>
          <cell r="F30">
            <v>122430</v>
          </cell>
          <cell r="G30">
            <v>575824.46</v>
          </cell>
          <cell r="H30">
            <v>225692.41999999998</v>
          </cell>
          <cell r="I30">
            <v>139643.28</v>
          </cell>
        </row>
        <row r="31">
          <cell r="A31" t="str">
            <v>0230</v>
          </cell>
          <cell r="B31" t="str">
            <v>BACA</v>
          </cell>
          <cell r="C31" t="str">
            <v>WALSH RE-1</v>
          </cell>
          <cell r="E31">
            <v>122</v>
          </cell>
          <cell r="F31">
            <v>71989.5</v>
          </cell>
          <cell r="G31">
            <v>90780.72</v>
          </cell>
          <cell r="H31">
            <v>48776.07</v>
          </cell>
          <cell r="I31">
            <v>30514.059999999998</v>
          </cell>
        </row>
        <row r="32">
          <cell r="A32" t="str">
            <v>0240</v>
          </cell>
          <cell r="B32" t="str">
            <v>BACA</v>
          </cell>
          <cell r="C32" t="str">
            <v>PRITCHETT RE-3</v>
          </cell>
          <cell r="E32">
            <v>21</v>
          </cell>
          <cell r="F32">
            <v>40896</v>
          </cell>
          <cell r="G32">
            <v>39239.43</v>
          </cell>
          <cell r="H32">
            <v>23532.16</v>
          </cell>
          <cell r="I32">
            <v>17232.27</v>
          </cell>
        </row>
        <row r="33">
          <cell r="A33" t="str">
            <v>0250</v>
          </cell>
          <cell r="B33" t="str">
            <v>BACA</v>
          </cell>
          <cell r="C33" t="str">
            <v>SPRINGFIELD RE-4</v>
          </cell>
          <cell r="E33">
            <v>80</v>
          </cell>
          <cell r="F33">
            <v>46037.5</v>
          </cell>
          <cell r="G33">
            <v>69879.320000000007</v>
          </cell>
          <cell r="H33">
            <v>35197.490000000005</v>
          </cell>
          <cell r="I33">
            <v>22587.38</v>
          </cell>
        </row>
        <row r="34">
          <cell r="A34" t="str">
            <v>0260</v>
          </cell>
          <cell r="B34" t="str">
            <v>BACA</v>
          </cell>
          <cell r="C34" t="str">
            <v>VILAS RE-5</v>
          </cell>
          <cell r="E34">
            <v>28</v>
          </cell>
          <cell r="F34">
            <v>32899</v>
          </cell>
          <cell r="G34">
            <v>82840.55</v>
          </cell>
          <cell r="H34">
            <v>36297.129999999997</v>
          </cell>
          <cell r="I34">
            <v>22726.23</v>
          </cell>
        </row>
        <row r="35">
          <cell r="A35" t="str">
            <v>0270</v>
          </cell>
          <cell r="B35" t="str">
            <v>BACA</v>
          </cell>
          <cell r="C35" t="str">
            <v>CAMPO RE-6</v>
          </cell>
          <cell r="E35">
            <v>11</v>
          </cell>
          <cell r="F35">
            <v>16159</v>
          </cell>
          <cell r="G35">
            <v>47179.72</v>
          </cell>
          <cell r="H35">
            <v>20026.54</v>
          </cell>
          <cell r="I35">
            <v>14635.14</v>
          </cell>
        </row>
        <row r="36">
          <cell r="A36" t="str">
            <v>0290</v>
          </cell>
          <cell r="B36" t="str">
            <v>BENT</v>
          </cell>
          <cell r="C36" t="str">
            <v>LAS ANIMAS RE-1</v>
          </cell>
          <cell r="E36">
            <v>174</v>
          </cell>
          <cell r="F36">
            <v>46282</v>
          </cell>
          <cell r="G36">
            <v>79921.179999999993</v>
          </cell>
          <cell r="H36">
            <v>38659.9</v>
          </cell>
          <cell r="I36">
            <v>23968.05</v>
          </cell>
        </row>
        <row r="37">
          <cell r="A37" t="str">
            <v>0310</v>
          </cell>
          <cell r="B37" t="str">
            <v>BENT</v>
          </cell>
          <cell r="C37" t="str">
            <v>MCCLAVE RE-2</v>
          </cell>
          <cell r="E37">
            <v>151</v>
          </cell>
          <cell r="F37">
            <v>40325.199999999997</v>
          </cell>
          <cell r="G37">
            <v>114525.09</v>
          </cell>
          <cell r="H37">
            <v>48888.46</v>
          </cell>
          <cell r="I37">
            <v>31784.879999999997</v>
          </cell>
        </row>
        <row r="38">
          <cell r="A38" t="str">
            <v>0470</v>
          </cell>
          <cell r="B38" t="str">
            <v>BOULDER</v>
          </cell>
          <cell r="C38" t="str">
            <v>ST VRAIN RE-1J</v>
          </cell>
          <cell r="E38">
            <v>8179</v>
          </cell>
          <cell r="F38">
            <v>1587102</v>
          </cell>
          <cell r="G38">
            <v>6313404.0899999999</v>
          </cell>
          <cell r="H38">
            <v>2535814.7599999998</v>
          </cell>
          <cell r="I38">
            <v>1562545.72</v>
          </cell>
        </row>
        <row r="39">
          <cell r="A39" t="str">
            <v>0480</v>
          </cell>
          <cell r="B39" t="str">
            <v>BOULDER</v>
          </cell>
          <cell r="C39" t="str">
            <v>BOULDER RE-2</v>
          </cell>
          <cell r="E39">
            <v>10077</v>
          </cell>
          <cell r="F39">
            <v>2040714</v>
          </cell>
          <cell r="G39">
            <v>12519529.869999999</v>
          </cell>
          <cell r="H39">
            <v>4751429.57</v>
          </cell>
          <cell r="I39">
            <v>3054596.54</v>
          </cell>
        </row>
        <row r="40">
          <cell r="A40" t="str">
            <v>0490</v>
          </cell>
          <cell r="B40" t="str">
            <v>CHAFFEE</v>
          </cell>
          <cell r="C40" t="str">
            <v>BUENA VISTA R-31</v>
          </cell>
          <cell r="E40">
            <v>472</v>
          </cell>
          <cell r="F40">
            <v>88368</v>
          </cell>
          <cell r="G40">
            <v>347819.81</v>
          </cell>
          <cell r="H40">
            <v>139936.95000000001</v>
          </cell>
          <cell r="I40">
            <v>87040.37</v>
          </cell>
        </row>
        <row r="41">
          <cell r="A41" t="str">
            <v>0500</v>
          </cell>
          <cell r="B41" t="str">
            <v>CHAFFEE</v>
          </cell>
          <cell r="C41" t="str">
            <v>SALIDA R-32J</v>
          </cell>
          <cell r="E41">
            <v>231</v>
          </cell>
          <cell r="F41">
            <v>43800</v>
          </cell>
          <cell r="G41">
            <v>184927.78</v>
          </cell>
          <cell r="H41">
            <v>73604.06</v>
          </cell>
          <cell r="I41">
            <v>49882.14</v>
          </cell>
        </row>
        <row r="42">
          <cell r="A42" t="str">
            <v>0510</v>
          </cell>
          <cell r="B42" t="str">
            <v>CHEYENNE</v>
          </cell>
          <cell r="C42" t="str">
            <v>KIT CARSON R-1</v>
          </cell>
          <cell r="E42">
            <v>63</v>
          </cell>
          <cell r="F42">
            <v>92565</v>
          </cell>
          <cell r="G42">
            <v>157776</v>
          </cell>
          <cell r="H42">
            <v>76620.19</v>
          </cell>
          <cell r="I42">
            <v>47667</v>
          </cell>
        </row>
        <row r="43">
          <cell r="A43" t="str">
            <v>0520</v>
          </cell>
          <cell r="B43" t="str">
            <v>CHEYENNE</v>
          </cell>
          <cell r="C43" t="str">
            <v>CHEYENNE RE-5</v>
          </cell>
          <cell r="E43">
            <v>112</v>
          </cell>
          <cell r="F43">
            <v>89925</v>
          </cell>
          <cell r="G43">
            <v>122298.22</v>
          </cell>
          <cell r="H43">
            <v>63942.71</v>
          </cell>
          <cell r="I43">
            <v>39944.229999999996</v>
          </cell>
        </row>
        <row r="44">
          <cell r="A44" t="str">
            <v>0540</v>
          </cell>
          <cell r="B44" t="str">
            <v>CLEAR CREEK</v>
          </cell>
          <cell r="C44" t="str">
            <v>CLEAR CREEK RE-1</v>
          </cell>
          <cell r="E44">
            <v>600</v>
          </cell>
          <cell r="F44">
            <v>253133.4</v>
          </cell>
          <cell r="G44">
            <v>757220.45</v>
          </cell>
          <cell r="H44">
            <v>319863.86</v>
          </cell>
          <cell r="I44">
            <v>202292.03</v>
          </cell>
        </row>
        <row r="45">
          <cell r="A45" t="str">
            <v>0550</v>
          </cell>
          <cell r="B45" t="str">
            <v>CONEJOS</v>
          </cell>
          <cell r="C45" t="str">
            <v>NORTH CONEJOS RE-1J</v>
          </cell>
          <cell r="E45">
            <v>922</v>
          </cell>
          <cell r="F45">
            <v>104775</v>
          </cell>
          <cell r="G45">
            <v>412777.06</v>
          </cell>
          <cell r="H45">
            <v>166046.84</v>
          </cell>
          <cell r="I45">
            <v>105329.95999999999</v>
          </cell>
        </row>
        <row r="46">
          <cell r="A46" t="str">
            <v>0560</v>
          </cell>
          <cell r="B46" t="str">
            <v>CONEJOS</v>
          </cell>
          <cell r="C46" t="str">
            <v>SANFORD 6J</v>
          </cell>
          <cell r="E46">
            <v>144</v>
          </cell>
          <cell r="F46">
            <v>35035</v>
          </cell>
          <cell r="G46">
            <v>154465.53</v>
          </cell>
          <cell r="H46">
            <v>61091.44</v>
          </cell>
          <cell r="I46">
            <v>39011.39</v>
          </cell>
        </row>
        <row r="47">
          <cell r="A47" t="str">
            <v>0580</v>
          </cell>
          <cell r="B47" t="str">
            <v>CONEJOS</v>
          </cell>
          <cell r="C47" t="str">
            <v>SOUTH CONEJOS RE-10</v>
          </cell>
          <cell r="E47">
            <v>133</v>
          </cell>
          <cell r="F47">
            <v>34510</v>
          </cell>
          <cell r="G47">
            <v>99880.67</v>
          </cell>
          <cell r="H47">
            <v>42472.07</v>
          </cell>
          <cell r="I47">
            <v>26102.79</v>
          </cell>
        </row>
        <row r="48">
          <cell r="A48" t="str">
            <v>0640</v>
          </cell>
          <cell r="B48" t="str">
            <v>COSTILLA</v>
          </cell>
          <cell r="C48" t="str">
            <v>CENTENNIAL R-1</v>
          </cell>
          <cell r="E48">
            <v>126</v>
          </cell>
          <cell r="F48">
            <v>68328</v>
          </cell>
          <cell r="G48">
            <v>93637.95</v>
          </cell>
          <cell r="H48">
            <v>48826.850000000006</v>
          </cell>
          <cell r="I48">
            <v>30336.22</v>
          </cell>
        </row>
        <row r="49">
          <cell r="A49" t="str">
            <v>0740</v>
          </cell>
          <cell r="B49" t="str">
            <v>COSTILLA</v>
          </cell>
          <cell r="C49" t="str">
            <v>SIERRA GRANDE R-30</v>
          </cell>
          <cell r="E49">
            <v>270</v>
          </cell>
          <cell r="F49">
            <v>39600</v>
          </cell>
          <cell r="G49">
            <v>119997.07</v>
          </cell>
          <cell r="H49">
            <v>50560.210000000006</v>
          </cell>
          <cell r="I49">
            <v>31431.49</v>
          </cell>
        </row>
        <row r="50">
          <cell r="A50" t="str">
            <v>0770</v>
          </cell>
          <cell r="B50" t="str">
            <v>CROWLEY</v>
          </cell>
          <cell r="C50" t="str">
            <v>CROWLEY RE-1J</v>
          </cell>
          <cell r="E50">
            <v>194</v>
          </cell>
          <cell r="F50">
            <v>62524</v>
          </cell>
          <cell r="G50">
            <v>83541.960000000006</v>
          </cell>
          <cell r="H50">
            <v>43953.82</v>
          </cell>
          <cell r="I50">
            <v>31213.69</v>
          </cell>
        </row>
        <row r="51">
          <cell r="A51" t="str">
            <v>0860</v>
          </cell>
          <cell r="B51" t="str">
            <v>CUSTER</v>
          </cell>
          <cell r="C51" t="str">
            <v>WESTCLIFFE C-1</v>
          </cell>
          <cell r="E51">
            <v>338</v>
          </cell>
          <cell r="F51">
            <v>91728</v>
          </cell>
          <cell r="G51">
            <v>162047.04000000001</v>
          </cell>
          <cell r="H51">
            <v>77857.17</v>
          </cell>
          <cell r="I51">
            <v>57287.990000000005</v>
          </cell>
        </row>
        <row r="52">
          <cell r="A52" t="str">
            <v>0870</v>
          </cell>
          <cell r="B52" t="str">
            <v>DELTA</v>
          </cell>
          <cell r="C52" t="str">
            <v>DELTA 50J</v>
          </cell>
          <cell r="E52">
            <v>2688</v>
          </cell>
          <cell r="F52">
            <v>381024</v>
          </cell>
          <cell r="G52">
            <v>1111150</v>
          </cell>
          <cell r="H52">
            <v>471767.99</v>
          </cell>
          <cell r="I52">
            <v>291824.51</v>
          </cell>
        </row>
        <row r="53">
          <cell r="A53" t="str">
            <v>0880</v>
          </cell>
          <cell r="B53" t="str">
            <v>DENVER</v>
          </cell>
          <cell r="C53" t="str">
            <v>DENVER 1</v>
          </cell>
          <cell r="E53">
            <v>33758</v>
          </cell>
          <cell r="F53">
            <v>3352195</v>
          </cell>
          <cell r="G53">
            <v>20354613.23</v>
          </cell>
          <cell r="H53">
            <v>7733612.1500000004</v>
          </cell>
          <cell r="I53">
            <v>4794715.29</v>
          </cell>
        </row>
        <row r="54">
          <cell r="A54" t="str">
            <v>0890</v>
          </cell>
          <cell r="B54" t="str">
            <v>DOLORES</v>
          </cell>
          <cell r="C54" t="str">
            <v>DOLORES RE NO 2</v>
          </cell>
          <cell r="E54">
            <v>148</v>
          </cell>
          <cell r="F54">
            <v>74592.600000000006</v>
          </cell>
          <cell r="G54">
            <v>138789.06</v>
          </cell>
          <cell r="H54">
            <v>65688.399999999994</v>
          </cell>
          <cell r="I54">
            <v>40737.279999999999</v>
          </cell>
        </row>
        <row r="55">
          <cell r="A55" t="str">
            <v>0900</v>
          </cell>
          <cell r="B55" t="str">
            <v>DOUGLAS</v>
          </cell>
          <cell r="C55" t="str">
            <v>DOUGLAS RE-1J</v>
          </cell>
          <cell r="E55">
            <v>35970</v>
          </cell>
          <cell r="F55">
            <v>3341272</v>
          </cell>
          <cell r="G55">
            <v>19052324.149999999</v>
          </cell>
          <cell r="H55">
            <v>7289791.3399999999</v>
          </cell>
          <cell r="I55">
            <v>4523979.59</v>
          </cell>
        </row>
        <row r="56">
          <cell r="A56" t="str">
            <v>0910</v>
          </cell>
          <cell r="B56" t="str">
            <v>EAGLE</v>
          </cell>
          <cell r="C56" t="str">
            <v>EAGLE RE-50J</v>
          </cell>
          <cell r="E56">
            <v>2914</v>
          </cell>
          <cell r="F56">
            <v>442548</v>
          </cell>
          <cell r="G56">
            <v>1725688.54</v>
          </cell>
          <cell r="H56">
            <v>695319.90999999992</v>
          </cell>
          <cell r="I56">
            <v>440062</v>
          </cell>
        </row>
        <row r="57">
          <cell r="A57" t="str">
            <v>0920</v>
          </cell>
          <cell r="B57" t="str">
            <v>ELBERT</v>
          </cell>
          <cell r="C57" t="str">
            <v>ELIZABETH C-1</v>
          </cell>
          <cell r="E57">
            <v>2251</v>
          </cell>
          <cell r="F57">
            <v>327352</v>
          </cell>
          <cell r="G57">
            <v>862630</v>
          </cell>
          <cell r="H57">
            <v>374152.95</v>
          </cell>
          <cell r="I57">
            <v>242023.13</v>
          </cell>
        </row>
        <row r="58">
          <cell r="A58" t="str">
            <v>0930</v>
          </cell>
          <cell r="B58" t="str">
            <v>ELBERT</v>
          </cell>
          <cell r="C58" t="str">
            <v>KIOWA C-2</v>
          </cell>
          <cell r="E58">
            <v>111</v>
          </cell>
          <cell r="F58">
            <v>232022</v>
          </cell>
          <cell r="G58">
            <v>54438.7</v>
          </cell>
          <cell r="H58">
            <v>48994.83</v>
          </cell>
          <cell r="I58">
            <v>35060.949999999997</v>
          </cell>
        </row>
        <row r="59">
          <cell r="A59" t="str">
            <v>0940</v>
          </cell>
          <cell r="B59" t="str">
            <v>ELBERT</v>
          </cell>
          <cell r="C59" t="str">
            <v>BIG SANDY 100J</v>
          </cell>
          <cell r="E59">
            <v>155</v>
          </cell>
          <cell r="F59">
            <v>105591.2</v>
          </cell>
          <cell r="G59">
            <v>193773.44</v>
          </cell>
          <cell r="H59">
            <v>92074.73</v>
          </cell>
          <cell r="I59">
            <v>57081.399999999994</v>
          </cell>
        </row>
        <row r="60">
          <cell r="A60" t="str">
            <v>0950</v>
          </cell>
          <cell r="B60" t="str">
            <v>ELBERT</v>
          </cell>
          <cell r="C60" t="str">
            <v>ELBERT 200</v>
          </cell>
          <cell r="E60">
            <v>197</v>
          </cell>
          <cell r="F60">
            <v>30003</v>
          </cell>
          <cell r="G60">
            <v>99053</v>
          </cell>
          <cell r="H60">
            <v>41063.03</v>
          </cell>
          <cell r="I60">
            <v>25382.98</v>
          </cell>
        </row>
        <row r="61">
          <cell r="A61" t="str">
            <v>0960</v>
          </cell>
          <cell r="B61" t="str">
            <v>ELBERT</v>
          </cell>
          <cell r="C61" t="str">
            <v>AGATE 300</v>
          </cell>
          <cell r="E61">
            <v>8</v>
          </cell>
          <cell r="F61">
            <v>12927.6</v>
          </cell>
          <cell r="G61">
            <v>30523.85</v>
          </cell>
          <cell r="H61">
            <v>13575.94</v>
          </cell>
          <cell r="I61">
            <v>17925.38</v>
          </cell>
        </row>
        <row r="62">
          <cell r="A62" t="str">
            <v>0970</v>
          </cell>
          <cell r="B62" t="str">
            <v>EL PASO</v>
          </cell>
          <cell r="C62" t="str">
            <v>CALHAN RJ-1</v>
          </cell>
          <cell r="E62">
            <v>374</v>
          </cell>
          <cell r="F62">
            <v>92610</v>
          </cell>
          <cell r="G62">
            <v>236457.21</v>
          </cell>
          <cell r="H62">
            <v>103280.78</v>
          </cell>
          <cell r="I62">
            <v>62765.56</v>
          </cell>
        </row>
        <row r="63">
          <cell r="A63" t="str">
            <v>0980</v>
          </cell>
          <cell r="B63" t="str">
            <v>EL PASO</v>
          </cell>
          <cell r="C63" t="str">
            <v>HARRISON 2</v>
          </cell>
          <cell r="E63">
            <v>2205</v>
          </cell>
          <cell r="F63">
            <v>883351</v>
          </cell>
          <cell r="G63">
            <v>2134565.39</v>
          </cell>
          <cell r="H63">
            <v>944198.69000000006</v>
          </cell>
          <cell r="I63">
            <v>602116.33000000007</v>
          </cell>
        </row>
        <row r="64">
          <cell r="A64" t="str">
            <v>0990</v>
          </cell>
          <cell r="B64" t="str">
            <v>EL PASO</v>
          </cell>
          <cell r="C64" t="str">
            <v>WIDEFIELD 3</v>
          </cell>
          <cell r="E64">
            <v>7163</v>
          </cell>
          <cell r="F64">
            <v>553356</v>
          </cell>
          <cell r="G64">
            <v>2306727.85</v>
          </cell>
          <cell r="H64">
            <v>919868.05</v>
          </cell>
          <cell r="I64">
            <v>575174.49</v>
          </cell>
        </row>
        <row r="65">
          <cell r="A65" t="str">
            <v>1000</v>
          </cell>
          <cell r="B65" t="str">
            <v>EL PASO</v>
          </cell>
          <cell r="C65" t="str">
            <v>FOUNTAIN 8</v>
          </cell>
          <cell r="E65">
            <v>3038</v>
          </cell>
          <cell r="F65">
            <v>530060</v>
          </cell>
          <cell r="G65">
            <v>2203807</v>
          </cell>
          <cell r="H65">
            <v>879174.64</v>
          </cell>
          <cell r="I65">
            <v>544069.47</v>
          </cell>
        </row>
        <row r="66">
          <cell r="A66" t="str">
            <v>1010</v>
          </cell>
          <cell r="B66" t="str">
            <v>EL PASO</v>
          </cell>
          <cell r="C66" t="str">
            <v>COLORADO SPRINGS 11</v>
          </cell>
          <cell r="E66">
            <v>7002</v>
          </cell>
          <cell r="F66">
            <v>1004989.3</v>
          </cell>
          <cell r="G66">
            <v>3788787.95</v>
          </cell>
          <cell r="H66">
            <v>1534946.28</v>
          </cell>
          <cell r="I66">
            <v>991213.39999999991</v>
          </cell>
        </row>
        <row r="67">
          <cell r="A67" t="str">
            <v>1020</v>
          </cell>
          <cell r="B67" t="str">
            <v>EL PASO</v>
          </cell>
          <cell r="C67" t="str">
            <v>CHEYENNE MOUNTAIN 12</v>
          </cell>
          <cell r="E67">
            <v>34</v>
          </cell>
          <cell r="F67">
            <v>69597</v>
          </cell>
          <cell r="G67">
            <v>129264.77</v>
          </cell>
          <cell r="H67">
            <v>61211.45</v>
          </cell>
          <cell r="I67">
            <v>39238.39</v>
          </cell>
        </row>
        <row r="68">
          <cell r="A68" t="str">
            <v>1030</v>
          </cell>
          <cell r="B68" t="str">
            <v>EL PASO</v>
          </cell>
          <cell r="C68" t="str">
            <v>MANITOU SPRINGS 14</v>
          </cell>
          <cell r="E68">
            <v>712</v>
          </cell>
          <cell r="F68">
            <v>182138.4</v>
          </cell>
          <cell r="G68">
            <v>349052.01</v>
          </cell>
          <cell r="H68">
            <v>163837.62</v>
          </cell>
          <cell r="I68">
            <v>101151.28</v>
          </cell>
        </row>
        <row r="69">
          <cell r="A69" t="str">
            <v>1040</v>
          </cell>
          <cell r="B69" t="str">
            <v>EL PASO</v>
          </cell>
          <cell r="C69" t="str">
            <v>ACADEMY 20</v>
          </cell>
          <cell r="E69">
            <v>11335</v>
          </cell>
          <cell r="F69">
            <v>1588248</v>
          </cell>
          <cell r="G69">
            <v>6218684.0300000003</v>
          </cell>
          <cell r="H69">
            <v>2504020.0700000003</v>
          </cell>
          <cell r="I69">
            <v>1526951.56</v>
          </cell>
        </row>
        <row r="70">
          <cell r="A70" t="str">
            <v>1050</v>
          </cell>
          <cell r="B70" t="str">
            <v>EL PASO</v>
          </cell>
          <cell r="C70" t="str">
            <v>ELLICOTT 22</v>
          </cell>
          <cell r="E70">
            <v>1035</v>
          </cell>
          <cell r="F70">
            <v>181902.5</v>
          </cell>
          <cell r="G70">
            <v>504139.46</v>
          </cell>
          <cell r="H70">
            <v>216306.65999999997</v>
          </cell>
          <cell r="I70">
            <v>144600.13</v>
          </cell>
        </row>
        <row r="71">
          <cell r="A71" t="str">
            <v>1060</v>
          </cell>
          <cell r="B71" t="str">
            <v>EL PASO</v>
          </cell>
          <cell r="C71" t="str">
            <v>PEYTON 23JT</v>
          </cell>
          <cell r="E71">
            <v>647</v>
          </cell>
          <cell r="F71">
            <v>103488</v>
          </cell>
          <cell r="G71">
            <v>366745.16</v>
          </cell>
          <cell r="H71">
            <v>150133.53</v>
          </cell>
          <cell r="I71">
            <v>92042.82</v>
          </cell>
        </row>
        <row r="72">
          <cell r="A72" t="str">
            <v>1070</v>
          </cell>
          <cell r="B72" t="str">
            <v>EL PASO</v>
          </cell>
          <cell r="C72" t="str">
            <v>HANOVER 28</v>
          </cell>
          <cell r="E72">
            <v>227</v>
          </cell>
          <cell r="F72">
            <v>87468</v>
          </cell>
          <cell r="G72">
            <v>290915.31</v>
          </cell>
          <cell r="H72">
            <v>120438</v>
          </cell>
          <cell r="I72">
            <v>76122.62</v>
          </cell>
        </row>
        <row r="73">
          <cell r="A73" t="str">
            <v>1080</v>
          </cell>
          <cell r="B73" t="str">
            <v>EL PASO</v>
          </cell>
          <cell r="C73" t="str">
            <v>LEWIS-PALMER 38</v>
          </cell>
          <cell r="E73">
            <v>2762</v>
          </cell>
          <cell r="F73">
            <v>415095.8</v>
          </cell>
          <cell r="G73">
            <v>1877668.69</v>
          </cell>
          <cell r="H73">
            <v>739920.62</v>
          </cell>
          <cell r="I73">
            <v>481373.28</v>
          </cell>
        </row>
        <row r="74">
          <cell r="A74" t="str">
            <v>1110</v>
          </cell>
          <cell r="B74" t="str">
            <v>EL PASO</v>
          </cell>
          <cell r="C74" t="str">
            <v>FALCON 49</v>
          </cell>
          <cell r="E74">
            <v>3271</v>
          </cell>
          <cell r="F74">
            <v>687820</v>
          </cell>
          <cell r="G74">
            <v>3276205.08</v>
          </cell>
          <cell r="H74">
            <v>1281904.3899999999</v>
          </cell>
          <cell r="I74">
            <v>791881.84</v>
          </cell>
        </row>
        <row r="75">
          <cell r="A75" t="str">
            <v>1120</v>
          </cell>
          <cell r="B75" t="str">
            <v>EL PASO</v>
          </cell>
          <cell r="C75" t="str">
            <v>EDISON 54JT</v>
          </cell>
          <cell r="E75">
            <v>108</v>
          </cell>
          <cell r="F75">
            <v>64232</v>
          </cell>
          <cell r="G75">
            <v>122212.71</v>
          </cell>
          <cell r="H75">
            <v>57479.34</v>
          </cell>
          <cell r="I75">
            <v>35733.090000000004</v>
          </cell>
        </row>
        <row r="76">
          <cell r="A76" t="str">
            <v>1130</v>
          </cell>
          <cell r="B76" t="str">
            <v>EL PASO</v>
          </cell>
          <cell r="C76" t="str">
            <v>MIAMI-YODER 60JT</v>
          </cell>
          <cell r="E76">
            <v>268</v>
          </cell>
          <cell r="F76">
            <v>117160</v>
          </cell>
          <cell r="G76">
            <v>201719.09</v>
          </cell>
          <cell r="H76">
            <v>97663.14</v>
          </cell>
          <cell r="I76">
            <v>58933.87</v>
          </cell>
        </row>
        <row r="77">
          <cell r="A77" t="str">
            <v>1140</v>
          </cell>
          <cell r="B77" t="str">
            <v>FREMONT</v>
          </cell>
          <cell r="C77" t="str">
            <v>CANON CITY RE-1</v>
          </cell>
          <cell r="E77">
            <v>623</v>
          </cell>
          <cell r="F77">
            <v>114724</v>
          </cell>
          <cell r="G77">
            <v>297274.59999999998</v>
          </cell>
          <cell r="H77">
            <v>129417.73000000001</v>
          </cell>
          <cell r="I77">
            <v>74042.7</v>
          </cell>
        </row>
        <row r="78">
          <cell r="A78" t="str">
            <v>1150</v>
          </cell>
          <cell r="B78" t="str">
            <v>FREMONT</v>
          </cell>
          <cell r="C78" t="str">
            <v>FLORENCE RE-2J</v>
          </cell>
          <cell r="E78">
            <v>1357</v>
          </cell>
          <cell r="F78">
            <v>207740</v>
          </cell>
          <cell r="G78">
            <v>629132.18000000005</v>
          </cell>
          <cell r="H78">
            <v>265112.28999999998</v>
          </cell>
          <cell r="I78">
            <v>172321.94</v>
          </cell>
        </row>
        <row r="79">
          <cell r="A79" t="str">
            <v>1160</v>
          </cell>
          <cell r="B79" t="str">
            <v>FREMONT</v>
          </cell>
          <cell r="C79" t="str">
            <v>COTOPAXI R-3</v>
          </cell>
          <cell r="E79">
            <v>220</v>
          </cell>
          <cell r="F79">
            <v>53867.5</v>
          </cell>
          <cell r="G79">
            <v>202563.67</v>
          </cell>
          <cell r="H79">
            <v>82098.58</v>
          </cell>
          <cell r="I79">
            <v>49275.32</v>
          </cell>
        </row>
        <row r="80">
          <cell r="A80" t="str">
            <v>1180</v>
          </cell>
          <cell r="B80" t="str">
            <v>GARFIELD</v>
          </cell>
          <cell r="C80" t="str">
            <v>ROARING FORK RE-1</v>
          </cell>
          <cell r="E80">
            <v>1609</v>
          </cell>
          <cell r="F80">
            <v>232900</v>
          </cell>
          <cell r="G80">
            <v>1084668</v>
          </cell>
          <cell r="H80">
            <v>425703.19999999995</v>
          </cell>
          <cell r="I80">
            <v>263420.15000000002</v>
          </cell>
        </row>
        <row r="81">
          <cell r="A81" t="str">
            <v>1195</v>
          </cell>
          <cell r="B81" t="str">
            <v>GARFIELD</v>
          </cell>
          <cell r="C81" t="str">
            <v>GARFIELD COUNTY RE-2</v>
          </cell>
          <cell r="E81">
            <v>2428</v>
          </cell>
          <cell r="F81">
            <v>315731</v>
          </cell>
          <cell r="G81">
            <v>1135784</v>
          </cell>
          <cell r="H81">
            <v>463759.92000000004</v>
          </cell>
          <cell r="I81">
            <v>300924.21999999997</v>
          </cell>
        </row>
        <row r="82">
          <cell r="A82" t="str">
            <v>1220</v>
          </cell>
          <cell r="B82" t="str">
            <v>GARFIELD</v>
          </cell>
          <cell r="C82" t="str">
            <v>GARFIELD COUNTY 16</v>
          </cell>
          <cell r="E82">
            <v>1414</v>
          </cell>
          <cell r="F82">
            <v>67392</v>
          </cell>
          <cell r="G82">
            <v>200915.69</v>
          </cell>
          <cell r="H82">
            <v>84927.41</v>
          </cell>
          <cell r="I82">
            <v>68164.760000000009</v>
          </cell>
        </row>
        <row r="83">
          <cell r="A83" t="str">
            <v>1330</v>
          </cell>
          <cell r="B83" t="str">
            <v>GILPIN</v>
          </cell>
          <cell r="C83" t="str">
            <v>GILPIN RE-1</v>
          </cell>
          <cell r="E83">
            <v>331</v>
          </cell>
          <cell r="F83">
            <v>56154</v>
          </cell>
          <cell r="G83">
            <v>193740.58</v>
          </cell>
          <cell r="H83">
            <v>79682.820000000007</v>
          </cell>
          <cell r="I83">
            <v>52839.520000000004</v>
          </cell>
        </row>
        <row r="84">
          <cell r="A84" t="str">
            <v>1340</v>
          </cell>
          <cell r="B84" t="str">
            <v>GRAND</v>
          </cell>
          <cell r="C84" t="str">
            <v>WEST GRAND 1</v>
          </cell>
          <cell r="E84">
            <v>348</v>
          </cell>
          <cell r="F84">
            <v>64809.2</v>
          </cell>
          <cell r="G84">
            <v>130882</v>
          </cell>
          <cell r="H84">
            <v>60560.180000000008</v>
          </cell>
          <cell r="I84">
            <v>46590.990000000005</v>
          </cell>
        </row>
        <row r="85">
          <cell r="A85" t="str">
            <v>1350</v>
          </cell>
          <cell r="B85" t="str">
            <v>GRAND</v>
          </cell>
          <cell r="C85" t="str">
            <v>EAST GRAND 2</v>
          </cell>
          <cell r="E85">
            <v>1198</v>
          </cell>
          <cell r="F85">
            <v>95338</v>
          </cell>
          <cell r="G85">
            <v>331628.18</v>
          </cell>
          <cell r="H85">
            <v>136198.37</v>
          </cell>
          <cell r="I85">
            <v>85183.709999999992</v>
          </cell>
        </row>
        <row r="86">
          <cell r="A86" t="str">
            <v>1360</v>
          </cell>
          <cell r="B86" t="str">
            <v>GUNNISON</v>
          </cell>
          <cell r="C86" t="str">
            <v>GUNNISON RE-1J</v>
          </cell>
          <cell r="E86">
            <v>1003</v>
          </cell>
          <cell r="F86">
            <v>152019</v>
          </cell>
          <cell r="G86">
            <v>382339.22</v>
          </cell>
          <cell r="H86">
            <v>167569.07</v>
          </cell>
          <cell r="I86">
            <v>115878.03</v>
          </cell>
        </row>
        <row r="87">
          <cell r="A87" t="str">
            <v>1380</v>
          </cell>
          <cell r="B87" t="str">
            <v>HINSDALE</v>
          </cell>
          <cell r="C87" t="str">
            <v>HINSDALE RE-1</v>
          </cell>
          <cell r="E87">
            <v>6</v>
          </cell>
          <cell r="F87">
            <v>35046</v>
          </cell>
          <cell r="G87">
            <v>21662.71</v>
          </cell>
          <cell r="H87">
            <v>16113.880000000001</v>
          </cell>
          <cell r="I87">
            <v>10948.91</v>
          </cell>
        </row>
        <row r="88">
          <cell r="A88" t="str">
            <v>1390</v>
          </cell>
          <cell r="B88" t="str">
            <v>HUERFANO</v>
          </cell>
          <cell r="C88" t="str">
            <v>HUERFANO RE-1</v>
          </cell>
          <cell r="E88">
            <v>104</v>
          </cell>
          <cell r="F88">
            <v>75744</v>
          </cell>
          <cell r="G88">
            <v>205086.41</v>
          </cell>
          <cell r="H88">
            <v>88431.66</v>
          </cell>
          <cell r="I88">
            <v>54827.42</v>
          </cell>
        </row>
        <row r="89">
          <cell r="A89" t="str">
            <v>1400</v>
          </cell>
          <cell r="B89" t="str">
            <v>HUERFANO</v>
          </cell>
          <cell r="C89" t="str">
            <v>LA VETA RE-2</v>
          </cell>
          <cell r="E89">
            <v>37</v>
          </cell>
          <cell r="F89">
            <v>29725</v>
          </cell>
          <cell r="G89">
            <v>92881.82</v>
          </cell>
          <cell r="H89">
            <v>38903.229999999996</v>
          </cell>
          <cell r="I89">
            <v>25175.909999999996</v>
          </cell>
        </row>
        <row r="90">
          <cell r="A90" t="str">
            <v>1410</v>
          </cell>
          <cell r="B90" t="str">
            <v>JACKSON</v>
          </cell>
          <cell r="C90" t="str">
            <v>NORTH PARK R-1</v>
          </cell>
          <cell r="E90">
            <v>77</v>
          </cell>
          <cell r="F90">
            <v>93032.8</v>
          </cell>
          <cell r="G90">
            <v>104301</v>
          </cell>
          <cell r="H90">
            <v>58625.35</v>
          </cell>
          <cell r="I90">
            <v>36902.06</v>
          </cell>
        </row>
        <row r="91">
          <cell r="A91" t="str">
            <v>1420</v>
          </cell>
          <cell r="B91" t="str">
            <v>JEFFERSON</v>
          </cell>
          <cell r="C91" t="str">
            <v>JEFFERSON R-1</v>
          </cell>
          <cell r="E91">
            <v>27053</v>
          </cell>
          <cell r="F91">
            <v>3960775</v>
          </cell>
          <cell r="G91">
            <v>20734804.620000001</v>
          </cell>
          <cell r="H91">
            <v>8014792.2800000003</v>
          </cell>
          <cell r="I91">
            <v>4973547.04</v>
          </cell>
        </row>
        <row r="92">
          <cell r="A92" t="str">
            <v>1430</v>
          </cell>
          <cell r="B92" t="str">
            <v>KIOWA</v>
          </cell>
          <cell r="C92" t="str">
            <v>EADS RE-1</v>
          </cell>
          <cell r="E92">
            <v>67</v>
          </cell>
          <cell r="F92">
            <v>55728</v>
          </cell>
          <cell r="G92">
            <v>90072.78</v>
          </cell>
          <cell r="H92">
            <v>44463.85</v>
          </cell>
          <cell r="I92">
            <v>27822.86</v>
          </cell>
        </row>
        <row r="93">
          <cell r="A93" t="str">
            <v>1440</v>
          </cell>
          <cell r="B93" t="str">
            <v>KIOWA</v>
          </cell>
          <cell r="C93" t="str">
            <v>PLAINVIEW RE-2</v>
          </cell>
          <cell r="E93">
            <v>68</v>
          </cell>
          <cell r="F93">
            <v>34456</v>
          </cell>
          <cell r="G93">
            <v>74448.45</v>
          </cell>
          <cell r="H93">
            <v>33844.659999999996</v>
          </cell>
          <cell r="I93">
            <v>21157.58</v>
          </cell>
        </row>
        <row r="94">
          <cell r="A94" t="str">
            <v>1450</v>
          </cell>
          <cell r="B94" t="str">
            <v>KIT CARSON</v>
          </cell>
          <cell r="C94" t="str">
            <v>ARRIBA/FLAGLER C-20</v>
          </cell>
          <cell r="E94">
            <v>162</v>
          </cell>
          <cell r="F94">
            <v>97807.5</v>
          </cell>
          <cell r="G94">
            <v>168227.32</v>
          </cell>
          <cell r="H94">
            <v>81472.95</v>
          </cell>
          <cell r="I94">
            <v>50963.08</v>
          </cell>
        </row>
        <row r="95">
          <cell r="A95" t="str">
            <v>1460</v>
          </cell>
          <cell r="B95" t="str">
            <v>KIT CARSON</v>
          </cell>
          <cell r="C95" t="str">
            <v>HI PLAINS R-23</v>
          </cell>
          <cell r="E95">
            <v>101</v>
          </cell>
          <cell r="F95">
            <v>55042</v>
          </cell>
          <cell r="G95">
            <v>72380.83</v>
          </cell>
          <cell r="H95">
            <v>38299.800000000003</v>
          </cell>
          <cell r="I95">
            <v>28471.370000000003</v>
          </cell>
        </row>
        <row r="96">
          <cell r="A96" t="str">
            <v>1480</v>
          </cell>
          <cell r="B96" t="str">
            <v>KIT CARSON</v>
          </cell>
          <cell r="C96" t="str">
            <v>STRATTON R-4</v>
          </cell>
          <cell r="E96">
            <v>50</v>
          </cell>
          <cell r="F96">
            <v>35070</v>
          </cell>
          <cell r="G96">
            <v>47641.41</v>
          </cell>
          <cell r="H96">
            <v>24918.880000000001</v>
          </cell>
          <cell r="I96">
            <v>19871.8</v>
          </cell>
        </row>
        <row r="97">
          <cell r="A97" t="str">
            <v>1490</v>
          </cell>
          <cell r="B97" t="str">
            <v>KIT CARSON</v>
          </cell>
          <cell r="C97" t="str">
            <v>BETHUNE R-5</v>
          </cell>
          <cell r="E97">
            <v>30</v>
          </cell>
          <cell r="F97">
            <v>40894</v>
          </cell>
          <cell r="G97">
            <v>39565</v>
          </cell>
          <cell r="H97">
            <v>23641.93</v>
          </cell>
          <cell r="I97">
            <v>17891.559999999998</v>
          </cell>
        </row>
        <row r="98">
          <cell r="A98" t="str">
            <v>1500</v>
          </cell>
          <cell r="B98" t="str">
            <v>KIT CARSON</v>
          </cell>
          <cell r="C98" t="str">
            <v>BURLINGTON R-6J</v>
          </cell>
          <cell r="E98">
            <v>164</v>
          </cell>
          <cell r="F98">
            <v>88057</v>
          </cell>
          <cell r="G98">
            <v>147604.69</v>
          </cell>
          <cell r="H98">
            <v>72046.209999999992</v>
          </cell>
          <cell r="I98">
            <v>44775.78</v>
          </cell>
        </row>
        <row r="99">
          <cell r="A99" t="str">
            <v>1510</v>
          </cell>
          <cell r="B99" t="str">
            <v>LAKE</v>
          </cell>
          <cell r="C99" t="str">
            <v>LAKE R-1</v>
          </cell>
          <cell r="E99">
            <v>803</v>
          </cell>
          <cell r="F99">
            <v>62286.400000000001</v>
          </cell>
          <cell r="G99">
            <v>239170.55</v>
          </cell>
          <cell r="H99">
            <v>96605.72</v>
          </cell>
          <cell r="I99">
            <v>55594.68</v>
          </cell>
        </row>
        <row r="100">
          <cell r="A100" t="str">
            <v>1520</v>
          </cell>
          <cell r="B100" t="str">
            <v>LA PLATA</v>
          </cell>
          <cell r="C100" t="str">
            <v>DURANGO 9R</v>
          </cell>
          <cell r="E100">
            <v>1439</v>
          </cell>
          <cell r="F100">
            <v>372360</v>
          </cell>
          <cell r="G100">
            <v>1087321.72</v>
          </cell>
          <cell r="H100">
            <v>461527.57999999996</v>
          </cell>
          <cell r="I100">
            <v>291013.42000000004</v>
          </cell>
        </row>
        <row r="101">
          <cell r="A101" t="str">
            <v>1530</v>
          </cell>
          <cell r="B101" t="str">
            <v>LA PLATA</v>
          </cell>
          <cell r="C101" t="str">
            <v>BAYFIELD 10J</v>
          </cell>
          <cell r="E101">
            <v>1035</v>
          </cell>
          <cell r="F101">
            <v>119398.5</v>
          </cell>
          <cell r="G101">
            <v>491440.39</v>
          </cell>
          <cell r="H101">
            <v>196352.34</v>
          </cell>
          <cell r="I101">
            <v>121264.01</v>
          </cell>
        </row>
        <row r="102">
          <cell r="A102" t="str">
            <v>1540</v>
          </cell>
          <cell r="B102" t="str">
            <v>LA PLATA</v>
          </cell>
          <cell r="C102" t="str">
            <v>IGNACIO 11J</v>
          </cell>
          <cell r="E102">
            <v>471</v>
          </cell>
          <cell r="F102">
            <v>152821.70000000001</v>
          </cell>
          <cell r="G102">
            <v>392499.87</v>
          </cell>
          <cell r="H102">
            <v>171211.5</v>
          </cell>
          <cell r="I102">
            <v>105027.3</v>
          </cell>
        </row>
        <row r="103">
          <cell r="A103" t="str">
            <v>1550</v>
          </cell>
          <cell r="B103" t="str">
            <v>LARIMER</v>
          </cell>
          <cell r="C103" t="str">
            <v>POUDRE R-1</v>
          </cell>
          <cell r="E103">
            <v>11830</v>
          </cell>
          <cell r="F103">
            <v>2436392.7999999998</v>
          </cell>
          <cell r="G103">
            <v>6277462.0199999996</v>
          </cell>
          <cell r="H103">
            <v>2736332.73</v>
          </cell>
          <cell r="I103">
            <v>1703395.06</v>
          </cell>
        </row>
        <row r="104">
          <cell r="A104" t="str">
            <v>1560</v>
          </cell>
          <cell r="B104" t="str">
            <v>LARIMER</v>
          </cell>
          <cell r="C104" t="str">
            <v>THOMPSON R-2J</v>
          </cell>
          <cell r="E104">
            <v>4877</v>
          </cell>
          <cell r="F104">
            <v>1071340</v>
          </cell>
          <cell r="G104">
            <v>3939153</v>
          </cell>
          <cell r="H104">
            <v>1602491.42</v>
          </cell>
          <cell r="I104">
            <v>988272.78</v>
          </cell>
        </row>
        <row r="105">
          <cell r="A105">
            <v>1570</v>
          </cell>
          <cell r="B105" t="str">
            <v>LARIMER</v>
          </cell>
          <cell r="C105" t="str">
            <v>ESTES PRK R-3</v>
          </cell>
          <cell r="E105">
            <v>1139</v>
          </cell>
          <cell r="F105">
            <v>78147</v>
          </cell>
          <cell r="G105">
            <v>303251.68</v>
          </cell>
          <cell r="H105">
            <v>122282.03</v>
          </cell>
          <cell r="I105">
            <v>75699.12</v>
          </cell>
        </row>
        <row r="106">
          <cell r="A106" t="str">
            <v>1580</v>
          </cell>
          <cell r="B106" t="str">
            <v>LAS ANIMAS</v>
          </cell>
          <cell r="C106" t="str">
            <v>TRINIDAD 1</v>
          </cell>
          <cell r="E106">
            <v>811</v>
          </cell>
          <cell r="F106">
            <v>55350</v>
          </cell>
          <cell r="G106">
            <v>234462.81</v>
          </cell>
          <cell r="H106">
            <v>93274.1</v>
          </cell>
          <cell r="I106">
            <v>69035.14</v>
          </cell>
        </row>
        <row r="107">
          <cell r="A107" t="str">
            <v>1590</v>
          </cell>
          <cell r="B107" t="str">
            <v>LAS ANIMAS</v>
          </cell>
          <cell r="C107" t="str">
            <v>PRIMERO 2</v>
          </cell>
          <cell r="E107">
            <v>181</v>
          </cell>
          <cell r="F107">
            <v>49248</v>
          </cell>
          <cell r="G107">
            <v>227916.86</v>
          </cell>
          <cell r="H107">
            <v>89528.83</v>
          </cell>
          <cell r="I107">
            <v>57354.36</v>
          </cell>
        </row>
        <row r="108">
          <cell r="A108" t="str">
            <v>1600</v>
          </cell>
          <cell r="B108" t="str">
            <v>LAS ANIMAS</v>
          </cell>
          <cell r="C108" t="str">
            <v>HOEHNE 3</v>
          </cell>
          <cell r="E108">
            <v>310</v>
          </cell>
          <cell r="F108">
            <v>66693</v>
          </cell>
          <cell r="G108">
            <v>175689</v>
          </cell>
          <cell r="H108">
            <v>76208.08</v>
          </cell>
          <cell r="I108">
            <v>46273.54</v>
          </cell>
        </row>
        <row r="109">
          <cell r="A109" t="str">
            <v>1620</v>
          </cell>
          <cell r="B109" t="str">
            <v>LAS ANIMAS</v>
          </cell>
          <cell r="C109" t="str">
            <v>AGUILAR 6</v>
          </cell>
          <cell r="E109">
            <v>26</v>
          </cell>
          <cell r="F109">
            <v>25375</v>
          </cell>
          <cell r="G109">
            <v>60227.23</v>
          </cell>
          <cell r="H109">
            <v>26753.730000000003</v>
          </cell>
          <cell r="I109">
            <v>31446.51</v>
          </cell>
        </row>
        <row r="110">
          <cell r="A110" t="str">
            <v>1750</v>
          </cell>
          <cell r="B110" t="str">
            <v>LAS ANIMAS</v>
          </cell>
          <cell r="C110" t="str">
            <v>BRANSON 82</v>
          </cell>
          <cell r="E110">
            <v>11</v>
          </cell>
          <cell r="F110">
            <v>57421.8</v>
          </cell>
          <cell r="G110">
            <v>47648.43</v>
          </cell>
          <cell r="H110">
            <v>30518.91</v>
          </cell>
          <cell r="I110">
            <v>26063.079999999998</v>
          </cell>
        </row>
        <row r="111">
          <cell r="A111" t="str">
            <v>1760</v>
          </cell>
          <cell r="B111" t="str">
            <v>LAS ANIMAS</v>
          </cell>
          <cell r="C111" t="str">
            <v>KIM 88</v>
          </cell>
          <cell r="E111">
            <v>32</v>
          </cell>
          <cell r="F111">
            <v>57697.2</v>
          </cell>
          <cell r="G111">
            <v>53203.1</v>
          </cell>
          <cell r="H111">
            <v>32469.25</v>
          </cell>
          <cell r="I111">
            <v>26367.22</v>
          </cell>
        </row>
        <row r="112">
          <cell r="A112" t="str">
            <v>1780</v>
          </cell>
          <cell r="B112" t="str">
            <v>LINCOLN</v>
          </cell>
          <cell r="C112" t="str">
            <v>GENOA-HUGO     C-113</v>
          </cell>
          <cell r="E112">
            <v>114</v>
          </cell>
          <cell r="F112">
            <v>85973</v>
          </cell>
          <cell r="G112">
            <v>139408</v>
          </cell>
          <cell r="H112">
            <v>68748.08</v>
          </cell>
          <cell r="I112">
            <v>43126.590000000004</v>
          </cell>
        </row>
        <row r="113">
          <cell r="A113" t="str">
            <v>1790</v>
          </cell>
          <cell r="B113" t="str">
            <v>LINCOLN</v>
          </cell>
          <cell r="C113" t="str">
            <v>LIMON RE-4J</v>
          </cell>
          <cell r="E113">
            <v>151</v>
          </cell>
          <cell r="F113">
            <v>30315</v>
          </cell>
          <cell r="G113">
            <v>68614.11</v>
          </cell>
          <cell r="H113">
            <v>30831.510000000002</v>
          </cell>
          <cell r="I113">
            <v>18994.189999999999</v>
          </cell>
        </row>
        <row r="114">
          <cell r="A114" t="str">
            <v>1810</v>
          </cell>
          <cell r="B114" t="str">
            <v>LINCOLN</v>
          </cell>
          <cell r="C114" t="str">
            <v>KARVAL RE-23</v>
          </cell>
          <cell r="E114">
            <v>29</v>
          </cell>
          <cell r="F114">
            <v>67014</v>
          </cell>
          <cell r="G114">
            <v>113170</v>
          </cell>
          <cell r="H114">
            <v>55113.279999999999</v>
          </cell>
          <cell r="I114">
            <v>33754.630000000005</v>
          </cell>
        </row>
        <row r="115">
          <cell r="A115" t="str">
            <v>1828</v>
          </cell>
          <cell r="B115" t="str">
            <v>LOGAN</v>
          </cell>
          <cell r="C115" t="str">
            <v>VALLEY RE-1</v>
          </cell>
          <cell r="E115">
            <v>780</v>
          </cell>
          <cell r="F115">
            <v>186584</v>
          </cell>
          <cell r="G115">
            <v>507777.44</v>
          </cell>
          <cell r="H115">
            <v>218711.25</v>
          </cell>
          <cell r="I115">
            <v>162972.93</v>
          </cell>
        </row>
        <row r="116">
          <cell r="A116" t="str">
            <v>1850</v>
          </cell>
          <cell r="B116" t="str">
            <v>LOGAN</v>
          </cell>
          <cell r="C116" t="str">
            <v>FRENCHMAN RE-3</v>
          </cell>
          <cell r="E116">
            <v>87</v>
          </cell>
          <cell r="F116">
            <v>46965</v>
          </cell>
          <cell r="G116">
            <v>86188.21</v>
          </cell>
          <cell r="H116">
            <v>40953.600000000006</v>
          </cell>
          <cell r="I116">
            <v>27080.39</v>
          </cell>
        </row>
        <row r="117">
          <cell r="A117" t="str">
            <v>1860</v>
          </cell>
          <cell r="B117" t="str">
            <v>LOGAN</v>
          </cell>
          <cell r="C117" t="str">
            <v>BUFFALO RE-4J</v>
          </cell>
          <cell r="E117">
            <v>248</v>
          </cell>
          <cell r="F117">
            <v>49200</v>
          </cell>
          <cell r="G117">
            <v>106019.78</v>
          </cell>
          <cell r="H117">
            <v>48230.270000000004</v>
          </cell>
          <cell r="I117">
            <v>28285.52</v>
          </cell>
        </row>
        <row r="118">
          <cell r="A118" t="str">
            <v>1870</v>
          </cell>
          <cell r="B118" t="str">
            <v>LOGAN</v>
          </cell>
          <cell r="C118" t="str">
            <v>PLATEAU RE-5</v>
          </cell>
          <cell r="E118">
            <v>132</v>
          </cell>
          <cell r="F118">
            <v>63680</v>
          </cell>
          <cell r="G118">
            <v>150912.59</v>
          </cell>
          <cell r="H118">
            <v>67061.75</v>
          </cell>
          <cell r="I118">
            <v>42569.43</v>
          </cell>
        </row>
        <row r="119">
          <cell r="A119" t="str">
            <v>1980</v>
          </cell>
          <cell r="B119" t="str">
            <v>MESA</v>
          </cell>
          <cell r="C119" t="str">
            <v>DEBEQUE 49JT</v>
          </cell>
          <cell r="E119">
            <v>23</v>
          </cell>
          <cell r="F119">
            <v>13224</v>
          </cell>
          <cell r="G119">
            <v>57314.1</v>
          </cell>
          <cell r="H119">
            <v>22724.03</v>
          </cell>
          <cell r="I119">
            <v>14451.23</v>
          </cell>
        </row>
        <row r="120">
          <cell r="A120" t="str">
            <v>1990</v>
          </cell>
          <cell r="B120" t="str">
            <v>MESA</v>
          </cell>
          <cell r="C120" t="str">
            <v>PLATEAU 50</v>
          </cell>
          <cell r="E120">
            <v>363</v>
          </cell>
          <cell r="F120">
            <v>28800</v>
          </cell>
          <cell r="G120">
            <v>74203.100000000006</v>
          </cell>
          <cell r="H120">
            <v>32345.1</v>
          </cell>
          <cell r="I120">
            <v>19469.77</v>
          </cell>
        </row>
        <row r="121">
          <cell r="A121" t="str">
            <v>2000</v>
          </cell>
          <cell r="B121" t="str">
            <v>MESA</v>
          </cell>
          <cell r="C121" t="str">
            <v>MESA VALLEY 51</v>
          </cell>
          <cell r="E121">
            <v>6915</v>
          </cell>
          <cell r="F121">
            <v>1552603</v>
          </cell>
          <cell r="G121">
            <v>5360759</v>
          </cell>
          <cell r="H121">
            <v>1994959.22</v>
          </cell>
          <cell r="I121">
            <v>1320170.3500000001</v>
          </cell>
        </row>
        <row r="122">
          <cell r="A122" t="str">
            <v>2010</v>
          </cell>
          <cell r="B122" t="str">
            <v>MINERAL</v>
          </cell>
          <cell r="C122" t="str">
            <v>CREEDE 1</v>
          </cell>
          <cell r="E122">
            <v>48</v>
          </cell>
          <cell r="F122">
            <v>133419</v>
          </cell>
          <cell r="G122">
            <v>43473.73</v>
          </cell>
          <cell r="H122">
            <v>39126.36</v>
          </cell>
          <cell r="I122">
            <v>26831.93</v>
          </cell>
        </row>
        <row r="123">
          <cell r="A123" t="str">
            <v>2020</v>
          </cell>
          <cell r="B123" t="str">
            <v>MOFFAT</v>
          </cell>
          <cell r="C123" t="str">
            <v>MOFFAT RE-1</v>
          </cell>
          <cell r="E123">
            <v>1128</v>
          </cell>
          <cell r="F123">
            <v>165528</v>
          </cell>
          <cell r="G123">
            <v>523671.11</v>
          </cell>
          <cell r="H123">
            <v>218821.28999999998</v>
          </cell>
          <cell r="I123">
            <v>135486.69</v>
          </cell>
        </row>
        <row r="124">
          <cell r="A124" t="str">
            <v>2035</v>
          </cell>
          <cell r="B124" t="str">
            <v>MONTEZUMA</v>
          </cell>
          <cell r="C124" t="str">
            <v>MONTEZUMA RE-1</v>
          </cell>
          <cell r="E124">
            <v>1437</v>
          </cell>
          <cell r="F124">
            <v>378840</v>
          </cell>
          <cell r="G124">
            <v>941167.29</v>
          </cell>
          <cell r="H124">
            <v>413647.9</v>
          </cell>
          <cell r="I124">
            <v>258784.55</v>
          </cell>
        </row>
        <row r="125">
          <cell r="A125" t="str">
            <v>2055</v>
          </cell>
          <cell r="B125" t="str">
            <v xml:space="preserve">MONTEZUMA </v>
          </cell>
          <cell r="C125" t="str">
            <v>DOLORES RE-4A</v>
          </cell>
          <cell r="E125">
            <v>530</v>
          </cell>
          <cell r="F125">
            <v>82404.899999999994</v>
          </cell>
          <cell r="G125">
            <v>201186.55</v>
          </cell>
          <cell r="H125">
            <v>88778.900000000009</v>
          </cell>
          <cell r="I125">
            <v>54785.19</v>
          </cell>
        </row>
        <row r="126">
          <cell r="A126" t="str">
            <v>2070</v>
          </cell>
          <cell r="B126" t="str">
            <v>MONTEZUMA</v>
          </cell>
          <cell r="C126" t="str">
            <v>MANCOS RE-6</v>
          </cell>
          <cell r="E126">
            <v>213</v>
          </cell>
          <cell r="F126">
            <v>38076</v>
          </cell>
          <cell r="G126">
            <v>101890.58</v>
          </cell>
          <cell r="H126">
            <v>44045.88</v>
          </cell>
          <cell r="I126">
            <v>27101.27</v>
          </cell>
        </row>
        <row r="127">
          <cell r="A127" t="str">
            <v>2180</v>
          </cell>
          <cell r="B127" t="str">
            <v>MONTROSE</v>
          </cell>
          <cell r="C127" t="str">
            <v>MONTROSE RE-1J</v>
          </cell>
          <cell r="E127">
            <v>2479</v>
          </cell>
          <cell r="F127">
            <v>371520</v>
          </cell>
          <cell r="G127">
            <v>1625022.42</v>
          </cell>
          <cell r="H127">
            <v>620249.21</v>
          </cell>
          <cell r="I127">
            <v>392222.19</v>
          </cell>
        </row>
        <row r="128">
          <cell r="A128" t="str">
            <v>2190</v>
          </cell>
          <cell r="B128" t="str">
            <v>MONTROSE</v>
          </cell>
          <cell r="C128" t="str">
            <v>WEST END RE-2</v>
          </cell>
          <cell r="E128">
            <v>245</v>
          </cell>
          <cell r="F128">
            <v>69116</v>
          </cell>
          <cell r="G128">
            <v>178257.81</v>
          </cell>
          <cell r="H128">
            <v>77684.94</v>
          </cell>
          <cell r="I128">
            <v>47817.909999999996</v>
          </cell>
        </row>
        <row r="129">
          <cell r="A129" t="str">
            <v>2395</v>
          </cell>
          <cell r="B129" t="str">
            <v>MORGAN</v>
          </cell>
          <cell r="C129" t="str">
            <v>BRUSH RE-2J</v>
          </cell>
          <cell r="E129">
            <v>536</v>
          </cell>
          <cell r="F129">
            <v>107880</v>
          </cell>
          <cell r="G129">
            <v>426569.54</v>
          </cell>
          <cell r="H129">
            <v>171495.96000000002</v>
          </cell>
          <cell r="I129">
            <v>106197.61</v>
          </cell>
        </row>
        <row r="130">
          <cell r="A130" t="str">
            <v>2405</v>
          </cell>
          <cell r="B130" t="str">
            <v>MORGAN</v>
          </cell>
          <cell r="C130" t="str">
            <v>FT MORGAN RE-3</v>
          </cell>
          <cell r="E130">
            <v>1246</v>
          </cell>
          <cell r="F130">
            <v>271091</v>
          </cell>
          <cell r="G130">
            <v>482905.13</v>
          </cell>
          <cell r="H130">
            <v>231450.45</v>
          </cell>
          <cell r="I130">
            <v>142710.85999999999</v>
          </cell>
        </row>
        <row r="131">
          <cell r="A131" t="str">
            <v>2505</v>
          </cell>
          <cell r="B131" t="str">
            <v>MORGAN</v>
          </cell>
          <cell r="C131" t="str">
            <v>WELDON RE-20J</v>
          </cell>
          <cell r="E131">
            <v>85</v>
          </cell>
          <cell r="F131">
            <v>54087</v>
          </cell>
          <cell r="G131">
            <v>128813</v>
          </cell>
          <cell r="H131">
            <v>57174.21</v>
          </cell>
          <cell r="I131">
            <v>35594.11</v>
          </cell>
        </row>
        <row r="132">
          <cell r="A132" t="str">
            <v>2515</v>
          </cell>
          <cell r="B132" t="str">
            <v>MORGAN</v>
          </cell>
          <cell r="C132" t="str">
            <v>WIGGINS RE-50J</v>
          </cell>
          <cell r="E132">
            <v>303</v>
          </cell>
          <cell r="F132">
            <v>96693</v>
          </cell>
          <cell r="G132">
            <v>173897.12</v>
          </cell>
          <cell r="H132">
            <v>83114.2</v>
          </cell>
          <cell r="I132">
            <v>50026.240000000005</v>
          </cell>
        </row>
        <row r="133">
          <cell r="A133" t="str">
            <v>2520</v>
          </cell>
          <cell r="B133" t="str">
            <v>OTERO</v>
          </cell>
          <cell r="C133" t="str">
            <v>EAST OTERO R-1</v>
          </cell>
          <cell r="E133">
            <v>601</v>
          </cell>
          <cell r="F133">
            <v>58474</v>
          </cell>
          <cell r="G133">
            <v>176625.96</v>
          </cell>
          <cell r="H133">
            <v>74467.11</v>
          </cell>
          <cell r="I133">
            <v>47060.01</v>
          </cell>
        </row>
        <row r="134">
          <cell r="A134" t="str">
            <v>2530</v>
          </cell>
          <cell r="B134" t="str">
            <v>OTERO</v>
          </cell>
          <cell r="C134" t="str">
            <v>ROCKY FORD R-2</v>
          </cell>
          <cell r="E134">
            <v>332</v>
          </cell>
          <cell r="F134">
            <v>37791</v>
          </cell>
          <cell r="G134">
            <v>124482.85</v>
          </cell>
          <cell r="H134">
            <v>51626.5</v>
          </cell>
          <cell r="I134">
            <v>32710.489999999998</v>
          </cell>
        </row>
        <row r="135">
          <cell r="A135" t="str">
            <v>2535</v>
          </cell>
          <cell r="B135" t="str">
            <v>OTERO</v>
          </cell>
          <cell r="C135" t="str">
            <v>MANZANOLA 3J</v>
          </cell>
          <cell r="E135">
            <v>50</v>
          </cell>
          <cell r="F135">
            <v>7872</v>
          </cell>
          <cell r="G135">
            <v>15271.21</v>
          </cell>
          <cell r="H135">
            <v>7143.78</v>
          </cell>
          <cell r="I135">
            <v>5345.8600000000006</v>
          </cell>
        </row>
        <row r="136">
          <cell r="A136" t="str">
            <v>2540</v>
          </cell>
          <cell r="B136" t="str">
            <v>OTERO</v>
          </cell>
          <cell r="C136" t="str">
            <v>FOWLER R-4J</v>
          </cell>
          <cell r="E136">
            <v>170</v>
          </cell>
          <cell r="F136">
            <v>66667</v>
          </cell>
          <cell r="G136">
            <v>116837.82</v>
          </cell>
          <cell r="H136">
            <v>56268.67</v>
          </cell>
          <cell r="I136">
            <v>34752.630000000005</v>
          </cell>
        </row>
        <row r="137">
          <cell r="A137" t="str">
            <v>2560</v>
          </cell>
          <cell r="B137" t="str">
            <v>OTERO</v>
          </cell>
          <cell r="C137" t="str">
            <v>CHERAW 31</v>
          </cell>
          <cell r="E137">
            <v>178</v>
          </cell>
          <cell r="F137">
            <v>14805</v>
          </cell>
          <cell r="G137">
            <v>92926.35</v>
          </cell>
          <cell r="H137">
            <v>35181.83</v>
          </cell>
          <cell r="I137">
            <v>22524.98</v>
          </cell>
        </row>
        <row r="138">
          <cell r="A138" t="str">
            <v>2570</v>
          </cell>
          <cell r="B138" t="str">
            <v>OTERO</v>
          </cell>
          <cell r="C138" t="str">
            <v>SWINK 33</v>
          </cell>
          <cell r="E138">
            <v>138</v>
          </cell>
          <cell r="F138">
            <v>26386</v>
          </cell>
          <cell r="G138">
            <v>48927.49</v>
          </cell>
          <cell r="H138">
            <v>23179.699999999997</v>
          </cell>
          <cell r="I138">
            <v>18352.989999999998</v>
          </cell>
        </row>
        <row r="139">
          <cell r="A139" t="str">
            <v>2580</v>
          </cell>
          <cell r="B139" t="str">
            <v>OURAY</v>
          </cell>
          <cell r="C139" t="str">
            <v>OURAY R-1</v>
          </cell>
          <cell r="E139">
            <v>62</v>
          </cell>
          <cell r="F139">
            <v>7544</v>
          </cell>
          <cell r="G139">
            <v>36330.79</v>
          </cell>
          <cell r="H139">
            <v>14194.51</v>
          </cell>
          <cell r="I139">
            <v>8773.7999999999993</v>
          </cell>
        </row>
        <row r="140">
          <cell r="A140" t="str">
            <v>2590</v>
          </cell>
          <cell r="B140" t="str">
            <v>OURAY</v>
          </cell>
          <cell r="C140" t="str">
            <v>RIDGWAY R-2</v>
          </cell>
          <cell r="E140">
            <v>208</v>
          </cell>
          <cell r="F140">
            <v>24436</v>
          </cell>
          <cell r="G140">
            <v>105558</v>
          </cell>
          <cell r="H140">
            <v>41872.11</v>
          </cell>
          <cell r="I140">
            <v>22112.07</v>
          </cell>
        </row>
        <row r="141">
          <cell r="A141" t="str">
            <v>2600</v>
          </cell>
          <cell r="B141" t="str">
            <v>PARK</v>
          </cell>
          <cell r="C141" t="str">
            <v>PLATTE CANYON 1</v>
          </cell>
          <cell r="E141">
            <v>1089</v>
          </cell>
          <cell r="F141">
            <v>226352</v>
          </cell>
          <cell r="G141">
            <v>649823.14</v>
          </cell>
          <cell r="H141">
            <v>276781.40000000002</v>
          </cell>
          <cell r="I141">
            <v>183693.59</v>
          </cell>
        </row>
        <row r="142">
          <cell r="A142" t="str">
            <v>2610</v>
          </cell>
          <cell r="B142" t="str">
            <v>PARK</v>
          </cell>
          <cell r="C142" t="str">
            <v>PARK RE-2</v>
          </cell>
          <cell r="E142">
            <v>198</v>
          </cell>
          <cell r="F142">
            <v>81360</v>
          </cell>
          <cell r="G142">
            <v>164682.16</v>
          </cell>
          <cell r="H142">
            <v>76153.179999999993</v>
          </cell>
          <cell r="I142">
            <v>46701.56</v>
          </cell>
        </row>
        <row r="143">
          <cell r="A143" t="str">
            <v>2620</v>
          </cell>
          <cell r="B143" t="str">
            <v>PHILLIPS</v>
          </cell>
          <cell r="C143" t="str">
            <v>HOLYOKE RE-1J</v>
          </cell>
          <cell r="E143">
            <v>183</v>
          </cell>
          <cell r="F143">
            <v>115412</v>
          </cell>
          <cell r="G143">
            <v>226671.56</v>
          </cell>
          <cell r="H143">
            <v>105676.78</v>
          </cell>
          <cell r="I143">
            <v>65246.340000000004</v>
          </cell>
        </row>
        <row r="144">
          <cell r="A144" t="str">
            <v>2630</v>
          </cell>
          <cell r="B144" t="str">
            <v>PHILLIPS</v>
          </cell>
          <cell r="C144" t="str">
            <v>HAXTUN RE-2J</v>
          </cell>
          <cell r="E144">
            <v>112</v>
          </cell>
          <cell r="F144">
            <v>47476</v>
          </cell>
          <cell r="G144">
            <v>86537.35</v>
          </cell>
          <cell r="H144">
            <v>41199.82</v>
          </cell>
          <cell r="I144">
            <v>27520.589999999997</v>
          </cell>
        </row>
        <row r="145">
          <cell r="A145" t="str">
            <v>2640</v>
          </cell>
          <cell r="B145" t="str">
            <v>PITKIN</v>
          </cell>
          <cell r="C145" t="str">
            <v>ASPEN 1</v>
          </cell>
          <cell r="E145">
            <v>846</v>
          </cell>
          <cell r="F145">
            <v>86022</v>
          </cell>
          <cell r="G145">
            <v>525545</v>
          </cell>
          <cell r="H145">
            <v>199544.95</v>
          </cell>
          <cell r="I145">
            <v>128073.87</v>
          </cell>
        </row>
        <row r="146">
          <cell r="A146" t="str">
            <v>2650</v>
          </cell>
          <cell r="B146" t="str">
            <v>PROWERS</v>
          </cell>
          <cell r="C146" t="str">
            <v>GRANADA RE-1</v>
          </cell>
          <cell r="E146">
            <v>88</v>
          </cell>
          <cell r="F146">
            <v>27720</v>
          </cell>
          <cell r="G146">
            <v>50907</v>
          </cell>
          <cell r="H146">
            <v>24184.239999999998</v>
          </cell>
          <cell r="I146">
            <v>17592.490000000002</v>
          </cell>
        </row>
        <row r="147">
          <cell r="A147" t="str">
            <v>2660</v>
          </cell>
          <cell r="B147" t="str">
            <v>PROWERS</v>
          </cell>
          <cell r="C147" t="str">
            <v>LAMAR RE-2</v>
          </cell>
          <cell r="E147">
            <v>398</v>
          </cell>
          <cell r="F147">
            <v>76587</v>
          </cell>
          <cell r="G147">
            <v>161981.98000000001</v>
          </cell>
          <cell r="H147">
            <v>74043.31</v>
          </cell>
          <cell r="I147">
            <v>44676.41</v>
          </cell>
        </row>
        <row r="148">
          <cell r="A148" t="str">
            <v>2670</v>
          </cell>
          <cell r="B148" t="str">
            <v>PROWERS</v>
          </cell>
          <cell r="C148" t="str">
            <v>HOLLY RE-3</v>
          </cell>
          <cell r="E148">
            <v>113</v>
          </cell>
          <cell r="F148">
            <v>52272</v>
          </cell>
          <cell r="G148">
            <v>111133.62</v>
          </cell>
          <cell r="H148">
            <v>50731.66</v>
          </cell>
          <cell r="I148">
            <v>31746.79</v>
          </cell>
        </row>
        <row r="149">
          <cell r="A149" t="str">
            <v>2680</v>
          </cell>
          <cell r="B149" t="str">
            <v>PROWERS</v>
          </cell>
          <cell r="C149" t="str">
            <v>WILEY RE-13J</v>
          </cell>
          <cell r="E149">
            <v>110</v>
          </cell>
          <cell r="F149">
            <v>14906.6</v>
          </cell>
          <cell r="G149">
            <v>32827.69</v>
          </cell>
          <cell r="H149">
            <v>14851.86</v>
          </cell>
          <cell r="I149">
            <v>9085.27</v>
          </cell>
        </row>
        <row r="150">
          <cell r="A150" t="str">
            <v>2690</v>
          </cell>
          <cell r="B150" t="str">
            <v>PUEBLO</v>
          </cell>
          <cell r="C150" t="str">
            <v>PUEBLO CITY 60</v>
          </cell>
          <cell r="E150">
            <v>3103</v>
          </cell>
          <cell r="F150">
            <v>442693.6</v>
          </cell>
          <cell r="G150">
            <v>1679317.5</v>
          </cell>
          <cell r="H150">
            <v>651222.84000000008</v>
          </cell>
          <cell r="I150">
            <v>401355.35000000003</v>
          </cell>
        </row>
        <row r="151">
          <cell r="A151" t="str">
            <v>2700</v>
          </cell>
          <cell r="B151" t="str">
            <v>PUEBLO</v>
          </cell>
          <cell r="C151" t="str">
            <v>PUEBLO 70</v>
          </cell>
          <cell r="D151" t="str">
            <v>cap outlay</v>
          </cell>
          <cell r="E151">
            <v>8423</v>
          </cell>
          <cell r="F151">
            <v>878530.8</v>
          </cell>
          <cell r="G151">
            <v>2757747.12</v>
          </cell>
          <cell r="H151">
            <v>1081914.97</v>
          </cell>
          <cell r="I151">
            <v>704864.75</v>
          </cell>
        </row>
        <row r="152">
          <cell r="A152" t="str">
            <v>2710</v>
          </cell>
          <cell r="B152" t="str">
            <v>RIO BLANCO</v>
          </cell>
          <cell r="C152" t="str">
            <v>MEEKER RE-1</v>
          </cell>
          <cell r="E152">
            <v>589</v>
          </cell>
          <cell r="F152">
            <v>100206</v>
          </cell>
          <cell r="G152">
            <v>240551.83</v>
          </cell>
          <cell r="H152">
            <v>106569.92000000001</v>
          </cell>
          <cell r="I152">
            <v>65779.429999999993</v>
          </cell>
        </row>
        <row r="153">
          <cell r="A153" t="str">
            <v>2720</v>
          </cell>
          <cell r="B153" t="str">
            <v>RIO BLANCO</v>
          </cell>
          <cell r="C153" t="str">
            <v>RANGELY RE-4</v>
          </cell>
          <cell r="E153">
            <v>398</v>
          </cell>
          <cell r="F153">
            <v>79380</v>
          </cell>
          <cell r="G153">
            <v>161305</v>
          </cell>
          <cell r="H153">
            <v>74513.48</v>
          </cell>
          <cell r="I153">
            <v>54113.32</v>
          </cell>
        </row>
        <row r="154">
          <cell r="A154" t="str">
            <v>2730</v>
          </cell>
          <cell r="B154" t="str">
            <v>RIO GRANDE</v>
          </cell>
          <cell r="C154" t="str">
            <v>DEL NORTE C-7</v>
          </cell>
          <cell r="E154">
            <v>226</v>
          </cell>
          <cell r="F154">
            <v>49478.400000000001</v>
          </cell>
          <cell r="G154">
            <v>82927.11</v>
          </cell>
          <cell r="H154">
            <v>40478.5</v>
          </cell>
          <cell r="I154">
            <v>30636.7</v>
          </cell>
        </row>
        <row r="155">
          <cell r="A155" t="str">
            <v>2740</v>
          </cell>
          <cell r="B155" t="str">
            <v>RIO GRANDE</v>
          </cell>
          <cell r="C155" t="str">
            <v>MONTE VISTA C-8</v>
          </cell>
          <cell r="E155">
            <v>506</v>
          </cell>
          <cell r="F155">
            <v>45698</v>
          </cell>
          <cell r="G155">
            <v>163928.01999999999</v>
          </cell>
          <cell r="H155">
            <v>66966.77</v>
          </cell>
          <cell r="I155">
            <v>48993.22</v>
          </cell>
        </row>
        <row r="156">
          <cell r="A156" t="str">
            <v>2750</v>
          </cell>
          <cell r="B156" t="str">
            <v>RIO GRANDE</v>
          </cell>
          <cell r="C156" t="str">
            <v>SARGENT RE-33J</v>
          </cell>
          <cell r="E156">
            <v>453</v>
          </cell>
          <cell r="F156">
            <v>68224</v>
          </cell>
          <cell r="G156">
            <v>97659.1</v>
          </cell>
          <cell r="H156">
            <v>50162.770000000004</v>
          </cell>
          <cell r="I156">
            <v>31345.23</v>
          </cell>
        </row>
        <row r="157">
          <cell r="A157" t="str">
            <v>2760</v>
          </cell>
          <cell r="B157" t="str">
            <v>ROUTT</v>
          </cell>
          <cell r="C157" t="str">
            <v>HAYDEN RE-1</v>
          </cell>
          <cell r="E157">
            <v>389</v>
          </cell>
          <cell r="F157">
            <v>65145.599999999999</v>
          </cell>
          <cell r="G157">
            <v>132962.35</v>
          </cell>
          <cell r="H157">
            <v>61349.04</v>
          </cell>
          <cell r="I157">
            <v>38888.229999999996</v>
          </cell>
        </row>
        <row r="158">
          <cell r="A158" t="str">
            <v>2770</v>
          </cell>
          <cell r="B158" t="str">
            <v>ROUTT</v>
          </cell>
          <cell r="C158" t="str">
            <v>STEAMBOAT SPRINGS RE-2</v>
          </cell>
          <cell r="E158">
            <v>1250</v>
          </cell>
          <cell r="F158">
            <v>114724</v>
          </cell>
          <cell r="G158">
            <v>552507</v>
          </cell>
          <cell r="H158">
            <v>215864.95</v>
          </cell>
          <cell r="I158">
            <v>135141.35999999999</v>
          </cell>
        </row>
        <row r="159">
          <cell r="A159" t="str">
            <v>2780</v>
          </cell>
          <cell r="B159" t="str">
            <v>ROUTT</v>
          </cell>
          <cell r="C159" t="str">
            <v>SOUTH ROUTT RE-3J</v>
          </cell>
          <cell r="E159">
            <v>383</v>
          </cell>
          <cell r="F159">
            <v>70811</v>
          </cell>
          <cell r="G159">
            <v>126301</v>
          </cell>
          <cell r="H159">
            <v>60511.66</v>
          </cell>
          <cell r="I159">
            <v>37804.559999999998</v>
          </cell>
        </row>
        <row r="160">
          <cell r="A160" t="str">
            <v>2790</v>
          </cell>
          <cell r="B160" t="str">
            <v>SAGUACHE</v>
          </cell>
          <cell r="C160" t="str">
            <v>MTN VALLEY RE-1</v>
          </cell>
          <cell r="E160">
            <v>97</v>
          </cell>
          <cell r="F160">
            <v>48363</v>
          </cell>
          <cell r="G160">
            <v>86513.49</v>
          </cell>
          <cell r="H160">
            <v>41413.869999999995</v>
          </cell>
          <cell r="I160">
            <v>26061.85</v>
          </cell>
        </row>
        <row r="161">
          <cell r="A161" t="str">
            <v>2800</v>
          </cell>
          <cell r="B161" t="str">
            <v>SAGUACHE</v>
          </cell>
          <cell r="C161" t="str">
            <v>MOFFAT 2</v>
          </cell>
          <cell r="E161">
            <v>112</v>
          </cell>
          <cell r="F161">
            <v>44044</v>
          </cell>
          <cell r="G161">
            <v>64741</v>
          </cell>
          <cell r="H161">
            <v>32957.9</v>
          </cell>
          <cell r="I161">
            <v>22369.040000000001</v>
          </cell>
        </row>
        <row r="162">
          <cell r="A162" t="str">
            <v>2810</v>
          </cell>
          <cell r="B162" t="str">
            <v>SAGUACHE</v>
          </cell>
          <cell r="C162" t="str">
            <v>CENTER 26J</v>
          </cell>
          <cell r="E162">
            <v>502</v>
          </cell>
          <cell r="F162">
            <v>35752</v>
          </cell>
          <cell r="G162">
            <v>93378.22</v>
          </cell>
          <cell r="H162">
            <v>40580.730000000003</v>
          </cell>
          <cell r="I162">
            <v>33195.69</v>
          </cell>
        </row>
        <row r="163">
          <cell r="A163" t="str">
            <v>2820</v>
          </cell>
          <cell r="B163" t="str">
            <v>SAN JUAN</v>
          </cell>
          <cell r="C163" t="str">
            <v>SILVERTON 1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2830</v>
          </cell>
          <cell r="B164" t="str">
            <v>SAN MIGUEL</v>
          </cell>
          <cell r="C164" t="str">
            <v>TELLURIDE R-1</v>
          </cell>
          <cell r="E164">
            <v>424</v>
          </cell>
          <cell r="F164">
            <v>14790</v>
          </cell>
          <cell r="G164">
            <v>151294</v>
          </cell>
          <cell r="H164">
            <v>54947.200000000004</v>
          </cell>
          <cell r="I164">
            <v>35653.19</v>
          </cell>
        </row>
        <row r="165">
          <cell r="A165" t="str">
            <v>2840</v>
          </cell>
          <cell r="B165" t="str">
            <v>SAN MIGUEL</v>
          </cell>
          <cell r="C165" t="str">
            <v>NORWOOD RE-2J</v>
          </cell>
          <cell r="E165">
            <v>144</v>
          </cell>
          <cell r="F165">
            <v>31374</v>
          </cell>
          <cell r="G165">
            <v>74545.399999999994</v>
          </cell>
          <cell r="H165">
            <v>33105.65</v>
          </cell>
          <cell r="I165">
            <v>21881.510000000002</v>
          </cell>
        </row>
        <row r="166">
          <cell r="A166" t="str">
            <v>2862</v>
          </cell>
          <cell r="B166" t="str">
            <v>SEDGWICK</v>
          </cell>
          <cell r="C166" t="str">
            <v>JULESBURG RE-1</v>
          </cell>
          <cell r="E166">
            <v>34</v>
          </cell>
          <cell r="F166">
            <v>26871</v>
          </cell>
          <cell r="G166">
            <v>26512.16</v>
          </cell>
          <cell r="H166">
            <v>15709.09</v>
          </cell>
          <cell r="I166">
            <v>10012.02</v>
          </cell>
        </row>
        <row r="167">
          <cell r="A167" t="str">
            <v>2865</v>
          </cell>
          <cell r="B167" t="str">
            <v>SEDGWICK</v>
          </cell>
          <cell r="C167" t="str">
            <v>PLATTE VLY RE-3</v>
          </cell>
          <cell r="E167">
            <v>23</v>
          </cell>
          <cell r="F167">
            <v>31500</v>
          </cell>
          <cell r="G167">
            <v>42939.45</v>
          </cell>
          <cell r="H167">
            <v>22432.269999999997</v>
          </cell>
          <cell r="I167">
            <v>14161.470000000001</v>
          </cell>
        </row>
        <row r="168">
          <cell r="A168" t="str">
            <v>3000</v>
          </cell>
          <cell r="B168" t="str">
            <v>SUMMIT</v>
          </cell>
          <cell r="C168" t="str">
            <v>SUMMIT RE-1</v>
          </cell>
          <cell r="E168">
            <v>2669</v>
          </cell>
          <cell r="F168">
            <v>269280</v>
          </cell>
          <cell r="G168">
            <v>1014787.95</v>
          </cell>
          <cell r="H168">
            <v>411145.63</v>
          </cell>
          <cell r="I168">
            <v>262176.28000000003</v>
          </cell>
        </row>
        <row r="169">
          <cell r="A169" t="str">
            <v>3010</v>
          </cell>
          <cell r="B169" t="str">
            <v>TELLER</v>
          </cell>
          <cell r="C169" t="str">
            <v>CRIPPLE CREEK RE-1</v>
          </cell>
          <cell r="E169">
            <v>222</v>
          </cell>
          <cell r="F169">
            <v>76219</v>
          </cell>
          <cell r="G169">
            <v>202400.76</v>
          </cell>
          <cell r="H169">
            <v>87640.989999999991</v>
          </cell>
          <cell r="I169">
            <v>51659.44</v>
          </cell>
        </row>
        <row r="170">
          <cell r="A170" t="str">
            <v>3020</v>
          </cell>
          <cell r="B170" t="str">
            <v>TELLER</v>
          </cell>
          <cell r="C170" t="str">
            <v>WOODLAND PARK RE-2</v>
          </cell>
          <cell r="E170">
            <v>1147</v>
          </cell>
          <cell r="F170">
            <v>275310</v>
          </cell>
          <cell r="G170">
            <v>999380.97</v>
          </cell>
          <cell r="H170">
            <v>407437.41000000003</v>
          </cell>
          <cell r="I170">
            <v>252824.58999999997</v>
          </cell>
        </row>
        <row r="171">
          <cell r="A171" t="str">
            <v>3030</v>
          </cell>
          <cell r="B171" t="str">
            <v>WASHINGTON</v>
          </cell>
          <cell r="C171" t="str">
            <v>AKRON R-1</v>
          </cell>
          <cell r="E171">
            <v>139</v>
          </cell>
          <cell r="F171">
            <v>93599.2</v>
          </cell>
          <cell r="G171">
            <v>215542.58</v>
          </cell>
          <cell r="H171">
            <v>96444.72</v>
          </cell>
          <cell r="I171">
            <v>60179.67</v>
          </cell>
        </row>
        <row r="172">
          <cell r="A172" t="str">
            <v>3040</v>
          </cell>
          <cell r="B172" t="str">
            <v>WASHINGTON</v>
          </cell>
          <cell r="C172" t="str">
            <v>ARICKAREE R-2</v>
          </cell>
          <cell r="E172">
            <v>108</v>
          </cell>
          <cell r="F172">
            <v>111360</v>
          </cell>
          <cell r="G172">
            <v>177797</v>
          </cell>
          <cell r="H172">
            <v>88108.209999999992</v>
          </cell>
          <cell r="I172">
            <v>56582.09</v>
          </cell>
        </row>
        <row r="173">
          <cell r="A173" t="str">
            <v>3050</v>
          </cell>
          <cell r="B173" t="str">
            <v>WASHINGTON</v>
          </cell>
          <cell r="C173" t="str">
            <v>OTIS R-3</v>
          </cell>
          <cell r="E173">
            <v>179</v>
          </cell>
          <cell r="F173">
            <v>27216</v>
          </cell>
          <cell r="G173">
            <v>82833.75</v>
          </cell>
          <cell r="H173">
            <v>34871.61</v>
          </cell>
          <cell r="I173">
            <v>29886.14</v>
          </cell>
        </row>
        <row r="174">
          <cell r="A174" t="str">
            <v>3060</v>
          </cell>
          <cell r="B174" t="str">
            <v>WASHINGTON</v>
          </cell>
          <cell r="C174" t="str">
            <v>`</v>
          </cell>
          <cell r="E174">
            <v>60</v>
          </cell>
          <cell r="F174">
            <v>32890</v>
          </cell>
          <cell r="G174">
            <v>33584.300000000003</v>
          </cell>
          <cell r="H174">
            <v>19611.78</v>
          </cell>
          <cell r="I174">
            <v>12221.83</v>
          </cell>
        </row>
        <row r="175">
          <cell r="A175" t="str">
            <v>3070</v>
          </cell>
          <cell r="B175" t="str">
            <v>WASHINGTON</v>
          </cell>
          <cell r="C175" t="str">
            <v>WOODLIN R-104</v>
          </cell>
          <cell r="E175">
            <v>89</v>
          </cell>
          <cell r="F175">
            <v>68093</v>
          </cell>
          <cell r="G175">
            <v>98548.18</v>
          </cell>
          <cell r="H175">
            <v>50431.09</v>
          </cell>
          <cell r="I175">
            <v>31704.979999999996</v>
          </cell>
        </row>
        <row r="176">
          <cell r="A176" t="str">
            <v>3080</v>
          </cell>
          <cell r="B176" t="str">
            <v>WELD</v>
          </cell>
          <cell r="C176" t="str">
            <v>GILCREST RE-1</v>
          </cell>
          <cell r="E176">
            <v>1239</v>
          </cell>
          <cell r="F176">
            <v>150891</v>
          </cell>
          <cell r="G176">
            <v>448473.76</v>
          </cell>
          <cell r="H176">
            <v>189686.34000000003</v>
          </cell>
          <cell r="I176">
            <v>112916.07</v>
          </cell>
        </row>
        <row r="177">
          <cell r="A177" t="str">
            <v>3085</v>
          </cell>
          <cell r="B177" t="str">
            <v>WELD</v>
          </cell>
          <cell r="C177" t="str">
            <v>EATON RE-2</v>
          </cell>
          <cell r="E177">
            <v>1190</v>
          </cell>
          <cell r="F177">
            <v>123816</v>
          </cell>
          <cell r="G177">
            <v>316434.17</v>
          </cell>
          <cell r="H177">
            <v>138184.03</v>
          </cell>
          <cell r="I177">
            <v>85425.84</v>
          </cell>
        </row>
        <row r="178">
          <cell r="A178" t="str">
            <v>3090</v>
          </cell>
          <cell r="B178" t="str">
            <v>WELD</v>
          </cell>
          <cell r="C178" t="str">
            <v>KEENESBURG RE-3J</v>
          </cell>
          <cell r="E178">
            <v>1423</v>
          </cell>
          <cell r="F178">
            <v>522568</v>
          </cell>
          <cell r="G178">
            <v>991784</v>
          </cell>
          <cell r="H178">
            <v>466786.2</v>
          </cell>
          <cell r="I178">
            <v>289725.64</v>
          </cell>
        </row>
        <row r="179">
          <cell r="A179" t="str">
            <v>3100</v>
          </cell>
          <cell r="B179" t="str">
            <v>WELD</v>
          </cell>
          <cell r="C179" t="str">
            <v>WINDSOR RE-4</v>
          </cell>
          <cell r="E179">
            <v>1273</v>
          </cell>
          <cell r="F179">
            <v>194854.5</v>
          </cell>
          <cell r="G179">
            <v>826704.62</v>
          </cell>
          <cell r="H179">
            <v>328803.11</v>
          </cell>
          <cell r="I179">
            <v>207181.6</v>
          </cell>
        </row>
        <row r="180">
          <cell r="A180" t="str">
            <v>3110</v>
          </cell>
          <cell r="B180" t="str">
            <v>WELD</v>
          </cell>
          <cell r="C180" t="str">
            <v>JOHNSTOWN RE-5J</v>
          </cell>
          <cell r="E180">
            <v>2591</v>
          </cell>
          <cell r="F180">
            <v>226233</v>
          </cell>
          <cell r="G180">
            <v>677095.65</v>
          </cell>
          <cell r="H180">
            <v>285988.8</v>
          </cell>
          <cell r="I180">
            <v>177943.31</v>
          </cell>
        </row>
        <row r="181">
          <cell r="A181" t="str">
            <v>3120</v>
          </cell>
          <cell r="B181" t="str">
            <v>WELD</v>
          </cell>
          <cell r="C181" t="str">
            <v>GREELEY 6</v>
          </cell>
          <cell r="E181">
            <v>6530</v>
          </cell>
          <cell r="F181">
            <v>818117</v>
          </cell>
          <cell r="G181">
            <v>3936477.51</v>
          </cell>
          <cell r="H181">
            <v>1538169.5</v>
          </cell>
          <cell r="I181">
            <v>953012.07000000007</v>
          </cell>
        </row>
        <row r="182">
          <cell r="A182" t="str">
            <v>3130</v>
          </cell>
          <cell r="B182" t="str">
            <v>WELD</v>
          </cell>
          <cell r="C182" t="str">
            <v>PLATTE VLY RE-7</v>
          </cell>
          <cell r="E182">
            <v>664</v>
          </cell>
          <cell r="F182">
            <v>161700</v>
          </cell>
          <cell r="G182">
            <v>497690.26</v>
          </cell>
          <cell r="H182">
            <v>209062.92</v>
          </cell>
          <cell r="I182">
            <v>130080.63</v>
          </cell>
        </row>
        <row r="183">
          <cell r="A183" t="str">
            <v>3140</v>
          </cell>
          <cell r="B183" t="str">
            <v>WELD</v>
          </cell>
          <cell r="C183" t="str">
            <v>FORT LUPTON RE-8</v>
          </cell>
          <cell r="E183">
            <v>733</v>
          </cell>
          <cell r="F183">
            <v>127512</v>
          </cell>
          <cell r="G183">
            <v>756631.1</v>
          </cell>
          <cell r="H183">
            <v>288204.33</v>
          </cell>
          <cell r="I183">
            <v>190439.22</v>
          </cell>
        </row>
        <row r="184">
          <cell r="A184" t="str">
            <v>3145</v>
          </cell>
          <cell r="B184" t="str">
            <v>WELD</v>
          </cell>
          <cell r="C184" t="str">
            <v>AULT-HGHLND RE-9</v>
          </cell>
          <cell r="E184">
            <v>591</v>
          </cell>
          <cell r="F184">
            <v>232200.6</v>
          </cell>
          <cell r="G184">
            <v>388359.29</v>
          </cell>
          <cell r="H184">
            <v>189688.28999999998</v>
          </cell>
          <cell r="I184">
            <v>117860.82</v>
          </cell>
        </row>
        <row r="185">
          <cell r="A185" t="str">
            <v>3146</v>
          </cell>
          <cell r="B185" t="str">
            <v>WELD</v>
          </cell>
          <cell r="C185" t="str">
            <v>BRIGGSDALE RE-10J</v>
          </cell>
          <cell r="E185">
            <v>119</v>
          </cell>
          <cell r="F185">
            <v>48723</v>
          </cell>
          <cell r="G185">
            <v>109790.57</v>
          </cell>
          <cell r="H185">
            <v>49387.98</v>
          </cell>
          <cell r="I185">
            <v>35336.06</v>
          </cell>
        </row>
        <row r="186">
          <cell r="A186" t="str">
            <v>3147</v>
          </cell>
          <cell r="B186" t="str">
            <v>WELD</v>
          </cell>
          <cell r="C186" t="str">
            <v>PRAIRIE RE-11J</v>
          </cell>
          <cell r="E186">
            <v>108</v>
          </cell>
          <cell r="F186">
            <v>76146</v>
          </cell>
          <cell r="G186">
            <v>141772.1</v>
          </cell>
          <cell r="H186">
            <v>67087.78</v>
          </cell>
          <cell r="I186">
            <v>41567.9</v>
          </cell>
        </row>
        <row r="187">
          <cell r="A187" t="str">
            <v>3148</v>
          </cell>
          <cell r="B187" t="str">
            <v>WELD</v>
          </cell>
          <cell r="C187" t="str">
            <v>PAWNEE RE-12</v>
          </cell>
          <cell r="E187">
            <v>64</v>
          </cell>
          <cell r="F187">
            <v>72030</v>
          </cell>
          <cell r="G187">
            <v>83986.86</v>
          </cell>
          <cell r="H187">
            <v>46485.13</v>
          </cell>
          <cell r="I187">
            <v>29594.120000000003</v>
          </cell>
        </row>
        <row r="188">
          <cell r="A188">
            <v>3200</v>
          </cell>
          <cell r="B188" t="str">
            <v>YUMA</v>
          </cell>
          <cell r="C188" t="str">
            <v>YUMA 1</v>
          </cell>
          <cell r="E188">
            <v>607</v>
          </cell>
          <cell r="F188">
            <v>124075.6</v>
          </cell>
          <cell r="G188">
            <v>312938.02</v>
          </cell>
          <cell r="H188">
            <v>137064.89000000001</v>
          </cell>
          <cell r="I188">
            <v>86167.92</v>
          </cell>
        </row>
        <row r="189">
          <cell r="A189">
            <v>3210</v>
          </cell>
          <cell r="B189" t="str">
            <v>YUMA</v>
          </cell>
          <cell r="C189" t="str">
            <v>WRAY RD-2</v>
          </cell>
          <cell r="E189">
            <v>588</v>
          </cell>
          <cell r="F189">
            <v>195926</v>
          </cell>
          <cell r="G189">
            <v>298861.19</v>
          </cell>
          <cell r="H189">
            <v>150290.88</v>
          </cell>
          <cell r="I189">
            <v>93380.4</v>
          </cell>
        </row>
        <row r="190">
          <cell r="A190">
            <v>3220</v>
          </cell>
          <cell r="B190" t="str">
            <v>YUMA</v>
          </cell>
          <cell r="C190" t="str">
            <v>IDALIA R-3</v>
          </cell>
          <cell r="E190">
            <v>129</v>
          </cell>
          <cell r="F190">
            <v>97200</v>
          </cell>
          <cell r="G190">
            <v>206377.43</v>
          </cell>
          <cell r="H190">
            <v>94242.25</v>
          </cell>
          <cell r="I190">
            <v>59665.240000000005</v>
          </cell>
        </row>
        <row r="191">
          <cell r="A191">
            <v>3230</v>
          </cell>
          <cell r="B191" t="str">
            <v>YUMA</v>
          </cell>
          <cell r="C191" t="str">
            <v>LIBERTY J-4</v>
          </cell>
          <cell r="E191">
            <v>81</v>
          </cell>
          <cell r="F191">
            <v>35424</v>
          </cell>
          <cell r="G191">
            <v>85657.65</v>
          </cell>
          <cell r="H191">
            <v>37883.630000000005</v>
          </cell>
          <cell r="I191">
            <v>24041.119999999999</v>
          </cell>
        </row>
        <row r="192">
          <cell r="A192">
            <v>8001</v>
          </cell>
          <cell r="B192" t="str">
            <v>CSI</v>
          </cell>
          <cell r="C192" t="str">
            <v>CSI</v>
          </cell>
          <cell r="E192">
            <v>2325</v>
          </cell>
          <cell r="F192">
            <v>233782.2</v>
          </cell>
          <cell r="G192">
            <v>982398.27</v>
          </cell>
          <cell r="H192">
            <v>389253.18</v>
          </cell>
          <cell r="I192">
            <v>244787.71000000002</v>
          </cell>
        </row>
        <row r="193">
          <cell r="A193">
            <v>9025</v>
          </cell>
          <cell r="C193" t="str">
            <v>EAST CENTRAL BOCES</v>
          </cell>
          <cell r="E193">
            <v>4</v>
          </cell>
          <cell r="F193">
            <v>8618</v>
          </cell>
          <cell r="G193">
            <v>14694.13</v>
          </cell>
          <cell r="H193">
            <v>7135.15</v>
          </cell>
          <cell r="I193">
            <v>6797.08</v>
          </cell>
        </row>
        <row r="194">
          <cell r="A194">
            <v>9055</v>
          </cell>
          <cell r="C194" t="str">
            <v>SLVALLEY BOCES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>
            <v>9060</v>
          </cell>
          <cell r="C195" t="str">
            <v>S. CENTRAL BOCES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A196">
            <v>9065</v>
          </cell>
          <cell r="C196" t="str">
            <v>S.PLATTE  BOCES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</row>
        <row r="197">
          <cell r="A197">
            <v>9035</v>
          </cell>
          <cell r="C197" t="str">
            <v>CENTENNIAL BOCES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>
            <v>9701</v>
          </cell>
          <cell r="B198" t="str">
            <v>FACILITY SCHOOL</v>
          </cell>
          <cell r="C198" t="str">
            <v>RCKY MTN YOUTH ACAD</v>
          </cell>
          <cell r="E198">
            <v>8</v>
          </cell>
          <cell r="F198">
            <v>113168</v>
          </cell>
          <cell r="G198">
            <v>70775</v>
          </cell>
          <cell r="H198">
            <v>52312.639999999999</v>
          </cell>
          <cell r="I198">
            <v>33504.03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34"/>
  <sheetViews>
    <sheetView tabSelected="1" workbookViewId="0"/>
  </sheetViews>
  <sheetFormatPr defaultRowHeight="15"/>
  <cols>
    <col min="2" max="2" width="9.140625" style="1"/>
    <col min="3" max="3" width="33" bestFit="1" customWidth="1"/>
    <col min="4" max="4" width="67.85546875" bestFit="1" customWidth="1"/>
    <col min="5" max="8" width="14" bestFit="1" customWidth="1"/>
    <col min="9" max="9" width="16.140625" customWidth="1"/>
    <col min="259" max="259" width="33" bestFit="1" customWidth="1"/>
    <col min="260" max="260" width="67.85546875" bestFit="1" customWidth="1"/>
    <col min="261" max="264" width="14" bestFit="1" customWidth="1"/>
    <col min="265" max="265" width="16.140625" customWidth="1"/>
    <col min="515" max="515" width="33" bestFit="1" customWidth="1"/>
    <col min="516" max="516" width="67.85546875" bestFit="1" customWidth="1"/>
    <col min="517" max="520" width="14" bestFit="1" customWidth="1"/>
    <col min="521" max="521" width="16.140625" customWidth="1"/>
    <col min="771" max="771" width="33" bestFit="1" customWidth="1"/>
    <col min="772" max="772" width="67.85546875" bestFit="1" customWidth="1"/>
    <col min="773" max="776" width="14" bestFit="1" customWidth="1"/>
    <col min="777" max="777" width="16.140625" customWidth="1"/>
    <col min="1027" max="1027" width="33" bestFit="1" customWidth="1"/>
    <col min="1028" max="1028" width="67.85546875" bestFit="1" customWidth="1"/>
    <col min="1029" max="1032" width="14" bestFit="1" customWidth="1"/>
    <col min="1033" max="1033" width="16.140625" customWidth="1"/>
    <col min="1283" max="1283" width="33" bestFit="1" customWidth="1"/>
    <col min="1284" max="1284" width="67.85546875" bestFit="1" customWidth="1"/>
    <col min="1285" max="1288" width="14" bestFit="1" customWidth="1"/>
    <col min="1289" max="1289" width="16.140625" customWidth="1"/>
    <col min="1539" max="1539" width="33" bestFit="1" customWidth="1"/>
    <col min="1540" max="1540" width="67.85546875" bestFit="1" customWidth="1"/>
    <col min="1541" max="1544" width="14" bestFit="1" customWidth="1"/>
    <col min="1545" max="1545" width="16.140625" customWidth="1"/>
    <col min="1795" max="1795" width="33" bestFit="1" customWidth="1"/>
    <col min="1796" max="1796" width="67.85546875" bestFit="1" customWidth="1"/>
    <col min="1797" max="1800" width="14" bestFit="1" customWidth="1"/>
    <col min="1801" max="1801" width="16.140625" customWidth="1"/>
    <col min="2051" max="2051" width="33" bestFit="1" customWidth="1"/>
    <col min="2052" max="2052" width="67.85546875" bestFit="1" customWidth="1"/>
    <col min="2053" max="2056" width="14" bestFit="1" customWidth="1"/>
    <col min="2057" max="2057" width="16.140625" customWidth="1"/>
    <col min="2307" max="2307" width="33" bestFit="1" customWidth="1"/>
    <col min="2308" max="2308" width="67.85546875" bestFit="1" customWidth="1"/>
    <col min="2309" max="2312" width="14" bestFit="1" customWidth="1"/>
    <col min="2313" max="2313" width="16.140625" customWidth="1"/>
    <col min="2563" max="2563" width="33" bestFit="1" customWidth="1"/>
    <col min="2564" max="2564" width="67.85546875" bestFit="1" customWidth="1"/>
    <col min="2565" max="2568" width="14" bestFit="1" customWidth="1"/>
    <col min="2569" max="2569" width="16.140625" customWidth="1"/>
    <col min="2819" max="2819" width="33" bestFit="1" customWidth="1"/>
    <col min="2820" max="2820" width="67.85546875" bestFit="1" customWidth="1"/>
    <col min="2821" max="2824" width="14" bestFit="1" customWidth="1"/>
    <col min="2825" max="2825" width="16.140625" customWidth="1"/>
    <col min="3075" max="3075" width="33" bestFit="1" customWidth="1"/>
    <col min="3076" max="3076" width="67.85546875" bestFit="1" customWidth="1"/>
    <col min="3077" max="3080" width="14" bestFit="1" customWidth="1"/>
    <col min="3081" max="3081" width="16.140625" customWidth="1"/>
    <col min="3331" max="3331" width="33" bestFit="1" customWidth="1"/>
    <col min="3332" max="3332" width="67.85546875" bestFit="1" customWidth="1"/>
    <col min="3333" max="3336" width="14" bestFit="1" customWidth="1"/>
    <col min="3337" max="3337" width="16.140625" customWidth="1"/>
    <col min="3587" max="3587" width="33" bestFit="1" customWidth="1"/>
    <col min="3588" max="3588" width="67.85546875" bestFit="1" customWidth="1"/>
    <col min="3589" max="3592" width="14" bestFit="1" customWidth="1"/>
    <col min="3593" max="3593" width="16.140625" customWidth="1"/>
    <col min="3843" max="3843" width="33" bestFit="1" customWidth="1"/>
    <col min="3844" max="3844" width="67.85546875" bestFit="1" customWidth="1"/>
    <col min="3845" max="3848" width="14" bestFit="1" customWidth="1"/>
    <col min="3849" max="3849" width="16.140625" customWidth="1"/>
    <col min="4099" max="4099" width="33" bestFit="1" customWidth="1"/>
    <col min="4100" max="4100" width="67.85546875" bestFit="1" customWidth="1"/>
    <col min="4101" max="4104" width="14" bestFit="1" customWidth="1"/>
    <col min="4105" max="4105" width="16.140625" customWidth="1"/>
    <col min="4355" max="4355" width="33" bestFit="1" customWidth="1"/>
    <col min="4356" max="4356" width="67.85546875" bestFit="1" customWidth="1"/>
    <col min="4357" max="4360" width="14" bestFit="1" customWidth="1"/>
    <col min="4361" max="4361" width="16.140625" customWidth="1"/>
    <col min="4611" max="4611" width="33" bestFit="1" customWidth="1"/>
    <col min="4612" max="4612" width="67.85546875" bestFit="1" customWidth="1"/>
    <col min="4613" max="4616" width="14" bestFit="1" customWidth="1"/>
    <col min="4617" max="4617" width="16.140625" customWidth="1"/>
    <col min="4867" max="4867" width="33" bestFit="1" customWidth="1"/>
    <col min="4868" max="4868" width="67.85546875" bestFit="1" customWidth="1"/>
    <col min="4869" max="4872" width="14" bestFit="1" customWidth="1"/>
    <col min="4873" max="4873" width="16.140625" customWidth="1"/>
    <col min="5123" max="5123" width="33" bestFit="1" customWidth="1"/>
    <col min="5124" max="5124" width="67.85546875" bestFit="1" customWidth="1"/>
    <col min="5125" max="5128" width="14" bestFit="1" customWidth="1"/>
    <col min="5129" max="5129" width="16.140625" customWidth="1"/>
    <col min="5379" max="5379" width="33" bestFit="1" customWidth="1"/>
    <col min="5380" max="5380" width="67.85546875" bestFit="1" customWidth="1"/>
    <col min="5381" max="5384" width="14" bestFit="1" customWidth="1"/>
    <col min="5385" max="5385" width="16.140625" customWidth="1"/>
    <col min="5635" max="5635" width="33" bestFit="1" customWidth="1"/>
    <col min="5636" max="5636" width="67.85546875" bestFit="1" customWidth="1"/>
    <col min="5637" max="5640" width="14" bestFit="1" customWidth="1"/>
    <col min="5641" max="5641" width="16.140625" customWidth="1"/>
    <col min="5891" max="5891" width="33" bestFit="1" customWidth="1"/>
    <col min="5892" max="5892" width="67.85546875" bestFit="1" customWidth="1"/>
    <col min="5893" max="5896" width="14" bestFit="1" customWidth="1"/>
    <col min="5897" max="5897" width="16.140625" customWidth="1"/>
    <col min="6147" max="6147" width="33" bestFit="1" customWidth="1"/>
    <col min="6148" max="6148" width="67.85546875" bestFit="1" customWidth="1"/>
    <col min="6149" max="6152" width="14" bestFit="1" customWidth="1"/>
    <col min="6153" max="6153" width="16.140625" customWidth="1"/>
    <col min="6403" max="6403" width="33" bestFit="1" customWidth="1"/>
    <col min="6404" max="6404" width="67.85546875" bestFit="1" customWidth="1"/>
    <col min="6405" max="6408" width="14" bestFit="1" customWidth="1"/>
    <col min="6409" max="6409" width="16.140625" customWidth="1"/>
    <col min="6659" max="6659" width="33" bestFit="1" customWidth="1"/>
    <col min="6660" max="6660" width="67.85546875" bestFit="1" customWidth="1"/>
    <col min="6661" max="6664" width="14" bestFit="1" customWidth="1"/>
    <col min="6665" max="6665" width="16.140625" customWidth="1"/>
    <col min="6915" max="6915" width="33" bestFit="1" customWidth="1"/>
    <col min="6916" max="6916" width="67.85546875" bestFit="1" customWidth="1"/>
    <col min="6917" max="6920" width="14" bestFit="1" customWidth="1"/>
    <col min="6921" max="6921" width="16.140625" customWidth="1"/>
    <col min="7171" max="7171" width="33" bestFit="1" customWidth="1"/>
    <col min="7172" max="7172" width="67.85546875" bestFit="1" customWidth="1"/>
    <col min="7173" max="7176" width="14" bestFit="1" customWidth="1"/>
    <col min="7177" max="7177" width="16.140625" customWidth="1"/>
    <col min="7427" max="7427" width="33" bestFit="1" customWidth="1"/>
    <col min="7428" max="7428" width="67.85546875" bestFit="1" customWidth="1"/>
    <col min="7429" max="7432" width="14" bestFit="1" customWidth="1"/>
    <col min="7433" max="7433" width="16.140625" customWidth="1"/>
    <col min="7683" max="7683" width="33" bestFit="1" customWidth="1"/>
    <col min="7684" max="7684" width="67.85546875" bestFit="1" customWidth="1"/>
    <col min="7685" max="7688" width="14" bestFit="1" customWidth="1"/>
    <col min="7689" max="7689" width="16.140625" customWidth="1"/>
    <col min="7939" max="7939" width="33" bestFit="1" customWidth="1"/>
    <col min="7940" max="7940" width="67.85546875" bestFit="1" customWidth="1"/>
    <col min="7941" max="7944" width="14" bestFit="1" customWidth="1"/>
    <col min="7945" max="7945" width="16.140625" customWidth="1"/>
    <col min="8195" max="8195" width="33" bestFit="1" customWidth="1"/>
    <col min="8196" max="8196" width="67.85546875" bestFit="1" customWidth="1"/>
    <col min="8197" max="8200" width="14" bestFit="1" customWidth="1"/>
    <col min="8201" max="8201" width="16.140625" customWidth="1"/>
    <col min="8451" max="8451" width="33" bestFit="1" customWidth="1"/>
    <col min="8452" max="8452" width="67.85546875" bestFit="1" customWidth="1"/>
    <col min="8453" max="8456" width="14" bestFit="1" customWidth="1"/>
    <col min="8457" max="8457" width="16.140625" customWidth="1"/>
    <col min="8707" max="8707" width="33" bestFit="1" customWidth="1"/>
    <col min="8708" max="8708" width="67.85546875" bestFit="1" customWidth="1"/>
    <col min="8709" max="8712" width="14" bestFit="1" customWidth="1"/>
    <col min="8713" max="8713" width="16.140625" customWidth="1"/>
    <col min="8963" max="8963" width="33" bestFit="1" customWidth="1"/>
    <col min="8964" max="8964" width="67.85546875" bestFit="1" customWidth="1"/>
    <col min="8965" max="8968" width="14" bestFit="1" customWidth="1"/>
    <col min="8969" max="8969" width="16.140625" customWidth="1"/>
    <col min="9219" max="9219" width="33" bestFit="1" customWidth="1"/>
    <col min="9220" max="9220" width="67.85546875" bestFit="1" customWidth="1"/>
    <col min="9221" max="9224" width="14" bestFit="1" customWidth="1"/>
    <col min="9225" max="9225" width="16.140625" customWidth="1"/>
    <col min="9475" max="9475" width="33" bestFit="1" customWidth="1"/>
    <col min="9476" max="9476" width="67.85546875" bestFit="1" customWidth="1"/>
    <col min="9477" max="9480" width="14" bestFit="1" customWidth="1"/>
    <col min="9481" max="9481" width="16.140625" customWidth="1"/>
    <col min="9731" max="9731" width="33" bestFit="1" customWidth="1"/>
    <col min="9732" max="9732" width="67.85546875" bestFit="1" customWidth="1"/>
    <col min="9733" max="9736" width="14" bestFit="1" customWidth="1"/>
    <col min="9737" max="9737" width="16.140625" customWidth="1"/>
    <col min="9987" max="9987" width="33" bestFit="1" customWidth="1"/>
    <col min="9988" max="9988" width="67.85546875" bestFit="1" customWidth="1"/>
    <col min="9989" max="9992" width="14" bestFit="1" customWidth="1"/>
    <col min="9993" max="9993" width="16.140625" customWidth="1"/>
    <col min="10243" max="10243" width="33" bestFit="1" customWidth="1"/>
    <col min="10244" max="10244" width="67.85546875" bestFit="1" customWidth="1"/>
    <col min="10245" max="10248" width="14" bestFit="1" customWidth="1"/>
    <col min="10249" max="10249" width="16.140625" customWidth="1"/>
    <col min="10499" max="10499" width="33" bestFit="1" customWidth="1"/>
    <col min="10500" max="10500" width="67.85546875" bestFit="1" customWidth="1"/>
    <col min="10501" max="10504" width="14" bestFit="1" customWidth="1"/>
    <col min="10505" max="10505" width="16.140625" customWidth="1"/>
    <col min="10755" max="10755" width="33" bestFit="1" customWidth="1"/>
    <col min="10756" max="10756" width="67.85546875" bestFit="1" customWidth="1"/>
    <col min="10757" max="10760" width="14" bestFit="1" customWidth="1"/>
    <col min="10761" max="10761" width="16.140625" customWidth="1"/>
    <col min="11011" max="11011" width="33" bestFit="1" customWidth="1"/>
    <col min="11012" max="11012" width="67.85546875" bestFit="1" customWidth="1"/>
    <col min="11013" max="11016" width="14" bestFit="1" customWidth="1"/>
    <col min="11017" max="11017" width="16.140625" customWidth="1"/>
    <col min="11267" max="11267" width="33" bestFit="1" customWidth="1"/>
    <col min="11268" max="11268" width="67.85546875" bestFit="1" customWidth="1"/>
    <col min="11269" max="11272" width="14" bestFit="1" customWidth="1"/>
    <col min="11273" max="11273" width="16.140625" customWidth="1"/>
    <col min="11523" max="11523" width="33" bestFit="1" customWidth="1"/>
    <col min="11524" max="11524" width="67.85546875" bestFit="1" customWidth="1"/>
    <col min="11525" max="11528" width="14" bestFit="1" customWidth="1"/>
    <col min="11529" max="11529" width="16.140625" customWidth="1"/>
    <col min="11779" max="11779" width="33" bestFit="1" customWidth="1"/>
    <col min="11780" max="11780" width="67.85546875" bestFit="1" customWidth="1"/>
    <col min="11781" max="11784" width="14" bestFit="1" customWidth="1"/>
    <col min="11785" max="11785" width="16.140625" customWidth="1"/>
    <col min="12035" max="12035" width="33" bestFit="1" customWidth="1"/>
    <col min="12036" max="12036" width="67.85546875" bestFit="1" customWidth="1"/>
    <col min="12037" max="12040" width="14" bestFit="1" customWidth="1"/>
    <col min="12041" max="12041" width="16.140625" customWidth="1"/>
    <col min="12291" max="12291" width="33" bestFit="1" customWidth="1"/>
    <col min="12292" max="12292" width="67.85546875" bestFit="1" customWidth="1"/>
    <col min="12293" max="12296" width="14" bestFit="1" customWidth="1"/>
    <col min="12297" max="12297" width="16.140625" customWidth="1"/>
    <col min="12547" max="12547" width="33" bestFit="1" customWidth="1"/>
    <col min="12548" max="12548" width="67.85546875" bestFit="1" customWidth="1"/>
    <col min="12549" max="12552" width="14" bestFit="1" customWidth="1"/>
    <col min="12553" max="12553" width="16.140625" customWidth="1"/>
    <col min="12803" max="12803" width="33" bestFit="1" customWidth="1"/>
    <col min="12804" max="12804" width="67.85546875" bestFit="1" customWidth="1"/>
    <col min="12805" max="12808" width="14" bestFit="1" customWidth="1"/>
    <col min="12809" max="12809" width="16.140625" customWidth="1"/>
    <col min="13059" max="13059" width="33" bestFit="1" customWidth="1"/>
    <col min="13060" max="13060" width="67.85546875" bestFit="1" customWidth="1"/>
    <col min="13061" max="13064" width="14" bestFit="1" customWidth="1"/>
    <col min="13065" max="13065" width="16.140625" customWidth="1"/>
    <col min="13315" max="13315" width="33" bestFit="1" customWidth="1"/>
    <col min="13316" max="13316" width="67.85546875" bestFit="1" customWidth="1"/>
    <col min="13317" max="13320" width="14" bestFit="1" customWidth="1"/>
    <col min="13321" max="13321" width="16.140625" customWidth="1"/>
    <col min="13571" max="13571" width="33" bestFit="1" customWidth="1"/>
    <col min="13572" max="13572" width="67.85546875" bestFit="1" customWidth="1"/>
    <col min="13573" max="13576" width="14" bestFit="1" customWidth="1"/>
    <col min="13577" max="13577" width="16.140625" customWidth="1"/>
    <col min="13827" max="13827" width="33" bestFit="1" customWidth="1"/>
    <col min="13828" max="13828" width="67.85546875" bestFit="1" customWidth="1"/>
    <col min="13829" max="13832" width="14" bestFit="1" customWidth="1"/>
    <col min="13833" max="13833" width="16.140625" customWidth="1"/>
    <col min="14083" max="14083" width="33" bestFit="1" customWidth="1"/>
    <col min="14084" max="14084" width="67.85546875" bestFit="1" customWidth="1"/>
    <col min="14085" max="14088" width="14" bestFit="1" customWidth="1"/>
    <col min="14089" max="14089" width="16.140625" customWidth="1"/>
    <col min="14339" max="14339" width="33" bestFit="1" customWidth="1"/>
    <col min="14340" max="14340" width="67.85546875" bestFit="1" customWidth="1"/>
    <col min="14341" max="14344" width="14" bestFit="1" customWidth="1"/>
    <col min="14345" max="14345" width="16.140625" customWidth="1"/>
    <col min="14595" max="14595" width="33" bestFit="1" customWidth="1"/>
    <col min="14596" max="14596" width="67.85546875" bestFit="1" customWidth="1"/>
    <col min="14597" max="14600" width="14" bestFit="1" customWidth="1"/>
    <col min="14601" max="14601" width="16.140625" customWidth="1"/>
    <col min="14851" max="14851" width="33" bestFit="1" customWidth="1"/>
    <col min="14852" max="14852" width="67.85546875" bestFit="1" customWidth="1"/>
    <col min="14853" max="14856" width="14" bestFit="1" customWidth="1"/>
    <col min="14857" max="14857" width="16.140625" customWidth="1"/>
    <col min="15107" max="15107" width="33" bestFit="1" customWidth="1"/>
    <col min="15108" max="15108" width="67.85546875" bestFit="1" customWidth="1"/>
    <col min="15109" max="15112" width="14" bestFit="1" customWidth="1"/>
    <col min="15113" max="15113" width="16.140625" customWidth="1"/>
    <col min="15363" max="15363" width="33" bestFit="1" customWidth="1"/>
    <col min="15364" max="15364" width="67.85546875" bestFit="1" customWidth="1"/>
    <col min="15365" max="15368" width="14" bestFit="1" customWidth="1"/>
    <col min="15369" max="15369" width="16.140625" customWidth="1"/>
    <col min="15619" max="15619" width="33" bestFit="1" customWidth="1"/>
    <col min="15620" max="15620" width="67.85546875" bestFit="1" customWidth="1"/>
    <col min="15621" max="15624" width="14" bestFit="1" customWidth="1"/>
    <col min="15625" max="15625" width="16.140625" customWidth="1"/>
    <col min="15875" max="15875" width="33" bestFit="1" customWidth="1"/>
    <col min="15876" max="15876" width="67.85546875" bestFit="1" customWidth="1"/>
    <col min="15877" max="15880" width="14" bestFit="1" customWidth="1"/>
    <col min="15881" max="15881" width="16.140625" customWidth="1"/>
    <col min="16131" max="16131" width="33" bestFit="1" customWidth="1"/>
    <col min="16132" max="16132" width="67.85546875" bestFit="1" customWidth="1"/>
    <col min="16133" max="16136" width="14" bestFit="1" customWidth="1"/>
    <col min="16137" max="16137" width="16.140625" customWidth="1"/>
  </cols>
  <sheetData>
    <row r="1" spans="1:9">
      <c r="A1" t="s">
        <v>0</v>
      </c>
      <c r="B1" s="1" t="s">
        <v>1</v>
      </c>
      <c r="C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3" spans="1:9">
      <c r="A3" t="s">
        <v>8</v>
      </c>
      <c r="B3" s="1" t="s">
        <v>9</v>
      </c>
      <c r="C3" t="s">
        <v>10</v>
      </c>
    </row>
    <row r="4" spans="1:9">
      <c r="B4" s="1" t="s">
        <v>9</v>
      </c>
      <c r="D4" t="s">
        <v>11</v>
      </c>
      <c r="E4" s="3">
        <v>3865</v>
      </c>
      <c r="F4" s="3">
        <v>3879</v>
      </c>
      <c r="G4" s="3">
        <v>3956</v>
      </c>
      <c r="H4" s="3">
        <v>4629</v>
      </c>
      <c r="I4" s="3">
        <f>VLOOKUP(B4,[1]Sheet3!$A$13:$E$198,5,TRUE)</f>
        <v>4629</v>
      </c>
    </row>
    <row r="5" spans="1:9">
      <c r="A5" s="4"/>
      <c r="B5" s="1" t="s">
        <v>9</v>
      </c>
      <c r="C5" s="4"/>
      <c r="D5" s="4" t="s">
        <v>12</v>
      </c>
      <c r="E5" s="5">
        <v>358616</v>
      </c>
      <c r="F5" s="5">
        <v>336060</v>
      </c>
      <c r="G5" s="5">
        <v>317512</v>
      </c>
      <c r="H5" s="6">
        <v>280894</v>
      </c>
      <c r="I5" s="3">
        <f>VLOOKUP(B5,[1]Sheet3!$A$13:$F$198,6,TRUE)</f>
        <v>280894</v>
      </c>
    </row>
    <row r="6" spans="1:9">
      <c r="B6" s="1" t="s">
        <v>9</v>
      </c>
      <c r="D6" t="s">
        <v>13</v>
      </c>
      <c r="E6" s="5">
        <v>1650470.32</v>
      </c>
      <c r="F6" s="5">
        <v>1832588.39</v>
      </c>
      <c r="G6" s="5">
        <v>2045422.44</v>
      </c>
      <c r="H6" s="5">
        <v>2085996.14</v>
      </c>
      <c r="I6" s="3">
        <f>VLOOKUP(B6,[1]Sheet3!$A$13:$G$198,7,TRUE)</f>
        <v>1903668.29</v>
      </c>
    </row>
    <row r="7" spans="1:9">
      <c r="B7" s="1" t="s">
        <v>9</v>
      </c>
      <c r="D7" t="s">
        <v>14</v>
      </c>
      <c r="E7" s="5">
        <v>670385.3600000001</v>
      </c>
      <c r="F7" s="5">
        <v>704858.64</v>
      </c>
      <c r="G7" s="5">
        <v>772300.48</v>
      </c>
      <c r="H7" s="6">
        <v>776872.3899999999</v>
      </c>
      <c r="I7" s="3">
        <f>VLOOKUP(B7,[1]Sheet3!$A$13:$H$198,8,TRUE)</f>
        <v>715117.95</v>
      </c>
    </row>
    <row r="8" spans="1:9">
      <c r="B8" s="1" t="s">
        <v>9</v>
      </c>
      <c r="D8" t="s">
        <v>15</v>
      </c>
      <c r="E8" s="5">
        <v>389504.86</v>
      </c>
      <c r="F8" s="5">
        <v>417773.32999999996</v>
      </c>
      <c r="G8" s="5">
        <v>469912.24</v>
      </c>
      <c r="H8" s="6">
        <v>476587.19999999995</v>
      </c>
      <c r="I8" s="3">
        <f>VLOOKUP(B8,[1]Sheet3!$A$13:$I$198,9,TRUE)</f>
        <v>478466.97</v>
      </c>
    </row>
    <row r="9" spans="1:9">
      <c r="B9" s="1" t="s">
        <v>9</v>
      </c>
      <c r="D9" t="s">
        <v>16</v>
      </c>
      <c r="E9" s="5">
        <v>427.03</v>
      </c>
      <c r="F9" s="5">
        <v>472.44</v>
      </c>
      <c r="G9" s="5">
        <v>517.04</v>
      </c>
      <c r="H9" s="5">
        <v>450.64</v>
      </c>
      <c r="I9" s="5">
        <f>I6/I4</f>
        <v>411.24828040613522</v>
      </c>
    </row>
    <row r="10" spans="1:9">
      <c r="B10" s="1" t="s">
        <v>9</v>
      </c>
      <c r="D10" t="s">
        <v>17</v>
      </c>
      <c r="E10" s="6">
        <v>4.5999999999999996</v>
      </c>
      <c r="F10" s="6">
        <v>5.45</v>
      </c>
      <c r="G10" s="6">
        <v>6.44</v>
      </c>
      <c r="H10" s="6">
        <v>7.43</v>
      </c>
      <c r="I10" s="7">
        <f>I6/I5</f>
        <v>6.777176764188626</v>
      </c>
    </row>
    <row r="11" spans="1:9">
      <c r="B11" s="1" t="s">
        <v>9</v>
      </c>
      <c r="D11" t="s">
        <v>18</v>
      </c>
      <c r="E11" s="8">
        <v>0.40620000000000001</v>
      </c>
      <c r="F11" s="8">
        <v>0.3846</v>
      </c>
      <c r="G11" s="8">
        <v>0.37759999999999999</v>
      </c>
      <c r="H11" s="8">
        <v>0.37240000000000001</v>
      </c>
      <c r="I11" s="8">
        <f>I7/I6</f>
        <v>0.37565260384728055</v>
      </c>
    </row>
    <row r="12" spans="1:9">
      <c r="B12" s="1" t="s">
        <v>9</v>
      </c>
      <c r="D12" t="s">
        <v>19</v>
      </c>
      <c r="E12" s="8">
        <v>0.58099999999999996</v>
      </c>
      <c r="F12" s="8">
        <v>0.5927</v>
      </c>
      <c r="G12" s="8">
        <v>0.60850000000000004</v>
      </c>
      <c r="H12" s="8">
        <v>0.61350000000000005</v>
      </c>
      <c r="I12" s="8">
        <f>I8/I7</f>
        <v>0.66907419957784586</v>
      </c>
    </row>
    <row r="13" spans="1:9">
      <c r="B13" s="1" t="s">
        <v>9</v>
      </c>
      <c r="D13" t="s">
        <v>20</v>
      </c>
      <c r="E13" s="8">
        <v>0.23599999999999999</v>
      </c>
      <c r="F13" s="8">
        <v>0.22800000000000001</v>
      </c>
      <c r="G13" s="8">
        <v>0.22969999999999999</v>
      </c>
      <c r="H13" s="8">
        <v>0.22850000000000001</v>
      </c>
      <c r="I13" s="8">
        <f>I8/I6</f>
        <v>0.25133946523845285</v>
      </c>
    </row>
    <row r="14" spans="1:9">
      <c r="B14" s="1" t="s">
        <v>9</v>
      </c>
      <c r="E14" t="s">
        <v>1</v>
      </c>
      <c r="F14" t="s">
        <v>1</v>
      </c>
      <c r="G14" t="s">
        <v>1</v>
      </c>
      <c r="H14" s="8"/>
    </row>
    <row r="15" spans="1:9">
      <c r="A15" t="s">
        <v>8</v>
      </c>
      <c r="B15" s="1" t="s">
        <v>21</v>
      </c>
      <c r="C15" t="s">
        <v>22</v>
      </c>
    </row>
    <row r="16" spans="1:9">
      <c r="B16" s="1" t="s">
        <v>21</v>
      </c>
      <c r="D16" t="s">
        <v>11</v>
      </c>
      <c r="E16" s="3">
        <v>13676</v>
      </c>
      <c r="F16" s="3">
        <v>12193</v>
      </c>
      <c r="G16" s="3">
        <v>7651</v>
      </c>
      <c r="H16" s="3">
        <v>7414</v>
      </c>
      <c r="I16" s="3">
        <f>VLOOKUP(B16,[1]Sheet3!$A$13:$E$198,5,TRUE)</f>
        <v>8317</v>
      </c>
    </row>
    <row r="17" spans="1:9">
      <c r="A17" s="4"/>
      <c r="B17" s="1" t="s">
        <v>21</v>
      </c>
      <c r="C17" s="4"/>
      <c r="D17" s="4" t="s">
        <v>12</v>
      </c>
      <c r="E17" s="5">
        <v>1273692</v>
      </c>
      <c r="F17" s="5">
        <v>1157024</v>
      </c>
      <c r="G17" s="5">
        <v>1136625</v>
      </c>
      <c r="H17" s="5">
        <v>991554</v>
      </c>
      <c r="I17" s="3">
        <f>VLOOKUP(B17,[1]Sheet3!$A$13:$F$198,6,TRUE)</f>
        <v>985250</v>
      </c>
    </row>
    <row r="18" spans="1:9">
      <c r="B18" s="1" t="s">
        <v>21</v>
      </c>
      <c r="D18" t="s">
        <v>23</v>
      </c>
      <c r="E18" s="5">
        <v>7378690</v>
      </c>
      <c r="F18" s="5">
        <v>7888463</v>
      </c>
      <c r="G18" s="5">
        <v>7396770</v>
      </c>
      <c r="H18" s="5">
        <v>7115528</v>
      </c>
      <c r="I18" s="3">
        <f>VLOOKUP(B18,[1]Sheet3!$A$13:$G$198,7,TRUE)</f>
        <v>6865715.6500000004</v>
      </c>
    </row>
    <row r="19" spans="1:9">
      <c r="B19" s="1" t="s">
        <v>21</v>
      </c>
      <c r="D19" t="s">
        <v>14</v>
      </c>
      <c r="E19" s="5">
        <v>2818138.48</v>
      </c>
      <c r="F19" s="5">
        <v>2961580.9299999997</v>
      </c>
      <c r="G19" s="5">
        <v>2961580.9299999997</v>
      </c>
      <c r="H19" s="5">
        <v>2789935.9</v>
      </c>
      <c r="I19" s="3">
        <f>VLOOKUP(B19,[1]Sheet3!$A$13:$H$198,8,TRUE)</f>
        <v>2572158.3000000003</v>
      </c>
    </row>
    <row r="20" spans="1:9">
      <c r="B20" s="1" t="s">
        <v>21</v>
      </c>
      <c r="D20" t="s">
        <v>15</v>
      </c>
      <c r="E20" s="5">
        <v>1658812.17</v>
      </c>
      <c r="F20" s="5">
        <v>1755208.14</v>
      </c>
      <c r="G20" s="5">
        <v>1776152.0799999998</v>
      </c>
      <c r="H20" s="5">
        <v>1692128.3399999999</v>
      </c>
      <c r="I20" s="3">
        <f>VLOOKUP(B20,[1]Sheet3!$A$13:$I$198,9,TRUE)</f>
        <v>1623565.52</v>
      </c>
    </row>
    <row r="21" spans="1:9">
      <c r="B21" s="1" t="s">
        <v>21</v>
      </c>
      <c r="D21" t="s">
        <v>16</v>
      </c>
      <c r="E21" s="5">
        <v>539.54</v>
      </c>
      <c r="F21" s="5">
        <v>646.97</v>
      </c>
      <c r="G21" s="5">
        <v>966.77</v>
      </c>
      <c r="H21" s="5">
        <v>959.74</v>
      </c>
      <c r="I21" s="5">
        <f>I18/I16</f>
        <v>825.50386557653007</v>
      </c>
    </row>
    <row r="22" spans="1:9">
      <c r="B22" s="1" t="s">
        <v>21</v>
      </c>
      <c r="D22" t="s">
        <v>17</v>
      </c>
      <c r="E22" s="6">
        <v>5.79</v>
      </c>
      <c r="F22" s="6">
        <v>6.82</v>
      </c>
      <c r="G22" s="6">
        <v>6.51</v>
      </c>
      <c r="H22" s="6">
        <v>7.18</v>
      </c>
      <c r="I22" s="7">
        <f>I18/I17</f>
        <v>6.9685010403450907</v>
      </c>
    </row>
    <row r="23" spans="1:9">
      <c r="B23" s="1" t="s">
        <v>21</v>
      </c>
      <c r="D23" t="s">
        <v>18</v>
      </c>
      <c r="E23" s="8">
        <v>0.38190000000000002</v>
      </c>
      <c r="F23" s="8">
        <v>0.37540000000000001</v>
      </c>
      <c r="G23" s="8">
        <v>0.40039999999999998</v>
      </c>
      <c r="H23" s="8">
        <v>0.3921</v>
      </c>
      <c r="I23" s="8">
        <f>I19/I18</f>
        <v>0.37463804665432077</v>
      </c>
    </row>
    <row r="24" spans="1:9">
      <c r="B24" s="1" t="s">
        <v>21</v>
      </c>
      <c r="D24" t="s">
        <v>19</v>
      </c>
      <c r="E24" s="8">
        <v>0.58860000000000001</v>
      </c>
      <c r="F24" s="8">
        <v>0.5927</v>
      </c>
      <c r="G24" s="8">
        <v>0.59970000000000001</v>
      </c>
      <c r="H24" s="8">
        <v>0.60650000000000004</v>
      </c>
      <c r="I24" s="8">
        <f>I20/I19</f>
        <v>0.63120746495268187</v>
      </c>
    </row>
    <row r="25" spans="1:9">
      <c r="B25" s="1" t="s">
        <v>21</v>
      </c>
      <c r="D25" t="s">
        <v>20</v>
      </c>
      <c r="E25" s="8">
        <v>0.2248</v>
      </c>
      <c r="F25" s="8">
        <v>0.2225</v>
      </c>
      <c r="G25" s="8">
        <v>0.24010000000000001</v>
      </c>
      <c r="H25" s="8">
        <v>0.23780000000000001</v>
      </c>
      <c r="I25" s="8">
        <f>I20/I18</f>
        <v>0.23647433170349838</v>
      </c>
    </row>
    <row r="26" spans="1:9">
      <c r="B26" s="1" t="s">
        <v>21</v>
      </c>
    </row>
    <row r="27" spans="1:9">
      <c r="A27" t="s">
        <v>8</v>
      </c>
      <c r="B27" s="1" t="s">
        <v>24</v>
      </c>
      <c r="C27" t="s">
        <v>25</v>
      </c>
    </row>
    <row r="28" spans="1:9">
      <c r="B28" s="1" t="s">
        <v>24</v>
      </c>
      <c r="D28" t="s">
        <v>11</v>
      </c>
      <c r="E28" s="3">
        <v>3903</v>
      </c>
      <c r="F28" s="3">
        <v>5236</v>
      </c>
      <c r="G28" s="3">
        <v>6569</v>
      </c>
      <c r="H28" s="3">
        <v>6299</v>
      </c>
      <c r="I28" s="3">
        <f>VLOOKUP(B28,[1]Sheet3!$A$13:$E$198,5,TRUE)</f>
        <v>6592</v>
      </c>
    </row>
    <row r="29" spans="1:9">
      <c r="A29" s="4"/>
      <c r="B29" s="1" t="s">
        <v>24</v>
      </c>
      <c r="C29" s="4"/>
      <c r="D29" s="4" t="s">
        <v>12</v>
      </c>
      <c r="E29" s="5">
        <v>314139.59999999998</v>
      </c>
      <c r="F29" s="5">
        <v>201967.5</v>
      </c>
      <c r="G29" s="5">
        <v>254001</v>
      </c>
      <c r="H29" s="5">
        <v>246401.7</v>
      </c>
      <c r="I29" s="3">
        <f>VLOOKUP(B29,[1]Sheet3!$A$13:$F$198,6,TRUE)</f>
        <v>228206.1</v>
      </c>
    </row>
    <row r="30" spans="1:9">
      <c r="B30" s="1" t="s">
        <v>24</v>
      </c>
      <c r="D30" t="s">
        <v>23</v>
      </c>
      <c r="E30" s="5">
        <v>1909965.69</v>
      </c>
      <c r="F30" s="5">
        <v>1826801.67</v>
      </c>
      <c r="G30" s="5">
        <v>1885236</v>
      </c>
      <c r="H30" s="5">
        <v>2067143</v>
      </c>
      <c r="I30" s="3">
        <f>VLOOKUP(B30,[1]Sheet3!$A$13:$G$198,7,TRUE)</f>
        <v>2026031</v>
      </c>
    </row>
    <row r="31" spans="1:9">
      <c r="B31" s="1" t="s">
        <v>24</v>
      </c>
      <c r="D31" t="s">
        <v>14</v>
      </c>
      <c r="E31" s="5">
        <v>849146.90999999992</v>
      </c>
      <c r="F31" s="5">
        <v>725576.72000000009</v>
      </c>
      <c r="G31" s="5">
        <v>702140</v>
      </c>
      <c r="H31" s="5">
        <v>761848.77</v>
      </c>
      <c r="I31" s="3">
        <f>VLOOKUP(B31,[1]Sheet3!$A$13:$H$198,8,TRUE)</f>
        <v>743367.34</v>
      </c>
    </row>
    <row r="32" spans="1:9">
      <c r="B32" s="1" t="s">
        <v>24</v>
      </c>
      <c r="D32" t="s">
        <v>15</v>
      </c>
      <c r="E32" s="5">
        <v>493368.25</v>
      </c>
      <c r="F32" s="5">
        <v>414626.05999999994</v>
      </c>
      <c r="G32" s="5">
        <v>418753.08</v>
      </c>
      <c r="H32" s="5">
        <v>473070.77</v>
      </c>
      <c r="I32" s="3">
        <f>VLOOKUP(B32,[1]Sheet3!$A$13:$I$198,9,TRUE)</f>
        <v>469214.09</v>
      </c>
    </row>
    <row r="33" spans="1:9">
      <c r="B33" s="1" t="s">
        <v>24</v>
      </c>
      <c r="D33" t="s">
        <v>16</v>
      </c>
      <c r="E33" s="5">
        <v>489.36</v>
      </c>
      <c r="F33" s="5">
        <v>348.89</v>
      </c>
      <c r="G33" s="5">
        <v>286.99</v>
      </c>
      <c r="H33" s="5">
        <v>328.17</v>
      </c>
      <c r="I33" s="5">
        <f>I30/I28</f>
        <v>307.34693567961165</v>
      </c>
    </row>
    <row r="34" spans="1:9">
      <c r="B34" s="1" t="s">
        <v>24</v>
      </c>
      <c r="D34" t="s">
        <v>17</v>
      </c>
      <c r="E34" s="6">
        <v>6.08</v>
      </c>
      <c r="F34" s="6">
        <v>9.0500000000000007</v>
      </c>
      <c r="G34" s="6">
        <v>7.42</v>
      </c>
      <c r="H34" s="6">
        <v>8.39</v>
      </c>
      <c r="I34" s="7">
        <f>I30/I29</f>
        <v>8.8780755641501248</v>
      </c>
    </row>
    <row r="35" spans="1:9">
      <c r="B35" s="1" t="s">
        <v>24</v>
      </c>
      <c r="D35" t="s">
        <v>18</v>
      </c>
      <c r="E35" s="8">
        <v>0.4446</v>
      </c>
      <c r="F35" s="8">
        <v>0.3972</v>
      </c>
      <c r="G35" s="8">
        <v>0.37240000000000001</v>
      </c>
      <c r="H35" s="8">
        <v>0.36859999999999998</v>
      </c>
      <c r="I35" s="8">
        <f>I31/I30</f>
        <v>0.36690817662710984</v>
      </c>
    </row>
    <row r="36" spans="1:9">
      <c r="B36" s="1" t="s">
        <v>24</v>
      </c>
      <c r="D36" t="s">
        <v>19</v>
      </c>
      <c r="E36" s="8">
        <v>0.58099999999999996</v>
      </c>
      <c r="F36" s="8">
        <v>0.57140000000000002</v>
      </c>
      <c r="G36" s="8">
        <v>0.59640000000000004</v>
      </c>
      <c r="H36" s="8">
        <v>0.621</v>
      </c>
      <c r="I36" s="8">
        <f>I32/I31</f>
        <v>0.63120084075794891</v>
      </c>
    </row>
    <row r="37" spans="1:9">
      <c r="B37" s="1" t="s">
        <v>24</v>
      </c>
      <c r="D37" t="s">
        <v>20</v>
      </c>
      <c r="E37" s="8">
        <v>0.25829999999999997</v>
      </c>
      <c r="F37" s="8">
        <v>0.22700000000000001</v>
      </c>
      <c r="G37" s="8">
        <v>0.22209999999999999</v>
      </c>
      <c r="H37" s="8">
        <v>0.22889999999999999</v>
      </c>
      <c r="I37" s="8">
        <f>I32/I30</f>
        <v>0.23159274956799775</v>
      </c>
    </row>
    <row r="38" spans="1:9">
      <c r="B38" s="1" t="s">
        <v>24</v>
      </c>
    </row>
    <row r="39" spans="1:9">
      <c r="A39" t="s">
        <v>8</v>
      </c>
      <c r="B39" s="1" t="s">
        <v>26</v>
      </c>
      <c r="C39" t="s">
        <v>27</v>
      </c>
    </row>
    <row r="40" spans="1:9">
      <c r="B40" s="1" t="s">
        <v>26</v>
      </c>
      <c r="D40" t="s">
        <v>11</v>
      </c>
      <c r="E40" s="3">
        <v>6322</v>
      </c>
      <c r="F40" s="3">
        <v>8097</v>
      </c>
      <c r="G40" s="3">
        <v>7161</v>
      </c>
      <c r="H40" s="3">
        <v>7129</v>
      </c>
      <c r="I40" s="3">
        <f>VLOOKUP(B40,[1]Sheet3!$A$13:$E$198,5,TRUE)</f>
        <v>7308</v>
      </c>
    </row>
    <row r="41" spans="1:9">
      <c r="A41" s="4"/>
      <c r="B41" s="1" t="s">
        <v>26</v>
      </c>
      <c r="C41" s="4"/>
      <c r="D41" s="4" t="s">
        <v>12</v>
      </c>
      <c r="E41" s="5">
        <v>966551</v>
      </c>
      <c r="F41" s="5">
        <v>1048220</v>
      </c>
      <c r="G41" s="5">
        <v>1100898</v>
      </c>
      <c r="H41" s="5">
        <v>1027197</v>
      </c>
      <c r="I41" s="3">
        <f>VLOOKUP(B41,[1]Sheet3!$A$13:$F$198,6,TRUE)</f>
        <v>1091328</v>
      </c>
    </row>
    <row r="42" spans="1:9">
      <c r="B42" s="1" t="s">
        <v>26</v>
      </c>
      <c r="D42" t="s">
        <v>23</v>
      </c>
      <c r="E42" s="5">
        <v>3802658</v>
      </c>
      <c r="F42" s="5">
        <v>4761229</v>
      </c>
      <c r="G42" s="5">
        <v>4979318</v>
      </c>
      <c r="H42" s="5">
        <v>4697498</v>
      </c>
      <c r="I42" s="3">
        <f>VLOOKUP(B42,[1]Sheet3!$A$13:$G$198,7,TRUE)</f>
        <v>4944407</v>
      </c>
    </row>
    <row r="43" spans="1:9">
      <c r="B43" s="1" t="s">
        <v>26</v>
      </c>
      <c r="D43" t="s">
        <v>14</v>
      </c>
      <c r="E43" s="5">
        <v>1530017.79</v>
      </c>
      <c r="F43" s="5">
        <v>1875138.51</v>
      </c>
      <c r="G43" s="5">
        <v>1962197.6400000001</v>
      </c>
      <c r="H43" s="5">
        <v>1962197.6400000001</v>
      </c>
      <c r="I43" s="3">
        <f>VLOOKUP(B43,[1]Sheet3!$A$13:$H$198,8,TRUE)</f>
        <v>1947976.6199999999</v>
      </c>
    </row>
    <row r="44" spans="1:9">
      <c r="B44" s="1" t="s">
        <v>26</v>
      </c>
      <c r="D44" t="s">
        <v>15</v>
      </c>
      <c r="E44" s="5">
        <v>903855.40999999992</v>
      </c>
      <c r="F44" s="5">
        <v>1135982.6599999999</v>
      </c>
      <c r="G44" s="5">
        <v>1185490.94</v>
      </c>
      <c r="H44" s="5">
        <v>1202555.71</v>
      </c>
      <c r="I44" s="3">
        <f>VLOOKUP(B44,[1]Sheet3!$A$13:$I$198,9,TRUE)</f>
        <v>1198258.31</v>
      </c>
    </row>
    <row r="45" spans="1:9">
      <c r="B45" s="1" t="s">
        <v>26</v>
      </c>
      <c r="D45" t="s">
        <v>16</v>
      </c>
      <c r="E45" s="5">
        <v>601.5</v>
      </c>
      <c r="F45" s="5">
        <v>588.02</v>
      </c>
      <c r="G45" s="5">
        <v>695.34</v>
      </c>
      <c r="H45" s="5">
        <v>658.93</v>
      </c>
      <c r="I45" s="5">
        <f>I42/I40</f>
        <v>676.57457580733444</v>
      </c>
    </row>
    <row r="46" spans="1:9">
      <c r="B46" s="1" t="s">
        <v>26</v>
      </c>
      <c r="D46" t="s">
        <v>17</v>
      </c>
      <c r="E46" s="6">
        <v>3.93</v>
      </c>
      <c r="F46" s="6">
        <v>4.54</v>
      </c>
      <c r="G46" s="6">
        <v>4.5199999999999996</v>
      </c>
      <c r="H46" s="6">
        <v>4.57</v>
      </c>
      <c r="I46" s="7">
        <f>I42/I41</f>
        <v>4.5306333201384001</v>
      </c>
    </row>
    <row r="47" spans="1:9">
      <c r="B47" s="1" t="s">
        <v>26</v>
      </c>
      <c r="D47" t="s">
        <v>18</v>
      </c>
      <c r="E47" s="8">
        <v>0.40239999999999998</v>
      </c>
      <c r="F47" s="8">
        <v>0.39379999999999998</v>
      </c>
      <c r="G47" s="8">
        <v>0.39410000000000001</v>
      </c>
      <c r="H47" s="8">
        <v>0.41770000000000002</v>
      </c>
      <c r="I47" s="8">
        <f>I43/I42</f>
        <v>0.39397578314244758</v>
      </c>
    </row>
    <row r="48" spans="1:9">
      <c r="B48" s="1" t="s">
        <v>26</v>
      </c>
      <c r="D48" t="s">
        <v>19</v>
      </c>
      <c r="E48" s="8">
        <v>0.5907</v>
      </c>
      <c r="F48" s="8">
        <v>0.60580000000000001</v>
      </c>
      <c r="G48" s="8">
        <v>0.60419999999999996</v>
      </c>
      <c r="H48" s="8">
        <v>0.6129</v>
      </c>
      <c r="I48" s="8">
        <f>I44/I43</f>
        <v>0.61512971854867549</v>
      </c>
    </row>
    <row r="49" spans="1:9">
      <c r="B49" s="1" t="s">
        <v>26</v>
      </c>
      <c r="D49" t="s">
        <v>20</v>
      </c>
      <c r="E49" s="8">
        <v>0.23769999999999999</v>
      </c>
      <c r="F49" s="8">
        <v>0.23860000000000001</v>
      </c>
      <c r="G49" s="8">
        <v>0.23810000000000001</v>
      </c>
      <c r="H49" s="8">
        <v>0.25600000000000001</v>
      </c>
      <c r="I49" s="8">
        <f>I44/I42</f>
        <v>0.24234621259940778</v>
      </c>
    </row>
    <row r="50" spans="1:9">
      <c r="B50" s="1" t="s">
        <v>26</v>
      </c>
    </row>
    <row r="51" spans="1:9">
      <c r="A51" t="s">
        <v>8</v>
      </c>
      <c r="B51" s="1" t="s">
        <v>28</v>
      </c>
      <c r="C51" t="s">
        <v>29</v>
      </c>
    </row>
    <row r="52" spans="1:9">
      <c r="B52" s="1" t="s">
        <v>28</v>
      </c>
      <c r="D52" t="s">
        <v>11</v>
      </c>
      <c r="E52" s="3">
        <v>922</v>
      </c>
      <c r="F52" s="3">
        <v>875</v>
      </c>
      <c r="G52" s="3">
        <v>896</v>
      </c>
      <c r="H52" s="3">
        <v>857</v>
      </c>
      <c r="I52" s="3">
        <f>VLOOKUP(B52,[1]Sheet3!$A$13:$E$198,5,TRUE)</f>
        <v>852</v>
      </c>
    </row>
    <row r="53" spans="1:9">
      <c r="A53" s="4"/>
      <c r="B53" s="1" t="s">
        <v>28</v>
      </c>
      <c r="C53" s="4"/>
      <c r="D53" s="4" t="s">
        <v>12</v>
      </c>
      <c r="E53" s="5">
        <v>141384</v>
      </c>
      <c r="F53" s="5">
        <v>148240</v>
      </c>
      <c r="G53" s="5">
        <v>120624</v>
      </c>
      <c r="H53" s="5">
        <v>1013208</v>
      </c>
      <c r="I53" s="3">
        <f>VLOOKUP(B53,[1]Sheet3!$A$13:$F$198,6,TRUE)</f>
        <v>165963</v>
      </c>
    </row>
    <row r="54" spans="1:9">
      <c r="B54" s="1" t="s">
        <v>28</v>
      </c>
      <c r="D54" t="s">
        <v>23</v>
      </c>
      <c r="E54" s="5">
        <v>453857.7</v>
      </c>
      <c r="F54" s="5">
        <v>429154.87</v>
      </c>
      <c r="G54" s="5">
        <v>449126.24</v>
      </c>
      <c r="H54" s="5">
        <v>491224.49</v>
      </c>
      <c r="I54" s="3">
        <f>VLOOKUP(B54,[1]Sheet3!$A$13:$G$198,7,TRUE)</f>
        <v>475550</v>
      </c>
    </row>
    <row r="55" spans="1:9">
      <c r="B55" s="1" t="s">
        <v>28</v>
      </c>
      <c r="D55" t="s">
        <v>14</v>
      </c>
      <c r="E55" s="5">
        <v>189129.01</v>
      </c>
      <c r="F55" s="5">
        <v>189129.01</v>
      </c>
      <c r="G55" s="5">
        <v>182479.13999999998</v>
      </c>
      <c r="H55" s="5">
        <v>420119.78</v>
      </c>
      <c r="I55" s="3">
        <f>VLOOKUP(B55,[1]Sheet3!$A$13:$H$198,8,TRUE)</f>
        <v>202631.62</v>
      </c>
    </row>
    <row r="56" spans="1:9">
      <c r="B56" s="1" t="s">
        <v>28</v>
      </c>
      <c r="D56" t="s">
        <v>15</v>
      </c>
      <c r="E56" s="5">
        <v>111465.29000000001</v>
      </c>
      <c r="F56" s="5">
        <v>111200.58</v>
      </c>
      <c r="G56" s="5">
        <v>108773.87</v>
      </c>
      <c r="H56" s="5">
        <v>282003.49</v>
      </c>
      <c r="I56" s="3">
        <f>VLOOKUP(B56,[1]Sheet3!$A$13:$I$198,9,TRUE)</f>
        <v>124829.26999999999</v>
      </c>
    </row>
    <row r="57" spans="1:9">
      <c r="B57" s="1" t="s">
        <v>28</v>
      </c>
      <c r="D57" t="s">
        <v>16</v>
      </c>
      <c r="E57" s="5">
        <v>492.25</v>
      </c>
      <c r="F57" s="5">
        <v>490.46</v>
      </c>
      <c r="G57" s="5">
        <v>501.26</v>
      </c>
      <c r="H57" s="5">
        <v>573.19000000000005</v>
      </c>
      <c r="I57" s="5">
        <f>I54/I52</f>
        <v>558.15727699530521</v>
      </c>
    </row>
    <row r="58" spans="1:9">
      <c r="B58" s="1" t="s">
        <v>28</v>
      </c>
      <c r="D58" t="s">
        <v>17</v>
      </c>
      <c r="E58" s="6">
        <v>3.21</v>
      </c>
      <c r="F58" s="6">
        <v>2.9</v>
      </c>
      <c r="G58" s="6">
        <v>3.72</v>
      </c>
      <c r="H58" s="6">
        <v>0.48</v>
      </c>
      <c r="I58" s="7">
        <f>I54/I53</f>
        <v>2.8653977091279383</v>
      </c>
    </row>
    <row r="59" spans="1:9">
      <c r="B59" s="1" t="s">
        <v>28</v>
      </c>
      <c r="D59" t="s">
        <v>18</v>
      </c>
      <c r="E59" s="8">
        <v>0.41670000000000001</v>
      </c>
      <c r="F59" s="8">
        <v>0.44069999999999998</v>
      </c>
      <c r="G59" s="8">
        <v>0.40629999999999999</v>
      </c>
      <c r="H59" s="8">
        <v>0.85529999999999995</v>
      </c>
      <c r="I59" s="8">
        <f>I55/I54</f>
        <v>0.42609950583534856</v>
      </c>
    </row>
    <row r="60" spans="1:9">
      <c r="B60" s="1" t="s">
        <v>28</v>
      </c>
      <c r="D60" t="s">
        <v>19</v>
      </c>
      <c r="E60" s="8">
        <v>0.58940000000000003</v>
      </c>
      <c r="F60" s="8">
        <v>0.58799999999999997</v>
      </c>
      <c r="G60" s="8">
        <v>0.59609999999999996</v>
      </c>
      <c r="H60" s="8">
        <v>0.67120000000000002</v>
      </c>
      <c r="I60" s="8">
        <f>I56/I55</f>
        <v>0.61604042843856255</v>
      </c>
    </row>
    <row r="61" spans="1:9">
      <c r="B61" s="1" t="s">
        <v>28</v>
      </c>
      <c r="D61" t="s">
        <v>20</v>
      </c>
      <c r="E61" s="8">
        <v>0.24560000000000001</v>
      </c>
      <c r="F61" s="8">
        <v>0.2591</v>
      </c>
      <c r="G61" s="8">
        <v>0.2422</v>
      </c>
      <c r="H61" s="8">
        <v>0.57410000000000005</v>
      </c>
      <c r="I61" s="8">
        <f>I56/I54</f>
        <v>0.26249452213226787</v>
      </c>
    </row>
    <row r="62" spans="1:9">
      <c r="B62" s="1" t="s">
        <v>28</v>
      </c>
    </row>
    <row r="63" spans="1:9">
      <c r="A63" t="s">
        <v>8</v>
      </c>
      <c r="B63" s="1" t="s">
        <v>30</v>
      </c>
      <c r="C63" t="s">
        <v>31</v>
      </c>
    </row>
    <row r="64" spans="1:9">
      <c r="B64" s="1" t="s">
        <v>30</v>
      </c>
      <c r="D64" t="s">
        <v>11</v>
      </c>
      <c r="E64" s="3">
        <v>731</v>
      </c>
      <c r="F64" s="3">
        <v>708</v>
      </c>
      <c r="G64" s="3">
        <v>697</v>
      </c>
      <c r="H64" s="3">
        <v>681</v>
      </c>
      <c r="I64" s="3">
        <f>VLOOKUP(B64,[1]Sheet3!$A$13:$E$198,5,TRUE)</f>
        <v>656</v>
      </c>
    </row>
    <row r="65" spans="1:9">
      <c r="A65" s="4"/>
      <c r="B65" s="1" t="s">
        <v>30</v>
      </c>
      <c r="C65" s="4"/>
      <c r="D65" s="4" t="s">
        <v>12</v>
      </c>
      <c r="E65" s="5">
        <v>216580</v>
      </c>
      <c r="F65" s="5">
        <v>109174</v>
      </c>
      <c r="G65" s="5">
        <v>76440</v>
      </c>
      <c r="H65" s="5">
        <v>126168</v>
      </c>
      <c r="I65" s="3">
        <f>VLOOKUP(B65,[1]Sheet3!$A$13:$F$198,6,TRUE)</f>
        <v>84836</v>
      </c>
    </row>
    <row r="66" spans="1:9">
      <c r="B66" s="1" t="s">
        <v>30</v>
      </c>
      <c r="D66" t="s">
        <v>23</v>
      </c>
      <c r="E66" s="5">
        <v>370873.32</v>
      </c>
      <c r="F66" s="5">
        <v>312269.31</v>
      </c>
      <c r="G66" s="5">
        <v>269440.88</v>
      </c>
      <c r="H66" s="5">
        <v>306094.28000000003</v>
      </c>
      <c r="I66" s="3">
        <f>VLOOKUP(B66,[1]Sheet3!$A$13:$G$198,7,TRUE)</f>
        <v>248770</v>
      </c>
    </row>
    <row r="67" spans="1:9">
      <c r="B67" s="1" t="s">
        <v>30</v>
      </c>
      <c r="D67" t="s">
        <v>14</v>
      </c>
      <c r="E67" s="5">
        <v>179853.86</v>
      </c>
      <c r="F67" s="5">
        <v>179853.86</v>
      </c>
      <c r="G67" s="5">
        <v>133106.53</v>
      </c>
      <c r="H67" s="5">
        <v>135270.93</v>
      </c>
      <c r="I67" s="3">
        <f>VLOOKUP(B67,[1]Sheet3!$A$13:$H$198,8,TRUE)</f>
        <v>105504.24</v>
      </c>
    </row>
    <row r="68" spans="1:9">
      <c r="B68" s="1" t="s">
        <v>30</v>
      </c>
      <c r="D68" t="s">
        <v>15</v>
      </c>
      <c r="E68" s="5">
        <v>103026.97</v>
      </c>
      <c r="F68" s="5">
        <v>105747.15</v>
      </c>
      <c r="G68" s="5">
        <v>75156.540000000008</v>
      </c>
      <c r="H68" s="5">
        <v>83125.77</v>
      </c>
      <c r="I68" s="3">
        <f>VLOOKUP(B68,[1]Sheet3!$A$13:$I$198,9,TRUE)</f>
        <v>83311.850000000006</v>
      </c>
    </row>
    <row r="69" spans="1:9">
      <c r="B69" s="1" t="s">
        <v>30</v>
      </c>
      <c r="D69" t="s">
        <v>16</v>
      </c>
      <c r="E69" s="5">
        <v>507.35</v>
      </c>
      <c r="F69" s="5">
        <v>441.06</v>
      </c>
      <c r="G69" s="5">
        <v>386.57</v>
      </c>
      <c r="H69" s="5">
        <v>449.48</v>
      </c>
      <c r="I69" s="5">
        <f>I66/I64</f>
        <v>379.22256097560978</v>
      </c>
    </row>
    <row r="70" spans="1:9">
      <c r="B70" s="1" t="s">
        <v>30</v>
      </c>
      <c r="D70" t="s">
        <v>17</v>
      </c>
      <c r="E70" s="6">
        <v>1.71</v>
      </c>
      <c r="F70" s="6">
        <v>2.86</v>
      </c>
      <c r="G70" s="6">
        <v>3.52</v>
      </c>
      <c r="H70" s="6">
        <v>2.4300000000000002</v>
      </c>
      <c r="I70" s="7">
        <f>I66/I65</f>
        <v>2.9323636192182563</v>
      </c>
    </row>
    <row r="71" spans="1:9">
      <c r="B71" s="1" t="s">
        <v>30</v>
      </c>
      <c r="D71" t="s">
        <v>18</v>
      </c>
      <c r="E71" s="8">
        <v>0.4849</v>
      </c>
      <c r="F71" s="8">
        <v>0.57599999999999996</v>
      </c>
      <c r="G71" s="8">
        <v>0.49399999999999999</v>
      </c>
      <c r="H71" s="8">
        <v>0.44190000000000002</v>
      </c>
      <c r="I71" s="8">
        <f>I67/I66</f>
        <v>0.42410354946335976</v>
      </c>
    </row>
    <row r="72" spans="1:9">
      <c r="B72" s="1" t="s">
        <v>30</v>
      </c>
      <c r="D72" t="s">
        <v>19</v>
      </c>
      <c r="E72" s="8">
        <v>0.57279999999999998</v>
      </c>
      <c r="F72" s="8">
        <v>0.58799999999999997</v>
      </c>
      <c r="G72" s="8">
        <v>0.56459999999999999</v>
      </c>
      <c r="H72" s="8">
        <v>0.61450000000000005</v>
      </c>
      <c r="I72" s="8">
        <f>I68/I67</f>
        <v>0.78965404613122658</v>
      </c>
    </row>
    <row r="73" spans="1:9">
      <c r="B73" s="1" t="s">
        <v>30</v>
      </c>
      <c r="D73" t="s">
        <v>20</v>
      </c>
      <c r="E73" s="8">
        <v>0.27779999999999999</v>
      </c>
      <c r="F73" s="8">
        <v>0.33860000000000001</v>
      </c>
      <c r="G73" s="8">
        <v>0.27889999999999998</v>
      </c>
      <c r="H73" s="8">
        <v>0.27160000000000001</v>
      </c>
      <c r="I73" s="8">
        <f>I68/I66</f>
        <v>0.33489508381235683</v>
      </c>
    </row>
    <row r="74" spans="1:9">
      <c r="B74" s="1" t="s">
        <v>30</v>
      </c>
    </row>
    <row r="75" spans="1:9">
      <c r="A75" t="s">
        <v>8</v>
      </c>
      <c r="B75" s="1" t="s">
        <v>32</v>
      </c>
      <c r="C75" t="s">
        <v>33</v>
      </c>
    </row>
    <row r="76" spans="1:9">
      <c r="B76" s="1" t="s">
        <v>32</v>
      </c>
      <c r="D76" t="s">
        <v>11</v>
      </c>
      <c r="E76" s="3">
        <v>4774</v>
      </c>
      <c r="F76" s="3">
        <v>5219</v>
      </c>
      <c r="G76" s="3">
        <v>5566</v>
      </c>
      <c r="H76" s="3">
        <v>5078</v>
      </c>
      <c r="I76" s="3">
        <f>VLOOKUP(B76,[1]Sheet3!$A$13:$E$198,5,TRUE)</f>
        <v>5385</v>
      </c>
    </row>
    <row r="77" spans="1:9">
      <c r="A77" s="4"/>
      <c r="B77" s="1" t="s">
        <v>32</v>
      </c>
      <c r="C77" s="4"/>
      <c r="D77" s="4" t="s">
        <v>12</v>
      </c>
      <c r="E77" s="5">
        <v>297609</v>
      </c>
      <c r="F77" s="5">
        <v>309451</v>
      </c>
      <c r="G77" s="5">
        <v>254508</v>
      </c>
      <c r="H77" s="5">
        <v>349364</v>
      </c>
      <c r="I77" s="3">
        <f>VLOOKUP(B77,[1]Sheet3!$A$13:$F$198,6,TRUE)</f>
        <v>321470</v>
      </c>
    </row>
    <row r="78" spans="1:9">
      <c r="B78" s="1" t="s">
        <v>32</v>
      </c>
      <c r="D78" t="s">
        <v>23</v>
      </c>
      <c r="E78" s="5">
        <v>2246573</v>
      </c>
      <c r="F78" s="5">
        <v>2269574.0499999998</v>
      </c>
      <c r="G78" s="5">
        <v>2396280.9300000002</v>
      </c>
      <c r="H78" s="5">
        <v>2133098.34</v>
      </c>
      <c r="I78" s="3">
        <f>VLOOKUP(B78,[1]Sheet3!$A$13:$G$198,7,TRUE)</f>
        <v>2207574.5</v>
      </c>
    </row>
    <row r="79" spans="1:9">
      <c r="B79" s="1" t="s">
        <v>32</v>
      </c>
      <c r="D79" t="s">
        <v>14</v>
      </c>
      <c r="E79" s="5">
        <v>835445.78</v>
      </c>
      <c r="F79" s="5">
        <v>846201.88</v>
      </c>
      <c r="G79" s="5">
        <v>875357.8899999999</v>
      </c>
      <c r="H79" s="5">
        <v>875357.8899999999</v>
      </c>
      <c r="I79" s="3">
        <f>VLOOKUP(B79,[1]Sheet3!$A$13:$H$198,8,TRUE)</f>
        <v>828212.60000000009</v>
      </c>
    </row>
    <row r="80" spans="1:9">
      <c r="B80" s="1" t="s">
        <v>32</v>
      </c>
      <c r="D80" t="s">
        <v>15</v>
      </c>
      <c r="E80" s="5">
        <v>496742.07999999996</v>
      </c>
      <c r="F80" s="5">
        <v>498577.38</v>
      </c>
      <c r="G80" s="5">
        <v>527892.96</v>
      </c>
      <c r="H80" s="5">
        <v>536473.29</v>
      </c>
      <c r="I80" s="3">
        <f>VLOOKUP(B80,[1]Sheet3!$A$13:$I$198,9,TRUE)</f>
        <v>505185.03</v>
      </c>
    </row>
    <row r="81" spans="1:9">
      <c r="B81" s="1" t="s">
        <v>32</v>
      </c>
      <c r="D81" t="s">
        <v>16</v>
      </c>
      <c r="E81" s="5">
        <v>470.59</v>
      </c>
      <c r="F81" s="5">
        <v>434.87</v>
      </c>
      <c r="G81" s="5">
        <v>430.52</v>
      </c>
      <c r="H81" s="5">
        <v>420.07</v>
      </c>
      <c r="I81" s="5">
        <f>I78/I76</f>
        <v>409.94883936861652</v>
      </c>
    </row>
    <row r="82" spans="1:9">
      <c r="B82" s="1" t="s">
        <v>32</v>
      </c>
      <c r="D82" t="s">
        <v>17</v>
      </c>
      <c r="E82" s="6">
        <v>7.55</v>
      </c>
      <c r="F82" s="6">
        <v>7.33</v>
      </c>
      <c r="G82" s="6">
        <v>9.42</v>
      </c>
      <c r="H82" s="6">
        <v>6.11</v>
      </c>
      <c r="I82" s="7">
        <f>I78/I77</f>
        <v>6.8671244595141072</v>
      </c>
    </row>
    <row r="83" spans="1:9">
      <c r="B83" s="1" t="s">
        <v>32</v>
      </c>
      <c r="D83" t="s">
        <v>18</v>
      </c>
      <c r="E83" s="8">
        <v>0.37190000000000001</v>
      </c>
      <c r="F83" s="8">
        <v>0.37280000000000002</v>
      </c>
      <c r="G83" s="8">
        <v>0.36530000000000001</v>
      </c>
      <c r="H83" s="8">
        <v>0.41039999999999999</v>
      </c>
      <c r="I83" s="8">
        <f>I79/I78</f>
        <v>0.37516858434449213</v>
      </c>
    </row>
    <row r="84" spans="1:9">
      <c r="B84" s="1" t="s">
        <v>32</v>
      </c>
      <c r="D84" t="s">
        <v>19</v>
      </c>
      <c r="E84" s="8">
        <v>0.59460000000000002</v>
      </c>
      <c r="F84" s="8">
        <v>0.58919999999999995</v>
      </c>
      <c r="G84" s="8">
        <v>0.60309999999999997</v>
      </c>
      <c r="H84" s="8">
        <v>0.6129</v>
      </c>
      <c r="I84" s="8">
        <f>I80/I79</f>
        <v>0.60997022986609961</v>
      </c>
    </row>
    <row r="85" spans="1:9">
      <c r="B85" s="1" t="s">
        <v>32</v>
      </c>
      <c r="D85" t="s">
        <v>20</v>
      </c>
      <c r="E85" s="8">
        <v>0.22109999999999999</v>
      </c>
      <c r="F85" s="8">
        <v>0.21970000000000001</v>
      </c>
      <c r="G85" s="8">
        <v>0.2203</v>
      </c>
      <c r="H85" s="8">
        <v>0.2515</v>
      </c>
      <c r="I85" s="8">
        <f>I80/I78</f>
        <v>0.22884166763114905</v>
      </c>
    </row>
    <row r="86" spans="1:9">
      <c r="B86" s="1" t="s">
        <v>32</v>
      </c>
    </row>
    <row r="87" spans="1:9">
      <c r="A87" t="s">
        <v>34</v>
      </c>
      <c r="B87" s="1" t="s">
        <v>35</v>
      </c>
      <c r="C87" t="s">
        <v>36</v>
      </c>
    </row>
    <row r="88" spans="1:9">
      <c r="B88" s="1" t="s">
        <v>35</v>
      </c>
      <c r="D88" t="s">
        <v>11</v>
      </c>
      <c r="E88" s="3">
        <v>1818</v>
      </c>
      <c r="F88" s="3">
        <v>1770</v>
      </c>
      <c r="G88" s="3">
        <v>1748</v>
      </c>
      <c r="H88" s="3">
        <v>2060</v>
      </c>
      <c r="I88" s="3">
        <f>VLOOKUP(B88,[1]Sheet3!$A$13:$E$198,5,TRUE)</f>
        <v>1747</v>
      </c>
    </row>
    <row r="89" spans="1:9">
      <c r="A89" s="4"/>
      <c r="B89" s="1" t="s">
        <v>35</v>
      </c>
      <c r="C89" s="4"/>
      <c r="D89" s="4" t="s">
        <v>12</v>
      </c>
      <c r="E89" s="5">
        <v>171696</v>
      </c>
      <c r="F89" s="5">
        <v>157516</v>
      </c>
      <c r="G89" s="5">
        <v>145053</v>
      </c>
      <c r="H89" s="5">
        <v>128445</v>
      </c>
      <c r="I89" s="3">
        <f>VLOOKUP(B89,[1]Sheet3!$A$13:$F$198,6,TRUE)</f>
        <v>112047</v>
      </c>
    </row>
    <row r="90" spans="1:9">
      <c r="B90" s="1" t="s">
        <v>35</v>
      </c>
      <c r="D90" t="s">
        <v>23</v>
      </c>
      <c r="E90" s="5">
        <v>474733.41</v>
      </c>
      <c r="F90" s="5">
        <v>513342.21</v>
      </c>
      <c r="G90" s="5">
        <v>437143.78</v>
      </c>
      <c r="H90" s="5">
        <v>447240.57</v>
      </c>
      <c r="I90" s="3">
        <f>VLOOKUP(B90,[1]Sheet3!$A$13:$G$198,7,TRUE)</f>
        <v>401083.7</v>
      </c>
    </row>
    <row r="91" spans="1:9">
      <c r="B91" s="1" t="s">
        <v>35</v>
      </c>
      <c r="D91" t="s">
        <v>14</v>
      </c>
      <c r="E91" s="5">
        <v>203790.78</v>
      </c>
      <c r="F91" s="5">
        <v>213316.41999999998</v>
      </c>
      <c r="G91" s="5">
        <v>213316.41999999998</v>
      </c>
      <c r="H91" s="5">
        <v>184386.85</v>
      </c>
      <c r="I91" s="3">
        <f>VLOOKUP(B91,[1]Sheet3!$A$13:$H$198,8,TRUE)</f>
        <v>163907.46</v>
      </c>
    </row>
    <row r="92" spans="1:9">
      <c r="B92" s="1" t="s">
        <v>35</v>
      </c>
      <c r="D92" t="s">
        <v>15</v>
      </c>
      <c r="E92" s="5">
        <v>120013.19</v>
      </c>
      <c r="F92" s="5">
        <v>126345.73</v>
      </c>
      <c r="G92" s="5">
        <v>127932.48</v>
      </c>
      <c r="H92" s="5">
        <v>110017.66</v>
      </c>
      <c r="I92" s="3">
        <f>VLOOKUP(B92,[1]Sheet3!$A$13:$I$198,9,TRUE)</f>
        <v>113029.5</v>
      </c>
    </row>
    <row r="93" spans="1:9">
      <c r="B93" s="1" t="s">
        <v>35</v>
      </c>
      <c r="D93" t="s">
        <v>16</v>
      </c>
      <c r="E93" s="5">
        <v>261.13</v>
      </c>
      <c r="F93" s="5">
        <v>290.02</v>
      </c>
      <c r="G93" s="5">
        <v>250.08</v>
      </c>
      <c r="H93" s="5">
        <v>217.11</v>
      </c>
      <c r="I93" s="5">
        <f>I90/I88</f>
        <v>229.58425872925014</v>
      </c>
    </row>
    <row r="94" spans="1:9">
      <c r="B94" s="1" t="s">
        <v>35</v>
      </c>
      <c r="D94" t="s">
        <v>17</v>
      </c>
      <c r="E94" s="6">
        <v>2.76</v>
      </c>
      <c r="F94" s="6">
        <v>3.26</v>
      </c>
      <c r="G94" s="6">
        <v>3.01</v>
      </c>
      <c r="H94" s="6">
        <v>3.48</v>
      </c>
      <c r="I94" s="7">
        <f>I90/I89</f>
        <v>3.579602309745018</v>
      </c>
    </row>
    <row r="95" spans="1:9">
      <c r="B95" s="1" t="s">
        <v>35</v>
      </c>
      <c r="D95" t="s">
        <v>18</v>
      </c>
      <c r="E95" s="8">
        <v>0.42930000000000001</v>
      </c>
      <c r="F95" s="8">
        <v>0.41549999999999998</v>
      </c>
      <c r="G95" s="8">
        <v>0.48799999999999999</v>
      </c>
      <c r="H95" s="8">
        <v>0.4123</v>
      </c>
      <c r="I95" s="8">
        <f>I91/I90</f>
        <v>0.40866148387481216</v>
      </c>
    </row>
    <row r="96" spans="1:9">
      <c r="B96" s="1" t="s">
        <v>35</v>
      </c>
      <c r="D96" t="s">
        <v>19</v>
      </c>
      <c r="E96" s="8">
        <v>0.58889999999999998</v>
      </c>
      <c r="F96" s="8">
        <v>0.59230000000000005</v>
      </c>
      <c r="G96" s="8">
        <v>0.59970000000000001</v>
      </c>
      <c r="H96" s="8">
        <v>0.59670000000000001</v>
      </c>
      <c r="I96" s="8">
        <f>I92/I91</f>
        <v>0.68959338397410352</v>
      </c>
    </row>
    <row r="97" spans="1:9">
      <c r="B97" s="1" t="s">
        <v>35</v>
      </c>
      <c r="D97" t="s">
        <v>20</v>
      </c>
      <c r="E97" s="8">
        <v>0.25280000000000002</v>
      </c>
      <c r="F97" s="8">
        <v>0.24610000000000001</v>
      </c>
      <c r="G97" s="8">
        <v>0.29270000000000002</v>
      </c>
      <c r="H97" s="8">
        <v>0.246</v>
      </c>
      <c r="I97" s="8">
        <f>I92/I90</f>
        <v>0.28181025556511019</v>
      </c>
    </row>
    <row r="98" spans="1:9">
      <c r="B98" s="1" t="s">
        <v>35</v>
      </c>
    </row>
    <row r="99" spans="1:9">
      <c r="A99" t="s">
        <v>34</v>
      </c>
      <c r="B99" s="1" t="s">
        <v>37</v>
      </c>
      <c r="C99" t="s">
        <v>38</v>
      </c>
    </row>
    <row r="100" spans="1:9">
      <c r="B100" s="1" t="s">
        <v>37</v>
      </c>
      <c r="D100" t="s">
        <v>11</v>
      </c>
      <c r="E100" s="3">
        <v>191</v>
      </c>
      <c r="F100" s="3">
        <v>146</v>
      </c>
      <c r="G100" s="3">
        <v>143</v>
      </c>
      <c r="H100" s="3">
        <v>177</v>
      </c>
      <c r="I100" s="3">
        <f>VLOOKUP(B100,[1]Sheet3!$A$13:$E$198,5,TRUE)</f>
        <v>192</v>
      </c>
    </row>
    <row r="101" spans="1:9">
      <c r="A101" s="4"/>
      <c r="B101" s="1" t="s">
        <v>37</v>
      </c>
      <c r="C101" s="4"/>
      <c r="D101" s="4" t="s">
        <v>12</v>
      </c>
      <c r="E101" s="5">
        <v>52055</v>
      </c>
      <c r="F101" s="5">
        <v>57710</v>
      </c>
      <c r="G101" s="5">
        <v>55245</v>
      </c>
      <c r="H101" s="5">
        <v>55368</v>
      </c>
      <c r="I101" s="3">
        <f>VLOOKUP(B101,[1]Sheet3!$A$13:$F$198,6,TRUE)</f>
        <v>72930</v>
      </c>
    </row>
    <row r="102" spans="1:9">
      <c r="B102" s="1" t="s">
        <v>37</v>
      </c>
      <c r="D102" t="s">
        <v>23</v>
      </c>
      <c r="E102" s="5">
        <v>126888</v>
      </c>
      <c r="F102" s="5">
        <v>137133.98000000001</v>
      </c>
      <c r="G102" s="5">
        <v>123964.75</v>
      </c>
      <c r="H102" s="5">
        <v>127957.11</v>
      </c>
      <c r="I102" s="3">
        <f>VLOOKUP(B102,[1]Sheet3!$A$13:$G$198,7,TRUE)</f>
        <v>130474.98</v>
      </c>
    </row>
    <row r="103" spans="1:9">
      <c r="B103" s="1" t="s">
        <v>37</v>
      </c>
      <c r="D103" t="s">
        <v>14</v>
      </c>
      <c r="E103" s="5">
        <v>59570.38</v>
      </c>
      <c r="F103" s="5">
        <v>60899.85</v>
      </c>
      <c r="G103" s="5">
        <v>60899.85</v>
      </c>
      <c r="H103" s="5">
        <v>57205.120000000003</v>
      </c>
      <c r="I103" s="3">
        <f>VLOOKUP(B103,[1]Sheet3!$A$13:$H$198,8,TRUE)</f>
        <v>62456.05</v>
      </c>
    </row>
    <row r="104" spans="1:9">
      <c r="B104" s="1" t="s">
        <v>37</v>
      </c>
      <c r="D104" t="s">
        <v>15</v>
      </c>
      <c r="E104" s="5">
        <v>34611.370000000003</v>
      </c>
      <c r="F104" s="5">
        <v>35935.71</v>
      </c>
      <c r="G104" s="5">
        <v>36523.53</v>
      </c>
      <c r="H104" s="5">
        <v>34677.47</v>
      </c>
      <c r="I104" s="3">
        <f>VLOOKUP(B104,[1]Sheet3!$A$13:$I$198,9,TRUE)</f>
        <v>39011.93</v>
      </c>
    </row>
    <row r="105" spans="1:9">
      <c r="B105" s="1" t="s">
        <v>37</v>
      </c>
      <c r="D105" t="s">
        <v>16</v>
      </c>
      <c r="E105" s="5">
        <v>664.34</v>
      </c>
      <c r="F105" s="5">
        <v>939.27</v>
      </c>
      <c r="G105" s="5">
        <v>866.89</v>
      </c>
      <c r="H105" s="5">
        <v>722.92</v>
      </c>
      <c r="I105" s="5">
        <f>I102/I100</f>
        <v>679.55718749999994</v>
      </c>
    </row>
    <row r="106" spans="1:9">
      <c r="B106" s="1" t="s">
        <v>37</v>
      </c>
      <c r="D106" t="s">
        <v>17</v>
      </c>
      <c r="E106" s="6">
        <v>2.44</v>
      </c>
      <c r="F106" s="6">
        <v>2.38</v>
      </c>
      <c r="G106" s="6">
        <v>2.2400000000000002</v>
      </c>
      <c r="H106" s="6">
        <v>2.31</v>
      </c>
      <c r="I106" s="7">
        <f>I102/I101</f>
        <v>1.7890440148087206</v>
      </c>
    </row>
    <row r="107" spans="1:9">
      <c r="B107" s="1" t="s">
        <v>37</v>
      </c>
      <c r="D107" t="s">
        <v>18</v>
      </c>
      <c r="E107" s="8">
        <v>0.46949999999999997</v>
      </c>
      <c r="F107" s="8">
        <v>0.44409999999999999</v>
      </c>
      <c r="G107" s="8">
        <v>0.49130000000000001</v>
      </c>
      <c r="H107" s="8">
        <v>0.4471</v>
      </c>
      <c r="I107" s="8">
        <f>I103/I102</f>
        <v>0.47868219638738402</v>
      </c>
    </row>
    <row r="108" spans="1:9">
      <c r="B108" s="1" t="s">
        <v>37</v>
      </c>
      <c r="D108" t="s">
        <v>19</v>
      </c>
      <c r="E108" s="8">
        <v>0.58099999999999996</v>
      </c>
      <c r="F108" s="8">
        <v>0.59009999999999996</v>
      </c>
      <c r="G108" s="8">
        <v>0.59970000000000001</v>
      </c>
      <c r="H108" s="8">
        <v>0.60619999999999996</v>
      </c>
      <c r="I108" s="8">
        <f>I104/I103</f>
        <v>0.62463011990031392</v>
      </c>
    </row>
    <row r="109" spans="1:9">
      <c r="B109" s="1" t="s">
        <v>37</v>
      </c>
      <c r="D109" t="s">
        <v>20</v>
      </c>
      <c r="E109" s="8">
        <v>0.27279999999999999</v>
      </c>
      <c r="F109" s="8">
        <v>0.26200000000000001</v>
      </c>
      <c r="G109" s="8">
        <v>0.29459999999999997</v>
      </c>
      <c r="H109" s="8">
        <v>0.27100000000000002</v>
      </c>
      <c r="I109" s="8">
        <f>I104/I102</f>
        <v>0.29899931772359728</v>
      </c>
    </row>
    <row r="110" spans="1:9">
      <c r="B110" s="1" t="s">
        <v>37</v>
      </c>
    </row>
    <row r="111" spans="1:9">
      <c r="A111" t="s">
        <v>39</v>
      </c>
      <c r="B111" s="1" t="s">
        <v>40</v>
      </c>
      <c r="C111" t="s">
        <v>41</v>
      </c>
    </row>
    <row r="112" spans="1:9">
      <c r="B112" s="1" t="s">
        <v>40</v>
      </c>
      <c r="D112" t="s">
        <v>11</v>
      </c>
      <c r="E112" s="3">
        <v>866</v>
      </c>
      <c r="F112" s="3">
        <v>810</v>
      </c>
      <c r="G112" s="3">
        <v>735</v>
      </c>
      <c r="H112" s="3">
        <v>798</v>
      </c>
      <c r="I112" s="3">
        <f>VLOOKUP(B112,[1]Sheet3!$A$13:$E$198,5,TRUE)</f>
        <v>775</v>
      </c>
    </row>
    <row r="113" spans="1:9">
      <c r="A113" s="9"/>
      <c r="B113" s="1" t="s">
        <v>40</v>
      </c>
      <c r="C113" s="9"/>
      <c r="D113" s="9" t="s">
        <v>12</v>
      </c>
      <c r="E113" s="5">
        <v>68765.600000000006</v>
      </c>
      <c r="F113" s="5">
        <v>71568</v>
      </c>
      <c r="G113" s="5">
        <v>67847.5</v>
      </c>
      <c r="H113" s="5">
        <v>77531.399999999994</v>
      </c>
      <c r="I113" s="3">
        <f>VLOOKUP(B113,[1]Sheet3!$A$13:$F$198,6,TRUE)</f>
        <v>71044.2</v>
      </c>
    </row>
    <row r="114" spans="1:9">
      <c r="B114" s="1" t="s">
        <v>40</v>
      </c>
      <c r="D114" t="s">
        <v>23</v>
      </c>
      <c r="E114" s="5">
        <v>619202.15</v>
      </c>
      <c r="F114" s="5">
        <v>620726.68000000005</v>
      </c>
      <c r="G114" s="5">
        <v>598159.91</v>
      </c>
      <c r="H114" s="5">
        <v>561331.76</v>
      </c>
      <c r="I114" s="3">
        <f>VLOOKUP(B114,[1]Sheet3!$A$13:$G$198,7,TRUE)</f>
        <v>561986.42000000004</v>
      </c>
    </row>
    <row r="115" spans="1:9">
      <c r="B115" s="1" t="s">
        <v>40</v>
      </c>
      <c r="D115" t="s">
        <v>14</v>
      </c>
      <c r="E115" s="5">
        <v>226945.03</v>
      </c>
      <c r="F115" s="5">
        <v>228163.21</v>
      </c>
      <c r="G115" s="5">
        <v>228163.21</v>
      </c>
      <c r="H115" s="5">
        <v>219588.1</v>
      </c>
      <c r="I115" s="3">
        <f>VLOOKUP(B115,[1]Sheet3!$A$13:$H$198,8,TRUE)</f>
        <v>208136.71</v>
      </c>
    </row>
    <row r="116" spans="1:9">
      <c r="B116" s="1" t="s">
        <v>40</v>
      </c>
      <c r="D116" t="s">
        <v>15</v>
      </c>
      <c r="E116" s="5">
        <v>133058.57</v>
      </c>
      <c r="F116" s="5">
        <v>134269.33000000002</v>
      </c>
      <c r="G116" s="5">
        <v>136836.56</v>
      </c>
      <c r="H116" s="5">
        <v>133692.04999999999</v>
      </c>
      <c r="I116" s="3">
        <f>VLOOKUP(B116,[1]Sheet3!$A$13:$I$198,9,TRUE)</f>
        <v>128008.31</v>
      </c>
    </row>
    <row r="117" spans="1:9">
      <c r="B117" s="1" t="s">
        <v>40</v>
      </c>
      <c r="D117" t="s">
        <v>16</v>
      </c>
      <c r="E117" s="5">
        <v>715.01</v>
      </c>
      <c r="F117" s="5">
        <v>766.33</v>
      </c>
      <c r="G117" s="5">
        <v>813.82</v>
      </c>
      <c r="H117" s="5">
        <v>703.42</v>
      </c>
      <c r="I117" s="5">
        <f>I114/I112</f>
        <v>725.14376774193556</v>
      </c>
    </row>
    <row r="118" spans="1:9">
      <c r="B118" s="1" t="s">
        <v>40</v>
      </c>
      <c r="D118" t="s">
        <v>17</v>
      </c>
      <c r="E118" s="6">
        <v>9</v>
      </c>
      <c r="F118" s="6">
        <v>8.67</v>
      </c>
      <c r="G118" s="6">
        <v>8.82</v>
      </c>
      <c r="H118" s="6">
        <v>7.24</v>
      </c>
      <c r="I118" s="7">
        <f>I114/I113</f>
        <v>7.910377201798318</v>
      </c>
    </row>
    <row r="119" spans="1:9">
      <c r="B119" s="1" t="s">
        <v>40</v>
      </c>
      <c r="D119" t="s">
        <v>18</v>
      </c>
      <c r="E119" s="8">
        <v>0.36649999999999999</v>
      </c>
      <c r="F119" s="8">
        <v>0.36759999999999998</v>
      </c>
      <c r="G119" s="8">
        <v>0.38140000000000002</v>
      </c>
      <c r="H119" s="8">
        <v>0.39119999999999999</v>
      </c>
      <c r="I119" s="8">
        <f>I115/I114</f>
        <v>0.37035896703696147</v>
      </c>
    </row>
    <row r="120" spans="1:9">
      <c r="B120" s="1" t="s">
        <v>40</v>
      </c>
      <c r="D120" t="s">
        <v>19</v>
      </c>
      <c r="E120" s="8">
        <v>0.58630000000000004</v>
      </c>
      <c r="F120" s="8">
        <v>0.58850000000000002</v>
      </c>
      <c r="G120" s="8">
        <v>0.59970000000000001</v>
      </c>
      <c r="H120" s="8">
        <v>0.60880000000000001</v>
      </c>
      <c r="I120" s="8">
        <f>I116/I115</f>
        <v>0.61502033927604605</v>
      </c>
    </row>
    <row r="121" spans="1:9">
      <c r="B121" s="1" t="s">
        <v>40</v>
      </c>
      <c r="D121" t="s">
        <v>20</v>
      </c>
      <c r="E121" s="8">
        <v>0.21490000000000001</v>
      </c>
      <c r="F121" s="8">
        <v>0.21629999999999999</v>
      </c>
      <c r="G121" s="8">
        <v>0.2288</v>
      </c>
      <c r="H121" s="8">
        <v>0.2382</v>
      </c>
      <c r="I121" s="8">
        <f>I116/I114</f>
        <v>0.22777829756099799</v>
      </c>
    </row>
    <row r="122" spans="1:9">
      <c r="B122" s="1" t="s">
        <v>40</v>
      </c>
    </row>
    <row r="123" spans="1:9">
      <c r="A123" t="s">
        <v>39</v>
      </c>
      <c r="B123" s="1" t="s">
        <v>42</v>
      </c>
      <c r="C123" t="s">
        <v>43</v>
      </c>
    </row>
    <row r="124" spans="1:9">
      <c r="B124" s="1" t="s">
        <v>42</v>
      </c>
      <c r="D124" t="s">
        <v>11</v>
      </c>
      <c r="E124" s="3">
        <v>912</v>
      </c>
      <c r="F124" s="3">
        <v>549</v>
      </c>
      <c r="G124" s="3">
        <v>1098</v>
      </c>
      <c r="H124" s="3">
        <v>1530</v>
      </c>
      <c r="I124" s="3">
        <f>VLOOKUP(B124,[1]Sheet3!$A$13:$E$198,5,TRUE)</f>
        <v>1918</v>
      </c>
    </row>
    <row r="125" spans="1:9">
      <c r="A125" s="4"/>
      <c r="B125" s="1" t="s">
        <v>42</v>
      </c>
      <c r="C125" s="4"/>
      <c r="D125" s="4" t="s">
        <v>12</v>
      </c>
      <c r="E125" s="5">
        <v>63375</v>
      </c>
      <c r="F125" s="5">
        <v>56618.1</v>
      </c>
      <c r="G125" s="5">
        <v>70023</v>
      </c>
      <c r="H125" s="5">
        <v>90542</v>
      </c>
      <c r="I125" s="3">
        <f>VLOOKUP(B125,[1]Sheet3!$A$13:$F$198,6,TRUE)</f>
        <v>81703.8</v>
      </c>
    </row>
    <row r="126" spans="1:9">
      <c r="B126" s="1" t="s">
        <v>42</v>
      </c>
      <c r="D126" t="s">
        <v>23</v>
      </c>
      <c r="E126" s="5">
        <v>399960.22</v>
      </c>
      <c r="F126" s="5">
        <v>406035.09</v>
      </c>
      <c r="G126" s="5">
        <v>494095.14</v>
      </c>
      <c r="H126" s="5">
        <v>576632.6</v>
      </c>
      <c r="I126" s="3">
        <f>VLOOKUP(B126,[1]Sheet3!$A$13:$G$198,7,TRUE)</f>
        <v>579116.14</v>
      </c>
    </row>
    <row r="127" spans="1:9">
      <c r="B127" s="1" t="s">
        <v>42</v>
      </c>
      <c r="D127" t="s">
        <v>14</v>
      </c>
      <c r="E127" s="5">
        <v>151337.79999999999</v>
      </c>
      <c r="F127" s="5">
        <v>151703.19999999998</v>
      </c>
      <c r="G127" s="5">
        <v>184886.19</v>
      </c>
      <c r="H127" s="5">
        <v>217980.29</v>
      </c>
      <c r="I127" s="3">
        <f>VLOOKUP(B127,[1]Sheet3!$A$13:$H$198,8,TRUE)</f>
        <v>216608.07</v>
      </c>
    </row>
    <row r="128" spans="1:9">
      <c r="B128" s="1" t="s">
        <v>42</v>
      </c>
      <c r="D128" t="s">
        <v>15</v>
      </c>
      <c r="E128" s="5">
        <v>89879.67</v>
      </c>
      <c r="F128" s="5">
        <v>89231.08</v>
      </c>
      <c r="G128" s="5">
        <v>114198.06</v>
      </c>
      <c r="H128" s="5">
        <v>137007.59</v>
      </c>
      <c r="I128" s="3">
        <f>VLOOKUP(B128,[1]Sheet3!$A$13:$I$198,9,TRUE)</f>
        <v>134251.60999999999</v>
      </c>
    </row>
    <row r="129" spans="1:9">
      <c r="B129" s="1" t="s">
        <v>42</v>
      </c>
      <c r="D129" t="s">
        <v>16</v>
      </c>
      <c r="E129" s="5">
        <v>438.55</v>
      </c>
      <c r="F129" s="5">
        <v>739.59</v>
      </c>
      <c r="G129" s="5">
        <v>450</v>
      </c>
      <c r="H129" s="5">
        <v>376.88</v>
      </c>
      <c r="I129" s="5">
        <f>I126/I124</f>
        <v>301.93750782064649</v>
      </c>
    </row>
    <row r="130" spans="1:9">
      <c r="B130" s="1" t="s">
        <v>42</v>
      </c>
      <c r="D130" t="s">
        <v>17</v>
      </c>
      <c r="E130" s="6">
        <v>6.31</v>
      </c>
      <c r="F130" s="6">
        <v>7.17</v>
      </c>
      <c r="G130" s="6">
        <v>7.06</v>
      </c>
      <c r="H130" s="6">
        <v>6.37</v>
      </c>
      <c r="I130" s="7">
        <f>I126/I125</f>
        <v>7.0879951728071395</v>
      </c>
    </row>
    <row r="131" spans="1:9">
      <c r="B131" s="1" t="s">
        <v>42</v>
      </c>
      <c r="D131" t="s">
        <v>18</v>
      </c>
      <c r="E131" s="8">
        <v>0.37840000000000001</v>
      </c>
      <c r="F131" s="8">
        <v>0.37359999999999999</v>
      </c>
      <c r="G131" s="8">
        <v>0.37419999999999998</v>
      </c>
      <c r="H131" s="8">
        <v>0.378</v>
      </c>
      <c r="I131" s="8">
        <f>I127/I126</f>
        <v>0.37403217599841027</v>
      </c>
    </row>
    <row r="132" spans="1:9">
      <c r="B132" s="1" t="s">
        <v>42</v>
      </c>
      <c r="D132" t="s">
        <v>19</v>
      </c>
      <c r="E132" s="8">
        <v>0.59389999999999998</v>
      </c>
      <c r="F132" s="8">
        <v>0.58819999999999995</v>
      </c>
      <c r="G132" s="8">
        <v>0.61770000000000003</v>
      </c>
      <c r="H132" s="8">
        <v>0.62849999999999995</v>
      </c>
      <c r="I132" s="8">
        <f>I128/I127</f>
        <v>0.61979043532403932</v>
      </c>
    </row>
    <row r="133" spans="1:9">
      <c r="B133" s="1" t="s">
        <v>42</v>
      </c>
      <c r="D133" t="s">
        <v>20</v>
      </c>
      <c r="E133" s="8">
        <v>0.22470000000000001</v>
      </c>
      <c r="F133" s="8">
        <v>0.2198</v>
      </c>
      <c r="G133" s="8">
        <v>0.2311</v>
      </c>
      <c r="H133" s="8">
        <v>0.23760000000000001</v>
      </c>
      <c r="I133" s="8">
        <f>I128/I126</f>
        <v>0.23182156518725239</v>
      </c>
    </row>
    <row r="134" spans="1:9">
      <c r="B134" s="1" t="s">
        <v>42</v>
      </c>
    </row>
    <row r="135" spans="1:9">
      <c r="A135" t="s">
        <v>39</v>
      </c>
      <c r="B135" s="1" t="s">
        <v>44</v>
      </c>
      <c r="C135" t="s">
        <v>45</v>
      </c>
    </row>
    <row r="136" spans="1:9">
      <c r="B136" s="1" t="s">
        <v>44</v>
      </c>
      <c r="D136" t="s">
        <v>11</v>
      </c>
      <c r="E136" s="3">
        <v>23994</v>
      </c>
      <c r="F136" s="3">
        <v>25195</v>
      </c>
      <c r="G136" s="3">
        <v>20161</v>
      </c>
      <c r="H136" s="3">
        <v>21604</v>
      </c>
      <c r="I136" s="3">
        <f>VLOOKUP(B136,[1]Sheet3!$A$13:$E$198,5,TRUE)</f>
        <v>21006</v>
      </c>
    </row>
    <row r="137" spans="1:9">
      <c r="A137" s="4"/>
      <c r="B137" s="1" t="s">
        <v>44</v>
      </c>
      <c r="C137" s="4"/>
      <c r="D137" s="4" t="s">
        <v>12</v>
      </c>
      <c r="E137" s="5">
        <v>2721516</v>
      </c>
      <c r="F137" s="5">
        <v>3279539</v>
      </c>
      <c r="G137" s="5">
        <v>2533520</v>
      </c>
      <c r="H137" s="5">
        <v>2403456</v>
      </c>
      <c r="I137" s="3">
        <f>VLOOKUP(B137,[1]Sheet3!$A$13:$F$198,6,TRUE)</f>
        <v>2467734</v>
      </c>
    </row>
    <row r="138" spans="1:9">
      <c r="B138" s="1" t="s">
        <v>44</v>
      </c>
      <c r="D138" t="s">
        <v>23</v>
      </c>
      <c r="E138" s="5">
        <v>17252332.18</v>
      </c>
      <c r="F138" s="5">
        <v>16951717.27</v>
      </c>
      <c r="G138" s="5">
        <v>15953191.869999999</v>
      </c>
      <c r="H138" s="5">
        <v>17872903.739999998</v>
      </c>
      <c r="I138" s="3">
        <f>VLOOKUP(B138,[1]Sheet3!$A$13:$G$198,7,TRUE)</f>
        <v>18515831.73</v>
      </c>
    </row>
    <row r="139" spans="1:9">
      <c r="B139" s="1" t="s">
        <v>44</v>
      </c>
      <c r="D139" t="s">
        <v>14</v>
      </c>
      <c r="E139" s="5">
        <v>6524925.8900000006</v>
      </c>
      <c r="F139" s="5">
        <v>6562855.7299999995</v>
      </c>
      <c r="G139" s="5">
        <v>6365601.8899999997</v>
      </c>
      <c r="H139" s="5">
        <v>6655460.3399999999</v>
      </c>
      <c r="I139" s="3">
        <f>VLOOKUP(B139,[1]Sheet3!$A$13:$H$198,8,TRUE)</f>
        <v>6889317.4699999997</v>
      </c>
    </row>
    <row r="140" spans="1:9">
      <c r="B140" s="1" t="s">
        <v>44</v>
      </c>
      <c r="D140" t="s">
        <v>15</v>
      </c>
      <c r="E140" s="5">
        <v>3808466.7199999997</v>
      </c>
      <c r="F140" s="5">
        <v>3862385.4099999997</v>
      </c>
      <c r="G140" s="5">
        <v>3804686.05</v>
      </c>
      <c r="H140" s="5">
        <v>4108794.3600000003</v>
      </c>
      <c r="I140" s="3">
        <f>VLOOKUP(B140,[1]Sheet3!$A$13:$I$198,9,TRUE)</f>
        <v>4267367.83</v>
      </c>
    </row>
    <row r="141" spans="1:9">
      <c r="B141" s="1" t="s">
        <v>44</v>
      </c>
      <c r="D141" t="s">
        <v>16</v>
      </c>
      <c r="E141" s="5">
        <v>719.03</v>
      </c>
      <c r="F141" s="5">
        <v>672.82</v>
      </c>
      <c r="G141" s="5">
        <v>791.29</v>
      </c>
      <c r="H141" s="5">
        <v>827.3</v>
      </c>
      <c r="I141" s="5">
        <f>I138/I136</f>
        <v>881.45442873464731</v>
      </c>
    </row>
    <row r="142" spans="1:9">
      <c r="B142" s="1" t="s">
        <v>44</v>
      </c>
      <c r="D142" t="s">
        <v>17</v>
      </c>
      <c r="E142" s="6">
        <v>6.34</v>
      </c>
      <c r="F142" s="6">
        <v>5.17</v>
      </c>
      <c r="G142" s="6">
        <v>6.3</v>
      </c>
      <c r="H142" s="6">
        <v>7.44</v>
      </c>
      <c r="I142" s="7">
        <f>I138/I137</f>
        <v>7.5031716262773864</v>
      </c>
    </row>
    <row r="143" spans="1:9">
      <c r="B143" s="1" t="s">
        <v>44</v>
      </c>
      <c r="D143" t="s">
        <v>18</v>
      </c>
      <c r="E143" s="8">
        <v>0.37819999999999998</v>
      </c>
      <c r="F143" s="8">
        <v>0.3871</v>
      </c>
      <c r="G143" s="8">
        <v>0.39900000000000002</v>
      </c>
      <c r="H143" s="8">
        <v>0.37240000000000001</v>
      </c>
      <c r="I143" s="8">
        <f>I139/I138</f>
        <v>0.3720771267778204</v>
      </c>
    </row>
    <row r="144" spans="1:9">
      <c r="B144" s="1" t="s">
        <v>44</v>
      </c>
      <c r="D144" t="s">
        <v>19</v>
      </c>
      <c r="E144" s="8">
        <v>0.5837</v>
      </c>
      <c r="F144" s="8">
        <v>0.58850000000000002</v>
      </c>
      <c r="G144" s="8">
        <v>0.59770000000000001</v>
      </c>
      <c r="H144" s="8">
        <v>0.61739999999999995</v>
      </c>
      <c r="I144" s="8">
        <f>I140/I139</f>
        <v>0.61941808438681234</v>
      </c>
    </row>
    <row r="145" spans="1:9">
      <c r="B145" s="1" t="s">
        <v>44</v>
      </c>
      <c r="D145" t="s">
        <v>20</v>
      </c>
      <c r="E145" s="8">
        <v>0.2208</v>
      </c>
      <c r="F145" s="8">
        <v>0.2278</v>
      </c>
      <c r="G145" s="8">
        <v>0.23849999999999999</v>
      </c>
      <c r="H145" s="8">
        <v>0.22989999999999999</v>
      </c>
      <c r="I145" s="8">
        <f>I140/I138</f>
        <v>0.23047130111286662</v>
      </c>
    </row>
    <row r="146" spans="1:9">
      <c r="B146" s="1" t="s">
        <v>44</v>
      </c>
    </row>
    <row r="147" spans="1:9">
      <c r="A147" t="s">
        <v>39</v>
      </c>
      <c r="B147" s="1" t="s">
        <v>46</v>
      </c>
      <c r="C147" t="s">
        <v>47</v>
      </c>
    </row>
    <row r="148" spans="1:9">
      <c r="B148" s="1" t="s">
        <v>46</v>
      </c>
      <c r="D148" t="s">
        <v>11</v>
      </c>
      <c r="E148" s="3">
        <v>6097</v>
      </c>
      <c r="F148" s="3">
        <v>6160</v>
      </c>
      <c r="G148" s="3">
        <v>5962</v>
      </c>
      <c r="H148" s="3">
        <v>7789</v>
      </c>
      <c r="I148" s="3">
        <f>VLOOKUP(B148,[1]Sheet3!$A$13:$E$198,5,TRUE)</f>
        <v>10983</v>
      </c>
    </row>
    <row r="149" spans="1:9">
      <c r="A149" s="4"/>
      <c r="B149" s="1" t="s">
        <v>46</v>
      </c>
      <c r="C149" s="4"/>
      <c r="D149" s="4" t="s">
        <v>12</v>
      </c>
      <c r="E149" s="5">
        <v>707484</v>
      </c>
      <c r="F149" s="5">
        <v>682312</v>
      </c>
      <c r="G149" s="5">
        <v>625090</v>
      </c>
      <c r="H149" s="5">
        <v>670284</v>
      </c>
      <c r="I149" s="3">
        <f>VLOOKUP(B149,[1]Sheet3!$A$13:$F$198,6,TRUE)</f>
        <v>678699</v>
      </c>
    </row>
    <row r="150" spans="1:9">
      <c r="B150" s="1" t="s">
        <v>46</v>
      </c>
      <c r="D150" t="s">
        <v>23</v>
      </c>
      <c r="E150" s="5">
        <v>3664307</v>
      </c>
      <c r="F150" s="5">
        <v>3568316</v>
      </c>
      <c r="G150" s="5">
        <v>3522305</v>
      </c>
      <c r="H150" s="5">
        <v>3838675</v>
      </c>
      <c r="I150" s="3">
        <f>VLOOKUP(B150,[1]Sheet3!$A$13:$G$198,7,TRUE)</f>
        <v>3909311</v>
      </c>
    </row>
    <row r="151" spans="1:9">
      <c r="B151" s="1" t="s">
        <v>46</v>
      </c>
      <c r="D151" t="s">
        <v>14</v>
      </c>
      <c r="E151" s="5">
        <v>1418279.05</v>
      </c>
      <c r="F151" s="5">
        <v>1418279.05</v>
      </c>
      <c r="G151" s="5">
        <v>1379462.96</v>
      </c>
      <c r="H151" s="5">
        <v>1468021.33</v>
      </c>
      <c r="I151" s="3">
        <f>VLOOKUP(B151,[1]Sheet3!$A$13:$H$198,8,TRUE)</f>
        <v>1494053.1500000001</v>
      </c>
    </row>
    <row r="152" spans="1:9">
      <c r="B152" s="1" t="s">
        <v>46</v>
      </c>
      <c r="D152" t="s">
        <v>15</v>
      </c>
      <c r="E152" s="5">
        <v>827053.58000000007</v>
      </c>
      <c r="F152" s="5">
        <v>833893.49</v>
      </c>
      <c r="G152" s="5">
        <v>823427.79</v>
      </c>
      <c r="H152" s="5">
        <v>908834.59</v>
      </c>
      <c r="I152" s="3">
        <f>VLOOKUP(B152,[1]Sheet3!$A$13:$I$198,9,TRUE)</f>
        <v>922877.13</v>
      </c>
    </row>
    <row r="153" spans="1:9">
      <c r="B153" s="1" t="s">
        <v>46</v>
      </c>
      <c r="D153" t="s">
        <v>16</v>
      </c>
      <c r="E153" s="5">
        <v>601</v>
      </c>
      <c r="F153" s="5">
        <v>579.27</v>
      </c>
      <c r="G153" s="5">
        <v>590.79</v>
      </c>
      <c r="H153" s="5">
        <v>492.83</v>
      </c>
      <c r="I153" s="5">
        <f>I150/I148</f>
        <v>355.94200127469725</v>
      </c>
    </row>
    <row r="154" spans="1:9">
      <c r="B154" s="1" t="s">
        <v>46</v>
      </c>
      <c r="D154" t="s">
        <v>17</v>
      </c>
      <c r="E154" s="6">
        <v>5.18</v>
      </c>
      <c r="F154" s="6">
        <v>5.23</v>
      </c>
      <c r="G154" s="6">
        <v>5.63</v>
      </c>
      <c r="H154" s="6">
        <v>5.73</v>
      </c>
      <c r="I154" s="7">
        <f>I150/I149</f>
        <v>5.7600070134183197</v>
      </c>
    </row>
    <row r="155" spans="1:9">
      <c r="B155" s="1" t="s">
        <v>46</v>
      </c>
      <c r="D155" t="s">
        <v>18</v>
      </c>
      <c r="E155" s="8">
        <v>0.3871</v>
      </c>
      <c r="F155" s="8">
        <v>0.39750000000000002</v>
      </c>
      <c r="G155" s="8">
        <v>0.3916</v>
      </c>
      <c r="H155" s="8">
        <v>0.38240000000000002</v>
      </c>
      <c r="I155" s="8">
        <f>I151/I150</f>
        <v>0.3821781255060035</v>
      </c>
    </row>
    <row r="156" spans="1:9">
      <c r="B156" s="1" t="s">
        <v>46</v>
      </c>
      <c r="D156" t="s">
        <v>19</v>
      </c>
      <c r="E156" s="8">
        <v>0.58309999999999995</v>
      </c>
      <c r="F156" s="8">
        <v>0.58799999999999997</v>
      </c>
      <c r="G156" s="8">
        <v>0.59689999999999999</v>
      </c>
      <c r="H156" s="8">
        <v>0.61909999999999998</v>
      </c>
      <c r="I156" s="8">
        <f>I152/I151</f>
        <v>0.61770033415477887</v>
      </c>
    </row>
    <row r="157" spans="1:9">
      <c r="B157" s="1" t="s">
        <v>46</v>
      </c>
      <c r="D157" t="s">
        <v>20</v>
      </c>
      <c r="E157" s="8">
        <v>0.22570000000000001</v>
      </c>
      <c r="F157" s="8">
        <v>0.23369999999999999</v>
      </c>
      <c r="G157" s="8">
        <v>0.23380000000000001</v>
      </c>
      <c r="H157" s="8">
        <v>0.23680000000000001</v>
      </c>
      <c r="I157" s="8">
        <f>I152/I150</f>
        <v>0.23607155583170539</v>
      </c>
    </row>
    <row r="158" spans="1:9">
      <c r="B158" s="1" t="s">
        <v>46</v>
      </c>
    </row>
    <row r="159" spans="1:9">
      <c r="A159" t="s">
        <v>39</v>
      </c>
      <c r="B159" s="1" t="s">
        <v>48</v>
      </c>
      <c r="C159" t="s">
        <v>49</v>
      </c>
    </row>
    <row r="160" spans="1:9">
      <c r="B160" s="1" t="s">
        <v>48</v>
      </c>
      <c r="D160" t="s">
        <v>11</v>
      </c>
      <c r="E160" s="3">
        <v>64</v>
      </c>
      <c r="F160" s="3">
        <v>63</v>
      </c>
      <c r="G160" s="3">
        <v>69</v>
      </c>
      <c r="H160" s="3">
        <v>83</v>
      </c>
      <c r="I160" s="3">
        <f>VLOOKUP(B160,[1]Sheet3!$A$13:$E$198,5,TRUE)</f>
        <v>72</v>
      </c>
    </row>
    <row r="161" spans="1:9">
      <c r="A161" s="9"/>
      <c r="B161" s="1" t="s">
        <v>48</v>
      </c>
      <c r="C161" s="9"/>
      <c r="D161" s="9" t="s">
        <v>12</v>
      </c>
      <c r="E161" s="5">
        <v>61398</v>
      </c>
      <c r="F161" s="5">
        <v>44370</v>
      </c>
      <c r="G161" s="5">
        <v>30450</v>
      </c>
      <c r="H161" s="5">
        <v>45717</v>
      </c>
      <c r="I161" s="3">
        <f>VLOOKUP(B161,[1]Sheet3!$A$13:$F$198,6,TRUE)</f>
        <v>74675</v>
      </c>
    </row>
    <row r="162" spans="1:9">
      <c r="B162" s="1" t="s">
        <v>48</v>
      </c>
      <c r="D162" t="s">
        <v>23</v>
      </c>
      <c r="E162" s="5">
        <v>96091.65</v>
      </c>
      <c r="F162" s="5">
        <v>68040.75</v>
      </c>
      <c r="G162" s="5">
        <v>68250</v>
      </c>
      <c r="H162" s="5">
        <v>86022.7</v>
      </c>
      <c r="I162" s="3">
        <f>VLOOKUP(B162,[1]Sheet3!$A$13:$G$198,7,TRUE)</f>
        <v>68184.91</v>
      </c>
    </row>
    <row r="163" spans="1:9">
      <c r="B163" s="1" t="s">
        <v>48</v>
      </c>
      <c r="D163" t="s">
        <v>14</v>
      </c>
      <c r="E163" s="5">
        <v>47922.41</v>
      </c>
      <c r="F163" s="5">
        <v>47922.41</v>
      </c>
      <c r="G163" s="5">
        <v>34157.17</v>
      </c>
      <c r="H163" s="5">
        <v>40585</v>
      </c>
      <c r="I163" s="3">
        <f>VLOOKUP(B163,[1]Sheet3!$A$13:$H$198,8,TRUE)</f>
        <v>41795.409999999996</v>
      </c>
    </row>
    <row r="164" spans="1:9">
      <c r="B164" s="1" t="s">
        <v>48</v>
      </c>
      <c r="D164" t="s">
        <v>15</v>
      </c>
      <c r="E164" s="5">
        <v>28942.57</v>
      </c>
      <c r="F164" s="5">
        <v>28176.53</v>
      </c>
      <c r="G164" s="5">
        <v>19109.510000000002</v>
      </c>
      <c r="H164" s="5">
        <v>25536.44</v>
      </c>
      <c r="I164" s="3">
        <f>VLOOKUP(B164,[1]Sheet3!$A$13:$I$198,9,TRUE)</f>
        <v>25867.17</v>
      </c>
    </row>
    <row r="165" spans="1:9">
      <c r="B165" s="1" t="s">
        <v>48</v>
      </c>
      <c r="D165" t="s">
        <v>16</v>
      </c>
      <c r="E165" s="5">
        <v>1501.43</v>
      </c>
      <c r="F165" s="5">
        <v>1080.01</v>
      </c>
      <c r="G165" s="5">
        <v>989.13</v>
      </c>
      <c r="H165" s="5">
        <v>1036.42</v>
      </c>
      <c r="I165" s="5">
        <f>I162/I160</f>
        <v>947.01263888888889</v>
      </c>
    </row>
    <row r="166" spans="1:9">
      <c r="B166" s="1" t="s">
        <v>48</v>
      </c>
      <c r="D166" t="s">
        <v>17</v>
      </c>
      <c r="E166" s="6">
        <v>1.57</v>
      </c>
      <c r="F166" s="6">
        <v>1.53</v>
      </c>
      <c r="G166" s="6">
        <v>2.2400000000000002</v>
      </c>
      <c r="H166" s="6">
        <v>1.88</v>
      </c>
      <c r="I166" s="7">
        <f>I162/I161</f>
        <v>0.91308885169065956</v>
      </c>
    </row>
    <row r="167" spans="1:9">
      <c r="B167" s="1" t="s">
        <v>48</v>
      </c>
      <c r="D167" t="s">
        <v>18</v>
      </c>
      <c r="E167" s="8">
        <v>0.49869999999999998</v>
      </c>
      <c r="F167" s="8">
        <v>0.70430000000000004</v>
      </c>
      <c r="G167" s="8">
        <v>0.50049999999999994</v>
      </c>
      <c r="H167" s="8">
        <v>0.4718</v>
      </c>
      <c r="I167" s="8">
        <f>I163/I162</f>
        <v>0.61297155045009222</v>
      </c>
    </row>
    <row r="168" spans="1:9">
      <c r="B168" s="1" t="s">
        <v>48</v>
      </c>
      <c r="D168" t="s">
        <v>19</v>
      </c>
      <c r="E168" s="8">
        <v>0.60389999999999999</v>
      </c>
      <c r="F168" s="8">
        <v>0.58799999999999997</v>
      </c>
      <c r="G168" s="8">
        <v>0.5595</v>
      </c>
      <c r="H168" s="8">
        <v>0.62919999999999998</v>
      </c>
      <c r="I168" s="8">
        <f>I164/I163</f>
        <v>0.61889977870775759</v>
      </c>
    </row>
    <row r="169" spans="1:9">
      <c r="B169" s="1" t="s">
        <v>48</v>
      </c>
      <c r="D169" t="s">
        <v>20</v>
      </c>
      <c r="E169" s="8">
        <v>0.30120000000000002</v>
      </c>
      <c r="F169" s="8">
        <v>0.41410000000000002</v>
      </c>
      <c r="G169" s="8">
        <v>0.28000000000000003</v>
      </c>
      <c r="H169" s="8">
        <v>0.2969</v>
      </c>
      <c r="I169" s="8">
        <f>I164/I162</f>
        <v>0.37936795692771313</v>
      </c>
    </row>
    <row r="170" spans="1:9">
      <c r="B170" s="1" t="s">
        <v>48</v>
      </c>
    </row>
    <row r="171" spans="1:9">
      <c r="A171" t="s">
        <v>39</v>
      </c>
      <c r="B171" s="1" t="s">
        <v>50</v>
      </c>
      <c r="C171" t="s">
        <v>51</v>
      </c>
    </row>
    <row r="172" spans="1:9">
      <c r="B172" s="1" t="s">
        <v>50</v>
      </c>
      <c r="D172" t="s">
        <v>11</v>
      </c>
      <c r="E172" s="3">
        <v>8475</v>
      </c>
      <c r="F172" s="3">
        <v>10179</v>
      </c>
      <c r="G172" s="3">
        <v>8620</v>
      </c>
      <c r="H172" s="3">
        <v>6287</v>
      </c>
      <c r="I172" s="3">
        <f>VLOOKUP(B172,[1]Sheet3!$A$13:$E$198,5,TRUE)</f>
        <v>8984</v>
      </c>
    </row>
    <row r="173" spans="1:9">
      <c r="B173" s="1" t="s">
        <v>50</v>
      </c>
      <c r="D173" t="s">
        <v>12</v>
      </c>
      <c r="E173" s="5">
        <v>1139948.8999999999</v>
      </c>
      <c r="F173" s="5">
        <v>1096495.8</v>
      </c>
      <c r="G173" s="5">
        <v>1255530.2</v>
      </c>
      <c r="H173" s="5">
        <v>1131730.8</v>
      </c>
      <c r="I173" s="3">
        <f>VLOOKUP(B173,[1]Sheet3!$A$13:$F$198,6,TRUE)</f>
        <v>1167992.3999999999</v>
      </c>
    </row>
    <row r="174" spans="1:9">
      <c r="B174" s="1" t="s">
        <v>50</v>
      </c>
      <c r="D174" t="s">
        <v>23</v>
      </c>
      <c r="E174" s="5">
        <v>6225175.3200000003</v>
      </c>
      <c r="F174" s="5">
        <v>6537218.3600000003</v>
      </c>
      <c r="G174" s="5">
        <v>6451541.46</v>
      </c>
      <c r="H174" s="5">
        <v>5581057.9100000001</v>
      </c>
      <c r="I174" s="3">
        <f>VLOOKUP(B174,[1]Sheet3!$A$13:$G$198,7,TRUE)</f>
        <v>5731403.6799999997</v>
      </c>
    </row>
    <row r="175" spans="1:9">
      <c r="B175" s="1" t="s">
        <v>50</v>
      </c>
      <c r="D175" t="s">
        <v>14</v>
      </c>
      <c r="E175" s="5">
        <v>2393949.2000000002</v>
      </c>
      <c r="F175" s="5">
        <v>2488756.0300000003</v>
      </c>
      <c r="G175" s="5">
        <v>2499564.9299999997</v>
      </c>
      <c r="H175" s="5">
        <v>2499564.9299999997</v>
      </c>
      <c r="I175" s="3">
        <f>VLOOKUP(B175,[1]Sheet3!$A$13:$H$198,8,TRUE)</f>
        <v>2233731.7999999998</v>
      </c>
    </row>
    <row r="176" spans="1:9">
      <c r="B176" s="1" t="s">
        <v>50</v>
      </c>
      <c r="D176" t="s">
        <v>15</v>
      </c>
      <c r="E176" s="5">
        <v>1396680.27</v>
      </c>
      <c r="F176" s="5">
        <v>1472488.11</v>
      </c>
      <c r="G176" s="5">
        <v>1500146.9</v>
      </c>
      <c r="H176" s="5">
        <v>1531887.52</v>
      </c>
      <c r="I176" s="3">
        <f>VLOOKUP(B176,[1]Sheet3!$A$13:$I$198,9,TRUE)</f>
        <v>1348091.0499999998</v>
      </c>
    </row>
    <row r="177" spans="1:9">
      <c r="B177" s="1" t="s">
        <v>50</v>
      </c>
      <c r="D177" t="s">
        <v>16</v>
      </c>
      <c r="E177" s="5">
        <v>734.53</v>
      </c>
      <c r="F177" s="5">
        <v>642.23</v>
      </c>
      <c r="G177" s="5">
        <v>748.44</v>
      </c>
      <c r="H177" s="5">
        <v>887.71</v>
      </c>
      <c r="I177" s="5">
        <f>I174/I172</f>
        <v>637.9567764915405</v>
      </c>
    </row>
    <row r="178" spans="1:9">
      <c r="B178" s="1" t="s">
        <v>50</v>
      </c>
      <c r="D178" t="s">
        <v>17</v>
      </c>
      <c r="E178" s="6">
        <v>5.46</v>
      </c>
      <c r="F178" s="6">
        <v>5.96</v>
      </c>
      <c r="G178" s="6">
        <v>5.14</v>
      </c>
      <c r="H178" s="6">
        <v>4.93</v>
      </c>
      <c r="I178" s="7">
        <f>I174/I173</f>
        <v>4.9070556281016895</v>
      </c>
    </row>
    <row r="179" spans="1:9">
      <c r="B179" s="1" t="s">
        <v>50</v>
      </c>
      <c r="D179" t="s">
        <v>18</v>
      </c>
      <c r="E179" s="8">
        <v>0.3846</v>
      </c>
      <c r="F179" s="8">
        <v>0.38069999999999998</v>
      </c>
      <c r="G179" s="8">
        <v>0.38740000000000002</v>
      </c>
      <c r="H179" s="8">
        <v>0.44790000000000002</v>
      </c>
      <c r="I179" s="8">
        <f>I175/I174</f>
        <v>0.38973555602002197</v>
      </c>
    </row>
    <row r="180" spans="1:9">
      <c r="B180" s="1" t="s">
        <v>50</v>
      </c>
      <c r="D180" t="s">
        <v>19</v>
      </c>
      <c r="E180" s="8">
        <v>0.58340000000000003</v>
      </c>
      <c r="F180" s="8">
        <v>0.5917</v>
      </c>
      <c r="G180" s="8">
        <v>0.60019999999999996</v>
      </c>
      <c r="H180" s="8">
        <v>0.6129</v>
      </c>
      <c r="I180" s="8">
        <f>I176/I175</f>
        <v>0.60351518029156404</v>
      </c>
    </row>
    <row r="181" spans="1:9">
      <c r="B181" s="1" t="s">
        <v>50</v>
      </c>
      <c r="D181" t="s">
        <v>20</v>
      </c>
      <c r="E181" s="8">
        <v>0.22439999999999999</v>
      </c>
      <c r="F181" s="8">
        <v>0.22520000000000001</v>
      </c>
      <c r="G181" s="8">
        <v>0.23250000000000001</v>
      </c>
      <c r="H181" s="8">
        <v>0.27450000000000002</v>
      </c>
      <c r="I181" s="8">
        <f>I176/I174</f>
        <v>0.23521132435745651</v>
      </c>
    </row>
    <row r="182" spans="1:9">
      <c r="B182" s="1" t="s">
        <v>50</v>
      </c>
    </row>
    <row r="183" spans="1:9">
      <c r="A183" t="s">
        <v>39</v>
      </c>
      <c r="B183" s="1" t="s">
        <v>52</v>
      </c>
      <c r="C183" t="s">
        <v>53</v>
      </c>
    </row>
    <row r="184" spans="1:9">
      <c r="B184" s="1" t="s">
        <v>52</v>
      </c>
      <c r="D184" t="s">
        <v>11</v>
      </c>
      <c r="E184" s="3">
        <v>327</v>
      </c>
      <c r="F184" s="3">
        <v>293</v>
      </c>
      <c r="G184" s="3">
        <v>241</v>
      </c>
      <c r="H184" s="3">
        <v>282</v>
      </c>
      <c r="I184" s="3">
        <f>VLOOKUP(B184,[1]Sheet3!$A$13:$E$198,5,TRUE)</f>
        <v>283</v>
      </c>
    </row>
    <row r="185" spans="1:9">
      <c r="B185" s="1" t="s">
        <v>52</v>
      </c>
      <c r="D185" t="s">
        <v>12</v>
      </c>
      <c r="E185" s="5">
        <v>45591</v>
      </c>
      <c r="F185" s="5">
        <v>61152</v>
      </c>
      <c r="G185" s="5">
        <v>49830</v>
      </c>
      <c r="H185" s="5">
        <v>68558</v>
      </c>
      <c r="I185" s="3">
        <f>VLOOKUP(B185,[1]Sheet3!$A$13:$F$198,6,TRUE)</f>
        <v>90856</v>
      </c>
    </row>
    <row r="186" spans="1:9">
      <c r="B186" s="1" t="s">
        <v>52</v>
      </c>
      <c r="D186" t="s">
        <v>23</v>
      </c>
      <c r="E186" s="5">
        <v>212839.03</v>
      </c>
      <c r="F186" s="5">
        <v>220181.59</v>
      </c>
      <c r="G186" s="5">
        <v>185071</v>
      </c>
      <c r="H186" s="5">
        <v>234987.68</v>
      </c>
      <c r="I186" s="3">
        <f>VLOOKUP(B186,[1]Sheet3!$A$13:$G$198,7,TRUE)</f>
        <v>266249.87</v>
      </c>
    </row>
    <row r="187" spans="1:9">
      <c r="B187" s="1" t="s">
        <v>52</v>
      </c>
      <c r="D187" t="s">
        <v>14</v>
      </c>
      <c r="E187" s="5">
        <v>91404.42</v>
      </c>
      <c r="F187" s="5">
        <v>89890.06</v>
      </c>
      <c r="G187" s="5">
        <v>89890.06</v>
      </c>
      <c r="H187" s="5">
        <v>96759.6</v>
      </c>
      <c r="I187" s="3">
        <f>VLOOKUP(B187,[1]Sheet3!$A$13:$H$198,8,TRUE)</f>
        <v>112932.29</v>
      </c>
    </row>
    <row r="188" spans="1:9">
      <c r="B188" s="1" t="s">
        <v>52</v>
      </c>
      <c r="D188" t="s">
        <v>15</v>
      </c>
      <c r="E188" s="5">
        <v>53107.460000000006</v>
      </c>
      <c r="F188" s="5">
        <v>52705.020000000004</v>
      </c>
      <c r="G188" s="5">
        <v>53909.86</v>
      </c>
      <c r="H188" s="5">
        <v>60009.29</v>
      </c>
      <c r="I188" s="3">
        <f>VLOOKUP(B188,[1]Sheet3!$A$13:$I$198,9,TRUE)</f>
        <v>71235.239999999991</v>
      </c>
    </row>
    <row r="189" spans="1:9">
      <c r="B189" s="1" t="s">
        <v>52</v>
      </c>
      <c r="D189" t="s">
        <v>16</v>
      </c>
      <c r="E189" s="5">
        <v>650.88</v>
      </c>
      <c r="F189" s="5">
        <v>751.47</v>
      </c>
      <c r="G189" s="5">
        <v>767.93</v>
      </c>
      <c r="H189" s="5">
        <v>833.29</v>
      </c>
      <c r="I189" s="5">
        <f>I186/I184</f>
        <v>940.81226148409894</v>
      </c>
    </row>
    <row r="190" spans="1:9">
      <c r="B190" s="1" t="s">
        <v>52</v>
      </c>
      <c r="D190" t="s">
        <v>17</v>
      </c>
      <c r="E190" s="6">
        <v>4.67</v>
      </c>
      <c r="F190" s="6">
        <v>3.6</v>
      </c>
      <c r="G190" s="6">
        <v>3.71</v>
      </c>
      <c r="H190" s="6">
        <v>3.43</v>
      </c>
      <c r="I190" s="7">
        <f>I186/I185</f>
        <v>2.9304599586158315</v>
      </c>
    </row>
    <row r="191" spans="1:9">
      <c r="B191" s="1" t="s">
        <v>52</v>
      </c>
      <c r="D191" t="s">
        <v>18</v>
      </c>
      <c r="E191" s="8">
        <v>0.42949999999999999</v>
      </c>
      <c r="F191" s="8">
        <v>0.4083</v>
      </c>
      <c r="G191" s="8">
        <v>0.48570000000000002</v>
      </c>
      <c r="H191" s="8">
        <v>0.4118</v>
      </c>
      <c r="I191" s="8">
        <f>I187/I186</f>
        <v>0.42415904278188005</v>
      </c>
    </row>
    <row r="192" spans="1:9">
      <c r="B192" s="1" t="s">
        <v>52</v>
      </c>
      <c r="D192" t="s">
        <v>19</v>
      </c>
      <c r="E192" s="8">
        <v>0.58099999999999996</v>
      </c>
      <c r="F192" s="8">
        <v>0.58630000000000004</v>
      </c>
      <c r="G192" s="8">
        <v>0.59970000000000001</v>
      </c>
      <c r="H192" s="8">
        <v>0.62019999999999997</v>
      </c>
      <c r="I192" s="8">
        <f>I188/I187</f>
        <v>0.63077831858363975</v>
      </c>
    </row>
    <row r="193" spans="1:9">
      <c r="B193" s="1" t="s">
        <v>52</v>
      </c>
      <c r="D193" t="s">
        <v>20</v>
      </c>
      <c r="E193" s="8">
        <v>0.2495</v>
      </c>
      <c r="F193" s="8">
        <v>0.2394</v>
      </c>
      <c r="G193" s="8">
        <v>0.2913</v>
      </c>
      <c r="H193" s="8">
        <v>0.25540000000000002</v>
      </c>
      <c r="I193" s="8">
        <f>I188/I186</f>
        <v>0.26755032781800042</v>
      </c>
    </row>
    <row r="194" spans="1:9">
      <c r="B194" s="1" t="s">
        <v>52</v>
      </c>
    </row>
    <row r="195" spans="1:9">
      <c r="A195" t="s">
        <v>54</v>
      </c>
      <c r="B195" s="1" t="s">
        <v>55</v>
      </c>
      <c r="C195" t="s">
        <v>56</v>
      </c>
    </row>
    <row r="196" spans="1:9">
      <c r="B196" s="1" t="s">
        <v>55</v>
      </c>
      <c r="D196" t="s">
        <v>11</v>
      </c>
      <c r="E196" s="3">
        <v>1144</v>
      </c>
      <c r="F196" s="3">
        <v>1073</v>
      </c>
      <c r="G196" s="3">
        <v>1174</v>
      </c>
      <c r="H196" s="3">
        <v>968</v>
      </c>
      <c r="I196" s="3">
        <f>VLOOKUP(B196,[1]Sheet3!$A$13:$E$198,5,TRUE)</f>
        <v>1181</v>
      </c>
    </row>
    <row r="197" spans="1:9">
      <c r="B197" s="1" t="s">
        <v>55</v>
      </c>
      <c r="D197" t="s">
        <v>12</v>
      </c>
      <c r="E197" s="5">
        <v>146125</v>
      </c>
      <c r="F197" s="5">
        <v>120741</v>
      </c>
      <c r="G197" s="5">
        <v>123580</v>
      </c>
      <c r="H197" s="5">
        <v>128318</v>
      </c>
      <c r="I197" s="3">
        <f>VLOOKUP(B197,[1]Sheet3!$A$13:$F$198,6,TRUE)</f>
        <v>122430</v>
      </c>
    </row>
    <row r="198" spans="1:9">
      <c r="B198" s="1" t="s">
        <v>55</v>
      </c>
      <c r="D198" t="s">
        <v>23</v>
      </c>
      <c r="E198" s="5">
        <v>616813</v>
      </c>
      <c r="F198" s="5">
        <v>496262.87</v>
      </c>
      <c r="G198" s="5">
        <v>556747.35</v>
      </c>
      <c r="H198" s="5">
        <v>529353.89</v>
      </c>
      <c r="I198" s="3">
        <f>VLOOKUP(B198,[1]Sheet3!$A$13:$G$198,7,TRUE)</f>
        <v>575824.46</v>
      </c>
    </row>
    <row r="199" spans="1:9">
      <c r="B199" s="1" t="s">
        <v>55</v>
      </c>
      <c r="D199" t="s">
        <v>14</v>
      </c>
      <c r="E199" s="5">
        <v>282134.46000000002</v>
      </c>
      <c r="F199" s="5">
        <v>245509.28</v>
      </c>
      <c r="G199" s="5">
        <v>219519</v>
      </c>
      <c r="H199" s="5">
        <v>219519</v>
      </c>
      <c r="I199" s="3">
        <f>VLOOKUP(B199,[1]Sheet3!$A$13:$H$198,8,TRUE)</f>
        <v>225692.41999999998</v>
      </c>
    </row>
    <row r="200" spans="1:9">
      <c r="B200" s="1" t="s">
        <v>55</v>
      </c>
      <c r="D200" t="s">
        <v>15</v>
      </c>
      <c r="E200" s="5">
        <v>162751.94</v>
      </c>
      <c r="F200" s="5">
        <v>140797.72</v>
      </c>
      <c r="G200" s="5">
        <v>129055.08</v>
      </c>
      <c r="H200" s="5">
        <v>134534.78</v>
      </c>
      <c r="I200" s="3">
        <f>VLOOKUP(B200,[1]Sheet3!$A$13:$I$198,9,TRUE)</f>
        <v>139643.28</v>
      </c>
    </row>
    <row r="201" spans="1:9">
      <c r="B201" s="1" t="s">
        <v>55</v>
      </c>
      <c r="D201" t="s">
        <v>16</v>
      </c>
      <c r="E201" s="5">
        <v>539.16999999999996</v>
      </c>
      <c r="F201" s="5">
        <v>462.5</v>
      </c>
      <c r="G201" s="5">
        <v>474.23</v>
      </c>
      <c r="H201" s="5">
        <v>546.85</v>
      </c>
      <c r="I201" s="5">
        <f>I198/I196</f>
        <v>487.57363251481792</v>
      </c>
    </row>
    <row r="202" spans="1:9">
      <c r="B202" s="1" t="s">
        <v>55</v>
      </c>
      <c r="D202" t="s">
        <v>17</v>
      </c>
      <c r="E202" s="6">
        <v>4.22</v>
      </c>
      <c r="F202" s="6">
        <v>4.1100000000000003</v>
      </c>
      <c r="G202" s="6">
        <v>4.51</v>
      </c>
      <c r="H202" s="6">
        <v>4.13</v>
      </c>
      <c r="I202" s="7">
        <f>I198/I197</f>
        <v>4.7032954341256223</v>
      </c>
    </row>
    <row r="203" spans="1:9">
      <c r="B203" s="1" t="s">
        <v>55</v>
      </c>
      <c r="D203" t="s">
        <v>18</v>
      </c>
      <c r="E203" s="8">
        <v>0.45739999999999997</v>
      </c>
      <c r="F203" s="8">
        <v>0.49469999999999997</v>
      </c>
      <c r="G203" s="8">
        <v>0.39429999999999998</v>
      </c>
      <c r="H203" s="8">
        <v>0.41470000000000001</v>
      </c>
      <c r="I203" s="8">
        <f>I199/I198</f>
        <v>0.39194656649354559</v>
      </c>
    </row>
    <row r="204" spans="1:9">
      <c r="B204" s="1" t="s">
        <v>55</v>
      </c>
      <c r="D204" t="s">
        <v>19</v>
      </c>
      <c r="E204" s="8">
        <v>0.57689999999999997</v>
      </c>
      <c r="F204" s="8">
        <v>0.57350000000000001</v>
      </c>
      <c r="G204" s="8">
        <v>0.58789999999999998</v>
      </c>
      <c r="H204" s="8">
        <v>0.6129</v>
      </c>
      <c r="I204" s="8">
        <f>I200/I199</f>
        <v>0.61873269824480592</v>
      </c>
    </row>
    <row r="205" spans="1:9">
      <c r="B205" s="1" t="s">
        <v>55</v>
      </c>
      <c r="D205" t="s">
        <v>20</v>
      </c>
      <c r="E205" s="8">
        <v>0.26390000000000002</v>
      </c>
      <c r="F205" s="8">
        <v>0.28370000000000001</v>
      </c>
      <c r="G205" s="8">
        <v>0.23180000000000001</v>
      </c>
      <c r="H205" s="8">
        <v>0.25409999999999999</v>
      </c>
      <c r="I205" s="8">
        <f>I200/I198</f>
        <v>0.24251015665433873</v>
      </c>
    </row>
    <row r="206" spans="1:9">
      <c r="B206" s="1" t="s">
        <v>55</v>
      </c>
    </row>
    <row r="207" spans="1:9">
      <c r="A207" t="s">
        <v>57</v>
      </c>
      <c r="B207" s="1" t="s">
        <v>58</v>
      </c>
      <c r="C207" t="s">
        <v>59</v>
      </c>
    </row>
    <row r="208" spans="1:9">
      <c r="B208" s="1" t="s">
        <v>58</v>
      </c>
      <c r="D208" t="s">
        <v>11</v>
      </c>
      <c r="E208" s="3">
        <v>136</v>
      </c>
      <c r="F208" s="3">
        <v>144</v>
      </c>
      <c r="G208" s="3">
        <v>147</v>
      </c>
      <c r="H208" s="3">
        <v>136</v>
      </c>
      <c r="I208" s="3">
        <f>VLOOKUP(B208,[1]Sheet3!$A$13:$E$198,5,TRUE)</f>
        <v>122</v>
      </c>
    </row>
    <row r="209" spans="1:9">
      <c r="B209" s="1" t="s">
        <v>58</v>
      </c>
      <c r="D209" t="s">
        <v>12</v>
      </c>
      <c r="E209" s="5">
        <v>75818</v>
      </c>
      <c r="F209" s="5">
        <v>76653</v>
      </c>
      <c r="G209" s="5">
        <v>61446</v>
      </c>
      <c r="H209" s="5">
        <v>67802</v>
      </c>
      <c r="I209" s="3">
        <f>VLOOKUP(B209,[1]Sheet3!$A$13:$F$198,6,TRUE)</f>
        <v>71989.5</v>
      </c>
    </row>
    <row r="210" spans="1:9">
      <c r="B210" s="1" t="s">
        <v>58</v>
      </c>
      <c r="D210" t="s">
        <v>23</v>
      </c>
      <c r="E210" s="5">
        <v>93278.58</v>
      </c>
      <c r="F210" s="5">
        <v>80798.289999999994</v>
      </c>
      <c r="G210" s="5">
        <v>85132.800000000003</v>
      </c>
      <c r="H210" s="5">
        <v>78492.399999999994</v>
      </c>
      <c r="I210" s="3">
        <f>VLOOKUP(B210,[1]Sheet3!$A$13:$G$198,7,TRUE)</f>
        <v>90780.72</v>
      </c>
    </row>
    <row r="211" spans="1:9">
      <c r="B211" s="1" t="s">
        <v>58</v>
      </c>
      <c r="D211" t="s">
        <v>14</v>
      </c>
      <c r="E211" s="5">
        <v>62470.8</v>
      </c>
      <c r="F211" s="5">
        <v>50580.89</v>
      </c>
      <c r="G211" s="5">
        <v>46562.92</v>
      </c>
      <c r="H211" s="5">
        <v>44222.67</v>
      </c>
      <c r="I211" s="3">
        <f>VLOOKUP(B211,[1]Sheet3!$A$13:$H$198,8,TRUE)</f>
        <v>48776.07</v>
      </c>
    </row>
    <row r="212" spans="1:9">
      <c r="B212" s="1" t="s">
        <v>58</v>
      </c>
      <c r="D212" t="s">
        <v>15</v>
      </c>
      <c r="E212" s="5">
        <v>36064.339999999997</v>
      </c>
      <c r="F212" s="5">
        <v>28586.41</v>
      </c>
      <c r="G212" s="5">
        <v>27523.699999999997</v>
      </c>
      <c r="H212" s="5">
        <v>26860.83</v>
      </c>
      <c r="I212" s="3">
        <f>VLOOKUP(B212,[1]Sheet3!$A$13:$I$198,9,TRUE)</f>
        <v>30514.059999999998</v>
      </c>
    </row>
    <row r="213" spans="1:9">
      <c r="B213" s="1" t="s">
        <v>58</v>
      </c>
      <c r="D213" t="s">
        <v>16</v>
      </c>
      <c r="E213" s="5">
        <v>685.87</v>
      </c>
      <c r="F213" s="5">
        <v>561.1</v>
      </c>
      <c r="G213" s="5">
        <v>579.13</v>
      </c>
      <c r="H213" s="5">
        <v>577.15</v>
      </c>
      <c r="I213" s="5">
        <f>I210/I208</f>
        <v>744.10426229508198</v>
      </c>
    </row>
    <row r="214" spans="1:9">
      <c r="B214" s="1" t="s">
        <v>58</v>
      </c>
      <c r="D214" t="s">
        <v>17</v>
      </c>
      <c r="E214" s="6">
        <v>1.23</v>
      </c>
      <c r="F214" s="6">
        <v>1.05</v>
      </c>
      <c r="G214" s="6">
        <v>1.39</v>
      </c>
      <c r="H214" s="6">
        <v>1.1599999999999999</v>
      </c>
      <c r="I214" s="7">
        <f>I210/I209</f>
        <v>1.261027233138166</v>
      </c>
    </row>
    <row r="215" spans="1:9">
      <c r="B215" s="1" t="s">
        <v>58</v>
      </c>
      <c r="D215" t="s">
        <v>18</v>
      </c>
      <c r="E215" s="8">
        <v>0.66969999999999996</v>
      </c>
      <c r="F215" s="8">
        <v>0.626</v>
      </c>
      <c r="G215" s="8">
        <v>0.54690000000000005</v>
      </c>
      <c r="H215" s="8">
        <v>0.56340000000000001</v>
      </c>
      <c r="I215" s="8">
        <f>I211/I210</f>
        <v>0.53729547419319867</v>
      </c>
    </row>
    <row r="216" spans="1:9">
      <c r="B216" s="1" t="s">
        <v>58</v>
      </c>
      <c r="D216" t="s">
        <v>19</v>
      </c>
      <c r="E216" s="8">
        <v>0.57730000000000004</v>
      </c>
      <c r="F216" s="8">
        <v>0.56520000000000004</v>
      </c>
      <c r="G216" s="8">
        <v>0.59109999999999996</v>
      </c>
      <c r="H216" s="8">
        <v>0.60740000000000005</v>
      </c>
      <c r="I216" s="8">
        <f>I212/I211</f>
        <v>0.62559488700094124</v>
      </c>
    </row>
    <row r="217" spans="1:9">
      <c r="B217" s="1" t="s">
        <v>58</v>
      </c>
      <c r="D217" t="s">
        <v>20</v>
      </c>
      <c r="E217" s="8">
        <v>0.3866</v>
      </c>
      <c r="F217" s="8">
        <v>0.3538</v>
      </c>
      <c r="G217" s="8">
        <v>0.32329999999999998</v>
      </c>
      <c r="H217" s="8">
        <v>0.3422</v>
      </c>
      <c r="I217" s="8">
        <f>I212/I210</f>
        <v>0.33612930146401127</v>
      </c>
    </row>
    <row r="218" spans="1:9">
      <c r="B218" s="1" t="s">
        <v>58</v>
      </c>
    </row>
    <row r="219" spans="1:9">
      <c r="A219" t="s">
        <v>57</v>
      </c>
      <c r="B219" s="1" t="s">
        <v>60</v>
      </c>
      <c r="C219" t="s">
        <v>61</v>
      </c>
    </row>
    <row r="220" spans="1:9">
      <c r="B220" s="1" t="s">
        <v>60</v>
      </c>
      <c r="D220" t="s">
        <v>11</v>
      </c>
      <c r="E220" s="3">
        <v>30</v>
      </c>
      <c r="F220" s="3">
        <v>34</v>
      </c>
      <c r="G220" s="3">
        <v>42</v>
      </c>
      <c r="H220" s="3">
        <v>33</v>
      </c>
      <c r="I220" s="3">
        <f>VLOOKUP(B220,[1]Sheet3!$A$13:$E$198,5,TRUE)</f>
        <v>21</v>
      </c>
    </row>
    <row r="221" spans="1:9">
      <c r="B221" s="1" t="s">
        <v>60</v>
      </c>
      <c r="D221" t="s">
        <v>12</v>
      </c>
      <c r="E221" s="5">
        <v>55918</v>
      </c>
      <c r="F221" s="5">
        <v>47376</v>
      </c>
      <c r="G221" s="5">
        <v>47376</v>
      </c>
      <c r="H221" s="5">
        <v>35000</v>
      </c>
      <c r="I221" s="3">
        <f>VLOOKUP(B221,[1]Sheet3!$A$13:$F$198,6,TRUE)</f>
        <v>40896</v>
      </c>
    </row>
    <row r="222" spans="1:9">
      <c r="B222" s="1" t="s">
        <v>60</v>
      </c>
      <c r="D222" t="s">
        <v>23</v>
      </c>
      <c r="E222" s="5">
        <v>55727.55</v>
      </c>
      <c r="F222" s="5">
        <v>48877.71</v>
      </c>
      <c r="G222" s="5">
        <v>48239.43</v>
      </c>
      <c r="H222" s="5">
        <v>56825</v>
      </c>
      <c r="I222" s="3">
        <f>VLOOKUP(B222,[1]Sheet3!$A$13:$G$198,7,TRUE)</f>
        <v>39239.43</v>
      </c>
    </row>
    <row r="223" spans="1:9">
      <c r="B223" s="1" t="s">
        <v>60</v>
      </c>
      <c r="D223" t="s">
        <v>14</v>
      </c>
      <c r="E223" s="5">
        <v>34376.26</v>
      </c>
      <c r="F223" s="5">
        <v>32878.71</v>
      </c>
      <c r="G223" s="5">
        <v>28419.46</v>
      </c>
      <c r="H223" s="5">
        <v>28203.27</v>
      </c>
      <c r="I223" s="3">
        <f>VLOOKUP(B223,[1]Sheet3!$A$13:$H$198,8,TRUE)</f>
        <v>23532.16</v>
      </c>
    </row>
    <row r="224" spans="1:9">
      <c r="B224" s="1" t="s">
        <v>60</v>
      </c>
      <c r="D224" t="s">
        <v>15</v>
      </c>
      <c r="E224" s="5">
        <v>19672.3</v>
      </c>
      <c r="F224" s="5">
        <v>19186.169999999998</v>
      </c>
      <c r="G224" s="5">
        <v>16598.41</v>
      </c>
      <c r="H224" s="5">
        <v>17262.39</v>
      </c>
      <c r="I224" s="3">
        <f>VLOOKUP(B224,[1]Sheet3!$A$13:$I$198,9,TRUE)</f>
        <v>17232.27</v>
      </c>
    </row>
    <row r="225" spans="1:9">
      <c r="B225" s="1" t="s">
        <v>60</v>
      </c>
      <c r="D225" t="s">
        <v>16</v>
      </c>
      <c r="E225" s="5">
        <v>1857.59</v>
      </c>
      <c r="F225" s="5">
        <v>1437.58</v>
      </c>
      <c r="G225" s="5">
        <v>1148.56</v>
      </c>
      <c r="H225" s="5">
        <v>1721.97</v>
      </c>
      <c r="I225" s="5">
        <f>I222/I220</f>
        <v>1868.5442857142857</v>
      </c>
    </row>
    <row r="226" spans="1:9">
      <c r="B226" s="1" t="s">
        <v>60</v>
      </c>
      <c r="D226" t="s">
        <v>17</v>
      </c>
      <c r="E226" s="6">
        <v>1</v>
      </c>
      <c r="F226" s="6">
        <v>1.03</v>
      </c>
      <c r="G226" s="6">
        <v>1.02</v>
      </c>
      <c r="H226" s="6">
        <v>1.62</v>
      </c>
      <c r="I226" s="7">
        <f>I222/I221</f>
        <v>0.95949310446009395</v>
      </c>
    </row>
    <row r="227" spans="1:9">
      <c r="B227" s="1" t="s">
        <v>60</v>
      </c>
      <c r="D227" t="s">
        <v>18</v>
      </c>
      <c r="E227" s="8">
        <v>0.6169</v>
      </c>
      <c r="F227" s="8">
        <v>0.67269999999999996</v>
      </c>
      <c r="G227" s="8">
        <v>0.58909999999999996</v>
      </c>
      <c r="H227" s="8">
        <v>0.49630000000000002</v>
      </c>
      <c r="I227" s="8">
        <f>I223/I222</f>
        <v>0.59970697841431442</v>
      </c>
    </row>
    <row r="228" spans="1:9">
      <c r="B228" s="1" t="s">
        <v>60</v>
      </c>
      <c r="D228" t="s">
        <v>19</v>
      </c>
      <c r="E228" s="8">
        <v>0.57230000000000003</v>
      </c>
      <c r="F228" s="8">
        <v>0.58350000000000002</v>
      </c>
      <c r="G228" s="8">
        <v>0.58409999999999995</v>
      </c>
      <c r="H228" s="8">
        <v>0.61209999999999998</v>
      </c>
      <c r="I228" s="8">
        <f>I224/I223</f>
        <v>0.73228594400174063</v>
      </c>
    </row>
    <row r="229" spans="1:9">
      <c r="B229" s="1" t="s">
        <v>60</v>
      </c>
      <c r="D229" t="s">
        <v>20</v>
      </c>
      <c r="E229" s="8">
        <v>0.35299999999999998</v>
      </c>
      <c r="F229" s="8">
        <v>0.39250000000000002</v>
      </c>
      <c r="G229" s="8">
        <v>0.34410000000000002</v>
      </c>
      <c r="H229" s="8">
        <v>0.30380000000000001</v>
      </c>
      <c r="I229" s="8">
        <f>I224/I222</f>
        <v>0.43915699081255766</v>
      </c>
    </row>
    <row r="230" spans="1:9">
      <c r="B230" s="1" t="s">
        <v>60</v>
      </c>
    </row>
    <row r="231" spans="1:9">
      <c r="A231" t="s">
        <v>57</v>
      </c>
      <c r="B231" s="1" t="s">
        <v>62</v>
      </c>
      <c r="C231" t="s">
        <v>63</v>
      </c>
    </row>
    <row r="232" spans="1:9">
      <c r="B232" s="1" t="s">
        <v>62</v>
      </c>
      <c r="D232" t="s">
        <v>11</v>
      </c>
      <c r="E232" s="3">
        <v>147</v>
      </c>
      <c r="F232" s="3">
        <v>148</v>
      </c>
      <c r="G232" s="3">
        <v>151</v>
      </c>
      <c r="H232" s="3">
        <v>92</v>
      </c>
      <c r="I232" s="3">
        <f>VLOOKUP(B232,[1]Sheet3!$A$13:$E$198,5,TRUE)</f>
        <v>80</v>
      </c>
    </row>
    <row r="233" spans="1:9">
      <c r="B233" s="1" t="s">
        <v>62</v>
      </c>
      <c r="D233" t="s">
        <v>12</v>
      </c>
      <c r="E233" s="5">
        <v>52325</v>
      </c>
      <c r="F233" s="5">
        <v>60426</v>
      </c>
      <c r="G233" s="5">
        <v>57600</v>
      </c>
      <c r="H233" s="5">
        <v>50460</v>
      </c>
      <c r="I233" s="3">
        <f>VLOOKUP(B233,[1]Sheet3!$A$13:$F$198,6,TRUE)</f>
        <v>46037.5</v>
      </c>
    </row>
    <row r="234" spans="1:9">
      <c r="B234" s="1" t="s">
        <v>62</v>
      </c>
      <c r="D234" t="s">
        <v>23</v>
      </c>
      <c r="E234" s="5">
        <v>83174.22</v>
      </c>
      <c r="F234" s="5">
        <v>87488.36</v>
      </c>
      <c r="G234" s="5">
        <v>97868</v>
      </c>
      <c r="H234" s="5">
        <v>75617.47</v>
      </c>
      <c r="I234" s="3">
        <f>VLOOKUP(B234,[1]Sheet3!$A$13:$G$198,7,TRUE)</f>
        <v>69879.320000000007</v>
      </c>
    </row>
    <row r="235" spans="1:9">
      <c r="B235" s="1" t="s">
        <v>62</v>
      </c>
      <c r="D235" t="s">
        <v>14</v>
      </c>
      <c r="E235" s="5">
        <v>47149.4</v>
      </c>
      <c r="F235" s="5">
        <v>44765.05</v>
      </c>
      <c r="G235" s="5">
        <v>47572.91</v>
      </c>
      <c r="H235" s="5">
        <v>47572.91</v>
      </c>
      <c r="I235" s="3">
        <f>VLOOKUP(B235,[1]Sheet3!$A$13:$H$198,8,TRUE)</f>
        <v>35197.490000000005</v>
      </c>
    </row>
    <row r="236" spans="1:9">
      <c r="B236" s="1" t="s">
        <v>62</v>
      </c>
      <c r="D236" t="s">
        <v>15</v>
      </c>
      <c r="E236" s="5">
        <v>27394.57</v>
      </c>
      <c r="F236" s="5">
        <v>26088.870000000003</v>
      </c>
      <c r="G236" s="5">
        <v>28811.550000000003</v>
      </c>
      <c r="H236" s="5">
        <v>29155.61</v>
      </c>
      <c r="I236" s="3">
        <f>VLOOKUP(B236,[1]Sheet3!$A$13:$I$198,9,TRUE)</f>
        <v>22587.38</v>
      </c>
    </row>
    <row r="237" spans="1:9">
      <c r="B237" s="1" t="s">
        <v>62</v>
      </c>
      <c r="D237" t="s">
        <v>16</v>
      </c>
      <c r="E237" s="5">
        <v>565.80999999999995</v>
      </c>
      <c r="F237" s="5">
        <v>591.14</v>
      </c>
      <c r="G237" s="5">
        <v>648.13</v>
      </c>
      <c r="H237" s="5">
        <v>821.93</v>
      </c>
      <c r="I237" s="5">
        <f>I234/I232</f>
        <v>873.49150000000009</v>
      </c>
    </row>
    <row r="238" spans="1:9">
      <c r="B238" s="1" t="s">
        <v>62</v>
      </c>
      <c r="D238" t="s">
        <v>17</v>
      </c>
      <c r="E238" s="6">
        <v>1.59</v>
      </c>
      <c r="F238" s="6">
        <v>1.45</v>
      </c>
      <c r="G238" s="6">
        <v>1.7</v>
      </c>
      <c r="H238" s="6">
        <v>1.5</v>
      </c>
      <c r="I238" s="7">
        <f>I234/I233</f>
        <v>1.5178782514254685</v>
      </c>
    </row>
    <row r="239" spans="1:9">
      <c r="B239" s="1" t="s">
        <v>62</v>
      </c>
      <c r="D239" t="s">
        <v>18</v>
      </c>
      <c r="E239" s="8">
        <v>0.56689999999999996</v>
      </c>
      <c r="F239" s="8">
        <v>0.51170000000000004</v>
      </c>
      <c r="G239" s="8">
        <v>0.48609999999999998</v>
      </c>
      <c r="H239" s="8">
        <v>0.62909999999999999</v>
      </c>
      <c r="I239" s="8">
        <f>I235/I234</f>
        <v>0.50368964666513638</v>
      </c>
    </row>
    <row r="240" spans="1:9">
      <c r="B240" s="1" t="s">
        <v>62</v>
      </c>
      <c r="D240" t="s">
        <v>19</v>
      </c>
      <c r="E240" s="8">
        <v>0.58099999999999996</v>
      </c>
      <c r="F240" s="8">
        <v>0.58279999999999998</v>
      </c>
      <c r="G240" s="8">
        <v>0.60560000000000003</v>
      </c>
      <c r="H240" s="8">
        <v>0.6129</v>
      </c>
      <c r="I240" s="8">
        <f>I236/I235</f>
        <v>0.64173269173455261</v>
      </c>
    </row>
    <row r="241" spans="1:9">
      <c r="B241" s="1" t="s">
        <v>62</v>
      </c>
      <c r="D241" t="s">
        <v>20</v>
      </c>
      <c r="E241" s="8">
        <v>0.32940000000000003</v>
      </c>
      <c r="F241" s="8">
        <v>0.29820000000000002</v>
      </c>
      <c r="G241" s="8">
        <v>0.2944</v>
      </c>
      <c r="H241" s="8">
        <v>0.3856</v>
      </c>
      <c r="I241" s="8">
        <f>I236/I234</f>
        <v>0.32323411275324371</v>
      </c>
    </row>
    <row r="242" spans="1:9">
      <c r="B242" s="1" t="s">
        <v>62</v>
      </c>
    </row>
    <row r="243" spans="1:9">
      <c r="A243" t="s">
        <v>57</v>
      </c>
      <c r="B243" s="1" t="s">
        <v>64</v>
      </c>
      <c r="C243" t="s">
        <v>65</v>
      </c>
    </row>
    <row r="244" spans="1:9">
      <c r="B244" s="1" t="s">
        <v>64</v>
      </c>
      <c r="D244" t="s">
        <v>11</v>
      </c>
      <c r="E244" s="3">
        <v>34</v>
      </c>
      <c r="F244" s="3">
        <v>34</v>
      </c>
      <c r="G244" s="3">
        <v>28</v>
      </c>
      <c r="H244" s="3">
        <v>34</v>
      </c>
      <c r="I244" s="3">
        <f>VLOOKUP(B244,[1]Sheet3!$A$13:$E$198,5,TRUE)</f>
        <v>28</v>
      </c>
    </row>
    <row r="245" spans="1:9">
      <c r="B245" s="1" t="s">
        <v>64</v>
      </c>
      <c r="D245" t="s">
        <v>12</v>
      </c>
      <c r="E245" s="5">
        <v>25551</v>
      </c>
      <c r="F245" s="5">
        <v>25551</v>
      </c>
      <c r="G245" s="5">
        <v>20230</v>
      </c>
      <c r="H245" s="5">
        <v>23153</v>
      </c>
      <c r="I245" s="3">
        <f>VLOOKUP(B245,[1]Sheet3!$A$13:$F$198,6,TRUE)</f>
        <v>32899</v>
      </c>
    </row>
    <row r="246" spans="1:9">
      <c r="B246" s="1" t="s">
        <v>64</v>
      </c>
      <c r="D246" t="s">
        <v>23</v>
      </c>
      <c r="E246" s="5">
        <v>30225.68</v>
      </c>
      <c r="F246" s="5">
        <v>37645.89</v>
      </c>
      <c r="G246" s="5">
        <v>30388.639999999999</v>
      </c>
      <c r="H246" s="5">
        <v>91826.34</v>
      </c>
      <c r="I246" s="3">
        <f>VLOOKUP(B246,[1]Sheet3!$A$13:$G$198,7,TRUE)</f>
        <v>82840.55</v>
      </c>
    </row>
    <row r="247" spans="1:9">
      <c r="B247" s="1" t="s">
        <v>64</v>
      </c>
      <c r="D247" t="s">
        <v>14</v>
      </c>
      <c r="E247" s="5">
        <v>16636.28</v>
      </c>
      <c r="F247" s="5">
        <v>19149.510000000002</v>
      </c>
      <c r="G247" s="5">
        <v>19149.510000000002</v>
      </c>
      <c r="H247" s="5">
        <v>36899.89</v>
      </c>
      <c r="I247" s="3">
        <f>VLOOKUP(B247,[1]Sheet3!$A$13:$H$198,8,TRUE)</f>
        <v>36297.129999999997</v>
      </c>
    </row>
    <row r="248" spans="1:9">
      <c r="B248" s="1" t="s">
        <v>64</v>
      </c>
      <c r="D248" t="s">
        <v>15</v>
      </c>
      <c r="E248" s="5">
        <v>9475.83</v>
      </c>
      <c r="F248" s="5">
        <v>11502.93</v>
      </c>
      <c r="G248" s="5">
        <v>11484.56</v>
      </c>
      <c r="H248" s="5">
        <v>24446.639999999999</v>
      </c>
      <c r="I248" s="3">
        <f>VLOOKUP(B248,[1]Sheet3!$A$13:$I$198,9,TRUE)</f>
        <v>22726.23</v>
      </c>
    </row>
    <row r="249" spans="1:9">
      <c r="B249" s="1" t="s">
        <v>64</v>
      </c>
      <c r="D249" t="s">
        <v>16</v>
      </c>
      <c r="E249" s="5">
        <v>888.99</v>
      </c>
      <c r="F249" s="5">
        <v>1107.23</v>
      </c>
      <c r="G249" s="5">
        <v>1085.31</v>
      </c>
      <c r="H249" s="5">
        <v>2700.77</v>
      </c>
      <c r="I249" s="5">
        <f>I246/I244</f>
        <v>2958.5910714285715</v>
      </c>
    </row>
    <row r="250" spans="1:9">
      <c r="B250" s="1" t="s">
        <v>64</v>
      </c>
      <c r="D250" t="s">
        <v>17</v>
      </c>
      <c r="E250" s="6">
        <v>1.18</v>
      </c>
      <c r="F250" s="6">
        <v>1.47</v>
      </c>
      <c r="G250" s="6">
        <v>1.5</v>
      </c>
      <c r="H250" s="6">
        <v>3.97</v>
      </c>
      <c r="I250" s="7">
        <f>I246/I245</f>
        <v>2.5180263837806622</v>
      </c>
    </row>
    <row r="251" spans="1:9">
      <c r="B251" s="1" t="s">
        <v>64</v>
      </c>
      <c r="D251" t="s">
        <v>18</v>
      </c>
      <c r="E251" s="8">
        <v>0.5504</v>
      </c>
      <c r="F251" s="8">
        <v>0.50870000000000004</v>
      </c>
      <c r="G251" s="8">
        <v>0.63019999999999998</v>
      </c>
      <c r="H251" s="8">
        <v>0.40179999999999999</v>
      </c>
      <c r="I251" s="8">
        <f>I247/I246</f>
        <v>0.43815655497217237</v>
      </c>
    </row>
    <row r="252" spans="1:9">
      <c r="B252" s="1" t="s">
        <v>64</v>
      </c>
      <c r="D252" t="s">
        <v>19</v>
      </c>
      <c r="E252" s="8">
        <v>0.5696</v>
      </c>
      <c r="F252" s="8">
        <v>0.60070000000000001</v>
      </c>
      <c r="G252" s="8">
        <v>0.59970000000000001</v>
      </c>
      <c r="H252" s="8">
        <v>0.66249999999999998</v>
      </c>
      <c r="I252" s="8">
        <f>I248/I247</f>
        <v>0.62611644501920682</v>
      </c>
    </row>
    <row r="253" spans="1:9">
      <c r="B253" s="1" t="s">
        <v>64</v>
      </c>
      <c r="D253" t="s">
        <v>20</v>
      </c>
      <c r="E253" s="8">
        <v>0.3135</v>
      </c>
      <c r="F253" s="8">
        <v>0.30559999999999998</v>
      </c>
      <c r="G253" s="8">
        <v>0.37790000000000001</v>
      </c>
      <c r="H253" s="8">
        <v>0.26619999999999999</v>
      </c>
      <c r="I253" s="8">
        <f>I248/I246</f>
        <v>0.27433702456103926</v>
      </c>
    </row>
    <row r="254" spans="1:9">
      <c r="B254" s="1" t="s">
        <v>64</v>
      </c>
    </row>
    <row r="255" spans="1:9">
      <c r="A255" t="s">
        <v>57</v>
      </c>
      <c r="B255" s="1" t="s">
        <v>66</v>
      </c>
      <c r="C255" t="s">
        <v>67</v>
      </c>
    </row>
    <row r="256" spans="1:9">
      <c r="B256" s="1" t="s">
        <v>66</v>
      </c>
      <c r="D256" t="s">
        <v>11</v>
      </c>
      <c r="E256" s="3">
        <v>18</v>
      </c>
      <c r="F256" s="3">
        <v>16</v>
      </c>
      <c r="G256" s="3">
        <v>13</v>
      </c>
      <c r="H256" s="3">
        <v>18</v>
      </c>
      <c r="I256" s="3">
        <f>VLOOKUP(B256,[1]Sheet3!$A$13:$E$198,5,TRUE)</f>
        <v>11</v>
      </c>
    </row>
    <row r="257" spans="1:9">
      <c r="B257" s="1" t="s">
        <v>66</v>
      </c>
      <c r="D257" t="s">
        <v>12</v>
      </c>
      <c r="E257" s="5">
        <v>23200</v>
      </c>
      <c r="F257" s="5">
        <v>15408</v>
      </c>
      <c r="G257" s="5">
        <v>22983</v>
      </c>
      <c r="H257" s="5">
        <v>28059</v>
      </c>
      <c r="I257" s="3">
        <f>VLOOKUP(B257,[1]Sheet3!$A$13:$F$198,6,TRUE)</f>
        <v>16159</v>
      </c>
    </row>
    <row r="258" spans="1:9">
      <c r="B258" s="1" t="s">
        <v>66</v>
      </c>
      <c r="D258" t="s">
        <v>23</v>
      </c>
      <c r="E258" s="5">
        <v>27891.06</v>
      </c>
      <c r="F258" s="5">
        <v>32551.61</v>
      </c>
      <c r="G258" s="5">
        <v>38581.35</v>
      </c>
      <c r="H258" s="5">
        <v>49411.56</v>
      </c>
      <c r="I258" s="3">
        <f>VLOOKUP(B258,[1]Sheet3!$A$13:$G$198,7,TRUE)</f>
        <v>47179.72</v>
      </c>
    </row>
    <row r="259" spans="1:9">
      <c r="B259" s="1" t="s">
        <v>66</v>
      </c>
      <c r="D259" t="s">
        <v>14</v>
      </c>
      <c r="E259" s="5">
        <v>15256.779999999999</v>
      </c>
      <c r="F259" s="5">
        <v>15256.779999999999</v>
      </c>
      <c r="G259" s="5">
        <v>18823.23</v>
      </c>
      <c r="H259" s="5">
        <v>23762.63</v>
      </c>
      <c r="I259" s="3">
        <f>VLOOKUP(B259,[1]Sheet3!$A$13:$H$198,8,TRUE)</f>
        <v>20026.54</v>
      </c>
    </row>
    <row r="260" spans="1:9">
      <c r="B260" s="1" t="s">
        <v>66</v>
      </c>
      <c r="D260" t="s">
        <v>15</v>
      </c>
      <c r="E260" s="5">
        <v>8800.14</v>
      </c>
      <c r="F260" s="5">
        <v>8970.4</v>
      </c>
      <c r="G260" s="5">
        <v>11645.28</v>
      </c>
      <c r="H260" s="5">
        <v>15073.029999999999</v>
      </c>
      <c r="I260" s="3">
        <f>VLOOKUP(B260,[1]Sheet3!$A$13:$I$198,9,TRUE)</f>
        <v>14635.14</v>
      </c>
    </row>
    <row r="261" spans="1:9">
      <c r="B261" s="1" t="s">
        <v>66</v>
      </c>
      <c r="D261" t="s">
        <v>16</v>
      </c>
      <c r="E261" s="5">
        <v>1549.5</v>
      </c>
      <c r="F261" s="5">
        <v>2034.48</v>
      </c>
      <c r="G261" s="5">
        <v>2967.8</v>
      </c>
      <c r="H261" s="5">
        <v>2745.09</v>
      </c>
      <c r="I261" s="5">
        <f>I258/I256</f>
        <v>4289.0654545454545</v>
      </c>
    </row>
    <row r="262" spans="1:9">
      <c r="B262" s="1" t="s">
        <v>66</v>
      </c>
      <c r="D262" t="s">
        <v>17</v>
      </c>
      <c r="E262" s="6">
        <v>1.2</v>
      </c>
      <c r="F262" s="6">
        <v>2.11</v>
      </c>
      <c r="G262" s="6">
        <v>1.68</v>
      </c>
      <c r="H262" s="6">
        <v>1.76</v>
      </c>
      <c r="I262" s="7">
        <f>I258/I257</f>
        <v>2.9197178043195744</v>
      </c>
    </row>
    <row r="263" spans="1:9">
      <c r="B263" s="1" t="s">
        <v>66</v>
      </c>
      <c r="D263" t="s">
        <v>18</v>
      </c>
      <c r="E263" s="8">
        <v>0.54700000000000004</v>
      </c>
      <c r="F263" s="8">
        <v>0.46870000000000001</v>
      </c>
      <c r="G263" s="8">
        <v>0.4879</v>
      </c>
      <c r="H263" s="8">
        <v>0.48089999999999999</v>
      </c>
      <c r="I263" s="8">
        <f>I259/I258</f>
        <v>0.42447348140260266</v>
      </c>
    </row>
    <row r="264" spans="1:9">
      <c r="B264" s="1" t="s">
        <v>66</v>
      </c>
      <c r="D264" t="s">
        <v>19</v>
      </c>
      <c r="E264" s="8">
        <v>0.57679999999999998</v>
      </c>
      <c r="F264" s="8">
        <v>0.58799999999999997</v>
      </c>
      <c r="G264" s="8">
        <v>0.61870000000000003</v>
      </c>
      <c r="H264" s="8">
        <v>0.63429999999999997</v>
      </c>
      <c r="I264" s="8">
        <f>I260/I259</f>
        <v>0.73078724532545303</v>
      </c>
    </row>
    <row r="265" spans="1:9">
      <c r="B265" s="1" t="s">
        <v>66</v>
      </c>
      <c r="D265" t="s">
        <v>20</v>
      </c>
      <c r="E265" s="8">
        <v>0.3155</v>
      </c>
      <c r="F265" s="8">
        <v>0.27560000000000001</v>
      </c>
      <c r="G265" s="8">
        <v>0.30180000000000001</v>
      </c>
      <c r="H265" s="8">
        <v>0.30509999999999998</v>
      </c>
      <c r="I265" s="8">
        <f>I260/I258</f>
        <v>0.31019980618791293</v>
      </c>
    </row>
    <row r="266" spans="1:9">
      <c r="B266" s="1" t="s">
        <v>66</v>
      </c>
    </row>
    <row r="267" spans="1:9">
      <c r="A267" t="s">
        <v>68</v>
      </c>
      <c r="B267" s="1" t="s">
        <v>69</v>
      </c>
      <c r="C267" t="s">
        <v>70</v>
      </c>
    </row>
    <row r="268" spans="1:9">
      <c r="B268" s="1" t="s">
        <v>69</v>
      </c>
      <c r="D268" t="s">
        <v>11</v>
      </c>
      <c r="E268" s="3">
        <v>242</v>
      </c>
      <c r="F268" s="3">
        <v>242</v>
      </c>
      <c r="G268" s="3">
        <v>223</v>
      </c>
      <c r="H268" s="3">
        <v>155</v>
      </c>
      <c r="I268" s="3">
        <f>VLOOKUP(B268,[1]Sheet3!$A$13:$E$198,5,TRUE)</f>
        <v>174</v>
      </c>
    </row>
    <row r="269" spans="1:9">
      <c r="B269" s="1" t="s">
        <v>69</v>
      </c>
      <c r="D269" t="s">
        <v>12</v>
      </c>
      <c r="E269" s="5">
        <v>34310</v>
      </c>
      <c r="F269" s="5">
        <v>38982</v>
      </c>
      <c r="G269" s="5">
        <v>50736.4</v>
      </c>
      <c r="H269" s="5">
        <v>29029</v>
      </c>
      <c r="I269" s="3">
        <f>VLOOKUP(B269,[1]Sheet3!$A$13:$F$198,6,TRUE)</f>
        <v>46282</v>
      </c>
    </row>
    <row r="270" spans="1:9">
      <c r="B270" s="1" t="s">
        <v>69</v>
      </c>
      <c r="D270" t="s">
        <v>23</v>
      </c>
      <c r="E270" s="5">
        <v>59657</v>
      </c>
      <c r="F270" s="5">
        <v>141691.71</v>
      </c>
      <c r="G270" s="5">
        <v>56720.87</v>
      </c>
      <c r="H270" s="5">
        <v>88195.58</v>
      </c>
      <c r="I270" s="3">
        <f>VLOOKUP(B270,[1]Sheet3!$A$13:$G$198,7,TRUE)</f>
        <v>79921.179999999993</v>
      </c>
    </row>
    <row r="271" spans="1:9">
      <c r="B271" s="1" t="s">
        <v>69</v>
      </c>
      <c r="D271" t="s">
        <v>14</v>
      </c>
      <c r="E271" s="5">
        <v>42299.44</v>
      </c>
      <c r="F271" s="5">
        <v>57753.41</v>
      </c>
      <c r="G271" s="5">
        <v>57753.41</v>
      </c>
      <c r="H271" s="5">
        <v>37141.699999999997</v>
      </c>
      <c r="I271" s="3">
        <f>VLOOKUP(B271,[1]Sheet3!$A$13:$H$198,8,TRUE)</f>
        <v>38659.9</v>
      </c>
    </row>
    <row r="272" spans="1:9">
      <c r="B272" s="1" t="s">
        <v>69</v>
      </c>
      <c r="D272" t="s">
        <v>15</v>
      </c>
      <c r="E272" s="5">
        <v>24576.67</v>
      </c>
      <c r="F272" s="5">
        <v>35455.67</v>
      </c>
      <c r="G272" s="5">
        <v>34636.51</v>
      </c>
      <c r="H272" s="5">
        <v>20635.28</v>
      </c>
      <c r="I272" s="3">
        <f>VLOOKUP(B272,[1]Sheet3!$A$13:$I$198,9,TRUE)</f>
        <v>23968.05</v>
      </c>
    </row>
    <row r="273" spans="1:9">
      <c r="B273" s="1" t="s">
        <v>69</v>
      </c>
      <c r="D273" t="s">
        <v>16</v>
      </c>
      <c r="E273" s="5">
        <v>246.52</v>
      </c>
      <c r="F273" s="5">
        <v>585.5</v>
      </c>
      <c r="G273" s="5">
        <v>254.35</v>
      </c>
      <c r="H273" s="5">
        <v>569</v>
      </c>
      <c r="I273" s="5">
        <f>I270/I268</f>
        <v>459.31712643678156</v>
      </c>
    </row>
    <row r="274" spans="1:9">
      <c r="B274" s="1" t="s">
        <v>69</v>
      </c>
      <c r="D274" t="s">
        <v>17</v>
      </c>
      <c r="E274" s="6">
        <v>1.74</v>
      </c>
      <c r="F274" s="6">
        <v>3.63</v>
      </c>
      <c r="G274" s="6">
        <v>1.1200000000000001</v>
      </c>
      <c r="H274" s="6">
        <v>3.04</v>
      </c>
      <c r="I274" s="7">
        <f>I270/I269</f>
        <v>1.7268307333304522</v>
      </c>
    </row>
    <row r="275" spans="1:9">
      <c r="B275" s="1" t="s">
        <v>69</v>
      </c>
      <c r="D275" t="s">
        <v>18</v>
      </c>
      <c r="E275" s="8">
        <v>0.70899999999999996</v>
      </c>
      <c r="F275" s="8">
        <v>0.40760000000000002</v>
      </c>
      <c r="G275" s="8">
        <v>1.0182</v>
      </c>
      <c r="H275" s="8">
        <v>0.42109999999999997</v>
      </c>
      <c r="I275" s="8">
        <f>I271/I270</f>
        <v>0.48372534039162091</v>
      </c>
    </row>
    <row r="276" spans="1:9">
      <c r="B276" s="1" t="s">
        <v>69</v>
      </c>
      <c r="D276" t="s">
        <v>19</v>
      </c>
      <c r="E276" s="8">
        <v>0.58099999999999996</v>
      </c>
      <c r="F276" s="8">
        <v>0.6139</v>
      </c>
      <c r="G276" s="8">
        <v>0.59970000000000001</v>
      </c>
      <c r="H276" s="8">
        <v>0.55559999999999998</v>
      </c>
      <c r="I276" s="8">
        <f>I272/I271</f>
        <v>0.61997185714396563</v>
      </c>
    </row>
    <row r="277" spans="1:9">
      <c r="B277" s="1" t="s">
        <v>69</v>
      </c>
      <c r="D277" t="s">
        <v>20</v>
      </c>
      <c r="E277" s="8">
        <v>0.41199999999999998</v>
      </c>
      <c r="F277" s="8">
        <v>0.25019999999999998</v>
      </c>
      <c r="G277" s="8">
        <v>0.61060000000000003</v>
      </c>
      <c r="H277" s="8">
        <v>0.23400000000000001</v>
      </c>
      <c r="I277" s="8">
        <f>I272/I270</f>
        <v>0.29989609763019015</v>
      </c>
    </row>
    <row r="278" spans="1:9">
      <c r="B278" s="1" t="s">
        <v>69</v>
      </c>
    </row>
    <row r="279" spans="1:9">
      <c r="A279" t="s">
        <v>68</v>
      </c>
      <c r="B279" s="1" t="s">
        <v>71</v>
      </c>
      <c r="C279" t="s">
        <v>72</v>
      </c>
    </row>
    <row r="280" spans="1:9">
      <c r="B280" s="1" t="s">
        <v>71</v>
      </c>
      <c r="D280" t="s">
        <v>11</v>
      </c>
      <c r="E280" s="3">
        <v>161</v>
      </c>
      <c r="F280" s="3">
        <v>155</v>
      </c>
      <c r="G280" s="3">
        <v>183</v>
      </c>
      <c r="H280" s="3">
        <v>158</v>
      </c>
      <c r="I280" s="3">
        <f>VLOOKUP(B280,[1]Sheet3!$A$13:$E$198,5,TRUE)</f>
        <v>151</v>
      </c>
    </row>
    <row r="281" spans="1:9">
      <c r="B281" s="1" t="s">
        <v>71</v>
      </c>
      <c r="D281" t="s">
        <v>12</v>
      </c>
      <c r="E281" s="5">
        <v>41902</v>
      </c>
      <c r="F281" s="5">
        <v>43800</v>
      </c>
      <c r="G281" s="5">
        <v>35878.699999999997</v>
      </c>
      <c r="H281" s="5">
        <v>37192.5</v>
      </c>
      <c r="I281" s="3">
        <f>VLOOKUP(B281,[1]Sheet3!$A$13:$F$198,6,TRUE)</f>
        <v>40325.199999999997</v>
      </c>
    </row>
    <row r="282" spans="1:9">
      <c r="B282" s="1" t="s">
        <v>71</v>
      </c>
      <c r="D282" t="s">
        <v>23</v>
      </c>
      <c r="E282" s="5">
        <v>52895</v>
      </c>
      <c r="F282" s="5">
        <v>88885.54</v>
      </c>
      <c r="G282" s="5">
        <v>70247.48</v>
      </c>
      <c r="H282" s="5">
        <v>58974.44</v>
      </c>
      <c r="I282" s="3">
        <f>VLOOKUP(B282,[1]Sheet3!$A$13:$G$198,7,TRUE)</f>
        <v>114525.09</v>
      </c>
    </row>
    <row r="283" spans="1:9">
      <c r="B283" s="1" t="s">
        <v>71</v>
      </c>
      <c r="D283" t="s">
        <v>14</v>
      </c>
      <c r="E283" s="5">
        <v>28409.24</v>
      </c>
      <c r="F283" s="5">
        <v>41074.559999999998</v>
      </c>
      <c r="G283" s="5">
        <v>41074.559999999998</v>
      </c>
      <c r="H283" s="5">
        <v>32778.080000000002</v>
      </c>
      <c r="I283" s="3">
        <f>VLOOKUP(B283,[1]Sheet3!$A$13:$H$198,8,TRUE)</f>
        <v>48888.46</v>
      </c>
    </row>
    <row r="284" spans="1:9">
      <c r="B284" s="1" t="s">
        <v>71</v>
      </c>
      <c r="D284" t="s">
        <v>15</v>
      </c>
      <c r="E284" s="5">
        <v>16768.190000000002</v>
      </c>
      <c r="F284" s="5">
        <v>25378.67</v>
      </c>
      <c r="G284" s="5">
        <v>24633.69</v>
      </c>
      <c r="H284" s="5">
        <v>19232.11</v>
      </c>
      <c r="I284" s="3">
        <f>VLOOKUP(B284,[1]Sheet3!$A$13:$I$198,9,TRUE)</f>
        <v>31784.879999999997</v>
      </c>
    </row>
    <row r="285" spans="1:9">
      <c r="B285" s="1" t="s">
        <v>71</v>
      </c>
      <c r="D285" t="s">
        <v>16</v>
      </c>
      <c r="E285" s="5">
        <v>328.54</v>
      </c>
      <c r="F285" s="5">
        <v>573.46</v>
      </c>
      <c r="G285" s="5">
        <v>383.87</v>
      </c>
      <c r="H285" s="5">
        <v>373.26</v>
      </c>
      <c r="I285" s="5">
        <f>I282/I280</f>
        <v>758.44430463576157</v>
      </c>
    </row>
    <row r="286" spans="1:9">
      <c r="B286" s="1" t="s">
        <v>71</v>
      </c>
      <c r="D286" t="s">
        <v>17</v>
      </c>
      <c r="E286" s="6">
        <v>1.26</v>
      </c>
      <c r="F286" s="6">
        <v>2.0299999999999998</v>
      </c>
      <c r="G286" s="6">
        <v>1.96</v>
      </c>
      <c r="H286" s="6">
        <v>1.59</v>
      </c>
      <c r="I286" s="7">
        <f>I282/I281</f>
        <v>2.8400377431482053</v>
      </c>
    </row>
    <row r="287" spans="1:9">
      <c r="B287" s="1" t="s">
        <v>71</v>
      </c>
      <c r="D287" t="s">
        <v>18</v>
      </c>
      <c r="E287" s="8">
        <v>0.53710000000000002</v>
      </c>
      <c r="F287" s="8">
        <v>0.46210000000000001</v>
      </c>
      <c r="G287" s="8">
        <v>0.5847</v>
      </c>
      <c r="H287" s="8">
        <v>0.55579999999999996</v>
      </c>
      <c r="I287" s="8">
        <f>I283/I282</f>
        <v>0.42687990902255568</v>
      </c>
    </row>
    <row r="288" spans="1:9">
      <c r="B288" s="1" t="s">
        <v>71</v>
      </c>
      <c r="D288" t="s">
        <v>19</v>
      </c>
      <c r="E288" s="8">
        <v>0.59019999999999995</v>
      </c>
      <c r="F288" s="8">
        <v>0.6179</v>
      </c>
      <c r="G288" s="8">
        <v>0.59970000000000001</v>
      </c>
      <c r="H288" s="8">
        <v>0.5867</v>
      </c>
      <c r="I288" s="8">
        <f>I284/I283</f>
        <v>0.65015097632447405</v>
      </c>
    </row>
    <row r="289" spans="1:9">
      <c r="B289" s="1" t="s">
        <v>71</v>
      </c>
      <c r="D289" t="s">
        <v>20</v>
      </c>
      <c r="E289" s="8">
        <v>0.317</v>
      </c>
      <c r="F289" s="8">
        <v>0.28549999999999998</v>
      </c>
      <c r="G289" s="8">
        <v>0.35070000000000001</v>
      </c>
      <c r="H289" s="8">
        <v>0.3261</v>
      </c>
      <c r="I289" s="8">
        <f>I284/I282</f>
        <v>0.27753638962431726</v>
      </c>
    </row>
    <row r="290" spans="1:9">
      <c r="B290" s="1" t="s">
        <v>71</v>
      </c>
    </row>
    <row r="291" spans="1:9">
      <c r="A291" t="s">
        <v>73</v>
      </c>
      <c r="B291" s="1" t="s">
        <v>74</v>
      </c>
      <c r="C291" t="s">
        <v>75</v>
      </c>
    </row>
    <row r="292" spans="1:9">
      <c r="B292" s="1" t="s">
        <v>74</v>
      </c>
      <c r="D292" t="s">
        <v>11</v>
      </c>
      <c r="E292" s="3">
        <v>10938</v>
      </c>
      <c r="F292" s="3">
        <v>6098</v>
      </c>
      <c r="G292" s="3">
        <v>9797</v>
      </c>
      <c r="H292" s="3">
        <v>10938</v>
      </c>
      <c r="I292" s="3">
        <f>VLOOKUP(B292,[1]Sheet3!$A$13:$E$198,5,TRUE)</f>
        <v>8179</v>
      </c>
    </row>
    <row r="293" spans="1:9">
      <c r="B293" s="1" t="s">
        <v>74</v>
      </c>
      <c r="D293" t="s">
        <v>12</v>
      </c>
      <c r="E293" s="5">
        <v>1367572</v>
      </c>
      <c r="F293" s="5">
        <v>1665630.8</v>
      </c>
      <c r="G293" s="5">
        <v>1802560</v>
      </c>
      <c r="H293" s="5">
        <v>1375523</v>
      </c>
      <c r="I293" s="3">
        <f>VLOOKUP(B293,[1]Sheet3!$A$13:$F$198,6,TRUE)</f>
        <v>1587102</v>
      </c>
    </row>
    <row r="294" spans="1:9">
      <c r="B294" s="1" t="s">
        <v>74</v>
      </c>
      <c r="D294" t="s">
        <v>23</v>
      </c>
      <c r="E294" s="5">
        <v>4492402.79</v>
      </c>
      <c r="F294" s="5">
        <v>5713027.3099999996</v>
      </c>
      <c r="G294" s="5">
        <v>6159284.9400000004</v>
      </c>
      <c r="H294" s="5">
        <v>6249738.5800000001</v>
      </c>
      <c r="I294" s="3">
        <f>VLOOKUP(B294,[1]Sheet3!$A$13:$G$198,7,TRUE)</f>
        <v>6313404.0899999999</v>
      </c>
    </row>
    <row r="295" spans="1:9">
      <c r="B295" s="1" t="s">
        <v>74</v>
      </c>
      <c r="D295" t="s">
        <v>14</v>
      </c>
      <c r="E295" s="5">
        <v>1938875.71</v>
      </c>
      <c r="F295" s="5">
        <v>2352133.4500000002</v>
      </c>
      <c r="G295" s="5">
        <v>2537572.6799999997</v>
      </c>
      <c r="H295" s="5">
        <v>2528448.23</v>
      </c>
      <c r="I295" s="3">
        <f>VLOOKUP(B295,[1]Sheet3!$A$13:$H$198,8,TRUE)</f>
        <v>2535814.7599999998</v>
      </c>
    </row>
    <row r="296" spans="1:9">
      <c r="B296" s="1" t="s">
        <v>74</v>
      </c>
      <c r="D296" t="s">
        <v>15</v>
      </c>
      <c r="E296" s="5">
        <v>1126518.51</v>
      </c>
      <c r="F296" s="5">
        <v>1423045.97</v>
      </c>
      <c r="G296" s="5">
        <v>1540392.6199999999</v>
      </c>
      <c r="H296" s="5">
        <v>1549588.99</v>
      </c>
      <c r="I296" s="3">
        <f>VLOOKUP(B296,[1]Sheet3!$A$13:$I$198,9,TRUE)</f>
        <v>1562545.72</v>
      </c>
    </row>
    <row r="297" spans="1:9">
      <c r="B297" s="1" t="s">
        <v>74</v>
      </c>
      <c r="D297" t="s">
        <v>16</v>
      </c>
      <c r="E297" s="5">
        <v>410.72</v>
      </c>
      <c r="F297" s="5">
        <v>936.87</v>
      </c>
      <c r="G297" s="5">
        <v>628.69000000000005</v>
      </c>
      <c r="H297" s="5">
        <v>571.38</v>
      </c>
      <c r="I297" s="5">
        <f>I294/I292</f>
        <v>771.90415576476335</v>
      </c>
    </row>
    <row r="298" spans="1:9">
      <c r="B298" s="1" t="s">
        <v>74</v>
      </c>
      <c r="D298" t="s">
        <v>17</v>
      </c>
      <c r="E298" s="6">
        <v>3.28</v>
      </c>
      <c r="F298" s="6">
        <v>3.43</v>
      </c>
      <c r="G298" s="6">
        <v>3.42</v>
      </c>
      <c r="H298" s="6">
        <v>4.54</v>
      </c>
      <c r="I298" s="7">
        <f>I294/I293</f>
        <v>3.9779447634745591</v>
      </c>
    </row>
    <row r="299" spans="1:9">
      <c r="B299" s="1" t="s">
        <v>74</v>
      </c>
      <c r="D299" t="s">
        <v>18</v>
      </c>
      <c r="E299" s="8">
        <v>0.43159999999999998</v>
      </c>
      <c r="F299" s="8">
        <v>0.41170000000000001</v>
      </c>
      <c r="G299" s="8">
        <v>0.41199999999999998</v>
      </c>
      <c r="H299" s="8">
        <v>0.40460000000000002</v>
      </c>
      <c r="I299" s="8">
        <f>I295/I294</f>
        <v>0.40165570330221012</v>
      </c>
    </row>
    <row r="300" spans="1:9">
      <c r="B300" s="1" t="s">
        <v>74</v>
      </c>
      <c r="D300" t="s">
        <v>19</v>
      </c>
      <c r="E300" s="8">
        <v>0.58099999999999996</v>
      </c>
      <c r="F300" s="8">
        <v>0.60499999999999998</v>
      </c>
      <c r="G300" s="8">
        <v>0.60699999999999998</v>
      </c>
      <c r="H300" s="8">
        <v>0.6129</v>
      </c>
      <c r="I300" s="8">
        <f>I296/I295</f>
        <v>0.61619079778524521</v>
      </c>
    </row>
    <row r="301" spans="1:9">
      <c r="B301" s="1" t="s">
        <v>74</v>
      </c>
      <c r="D301" t="s">
        <v>20</v>
      </c>
      <c r="E301" s="8">
        <v>0.25080000000000002</v>
      </c>
      <c r="F301" s="8">
        <v>0.24909999999999999</v>
      </c>
      <c r="G301" s="8">
        <v>0.25009999999999999</v>
      </c>
      <c r="H301" s="8">
        <v>0.24790000000000001</v>
      </c>
      <c r="I301" s="8">
        <f>I296/I294</f>
        <v>0.24749654825278261</v>
      </c>
    </row>
    <row r="302" spans="1:9">
      <c r="B302" s="1" t="s">
        <v>74</v>
      </c>
    </row>
    <row r="303" spans="1:9">
      <c r="A303" t="s">
        <v>73</v>
      </c>
      <c r="B303" s="1" t="s">
        <v>76</v>
      </c>
      <c r="C303" t="s">
        <v>77</v>
      </c>
    </row>
    <row r="304" spans="1:9">
      <c r="B304" s="1" t="s">
        <v>76</v>
      </c>
      <c r="D304" t="s">
        <v>11</v>
      </c>
      <c r="E304" s="3">
        <v>16553</v>
      </c>
      <c r="F304" s="3">
        <v>8453</v>
      </c>
      <c r="G304" s="3">
        <v>9157</v>
      </c>
      <c r="H304" s="3">
        <v>9474</v>
      </c>
      <c r="I304" s="3">
        <f>VLOOKUP(B304,[1]Sheet3!$A$13:$E$198,5,TRUE)</f>
        <v>10077</v>
      </c>
    </row>
    <row r="305" spans="1:9">
      <c r="B305" s="1" t="s">
        <v>76</v>
      </c>
      <c r="D305" t="s">
        <v>12</v>
      </c>
      <c r="E305" s="5">
        <v>2175456</v>
      </c>
      <c r="F305" s="5">
        <v>2272220</v>
      </c>
      <c r="G305" s="5">
        <v>2305710</v>
      </c>
      <c r="H305" s="5">
        <v>2412297</v>
      </c>
      <c r="I305" s="3">
        <f>VLOOKUP(B305,[1]Sheet3!$A$13:$F$198,6,TRUE)</f>
        <v>2040714</v>
      </c>
    </row>
    <row r="306" spans="1:9">
      <c r="B306" s="1" t="s">
        <v>76</v>
      </c>
      <c r="D306" t="s">
        <v>23</v>
      </c>
      <c r="E306" s="5">
        <v>10685311.24</v>
      </c>
      <c r="F306" s="5">
        <v>11289253.949999999</v>
      </c>
      <c r="G306" s="5">
        <v>12167711.09</v>
      </c>
      <c r="H306" s="5">
        <v>12859564</v>
      </c>
      <c r="I306" s="3">
        <f>VLOOKUP(B306,[1]Sheet3!$A$13:$G$198,7,TRUE)</f>
        <v>12519529.869999999</v>
      </c>
    </row>
    <row r="307" spans="1:9">
      <c r="B307" s="1" t="s">
        <v>76</v>
      </c>
      <c r="D307" t="s">
        <v>14</v>
      </c>
      <c r="E307" s="5">
        <v>4163923.7399999998</v>
      </c>
      <c r="F307" s="5">
        <v>4392712.16</v>
      </c>
      <c r="G307" s="5">
        <v>4698632.6399999997</v>
      </c>
      <c r="H307" s="5">
        <v>4959656.26</v>
      </c>
      <c r="I307" s="3">
        <f>VLOOKUP(B307,[1]Sheet3!$A$13:$H$198,8,TRUE)</f>
        <v>4751429.57</v>
      </c>
    </row>
    <row r="308" spans="1:9">
      <c r="B308" s="1" t="s">
        <v>76</v>
      </c>
      <c r="D308" t="s">
        <v>15</v>
      </c>
      <c r="E308" s="5">
        <v>2444331.6</v>
      </c>
      <c r="F308" s="5">
        <v>2604935.96</v>
      </c>
      <c r="G308" s="5">
        <v>2848487.44</v>
      </c>
      <c r="H308" s="5">
        <v>3066524.85</v>
      </c>
      <c r="I308" s="3">
        <f>VLOOKUP(B308,[1]Sheet3!$A$13:$I$198,9,TRUE)</f>
        <v>3054596.54</v>
      </c>
    </row>
    <row r="309" spans="1:9">
      <c r="B309" s="1" t="s">
        <v>76</v>
      </c>
      <c r="D309" t="s">
        <v>16</v>
      </c>
      <c r="E309" s="5">
        <v>645.52</v>
      </c>
      <c r="F309" s="5">
        <v>1335.53</v>
      </c>
      <c r="G309" s="5">
        <v>1328.79</v>
      </c>
      <c r="H309" s="5">
        <v>1357.35</v>
      </c>
      <c r="I309" s="5">
        <f>I306/I304</f>
        <v>1242.3866101022129</v>
      </c>
    </row>
    <row r="310" spans="1:9">
      <c r="B310" s="1" t="s">
        <v>76</v>
      </c>
      <c r="D310" t="s">
        <v>17</v>
      </c>
      <c r="E310" s="6">
        <v>4.91</v>
      </c>
      <c r="F310" s="6">
        <v>4.97</v>
      </c>
      <c r="G310" s="6">
        <v>5.28</v>
      </c>
      <c r="H310" s="6">
        <v>5.33</v>
      </c>
      <c r="I310" s="7">
        <f>I306/I305</f>
        <v>6.1348772390447657</v>
      </c>
    </row>
    <row r="311" spans="1:9">
      <c r="B311" s="1" t="s">
        <v>76</v>
      </c>
      <c r="D311" t="s">
        <v>18</v>
      </c>
      <c r="E311" s="8">
        <v>0.38969999999999999</v>
      </c>
      <c r="F311" s="8">
        <v>0.3891</v>
      </c>
      <c r="G311" s="8">
        <v>0.38619999999999999</v>
      </c>
      <c r="H311" s="8">
        <v>0.38569999999999999</v>
      </c>
      <c r="I311" s="8">
        <f>I307/I306</f>
        <v>0.37952140530337669</v>
      </c>
    </row>
    <row r="312" spans="1:9">
      <c r="B312" s="1" t="s">
        <v>76</v>
      </c>
      <c r="D312" t="s">
        <v>19</v>
      </c>
      <c r="E312" s="8">
        <v>0.58699999999999997</v>
      </c>
      <c r="F312" s="8">
        <v>0.59299999999999997</v>
      </c>
      <c r="G312" s="8">
        <v>0.60619999999999996</v>
      </c>
      <c r="H312" s="8">
        <v>0.61829999999999996</v>
      </c>
      <c r="I312" s="8">
        <f>I308/I307</f>
        <v>0.64287947342971974</v>
      </c>
    </row>
    <row r="313" spans="1:9">
      <c r="B313" s="1" t="s">
        <v>76</v>
      </c>
      <c r="D313" t="s">
        <v>20</v>
      </c>
      <c r="E313" s="8">
        <v>0.2288</v>
      </c>
      <c r="F313" s="8">
        <v>0.23069999999999999</v>
      </c>
      <c r="G313" s="8">
        <v>0.2341</v>
      </c>
      <c r="H313" s="8">
        <v>0.23849999999999999</v>
      </c>
      <c r="I313" s="8">
        <f>I308/I306</f>
        <v>0.24398652119674205</v>
      </c>
    </row>
    <row r="314" spans="1:9">
      <c r="B314" s="1" t="s">
        <v>76</v>
      </c>
    </row>
    <row r="315" spans="1:9">
      <c r="A315" t="s">
        <v>78</v>
      </c>
      <c r="B315" s="1" t="s">
        <v>79</v>
      </c>
      <c r="C315" t="s">
        <v>80</v>
      </c>
    </row>
    <row r="316" spans="1:9">
      <c r="B316" s="1" t="s">
        <v>79</v>
      </c>
      <c r="D316" t="s">
        <v>11</v>
      </c>
      <c r="E316" s="3">
        <v>519</v>
      </c>
      <c r="F316" s="3">
        <v>493</v>
      </c>
      <c r="G316" s="3">
        <v>490</v>
      </c>
      <c r="H316" s="3">
        <v>507</v>
      </c>
      <c r="I316" s="3">
        <f>VLOOKUP(B316,[1]Sheet3!$A$13:$E$198,5,TRUE)</f>
        <v>472</v>
      </c>
    </row>
    <row r="317" spans="1:9">
      <c r="B317" s="1" t="s">
        <v>79</v>
      </c>
      <c r="D317" t="s">
        <v>12</v>
      </c>
      <c r="E317" s="5">
        <v>99879</v>
      </c>
      <c r="F317" s="5">
        <v>100130</v>
      </c>
      <c r="G317" s="5">
        <v>92480</v>
      </c>
      <c r="H317" s="5">
        <v>88368</v>
      </c>
      <c r="I317" s="3">
        <f>VLOOKUP(B317,[1]Sheet3!$A$13:$F$198,6,TRUE)</f>
        <v>88368</v>
      </c>
    </row>
    <row r="318" spans="1:9">
      <c r="B318" s="1" t="s">
        <v>79</v>
      </c>
      <c r="D318" t="s">
        <v>23</v>
      </c>
      <c r="E318" s="5">
        <v>307740.98</v>
      </c>
      <c r="F318" s="5">
        <v>302137.21000000002</v>
      </c>
      <c r="G318" s="5">
        <v>284042.56</v>
      </c>
      <c r="H318" s="5">
        <v>323546.99</v>
      </c>
      <c r="I318" s="3">
        <f>VLOOKUP(B318,[1]Sheet3!$A$13:$G$198,7,TRUE)</f>
        <v>347819.81</v>
      </c>
    </row>
    <row r="319" spans="1:9">
      <c r="B319" s="1" t="s">
        <v>79</v>
      </c>
      <c r="D319" t="s">
        <v>14</v>
      </c>
      <c r="E319" s="5">
        <v>135522.29</v>
      </c>
      <c r="F319" s="5">
        <v>129245</v>
      </c>
      <c r="G319" s="5">
        <v>127409.86000000002</v>
      </c>
      <c r="H319" s="5">
        <v>131715.74</v>
      </c>
      <c r="I319" s="3">
        <f>VLOOKUP(B319,[1]Sheet3!$A$13:$H$198,8,TRUE)</f>
        <v>139936.95000000001</v>
      </c>
    </row>
    <row r="320" spans="1:9">
      <c r="B320" s="1" t="s">
        <v>79</v>
      </c>
      <c r="D320" t="s">
        <v>15</v>
      </c>
      <c r="E320" s="5">
        <v>78740.67</v>
      </c>
      <c r="F320" s="5">
        <v>75382.25</v>
      </c>
      <c r="G320" s="5">
        <v>76228.260000000009</v>
      </c>
      <c r="H320" s="5">
        <v>81167.959999999992</v>
      </c>
      <c r="I320" s="3">
        <f>VLOOKUP(B320,[1]Sheet3!$A$13:$I$198,9,TRUE)</f>
        <v>87040.37</v>
      </c>
    </row>
    <row r="321" spans="1:9">
      <c r="B321" s="1" t="s">
        <v>79</v>
      </c>
      <c r="D321" t="s">
        <v>16</v>
      </c>
      <c r="E321" s="5">
        <v>592.95000000000005</v>
      </c>
      <c r="F321" s="5">
        <v>612.85</v>
      </c>
      <c r="G321" s="5">
        <v>579.67999999999995</v>
      </c>
      <c r="H321" s="5">
        <v>638.16</v>
      </c>
      <c r="I321" s="5">
        <f>I318/I316</f>
        <v>736.90637711864406</v>
      </c>
    </row>
    <row r="322" spans="1:9">
      <c r="B322" s="1" t="s">
        <v>79</v>
      </c>
      <c r="D322" t="s">
        <v>17</v>
      </c>
      <c r="E322" s="6">
        <v>3.08</v>
      </c>
      <c r="F322" s="6">
        <v>3.02</v>
      </c>
      <c r="G322" s="6">
        <v>3.07</v>
      </c>
      <c r="H322" s="6">
        <v>3.66</v>
      </c>
      <c r="I322" s="7">
        <f>I318/I317</f>
        <v>3.9360380454463155</v>
      </c>
    </row>
    <row r="323" spans="1:9">
      <c r="B323" s="1" t="s">
        <v>79</v>
      </c>
      <c r="D323" t="s">
        <v>18</v>
      </c>
      <c r="E323" s="8">
        <v>0.44040000000000001</v>
      </c>
      <c r="F323" s="8">
        <v>0.42780000000000001</v>
      </c>
      <c r="G323" s="8">
        <v>0.4486</v>
      </c>
      <c r="H323" s="8">
        <v>0.40710000000000002</v>
      </c>
      <c r="I323" s="8">
        <f>I319/I318</f>
        <v>0.40232599172542821</v>
      </c>
    </row>
    <row r="324" spans="1:9">
      <c r="B324" s="1" t="s">
        <v>79</v>
      </c>
      <c r="D324" t="s">
        <v>19</v>
      </c>
      <c r="E324" s="8">
        <v>0.58099999999999996</v>
      </c>
      <c r="F324" s="8">
        <v>0.58330000000000004</v>
      </c>
      <c r="G324" s="8">
        <v>0.59830000000000005</v>
      </c>
      <c r="H324" s="8">
        <v>0.61619999999999997</v>
      </c>
      <c r="I324" s="8">
        <f>I320/I319</f>
        <v>0.6219970493854553</v>
      </c>
    </row>
    <row r="325" spans="1:9">
      <c r="B325" s="1" t="s">
        <v>79</v>
      </c>
      <c r="D325" t="s">
        <v>20</v>
      </c>
      <c r="E325" s="8">
        <v>0.25590000000000002</v>
      </c>
      <c r="F325" s="8">
        <v>0.2495</v>
      </c>
      <c r="G325" s="8">
        <v>0.26840000000000003</v>
      </c>
      <c r="H325" s="8">
        <v>0.25090000000000001</v>
      </c>
      <c r="I325" s="8">
        <f>I320/I318</f>
        <v>0.25024557974429346</v>
      </c>
    </row>
    <row r="326" spans="1:9">
      <c r="B326" s="1" t="s">
        <v>79</v>
      </c>
    </row>
    <row r="327" spans="1:9">
      <c r="A327" t="s">
        <v>78</v>
      </c>
      <c r="B327" s="1" t="s">
        <v>81</v>
      </c>
      <c r="C327" t="s">
        <v>82</v>
      </c>
    </row>
    <row r="328" spans="1:9">
      <c r="B328" s="1" t="s">
        <v>81</v>
      </c>
      <c r="D328" t="s">
        <v>11</v>
      </c>
      <c r="E328" s="3">
        <v>356</v>
      </c>
      <c r="F328" s="3">
        <v>393</v>
      </c>
      <c r="G328" s="3">
        <v>349</v>
      </c>
      <c r="H328" s="3">
        <v>360</v>
      </c>
      <c r="I328" s="3">
        <f>VLOOKUP(B328,[1]Sheet3!$A$13:$E$198,5,TRUE)</f>
        <v>231</v>
      </c>
    </row>
    <row r="329" spans="1:9">
      <c r="B329" s="1" t="s">
        <v>81</v>
      </c>
      <c r="D329" t="s">
        <v>12</v>
      </c>
      <c r="E329" s="5">
        <v>60480</v>
      </c>
      <c r="F329" s="5">
        <v>48960</v>
      </c>
      <c r="G329" s="5">
        <v>52020</v>
      </c>
      <c r="H329" s="5">
        <v>48300</v>
      </c>
      <c r="I329" s="3">
        <f>VLOOKUP(B329,[1]Sheet3!$A$13:$F$198,6,TRUE)</f>
        <v>43800</v>
      </c>
    </row>
    <row r="330" spans="1:9">
      <c r="B330" s="1" t="s">
        <v>81</v>
      </c>
      <c r="D330" t="s">
        <v>23</v>
      </c>
      <c r="E330" s="5">
        <v>93759.01</v>
      </c>
      <c r="F330" s="5">
        <v>164667.79</v>
      </c>
      <c r="G330" s="5">
        <v>176380.73</v>
      </c>
      <c r="H330" s="5">
        <v>203413.5</v>
      </c>
      <c r="I330" s="3">
        <f>VLOOKUP(B330,[1]Sheet3!$A$13:$G$198,7,TRUE)</f>
        <v>184927.78</v>
      </c>
    </row>
    <row r="331" spans="1:9">
      <c r="B331" s="1" t="s">
        <v>81</v>
      </c>
      <c r="D331" t="s">
        <v>14</v>
      </c>
      <c r="E331" s="5">
        <v>82357.73</v>
      </c>
      <c r="F331" s="5">
        <v>68034.239999999991</v>
      </c>
      <c r="G331" s="5">
        <v>72767.739999999991</v>
      </c>
      <c r="H331" s="5">
        <v>80992.13</v>
      </c>
      <c r="I331" s="3">
        <f>VLOOKUP(B331,[1]Sheet3!$A$13:$H$198,8,TRUE)</f>
        <v>73604.06</v>
      </c>
    </row>
    <row r="332" spans="1:9">
      <c r="B332" s="1" t="s">
        <v>81</v>
      </c>
      <c r="D332" t="s">
        <v>15</v>
      </c>
      <c r="E332" s="5">
        <v>46882.57</v>
      </c>
      <c r="F332" s="5">
        <v>38612.269999999997</v>
      </c>
      <c r="G332" s="5">
        <v>44114.11</v>
      </c>
      <c r="H332" s="5">
        <v>50485.86</v>
      </c>
      <c r="I332" s="3">
        <f>VLOOKUP(B332,[1]Sheet3!$A$13:$I$198,9,TRUE)</f>
        <v>49882.14</v>
      </c>
    </row>
    <row r="333" spans="1:9">
      <c r="B333" s="1" t="s">
        <v>81</v>
      </c>
      <c r="D333" t="s">
        <v>16</v>
      </c>
      <c r="E333" s="5">
        <v>263.37</v>
      </c>
      <c r="F333" s="5">
        <v>419</v>
      </c>
      <c r="G333" s="5">
        <v>505.39</v>
      </c>
      <c r="H333" s="5">
        <v>565.04</v>
      </c>
      <c r="I333" s="5">
        <f>I330/I328</f>
        <v>800.55316017316022</v>
      </c>
    </row>
    <row r="334" spans="1:9">
      <c r="B334" s="1" t="s">
        <v>81</v>
      </c>
      <c r="D334" t="s">
        <v>17</v>
      </c>
      <c r="E334" s="6">
        <v>1.55</v>
      </c>
      <c r="F334" s="6">
        <v>3.36</v>
      </c>
      <c r="G334" s="6">
        <v>3.39</v>
      </c>
      <c r="H334" s="6">
        <v>4.21</v>
      </c>
      <c r="I334" s="7">
        <f>I330/I329</f>
        <v>4.2220954337899546</v>
      </c>
    </row>
    <row r="335" spans="1:9">
      <c r="B335" s="1" t="s">
        <v>81</v>
      </c>
      <c r="D335" t="s">
        <v>18</v>
      </c>
      <c r="E335" s="8">
        <v>0.87839999999999996</v>
      </c>
      <c r="F335" s="8">
        <v>0.41320000000000001</v>
      </c>
      <c r="G335" s="8">
        <v>0.41260000000000002</v>
      </c>
      <c r="H335" s="8">
        <v>0.3982</v>
      </c>
      <c r="I335" s="8">
        <f>I331/I330</f>
        <v>0.39801516029663037</v>
      </c>
    </row>
    <row r="336" spans="1:9">
      <c r="B336" s="1" t="s">
        <v>81</v>
      </c>
      <c r="D336" t="s">
        <v>19</v>
      </c>
      <c r="E336" s="8">
        <v>0.56930000000000003</v>
      </c>
      <c r="F336" s="8">
        <v>0.5675</v>
      </c>
      <c r="G336" s="8">
        <v>0.60619999999999996</v>
      </c>
      <c r="H336" s="8">
        <v>0.62329999999999997</v>
      </c>
      <c r="I336" s="8">
        <f>I332/I331</f>
        <v>0.67770908289569898</v>
      </c>
    </row>
    <row r="337" spans="1:9">
      <c r="B337" s="1" t="s">
        <v>81</v>
      </c>
      <c r="D337" t="s">
        <v>20</v>
      </c>
      <c r="E337" s="8">
        <v>0.5</v>
      </c>
      <c r="F337" s="8">
        <v>0.23449999999999999</v>
      </c>
      <c r="G337" s="8">
        <v>0.25009999999999999</v>
      </c>
      <c r="H337" s="8">
        <v>0.2482</v>
      </c>
      <c r="I337" s="8">
        <f>I332/I330</f>
        <v>0.26973848926321398</v>
      </c>
    </row>
    <row r="338" spans="1:9">
      <c r="B338" s="1" t="s">
        <v>81</v>
      </c>
    </row>
    <row r="339" spans="1:9">
      <c r="A339" t="s">
        <v>83</v>
      </c>
      <c r="B339" s="1" t="s">
        <v>84</v>
      </c>
      <c r="C339" t="s">
        <v>85</v>
      </c>
    </row>
    <row r="340" spans="1:9">
      <c r="B340" s="1" t="s">
        <v>84</v>
      </c>
      <c r="D340" t="s">
        <v>11</v>
      </c>
      <c r="E340" s="3">
        <v>69</v>
      </c>
      <c r="F340" s="3">
        <v>59</v>
      </c>
      <c r="G340" s="3">
        <v>71</v>
      </c>
      <c r="H340" s="3">
        <v>59</v>
      </c>
      <c r="I340" s="3">
        <f>VLOOKUP(B340,[1]Sheet3!$A$13:$E$198,5,TRUE)</f>
        <v>63</v>
      </c>
    </row>
    <row r="341" spans="1:9">
      <c r="B341" s="1" t="s">
        <v>84</v>
      </c>
      <c r="D341" t="s">
        <v>12</v>
      </c>
      <c r="E341" s="5">
        <v>198697</v>
      </c>
      <c r="F341" s="5">
        <v>114752</v>
      </c>
      <c r="G341" s="5">
        <v>97566</v>
      </c>
      <c r="H341" s="5">
        <v>88938</v>
      </c>
      <c r="I341" s="3">
        <f>VLOOKUP(B341,[1]Sheet3!$A$13:$F$198,6,TRUE)</f>
        <v>92565</v>
      </c>
    </row>
    <row r="342" spans="1:9">
      <c r="B342" s="1" t="s">
        <v>84</v>
      </c>
      <c r="D342" t="s">
        <v>23</v>
      </c>
      <c r="E342" s="5">
        <v>146109</v>
      </c>
      <c r="F342" s="5">
        <v>124694</v>
      </c>
      <c r="G342" s="5">
        <v>137657</v>
      </c>
      <c r="H342" s="5">
        <v>146899</v>
      </c>
      <c r="I342" s="3">
        <f>VLOOKUP(B342,[1]Sheet3!$A$13:$G$198,7,TRUE)</f>
        <v>157776</v>
      </c>
    </row>
    <row r="343" spans="1:9">
      <c r="B343" s="1" t="s">
        <v>84</v>
      </c>
      <c r="D343" t="s">
        <v>14</v>
      </c>
      <c r="E343" s="5">
        <v>99247.66</v>
      </c>
      <c r="F343" s="5">
        <v>99247.66</v>
      </c>
      <c r="G343" s="5">
        <v>71058.299999999988</v>
      </c>
      <c r="H343" s="5">
        <v>72027.820000000007</v>
      </c>
      <c r="I343" s="3">
        <f>VLOOKUP(B343,[1]Sheet3!$A$13:$H$198,8,TRUE)</f>
        <v>76620.19</v>
      </c>
    </row>
    <row r="344" spans="1:9">
      <c r="B344" s="1" t="s">
        <v>84</v>
      </c>
      <c r="D344" t="s">
        <v>15</v>
      </c>
      <c r="E344" s="5">
        <v>60298.159999999996</v>
      </c>
      <c r="F344" s="5">
        <v>58353.799999999996</v>
      </c>
      <c r="G344" s="5">
        <v>39798.83</v>
      </c>
      <c r="H344" s="5">
        <v>44243.159999999996</v>
      </c>
      <c r="I344" s="3">
        <f>VLOOKUP(B344,[1]Sheet3!$A$13:$I$198,9,TRUE)</f>
        <v>47667</v>
      </c>
    </row>
    <row r="345" spans="1:9">
      <c r="B345" s="1" t="s">
        <v>84</v>
      </c>
      <c r="D345" t="s">
        <v>16</v>
      </c>
      <c r="E345" s="5">
        <v>2117.52</v>
      </c>
      <c r="F345" s="5">
        <v>2113.46</v>
      </c>
      <c r="G345" s="5">
        <v>1938.83</v>
      </c>
      <c r="H345" s="5">
        <v>2489.81</v>
      </c>
      <c r="I345" s="5">
        <f>I342/I340</f>
        <v>2504.3809523809523</v>
      </c>
    </row>
    <row r="346" spans="1:9">
      <c r="B346" s="1" t="s">
        <v>84</v>
      </c>
      <c r="D346" t="s">
        <v>17</v>
      </c>
      <c r="E346" s="6">
        <v>0.74</v>
      </c>
      <c r="F346" s="6">
        <v>1.0900000000000001</v>
      </c>
      <c r="G346" s="6">
        <v>1.41</v>
      </c>
      <c r="H346" s="6">
        <v>1.65</v>
      </c>
      <c r="I346" s="7">
        <f>I342/I341</f>
        <v>1.7044887376438178</v>
      </c>
    </row>
    <row r="347" spans="1:9">
      <c r="B347" s="1" t="s">
        <v>84</v>
      </c>
      <c r="D347" t="s">
        <v>18</v>
      </c>
      <c r="E347" s="8">
        <v>0.67930000000000001</v>
      </c>
      <c r="F347" s="8">
        <v>0.79590000000000005</v>
      </c>
      <c r="G347" s="8">
        <v>0.51619999999999999</v>
      </c>
      <c r="H347" s="8">
        <v>0.49030000000000001</v>
      </c>
      <c r="I347" s="8">
        <f>I343/I342</f>
        <v>0.48562639438190852</v>
      </c>
    </row>
    <row r="348" spans="1:9">
      <c r="B348" s="1" t="s">
        <v>84</v>
      </c>
      <c r="D348" t="s">
        <v>19</v>
      </c>
      <c r="E348" s="8">
        <v>0.60760000000000003</v>
      </c>
      <c r="F348" s="8">
        <v>0.58799999999999997</v>
      </c>
      <c r="G348" s="8">
        <v>0.56010000000000004</v>
      </c>
      <c r="H348" s="8">
        <v>0.61429999999999996</v>
      </c>
      <c r="I348" s="8">
        <f>I344/I343</f>
        <v>0.62212061859935353</v>
      </c>
    </row>
    <row r="349" spans="1:9">
      <c r="B349" s="1" t="s">
        <v>84</v>
      </c>
      <c r="D349" t="s">
        <v>20</v>
      </c>
      <c r="E349" s="8">
        <v>0.41270000000000001</v>
      </c>
      <c r="F349" s="8">
        <v>0.46800000000000003</v>
      </c>
      <c r="G349" s="8">
        <v>0.28910000000000002</v>
      </c>
      <c r="H349" s="8">
        <v>0.30120000000000002</v>
      </c>
      <c r="I349" s="8">
        <f>I344/I342</f>
        <v>0.30211819288104652</v>
      </c>
    </row>
    <row r="350" spans="1:9">
      <c r="B350" s="1" t="s">
        <v>84</v>
      </c>
    </row>
    <row r="351" spans="1:9">
      <c r="A351" t="s">
        <v>83</v>
      </c>
      <c r="B351" s="1" t="s">
        <v>86</v>
      </c>
      <c r="C351" t="s">
        <v>87</v>
      </c>
    </row>
    <row r="352" spans="1:9">
      <c r="B352" s="1" t="s">
        <v>86</v>
      </c>
      <c r="D352" t="s">
        <v>11</v>
      </c>
      <c r="E352" s="3">
        <v>91</v>
      </c>
      <c r="F352" s="3">
        <v>90</v>
      </c>
      <c r="G352" s="3">
        <v>88</v>
      </c>
      <c r="H352" s="3">
        <v>93</v>
      </c>
      <c r="I352" s="3">
        <f>VLOOKUP(B352,[1]Sheet3!$A$13:$E$198,5,TRUE)</f>
        <v>112</v>
      </c>
    </row>
    <row r="353" spans="1:9">
      <c r="B353" s="1" t="s">
        <v>86</v>
      </c>
      <c r="D353" t="s">
        <v>12</v>
      </c>
      <c r="E353" s="5">
        <v>87285</v>
      </c>
      <c r="F353" s="5">
        <v>80850</v>
      </c>
      <c r="G353" s="5">
        <v>92274</v>
      </c>
      <c r="H353" s="5">
        <v>92747</v>
      </c>
      <c r="I353" s="3">
        <f>VLOOKUP(B353,[1]Sheet3!$A$13:$F$198,6,TRUE)</f>
        <v>89925</v>
      </c>
    </row>
    <row r="354" spans="1:9">
      <c r="B354" s="1" t="s">
        <v>86</v>
      </c>
      <c r="D354" t="s">
        <v>23</v>
      </c>
      <c r="E354" s="5">
        <v>93718.42</v>
      </c>
      <c r="F354" s="5">
        <v>94745.35</v>
      </c>
      <c r="G354" s="5">
        <v>94523.29</v>
      </c>
      <c r="H354" s="5">
        <v>122908.8</v>
      </c>
      <c r="I354" s="3">
        <f>VLOOKUP(B354,[1]Sheet3!$A$13:$G$198,7,TRUE)</f>
        <v>122298.22</v>
      </c>
    </row>
    <row r="355" spans="1:9">
      <c r="B355" s="1" t="s">
        <v>86</v>
      </c>
      <c r="D355" t="s">
        <v>14</v>
      </c>
      <c r="E355" s="5">
        <v>53601.59</v>
      </c>
      <c r="F355" s="5">
        <v>53601.59</v>
      </c>
      <c r="G355" s="5">
        <v>55123.61</v>
      </c>
      <c r="H355" s="5">
        <v>64856.240000000005</v>
      </c>
      <c r="I355" s="3">
        <f>VLOOKUP(B355,[1]Sheet3!$A$13:$H$198,8,TRUE)</f>
        <v>63942.71</v>
      </c>
    </row>
    <row r="356" spans="1:9">
      <c r="B356" s="1" t="s">
        <v>86</v>
      </c>
      <c r="D356" t="s">
        <v>15</v>
      </c>
      <c r="E356" s="5">
        <v>31317.7</v>
      </c>
      <c r="F356" s="5">
        <v>31515.67</v>
      </c>
      <c r="G356" s="5">
        <v>33211.440000000002</v>
      </c>
      <c r="H356" s="5">
        <v>40752.46</v>
      </c>
      <c r="I356" s="3">
        <f>VLOOKUP(B356,[1]Sheet3!$A$13:$I$198,9,TRUE)</f>
        <v>39944.229999999996</v>
      </c>
    </row>
    <row r="357" spans="1:9">
      <c r="B357" s="1" t="s">
        <v>86</v>
      </c>
      <c r="D357" t="s">
        <v>16</v>
      </c>
      <c r="E357" s="5">
        <v>1029.8699999999999</v>
      </c>
      <c r="F357" s="5">
        <v>1052.73</v>
      </c>
      <c r="G357" s="5">
        <v>1074.1300000000001</v>
      </c>
      <c r="H357" s="5">
        <v>1321.6</v>
      </c>
      <c r="I357" s="5">
        <f>I354/I352</f>
        <v>1091.9483928571428</v>
      </c>
    </row>
    <row r="358" spans="1:9">
      <c r="B358" s="1" t="s">
        <v>86</v>
      </c>
      <c r="D358" t="s">
        <v>17</v>
      </c>
      <c r="E358" s="6">
        <v>1.07</v>
      </c>
      <c r="F358" s="6">
        <v>1.17</v>
      </c>
      <c r="G358" s="6">
        <v>1.02</v>
      </c>
      <c r="H358" s="6">
        <v>1.33</v>
      </c>
      <c r="I358" s="7">
        <f>I354/I353</f>
        <v>1.3600024464831804</v>
      </c>
    </row>
    <row r="359" spans="1:9">
      <c r="B359" s="1" t="s">
        <v>86</v>
      </c>
      <c r="D359" t="s">
        <v>18</v>
      </c>
      <c r="E359" s="8">
        <v>0.57189999999999996</v>
      </c>
      <c r="F359" s="8">
        <v>0.56569999999999998</v>
      </c>
      <c r="G359" s="8">
        <v>0.58320000000000005</v>
      </c>
      <c r="H359" s="8">
        <v>0.52769999999999995</v>
      </c>
      <c r="I359" s="8">
        <f>I355/I354</f>
        <v>0.5228425237914337</v>
      </c>
    </row>
    <row r="360" spans="1:9">
      <c r="B360" s="1" t="s">
        <v>86</v>
      </c>
      <c r="D360" t="s">
        <v>19</v>
      </c>
      <c r="E360" s="8">
        <v>0.58430000000000004</v>
      </c>
      <c r="F360" s="8">
        <v>0.58799999999999997</v>
      </c>
      <c r="G360" s="8">
        <v>0.60250000000000004</v>
      </c>
      <c r="H360" s="8">
        <v>0.62839999999999996</v>
      </c>
      <c r="I360" s="8">
        <f>I356/I355</f>
        <v>0.62468778692676608</v>
      </c>
    </row>
    <row r="361" spans="1:9">
      <c r="B361" s="1" t="s">
        <v>86</v>
      </c>
      <c r="D361" t="s">
        <v>20</v>
      </c>
      <c r="E361" s="8">
        <v>0.3342</v>
      </c>
      <c r="F361" s="8">
        <v>0.33260000000000001</v>
      </c>
      <c r="G361" s="8">
        <v>0.35139999999999999</v>
      </c>
      <c r="H361" s="8">
        <v>0.33160000000000001</v>
      </c>
      <c r="I361" s="8">
        <f>I356/I354</f>
        <v>0.32661333909847579</v>
      </c>
    </row>
    <row r="362" spans="1:9">
      <c r="B362" s="1" t="s">
        <v>86</v>
      </c>
    </row>
    <row r="363" spans="1:9">
      <c r="A363" t="s">
        <v>88</v>
      </c>
      <c r="B363" s="1" t="s">
        <v>89</v>
      </c>
      <c r="C363" t="s">
        <v>90</v>
      </c>
    </row>
    <row r="364" spans="1:9">
      <c r="B364" s="1" t="s">
        <v>89</v>
      </c>
      <c r="D364" t="s">
        <v>11</v>
      </c>
      <c r="E364" s="3">
        <v>497</v>
      </c>
      <c r="F364" s="3">
        <v>535</v>
      </c>
      <c r="G364" s="3">
        <v>602</v>
      </c>
      <c r="H364" s="3">
        <v>717</v>
      </c>
      <c r="I364" s="3">
        <f>VLOOKUP(B364,[1]Sheet3!$A$13:$E$198,5,TRUE)</f>
        <v>600</v>
      </c>
    </row>
    <row r="365" spans="1:9">
      <c r="B365" s="1" t="s">
        <v>89</v>
      </c>
      <c r="D365" t="s">
        <v>12</v>
      </c>
      <c r="E365" s="5">
        <v>261918.3</v>
      </c>
      <c r="F365" s="5">
        <v>275839</v>
      </c>
      <c r="G365" s="5">
        <v>266877.2</v>
      </c>
      <c r="H365" s="5">
        <v>305423.40000000002</v>
      </c>
      <c r="I365" s="3">
        <f>VLOOKUP(B365,[1]Sheet3!$A$13:$F$198,6,TRUE)</f>
        <v>253133.4</v>
      </c>
    </row>
    <row r="366" spans="1:9">
      <c r="B366" s="1" t="s">
        <v>89</v>
      </c>
      <c r="D366" t="s">
        <v>23</v>
      </c>
      <c r="E366" s="5">
        <v>689205.21</v>
      </c>
      <c r="F366" s="5">
        <v>667735.02</v>
      </c>
      <c r="G366" s="5">
        <v>695501.54</v>
      </c>
      <c r="H366" s="5">
        <v>743923.71</v>
      </c>
      <c r="I366" s="3">
        <f>VLOOKUP(B366,[1]Sheet3!$A$13:$G$198,7,TRUE)</f>
        <v>757220.45</v>
      </c>
    </row>
    <row r="367" spans="1:9">
      <c r="B367" s="1" t="s">
        <v>89</v>
      </c>
      <c r="D367" t="s">
        <v>14</v>
      </c>
      <c r="E367" s="5">
        <v>299027.13</v>
      </c>
      <c r="F367" s="5">
        <v>299027.13</v>
      </c>
      <c r="G367" s="5">
        <v>302401.57999999996</v>
      </c>
      <c r="H367" s="5">
        <v>328455.45999999996</v>
      </c>
      <c r="I367" s="3">
        <f>VLOOKUP(B367,[1]Sheet3!$A$13:$H$198,8,TRUE)</f>
        <v>319863.86</v>
      </c>
    </row>
    <row r="368" spans="1:9">
      <c r="B368" s="1" t="s">
        <v>89</v>
      </c>
      <c r="D368" t="s">
        <v>15</v>
      </c>
      <c r="E368" s="5">
        <v>175639.54</v>
      </c>
      <c r="F368" s="5">
        <v>175816.45</v>
      </c>
      <c r="G368" s="5">
        <v>181696.84</v>
      </c>
      <c r="H368" s="5">
        <v>203986.91999999998</v>
      </c>
      <c r="I368" s="3">
        <f>VLOOKUP(B368,[1]Sheet3!$A$13:$I$198,9,TRUE)</f>
        <v>202292.03</v>
      </c>
    </row>
    <row r="369" spans="1:9">
      <c r="B369" s="1" t="s">
        <v>89</v>
      </c>
      <c r="D369" t="s">
        <v>16</v>
      </c>
      <c r="E369" s="5">
        <v>1386.73</v>
      </c>
      <c r="F369" s="5">
        <v>1248.0999999999999</v>
      </c>
      <c r="G369" s="5">
        <v>1155.32</v>
      </c>
      <c r="H369" s="5">
        <v>1037.55</v>
      </c>
      <c r="I369" s="5">
        <f>I366/I364</f>
        <v>1262.0340833333332</v>
      </c>
    </row>
    <row r="370" spans="1:9">
      <c r="B370" s="1" t="s">
        <v>89</v>
      </c>
      <c r="D370" t="s">
        <v>17</v>
      </c>
      <c r="E370" s="6">
        <v>2.63</v>
      </c>
      <c r="F370" s="6">
        <v>2.42</v>
      </c>
      <c r="G370" s="6">
        <v>2.61</v>
      </c>
      <c r="H370" s="6">
        <v>2.44</v>
      </c>
      <c r="I370" s="7">
        <f>I366/I365</f>
        <v>2.9913889277353363</v>
      </c>
    </row>
    <row r="371" spans="1:9">
      <c r="B371" s="1" t="s">
        <v>89</v>
      </c>
      <c r="D371" t="s">
        <v>18</v>
      </c>
      <c r="E371" s="8">
        <v>0.43390000000000001</v>
      </c>
      <c r="F371" s="8">
        <v>0.44779999999999998</v>
      </c>
      <c r="G371" s="8">
        <v>0.43480000000000002</v>
      </c>
      <c r="H371" s="8">
        <v>0.4415</v>
      </c>
      <c r="I371" s="8">
        <f>I367/I366</f>
        <v>0.42241841196972429</v>
      </c>
    </row>
    <row r="372" spans="1:9">
      <c r="B372" s="1" t="s">
        <v>89</v>
      </c>
      <c r="D372" t="s">
        <v>19</v>
      </c>
      <c r="E372" s="8">
        <v>0.58740000000000003</v>
      </c>
      <c r="F372" s="8">
        <v>0.58799999999999997</v>
      </c>
      <c r="G372" s="8">
        <v>0.6008</v>
      </c>
      <c r="H372" s="8">
        <v>0.621</v>
      </c>
      <c r="I372" s="8">
        <f>I368/I367</f>
        <v>0.6324316538917526</v>
      </c>
    </row>
    <row r="373" spans="1:9">
      <c r="B373" s="1" t="s">
        <v>89</v>
      </c>
      <c r="D373" t="s">
        <v>20</v>
      </c>
      <c r="E373" s="8">
        <v>0.25480000000000003</v>
      </c>
      <c r="F373" s="8">
        <v>0.26329999999999998</v>
      </c>
      <c r="G373" s="8">
        <v>0.26119999999999999</v>
      </c>
      <c r="H373" s="8">
        <v>0.2742</v>
      </c>
      <c r="I373" s="8">
        <f>I368/I366</f>
        <v>0.26715077491634043</v>
      </c>
    </row>
    <row r="374" spans="1:9">
      <c r="B374" s="1" t="s">
        <v>89</v>
      </c>
    </row>
    <row r="375" spans="1:9">
      <c r="A375" t="s">
        <v>91</v>
      </c>
      <c r="B375" s="1" t="s">
        <v>92</v>
      </c>
      <c r="C375" t="s">
        <v>93</v>
      </c>
    </row>
    <row r="376" spans="1:9">
      <c r="B376" s="1" t="s">
        <v>92</v>
      </c>
      <c r="D376" t="s">
        <v>11</v>
      </c>
      <c r="E376" s="3">
        <v>925</v>
      </c>
      <c r="F376" s="3">
        <v>918</v>
      </c>
      <c r="G376" s="3">
        <v>891</v>
      </c>
      <c r="H376" s="3">
        <v>786</v>
      </c>
      <c r="I376" s="3">
        <f>VLOOKUP(B376,[1]Sheet3!$A$13:$E$198,5,TRUE)</f>
        <v>922</v>
      </c>
    </row>
    <row r="377" spans="1:9">
      <c r="B377" s="1" t="s">
        <v>92</v>
      </c>
      <c r="D377" t="s">
        <v>12</v>
      </c>
      <c r="E377" s="5">
        <v>127100</v>
      </c>
      <c r="F377" s="5">
        <v>109890</v>
      </c>
      <c r="G377" s="5">
        <v>106108</v>
      </c>
      <c r="H377" s="5">
        <v>108735</v>
      </c>
      <c r="I377" s="3">
        <f>VLOOKUP(B377,[1]Sheet3!$A$13:$F$198,6,TRUE)</f>
        <v>104775</v>
      </c>
    </row>
    <row r="378" spans="1:9">
      <c r="B378" s="1" t="s">
        <v>92</v>
      </c>
      <c r="D378" t="s">
        <v>23</v>
      </c>
      <c r="E378" s="5">
        <v>278545</v>
      </c>
      <c r="F378" s="5">
        <v>283017</v>
      </c>
      <c r="G378" s="5">
        <v>289194</v>
      </c>
      <c r="H378" s="5">
        <v>322853.78000000003</v>
      </c>
      <c r="I378" s="3">
        <f>VLOOKUP(B378,[1]Sheet3!$A$13:$G$198,7,TRUE)</f>
        <v>412777.06</v>
      </c>
    </row>
    <row r="379" spans="1:9">
      <c r="B379" s="1" t="s">
        <v>92</v>
      </c>
      <c r="D379" t="s">
        <v>14</v>
      </c>
      <c r="E379" s="5">
        <v>126173.38999999998</v>
      </c>
      <c r="F379" s="5">
        <v>126173.38999999998</v>
      </c>
      <c r="G379" s="5">
        <v>124523.09</v>
      </c>
      <c r="H379" s="5">
        <v>136581.54999999999</v>
      </c>
      <c r="I379" s="3">
        <f>VLOOKUP(B379,[1]Sheet3!$A$13:$H$198,8,TRUE)</f>
        <v>166046.84</v>
      </c>
    </row>
    <row r="380" spans="1:9">
      <c r="B380" s="1" t="s">
        <v>92</v>
      </c>
      <c r="D380" t="s">
        <v>15</v>
      </c>
      <c r="E380" s="5">
        <v>73407.05</v>
      </c>
      <c r="F380" s="5">
        <v>74185.100000000006</v>
      </c>
      <c r="G380" s="5">
        <v>74515.45</v>
      </c>
      <c r="H380" s="5">
        <v>84950.21</v>
      </c>
      <c r="I380" s="3">
        <f>VLOOKUP(B380,[1]Sheet3!$A$13:$I$198,9,TRUE)</f>
        <v>105329.95999999999</v>
      </c>
    </row>
    <row r="381" spans="1:9">
      <c r="B381" s="1" t="s">
        <v>92</v>
      </c>
      <c r="D381" t="s">
        <v>16</v>
      </c>
      <c r="E381" s="5">
        <v>301.13</v>
      </c>
      <c r="F381" s="5">
        <v>308.3</v>
      </c>
      <c r="G381" s="5">
        <v>324.57</v>
      </c>
      <c r="H381" s="5">
        <v>410.76</v>
      </c>
      <c r="I381" s="5">
        <f>I378/I376</f>
        <v>447.69746203904555</v>
      </c>
    </row>
    <row r="382" spans="1:9">
      <c r="B382" s="1" t="s">
        <v>92</v>
      </c>
      <c r="D382" t="s">
        <v>17</v>
      </c>
      <c r="E382" s="6">
        <v>2.19</v>
      </c>
      <c r="F382" s="6">
        <v>2.58</v>
      </c>
      <c r="G382" s="6">
        <v>2.73</v>
      </c>
      <c r="H382" s="6">
        <v>2.97</v>
      </c>
      <c r="I382" s="7">
        <f>I378/I377</f>
        <v>3.9396522071104747</v>
      </c>
    </row>
    <row r="383" spans="1:9">
      <c r="B383" s="1" t="s">
        <v>92</v>
      </c>
      <c r="D383" t="s">
        <v>18</v>
      </c>
      <c r="E383" s="8">
        <v>0.45300000000000001</v>
      </c>
      <c r="F383" s="8">
        <v>0.44579999999999997</v>
      </c>
      <c r="G383" s="8">
        <v>0.43059999999999998</v>
      </c>
      <c r="H383" s="8">
        <v>0.42299999999999999</v>
      </c>
      <c r="I383" s="8">
        <f>I379/I378</f>
        <v>0.40226760663492295</v>
      </c>
    </row>
    <row r="384" spans="1:9">
      <c r="B384" s="1" t="s">
        <v>92</v>
      </c>
      <c r="D384" t="s">
        <v>19</v>
      </c>
      <c r="E384" s="8">
        <v>0.58179999999999998</v>
      </c>
      <c r="F384" s="8">
        <v>0.58799999999999997</v>
      </c>
      <c r="G384" s="8">
        <v>0.59840000000000004</v>
      </c>
      <c r="H384" s="8">
        <v>0.622</v>
      </c>
      <c r="I384" s="8">
        <f>I380/I379</f>
        <v>0.63433884077528968</v>
      </c>
    </row>
    <row r="385" spans="1:9">
      <c r="B385" s="1" t="s">
        <v>92</v>
      </c>
      <c r="D385" t="s">
        <v>20</v>
      </c>
      <c r="E385" s="8">
        <v>0.26350000000000001</v>
      </c>
      <c r="F385" s="8">
        <v>0.2621</v>
      </c>
      <c r="G385" s="8">
        <v>0.25769999999999998</v>
      </c>
      <c r="H385" s="8">
        <v>0.2631</v>
      </c>
      <c r="I385" s="8">
        <f>I380/I378</f>
        <v>0.25517396727424724</v>
      </c>
    </row>
    <row r="386" spans="1:9">
      <c r="B386" s="1" t="s">
        <v>92</v>
      </c>
    </row>
    <row r="387" spans="1:9">
      <c r="A387" t="s">
        <v>91</v>
      </c>
      <c r="B387" s="1" t="s">
        <v>94</v>
      </c>
      <c r="C387" t="s">
        <v>95</v>
      </c>
    </row>
    <row r="388" spans="1:9">
      <c r="B388" s="1" t="s">
        <v>94</v>
      </c>
      <c r="D388" t="s">
        <v>11</v>
      </c>
      <c r="E388" s="3">
        <v>172</v>
      </c>
      <c r="F388" s="3">
        <v>142</v>
      </c>
      <c r="G388" s="3">
        <v>114</v>
      </c>
      <c r="H388" s="3">
        <v>174</v>
      </c>
      <c r="I388" s="3">
        <f>VLOOKUP(B388,[1]Sheet3!$A$13:$E$198,5,TRUE)</f>
        <v>144</v>
      </c>
    </row>
    <row r="389" spans="1:9">
      <c r="B389" s="1" t="s">
        <v>94</v>
      </c>
      <c r="D389" t="s">
        <v>12</v>
      </c>
      <c r="E389" s="5">
        <v>22040</v>
      </c>
      <c r="F389" s="5">
        <v>21025</v>
      </c>
      <c r="G389" s="5">
        <v>20445</v>
      </c>
      <c r="H389" s="5">
        <v>35884.800000000003</v>
      </c>
      <c r="I389" s="3">
        <f>VLOOKUP(B389,[1]Sheet3!$A$13:$F$198,6,TRUE)</f>
        <v>35035</v>
      </c>
    </row>
    <row r="390" spans="1:9">
      <c r="B390" s="1" t="s">
        <v>94</v>
      </c>
      <c r="D390" t="s">
        <v>23</v>
      </c>
      <c r="E390" s="5">
        <v>64806</v>
      </c>
      <c r="F390" s="5">
        <v>50066</v>
      </c>
      <c r="G390" s="5">
        <v>59870.62</v>
      </c>
      <c r="H390" s="5">
        <v>114483.53</v>
      </c>
      <c r="I390" s="3">
        <f>VLOOKUP(B390,[1]Sheet3!$A$13:$G$198,7,TRUE)</f>
        <v>154465.53</v>
      </c>
    </row>
    <row r="391" spans="1:9">
      <c r="B391" s="1" t="s">
        <v>94</v>
      </c>
      <c r="D391" t="s">
        <v>14</v>
      </c>
      <c r="E391" s="5">
        <v>27469.37</v>
      </c>
      <c r="F391" s="5">
        <v>27469.37</v>
      </c>
      <c r="G391" s="5">
        <v>25398.31</v>
      </c>
      <c r="H391" s="5">
        <v>47762.35</v>
      </c>
      <c r="I391" s="3">
        <f>VLOOKUP(B391,[1]Sheet3!$A$13:$H$198,8,TRUE)</f>
        <v>61091.44</v>
      </c>
    </row>
    <row r="392" spans="1:9">
      <c r="B392" s="1" t="s">
        <v>94</v>
      </c>
      <c r="D392" t="s">
        <v>15</v>
      </c>
      <c r="E392" s="5">
        <v>15956.970000000001</v>
      </c>
      <c r="F392" s="5">
        <v>16150.93</v>
      </c>
      <c r="G392" s="5">
        <v>15025.19</v>
      </c>
      <c r="H392" s="5">
        <v>31580.03</v>
      </c>
      <c r="I392" s="3">
        <f>VLOOKUP(B392,[1]Sheet3!$A$13:$I$198,9,TRUE)</f>
        <v>39011.39</v>
      </c>
    </row>
    <row r="393" spans="1:9">
      <c r="B393" s="1" t="s">
        <v>94</v>
      </c>
      <c r="D393" t="s">
        <v>16</v>
      </c>
      <c r="E393" s="5">
        <v>376.78</v>
      </c>
      <c r="F393" s="5">
        <v>352.58</v>
      </c>
      <c r="G393" s="5">
        <v>525.17999999999995</v>
      </c>
      <c r="H393" s="5">
        <v>657.95</v>
      </c>
      <c r="I393" s="5">
        <f>I390/I388</f>
        <v>1072.6772916666666</v>
      </c>
    </row>
    <row r="394" spans="1:9">
      <c r="B394" s="1" t="s">
        <v>94</v>
      </c>
      <c r="D394" t="s">
        <v>17</v>
      </c>
      <c r="E394" s="6">
        <v>2.94</v>
      </c>
      <c r="F394" s="6">
        <v>2.38</v>
      </c>
      <c r="G394" s="6">
        <v>2.93</v>
      </c>
      <c r="H394" s="6">
        <v>3.19</v>
      </c>
      <c r="I394" s="7">
        <f>I390/I389</f>
        <v>4.4088919651776797</v>
      </c>
    </row>
    <row r="395" spans="1:9">
      <c r="B395" s="1" t="s">
        <v>94</v>
      </c>
      <c r="D395" t="s">
        <v>18</v>
      </c>
      <c r="E395" s="8">
        <v>0.4239</v>
      </c>
      <c r="F395" s="8">
        <v>0.54869999999999997</v>
      </c>
      <c r="G395" s="8">
        <v>0.42420000000000002</v>
      </c>
      <c r="H395" s="8">
        <v>0.41720000000000002</v>
      </c>
      <c r="I395" s="8">
        <f>I391/I390</f>
        <v>0.39550209033691858</v>
      </c>
    </row>
    <row r="396" spans="1:9">
      <c r="B396" s="1" t="s">
        <v>94</v>
      </c>
      <c r="D396" t="s">
        <v>19</v>
      </c>
      <c r="E396" s="8">
        <v>0.58089999999999997</v>
      </c>
      <c r="F396" s="8">
        <v>0.58799999999999997</v>
      </c>
      <c r="G396" s="8">
        <v>0.59160000000000001</v>
      </c>
      <c r="H396" s="8">
        <v>0.66120000000000001</v>
      </c>
      <c r="I396" s="8">
        <f>I392/I391</f>
        <v>0.63857375108525838</v>
      </c>
    </row>
    <row r="397" spans="1:9">
      <c r="B397" s="1" t="s">
        <v>94</v>
      </c>
      <c r="D397" t="s">
        <v>20</v>
      </c>
      <c r="E397" s="8">
        <v>0.2462</v>
      </c>
      <c r="F397" s="8">
        <v>0.3226</v>
      </c>
      <c r="G397" s="8">
        <v>0.251</v>
      </c>
      <c r="H397" s="8">
        <v>0.27579999999999999</v>
      </c>
      <c r="I397" s="8">
        <f>I392/I390</f>
        <v>0.25255725338850682</v>
      </c>
    </row>
    <row r="398" spans="1:9">
      <c r="B398" s="1" t="s">
        <v>94</v>
      </c>
    </row>
    <row r="399" spans="1:9">
      <c r="A399" t="s">
        <v>91</v>
      </c>
      <c r="B399" s="1" t="s">
        <v>96</v>
      </c>
      <c r="C399" t="s">
        <v>97</v>
      </c>
    </row>
    <row r="400" spans="1:9">
      <c r="B400" s="1" t="s">
        <v>96</v>
      </c>
      <c r="D400" t="s">
        <v>11</v>
      </c>
      <c r="E400" s="3">
        <v>188</v>
      </c>
      <c r="F400" s="3">
        <v>235</v>
      </c>
      <c r="G400" s="3">
        <v>235</v>
      </c>
      <c r="H400" s="3">
        <v>172</v>
      </c>
      <c r="I400" s="3">
        <f>VLOOKUP(B400,[1]Sheet3!$A$13:$E$198,5,TRUE)</f>
        <v>133</v>
      </c>
    </row>
    <row r="401" spans="1:9">
      <c r="B401" s="1" t="s">
        <v>96</v>
      </c>
      <c r="D401" t="s">
        <v>12</v>
      </c>
      <c r="E401" s="5">
        <v>52020</v>
      </c>
      <c r="F401" s="5">
        <v>52475.5</v>
      </c>
      <c r="G401" s="5">
        <v>37014.6</v>
      </c>
      <c r="H401" s="5">
        <v>38570</v>
      </c>
      <c r="I401" s="3">
        <f>VLOOKUP(B401,[1]Sheet3!$A$13:$F$198,6,TRUE)</f>
        <v>34510</v>
      </c>
    </row>
    <row r="402" spans="1:9">
      <c r="B402" s="1" t="s">
        <v>96</v>
      </c>
      <c r="D402" t="s">
        <v>23</v>
      </c>
      <c r="E402" s="5">
        <v>96948.160000000003</v>
      </c>
      <c r="F402" s="5">
        <v>87069.52</v>
      </c>
      <c r="G402" s="5">
        <v>110017.05</v>
      </c>
      <c r="H402" s="5">
        <v>95502.7</v>
      </c>
      <c r="I402" s="3">
        <f>VLOOKUP(B402,[1]Sheet3!$A$13:$G$198,7,TRUE)</f>
        <v>99880.67</v>
      </c>
    </row>
    <row r="403" spans="1:9">
      <c r="B403" s="1" t="s">
        <v>96</v>
      </c>
      <c r="D403" t="s">
        <v>14</v>
      </c>
      <c r="E403" s="5">
        <v>46351.87</v>
      </c>
      <c r="F403" s="5">
        <v>45863.93</v>
      </c>
      <c r="G403" s="5">
        <v>46532.5</v>
      </c>
      <c r="H403" s="5">
        <v>46532.5</v>
      </c>
      <c r="I403" s="3">
        <f>VLOOKUP(B403,[1]Sheet3!$A$13:$H$198,8,TRUE)</f>
        <v>42472.07</v>
      </c>
    </row>
    <row r="404" spans="1:9">
      <c r="B404" s="1" t="s">
        <v>96</v>
      </c>
      <c r="D404" t="s">
        <v>15</v>
      </c>
      <c r="E404" s="5">
        <v>26931.190000000002</v>
      </c>
      <c r="F404" s="5">
        <v>26918.91</v>
      </c>
      <c r="G404" s="5">
        <v>27973.8</v>
      </c>
      <c r="H404" s="5">
        <v>28517.99</v>
      </c>
      <c r="I404" s="3">
        <f>VLOOKUP(B404,[1]Sheet3!$A$13:$I$198,9,TRUE)</f>
        <v>26102.79</v>
      </c>
    </row>
    <row r="405" spans="1:9">
      <c r="B405" s="1" t="s">
        <v>96</v>
      </c>
      <c r="D405" t="s">
        <v>16</v>
      </c>
      <c r="E405" s="5">
        <v>515.67999999999995</v>
      </c>
      <c r="F405" s="5">
        <v>370.51</v>
      </c>
      <c r="G405" s="5">
        <v>468.16</v>
      </c>
      <c r="H405" s="5">
        <v>555.25</v>
      </c>
      <c r="I405" s="5">
        <f>I402/I400</f>
        <v>750.98248120300752</v>
      </c>
    </row>
    <row r="406" spans="1:9">
      <c r="B406" s="1" t="s">
        <v>96</v>
      </c>
      <c r="D406" t="s">
        <v>17</v>
      </c>
      <c r="E406" s="6">
        <v>1.86</v>
      </c>
      <c r="F406" s="6">
        <v>1.66</v>
      </c>
      <c r="G406" s="6">
        <v>2.97</v>
      </c>
      <c r="H406" s="6">
        <v>2.48</v>
      </c>
      <c r="I406" s="7">
        <f>I402/I401</f>
        <v>2.8942529701535786</v>
      </c>
    </row>
    <row r="407" spans="1:9">
      <c r="B407" s="1" t="s">
        <v>96</v>
      </c>
      <c r="D407" t="s">
        <v>18</v>
      </c>
      <c r="E407" s="8">
        <v>0.47810000000000002</v>
      </c>
      <c r="F407" s="8">
        <v>0.52680000000000005</v>
      </c>
      <c r="G407" s="8">
        <v>0.42299999999999999</v>
      </c>
      <c r="H407" s="8">
        <v>0.48720000000000002</v>
      </c>
      <c r="I407" s="8">
        <f>I403/I402</f>
        <v>0.42522812472122984</v>
      </c>
    </row>
    <row r="408" spans="1:9">
      <c r="B408" s="1" t="s">
        <v>96</v>
      </c>
      <c r="D408" t="s">
        <v>19</v>
      </c>
      <c r="E408" s="8">
        <v>0.58099999999999996</v>
      </c>
      <c r="F408" s="8">
        <v>0.58689999999999998</v>
      </c>
      <c r="G408" s="8">
        <v>0.60119999999999996</v>
      </c>
      <c r="H408" s="8">
        <v>0.6129</v>
      </c>
      <c r="I408" s="8">
        <f>I404/I403</f>
        <v>0.61458718635564502</v>
      </c>
    </row>
    <row r="409" spans="1:9">
      <c r="B409" s="1" t="s">
        <v>96</v>
      </c>
      <c r="D409" t="s">
        <v>20</v>
      </c>
      <c r="E409" s="8">
        <v>0.27779999999999999</v>
      </c>
      <c r="F409" s="8">
        <v>0.30919999999999997</v>
      </c>
      <c r="G409" s="8">
        <v>0.25430000000000003</v>
      </c>
      <c r="H409" s="8">
        <v>0.29859999999999998</v>
      </c>
      <c r="I409" s="8">
        <f>I404/I402</f>
        <v>0.26133975673170795</v>
      </c>
    </row>
    <row r="410" spans="1:9">
      <c r="B410" s="1" t="s">
        <v>96</v>
      </c>
    </row>
    <row r="411" spans="1:9">
      <c r="A411" t="s">
        <v>98</v>
      </c>
      <c r="B411" s="1" t="s">
        <v>99</v>
      </c>
      <c r="C411" t="s">
        <v>100</v>
      </c>
    </row>
    <row r="412" spans="1:9">
      <c r="B412" s="1" t="s">
        <v>99</v>
      </c>
      <c r="D412" t="s">
        <v>11</v>
      </c>
      <c r="E412" s="3">
        <v>147</v>
      </c>
      <c r="F412" s="3">
        <v>140</v>
      </c>
      <c r="G412" s="3">
        <v>119</v>
      </c>
      <c r="H412" s="3">
        <v>120</v>
      </c>
      <c r="I412" s="3">
        <f>VLOOKUP(B412,[1]Sheet3!$A$13:$E$198,5,TRUE)</f>
        <v>126</v>
      </c>
    </row>
    <row r="413" spans="1:9">
      <c r="B413" s="1" t="s">
        <v>99</v>
      </c>
      <c r="D413" t="s">
        <v>12</v>
      </c>
      <c r="E413" s="5">
        <v>90228</v>
      </c>
      <c r="F413" s="5">
        <v>74240</v>
      </c>
      <c r="G413" s="5">
        <v>78292</v>
      </c>
      <c r="H413" s="5">
        <v>92710</v>
      </c>
      <c r="I413" s="3">
        <f>VLOOKUP(B413,[1]Sheet3!$A$13:$F$198,6,TRUE)</f>
        <v>68328</v>
      </c>
    </row>
    <row r="414" spans="1:9">
      <c r="B414" s="1" t="s">
        <v>99</v>
      </c>
      <c r="D414" t="s">
        <v>23</v>
      </c>
      <c r="E414" s="5">
        <v>146459</v>
      </c>
      <c r="F414" s="5">
        <v>76222</v>
      </c>
      <c r="G414" s="5">
        <v>77550</v>
      </c>
      <c r="H414" s="5">
        <v>76877</v>
      </c>
      <c r="I414" s="3">
        <f>VLOOKUP(B414,[1]Sheet3!$A$13:$G$198,7,TRUE)</f>
        <v>93637.95</v>
      </c>
    </row>
    <row r="415" spans="1:9">
      <c r="B415" s="1" t="s">
        <v>99</v>
      </c>
      <c r="D415" t="s">
        <v>14</v>
      </c>
      <c r="E415" s="5">
        <v>72201.850000000006</v>
      </c>
      <c r="F415" s="5">
        <v>72201.850000000006</v>
      </c>
      <c r="G415" s="5">
        <v>45873.19</v>
      </c>
      <c r="H415" s="5">
        <v>49256.009999999995</v>
      </c>
      <c r="I415" s="3">
        <f>VLOOKUP(B415,[1]Sheet3!$A$13:$H$198,8,TRUE)</f>
        <v>48826.850000000006</v>
      </c>
    </row>
    <row r="416" spans="1:9">
      <c r="B416" s="1" t="s">
        <v>99</v>
      </c>
      <c r="D416" t="s">
        <v>15</v>
      </c>
      <c r="E416" s="5">
        <v>42491.44</v>
      </c>
      <c r="F416" s="5">
        <v>42451.91</v>
      </c>
      <c r="G416" s="5">
        <v>24880.48</v>
      </c>
      <c r="H416" s="5">
        <v>30536.280000000002</v>
      </c>
      <c r="I416" s="3">
        <f>VLOOKUP(B416,[1]Sheet3!$A$13:$I$198,9,TRUE)</f>
        <v>30336.22</v>
      </c>
    </row>
    <row r="417" spans="1:9">
      <c r="B417" s="1" t="s">
        <v>99</v>
      </c>
      <c r="D417" t="s">
        <v>16</v>
      </c>
      <c r="E417" s="5">
        <v>996.32</v>
      </c>
      <c r="F417" s="5">
        <v>544.44000000000005</v>
      </c>
      <c r="G417" s="5">
        <v>651.67999999999995</v>
      </c>
      <c r="H417" s="5">
        <v>640.64</v>
      </c>
      <c r="I417" s="5">
        <f>I414/I412</f>
        <v>743.1583333333333</v>
      </c>
    </row>
    <row r="418" spans="1:9">
      <c r="B418" s="1" t="s">
        <v>99</v>
      </c>
      <c r="D418" t="s">
        <v>17</v>
      </c>
      <c r="E418" s="6">
        <v>1.62</v>
      </c>
      <c r="F418" s="6">
        <v>1.03</v>
      </c>
      <c r="G418" s="6">
        <v>0.99</v>
      </c>
      <c r="H418" s="6">
        <v>0.83</v>
      </c>
      <c r="I418" s="7">
        <f>I414/I413</f>
        <v>1.3704184229012997</v>
      </c>
    </row>
    <row r="419" spans="1:9">
      <c r="B419" s="1" t="s">
        <v>99</v>
      </c>
      <c r="D419" t="s">
        <v>18</v>
      </c>
      <c r="E419" s="8">
        <v>0.49299999999999999</v>
      </c>
      <c r="F419" s="8">
        <v>0.94730000000000003</v>
      </c>
      <c r="G419" s="8">
        <v>0.59150000000000003</v>
      </c>
      <c r="H419" s="8">
        <v>0.64070000000000005</v>
      </c>
      <c r="I419" s="8">
        <f>I415/I414</f>
        <v>0.52144296196146978</v>
      </c>
    </row>
    <row r="420" spans="1:9">
      <c r="B420" s="1" t="s">
        <v>99</v>
      </c>
      <c r="D420" t="s">
        <v>19</v>
      </c>
      <c r="E420" s="8">
        <v>0.58850000000000002</v>
      </c>
      <c r="F420" s="8">
        <v>0.58799999999999997</v>
      </c>
      <c r="G420" s="8">
        <v>0.54239999999999999</v>
      </c>
      <c r="H420" s="8">
        <v>0.62</v>
      </c>
      <c r="I420" s="8">
        <f>I416/I415</f>
        <v>0.62130200903805999</v>
      </c>
    </row>
    <row r="421" spans="1:9">
      <c r="B421" s="1" t="s">
        <v>99</v>
      </c>
      <c r="D421" t="s">
        <v>20</v>
      </c>
      <c r="E421" s="8">
        <v>0.29010000000000002</v>
      </c>
      <c r="F421" s="8">
        <v>0.55700000000000005</v>
      </c>
      <c r="G421" s="8">
        <v>0.32079999999999997</v>
      </c>
      <c r="H421" s="8">
        <v>0.3972</v>
      </c>
      <c r="I421" s="8">
        <f>I416/I414</f>
        <v>0.32397355986541782</v>
      </c>
    </row>
    <row r="422" spans="1:9">
      <c r="B422" s="1" t="s">
        <v>99</v>
      </c>
    </row>
    <row r="423" spans="1:9">
      <c r="A423" t="s">
        <v>98</v>
      </c>
      <c r="B423" s="1" t="s">
        <v>101</v>
      </c>
      <c r="C423" t="s">
        <v>102</v>
      </c>
    </row>
    <row r="424" spans="1:9">
      <c r="B424" s="1" t="s">
        <v>101</v>
      </c>
      <c r="D424" t="s">
        <v>11</v>
      </c>
      <c r="E424" s="3">
        <v>240</v>
      </c>
      <c r="F424" s="3">
        <v>252</v>
      </c>
      <c r="G424" s="3">
        <v>260</v>
      </c>
      <c r="H424" s="3">
        <v>268</v>
      </c>
      <c r="I424" s="3">
        <f>VLOOKUP(B424,[1]Sheet3!$A$13:$E$198,5,TRUE)</f>
        <v>270</v>
      </c>
    </row>
    <row r="425" spans="1:9">
      <c r="B425" s="1" t="s">
        <v>101</v>
      </c>
      <c r="D425" t="s">
        <v>12</v>
      </c>
      <c r="E425" s="5">
        <v>58032</v>
      </c>
      <c r="F425" s="5">
        <v>48816</v>
      </c>
      <c r="G425" s="5">
        <v>37772</v>
      </c>
      <c r="H425" s="5">
        <v>36608</v>
      </c>
      <c r="I425" s="3">
        <f>VLOOKUP(B425,[1]Sheet3!$A$13:$F$198,6,TRUE)</f>
        <v>39600</v>
      </c>
    </row>
    <row r="426" spans="1:9">
      <c r="B426" s="1" t="s">
        <v>101</v>
      </c>
      <c r="D426" t="s">
        <v>23</v>
      </c>
      <c r="E426" s="5">
        <v>143775.34</v>
      </c>
      <c r="F426" s="5">
        <v>139586.76</v>
      </c>
      <c r="G426" s="5">
        <v>113056.27</v>
      </c>
      <c r="H426" s="5">
        <v>105103.66</v>
      </c>
      <c r="I426" s="3">
        <f>VLOOKUP(B426,[1]Sheet3!$A$13:$G$198,7,TRUE)</f>
        <v>119997.07</v>
      </c>
    </row>
    <row r="427" spans="1:9">
      <c r="B427" s="1" t="s">
        <v>101</v>
      </c>
      <c r="D427" t="s">
        <v>14</v>
      </c>
      <c r="E427" s="5">
        <v>67473.45</v>
      </c>
      <c r="F427" s="5">
        <v>63229.91</v>
      </c>
      <c r="G427" s="5">
        <v>59503.240000000005</v>
      </c>
      <c r="H427" s="5">
        <v>47751.57</v>
      </c>
      <c r="I427" s="3">
        <f>VLOOKUP(B427,[1]Sheet3!$A$13:$H$198,8,TRUE)</f>
        <v>50560.210000000006</v>
      </c>
    </row>
    <row r="428" spans="1:9">
      <c r="B428" s="1" t="s">
        <v>101</v>
      </c>
      <c r="D428" t="s">
        <v>15</v>
      </c>
      <c r="E428" s="5">
        <v>37939.79</v>
      </c>
      <c r="F428" s="5">
        <v>36765.17</v>
      </c>
      <c r="G428" s="5">
        <v>35313.53</v>
      </c>
      <c r="H428" s="5">
        <v>28052.15</v>
      </c>
      <c r="I428" s="3">
        <f>VLOOKUP(B428,[1]Sheet3!$A$13:$I$198,9,TRUE)</f>
        <v>31431.49</v>
      </c>
    </row>
    <row r="429" spans="1:9">
      <c r="B429" s="1" t="s">
        <v>101</v>
      </c>
      <c r="D429" t="s">
        <v>16</v>
      </c>
      <c r="E429" s="5">
        <v>599.05999999999995</v>
      </c>
      <c r="F429" s="5">
        <v>553.91999999999996</v>
      </c>
      <c r="G429" s="5">
        <v>434.83</v>
      </c>
      <c r="H429" s="5">
        <v>392.18</v>
      </c>
      <c r="I429" s="5">
        <f>I426/I424</f>
        <v>444.43359259259262</v>
      </c>
    </row>
    <row r="430" spans="1:9">
      <c r="B430" s="1" t="s">
        <v>101</v>
      </c>
      <c r="D430" t="s">
        <v>17</v>
      </c>
      <c r="E430" s="6">
        <v>2.48</v>
      </c>
      <c r="F430" s="6">
        <v>2.86</v>
      </c>
      <c r="G430" s="6">
        <v>2.99</v>
      </c>
      <c r="H430" s="6">
        <v>2.87</v>
      </c>
      <c r="I430" s="7">
        <f>I426/I425</f>
        <v>3.0302290404040404</v>
      </c>
    </row>
    <row r="431" spans="1:9">
      <c r="B431" s="1" t="s">
        <v>101</v>
      </c>
      <c r="D431" t="s">
        <v>18</v>
      </c>
      <c r="E431" s="8">
        <v>0.46929999999999999</v>
      </c>
      <c r="F431" s="8">
        <v>0.45300000000000001</v>
      </c>
      <c r="G431" s="8">
        <v>0.52629999999999999</v>
      </c>
      <c r="H431" s="8">
        <v>0.45429999999999998</v>
      </c>
      <c r="I431" s="8">
        <f>I427/I426</f>
        <v>0.42134537118281307</v>
      </c>
    </row>
    <row r="432" spans="1:9">
      <c r="B432" s="1" t="s">
        <v>101</v>
      </c>
      <c r="D432" t="s">
        <v>19</v>
      </c>
      <c r="E432" s="8">
        <v>0.56230000000000002</v>
      </c>
      <c r="F432" s="8">
        <v>0.58150000000000002</v>
      </c>
      <c r="G432" s="8">
        <v>0.59350000000000003</v>
      </c>
      <c r="H432" s="8">
        <v>0.58750000000000002</v>
      </c>
      <c r="I432" s="8">
        <f>I428/I427</f>
        <v>0.62166454609266852</v>
      </c>
    </row>
    <row r="433" spans="1:9">
      <c r="B433" s="1" t="s">
        <v>101</v>
      </c>
      <c r="D433" t="s">
        <v>20</v>
      </c>
      <c r="E433" s="8">
        <v>0.26390000000000002</v>
      </c>
      <c r="F433" s="8">
        <v>0.26340000000000002</v>
      </c>
      <c r="G433" s="8">
        <v>0.31240000000000001</v>
      </c>
      <c r="H433" s="8">
        <v>0.26690000000000003</v>
      </c>
      <c r="I433" s="8">
        <f>I428/I426</f>
        <v>0.26193547892461039</v>
      </c>
    </row>
    <row r="434" spans="1:9">
      <c r="B434" s="1" t="s">
        <v>101</v>
      </c>
    </row>
    <row r="435" spans="1:9">
      <c r="A435" t="s">
        <v>103</v>
      </c>
      <c r="B435" s="1" t="s">
        <v>104</v>
      </c>
      <c r="C435" t="s">
        <v>105</v>
      </c>
    </row>
    <row r="436" spans="1:9">
      <c r="B436" s="1" t="s">
        <v>104</v>
      </c>
      <c r="D436" t="s">
        <v>11</v>
      </c>
      <c r="E436" s="3">
        <v>253</v>
      </c>
      <c r="F436" s="3">
        <v>234</v>
      </c>
      <c r="G436" s="3">
        <v>245</v>
      </c>
      <c r="H436" s="3">
        <v>244</v>
      </c>
      <c r="I436" s="3">
        <f>VLOOKUP(B436,[1]Sheet3!$A$13:$E$198,5,TRUE)</f>
        <v>194</v>
      </c>
    </row>
    <row r="437" spans="1:9">
      <c r="B437" s="1" t="s">
        <v>104</v>
      </c>
      <c r="D437" t="s">
        <v>12</v>
      </c>
      <c r="E437" s="5">
        <v>84312</v>
      </c>
      <c r="F437" s="5">
        <v>74748.800000000003</v>
      </c>
      <c r="G437" s="5">
        <v>60811.199999999997</v>
      </c>
      <c r="H437" s="5">
        <v>52981.5</v>
      </c>
      <c r="I437" s="3">
        <f>VLOOKUP(B437,[1]Sheet3!$A$13:$F$198,6,TRUE)</f>
        <v>62524</v>
      </c>
    </row>
    <row r="438" spans="1:9">
      <c r="B438" s="1" t="s">
        <v>104</v>
      </c>
      <c r="D438" t="s">
        <v>23</v>
      </c>
      <c r="E438" s="5">
        <v>159163.01999999999</v>
      </c>
      <c r="F438" s="5">
        <v>155028.69</v>
      </c>
      <c r="G438" s="5">
        <v>142692.19</v>
      </c>
      <c r="H438" s="5">
        <v>115950.39</v>
      </c>
      <c r="I438" s="3">
        <f>VLOOKUP(B438,[1]Sheet3!$A$13:$G$198,7,TRUE)</f>
        <v>83541.960000000006</v>
      </c>
    </row>
    <row r="439" spans="1:9">
      <c r="B439" s="1" t="s">
        <v>104</v>
      </c>
      <c r="D439" t="s">
        <v>14</v>
      </c>
      <c r="E439" s="5">
        <v>75023.13</v>
      </c>
      <c r="F439" s="5">
        <v>75023.13</v>
      </c>
      <c r="G439" s="5">
        <v>71227.88</v>
      </c>
      <c r="H439" s="5">
        <v>63559.05</v>
      </c>
      <c r="I439" s="3">
        <f>VLOOKUP(B439,[1]Sheet3!$A$13:$H$198,8,TRUE)</f>
        <v>43953.82</v>
      </c>
    </row>
    <row r="440" spans="1:9">
      <c r="B440" s="1" t="s">
        <v>104</v>
      </c>
      <c r="D440" t="s">
        <v>15</v>
      </c>
      <c r="E440" s="5">
        <v>43749.49</v>
      </c>
      <c r="F440" s="5">
        <v>44110.720000000001</v>
      </c>
      <c r="G440" s="5">
        <v>42338.3</v>
      </c>
      <c r="H440" s="5">
        <v>38161.360000000001</v>
      </c>
      <c r="I440" s="3">
        <f>VLOOKUP(B440,[1]Sheet3!$A$13:$I$198,9,TRUE)</f>
        <v>31213.69</v>
      </c>
    </row>
    <row r="441" spans="1:9">
      <c r="B441" s="1" t="s">
        <v>104</v>
      </c>
      <c r="D441" t="s">
        <v>16</v>
      </c>
      <c r="E441" s="5">
        <v>629.1</v>
      </c>
      <c r="F441" s="5">
        <v>662.52</v>
      </c>
      <c r="G441" s="5">
        <v>582.41999999999996</v>
      </c>
      <c r="H441" s="5">
        <v>475.21</v>
      </c>
      <c r="I441" s="5">
        <f>I438/I436</f>
        <v>430.62865979381445</v>
      </c>
    </row>
    <row r="442" spans="1:9">
      <c r="B442" s="1" t="s">
        <v>104</v>
      </c>
      <c r="D442" t="s">
        <v>17</v>
      </c>
      <c r="E442" s="6">
        <v>1.89</v>
      </c>
      <c r="F442" s="6">
        <v>2.0699999999999998</v>
      </c>
      <c r="G442" s="6">
        <v>2.35</v>
      </c>
      <c r="H442" s="6">
        <v>2.19</v>
      </c>
      <c r="I442" s="7">
        <f>I438/I437</f>
        <v>1.3361582752223147</v>
      </c>
    </row>
    <row r="443" spans="1:9">
      <c r="B443" s="1" t="s">
        <v>104</v>
      </c>
      <c r="D443" t="s">
        <v>18</v>
      </c>
      <c r="E443" s="8">
        <v>0.47139999999999999</v>
      </c>
      <c r="F443" s="8">
        <v>0.4839</v>
      </c>
      <c r="G443" s="8">
        <v>0.49919999999999998</v>
      </c>
      <c r="H443" s="8">
        <v>0.54820000000000002</v>
      </c>
      <c r="I443" s="8">
        <f>I439/I438</f>
        <v>0.52612866636119138</v>
      </c>
    </row>
    <row r="444" spans="1:9">
      <c r="B444" s="1" t="s">
        <v>104</v>
      </c>
      <c r="D444" t="s">
        <v>19</v>
      </c>
      <c r="E444" s="8">
        <v>0.58309999999999995</v>
      </c>
      <c r="F444" s="8">
        <v>0.58799999999999997</v>
      </c>
      <c r="G444" s="8">
        <v>0.59440000000000004</v>
      </c>
      <c r="H444" s="8">
        <v>0.60040000000000004</v>
      </c>
      <c r="I444" s="8">
        <f>I440/I439</f>
        <v>0.71014737740655987</v>
      </c>
    </row>
    <row r="445" spans="1:9">
      <c r="B445" s="1" t="s">
        <v>104</v>
      </c>
      <c r="D445" t="s">
        <v>20</v>
      </c>
      <c r="E445" s="8">
        <v>0.27489999999999998</v>
      </c>
      <c r="F445" s="8">
        <v>0.28449999999999998</v>
      </c>
      <c r="G445" s="8">
        <v>0.29670000000000002</v>
      </c>
      <c r="H445" s="8">
        <v>0.3291</v>
      </c>
      <c r="I445" s="8">
        <f>I440/I438</f>
        <v>0.37362889259481097</v>
      </c>
    </row>
    <row r="446" spans="1:9">
      <c r="B446" s="1" t="s">
        <v>104</v>
      </c>
    </row>
    <row r="447" spans="1:9">
      <c r="A447" t="s">
        <v>106</v>
      </c>
      <c r="B447" s="1" t="s">
        <v>107</v>
      </c>
      <c r="C447" t="s">
        <v>108</v>
      </c>
    </row>
    <row r="448" spans="1:9">
      <c r="B448" s="1" t="s">
        <v>107</v>
      </c>
      <c r="D448" t="s">
        <v>11</v>
      </c>
      <c r="E448" s="3">
        <v>351</v>
      </c>
      <c r="F448" s="3">
        <v>374</v>
      </c>
      <c r="G448" s="3">
        <v>365</v>
      </c>
      <c r="H448" s="3">
        <v>348</v>
      </c>
      <c r="I448" s="3">
        <f>VLOOKUP(B448,[1]Sheet3!$A$13:$E$198,5,TRUE)</f>
        <v>338</v>
      </c>
    </row>
    <row r="449" spans="1:9">
      <c r="B449" s="1" t="s">
        <v>107</v>
      </c>
      <c r="D449" t="s">
        <v>12</v>
      </c>
      <c r="E449" s="5">
        <v>163728</v>
      </c>
      <c r="F449" s="5">
        <v>173382</v>
      </c>
      <c r="G449" s="5">
        <v>137740</v>
      </c>
      <c r="H449" s="5">
        <v>133196</v>
      </c>
      <c r="I449" s="3">
        <f>VLOOKUP(B449,[1]Sheet3!$A$13:$F$198,6,TRUE)</f>
        <v>91728</v>
      </c>
    </row>
    <row r="450" spans="1:9">
      <c r="B450" s="1" t="s">
        <v>107</v>
      </c>
      <c r="D450" t="s">
        <v>23</v>
      </c>
      <c r="E450" s="5">
        <v>207302</v>
      </c>
      <c r="F450" s="5">
        <v>226455</v>
      </c>
      <c r="G450" s="5">
        <v>207839</v>
      </c>
      <c r="H450" s="5">
        <v>181207</v>
      </c>
      <c r="I450" s="3">
        <f>VLOOKUP(B450,[1]Sheet3!$A$13:$G$198,7,TRUE)</f>
        <v>162047.04000000001</v>
      </c>
    </row>
    <row r="451" spans="1:9">
      <c r="B451" s="1" t="s">
        <v>107</v>
      </c>
      <c r="D451" t="s">
        <v>14</v>
      </c>
      <c r="E451" s="5">
        <v>114393.91999999998</v>
      </c>
      <c r="F451" s="5">
        <v>120121.10999999999</v>
      </c>
      <c r="G451" s="5">
        <v>120121.10999999999</v>
      </c>
      <c r="H451" s="5">
        <v>104889.89</v>
      </c>
      <c r="I451" s="3">
        <f>VLOOKUP(B451,[1]Sheet3!$A$13:$H$198,8,TRUE)</f>
        <v>77857.17</v>
      </c>
    </row>
    <row r="452" spans="1:9">
      <c r="B452" s="1" t="s">
        <v>107</v>
      </c>
      <c r="D452" t="s">
        <v>15</v>
      </c>
      <c r="E452" s="5">
        <v>66464.739999999991</v>
      </c>
      <c r="F452" s="5">
        <v>71182.070000000007</v>
      </c>
      <c r="G452" s="5">
        <v>72040.36</v>
      </c>
      <c r="H452" s="5">
        <v>62710.899999999994</v>
      </c>
      <c r="I452" s="3">
        <f>VLOOKUP(B452,[1]Sheet3!$A$13:$I$198,9,TRUE)</f>
        <v>57287.990000000005</v>
      </c>
    </row>
    <row r="453" spans="1:9">
      <c r="B453" s="1" t="s">
        <v>107</v>
      </c>
      <c r="D453" t="s">
        <v>16</v>
      </c>
      <c r="E453" s="5">
        <v>590.6</v>
      </c>
      <c r="F453" s="5">
        <v>605.49</v>
      </c>
      <c r="G453" s="5">
        <v>569.41999999999996</v>
      </c>
      <c r="H453" s="5">
        <v>520.71</v>
      </c>
      <c r="I453" s="5">
        <f>I450/I448</f>
        <v>479.42911242603554</v>
      </c>
    </row>
    <row r="454" spans="1:9">
      <c r="B454" s="1" t="s">
        <v>107</v>
      </c>
      <c r="D454" t="s">
        <v>17</v>
      </c>
      <c r="E454" s="6">
        <v>1.27</v>
      </c>
      <c r="F454" s="6">
        <v>1.31</v>
      </c>
      <c r="G454" s="6">
        <v>1.51</v>
      </c>
      <c r="H454" s="6">
        <v>1.36</v>
      </c>
      <c r="I454" s="7">
        <f>I450/I449</f>
        <v>1.7666038723181581</v>
      </c>
    </row>
    <row r="455" spans="1:9">
      <c r="B455" s="1" t="s">
        <v>107</v>
      </c>
      <c r="D455" t="s">
        <v>18</v>
      </c>
      <c r="E455" s="8">
        <v>0.55179999999999996</v>
      </c>
      <c r="F455" s="8">
        <v>0.53039999999999998</v>
      </c>
      <c r="G455" s="8">
        <v>0.57799999999999996</v>
      </c>
      <c r="H455" s="8">
        <v>0.57879999999999998</v>
      </c>
      <c r="I455" s="8">
        <f>I451/I450</f>
        <v>0.48046030337857448</v>
      </c>
    </row>
    <row r="456" spans="1:9">
      <c r="B456" s="1" t="s">
        <v>107</v>
      </c>
      <c r="D456" t="s">
        <v>19</v>
      </c>
      <c r="E456" s="8">
        <v>0.58099999999999996</v>
      </c>
      <c r="F456" s="8">
        <v>0.59260000000000002</v>
      </c>
      <c r="G456" s="8">
        <v>0.59970000000000001</v>
      </c>
      <c r="H456" s="8">
        <v>0.59789999999999999</v>
      </c>
      <c r="I456" s="8">
        <f>I452/I451</f>
        <v>0.73580878935106431</v>
      </c>
    </row>
    <row r="457" spans="1:9">
      <c r="B457" s="1" t="s">
        <v>107</v>
      </c>
      <c r="D457" t="s">
        <v>20</v>
      </c>
      <c r="E457" s="8">
        <v>0.3206</v>
      </c>
      <c r="F457" s="8">
        <v>0.31430000000000002</v>
      </c>
      <c r="G457" s="8">
        <v>0.34660000000000002</v>
      </c>
      <c r="H457" s="8">
        <v>0.34610000000000002</v>
      </c>
      <c r="I457" s="8">
        <f>I452/I450</f>
        <v>0.35352691416023396</v>
      </c>
    </row>
    <row r="458" spans="1:9">
      <c r="B458" s="1" t="s">
        <v>107</v>
      </c>
    </row>
    <row r="459" spans="1:9">
      <c r="A459" t="s">
        <v>109</v>
      </c>
      <c r="B459" s="1" t="s">
        <v>110</v>
      </c>
      <c r="C459" t="s">
        <v>111</v>
      </c>
    </row>
    <row r="460" spans="1:9">
      <c r="B460" s="1" t="s">
        <v>110</v>
      </c>
      <c r="D460" t="s">
        <v>11</v>
      </c>
      <c r="E460" s="3">
        <v>3531</v>
      </c>
      <c r="F460" s="3">
        <v>3366</v>
      </c>
      <c r="G460" s="3">
        <v>3242</v>
      </c>
      <c r="H460" s="3">
        <v>2308</v>
      </c>
      <c r="I460" s="3">
        <f>VLOOKUP(B460,[1]Sheet3!$A$13:$E$198,5,TRUE)</f>
        <v>2688</v>
      </c>
    </row>
    <row r="461" spans="1:9">
      <c r="B461" s="1" t="s">
        <v>110</v>
      </c>
      <c r="D461" t="s">
        <v>12</v>
      </c>
      <c r="E461" s="5">
        <v>399840</v>
      </c>
      <c r="F461" s="5">
        <v>406224</v>
      </c>
      <c r="G461" s="5">
        <v>375144</v>
      </c>
      <c r="H461" s="5">
        <v>371616</v>
      </c>
      <c r="I461" s="3">
        <f>VLOOKUP(B461,[1]Sheet3!$A$13:$F$198,6,TRUE)</f>
        <v>381024</v>
      </c>
    </row>
    <row r="462" spans="1:9">
      <c r="B462" s="1" t="s">
        <v>110</v>
      </c>
      <c r="D462" t="s">
        <v>23</v>
      </c>
      <c r="E462" s="5">
        <v>1088451</v>
      </c>
      <c r="F462" s="5">
        <v>1094235</v>
      </c>
      <c r="G462" s="5">
        <v>1063997</v>
      </c>
      <c r="H462" s="5">
        <v>1082102</v>
      </c>
      <c r="I462" s="3">
        <f>VLOOKUP(B462,[1]Sheet3!$A$13:$G$198,7,TRUE)</f>
        <v>1111150</v>
      </c>
    </row>
    <row r="463" spans="1:9">
      <c r="B463" s="1" t="s">
        <v>110</v>
      </c>
      <c r="D463" t="s">
        <v>14</v>
      </c>
      <c r="E463" s="5">
        <v>484573.71</v>
      </c>
      <c r="F463" s="5">
        <v>472349.81999999995</v>
      </c>
      <c r="G463" s="5">
        <v>472349.81999999995</v>
      </c>
      <c r="H463" s="5">
        <v>459573.33999999997</v>
      </c>
      <c r="I463" s="3">
        <f>VLOOKUP(B463,[1]Sheet3!$A$13:$H$198,8,TRUE)</f>
        <v>471767.99</v>
      </c>
    </row>
    <row r="464" spans="1:9">
      <c r="B464" s="1" t="s">
        <v>110</v>
      </c>
      <c r="D464" t="s">
        <v>15</v>
      </c>
      <c r="E464" s="5">
        <v>281545.25</v>
      </c>
      <c r="F464" s="5">
        <v>276982.03999999998</v>
      </c>
      <c r="G464" s="5">
        <v>283282.86</v>
      </c>
      <c r="H464" s="5">
        <v>280488.15000000002</v>
      </c>
      <c r="I464" s="3">
        <f>VLOOKUP(B464,[1]Sheet3!$A$13:$I$198,9,TRUE)</f>
        <v>291824.51</v>
      </c>
    </row>
    <row r="465" spans="1:9">
      <c r="B465" s="1" t="s">
        <v>110</v>
      </c>
      <c r="D465" t="s">
        <v>16</v>
      </c>
      <c r="E465" s="5">
        <v>308.26</v>
      </c>
      <c r="F465" s="5">
        <v>325.08</v>
      </c>
      <c r="G465" s="5">
        <v>328.19</v>
      </c>
      <c r="H465" s="5">
        <v>468.85</v>
      </c>
      <c r="I465" s="5">
        <f>I462/I460</f>
        <v>413.37425595238096</v>
      </c>
    </row>
    <row r="466" spans="1:9">
      <c r="B466" s="1" t="s">
        <v>110</v>
      </c>
      <c r="D466" t="s">
        <v>17</v>
      </c>
      <c r="E466" s="6">
        <v>2.72</v>
      </c>
      <c r="F466" s="6">
        <v>2.69</v>
      </c>
      <c r="G466" s="6">
        <v>2.84</v>
      </c>
      <c r="H466" s="6">
        <v>2.91</v>
      </c>
      <c r="I466" s="7">
        <f>I462/I461</f>
        <v>2.9162205005458972</v>
      </c>
    </row>
    <row r="467" spans="1:9">
      <c r="B467" s="1" t="s">
        <v>110</v>
      </c>
      <c r="D467" t="s">
        <v>18</v>
      </c>
      <c r="E467" s="8">
        <v>0.44519999999999998</v>
      </c>
      <c r="F467" s="8">
        <v>0.43169999999999997</v>
      </c>
      <c r="G467" s="8">
        <v>0.44390000000000002</v>
      </c>
      <c r="H467" s="8">
        <v>0.42470000000000002</v>
      </c>
      <c r="I467" s="8">
        <f>I463/I462</f>
        <v>0.424576330828421</v>
      </c>
    </row>
    <row r="468" spans="1:9">
      <c r="B468" s="1" t="s">
        <v>110</v>
      </c>
      <c r="D468" t="s">
        <v>19</v>
      </c>
      <c r="E468" s="8">
        <v>0.58099999999999996</v>
      </c>
      <c r="F468" s="8">
        <v>0.58640000000000003</v>
      </c>
      <c r="G468" s="8">
        <v>0.59970000000000001</v>
      </c>
      <c r="H468" s="8">
        <v>0.61029999999999995</v>
      </c>
      <c r="I468" s="8">
        <f>I464/I463</f>
        <v>0.61857632604535129</v>
      </c>
    </row>
    <row r="469" spans="1:9">
      <c r="B469" s="1" t="s">
        <v>110</v>
      </c>
      <c r="D469" t="s">
        <v>20</v>
      </c>
      <c r="E469" s="8">
        <v>0.25869999999999999</v>
      </c>
      <c r="F469" s="8">
        <v>0.25309999999999999</v>
      </c>
      <c r="G469" s="8">
        <v>0.26619999999999999</v>
      </c>
      <c r="H469" s="8">
        <v>0.25919999999999999</v>
      </c>
      <c r="I469" s="8">
        <f>I464/I462</f>
        <v>0.26263286684966025</v>
      </c>
    </row>
    <row r="470" spans="1:9">
      <c r="B470" s="1" t="s">
        <v>110</v>
      </c>
    </row>
    <row r="471" spans="1:9">
      <c r="A471" t="s">
        <v>112</v>
      </c>
      <c r="B471" s="1" t="s">
        <v>113</v>
      </c>
      <c r="C471" t="s">
        <v>114</v>
      </c>
    </row>
    <row r="472" spans="1:9">
      <c r="B472" s="1" t="s">
        <v>113</v>
      </c>
      <c r="D472" t="s">
        <v>11</v>
      </c>
      <c r="E472" s="3">
        <v>20458</v>
      </c>
      <c r="F472" s="3">
        <v>21562</v>
      </c>
      <c r="G472" s="3">
        <v>23508</v>
      </c>
      <c r="H472" s="3">
        <v>34360</v>
      </c>
      <c r="I472" s="3">
        <f>VLOOKUP(B472,[1]Sheet3!$A$13:$E$198,5,TRUE)</f>
        <v>33758</v>
      </c>
    </row>
    <row r="473" spans="1:9">
      <c r="B473" s="1" t="s">
        <v>113</v>
      </c>
      <c r="D473" t="s">
        <v>12</v>
      </c>
      <c r="E473" s="5">
        <v>3640586.4</v>
      </c>
      <c r="F473" s="5">
        <v>3724746</v>
      </c>
      <c r="G473" s="5">
        <v>3592802.5</v>
      </c>
      <c r="H473" s="5">
        <v>3531570.1</v>
      </c>
      <c r="I473" s="3">
        <f>VLOOKUP(B473,[1]Sheet3!$A$13:$F$198,6,TRUE)</f>
        <v>3352195</v>
      </c>
    </row>
    <row r="474" spans="1:9">
      <c r="B474" s="1" t="s">
        <v>113</v>
      </c>
      <c r="D474" t="s">
        <v>23</v>
      </c>
      <c r="E474" s="5">
        <v>19308396.050000001</v>
      </c>
      <c r="F474" s="5">
        <v>18839837.350000001</v>
      </c>
      <c r="G474" s="5">
        <v>18810064.84</v>
      </c>
      <c r="H474" s="5">
        <v>19322646.59</v>
      </c>
      <c r="I474" s="3">
        <f>VLOOKUP(B474,[1]Sheet3!$A$13:$G$198,7,TRUE)</f>
        <v>20354613.23</v>
      </c>
    </row>
    <row r="475" spans="1:9">
      <c r="B475" s="1" t="s">
        <v>113</v>
      </c>
      <c r="D475" t="s">
        <v>14</v>
      </c>
      <c r="E475" s="5">
        <v>7451481.4900000002</v>
      </c>
      <c r="F475" s="5">
        <v>7451481.4900000002</v>
      </c>
      <c r="G475" s="5">
        <v>7313857.0999999996</v>
      </c>
      <c r="H475" s="5">
        <v>7429006.7200000007</v>
      </c>
      <c r="I475" s="3">
        <f>VLOOKUP(B475,[1]Sheet3!$A$13:$H$198,8,TRUE)</f>
        <v>7733612.1500000004</v>
      </c>
    </row>
    <row r="476" spans="1:9">
      <c r="B476" s="1" t="s">
        <v>113</v>
      </c>
      <c r="D476" t="s">
        <v>15</v>
      </c>
      <c r="E476" s="5">
        <v>4341373.76</v>
      </c>
      <c r="F476" s="5">
        <v>4381184.32</v>
      </c>
      <c r="G476" s="5">
        <v>4372594.1099999994</v>
      </c>
      <c r="H476" s="5">
        <v>4564838.63</v>
      </c>
      <c r="I476" s="3">
        <f>VLOOKUP(B476,[1]Sheet3!$A$13:$I$198,9,TRUE)</f>
        <v>4794715.29</v>
      </c>
    </row>
    <row r="477" spans="1:9">
      <c r="B477" s="1" t="s">
        <v>113</v>
      </c>
      <c r="D477" t="s">
        <v>16</v>
      </c>
      <c r="E477" s="5">
        <v>943.81</v>
      </c>
      <c r="F477" s="5">
        <v>873.75</v>
      </c>
      <c r="G477" s="5">
        <v>800.16</v>
      </c>
      <c r="H477" s="5">
        <v>562.36</v>
      </c>
      <c r="I477" s="5">
        <f>I474/I472</f>
        <v>602.95672818294929</v>
      </c>
    </row>
    <row r="478" spans="1:9">
      <c r="B478" s="1" t="s">
        <v>113</v>
      </c>
      <c r="D478" t="s">
        <v>17</v>
      </c>
      <c r="E478" s="6">
        <v>5.3</v>
      </c>
      <c r="F478" s="6">
        <v>5.0599999999999996</v>
      </c>
      <c r="G478" s="6">
        <v>5.24</v>
      </c>
      <c r="H478" s="6">
        <v>5.47</v>
      </c>
      <c r="I478" s="7">
        <f>I474/I473</f>
        <v>6.0720254131994116</v>
      </c>
    </row>
    <row r="479" spans="1:9">
      <c r="B479" s="1" t="s">
        <v>113</v>
      </c>
      <c r="D479" t="s">
        <v>18</v>
      </c>
      <c r="E479" s="8">
        <v>0.38590000000000002</v>
      </c>
      <c r="F479" s="8">
        <v>0.39550000000000002</v>
      </c>
      <c r="G479" s="8">
        <v>0.38879999999999998</v>
      </c>
      <c r="H479" s="8">
        <v>0.38450000000000001</v>
      </c>
      <c r="I479" s="8">
        <f>I475/I474</f>
        <v>0.37994394993473429</v>
      </c>
    </row>
    <row r="480" spans="1:9">
      <c r="B480" s="1" t="s">
        <v>113</v>
      </c>
      <c r="D480" t="s">
        <v>19</v>
      </c>
      <c r="E480" s="8">
        <v>0.58260000000000001</v>
      </c>
      <c r="F480" s="8">
        <v>0.58799999999999997</v>
      </c>
      <c r="G480" s="8">
        <v>0.59789999999999999</v>
      </c>
      <c r="H480" s="8">
        <v>0.61450000000000005</v>
      </c>
      <c r="I480" s="8">
        <f>I476/I475</f>
        <v>0.61998393467404489</v>
      </c>
    </row>
    <row r="481" spans="1:9">
      <c r="B481" s="1" t="s">
        <v>113</v>
      </c>
      <c r="D481" t="s">
        <v>20</v>
      </c>
      <c r="E481" s="8">
        <v>0.2248</v>
      </c>
      <c r="F481" s="8">
        <v>0.23250000000000001</v>
      </c>
      <c r="G481" s="8">
        <v>0.23250000000000001</v>
      </c>
      <c r="H481" s="8">
        <v>0.23619999999999999</v>
      </c>
      <c r="I481" s="8">
        <f>I476/I474</f>
        <v>0.23555914503613487</v>
      </c>
    </row>
    <row r="482" spans="1:9">
      <c r="B482" s="1" t="s">
        <v>113</v>
      </c>
    </row>
    <row r="483" spans="1:9">
      <c r="A483" t="s">
        <v>115</v>
      </c>
      <c r="B483" s="1" t="s">
        <v>116</v>
      </c>
      <c r="C483" t="s">
        <v>117</v>
      </c>
    </row>
    <row r="484" spans="1:9">
      <c r="B484" s="1" t="s">
        <v>116</v>
      </c>
      <c r="D484" t="s">
        <v>11</v>
      </c>
      <c r="E484" s="3">
        <v>106</v>
      </c>
      <c r="F484" s="3">
        <v>146</v>
      </c>
      <c r="G484" s="3">
        <v>155</v>
      </c>
      <c r="H484" s="3">
        <v>149</v>
      </c>
      <c r="I484" s="3">
        <f>VLOOKUP(B484,[1]Sheet3!$A$13:$E$198,5,TRUE)</f>
        <v>148</v>
      </c>
    </row>
    <row r="485" spans="1:9">
      <c r="B485" s="1" t="s">
        <v>116</v>
      </c>
      <c r="D485" t="s">
        <v>12</v>
      </c>
      <c r="E485" s="5">
        <v>59016.1</v>
      </c>
      <c r="F485" s="5">
        <v>72758.399999999994</v>
      </c>
      <c r="G485" s="5">
        <v>62103.5</v>
      </c>
      <c r="H485" s="5">
        <v>60818.6</v>
      </c>
      <c r="I485" s="3">
        <f>VLOOKUP(B485,[1]Sheet3!$A$13:$F$198,6,TRUE)</f>
        <v>74592.600000000006</v>
      </c>
    </row>
    <row r="486" spans="1:9">
      <c r="B486" s="1" t="s">
        <v>116</v>
      </c>
      <c r="D486" t="s">
        <v>23</v>
      </c>
      <c r="E486" s="5">
        <v>119066.05</v>
      </c>
      <c r="F486" s="5">
        <v>127322.4</v>
      </c>
      <c r="G486" s="5">
        <v>140057.20000000001</v>
      </c>
      <c r="H486" s="5">
        <v>134218.04</v>
      </c>
      <c r="I486" s="3">
        <f>VLOOKUP(B486,[1]Sheet3!$A$13:$G$198,7,TRUE)</f>
        <v>138789.06</v>
      </c>
    </row>
    <row r="487" spans="1:9">
      <c r="B487" s="1" t="s">
        <v>116</v>
      </c>
      <c r="D487" t="s">
        <v>14</v>
      </c>
      <c r="E487" s="5">
        <v>55678.85</v>
      </c>
      <c r="F487" s="5">
        <v>61345.3</v>
      </c>
      <c r="G487" s="5">
        <v>62990.22</v>
      </c>
      <c r="H487" s="5">
        <v>62990.22</v>
      </c>
      <c r="I487" s="3">
        <f>VLOOKUP(B487,[1]Sheet3!$A$13:$H$198,8,TRUE)</f>
        <v>65688.399999999994</v>
      </c>
    </row>
    <row r="488" spans="1:9">
      <c r="B488" s="1" t="s">
        <v>116</v>
      </c>
      <c r="D488" t="s">
        <v>15</v>
      </c>
      <c r="E488" s="5">
        <v>32234.73</v>
      </c>
      <c r="F488" s="5">
        <v>36618.269999999997</v>
      </c>
      <c r="G488" s="5">
        <v>37941.57</v>
      </c>
      <c r="H488" s="5">
        <v>38604.29</v>
      </c>
      <c r="I488" s="3">
        <f>VLOOKUP(B488,[1]Sheet3!$A$13:$I$198,9,TRUE)</f>
        <v>40737.279999999999</v>
      </c>
    </row>
    <row r="489" spans="1:9">
      <c r="B489" s="1" t="s">
        <v>116</v>
      </c>
      <c r="D489" t="s">
        <v>16</v>
      </c>
      <c r="E489" s="5">
        <v>1123.26</v>
      </c>
      <c r="F489" s="5">
        <v>872.07</v>
      </c>
      <c r="G489" s="5">
        <v>903.59</v>
      </c>
      <c r="H489" s="5">
        <v>900.79</v>
      </c>
      <c r="I489" s="5">
        <f>I486/I484</f>
        <v>937.76391891891888</v>
      </c>
    </row>
    <row r="490" spans="1:9">
      <c r="B490" s="1" t="s">
        <v>116</v>
      </c>
      <c r="D490" t="s">
        <v>17</v>
      </c>
      <c r="E490" s="6">
        <v>2.02</v>
      </c>
      <c r="F490" s="6">
        <v>1.75</v>
      </c>
      <c r="G490" s="6">
        <v>2.2599999999999998</v>
      </c>
      <c r="H490" s="6">
        <v>2.21</v>
      </c>
      <c r="I490" s="7">
        <f>I486/I485</f>
        <v>1.8606277298284279</v>
      </c>
    </row>
    <row r="491" spans="1:9">
      <c r="B491" s="1" t="s">
        <v>116</v>
      </c>
      <c r="D491" t="s">
        <v>18</v>
      </c>
      <c r="E491" s="8">
        <v>0.46760000000000002</v>
      </c>
      <c r="F491" s="8">
        <v>0.48180000000000001</v>
      </c>
      <c r="G491" s="8">
        <v>0.44969999999999999</v>
      </c>
      <c r="H491" s="8">
        <v>0.46929999999999999</v>
      </c>
      <c r="I491" s="8">
        <f>I487/I486</f>
        <v>0.47329667050126284</v>
      </c>
    </row>
    <row r="492" spans="1:9">
      <c r="B492" s="1" t="s">
        <v>116</v>
      </c>
      <c r="D492" t="s">
        <v>19</v>
      </c>
      <c r="E492" s="8">
        <v>0.57889999999999997</v>
      </c>
      <c r="F492" s="8">
        <v>0.59689999999999999</v>
      </c>
      <c r="G492" s="8">
        <v>0.60229999999999995</v>
      </c>
      <c r="H492" s="8">
        <v>0.6129</v>
      </c>
      <c r="I492" s="8">
        <f>I488/I487</f>
        <v>0.62015941931908836</v>
      </c>
    </row>
    <row r="493" spans="1:9">
      <c r="B493" s="1" t="s">
        <v>116</v>
      </c>
      <c r="D493" t="s">
        <v>20</v>
      </c>
      <c r="E493" s="8">
        <v>0.2707</v>
      </c>
      <c r="F493" s="8">
        <v>0.28760000000000002</v>
      </c>
      <c r="G493" s="8">
        <v>0.27089999999999997</v>
      </c>
      <c r="H493" s="8">
        <v>0.28760000000000002</v>
      </c>
      <c r="I493" s="8">
        <f>I488/I486</f>
        <v>0.29351938834372104</v>
      </c>
    </row>
    <row r="494" spans="1:9">
      <c r="B494" s="1" t="s">
        <v>116</v>
      </c>
    </row>
    <row r="495" spans="1:9">
      <c r="A495" t="s">
        <v>118</v>
      </c>
      <c r="B495" s="1" t="s">
        <v>119</v>
      </c>
      <c r="C495" t="s">
        <v>120</v>
      </c>
    </row>
    <row r="496" spans="1:9">
      <c r="B496" s="1" t="s">
        <v>119</v>
      </c>
      <c r="D496" t="s">
        <v>11</v>
      </c>
      <c r="E496" s="3">
        <v>31242</v>
      </c>
      <c r="F496" s="3">
        <v>27655</v>
      </c>
      <c r="G496" s="3">
        <v>30008</v>
      </c>
      <c r="H496" s="3">
        <v>31159</v>
      </c>
      <c r="I496" s="3">
        <f>VLOOKUP(B496,[1]Sheet3!$A$13:$E$198,5,TRUE)</f>
        <v>35970</v>
      </c>
    </row>
    <row r="497" spans="1:9">
      <c r="B497" s="1" t="s">
        <v>119</v>
      </c>
      <c r="D497" t="s">
        <v>12</v>
      </c>
      <c r="E497" s="5">
        <v>3635595</v>
      </c>
      <c r="F497" s="5">
        <v>2950601.5</v>
      </c>
      <c r="G497" s="5">
        <v>2884792.3</v>
      </c>
      <c r="H497" s="5">
        <v>2962279</v>
      </c>
      <c r="I497" s="3">
        <f>VLOOKUP(B497,[1]Sheet3!$A$13:$F$198,6,TRUE)</f>
        <v>3341272</v>
      </c>
    </row>
    <row r="498" spans="1:9">
      <c r="B498" s="1" t="s">
        <v>119</v>
      </c>
      <c r="D498" t="s">
        <v>23</v>
      </c>
      <c r="E498" s="5">
        <v>15850098.789999999</v>
      </c>
      <c r="F498" s="5">
        <v>17491325</v>
      </c>
      <c r="G498" s="5">
        <v>15898662</v>
      </c>
      <c r="H498" s="5">
        <v>18359140</v>
      </c>
      <c r="I498" s="3">
        <f>VLOOKUP(B498,[1]Sheet3!$A$13:$G$198,7,TRUE)</f>
        <v>19052324.149999999</v>
      </c>
    </row>
    <row r="499" spans="1:9">
      <c r="B499" s="1" t="s">
        <v>119</v>
      </c>
      <c r="D499" t="s">
        <v>14</v>
      </c>
      <c r="E499" s="5">
        <v>7063633.5199999996</v>
      </c>
      <c r="F499" s="5">
        <v>6663243.6299999999</v>
      </c>
      <c r="G499" s="5">
        <v>6663243.6299999999</v>
      </c>
      <c r="H499" s="5">
        <v>6960097.0199999996</v>
      </c>
      <c r="I499" s="3">
        <f>VLOOKUP(B499,[1]Sheet3!$A$13:$H$198,8,TRUE)</f>
        <v>7289791.3399999999</v>
      </c>
    </row>
    <row r="500" spans="1:9">
      <c r="B500" s="1" t="s">
        <v>119</v>
      </c>
      <c r="D500" t="s">
        <v>15</v>
      </c>
      <c r="E500" s="5">
        <v>4104086.63</v>
      </c>
      <c r="F500" s="5">
        <v>3878896.84</v>
      </c>
      <c r="G500" s="5">
        <v>3996154.19</v>
      </c>
      <c r="H500" s="5">
        <v>4296216.4800000004</v>
      </c>
      <c r="I500" s="3">
        <f>VLOOKUP(B500,[1]Sheet3!$A$13:$I$198,9,TRUE)</f>
        <v>4523979.59</v>
      </c>
    </row>
    <row r="501" spans="1:9">
      <c r="B501" s="1" t="s">
        <v>119</v>
      </c>
      <c r="D501" t="s">
        <v>16</v>
      </c>
      <c r="E501" s="5">
        <v>507.33</v>
      </c>
      <c r="F501" s="5">
        <v>632.48</v>
      </c>
      <c r="G501" s="5">
        <v>529.80999999999995</v>
      </c>
      <c r="H501" s="5">
        <v>589.21</v>
      </c>
      <c r="I501" s="5">
        <f>I498/I496</f>
        <v>529.67262023908813</v>
      </c>
    </row>
    <row r="502" spans="1:9">
      <c r="B502" s="1" t="s">
        <v>119</v>
      </c>
      <c r="D502" t="s">
        <v>17</v>
      </c>
      <c r="E502" s="6">
        <v>4.3600000000000003</v>
      </c>
      <c r="F502" s="6">
        <v>5.93</v>
      </c>
      <c r="G502" s="6">
        <v>5.51</v>
      </c>
      <c r="H502" s="6">
        <v>6.2</v>
      </c>
      <c r="I502" s="7">
        <f>I498/I497</f>
        <v>5.7021170829552332</v>
      </c>
    </row>
    <row r="503" spans="1:9">
      <c r="B503" s="1" t="s">
        <v>119</v>
      </c>
      <c r="D503" t="s">
        <v>18</v>
      </c>
      <c r="E503" s="8">
        <v>0.44569999999999999</v>
      </c>
      <c r="F503" s="8">
        <v>0.38090000000000002</v>
      </c>
      <c r="G503" s="8">
        <v>0.41909999999999997</v>
      </c>
      <c r="H503" s="8">
        <v>0.37909999999999999</v>
      </c>
      <c r="I503" s="8">
        <f>I499/I498</f>
        <v>0.38261953148639877</v>
      </c>
    </row>
    <row r="504" spans="1:9">
      <c r="B504" s="1" t="s">
        <v>119</v>
      </c>
      <c r="D504" t="s">
        <v>19</v>
      </c>
      <c r="E504" s="8">
        <v>0.58099999999999996</v>
      </c>
      <c r="F504" s="8">
        <v>0.58209999999999995</v>
      </c>
      <c r="G504" s="8">
        <v>0.59970000000000001</v>
      </c>
      <c r="H504" s="8">
        <v>0.61729999999999996</v>
      </c>
      <c r="I504" s="8">
        <f>I500/I499</f>
        <v>0.62059109499833776</v>
      </c>
    </row>
    <row r="505" spans="1:9">
      <c r="B505" s="1" t="s">
        <v>119</v>
      </c>
      <c r="D505" t="s">
        <v>20</v>
      </c>
      <c r="E505" s="8">
        <v>0.25890000000000002</v>
      </c>
      <c r="F505" s="8">
        <v>0.2218</v>
      </c>
      <c r="G505" s="8">
        <v>0.25140000000000001</v>
      </c>
      <c r="H505" s="8">
        <v>0.23400000000000001</v>
      </c>
      <c r="I505" s="8">
        <f>I500/I498</f>
        <v>0.23745027401289517</v>
      </c>
    </row>
    <row r="506" spans="1:9">
      <c r="B506" s="1" t="s">
        <v>119</v>
      </c>
    </row>
    <row r="507" spans="1:9">
      <c r="A507" t="s">
        <v>121</v>
      </c>
      <c r="B507" s="1" t="s">
        <v>122</v>
      </c>
      <c r="C507" t="s">
        <v>123</v>
      </c>
    </row>
    <row r="508" spans="1:9">
      <c r="B508" s="1" t="s">
        <v>122</v>
      </c>
      <c r="D508" t="s">
        <v>11</v>
      </c>
      <c r="E508" s="3">
        <v>5977</v>
      </c>
      <c r="F508" s="3">
        <v>4266</v>
      </c>
      <c r="G508" s="3">
        <v>4108</v>
      </c>
      <c r="H508" s="3">
        <v>3835</v>
      </c>
      <c r="I508" s="3">
        <f>VLOOKUP(B508,[1]Sheet3!$A$13:$E$198,5,TRUE)</f>
        <v>2914</v>
      </c>
    </row>
    <row r="509" spans="1:9">
      <c r="B509" s="1" t="s">
        <v>122</v>
      </c>
      <c r="D509" t="s">
        <v>12</v>
      </c>
      <c r="E509" s="5">
        <v>703342</v>
      </c>
      <c r="F509" s="5">
        <v>517454</v>
      </c>
      <c r="G509" s="5">
        <v>603762.6</v>
      </c>
      <c r="H509" s="5">
        <v>540461.4</v>
      </c>
      <c r="I509" s="3">
        <f>VLOOKUP(B509,[1]Sheet3!$A$13:$F$198,6,TRUE)</f>
        <v>442548</v>
      </c>
    </row>
    <row r="510" spans="1:9">
      <c r="B510" s="1" t="s">
        <v>122</v>
      </c>
      <c r="D510" t="s">
        <v>23</v>
      </c>
      <c r="E510" s="5">
        <v>1951960.05</v>
      </c>
      <c r="F510" s="5">
        <v>1832295.82</v>
      </c>
      <c r="G510" s="5">
        <v>1835100.73</v>
      </c>
      <c r="H510" s="5">
        <v>1734799.45</v>
      </c>
      <c r="I510" s="3">
        <f>VLOOKUP(B510,[1]Sheet3!$A$13:$G$198,7,TRUE)</f>
        <v>1725688.54</v>
      </c>
    </row>
    <row r="511" spans="1:9">
      <c r="B511" s="1" t="s">
        <v>122</v>
      </c>
      <c r="D511" t="s">
        <v>14</v>
      </c>
      <c r="E511" s="5">
        <v>837269.84</v>
      </c>
      <c r="F511" s="5">
        <v>837269.84</v>
      </c>
      <c r="G511" s="5">
        <v>772751.49</v>
      </c>
      <c r="H511" s="5">
        <v>772751.49</v>
      </c>
      <c r="I511" s="3">
        <f>VLOOKUP(B511,[1]Sheet3!$A$13:$H$198,8,TRUE)</f>
        <v>695319.90999999992</v>
      </c>
    </row>
    <row r="512" spans="1:9">
      <c r="B512" s="1" t="s">
        <v>122</v>
      </c>
      <c r="D512" t="s">
        <v>15</v>
      </c>
      <c r="E512" s="5">
        <v>494997.30000000005</v>
      </c>
      <c r="F512" s="5">
        <v>492282.43999999994</v>
      </c>
      <c r="G512" s="5">
        <v>456995.58</v>
      </c>
      <c r="H512" s="5">
        <v>473589.76000000001</v>
      </c>
      <c r="I512" s="3">
        <f>VLOOKUP(B512,[1]Sheet3!$A$13:$I$198,9,TRUE)</f>
        <v>440062</v>
      </c>
    </row>
    <row r="513" spans="1:9">
      <c r="B513" s="1" t="s">
        <v>122</v>
      </c>
      <c r="D513" t="s">
        <v>16</v>
      </c>
      <c r="E513" s="5">
        <v>326.58</v>
      </c>
      <c r="F513" s="5">
        <v>429.51</v>
      </c>
      <c r="G513" s="5">
        <v>446.71</v>
      </c>
      <c r="H513" s="5">
        <v>452.36</v>
      </c>
      <c r="I513" s="5">
        <f>I510/I508</f>
        <v>592.20608785175023</v>
      </c>
    </row>
    <row r="514" spans="1:9">
      <c r="B514" s="1" t="s">
        <v>122</v>
      </c>
      <c r="D514" t="s">
        <v>17</v>
      </c>
      <c r="E514" s="6">
        <v>2.78</v>
      </c>
      <c r="F514" s="6">
        <v>3.54</v>
      </c>
      <c r="G514" s="6">
        <v>3.04</v>
      </c>
      <c r="H514" s="6">
        <v>3.21</v>
      </c>
      <c r="I514" s="7">
        <f>I510/I509</f>
        <v>3.8994381174471471</v>
      </c>
    </row>
    <row r="515" spans="1:9">
      <c r="B515" s="1" t="s">
        <v>122</v>
      </c>
      <c r="D515" t="s">
        <v>18</v>
      </c>
      <c r="E515" s="8">
        <v>0.4289</v>
      </c>
      <c r="F515" s="8">
        <v>0.45700000000000002</v>
      </c>
      <c r="G515" s="8">
        <v>0.42109999999999997</v>
      </c>
      <c r="H515" s="8">
        <v>0.44540000000000002</v>
      </c>
      <c r="I515" s="8">
        <f>I511/I510</f>
        <v>0.40292317755091533</v>
      </c>
    </row>
    <row r="516" spans="1:9">
      <c r="B516" s="1" t="s">
        <v>122</v>
      </c>
      <c r="D516" t="s">
        <v>19</v>
      </c>
      <c r="E516" s="8">
        <v>0.59119999999999995</v>
      </c>
      <c r="F516" s="8">
        <v>0.58799999999999997</v>
      </c>
      <c r="G516" s="8">
        <v>0.59140000000000004</v>
      </c>
      <c r="H516" s="8">
        <v>0.6129</v>
      </c>
      <c r="I516" s="8">
        <f>I512/I511</f>
        <v>0.63289141252980952</v>
      </c>
    </row>
    <row r="517" spans="1:9">
      <c r="B517" s="1" t="s">
        <v>122</v>
      </c>
      <c r="D517" t="s">
        <v>20</v>
      </c>
      <c r="E517" s="8">
        <v>0.25359999999999999</v>
      </c>
      <c r="F517" s="8">
        <v>0.26869999999999999</v>
      </c>
      <c r="G517" s="8">
        <v>0.249</v>
      </c>
      <c r="H517" s="8">
        <v>0.27300000000000002</v>
      </c>
      <c r="I517" s="8">
        <f>I512/I510</f>
        <v>0.25500661898119809</v>
      </c>
    </row>
    <row r="518" spans="1:9">
      <c r="B518" s="1" t="s">
        <v>122</v>
      </c>
    </row>
    <row r="519" spans="1:9">
      <c r="A519" t="s">
        <v>124</v>
      </c>
      <c r="B519" s="1" t="s">
        <v>125</v>
      </c>
      <c r="C519" t="s">
        <v>126</v>
      </c>
    </row>
    <row r="520" spans="1:9">
      <c r="B520" s="1" t="s">
        <v>125</v>
      </c>
      <c r="D520" t="s">
        <v>11</v>
      </c>
      <c r="E520" s="3">
        <v>2548</v>
      </c>
      <c r="F520" s="3">
        <v>2398</v>
      </c>
      <c r="G520" s="3">
        <v>2190</v>
      </c>
      <c r="H520" s="3">
        <v>2194</v>
      </c>
      <c r="I520" s="3">
        <f>VLOOKUP(B520,[1]Sheet3!$A$13:$E$198,5,TRUE)</f>
        <v>2251</v>
      </c>
    </row>
    <row r="521" spans="1:9">
      <c r="B521" s="1" t="s">
        <v>125</v>
      </c>
      <c r="D521" t="s">
        <v>12</v>
      </c>
      <c r="E521" s="5">
        <v>306600</v>
      </c>
      <c r="F521" s="5">
        <v>361760</v>
      </c>
      <c r="G521" s="5">
        <v>331464</v>
      </c>
      <c r="H521" s="5">
        <v>359294</v>
      </c>
      <c r="I521" s="3">
        <f>VLOOKUP(B521,[1]Sheet3!$A$13:$F$198,6,TRUE)</f>
        <v>327352</v>
      </c>
    </row>
    <row r="522" spans="1:9">
      <c r="B522" s="1" t="s">
        <v>125</v>
      </c>
      <c r="D522" t="s">
        <v>23</v>
      </c>
      <c r="E522" s="5">
        <v>846946</v>
      </c>
      <c r="F522" s="5">
        <v>899854</v>
      </c>
      <c r="G522" s="5">
        <v>893609</v>
      </c>
      <c r="H522" s="5">
        <v>894556</v>
      </c>
      <c r="I522" s="3">
        <f>VLOOKUP(B522,[1]Sheet3!$A$13:$G$198,7,TRUE)</f>
        <v>862630</v>
      </c>
    </row>
    <row r="523" spans="1:9">
      <c r="B523" s="1" t="s">
        <v>125</v>
      </c>
      <c r="D523" t="s">
        <v>14</v>
      </c>
      <c r="E523" s="5">
        <v>385407.45</v>
      </c>
      <c r="F523" s="5">
        <v>395377.66000000003</v>
      </c>
      <c r="G523" s="5">
        <v>395377.66000000003</v>
      </c>
      <c r="H523" s="5">
        <v>392965.66000000003</v>
      </c>
      <c r="I523" s="3">
        <f>VLOOKUP(B523,[1]Sheet3!$A$13:$H$198,8,TRUE)</f>
        <v>374152.95</v>
      </c>
    </row>
    <row r="524" spans="1:9">
      <c r="B524" s="1" t="s">
        <v>125</v>
      </c>
      <c r="D524" t="s">
        <v>15</v>
      </c>
      <c r="E524" s="5">
        <v>223928.03000000003</v>
      </c>
      <c r="F524" s="5">
        <v>233433.86</v>
      </c>
      <c r="G524" s="5">
        <v>237120.26</v>
      </c>
      <c r="H524" s="5">
        <v>240584.63</v>
      </c>
      <c r="I524" s="3">
        <f>VLOOKUP(B524,[1]Sheet3!$A$13:$I$198,9,TRUE)</f>
        <v>242023.13</v>
      </c>
    </row>
    <row r="525" spans="1:9">
      <c r="B525" s="1" t="s">
        <v>125</v>
      </c>
      <c r="D525" t="s">
        <v>16</v>
      </c>
      <c r="E525" s="5">
        <v>332.4</v>
      </c>
      <c r="F525" s="5">
        <v>375.25</v>
      </c>
      <c r="G525" s="5">
        <v>408.04</v>
      </c>
      <c r="H525" s="5">
        <v>407.73</v>
      </c>
      <c r="I525" s="5">
        <f>I522/I520</f>
        <v>383.22079075966235</v>
      </c>
    </row>
    <row r="526" spans="1:9">
      <c r="B526" s="1" t="s">
        <v>125</v>
      </c>
      <c r="D526" t="s">
        <v>17</v>
      </c>
      <c r="E526" s="6">
        <v>2.76</v>
      </c>
      <c r="F526" s="6">
        <v>2.4900000000000002</v>
      </c>
      <c r="G526" s="6">
        <v>2.7</v>
      </c>
      <c r="H526" s="6">
        <v>2.4900000000000002</v>
      </c>
      <c r="I526" s="7">
        <f>I522/I521</f>
        <v>2.6351755908013392</v>
      </c>
    </row>
    <row r="527" spans="1:9">
      <c r="B527" s="1" t="s">
        <v>125</v>
      </c>
      <c r="D527" t="s">
        <v>18</v>
      </c>
      <c r="E527" s="8">
        <v>0.4551</v>
      </c>
      <c r="F527" s="8">
        <v>0.43940000000000001</v>
      </c>
      <c r="G527" s="8">
        <v>0.4425</v>
      </c>
      <c r="H527" s="8">
        <v>0.43930000000000002</v>
      </c>
      <c r="I527" s="8">
        <f>I523/I522</f>
        <v>0.43373514716622424</v>
      </c>
    </row>
    <row r="528" spans="1:9">
      <c r="B528" s="1" t="s">
        <v>125</v>
      </c>
      <c r="D528" t="s">
        <v>19</v>
      </c>
      <c r="E528" s="8">
        <v>0.58099999999999996</v>
      </c>
      <c r="F528" s="8">
        <v>0.59040000000000004</v>
      </c>
      <c r="G528" s="8">
        <v>0.59970000000000001</v>
      </c>
      <c r="H528" s="8">
        <v>0.61219999999999997</v>
      </c>
      <c r="I528" s="8">
        <f>I524/I523</f>
        <v>0.6468561319642141</v>
      </c>
    </row>
    <row r="529" spans="1:9">
      <c r="B529" s="1" t="s">
        <v>125</v>
      </c>
      <c r="D529" t="s">
        <v>20</v>
      </c>
      <c r="E529" s="8">
        <v>0.26440000000000002</v>
      </c>
      <c r="F529" s="8">
        <v>0.25940000000000002</v>
      </c>
      <c r="G529" s="8">
        <v>0.26540000000000002</v>
      </c>
      <c r="H529" s="8">
        <v>0.26889999999999997</v>
      </c>
      <c r="I529" s="8">
        <f>I524/I522</f>
        <v>0.28056423959287297</v>
      </c>
    </row>
    <row r="530" spans="1:9">
      <c r="B530" s="1" t="s">
        <v>125</v>
      </c>
    </row>
    <row r="531" spans="1:9">
      <c r="A531" t="s">
        <v>124</v>
      </c>
      <c r="B531" s="1" t="s">
        <v>127</v>
      </c>
      <c r="C531" t="s">
        <v>128</v>
      </c>
    </row>
    <row r="532" spans="1:9">
      <c r="B532" s="1" t="s">
        <v>127</v>
      </c>
      <c r="D532" t="s">
        <v>11</v>
      </c>
      <c r="E532" s="3">
        <v>194</v>
      </c>
      <c r="F532" s="3">
        <v>188</v>
      </c>
      <c r="G532" s="3">
        <v>165</v>
      </c>
      <c r="H532" s="3">
        <v>164</v>
      </c>
      <c r="I532" s="3">
        <f>VLOOKUP(B532,[1]Sheet3!$A$13:$E$198,5,TRUE)</f>
        <v>111</v>
      </c>
    </row>
    <row r="533" spans="1:9">
      <c r="B533" s="1" t="s">
        <v>127</v>
      </c>
      <c r="D533" t="s">
        <v>12</v>
      </c>
      <c r="E533" s="5">
        <v>353381.6</v>
      </c>
      <c r="F533" s="5">
        <v>306020</v>
      </c>
      <c r="G533" s="5">
        <v>297228</v>
      </c>
      <c r="H533" s="5">
        <v>323706.59999999998</v>
      </c>
      <c r="I533" s="3">
        <f>VLOOKUP(B533,[1]Sheet3!$A$13:$F$198,6,TRUE)</f>
        <v>232022</v>
      </c>
    </row>
    <row r="534" spans="1:9">
      <c r="B534" s="1" t="s">
        <v>127</v>
      </c>
      <c r="D534" t="s">
        <v>23</v>
      </c>
      <c r="E534" s="5">
        <v>60824.12</v>
      </c>
      <c r="F534" s="5">
        <v>73884.789999999994</v>
      </c>
      <c r="G534" s="5">
        <v>58631.9</v>
      </c>
      <c r="H534" s="5">
        <v>63252.67</v>
      </c>
      <c r="I534" s="3">
        <f>VLOOKUP(B534,[1]Sheet3!$A$13:$G$198,7,TRUE)</f>
        <v>54438.7</v>
      </c>
    </row>
    <row r="535" spans="1:9">
      <c r="B535" s="1" t="s">
        <v>127</v>
      </c>
      <c r="D535" t="s">
        <v>14</v>
      </c>
      <c r="E535" s="5">
        <v>54741.71</v>
      </c>
      <c r="F535" s="5">
        <v>66496.31</v>
      </c>
      <c r="G535" s="5">
        <v>66496.31</v>
      </c>
      <c r="H535" s="5">
        <v>56927.4</v>
      </c>
      <c r="I535" s="3">
        <f>VLOOKUP(B535,[1]Sheet3!$A$13:$H$198,8,TRUE)</f>
        <v>48994.83</v>
      </c>
    </row>
    <row r="536" spans="1:9">
      <c r="B536" s="1" t="s">
        <v>127</v>
      </c>
      <c r="D536" t="s">
        <v>15</v>
      </c>
      <c r="E536" s="5">
        <v>32050.61</v>
      </c>
      <c r="F536" s="5">
        <v>40237.35</v>
      </c>
      <c r="G536" s="5">
        <v>39879.9</v>
      </c>
      <c r="H536" s="5">
        <v>33900.959999999999</v>
      </c>
      <c r="I536" s="3">
        <f>VLOOKUP(B536,[1]Sheet3!$A$13:$I$198,9,TRUE)</f>
        <v>35060.949999999997</v>
      </c>
    </row>
    <row r="537" spans="1:9">
      <c r="B537" s="1" t="s">
        <v>127</v>
      </c>
      <c r="D537" t="s">
        <v>16</v>
      </c>
      <c r="E537" s="5">
        <v>313.52999999999997</v>
      </c>
      <c r="F537" s="5">
        <v>393</v>
      </c>
      <c r="G537" s="5">
        <v>355.34</v>
      </c>
      <c r="H537" s="5">
        <v>385.69</v>
      </c>
      <c r="I537" s="5">
        <f>I534/I532</f>
        <v>490.43873873873872</v>
      </c>
    </row>
    <row r="538" spans="1:9">
      <c r="B538" s="1" t="s">
        <v>127</v>
      </c>
      <c r="D538" t="s">
        <v>17</v>
      </c>
      <c r="E538" s="6">
        <v>0.17</v>
      </c>
      <c r="F538" s="6">
        <v>0.24</v>
      </c>
      <c r="G538" s="6">
        <v>0.2</v>
      </c>
      <c r="H538" s="6">
        <v>0.2</v>
      </c>
      <c r="I538" s="7">
        <f>I534/I533</f>
        <v>0.23462731982312021</v>
      </c>
    </row>
    <row r="539" spans="1:9">
      <c r="B539" s="1" t="s">
        <v>127</v>
      </c>
      <c r="D539" t="s">
        <v>18</v>
      </c>
      <c r="E539" s="8">
        <v>0.9</v>
      </c>
      <c r="F539" s="8">
        <v>0.9</v>
      </c>
      <c r="G539" s="8">
        <v>1.1341000000000001</v>
      </c>
      <c r="H539" s="8">
        <v>0.9</v>
      </c>
      <c r="I539" s="8">
        <f>I535/I534</f>
        <v>0.90000000000000013</v>
      </c>
    </row>
    <row r="540" spans="1:9">
      <c r="B540" s="1" t="s">
        <v>127</v>
      </c>
      <c r="D540" t="s">
        <v>19</v>
      </c>
      <c r="E540" s="8">
        <v>0.58550000000000002</v>
      </c>
      <c r="F540" s="8">
        <v>0.60509999999999997</v>
      </c>
      <c r="G540" s="8">
        <v>0.59970000000000001</v>
      </c>
      <c r="H540" s="8">
        <v>0.59550000000000003</v>
      </c>
      <c r="I540" s="8">
        <f>I536/I535</f>
        <v>0.71560509547640017</v>
      </c>
    </row>
    <row r="541" spans="1:9">
      <c r="B541" s="1" t="s">
        <v>127</v>
      </c>
      <c r="D541" t="s">
        <v>20</v>
      </c>
      <c r="E541" s="8">
        <v>0.52690000000000003</v>
      </c>
      <c r="F541" s="8">
        <v>0.54459999999999997</v>
      </c>
      <c r="G541" s="8">
        <v>0.68020000000000003</v>
      </c>
      <c r="H541" s="8">
        <v>0.53600000000000003</v>
      </c>
      <c r="I541" s="8">
        <f>I536/I534</f>
        <v>0.64404458592876024</v>
      </c>
    </row>
    <row r="542" spans="1:9">
      <c r="B542" s="1" t="s">
        <v>127</v>
      </c>
    </row>
    <row r="543" spans="1:9">
      <c r="A543" t="s">
        <v>124</v>
      </c>
      <c r="B543" s="1" t="s">
        <v>129</v>
      </c>
      <c r="C543" t="s">
        <v>130</v>
      </c>
    </row>
    <row r="544" spans="1:9">
      <c r="B544" s="1" t="s">
        <v>129</v>
      </c>
      <c r="D544" t="s">
        <v>11</v>
      </c>
      <c r="E544" s="3">
        <v>173</v>
      </c>
      <c r="F544" s="3">
        <v>162</v>
      </c>
      <c r="G544" s="3">
        <v>165</v>
      </c>
      <c r="H544" s="3">
        <v>171</v>
      </c>
      <c r="I544" s="3">
        <f>VLOOKUP(B544,[1]Sheet3!$A$13:$E$198,5,TRUE)</f>
        <v>155</v>
      </c>
    </row>
    <row r="545" spans="1:9">
      <c r="B545" s="1" t="s">
        <v>129</v>
      </c>
      <c r="D545" t="s">
        <v>12</v>
      </c>
      <c r="E545" s="5">
        <v>111974.39999999999</v>
      </c>
      <c r="F545" s="5">
        <v>94435.199999999997</v>
      </c>
      <c r="G545" s="5">
        <v>91119.6</v>
      </c>
      <c r="H545" s="5">
        <v>92584</v>
      </c>
      <c r="I545" s="3">
        <f>VLOOKUP(B545,[1]Sheet3!$A$13:$F$198,6,TRUE)</f>
        <v>105591.2</v>
      </c>
    </row>
    <row r="546" spans="1:9">
      <c r="B546" s="1" t="s">
        <v>129</v>
      </c>
      <c r="D546" t="s">
        <v>23</v>
      </c>
      <c r="E546" s="5">
        <v>180509</v>
      </c>
      <c r="F546" s="5">
        <v>166517</v>
      </c>
      <c r="G546" s="5">
        <v>200042</v>
      </c>
      <c r="H546" s="5">
        <v>205181.95</v>
      </c>
      <c r="I546" s="3">
        <f>VLOOKUP(B546,[1]Sheet3!$A$13:$G$198,7,TRUE)</f>
        <v>193773.44</v>
      </c>
    </row>
    <row r="547" spans="1:9">
      <c r="B547" s="1" t="s">
        <v>129</v>
      </c>
      <c r="D547" t="s">
        <v>14</v>
      </c>
      <c r="E547" s="5">
        <v>91061.920000000013</v>
      </c>
      <c r="F547" s="5">
        <v>89180.63</v>
      </c>
      <c r="G547" s="5">
        <v>90573.7</v>
      </c>
      <c r="H547" s="5">
        <v>92681.34</v>
      </c>
      <c r="I547" s="3">
        <f>VLOOKUP(B547,[1]Sheet3!$A$13:$H$198,8,TRUE)</f>
        <v>92074.73</v>
      </c>
    </row>
    <row r="548" spans="1:9">
      <c r="B548" s="1" t="s">
        <v>129</v>
      </c>
      <c r="D548" t="s">
        <v>15</v>
      </c>
      <c r="E548" s="5">
        <v>52908.460000000006</v>
      </c>
      <c r="F548" s="5">
        <v>52252.320000000007</v>
      </c>
      <c r="G548" s="5">
        <v>54459.070000000007</v>
      </c>
      <c r="H548" s="5">
        <v>57018.380000000005</v>
      </c>
      <c r="I548" s="3">
        <f>VLOOKUP(B548,[1]Sheet3!$A$13:$I$198,9,TRUE)</f>
        <v>57081.399999999994</v>
      </c>
    </row>
    <row r="549" spans="1:9">
      <c r="B549" s="1" t="s">
        <v>129</v>
      </c>
      <c r="D549" t="s">
        <v>16</v>
      </c>
      <c r="E549" s="5">
        <v>1043.4000000000001</v>
      </c>
      <c r="F549" s="5">
        <v>1027.8800000000001</v>
      </c>
      <c r="G549" s="5">
        <v>1212.3800000000001</v>
      </c>
      <c r="H549" s="5">
        <v>1199.8900000000001</v>
      </c>
      <c r="I549" s="5">
        <f>I546/I544</f>
        <v>1250.1512258064515</v>
      </c>
    </row>
    <row r="550" spans="1:9">
      <c r="B550" s="1" t="s">
        <v>129</v>
      </c>
      <c r="D550" t="s">
        <v>17</v>
      </c>
      <c r="E550" s="6">
        <v>1.61</v>
      </c>
      <c r="F550" s="6">
        <v>1.76</v>
      </c>
      <c r="G550" s="6">
        <v>2.2000000000000002</v>
      </c>
      <c r="H550" s="6">
        <v>2.2200000000000002</v>
      </c>
      <c r="I550" s="7">
        <f>I546/I545</f>
        <v>1.8351286849661714</v>
      </c>
    </row>
    <row r="551" spans="1:9">
      <c r="B551" s="1" t="s">
        <v>129</v>
      </c>
      <c r="D551" t="s">
        <v>18</v>
      </c>
      <c r="E551" s="8">
        <v>0.50449999999999995</v>
      </c>
      <c r="F551" s="8">
        <v>0.53559999999999997</v>
      </c>
      <c r="G551" s="8">
        <v>0.45279999999999998</v>
      </c>
      <c r="H551" s="8">
        <v>0.45169999999999999</v>
      </c>
      <c r="I551" s="8">
        <f>I547/I546</f>
        <v>0.47516692690184986</v>
      </c>
    </row>
    <row r="552" spans="1:9">
      <c r="B552" s="1" t="s">
        <v>129</v>
      </c>
      <c r="D552" t="s">
        <v>19</v>
      </c>
      <c r="E552" s="8">
        <v>0.58099999999999996</v>
      </c>
      <c r="F552" s="8">
        <v>0.58589999999999998</v>
      </c>
      <c r="G552" s="8">
        <v>0.60129999999999995</v>
      </c>
      <c r="H552" s="8">
        <v>0.61519999999999997</v>
      </c>
      <c r="I552" s="8">
        <f>I548/I547</f>
        <v>0.61994642829797053</v>
      </c>
    </row>
    <row r="553" spans="1:9">
      <c r="B553" s="1" t="s">
        <v>129</v>
      </c>
      <c r="D553" t="s">
        <v>20</v>
      </c>
      <c r="E553" s="8">
        <v>0.29310000000000003</v>
      </c>
      <c r="F553" s="8">
        <v>0.31380000000000002</v>
      </c>
      <c r="G553" s="8">
        <v>0.2722</v>
      </c>
      <c r="H553" s="8">
        <v>0.27789999999999998</v>
      </c>
      <c r="I553" s="8">
        <f>I548/I546</f>
        <v>0.2945780391781247</v>
      </c>
    </row>
    <row r="554" spans="1:9">
      <c r="B554" s="1" t="s">
        <v>129</v>
      </c>
    </row>
    <row r="555" spans="1:9">
      <c r="A555" t="s">
        <v>124</v>
      </c>
      <c r="B555" s="1" t="s">
        <v>131</v>
      </c>
      <c r="C555" t="s">
        <v>132</v>
      </c>
    </row>
    <row r="556" spans="1:9">
      <c r="B556" s="1" t="s">
        <v>131</v>
      </c>
      <c r="D556" t="s">
        <v>11</v>
      </c>
      <c r="E556" s="3">
        <v>191</v>
      </c>
      <c r="F556" s="3">
        <v>172</v>
      </c>
      <c r="G556" s="3">
        <v>223</v>
      </c>
      <c r="H556" s="3">
        <v>187</v>
      </c>
      <c r="I556" s="3">
        <f>VLOOKUP(B556,[1]Sheet3!$A$13:$E$198,5,TRUE)</f>
        <v>197</v>
      </c>
    </row>
    <row r="557" spans="1:9">
      <c r="B557" s="1" t="s">
        <v>131</v>
      </c>
      <c r="D557" t="s">
        <v>12</v>
      </c>
      <c r="E557" s="5">
        <v>32571</v>
      </c>
      <c r="F557" s="5">
        <v>30084</v>
      </c>
      <c r="G557" s="5">
        <v>28912</v>
      </c>
      <c r="H557" s="5">
        <v>30498</v>
      </c>
      <c r="I557" s="3">
        <f>VLOOKUP(B557,[1]Sheet3!$A$13:$F$198,6,TRUE)</f>
        <v>30003</v>
      </c>
    </row>
    <row r="558" spans="1:9">
      <c r="B558" s="1" t="s">
        <v>131</v>
      </c>
      <c r="D558" t="s">
        <v>23</v>
      </c>
      <c r="E558" s="5">
        <v>126528.82</v>
      </c>
      <c r="F558" s="5">
        <v>95084.22</v>
      </c>
      <c r="G558" s="5">
        <v>96864.81</v>
      </c>
      <c r="H558" s="5">
        <v>96054.18</v>
      </c>
      <c r="I558" s="3">
        <f>VLOOKUP(B558,[1]Sheet3!$A$13:$G$198,7,TRUE)</f>
        <v>99053</v>
      </c>
    </row>
    <row r="559" spans="1:9">
      <c r="B559" s="1" t="s">
        <v>131</v>
      </c>
      <c r="D559" t="s">
        <v>14</v>
      </c>
      <c r="E559" s="5">
        <v>59192.509999999995</v>
      </c>
      <c r="F559" s="5">
        <v>51012.21</v>
      </c>
      <c r="G559" s="5">
        <v>40048.67</v>
      </c>
      <c r="H559" s="5">
        <v>40171.29</v>
      </c>
      <c r="I559" s="3">
        <f>VLOOKUP(B559,[1]Sheet3!$A$13:$H$198,8,TRUE)</f>
        <v>41063.03</v>
      </c>
    </row>
    <row r="560" spans="1:9">
      <c r="B560" s="1" t="s">
        <v>131</v>
      </c>
      <c r="D560" t="s">
        <v>15</v>
      </c>
      <c r="E560" s="5">
        <v>34391.82</v>
      </c>
      <c r="F560" s="5">
        <v>29199.800000000003</v>
      </c>
      <c r="G560" s="5">
        <v>22922.809999999998</v>
      </c>
      <c r="H560" s="5">
        <v>24632.1</v>
      </c>
      <c r="I560" s="3">
        <f>VLOOKUP(B560,[1]Sheet3!$A$13:$I$198,9,TRUE)</f>
        <v>25382.98</v>
      </c>
    </row>
    <row r="561" spans="1:9">
      <c r="B561" s="1" t="s">
        <v>131</v>
      </c>
      <c r="D561" t="s">
        <v>16</v>
      </c>
      <c r="E561" s="5">
        <v>662.45</v>
      </c>
      <c r="F561" s="5">
        <v>552.82000000000005</v>
      </c>
      <c r="G561" s="5">
        <v>434.37</v>
      </c>
      <c r="H561" s="5">
        <v>513.66</v>
      </c>
      <c r="I561" s="5">
        <f>I558/I556</f>
        <v>502.80710659898477</v>
      </c>
    </row>
    <row r="562" spans="1:9">
      <c r="B562" s="1" t="s">
        <v>131</v>
      </c>
      <c r="D562" t="s">
        <v>17</v>
      </c>
      <c r="E562" s="6">
        <v>3.88</v>
      </c>
      <c r="F562" s="6">
        <v>3.16</v>
      </c>
      <c r="G562" s="6">
        <v>3.35</v>
      </c>
      <c r="H562" s="6">
        <v>3.15</v>
      </c>
      <c r="I562" s="7">
        <f>I558/I557</f>
        <v>3.3014365230143654</v>
      </c>
    </row>
    <row r="563" spans="1:9">
      <c r="B563" s="1" t="s">
        <v>131</v>
      </c>
      <c r="D563" t="s">
        <v>18</v>
      </c>
      <c r="E563" s="8">
        <v>0.46779999999999999</v>
      </c>
      <c r="F563" s="8">
        <v>0.53649999999999998</v>
      </c>
      <c r="G563" s="8">
        <v>0.41339999999999999</v>
      </c>
      <c r="H563" s="8">
        <v>0.41820000000000002</v>
      </c>
      <c r="I563" s="8">
        <f>I559/I558</f>
        <v>0.41455614670933744</v>
      </c>
    </row>
    <row r="564" spans="1:9">
      <c r="B564" s="1" t="s">
        <v>131</v>
      </c>
      <c r="D564" t="s">
        <v>19</v>
      </c>
      <c r="E564" s="8">
        <v>0.58099999999999996</v>
      </c>
      <c r="F564" s="8">
        <v>0.57240000000000002</v>
      </c>
      <c r="G564" s="8">
        <v>0.57240000000000002</v>
      </c>
      <c r="H564" s="8">
        <v>0.61319999999999997</v>
      </c>
      <c r="I564" s="8">
        <f>I560/I559</f>
        <v>0.61814678556355929</v>
      </c>
    </row>
    <row r="565" spans="1:9">
      <c r="B565" s="1" t="s">
        <v>131</v>
      </c>
      <c r="D565" t="s">
        <v>20</v>
      </c>
      <c r="E565" s="8">
        <v>0.27179999999999999</v>
      </c>
      <c r="F565" s="8">
        <v>0.30709999999999998</v>
      </c>
      <c r="G565" s="8">
        <v>0.2366</v>
      </c>
      <c r="H565" s="8">
        <v>0.25640000000000002</v>
      </c>
      <c r="I565" s="8">
        <f>I560/I558</f>
        <v>0.25625654952399218</v>
      </c>
    </row>
    <row r="566" spans="1:9">
      <c r="B566" s="1" t="s">
        <v>131</v>
      </c>
    </row>
    <row r="567" spans="1:9">
      <c r="A567" t="s">
        <v>124</v>
      </c>
      <c r="B567" s="1" t="s">
        <v>133</v>
      </c>
      <c r="C567" t="s">
        <v>134</v>
      </c>
    </row>
    <row r="568" spans="1:9">
      <c r="B568" s="1" t="s">
        <v>133</v>
      </c>
      <c r="D568" t="s">
        <v>11</v>
      </c>
      <c r="E568" s="3">
        <v>45</v>
      </c>
      <c r="F568" s="3">
        <v>27</v>
      </c>
      <c r="G568" s="3">
        <v>26</v>
      </c>
      <c r="H568" s="3">
        <v>16</v>
      </c>
      <c r="I568" s="3">
        <f>VLOOKUP(B568,[1]Sheet3!$A$13:$E$198,5,TRUE)</f>
        <v>8</v>
      </c>
    </row>
    <row r="569" spans="1:9">
      <c r="B569" s="1" t="s">
        <v>133</v>
      </c>
      <c r="D569" t="s">
        <v>12</v>
      </c>
      <c r="E569" s="5">
        <v>36144</v>
      </c>
      <c r="F569" s="5">
        <v>37240</v>
      </c>
      <c r="G569" s="5">
        <v>35040</v>
      </c>
      <c r="H569" s="5">
        <v>16986</v>
      </c>
      <c r="I569" s="3">
        <f>VLOOKUP(B569,[1]Sheet3!$A$13:$F$198,6,TRUE)</f>
        <v>12927.6</v>
      </c>
    </row>
    <row r="570" spans="1:9">
      <c r="B570" s="1" t="s">
        <v>133</v>
      </c>
      <c r="D570" t="s">
        <v>23</v>
      </c>
      <c r="E570" s="5">
        <v>82088.84</v>
      </c>
      <c r="F570" s="5">
        <v>103178.21</v>
      </c>
      <c r="G570" s="5">
        <v>62975.57</v>
      </c>
      <c r="H570" s="5">
        <v>73798.259999999995</v>
      </c>
      <c r="I570" s="3">
        <f>VLOOKUP(B570,[1]Sheet3!$A$13:$G$198,7,TRUE)</f>
        <v>30523.85</v>
      </c>
    </row>
    <row r="571" spans="1:9">
      <c r="B571" s="1" t="s">
        <v>133</v>
      </c>
      <c r="D571" t="s">
        <v>14</v>
      </c>
      <c r="E571" s="5">
        <v>37427.39</v>
      </c>
      <c r="F571" s="5">
        <v>44272.630000000005</v>
      </c>
      <c r="G571" s="5">
        <v>44272.630000000005</v>
      </c>
      <c r="H571" s="5">
        <v>30105.050000000003</v>
      </c>
      <c r="I571" s="3">
        <f>VLOOKUP(B571,[1]Sheet3!$A$13:$H$198,8,TRUE)</f>
        <v>13575.94</v>
      </c>
    </row>
    <row r="572" spans="1:9">
      <c r="B572" s="1" t="s">
        <v>133</v>
      </c>
      <c r="D572" t="s">
        <v>15</v>
      </c>
      <c r="E572" s="5">
        <v>21745.93</v>
      </c>
      <c r="F572" s="5">
        <v>26694.53</v>
      </c>
      <c r="G572" s="5">
        <v>26551.67</v>
      </c>
      <c r="H572" s="5">
        <v>16987.919999999998</v>
      </c>
      <c r="I572" s="3">
        <f>VLOOKUP(B572,[1]Sheet3!$A$13:$I$198,9,TRUE)</f>
        <v>17925.38</v>
      </c>
    </row>
    <row r="573" spans="1:9">
      <c r="B573" s="1" t="s">
        <v>133</v>
      </c>
      <c r="D573" t="s">
        <v>16</v>
      </c>
      <c r="E573" s="5">
        <v>1824.2</v>
      </c>
      <c r="F573" s="5">
        <v>3821.42</v>
      </c>
      <c r="G573" s="5">
        <v>2422.14</v>
      </c>
      <c r="H573" s="5">
        <v>4612.3900000000003</v>
      </c>
      <c r="I573" s="5">
        <f>I570/I568</f>
        <v>3815.4812499999998</v>
      </c>
    </row>
    <row r="574" spans="1:9">
      <c r="B574" s="1" t="s">
        <v>133</v>
      </c>
      <c r="D574" t="s">
        <v>17</v>
      </c>
      <c r="E574" s="6">
        <v>2.27</v>
      </c>
      <c r="F574" s="6">
        <v>2.77</v>
      </c>
      <c r="G574" s="6">
        <v>1.8</v>
      </c>
      <c r="H574" s="6">
        <v>4.34</v>
      </c>
      <c r="I574" s="7">
        <f>I570/I569</f>
        <v>2.3611381849685942</v>
      </c>
    </row>
    <row r="575" spans="1:9">
      <c r="B575" s="1" t="s">
        <v>133</v>
      </c>
      <c r="D575" t="s">
        <v>18</v>
      </c>
      <c r="E575" s="8">
        <v>0.45590000000000003</v>
      </c>
      <c r="F575" s="8">
        <v>0.42909999999999998</v>
      </c>
      <c r="G575" s="8">
        <v>0.70299999999999996</v>
      </c>
      <c r="H575" s="8">
        <v>0.40789999999999998</v>
      </c>
      <c r="I575" s="8">
        <f>I571/I570</f>
        <v>0.44476499524142599</v>
      </c>
    </row>
    <row r="576" spans="1:9">
      <c r="B576" s="1" t="s">
        <v>133</v>
      </c>
      <c r="D576" t="s">
        <v>19</v>
      </c>
      <c r="E576" s="8">
        <v>0.58099999999999996</v>
      </c>
      <c r="F576" s="8">
        <v>0.60299999999999998</v>
      </c>
      <c r="G576" s="8">
        <v>0.59970000000000001</v>
      </c>
      <c r="H576" s="8">
        <v>0.56430000000000002</v>
      </c>
      <c r="I576" s="8">
        <f>I572/I571</f>
        <v>1.320378552056064</v>
      </c>
    </row>
    <row r="577" spans="1:9">
      <c r="B577" s="1" t="s">
        <v>133</v>
      </c>
      <c r="D577" t="s">
        <v>20</v>
      </c>
      <c r="E577" s="8">
        <v>0.26490000000000002</v>
      </c>
      <c r="F577" s="8">
        <v>0.25869999999999999</v>
      </c>
      <c r="G577" s="8">
        <v>0.42159999999999997</v>
      </c>
      <c r="H577" s="8">
        <v>0.23019999999999999</v>
      </c>
      <c r="I577" s="8">
        <f>I572/I570</f>
        <v>0.58725816042209622</v>
      </c>
    </row>
    <row r="578" spans="1:9">
      <c r="B578" s="1" t="s">
        <v>133</v>
      </c>
    </row>
    <row r="579" spans="1:9">
      <c r="A579" t="s">
        <v>135</v>
      </c>
      <c r="B579" s="1" t="s">
        <v>136</v>
      </c>
      <c r="C579" t="s">
        <v>137</v>
      </c>
    </row>
    <row r="580" spans="1:9">
      <c r="B580" s="1" t="s">
        <v>136</v>
      </c>
      <c r="D580" t="s">
        <v>11</v>
      </c>
      <c r="E580" s="3">
        <v>426</v>
      </c>
      <c r="F580" s="3">
        <v>436</v>
      </c>
      <c r="G580" s="3">
        <v>475</v>
      </c>
      <c r="H580" s="3">
        <v>425</v>
      </c>
      <c r="I580" s="3">
        <f>VLOOKUP(B580,[1]Sheet3!$A$13:$E$198,5,TRUE)</f>
        <v>374</v>
      </c>
    </row>
    <row r="581" spans="1:9">
      <c r="B581" s="1" t="s">
        <v>136</v>
      </c>
      <c r="D581" t="s">
        <v>12</v>
      </c>
      <c r="E581" s="5">
        <v>91500</v>
      </c>
      <c r="F581" s="5">
        <v>114968.4</v>
      </c>
      <c r="G581" s="5">
        <v>111000</v>
      </c>
      <c r="H581" s="5">
        <v>92610</v>
      </c>
      <c r="I581" s="3">
        <f>VLOOKUP(B581,[1]Sheet3!$A$13:$F$198,6,TRUE)</f>
        <v>92610</v>
      </c>
    </row>
    <row r="582" spans="1:9">
      <c r="B582" s="1" t="s">
        <v>136</v>
      </c>
      <c r="D582" t="s">
        <v>23</v>
      </c>
      <c r="E582" s="5">
        <v>259913.87</v>
      </c>
      <c r="F582" s="5">
        <v>230121.09</v>
      </c>
      <c r="G582" s="5">
        <v>246824.08</v>
      </c>
      <c r="H582" s="5">
        <v>236457.21</v>
      </c>
      <c r="I582" s="3">
        <f>VLOOKUP(B582,[1]Sheet3!$A$13:$G$198,7,TRUE)</f>
        <v>236457.21</v>
      </c>
    </row>
    <row r="583" spans="1:9">
      <c r="B583" s="1" t="s">
        <v>136</v>
      </c>
      <c r="D583" t="s">
        <v>14</v>
      </c>
      <c r="E583" s="5">
        <v>133854.60999999999</v>
      </c>
      <c r="F583" s="5">
        <v>110947.57</v>
      </c>
      <c r="G583" s="5">
        <v>111397.52</v>
      </c>
      <c r="H583" s="5">
        <v>111397.52</v>
      </c>
      <c r="I583" s="3">
        <f>VLOOKUP(B583,[1]Sheet3!$A$13:$H$198,8,TRUE)</f>
        <v>103280.78</v>
      </c>
    </row>
    <row r="584" spans="1:9">
      <c r="B584" s="1" t="s">
        <v>136</v>
      </c>
      <c r="D584" t="s">
        <v>15</v>
      </c>
      <c r="E584" s="5">
        <v>77692.209999999992</v>
      </c>
      <c r="F584" s="5">
        <v>63011.14</v>
      </c>
      <c r="G584" s="5">
        <v>66853.51999999999</v>
      </c>
      <c r="H584" s="5">
        <v>68271.26999999999</v>
      </c>
      <c r="I584" s="3">
        <f>VLOOKUP(B584,[1]Sheet3!$A$13:$I$198,9,TRUE)</f>
        <v>62765.56</v>
      </c>
    </row>
    <row r="585" spans="1:9">
      <c r="B585" s="1" t="s">
        <v>136</v>
      </c>
      <c r="D585" t="s">
        <v>16</v>
      </c>
      <c r="E585" s="5">
        <v>610.13</v>
      </c>
      <c r="F585" s="5">
        <v>527.79999999999995</v>
      </c>
      <c r="G585" s="5">
        <v>519.63</v>
      </c>
      <c r="H585" s="5">
        <v>556.37</v>
      </c>
      <c r="I585" s="5">
        <f>I582/I580</f>
        <v>632.23852941176472</v>
      </c>
    </row>
    <row r="586" spans="1:9">
      <c r="B586" s="1" t="s">
        <v>136</v>
      </c>
      <c r="D586" t="s">
        <v>17</v>
      </c>
      <c r="E586" s="6">
        <v>2.84</v>
      </c>
      <c r="F586" s="6">
        <v>2</v>
      </c>
      <c r="G586" s="6">
        <v>2.2200000000000002</v>
      </c>
      <c r="H586" s="6">
        <v>2.5499999999999998</v>
      </c>
      <c r="I586" s="7">
        <f>I582/I581</f>
        <v>2.5532578555231615</v>
      </c>
    </row>
    <row r="587" spans="1:9">
      <c r="B587" s="1" t="s">
        <v>136</v>
      </c>
      <c r="D587" t="s">
        <v>18</v>
      </c>
      <c r="E587" s="8">
        <v>0.51500000000000001</v>
      </c>
      <c r="F587" s="8">
        <v>0.48209999999999997</v>
      </c>
      <c r="G587" s="8">
        <v>0.45129999999999998</v>
      </c>
      <c r="H587" s="8">
        <v>0.47110000000000002</v>
      </c>
      <c r="I587" s="8">
        <f>I583/I582</f>
        <v>0.43678422831767322</v>
      </c>
    </row>
    <row r="588" spans="1:9">
      <c r="B588" s="1" t="s">
        <v>136</v>
      </c>
      <c r="D588" t="s">
        <v>19</v>
      </c>
      <c r="E588" s="8">
        <v>0.58040000000000003</v>
      </c>
      <c r="F588" s="8">
        <v>0.56789999999999996</v>
      </c>
      <c r="G588" s="8">
        <v>0.60009999999999997</v>
      </c>
      <c r="H588" s="8">
        <v>0.6129</v>
      </c>
      <c r="I588" s="8">
        <f>I584/I583</f>
        <v>0.60771771863070745</v>
      </c>
    </row>
    <row r="589" spans="1:9">
      <c r="B589" s="1" t="s">
        <v>136</v>
      </c>
      <c r="D589" t="s">
        <v>20</v>
      </c>
      <c r="E589" s="8">
        <v>0.2989</v>
      </c>
      <c r="F589" s="8">
        <v>0.27379999999999999</v>
      </c>
      <c r="G589" s="8">
        <v>0.27089999999999997</v>
      </c>
      <c r="H589" s="8">
        <v>0.28870000000000001</v>
      </c>
      <c r="I589" s="8">
        <f>I584/I582</f>
        <v>0.26544151476709044</v>
      </c>
    </row>
    <row r="590" spans="1:9">
      <c r="B590" s="1" t="s">
        <v>136</v>
      </c>
    </row>
    <row r="591" spans="1:9">
      <c r="A591" t="s">
        <v>135</v>
      </c>
      <c r="B591" s="1" t="s">
        <v>138</v>
      </c>
      <c r="C591" t="s">
        <v>139</v>
      </c>
    </row>
    <row r="592" spans="1:9">
      <c r="B592" s="1" t="s">
        <v>138</v>
      </c>
      <c r="D592" t="s">
        <v>11</v>
      </c>
      <c r="E592" s="3">
        <v>2047</v>
      </c>
      <c r="F592" s="3">
        <v>2072</v>
      </c>
      <c r="G592" s="3">
        <v>2063</v>
      </c>
      <c r="H592" s="3">
        <v>2158</v>
      </c>
      <c r="I592" s="3">
        <f>VLOOKUP(B592,[1]Sheet3!$A$13:$E$198,5,TRUE)</f>
        <v>2205</v>
      </c>
    </row>
    <row r="593" spans="1:9">
      <c r="B593" s="1" t="s">
        <v>138</v>
      </c>
      <c r="D593" t="s">
        <v>12</v>
      </c>
      <c r="E593" s="5">
        <v>369576</v>
      </c>
      <c r="F593" s="5">
        <v>375232</v>
      </c>
      <c r="G593" s="5">
        <v>362582.5</v>
      </c>
      <c r="H593" s="5">
        <v>367452</v>
      </c>
      <c r="I593" s="3">
        <f>VLOOKUP(B593,[1]Sheet3!$A$13:$F$198,6,TRUE)</f>
        <v>883351</v>
      </c>
    </row>
    <row r="594" spans="1:9">
      <c r="B594" s="1" t="s">
        <v>138</v>
      </c>
      <c r="D594" t="s">
        <v>23</v>
      </c>
      <c r="E594" s="5">
        <v>1689012</v>
      </c>
      <c r="F594" s="5">
        <v>1816074.19</v>
      </c>
      <c r="G594" s="5">
        <v>1930032.22</v>
      </c>
      <c r="H594" s="5">
        <v>1931191.61</v>
      </c>
      <c r="I594" s="3">
        <f>VLOOKUP(B594,[1]Sheet3!$A$13:$G$198,7,TRUE)</f>
        <v>2134565.39</v>
      </c>
    </row>
    <row r="595" spans="1:9">
      <c r="B595" s="1" t="s">
        <v>138</v>
      </c>
      <c r="D595" t="s">
        <v>14</v>
      </c>
      <c r="E595" s="5">
        <v>664622.86999999988</v>
      </c>
      <c r="F595" s="5">
        <v>709075.29999999993</v>
      </c>
      <c r="G595" s="5">
        <v>744505.01</v>
      </c>
      <c r="H595" s="5">
        <v>746117.17999999993</v>
      </c>
      <c r="I595" s="3">
        <f>VLOOKUP(B595,[1]Sheet3!$A$13:$H$198,8,TRUE)</f>
        <v>944198.69000000006</v>
      </c>
    </row>
    <row r="596" spans="1:9">
      <c r="B596" s="1" t="s">
        <v>138</v>
      </c>
      <c r="D596" t="s">
        <v>15</v>
      </c>
      <c r="E596" s="5">
        <v>387178.51</v>
      </c>
      <c r="F596" s="5">
        <v>421220.45</v>
      </c>
      <c r="G596" s="5">
        <v>450043.37</v>
      </c>
      <c r="H596" s="5">
        <v>457433.02</v>
      </c>
      <c r="I596" s="3">
        <f>VLOOKUP(B596,[1]Sheet3!$A$13:$I$198,9,TRUE)</f>
        <v>602116.33000000007</v>
      </c>
    </row>
    <row r="597" spans="1:9">
      <c r="B597" s="1" t="s">
        <v>138</v>
      </c>
      <c r="D597" t="s">
        <v>16</v>
      </c>
      <c r="E597" s="5">
        <v>825.12</v>
      </c>
      <c r="F597" s="5">
        <v>876.48</v>
      </c>
      <c r="G597" s="5">
        <v>935.55</v>
      </c>
      <c r="H597" s="5">
        <v>894.9</v>
      </c>
      <c r="I597" s="5">
        <f>I594/I592</f>
        <v>968.05686621315203</v>
      </c>
    </row>
    <row r="598" spans="1:9">
      <c r="B598" s="1" t="s">
        <v>138</v>
      </c>
      <c r="D598" t="s">
        <v>17</v>
      </c>
      <c r="E598" s="6">
        <v>4.57</v>
      </c>
      <c r="F598" s="6">
        <v>4.84</v>
      </c>
      <c r="G598" s="6">
        <v>5.32</v>
      </c>
      <c r="H598" s="6">
        <v>5.26</v>
      </c>
      <c r="I598" s="7">
        <f>I594/I593</f>
        <v>2.4164407919388782</v>
      </c>
    </row>
    <row r="599" spans="1:9">
      <c r="B599" s="1" t="s">
        <v>138</v>
      </c>
      <c r="D599" t="s">
        <v>18</v>
      </c>
      <c r="E599" s="8">
        <v>0.39350000000000002</v>
      </c>
      <c r="F599" s="8">
        <v>0.39040000000000002</v>
      </c>
      <c r="G599" s="8">
        <v>0.38569999999999999</v>
      </c>
      <c r="H599" s="8">
        <v>0.38640000000000002</v>
      </c>
      <c r="I599" s="8">
        <f>I595/I594</f>
        <v>0.44233767418106595</v>
      </c>
    </row>
    <row r="600" spans="1:9">
      <c r="B600" s="1" t="s">
        <v>138</v>
      </c>
      <c r="D600" t="s">
        <v>19</v>
      </c>
      <c r="E600" s="8">
        <v>0.58260000000000001</v>
      </c>
      <c r="F600" s="8">
        <v>0.59399999999999997</v>
      </c>
      <c r="G600" s="8">
        <v>0.60450000000000004</v>
      </c>
      <c r="H600" s="8">
        <v>0.61309999999999998</v>
      </c>
      <c r="I600" s="8">
        <f>I596/I595</f>
        <v>0.63770087416664389</v>
      </c>
    </row>
    <row r="601" spans="1:9">
      <c r="B601" s="1" t="s">
        <v>138</v>
      </c>
      <c r="D601" t="s">
        <v>20</v>
      </c>
      <c r="E601" s="8">
        <v>0.22919999999999999</v>
      </c>
      <c r="F601" s="8">
        <v>0.2319</v>
      </c>
      <c r="G601" s="8">
        <v>0.23319999999999999</v>
      </c>
      <c r="H601" s="8">
        <v>0.2369</v>
      </c>
      <c r="I601" s="8">
        <f>I596/I594</f>
        <v>0.2820791215021059</v>
      </c>
    </row>
    <row r="602" spans="1:9">
      <c r="B602" s="1" t="s">
        <v>138</v>
      </c>
    </row>
    <row r="603" spans="1:9">
      <c r="A603" t="s">
        <v>135</v>
      </c>
      <c r="B603" s="1" t="s">
        <v>140</v>
      </c>
      <c r="C603" t="s">
        <v>141</v>
      </c>
    </row>
    <row r="604" spans="1:9">
      <c r="B604" s="1" t="s">
        <v>140</v>
      </c>
      <c r="D604" t="s">
        <v>11</v>
      </c>
      <c r="E604" s="3">
        <v>5168</v>
      </c>
      <c r="F604" s="3">
        <v>5729</v>
      </c>
      <c r="G604" s="3">
        <v>6023</v>
      </c>
      <c r="H604" s="3">
        <v>7017</v>
      </c>
      <c r="I604" s="3">
        <f>VLOOKUP(B604,[1]Sheet3!$A$13:$E$198,5,TRUE)</f>
        <v>7163</v>
      </c>
    </row>
    <row r="605" spans="1:9">
      <c r="B605" s="1" t="s">
        <v>140</v>
      </c>
      <c r="D605" t="s">
        <v>12</v>
      </c>
      <c r="E605" s="5">
        <v>518481</v>
      </c>
      <c r="F605" s="5">
        <v>575571</v>
      </c>
      <c r="G605" s="5">
        <v>521892</v>
      </c>
      <c r="H605" s="5">
        <v>566912</v>
      </c>
      <c r="I605" s="3">
        <f>VLOOKUP(B605,[1]Sheet3!$A$13:$F$198,6,TRUE)</f>
        <v>553356</v>
      </c>
    </row>
    <row r="606" spans="1:9">
      <c r="B606" s="1" t="s">
        <v>140</v>
      </c>
      <c r="D606" t="s">
        <v>23</v>
      </c>
      <c r="E606" s="5">
        <v>2054182.22</v>
      </c>
      <c r="F606" s="5">
        <v>2027000.33</v>
      </c>
      <c r="G606" s="5">
        <v>2121834.7999999998</v>
      </c>
      <c r="H606" s="5">
        <v>2051411.22</v>
      </c>
      <c r="I606" s="3">
        <f>VLOOKUP(B606,[1]Sheet3!$A$13:$G$198,7,TRUE)</f>
        <v>2306727.85</v>
      </c>
    </row>
    <row r="607" spans="1:9">
      <c r="B607" s="1" t="s">
        <v>140</v>
      </c>
      <c r="D607" t="s">
        <v>14</v>
      </c>
      <c r="E607" s="5">
        <v>825596.95</v>
      </c>
      <c r="F607" s="5">
        <v>830687.74</v>
      </c>
      <c r="G607" s="5">
        <v>849365.11</v>
      </c>
      <c r="H607" s="5">
        <v>836787.19</v>
      </c>
      <c r="I607" s="3">
        <f>VLOOKUP(B607,[1]Sheet3!$A$13:$H$198,8,TRUE)</f>
        <v>919868.05</v>
      </c>
    </row>
    <row r="608" spans="1:9">
      <c r="B608" s="1" t="s">
        <v>140</v>
      </c>
      <c r="D608" t="s">
        <v>15</v>
      </c>
      <c r="E608" s="5">
        <v>491187.41000000003</v>
      </c>
      <c r="F608" s="5">
        <v>488906.18</v>
      </c>
      <c r="G608" s="5">
        <v>511257.12</v>
      </c>
      <c r="H608" s="5">
        <v>515274.27</v>
      </c>
      <c r="I608" s="3">
        <f>VLOOKUP(B608,[1]Sheet3!$A$13:$I$198,9,TRUE)</f>
        <v>575174.49</v>
      </c>
    </row>
    <row r="609" spans="1:9">
      <c r="B609" s="1" t="s">
        <v>140</v>
      </c>
      <c r="D609" t="s">
        <v>16</v>
      </c>
      <c r="E609" s="5">
        <v>397.48</v>
      </c>
      <c r="F609" s="5">
        <v>353.81</v>
      </c>
      <c r="G609" s="5">
        <v>352.29</v>
      </c>
      <c r="H609" s="5">
        <v>292.35000000000002</v>
      </c>
      <c r="I609" s="5">
        <f>I606/I604</f>
        <v>322.03376378612313</v>
      </c>
    </row>
    <row r="610" spans="1:9">
      <c r="B610" s="1" t="s">
        <v>140</v>
      </c>
      <c r="D610" t="s">
        <v>17</v>
      </c>
      <c r="E610" s="6">
        <v>3.96</v>
      </c>
      <c r="F610" s="6">
        <v>3.52</v>
      </c>
      <c r="G610" s="6">
        <v>4.07</v>
      </c>
      <c r="H610" s="6">
        <v>3.62</v>
      </c>
      <c r="I610" s="7">
        <f>I606/I605</f>
        <v>4.1686145085622996</v>
      </c>
    </row>
    <row r="611" spans="1:9">
      <c r="B611" s="1" t="s">
        <v>140</v>
      </c>
      <c r="D611" t="s">
        <v>18</v>
      </c>
      <c r="E611" s="8">
        <v>0.40189999999999998</v>
      </c>
      <c r="F611" s="8">
        <v>0.4098</v>
      </c>
      <c r="G611" s="8">
        <v>0.40029999999999999</v>
      </c>
      <c r="H611" s="8">
        <v>0.40789999999999998</v>
      </c>
      <c r="I611" s="8">
        <f>I607/I606</f>
        <v>0.39877614951412671</v>
      </c>
    </row>
    <row r="612" spans="1:9">
      <c r="B612" s="1" t="s">
        <v>140</v>
      </c>
      <c r="D612" t="s">
        <v>19</v>
      </c>
      <c r="E612" s="8">
        <v>0.59489999999999998</v>
      </c>
      <c r="F612" s="8">
        <v>0.58860000000000001</v>
      </c>
      <c r="G612" s="8">
        <v>0.60189999999999999</v>
      </c>
      <c r="H612" s="8">
        <v>0.61580000000000001</v>
      </c>
      <c r="I612" s="8">
        <f>I608/I607</f>
        <v>0.62527934305360422</v>
      </c>
    </row>
    <row r="613" spans="1:9">
      <c r="B613" s="1" t="s">
        <v>140</v>
      </c>
      <c r="D613" t="s">
        <v>20</v>
      </c>
      <c r="E613" s="8">
        <v>0.23910000000000001</v>
      </c>
      <c r="F613" s="8">
        <v>0.2412</v>
      </c>
      <c r="G613" s="8">
        <v>0.24099999999999999</v>
      </c>
      <c r="H613" s="8">
        <v>0.25119999999999998</v>
      </c>
      <c r="I613" s="8">
        <f>I608/I606</f>
        <v>0.24934648879363899</v>
      </c>
    </row>
    <row r="614" spans="1:9">
      <c r="B614" s="1" t="s">
        <v>140</v>
      </c>
    </row>
    <row r="615" spans="1:9">
      <c r="A615" t="s">
        <v>135</v>
      </c>
      <c r="B615" s="1" t="s">
        <v>142</v>
      </c>
      <c r="C615" t="s">
        <v>143</v>
      </c>
    </row>
    <row r="616" spans="1:9">
      <c r="B616" s="1" t="s">
        <v>142</v>
      </c>
      <c r="D616" t="s">
        <v>11</v>
      </c>
      <c r="E616" s="3">
        <v>3100</v>
      </c>
      <c r="F616" s="3">
        <v>3225</v>
      </c>
      <c r="G616" s="3">
        <v>3302</v>
      </c>
      <c r="H616" s="3">
        <v>3338</v>
      </c>
      <c r="I616" s="3">
        <f>VLOOKUP(B616,[1]Sheet3!$A$13:$E$198,5,TRUE)</f>
        <v>3038</v>
      </c>
    </row>
    <row r="617" spans="1:9">
      <c r="B617" s="1" t="s">
        <v>142</v>
      </c>
      <c r="D617" t="s">
        <v>12</v>
      </c>
      <c r="E617" s="5">
        <v>570155.30000000005</v>
      </c>
      <c r="F617" s="5">
        <v>632469.6</v>
      </c>
      <c r="G617" s="5">
        <v>594580</v>
      </c>
      <c r="H617" s="5">
        <v>542797.6</v>
      </c>
      <c r="I617" s="3">
        <f>VLOOKUP(B617,[1]Sheet3!$A$13:$F$198,6,TRUE)</f>
        <v>530060</v>
      </c>
    </row>
    <row r="618" spans="1:9">
      <c r="B618" s="1" t="s">
        <v>142</v>
      </c>
      <c r="D618" t="s">
        <v>23</v>
      </c>
      <c r="E618" s="5">
        <v>2090653</v>
      </c>
      <c r="F618" s="5">
        <v>2192812</v>
      </c>
      <c r="G618" s="5">
        <v>2082392</v>
      </c>
      <c r="H618" s="5">
        <v>2044938</v>
      </c>
      <c r="I618" s="3">
        <f>VLOOKUP(B618,[1]Sheet3!$A$13:$G$198,7,TRUE)</f>
        <v>2203807</v>
      </c>
    </row>
    <row r="619" spans="1:9">
      <c r="B619" s="1" t="s">
        <v>142</v>
      </c>
      <c r="D619" t="s">
        <v>14</v>
      </c>
      <c r="E619" s="5">
        <v>850890.62000000011</v>
      </c>
      <c r="F619" s="5">
        <v>901097.51</v>
      </c>
      <c r="G619" s="5">
        <v>901097.51</v>
      </c>
      <c r="H619" s="5">
        <v>854209.40999999992</v>
      </c>
      <c r="I619" s="3">
        <f>VLOOKUP(B619,[1]Sheet3!$A$13:$H$198,8,TRUE)</f>
        <v>879174.64</v>
      </c>
    </row>
    <row r="620" spans="1:9">
      <c r="B620" s="1" t="s">
        <v>142</v>
      </c>
      <c r="D620" t="s">
        <v>15</v>
      </c>
      <c r="E620" s="5">
        <v>502896.96</v>
      </c>
      <c r="F620" s="5">
        <v>534680.24</v>
      </c>
      <c r="G620" s="5">
        <v>540416.16999999993</v>
      </c>
      <c r="H620" s="5">
        <v>518672.62</v>
      </c>
      <c r="I620" s="3">
        <f>VLOOKUP(B620,[1]Sheet3!$A$13:$I$198,9,TRUE)</f>
        <v>544069.47</v>
      </c>
    </row>
    <row r="621" spans="1:9">
      <c r="B621" s="1" t="s">
        <v>142</v>
      </c>
      <c r="D621" t="s">
        <v>16</v>
      </c>
      <c r="E621" s="5">
        <v>674.4</v>
      </c>
      <c r="F621" s="5">
        <v>679.94</v>
      </c>
      <c r="G621" s="5">
        <v>630.65</v>
      </c>
      <c r="H621" s="5">
        <v>612.62</v>
      </c>
      <c r="I621" s="5">
        <f>I618/I616</f>
        <v>725.41375905200789</v>
      </c>
    </row>
    <row r="622" spans="1:9">
      <c r="B622" s="1" t="s">
        <v>142</v>
      </c>
      <c r="D622" t="s">
        <v>17</v>
      </c>
      <c r="E622" s="6">
        <v>3.67</v>
      </c>
      <c r="F622" s="6">
        <v>3.47</v>
      </c>
      <c r="G622" s="6">
        <v>3.5</v>
      </c>
      <c r="H622" s="6">
        <v>3.77</v>
      </c>
      <c r="I622" s="7">
        <f>I618/I617</f>
        <v>4.1576557370863672</v>
      </c>
    </row>
    <row r="623" spans="1:9">
      <c r="B623" s="1" t="s">
        <v>142</v>
      </c>
      <c r="D623" t="s">
        <v>18</v>
      </c>
      <c r="E623" s="8">
        <v>0.40699999999999997</v>
      </c>
      <c r="F623" s="8">
        <v>0.41089999999999999</v>
      </c>
      <c r="G623" s="8">
        <v>0.43269999999999997</v>
      </c>
      <c r="H623" s="8">
        <v>0.41770000000000002</v>
      </c>
      <c r="I623" s="8">
        <f>I619/I618</f>
        <v>0.39893449834763206</v>
      </c>
    </row>
    <row r="624" spans="1:9">
      <c r="B624" s="1" t="s">
        <v>142</v>
      </c>
      <c r="D624" t="s">
        <v>19</v>
      </c>
      <c r="E624" s="8">
        <v>0.59099999999999997</v>
      </c>
      <c r="F624" s="8">
        <v>0.59340000000000004</v>
      </c>
      <c r="G624" s="8">
        <v>0.59970000000000001</v>
      </c>
      <c r="H624" s="8">
        <v>0.60719999999999996</v>
      </c>
      <c r="I624" s="8">
        <f>I620/I619</f>
        <v>0.61884117813043371</v>
      </c>
    </row>
    <row r="625" spans="1:9">
      <c r="B625" s="1" t="s">
        <v>142</v>
      </c>
      <c r="D625" t="s">
        <v>20</v>
      </c>
      <c r="E625" s="8">
        <v>0.24049999999999999</v>
      </c>
      <c r="F625" s="8">
        <v>0.24379999999999999</v>
      </c>
      <c r="G625" s="8">
        <v>0.25950000000000001</v>
      </c>
      <c r="H625" s="8">
        <v>0.25359999999999999</v>
      </c>
      <c r="I625" s="8">
        <f>I620/I618</f>
        <v>0.24687709495432222</v>
      </c>
    </row>
    <row r="626" spans="1:9">
      <c r="B626" s="1" t="s">
        <v>142</v>
      </c>
    </row>
    <row r="627" spans="1:9">
      <c r="A627" t="s">
        <v>135</v>
      </c>
      <c r="B627" s="1" t="s">
        <v>144</v>
      </c>
      <c r="C627" t="s">
        <v>145</v>
      </c>
    </row>
    <row r="628" spans="1:9">
      <c r="B628" s="1" t="s">
        <v>144</v>
      </c>
      <c r="D628" t="s">
        <v>11</v>
      </c>
      <c r="E628" s="3">
        <v>6948</v>
      </c>
      <c r="F628" s="3">
        <v>7834</v>
      </c>
      <c r="G628" s="3">
        <v>7352</v>
      </c>
      <c r="H628" s="3">
        <v>7450</v>
      </c>
      <c r="I628" s="3">
        <f>VLOOKUP(B628,[1]Sheet3!$A$13:$E$198,5,TRUE)</f>
        <v>7002</v>
      </c>
    </row>
    <row r="629" spans="1:9">
      <c r="B629" s="1" t="s">
        <v>144</v>
      </c>
      <c r="D629" t="s">
        <v>12</v>
      </c>
      <c r="E629" s="5">
        <v>1184704</v>
      </c>
      <c r="F629" s="5">
        <v>1195810.6000000001</v>
      </c>
      <c r="G629" s="5">
        <v>1040364</v>
      </c>
      <c r="H629" s="5">
        <v>1045699.2</v>
      </c>
      <c r="I629" s="3">
        <f>VLOOKUP(B629,[1]Sheet3!$A$13:$F$198,6,TRUE)</f>
        <v>1004989.3</v>
      </c>
    </row>
    <row r="630" spans="1:9">
      <c r="B630" s="1" t="s">
        <v>144</v>
      </c>
      <c r="D630" t="s">
        <v>23</v>
      </c>
      <c r="E630" s="5">
        <v>4384347.8</v>
      </c>
      <c r="F630" s="5">
        <v>2834597.61</v>
      </c>
      <c r="G630" s="5">
        <v>3891055.86</v>
      </c>
      <c r="H630" s="5">
        <v>3978518.84</v>
      </c>
      <c r="I630" s="3">
        <f>VLOOKUP(B630,[1]Sheet3!$A$13:$G$198,7,TRUE)</f>
        <v>3788787.95</v>
      </c>
    </row>
    <row r="631" spans="1:9">
      <c r="B631" s="1" t="s">
        <v>144</v>
      </c>
      <c r="D631" t="s">
        <v>14</v>
      </c>
      <c r="E631" s="5">
        <v>1797253.63</v>
      </c>
      <c r="F631" s="5">
        <v>1781669.13</v>
      </c>
      <c r="G631" s="5">
        <v>1578443.46</v>
      </c>
      <c r="H631" s="5">
        <v>1609403.29</v>
      </c>
      <c r="I631" s="3">
        <f>VLOOKUP(B631,[1]Sheet3!$A$13:$H$198,8,TRUE)</f>
        <v>1534946.28</v>
      </c>
    </row>
    <row r="632" spans="1:9">
      <c r="B632" s="1" t="s">
        <v>144</v>
      </c>
      <c r="D632" t="s">
        <v>15</v>
      </c>
      <c r="E632" s="5">
        <v>1044233.76</v>
      </c>
      <c r="F632" s="5">
        <v>1046041.3300000001</v>
      </c>
      <c r="G632" s="5">
        <v>926332.66999999993</v>
      </c>
      <c r="H632" s="5">
        <v>989537.10999999987</v>
      </c>
      <c r="I632" s="3">
        <f>VLOOKUP(B632,[1]Sheet3!$A$13:$I$198,9,TRUE)</f>
        <v>991213.39999999991</v>
      </c>
    </row>
    <row r="633" spans="1:9">
      <c r="B633" s="1" t="s">
        <v>144</v>
      </c>
      <c r="D633" t="s">
        <v>16</v>
      </c>
      <c r="E633" s="5">
        <v>631.02</v>
      </c>
      <c r="F633" s="5">
        <v>361.83</v>
      </c>
      <c r="G633" s="5">
        <v>529.25</v>
      </c>
      <c r="H633" s="5">
        <v>534.03</v>
      </c>
      <c r="I633" s="5">
        <f>I630/I628</f>
        <v>541.10082119394463</v>
      </c>
    </row>
    <row r="634" spans="1:9">
      <c r="B634" s="1" t="s">
        <v>144</v>
      </c>
      <c r="D634" t="s">
        <v>17</v>
      </c>
      <c r="E634" s="6">
        <v>3.7</v>
      </c>
      <c r="F634" s="6">
        <v>2.37</v>
      </c>
      <c r="G634" s="6">
        <v>3.74</v>
      </c>
      <c r="H634" s="6">
        <v>3.8</v>
      </c>
      <c r="I634" s="7">
        <f>I630/I629</f>
        <v>3.769978396784921</v>
      </c>
    </row>
    <row r="635" spans="1:9">
      <c r="B635" s="1" t="s">
        <v>144</v>
      </c>
      <c r="D635" t="s">
        <v>18</v>
      </c>
      <c r="E635" s="8">
        <v>0.40989999999999999</v>
      </c>
      <c r="F635" s="8">
        <v>0.62849999999999995</v>
      </c>
      <c r="G635" s="8">
        <v>0.40570000000000001</v>
      </c>
      <c r="H635" s="8">
        <v>0.40450000000000003</v>
      </c>
      <c r="I635" s="8">
        <f>I631/I630</f>
        <v>0.40512857944451602</v>
      </c>
    </row>
    <row r="636" spans="1:9">
      <c r="B636" s="1" t="s">
        <v>144</v>
      </c>
      <c r="D636" t="s">
        <v>19</v>
      </c>
      <c r="E636" s="8">
        <v>0.58099999999999996</v>
      </c>
      <c r="F636" s="8">
        <v>0.58709999999999996</v>
      </c>
      <c r="G636" s="8">
        <v>0.58689999999999998</v>
      </c>
      <c r="H636" s="8">
        <v>0.61480000000000001</v>
      </c>
      <c r="I636" s="8">
        <f>I632/I631</f>
        <v>0.64576422830901936</v>
      </c>
    </row>
    <row r="637" spans="1:9">
      <c r="B637" s="1" t="s">
        <v>144</v>
      </c>
      <c r="D637" t="s">
        <v>20</v>
      </c>
      <c r="E637" s="8">
        <v>0.2382</v>
      </c>
      <c r="F637" s="8">
        <v>0.36899999999999999</v>
      </c>
      <c r="G637" s="8">
        <v>0.23810000000000001</v>
      </c>
      <c r="H637" s="8">
        <v>0.2487</v>
      </c>
      <c r="I637" s="8">
        <f>I632/I630</f>
        <v>0.26161754447091712</v>
      </c>
    </row>
    <row r="638" spans="1:9">
      <c r="B638" s="1" t="s">
        <v>144</v>
      </c>
    </row>
    <row r="639" spans="1:9">
      <c r="A639" t="s">
        <v>135</v>
      </c>
      <c r="B639" s="1" t="s">
        <v>146</v>
      </c>
      <c r="C639" t="s">
        <v>147</v>
      </c>
    </row>
    <row r="640" spans="1:9">
      <c r="B640" s="1" t="s">
        <v>146</v>
      </c>
      <c r="D640" t="s">
        <v>11</v>
      </c>
      <c r="E640" s="3">
        <v>39</v>
      </c>
      <c r="F640" s="3">
        <v>33</v>
      </c>
      <c r="G640" s="3">
        <v>44</v>
      </c>
      <c r="H640" s="3">
        <v>40</v>
      </c>
      <c r="I640" s="3">
        <f>VLOOKUP(B640,[1]Sheet3!$A$13:$E$198,5,TRUE)</f>
        <v>34</v>
      </c>
    </row>
    <row r="641" spans="1:9">
      <c r="B641" s="1" t="s">
        <v>146</v>
      </c>
      <c r="D641" t="s">
        <v>12</v>
      </c>
      <c r="E641" s="5">
        <v>38060</v>
      </c>
      <c r="F641" s="5">
        <v>28724</v>
      </c>
      <c r="G641" s="5">
        <v>29410</v>
      </c>
      <c r="H641" s="5">
        <v>29756</v>
      </c>
      <c r="I641" s="3">
        <f>VLOOKUP(B641,[1]Sheet3!$A$13:$F$198,6,TRUE)</f>
        <v>69597</v>
      </c>
    </row>
    <row r="642" spans="1:9">
      <c r="B642" s="1" t="s">
        <v>146</v>
      </c>
      <c r="D642" t="s">
        <v>23</v>
      </c>
      <c r="E642" s="5">
        <v>100326.8</v>
      </c>
      <c r="F642" s="5">
        <v>106369.41</v>
      </c>
      <c r="G642" s="5">
        <v>103580.24</v>
      </c>
      <c r="H642" s="5">
        <v>115022</v>
      </c>
      <c r="I642" s="3">
        <f>VLOOKUP(B642,[1]Sheet3!$A$13:$G$198,7,TRUE)</f>
        <v>129264.77</v>
      </c>
    </row>
    <row r="643" spans="1:9">
      <c r="B643" s="1" t="s">
        <v>146</v>
      </c>
      <c r="D643" t="s">
        <v>14</v>
      </c>
      <c r="E643" s="5">
        <v>43512.22</v>
      </c>
      <c r="F643" s="5">
        <v>43512.22</v>
      </c>
      <c r="G643" s="5">
        <v>43220.800000000003</v>
      </c>
      <c r="H643" s="5">
        <v>46409.88</v>
      </c>
      <c r="I643" s="3">
        <f>VLOOKUP(B643,[1]Sheet3!$A$13:$H$198,8,TRUE)</f>
        <v>61211.45</v>
      </c>
    </row>
    <row r="644" spans="1:9">
      <c r="B644" s="1" t="s">
        <v>146</v>
      </c>
      <c r="D644" t="s">
        <v>15</v>
      </c>
      <c r="E644" s="5">
        <v>25400.480000000003</v>
      </c>
      <c r="F644" s="5">
        <v>25583.510000000002</v>
      </c>
      <c r="G644" s="5">
        <v>25891.74</v>
      </c>
      <c r="H644" s="5">
        <v>28772</v>
      </c>
      <c r="I644" s="3">
        <f>VLOOKUP(B644,[1]Sheet3!$A$13:$I$198,9,TRUE)</f>
        <v>39238.39</v>
      </c>
    </row>
    <row r="645" spans="1:9">
      <c r="B645" s="1" t="s">
        <v>146</v>
      </c>
      <c r="D645" t="s">
        <v>16</v>
      </c>
      <c r="E645" s="5">
        <v>2572.48</v>
      </c>
      <c r="F645" s="5">
        <v>3223.32</v>
      </c>
      <c r="G645" s="5">
        <v>2354.1</v>
      </c>
      <c r="H645" s="5">
        <v>2875.55</v>
      </c>
      <c r="I645" s="5">
        <f>I642/I640</f>
        <v>3801.9050000000002</v>
      </c>
    </row>
    <row r="646" spans="1:9">
      <c r="B646" s="1" t="s">
        <v>146</v>
      </c>
      <c r="D646" t="s">
        <v>17</v>
      </c>
      <c r="E646" s="6">
        <v>2.64</v>
      </c>
      <c r="F646" s="6">
        <v>3.7</v>
      </c>
      <c r="G646" s="6">
        <v>3.52</v>
      </c>
      <c r="H646" s="6">
        <v>3.87</v>
      </c>
      <c r="I646" s="7">
        <f>I642/I641</f>
        <v>1.857332499964079</v>
      </c>
    </row>
    <row r="647" spans="1:9">
      <c r="B647" s="1" t="s">
        <v>146</v>
      </c>
      <c r="D647" t="s">
        <v>18</v>
      </c>
      <c r="E647" s="8">
        <v>0.43369999999999997</v>
      </c>
      <c r="F647" s="8">
        <v>0.40910000000000002</v>
      </c>
      <c r="G647" s="8">
        <v>0.4173</v>
      </c>
      <c r="H647" s="8">
        <v>0.40350000000000003</v>
      </c>
      <c r="I647" s="8">
        <f>I643/I642</f>
        <v>0.47353544202337572</v>
      </c>
    </row>
    <row r="648" spans="1:9">
      <c r="B648" s="1" t="s">
        <v>146</v>
      </c>
      <c r="D648" t="s">
        <v>19</v>
      </c>
      <c r="E648" s="8">
        <v>0.58379999999999999</v>
      </c>
      <c r="F648" s="8">
        <v>0.58799999999999997</v>
      </c>
      <c r="G648" s="8">
        <v>0.59909999999999997</v>
      </c>
      <c r="H648" s="8">
        <v>0.62</v>
      </c>
      <c r="I648" s="8">
        <f>I644/I643</f>
        <v>0.64103023208893106</v>
      </c>
    </row>
    <row r="649" spans="1:9">
      <c r="B649" s="1" t="s">
        <v>146</v>
      </c>
      <c r="D649" t="s">
        <v>20</v>
      </c>
      <c r="E649" s="8">
        <v>0.25319999999999998</v>
      </c>
      <c r="F649" s="8">
        <v>0.24049999999999999</v>
      </c>
      <c r="G649" s="8">
        <v>0.25</v>
      </c>
      <c r="H649" s="8">
        <v>0.25009999999999999</v>
      </c>
      <c r="I649" s="8">
        <f>I644/I642</f>
        <v>0.30355053430257911</v>
      </c>
    </row>
    <row r="650" spans="1:9">
      <c r="B650" s="1" t="s">
        <v>146</v>
      </c>
    </row>
    <row r="651" spans="1:9">
      <c r="A651" t="s">
        <v>135</v>
      </c>
      <c r="B651" s="1" t="s">
        <v>148</v>
      </c>
      <c r="C651" t="s">
        <v>149</v>
      </c>
    </row>
    <row r="652" spans="1:9">
      <c r="B652" s="1" t="s">
        <v>148</v>
      </c>
      <c r="D652" t="s">
        <v>11</v>
      </c>
      <c r="E652" s="3">
        <v>468</v>
      </c>
      <c r="F652" s="3">
        <v>468</v>
      </c>
      <c r="G652" s="3">
        <v>450</v>
      </c>
      <c r="H652" s="3">
        <v>669</v>
      </c>
      <c r="I652" s="3">
        <f>VLOOKUP(B652,[1]Sheet3!$A$13:$E$198,5,TRUE)</f>
        <v>712</v>
      </c>
    </row>
    <row r="653" spans="1:9">
      <c r="B653" s="1" t="s">
        <v>148</v>
      </c>
      <c r="D653" t="s">
        <v>12</v>
      </c>
      <c r="E653" s="5">
        <v>81727.8</v>
      </c>
      <c r="F653" s="5">
        <v>88143.5</v>
      </c>
      <c r="G653" s="5">
        <v>81965.100000000006</v>
      </c>
      <c r="H653" s="5">
        <v>122714.2</v>
      </c>
      <c r="I653" s="3">
        <f>VLOOKUP(B653,[1]Sheet3!$A$13:$F$198,6,TRUE)</f>
        <v>182138.4</v>
      </c>
    </row>
    <row r="654" spans="1:9">
      <c r="B654" s="1" t="s">
        <v>148</v>
      </c>
      <c r="D654" t="s">
        <v>23</v>
      </c>
      <c r="E654" s="5">
        <v>317435.78000000003</v>
      </c>
      <c r="F654" s="5">
        <v>337978.62</v>
      </c>
      <c r="G654" s="5">
        <v>364930.1</v>
      </c>
      <c r="H654" s="5">
        <v>386017.9</v>
      </c>
      <c r="I654" s="3">
        <f>VLOOKUP(B654,[1]Sheet3!$A$13:$G$198,7,TRUE)</f>
        <v>349052.01</v>
      </c>
    </row>
    <row r="655" spans="1:9">
      <c r="B655" s="1" t="s">
        <v>148</v>
      </c>
      <c r="D655" t="s">
        <v>14</v>
      </c>
      <c r="E655" s="5">
        <v>149472.83000000002</v>
      </c>
      <c r="F655" s="5">
        <v>136547.51</v>
      </c>
      <c r="G655" s="5">
        <v>144128.70000000001</v>
      </c>
      <c r="H655" s="5">
        <v>161476.11000000002</v>
      </c>
      <c r="I655" s="3">
        <f>VLOOKUP(B655,[1]Sheet3!$A$13:$H$198,8,TRUE)</f>
        <v>163837.62</v>
      </c>
    </row>
    <row r="656" spans="1:9">
      <c r="B656" s="1" t="s">
        <v>148</v>
      </c>
      <c r="D656" t="s">
        <v>15</v>
      </c>
      <c r="E656" s="5">
        <v>86846.16</v>
      </c>
      <c r="F656" s="5">
        <v>79031.040000000008</v>
      </c>
      <c r="G656" s="5">
        <v>87196.07</v>
      </c>
      <c r="H656" s="5">
        <v>100753.04000000001</v>
      </c>
      <c r="I656" s="3">
        <f>VLOOKUP(B656,[1]Sheet3!$A$13:$I$198,9,TRUE)</f>
        <v>101151.28</v>
      </c>
    </row>
    <row r="657" spans="1:9">
      <c r="B657" s="1" t="s">
        <v>148</v>
      </c>
      <c r="D657" t="s">
        <v>16</v>
      </c>
      <c r="E657" s="5">
        <v>678.28</v>
      </c>
      <c r="F657" s="5">
        <v>722.18</v>
      </c>
      <c r="G657" s="5">
        <v>810.96</v>
      </c>
      <c r="H657" s="5">
        <v>577.01</v>
      </c>
      <c r="I657" s="5">
        <f>I654/I652</f>
        <v>490.24158707865172</v>
      </c>
    </row>
    <row r="658" spans="1:9">
      <c r="B658" s="1" t="s">
        <v>148</v>
      </c>
      <c r="D658" t="s">
        <v>17</v>
      </c>
      <c r="E658" s="6">
        <v>3.88</v>
      </c>
      <c r="F658" s="6">
        <v>3.83</v>
      </c>
      <c r="G658" s="6">
        <v>4.45</v>
      </c>
      <c r="H658" s="6">
        <v>3.15</v>
      </c>
      <c r="I658" s="7">
        <f>I654/I653</f>
        <v>1.9164108721719308</v>
      </c>
    </row>
    <row r="659" spans="1:9">
      <c r="B659" s="1" t="s">
        <v>148</v>
      </c>
      <c r="D659" t="s">
        <v>18</v>
      </c>
      <c r="E659" s="8">
        <v>0.47089999999999999</v>
      </c>
      <c r="F659" s="8">
        <v>0.40400000000000003</v>
      </c>
      <c r="G659" s="8">
        <v>0.39489999999999997</v>
      </c>
      <c r="H659" s="8">
        <v>0.41830000000000001</v>
      </c>
      <c r="I659" s="8">
        <f>I655/I654</f>
        <v>0.46937881836004897</v>
      </c>
    </row>
    <row r="660" spans="1:9">
      <c r="B660" s="1" t="s">
        <v>148</v>
      </c>
      <c r="D660" t="s">
        <v>19</v>
      </c>
      <c r="E660" s="8">
        <v>0.58099999999999996</v>
      </c>
      <c r="F660" s="8">
        <v>0.57879999999999998</v>
      </c>
      <c r="G660" s="8">
        <v>0.60499999999999998</v>
      </c>
      <c r="H660" s="8">
        <v>0.624</v>
      </c>
      <c r="I660" s="8">
        <f>I656/I655</f>
        <v>0.61738738636462132</v>
      </c>
    </row>
    <row r="661" spans="1:9">
      <c r="B661" s="1" t="s">
        <v>148</v>
      </c>
      <c r="D661" t="s">
        <v>20</v>
      </c>
      <c r="E661" s="8">
        <v>0.27360000000000001</v>
      </c>
      <c r="F661" s="8">
        <v>0.23380000000000001</v>
      </c>
      <c r="G661" s="8">
        <v>0.2389</v>
      </c>
      <c r="H661" s="8">
        <v>0.26100000000000001</v>
      </c>
      <c r="I661" s="8">
        <f>I656/I654</f>
        <v>0.28978856188222496</v>
      </c>
    </row>
    <row r="662" spans="1:9">
      <c r="B662" s="1" t="s">
        <v>148</v>
      </c>
    </row>
    <row r="663" spans="1:9">
      <c r="A663" t="s">
        <v>135</v>
      </c>
      <c r="B663" s="1" t="s">
        <v>150</v>
      </c>
      <c r="C663" t="s">
        <v>151</v>
      </c>
    </row>
    <row r="664" spans="1:9">
      <c r="B664" s="1" t="s">
        <v>150</v>
      </c>
      <c r="D664" t="s">
        <v>11</v>
      </c>
      <c r="E664" s="3">
        <v>10813</v>
      </c>
      <c r="F664" s="3">
        <v>10755</v>
      </c>
      <c r="G664" s="3">
        <v>11655</v>
      </c>
      <c r="H664" s="3">
        <v>10559</v>
      </c>
      <c r="I664" s="3">
        <f>VLOOKUP(B664,[1]Sheet3!$A$13:$E$198,5,TRUE)</f>
        <v>11335</v>
      </c>
    </row>
    <row r="665" spans="1:9">
      <c r="B665" s="1" t="s">
        <v>150</v>
      </c>
      <c r="D665" t="s">
        <v>12</v>
      </c>
      <c r="E665" s="5">
        <v>1917936</v>
      </c>
      <c r="F665" s="5">
        <v>2017971</v>
      </c>
      <c r="G665" s="5">
        <v>2026008</v>
      </c>
      <c r="H665" s="5">
        <v>1640061</v>
      </c>
      <c r="I665" s="3">
        <f>VLOOKUP(B665,[1]Sheet3!$A$13:$F$198,6,TRUE)</f>
        <v>1588248</v>
      </c>
    </row>
    <row r="666" spans="1:9">
      <c r="B666" s="1" t="s">
        <v>150</v>
      </c>
      <c r="D666" t="s">
        <v>23</v>
      </c>
      <c r="E666" s="5">
        <v>6543849.3899999997</v>
      </c>
      <c r="F666" s="5">
        <v>6678095.3499999996</v>
      </c>
      <c r="G666" s="5">
        <v>6327947.8300000001</v>
      </c>
      <c r="H666" s="5">
        <v>5929672.3300000001</v>
      </c>
      <c r="I666" s="3">
        <f>VLOOKUP(B666,[1]Sheet3!$A$13:$G$198,7,TRUE)</f>
        <v>6218684.0300000003</v>
      </c>
    </row>
    <row r="667" spans="1:9">
      <c r="B667" s="1" t="s">
        <v>150</v>
      </c>
      <c r="D667" t="s">
        <v>14</v>
      </c>
      <c r="E667" s="5">
        <v>2696718.77</v>
      </c>
      <c r="F667" s="5">
        <v>2767240.07</v>
      </c>
      <c r="G667" s="5">
        <v>2767240.07</v>
      </c>
      <c r="H667" s="5">
        <v>2650657.85</v>
      </c>
      <c r="I667" s="3">
        <f>VLOOKUP(B667,[1]Sheet3!$A$13:$H$198,8,TRUE)</f>
        <v>2504020.0700000003</v>
      </c>
    </row>
    <row r="668" spans="1:9">
      <c r="B668" s="1" t="s">
        <v>150</v>
      </c>
      <c r="D668" t="s">
        <v>15</v>
      </c>
      <c r="E668" s="5">
        <v>1572276.4</v>
      </c>
      <c r="F668" s="5">
        <v>1633870.54</v>
      </c>
      <c r="G668" s="5">
        <v>1659599.83</v>
      </c>
      <c r="H668" s="5">
        <v>1612453.5</v>
      </c>
      <c r="I668" s="3">
        <f>VLOOKUP(B668,[1]Sheet3!$A$13:$I$198,9,TRUE)</f>
        <v>1526951.56</v>
      </c>
    </row>
    <row r="669" spans="1:9">
      <c r="B669" s="1" t="s">
        <v>150</v>
      </c>
      <c r="D669" t="s">
        <v>16</v>
      </c>
      <c r="E669" s="5">
        <v>605.17999999999995</v>
      </c>
      <c r="F669" s="5">
        <v>620.92999999999995</v>
      </c>
      <c r="G669" s="5">
        <v>542.94000000000005</v>
      </c>
      <c r="H669" s="5">
        <v>561.58000000000004</v>
      </c>
      <c r="I669" s="5">
        <f>I666/I664</f>
        <v>548.62673400970448</v>
      </c>
    </row>
    <row r="670" spans="1:9">
      <c r="B670" s="1" t="s">
        <v>150</v>
      </c>
      <c r="D670" t="s">
        <v>17</v>
      </c>
      <c r="E670" s="6">
        <v>3.41</v>
      </c>
      <c r="F670" s="6">
        <v>3.31</v>
      </c>
      <c r="G670" s="6">
        <v>3.12</v>
      </c>
      <c r="H670" s="6">
        <v>3.62</v>
      </c>
      <c r="I670" s="7">
        <f>I666/I665</f>
        <v>3.9154363991014001</v>
      </c>
    </row>
    <row r="671" spans="1:9">
      <c r="B671" s="1" t="s">
        <v>150</v>
      </c>
      <c r="D671" t="s">
        <v>18</v>
      </c>
      <c r="E671" s="8">
        <v>0.41210000000000002</v>
      </c>
      <c r="F671" s="8">
        <v>0.41439999999999999</v>
      </c>
      <c r="G671" s="8">
        <v>0.43730000000000002</v>
      </c>
      <c r="H671" s="8">
        <v>0.44700000000000001</v>
      </c>
      <c r="I671" s="8">
        <f>I667/I666</f>
        <v>0.40266076519086308</v>
      </c>
    </row>
    <row r="672" spans="1:9">
      <c r="B672" s="1" t="s">
        <v>150</v>
      </c>
      <c r="D672" t="s">
        <v>19</v>
      </c>
      <c r="E672" s="8">
        <v>0.58299999999999996</v>
      </c>
      <c r="F672" s="8">
        <v>0.59040000000000004</v>
      </c>
      <c r="G672" s="8">
        <v>0.59970000000000001</v>
      </c>
      <c r="H672" s="8">
        <v>0.60829999999999995</v>
      </c>
      <c r="I672" s="8">
        <f>I668/I667</f>
        <v>0.60980004844769475</v>
      </c>
    </row>
    <row r="673" spans="1:9">
      <c r="B673" s="1" t="s">
        <v>150</v>
      </c>
      <c r="D673" t="s">
        <v>20</v>
      </c>
      <c r="E673" s="8">
        <v>0.24030000000000001</v>
      </c>
      <c r="F673" s="8">
        <v>0.2447</v>
      </c>
      <c r="G673" s="8">
        <v>0.26229999999999998</v>
      </c>
      <c r="H673" s="8">
        <v>0.27189999999999998</v>
      </c>
      <c r="I673" s="8">
        <f>I668/I666</f>
        <v>0.24554255412137413</v>
      </c>
    </row>
    <row r="674" spans="1:9">
      <c r="B674" s="1" t="s">
        <v>150</v>
      </c>
    </row>
    <row r="675" spans="1:9">
      <c r="A675" t="s">
        <v>135</v>
      </c>
      <c r="B675" s="1" t="s">
        <v>152</v>
      </c>
      <c r="C675" t="s">
        <v>153</v>
      </c>
    </row>
    <row r="676" spans="1:9">
      <c r="B676" s="1" t="s">
        <v>152</v>
      </c>
      <c r="D676" t="s">
        <v>11</v>
      </c>
      <c r="E676" s="3">
        <v>873</v>
      </c>
      <c r="F676" s="3">
        <v>899</v>
      </c>
      <c r="G676" s="3">
        <v>968</v>
      </c>
      <c r="H676" s="3">
        <v>1003</v>
      </c>
      <c r="I676" s="3">
        <f>VLOOKUP(B676,[1]Sheet3!$A$13:$E$198,5,TRUE)</f>
        <v>1035</v>
      </c>
    </row>
    <row r="677" spans="1:9">
      <c r="B677" s="1" t="s">
        <v>152</v>
      </c>
      <c r="D677" t="s">
        <v>12</v>
      </c>
      <c r="E677" s="5">
        <v>168424</v>
      </c>
      <c r="F677" s="5">
        <v>195289.5</v>
      </c>
      <c r="G677" s="5">
        <v>187902</v>
      </c>
      <c r="H677" s="5">
        <v>166054</v>
      </c>
      <c r="I677" s="3">
        <f>VLOOKUP(B677,[1]Sheet3!$A$13:$F$198,6,TRUE)</f>
        <v>181902.5</v>
      </c>
    </row>
    <row r="678" spans="1:9">
      <c r="B678" s="1" t="s">
        <v>152</v>
      </c>
      <c r="D678" t="s">
        <v>23</v>
      </c>
      <c r="E678" s="5">
        <v>403205</v>
      </c>
      <c r="F678" s="5">
        <v>436051.62</v>
      </c>
      <c r="G678" s="5">
        <v>489116.09</v>
      </c>
      <c r="H678" s="5">
        <v>570408.18999999994</v>
      </c>
      <c r="I678" s="3">
        <f>VLOOKUP(B678,[1]Sheet3!$A$13:$G$198,7,TRUE)</f>
        <v>504139.46</v>
      </c>
    </row>
    <row r="679" spans="1:9">
      <c r="B679" s="1" t="s">
        <v>152</v>
      </c>
      <c r="D679" t="s">
        <v>14</v>
      </c>
      <c r="E679" s="5">
        <v>178744.68</v>
      </c>
      <c r="F679" s="5">
        <v>196597.87</v>
      </c>
      <c r="G679" s="5">
        <v>212720.72999999998</v>
      </c>
      <c r="H679" s="5">
        <v>234782.87</v>
      </c>
      <c r="I679" s="3">
        <f>VLOOKUP(B679,[1]Sheet3!$A$13:$H$198,8,TRUE)</f>
        <v>216306.65999999997</v>
      </c>
    </row>
    <row r="680" spans="1:9">
      <c r="B680" s="1" t="s">
        <v>152</v>
      </c>
      <c r="D680" t="s">
        <v>15</v>
      </c>
      <c r="E680" s="5">
        <v>104366.73</v>
      </c>
      <c r="F680" s="5">
        <v>117323.56</v>
      </c>
      <c r="G680" s="5">
        <v>129186.44</v>
      </c>
      <c r="H680" s="5">
        <v>146166.57</v>
      </c>
      <c r="I680" s="3">
        <f>VLOOKUP(B680,[1]Sheet3!$A$13:$I$198,9,TRUE)</f>
        <v>144600.13</v>
      </c>
    </row>
    <row r="681" spans="1:9">
      <c r="B681" s="1" t="s">
        <v>152</v>
      </c>
      <c r="D681" t="s">
        <v>16</v>
      </c>
      <c r="E681" s="5">
        <v>461.86</v>
      </c>
      <c r="F681" s="5">
        <v>485.04</v>
      </c>
      <c r="G681" s="5">
        <v>505.29</v>
      </c>
      <c r="H681" s="5">
        <v>568.70000000000005</v>
      </c>
      <c r="I681" s="5">
        <f>I678/I676</f>
        <v>487.09126570048312</v>
      </c>
    </row>
    <row r="682" spans="1:9">
      <c r="B682" s="1" t="s">
        <v>152</v>
      </c>
      <c r="D682" t="s">
        <v>17</v>
      </c>
      <c r="E682" s="6">
        <v>2.39</v>
      </c>
      <c r="F682" s="6">
        <v>2.23</v>
      </c>
      <c r="G682" s="6">
        <v>2.6</v>
      </c>
      <c r="H682" s="6">
        <v>3.44</v>
      </c>
      <c r="I682" s="7">
        <f>I678/I677</f>
        <v>2.7714817553359632</v>
      </c>
    </row>
    <row r="683" spans="1:9">
      <c r="B683" s="1" t="s">
        <v>152</v>
      </c>
      <c r="D683" t="s">
        <v>18</v>
      </c>
      <c r="E683" s="8">
        <v>0.44330000000000003</v>
      </c>
      <c r="F683" s="8">
        <v>0.45090000000000002</v>
      </c>
      <c r="G683" s="8">
        <v>0.43490000000000001</v>
      </c>
      <c r="H683" s="8">
        <v>0.41160000000000002</v>
      </c>
      <c r="I683" s="8">
        <f>I679/I678</f>
        <v>0.42906115700603947</v>
      </c>
    </row>
    <row r="684" spans="1:9">
      <c r="B684" s="1" t="s">
        <v>152</v>
      </c>
      <c r="D684" t="s">
        <v>19</v>
      </c>
      <c r="E684" s="8">
        <v>0.58389999999999997</v>
      </c>
      <c r="F684" s="8">
        <v>0.5968</v>
      </c>
      <c r="G684" s="8">
        <v>0.60729999999999995</v>
      </c>
      <c r="H684" s="8">
        <v>0.62260000000000004</v>
      </c>
      <c r="I684" s="8">
        <f>I680/I679</f>
        <v>0.66849596771546482</v>
      </c>
    </row>
    <row r="685" spans="1:9">
      <c r="B685" s="1" t="s">
        <v>152</v>
      </c>
      <c r="D685" t="s">
        <v>20</v>
      </c>
      <c r="E685" s="8">
        <v>0.25879999999999997</v>
      </c>
      <c r="F685" s="8">
        <v>0.26910000000000001</v>
      </c>
      <c r="G685" s="8">
        <v>0.2641</v>
      </c>
      <c r="H685" s="8">
        <v>0.25619999999999998</v>
      </c>
      <c r="I685" s="8">
        <f>I680/I678</f>
        <v>0.28682565336186933</v>
      </c>
    </row>
    <row r="686" spans="1:9">
      <c r="B686" s="1" t="s">
        <v>152</v>
      </c>
    </row>
    <row r="687" spans="1:9">
      <c r="A687" t="s">
        <v>135</v>
      </c>
      <c r="B687" s="1" t="s">
        <v>154</v>
      </c>
      <c r="C687" t="s">
        <v>155</v>
      </c>
    </row>
    <row r="688" spans="1:9">
      <c r="B688" s="1" t="s">
        <v>154</v>
      </c>
      <c r="D688" t="s">
        <v>11</v>
      </c>
      <c r="E688" s="3">
        <v>572</v>
      </c>
      <c r="F688" s="3">
        <v>1210</v>
      </c>
      <c r="G688" s="3">
        <v>1260</v>
      </c>
      <c r="H688" s="3">
        <v>626</v>
      </c>
      <c r="I688" s="3">
        <f>VLOOKUP(B688,[1]Sheet3!$A$13:$E$198,5,TRUE)</f>
        <v>647</v>
      </c>
    </row>
    <row r="689" spans="1:9">
      <c r="B689" s="1" t="s">
        <v>154</v>
      </c>
      <c r="D689" t="s">
        <v>12</v>
      </c>
      <c r="E689" s="5">
        <v>105546</v>
      </c>
      <c r="F689" s="5">
        <v>88800</v>
      </c>
      <c r="G689" s="5">
        <v>104636</v>
      </c>
      <c r="H689" s="5">
        <v>86718</v>
      </c>
      <c r="I689" s="3">
        <f>VLOOKUP(B689,[1]Sheet3!$A$13:$F$198,6,TRUE)</f>
        <v>103488</v>
      </c>
    </row>
    <row r="690" spans="1:9">
      <c r="B690" s="1" t="s">
        <v>154</v>
      </c>
      <c r="D690" t="s">
        <v>23</v>
      </c>
      <c r="E690" s="5">
        <v>358526.22</v>
      </c>
      <c r="F690" s="5">
        <v>365444.81</v>
      </c>
      <c r="G690" s="5">
        <v>377900.84</v>
      </c>
      <c r="H690" s="5">
        <v>374580.83</v>
      </c>
      <c r="I690" s="3">
        <f>VLOOKUP(B690,[1]Sheet3!$A$13:$G$198,7,TRUE)</f>
        <v>366745.16</v>
      </c>
    </row>
    <row r="691" spans="1:9">
      <c r="B691" s="1" t="s">
        <v>154</v>
      </c>
      <c r="D691" t="s">
        <v>14</v>
      </c>
      <c r="E691" s="5">
        <v>155406.84</v>
      </c>
      <c r="F691" s="5">
        <v>147865.16999999998</v>
      </c>
      <c r="G691" s="5">
        <v>154199.46</v>
      </c>
      <c r="H691" s="5">
        <v>154199.46</v>
      </c>
      <c r="I691" s="3">
        <f>VLOOKUP(B691,[1]Sheet3!$A$13:$H$198,8,TRUE)</f>
        <v>150133.53</v>
      </c>
    </row>
    <row r="692" spans="1:9">
      <c r="B692" s="1" t="s">
        <v>154</v>
      </c>
      <c r="D692" t="s">
        <v>15</v>
      </c>
      <c r="E692" s="5">
        <v>90293.92</v>
      </c>
      <c r="F692" s="5">
        <v>86207.549999999988</v>
      </c>
      <c r="G692" s="5">
        <v>93111.209999999992</v>
      </c>
      <c r="H692" s="5">
        <v>94502.94</v>
      </c>
      <c r="I692" s="3">
        <f>VLOOKUP(B692,[1]Sheet3!$A$13:$I$198,9,TRUE)</f>
        <v>92042.82</v>
      </c>
    </row>
    <row r="693" spans="1:9">
      <c r="B693" s="1" t="s">
        <v>154</v>
      </c>
      <c r="D693" t="s">
        <v>16</v>
      </c>
      <c r="E693" s="5">
        <v>626.79</v>
      </c>
      <c r="F693" s="5">
        <v>302.02</v>
      </c>
      <c r="G693" s="5">
        <v>299.92</v>
      </c>
      <c r="H693" s="5">
        <v>598.37</v>
      </c>
      <c r="I693" s="5">
        <f>I690/I688</f>
        <v>566.83950540958267</v>
      </c>
    </row>
    <row r="694" spans="1:9">
      <c r="B694" s="1" t="s">
        <v>154</v>
      </c>
      <c r="D694" t="s">
        <v>17</v>
      </c>
      <c r="E694" s="6">
        <v>3.4</v>
      </c>
      <c r="F694" s="6">
        <v>4.12</v>
      </c>
      <c r="G694" s="6">
        <v>3.61</v>
      </c>
      <c r="H694" s="6">
        <v>4.32</v>
      </c>
      <c r="I694" s="7">
        <f>I690/I689</f>
        <v>3.5438423778602348</v>
      </c>
    </row>
    <row r="695" spans="1:9">
      <c r="B695" s="1" t="s">
        <v>154</v>
      </c>
      <c r="D695" t="s">
        <v>18</v>
      </c>
      <c r="E695" s="8">
        <v>0.4335</v>
      </c>
      <c r="F695" s="8">
        <v>0.40460000000000002</v>
      </c>
      <c r="G695" s="8">
        <v>0.40799999999999997</v>
      </c>
      <c r="H695" s="8">
        <v>0.41170000000000001</v>
      </c>
      <c r="I695" s="8">
        <f>I691/I690</f>
        <v>0.40936744741225761</v>
      </c>
    </row>
    <row r="696" spans="1:9">
      <c r="B696" s="1" t="s">
        <v>154</v>
      </c>
      <c r="D696" t="s">
        <v>19</v>
      </c>
      <c r="E696" s="8">
        <v>0.58099999999999996</v>
      </c>
      <c r="F696" s="8">
        <v>0.58299999999999996</v>
      </c>
      <c r="G696" s="8">
        <v>0.6038</v>
      </c>
      <c r="H696" s="8">
        <v>0.6129</v>
      </c>
      <c r="I696" s="8">
        <f>I692/I691</f>
        <v>0.61307304237767546</v>
      </c>
    </row>
    <row r="697" spans="1:9">
      <c r="B697" s="1" t="s">
        <v>154</v>
      </c>
      <c r="D697" t="s">
        <v>20</v>
      </c>
      <c r="E697" s="8">
        <v>0.25180000000000002</v>
      </c>
      <c r="F697" s="8">
        <v>0.2359</v>
      </c>
      <c r="G697" s="8">
        <v>0.24640000000000001</v>
      </c>
      <c r="H697" s="8">
        <v>0.25230000000000002</v>
      </c>
      <c r="I697" s="8">
        <f>I692/I690</f>
        <v>0.25097214643541582</v>
      </c>
    </row>
    <row r="698" spans="1:9">
      <c r="B698" s="1" t="s">
        <v>154</v>
      </c>
    </row>
    <row r="699" spans="1:9">
      <c r="A699" t="s">
        <v>135</v>
      </c>
      <c r="B699" s="1" t="s">
        <v>156</v>
      </c>
      <c r="C699" t="s">
        <v>157</v>
      </c>
    </row>
    <row r="700" spans="1:9">
      <c r="B700" s="1" t="s">
        <v>156</v>
      </c>
      <c r="D700" t="s">
        <v>11</v>
      </c>
      <c r="E700" s="3">
        <v>159</v>
      </c>
      <c r="F700" s="3">
        <v>248</v>
      </c>
      <c r="G700" s="3">
        <v>223</v>
      </c>
      <c r="H700" s="3">
        <v>208</v>
      </c>
      <c r="I700" s="3">
        <f>VLOOKUP(B700,[1]Sheet3!$A$13:$E$198,5,TRUE)</f>
        <v>227</v>
      </c>
    </row>
    <row r="701" spans="1:9">
      <c r="B701" s="1" t="s">
        <v>156</v>
      </c>
      <c r="D701" t="s">
        <v>12</v>
      </c>
      <c r="E701" s="5">
        <v>112346</v>
      </c>
      <c r="F701" s="5">
        <v>102240</v>
      </c>
      <c r="G701" s="5">
        <v>79674</v>
      </c>
      <c r="H701" s="5">
        <v>86728</v>
      </c>
      <c r="I701" s="3">
        <f>VLOOKUP(B701,[1]Sheet3!$A$13:$F$198,6,TRUE)</f>
        <v>87468</v>
      </c>
    </row>
    <row r="702" spans="1:9">
      <c r="B702" s="1" t="s">
        <v>156</v>
      </c>
      <c r="D702" t="s">
        <v>23</v>
      </c>
      <c r="E702" s="5">
        <v>324455.90000000002</v>
      </c>
      <c r="F702" s="5">
        <v>189531.95</v>
      </c>
      <c r="G702" s="5">
        <v>241412.18</v>
      </c>
      <c r="H702" s="5">
        <v>221766.03</v>
      </c>
      <c r="I702" s="3">
        <f>VLOOKUP(B702,[1]Sheet3!$A$13:$G$198,7,TRUE)</f>
        <v>290915.31</v>
      </c>
    </row>
    <row r="703" spans="1:9">
      <c r="B703" s="1" t="s">
        <v>156</v>
      </c>
      <c r="D703" t="s">
        <v>14</v>
      </c>
      <c r="E703" s="5">
        <v>138028.51</v>
      </c>
      <c r="F703" s="5">
        <v>138028.51</v>
      </c>
      <c r="G703" s="5">
        <v>101719.41</v>
      </c>
      <c r="H703" s="5">
        <v>101719.41</v>
      </c>
      <c r="I703" s="3">
        <f>VLOOKUP(B703,[1]Sheet3!$A$13:$H$198,8,TRUE)</f>
        <v>120438</v>
      </c>
    </row>
    <row r="704" spans="1:9">
      <c r="B704" s="1" t="s">
        <v>156</v>
      </c>
      <c r="D704" t="s">
        <v>15</v>
      </c>
      <c r="E704" s="5">
        <v>80247.430000000008</v>
      </c>
      <c r="F704" s="5">
        <v>81155.45</v>
      </c>
      <c r="G704" s="5">
        <v>57375.820000000007</v>
      </c>
      <c r="H704" s="5">
        <v>62339.930000000008</v>
      </c>
      <c r="I704" s="3">
        <f>VLOOKUP(B704,[1]Sheet3!$A$13:$I$198,9,TRUE)</f>
        <v>76122.62</v>
      </c>
    </row>
    <row r="705" spans="1:9">
      <c r="B705" s="1" t="s">
        <v>156</v>
      </c>
      <c r="D705" t="s">
        <v>16</v>
      </c>
      <c r="E705" s="5">
        <v>2040.6</v>
      </c>
      <c r="F705" s="5">
        <v>764.24</v>
      </c>
      <c r="G705" s="5">
        <v>1082.57</v>
      </c>
      <c r="H705" s="5">
        <v>1066.18</v>
      </c>
      <c r="I705" s="5">
        <f>I702/I700</f>
        <v>1281.565242290749</v>
      </c>
    </row>
    <row r="706" spans="1:9">
      <c r="B706" s="1" t="s">
        <v>156</v>
      </c>
      <c r="D706" t="s">
        <v>17</v>
      </c>
      <c r="E706" s="6">
        <v>2.89</v>
      </c>
      <c r="F706" s="6">
        <v>1.85</v>
      </c>
      <c r="G706" s="6">
        <v>3.03</v>
      </c>
      <c r="H706" s="6">
        <v>2.56</v>
      </c>
      <c r="I706" s="7">
        <f>I702/I701</f>
        <v>3.3259627520921935</v>
      </c>
    </row>
    <row r="707" spans="1:9">
      <c r="B707" s="1" t="s">
        <v>156</v>
      </c>
      <c r="D707" t="s">
        <v>18</v>
      </c>
      <c r="E707" s="8">
        <v>0.4254</v>
      </c>
      <c r="F707" s="8">
        <v>0.72829999999999995</v>
      </c>
      <c r="G707" s="8">
        <v>0.4214</v>
      </c>
      <c r="H707" s="8">
        <v>0.4587</v>
      </c>
      <c r="I707" s="8">
        <f>I703/I702</f>
        <v>0.41399677452520461</v>
      </c>
    </row>
    <row r="708" spans="1:9">
      <c r="B708" s="1" t="s">
        <v>156</v>
      </c>
      <c r="D708" t="s">
        <v>19</v>
      </c>
      <c r="E708" s="8">
        <v>0.58140000000000003</v>
      </c>
      <c r="F708" s="8">
        <v>0.58799999999999997</v>
      </c>
      <c r="G708" s="8">
        <v>0.56410000000000005</v>
      </c>
      <c r="H708" s="8">
        <v>0.6129</v>
      </c>
      <c r="I708" s="8">
        <f>I704/I703</f>
        <v>0.63204819077035479</v>
      </c>
    </row>
    <row r="709" spans="1:9">
      <c r="B709" s="1" t="s">
        <v>156</v>
      </c>
      <c r="D709" t="s">
        <v>20</v>
      </c>
      <c r="E709" s="8">
        <v>0.24729999999999999</v>
      </c>
      <c r="F709" s="8">
        <v>0.42820000000000003</v>
      </c>
      <c r="G709" s="8">
        <v>0.23769999999999999</v>
      </c>
      <c r="H709" s="8">
        <v>0.28110000000000002</v>
      </c>
      <c r="I709" s="8">
        <f>I704/I702</f>
        <v>0.26166591232341807</v>
      </c>
    </row>
    <row r="710" spans="1:9">
      <c r="B710" s="1" t="s">
        <v>156</v>
      </c>
    </row>
    <row r="711" spans="1:9">
      <c r="A711" t="s">
        <v>135</v>
      </c>
      <c r="B711" s="1" t="s">
        <v>158</v>
      </c>
      <c r="C711" t="s">
        <v>159</v>
      </c>
    </row>
    <row r="712" spans="1:9">
      <c r="B712" s="1" t="s">
        <v>158</v>
      </c>
      <c r="D712" t="s">
        <v>11</v>
      </c>
      <c r="E712" s="3">
        <v>4849</v>
      </c>
      <c r="F712" s="3">
        <v>4571</v>
      </c>
      <c r="G712" s="3">
        <v>4449</v>
      </c>
      <c r="H712" s="3">
        <v>4030</v>
      </c>
      <c r="I712" s="3">
        <f>VLOOKUP(B712,[1]Sheet3!$A$13:$E$198,5,TRUE)</f>
        <v>2762</v>
      </c>
    </row>
    <row r="713" spans="1:9">
      <c r="B713" s="1" t="s">
        <v>158</v>
      </c>
      <c r="D713" t="s">
        <v>12</v>
      </c>
      <c r="E713" s="5">
        <v>575137.5</v>
      </c>
      <c r="F713" s="5">
        <v>550317.6</v>
      </c>
      <c r="G713" s="5">
        <v>509476.8</v>
      </c>
      <c r="H713" s="5">
        <v>483521.2</v>
      </c>
      <c r="I713" s="3">
        <f>VLOOKUP(B713,[1]Sheet3!$A$13:$F$198,6,TRUE)</f>
        <v>415095.8</v>
      </c>
    </row>
    <row r="714" spans="1:9">
      <c r="B714" s="1" t="s">
        <v>158</v>
      </c>
      <c r="D714" t="s">
        <v>23</v>
      </c>
      <c r="E714" s="5">
        <v>2409863.15</v>
      </c>
      <c r="F714" s="5">
        <v>2285461.36</v>
      </c>
      <c r="G714" s="5">
        <v>2123360.2599999998</v>
      </c>
      <c r="H714" s="5">
        <v>1977901.86</v>
      </c>
      <c r="I714" s="3">
        <f>VLOOKUP(B714,[1]Sheet3!$A$13:$G$198,7,TRUE)</f>
        <v>1877668.69</v>
      </c>
    </row>
    <row r="715" spans="1:9">
      <c r="B715" s="1" t="s">
        <v>158</v>
      </c>
      <c r="D715" t="s">
        <v>14</v>
      </c>
      <c r="E715" s="5">
        <v>1000499.45</v>
      </c>
      <c r="F715" s="5">
        <v>960254.81</v>
      </c>
      <c r="G715" s="5">
        <v>911904.17</v>
      </c>
      <c r="H715" s="5">
        <v>846772.59</v>
      </c>
      <c r="I715" s="3">
        <f>VLOOKUP(B715,[1]Sheet3!$A$13:$H$198,8,TRUE)</f>
        <v>739920.62</v>
      </c>
    </row>
    <row r="716" spans="1:9">
      <c r="B716" s="1" t="s">
        <v>158</v>
      </c>
      <c r="D716" t="s">
        <v>15</v>
      </c>
      <c r="E716" s="5">
        <v>581306.55000000005</v>
      </c>
      <c r="F716" s="5">
        <v>560689.53</v>
      </c>
      <c r="G716" s="5">
        <v>542065.43999999994</v>
      </c>
      <c r="H716" s="5">
        <v>512231.88</v>
      </c>
      <c r="I716" s="3">
        <f>VLOOKUP(B716,[1]Sheet3!$A$13:$I$198,9,TRUE)</f>
        <v>481373.28</v>
      </c>
    </row>
    <row r="717" spans="1:9">
      <c r="B717" s="1" t="s">
        <v>158</v>
      </c>
      <c r="D717" t="s">
        <v>16</v>
      </c>
      <c r="E717" s="5">
        <v>496.98</v>
      </c>
      <c r="F717" s="5">
        <v>499.99</v>
      </c>
      <c r="G717" s="5">
        <v>477.27</v>
      </c>
      <c r="H717" s="5">
        <v>490.79</v>
      </c>
      <c r="I717" s="5">
        <f>I714/I712</f>
        <v>679.82211803041275</v>
      </c>
    </row>
    <row r="718" spans="1:9">
      <c r="B718" s="1" t="s">
        <v>158</v>
      </c>
      <c r="D718" t="s">
        <v>17</v>
      </c>
      <c r="E718" s="6">
        <v>4.1900000000000004</v>
      </c>
      <c r="F718" s="6">
        <v>4.1500000000000004</v>
      </c>
      <c r="G718" s="6">
        <v>4.17</v>
      </c>
      <c r="H718" s="6">
        <v>4.09</v>
      </c>
      <c r="I718" s="7">
        <f>I714/I713</f>
        <v>4.5234586570136344</v>
      </c>
    </row>
    <row r="719" spans="1:9">
      <c r="B719" s="1" t="s">
        <v>158</v>
      </c>
      <c r="D719" t="s">
        <v>18</v>
      </c>
      <c r="E719" s="8">
        <v>0.41520000000000001</v>
      </c>
      <c r="F719" s="8">
        <v>0.42020000000000002</v>
      </c>
      <c r="G719" s="8">
        <v>0.42949999999999999</v>
      </c>
      <c r="H719" s="8">
        <v>0.42809999999999998</v>
      </c>
      <c r="I719" s="8">
        <f>I715/I714</f>
        <v>0.39406345961917277</v>
      </c>
    </row>
    <row r="720" spans="1:9">
      <c r="B720" s="1" t="s">
        <v>158</v>
      </c>
      <c r="D720" t="s">
        <v>19</v>
      </c>
      <c r="E720" s="8">
        <v>0.58099999999999996</v>
      </c>
      <c r="F720" s="8">
        <v>0.58389999999999997</v>
      </c>
      <c r="G720" s="8">
        <v>0.59440000000000004</v>
      </c>
      <c r="H720" s="8">
        <v>0.60489999999999999</v>
      </c>
      <c r="I720" s="8">
        <f>I716/I715</f>
        <v>0.65057421970481111</v>
      </c>
    </row>
    <row r="721" spans="1:9">
      <c r="B721" s="1" t="s">
        <v>158</v>
      </c>
      <c r="D721" t="s">
        <v>20</v>
      </c>
      <c r="E721" s="8">
        <v>0.2412</v>
      </c>
      <c r="F721" s="8">
        <v>0.24529999999999999</v>
      </c>
      <c r="G721" s="8">
        <v>0.25530000000000003</v>
      </c>
      <c r="H721" s="8">
        <v>0.25900000000000001</v>
      </c>
      <c r="I721" s="8">
        <f>I716/I714</f>
        <v>0.25636752775592164</v>
      </c>
    </row>
    <row r="722" spans="1:9">
      <c r="B722" s="1" t="s">
        <v>158</v>
      </c>
    </row>
    <row r="723" spans="1:9">
      <c r="A723" t="s">
        <v>135</v>
      </c>
      <c r="B723" s="1" t="s">
        <v>160</v>
      </c>
      <c r="C723" t="s">
        <v>161</v>
      </c>
    </row>
    <row r="724" spans="1:9">
      <c r="B724" s="1" t="s">
        <v>160</v>
      </c>
      <c r="D724" t="s">
        <v>11</v>
      </c>
      <c r="E724" s="3">
        <v>6208</v>
      </c>
      <c r="F724" s="3">
        <v>4823</v>
      </c>
      <c r="G724" s="3">
        <v>4841</v>
      </c>
      <c r="H724" s="3">
        <v>2890</v>
      </c>
      <c r="I724" s="3">
        <f>VLOOKUP(B724,[1]Sheet3!$A$13:$E$198,5,TRUE)</f>
        <v>3271</v>
      </c>
    </row>
    <row r="725" spans="1:9">
      <c r="B725" s="1" t="s">
        <v>160</v>
      </c>
      <c r="D725" t="s">
        <v>12</v>
      </c>
      <c r="E725" s="5">
        <v>975975</v>
      </c>
      <c r="F725" s="5">
        <v>849863</v>
      </c>
      <c r="G725" s="5">
        <v>914770</v>
      </c>
      <c r="H725" s="5">
        <v>624150</v>
      </c>
      <c r="I725" s="3">
        <f>VLOOKUP(B725,[1]Sheet3!$A$13:$F$198,6,TRUE)</f>
        <v>687820</v>
      </c>
    </row>
    <row r="726" spans="1:9">
      <c r="B726" s="1" t="s">
        <v>160</v>
      </c>
      <c r="D726" t="s">
        <v>23</v>
      </c>
      <c r="E726" s="5">
        <v>3150485</v>
      </c>
      <c r="F726" s="5">
        <v>3252265.56</v>
      </c>
      <c r="G726" s="5">
        <v>3024467.18</v>
      </c>
      <c r="H726" s="5">
        <v>3255944.75</v>
      </c>
      <c r="I726" s="3">
        <f>VLOOKUP(B726,[1]Sheet3!$A$13:$G$198,7,TRUE)</f>
        <v>3276205.08</v>
      </c>
    </row>
    <row r="727" spans="1:9">
      <c r="B727" s="1" t="s">
        <v>160</v>
      </c>
      <c r="D727" t="s">
        <v>14</v>
      </c>
      <c r="E727" s="5">
        <v>1311486.8900000001</v>
      </c>
      <c r="F727" s="5">
        <v>1314377.2</v>
      </c>
      <c r="G727" s="5">
        <v>1314377.2</v>
      </c>
      <c r="H727" s="5">
        <v>1259097.06</v>
      </c>
      <c r="I727" s="3">
        <f>VLOOKUP(B727,[1]Sheet3!$A$13:$H$198,8,TRUE)</f>
        <v>1281904.3899999999</v>
      </c>
    </row>
    <row r="728" spans="1:9">
      <c r="B728" s="1" t="s">
        <v>160</v>
      </c>
      <c r="D728" t="s">
        <v>15</v>
      </c>
      <c r="E728" s="5">
        <v>767517.6</v>
      </c>
      <c r="F728" s="5">
        <v>773083.54</v>
      </c>
      <c r="G728" s="5">
        <v>788272.84000000008</v>
      </c>
      <c r="H728" s="5">
        <v>765946.55</v>
      </c>
      <c r="I728" s="3">
        <f>VLOOKUP(B728,[1]Sheet3!$A$13:$I$198,9,TRUE)</f>
        <v>791881.84</v>
      </c>
    </row>
    <row r="729" spans="1:9">
      <c r="B729" s="1" t="s">
        <v>160</v>
      </c>
      <c r="D729" t="s">
        <v>16</v>
      </c>
      <c r="E729" s="5">
        <v>507.49</v>
      </c>
      <c r="F729" s="5">
        <v>674.32</v>
      </c>
      <c r="G729" s="5">
        <v>624.76</v>
      </c>
      <c r="H729" s="5">
        <v>1126.6199999999999</v>
      </c>
      <c r="I729" s="5">
        <f>I726/I724</f>
        <v>1001.5912809538368</v>
      </c>
    </row>
    <row r="730" spans="1:9">
      <c r="B730" s="1" t="s">
        <v>160</v>
      </c>
      <c r="D730" t="s">
        <v>17</v>
      </c>
      <c r="E730" s="6">
        <v>3.23</v>
      </c>
      <c r="F730" s="6">
        <v>3.83</v>
      </c>
      <c r="G730" s="6">
        <v>3.31</v>
      </c>
      <c r="H730" s="6">
        <v>5.22</v>
      </c>
      <c r="I730" s="7">
        <f>I726/I725</f>
        <v>4.7631721671367506</v>
      </c>
    </row>
    <row r="731" spans="1:9">
      <c r="B731" s="1" t="s">
        <v>160</v>
      </c>
      <c r="D731" t="s">
        <v>18</v>
      </c>
      <c r="E731" s="8">
        <v>0.4163</v>
      </c>
      <c r="F731" s="8">
        <v>0.40410000000000001</v>
      </c>
      <c r="G731" s="8">
        <v>0.43459999999999999</v>
      </c>
      <c r="H731" s="8">
        <v>0.38669999999999999</v>
      </c>
      <c r="I731" s="8">
        <f>I727/I726</f>
        <v>0.39127721210907829</v>
      </c>
    </row>
    <row r="732" spans="1:9">
      <c r="B732" s="1" t="s">
        <v>160</v>
      </c>
      <c r="D732" t="s">
        <v>19</v>
      </c>
      <c r="E732" s="8">
        <v>0.58520000000000005</v>
      </c>
      <c r="F732" s="8">
        <v>0.58819999999999995</v>
      </c>
      <c r="G732" s="8">
        <v>0.59970000000000001</v>
      </c>
      <c r="H732" s="8">
        <v>0.60829999999999995</v>
      </c>
      <c r="I732" s="8">
        <f>I728/I727</f>
        <v>0.61773861309578637</v>
      </c>
    </row>
    <row r="733" spans="1:9">
      <c r="B733" s="1" t="s">
        <v>160</v>
      </c>
      <c r="D733" t="s">
        <v>20</v>
      </c>
      <c r="E733" s="8">
        <v>0.24360000000000001</v>
      </c>
      <c r="F733" s="8">
        <v>0.23769999999999999</v>
      </c>
      <c r="G733" s="8">
        <v>0.2606</v>
      </c>
      <c r="H733" s="8">
        <v>0.23519999999999999</v>
      </c>
      <c r="I733" s="8">
        <f>I728/I726</f>
        <v>0.24170704234424786</v>
      </c>
    </row>
    <row r="734" spans="1:9">
      <c r="B734" s="1" t="s">
        <v>160</v>
      </c>
    </row>
    <row r="735" spans="1:9">
      <c r="A735" t="s">
        <v>135</v>
      </c>
      <c r="B735" s="1" t="s">
        <v>162</v>
      </c>
      <c r="C735" t="s">
        <v>163</v>
      </c>
    </row>
    <row r="736" spans="1:9">
      <c r="B736" s="1" t="s">
        <v>162</v>
      </c>
      <c r="D736" t="s">
        <v>11</v>
      </c>
      <c r="E736" s="3">
        <v>118</v>
      </c>
      <c r="F736" s="3">
        <v>117</v>
      </c>
      <c r="G736" s="3">
        <v>119</v>
      </c>
      <c r="H736" s="3">
        <v>111</v>
      </c>
      <c r="I736" s="3">
        <f>VLOOKUP(B736,[1]Sheet3!$A$13:$E$198,5,TRUE)</f>
        <v>108</v>
      </c>
    </row>
    <row r="737" spans="1:9">
      <c r="B737" s="1" t="s">
        <v>162</v>
      </c>
      <c r="D737" t="s">
        <v>12</v>
      </c>
      <c r="E737" s="5">
        <v>62729</v>
      </c>
      <c r="F737" s="5">
        <v>69136</v>
      </c>
      <c r="G737" s="5">
        <v>68242</v>
      </c>
      <c r="H737" s="5">
        <v>61608</v>
      </c>
      <c r="I737" s="3">
        <f>VLOOKUP(B737,[1]Sheet3!$A$13:$F$198,6,TRUE)</f>
        <v>64232</v>
      </c>
    </row>
    <row r="738" spans="1:9">
      <c r="B738" s="1" t="s">
        <v>162</v>
      </c>
      <c r="D738" t="s">
        <v>23</v>
      </c>
      <c r="E738" s="5">
        <v>107713.4</v>
      </c>
      <c r="F738" s="5">
        <v>106156.83</v>
      </c>
      <c r="G738" s="5">
        <v>87986.76</v>
      </c>
      <c r="H738" s="5">
        <v>114719.38</v>
      </c>
      <c r="I738" s="3">
        <f>VLOOKUP(B738,[1]Sheet3!$A$13:$G$198,7,TRUE)</f>
        <v>122212.71</v>
      </c>
    </row>
    <row r="739" spans="1:9">
      <c r="B739" s="1" t="s">
        <v>162</v>
      </c>
      <c r="D739" t="s">
        <v>14</v>
      </c>
      <c r="E739" s="5">
        <v>52192.020000000004</v>
      </c>
      <c r="F739" s="5">
        <v>53269.34</v>
      </c>
      <c r="G739" s="5">
        <v>53269.34</v>
      </c>
      <c r="H739" s="5">
        <v>54284.21</v>
      </c>
      <c r="I739" s="3">
        <f>VLOOKUP(B739,[1]Sheet3!$A$13:$H$198,8,TRUE)</f>
        <v>57479.34</v>
      </c>
    </row>
    <row r="740" spans="1:9">
      <c r="B740" s="1" t="s">
        <v>162</v>
      </c>
      <c r="D740" t="s">
        <v>15</v>
      </c>
      <c r="E740" s="5">
        <v>30413.599999999999</v>
      </c>
      <c r="F740" s="5">
        <v>31424.82</v>
      </c>
      <c r="G740" s="5">
        <v>31947.279999999999</v>
      </c>
      <c r="H740" s="5">
        <v>33373.46</v>
      </c>
      <c r="I740" s="3">
        <f>VLOOKUP(B740,[1]Sheet3!$A$13:$I$198,9,TRUE)</f>
        <v>35733.090000000004</v>
      </c>
    </row>
    <row r="741" spans="1:9">
      <c r="B741" s="1" t="s">
        <v>162</v>
      </c>
      <c r="D741" t="s">
        <v>16</v>
      </c>
      <c r="E741" s="5">
        <v>912.83</v>
      </c>
      <c r="F741" s="5">
        <v>907.32</v>
      </c>
      <c r="G741" s="5">
        <v>739.38</v>
      </c>
      <c r="H741" s="5">
        <v>1033.51</v>
      </c>
      <c r="I741" s="5">
        <f>I738/I736</f>
        <v>1131.5991666666666</v>
      </c>
    </row>
    <row r="742" spans="1:9">
      <c r="B742" s="1" t="s">
        <v>162</v>
      </c>
      <c r="D742" t="s">
        <v>17</v>
      </c>
      <c r="E742" s="6">
        <v>1.72</v>
      </c>
      <c r="F742" s="6">
        <v>1.54</v>
      </c>
      <c r="G742" s="6">
        <v>1.29</v>
      </c>
      <c r="H742" s="6">
        <v>1.86</v>
      </c>
      <c r="I742" s="7">
        <f>I738/I737</f>
        <v>1.9026763918296177</v>
      </c>
    </row>
    <row r="743" spans="1:9">
      <c r="B743" s="1" t="s">
        <v>162</v>
      </c>
      <c r="D743" t="s">
        <v>18</v>
      </c>
      <c r="E743" s="8">
        <v>0.48449999999999999</v>
      </c>
      <c r="F743" s="8">
        <v>0.50180000000000002</v>
      </c>
      <c r="G743" s="8">
        <v>0.60540000000000005</v>
      </c>
      <c r="H743" s="8">
        <v>0.47320000000000001</v>
      </c>
      <c r="I743" s="8">
        <f>I739/I738</f>
        <v>0.47032211297826548</v>
      </c>
    </row>
    <row r="744" spans="1:9">
      <c r="B744" s="1" t="s">
        <v>162</v>
      </c>
      <c r="D744" t="s">
        <v>19</v>
      </c>
      <c r="E744" s="8">
        <v>0.5827</v>
      </c>
      <c r="F744" s="8">
        <v>0.58989999999999998</v>
      </c>
      <c r="G744" s="8">
        <v>0.59970000000000001</v>
      </c>
      <c r="H744" s="8">
        <v>0.61480000000000001</v>
      </c>
      <c r="I744" s="8">
        <f>I740/I739</f>
        <v>0.62166841164146991</v>
      </c>
    </row>
    <row r="745" spans="1:9">
      <c r="B745" s="1" t="s">
        <v>162</v>
      </c>
      <c r="D745" t="s">
        <v>20</v>
      </c>
      <c r="E745" s="8">
        <v>0.28239999999999998</v>
      </c>
      <c r="F745" s="8">
        <v>0.29599999999999999</v>
      </c>
      <c r="G745" s="8">
        <v>0.36309999999999998</v>
      </c>
      <c r="H745" s="8">
        <v>0.29089999999999999</v>
      </c>
      <c r="I745" s="8">
        <f>I740/I738</f>
        <v>0.29238440093505824</v>
      </c>
    </row>
    <row r="746" spans="1:9">
      <c r="B746" s="1" t="s">
        <v>162</v>
      </c>
    </row>
    <row r="747" spans="1:9">
      <c r="A747" t="s">
        <v>135</v>
      </c>
      <c r="B747" s="1" t="s">
        <v>164</v>
      </c>
      <c r="C747" t="s">
        <v>165</v>
      </c>
    </row>
    <row r="748" spans="1:9">
      <c r="B748" s="1" t="s">
        <v>164</v>
      </c>
      <c r="D748" t="s">
        <v>11</v>
      </c>
      <c r="E748" s="3">
        <v>335</v>
      </c>
      <c r="F748" s="3">
        <v>335</v>
      </c>
      <c r="G748" s="3">
        <v>320</v>
      </c>
      <c r="H748" s="3">
        <v>316</v>
      </c>
      <c r="I748" s="3">
        <f>VLOOKUP(B748,[1]Sheet3!$A$13:$E$198,5,TRUE)</f>
        <v>268</v>
      </c>
    </row>
    <row r="749" spans="1:9">
      <c r="B749" s="1" t="s">
        <v>164</v>
      </c>
      <c r="D749" t="s">
        <v>12</v>
      </c>
      <c r="E749" s="5">
        <v>153476</v>
      </c>
      <c r="F749" s="5">
        <v>173709.9</v>
      </c>
      <c r="G749" s="5">
        <v>184427.2</v>
      </c>
      <c r="H749" s="5">
        <v>129731.5</v>
      </c>
      <c r="I749" s="3">
        <f>VLOOKUP(B749,[1]Sheet3!$A$13:$F$198,6,TRUE)</f>
        <v>117160</v>
      </c>
    </row>
    <row r="750" spans="1:9">
      <c r="B750" s="1" t="s">
        <v>164</v>
      </c>
      <c r="D750" t="s">
        <v>23</v>
      </c>
      <c r="E750" s="5">
        <v>222850.31</v>
      </c>
      <c r="F750" s="5">
        <v>246603.84</v>
      </c>
      <c r="G750" s="5">
        <v>238834</v>
      </c>
      <c r="H750" s="5">
        <v>199981.74</v>
      </c>
      <c r="I750" s="3">
        <f>VLOOKUP(B750,[1]Sheet3!$A$13:$G$198,7,TRUE)</f>
        <v>201719.09</v>
      </c>
    </row>
    <row r="751" spans="1:9">
      <c r="B751" s="1" t="s">
        <v>164</v>
      </c>
      <c r="D751" t="s">
        <v>14</v>
      </c>
      <c r="E751" s="5">
        <v>125177.43000000001</v>
      </c>
      <c r="F751" s="5">
        <v>127027.64</v>
      </c>
      <c r="G751" s="5">
        <v>127079.97</v>
      </c>
      <c r="H751" s="5">
        <v>127079.97</v>
      </c>
      <c r="I751" s="3">
        <f>VLOOKUP(B751,[1]Sheet3!$A$13:$H$198,8,TRUE)</f>
        <v>97663.14</v>
      </c>
    </row>
    <row r="752" spans="1:9">
      <c r="B752" s="1" t="s">
        <v>164</v>
      </c>
      <c r="D752" t="s">
        <v>15</v>
      </c>
      <c r="E752" s="5">
        <v>72730.14</v>
      </c>
      <c r="F752" s="5">
        <v>74866.820000000007</v>
      </c>
      <c r="G752" s="5">
        <v>76219.03</v>
      </c>
      <c r="H752" s="5">
        <v>77882.44</v>
      </c>
      <c r="I752" s="3">
        <f>VLOOKUP(B752,[1]Sheet3!$A$13:$I$198,9,TRUE)</f>
        <v>58933.87</v>
      </c>
    </row>
    <row r="753" spans="1:9">
      <c r="B753" s="1" t="s">
        <v>164</v>
      </c>
      <c r="D753" t="s">
        <v>16</v>
      </c>
      <c r="E753" s="5">
        <v>665.22</v>
      </c>
      <c r="F753" s="5">
        <v>736.13</v>
      </c>
      <c r="G753" s="5">
        <v>746.36</v>
      </c>
      <c r="H753" s="5">
        <v>632.85</v>
      </c>
      <c r="I753" s="5">
        <f>I750/I748</f>
        <v>752.68317164179098</v>
      </c>
    </row>
    <row r="754" spans="1:9">
      <c r="B754" s="1" t="s">
        <v>164</v>
      </c>
      <c r="D754" t="s">
        <v>17</v>
      </c>
      <c r="E754" s="6">
        <v>1.45</v>
      </c>
      <c r="F754" s="6">
        <v>1.42</v>
      </c>
      <c r="G754" s="6">
        <v>1.3</v>
      </c>
      <c r="H754" s="6">
        <v>1.54</v>
      </c>
      <c r="I754" s="7">
        <f>I750/I749</f>
        <v>1.7217402697166269</v>
      </c>
    </row>
    <row r="755" spans="1:9">
      <c r="B755" s="1" t="s">
        <v>164</v>
      </c>
      <c r="D755" t="s">
        <v>18</v>
      </c>
      <c r="E755" s="8">
        <v>0.56169999999999998</v>
      </c>
      <c r="F755" s="8">
        <v>0.5151</v>
      </c>
      <c r="G755" s="8">
        <v>0.53210000000000002</v>
      </c>
      <c r="H755" s="8">
        <v>0.63549999999999995</v>
      </c>
      <c r="I755" s="8">
        <f>I751/I750</f>
        <v>0.48415417697948171</v>
      </c>
    </row>
    <row r="756" spans="1:9">
      <c r="B756" s="1" t="s">
        <v>164</v>
      </c>
      <c r="D756" t="s">
        <v>19</v>
      </c>
      <c r="E756" s="8">
        <v>0.58099999999999996</v>
      </c>
      <c r="F756" s="8">
        <v>0.58940000000000003</v>
      </c>
      <c r="G756" s="8">
        <v>0.5998</v>
      </c>
      <c r="H756" s="8">
        <v>0.6129</v>
      </c>
      <c r="I756" s="8">
        <f>I752/I751</f>
        <v>0.60344025391770117</v>
      </c>
    </row>
    <row r="757" spans="1:9">
      <c r="B757" s="1" t="s">
        <v>164</v>
      </c>
      <c r="D757" t="s">
        <v>20</v>
      </c>
      <c r="E757" s="8">
        <v>0.32640000000000002</v>
      </c>
      <c r="F757" s="8">
        <v>0.30359999999999998</v>
      </c>
      <c r="G757" s="8">
        <v>0.31909999999999999</v>
      </c>
      <c r="H757" s="8">
        <v>0.38940000000000002</v>
      </c>
      <c r="I757" s="8">
        <f>I752/I750</f>
        <v>0.29215811949181408</v>
      </c>
    </row>
    <row r="758" spans="1:9">
      <c r="B758" s="1" t="s">
        <v>164</v>
      </c>
    </row>
    <row r="759" spans="1:9">
      <c r="A759" t="s">
        <v>166</v>
      </c>
      <c r="B759" s="1" t="s">
        <v>167</v>
      </c>
      <c r="C759" t="s">
        <v>168</v>
      </c>
    </row>
    <row r="760" spans="1:9">
      <c r="B760" s="1" t="s">
        <v>167</v>
      </c>
      <c r="D760" t="s">
        <v>11</v>
      </c>
      <c r="E760" s="3">
        <v>937</v>
      </c>
      <c r="F760" s="3">
        <v>928</v>
      </c>
      <c r="G760" s="3">
        <v>898</v>
      </c>
      <c r="H760" s="3">
        <v>717</v>
      </c>
      <c r="I760" s="3">
        <f>VLOOKUP(B760,[1]Sheet3!$A$13:$E$198,5,TRUE)</f>
        <v>623</v>
      </c>
    </row>
    <row r="761" spans="1:9">
      <c r="B761" s="1" t="s">
        <v>167</v>
      </c>
      <c r="D761" t="s">
        <v>12</v>
      </c>
      <c r="E761" s="5">
        <v>125904</v>
      </c>
      <c r="F761" s="5">
        <v>123152</v>
      </c>
      <c r="G761" s="5">
        <v>136052</v>
      </c>
      <c r="H761" s="5">
        <v>99932</v>
      </c>
      <c r="I761" s="3">
        <f>VLOOKUP(B761,[1]Sheet3!$A$13:$F$198,6,TRUE)</f>
        <v>114724</v>
      </c>
    </row>
    <row r="762" spans="1:9">
      <c r="B762" s="1" t="s">
        <v>167</v>
      </c>
      <c r="D762" t="s">
        <v>23</v>
      </c>
      <c r="E762" s="5">
        <v>358504.46</v>
      </c>
      <c r="F762" s="5">
        <v>336351.72</v>
      </c>
      <c r="G762" s="5">
        <v>449757.88</v>
      </c>
      <c r="H762" s="5">
        <v>301784.55</v>
      </c>
      <c r="I762" s="3">
        <f>VLOOKUP(B762,[1]Sheet3!$A$13:$G$198,7,TRUE)</f>
        <v>297274.59999999998</v>
      </c>
    </row>
    <row r="763" spans="1:9">
      <c r="B763" s="1" t="s">
        <v>167</v>
      </c>
      <c r="D763" t="s">
        <v>14</v>
      </c>
      <c r="E763" s="5">
        <v>169044.37</v>
      </c>
      <c r="F763" s="5">
        <v>152956.14000000001</v>
      </c>
      <c r="G763" s="5">
        <v>186405.08000000002</v>
      </c>
      <c r="H763" s="5">
        <v>186405.08000000002</v>
      </c>
      <c r="I763" s="3">
        <f>VLOOKUP(B763,[1]Sheet3!$A$13:$H$198,8,TRUE)</f>
        <v>129417.73000000001</v>
      </c>
    </row>
    <row r="764" spans="1:9">
      <c r="B764" s="1" t="s">
        <v>167</v>
      </c>
      <c r="D764" t="s">
        <v>15</v>
      </c>
      <c r="E764" s="5">
        <v>97204.18</v>
      </c>
      <c r="F764" s="5">
        <v>88371.92</v>
      </c>
      <c r="G764" s="5">
        <v>115135.57</v>
      </c>
      <c r="H764" s="5">
        <v>114240.53</v>
      </c>
      <c r="I764" s="3">
        <f>VLOOKUP(B764,[1]Sheet3!$A$13:$I$198,9,TRUE)</f>
        <v>74042.7</v>
      </c>
    </row>
    <row r="765" spans="1:9">
      <c r="B765" s="1" t="s">
        <v>167</v>
      </c>
      <c r="D765" t="s">
        <v>16</v>
      </c>
      <c r="E765" s="5">
        <v>382.61</v>
      </c>
      <c r="F765" s="5">
        <v>362.45</v>
      </c>
      <c r="G765" s="5">
        <v>500.84</v>
      </c>
      <c r="H765" s="5">
        <v>420.9</v>
      </c>
      <c r="I765" s="5">
        <f>I762/I760</f>
        <v>477.16629213483145</v>
      </c>
    </row>
    <row r="766" spans="1:9">
      <c r="B766" s="1" t="s">
        <v>167</v>
      </c>
      <c r="D766" t="s">
        <v>17</v>
      </c>
      <c r="E766" s="6">
        <v>2.85</v>
      </c>
      <c r="F766" s="6">
        <v>2.73</v>
      </c>
      <c r="G766" s="6">
        <v>3.31</v>
      </c>
      <c r="H766" s="6">
        <v>3.02</v>
      </c>
      <c r="I766" s="7">
        <f>I762/I761</f>
        <v>2.5912154387922315</v>
      </c>
    </row>
    <row r="767" spans="1:9">
      <c r="B767" s="1" t="s">
        <v>167</v>
      </c>
      <c r="D767" t="s">
        <v>18</v>
      </c>
      <c r="E767" s="8">
        <v>0.47149999999999997</v>
      </c>
      <c r="F767" s="8">
        <v>0.45479999999999998</v>
      </c>
      <c r="G767" s="8">
        <v>0.41449999999999998</v>
      </c>
      <c r="H767" s="8">
        <v>0.61770000000000003</v>
      </c>
      <c r="I767" s="8">
        <f>I763/I762</f>
        <v>0.43534741952390155</v>
      </c>
    </row>
    <row r="768" spans="1:9">
      <c r="B768" s="1" t="s">
        <v>167</v>
      </c>
      <c r="D768" t="s">
        <v>19</v>
      </c>
      <c r="E768" s="8">
        <v>0.57499999999999996</v>
      </c>
      <c r="F768" s="8">
        <v>0.57779999999999998</v>
      </c>
      <c r="G768" s="8">
        <v>0.61770000000000003</v>
      </c>
      <c r="H768" s="8">
        <v>0.6129</v>
      </c>
      <c r="I768" s="8">
        <f>I764/I763</f>
        <v>0.57212176415086247</v>
      </c>
    </row>
    <row r="769" spans="1:9">
      <c r="B769" s="1" t="s">
        <v>167</v>
      </c>
      <c r="D769" t="s">
        <v>20</v>
      </c>
      <c r="E769" s="8">
        <v>0.27110000000000001</v>
      </c>
      <c r="F769" s="8">
        <v>0.26269999999999999</v>
      </c>
      <c r="G769" s="8">
        <v>0.25600000000000001</v>
      </c>
      <c r="H769" s="8">
        <v>0.3785</v>
      </c>
      <c r="I769" s="8">
        <f>I764/I762</f>
        <v>0.24907173367654015</v>
      </c>
    </row>
    <row r="770" spans="1:9">
      <c r="B770" s="1" t="s">
        <v>167</v>
      </c>
    </row>
    <row r="771" spans="1:9">
      <c r="A771" t="s">
        <v>166</v>
      </c>
      <c r="B771" s="1" t="s">
        <v>169</v>
      </c>
      <c r="C771" t="s">
        <v>170</v>
      </c>
    </row>
    <row r="772" spans="1:9">
      <c r="B772" s="1" t="s">
        <v>169</v>
      </c>
      <c r="D772" t="s">
        <v>11</v>
      </c>
      <c r="E772" s="3">
        <v>1380</v>
      </c>
      <c r="F772" s="3">
        <v>1402</v>
      </c>
      <c r="G772" s="3">
        <v>1386</v>
      </c>
      <c r="H772" s="3">
        <v>1392</v>
      </c>
      <c r="I772" s="3">
        <f>VLOOKUP(B772,[1]Sheet3!$A$13:$E$198,5,TRUE)</f>
        <v>1357</v>
      </c>
    </row>
    <row r="773" spans="1:9">
      <c r="B773" s="1" t="s">
        <v>169</v>
      </c>
      <c r="D773" t="s">
        <v>12</v>
      </c>
      <c r="E773" s="5">
        <v>238121</v>
      </c>
      <c r="F773" s="5">
        <v>244872</v>
      </c>
      <c r="G773" s="5">
        <v>226632</v>
      </c>
      <c r="H773" s="5">
        <v>247585</v>
      </c>
      <c r="I773" s="3">
        <f>VLOOKUP(B773,[1]Sheet3!$A$13:$F$198,6,TRUE)</f>
        <v>207740</v>
      </c>
    </row>
    <row r="774" spans="1:9">
      <c r="B774" s="1" t="s">
        <v>169</v>
      </c>
      <c r="D774" t="s">
        <v>23</v>
      </c>
      <c r="E774" s="5">
        <v>586029.94999999995</v>
      </c>
      <c r="F774" s="5">
        <v>577577.16</v>
      </c>
      <c r="G774" s="5">
        <v>580998.93000000005</v>
      </c>
      <c r="H774" s="5">
        <v>643017.87</v>
      </c>
      <c r="I774" s="3">
        <f>VLOOKUP(B774,[1]Sheet3!$A$13:$G$198,7,TRUE)</f>
        <v>629132.18000000005</v>
      </c>
    </row>
    <row r="775" spans="1:9">
      <c r="B775" s="1" t="s">
        <v>169</v>
      </c>
      <c r="D775" t="s">
        <v>14</v>
      </c>
      <c r="E775" s="5">
        <v>282760.45</v>
      </c>
      <c r="F775" s="5">
        <v>258122.01</v>
      </c>
      <c r="G775" s="5">
        <v>256949.74</v>
      </c>
      <c r="H775" s="5">
        <v>279793.93</v>
      </c>
      <c r="I775" s="3">
        <f>VLOOKUP(B775,[1]Sheet3!$A$13:$H$198,8,TRUE)</f>
        <v>265112.28999999998</v>
      </c>
    </row>
    <row r="776" spans="1:9">
      <c r="B776" s="1" t="s">
        <v>169</v>
      </c>
      <c r="D776" t="s">
        <v>15</v>
      </c>
      <c r="E776" s="5">
        <v>164288.45000000001</v>
      </c>
      <c r="F776" s="5">
        <v>149376.11000000002</v>
      </c>
      <c r="G776" s="5">
        <v>153983.59999999998</v>
      </c>
      <c r="H776" s="5">
        <v>173832.85</v>
      </c>
      <c r="I776" s="3">
        <f>VLOOKUP(B776,[1]Sheet3!$A$13:$I$198,9,TRUE)</f>
        <v>172321.94</v>
      </c>
    </row>
    <row r="777" spans="1:9">
      <c r="B777" s="1" t="s">
        <v>169</v>
      </c>
      <c r="D777" t="s">
        <v>16</v>
      </c>
      <c r="E777" s="5">
        <v>424.66</v>
      </c>
      <c r="F777" s="5">
        <v>411.97</v>
      </c>
      <c r="G777" s="5">
        <v>419.19</v>
      </c>
      <c r="H777" s="5">
        <v>461.94</v>
      </c>
      <c r="I777" s="5">
        <f>I774/I772</f>
        <v>463.61988209285192</v>
      </c>
    </row>
    <row r="778" spans="1:9">
      <c r="B778" s="1" t="s">
        <v>169</v>
      </c>
      <c r="D778" t="s">
        <v>17</v>
      </c>
      <c r="E778" s="6">
        <v>2.46</v>
      </c>
      <c r="F778" s="6">
        <v>2.36</v>
      </c>
      <c r="G778" s="6">
        <v>2.56</v>
      </c>
      <c r="H778" s="6">
        <v>2.6</v>
      </c>
      <c r="I778" s="7">
        <f>I774/I773</f>
        <v>3.0284595167035722</v>
      </c>
    </row>
    <row r="779" spans="1:9">
      <c r="B779" s="1" t="s">
        <v>169</v>
      </c>
      <c r="D779" t="s">
        <v>18</v>
      </c>
      <c r="E779" s="8">
        <v>0.48249999999999998</v>
      </c>
      <c r="F779" s="8">
        <v>0.44690000000000002</v>
      </c>
      <c r="G779" s="8">
        <v>0.44230000000000003</v>
      </c>
      <c r="H779" s="8">
        <v>0.43509999999999999</v>
      </c>
      <c r="I779" s="8">
        <f>I775/I774</f>
        <v>0.42139362510434603</v>
      </c>
    </row>
    <row r="780" spans="1:9">
      <c r="B780" s="1" t="s">
        <v>169</v>
      </c>
      <c r="D780" t="s">
        <v>19</v>
      </c>
      <c r="E780" s="8">
        <v>0.58099999999999996</v>
      </c>
      <c r="F780" s="8">
        <v>0.57869999999999999</v>
      </c>
      <c r="G780" s="8">
        <v>0.59930000000000005</v>
      </c>
      <c r="H780" s="8">
        <v>0.62129999999999996</v>
      </c>
      <c r="I780" s="8">
        <f>I776/I775</f>
        <v>0.6499960450720712</v>
      </c>
    </row>
    <row r="781" spans="1:9">
      <c r="B781" s="1" t="s">
        <v>169</v>
      </c>
      <c r="D781" t="s">
        <v>20</v>
      </c>
      <c r="E781" s="8">
        <v>0.28029999999999999</v>
      </c>
      <c r="F781" s="8">
        <v>0.2586</v>
      </c>
      <c r="G781" s="8">
        <v>0.26500000000000001</v>
      </c>
      <c r="H781" s="8">
        <v>0.27029999999999998</v>
      </c>
      <c r="I781" s="8">
        <f>I776/I774</f>
        <v>0.27390418973640801</v>
      </c>
    </row>
    <row r="782" spans="1:9">
      <c r="B782" s="1" t="s">
        <v>169</v>
      </c>
    </row>
    <row r="783" spans="1:9">
      <c r="A783" t="s">
        <v>166</v>
      </c>
      <c r="B783" s="1" t="s">
        <v>171</v>
      </c>
      <c r="C783" t="s">
        <v>172</v>
      </c>
    </row>
    <row r="784" spans="1:9">
      <c r="B784" s="1" t="s">
        <v>171</v>
      </c>
      <c r="D784" t="s">
        <v>11</v>
      </c>
      <c r="E784" s="3">
        <v>235</v>
      </c>
      <c r="F784" s="3">
        <v>224</v>
      </c>
      <c r="G784" s="3">
        <v>222</v>
      </c>
      <c r="H784" s="3">
        <v>205</v>
      </c>
      <c r="I784" s="3">
        <f>VLOOKUP(B784,[1]Sheet3!$A$13:$E$198,5,TRUE)</f>
        <v>220</v>
      </c>
    </row>
    <row r="785" spans="1:9">
      <c r="B785" s="1" t="s">
        <v>171</v>
      </c>
      <c r="D785" t="s">
        <v>12</v>
      </c>
      <c r="E785" s="5">
        <v>126991</v>
      </c>
      <c r="F785" s="5">
        <v>135140</v>
      </c>
      <c r="G785" s="5">
        <v>119232</v>
      </c>
      <c r="H785" s="5">
        <v>56332.800000000003</v>
      </c>
      <c r="I785" s="3">
        <f>VLOOKUP(B785,[1]Sheet3!$A$13:$F$198,6,TRUE)</f>
        <v>53867.5</v>
      </c>
    </row>
    <row r="786" spans="1:9">
      <c r="B786" s="1" t="s">
        <v>171</v>
      </c>
      <c r="D786" t="s">
        <v>23</v>
      </c>
      <c r="E786" s="5">
        <v>244540.94</v>
      </c>
      <c r="F786" s="5">
        <v>235319.13</v>
      </c>
      <c r="G786" s="5">
        <v>241112.24</v>
      </c>
      <c r="H786" s="5">
        <v>208005.31</v>
      </c>
      <c r="I786" s="3">
        <f>VLOOKUP(B786,[1]Sheet3!$A$13:$G$198,7,TRUE)</f>
        <v>202563.67</v>
      </c>
    </row>
    <row r="787" spans="1:9">
      <c r="B787" s="1" t="s">
        <v>171</v>
      </c>
      <c r="D787" t="s">
        <v>14</v>
      </c>
      <c r="E787" s="5">
        <v>134963.65999999997</v>
      </c>
      <c r="F787" s="5">
        <v>114628.91999999998</v>
      </c>
      <c r="G787" s="5">
        <v>113546.28</v>
      </c>
      <c r="H787" s="5">
        <v>111524.5</v>
      </c>
      <c r="I787" s="3">
        <f>VLOOKUP(B787,[1]Sheet3!$A$13:$H$198,8,TRUE)</f>
        <v>82098.58</v>
      </c>
    </row>
    <row r="788" spans="1:9">
      <c r="B788" s="1" t="s">
        <v>171</v>
      </c>
      <c r="D788" t="s">
        <v>15</v>
      </c>
      <c r="E788" s="5">
        <v>78416.09</v>
      </c>
      <c r="F788" s="5">
        <v>65425.119999999995</v>
      </c>
      <c r="G788" s="5">
        <v>67989.05</v>
      </c>
      <c r="H788" s="5">
        <v>68140.41</v>
      </c>
      <c r="I788" s="3">
        <f>VLOOKUP(B788,[1]Sheet3!$A$13:$I$198,9,TRUE)</f>
        <v>49275.32</v>
      </c>
    </row>
    <row r="789" spans="1:9">
      <c r="B789" s="1" t="s">
        <v>171</v>
      </c>
      <c r="D789" t="s">
        <v>16</v>
      </c>
      <c r="E789" s="5">
        <v>1040.5999999999999</v>
      </c>
      <c r="F789" s="5">
        <v>1050.53</v>
      </c>
      <c r="G789" s="5">
        <v>1086.0899999999999</v>
      </c>
      <c r="H789" s="5">
        <v>1014.66</v>
      </c>
      <c r="I789" s="5">
        <f>I786/I784</f>
        <v>920.74395454545459</v>
      </c>
    </row>
    <row r="790" spans="1:9">
      <c r="B790" s="1" t="s">
        <v>171</v>
      </c>
      <c r="D790" t="s">
        <v>17</v>
      </c>
      <c r="E790" s="6">
        <v>1.93</v>
      </c>
      <c r="F790" s="6">
        <v>1.74</v>
      </c>
      <c r="G790" s="6">
        <v>2.02</v>
      </c>
      <c r="H790" s="6">
        <v>3.69</v>
      </c>
      <c r="I790" s="7">
        <f>I786/I785</f>
        <v>3.7604059961943661</v>
      </c>
    </row>
    <row r="791" spans="1:9">
      <c r="B791" s="1" t="s">
        <v>171</v>
      </c>
      <c r="D791" t="s">
        <v>18</v>
      </c>
      <c r="E791" s="8">
        <v>0.55189999999999995</v>
      </c>
      <c r="F791" s="8">
        <v>0.48709999999999998</v>
      </c>
      <c r="G791" s="8">
        <v>0.47089999999999999</v>
      </c>
      <c r="H791" s="8">
        <v>0.53620000000000001</v>
      </c>
      <c r="I791" s="8">
        <f>I787/I786</f>
        <v>0.40529765283182317</v>
      </c>
    </row>
    <row r="792" spans="1:9">
      <c r="B792" s="1" t="s">
        <v>171</v>
      </c>
      <c r="D792" t="s">
        <v>19</v>
      </c>
      <c r="E792" s="8">
        <v>0.58099999999999996</v>
      </c>
      <c r="F792" s="8">
        <v>0.57079999999999997</v>
      </c>
      <c r="G792" s="8">
        <v>0.5988</v>
      </c>
      <c r="H792" s="8">
        <v>0.61099999999999999</v>
      </c>
      <c r="I792" s="8">
        <f>I788/I787</f>
        <v>0.60019698270055344</v>
      </c>
    </row>
    <row r="793" spans="1:9">
      <c r="B793" s="1" t="s">
        <v>171</v>
      </c>
      <c r="D793" t="s">
        <v>20</v>
      </c>
      <c r="E793" s="8">
        <v>0.32069999999999999</v>
      </c>
      <c r="F793" s="8">
        <v>0.27800000000000002</v>
      </c>
      <c r="G793" s="8">
        <v>0.28199999999999997</v>
      </c>
      <c r="H793" s="8">
        <v>0.3276</v>
      </c>
      <c r="I793" s="8">
        <f>I788/I786</f>
        <v>0.24325842832527667</v>
      </c>
    </row>
    <row r="794" spans="1:9">
      <c r="B794" s="1" t="s">
        <v>171</v>
      </c>
    </row>
    <row r="795" spans="1:9">
      <c r="A795" t="s">
        <v>173</v>
      </c>
      <c r="B795" s="1" t="s">
        <v>174</v>
      </c>
      <c r="C795" t="s">
        <v>175</v>
      </c>
    </row>
    <row r="796" spans="1:9">
      <c r="B796" s="1" t="s">
        <v>174</v>
      </c>
      <c r="D796" t="s">
        <v>11</v>
      </c>
      <c r="E796" s="3">
        <v>1582</v>
      </c>
      <c r="F796" s="3">
        <v>1581</v>
      </c>
      <c r="G796" s="3">
        <v>1552</v>
      </c>
      <c r="H796" s="3">
        <v>1568</v>
      </c>
      <c r="I796" s="3">
        <f>VLOOKUP(B796,[1]Sheet3!$A$13:$E$198,5,TRUE)</f>
        <v>1609</v>
      </c>
    </row>
    <row r="797" spans="1:9">
      <c r="B797" s="1" t="s">
        <v>174</v>
      </c>
      <c r="D797" t="s">
        <v>12</v>
      </c>
      <c r="E797" s="5">
        <v>266730</v>
      </c>
      <c r="F797" s="5">
        <v>273175</v>
      </c>
      <c r="G797" s="5">
        <v>256476</v>
      </c>
      <c r="H797" s="5">
        <v>254388</v>
      </c>
      <c r="I797" s="3">
        <f>VLOOKUP(B797,[1]Sheet3!$A$13:$F$198,6,TRUE)</f>
        <v>232900</v>
      </c>
    </row>
    <row r="798" spans="1:9">
      <c r="B798" s="1" t="s">
        <v>174</v>
      </c>
      <c r="D798" t="s">
        <v>23</v>
      </c>
      <c r="E798" s="5">
        <v>1079710</v>
      </c>
      <c r="F798" s="5">
        <v>1105561</v>
      </c>
      <c r="G798" s="5">
        <v>1032185</v>
      </c>
      <c r="H798" s="5">
        <v>1006315</v>
      </c>
      <c r="I798" s="3">
        <f>VLOOKUP(B798,[1]Sheet3!$A$13:$G$198,7,TRUE)</f>
        <v>1084668</v>
      </c>
    </row>
    <row r="799" spans="1:9">
      <c r="B799" s="1" t="s">
        <v>174</v>
      </c>
      <c r="D799" t="s">
        <v>14</v>
      </c>
      <c r="E799" s="5">
        <v>432496.12</v>
      </c>
      <c r="F799" s="5">
        <v>442865.9</v>
      </c>
      <c r="G799" s="5">
        <v>442865.9</v>
      </c>
      <c r="H799" s="5">
        <v>413831.45</v>
      </c>
      <c r="I799" s="3">
        <f>VLOOKUP(B799,[1]Sheet3!$A$13:$H$198,8,TRUE)</f>
        <v>425703.19999999995</v>
      </c>
    </row>
    <row r="800" spans="1:9">
      <c r="B800" s="1" t="s">
        <v>174</v>
      </c>
      <c r="D800" t="s">
        <v>15</v>
      </c>
      <c r="E800" s="5">
        <v>251452.16</v>
      </c>
      <c r="F800" s="5">
        <v>261393.87</v>
      </c>
      <c r="G800" s="5">
        <v>265600.44</v>
      </c>
      <c r="H800" s="5">
        <v>250624.63</v>
      </c>
      <c r="I800" s="3">
        <f>VLOOKUP(B800,[1]Sheet3!$A$13:$I$198,9,TRUE)</f>
        <v>263420.15000000002</v>
      </c>
    </row>
    <row r="801" spans="1:9">
      <c r="B801" s="1" t="s">
        <v>174</v>
      </c>
      <c r="D801" t="s">
        <v>16</v>
      </c>
      <c r="E801" s="5">
        <v>682.5</v>
      </c>
      <c r="F801" s="5">
        <v>699.28</v>
      </c>
      <c r="G801" s="5">
        <v>665.07</v>
      </c>
      <c r="H801" s="5">
        <v>641.78</v>
      </c>
      <c r="I801" s="5">
        <f>I798/I796</f>
        <v>674.12554381603479</v>
      </c>
    </row>
    <row r="802" spans="1:9">
      <c r="B802" s="1" t="s">
        <v>174</v>
      </c>
      <c r="D802" t="s">
        <v>17</v>
      </c>
      <c r="E802" s="6">
        <v>4.05</v>
      </c>
      <c r="F802" s="6">
        <v>4.05</v>
      </c>
      <c r="G802" s="6">
        <v>4.0199999999999996</v>
      </c>
      <c r="H802" s="6">
        <v>3.96</v>
      </c>
      <c r="I802" s="7">
        <f>I798/I797</f>
        <v>4.6572262773722626</v>
      </c>
    </row>
    <row r="803" spans="1:9">
      <c r="B803" s="1" t="s">
        <v>174</v>
      </c>
      <c r="D803" t="s">
        <v>18</v>
      </c>
      <c r="E803" s="8">
        <v>0.40060000000000001</v>
      </c>
      <c r="F803" s="8">
        <v>0.40060000000000001</v>
      </c>
      <c r="G803" s="8">
        <v>0.42909999999999998</v>
      </c>
      <c r="H803" s="8">
        <v>0.41120000000000001</v>
      </c>
      <c r="I803" s="8">
        <f>I799/I798</f>
        <v>0.39247327292775297</v>
      </c>
    </row>
    <row r="804" spans="1:9">
      <c r="B804" s="1" t="s">
        <v>174</v>
      </c>
      <c r="D804" t="s">
        <v>19</v>
      </c>
      <c r="E804" s="8">
        <v>0.58140000000000003</v>
      </c>
      <c r="F804" s="8">
        <v>0.59019999999999995</v>
      </c>
      <c r="G804" s="8">
        <v>0.59970000000000001</v>
      </c>
      <c r="H804" s="8">
        <v>0.60560000000000003</v>
      </c>
      <c r="I804" s="8">
        <f>I800/I799</f>
        <v>0.61878827784240298</v>
      </c>
    </row>
    <row r="805" spans="1:9">
      <c r="B805" s="1" t="s">
        <v>174</v>
      </c>
      <c r="D805" t="s">
        <v>20</v>
      </c>
      <c r="E805" s="8">
        <v>0.2329</v>
      </c>
      <c r="F805" s="8">
        <v>0.2364</v>
      </c>
      <c r="G805" s="8">
        <v>0.25729999999999997</v>
      </c>
      <c r="H805" s="8">
        <v>0.24909999999999999</v>
      </c>
      <c r="I805" s="8">
        <f>I800/I798</f>
        <v>0.24285786065413567</v>
      </c>
    </row>
    <row r="806" spans="1:9">
      <c r="B806" s="1" t="s">
        <v>174</v>
      </c>
    </row>
    <row r="807" spans="1:9">
      <c r="A807" t="s">
        <v>173</v>
      </c>
      <c r="B807" s="1" t="s">
        <v>176</v>
      </c>
      <c r="C807" t="s">
        <v>177</v>
      </c>
    </row>
    <row r="808" spans="1:9">
      <c r="B808" s="1" t="s">
        <v>176</v>
      </c>
      <c r="D808" t="s">
        <v>11</v>
      </c>
      <c r="E808" s="3">
        <v>2502</v>
      </c>
      <c r="F808" s="3">
        <v>2359</v>
      </c>
      <c r="G808" s="3">
        <v>2363</v>
      </c>
      <c r="H808" s="3">
        <v>2492</v>
      </c>
      <c r="I808" s="3">
        <f>VLOOKUP(B808,[1]Sheet3!$A$13:$E$198,5,TRUE)</f>
        <v>2428</v>
      </c>
    </row>
    <row r="809" spans="1:9">
      <c r="B809" s="1" t="s">
        <v>176</v>
      </c>
      <c r="D809" t="s">
        <v>12</v>
      </c>
      <c r="E809" s="5">
        <v>351373</v>
      </c>
      <c r="F809" s="5">
        <v>348799.1</v>
      </c>
      <c r="G809" s="5">
        <v>353022</v>
      </c>
      <c r="H809" s="5">
        <v>338708</v>
      </c>
      <c r="I809" s="3">
        <f>VLOOKUP(B809,[1]Sheet3!$A$13:$F$198,6,TRUE)</f>
        <v>315731</v>
      </c>
    </row>
    <row r="810" spans="1:9">
      <c r="B810" s="1" t="s">
        <v>176</v>
      </c>
      <c r="D810" t="s">
        <v>23</v>
      </c>
      <c r="E810" s="5">
        <v>1183935</v>
      </c>
      <c r="F810" s="5">
        <v>1190955</v>
      </c>
      <c r="G810" s="5">
        <v>1155186</v>
      </c>
      <c r="H810" s="5">
        <v>1192139</v>
      </c>
      <c r="I810" s="3">
        <f>VLOOKUP(B810,[1]Sheet3!$A$13:$G$198,7,TRUE)</f>
        <v>1135784</v>
      </c>
    </row>
    <row r="811" spans="1:9">
      <c r="B811" s="1" t="s">
        <v>176</v>
      </c>
      <c r="D811" t="s">
        <v>14</v>
      </c>
      <c r="E811" s="5">
        <v>488994.64</v>
      </c>
      <c r="F811" s="5">
        <v>490727.72</v>
      </c>
      <c r="G811" s="5">
        <v>490727.72</v>
      </c>
      <c r="H811" s="5">
        <v>488601.57999999996</v>
      </c>
      <c r="I811" s="3">
        <f>VLOOKUP(B811,[1]Sheet3!$A$13:$H$198,8,TRUE)</f>
        <v>463759.92000000004</v>
      </c>
    </row>
    <row r="812" spans="1:9">
      <c r="B812" s="1" t="s">
        <v>176</v>
      </c>
      <c r="D812" t="s">
        <v>15</v>
      </c>
      <c r="E812" s="5">
        <v>286970.44999999995</v>
      </c>
      <c r="F812" s="5">
        <v>288697.09999999998</v>
      </c>
      <c r="G812" s="5">
        <v>294304.65999999997</v>
      </c>
      <c r="H812" s="5">
        <v>299225.73</v>
      </c>
      <c r="I812" s="3">
        <f>VLOOKUP(B812,[1]Sheet3!$A$13:$I$198,9,TRUE)</f>
        <v>300924.21999999997</v>
      </c>
    </row>
    <row r="813" spans="1:9">
      <c r="B813" s="1" t="s">
        <v>176</v>
      </c>
      <c r="D813" t="s">
        <v>16</v>
      </c>
      <c r="E813" s="5">
        <v>473.2</v>
      </c>
      <c r="F813" s="5">
        <v>504.86</v>
      </c>
      <c r="G813" s="5">
        <v>488.86</v>
      </c>
      <c r="H813" s="5">
        <v>478.39</v>
      </c>
      <c r="I813" s="5">
        <f>I810/I808</f>
        <v>467.78583196046128</v>
      </c>
    </row>
    <row r="814" spans="1:9">
      <c r="B814" s="1" t="s">
        <v>176</v>
      </c>
      <c r="D814" t="s">
        <v>17</v>
      </c>
      <c r="E814" s="6">
        <v>3.37</v>
      </c>
      <c r="F814" s="6">
        <v>3.41</v>
      </c>
      <c r="G814" s="6">
        <v>3.27</v>
      </c>
      <c r="H814" s="6">
        <v>3.52</v>
      </c>
      <c r="I814" s="7">
        <f>I810/I809</f>
        <v>3.5973154362416109</v>
      </c>
    </row>
    <row r="815" spans="1:9">
      <c r="B815" s="1" t="s">
        <v>176</v>
      </c>
      <c r="D815" t="s">
        <v>18</v>
      </c>
      <c r="E815" s="8">
        <v>0.41299999999999998</v>
      </c>
      <c r="F815" s="8">
        <v>0.41199999999999998</v>
      </c>
      <c r="G815" s="8">
        <v>0.42480000000000001</v>
      </c>
      <c r="H815" s="8">
        <v>0.40989999999999999</v>
      </c>
      <c r="I815" s="8">
        <f>I811/I810</f>
        <v>0.40831700393736842</v>
      </c>
    </row>
    <row r="816" spans="1:9">
      <c r="B816" s="1" t="s">
        <v>176</v>
      </c>
      <c r="D816" t="s">
        <v>19</v>
      </c>
      <c r="E816" s="8">
        <v>0.58689999999999998</v>
      </c>
      <c r="F816" s="8">
        <v>0.58830000000000005</v>
      </c>
      <c r="G816" s="8">
        <v>0.59970000000000001</v>
      </c>
      <c r="H816" s="8">
        <v>0.61240000000000006</v>
      </c>
      <c r="I816" s="8">
        <f>I812/I811</f>
        <v>0.64887931669472421</v>
      </c>
    </row>
    <row r="817" spans="1:9">
      <c r="B817" s="1" t="s">
        <v>176</v>
      </c>
      <c r="D817" t="s">
        <v>20</v>
      </c>
      <c r="E817" s="8">
        <v>0.2424</v>
      </c>
      <c r="F817" s="8">
        <v>0.2424</v>
      </c>
      <c r="G817" s="8">
        <v>0.25480000000000003</v>
      </c>
      <c r="H817" s="8">
        <v>0.251</v>
      </c>
      <c r="I817" s="8">
        <f>I812/I810</f>
        <v>0.2649484585097166</v>
      </c>
    </row>
    <row r="818" spans="1:9">
      <c r="B818" s="1" t="s">
        <v>176</v>
      </c>
    </row>
    <row r="819" spans="1:9">
      <c r="A819" t="s">
        <v>173</v>
      </c>
      <c r="B819" s="1" t="s">
        <v>178</v>
      </c>
      <c r="C819" t="s">
        <v>179</v>
      </c>
    </row>
    <row r="820" spans="1:9">
      <c r="B820" s="1" t="s">
        <v>178</v>
      </c>
      <c r="D820" t="s">
        <v>11</v>
      </c>
      <c r="E820" s="3">
        <v>834</v>
      </c>
      <c r="F820" s="3">
        <v>948</v>
      </c>
      <c r="G820" s="3">
        <v>882</v>
      </c>
      <c r="H820" s="3">
        <v>1454</v>
      </c>
      <c r="I820" s="3">
        <f>VLOOKUP(B820,[1]Sheet3!$A$13:$E$198,5,TRUE)</f>
        <v>1414</v>
      </c>
    </row>
    <row r="821" spans="1:9">
      <c r="B821" s="1" t="s">
        <v>178</v>
      </c>
      <c r="D821" t="s">
        <v>12</v>
      </c>
      <c r="E821" s="5">
        <v>119700</v>
      </c>
      <c r="F821" s="5">
        <v>123900</v>
      </c>
      <c r="G821" s="5">
        <v>86013</v>
      </c>
      <c r="H821" s="5">
        <v>74368</v>
      </c>
      <c r="I821" s="3">
        <f>VLOOKUP(B821,[1]Sheet3!$A$13:$F$198,6,TRUE)</f>
        <v>67392</v>
      </c>
    </row>
    <row r="822" spans="1:9">
      <c r="B822" s="1" t="s">
        <v>178</v>
      </c>
      <c r="D822" t="s">
        <v>23</v>
      </c>
      <c r="E822" s="5">
        <v>387135</v>
      </c>
      <c r="F822" s="5">
        <v>373424.89</v>
      </c>
      <c r="G822" s="5">
        <v>322026</v>
      </c>
      <c r="H822" s="5">
        <v>281982</v>
      </c>
      <c r="I822" s="3">
        <f>VLOOKUP(B822,[1]Sheet3!$A$13:$G$198,7,TRUE)</f>
        <v>200915.69</v>
      </c>
    </row>
    <row r="823" spans="1:9">
      <c r="B823" s="1" t="s">
        <v>178</v>
      </c>
      <c r="D823" t="s">
        <v>14</v>
      </c>
      <c r="E823" s="5">
        <v>161099.60999999999</v>
      </c>
      <c r="F823" s="5">
        <v>161099.60999999999</v>
      </c>
      <c r="G823" s="5">
        <v>146431.32</v>
      </c>
      <c r="H823" s="5">
        <v>119851.36</v>
      </c>
      <c r="I823" s="3">
        <f>VLOOKUP(B823,[1]Sheet3!$A$13:$H$198,8,TRUE)</f>
        <v>84927.41</v>
      </c>
    </row>
    <row r="824" spans="1:9">
      <c r="B824" s="1" t="s">
        <v>178</v>
      </c>
      <c r="D824" t="s">
        <v>15</v>
      </c>
      <c r="E824" s="5">
        <v>94922.4</v>
      </c>
      <c r="F824" s="5">
        <v>94720.37</v>
      </c>
      <c r="G824" s="5">
        <v>86353.569999999992</v>
      </c>
      <c r="H824" s="5">
        <v>70708.84</v>
      </c>
      <c r="I824" s="3">
        <f>VLOOKUP(B824,[1]Sheet3!$A$13:$I$198,9,TRUE)</f>
        <v>68164.760000000009</v>
      </c>
    </row>
    <row r="825" spans="1:9">
      <c r="B825" s="1" t="s">
        <v>178</v>
      </c>
      <c r="D825" t="s">
        <v>16</v>
      </c>
      <c r="E825" s="5">
        <v>464.19</v>
      </c>
      <c r="F825" s="5">
        <v>393.91</v>
      </c>
      <c r="G825" s="5">
        <v>365.11</v>
      </c>
      <c r="H825" s="5">
        <v>193.94</v>
      </c>
      <c r="I825" s="5">
        <f>I822/I820</f>
        <v>142.09030410183877</v>
      </c>
    </row>
    <row r="826" spans="1:9">
      <c r="B826" s="1" t="s">
        <v>178</v>
      </c>
      <c r="D826" t="s">
        <v>17</v>
      </c>
      <c r="E826" s="6">
        <v>3.23</v>
      </c>
      <c r="F826" s="6">
        <v>3.01</v>
      </c>
      <c r="G826" s="6">
        <v>3.74</v>
      </c>
      <c r="H826" s="6">
        <v>3.79</v>
      </c>
      <c r="I826" s="7">
        <f>I822/I821</f>
        <v>2.9812988188509024</v>
      </c>
    </row>
    <row r="827" spans="1:9">
      <c r="B827" s="1" t="s">
        <v>178</v>
      </c>
      <c r="D827" t="s">
        <v>18</v>
      </c>
      <c r="E827" s="8">
        <v>0.41610000000000003</v>
      </c>
      <c r="F827" s="8">
        <v>0.43140000000000001</v>
      </c>
      <c r="G827" s="8">
        <v>0.45469999999999999</v>
      </c>
      <c r="H827" s="8">
        <v>0.42499999999999999</v>
      </c>
      <c r="I827" s="8">
        <f>I823/I822</f>
        <v>0.42270173125851945</v>
      </c>
    </row>
    <row r="828" spans="1:9">
      <c r="B828" s="1" t="s">
        <v>178</v>
      </c>
      <c r="D828" t="s">
        <v>19</v>
      </c>
      <c r="E828" s="8">
        <v>0.58919999999999995</v>
      </c>
      <c r="F828" s="8">
        <v>0.58799999999999997</v>
      </c>
      <c r="G828" s="8">
        <v>0.5897</v>
      </c>
      <c r="H828" s="8">
        <v>0.59</v>
      </c>
      <c r="I828" s="8">
        <f>I824/I823</f>
        <v>0.80262379366096304</v>
      </c>
    </row>
    <row r="829" spans="1:9">
      <c r="B829" s="1" t="s">
        <v>178</v>
      </c>
      <c r="D829" t="s">
        <v>20</v>
      </c>
      <c r="E829" s="8">
        <v>0.2452</v>
      </c>
      <c r="F829" s="8">
        <v>0.25369999999999998</v>
      </c>
      <c r="G829" s="8">
        <v>0.26819999999999999</v>
      </c>
      <c r="H829" s="8">
        <v>0.25080000000000002</v>
      </c>
      <c r="I829" s="8">
        <f>I824/I822</f>
        <v>0.33927046712976977</v>
      </c>
    </row>
    <row r="830" spans="1:9">
      <c r="B830" s="1" t="s">
        <v>178</v>
      </c>
    </row>
    <row r="831" spans="1:9">
      <c r="A831" t="s">
        <v>180</v>
      </c>
      <c r="B831" s="1" t="s">
        <v>181</v>
      </c>
      <c r="C831" t="s">
        <v>182</v>
      </c>
    </row>
    <row r="832" spans="1:9">
      <c r="B832" s="1" t="s">
        <v>181</v>
      </c>
      <c r="D832" t="s">
        <v>11</v>
      </c>
      <c r="E832" s="3">
        <v>246</v>
      </c>
      <c r="F832" s="3">
        <v>247</v>
      </c>
      <c r="G832" s="3">
        <v>289</v>
      </c>
      <c r="H832" s="3">
        <v>312</v>
      </c>
      <c r="I832" s="3">
        <f>VLOOKUP(B832,[1]Sheet3!$A$13:$E$198,5,TRUE)</f>
        <v>331</v>
      </c>
    </row>
    <row r="833" spans="1:9">
      <c r="B833" s="1" t="s">
        <v>181</v>
      </c>
      <c r="D833" t="s">
        <v>12</v>
      </c>
      <c r="E833" s="5">
        <v>19418</v>
      </c>
      <c r="F833" s="5">
        <v>43500</v>
      </c>
      <c r="G833" s="5">
        <v>59250</v>
      </c>
      <c r="H833" s="5">
        <v>71001</v>
      </c>
      <c r="I833" s="3">
        <f>VLOOKUP(B833,[1]Sheet3!$A$13:$F$198,6,TRUE)</f>
        <v>56154</v>
      </c>
    </row>
    <row r="834" spans="1:9">
      <c r="B834" s="1" t="s">
        <v>181</v>
      </c>
      <c r="D834" t="s">
        <v>23</v>
      </c>
      <c r="E834" s="5">
        <v>177648</v>
      </c>
      <c r="F834" s="5">
        <v>155765</v>
      </c>
      <c r="G834" s="5">
        <v>196441</v>
      </c>
      <c r="H834" s="5">
        <v>200805.57</v>
      </c>
      <c r="I834" s="3">
        <f>VLOOKUP(B834,[1]Sheet3!$A$13:$G$198,7,TRUE)</f>
        <v>193740.58</v>
      </c>
    </row>
    <row r="835" spans="1:9">
      <c r="B835" s="1" t="s">
        <v>181</v>
      </c>
      <c r="D835" t="s">
        <v>14</v>
      </c>
      <c r="E835" s="5">
        <v>65032.31</v>
      </c>
      <c r="F835" s="5">
        <v>65032.31</v>
      </c>
      <c r="G835" s="5">
        <v>81372.800000000003</v>
      </c>
      <c r="H835" s="5">
        <v>85793.93</v>
      </c>
      <c r="I835" s="3">
        <f>VLOOKUP(B835,[1]Sheet3!$A$13:$H$198,8,TRUE)</f>
        <v>79682.820000000007</v>
      </c>
    </row>
    <row r="836" spans="1:9">
      <c r="B836" s="1" t="s">
        <v>181</v>
      </c>
      <c r="D836" t="s">
        <v>15</v>
      </c>
      <c r="E836" s="5">
        <v>39631.050000000003</v>
      </c>
      <c r="F836" s="5">
        <v>38236.49</v>
      </c>
      <c r="G836" s="5">
        <v>50434.75</v>
      </c>
      <c r="H836" s="5">
        <v>53036.14</v>
      </c>
      <c r="I836" s="3">
        <f>VLOOKUP(B836,[1]Sheet3!$A$13:$I$198,9,TRUE)</f>
        <v>52839.520000000004</v>
      </c>
    </row>
    <row r="837" spans="1:9">
      <c r="B837" s="1" t="s">
        <v>181</v>
      </c>
      <c r="D837" t="s">
        <v>16</v>
      </c>
      <c r="E837" s="5">
        <v>722.15</v>
      </c>
      <c r="F837" s="5">
        <v>630.63</v>
      </c>
      <c r="G837" s="5">
        <v>679.73</v>
      </c>
      <c r="H837" s="5">
        <v>643.61</v>
      </c>
      <c r="I837" s="5">
        <f>I834/I832</f>
        <v>585.31897280966768</v>
      </c>
    </row>
    <row r="838" spans="1:9">
      <c r="B838" s="1" t="s">
        <v>181</v>
      </c>
      <c r="D838" t="s">
        <v>17</v>
      </c>
      <c r="E838" s="6">
        <v>9.15</v>
      </c>
      <c r="F838" s="6">
        <v>3.58</v>
      </c>
      <c r="G838" s="6">
        <v>3.32</v>
      </c>
      <c r="H838" s="6">
        <v>2.83</v>
      </c>
      <c r="I838" s="7">
        <f>I834/I833</f>
        <v>3.4501652598212056</v>
      </c>
    </row>
    <row r="839" spans="1:9">
      <c r="B839" s="1" t="s">
        <v>181</v>
      </c>
      <c r="D839" t="s">
        <v>18</v>
      </c>
      <c r="E839" s="8">
        <v>0.36609999999999998</v>
      </c>
      <c r="F839" s="8">
        <v>0.41749999999999998</v>
      </c>
      <c r="G839" s="8">
        <v>0.41420000000000001</v>
      </c>
      <c r="H839" s="8">
        <v>0.42720000000000002</v>
      </c>
      <c r="I839" s="8">
        <f>I835/I834</f>
        <v>0.4112861642098935</v>
      </c>
    </row>
    <row r="840" spans="1:9">
      <c r="B840" s="1" t="s">
        <v>181</v>
      </c>
      <c r="D840" t="s">
        <v>19</v>
      </c>
      <c r="E840" s="8">
        <v>0.60940000000000005</v>
      </c>
      <c r="F840" s="8">
        <v>0.58799999999999997</v>
      </c>
      <c r="G840" s="8">
        <v>0.61980000000000002</v>
      </c>
      <c r="H840" s="8">
        <v>0.61819999999999997</v>
      </c>
      <c r="I840" s="8">
        <f>I836/I835</f>
        <v>0.66312311737963092</v>
      </c>
    </row>
    <row r="841" spans="1:9">
      <c r="B841" s="1" t="s">
        <v>181</v>
      </c>
      <c r="D841" t="s">
        <v>20</v>
      </c>
      <c r="E841" s="8">
        <v>0.22309999999999999</v>
      </c>
      <c r="F841" s="8">
        <v>0.2455</v>
      </c>
      <c r="G841" s="8">
        <v>0.25669999999999998</v>
      </c>
      <c r="H841" s="8">
        <v>0.2641</v>
      </c>
      <c r="I841" s="8">
        <f>I836/I834</f>
        <v>0.27273336334597537</v>
      </c>
    </row>
    <row r="842" spans="1:9">
      <c r="B842" s="1" t="s">
        <v>181</v>
      </c>
    </row>
    <row r="843" spans="1:9">
      <c r="A843" t="s">
        <v>183</v>
      </c>
      <c r="B843" s="1" t="s">
        <v>184</v>
      </c>
      <c r="C843" t="s">
        <v>185</v>
      </c>
    </row>
    <row r="844" spans="1:9">
      <c r="B844" s="1" t="s">
        <v>184</v>
      </c>
      <c r="D844" t="s">
        <v>11</v>
      </c>
      <c r="E844" s="3">
        <v>271</v>
      </c>
      <c r="F844" s="3">
        <v>285</v>
      </c>
      <c r="G844" s="3">
        <v>267</v>
      </c>
      <c r="H844" s="3">
        <v>326</v>
      </c>
      <c r="I844" s="3">
        <f>VLOOKUP(B844,[1]Sheet3!$A$13:$E$198,5,TRUE)</f>
        <v>348</v>
      </c>
    </row>
    <row r="845" spans="1:9">
      <c r="B845" s="1" t="s">
        <v>184</v>
      </c>
      <c r="D845" t="s">
        <v>12</v>
      </c>
      <c r="E845" s="5">
        <v>143807.20000000001</v>
      </c>
      <c r="F845" s="5">
        <v>146528</v>
      </c>
      <c r="G845" s="5">
        <v>45206.6</v>
      </c>
      <c r="H845" s="5">
        <v>70149.2</v>
      </c>
      <c r="I845" s="3">
        <f>VLOOKUP(B845,[1]Sheet3!$A$13:$F$198,6,TRUE)</f>
        <v>64809.2</v>
      </c>
    </row>
    <row r="846" spans="1:9">
      <c r="B846" s="1" t="s">
        <v>184</v>
      </c>
      <c r="D846" t="s">
        <v>23</v>
      </c>
      <c r="E846" s="5">
        <v>156356.41</v>
      </c>
      <c r="F846" s="5">
        <v>148607</v>
      </c>
      <c r="G846" s="5">
        <v>124678</v>
      </c>
      <c r="H846" s="5">
        <v>171481</v>
      </c>
      <c r="I846" s="3">
        <f>VLOOKUP(B846,[1]Sheet3!$A$13:$G$198,7,TRUE)</f>
        <v>130882</v>
      </c>
    </row>
    <row r="847" spans="1:9">
      <c r="B847" s="1" t="s">
        <v>184</v>
      </c>
      <c r="D847" t="s">
        <v>14</v>
      </c>
      <c r="E847" s="5">
        <v>88972.18</v>
      </c>
      <c r="F847" s="5">
        <v>88972.18</v>
      </c>
      <c r="G847" s="5">
        <v>87028.83</v>
      </c>
      <c r="H847" s="5">
        <v>75648.38</v>
      </c>
      <c r="I847" s="3">
        <f>VLOOKUP(B847,[1]Sheet3!$A$13:$H$198,8,TRUE)</f>
        <v>60560.180000000008</v>
      </c>
    </row>
    <row r="848" spans="1:9">
      <c r="B848" s="1" t="s">
        <v>184</v>
      </c>
      <c r="D848" t="s">
        <v>15</v>
      </c>
      <c r="E848" s="5">
        <v>52341.34</v>
      </c>
      <c r="F848" s="5">
        <v>52312.22</v>
      </c>
      <c r="G848" s="5">
        <v>51999.69</v>
      </c>
      <c r="H848" s="5">
        <v>45187.360000000001</v>
      </c>
      <c r="I848" s="3">
        <f>VLOOKUP(B848,[1]Sheet3!$A$13:$I$198,9,TRUE)</f>
        <v>46590.990000000005</v>
      </c>
    </row>
    <row r="849" spans="1:9">
      <c r="B849" s="1" t="s">
        <v>184</v>
      </c>
      <c r="D849" t="s">
        <v>16</v>
      </c>
      <c r="E849" s="5">
        <v>576.96</v>
      </c>
      <c r="F849" s="5">
        <v>521.42999999999995</v>
      </c>
      <c r="G849" s="5">
        <v>466.96</v>
      </c>
      <c r="H849" s="5">
        <v>526.02</v>
      </c>
      <c r="I849" s="5">
        <f>I846/I844</f>
        <v>376.09770114942529</v>
      </c>
    </row>
    <row r="850" spans="1:9">
      <c r="B850" s="1" t="s">
        <v>184</v>
      </c>
      <c r="D850" t="s">
        <v>17</v>
      </c>
      <c r="E850" s="6">
        <v>1.0900000000000001</v>
      </c>
      <c r="F850" s="6">
        <v>1.01</v>
      </c>
      <c r="G850" s="6">
        <v>2.76</v>
      </c>
      <c r="H850" s="6">
        <v>2.44</v>
      </c>
      <c r="I850" s="7">
        <f>I846/I845</f>
        <v>2.019497231874487</v>
      </c>
    </row>
    <row r="851" spans="1:9">
      <c r="B851" s="1" t="s">
        <v>184</v>
      </c>
      <c r="D851" t="s">
        <v>18</v>
      </c>
      <c r="E851" s="8">
        <v>0.56899999999999995</v>
      </c>
      <c r="F851" s="8">
        <v>0.59870000000000001</v>
      </c>
      <c r="G851" s="8">
        <v>0.69799999999999995</v>
      </c>
      <c r="H851" s="8">
        <v>0.44109999999999999</v>
      </c>
      <c r="I851" s="8">
        <f>I847/I846</f>
        <v>0.46270824101098706</v>
      </c>
    </row>
    <row r="852" spans="1:9">
      <c r="B852" s="1" t="s">
        <v>184</v>
      </c>
      <c r="D852" t="s">
        <v>19</v>
      </c>
      <c r="E852" s="8">
        <v>0.58830000000000005</v>
      </c>
      <c r="F852" s="8">
        <v>0.58799999999999997</v>
      </c>
      <c r="G852" s="8">
        <v>0.59750000000000003</v>
      </c>
      <c r="H852" s="8">
        <v>0.59730000000000005</v>
      </c>
      <c r="I852" s="8">
        <f>I848/I847</f>
        <v>0.76933374372401142</v>
      </c>
    </row>
    <row r="853" spans="1:9">
      <c r="B853" s="1" t="s">
        <v>184</v>
      </c>
      <c r="D853" t="s">
        <v>20</v>
      </c>
      <c r="E853" s="8">
        <v>0.33479999999999999</v>
      </c>
      <c r="F853" s="8">
        <v>0.35199999999999998</v>
      </c>
      <c r="G853" s="8">
        <v>0.41710000000000003</v>
      </c>
      <c r="H853" s="8">
        <v>0.26350000000000001</v>
      </c>
      <c r="I853" s="8">
        <f>I848/I846</f>
        <v>0.3559770633089348</v>
      </c>
    </row>
    <row r="854" spans="1:9">
      <c r="B854" s="1" t="s">
        <v>184</v>
      </c>
    </row>
    <row r="855" spans="1:9">
      <c r="A855" t="s">
        <v>183</v>
      </c>
      <c r="B855" s="1" t="s">
        <v>186</v>
      </c>
      <c r="C855" t="s">
        <v>187</v>
      </c>
    </row>
    <row r="856" spans="1:9">
      <c r="B856" s="1" t="s">
        <v>186</v>
      </c>
      <c r="D856" t="s">
        <v>11</v>
      </c>
      <c r="E856" s="3">
        <v>811</v>
      </c>
      <c r="F856" s="3">
        <v>856</v>
      </c>
      <c r="G856" s="3">
        <v>773</v>
      </c>
      <c r="H856" s="3">
        <v>981</v>
      </c>
      <c r="I856" s="3">
        <f>VLOOKUP(B856,[1]Sheet3!$A$13:$E$198,5,TRUE)</f>
        <v>1198</v>
      </c>
    </row>
    <row r="857" spans="1:9">
      <c r="B857" s="1" t="s">
        <v>186</v>
      </c>
      <c r="D857" t="s">
        <v>12</v>
      </c>
      <c r="E857" s="5">
        <v>89644</v>
      </c>
      <c r="F857" s="5">
        <v>90301</v>
      </c>
      <c r="G857" s="5">
        <v>88432.2</v>
      </c>
      <c r="H857" s="5">
        <v>90812</v>
      </c>
      <c r="I857" s="3">
        <f>VLOOKUP(B857,[1]Sheet3!$A$13:$F$198,6,TRUE)</f>
        <v>95338</v>
      </c>
    </row>
    <row r="858" spans="1:9">
      <c r="B858" s="1" t="s">
        <v>186</v>
      </c>
      <c r="D858" t="s">
        <v>23</v>
      </c>
      <c r="E858" s="5">
        <v>307636.49</v>
      </c>
      <c r="F858" s="5">
        <v>299404.18</v>
      </c>
      <c r="G858" s="5">
        <v>299799.5</v>
      </c>
      <c r="H858" s="5">
        <v>275993.14</v>
      </c>
      <c r="I858" s="3">
        <f>VLOOKUP(B858,[1]Sheet3!$A$13:$G$198,7,TRUE)</f>
        <v>331628.18</v>
      </c>
    </row>
    <row r="859" spans="1:9">
      <c r="B859" s="1" t="s">
        <v>186</v>
      </c>
      <c r="D859" t="s">
        <v>14</v>
      </c>
      <c r="E859" s="5">
        <v>126646.41</v>
      </c>
      <c r="F859" s="5">
        <v>126646.41</v>
      </c>
      <c r="G859" s="5">
        <v>124022.66999999998</v>
      </c>
      <c r="H859" s="5">
        <v>123688.54000000001</v>
      </c>
      <c r="I859" s="3">
        <f>VLOOKUP(B859,[1]Sheet3!$A$13:$H$198,8,TRUE)</f>
        <v>136198.37</v>
      </c>
    </row>
    <row r="860" spans="1:9">
      <c r="B860" s="1" t="s">
        <v>186</v>
      </c>
      <c r="D860" t="s">
        <v>15</v>
      </c>
      <c r="E860" s="5">
        <v>74291.25</v>
      </c>
      <c r="F860" s="5">
        <v>74463.209999999992</v>
      </c>
      <c r="G860" s="5">
        <v>74118.049999999988</v>
      </c>
      <c r="H860" s="5">
        <v>75769.48</v>
      </c>
      <c r="I860" s="3">
        <f>VLOOKUP(B860,[1]Sheet3!$A$13:$I$198,9,TRUE)</f>
        <v>85183.709999999992</v>
      </c>
    </row>
    <row r="861" spans="1:9">
      <c r="B861" s="1" t="s">
        <v>186</v>
      </c>
      <c r="D861" t="s">
        <v>16</v>
      </c>
      <c r="E861" s="5">
        <v>379.33</v>
      </c>
      <c r="F861" s="5">
        <v>349.77</v>
      </c>
      <c r="G861" s="5">
        <v>387.84</v>
      </c>
      <c r="H861" s="5">
        <v>281.33999999999997</v>
      </c>
      <c r="I861" s="5">
        <f>I858/I856</f>
        <v>276.81818030050084</v>
      </c>
    </row>
    <row r="862" spans="1:9">
      <c r="B862" s="1" t="s">
        <v>186</v>
      </c>
      <c r="D862" t="s">
        <v>17</v>
      </c>
      <c r="E862" s="6">
        <v>3.43</v>
      </c>
      <c r="F862" s="6">
        <v>3.32</v>
      </c>
      <c r="G862" s="6">
        <v>3.39</v>
      </c>
      <c r="H862" s="6">
        <v>3.04</v>
      </c>
      <c r="I862" s="7">
        <f>I858/I857</f>
        <v>3.4784469990979461</v>
      </c>
    </row>
    <row r="863" spans="1:9">
      <c r="B863" s="1" t="s">
        <v>186</v>
      </c>
      <c r="D863" t="s">
        <v>18</v>
      </c>
      <c r="E863" s="8">
        <v>0.41170000000000001</v>
      </c>
      <c r="F863" s="8">
        <v>0.42299999999999999</v>
      </c>
      <c r="G863" s="8">
        <v>0.41370000000000001</v>
      </c>
      <c r="H863" s="8">
        <v>0.44819999999999999</v>
      </c>
      <c r="I863" s="8">
        <f>I859/I858</f>
        <v>0.41069600900623099</v>
      </c>
    </row>
    <row r="864" spans="1:9">
      <c r="B864" s="1" t="s">
        <v>186</v>
      </c>
      <c r="D864" t="s">
        <v>19</v>
      </c>
      <c r="E864" s="8">
        <v>0.58660000000000001</v>
      </c>
      <c r="F864" s="8">
        <v>0.58799999999999997</v>
      </c>
      <c r="G864" s="8">
        <v>0.59760000000000002</v>
      </c>
      <c r="H864" s="8">
        <v>0.61260000000000003</v>
      </c>
      <c r="I864" s="8">
        <f>I860/I859</f>
        <v>0.62543854232616725</v>
      </c>
    </row>
    <row r="865" spans="1:9">
      <c r="B865" s="1" t="s">
        <v>186</v>
      </c>
      <c r="D865" t="s">
        <v>20</v>
      </c>
      <c r="E865" s="8">
        <v>0.24149999999999999</v>
      </c>
      <c r="F865" s="8">
        <v>0.2487</v>
      </c>
      <c r="G865" s="8">
        <v>0.2472</v>
      </c>
      <c r="H865" s="8">
        <v>0.27450000000000002</v>
      </c>
      <c r="I865" s="8">
        <f>I860/I858</f>
        <v>0.25686511321203159</v>
      </c>
    </row>
    <row r="866" spans="1:9">
      <c r="B866" s="1" t="s">
        <v>186</v>
      </c>
    </row>
    <row r="867" spans="1:9">
      <c r="A867" t="s">
        <v>188</v>
      </c>
      <c r="B867" s="1" t="s">
        <v>189</v>
      </c>
      <c r="C867" t="s">
        <v>190</v>
      </c>
    </row>
    <row r="868" spans="1:9">
      <c r="B868" s="1" t="s">
        <v>189</v>
      </c>
      <c r="D868" t="s">
        <v>11</v>
      </c>
      <c r="E868" s="3">
        <v>896</v>
      </c>
      <c r="F868" s="3">
        <v>825</v>
      </c>
      <c r="G868" s="3">
        <v>1766</v>
      </c>
      <c r="H868" s="3">
        <v>1274</v>
      </c>
      <c r="I868" s="3">
        <f>VLOOKUP(B868,[1]Sheet3!$A$13:$E$198,5,TRUE)</f>
        <v>1003</v>
      </c>
    </row>
    <row r="869" spans="1:9">
      <c r="B869" s="1" t="s">
        <v>189</v>
      </c>
      <c r="D869" t="s">
        <v>12</v>
      </c>
      <c r="E869" s="5">
        <v>153552</v>
      </c>
      <c r="F869" s="5">
        <v>138936</v>
      </c>
      <c r="G869" s="5">
        <v>143976</v>
      </c>
      <c r="H869" s="5">
        <v>138210</v>
      </c>
      <c r="I869" s="3">
        <f>VLOOKUP(B869,[1]Sheet3!$A$13:$F$198,6,TRUE)</f>
        <v>152019</v>
      </c>
    </row>
    <row r="870" spans="1:9">
      <c r="B870" s="1" t="s">
        <v>189</v>
      </c>
      <c r="D870" t="s">
        <v>23</v>
      </c>
      <c r="E870" s="5">
        <v>416710.24</v>
      </c>
      <c r="F870" s="5">
        <v>443845.75</v>
      </c>
      <c r="G870" s="5">
        <v>456040.68</v>
      </c>
      <c r="H870" s="5">
        <v>454317.72</v>
      </c>
      <c r="I870" s="3">
        <f>VLOOKUP(B870,[1]Sheet3!$A$13:$G$198,7,TRUE)</f>
        <v>382339.22</v>
      </c>
    </row>
    <row r="871" spans="1:9">
      <c r="B871" s="1" t="s">
        <v>189</v>
      </c>
      <c r="D871" t="s">
        <v>14</v>
      </c>
      <c r="E871" s="5">
        <v>179594.45</v>
      </c>
      <c r="F871" s="5">
        <v>185124.88999999998</v>
      </c>
      <c r="G871" s="5">
        <v>190517.50999999998</v>
      </c>
      <c r="H871" s="5">
        <v>190517.50999999998</v>
      </c>
      <c r="I871" s="3">
        <f>VLOOKUP(B871,[1]Sheet3!$A$13:$H$198,8,TRUE)</f>
        <v>167569.07</v>
      </c>
    </row>
    <row r="872" spans="1:9">
      <c r="B872" s="1" t="s">
        <v>189</v>
      </c>
      <c r="D872" t="s">
        <v>15</v>
      </c>
      <c r="E872" s="5">
        <v>104471.19</v>
      </c>
      <c r="F872" s="5">
        <v>109382.70999999999</v>
      </c>
      <c r="G872" s="5">
        <v>114798.17</v>
      </c>
      <c r="H872" s="5">
        <v>116760.88</v>
      </c>
      <c r="I872" s="3">
        <f>VLOOKUP(B872,[1]Sheet3!$A$13:$I$198,9,TRUE)</f>
        <v>115878.03</v>
      </c>
    </row>
    <row r="873" spans="1:9">
      <c r="B873" s="1" t="s">
        <v>189</v>
      </c>
      <c r="D873" t="s">
        <v>16</v>
      </c>
      <c r="E873" s="5">
        <v>465.08</v>
      </c>
      <c r="F873" s="5">
        <v>537.99</v>
      </c>
      <c r="G873" s="5">
        <v>258.23</v>
      </c>
      <c r="H873" s="5">
        <v>356.61</v>
      </c>
      <c r="I873" s="5">
        <f>I870/I868</f>
        <v>381.19563310069788</v>
      </c>
    </row>
    <row r="874" spans="1:9">
      <c r="B874" s="1" t="s">
        <v>189</v>
      </c>
      <c r="D874" t="s">
        <v>17</v>
      </c>
      <c r="E874" s="6">
        <v>2.71</v>
      </c>
      <c r="F874" s="6">
        <v>3.19</v>
      </c>
      <c r="G874" s="6">
        <v>3.17</v>
      </c>
      <c r="H874" s="6">
        <v>3.29</v>
      </c>
      <c r="I874" s="7">
        <f>I870/I869</f>
        <v>2.5150752208605502</v>
      </c>
    </row>
    <row r="875" spans="1:9">
      <c r="B875" s="1" t="s">
        <v>189</v>
      </c>
      <c r="D875" t="s">
        <v>18</v>
      </c>
      <c r="E875" s="8">
        <v>0.43099999999999999</v>
      </c>
      <c r="F875" s="8">
        <v>0.41710000000000003</v>
      </c>
      <c r="G875" s="8">
        <v>0.4178</v>
      </c>
      <c r="H875" s="8">
        <v>0.41930000000000001</v>
      </c>
      <c r="I875" s="8">
        <f>I871/I870</f>
        <v>0.43827329563522155</v>
      </c>
    </row>
    <row r="876" spans="1:9">
      <c r="B876" s="1" t="s">
        <v>189</v>
      </c>
      <c r="D876" t="s">
        <v>19</v>
      </c>
      <c r="E876" s="8">
        <v>0.58169999999999999</v>
      </c>
      <c r="F876" s="8">
        <v>0.59089999999999998</v>
      </c>
      <c r="G876" s="8">
        <v>0.60260000000000002</v>
      </c>
      <c r="H876" s="8">
        <v>0.6129</v>
      </c>
      <c r="I876" s="8">
        <f>I872/I871</f>
        <v>0.69152397873903571</v>
      </c>
    </row>
    <row r="877" spans="1:9">
      <c r="B877" s="1" t="s">
        <v>189</v>
      </c>
      <c r="D877" t="s">
        <v>20</v>
      </c>
      <c r="E877" s="8">
        <v>0.25069999999999998</v>
      </c>
      <c r="F877" s="8">
        <v>0.24640000000000001</v>
      </c>
      <c r="G877" s="8">
        <v>0.25169999999999998</v>
      </c>
      <c r="H877" s="8">
        <v>0.25700000000000001</v>
      </c>
      <c r="I877" s="8">
        <f>I872/I870</f>
        <v>0.3030764931727381</v>
      </c>
    </row>
    <row r="878" spans="1:9">
      <c r="B878" s="1" t="s">
        <v>189</v>
      </c>
    </row>
    <row r="879" spans="1:9">
      <c r="A879" t="s">
        <v>191</v>
      </c>
      <c r="B879" s="1" t="s">
        <v>192</v>
      </c>
      <c r="C879" t="s">
        <v>193</v>
      </c>
    </row>
    <row r="880" spans="1:9">
      <c r="B880" s="1" t="s">
        <v>192</v>
      </c>
      <c r="D880" t="s">
        <v>11</v>
      </c>
      <c r="E880" s="3">
        <v>21</v>
      </c>
      <c r="F880" s="3">
        <v>13</v>
      </c>
      <c r="G880" s="3">
        <v>15</v>
      </c>
      <c r="H880" s="3">
        <v>11</v>
      </c>
      <c r="I880" s="3">
        <f>VLOOKUP(B880,[1]Sheet3!$A$13:$E$198,5,TRUE)</f>
        <v>6</v>
      </c>
    </row>
    <row r="881" spans="1:9">
      <c r="B881" s="1" t="s">
        <v>192</v>
      </c>
      <c r="D881" t="s">
        <v>12</v>
      </c>
      <c r="E881" s="5">
        <v>38808</v>
      </c>
      <c r="F881" s="5">
        <v>38160</v>
      </c>
      <c r="G881" s="5">
        <v>18868.2</v>
      </c>
      <c r="H881" s="5">
        <v>30107.7</v>
      </c>
      <c r="I881" s="3">
        <f>VLOOKUP(B881,[1]Sheet3!$A$13:$F$198,6,TRUE)</f>
        <v>35046</v>
      </c>
    </row>
    <row r="882" spans="1:9">
      <c r="B882" s="1" t="s">
        <v>192</v>
      </c>
      <c r="D882" t="s">
        <v>23</v>
      </c>
      <c r="E882" s="5">
        <v>38295.519999999997</v>
      </c>
      <c r="F882" s="5">
        <v>23150.78</v>
      </c>
      <c r="G882" s="5">
        <v>19245.25</v>
      </c>
      <c r="H882" s="5">
        <v>30225.58</v>
      </c>
      <c r="I882" s="3">
        <f>VLOOKUP(B882,[1]Sheet3!$A$13:$G$198,7,TRUE)</f>
        <v>21662.71</v>
      </c>
    </row>
    <row r="883" spans="1:9">
      <c r="B883" s="1" t="s">
        <v>192</v>
      </c>
      <c r="D883" t="s">
        <v>14</v>
      </c>
      <c r="E883" s="5">
        <v>22689.55</v>
      </c>
      <c r="F883" s="5">
        <v>22689.55</v>
      </c>
      <c r="G883" s="5">
        <v>17397.740000000002</v>
      </c>
      <c r="H883" s="5">
        <v>17777.41</v>
      </c>
      <c r="I883" s="3">
        <f>VLOOKUP(B883,[1]Sheet3!$A$13:$H$198,8,TRUE)</f>
        <v>16113.880000000001</v>
      </c>
    </row>
    <row r="884" spans="1:9">
      <c r="B884" s="1" t="s">
        <v>192</v>
      </c>
      <c r="D884" t="s">
        <v>15</v>
      </c>
      <c r="E884" s="5">
        <v>13187.17</v>
      </c>
      <c r="F884" s="5">
        <v>13340.58</v>
      </c>
      <c r="G884" s="5">
        <v>9905.14</v>
      </c>
      <c r="H884" s="5">
        <v>10934.28</v>
      </c>
      <c r="I884" s="3">
        <f>VLOOKUP(B884,[1]Sheet3!$A$13:$I$198,9,TRUE)</f>
        <v>10948.91</v>
      </c>
    </row>
    <row r="885" spans="1:9">
      <c r="B885" s="1" t="s">
        <v>192</v>
      </c>
      <c r="D885" t="s">
        <v>16</v>
      </c>
      <c r="E885" s="5">
        <v>1823.6</v>
      </c>
      <c r="F885" s="5">
        <v>1780.83</v>
      </c>
      <c r="G885" s="5">
        <v>1283.02</v>
      </c>
      <c r="H885" s="5">
        <v>2747.78</v>
      </c>
      <c r="I885" s="5">
        <f>I882/I880</f>
        <v>3610.4516666666664</v>
      </c>
    </row>
    <row r="886" spans="1:9">
      <c r="B886" s="1" t="s">
        <v>192</v>
      </c>
      <c r="D886" t="s">
        <v>17</v>
      </c>
      <c r="E886" s="6">
        <v>0.99</v>
      </c>
      <c r="F886" s="6">
        <v>0.61</v>
      </c>
      <c r="G886" s="6">
        <v>1.02</v>
      </c>
      <c r="H886" s="6">
        <v>1</v>
      </c>
      <c r="I886" s="7">
        <f>I882/I881</f>
        <v>0.6181221822747246</v>
      </c>
    </row>
    <row r="887" spans="1:9">
      <c r="B887" s="1" t="s">
        <v>192</v>
      </c>
      <c r="D887" t="s">
        <v>18</v>
      </c>
      <c r="E887" s="8">
        <v>0.59250000000000003</v>
      </c>
      <c r="F887" s="8">
        <v>0.98009999999999997</v>
      </c>
      <c r="G887" s="8">
        <v>0.90400000000000003</v>
      </c>
      <c r="H887" s="8">
        <v>0.58819999999999995</v>
      </c>
      <c r="I887" s="8">
        <f>I883/I882</f>
        <v>0.74385337753217406</v>
      </c>
    </row>
    <row r="888" spans="1:9">
      <c r="B888" s="1" t="s">
        <v>192</v>
      </c>
      <c r="D888" t="s">
        <v>19</v>
      </c>
      <c r="E888" s="8">
        <v>0.58120000000000005</v>
      </c>
      <c r="F888" s="8">
        <v>0.58799999999999997</v>
      </c>
      <c r="G888" s="8">
        <v>0.56930000000000003</v>
      </c>
      <c r="H888" s="8">
        <v>0.61509999999999998</v>
      </c>
      <c r="I888" s="8">
        <f>I884/I883</f>
        <v>0.67947074199385871</v>
      </c>
    </row>
    <row r="889" spans="1:9">
      <c r="B889" s="1" t="s">
        <v>192</v>
      </c>
      <c r="D889" t="s">
        <v>20</v>
      </c>
      <c r="E889" s="8">
        <v>0.34439999999999998</v>
      </c>
      <c r="F889" s="8">
        <v>0.57620000000000005</v>
      </c>
      <c r="G889" s="8">
        <v>0.51470000000000005</v>
      </c>
      <c r="H889" s="8">
        <v>0.36180000000000001</v>
      </c>
      <c r="I889" s="8">
        <f>I884/I882</f>
        <v>0.50542660636642411</v>
      </c>
    </row>
    <row r="890" spans="1:9">
      <c r="B890" s="1" t="s">
        <v>192</v>
      </c>
    </row>
    <row r="891" spans="1:9">
      <c r="A891" t="s">
        <v>194</v>
      </c>
      <c r="B891" s="1" t="s">
        <v>195</v>
      </c>
      <c r="C891" t="s">
        <v>196</v>
      </c>
    </row>
    <row r="892" spans="1:9">
      <c r="B892" s="1" t="s">
        <v>195</v>
      </c>
      <c r="D892" t="s">
        <v>11</v>
      </c>
      <c r="E892" s="3">
        <v>267</v>
      </c>
      <c r="F892" s="3">
        <v>242</v>
      </c>
      <c r="G892" s="3">
        <v>239</v>
      </c>
      <c r="H892" s="3">
        <v>84</v>
      </c>
      <c r="I892" s="3">
        <f>VLOOKUP(B892,[1]Sheet3!$A$13:$E$198,5,TRUE)</f>
        <v>104</v>
      </c>
    </row>
    <row r="893" spans="1:9">
      <c r="B893" s="1" t="s">
        <v>195</v>
      </c>
      <c r="D893" t="s">
        <v>12</v>
      </c>
      <c r="E893" s="5">
        <v>111888</v>
      </c>
      <c r="F893" s="5">
        <v>84490</v>
      </c>
      <c r="G893" s="5">
        <v>63492</v>
      </c>
      <c r="H893" s="5">
        <v>63036</v>
      </c>
      <c r="I893" s="3">
        <f>VLOOKUP(B893,[1]Sheet3!$A$13:$F$198,6,TRUE)</f>
        <v>75744</v>
      </c>
    </row>
    <row r="894" spans="1:9">
      <c r="B894" s="1" t="s">
        <v>195</v>
      </c>
      <c r="D894" t="s">
        <v>23</v>
      </c>
      <c r="E894" s="5">
        <v>185586.41</v>
      </c>
      <c r="F894" s="5">
        <v>173383.39</v>
      </c>
      <c r="G894" s="5">
        <v>181606.39999999999</v>
      </c>
      <c r="H894" s="5">
        <v>204164.59</v>
      </c>
      <c r="I894" s="3">
        <f>VLOOKUP(B894,[1]Sheet3!$A$13:$G$198,7,TRUE)</f>
        <v>205086.41</v>
      </c>
    </row>
    <row r="895" spans="1:9">
      <c r="B895" s="1" t="s">
        <v>195</v>
      </c>
      <c r="D895" t="s">
        <v>14</v>
      </c>
      <c r="E895" s="5">
        <v>90878.709999999992</v>
      </c>
      <c r="F895" s="5">
        <v>90878.709999999992</v>
      </c>
      <c r="G895" s="5">
        <v>79884.149999999994</v>
      </c>
      <c r="H895" s="5">
        <v>84936.92</v>
      </c>
      <c r="I895" s="3">
        <f>VLOOKUP(B895,[1]Sheet3!$A$13:$H$198,8,TRUE)</f>
        <v>88431.66</v>
      </c>
    </row>
    <row r="896" spans="1:9">
      <c r="B896" s="1" t="s">
        <v>195</v>
      </c>
      <c r="D896" t="s">
        <v>15</v>
      </c>
      <c r="E896" s="5">
        <v>53053.42</v>
      </c>
      <c r="F896" s="5">
        <v>53433.180000000008</v>
      </c>
      <c r="G896" s="5">
        <v>46810.29</v>
      </c>
      <c r="H896" s="5">
        <v>52576.100000000006</v>
      </c>
      <c r="I896" s="3">
        <f>VLOOKUP(B896,[1]Sheet3!$A$13:$I$198,9,TRUE)</f>
        <v>54827.42</v>
      </c>
    </row>
    <row r="897" spans="1:9">
      <c r="B897" s="1" t="s">
        <v>195</v>
      </c>
      <c r="D897" t="s">
        <v>16</v>
      </c>
      <c r="E897" s="5">
        <v>695.08</v>
      </c>
      <c r="F897" s="5">
        <v>716.46</v>
      </c>
      <c r="G897" s="5">
        <v>759.86</v>
      </c>
      <c r="H897" s="5">
        <v>2430.5300000000002</v>
      </c>
      <c r="I897" s="5">
        <f>I894/I892</f>
        <v>1971.9847115384616</v>
      </c>
    </row>
    <row r="898" spans="1:9">
      <c r="B898" s="1" t="s">
        <v>195</v>
      </c>
      <c r="D898" t="s">
        <v>17</v>
      </c>
      <c r="E898" s="6">
        <v>1.66</v>
      </c>
      <c r="F898" s="6">
        <v>2.0499999999999998</v>
      </c>
      <c r="G898" s="6">
        <v>2.86</v>
      </c>
      <c r="H898" s="6">
        <v>3.24</v>
      </c>
      <c r="I898" s="7">
        <f>I894/I893</f>
        <v>2.7076258185466835</v>
      </c>
    </row>
    <row r="899" spans="1:9">
      <c r="B899" s="1" t="s">
        <v>195</v>
      </c>
      <c r="D899" t="s">
        <v>18</v>
      </c>
      <c r="E899" s="8">
        <v>0.48970000000000002</v>
      </c>
      <c r="F899" s="8">
        <v>0.52410000000000001</v>
      </c>
      <c r="G899" s="8">
        <v>0.43990000000000001</v>
      </c>
      <c r="H899" s="8">
        <v>0.41599999999999998</v>
      </c>
      <c r="I899" s="8">
        <f>I895/I894</f>
        <v>0.4311921984494243</v>
      </c>
    </row>
    <row r="900" spans="1:9">
      <c r="B900" s="1" t="s">
        <v>195</v>
      </c>
      <c r="D900" t="s">
        <v>19</v>
      </c>
      <c r="E900" s="8">
        <v>0.58379999999999999</v>
      </c>
      <c r="F900" s="8">
        <v>0.58799999999999997</v>
      </c>
      <c r="G900" s="8">
        <v>0.58599999999999997</v>
      </c>
      <c r="H900" s="8">
        <v>0.61899999999999999</v>
      </c>
      <c r="I900" s="8">
        <f>I896/I895</f>
        <v>0.61999763433141475</v>
      </c>
    </row>
    <row r="901" spans="1:9">
      <c r="B901" s="1" t="s">
        <v>195</v>
      </c>
      <c r="D901" t="s">
        <v>20</v>
      </c>
      <c r="E901" s="8">
        <v>0.28589999999999999</v>
      </c>
      <c r="F901" s="8">
        <v>0.30819999999999997</v>
      </c>
      <c r="G901" s="8">
        <v>0.25779999999999997</v>
      </c>
      <c r="H901" s="8">
        <v>0.25750000000000001</v>
      </c>
      <c r="I901" s="8">
        <f>I896/I894</f>
        <v>0.26733814298080499</v>
      </c>
    </row>
    <row r="902" spans="1:9">
      <c r="B902" s="1" t="s">
        <v>195</v>
      </c>
    </row>
    <row r="903" spans="1:9">
      <c r="A903" t="s">
        <v>194</v>
      </c>
      <c r="B903" s="1" t="s">
        <v>197</v>
      </c>
      <c r="C903" t="s">
        <v>198</v>
      </c>
    </row>
    <row r="904" spans="1:9">
      <c r="B904" s="1" t="s">
        <v>197</v>
      </c>
      <c r="D904" t="s">
        <v>11</v>
      </c>
      <c r="E904" s="3">
        <v>56</v>
      </c>
      <c r="F904" s="3">
        <v>63</v>
      </c>
      <c r="G904" s="3">
        <v>29</v>
      </c>
      <c r="H904" s="3">
        <v>37</v>
      </c>
      <c r="I904" s="3">
        <f>VLOOKUP(B904,[1]Sheet3!$A$13:$E$198,5,TRUE)</f>
        <v>37</v>
      </c>
    </row>
    <row r="905" spans="1:9">
      <c r="B905" s="1" t="s">
        <v>197</v>
      </c>
      <c r="D905" t="s">
        <v>12</v>
      </c>
      <c r="E905" s="5">
        <v>36540</v>
      </c>
      <c r="F905" s="5">
        <v>38135</v>
      </c>
      <c r="G905" s="5">
        <v>27988.5</v>
      </c>
      <c r="H905" s="5">
        <v>26424</v>
      </c>
      <c r="I905" s="3">
        <f>VLOOKUP(B905,[1]Sheet3!$A$13:$F$198,6,TRUE)</f>
        <v>29725</v>
      </c>
    </row>
    <row r="906" spans="1:9">
      <c r="B906" s="1" t="s">
        <v>197</v>
      </c>
      <c r="D906" t="s">
        <v>23</v>
      </c>
      <c r="E906" s="5">
        <v>28914</v>
      </c>
      <c r="F906" s="5">
        <v>43639</v>
      </c>
      <c r="G906" s="5">
        <v>59639.66</v>
      </c>
      <c r="H906" s="5">
        <v>53179.92</v>
      </c>
      <c r="I906" s="3">
        <f>VLOOKUP(B906,[1]Sheet3!$A$13:$G$198,7,TRUE)</f>
        <v>92881.82</v>
      </c>
    </row>
    <row r="907" spans="1:9">
      <c r="B907" s="1" t="s">
        <v>197</v>
      </c>
      <c r="D907" t="s">
        <v>14</v>
      </c>
      <c r="E907" s="5">
        <v>21185.56</v>
      </c>
      <c r="F907" s="5">
        <v>24330.84</v>
      </c>
      <c r="G907" s="5">
        <v>27209.230000000003</v>
      </c>
      <c r="H907" s="5">
        <v>27209.230000000003</v>
      </c>
      <c r="I907" s="3">
        <f>VLOOKUP(B907,[1]Sheet3!$A$13:$H$198,8,TRUE)</f>
        <v>38903.229999999996</v>
      </c>
    </row>
    <row r="908" spans="1:9">
      <c r="B908" s="1" t="s">
        <v>197</v>
      </c>
      <c r="D908" t="s">
        <v>15</v>
      </c>
      <c r="E908" s="5">
        <v>12309.16</v>
      </c>
      <c r="F908" s="5">
        <v>14610.66</v>
      </c>
      <c r="G908" s="5">
        <v>16605.870000000003</v>
      </c>
      <c r="H908" s="5">
        <v>16675.5</v>
      </c>
      <c r="I908" s="3">
        <f>VLOOKUP(B908,[1]Sheet3!$A$13:$I$198,9,TRUE)</f>
        <v>25175.909999999996</v>
      </c>
    </row>
    <row r="909" spans="1:9">
      <c r="B909" s="1" t="s">
        <v>197</v>
      </c>
      <c r="D909" t="s">
        <v>16</v>
      </c>
      <c r="E909" s="5">
        <v>516.32000000000005</v>
      </c>
      <c r="F909" s="5">
        <v>692.68</v>
      </c>
      <c r="G909" s="5">
        <v>2056.54</v>
      </c>
      <c r="H909" s="5">
        <v>1437.3</v>
      </c>
      <c r="I909" s="5">
        <f>I906/I904</f>
        <v>2510.3194594594597</v>
      </c>
    </row>
    <row r="910" spans="1:9">
      <c r="B910" s="1" t="s">
        <v>197</v>
      </c>
      <c r="D910" t="s">
        <v>17</v>
      </c>
      <c r="E910" s="6">
        <v>0.79</v>
      </c>
      <c r="F910" s="6">
        <v>1.1399999999999999</v>
      </c>
      <c r="G910" s="6">
        <v>2.13</v>
      </c>
      <c r="H910" s="6">
        <v>2.0099999999999998</v>
      </c>
      <c r="I910" s="7">
        <f>I906/I905</f>
        <v>3.1247037846930197</v>
      </c>
    </row>
    <row r="911" spans="1:9">
      <c r="B911" s="1" t="s">
        <v>197</v>
      </c>
      <c r="D911" t="s">
        <v>18</v>
      </c>
      <c r="E911" s="8">
        <v>0.73270000000000002</v>
      </c>
      <c r="F911" s="8">
        <v>0.5575</v>
      </c>
      <c r="G911" s="8">
        <v>0.45619999999999999</v>
      </c>
      <c r="H911" s="8">
        <v>0.51160000000000005</v>
      </c>
      <c r="I911" s="8">
        <f>I907/I906</f>
        <v>0.41884655145646366</v>
      </c>
    </row>
    <row r="912" spans="1:9">
      <c r="B912" s="1" t="s">
        <v>197</v>
      </c>
      <c r="D912" t="s">
        <v>19</v>
      </c>
      <c r="E912" s="8">
        <v>0.58099999999999996</v>
      </c>
      <c r="F912" s="8">
        <v>0.60050000000000003</v>
      </c>
      <c r="G912" s="8">
        <v>0.61029999999999995</v>
      </c>
      <c r="H912" s="8">
        <v>0.6129</v>
      </c>
      <c r="I912" s="8">
        <f>I908/I907</f>
        <v>0.64714189541588185</v>
      </c>
    </row>
    <row r="913" spans="1:9">
      <c r="B913" s="1" t="s">
        <v>197</v>
      </c>
      <c r="D913" t="s">
        <v>20</v>
      </c>
      <c r="E913" s="8">
        <v>0.42570000000000002</v>
      </c>
      <c r="F913" s="8">
        <v>0.33479999999999999</v>
      </c>
      <c r="G913" s="8">
        <v>0.27839999999999998</v>
      </c>
      <c r="H913" s="8">
        <v>0.31359999999999999</v>
      </c>
      <c r="I913" s="8">
        <f>I908/I906</f>
        <v>0.2710531511979416</v>
      </c>
    </row>
    <row r="914" spans="1:9">
      <c r="B914" s="1" t="s">
        <v>197</v>
      </c>
    </row>
    <row r="915" spans="1:9">
      <c r="A915" t="s">
        <v>199</v>
      </c>
      <c r="B915" s="1" t="s">
        <v>200</v>
      </c>
      <c r="C915" t="s">
        <v>201</v>
      </c>
    </row>
    <row r="916" spans="1:9">
      <c r="B916" s="1" t="s">
        <v>200</v>
      </c>
      <c r="D916" t="s">
        <v>11</v>
      </c>
      <c r="E916" s="3">
        <v>57</v>
      </c>
      <c r="F916" s="3">
        <v>29</v>
      </c>
      <c r="G916" s="3">
        <v>24</v>
      </c>
      <c r="H916" s="3">
        <v>29</v>
      </c>
      <c r="I916" s="3">
        <f>VLOOKUP(B916,[1]Sheet3!$A$13:$E$198,5,TRUE)</f>
        <v>77</v>
      </c>
    </row>
    <row r="917" spans="1:9">
      <c r="B917" s="1" t="s">
        <v>200</v>
      </c>
      <c r="D917" t="s">
        <v>12</v>
      </c>
      <c r="E917" s="5">
        <v>123521</v>
      </c>
      <c r="F917" s="5">
        <v>85248</v>
      </c>
      <c r="G917" s="5">
        <v>95164</v>
      </c>
      <c r="H917" s="5">
        <v>109520</v>
      </c>
      <c r="I917" s="3">
        <f>VLOOKUP(B917,[1]Sheet3!$A$13:$F$198,6,TRUE)</f>
        <v>93032.8</v>
      </c>
    </row>
    <row r="918" spans="1:9">
      <c r="B918" s="1" t="s">
        <v>200</v>
      </c>
      <c r="D918" t="s">
        <v>23</v>
      </c>
      <c r="E918" s="5">
        <v>80177.62</v>
      </c>
      <c r="F918" s="5">
        <v>100975.13</v>
      </c>
      <c r="G918" s="5">
        <v>75300.17</v>
      </c>
      <c r="H918" s="5">
        <v>69524.56</v>
      </c>
      <c r="I918" s="3">
        <f>VLOOKUP(B918,[1]Sheet3!$A$13:$G$198,7,TRUE)</f>
        <v>104301</v>
      </c>
    </row>
    <row r="919" spans="1:9">
      <c r="B919" s="1" t="s">
        <v>200</v>
      </c>
      <c r="D919" t="s">
        <v>14</v>
      </c>
      <c r="E919" s="5">
        <v>58090.05</v>
      </c>
      <c r="F919" s="5">
        <v>58090.05</v>
      </c>
      <c r="G919" s="5">
        <v>55549.3</v>
      </c>
      <c r="H919" s="5">
        <v>50975.53</v>
      </c>
      <c r="I919" s="3">
        <f>VLOOKUP(B919,[1]Sheet3!$A$13:$H$198,8,TRUE)</f>
        <v>58625.35</v>
      </c>
    </row>
    <row r="920" spans="1:9">
      <c r="B920" s="1" t="s">
        <v>200</v>
      </c>
      <c r="D920" t="s">
        <v>15</v>
      </c>
      <c r="E920" s="5">
        <v>33265.65</v>
      </c>
      <c r="F920" s="5">
        <v>34154.71</v>
      </c>
      <c r="G920" s="5">
        <v>33060.740000000005</v>
      </c>
      <c r="H920" s="5">
        <v>30768.87</v>
      </c>
      <c r="I920" s="3">
        <f>VLOOKUP(B920,[1]Sheet3!$A$13:$I$198,9,TRUE)</f>
        <v>36902.06</v>
      </c>
    </row>
    <row r="921" spans="1:9">
      <c r="B921" s="1" t="s">
        <v>200</v>
      </c>
      <c r="D921" t="s">
        <v>16</v>
      </c>
      <c r="E921" s="5">
        <v>1406.62</v>
      </c>
      <c r="F921" s="5">
        <v>3481.9</v>
      </c>
      <c r="G921" s="5">
        <v>3137.51</v>
      </c>
      <c r="H921" s="5">
        <v>2397.4</v>
      </c>
      <c r="I921" s="5">
        <f>I918/I916</f>
        <v>1354.5584415584415</v>
      </c>
    </row>
    <row r="922" spans="1:9">
      <c r="B922" s="1" t="s">
        <v>200</v>
      </c>
      <c r="D922" t="s">
        <v>17</v>
      </c>
      <c r="E922" s="6">
        <v>0.65</v>
      </c>
      <c r="F922" s="6">
        <v>1.18</v>
      </c>
      <c r="G922" s="6">
        <v>0.79</v>
      </c>
      <c r="H922" s="6">
        <v>0.63</v>
      </c>
      <c r="I922" s="7">
        <f>I918/I917</f>
        <v>1.1211207230138187</v>
      </c>
    </row>
    <row r="923" spans="1:9">
      <c r="B923" s="1" t="s">
        <v>200</v>
      </c>
      <c r="D923" t="s">
        <v>18</v>
      </c>
      <c r="E923" s="8">
        <v>0.72450000000000003</v>
      </c>
      <c r="F923" s="8">
        <v>0.57530000000000003</v>
      </c>
      <c r="G923" s="8">
        <v>0.73770000000000002</v>
      </c>
      <c r="H923" s="8">
        <v>0.73319999999999996</v>
      </c>
      <c r="I923" s="8">
        <f>I919/I918</f>
        <v>0.56207850356180666</v>
      </c>
    </row>
    <row r="924" spans="1:9">
      <c r="B924" s="1" t="s">
        <v>200</v>
      </c>
      <c r="D924" t="s">
        <v>19</v>
      </c>
      <c r="E924" s="8">
        <v>0.57269999999999999</v>
      </c>
      <c r="F924" s="8">
        <v>0.58799999999999997</v>
      </c>
      <c r="G924" s="8">
        <v>0.59519999999999995</v>
      </c>
      <c r="H924" s="8">
        <v>0.60360000000000003</v>
      </c>
      <c r="I924" s="8">
        <f>I920/I919</f>
        <v>0.62945568768459381</v>
      </c>
    </row>
    <row r="925" spans="1:9">
      <c r="B925" s="1" t="s">
        <v>200</v>
      </c>
      <c r="D925" t="s">
        <v>20</v>
      </c>
      <c r="E925" s="8">
        <v>0.41489999999999999</v>
      </c>
      <c r="F925" s="8">
        <v>0.3382</v>
      </c>
      <c r="G925" s="8">
        <v>0.43909999999999999</v>
      </c>
      <c r="H925" s="8">
        <v>0.44259999999999999</v>
      </c>
      <c r="I925" s="8">
        <f>I920/I918</f>
        <v>0.3538035109922244</v>
      </c>
    </row>
    <row r="926" spans="1:9">
      <c r="B926" s="1" t="s">
        <v>200</v>
      </c>
    </row>
    <row r="927" spans="1:9">
      <c r="A927" t="s">
        <v>202</v>
      </c>
      <c r="B927" s="1" t="s">
        <v>203</v>
      </c>
      <c r="C927" t="s">
        <v>204</v>
      </c>
    </row>
    <row r="928" spans="1:9">
      <c r="B928" s="1" t="s">
        <v>203</v>
      </c>
      <c r="D928" t="s">
        <v>11</v>
      </c>
      <c r="E928" s="3">
        <v>31253</v>
      </c>
      <c r="F928" s="3">
        <v>27849</v>
      </c>
      <c r="G928" s="3">
        <v>28237</v>
      </c>
      <c r="H928" s="3">
        <v>27052</v>
      </c>
      <c r="I928" s="3">
        <f>VLOOKUP(B928,[1]Sheet3!$A$13:$E$198,5,TRUE)</f>
        <v>27053</v>
      </c>
    </row>
    <row r="929" spans="1:9">
      <c r="B929" s="1" t="s">
        <v>203</v>
      </c>
      <c r="D929" t="s">
        <v>12</v>
      </c>
      <c r="E929" s="5">
        <v>3914042</v>
      </c>
      <c r="F929" s="5">
        <v>3899133</v>
      </c>
      <c r="G929" s="5">
        <v>3656610</v>
      </c>
      <c r="H929" s="5">
        <v>3759809</v>
      </c>
      <c r="I929" s="3">
        <f>VLOOKUP(B929,[1]Sheet3!$A$13:$F$198,6,TRUE)</f>
        <v>3960775</v>
      </c>
    </row>
    <row r="930" spans="1:9">
      <c r="B930" s="1" t="s">
        <v>203</v>
      </c>
      <c r="D930" t="s">
        <v>23</v>
      </c>
      <c r="E930" s="5">
        <v>20452291.760000002</v>
      </c>
      <c r="F930" s="5">
        <v>20157456.98</v>
      </c>
      <c r="G930" s="5">
        <v>19899753.359999999</v>
      </c>
      <c r="H930" s="5">
        <v>19798625.710000001</v>
      </c>
      <c r="I930" s="3">
        <f>VLOOKUP(B930,[1]Sheet3!$A$13:$G$198,7,TRUE)</f>
        <v>20734804.620000001</v>
      </c>
    </row>
    <row r="931" spans="1:9">
      <c r="B931" s="1" t="s">
        <v>203</v>
      </c>
      <c r="D931" t="s">
        <v>14</v>
      </c>
      <c r="E931" s="5">
        <v>7966015.6799999997</v>
      </c>
      <c r="F931" s="5">
        <v>7907401.6299999999</v>
      </c>
      <c r="G931" s="5">
        <v>7803807.3600000003</v>
      </c>
      <c r="H931" s="5">
        <v>7655787.0700000003</v>
      </c>
      <c r="I931" s="3">
        <f>VLOOKUP(B931,[1]Sheet3!$A$13:$H$198,8,TRUE)</f>
        <v>8014792.2800000003</v>
      </c>
    </row>
    <row r="932" spans="1:9">
      <c r="B932" s="1" t="s">
        <v>203</v>
      </c>
      <c r="D932" t="s">
        <v>15</v>
      </c>
      <c r="E932" s="5">
        <v>4628385.4399999995</v>
      </c>
      <c r="F932" s="5">
        <v>4643562.82</v>
      </c>
      <c r="G932" s="5">
        <v>4669833.2299999995</v>
      </c>
      <c r="H932" s="5">
        <v>4676660.42</v>
      </c>
      <c r="I932" s="3">
        <f>VLOOKUP(B932,[1]Sheet3!$A$13:$I$198,9,TRUE)</f>
        <v>4973547.04</v>
      </c>
    </row>
    <row r="933" spans="1:9">
      <c r="B933" s="1" t="s">
        <v>203</v>
      </c>
      <c r="D933" t="s">
        <v>16</v>
      </c>
      <c r="E933" s="5">
        <v>654.41</v>
      </c>
      <c r="F933" s="5">
        <v>723.81</v>
      </c>
      <c r="G933" s="5">
        <v>704.74</v>
      </c>
      <c r="H933" s="5">
        <v>731.87</v>
      </c>
      <c r="I933" s="5">
        <f>I930/I928</f>
        <v>766.45121132591578</v>
      </c>
    </row>
    <row r="934" spans="1:9">
      <c r="B934" s="1" t="s">
        <v>203</v>
      </c>
      <c r="D934" t="s">
        <v>17</v>
      </c>
      <c r="E934" s="6">
        <v>5.23</v>
      </c>
      <c r="F934" s="6">
        <v>5.17</v>
      </c>
      <c r="G934" s="6">
        <v>5.44</v>
      </c>
      <c r="H934" s="6">
        <v>5.27</v>
      </c>
      <c r="I934" s="7">
        <f>I930/I929</f>
        <v>5.2350372389242006</v>
      </c>
    </row>
    <row r="935" spans="1:9">
      <c r="B935" s="1" t="s">
        <v>203</v>
      </c>
      <c r="D935" t="s">
        <v>18</v>
      </c>
      <c r="E935" s="8">
        <v>0.38950000000000001</v>
      </c>
      <c r="F935" s="8">
        <v>0.39229999999999998</v>
      </c>
      <c r="G935" s="8">
        <v>0.39219999999999999</v>
      </c>
      <c r="H935" s="8">
        <v>0.38669999999999999</v>
      </c>
      <c r="I935" s="8">
        <f>I931/I930</f>
        <v>0.38653811438711305</v>
      </c>
    </row>
    <row r="936" spans="1:9">
      <c r="B936" s="1" t="s">
        <v>203</v>
      </c>
      <c r="D936" t="s">
        <v>19</v>
      </c>
      <c r="E936" s="8">
        <v>0.58099999999999996</v>
      </c>
      <c r="F936" s="8">
        <v>0.58720000000000006</v>
      </c>
      <c r="G936" s="8">
        <v>0.59840000000000004</v>
      </c>
      <c r="H936" s="8">
        <v>0.6109</v>
      </c>
      <c r="I936" s="8">
        <f>I932/I931</f>
        <v>0.62054596878460833</v>
      </c>
    </row>
    <row r="937" spans="1:9">
      <c r="B937" s="1" t="s">
        <v>203</v>
      </c>
      <c r="D937" t="s">
        <v>20</v>
      </c>
      <c r="E937" s="8">
        <v>0.2263</v>
      </c>
      <c r="F937" s="8">
        <v>0.23039999999999999</v>
      </c>
      <c r="G937" s="8">
        <v>0.23469999999999999</v>
      </c>
      <c r="H937" s="8">
        <v>0.23619999999999999</v>
      </c>
      <c r="I937" s="8">
        <f>I932/I930</f>
        <v>0.23986466866452683</v>
      </c>
    </row>
    <row r="938" spans="1:9">
      <c r="B938" s="1" t="s">
        <v>203</v>
      </c>
    </row>
    <row r="939" spans="1:9">
      <c r="A939" t="s">
        <v>205</v>
      </c>
      <c r="B939" s="1" t="s">
        <v>206</v>
      </c>
      <c r="C939" t="s">
        <v>207</v>
      </c>
    </row>
    <row r="940" spans="1:9">
      <c r="B940" s="1" t="s">
        <v>206</v>
      </c>
      <c r="D940" t="s">
        <v>11</v>
      </c>
      <c r="E940" s="3">
        <v>88</v>
      </c>
      <c r="F940" s="3">
        <v>78</v>
      </c>
      <c r="G940" s="3">
        <v>70</v>
      </c>
      <c r="H940" s="3">
        <v>72</v>
      </c>
      <c r="I940" s="3">
        <f>VLOOKUP(B940,[1]Sheet3!$A$13:$E$198,5,TRUE)</f>
        <v>67</v>
      </c>
    </row>
    <row r="941" spans="1:9">
      <c r="B941" s="1" t="s">
        <v>206</v>
      </c>
      <c r="D941" t="s">
        <v>12</v>
      </c>
      <c r="E941" s="5">
        <v>70272</v>
      </c>
      <c r="F941" s="5">
        <v>68976</v>
      </c>
      <c r="G941" s="5">
        <v>51408</v>
      </c>
      <c r="H941" s="5">
        <v>55008</v>
      </c>
      <c r="I941" s="3">
        <f>VLOOKUP(B941,[1]Sheet3!$A$13:$F$198,6,TRUE)</f>
        <v>55728</v>
      </c>
    </row>
    <row r="942" spans="1:9">
      <c r="B942" s="1" t="s">
        <v>206</v>
      </c>
      <c r="D942" t="s">
        <v>23</v>
      </c>
      <c r="E942" s="5">
        <v>115704.38</v>
      </c>
      <c r="F942" s="5">
        <v>99811.67</v>
      </c>
      <c r="G942" s="5">
        <v>89963.94</v>
      </c>
      <c r="H942" s="5">
        <v>92705.19</v>
      </c>
      <c r="I942" s="3">
        <f>VLOOKUP(B942,[1]Sheet3!$A$13:$G$198,7,TRUE)</f>
        <v>90072.78</v>
      </c>
    </row>
    <row r="943" spans="1:9">
      <c r="B943" s="1" t="s">
        <v>206</v>
      </c>
      <c r="D943" t="s">
        <v>14</v>
      </c>
      <c r="E943" s="5">
        <v>58723.630000000005</v>
      </c>
      <c r="F943" s="5">
        <v>56787.6</v>
      </c>
      <c r="G943" s="5">
        <v>51080.17</v>
      </c>
      <c r="H943" s="5">
        <v>45175.14</v>
      </c>
      <c r="I943" s="3">
        <f>VLOOKUP(B943,[1]Sheet3!$A$13:$H$198,8,TRUE)</f>
        <v>44463.85</v>
      </c>
    </row>
    <row r="944" spans="1:9">
      <c r="B944" s="1" t="s">
        <v>206</v>
      </c>
      <c r="D944" t="s">
        <v>15</v>
      </c>
      <c r="E944" s="5">
        <v>34119.39</v>
      </c>
      <c r="F944" s="5">
        <v>33201.14</v>
      </c>
      <c r="G944" s="5">
        <v>30064</v>
      </c>
      <c r="H944" s="5">
        <v>27076.629999999997</v>
      </c>
      <c r="I944" s="3">
        <f>VLOOKUP(B944,[1]Sheet3!$A$13:$I$198,9,TRUE)</f>
        <v>27822.86</v>
      </c>
    </row>
    <row r="945" spans="1:9">
      <c r="B945" s="1" t="s">
        <v>206</v>
      </c>
      <c r="D945" t="s">
        <v>16</v>
      </c>
      <c r="E945" s="5">
        <v>1314.82</v>
      </c>
      <c r="F945" s="5">
        <v>1279.6400000000001</v>
      </c>
      <c r="G945" s="5">
        <v>1285.2</v>
      </c>
      <c r="H945" s="5">
        <v>1287.57</v>
      </c>
      <c r="I945" s="5">
        <f>I942/I940</f>
        <v>1344.3698507462686</v>
      </c>
    </row>
    <row r="946" spans="1:9">
      <c r="B946" s="1" t="s">
        <v>206</v>
      </c>
      <c r="D946" t="s">
        <v>17</v>
      </c>
      <c r="E946" s="6">
        <v>1.65</v>
      </c>
      <c r="F946" s="6">
        <v>1.45</v>
      </c>
      <c r="G946" s="6">
        <v>1.75</v>
      </c>
      <c r="H946" s="6">
        <v>1.69</v>
      </c>
      <c r="I946" s="7">
        <f>I942/I941</f>
        <v>1.616293066322136</v>
      </c>
    </row>
    <row r="947" spans="1:9">
      <c r="B947" s="1" t="s">
        <v>206</v>
      </c>
      <c r="D947" t="s">
        <v>18</v>
      </c>
      <c r="E947" s="8">
        <v>0.50749999999999995</v>
      </c>
      <c r="F947" s="8">
        <v>0.56889999999999996</v>
      </c>
      <c r="G947" s="8">
        <v>0.56779999999999997</v>
      </c>
      <c r="H947" s="8">
        <v>0.48730000000000001</v>
      </c>
      <c r="I947" s="8">
        <f>I943/I942</f>
        <v>0.49364358466564484</v>
      </c>
    </row>
    <row r="948" spans="1:9">
      <c r="B948" s="1" t="s">
        <v>206</v>
      </c>
      <c r="D948" t="s">
        <v>19</v>
      </c>
      <c r="E948" s="8">
        <v>0.58099999999999996</v>
      </c>
      <c r="F948" s="8">
        <v>0.5847</v>
      </c>
      <c r="G948" s="8">
        <v>0.58860000000000001</v>
      </c>
      <c r="H948" s="8">
        <v>0.59940000000000004</v>
      </c>
      <c r="I948" s="8">
        <f>I944/I943</f>
        <v>0.62574113577659163</v>
      </c>
    </row>
    <row r="949" spans="1:9">
      <c r="B949" s="1" t="s">
        <v>206</v>
      </c>
      <c r="D949" t="s">
        <v>20</v>
      </c>
      <c r="E949" s="8">
        <v>0.2949</v>
      </c>
      <c r="F949" s="8">
        <v>0.33260000000000001</v>
      </c>
      <c r="G949" s="8">
        <v>0.3342</v>
      </c>
      <c r="H949" s="8">
        <v>0.29210000000000003</v>
      </c>
      <c r="I949" s="8">
        <f>I944/I942</f>
        <v>0.30889309733750864</v>
      </c>
    </row>
    <row r="950" spans="1:9">
      <c r="B950" s="1" t="s">
        <v>206</v>
      </c>
    </row>
    <row r="951" spans="1:9">
      <c r="A951" t="s">
        <v>205</v>
      </c>
      <c r="B951" s="1" t="s">
        <v>208</v>
      </c>
      <c r="C951" t="s">
        <v>209</v>
      </c>
    </row>
    <row r="952" spans="1:9">
      <c r="B952" s="1" t="s">
        <v>208</v>
      </c>
      <c r="D952" t="s">
        <v>11</v>
      </c>
      <c r="E952" s="3">
        <v>68</v>
      </c>
      <c r="F952" s="3">
        <v>74</v>
      </c>
      <c r="G952" s="3">
        <v>62</v>
      </c>
      <c r="H952" s="3">
        <v>79</v>
      </c>
      <c r="I952" s="3">
        <f>VLOOKUP(B952,[1]Sheet3!$A$13:$E$198,5,TRUE)</f>
        <v>68</v>
      </c>
    </row>
    <row r="953" spans="1:9">
      <c r="B953" s="1" t="s">
        <v>208</v>
      </c>
      <c r="D953" t="s">
        <v>12</v>
      </c>
      <c r="E953" s="5">
        <v>39543</v>
      </c>
      <c r="F953" s="5">
        <v>30240</v>
      </c>
      <c r="G953" s="5">
        <v>30240</v>
      </c>
      <c r="H953" s="5">
        <v>35424</v>
      </c>
      <c r="I953" s="3">
        <f>VLOOKUP(B953,[1]Sheet3!$A$13:$F$198,6,TRUE)</f>
        <v>34456</v>
      </c>
    </row>
    <row r="954" spans="1:9">
      <c r="B954" s="1" t="s">
        <v>208</v>
      </c>
      <c r="D954" t="s">
        <v>23</v>
      </c>
      <c r="E954" s="5">
        <v>53785.58</v>
      </c>
      <c r="F954" s="5">
        <v>52686.46</v>
      </c>
      <c r="G954" s="5">
        <v>56614.42</v>
      </c>
      <c r="H954" s="5">
        <v>64843.58</v>
      </c>
      <c r="I954" s="3">
        <f>VLOOKUP(B954,[1]Sheet3!$A$13:$G$198,7,TRUE)</f>
        <v>74448.45</v>
      </c>
    </row>
    <row r="955" spans="1:9">
      <c r="B955" s="1" t="s">
        <v>208</v>
      </c>
      <c r="D955" t="s">
        <v>14</v>
      </c>
      <c r="E955" s="5">
        <v>31315.78</v>
      </c>
      <c r="F955" s="5">
        <v>28120.1</v>
      </c>
      <c r="G955" s="5">
        <v>26748.44</v>
      </c>
      <c r="H955" s="5">
        <v>30833.91</v>
      </c>
      <c r="I955" s="3">
        <f>VLOOKUP(B955,[1]Sheet3!$A$13:$H$198,8,TRUE)</f>
        <v>33844.659999999996</v>
      </c>
    </row>
    <row r="956" spans="1:9">
      <c r="B956" s="1" t="s">
        <v>208</v>
      </c>
      <c r="D956" t="s">
        <v>15</v>
      </c>
      <c r="E956" s="5">
        <v>18194.98</v>
      </c>
      <c r="F956" s="5">
        <v>16223.58</v>
      </c>
      <c r="G956" s="5">
        <v>15904.8</v>
      </c>
      <c r="H956" s="5">
        <v>19318.599999999999</v>
      </c>
      <c r="I956" s="3">
        <f>VLOOKUP(B956,[1]Sheet3!$A$13:$I$198,9,TRUE)</f>
        <v>21157.58</v>
      </c>
    </row>
    <row r="957" spans="1:9">
      <c r="B957" s="1" t="s">
        <v>208</v>
      </c>
      <c r="D957" t="s">
        <v>16</v>
      </c>
      <c r="E957" s="5">
        <v>790.96</v>
      </c>
      <c r="F957" s="5">
        <v>711.98</v>
      </c>
      <c r="G957" s="5">
        <v>913.14</v>
      </c>
      <c r="H957" s="5">
        <v>820.8</v>
      </c>
      <c r="I957" s="5">
        <f>I954/I952</f>
        <v>1094.8301470588235</v>
      </c>
    </row>
    <row r="958" spans="1:9">
      <c r="B958" s="1" t="s">
        <v>208</v>
      </c>
      <c r="D958" t="s">
        <v>17</v>
      </c>
      <c r="E958" s="6">
        <v>1.36</v>
      </c>
      <c r="F958" s="6">
        <v>1.74</v>
      </c>
      <c r="G958" s="6">
        <v>1.87</v>
      </c>
      <c r="H958" s="6">
        <v>1.83</v>
      </c>
      <c r="I958" s="7">
        <f>I954/I953</f>
        <v>2.1606817390294868</v>
      </c>
    </row>
    <row r="959" spans="1:9">
      <c r="B959" s="1" t="s">
        <v>208</v>
      </c>
      <c r="D959" t="s">
        <v>18</v>
      </c>
      <c r="E959" s="8">
        <v>0.58220000000000005</v>
      </c>
      <c r="F959" s="8">
        <v>0.53369999999999995</v>
      </c>
      <c r="G959" s="8">
        <v>0.47249999999999998</v>
      </c>
      <c r="H959" s="8">
        <v>0.47549999999999998</v>
      </c>
      <c r="I959" s="8">
        <f>I955/I954</f>
        <v>0.45460530071478988</v>
      </c>
    </row>
    <row r="960" spans="1:9">
      <c r="B960" s="1" t="s">
        <v>208</v>
      </c>
      <c r="D960" t="s">
        <v>19</v>
      </c>
      <c r="E960" s="8">
        <v>0.58099999999999996</v>
      </c>
      <c r="F960" s="8">
        <v>0.57689999999999997</v>
      </c>
      <c r="G960" s="8">
        <v>0.59460000000000002</v>
      </c>
      <c r="H960" s="8">
        <v>0.62649999999999995</v>
      </c>
      <c r="I960" s="8">
        <f>I956/I955</f>
        <v>0.62513790949591475</v>
      </c>
    </row>
    <row r="961" spans="1:9">
      <c r="B961" s="1" t="s">
        <v>208</v>
      </c>
      <c r="D961" t="s">
        <v>20</v>
      </c>
      <c r="E961" s="8">
        <v>0.33829999999999999</v>
      </c>
      <c r="F961" s="8">
        <v>0.30790000000000001</v>
      </c>
      <c r="G961" s="8">
        <v>0.28089999999999998</v>
      </c>
      <c r="H961" s="8">
        <v>0.2979</v>
      </c>
      <c r="I961" s="8">
        <f>I956/I954</f>
        <v>0.28419100733460539</v>
      </c>
    </row>
    <row r="962" spans="1:9">
      <c r="B962" s="1" t="s">
        <v>208</v>
      </c>
    </row>
    <row r="963" spans="1:9">
      <c r="A963" t="s">
        <v>210</v>
      </c>
      <c r="B963" s="1" t="s">
        <v>211</v>
      </c>
      <c r="C963" t="s">
        <v>212</v>
      </c>
    </row>
    <row r="964" spans="1:9">
      <c r="B964" s="1" t="s">
        <v>211</v>
      </c>
      <c r="D964" t="s">
        <v>11</v>
      </c>
      <c r="E964" s="3">
        <v>166</v>
      </c>
      <c r="F964" s="3">
        <v>154</v>
      </c>
      <c r="G964" s="3">
        <v>152</v>
      </c>
      <c r="H964" s="3">
        <v>142</v>
      </c>
      <c r="I964" s="3">
        <f>VLOOKUP(B964,[1]Sheet3!$A$13:$E$198,5,TRUE)</f>
        <v>162</v>
      </c>
    </row>
    <row r="965" spans="1:9">
      <c r="B965" s="1" t="s">
        <v>211</v>
      </c>
      <c r="D965" t="s">
        <v>12</v>
      </c>
      <c r="E965" s="5">
        <v>85324</v>
      </c>
      <c r="F965" s="5">
        <v>79926</v>
      </c>
      <c r="G965" s="5">
        <v>104006</v>
      </c>
      <c r="H965" s="5">
        <v>101426</v>
      </c>
      <c r="I965" s="3">
        <f>VLOOKUP(B965,[1]Sheet3!$A$13:$F$198,6,TRUE)</f>
        <v>97807.5</v>
      </c>
    </row>
    <row r="966" spans="1:9">
      <c r="B966" s="1" t="s">
        <v>211</v>
      </c>
      <c r="D966" t="s">
        <v>23</v>
      </c>
      <c r="E966" s="5">
        <v>98610</v>
      </c>
      <c r="F966" s="5">
        <v>95585.68</v>
      </c>
      <c r="G966" s="5">
        <v>117525.05</v>
      </c>
      <c r="H966" s="5">
        <v>143265.85</v>
      </c>
      <c r="I966" s="3">
        <f>VLOOKUP(B966,[1]Sheet3!$A$13:$G$198,7,TRUE)</f>
        <v>168227.32</v>
      </c>
    </row>
    <row r="967" spans="1:9">
      <c r="B967" s="1" t="s">
        <v>211</v>
      </c>
      <c r="D967" t="s">
        <v>14</v>
      </c>
      <c r="E967" s="5">
        <v>54767.26</v>
      </c>
      <c r="F967" s="5">
        <v>54767.26</v>
      </c>
      <c r="G967" s="5">
        <v>65852.399999999994</v>
      </c>
      <c r="H967" s="5">
        <v>73924.7</v>
      </c>
      <c r="I967" s="3">
        <f>VLOOKUP(B967,[1]Sheet3!$A$13:$H$198,8,TRUE)</f>
        <v>81472.95</v>
      </c>
    </row>
    <row r="968" spans="1:9">
      <c r="B968" s="1" t="s">
        <v>211</v>
      </c>
      <c r="D968" t="s">
        <v>15</v>
      </c>
      <c r="E968" s="5">
        <v>31370.11</v>
      </c>
      <c r="F968" s="5">
        <v>32201.040000000001</v>
      </c>
      <c r="G968" s="5">
        <v>40601.5</v>
      </c>
      <c r="H968" s="5">
        <v>46138.8</v>
      </c>
      <c r="I968" s="3">
        <f>VLOOKUP(B968,[1]Sheet3!$A$13:$I$198,9,TRUE)</f>
        <v>50963.08</v>
      </c>
    </row>
    <row r="969" spans="1:9">
      <c r="B969" s="1" t="s">
        <v>211</v>
      </c>
      <c r="D969" t="s">
        <v>16</v>
      </c>
      <c r="E969" s="5">
        <v>594.04</v>
      </c>
      <c r="F969" s="5">
        <v>620.69000000000005</v>
      </c>
      <c r="G969" s="5">
        <v>773.19</v>
      </c>
      <c r="H969" s="5">
        <v>1008.91</v>
      </c>
      <c r="I969" s="5">
        <f>I966/I964</f>
        <v>1038.4402469135803</v>
      </c>
    </row>
    <row r="970" spans="1:9">
      <c r="B970" s="1" t="s">
        <v>211</v>
      </c>
      <c r="D970" t="s">
        <v>17</v>
      </c>
      <c r="E970" s="6">
        <v>1.1599999999999999</v>
      </c>
      <c r="F970" s="6">
        <v>1.2</v>
      </c>
      <c r="G970" s="6">
        <v>1.1299999999999999</v>
      </c>
      <c r="H970" s="6">
        <v>1.41</v>
      </c>
      <c r="I970" s="7">
        <f>I966/I965</f>
        <v>1.7199838458195946</v>
      </c>
    </row>
    <row r="971" spans="1:9">
      <c r="B971" s="1" t="s">
        <v>211</v>
      </c>
      <c r="D971" t="s">
        <v>18</v>
      </c>
      <c r="E971" s="8">
        <v>0.5554</v>
      </c>
      <c r="F971" s="8">
        <v>0.57299999999999995</v>
      </c>
      <c r="G971" s="8">
        <v>0.56030000000000002</v>
      </c>
      <c r="H971" s="8">
        <v>0.51600000000000001</v>
      </c>
      <c r="I971" s="8">
        <f>I967/I966</f>
        <v>0.48430272799923341</v>
      </c>
    </row>
    <row r="972" spans="1:9">
      <c r="B972" s="1" t="s">
        <v>211</v>
      </c>
      <c r="D972" t="s">
        <v>19</v>
      </c>
      <c r="E972" s="8">
        <v>0.57279999999999998</v>
      </c>
      <c r="F972" s="8">
        <v>0.58799999999999997</v>
      </c>
      <c r="G972" s="8">
        <v>0.61660000000000004</v>
      </c>
      <c r="H972" s="8">
        <v>0.62409999999999999</v>
      </c>
      <c r="I972" s="8">
        <f>I968/I967</f>
        <v>0.62552147676007808</v>
      </c>
    </row>
    <row r="973" spans="1:9">
      <c r="B973" s="1" t="s">
        <v>211</v>
      </c>
      <c r="D973" t="s">
        <v>20</v>
      </c>
      <c r="E973" s="8">
        <v>0.31809999999999999</v>
      </c>
      <c r="F973" s="8">
        <v>0.33689999999999998</v>
      </c>
      <c r="G973" s="8">
        <v>0.34549999999999997</v>
      </c>
      <c r="H973" s="8">
        <v>0.3221</v>
      </c>
      <c r="I973" s="8">
        <f>I968/I966</f>
        <v>0.30294175761701486</v>
      </c>
    </row>
    <row r="974" spans="1:9">
      <c r="B974" s="1" t="s">
        <v>211</v>
      </c>
    </row>
    <row r="975" spans="1:9">
      <c r="A975" t="s">
        <v>210</v>
      </c>
      <c r="B975" s="1" t="s">
        <v>213</v>
      </c>
      <c r="C975" t="s">
        <v>214</v>
      </c>
    </row>
    <row r="976" spans="1:9">
      <c r="B976" s="1" t="s">
        <v>213</v>
      </c>
      <c r="D976" t="s">
        <v>11</v>
      </c>
      <c r="E976" s="3">
        <v>93</v>
      </c>
      <c r="F976" s="3">
        <v>85</v>
      </c>
      <c r="G976" s="3">
        <v>73</v>
      </c>
      <c r="H976" s="3">
        <v>101</v>
      </c>
      <c r="I976" s="3">
        <f>VLOOKUP(B976,[1]Sheet3!$A$13:$E$198,5,TRUE)</f>
        <v>101</v>
      </c>
    </row>
    <row r="977" spans="1:9">
      <c r="B977" s="1" t="s">
        <v>213</v>
      </c>
      <c r="D977" t="s">
        <v>12</v>
      </c>
      <c r="E977" s="5">
        <v>71630</v>
      </c>
      <c r="F977" s="5">
        <v>80957</v>
      </c>
      <c r="G977" s="5">
        <v>58232</v>
      </c>
      <c r="H977" s="5">
        <v>59716.800000000003</v>
      </c>
      <c r="I977" s="3">
        <f>VLOOKUP(B977,[1]Sheet3!$A$13:$F$198,6,TRUE)</f>
        <v>55042</v>
      </c>
    </row>
    <row r="978" spans="1:9">
      <c r="B978" s="1" t="s">
        <v>213</v>
      </c>
      <c r="D978" t="s">
        <v>23</v>
      </c>
      <c r="E978" s="5">
        <v>64314.3</v>
      </c>
      <c r="F978" s="5">
        <v>74413.89</v>
      </c>
      <c r="G978" s="5">
        <v>86432.7</v>
      </c>
      <c r="H978" s="5">
        <v>92332.39</v>
      </c>
      <c r="I978" s="3">
        <f>VLOOKUP(B978,[1]Sheet3!$A$13:$G$198,7,TRUE)</f>
        <v>72380.83</v>
      </c>
    </row>
    <row r="979" spans="1:9">
      <c r="B979" s="1" t="s">
        <v>213</v>
      </c>
      <c r="D979" t="s">
        <v>14</v>
      </c>
      <c r="E979" s="5">
        <v>39721.86</v>
      </c>
      <c r="F979" s="5">
        <v>45478.399999999994</v>
      </c>
      <c r="G979" s="5">
        <v>45478.399999999994</v>
      </c>
      <c r="H979" s="5">
        <v>46228.11</v>
      </c>
      <c r="I979" s="3">
        <f>VLOOKUP(B979,[1]Sheet3!$A$13:$H$198,8,TRUE)</f>
        <v>38299.800000000003</v>
      </c>
    </row>
    <row r="980" spans="1:9">
      <c r="B980" s="1" t="s">
        <v>213</v>
      </c>
      <c r="D980" t="s">
        <v>15</v>
      </c>
      <c r="E980" s="5">
        <v>22520.57</v>
      </c>
      <c r="F980" s="5">
        <v>27297.88</v>
      </c>
      <c r="G980" s="5">
        <v>27274.81</v>
      </c>
      <c r="H980" s="5">
        <v>28408.82</v>
      </c>
      <c r="I980" s="3">
        <f>VLOOKUP(B980,[1]Sheet3!$A$13:$I$198,9,TRUE)</f>
        <v>28471.370000000003</v>
      </c>
    </row>
    <row r="981" spans="1:9">
      <c r="B981" s="1" t="s">
        <v>213</v>
      </c>
      <c r="D981" t="s">
        <v>16</v>
      </c>
      <c r="E981" s="5">
        <v>691.55</v>
      </c>
      <c r="F981" s="5">
        <v>875.46</v>
      </c>
      <c r="G981" s="5">
        <v>1184.01</v>
      </c>
      <c r="H981" s="5">
        <v>914.18</v>
      </c>
      <c r="I981" s="5">
        <f>I978/I976</f>
        <v>716.64188118811887</v>
      </c>
    </row>
    <row r="982" spans="1:9">
      <c r="B982" s="1" t="s">
        <v>213</v>
      </c>
      <c r="D982" t="s">
        <v>17</v>
      </c>
      <c r="E982" s="6">
        <v>0.9</v>
      </c>
      <c r="F982" s="6">
        <v>0.92</v>
      </c>
      <c r="G982" s="6">
        <v>1.48</v>
      </c>
      <c r="H982" s="6">
        <v>1.55</v>
      </c>
      <c r="I982" s="7">
        <f>I978/I977</f>
        <v>1.3150109007666873</v>
      </c>
    </row>
    <row r="983" spans="1:9">
      <c r="B983" s="1" t="s">
        <v>213</v>
      </c>
      <c r="D983" t="s">
        <v>18</v>
      </c>
      <c r="E983" s="8">
        <v>0.61760000000000004</v>
      </c>
      <c r="F983" s="8">
        <v>0.61119999999999997</v>
      </c>
      <c r="G983" s="8">
        <v>0.5262</v>
      </c>
      <c r="H983" s="8">
        <v>0.50070000000000003</v>
      </c>
      <c r="I983" s="8">
        <f>I979/I978</f>
        <v>0.52914286835340241</v>
      </c>
    </row>
    <row r="984" spans="1:9">
      <c r="B984" s="1" t="s">
        <v>213</v>
      </c>
      <c r="D984" t="s">
        <v>19</v>
      </c>
      <c r="E984" s="8">
        <v>0.56699999999999995</v>
      </c>
      <c r="F984" s="8">
        <v>0.60019999999999996</v>
      </c>
      <c r="G984" s="8">
        <v>0.59970000000000001</v>
      </c>
      <c r="H984" s="8">
        <v>0.61450000000000005</v>
      </c>
      <c r="I984" s="8">
        <f>I980/I979</f>
        <v>0.74338168867722543</v>
      </c>
    </row>
    <row r="985" spans="1:9">
      <c r="B985" s="1" t="s">
        <v>213</v>
      </c>
      <c r="D985" t="s">
        <v>20</v>
      </c>
      <c r="E985" s="8">
        <v>0.35020000000000001</v>
      </c>
      <c r="F985" s="8">
        <v>0.36680000000000001</v>
      </c>
      <c r="G985" s="8">
        <v>0.31559999999999999</v>
      </c>
      <c r="H985" s="8">
        <v>0.30769999999999997</v>
      </c>
      <c r="I985" s="8">
        <f>I980/I978</f>
        <v>0.39335511902806314</v>
      </c>
    </row>
    <row r="986" spans="1:9">
      <c r="B986" s="1" t="s">
        <v>213</v>
      </c>
    </row>
    <row r="987" spans="1:9">
      <c r="A987" t="s">
        <v>210</v>
      </c>
      <c r="B987" s="1" t="s">
        <v>215</v>
      </c>
      <c r="C987" t="s">
        <v>216</v>
      </c>
    </row>
    <row r="988" spans="1:9">
      <c r="B988" s="1" t="s">
        <v>215</v>
      </c>
      <c r="D988" t="s">
        <v>11</v>
      </c>
      <c r="E988" s="3">
        <v>67</v>
      </c>
      <c r="F988" s="3">
        <v>58</v>
      </c>
      <c r="G988" s="3">
        <v>83</v>
      </c>
      <c r="H988" s="3">
        <v>60</v>
      </c>
      <c r="I988" s="3">
        <f>VLOOKUP(B988,[1]Sheet3!$A$13:$E$198,5,TRUE)</f>
        <v>50</v>
      </c>
    </row>
    <row r="989" spans="1:9">
      <c r="B989" s="1" t="s">
        <v>215</v>
      </c>
      <c r="D989" t="s">
        <v>12</v>
      </c>
      <c r="E989" s="5">
        <v>51170</v>
      </c>
      <c r="F989" s="5">
        <v>50193</v>
      </c>
      <c r="G989" s="5">
        <v>98864</v>
      </c>
      <c r="H989" s="5">
        <v>34030</v>
      </c>
      <c r="I989" s="3">
        <f>VLOOKUP(B989,[1]Sheet3!$A$13:$F$198,6,TRUE)</f>
        <v>35070</v>
      </c>
    </row>
    <row r="990" spans="1:9">
      <c r="B990" s="1" t="s">
        <v>215</v>
      </c>
      <c r="D990" t="s">
        <v>23</v>
      </c>
      <c r="E990" s="5">
        <v>91657.73</v>
      </c>
      <c r="F990" s="5">
        <v>75578.58</v>
      </c>
      <c r="G990" s="5">
        <v>118011.35</v>
      </c>
      <c r="H990" s="5">
        <v>83944.13</v>
      </c>
      <c r="I990" s="3">
        <f>VLOOKUP(B990,[1]Sheet3!$A$13:$G$198,7,TRUE)</f>
        <v>47641.41</v>
      </c>
    </row>
    <row r="991" spans="1:9">
      <c r="B991" s="1" t="s">
        <v>215</v>
      </c>
      <c r="D991" t="s">
        <v>14</v>
      </c>
      <c r="E991" s="5">
        <v>51541.149999999994</v>
      </c>
      <c r="F991" s="5">
        <v>43859.199999999997</v>
      </c>
      <c r="G991" s="5">
        <v>64729.380000000005</v>
      </c>
      <c r="H991" s="5">
        <v>64729.380000000005</v>
      </c>
      <c r="I991" s="3">
        <f>VLOOKUP(B991,[1]Sheet3!$A$13:$H$198,8,TRUE)</f>
        <v>24918.880000000001</v>
      </c>
    </row>
    <row r="992" spans="1:9">
      <c r="B992" s="1" t="s">
        <v>215</v>
      </c>
      <c r="D992" t="s">
        <v>15</v>
      </c>
      <c r="E992" s="5">
        <v>29946.25</v>
      </c>
      <c r="F992" s="5">
        <v>25042.45</v>
      </c>
      <c r="G992" s="5">
        <v>40905.839999999997</v>
      </c>
      <c r="H992" s="5">
        <v>39670.159999999996</v>
      </c>
      <c r="I992" s="3">
        <f>VLOOKUP(B992,[1]Sheet3!$A$13:$I$198,9,TRUE)</f>
        <v>19871.8</v>
      </c>
    </row>
    <row r="993" spans="1:9">
      <c r="B993" s="1" t="s">
        <v>215</v>
      </c>
      <c r="D993" t="s">
        <v>16</v>
      </c>
      <c r="E993" s="5">
        <v>1368.03</v>
      </c>
      <c r="F993" s="5">
        <v>1303.08</v>
      </c>
      <c r="G993" s="5">
        <v>1421.82</v>
      </c>
      <c r="H993" s="5">
        <v>1399.07</v>
      </c>
      <c r="I993" s="5">
        <f>I990/I988</f>
        <v>952.82820000000004</v>
      </c>
    </row>
    <row r="994" spans="1:9">
      <c r="B994" s="1" t="s">
        <v>215</v>
      </c>
      <c r="D994" t="s">
        <v>17</v>
      </c>
      <c r="E994" s="6">
        <v>1.79</v>
      </c>
      <c r="F994" s="6">
        <v>1.51</v>
      </c>
      <c r="G994" s="6">
        <v>1.19</v>
      </c>
      <c r="H994" s="6">
        <v>2.4700000000000002</v>
      </c>
      <c r="I994" s="7">
        <f>I990/I989</f>
        <v>1.3584662104362704</v>
      </c>
    </row>
    <row r="995" spans="1:9">
      <c r="B995" s="1" t="s">
        <v>215</v>
      </c>
      <c r="D995" t="s">
        <v>18</v>
      </c>
      <c r="E995" s="8">
        <v>0.56230000000000002</v>
      </c>
      <c r="F995" s="8">
        <v>0.58030000000000004</v>
      </c>
      <c r="G995" s="8">
        <v>0.54849999999999999</v>
      </c>
      <c r="H995" s="8">
        <v>0.77110000000000001</v>
      </c>
      <c r="I995" s="8">
        <f>I991/I990</f>
        <v>0.52305085009028907</v>
      </c>
    </row>
    <row r="996" spans="1:9">
      <c r="B996" s="1" t="s">
        <v>215</v>
      </c>
      <c r="D996" t="s">
        <v>19</v>
      </c>
      <c r="E996" s="8">
        <v>0.58099999999999996</v>
      </c>
      <c r="F996" s="8">
        <v>0.57099999999999995</v>
      </c>
      <c r="G996" s="8">
        <v>0.63200000000000001</v>
      </c>
      <c r="H996" s="8">
        <v>0.6129</v>
      </c>
      <c r="I996" s="8">
        <f>I992/I991</f>
        <v>0.79745959690002111</v>
      </c>
    </row>
    <row r="997" spans="1:9">
      <c r="B997" s="1" t="s">
        <v>215</v>
      </c>
      <c r="D997" t="s">
        <v>20</v>
      </c>
      <c r="E997" s="8">
        <v>0.32669999999999999</v>
      </c>
      <c r="F997" s="8">
        <v>0.33129999999999998</v>
      </c>
      <c r="G997" s="8">
        <v>0.34660000000000002</v>
      </c>
      <c r="H997" s="8">
        <v>0.47260000000000002</v>
      </c>
      <c r="I997" s="8">
        <f>I992/I990</f>
        <v>0.41711192007121534</v>
      </c>
    </row>
    <row r="998" spans="1:9">
      <c r="B998" s="1" t="s">
        <v>215</v>
      </c>
    </row>
    <row r="999" spans="1:9">
      <c r="A999" t="s">
        <v>210</v>
      </c>
      <c r="B999" s="1" t="s">
        <v>217</v>
      </c>
      <c r="C999" t="s">
        <v>218</v>
      </c>
    </row>
    <row r="1000" spans="1:9">
      <c r="B1000" s="1" t="s">
        <v>217</v>
      </c>
      <c r="D1000" t="s">
        <v>11</v>
      </c>
      <c r="E1000" s="3">
        <v>37</v>
      </c>
      <c r="F1000" s="3">
        <v>33</v>
      </c>
      <c r="G1000" s="3">
        <v>35</v>
      </c>
      <c r="H1000" s="3">
        <v>41</v>
      </c>
      <c r="I1000" s="3">
        <f>VLOOKUP(B1000,[1]Sheet3!$A$13:$E$198,5,TRUE)</f>
        <v>30</v>
      </c>
    </row>
    <row r="1001" spans="1:9">
      <c r="B1001" s="1" t="s">
        <v>217</v>
      </c>
      <c r="D1001" t="s">
        <v>12</v>
      </c>
      <c r="E1001" s="5">
        <v>47382</v>
      </c>
      <c r="F1001" s="5">
        <v>42444</v>
      </c>
      <c r="G1001" s="5">
        <v>46690</v>
      </c>
      <c r="H1001" s="5">
        <v>51315</v>
      </c>
      <c r="I1001" s="3">
        <f>VLOOKUP(B1001,[1]Sheet3!$A$13:$F$198,6,TRUE)</f>
        <v>40894</v>
      </c>
    </row>
    <row r="1002" spans="1:9">
      <c r="B1002" s="1" t="s">
        <v>217</v>
      </c>
      <c r="D1002" t="s">
        <v>23</v>
      </c>
      <c r="E1002" s="5">
        <v>43717.09</v>
      </c>
      <c r="F1002" s="5">
        <v>38946.68</v>
      </c>
      <c r="G1002" s="5">
        <v>50956.59</v>
      </c>
      <c r="H1002" s="5">
        <v>47826.86</v>
      </c>
      <c r="I1002" s="3">
        <f>VLOOKUP(B1002,[1]Sheet3!$A$13:$G$198,7,TRUE)</f>
        <v>39565</v>
      </c>
    </row>
    <row r="1003" spans="1:9">
      <c r="B1003" s="1" t="s">
        <v>217</v>
      </c>
      <c r="D1003" t="s">
        <v>14</v>
      </c>
      <c r="E1003" s="5">
        <v>26673.050000000003</v>
      </c>
      <c r="F1003" s="5">
        <v>26673.050000000003</v>
      </c>
      <c r="G1003" s="5">
        <v>28951.77</v>
      </c>
      <c r="H1003" s="5">
        <v>29049.99</v>
      </c>
      <c r="I1003" s="3">
        <f>VLOOKUP(B1003,[1]Sheet3!$A$13:$H$198,8,TRUE)</f>
        <v>23641.93</v>
      </c>
    </row>
    <row r="1004" spans="1:9">
      <c r="B1004" s="1" t="s">
        <v>217</v>
      </c>
      <c r="D1004" t="s">
        <v>15</v>
      </c>
      <c r="E1004" s="5">
        <v>15870.619999999999</v>
      </c>
      <c r="F1004" s="5">
        <v>15682.73</v>
      </c>
      <c r="G1004" s="5">
        <v>17590.989999999998</v>
      </c>
      <c r="H1004" s="5">
        <v>17813.77</v>
      </c>
      <c r="I1004" s="3">
        <f>VLOOKUP(B1004,[1]Sheet3!$A$13:$I$198,9,TRUE)</f>
        <v>17891.559999999998</v>
      </c>
    </row>
    <row r="1005" spans="1:9">
      <c r="B1005" s="1" t="s">
        <v>217</v>
      </c>
      <c r="D1005" t="s">
        <v>16</v>
      </c>
      <c r="E1005" s="5">
        <v>1181.54</v>
      </c>
      <c r="F1005" s="5">
        <v>1180.2</v>
      </c>
      <c r="G1005" s="5">
        <v>1455.9</v>
      </c>
      <c r="H1005" s="5">
        <v>1166.51</v>
      </c>
      <c r="I1005" s="5">
        <f>I1002/I1000</f>
        <v>1318.8333333333333</v>
      </c>
    </row>
    <row r="1006" spans="1:9">
      <c r="B1006" s="1" t="s">
        <v>217</v>
      </c>
      <c r="D1006" t="s">
        <v>17</v>
      </c>
      <c r="E1006" s="6">
        <v>0.92</v>
      </c>
      <c r="F1006" s="6">
        <v>0.92</v>
      </c>
      <c r="G1006" s="6">
        <v>1.0900000000000001</v>
      </c>
      <c r="H1006" s="6">
        <v>0.93</v>
      </c>
      <c r="I1006" s="7">
        <f>I1002/I1001</f>
        <v>0.96750134494057805</v>
      </c>
    </row>
    <row r="1007" spans="1:9">
      <c r="B1007" s="1" t="s">
        <v>217</v>
      </c>
      <c r="D1007" t="s">
        <v>18</v>
      </c>
      <c r="E1007" s="8">
        <v>0.61009999999999998</v>
      </c>
      <c r="F1007" s="8">
        <v>0.68489999999999995</v>
      </c>
      <c r="G1007" s="8">
        <v>0.56820000000000004</v>
      </c>
      <c r="H1007" s="8">
        <v>0.60740000000000005</v>
      </c>
      <c r="I1007" s="8">
        <f>I1003/I1002</f>
        <v>0.59754656893719194</v>
      </c>
    </row>
    <row r="1008" spans="1:9">
      <c r="B1008" s="1" t="s">
        <v>217</v>
      </c>
      <c r="D1008" t="s">
        <v>19</v>
      </c>
      <c r="E1008" s="8">
        <v>0.59499999999999997</v>
      </c>
      <c r="F1008" s="8">
        <v>0.58799999999999997</v>
      </c>
      <c r="G1008" s="8">
        <v>0.60760000000000003</v>
      </c>
      <c r="H1008" s="8">
        <v>0.61319999999999997</v>
      </c>
      <c r="I1008" s="8">
        <f>I1004/I1003</f>
        <v>0.75677239548547848</v>
      </c>
    </row>
    <row r="1009" spans="1:9">
      <c r="B1009" s="1" t="s">
        <v>217</v>
      </c>
      <c r="D1009" t="s">
        <v>20</v>
      </c>
      <c r="E1009" s="8">
        <v>0.36299999999999999</v>
      </c>
      <c r="F1009" s="8">
        <v>0.4027</v>
      </c>
      <c r="G1009" s="8">
        <v>0.34520000000000001</v>
      </c>
      <c r="H1009" s="8">
        <v>0.3725</v>
      </c>
      <c r="I1009" s="8">
        <f>I1004/I1002</f>
        <v>0.45220674838872738</v>
      </c>
    </row>
    <row r="1010" spans="1:9">
      <c r="B1010" s="1" t="s">
        <v>217</v>
      </c>
    </row>
    <row r="1011" spans="1:9">
      <c r="A1011" t="s">
        <v>210</v>
      </c>
      <c r="B1011" s="1" t="s">
        <v>219</v>
      </c>
      <c r="C1011" t="s">
        <v>220</v>
      </c>
    </row>
    <row r="1012" spans="1:9">
      <c r="B1012" s="1" t="s">
        <v>219</v>
      </c>
      <c r="D1012" t="s">
        <v>11</v>
      </c>
      <c r="E1012" s="3">
        <v>140</v>
      </c>
      <c r="F1012" s="3">
        <v>166</v>
      </c>
      <c r="G1012" s="3">
        <v>157</v>
      </c>
      <c r="H1012" s="3">
        <v>156</v>
      </c>
      <c r="I1012" s="3">
        <f>VLOOKUP(B1012,[1]Sheet3!$A$13:$E$198,5,TRUE)</f>
        <v>164</v>
      </c>
    </row>
    <row r="1013" spans="1:9">
      <c r="B1013" s="1" t="s">
        <v>219</v>
      </c>
      <c r="D1013" t="s">
        <v>12</v>
      </c>
      <c r="E1013" s="5">
        <v>108765</v>
      </c>
      <c r="F1013" s="5">
        <v>97212</v>
      </c>
      <c r="G1013" s="5">
        <v>89506</v>
      </c>
      <c r="H1013" s="5">
        <v>89960</v>
      </c>
      <c r="I1013" s="3">
        <f>VLOOKUP(B1013,[1]Sheet3!$A$13:$F$198,6,TRUE)</f>
        <v>88057</v>
      </c>
    </row>
    <row r="1014" spans="1:9">
      <c r="B1014" s="1" t="s">
        <v>219</v>
      </c>
      <c r="D1014" t="s">
        <v>23</v>
      </c>
      <c r="E1014" s="5">
        <v>198645.16</v>
      </c>
      <c r="F1014" s="5">
        <v>167642.85</v>
      </c>
      <c r="G1014" s="5">
        <v>113151.94</v>
      </c>
      <c r="H1014" s="5">
        <v>134744.47</v>
      </c>
      <c r="I1014" s="3">
        <f>VLOOKUP(B1014,[1]Sheet3!$A$13:$G$198,7,TRUE)</f>
        <v>147604.69</v>
      </c>
    </row>
    <row r="1015" spans="1:9">
      <c r="B1015" s="1" t="s">
        <v>219</v>
      </c>
      <c r="D1015" t="s">
        <v>14</v>
      </c>
      <c r="E1015" s="5">
        <v>94519.61</v>
      </c>
      <c r="F1015" s="5">
        <v>94519.61</v>
      </c>
      <c r="G1015" s="5">
        <v>81125.850000000006</v>
      </c>
      <c r="H1015" s="5">
        <v>68167.01999999999</v>
      </c>
      <c r="I1015" s="3">
        <f>VLOOKUP(B1015,[1]Sheet3!$A$13:$H$198,8,TRUE)</f>
        <v>72046.209999999992</v>
      </c>
    </row>
    <row r="1016" spans="1:9">
      <c r="B1016" s="1" t="s">
        <v>219</v>
      </c>
      <c r="D1016" t="s">
        <v>15</v>
      </c>
      <c r="E1016" s="5">
        <v>56582.869999999995</v>
      </c>
      <c r="F1016" s="5">
        <v>55573.89</v>
      </c>
      <c r="G1016" s="5">
        <v>47315.22</v>
      </c>
      <c r="H1016" s="5">
        <v>40439.4</v>
      </c>
      <c r="I1016" s="3">
        <f>VLOOKUP(B1016,[1]Sheet3!$A$13:$I$198,9,TRUE)</f>
        <v>44775.78</v>
      </c>
    </row>
    <row r="1017" spans="1:9">
      <c r="B1017" s="1" t="s">
        <v>219</v>
      </c>
      <c r="D1017" t="s">
        <v>16</v>
      </c>
      <c r="E1017" s="5">
        <v>1418.89</v>
      </c>
      <c r="F1017" s="5">
        <v>1009.9</v>
      </c>
      <c r="G1017" s="5">
        <v>720.71</v>
      </c>
      <c r="H1017" s="5">
        <v>863.75</v>
      </c>
      <c r="I1017" s="5">
        <f>I1014/I1012</f>
        <v>900.02859756097564</v>
      </c>
    </row>
    <row r="1018" spans="1:9">
      <c r="B1018" s="1" t="s">
        <v>219</v>
      </c>
      <c r="D1018" t="s">
        <v>17</v>
      </c>
      <c r="E1018" s="6">
        <v>1.83</v>
      </c>
      <c r="F1018" s="6">
        <v>1.72</v>
      </c>
      <c r="G1018" s="6">
        <v>1.26</v>
      </c>
      <c r="H1018" s="6">
        <v>1.5</v>
      </c>
      <c r="I1018" s="7">
        <f>I1014/I1013</f>
        <v>1.6762402761847439</v>
      </c>
    </row>
    <row r="1019" spans="1:9">
      <c r="B1019" s="1" t="s">
        <v>219</v>
      </c>
      <c r="D1019" t="s">
        <v>18</v>
      </c>
      <c r="E1019" s="8">
        <v>0.4758</v>
      </c>
      <c r="F1019" s="8">
        <v>0.56379999999999997</v>
      </c>
      <c r="G1019" s="8">
        <v>0.71699999999999997</v>
      </c>
      <c r="H1019" s="8">
        <v>0.50590000000000002</v>
      </c>
      <c r="I1019" s="8">
        <f>I1015/I1014</f>
        <v>0.48810244444129786</v>
      </c>
    </row>
    <row r="1020" spans="1:9">
      <c r="B1020" s="1" t="s">
        <v>219</v>
      </c>
      <c r="D1020" t="s">
        <v>19</v>
      </c>
      <c r="E1020" s="8">
        <v>0.59860000000000002</v>
      </c>
      <c r="F1020" s="8">
        <v>0.58799999999999997</v>
      </c>
      <c r="G1020" s="8">
        <v>0.58320000000000005</v>
      </c>
      <c r="H1020" s="8">
        <v>0.59319999999999995</v>
      </c>
      <c r="I1020" s="8">
        <f>I1016/I1015</f>
        <v>0.62148695954998889</v>
      </c>
    </row>
    <row r="1021" spans="1:9">
      <c r="B1021" s="1" t="s">
        <v>219</v>
      </c>
      <c r="D1021" t="s">
        <v>20</v>
      </c>
      <c r="E1021" s="8">
        <v>0.2848</v>
      </c>
      <c r="F1021" s="8">
        <v>0.33150000000000002</v>
      </c>
      <c r="G1021" s="8">
        <v>0.41820000000000002</v>
      </c>
      <c r="H1021" s="8">
        <v>0.30009999999999998</v>
      </c>
      <c r="I1021" s="8">
        <f>I1016/I1014</f>
        <v>0.30334930414473954</v>
      </c>
    </row>
    <row r="1022" spans="1:9">
      <c r="B1022" s="1" t="s">
        <v>219</v>
      </c>
    </row>
    <row r="1023" spans="1:9">
      <c r="A1023" t="s">
        <v>221</v>
      </c>
      <c r="B1023" s="1" t="s">
        <v>222</v>
      </c>
      <c r="C1023" t="s">
        <v>223</v>
      </c>
    </row>
    <row r="1024" spans="1:9">
      <c r="B1024" s="1" t="s">
        <v>222</v>
      </c>
      <c r="D1024" t="s">
        <v>11</v>
      </c>
      <c r="E1024" s="3">
        <v>559</v>
      </c>
      <c r="F1024" s="3">
        <v>485</v>
      </c>
      <c r="G1024" s="3">
        <v>804</v>
      </c>
      <c r="H1024" s="3">
        <v>775</v>
      </c>
      <c r="I1024" s="3">
        <f>VLOOKUP(B1024,[1]Sheet3!$A$13:$E$198,5,TRUE)</f>
        <v>803</v>
      </c>
    </row>
    <row r="1025" spans="1:9">
      <c r="B1025" s="1" t="s">
        <v>222</v>
      </c>
      <c r="D1025" t="s">
        <v>12</v>
      </c>
      <c r="E1025" s="5">
        <v>72082.5</v>
      </c>
      <c r="F1025" s="5">
        <v>64651</v>
      </c>
      <c r="G1025" s="5">
        <v>68527</v>
      </c>
      <c r="H1025" s="5">
        <v>62382.8</v>
      </c>
      <c r="I1025" s="3">
        <f>VLOOKUP(B1025,[1]Sheet3!$A$13:$F$198,6,TRUE)</f>
        <v>62286.400000000001</v>
      </c>
    </row>
    <row r="1026" spans="1:9">
      <c r="B1026" s="1" t="s">
        <v>222</v>
      </c>
      <c r="D1026" t="s">
        <v>23</v>
      </c>
      <c r="E1026" s="5">
        <v>293055.68</v>
      </c>
      <c r="F1026" s="5">
        <v>323113.43</v>
      </c>
      <c r="G1026" s="5">
        <v>345408.3</v>
      </c>
      <c r="H1026" s="5">
        <v>220142.65</v>
      </c>
      <c r="I1026" s="3">
        <f>VLOOKUP(B1026,[1]Sheet3!$A$13:$G$198,7,TRUE)</f>
        <v>239170.55</v>
      </c>
    </row>
    <row r="1027" spans="1:9">
      <c r="B1027" s="1" t="s">
        <v>222</v>
      </c>
      <c r="D1027" t="s">
        <v>14</v>
      </c>
      <c r="E1027" s="5">
        <v>117309.89</v>
      </c>
      <c r="F1027" s="5">
        <v>125629.34</v>
      </c>
      <c r="G1027" s="5">
        <v>134151.29999999999</v>
      </c>
      <c r="H1027" s="5">
        <v>134151.29999999999</v>
      </c>
      <c r="I1027" s="3">
        <f>VLOOKUP(B1027,[1]Sheet3!$A$13:$H$198,8,TRUE)</f>
        <v>96605.72</v>
      </c>
    </row>
    <row r="1028" spans="1:9">
      <c r="B1028" s="1" t="s">
        <v>222</v>
      </c>
      <c r="D1028" t="s">
        <v>15</v>
      </c>
      <c r="E1028" s="5">
        <v>68538.94</v>
      </c>
      <c r="F1028" s="5">
        <v>74672.12</v>
      </c>
      <c r="G1028" s="5">
        <v>81306.319999999992</v>
      </c>
      <c r="H1028" s="5">
        <v>82216.19</v>
      </c>
      <c r="I1028" s="3">
        <f>VLOOKUP(B1028,[1]Sheet3!$A$13:$I$198,9,TRUE)</f>
        <v>55594.68</v>
      </c>
    </row>
    <row r="1029" spans="1:9">
      <c r="B1029" s="1" t="s">
        <v>222</v>
      </c>
      <c r="D1029" t="s">
        <v>16</v>
      </c>
      <c r="E1029" s="5">
        <v>524.25</v>
      </c>
      <c r="F1029" s="5">
        <v>666.21</v>
      </c>
      <c r="G1029" s="5">
        <v>429.61</v>
      </c>
      <c r="H1029" s="5">
        <v>284.06</v>
      </c>
      <c r="I1029" s="5">
        <f>I1026/I1024</f>
        <v>297.84626400996262</v>
      </c>
    </row>
    <row r="1030" spans="1:9">
      <c r="B1030" s="1" t="s">
        <v>222</v>
      </c>
      <c r="D1030" t="s">
        <v>17</v>
      </c>
      <c r="E1030" s="6">
        <v>4.07</v>
      </c>
      <c r="F1030" s="6">
        <v>5</v>
      </c>
      <c r="G1030" s="6">
        <v>5.04</v>
      </c>
      <c r="H1030" s="6">
        <v>3.53</v>
      </c>
      <c r="I1030" s="7">
        <f>I1026/I1025</f>
        <v>3.8398518777774919</v>
      </c>
    </row>
    <row r="1031" spans="1:9">
      <c r="B1031" s="1" t="s">
        <v>222</v>
      </c>
      <c r="D1031" t="s">
        <v>18</v>
      </c>
      <c r="E1031" s="8">
        <v>0.40029999999999999</v>
      </c>
      <c r="F1031" s="8">
        <v>0.38879999999999998</v>
      </c>
      <c r="G1031" s="8">
        <v>0.38840000000000002</v>
      </c>
      <c r="H1031" s="8">
        <v>0.60940000000000005</v>
      </c>
      <c r="I1031" s="8">
        <f>I1027/I1026</f>
        <v>0.40391979698169361</v>
      </c>
    </row>
    <row r="1032" spans="1:9">
      <c r="B1032" s="1" t="s">
        <v>222</v>
      </c>
      <c r="D1032" t="s">
        <v>19</v>
      </c>
      <c r="E1032" s="8">
        <v>0.58430000000000004</v>
      </c>
      <c r="F1032" s="8">
        <v>0.59440000000000004</v>
      </c>
      <c r="G1032" s="8">
        <v>0.60609999999999997</v>
      </c>
      <c r="H1032" s="8">
        <v>0.6129</v>
      </c>
      <c r="I1032" s="8">
        <f>I1028/I1027</f>
        <v>0.5754802096604632</v>
      </c>
    </row>
    <row r="1033" spans="1:9">
      <c r="B1033" s="1" t="s">
        <v>222</v>
      </c>
      <c r="D1033" t="s">
        <v>20</v>
      </c>
      <c r="E1033" s="8">
        <v>0.2339</v>
      </c>
      <c r="F1033" s="8">
        <v>0.2311</v>
      </c>
      <c r="G1033" s="8">
        <v>0.2354</v>
      </c>
      <c r="H1033" s="8">
        <v>0.3735</v>
      </c>
      <c r="I1033" s="8">
        <f>I1028/I1026</f>
        <v>0.23244784945303676</v>
      </c>
    </row>
    <row r="1034" spans="1:9">
      <c r="B1034" s="1" t="s">
        <v>222</v>
      </c>
    </row>
    <row r="1035" spans="1:9">
      <c r="A1035" t="s">
        <v>224</v>
      </c>
      <c r="B1035" s="1" t="s">
        <v>225</v>
      </c>
      <c r="C1035" t="s">
        <v>226</v>
      </c>
    </row>
    <row r="1036" spans="1:9">
      <c r="B1036" s="1" t="s">
        <v>225</v>
      </c>
      <c r="D1036" t="s">
        <v>11</v>
      </c>
      <c r="E1036" s="3">
        <v>1458</v>
      </c>
      <c r="F1036" s="3">
        <v>1546</v>
      </c>
      <c r="G1036" s="3">
        <v>1449</v>
      </c>
      <c r="H1036" s="3">
        <v>1455</v>
      </c>
      <c r="I1036" s="3">
        <f>VLOOKUP(B1036,[1]Sheet3!$A$13:$E$198,5,TRUE)</f>
        <v>1439</v>
      </c>
    </row>
    <row r="1037" spans="1:9">
      <c r="B1037" s="1" t="s">
        <v>225</v>
      </c>
      <c r="D1037" t="s">
        <v>12</v>
      </c>
      <c r="E1037" s="5">
        <v>422994</v>
      </c>
      <c r="F1037" s="5">
        <v>404888</v>
      </c>
      <c r="G1037" s="5">
        <v>397554</v>
      </c>
      <c r="H1037" s="5">
        <v>405594</v>
      </c>
      <c r="I1037" s="3">
        <f>VLOOKUP(B1037,[1]Sheet3!$A$13:$F$198,6,TRUE)</f>
        <v>372360</v>
      </c>
    </row>
    <row r="1038" spans="1:9">
      <c r="B1038" s="1" t="s">
        <v>225</v>
      </c>
      <c r="D1038" t="s">
        <v>23</v>
      </c>
      <c r="E1038" s="5">
        <v>1028543</v>
      </c>
      <c r="F1038" s="5">
        <v>996729.5</v>
      </c>
      <c r="G1038" s="5">
        <v>1030362.23</v>
      </c>
      <c r="H1038" s="5">
        <v>1095172.9099999999</v>
      </c>
      <c r="I1038" s="3">
        <f>VLOOKUP(B1038,[1]Sheet3!$A$13:$G$198,7,TRUE)</f>
        <v>1087321.72</v>
      </c>
    </row>
    <row r="1039" spans="1:9">
      <c r="B1039" s="1" t="s">
        <v>225</v>
      </c>
      <c r="D1039" t="s">
        <v>14</v>
      </c>
      <c r="E1039" s="5">
        <v>454299.73</v>
      </c>
      <c r="F1039" s="5">
        <v>454299.73</v>
      </c>
      <c r="G1039" s="5">
        <v>448544.85000000003</v>
      </c>
      <c r="H1039" s="5">
        <v>472509.72000000003</v>
      </c>
      <c r="I1039" s="3">
        <f>VLOOKUP(B1039,[1]Sheet3!$A$13:$H$198,8,TRUE)</f>
        <v>461527.57999999996</v>
      </c>
    </row>
    <row r="1040" spans="1:9">
      <c r="B1040" s="1" t="s">
        <v>225</v>
      </c>
      <c r="D1040" t="s">
        <v>15</v>
      </c>
      <c r="E1040" s="5">
        <v>265168.23</v>
      </c>
      <c r="F1040" s="5">
        <v>267110.76</v>
      </c>
      <c r="G1040" s="5">
        <v>268431.18</v>
      </c>
      <c r="H1040" s="5">
        <v>292056.63</v>
      </c>
      <c r="I1040" s="3">
        <f>VLOOKUP(B1040,[1]Sheet3!$A$13:$I$198,9,TRUE)</f>
        <v>291013.42000000004</v>
      </c>
    </row>
    <row r="1041" spans="1:9">
      <c r="B1041" s="1" t="s">
        <v>225</v>
      </c>
      <c r="D1041" t="s">
        <v>16</v>
      </c>
      <c r="E1041" s="5">
        <v>705.45</v>
      </c>
      <c r="F1041" s="5">
        <v>644.72</v>
      </c>
      <c r="G1041" s="5">
        <v>711.09</v>
      </c>
      <c r="H1041" s="5">
        <v>752.7</v>
      </c>
      <c r="I1041" s="5">
        <f>I1038/I1036</f>
        <v>755.60925642807501</v>
      </c>
    </row>
    <row r="1042" spans="1:9">
      <c r="B1042" s="1" t="s">
        <v>225</v>
      </c>
      <c r="D1042" t="s">
        <v>17</v>
      </c>
      <c r="E1042" s="6">
        <v>2.4300000000000002</v>
      </c>
      <c r="F1042" s="6">
        <v>2.46</v>
      </c>
      <c r="G1042" s="6">
        <v>2.59</v>
      </c>
      <c r="H1042" s="6">
        <v>2.7</v>
      </c>
      <c r="I1042" s="7">
        <f>I1038/I1037</f>
        <v>2.9200819636910516</v>
      </c>
    </row>
    <row r="1043" spans="1:9">
      <c r="B1043" s="1" t="s">
        <v>225</v>
      </c>
      <c r="D1043" t="s">
        <v>18</v>
      </c>
      <c r="E1043" s="8">
        <v>0.44169999999999998</v>
      </c>
      <c r="F1043" s="8">
        <v>0.45579999999999998</v>
      </c>
      <c r="G1043" s="8">
        <v>0.43530000000000002</v>
      </c>
      <c r="H1043" s="8">
        <v>0.43140000000000001</v>
      </c>
      <c r="I1043" s="8">
        <f>I1039/I1038</f>
        <v>0.42446276158265278</v>
      </c>
    </row>
    <row r="1044" spans="1:9">
      <c r="B1044" s="1" t="s">
        <v>225</v>
      </c>
      <c r="D1044" t="s">
        <v>19</v>
      </c>
      <c r="E1044" s="8">
        <v>0.5837</v>
      </c>
      <c r="F1044" s="8">
        <v>0.58799999999999997</v>
      </c>
      <c r="G1044" s="8">
        <v>0.59840000000000004</v>
      </c>
      <c r="H1044" s="8">
        <v>0.61809999999999998</v>
      </c>
      <c r="I1044" s="8">
        <f>I1040/I1039</f>
        <v>0.63054394279102466</v>
      </c>
    </row>
    <row r="1045" spans="1:9">
      <c r="B1045" s="1" t="s">
        <v>225</v>
      </c>
      <c r="D1045" t="s">
        <v>20</v>
      </c>
      <c r="E1045" s="8">
        <v>0.25779999999999997</v>
      </c>
      <c r="F1045" s="8">
        <v>0.26800000000000002</v>
      </c>
      <c r="G1045" s="8">
        <v>0.26050000000000001</v>
      </c>
      <c r="H1045" s="8">
        <v>0.26669999999999999</v>
      </c>
      <c r="I1045" s="8">
        <f>I1040/I1038</f>
        <v>0.26764242325629256</v>
      </c>
    </row>
    <row r="1046" spans="1:9">
      <c r="B1046" s="1" t="s">
        <v>225</v>
      </c>
    </row>
    <row r="1047" spans="1:9">
      <c r="A1047" t="s">
        <v>224</v>
      </c>
      <c r="B1047" s="1" t="s">
        <v>227</v>
      </c>
      <c r="C1047" t="s">
        <v>228</v>
      </c>
    </row>
    <row r="1048" spans="1:9">
      <c r="B1048" s="1" t="s">
        <v>227</v>
      </c>
      <c r="D1048" t="s">
        <v>11</v>
      </c>
      <c r="E1048" s="3">
        <v>926</v>
      </c>
      <c r="F1048" s="3">
        <v>1195</v>
      </c>
      <c r="G1048" s="3">
        <v>1070</v>
      </c>
      <c r="H1048" s="3">
        <v>1025</v>
      </c>
      <c r="I1048" s="3">
        <f>VLOOKUP(B1048,[1]Sheet3!$A$13:$E$198,5,TRUE)</f>
        <v>1035</v>
      </c>
    </row>
    <row r="1049" spans="1:9">
      <c r="B1049" s="1" t="s">
        <v>227</v>
      </c>
      <c r="D1049" t="s">
        <v>12</v>
      </c>
      <c r="E1049" s="5">
        <v>115020</v>
      </c>
      <c r="F1049" s="5">
        <v>132840</v>
      </c>
      <c r="G1049" s="5">
        <v>137136.79999999999</v>
      </c>
      <c r="H1049" s="5">
        <v>140137.20000000001</v>
      </c>
      <c r="I1049" s="3">
        <f>VLOOKUP(B1049,[1]Sheet3!$A$13:$F$198,6,TRUE)</f>
        <v>119398.5</v>
      </c>
    </row>
    <row r="1050" spans="1:9">
      <c r="B1050" s="1" t="s">
        <v>227</v>
      </c>
      <c r="D1050" t="s">
        <v>23</v>
      </c>
      <c r="E1050" s="5">
        <v>395045</v>
      </c>
      <c r="F1050" s="5">
        <v>480750.82</v>
      </c>
      <c r="G1050" s="5">
        <v>468874.04</v>
      </c>
      <c r="H1050" s="5">
        <v>457672.26</v>
      </c>
      <c r="I1050" s="3">
        <f>VLOOKUP(B1050,[1]Sheet3!$A$13:$G$198,7,TRUE)</f>
        <v>491440.39</v>
      </c>
    </row>
    <row r="1051" spans="1:9">
      <c r="B1051" s="1" t="s">
        <v>227</v>
      </c>
      <c r="D1051" t="s">
        <v>14</v>
      </c>
      <c r="E1051" s="5">
        <v>162606.69</v>
      </c>
      <c r="F1051" s="5">
        <v>196098</v>
      </c>
      <c r="G1051" s="5">
        <v>196098</v>
      </c>
      <c r="H1051" s="5">
        <v>193151.4</v>
      </c>
      <c r="I1051" s="3">
        <f>VLOOKUP(B1051,[1]Sheet3!$A$13:$H$198,8,TRUE)</f>
        <v>196352.34</v>
      </c>
    </row>
    <row r="1052" spans="1:9">
      <c r="B1052" s="1" t="s">
        <v>227</v>
      </c>
      <c r="D1052" t="s">
        <v>15</v>
      </c>
      <c r="E1052" s="5">
        <v>94808.44</v>
      </c>
      <c r="F1052" s="5">
        <v>118546.41</v>
      </c>
      <c r="G1052" s="5">
        <v>117606.06</v>
      </c>
      <c r="H1052" s="5">
        <v>118070.95</v>
      </c>
      <c r="I1052" s="3">
        <f>VLOOKUP(B1052,[1]Sheet3!$A$13:$I$198,9,TRUE)</f>
        <v>121264.01</v>
      </c>
    </row>
    <row r="1053" spans="1:9">
      <c r="B1053" s="1" t="s">
        <v>227</v>
      </c>
      <c r="D1053" t="s">
        <v>16</v>
      </c>
      <c r="E1053" s="5">
        <v>426.61</v>
      </c>
      <c r="F1053" s="5">
        <v>402.3</v>
      </c>
      <c r="G1053" s="5">
        <v>438.2</v>
      </c>
      <c r="H1053" s="5">
        <v>446.51</v>
      </c>
      <c r="I1053" s="5">
        <f>I1050/I1048</f>
        <v>474.82163285024154</v>
      </c>
    </row>
    <row r="1054" spans="1:9">
      <c r="B1054" s="1" t="s">
        <v>227</v>
      </c>
      <c r="D1054" t="s">
        <v>17</v>
      </c>
      <c r="E1054" s="6">
        <v>3.43</v>
      </c>
      <c r="F1054" s="6">
        <v>3.62</v>
      </c>
      <c r="G1054" s="6">
        <v>3.42</v>
      </c>
      <c r="H1054" s="6">
        <v>3.27</v>
      </c>
      <c r="I1054" s="7">
        <f>I1050/I1049</f>
        <v>4.1159678722932034</v>
      </c>
    </row>
    <row r="1055" spans="1:9">
      <c r="B1055" s="1" t="s">
        <v>227</v>
      </c>
      <c r="D1055" t="s">
        <v>18</v>
      </c>
      <c r="E1055" s="8">
        <v>0.41160000000000002</v>
      </c>
      <c r="F1055" s="8">
        <v>0.40789999999999998</v>
      </c>
      <c r="G1055" s="8">
        <v>0.41820000000000002</v>
      </c>
      <c r="H1055" s="8">
        <v>0.42199999999999999</v>
      </c>
      <c r="I1055" s="8">
        <f>I1051/I1050</f>
        <v>0.39954457141790889</v>
      </c>
    </row>
    <row r="1056" spans="1:9">
      <c r="B1056" s="1" t="s">
        <v>227</v>
      </c>
      <c r="D1056" t="s">
        <v>19</v>
      </c>
      <c r="E1056" s="8">
        <v>0.58309999999999995</v>
      </c>
      <c r="F1056" s="8">
        <v>0.60450000000000004</v>
      </c>
      <c r="G1056" s="8">
        <v>0.59970000000000001</v>
      </c>
      <c r="H1056" s="8">
        <v>0.61129999999999995</v>
      </c>
      <c r="I1056" s="8">
        <f>I1052/I1051</f>
        <v>0.61758372729349698</v>
      </c>
    </row>
    <row r="1057" spans="1:9">
      <c r="B1057" s="1" t="s">
        <v>227</v>
      </c>
      <c r="D1057" t="s">
        <v>20</v>
      </c>
      <c r="E1057" s="8">
        <v>0.24</v>
      </c>
      <c r="F1057" s="8">
        <v>0.24660000000000001</v>
      </c>
      <c r="G1057" s="8">
        <v>0.25080000000000002</v>
      </c>
      <c r="H1057" s="8">
        <v>0.25800000000000001</v>
      </c>
      <c r="I1057" s="8">
        <f>I1052/I1050</f>
        <v>0.24675222563615495</v>
      </c>
    </row>
    <row r="1058" spans="1:9">
      <c r="B1058" s="1" t="s">
        <v>227</v>
      </c>
    </row>
    <row r="1059" spans="1:9">
      <c r="A1059" t="s">
        <v>224</v>
      </c>
      <c r="B1059" s="1" t="s">
        <v>229</v>
      </c>
      <c r="C1059" t="s">
        <v>230</v>
      </c>
    </row>
    <row r="1060" spans="1:9">
      <c r="B1060" s="1" t="s">
        <v>229</v>
      </c>
      <c r="D1060" t="s">
        <v>11</v>
      </c>
      <c r="E1060" s="3">
        <v>589</v>
      </c>
      <c r="F1060" s="3">
        <v>582</v>
      </c>
      <c r="G1060" s="3">
        <v>535</v>
      </c>
      <c r="H1060" s="3">
        <v>427</v>
      </c>
      <c r="I1060" s="3">
        <f>VLOOKUP(B1060,[1]Sheet3!$A$13:$E$198,5,TRUE)</f>
        <v>471</v>
      </c>
    </row>
    <row r="1061" spans="1:9">
      <c r="B1061" s="1" t="s">
        <v>229</v>
      </c>
      <c r="D1061" t="s">
        <v>12</v>
      </c>
      <c r="E1061" s="5">
        <v>231023</v>
      </c>
      <c r="F1061" s="5">
        <v>182040</v>
      </c>
      <c r="G1061" s="5">
        <v>164791.9</v>
      </c>
      <c r="H1061" s="5">
        <v>121058.3</v>
      </c>
      <c r="I1061" s="3">
        <f>VLOOKUP(B1061,[1]Sheet3!$A$13:$F$198,6,TRUE)</f>
        <v>152821.70000000001</v>
      </c>
    </row>
    <row r="1062" spans="1:9">
      <c r="B1062" s="1" t="s">
        <v>229</v>
      </c>
      <c r="D1062" t="s">
        <v>23</v>
      </c>
      <c r="E1062" s="5">
        <v>433877</v>
      </c>
      <c r="F1062" s="5">
        <v>397144</v>
      </c>
      <c r="G1062" s="5">
        <v>395574</v>
      </c>
      <c r="H1062" s="5">
        <v>364194.71</v>
      </c>
      <c r="I1062" s="3">
        <f>VLOOKUP(B1062,[1]Sheet3!$A$13:$G$198,7,TRUE)</f>
        <v>392499.87</v>
      </c>
    </row>
    <row r="1063" spans="1:9">
      <c r="B1063" s="1" t="s">
        <v>229</v>
      </c>
      <c r="D1063" t="s">
        <v>14</v>
      </c>
      <c r="E1063" s="5">
        <v>204810.23</v>
      </c>
      <c r="F1063" s="5">
        <v>204810.23</v>
      </c>
      <c r="G1063" s="5">
        <v>180101.74</v>
      </c>
      <c r="H1063" s="5">
        <v>175250.46000000002</v>
      </c>
      <c r="I1063" s="3">
        <f>VLOOKUP(B1063,[1]Sheet3!$A$13:$H$198,8,TRUE)</f>
        <v>171211.5</v>
      </c>
    </row>
    <row r="1064" spans="1:9">
      <c r="B1064" s="1" t="s">
        <v>229</v>
      </c>
      <c r="D1064" t="s">
        <v>15</v>
      </c>
      <c r="E1064" s="5">
        <v>120180.22</v>
      </c>
      <c r="F1064" s="5">
        <v>120420.53</v>
      </c>
      <c r="G1064" s="5">
        <v>105543.42000000001</v>
      </c>
      <c r="H1064" s="5">
        <v>106903.56</v>
      </c>
      <c r="I1064" s="3">
        <f>VLOOKUP(B1064,[1]Sheet3!$A$13:$I$198,9,TRUE)</f>
        <v>105027.3</v>
      </c>
    </row>
    <row r="1065" spans="1:9">
      <c r="B1065" s="1" t="s">
        <v>229</v>
      </c>
      <c r="D1065" t="s">
        <v>16</v>
      </c>
      <c r="E1065" s="5">
        <v>736.63</v>
      </c>
      <c r="F1065" s="5">
        <v>682.38</v>
      </c>
      <c r="G1065" s="5">
        <v>739.39</v>
      </c>
      <c r="H1065" s="5">
        <v>852.92</v>
      </c>
      <c r="I1065" s="5">
        <f>I1062/I1060</f>
        <v>833.33305732484075</v>
      </c>
    </row>
    <row r="1066" spans="1:9">
      <c r="B1066" s="1" t="s">
        <v>229</v>
      </c>
      <c r="D1066" t="s">
        <v>17</v>
      </c>
      <c r="E1066" s="6">
        <v>1.88</v>
      </c>
      <c r="F1066" s="6">
        <v>2.1800000000000002</v>
      </c>
      <c r="G1066" s="6">
        <v>2.4</v>
      </c>
      <c r="H1066" s="6">
        <v>3.01</v>
      </c>
      <c r="I1066" s="7">
        <f>I1062/I1061</f>
        <v>2.5683516804223481</v>
      </c>
    </row>
    <row r="1067" spans="1:9">
      <c r="B1067" s="1" t="s">
        <v>229</v>
      </c>
      <c r="D1067" t="s">
        <v>18</v>
      </c>
      <c r="E1067" s="8">
        <v>0.47199999999999998</v>
      </c>
      <c r="F1067" s="8">
        <v>0.51570000000000005</v>
      </c>
      <c r="G1067" s="8">
        <v>0.45529999999999998</v>
      </c>
      <c r="H1067" s="8">
        <v>0.48120000000000002</v>
      </c>
      <c r="I1067" s="8">
        <f>I1063/I1062</f>
        <v>0.43620778778856667</v>
      </c>
    </row>
    <row r="1068" spans="1:9">
      <c r="B1068" s="1" t="s">
        <v>229</v>
      </c>
      <c r="D1068" t="s">
        <v>19</v>
      </c>
      <c r="E1068" s="8">
        <v>0.58679999999999999</v>
      </c>
      <c r="F1068" s="8">
        <v>0.58799999999999997</v>
      </c>
      <c r="G1068" s="8">
        <v>0.58599999999999997</v>
      </c>
      <c r="H1068" s="8">
        <v>0.61</v>
      </c>
      <c r="I1068" s="8">
        <f>I1064/I1063</f>
        <v>0.61343601335190689</v>
      </c>
    </row>
    <row r="1069" spans="1:9">
      <c r="B1069" s="1" t="s">
        <v>229</v>
      </c>
      <c r="D1069" t="s">
        <v>20</v>
      </c>
      <c r="E1069" s="8">
        <v>0.27700000000000002</v>
      </c>
      <c r="F1069" s="8">
        <v>0.30320000000000003</v>
      </c>
      <c r="G1069" s="8">
        <v>0.26679999999999998</v>
      </c>
      <c r="H1069" s="8">
        <v>0.29349999999999998</v>
      </c>
      <c r="I1069" s="8">
        <f>I1064/I1062</f>
        <v>0.26758556633407293</v>
      </c>
    </row>
    <row r="1070" spans="1:9">
      <c r="B1070" s="1" t="s">
        <v>229</v>
      </c>
    </row>
    <row r="1071" spans="1:9">
      <c r="A1071" t="s">
        <v>231</v>
      </c>
      <c r="B1071" s="1" t="s">
        <v>232</v>
      </c>
      <c r="C1071" t="s">
        <v>233</v>
      </c>
    </row>
    <row r="1072" spans="1:9">
      <c r="B1072" s="1" t="s">
        <v>232</v>
      </c>
      <c r="D1072" t="s">
        <v>11</v>
      </c>
      <c r="E1072" s="3">
        <v>10191</v>
      </c>
      <c r="F1072" s="3">
        <v>11971</v>
      </c>
      <c r="G1072" s="3">
        <v>12128</v>
      </c>
      <c r="H1072" s="3">
        <v>11810</v>
      </c>
      <c r="I1072" s="3">
        <f>VLOOKUP(B1072,[1]Sheet3!$A$13:$E$198,5,TRUE)</f>
        <v>11830</v>
      </c>
    </row>
    <row r="1073" spans="1:9">
      <c r="B1073" s="1" t="s">
        <v>232</v>
      </c>
      <c r="D1073" t="s">
        <v>12</v>
      </c>
      <c r="E1073" s="5">
        <v>2078512.2</v>
      </c>
      <c r="F1073" s="5">
        <v>1848499.5</v>
      </c>
      <c r="G1073" s="5">
        <v>1655940.6</v>
      </c>
      <c r="H1073" s="5">
        <v>2000342.9</v>
      </c>
      <c r="I1073" s="3">
        <f>VLOOKUP(B1073,[1]Sheet3!$A$13:$F$198,6,TRUE)</f>
        <v>2436392.7999999998</v>
      </c>
    </row>
    <row r="1074" spans="1:9">
      <c r="B1074" s="1" t="s">
        <v>232</v>
      </c>
      <c r="D1074" t="s">
        <v>23</v>
      </c>
      <c r="E1074" s="5">
        <v>6418974.96</v>
      </c>
      <c r="F1074" s="5">
        <v>6406934.2000000002</v>
      </c>
      <c r="G1074" s="5">
        <v>5810117.29</v>
      </c>
      <c r="H1074" s="5">
        <v>6085371.7400000002</v>
      </c>
      <c r="I1074" s="3">
        <f>VLOOKUP(B1074,[1]Sheet3!$A$13:$G$198,7,TRUE)</f>
        <v>6277462.0199999996</v>
      </c>
    </row>
    <row r="1075" spans="1:9">
      <c r="B1075" s="1" t="s">
        <v>232</v>
      </c>
      <c r="D1075" t="s">
        <v>14</v>
      </c>
      <c r="E1075" s="5">
        <v>2939959.95</v>
      </c>
      <c r="F1075" s="5">
        <v>2694637.59</v>
      </c>
      <c r="G1075" s="5">
        <v>2632956.31</v>
      </c>
      <c r="H1075" s="5">
        <v>2562069.9</v>
      </c>
      <c r="I1075" s="3">
        <f>VLOOKUP(B1075,[1]Sheet3!$A$13:$H$198,8,TRUE)</f>
        <v>2736332.73</v>
      </c>
    </row>
    <row r="1076" spans="1:9">
      <c r="B1076" s="1" t="s">
        <v>232</v>
      </c>
      <c r="D1076" t="s">
        <v>15</v>
      </c>
      <c r="E1076" s="5">
        <v>1708164.83</v>
      </c>
      <c r="F1076" s="5">
        <v>1560549.29</v>
      </c>
      <c r="G1076" s="5">
        <v>1572901.71</v>
      </c>
      <c r="H1076" s="5">
        <v>1562877.85</v>
      </c>
      <c r="I1076" s="3">
        <f>VLOOKUP(B1076,[1]Sheet3!$A$13:$I$198,9,TRUE)</f>
        <v>1703395.06</v>
      </c>
    </row>
    <row r="1077" spans="1:9">
      <c r="B1077" s="1" t="s">
        <v>232</v>
      </c>
      <c r="D1077" t="s">
        <v>16</v>
      </c>
      <c r="E1077" s="5">
        <v>629.87</v>
      </c>
      <c r="F1077" s="5">
        <v>535.20000000000005</v>
      </c>
      <c r="G1077" s="5">
        <v>479.07</v>
      </c>
      <c r="H1077" s="5">
        <v>515.27</v>
      </c>
      <c r="I1077" s="5">
        <f>I1074/I1072</f>
        <v>530.63922400676245</v>
      </c>
    </row>
    <row r="1078" spans="1:9">
      <c r="B1078" s="1" t="s">
        <v>232</v>
      </c>
      <c r="D1078" t="s">
        <v>17</v>
      </c>
      <c r="E1078" s="6">
        <v>3.09</v>
      </c>
      <c r="F1078" s="6">
        <v>3.47</v>
      </c>
      <c r="G1078" s="6">
        <v>3.51</v>
      </c>
      <c r="H1078" s="6">
        <v>3.04</v>
      </c>
      <c r="I1078" s="7">
        <f>I1074/I1073</f>
        <v>2.5765393905284895</v>
      </c>
    </row>
    <row r="1079" spans="1:9">
      <c r="B1079" s="1" t="s">
        <v>232</v>
      </c>
      <c r="D1079" t="s">
        <v>18</v>
      </c>
      <c r="E1079" s="8">
        <v>0.45800000000000002</v>
      </c>
      <c r="F1079" s="8">
        <v>0.42059999999999997</v>
      </c>
      <c r="G1079" s="8">
        <v>0.45319999999999999</v>
      </c>
      <c r="H1079" s="8">
        <v>0.42099999999999999</v>
      </c>
      <c r="I1079" s="8">
        <f>I1075/I1074</f>
        <v>0.43589793475166261</v>
      </c>
    </row>
    <row r="1080" spans="1:9">
      <c r="B1080" s="1" t="s">
        <v>232</v>
      </c>
      <c r="D1080" t="s">
        <v>19</v>
      </c>
      <c r="E1080" s="8">
        <v>0.58099999999999996</v>
      </c>
      <c r="F1080" s="8">
        <v>0.57909999999999995</v>
      </c>
      <c r="G1080" s="8">
        <v>0.59740000000000004</v>
      </c>
      <c r="H1080" s="8">
        <v>0.61</v>
      </c>
      <c r="I1080" s="8">
        <f>I1076/I1075</f>
        <v>0.62251020912942856</v>
      </c>
    </row>
    <row r="1081" spans="1:9">
      <c r="B1081" s="1" t="s">
        <v>232</v>
      </c>
      <c r="D1081" t="s">
        <v>20</v>
      </c>
      <c r="E1081" s="8">
        <v>0.2661</v>
      </c>
      <c r="F1081" s="8">
        <v>0.24360000000000001</v>
      </c>
      <c r="G1081" s="8">
        <v>0.2707</v>
      </c>
      <c r="H1081" s="8">
        <v>0.25679999999999997</v>
      </c>
      <c r="I1081" s="8">
        <f>I1076/I1074</f>
        <v>0.27135091452134347</v>
      </c>
    </row>
    <row r="1082" spans="1:9">
      <c r="B1082" s="1" t="s">
        <v>232</v>
      </c>
    </row>
    <row r="1083" spans="1:9">
      <c r="A1083" t="s">
        <v>231</v>
      </c>
      <c r="B1083" s="1" t="s">
        <v>234</v>
      </c>
      <c r="C1083" t="s">
        <v>235</v>
      </c>
    </row>
    <row r="1084" spans="1:9">
      <c r="B1084" s="1" t="s">
        <v>234</v>
      </c>
      <c r="D1084" t="s">
        <v>11</v>
      </c>
      <c r="E1084" s="3">
        <v>5521</v>
      </c>
      <c r="F1084" s="3">
        <v>5394</v>
      </c>
      <c r="G1084" s="3">
        <v>5086</v>
      </c>
      <c r="H1084" s="3">
        <v>5149</v>
      </c>
      <c r="I1084" s="3">
        <f>VLOOKUP(B1084,[1]Sheet3!$A$13:$E$198,5,TRUE)</f>
        <v>4877</v>
      </c>
    </row>
    <row r="1085" spans="1:9">
      <c r="B1085" s="1" t="s">
        <v>234</v>
      </c>
      <c r="D1085" t="s">
        <v>12</v>
      </c>
      <c r="E1085" s="5">
        <v>1032077</v>
      </c>
      <c r="F1085" s="5">
        <v>1145045</v>
      </c>
      <c r="G1085" s="5">
        <v>1003515</v>
      </c>
      <c r="H1085" s="5">
        <v>1030284</v>
      </c>
      <c r="I1085" s="3">
        <f>VLOOKUP(B1085,[1]Sheet3!$A$13:$F$198,6,TRUE)</f>
        <v>1071340</v>
      </c>
    </row>
    <row r="1086" spans="1:9">
      <c r="B1086" s="1" t="s">
        <v>234</v>
      </c>
      <c r="D1086" t="s">
        <v>23</v>
      </c>
      <c r="E1086" s="5">
        <v>3450310</v>
      </c>
      <c r="F1086" s="5">
        <v>3749574</v>
      </c>
      <c r="G1086" s="5">
        <v>3690632</v>
      </c>
      <c r="H1086" s="5">
        <v>3975820</v>
      </c>
      <c r="I1086" s="3">
        <f>VLOOKUP(B1086,[1]Sheet3!$A$13:$G$198,7,TRUE)</f>
        <v>3939153</v>
      </c>
    </row>
    <row r="1087" spans="1:9">
      <c r="B1087" s="1" t="s">
        <v>234</v>
      </c>
      <c r="D1087" t="s">
        <v>14</v>
      </c>
      <c r="E1087" s="5">
        <v>1427087.49</v>
      </c>
      <c r="F1087" s="5">
        <v>1556739.27</v>
      </c>
      <c r="G1087" s="5">
        <v>1556739.27</v>
      </c>
      <c r="H1087" s="5">
        <v>1604628.7</v>
      </c>
      <c r="I1087" s="3">
        <f>VLOOKUP(B1087,[1]Sheet3!$A$13:$H$198,8,TRUE)</f>
        <v>1602491.42</v>
      </c>
    </row>
    <row r="1088" spans="1:9">
      <c r="B1088" s="1" t="s">
        <v>234</v>
      </c>
      <c r="D1088" t="s">
        <v>15</v>
      </c>
      <c r="E1088" s="5">
        <v>834067.75</v>
      </c>
      <c r="F1088" s="5">
        <v>928055.21</v>
      </c>
      <c r="G1088" s="5">
        <v>933625.5</v>
      </c>
      <c r="H1088" s="5">
        <v>988353.8</v>
      </c>
      <c r="I1088" s="3">
        <f>VLOOKUP(B1088,[1]Sheet3!$A$13:$I$198,9,TRUE)</f>
        <v>988272.78</v>
      </c>
    </row>
    <row r="1089" spans="1:9">
      <c r="B1089" s="1" t="s">
        <v>234</v>
      </c>
      <c r="D1089" t="s">
        <v>16</v>
      </c>
      <c r="E1089" s="5">
        <v>624.94000000000005</v>
      </c>
      <c r="F1089" s="5">
        <v>695.14</v>
      </c>
      <c r="G1089" s="5">
        <v>725.65</v>
      </c>
      <c r="H1089" s="5">
        <v>772.15</v>
      </c>
      <c r="I1089" s="5">
        <f>I1086/I1084</f>
        <v>807.70002050440849</v>
      </c>
    </row>
    <row r="1090" spans="1:9">
      <c r="B1090" s="1" t="s">
        <v>234</v>
      </c>
      <c r="D1090" t="s">
        <v>17</v>
      </c>
      <c r="E1090" s="6">
        <v>3.34</v>
      </c>
      <c r="F1090" s="6">
        <v>3.27</v>
      </c>
      <c r="G1090" s="6">
        <v>3.68</v>
      </c>
      <c r="H1090" s="6">
        <v>3.86</v>
      </c>
      <c r="I1090" s="7">
        <f>I1086/I1085</f>
        <v>3.6768467526648871</v>
      </c>
    </row>
    <row r="1091" spans="1:9">
      <c r="B1091" s="1" t="s">
        <v>234</v>
      </c>
      <c r="D1091" t="s">
        <v>18</v>
      </c>
      <c r="E1091" s="8">
        <v>0.41360000000000002</v>
      </c>
      <c r="F1091" s="8">
        <v>0.41520000000000001</v>
      </c>
      <c r="G1091" s="8">
        <v>0.42180000000000001</v>
      </c>
      <c r="H1091" s="8">
        <v>0.40360000000000001</v>
      </c>
      <c r="I1091" s="8">
        <f>I1087/I1086</f>
        <v>0.40681116473516005</v>
      </c>
    </row>
    <row r="1092" spans="1:9">
      <c r="B1092" s="1" t="s">
        <v>234</v>
      </c>
      <c r="D1092" t="s">
        <v>19</v>
      </c>
      <c r="E1092" s="8">
        <v>0.58450000000000002</v>
      </c>
      <c r="F1092" s="8">
        <v>0.59619999999999995</v>
      </c>
      <c r="G1092" s="8">
        <v>0.59970000000000001</v>
      </c>
      <c r="H1092" s="8">
        <v>0.6159</v>
      </c>
      <c r="I1092" s="8">
        <f>I1088/I1087</f>
        <v>0.61671018494439123</v>
      </c>
    </row>
    <row r="1093" spans="1:9">
      <c r="B1093" s="1" t="s">
        <v>234</v>
      </c>
      <c r="D1093" t="s">
        <v>20</v>
      </c>
      <c r="E1093" s="8">
        <v>0.2417</v>
      </c>
      <c r="F1093" s="8">
        <v>0.2475</v>
      </c>
      <c r="G1093" s="8">
        <v>0.253</v>
      </c>
      <c r="H1093" s="8">
        <v>0.24859999999999999</v>
      </c>
      <c r="I1093" s="8">
        <f>I1088/I1086</f>
        <v>0.25088458864126373</v>
      </c>
    </row>
    <row r="1094" spans="1:9">
      <c r="B1094" s="1" t="s">
        <v>234</v>
      </c>
    </row>
    <row r="1095" spans="1:9">
      <c r="A1095" t="s">
        <v>231</v>
      </c>
      <c r="B1095" s="1">
        <v>1570</v>
      </c>
      <c r="C1095" t="s">
        <v>236</v>
      </c>
    </row>
    <row r="1096" spans="1:9">
      <c r="B1096" s="1">
        <v>1570</v>
      </c>
      <c r="D1096" t="s">
        <v>11</v>
      </c>
      <c r="E1096" s="3">
        <v>1186</v>
      </c>
      <c r="F1096" s="3">
        <v>1210</v>
      </c>
      <c r="G1096" s="3">
        <v>1159</v>
      </c>
      <c r="H1096" s="3">
        <v>1175</v>
      </c>
      <c r="I1096" s="3">
        <f>VLOOKUP(B1096,[1]Sheet3!$A$13:$E$198,5,TRUE)</f>
        <v>1139</v>
      </c>
    </row>
    <row r="1097" spans="1:9">
      <c r="B1097" s="1">
        <v>1570</v>
      </c>
      <c r="D1097" t="s">
        <v>12</v>
      </c>
      <c r="E1097" s="5">
        <v>63296</v>
      </c>
      <c r="F1097" s="5">
        <v>50445</v>
      </c>
      <c r="G1097" s="5">
        <v>76104</v>
      </c>
      <c r="H1097" s="5">
        <v>76950</v>
      </c>
      <c r="I1097" s="3">
        <f>VLOOKUP(B1097,[1]Sheet3!$A$13:$F$198,6,TRUE)</f>
        <v>78147</v>
      </c>
    </row>
    <row r="1098" spans="1:9">
      <c r="B1098" s="1">
        <v>1570</v>
      </c>
      <c r="D1098" t="s">
        <v>23</v>
      </c>
      <c r="E1098" s="5">
        <v>193678.74</v>
      </c>
      <c r="F1098" s="5">
        <v>207840.69</v>
      </c>
      <c r="G1098" s="5">
        <v>265439.71000000002</v>
      </c>
      <c r="H1098" s="5">
        <v>293147.58</v>
      </c>
      <c r="I1098" s="3">
        <f>VLOOKUP(B1098,[1]Sheet3!$A$13:$G$198,7,TRUE)</f>
        <v>303251.68</v>
      </c>
    </row>
    <row r="1099" spans="1:9">
      <c r="B1099" s="1">
        <v>1570</v>
      </c>
      <c r="D1099" t="s">
        <v>14</v>
      </c>
      <c r="E1099" s="5">
        <v>81450.48</v>
      </c>
      <c r="F1099" s="5">
        <v>83028.800000000003</v>
      </c>
      <c r="G1099" s="5">
        <v>108963.48</v>
      </c>
      <c r="H1099" s="5">
        <v>118560.01</v>
      </c>
      <c r="I1099" s="3">
        <f>VLOOKUP(B1099,[1]Sheet3!$A$13:$H$198,8,TRUE)</f>
        <v>122282.03</v>
      </c>
    </row>
    <row r="1100" spans="1:9">
      <c r="B1100" s="1">
        <v>1570</v>
      </c>
      <c r="D1100" t="s">
        <v>15</v>
      </c>
      <c r="E1100" s="5">
        <v>48359.519999999997</v>
      </c>
      <c r="F1100" s="5">
        <v>48970.82</v>
      </c>
      <c r="G1100" s="5">
        <v>67940.509999999995</v>
      </c>
      <c r="H1100" s="5">
        <v>73651.39</v>
      </c>
      <c r="I1100" s="3">
        <f>VLOOKUP(B1100,[1]Sheet3!$A$13:$I$198,9,TRUE)</f>
        <v>75699.12</v>
      </c>
    </row>
    <row r="1101" spans="1:9">
      <c r="B1101" s="1">
        <v>1570</v>
      </c>
      <c r="D1101" t="s">
        <v>16</v>
      </c>
      <c r="E1101" s="5">
        <v>163.30000000000001</v>
      </c>
      <c r="F1101" s="5">
        <v>171.77</v>
      </c>
      <c r="G1101" s="5">
        <v>229.02</v>
      </c>
      <c r="H1101" s="5">
        <v>249.49</v>
      </c>
      <c r="I1101" s="5">
        <f>I1098/I1096</f>
        <v>266.24379280070235</v>
      </c>
    </row>
    <row r="1102" spans="1:9">
      <c r="B1102" s="1">
        <v>1570</v>
      </c>
      <c r="D1102" t="s">
        <v>17</v>
      </c>
      <c r="E1102" s="6">
        <v>3.06</v>
      </c>
      <c r="F1102" s="6">
        <v>4.12</v>
      </c>
      <c r="G1102" s="6">
        <v>3.49</v>
      </c>
      <c r="H1102" s="6">
        <v>3.81</v>
      </c>
      <c r="I1102" s="7">
        <f>I1098/I1097</f>
        <v>3.8805287471048153</v>
      </c>
    </row>
    <row r="1103" spans="1:9">
      <c r="B1103" s="1">
        <v>1570</v>
      </c>
      <c r="D1103" t="s">
        <v>18</v>
      </c>
      <c r="E1103" s="8">
        <v>0.42049999999999998</v>
      </c>
      <c r="F1103" s="8">
        <v>0.39950000000000002</v>
      </c>
      <c r="G1103" s="8">
        <v>0.41049999999999998</v>
      </c>
      <c r="H1103" s="8">
        <v>0.40439999999999998</v>
      </c>
      <c r="I1103" s="8">
        <f>I1099/I1098</f>
        <v>0.40323611727394221</v>
      </c>
    </row>
    <row r="1104" spans="1:9">
      <c r="B1104" s="1">
        <v>1570</v>
      </c>
      <c r="D1104" t="s">
        <v>19</v>
      </c>
      <c r="E1104" s="8">
        <v>0.59370000000000001</v>
      </c>
      <c r="F1104" s="8">
        <v>0.58979999999999999</v>
      </c>
      <c r="G1104" s="8">
        <v>0.62350000000000005</v>
      </c>
      <c r="H1104" s="8">
        <v>0.62119999999999997</v>
      </c>
      <c r="I1104" s="8">
        <f>I1100/I1099</f>
        <v>0.61905351096968209</v>
      </c>
    </row>
    <row r="1105" spans="1:9">
      <c r="B1105" s="1">
        <v>1570</v>
      </c>
      <c r="D1105" t="s">
        <v>20</v>
      </c>
      <c r="E1105" s="8">
        <v>0.24970000000000001</v>
      </c>
      <c r="F1105" s="8">
        <v>0.2356</v>
      </c>
      <c r="G1105" s="8">
        <v>0.25600000000000001</v>
      </c>
      <c r="H1105" s="8">
        <v>0.25119999999999998</v>
      </c>
      <c r="I1105" s="8">
        <f>I1100/I1098</f>
        <v>0.24962473414821643</v>
      </c>
    </row>
    <row r="1106" spans="1:9">
      <c r="B1106" s="1">
        <v>1570</v>
      </c>
    </row>
    <row r="1107" spans="1:9">
      <c r="A1107" t="s">
        <v>237</v>
      </c>
      <c r="B1107" s="1" t="s">
        <v>238</v>
      </c>
      <c r="C1107" t="s">
        <v>239</v>
      </c>
    </row>
    <row r="1108" spans="1:9">
      <c r="B1108" s="1" t="s">
        <v>238</v>
      </c>
      <c r="D1108" t="s">
        <v>11</v>
      </c>
      <c r="E1108" s="3">
        <v>922</v>
      </c>
      <c r="F1108" s="3">
        <v>894</v>
      </c>
      <c r="G1108" s="3">
        <v>877</v>
      </c>
      <c r="H1108" s="3">
        <v>892</v>
      </c>
      <c r="I1108" s="3">
        <f>VLOOKUP(B1108,[1]Sheet3!$A$13:$E$198,5,TRUE)</f>
        <v>811</v>
      </c>
    </row>
    <row r="1109" spans="1:9">
      <c r="B1109" s="1" t="s">
        <v>238</v>
      </c>
      <c r="D1109" t="s">
        <v>12</v>
      </c>
      <c r="E1109" s="5">
        <v>77760</v>
      </c>
      <c r="F1109" s="5">
        <v>63666</v>
      </c>
      <c r="G1109" s="5">
        <v>64998</v>
      </c>
      <c r="H1109" s="5">
        <v>55500</v>
      </c>
      <c r="I1109" s="3">
        <f>VLOOKUP(B1109,[1]Sheet3!$A$13:$F$198,6,TRUE)</f>
        <v>55350</v>
      </c>
    </row>
    <row r="1110" spans="1:9">
      <c r="B1110" s="1" t="s">
        <v>238</v>
      </c>
      <c r="D1110" t="s">
        <v>23</v>
      </c>
      <c r="E1110" s="5">
        <v>338381.47</v>
      </c>
      <c r="F1110" s="5">
        <v>277618.8</v>
      </c>
      <c r="G1110" s="5">
        <v>277273.43</v>
      </c>
      <c r="H1110" s="5">
        <v>289906</v>
      </c>
      <c r="I1110" s="3">
        <f>VLOOKUP(B1110,[1]Sheet3!$A$13:$G$198,7,TRUE)</f>
        <v>234462.81</v>
      </c>
    </row>
    <row r="1111" spans="1:9">
      <c r="B1111" s="1" t="s">
        <v>238</v>
      </c>
      <c r="D1111" t="s">
        <v>14</v>
      </c>
      <c r="E1111" s="5">
        <v>134083.57</v>
      </c>
      <c r="F1111" s="5">
        <v>134083.57</v>
      </c>
      <c r="G1111" s="5">
        <v>110190.24</v>
      </c>
      <c r="H1111" s="5">
        <v>112090.26999999999</v>
      </c>
      <c r="I1111" s="3">
        <f>VLOOKUP(B1111,[1]Sheet3!$A$13:$H$198,8,TRUE)</f>
        <v>93274.1</v>
      </c>
    </row>
    <row r="1112" spans="1:9">
      <c r="B1112" s="1" t="s">
        <v>238</v>
      </c>
      <c r="D1112" t="s">
        <v>15</v>
      </c>
      <c r="E1112" s="5">
        <v>79435.850000000006</v>
      </c>
      <c r="F1112" s="5">
        <v>78835.98</v>
      </c>
      <c r="G1112" s="5">
        <v>63696.789999999994</v>
      </c>
      <c r="H1112" s="5">
        <v>68891.94</v>
      </c>
      <c r="I1112" s="3">
        <f>VLOOKUP(B1112,[1]Sheet3!$A$13:$I$198,9,TRUE)</f>
        <v>69035.14</v>
      </c>
    </row>
    <row r="1113" spans="1:9">
      <c r="B1113" s="1" t="s">
        <v>238</v>
      </c>
      <c r="D1113" t="s">
        <v>16</v>
      </c>
      <c r="E1113" s="5">
        <v>367.01</v>
      </c>
      <c r="F1113" s="5">
        <v>310.54000000000002</v>
      </c>
      <c r="G1113" s="5">
        <v>316.16000000000003</v>
      </c>
      <c r="H1113" s="5">
        <v>325.01</v>
      </c>
      <c r="I1113" s="5">
        <f>I1110/I1108</f>
        <v>289.10334155363751</v>
      </c>
    </row>
    <row r="1114" spans="1:9">
      <c r="B1114" s="1" t="s">
        <v>238</v>
      </c>
      <c r="D1114" t="s">
        <v>17</v>
      </c>
      <c r="E1114" s="6">
        <v>4.3499999999999996</v>
      </c>
      <c r="F1114" s="6">
        <v>4.3600000000000003</v>
      </c>
      <c r="G1114" s="6">
        <v>4.2699999999999996</v>
      </c>
      <c r="H1114" s="6">
        <v>5.22</v>
      </c>
      <c r="I1114" s="7">
        <f>I1110/I1109</f>
        <v>4.2360037940379405</v>
      </c>
    </row>
    <row r="1115" spans="1:9">
      <c r="B1115" s="1" t="s">
        <v>238</v>
      </c>
      <c r="D1115" t="s">
        <v>18</v>
      </c>
      <c r="E1115" s="8">
        <v>0.3962</v>
      </c>
      <c r="F1115" s="8">
        <v>0.48299999999999998</v>
      </c>
      <c r="G1115" s="8">
        <v>0.39739999999999998</v>
      </c>
      <c r="H1115" s="8">
        <v>0.3866</v>
      </c>
      <c r="I1115" s="8">
        <f>I1111/I1110</f>
        <v>0.39782044751574891</v>
      </c>
    </row>
    <row r="1116" spans="1:9">
      <c r="B1116" s="1" t="s">
        <v>238</v>
      </c>
      <c r="D1116" t="s">
        <v>19</v>
      </c>
      <c r="E1116" s="8">
        <v>0.59240000000000004</v>
      </c>
      <c r="F1116" s="8">
        <v>0.58799999999999997</v>
      </c>
      <c r="G1116" s="8">
        <v>0.57809999999999995</v>
      </c>
      <c r="H1116" s="8">
        <v>0.61460000000000004</v>
      </c>
      <c r="I1116" s="8">
        <f>I1112/I1111</f>
        <v>0.74013193373079977</v>
      </c>
    </row>
    <row r="1117" spans="1:9">
      <c r="B1117" s="1" t="s">
        <v>238</v>
      </c>
      <c r="D1117" t="s">
        <v>20</v>
      </c>
      <c r="E1117" s="8">
        <v>0.23480000000000001</v>
      </c>
      <c r="F1117" s="8">
        <v>0.28399999999999997</v>
      </c>
      <c r="G1117" s="8">
        <v>0.22969999999999999</v>
      </c>
      <c r="H1117" s="8">
        <v>0.23760000000000001</v>
      </c>
      <c r="I1117" s="8">
        <f>I1112/I1110</f>
        <v>0.2944396170974834</v>
      </c>
    </row>
    <row r="1118" spans="1:9">
      <c r="B1118" s="1" t="s">
        <v>238</v>
      </c>
    </row>
    <row r="1119" spans="1:9">
      <c r="A1119" t="s">
        <v>237</v>
      </c>
      <c r="B1119" s="1" t="s">
        <v>240</v>
      </c>
      <c r="C1119" t="s">
        <v>241</v>
      </c>
    </row>
    <row r="1120" spans="1:9">
      <c r="B1120" s="1" t="s">
        <v>240</v>
      </c>
      <c r="D1120" t="s">
        <v>11</v>
      </c>
      <c r="E1120" s="3">
        <v>209</v>
      </c>
      <c r="F1120" s="3">
        <v>231</v>
      </c>
      <c r="G1120" s="3">
        <v>219</v>
      </c>
      <c r="H1120" s="3">
        <v>168</v>
      </c>
      <c r="I1120" s="3">
        <f>VLOOKUP(B1120,[1]Sheet3!$A$13:$E$198,5,TRUE)</f>
        <v>181</v>
      </c>
    </row>
    <row r="1121" spans="1:9">
      <c r="B1121" s="1" t="s">
        <v>240</v>
      </c>
      <c r="D1121" t="s">
        <v>12</v>
      </c>
      <c r="E1121" s="5">
        <v>43428</v>
      </c>
      <c r="F1121" s="5">
        <v>47748</v>
      </c>
      <c r="G1121" s="5">
        <v>41511</v>
      </c>
      <c r="H1121" s="5">
        <v>44979</v>
      </c>
      <c r="I1121" s="3">
        <f>VLOOKUP(B1121,[1]Sheet3!$A$13:$F$198,6,TRUE)</f>
        <v>49248</v>
      </c>
    </row>
    <row r="1122" spans="1:9">
      <c r="B1122" s="1" t="s">
        <v>240</v>
      </c>
      <c r="D1122" t="s">
        <v>23</v>
      </c>
      <c r="E1122" s="5">
        <v>235025.22</v>
      </c>
      <c r="F1122" s="5">
        <v>138612.37</v>
      </c>
      <c r="G1122" s="5">
        <v>118154.46</v>
      </c>
      <c r="H1122" s="5">
        <v>168187.35</v>
      </c>
      <c r="I1122" s="3">
        <f>VLOOKUP(B1122,[1]Sheet3!$A$13:$G$198,7,TRUE)</f>
        <v>227916.86</v>
      </c>
    </row>
    <row r="1123" spans="1:9">
      <c r="B1123" s="1" t="s">
        <v>240</v>
      </c>
      <c r="D1123" t="s">
        <v>14</v>
      </c>
      <c r="E1123" s="5">
        <v>90478.9</v>
      </c>
      <c r="F1123" s="5">
        <v>90478.9</v>
      </c>
      <c r="G1123" s="5">
        <v>58905.75</v>
      </c>
      <c r="H1123" s="5">
        <v>68229.34</v>
      </c>
      <c r="I1123" s="3">
        <f>VLOOKUP(B1123,[1]Sheet3!$A$13:$H$198,8,TRUE)</f>
        <v>89528.83</v>
      </c>
    </row>
    <row r="1124" spans="1:9">
      <c r="B1124" s="1" t="s">
        <v>240</v>
      </c>
      <c r="D1124" t="s">
        <v>15</v>
      </c>
      <c r="E1124" s="5">
        <v>54025.049999999996</v>
      </c>
      <c r="F1124" s="5">
        <v>53198.11</v>
      </c>
      <c r="G1124" s="5">
        <v>32172.42</v>
      </c>
      <c r="H1124" s="5">
        <v>42777.49</v>
      </c>
      <c r="I1124" s="3">
        <f>VLOOKUP(B1124,[1]Sheet3!$A$13:$I$198,9,TRUE)</f>
        <v>57354.36</v>
      </c>
    </row>
    <row r="1125" spans="1:9">
      <c r="B1125" s="1" t="s">
        <v>240</v>
      </c>
      <c r="D1125" t="s">
        <v>16</v>
      </c>
      <c r="E1125" s="5">
        <v>1124.52</v>
      </c>
      <c r="F1125" s="5">
        <v>600.04999999999995</v>
      </c>
      <c r="G1125" s="5">
        <v>539.52</v>
      </c>
      <c r="H1125" s="5">
        <v>1001.12</v>
      </c>
      <c r="I1125" s="5">
        <f>I1122/I1120</f>
        <v>1259.2091712707181</v>
      </c>
    </row>
    <row r="1126" spans="1:9">
      <c r="B1126" s="1" t="s">
        <v>240</v>
      </c>
      <c r="D1126" t="s">
        <v>17</v>
      </c>
      <c r="E1126" s="6">
        <v>5.41</v>
      </c>
      <c r="F1126" s="6">
        <v>2.9</v>
      </c>
      <c r="G1126" s="6">
        <v>2.85</v>
      </c>
      <c r="H1126" s="6">
        <v>3.74</v>
      </c>
      <c r="I1126" s="7">
        <f>I1122/I1121</f>
        <v>4.6279414392462632</v>
      </c>
    </row>
    <row r="1127" spans="1:9">
      <c r="B1127" s="1" t="s">
        <v>240</v>
      </c>
      <c r="D1127" t="s">
        <v>18</v>
      </c>
      <c r="E1127" s="8">
        <v>0.38500000000000001</v>
      </c>
      <c r="F1127" s="8">
        <v>0.65269999999999995</v>
      </c>
      <c r="G1127" s="8">
        <v>0.4985</v>
      </c>
      <c r="H1127" s="8">
        <v>0.40570000000000001</v>
      </c>
      <c r="I1127" s="8">
        <f>I1123/I1122</f>
        <v>0.39281354613256786</v>
      </c>
    </row>
    <row r="1128" spans="1:9">
      <c r="B1128" s="1" t="s">
        <v>240</v>
      </c>
      <c r="D1128" t="s">
        <v>19</v>
      </c>
      <c r="E1128" s="8">
        <v>0.59709999999999996</v>
      </c>
      <c r="F1128" s="8">
        <v>0.58799999999999997</v>
      </c>
      <c r="G1128" s="8">
        <v>0.54620000000000002</v>
      </c>
      <c r="H1128" s="8">
        <v>0.627</v>
      </c>
      <c r="I1128" s="8">
        <f>I1124/I1123</f>
        <v>0.64062447817088641</v>
      </c>
    </row>
    <row r="1129" spans="1:9">
      <c r="B1129" s="1" t="s">
        <v>240</v>
      </c>
      <c r="D1129" t="s">
        <v>20</v>
      </c>
      <c r="E1129" s="8">
        <v>0.22989999999999999</v>
      </c>
      <c r="F1129" s="8">
        <v>0.38379999999999997</v>
      </c>
      <c r="G1129" s="8">
        <v>0.27229999999999999</v>
      </c>
      <c r="H1129" s="8">
        <v>0.25430000000000003</v>
      </c>
      <c r="I1129" s="8">
        <f>I1124/I1122</f>
        <v>0.25164597300963171</v>
      </c>
    </row>
    <row r="1130" spans="1:9">
      <c r="B1130" s="1" t="s">
        <v>240</v>
      </c>
    </row>
    <row r="1131" spans="1:9">
      <c r="A1131" t="s">
        <v>237</v>
      </c>
      <c r="B1131" s="1" t="s">
        <v>242</v>
      </c>
      <c r="C1131" t="s">
        <v>243</v>
      </c>
    </row>
    <row r="1132" spans="1:9">
      <c r="B1132" s="1" t="s">
        <v>242</v>
      </c>
      <c r="D1132" t="s">
        <v>11</v>
      </c>
      <c r="E1132" s="3">
        <v>313</v>
      </c>
      <c r="F1132" s="3">
        <v>311</v>
      </c>
      <c r="G1132" s="3">
        <v>260</v>
      </c>
      <c r="H1132" s="3">
        <v>310</v>
      </c>
      <c r="I1132" s="3">
        <f>VLOOKUP(B1132,[1]Sheet3!$A$13:$E$198,5,TRUE)</f>
        <v>310</v>
      </c>
    </row>
    <row r="1133" spans="1:9">
      <c r="B1133" s="1" t="s">
        <v>242</v>
      </c>
      <c r="D1133" t="s">
        <v>12</v>
      </c>
      <c r="E1133" s="5">
        <v>61548</v>
      </c>
      <c r="F1133" s="5">
        <v>99524</v>
      </c>
      <c r="G1133" s="5">
        <v>61053</v>
      </c>
      <c r="H1133" s="5">
        <v>56434</v>
      </c>
      <c r="I1133" s="3">
        <f>VLOOKUP(B1133,[1]Sheet3!$A$13:$F$198,6,TRUE)</f>
        <v>66693</v>
      </c>
    </row>
    <row r="1134" spans="1:9">
      <c r="B1134" s="1" t="s">
        <v>242</v>
      </c>
      <c r="D1134" t="s">
        <v>23</v>
      </c>
      <c r="E1134" s="5">
        <v>197112</v>
      </c>
      <c r="F1134" s="5">
        <v>233868</v>
      </c>
      <c r="G1134" s="5">
        <v>198662.49</v>
      </c>
      <c r="H1134" s="5">
        <v>151363.98000000001</v>
      </c>
      <c r="I1134" s="3">
        <f>VLOOKUP(B1134,[1]Sheet3!$A$13:$G$198,7,TRUE)</f>
        <v>175689</v>
      </c>
    </row>
    <row r="1135" spans="1:9">
      <c r="B1135" s="1" t="s">
        <v>242</v>
      </c>
      <c r="D1135" t="s">
        <v>14</v>
      </c>
      <c r="E1135" s="5">
        <v>92638.1</v>
      </c>
      <c r="F1135" s="5">
        <v>104135.32</v>
      </c>
      <c r="G1135" s="5">
        <v>104135.32</v>
      </c>
      <c r="H1135" s="5">
        <v>82576.75</v>
      </c>
      <c r="I1135" s="3">
        <f>VLOOKUP(B1135,[1]Sheet3!$A$13:$H$198,8,TRUE)</f>
        <v>76208.08</v>
      </c>
    </row>
    <row r="1136" spans="1:9">
      <c r="B1136" s="1" t="s">
        <v>242</v>
      </c>
      <c r="D1136" t="s">
        <v>15</v>
      </c>
      <c r="E1136" s="5">
        <v>53058.44</v>
      </c>
      <c r="F1136" s="5">
        <v>62342.680000000008</v>
      </c>
      <c r="G1136" s="5">
        <v>62453.180000000008</v>
      </c>
      <c r="H1136" s="5">
        <v>48382.95</v>
      </c>
      <c r="I1136" s="3">
        <f>VLOOKUP(B1136,[1]Sheet3!$A$13:$I$198,9,TRUE)</f>
        <v>46273.54</v>
      </c>
    </row>
    <row r="1137" spans="1:9">
      <c r="B1137" s="1" t="s">
        <v>242</v>
      </c>
      <c r="D1137" t="s">
        <v>16</v>
      </c>
      <c r="E1137" s="5">
        <v>629.75</v>
      </c>
      <c r="F1137" s="5">
        <v>751.99</v>
      </c>
      <c r="G1137" s="5">
        <v>764.09</v>
      </c>
      <c r="H1137" s="5">
        <v>488.27</v>
      </c>
      <c r="I1137" s="5">
        <f>I1134/I1132</f>
        <v>566.73870967741937</v>
      </c>
    </row>
    <row r="1138" spans="1:9">
      <c r="B1138" s="1" t="s">
        <v>242</v>
      </c>
      <c r="D1138" t="s">
        <v>17</v>
      </c>
      <c r="E1138" s="6">
        <v>3.2</v>
      </c>
      <c r="F1138" s="6">
        <v>2.35</v>
      </c>
      <c r="G1138" s="6">
        <v>3.25</v>
      </c>
      <c r="H1138" s="6">
        <v>2.68</v>
      </c>
      <c r="I1138" s="7">
        <f>I1134/I1133</f>
        <v>2.6342944536907922</v>
      </c>
    </row>
    <row r="1139" spans="1:9">
      <c r="B1139" s="1" t="s">
        <v>242</v>
      </c>
      <c r="D1139" t="s">
        <v>18</v>
      </c>
      <c r="E1139" s="8">
        <v>0.47</v>
      </c>
      <c r="F1139" s="8">
        <v>0.44529999999999997</v>
      </c>
      <c r="G1139" s="8">
        <v>0.5242</v>
      </c>
      <c r="H1139" s="8">
        <v>0.54559999999999997</v>
      </c>
      <c r="I1139" s="8">
        <f>I1135/I1134</f>
        <v>0.43376694044590158</v>
      </c>
    </row>
    <row r="1140" spans="1:9">
      <c r="B1140" s="1" t="s">
        <v>242</v>
      </c>
      <c r="D1140" t="s">
        <v>19</v>
      </c>
      <c r="E1140" s="8">
        <v>0.57269999999999999</v>
      </c>
      <c r="F1140" s="8">
        <v>0.59870000000000001</v>
      </c>
      <c r="G1140" s="8">
        <v>0.59970000000000001</v>
      </c>
      <c r="H1140" s="8">
        <v>0.58589999999999998</v>
      </c>
      <c r="I1140" s="8">
        <f>I1136/I1135</f>
        <v>0.6071999189587246</v>
      </c>
    </row>
    <row r="1141" spans="1:9">
      <c r="B1141" s="1" t="s">
        <v>242</v>
      </c>
      <c r="D1141" t="s">
        <v>20</v>
      </c>
      <c r="E1141" s="8">
        <v>0.26919999999999999</v>
      </c>
      <c r="F1141" s="8">
        <v>0.2666</v>
      </c>
      <c r="G1141" s="8">
        <v>0.31440000000000001</v>
      </c>
      <c r="H1141" s="8">
        <v>0.3196</v>
      </c>
      <c r="I1141" s="8">
        <f>I1136/I1134</f>
        <v>0.26338325108572536</v>
      </c>
    </row>
    <row r="1142" spans="1:9">
      <c r="B1142" s="1" t="s">
        <v>242</v>
      </c>
    </row>
    <row r="1143" spans="1:9">
      <c r="A1143" t="s">
        <v>237</v>
      </c>
      <c r="B1143" s="1" t="s">
        <v>244</v>
      </c>
      <c r="C1143" t="s">
        <v>245</v>
      </c>
    </row>
    <row r="1144" spans="1:9">
      <c r="B1144" s="1" t="s">
        <v>244</v>
      </c>
      <c r="D1144" t="s">
        <v>11</v>
      </c>
      <c r="E1144" s="3">
        <v>32</v>
      </c>
      <c r="F1144" s="3">
        <v>27</v>
      </c>
      <c r="G1144" s="3">
        <v>22</v>
      </c>
      <c r="H1144" s="3">
        <v>26</v>
      </c>
      <c r="I1144" s="3">
        <f>VLOOKUP(B1144,[1]Sheet3!$A$13:$E$198,5,TRUE)</f>
        <v>26</v>
      </c>
    </row>
    <row r="1145" spans="1:9">
      <c r="B1145" s="1" t="s">
        <v>244</v>
      </c>
      <c r="D1145" t="s">
        <v>12</v>
      </c>
      <c r="E1145" s="5">
        <v>32190</v>
      </c>
      <c r="F1145" s="5">
        <v>37120</v>
      </c>
      <c r="G1145" s="5">
        <v>19448</v>
      </c>
      <c r="H1145" s="5">
        <v>3164400</v>
      </c>
      <c r="I1145" s="3">
        <f>VLOOKUP(B1145,[1]Sheet3!$A$13:$F$198,6,TRUE)</f>
        <v>25375</v>
      </c>
    </row>
    <row r="1146" spans="1:9">
      <c r="B1146" s="1" t="s">
        <v>244</v>
      </c>
      <c r="D1146" t="s">
        <v>23</v>
      </c>
      <c r="E1146" s="5">
        <v>65427.54</v>
      </c>
      <c r="F1146" s="5">
        <v>67117.17</v>
      </c>
      <c r="G1146" s="5">
        <v>42215</v>
      </c>
      <c r="H1146" s="5">
        <v>56731.93</v>
      </c>
      <c r="I1146" s="3">
        <f>VLOOKUP(B1146,[1]Sheet3!$A$13:$G$198,7,TRUE)</f>
        <v>60227.23</v>
      </c>
    </row>
    <row r="1147" spans="1:9">
      <c r="B1147" s="1" t="s">
        <v>244</v>
      </c>
      <c r="D1147" t="s">
        <v>14</v>
      </c>
      <c r="E1147" s="5">
        <v>31365.800000000003</v>
      </c>
      <c r="F1147" s="5">
        <v>32028.7</v>
      </c>
      <c r="G1147" s="5">
        <v>32028.7</v>
      </c>
      <c r="H1147" s="5">
        <v>51058.74</v>
      </c>
      <c r="I1147" s="3">
        <f>VLOOKUP(B1147,[1]Sheet3!$A$13:$H$198,8,TRUE)</f>
        <v>26753.730000000003</v>
      </c>
    </row>
    <row r="1148" spans="1:9">
      <c r="B1148" s="1" t="s">
        <v>244</v>
      </c>
      <c r="D1148" t="s">
        <v>15</v>
      </c>
      <c r="E1148" s="5">
        <v>18217.239999999998</v>
      </c>
      <c r="F1148" s="5">
        <v>18895.940000000002</v>
      </c>
      <c r="G1148" s="5">
        <v>19208.61</v>
      </c>
      <c r="H1148" s="5">
        <v>33256.14</v>
      </c>
      <c r="I1148" s="3">
        <f>VLOOKUP(B1148,[1]Sheet3!$A$13:$I$198,9,TRUE)</f>
        <v>31446.51</v>
      </c>
    </row>
    <row r="1149" spans="1:9">
      <c r="B1149" s="1" t="s">
        <v>244</v>
      </c>
      <c r="D1149" t="s">
        <v>16</v>
      </c>
      <c r="E1149" s="5">
        <v>2044.61</v>
      </c>
      <c r="F1149" s="5">
        <v>2485.8200000000002</v>
      </c>
      <c r="G1149" s="5">
        <v>1918.86</v>
      </c>
      <c r="H1149" s="5">
        <v>2182</v>
      </c>
      <c r="I1149" s="5">
        <f>I1146/I1144</f>
        <v>2316.4319230769233</v>
      </c>
    </row>
    <row r="1150" spans="1:9">
      <c r="B1150" s="1" t="s">
        <v>244</v>
      </c>
      <c r="D1150" t="s">
        <v>17</v>
      </c>
      <c r="E1150" s="6">
        <v>2.0299999999999998</v>
      </c>
      <c r="F1150" s="6">
        <v>1.81</v>
      </c>
      <c r="G1150" s="6">
        <v>2.17</v>
      </c>
      <c r="H1150" s="6">
        <v>0.02</v>
      </c>
      <c r="I1150" s="7">
        <f>I1146/I1145</f>
        <v>2.3734868965517242</v>
      </c>
    </row>
    <row r="1151" spans="1:9">
      <c r="B1151" s="1" t="s">
        <v>244</v>
      </c>
      <c r="D1151" t="s">
        <v>18</v>
      </c>
      <c r="E1151" s="8">
        <v>0.47939999999999999</v>
      </c>
      <c r="F1151" s="8">
        <v>0.47720000000000001</v>
      </c>
      <c r="G1151" s="8">
        <v>0.75870000000000004</v>
      </c>
      <c r="H1151" s="8">
        <v>0.9</v>
      </c>
      <c r="I1151" s="8">
        <f>I1147/I1146</f>
        <v>0.44421319061162207</v>
      </c>
    </row>
    <row r="1152" spans="1:9">
      <c r="B1152" s="1" t="s">
        <v>244</v>
      </c>
      <c r="D1152" t="s">
        <v>19</v>
      </c>
      <c r="E1152" s="8">
        <v>0.58079999999999998</v>
      </c>
      <c r="F1152" s="8">
        <v>0.59</v>
      </c>
      <c r="G1152" s="8">
        <v>0.59970000000000001</v>
      </c>
      <c r="H1152" s="8">
        <v>0.65129999999999999</v>
      </c>
      <c r="I1152" s="8">
        <f>I1148/I1147</f>
        <v>1.1754065694764804</v>
      </c>
    </row>
    <row r="1153" spans="1:9">
      <c r="B1153" s="1" t="s">
        <v>244</v>
      </c>
      <c r="D1153" t="s">
        <v>20</v>
      </c>
      <c r="E1153" s="8">
        <v>0.27839999999999998</v>
      </c>
      <c r="F1153" s="8">
        <v>0.28149999999999997</v>
      </c>
      <c r="G1153" s="8">
        <v>0.45500000000000002</v>
      </c>
      <c r="H1153" s="8">
        <v>0.58620000000000005</v>
      </c>
      <c r="I1153" s="8">
        <f>I1148/I1146</f>
        <v>0.52213110249300854</v>
      </c>
    </row>
    <row r="1154" spans="1:9">
      <c r="B1154" s="1" t="s">
        <v>244</v>
      </c>
    </row>
    <row r="1155" spans="1:9">
      <c r="A1155" t="s">
        <v>237</v>
      </c>
      <c r="B1155" s="1" t="s">
        <v>246</v>
      </c>
      <c r="C1155" t="s">
        <v>247</v>
      </c>
    </row>
    <row r="1156" spans="1:9">
      <c r="B1156" s="1" t="s">
        <v>246</v>
      </c>
      <c r="D1156" t="s">
        <v>11</v>
      </c>
      <c r="E1156" s="3">
        <v>17</v>
      </c>
      <c r="F1156" s="3">
        <v>21</v>
      </c>
      <c r="G1156" s="3">
        <v>17</v>
      </c>
      <c r="H1156" s="3">
        <v>16</v>
      </c>
      <c r="I1156" s="3">
        <f>VLOOKUP(B1156,[1]Sheet3!$A$13:$E$198,5,TRUE)</f>
        <v>11</v>
      </c>
    </row>
    <row r="1157" spans="1:9">
      <c r="B1157" s="1" t="s">
        <v>246</v>
      </c>
      <c r="D1157" t="s">
        <v>12</v>
      </c>
      <c r="E1157" s="5">
        <v>81187.199999999997</v>
      </c>
      <c r="F1157" s="5">
        <v>77892.100000000006</v>
      </c>
      <c r="G1157" s="5">
        <v>73686.600000000006</v>
      </c>
      <c r="H1157" s="5">
        <v>93951</v>
      </c>
      <c r="I1157" s="3">
        <f>VLOOKUP(B1157,[1]Sheet3!$A$13:$F$198,6,TRUE)</f>
        <v>57421.8</v>
      </c>
    </row>
    <row r="1158" spans="1:9">
      <c r="B1158" s="1" t="s">
        <v>246</v>
      </c>
      <c r="D1158" t="s">
        <v>23</v>
      </c>
      <c r="E1158" s="5">
        <v>100350.95</v>
      </c>
      <c r="F1158" s="5">
        <v>53250.17</v>
      </c>
      <c r="G1158" s="5">
        <v>57945.16</v>
      </c>
      <c r="H1158" s="5">
        <v>65226.18</v>
      </c>
      <c r="I1158" s="3">
        <f>VLOOKUP(B1158,[1]Sheet3!$A$13:$G$198,7,TRUE)</f>
        <v>47648.43</v>
      </c>
    </row>
    <row r="1159" spans="1:9">
      <c r="B1159" s="1" t="s">
        <v>246</v>
      </c>
      <c r="D1159" t="s">
        <v>14</v>
      </c>
      <c r="E1159" s="5">
        <v>65412.94</v>
      </c>
      <c r="F1159" s="5">
        <v>54320.93</v>
      </c>
      <c r="G1159" s="5">
        <v>38079.68</v>
      </c>
      <c r="H1159" s="5">
        <v>45620.659999999996</v>
      </c>
      <c r="I1159" s="3">
        <f>VLOOKUP(B1159,[1]Sheet3!$A$13:$H$198,8,TRUE)</f>
        <v>30518.91</v>
      </c>
    </row>
    <row r="1160" spans="1:9">
      <c r="B1160" s="1" t="s">
        <v>246</v>
      </c>
      <c r="D1160" t="s">
        <v>15</v>
      </c>
      <c r="E1160" s="5">
        <v>38005.990000000005</v>
      </c>
      <c r="F1160" s="5">
        <v>30862.800000000003</v>
      </c>
      <c r="G1160" s="5">
        <v>21214.54</v>
      </c>
      <c r="H1160" s="5">
        <v>28737.489999999998</v>
      </c>
      <c r="I1160" s="3">
        <f>VLOOKUP(B1160,[1]Sheet3!$A$13:$I$198,9,TRUE)</f>
        <v>26063.079999999998</v>
      </c>
    </row>
    <row r="1161" spans="1:9">
      <c r="B1161" s="1" t="s">
        <v>246</v>
      </c>
      <c r="D1161" t="s">
        <v>16</v>
      </c>
      <c r="E1161" s="5">
        <v>5903</v>
      </c>
      <c r="F1161" s="5">
        <v>2535.7199999999998</v>
      </c>
      <c r="G1161" s="5">
        <v>3408.54</v>
      </c>
      <c r="H1161" s="5">
        <v>4076.64</v>
      </c>
      <c r="I1161" s="5">
        <f>I1158/I1156</f>
        <v>4331.6754545454542</v>
      </c>
    </row>
    <row r="1162" spans="1:9">
      <c r="B1162" s="1" t="s">
        <v>246</v>
      </c>
      <c r="D1162" t="s">
        <v>17</v>
      </c>
      <c r="E1162" s="6">
        <v>1.24</v>
      </c>
      <c r="F1162" s="6">
        <v>0.68</v>
      </c>
      <c r="G1162" s="6">
        <v>0.79</v>
      </c>
      <c r="H1162" s="6">
        <v>0.69</v>
      </c>
      <c r="I1162" s="7">
        <f>I1158/I1157</f>
        <v>0.82979687157142401</v>
      </c>
    </row>
    <row r="1163" spans="1:9">
      <c r="B1163" s="1" t="s">
        <v>246</v>
      </c>
      <c r="D1163" t="s">
        <v>18</v>
      </c>
      <c r="E1163" s="8">
        <v>0.65180000000000005</v>
      </c>
      <c r="F1163" s="8">
        <v>1.0201</v>
      </c>
      <c r="G1163" s="8">
        <v>0.65720000000000001</v>
      </c>
      <c r="H1163" s="8">
        <v>0.69940000000000002</v>
      </c>
      <c r="I1163" s="8">
        <f>I1159/I1158</f>
        <v>0.64050190111195693</v>
      </c>
    </row>
    <row r="1164" spans="1:9">
      <c r="B1164" s="1" t="s">
        <v>246</v>
      </c>
      <c r="D1164" t="s">
        <v>19</v>
      </c>
      <c r="E1164" s="8">
        <v>0.58099999999999996</v>
      </c>
      <c r="F1164" s="8">
        <v>0.56820000000000004</v>
      </c>
      <c r="G1164" s="8">
        <v>0.55710000000000004</v>
      </c>
      <c r="H1164" s="8">
        <v>0.62990000000000002</v>
      </c>
      <c r="I1164" s="8">
        <f>I1160/I1159</f>
        <v>0.85399773451935201</v>
      </c>
    </row>
    <row r="1165" spans="1:9">
      <c r="B1165" s="1" t="s">
        <v>246</v>
      </c>
      <c r="D1165" t="s">
        <v>20</v>
      </c>
      <c r="E1165" s="8">
        <v>0.37869999999999998</v>
      </c>
      <c r="F1165" s="8">
        <v>0.5796</v>
      </c>
      <c r="G1165" s="8">
        <v>0.36609999999999998</v>
      </c>
      <c r="H1165" s="8">
        <v>0.44059999999999999</v>
      </c>
      <c r="I1165" s="8">
        <f>I1160/I1158</f>
        <v>0.54698717250494922</v>
      </c>
    </row>
    <row r="1166" spans="1:9">
      <c r="B1166" s="1" t="s">
        <v>246</v>
      </c>
    </row>
    <row r="1167" spans="1:9">
      <c r="A1167" t="s">
        <v>237</v>
      </c>
      <c r="B1167" s="1" t="s">
        <v>248</v>
      </c>
      <c r="C1167" t="s">
        <v>249</v>
      </c>
    </row>
    <row r="1168" spans="1:9">
      <c r="B1168" s="1" t="s">
        <v>248</v>
      </c>
      <c r="D1168" t="s">
        <v>11</v>
      </c>
      <c r="E1168" s="3">
        <v>39</v>
      </c>
      <c r="F1168" s="3">
        <v>38</v>
      </c>
      <c r="G1168" s="3">
        <v>43</v>
      </c>
      <c r="H1168" s="3">
        <v>35</v>
      </c>
      <c r="I1168" s="3">
        <f>VLOOKUP(B1168,[1]Sheet3!$A$13:$E$198,5,TRUE)</f>
        <v>32</v>
      </c>
    </row>
    <row r="1169" spans="1:9">
      <c r="B1169" s="1" t="s">
        <v>248</v>
      </c>
      <c r="D1169" t="s">
        <v>12</v>
      </c>
      <c r="E1169" s="5">
        <v>55771.199999999997</v>
      </c>
      <c r="F1169" s="5">
        <v>65988</v>
      </c>
      <c r="G1169" s="5">
        <v>76859.100000000006</v>
      </c>
      <c r="H1169" s="5">
        <v>61842.6</v>
      </c>
      <c r="I1169" s="3">
        <f>VLOOKUP(B1169,[1]Sheet3!$A$13:$F$198,6,TRUE)</f>
        <v>57697.2</v>
      </c>
    </row>
    <row r="1170" spans="1:9">
      <c r="B1170" s="1" t="s">
        <v>248</v>
      </c>
      <c r="D1170" t="s">
        <v>23</v>
      </c>
      <c r="E1170" s="5">
        <v>107672.57</v>
      </c>
      <c r="F1170" s="5">
        <v>83168.12</v>
      </c>
      <c r="G1170" s="5">
        <v>82392.37</v>
      </c>
      <c r="H1170" s="5">
        <v>82525.539999999994</v>
      </c>
      <c r="I1170" s="3">
        <f>VLOOKUP(B1170,[1]Sheet3!$A$13:$G$198,7,TRUE)</f>
        <v>53203.1</v>
      </c>
    </row>
    <row r="1171" spans="1:9">
      <c r="B1171" s="1" t="s">
        <v>248</v>
      </c>
      <c r="D1171" t="s">
        <v>14</v>
      </c>
      <c r="E1171" s="5">
        <v>50952.1</v>
      </c>
      <c r="F1171" s="5">
        <v>50435.72</v>
      </c>
      <c r="G1171" s="5">
        <v>47154.45</v>
      </c>
      <c r="H1171" s="5">
        <v>47154.45</v>
      </c>
      <c r="I1171" s="3">
        <f>VLOOKUP(B1171,[1]Sheet3!$A$13:$H$198,8,TRUE)</f>
        <v>32469.25</v>
      </c>
    </row>
    <row r="1172" spans="1:9">
      <c r="B1172" s="1" t="s">
        <v>248</v>
      </c>
      <c r="D1172" t="s">
        <v>15</v>
      </c>
      <c r="E1172" s="5">
        <v>29487.11</v>
      </c>
      <c r="F1172" s="5">
        <v>29604.17</v>
      </c>
      <c r="G1172" s="5">
        <v>27952.079999999998</v>
      </c>
      <c r="H1172" s="5">
        <v>28899.149999999998</v>
      </c>
      <c r="I1172" s="3">
        <f>VLOOKUP(B1172,[1]Sheet3!$A$13:$I$198,9,TRUE)</f>
        <v>26367.22</v>
      </c>
    </row>
    <row r="1173" spans="1:9">
      <c r="B1173" s="1" t="s">
        <v>248</v>
      </c>
      <c r="D1173" t="s">
        <v>16</v>
      </c>
      <c r="E1173" s="5">
        <v>2760.84</v>
      </c>
      <c r="F1173" s="5">
        <v>2188.63</v>
      </c>
      <c r="G1173" s="5">
        <v>1916.1</v>
      </c>
      <c r="H1173" s="5">
        <v>2357.87</v>
      </c>
      <c r="I1173" s="5">
        <f>I1170/I1168</f>
        <v>1662.596875</v>
      </c>
    </row>
    <row r="1174" spans="1:9">
      <c r="B1174" s="1" t="s">
        <v>248</v>
      </c>
      <c r="D1174" t="s">
        <v>17</v>
      </c>
      <c r="E1174" s="6">
        <v>1.93</v>
      </c>
      <c r="F1174" s="6">
        <v>1.26</v>
      </c>
      <c r="G1174" s="6">
        <v>1.07</v>
      </c>
      <c r="H1174" s="6">
        <v>1.33</v>
      </c>
      <c r="I1174" s="7">
        <f>I1170/I1169</f>
        <v>0.9221088718343351</v>
      </c>
    </row>
    <row r="1175" spans="1:9">
      <c r="B1175" s="1" t="s">
        <v>248</v>
      </c>
      <c r="D1175" t="s">
        <v>18</v>
      </c>
      <c r="E1175" s="8">
        <v>0.47320000000000001</v>
      </c>
      <c r="F1175" s="8">
        <v>0.60640000000000005</v>
      </c>
      <c r="G1175" s="8">
        <v>0.57230000000000003</v>
      </c>
      <c r="H1175" s="8">
        <v>0.57140000000000002</v>
      </c>
      <c r="I1175" s="8">
        <f>I1171/I1170</f>
        <v>0.61028868618557941</v>
      </c>
    </row>
    <row r="1176" spans="1:9">
      <c r="B1176" s="1" t="s">
        <v>248</v>
      </c>
      <c r="D1176" t="s">
        <v>19</v>
      </c>
      <c r="E1176" s="8">
        <v>0.57869999999999999</v>
      </c>
      <c r="F1176" s="8">
        <v>0.58699999999999997</v>
      </c>
      <c r="G1176" s="8">
        <v>0.59279999999999999</v>
      </c>
      <c r="H1176" s="8">
        <v>0.6129</v>
      </c>
      <c r="I1176" s="8">
        <f>I1172/I1171</f>
        <v>0.81206741763360724</v>
      </c>
    </row>
    <row r="1177" spans="1:9">
      <c r="B1177" s="1" t="s">
        <v>248</v>
      </c>
      <c r="D1177" t="s">
        <v>20</v>
      </c>
      <c r="E1177" s="8">
        <v>0.27389999999999998</v>
      </c>
      <c r="F1177" s="8">
        <v>0.35599999999999998</v>
      </c>
      <c r="G1177" s="8">
        <v>0.33929999999999999</v>
      </c>
      <c r="H1177" s="8">
        <v>0.35020000000000001</v>
      </c>
      <c r="I1177" s="8">
        <f>I1172/I1170</f>
        <v>0.49559555740173039</v>
      </c>
    </row>
    <row r="1178" spans="1:9">
      <c r="B1178" s="1" t="s">
        <v>248</v>
      </c>
    </row>
    <row r="1179" spans="1:9">
      <c r="A1179" t="s">
        <v>250</v>
      </c>
      <c r="B1179" s="1" t="s">
        <v>251</v>
      </c>
      <c r="C1179" t="s">
        <v>252</v>
      </c>
    </row>
    <row r="1180" spans="1:9">
      <c r="B1180" s="1" t="s">
        <v>251</v>
      </c>
      <c r="D1180" t="s">
        <v>11</v>
      </c>
      <c r="E1180" s="3">
        <v>107</v>
      </c>
      <c r="F1180" s="3">
        <v>95</v>
      </c>
      <c r="G1180" s="3">
        <v>103</v>
      </c>
      <c r="H1180" s="3">
        <v>99</v>
      </c>
      <c r="I1180" s="3">
        <f>VLOOKUP(B1180,[1]Sheet3!$A$13:$E$198,5,TRUE)</f>
        <v>114</v>
      </c>
    </row>
    <row r="1181" spans="1:9">
      <c r="B1181" s="1" t="s">
        <v>251</v>
      </c>
      <c r="D1181" t="s">
        <v>12</v>
      </c>
      <c r="E1181" s="5">
        <v>118157</v>
      </c>
      <c r="F1181" s="5">
        <v>78144</v>
      </c>
      <c r="G1181" s="5">
        <v>89924.800000000003</v>
      </c>
      <c r="H1181" s="5">
        <v>105450</v>
      </c>
      <c r="I1181" s="3">
        <f>VLOOKUP(B1181,[1]Sheet3!$A$13:$F$198,6,TRUE)</f>
        <v>85973</v>
      </c>
    </row>
    <row r="1182" spans="1:9">
      <c r="B1182" s="1" t="s">
        <v>251</v>
      </c>
      <c r="D1182" t="s">
        <v>23</v>
      </c>
      <c r="E1182" s="5">
        <v>129867</v>
      </c>
      <c r="F1182" s="5">
        <v>143023.26999999999</v>
      </c>
      <c r="G1182" s="5">
        <v>94487.7</v>
      </c>
      <c r="H1182" s="5">
        <v>102703.61</v>
      </c>
      <c r="I1182" s="3">
        <f>VLOOKUP(B1182,[1]Sheet3!$A$13:$G$198,7,TRUE)</f>
        <v>139408</v>
      </c>
    </row>
    <row r="1183" spans="1:9">
      <c r="B1183" s="1" t="s">
        <v>251</v>
      </c>
      <c r="D1183" t="s">
        <v>14</v>
      </c>
      <c r="E1183" s="5">
        <v>75307.58</v>
      </c>
      <c r="F1183" s="5">
        <v>73576.51999999999</v>
      </c>
      <c r="G1183" s="5">
        <v>68011.92</v>
      </c>
      <c r="H1183" s="5">
        <v>61194.009999999995</v>
      </c>
      <c r="I1183" s="3">
        <f>VLOOKUP(B1183,[1]Sheet3!$A$13:$H$198,8,TRUE)</f>
        <v>68748.08</v>
      </c>
    </row>
    <row r="1184" spans="1:9">
      <c r="B1184" s="1" t="s">
        <v>251</v>
      </c>
      <c r="D1184" t="s">
        <v>15</v>
      </c>
      <c r="E1184" s="5">
        <v>43754.94</v>
      </c>
      <c r="F1184" s="5">
        <v>43092.259999999995</v>
      </c>
      <c r="G1184" s="5">
        <v>40232.769999999997</v>
      </c>
      <c r="H1184" s="5">
        <v>36799.75</v>
      </c>
      <c r="I1184" s="3">
        <f>VLOOKUP(B1184,[1]Sheet3!$A$13:$I$198,9,TRUE)</f>
        <v>43126.590000000004</v>
      </c>
    </row>
    <row r="1185" spans="1:9">
      <c r="B1185" s="1" t="s">
        <v>251</v>
      </c>
      <c r="D1185" t="s">
        <v>16</v>
      </c>
      <c r="E1185" s="5">
        <v>1213.71</v>
      </c>
      <c r="F1185" s="5">
        <v>1505.51</v>
      </c>
      <c r="G1185" s="5">
        <v>917.36</v>
      </c>
      <c r="H1185" s="5">
        <v>1037.4100000000001</v>
      </c>
      <c r="I1185" s="5">
        <f>I1182/I1180</f>
        <v>1222.8771929824561</v>
      </c>
    </row>
    <row r="1186" spans="1:9">
      <c r="B1186" s="1" t="s">
        <v>251</v>
      </c>
      <c r="D1186" t="s">
        <v>17</v>
      </c>
      <c r="E1186" s="6">
        <v>1.1000000000000001</v>
      </c>
      <c r="F1186" s="6">
        <v>1.83</v>
      </c>
      <c r="G1186" s="6">
        <v>1.05</v>
      </c>
      <c r="H1186" s="6">
        <v>0.97</v>
      </c>
      <c r="I1186" s="7">
        <f>I1182/I1181</f>
        <v>1.621532341549091</v>
      </c>
    </row>
    <row r="1187" spans="1:9">
      <c r="B1187" s="1" t="s">
        <v>251</v>
      </c>
      <c r="D1187" t="s">
        <v>18</v>
      </c>
      <c r="E1187" s="8">
        <v>0.57989999999999997</v>
      </c>
      <c r="F1187" s="8">
        <v>0.51439999999999997</v>
      </c>
      <c r="G1187" s="8">
        <v>0.7198</v>
      </c>
      <c r="H1187" s="8">
        <v>0.5958</v>
      </c>
      <c r="I1187" s="8">
        <f>I1183/I1182</f>
        <v>0.49314300470561234</v>
      </c>
    </row>
    <row r="1188" spans="1:9">
      <c r="B1188" s="1" t="s">
        <v>251</v>
      </c>
      <c r="D1188" t="s">
        <v>19</v>
      </c>
      <c r="E1188" s="8">
        <v>0.58099999999999996</v>
      </c>
      <c r="F1188" s="8">
        <v>0.5857</v>
      </c>
      <c r="G1188" s="8">
        <v>0.59160000000000001</v>
      </c>
      <c r="H1188" s="8">
        <v>0.60140000000000005</v>
      </c>
      <c r="I1188" s="8">
        <f>I1184/I1183</f>
        <v>0.62731337369712725</v>
      </c>
    </row>
    <row r="1189" spans="1:9">
      <c r="B1189" s="1" t="s">
        <v>251</v>
      </c>
      <c r="D1189" t="s">
        <v>20</v>
      </c>
      <c r="E1189" s="8">
        <v>0.33689999999999998</v>
      </c>
      <c r="F1189" s="8">
        <v>0.30130000000000001</v>
      </c>
      <c r="G1189" s="8">
        <v>0.42580000000000001</v>
      </c>
      <c r="H1189" s="8">
        <v>0.35830000000000001</v>
      </c>
      <c r="I1189" s="8">
        <f>I1184/I1182</f>
        <v>0.30935520199701599</v>
      </c>
    </row>
    <row r="1190" spans="1:9">
      <c r="B1190" s="1" t="s">
        <v>251</v>
      </c>
    </row>
    <row r="1191" spans="1:9">
      <c r="A1191" t="s">
        <v>250</v>
      </c>
      <c r="B1191" s="1" t="s">
        <v>253</v>
      </c>
      <c r="C1191" t="s">
        <v>254</v>
      </c>
    </row>
    <row r="1192" spans="1:9">
      <c r="B1192" s="1" t="s">
        <v>253</v>
      </c>
      <c r="D1192" t="s">
        <v>11</v>
      </c>
      <c r="E1192" s="3">
        <v>166</v>
      </c>
      <c r="F1192" s="3">
        <v>155</v>
      </c>
      <c r="G1192" s="3">
        <v>137</v>
      </c>
      <c r="H1192" s="3">
        <v>141</v>
      </c>
      <c r="I1192" s="3">
        <f>VLOOKUP(B1192,[1]Sheet3!$A$13:$E$198,5,TRUE)</f>
        <v>151</v>
      </c>
    </row>
    <row r="1193" spans="1:9">
      <c r="B1193" s="1" t="s">
        <v>253</v>
      </c>
      <c r="D1193" t="s">
        <v>12</v>
      </c>
      <c r="E1193" s="5">
        <v>36691.199999999997</v>
      </c>
      <c r="F1193" s="5">
        <v>28371</v>
      </c>
      <c r="G1193" s="5">
        <v>29870</v>
      </c>
      <c r="H1193" s="5">
        <v>28275</v>
      </c>
      <c r="I1193" s="3">
        <f>VLOOKUP(B1193,[1]Sheet3!$A$13:$F$198,6,TRUE)</f>
        <v>30315</v>
      </c>
    </row>
    <row r="1194" spans="1:9">
      <c r="B1194" s="1" t="s">
        <v>253</v>
      </c>
      <c r="D1194" t="s">
        <v>23</v>
      </c>
      <c r="E1194" s="5">
        <v>87573.68</v>
      </c>
      <c r="F1194" s="5">
        <v>76943.77</v>
      </c>
      <c r="G1194" s="5">
        <v>66291.09</v>
      </c>
      <c r="H1194" s="5">
        <v>69968.84</v>
      </c>
      <c r="I1194" s="3">
        <f>VLOOKUP(B1194,[1]Sheet3!$A$13:$G$198,7,TRUE)</f>
        <v>68614.11</v>
      </c>
    </row>
    <row r="1195" spans="1:9">
      <c r="B1195" s="1" t="s">
        <v>253</v>
      </c>
      <c r="D1195" t="s">
        <v>14</v>
      </c>
      <c r="E1195" s="5">
        <v>41745.589999999997</v>
      </c>
      <c r="F1195" s="5">
        <v>38849.94</v>
      </c>
      <c r="G1195" s="5">
        <v>33165.93</v>
      </c>
      <c r="H1195" s="5">
        <v>30779.47</v>
      </c>
      <c r="I1195" s="3">
        <f>VLOOKUP(B1195,[1]Sheet3!$A$13:$H$198,8,TRUE)</f>
        <v>30831.510000000002</v>
      </c>
    </row>
    <row r="1196" spans="1:9">
      <c r="B1196" s="1" t="s">
        <v>253</v>
      </c>
      <c r="D1196" t="s">
        <v>15</v>
      </c>
      <c r="E1196" s="5">
        <v>24130.720000000001</v>
      </c>
      <c r="F1196" s="5">
        <v>22561.42</v>
      </c>
      <c r="G1196" s="5">
        <v>19322.62</v>
      </c>
      <c r="H1196" s="5">
        <v>18617.23</v>
      </c>
      <c r="I1196" s="3">
        <f>VLOOKUP(B1196,[1]Sheet3!$A$13:$I$198,9,TRUE)</f>
        <v>18994.189999999999</v>
      </c>
    </row>
    <row r="1197" spans="1:9">
      <c r="B1197" s="1" t="s">
        <v>253</v>
      </c>
      <c r="D1197" t="s">
        <v>16</v>
      </c>
      <c r="E1197" s="5">
        <v>527.54999999999995</v>
      </c>
      <c r="F1197" s="5">
        <v>496.41</v>
      </c>
      <c r="G1197" s="5">
        <v>483.88</v>
      </c>
      <c r="H1197" s="5">
        <v>496.23</v>
      </c>
      <c r="I1197" s="5">
        <f>I1194/I1192</f>
        <v>454.3980794701987</v>
      </c>
    </row>
    <row r="1198" spans="1:9">
      <c r="B1198" s="1" t="s">
        <v>253</v>
      </c>
      <c r="D1198" t="s">
        <v>17</v>
      </c>
      <c r="E1198" s="6">
        <v>2.39</v>
      </c>
      <c r="F1198" s="6">
        <v>2.71</v>
      </c>
      <c r="G1198" s="6">
        <v>2.2200000000000002</v>
      </c>
      <c r="H1198" s="6">
        <v>2.4700000000000002</v>
      </c>
      <c r="I1198" s="7">
        <f>I1194/I1193</f>
        <v>2.2633715982187037</v>
      </c>
    </row>
    <row r="1199" spans="1:9">
      <c r="B1199" s="1" t="s">
        <v>253</v>
      </c>
      <c r="D1199" t="s">
        <v>18</v>
      </c>
      <c r="E1199" s="8">
        <v>0.47670000000000001</v>
      </c>
      <c r="F1199" s="8">
        <v>0.50490000000000002</v>
      </c>
      <c r="G1199" s="8">
        <v>0.50029999999999997</v>
      </c>
      <c r="H1199" s="8">
        <v>0.43990000000000001</v>
      </c>
      <c r="I1199" s="8">
        <f>I1195/I1194</f>
        <v>0.44934649738953114</v>
      </c>
    </row>
    <row r="1200" spans="1:9">
      <c r="B1200" s="1" t="s">
        <v>253</v>
      </c>
      <c r="D1200" t="s">
        <v>19</v>
      </c>
      <c r="E1200" s="8">
        <v>0.57799999999999996</v>
      </c>
      <c r="F1200" s="8">
        <v>0.58069999999999999</v>
      </c>
      <c r="G1200" s="8">
        <v>0.58260000000000001</v>
      </c>
      <c r="H1200" s="8">
        <v>0.60489999999999999</v>
      </c>
      <c r="I1200" s="8">
        <f>I1196/I1195</f>
        <v>0.61606421482437923</v>
      </c>
    </row>
    <row r="1201" spans="1:9">
      <c r="B1201" s="1" t="s">
        <v>253</v>
      </c>
      <c r="D1201" t="s">
        <v>20</v>
      </c>
      <c r="E1201" s="8">
        <v>0.27550000000000002</v>
      </c>
      <c r="F1201" s="8">
        <v>0.29320000000000002</v>
      </c>
      <c r="G1201" s="8">
        <v>0.29149999999999998</v>
      </c>
      <c r="H1201" s="8">
        <v>0.2661</v>
      </c>
      <c r="I1201" s="8">
        <f>I1196/I1194</f>
        <v>0.27682629709836648</v>
      </c>
    </row>
    <row r="1202" spans="1:9">
      <c r="B1202" s="1" t="s">
        <v>253</v>
      </c>
    </row>
    <row r="1203" spans="1:9">
      <c r="A1203" t="s">
        <v>250</v>
      </c>
      <c r="B1203" s="1" t="s">
        <v>255</v>
      </c>
      <c r="C1203" t="s">
        <v>256</v>
      </c>
    </row>
    <row r="1204" spans="1:9">
      <c r="B1204" s="1" t="s">
        <v>255</v>
      </c>
      <c r="D1204" t="s">
        <v>11</v>
      </c>
      <c r="E1204" s="3">
        <v>52</v>
      </c>
      <c r="F1204" s="3">
        <v>54</v>
      </c>
      <c r="G1204" s="3">
        <v>50</v>
      </c>
      <c r="H1204" s="3">
        <v>39</v>
      </c>
      <c r="I1204" s="3">
        <f>VLOOKUP(B1204,[1]Sheet3!$A$13:$E$198,5,TRUE)</f>
        <v>29</v>
      </c>
    </row>
    <row r="1205" spans="1:9">
      <c r="B1205" s="1" t="s">
        <v>255</v>
      </c>
      <c r="D1205" t="s">
        <v>12</v>
      </c>
      <c r="E1205" s="5">
        <v>114542.39999999999</v>
      </c>
      <c r="F1205" s="5">
        <v>98420</v>
      </c>
      <c r="G1205" s="5">
        <v>88800</v>
      </c>
      <c r="H1205" s="5">
        <v>68093</v>
      </c>
      <c r="I1205" s="3">
        <f>VLOOKUP(B1205,[1]Sheet3!$A$13:$F$198,6,TRUE)</f>
        <v>67014</v>
      </c>
    </row>
    <row r="1206" spans="1:9">
      <c r="B1206" s="1" t="s">
        <v>255</v>
      </c>
      <c r="D1206" t="s">
        <v>23</v>
      </c>
      <c r="E1206" s="5">
        <v>69317</v>
      </c>
      <c r="F1206" s="5">
        <v>84292.85</v>
      </c>
      <c r="G1206" s="5">
        <v>102429.14</v>
      </c>
      <c r="H1206" s="5">
        <v>79771.039999999994</v>
      </c>
      <c r="I1206" s="3">
        <f>VLOOKUP(B1206,[1]Sheet3!$A$13:$G$198,7,TRUE)</f>
        <v>113170</v>
      </c>
    </row>
    <row r="1207" spans="1:9">
      <c r="B1207" s="1" t="s">
        <v>255</v>
      </c>
      <c r="D1207" t="s">
        <v>14</v>
      </c>
      <c r="E1207" s="5">
        <v>52163.02</v>
      </c>
      <c r="F1207" s="5">
        <v>53197.73</v>
      </c>
      <c r="G1207" s="5">
        <v>56931.319999999992</v>
      </c>
      <c r="H1207" s="5">
        <v>56931.319999999992</v>
      </c>
      <c r="I1207" s="3">
        <f>VLOOKUP(B1207,[1]Sheet3!$A$13:$H$198,8,TRUE)</f>
        <v>55113.279999999999</v>
      </c>
    </row>
    <row r="1208" spans="1:9">
      <c r="B1208" s="1" t="s">
        <v>255</v>
      </c>
      <c r="D1208" t="s">
        <v>15</v>
      </c>
      <c r="E1208" s="5">
        <v>31151.370000000003</v>
      </c>
      <c r="F1208" s="5">
        <v>31378.579999999998</v>
      </c>
      <c r="G1208" s="5">
        <v>34516.58</v>
      </c>
      <c r="H1208" s="5">
        <v>34891.019999999997</v>
      </c>
      <c r="I1208" s="3">
        <f>VLOOKUP(B1208,[1]Sheet3!$A$13:$I$198,9,TRUE)</f>
        <v>33754.630000000005</v>
      </c>
    </row>
    <row r="1209" spans="1:9">
      <c r="B1209" s="1" t="s">
        <v>255</v>
      </c>
      <c r="D1209" t="s">
        <v>16</v>
      </c>
      <c r="E1209" s="5">
        <v>1333.02</v>
      </c>
      <c r="F1209" s="5">
        <v>1560.98</v>
      </c>
      <c r="G1209" s="5">
        <v>2048.58</v>
      </c>
      <c r="H1209" s="5">
        <v>2045.41</v>
      </c>
      <c r="I1209" s="5">
        <f>I1206/I1204</f>
        <v>3902.4137931034484</v>
      </c>
    </row>
    <row r="1210" spans="1:9">
      <c r="B1210" s="1" t="s">
        <v>255</v>
      </c>
      <c r="D1210" t="s">
        <v>17</v>
      </c>
      <c r="E1210" s="6">
        <v>0.61</v>
      </c>
      <c r="F1210" s="6">
        <v>0.86</v>
      </c>
      <c r="G1210" s="6">
        <v>1.1499999999999999</v>
      </c>
      <c r="H1210" s="6">
        <v>1.17</v>
      </c>
      <c r="I1210" s="7">
        <f>I1206/I1205</f>
        <v>1.688751604142418</v>
      </c>
    </row>
    <row r="1211" spans="1:9">
      <c r="B1211" s="1" t="s">
        <v>255</v>
      </c>
      <c r="D1211" t="s">
        <v>18</v>
      </c>
      <c r="E1211" s="8">
        <v>0.75249999999999995</v>
      </c>
      <c r="F1211" s="8">
        <v>0.63109999999999999</v>
      </c>
      <c r="G1211" s="8">
        <v>0.55579999999999996</v>
      </c>
      <c r="H1211" s="8">
        <v>0.7137</v>
      </c>
      <c r="I1211" s="8">
        <f>I1207/I1206</f>
        <v>0.48699549350534593</v>
      </c>
    </row>
    <row r="1212" spans="1:9">
      <c r="B1212" s="1" t="s">
        <v>255</v>
      </c>
      <c r="D1212" t="s">
        <v>19</v>
      </c>
      <c r="E1212" s="8">
        <v>0.59719999999999995</v>
      </c>
      <c r="F1212" s="8">
        <v>0.58979999999999999</v>
      </c>
      <c r="G1212" s="8">
        <v>0.60629999999999995</v>
      </c>
      <c r="H1212" s="8">
        <v>0.6129</v>
      </c>
      <c r="I1212" s="8">
        <f>I1208/I1207</f>
        <v>0.61245910241596957</v>
      </c>
    </row>
    <row r="1213" spans="1:9">
      <c r="B1213" s="1" t="s">
        <v>255</v>
      </c>
      <c r="D1213" t="s">
        <v>20</v>
      </c>
      <c r="E1213" s="8">
        <v>0.44940000000000002</v>
      </c>
      <c r="F1213" s="8">
        <v>0.37230000000000002</v>
      </c>
      <c r="G1213" s="8">
        <v>0.33700000000000002</v>
      </c>
      <c r="H1213" s="8">
        <v>0.43740000000000001</v>
      </c>
      <c r="I1213" s="8">
        <f>I1208/I1206</f>
        <v>0.29826482283290628</v>
      </c>
    </row>
    <row r="1214" spans="1:9">
      <c r="B1214" s="1" t="s">
        <v>255</v>
      </c>
    </row>
    <row r="1215" spans="1:9">
      <c r="A1215" t="s">
        <v>257</v>
      </c>
      <c r="B1215" s="1" t="s">
        <v>258</v>
      </c>
      <c r="C1215" t="s">
        <v>259</v>
      </c>
    </row>
    <row r="1216" spans="1:9">
      <c r="B1216" s="1" t="s">
        <v>258</v>
      </c>
      <c r="D1216" t="s">
        <v>11</v>
      </c>
      <c r="E1216" s="3">
        <v>650</v>
      </c>
      <c r="F1216" s="3">
        <v>927</v>
      </c>
      <c r="G1216" s="3">
        <v>816</v>
      </c>
      <c r="H1216" s="3">
        <v>851</v>
      </c>
      <c r="I1216" s="3">
        <f>VLOOKUP(B1216,[1]Sheet3!$A$13:$E$198,5,TRUE)</f>
        <v>780</v>
      </c>
    </row>
    <row r="1217" spans="1:9">
      <c r="B1217" s="1" t="s">
        <v>258</v>
      </c>
      <c r="D1217" t="s">
        <v>12</v>
      </c>
      <c r="E1217" s="5">
        <v>207499</v>
      </c>
      <c r="F1217" s="5">
        <v>205755</v>
      </c>
      <c r="G1217" s="5">
        <v>199838</v>
      </c>
      <c r="H1217" s="5">
        <v>224940</v>
      </c>
      <c r="I1217" s="3">
        <f>VLOOKUP(B1217,[1]Sheet3!$A$13:$F$198,6,TRUE)</f>
        <v>186584</v>
      </c>
    </row>
    <row r="1218" spans="1:9">
      <c r="B1218" s="1" t="s">
        <v>258</v>
      </c>
      <c r="D1218" t="s">
        <v>23</v>
      </c>
      <c r="E1218" s="5">
        <v>523996</v>
      </c>
      <c r="F1218" s="5">
        <v>529529.36</v>
      </c>
      <c r="G1218" s="5">
        <v>531254.56000000006</v>
      </c>
      <c r="H1218" s="5">
        <v>614944.02</v>
      </c>
      <c r="I1218" s="3">
        <f>VLOOKUP(B1218,[1]Sheet3!$A$13:$G$198,7,TRUE)</f>
        <v>507777.44</v>
      </c>
    </row>
    <row r="1219" spans="1:9">
      <c r="B1219" s="1" t="s">
        <v>258</v>
      </c>
      <c r="D1219" t="s">
        <v>14</v>
      </c>
      <c r="E1219" s="5">
        <v>248851.52000000002</v>
      </c>
      <c r="F1219" s="5">
        <v>230879.71000000002</v>
      </c>
      <c r="G1219" s="5">
        <v>230879.71000000002</v>
      </c>
      <c r="H1219" s="5">
        <v>264614.23</v>
      </c>
      <c r="I1219" s="3">
        <f>VLOOKUP(B1219,[1]Sheet3!$A$13:$H$198,8,TRUE)</f>
        <v>218711.25</v>
      </c>
    </row>
    <row r="1220" spans="1:9">
      <c r="B1220" s="1" t="s">
        <v>258</v>
      </c>
      <c r="D1220" t="s">
        <v>15</v>
      </c>
      <c r="E1220" s="5">
        <v>144586.79999999999</v>
      </c>
      <c r="F1220" s="5">
        <v>134005.29</v>
      </c>
      <c r="G1220" s="5">
        <v>138465.72999999998</v>
      </c>
      <c r="H1220" s="5">
        <v>165653.84</v>
      </c>
      <c r="I1220" s="3">
        <f>VLOOKUP(B1220,[1]Sheet3!$A$13:$I$198,9,TRUE)</f>
        <v>162972.93</v>
      </c>
    </row>
    <row r="1221" spans="1:9">
      <c r="B1221" s="1" t="s">
        <v>258</v>
      </c>
      <c r="D1221" t="s">
        <v>16</v>
      </c>
      <c r="E1221" s="5">
        <v>806.15</v>
      </c>
      <c r="F1221" s="5">
        <v>571.23</v>
      </c>
      <c r="G1221" s="5">
        <v>651.04999999999995</v>
      </c>
      <c r="H1221" s="5">
        <v>722.61</v>
      </c>
      <c r="I1221" s="5">
        <f>I1218/I1216</f>
        <v>650.9967179487179</v>
      </c>
    </row>
    <row r="1222" spans="1:9">
      <c r="B1222" s="1" t="s">
        <v>258</v>
      </c>
      <c r="D1222" t="s">
        <v>17</v>
      </c>
      <c r="E1222" s="6">
        <v>2.5299999999999998</v>
      </c>
      <c r="F1222" s="6">
        <v>2.57</v>
      </c>
      <c r="G1222" s="6">
        <v>2.66</v>
      </c>
      <c r="H1222" s="6">
        <v>2.73</v>
      </c>
      <c r="I1222" s="7">
        <f>I1218/I1217</f>
        <v>2.7214414955194441</v>
      </c>
    </row>
    <row r="1223" spans="1:9">
      <c r="B1223" s="1" t="s">
        <v>258</v>
      </c>
      <c r="D1223" t="s">
        <v>18</v>
      </c>
      <c r="E1223" s="8">
        <v>0.47489999999999999</v>
      </c>
      <c r="F1223" s="8">
        <v>0.436</v>
      </c>
      <c r="G1223" s="8">
        <v>0.43459999999999999</v>
      </c>
      <c r="H1223" s="8">
        <v>0.43030000000000002</v>
      </c>
      <c r="I1223" s="8">
        <f>I1219/I1218</f>
        <v>0.43072266069953796</v>
      </c>
    </row>
    <row r="1224" spans="1:9">
      <c r="B1224" s="1" t="s">
        <v>258</v>
      </c>
      <c r="D1224" t="s">
        <v>19</v>
      </c>
      <c r="E1224" s="8">
        <v>0.58099999999999996</v>
      </c>
      <c r="F1224" s="8">
        <v>0.58040000000000003</v>
      </c>
      <c r="G1224" s="8">
        <v>0.59970000000000001</v>
      </c>
      <c r="H1224" s="8">
        <v>0.626</v>
      </c>
      <c r="I1224" s="8">
        <f>I1220/I1219</f>
        <v>0.74515110676748453</v>
      </c>
    </row>
    <row r="1225" spans="1:9">
      <c r="B1225" s="1" t="s">
        <v>258</v>
      </c>
      <c r="D1225" t="s">
        <v>20</v>
      </c>
      <c r="E1225" s="8">
        <v>0.27589999999999998</v>
      </c>
      <c r="F1225" s="8">
        <v>0.25309999999999999</v>
      </c>
      <c r="G1225" s="8">
        <v>0.2606</v>
      </c>
      <c r="H1225" s="8">
        <v>0.26939999999999997</v>
      </c>
      <c r="I1225" s="8">
        <f>I1220/I1218</f>
        <v>0.32095346733009639</v>
      </c>
    </row>
    <row r="1226" spans="1:9">
      <c r="B1226" s="1" t="s">
        <v>258</v>
      </c>
    </row>
    <row r="1227" spans="1:9">
      <c r="A1227" t="s">
        <v>257</v>
      </c>
      <c r="B1227" s="1" t="s">
        <v>260</v>
      </c>
      <c r="C1227" t="s">
        <v>261</v>
      </c>
    </row>
    <row r="1228" spans="1:9">
      <c r="B1228" s="1" t="s">
        <v>260</v>
      </c>
      <c r="D1228" t="s">
        <v>11</v>
      </c>
      <c r="E1228" s="3">
        <v>69</v>
      </c>
      <c r="F1228" s="3">
        <v>92</v>
      </c>
      <c r="G1228" s="3">
        <v>109</v>
      </c>
      <c r="H1228" s="3">
        <v>108</v>
      </c>
      <c r="I1228" s="3">
        <f>VLOOKUP(B1228,[1]Sheet3!$A$13:$E$198,5,TRUE)</f>
        <v>87</v>
      </c>
    </row>
    <row r="1229" spans="1:9">
      <c r="B1229" s="1" t="s">
        <v>260</v>
      </c>
      <c r="D1229" t="s">
        <v>12</v>
      </c>
      <c r="E1229" s="5">
        <v>45296</v>
      </c>
      <c r="F1229" s="5">
        <v>47576</v>
      </c>
      <c r="G1229" s="5">
        <v>51000</v>
      </c>
      <c r="H1229" s="5">
        <v>51750</v>
      </c>
      <c r="I1229" s="3">
        <f>VLOOKUP(B1229,[1]Sheet3!$A$13:$F$198,6,TRUE)</f>
        <v>46965</v>
      </c>
    </row>
    <row r="1230" spans="1:9">
      <c r="B1230" s="1" t="s">
        <v>260</v>
      </c>
      <c r="D1230" t="s">
        <v>23</v>
      </c>
      <c r="E1230" s="5">
        <v>90315</v>
      </c>
      <c r="F1230" s="5">
        <v>80864.179999999993</v>
      </c>
      <c r="G1230" s="5">
        <v>87328.37</v>
      </c>
      <c r="H1230" s="5">
        <v>91554.89</v>
      </c>
      <c r="I1230" s="3">
        <f>VLOOKUP(B1230,[1]Sheet3!$A$13:$G$198,7,TRUE)</f>
        <v>86188.21</v>
      </c>
    </row>
    <row r="1231" spans="1:9">
      <c r="B1231" s="1" t="s">
        <v>260</v>
      </c>
      <c r="D1231" t="s">
        <v>14</v>
      </c>
      <c r="E1231" s="5">
        <v>44237.99</v>
      </c>
      <c r="F1231" s="5">
        <v>41933.369999999995</v>
      </c>
      <c r="G1231" s="5">
        <v>42350.270000000004</v>
      </c>
      <c r="H1231" s="5">
        <v>43969.619999999995</v>
      </c>
      <c r="I1231" s="3">
        <f>VLOOKUP(B1231,[1]Sheet3!$A$13:$H$198,8,TRUE)</f>
        <v>40953.600000000006</v>
      </c>
    </row>
    <row r="1232" spans="1:9">
      <c r="B1232" s="1" t="s">
        <v>260</v>
      </c>
      <c r="D1232" t="s">
        <v>15</v>
      </c>
      <c r="E1232" s="5">
        <v>25703</v>
      </c>
      <c r="F1232" s="5">
        <v>24431.68</v>
      </c>
      <c r="G1232" s="5">
        <v>25440.43</v>
      </c>
      <c r="H1232" s="5">
        <v>27114.43</v>
      </c>
      <c r="I1232" s="3">
        <f>VLOOKUP(B1232,[1]Sheet3!$A$13:$I$198,9,TRUE)</f>
        <v>27080.39</v>
      </c>
    </row>
    <row r="1233" spans="1:9">
      <c r="B1233" s="1" t="s">
        <v>260</v>
      </c>
      <c r="D1233" t="s">
        <v>16</v>
      </c>
      <c r="E1233" s="5">
        <v>1308.9100000000001</v>
      </c>
      <c r="F1233" s="5">
        <v>878.96</v>
      </c>
      <c r="G1233" s="5">
        <v>801.18</v>
      </c>
      <c r="H1233" s="5">
        <v>847.73</v>
      </c>
      <c r="I1233" s="5">
        <f>I1230/I1228</f>
        <v>990.66908045977016</v>
      </c>
    </row>
    <row r="1234" spans="1:9">
      <c r="B1234" s="1" t="s">
        <v>260</v>
      </c>
      <c r="D1234" t="s">
        <v>17</v>
      </c>
      <c r="E1234" s="6">
        <v>1.99</v>
      </c>
      <c r="F1234" s="6">
        <v>1.7</v>
      </c>
      <c r="G1234" s="6">
        <v>1.71</v>
      </c>
      <c r="H1234" s="6">
        <v>1.77</v>
      </c>
      <c r="I1234" s="7">
        <f>I1230/I1229</f>
        <v>1.8351583093793251</v>
      </c>
    </row>
    <row r="1235" spans="1:9">
      <c r="B1235" s="1" t="s">
        <v>260</v>
      </c>
      <c r="D1235" t="s">
        <v>18</v>
      </c>
      <c r="E1235" s="8">
        <v>0.48980000000000001</v>
      </c>
      <c r="F1235" s="8">
        <v>0.51859999999999995</v>
      </c>
      <c r="G1235" s="8">
        <v>0.48499999999999999</v>
      </c>
      <c r="H1235" s="8">
        <v>0.4803</v>
      </c>
      <c r="I1235" s="8">
        <f>I1231/I1230</f>
        <v>0.47516475861373619</v>
      </c>
    </row>
    <row r="1236" spans="1:9">
      <c r="B1236" s="1" t="s">
        <v>260</v>
      </c>
      <c r="D1236" t="s">
        <v>19</v>
      </c>
      <c r="E1236" s="8">
        <v>0.58099999999999996</v>
      </c>
      <c r="F1236" s="8">
        <v>0.58260000000000001</v>
      </c>
      <c r="G1236" s="8">
        <v>0.60070000000000001</v>
      </c>
      <c r="H1236" s="8">
        <v>0.61670000000000003</v>
      </c>
      <c r="I1236" s="8">
        <f>I1232/I1231</f>
        <v>0.66124565361775267</v>
      </c>
    </row>
    <row r="1237" spans="1:9">
      <c r="B1237" s="1" t="s">
        <v>260</v>
      </c>
      <c r="D1237" t="s">
        <v>20</v>
      </c>
      <c r="E1237" s="8">
        <v>0.28460000000000002</v>
      </c>
      <c r="F1237" s="8">
        <v>0.30209999999999998</v>
      </c>
      <c r="G1237" s="8">
        <v>0.2913</v>
      </c>
      <c r="H1237" s="8">
        <v>0.29620000000000002</v>
      </c>
      <c r="I1237" s="8">
        <f>I1232/I1230</f>
        <v>0.31420063138566168</v>
      </c>
    </row>
    <row r="1238" spans="1:9">
      <c r="B1238" s="1" t="s">
        <v>260</v>
      </c>
    </row>
    <row r="1239" spans="1:9">
      <c r="A1239" t="s">
        <v>257</v>
      </c>
      <c r="B1239" s="1" t="s">
        <v>262</v>
      </c>
      <c r="C1239" t="s">
        <v>263</v>
      </c>
    </row>
    <row r="1240" spans="1:9">
      <c r="B1240" s="1" t="s">
        <v>262</v>
      </c>
      <c r="D1240" t="s">
        <v>11</v>
      </c>
      <c r="E1240" s="3">
        <v>221</v>
      </c>
      <c r="F1240" s="3">
        <v>245</v>
      </c>
      <c r="G1240" s="3">
        <v>222</v>
      </c>
      <c r="H1240" s="3">
        <v>240</v>
      </c>
      <c r="I1240" s="3">
        <f>VLOOKUP(B1240,[1]Sheet3!$A$13:$E$198,5,TRUE)</f>
        <v>248</v>
      </c>
    </row>
    <row r="1241" spans="1:9">
      <c r="B1241" s="1" t="s">
        <v>262</v>
      </c>
      <c r="D1241" t="s">
        <v>12</v>
      </c>
      <c r="E1241" s="5">
        <v>60310</v>
      </c>
      <c r="F1241" s="5">
        <v>53792</v>
      </c>
      <c r="G1241" s="5">
        <v>58410</v>
      </c>
      <c r="H1241" s="5">
        <v>55760</v>
      </c>
      <c r="I1241" s="3">
        <f>VLOOKUP(B1241,[1]Sheet3!$A$13:$F$198,6,TRUE)</f>
        <v>49200</v>
      </c>
    </row>
    <row r="1242" spans="1:9">
      <c r="B1242" s="1" t="s">
        <v>262</v>
      </c>
      <c r="D1242" t="s">
        <v>23</v>
      </c>
      <c r="E1242" s="5">
        <v>109997.78</v>
      </c>
      <c r="F1242" s="5">
        <v>105412.6</v>
      </c>
      <c r="G1242" s="5">
        <v>139503.54</v>
      </c>
      <c r="H1242" s="5">
        <v>73775.839999999997</v>
      </c>
      <c r="I1242" s="3">
        <f>VLOOKUP(B1242,[1]Sheet3!$A$13:$G$198,7,TRUE)</f>
        <v>106019.78</v>
      </c>
    </row>
    <row r="1243" spans="1:9">
      <c r="B1243" s="1" t="s">
        <v>262</v>
      </c>
      <c r="D1243" t="s">
        <v>14</v>
      </c>
      <c r="E1243" s="5">
        <v>52359.94</v>
      </c>
      <c r="F1243" s="5">
        <v>52359.94</v>
      </c>
      <c r="G1243" s="5">
        <v>61877.72</v>
      </c>
      <c r="H1243" s="5">
        <v>61877.72</v>
      </c>
      <c r="I1243" s="3">
        <f>VLOOKUP(B1243,[1]Sheet3!$A$13:$H$198,8,TRUE)</f>
        <v>48230.270000000004</v>
      </c>
    </row>
    <row r="1244" spans="1:9">
      <c r="B1244" s="1" t="s">
        <v>262</v>
      </c>
      <c r="D1244" t="s">
        <v>15</v>
      </c>
      <c r="E1244" s="5">
        <v>30713.22</v>
      </c>
      <c r="F1244" s="5">
        <v>30785.629999999997</v>
      </c>
      <c r="G1244" s="5">
        <v>38061.120000000003</v>
      </c>
      <c r="H1244" s="5">
        <v>37922.479999999996</v>
      </c>
      <c r="I1244" s="3">
        <f>VLOOKUP(B1244,[1]Sheet3!$A$13:$I$198,9,TRUE)</f>
        <v>28285.52</v>
      </c>
    </row>
    <row r="1245" spans="1:9">
      <c r="B1245" s="1" t="s">
        <v>262</v>
      </c>
      <c r="D1245" t="s">
        <v>16</v>
      </c>
      <c r="E1245" s="5">
        <v>497.73</v>
      </c>
      <c r="F1245" s="5">
        <v>430.26</v>
      </c>
      <c r="G1245" s="5">
        <v>628.39</v>
      </c>
      <c r="H1245" s="5">
        <v>307.39999999999998</v>
      </c>
      <c r="I1245" s="5">
        <f>I1242/I1240</f>
        <v>427.49911290322581</v>
      </c>
    </row>
    <row r="1246" spans="1:9">
      <c r="B1246" s="1" t="s">
        <v>262</v>
      </c>
      <c r="D1246" t="s">
        <v>17</v>
      </c>
      <c r="E1246" s="6">
        <v>1.82</v>
      </c>
      <c r="F1246" s="6">
        <v>1.96</v>
      </c>
      <c r="G1246" s="6">
        <v>2.39</v>
      </c>
      <c r="H1246" s="6">
        <v>1.32</v>
      </c>
      <c r="I1246" s="7">
        <f>I1242/I1241</f>
        <v>2.1548735772357723</v>
      </c>
    </row>
    <row r="1247" spans="1:9">
      <c r="B1247" s="1" t="s">
        <v>262</v>
      </c>
      <c r="D1247" t="s">
        <v>18</v>
      </c>
      <c r="E1247" s="8">
        <v>0.47599999999999998</v>
      </c>
      <c r="F1247" s="8">
        <v>0.49669999999999997</v>
      </c>
      <c r="G1247" s="8">
        <v>0.44359999999999999</v>
      </c>
      <c r="H1247" s="8">
        <v>0.8387</v>
      </c>
      <c r="I1247" s="8">
        <f>I1243/I1242</f>
        <v>0.4549176578181921</v>
      </c>
    </row>
    <row r="1248" spans="1:9">
      <c r="B1248" s="1" t="s">
        <v>262</v>
      </c>
      <c r="D1248" t="s">
        <v>19</v>
      </c>
      <c r="E1248" s="8">
        <v>0.58660000000000001</v>
      </c>
      <c r="F1248" s="8">
        <v>0.58799999999999997</v>
      </c>
      <c r="G1248" s="8">
        <v>0.61509999999999998</v>
      </c>
      <c r="H1248" s="8">
        <v>0.6129</v>
      </c>
      <c r="I1248" s="8">
        <f>I1244/I1243</f>
        <v>0.58646820762147922</v>
      </c>
    </row>
    <row r="1249" spans="1:9">
      <c r="B1249" s="1" t="s">
        <v>262</v>
      </c>
      <c r="D1249" t="s">
        <v>20</v>
      </c>
      <c r="E1249" s="8">
        <v>0.2792</v>
      </c>
      <c r="F1249" s="8">
        <v>0.29199999999999998</v>
      </c>
      <c r="G1249" s="8">
        <v>0.27279999999999999</v>
      </c>
      <c r="H1249" s="8">
        <v>0.51400000000000001</v>
      </c>
      <c r="I1249" s="8">
        <f>I1244/I1242</f>
        <v>0.26679474339599651</v>
      </c>
    </row>
    <row r="1250" spans="1:9">
      <c r="B1250" s="1" t="s">
        <v>262</v>
      </c>
    </row>
    <row r="1251" spans="1:9">
      <c r="A1251" t="s">
        <v>257</v>
      </c>
      <c r="B1251" s="1" t="s">
        <v>264</v>
      </c>
      <c r="C1251" t="s">
        <v>265</v>
      </c>
    </row>
    <row r="1252" spans="1:9">
      <c r="B1252" s="1" t="s">
        <v>264</v>
      </c>
      <c r="D1252" t="s">
        <v>11</v>
      </c>
      <c r="E1252" s="3">
        <v>66</v>
      </c>
      <c r="F1252" s="3">
        <v>72</v>
      </c>
      <c r="G1252" s="3">
        <v>82</v>
      </c>
      <c r="H1252" s="3">
        <v>117</v>
      </c>
      <c r="I1252" s="3">
        <f>VLOOKUP(B1252,[1]Sheet3!$A$13:$E$198,5,TRUE)</f>
        <v>132</v>
      </c>
    </row>
    <row r="1253" spans="1:9">
      <c r="B1253" s="1" t="s">
        <v>264</v>
      </c>
      <c r="D1253" t="s">
        <v>12</v>
      </c>
      <c r="E1253" s="5">
        <v>79120</v>
      </c>
      <c r="F1253" s="5">
        <v>63984</v>
      </c>
      <c r="G1253" s="5">
        <v>68804</v>
      </c>
      <c r="H1253" s="5">
        <v>66165</v>
      </c>
      <c r="I1253" s="3">
        <f>VLOOKUP(B1253,[1]Sheet3!$A$13:$F$198,6,TRUE)</f>
        <v>63680</v>
      </c>
    </row>
    <row r="1254" spans="1:9">
      <c r="B1254" s="1" t="s">
        <v>264</v>
      </c>
      <c r="D1254" t="s">
        <v>23</v>
      </c>
      <c r="E1254" s="5">
        <v>87573</v>
      </c>
      <c r="F1254" s="5">
        <v>119391.66</v>
      </c>
      <c r="G1254" s="5">
        <v>94943.55</v>
      </c>
      <c r="H1254" s="5">
        <v>113100.75</v>
      </c>
      <c r="I1254" s="3">
        <f>VLOOKUP(B1254,[1]Sheet3!$A$13:$G$198,7,TRUE)</f>
        <v>150912.59</v>
      </c>
    </row>
    <row r="1255" spans="1:9">
      <c r="B1255" s="1" t="s">
        <v>264</v>
      </c>
      <c r="D1255" t="s">
        <v>14</v>
      </c>
      <c r="E1255" s="5">
        <v>49475.34</v>
      </c>
      <c r="F1255" s="5">
        <v>56461.740000000005</v>
      </c>
      <c r="G1255" s="5">
        <v>56461.740000000005</v>
      </c>
      <c r="H1255" s="5">
        <v>54877.21</v>
      </c>
      <c r="I1255" s="3">
        <f>VLOOKUP(B1255,[1]Sheet3!$A$13:$H$198,8,TRUE)</f>
        <v>67061.75</v>
      </c>
    </row>
    <row r="1256" spans="1:9">
      <c r="B1256" s="1" t="s">
        <v>264</v>
      </c>
      <c r="D1256" t="s">
        <v>15</v>
      </c>
      <c r="E1256" s="5">
        <v>29937.279999999999</v>
      </c>
      <c r="F1256" s="5">
        <v>33874.94</v>
      </c>
      <c r="G1256" s="5">
        <v>33861.86</v>
      </c>
      <c r="H1256" s="5">
        <v>33468.590000000004</v>
      </c>
      <c r="I1256" s="3">
        <f>VLOOKUP(B1256,[1]Sheet3!$A$13:$I$198,9,TRUE)</f>
        <v>42569.43</v>
      </c>
    </row>
    <row r="1257" spans="1:9">
      <c r="B1257" s="1" t="s">
        <v>264</v>
      </c>
      <c r="D1257" t="s">
        <v>16</v>
      </c>
      <c r="E1257" s="5">
        <v>1326.86</v>
      </c>
      <c r="F1257" s="5">
        <v>1658.22</v>
      </c>
      <c r="G1257" s="5">
        <v>1157.8499999999999</v>
      </c>
      <c r="H1257" s="5">
        <v>966.67</v>
      </c>
      <c r="I1257" s="5">
        <f>I1254/I1252</f>
        <v>1143.2771969696969</v>
      </c>
    </row>
    <row r="1258" spans="1:9">
      <c r="B1258" s="1" t="s">
        <v>264</v>
      </c>
      <c r="D1258" t="s">
        <v>17</v>
      </c>
      <c r="E1258" s="6">
        <v>1.1100000000000001</v>
      </c>
      <c r="F1258" s="6">
        <v>1.87</v>
      </c>
      <c r="G1258" s="6">
        <v>1.38</v>
      </c>
      <c r="H1258" s="6">
        <v>1.71</v>
      </c>
      <c r="I1258" s="7">
        <f>I1254/I1253</f>
        <v>2.3698585113065325</v>
      </c>
    </row>
    <row r="1259" spans="1:9">
      <c r="B1259" s="1" t="s">
        <v>264</v>
      </c>
      <c r="D1259" t="s">
        <v>18</v>
      </c>
      <c r="E1259" s="8">
        <v>0.56499999999999995</v>
      </c>
      <c r="F1259" s="8">
        <v>0.47289999999999999</v>
      </c>
      <c r="G1259" s="8">
        <v>0.59470000000000001</v>
      </c>
      <c r="H1259" s="8">
        <v>0.48520000000000002</v>
      </c>
      <c r="I1259" s="8">
        <f>I1255/I1254</f>
        <v>0.44437478675569747</v>
      </c>
    </row>
    <row r="1260" spans="1:9">
      <c r="B1260" s="1" t="s">
        <v>264</v>
      </c>
      <c r="D1260" t="s">
        <v>19</v>
      </c>
      <c r="E1260" s="8">
        <v>0.60509999999999997</v>
      </c>
      <c r="F1260" s="8">
        <v>0.6</v>
      </c>
      <c r="G1260" s="8">
        <v>0.59970000000000001</v>
      </c>
      <c r="H1260" s="8">
        <v>0.6099</v>
      </c>
      <c r="I1260" s="8">
        <f>I1256/I1255</f>
        <v>0.63477958746975738</v>
      </c>
    </row>
    <row r="1261" spans="1:9">
      <c r="B1261" s="1" t="s">
        <v>264</v>
      </c>
      <c r="D1261" t="s">
        <v>20</v>
      </c>
      <c r="E1261" s="8">
        <v>0.34189999999999998</v>
      </c>
      <c r="F1261" s="8">
        <v>0.28370000000000001</v>
      </c>
      <c r="G1261" s="8">
        <v>0.35670000000000002</v>
      </c>
      <c r="H1261" s="8">
        <v>0.2959</v>
      </c>
      <c r="I1261" s="8">
        <f>I1256/I1254</f>
        <v>0.28208004381874302</v>
      </c>
    </row>
    <row r="1262" spans="1:9">
      <c r="B1262" s="1" t="s">
        <v>264</v>
      </c>
    </row>
    <row r="1263" spans="1:9">
      <c r="A1263" t="s">
        <v>266</v>
      </c>
      <c r="B1263" s="1" t="s">
        <v>267</v>
      </c>
      <c r="C1263" t="s">
        <v>268</v>
      </c>
    </row>
    <row r="1264" spans="1:9">
      <c r="B1264" s="1" t="s">
        <v>267</v>
      </c>
      <c r="D1264" t="s">
        <v>11</v>
      </c>
      <c r="E1264" s="3">
        <v>54</v>
      </c>
      <c r="F1264" s="3">
        <v>15</v>
      </c>
      <c r="G1264" s="3">
        <v>12</v>
      </c>
      <c r="H1264" s="3">
        <v>8</v>
      </c>
      <c r="I1264" s="3">
        <f>VLOOKUP(B1264,[1]Sheet3!$A$13:$E$198,5,TRUE)</f>
        <v>23</v>
      </c>
    </row>
    <row r="1265" spans="1:9">
      <c r="B1265" s="1" t="s">
        <v>267</v>
      </c>
      <c r="D1265" t="s">
        <v>12</v>
      </c>
      <c r="E1265" s="5">
        <v>19106</v>
      </c>
      <c r="F1265" s="5">
        <v>33495</v>
      </c>
      <c r="G1265" s="5">
        <v>34196</v>
      </c>
      <c r="H1265" s="5">
        <v>23057.1</v>
      </c>
      <c r="I1265" s="3">
        <f>VLOOKUP(B1265,[1]Sheet3!$A$13:$F$198,6,TRUE)</f>
        <v>13224</v>
      </c>
    </row>
    <row r="1266" spans="1:9">
      <c r="B1266" s="1" t="s">
        <v>267</v>
      </c>
      <c r="D1266" t="s">
        <v>23</v>
      </c>
      <c r="E1266" s="5">
        <v>48485.55</v>
      </c>
      <c r="F1266" s="5">
        <v>33829.53</v>
      </c>
      <c r="G1266" s="5">
        <v>28865.599999999999</v>
      </c>
      <c r="H1266" s="5">
        <v>12907.82</v>
      </c>
      <c r="I1266" s="3">
        <f>VLOOKUP(B1266,[1]Sheet3!$A$13:$G$198,7,TRUE)</f>
        <v>57314.1</v>
      </c>
    </row>
    <row r="1267" spans="1:9">
      <c r="B1267" s="1" t="s">
        <v>267</v>
      </c>
      <c r="D1267" t="s">
        <v>14</v>
      </c>
      <c r="E1267" s="5">
        <v>43939.48</v>
      </c>
      <c r="F1267" s="5">
        <v>21206.85</v>
      </c>
      <c r="G1267" s="5">
        <v>19846.36</v>
      </c>
      <c r="H1267" s="5">
        <v>18340.63</v>
      </c>
      <c r="I1267" s="3">
        <f>VLOOKUP(B1267,[1]Sheet3!$A$13:$H$198,8,TRUE)</f>
        <v>22724.03</v>
      </c>
    </row>
    <row r="1268" spans="1:9">
      <c r="B1268" s="1" t="s">
        <v>267</v>
      </c>
      <c r="D1268" t="s">
        <v>15</v>
      </c>
      <c r="E1268" s="5">
        <v>25529.559999999998</v>
      </c>
      <c r="F1268" s="5">
        <v>10263.959999999999</v>
      </c>
      <c r="G1268" s="5">
        <v>11766.52</v>
      </c>
      <c r="H1268" s="5">
        <v>11084.86</v>
      </c>
      <c r="I1268" s="3">
        <f>VLOOKUP(B1268,[1]Sheet3!$A$13:$I$198,9,TRUE)</f>
        <v>14451.23</v>
      </c>
    </row>
    <row r="1269" spans="1:9">
      <c r="B1269" s="1" t="s">
        <v>267</v>
      </c>
      <c r="D1269" t="s">
        <v>16</v>
      </c>
      <c r="E1269" s="5">
        <v>897.88</v>
      </c>
      <c r="F1269" s="5">
        <v>2255.3000000000002</v>
      </c>
      <c r="G1269" s="5">
        <v>2405.4699999999998</v>
      </c>
      <c r="H1269" s="5">
        <v>1613.48</v>
      </c>
      <c r="I1269" s="5">
        <f>I1266/I1264</f>
        <v>2491.9173913043478</v>
      </c>
    </row>
    <row r="1270" spans="1:9">
      <c r="B1270" s="1" t="s">
        <v>267</v>
      </c>
      <c r="D1270" t="s">
        <v>17</v>
      </c>
      <c r="E1270" s="6">
        <v>2.54</v>
      </c>
      <c r="F1270" s="6">
        <v>1.01</v>
      </c>
      <c r="G1270" s="6">
        <v>0.84</v>
      </c>
      <c r="H1270" s="6">
        <v>0.56000000000000005</v>
      </c>
      <c r="I1270" s="7">
        <f>I1266/I1265</f>
        <v>4.3340970961887475</v>
      </c>
    </row>
    <row r="1271" spans="1:9">
      <c r="B1271" s="1" t="s">
        <v>267</v>
      </c>
      <c r="D1271" t="s">
        <v>18</v>
      </c>
      <c r="E1271" s="8">
        <v>0.90620000000000001</v>
      </c>
      <c r="F1271" s="8">
        <v>0.62690000000000001</v>
      </c>
      <c r="G1271" s="8">
        <v>0.6875</v>
      </c>
      <c r="H1271" s="8">
        <v>1.4209000000000001</v>
      </c>
      <c r="I1271" s="8">
        <f>I1267/I1266</f>
        <v>0.39648236646828616</v>
      </c>
    </row>
    <row r="1272" spans="1:9">
      <c r="B1272" s="1" t="s">
        <v>267</v>
      </c>
      <c r="D1272" t="s">
        <v>19</v>
      </c>
      <c r="E1272" s="8">
        <v>0.58099999999999996</v>
      </c>
      <c r="F1272" s="8">
        <v>0.48399999999999999</v>
      </c>
      <c r="G1272" s="8">
        <v>0.59289999999999998</v>
      </c>
      <c r="H1272" s="8">
        <v>0.60440000000000005</v>
      </c>
      <c r="I1272" s="8">
        <f>I1268/I1267</f>
        <v>0.6359448566121414</v>
      </c>
    </row>
    <row r="1273" spans="1:9">
      <c r="B1273" s="1" t="s">
        <v>267</v>
      </c>
      <c r="D1273" t="s">
        <v>20</v>
      </c>
      <c r="E1273" s="8">
        <v>0.52649999999999997</v>
      </c>
      <c r="F1273" s="8">
        <v>0.3034</v>
      </c>
      <c r="G1273" s="8">
        <v>0.40760000000000002</v>
      </c>
      <c r="H1273" s="8">
        <v>0.85880000000000001</v>
      </c>
      <c r="I1273" s="8">
        <f>I1268/I1266</f>
        <v>0.25214092169291674</v>
      </c>
    </row>
    <row r="1274" spans="1:9">
      <c r="B1274" s="1" t="s">
        <v>267</v>
      </c>
    </row>
    <row r="1275" spans="1:9">
      <c r="A1275" t="s">
        <v>266</v>
      </c>
      <c r="B1275" s="1" t="s">
        <v>269</v>
      </c>
      <c r="C1275" t="s">
        <v>270</v>
      </c>
    </row>
    <row r="1276" spans="1:9">
      <c r="B1276" s="1" t="s">
        <v>269</v>
      </c>
      <c r="D1276" t="s">
        <v>11</v>
      </c>
      <c r="E1276" s="3">
        <v>335</v>
      </c>
      <c r="F1276" s="3">
        <v>325</v>
      </c>
      <c r="G1276" s="3">
        <v>341</v>
      </c>
      <c r="H1276" s="3">
        <v>354</v>
      </c>
      <c r="I1276" s="3">
        <f>VLOOKUP(B1276,[1]Sheet3!$A$13:$E$198,5,TRUE)</f>
        <v>363</v>
      </c>
    </row>
    <row r="1277" spans="1:9">
      <c r="B1277" s="1" t="s">
        <v>269</v>
      </c>
      <c r="D1277" t="s">
        <v>12</v>
      </c>
      <c r="E1277" s="5">
        <v>93393</v>
      </c>
      <c r="F1277" s="5">
        <v>73122.399999999994</v>
      </c>
      <c r="G1277" s="5">
        <v>47520</v>
      </c>
      <c r="H1277" s="5">
        <v>27936</v>
      </c>
      <c r="I1277" s="3">
        <f>VLOOKUP(B1277,[1]Sheet3!$A$13:$F$198,6,TRUE)</f>
        <v>28800</v>
      </c>
    </row>
    <row r="1278" spans="1:9">
      <c r="B1278" s="1" t="s">
        <v>269</v>
      </c>
      <c r="D1278" t="s">
        <v>23</v>
      </c>
      <c r="E1278" s="5">
        <v>109706.87</v>
      </c>
      <c r="F1278" s="5">
        <v>107017.19</v>
      </c>
      <c r="G1278" s="5">
        <v>73174.59</v>
      </c>
      <c r="H1278" s="5">
        <v>70236.41</v>
      </c>
      <c r="I1278" s="3">
        <f>VLOOKUP(B1278,[1]Sheet3!$A$13:$G$198,7,TRUE)</f>
        <v>74203.100000000006</v>
      </c>
    </row>
    <row r="1279" spans="1:9">
      <c r="B1279" s="1" t="s">
        <v>269</v>
      </c>
      <c r="D1279" t="s">
        <v>14</v>
      </c>
      <c r="E1279" s="5">
        <v>81071.75</v>
      </c>
      <c r="F1279" s="5">
        <v>60546.53</v>
      </c>
      <c r="G1279" s="5">
        <v>54559.08</v>
      </c>
      <c r="H1279" s="5">
        <v>36684.869999999995</v>
      </c>
      <c r="I1279" s="3">
        <f>VLOOKUP(B1279,[1]Sheet3!$A$13:$H$198,8,TRUE)</f>
        <v>32345.1</v>
      </c>
    </row>
    <row r="1280" spans="1:9">
      <c r="B1280" s="1" t="s">
        <v>269</v>
      </c>
      <c r="D1280" t="s">
        <v>15</v>
      </c>
      <c r="E1280" s="5">
        <v>46949.78</v>
      </c>
      <c r="F1280" s="5">
        <v>33608.28</v>
      </c>
      <c r="G1280" s="5">
        <v>32122.43</v>
      </c>
      <c r="H1280" s="5">
        <v>20637.849999999999</v>
      </c>
      <c r="I1280" s="3">
        <f>VLOOKUP(B1280,[1]Sheet3!$A$13:$I$198,9,TRUE)</f>
        <v>19469.77</v>
      </c>
    </row>
    <row r="1281" spans="1:9">
      <c r="B1281" s="1" t="s">
        <v>269</v>
      </c>
      <c r="D1281" t="s">
        <v>16</v>
      </c>
      <c r="E1281" s="5">
        <v>327.48</v>
      </c>
      <c r="F1281" s="5">
        <v>329.28</v>
      </c>
      <c r="G1281" s="5">
        <v>214.59</v>
      </c>
      <c r="H1281" s="5">
        <v>198.41</v>
      </c>
      <c r="I1281" s="5">
        <f>I1278/I1276</f>
        <v>204.41625344352619</v>
      </c>
    </row>
    <row r="1282" spans="1:9">
      <c r="B1282" s="1" t="s">
        <v>269</v>
      </c>
      <c r="D1282" t="s">
        <v>17</v>
      </c>
      <c r="E1282" s="6">
        <v>1.17</v>
      </c>
      <c r="F1282" s="6">
        <v>1.46</v>
      </c>
      <c r="G1282" s="6">
        <v>1.54</v>
      </c>
      <c r="H1282" s="6">
        <v>2.5099999999999998</v>
      </c>
      <c r="I1282" s="7">
        <f>I1278/I1277</f>
        <v>2.576496527777778</v>
      </c>
    </row>
    <row r="1283" spans="1:9">
      <c r="B1283" s="1" t="s">
        <v>269</v>
      </c>
      <c r="D1283" t="s">
        <v>18</v>
      </c>
      <c r="E1283" s="8">
        <v>0.73899999999999999</v>
      </c>
      <c r="F1283" s="8">
        <v>0.56579999999999997</v>
      </c>
      <c r="G1283" s="8">
        <v>0.74560000000000004</v>
      </c>
      <c r="H1283" s="8">
        <v>0.52229999999999999</v>
      </c>
      <c r="I1283" s="8">
        <f>I1279/I1278</f>
        <v>0.4358995783195041</v>
      </c>
    </row>
    <row r="1284" spans="1:9">
      <c r="B1284" s="1" t="s">
        <v>269</v>
      </c>
      <c r="D1284" t="s">
        <v>19</v>
      </c>
      <c r="E1284" s="8">
        <v>0.57909999999999995</v>
      </c>
      <c r="F1284" s="8">
        <v>0.55510000000000004</v>
      </c>
      <c r="G1284" s="8">
        <v>0.58879999999999999</v>
      </c>
      <c r="H1284" s="8">
        <v>0.56259999999999999</v>
      </c>
      <c r="I1284" s="8">
        <f>I1280/I1279</f>
        <v>0.60193877898043291</v>
      </c>
    </row>
    <row r="1285" spans="1:9">
      <c r="B1285" s="1" t="s">
        <v>269</v>
      </c>
      <c r="D1285" t="s">
        <v>20</v>
      </c>
      <c r="E1285" s="8">
        <v>0.42799999999999999</v>
      </c>
      <c r="F1285" s="8">
        <v>0.314</v>
      </c>
      <c r="G1285" s="8">
        <v>0.439</v>
      </c>
      <c r="H1285" s="8">
        <v>0.29380000000000001</v>
      </c>
      <c r="I1285" s="8">
        <f>I1280/I1278</f>
        <v>0.26238485993172789</v>
      </c>
    </row>
    <row r="1286" spans="1:9">
      <c r="B1286" s="1" t="s">
        <v>269</v>
      </c>
    </row>
    <row r="1287" spans="1:9">
      <c r="A1287" t="s">
        <v>266</v>
      </c>
      <c r="B1287" s="1" t="s">
        <v>271</v>
      </c>
      <c r="C1287" t="s">
        <v>272</v>
      </c>
    </row>
    <row r="1288" spans="1:9">
      <c r="B1288" s="1" t="s">
        <v>271</v>
      </c>
      <c r="D1288" t="s">
        <v>11</v>
      </c>
      <c r="E1288" s="3">
        <v>10021</v>
      </c>
      <c r="F1288" s="3">
        <v>10499</v>
      </c>
      <c r="G1288" s="3">
        <v>10211</v>
      </c>
      <c r="H1288" s="3">
        <v>9701</v>
      </c>
      <c r="I1288" s="3">
        <f>VLOOKUP(B1288,[1]Sheet3!$A$13:$E$198,5,TRUE)</f>
        <v>6915</v>
      </c>
    </row>
    <row r="1289" spans="1:9">
      <c r="B1289" s="1" t="s">
        <v>271</v>
      </c>
      <c r="D1289" t="s">
        <v>12</v>
      </c>
      <c r="E1289" s="5">
        <v>1806050.7</v>
      </c>
      <c r="F1289" s="5">
        <v>1770301</v>
      </c>
      <c r="G1289" s="5">
        <v>1865890.4</v>
      </c>
      <c r="H1289" s="5">
        <v>1716361.6</v>
      </c>
      <c r="I1289" s="3">
        <f>VLOOKUP(B1289,[1]Sheet3!$A$13:$F$198,6,TRUE)</f>
        <v>1552603</v>
      </c>
    </row>
    <row r="1290" spans="1:9">
      <c r="B1290" s="1" t="s">
        <v>271</v>
      </c>
      <c r="D1290" t="s">
        <v>23</v>
      </c>
      <c r="E1290" s="5">
        <v>5402082</v>
      </c>
      <c r="F1290" s="5">
        <v>5546398</v>
      </c>
      <c r="G1290" s="5">
        <v>5807091</v>
      </c>
      <c r="H1290" s="5">
        <v>5734337</v>
      </c>
      <c r="I1290" s="3">
        <f>VLOOKUP(B1290,[1]Sheet3!$A$13:$G$198,7,TRUE)</f>
        <v>5360759</v>
      </c>
    </row>
    <row r="1291" spans="1:9">
      <c r="B1291" s="1" t="s">
        <v>271</v>
      </c>
      <c r="D1291" t="s">
        <v>14</v>
      </c>
      <c r="E1291" s="5">
        <v>2047998.71</v>
      </c>
      <c r="F1291" s="5">
        <v>2095367.71</v>
      </c>
      <c r="G1291" s="5">
        <v>2222734.17</v>
      </c>
      <c r="H1291" s="5">
        <v>2222734.17</v>
      </c>
      <c r="I1291" s="3">
        <f>VLOOKUP(B1291,[1]Sheet3!$A$13:$H$198,8,TRUE)</f>
        <v>1994959.22</v>
      </c>
    </row>
    <row r="1292" spans="1:9">
      <c r="B1292" s="1" t="s">
        <v>271</v>
      </c>
      <c r="D1292" t="s">
        <v>15</v>
      </c>
      <c r="E1292" s="5">
        <v>1194149.5899999999</v>
      </c>
      <c r="F1292" s="5">
        <v>1236589.8999999999</v>
      </c>
      <c r="G1292" s="5">
        <v>1345770.81</v>
      </c>
      <c r="H1292" s="5">
        <v>1362228.56</v>
      </c>
      <c r="I1292" s="3">
        <f>VLOOKUP(B1292,[1]Sheet3!$A$13:$I$198,9,TRUE)</f>
        <v>1320170.3500000001</v>
      </c>
    </row>
    <row r="1293" spans="1:9">
      <c r="B1293" s="1" t="s">
        <v>271</v>
      </c>
      <c r="D1293" t="s">
        <v>16</v>
      </c>
      <c r="E1293" s="5">
        <v>539.08000000000004</v>
      </c>
      <c r="F1293" s="5">
        <v>528.28</v>
      </c>
      <c r="G1293" s="5">
        <v>568.71</v>
      </c>
      <c r="H1293" s="5">
        <v>591.11</v>
      </c>
      <c r="I1293" s="5">
        <f>I1290/I1288</f>
        <v>775.23629790310918</v>
      </c>
    </row>
    <row r="1294" spans="1:9">
      <c r="B1294" s="1" t="s">
        <v>271</v>
      </c>
      <c r="D1294" t="s">
        <v>17</v>
      </c>
      <c r="E1294" s="6">
        <v>2.99</v>
      </c>
      <c r="F1294" s="6">
        <v>3.13</v>
      </c>
      <c r="G1294" s="6">
        <v>3.11</v>
      </c>
      <c r="H1294" s="6">
        <v>3.34</v>
      </c>
      <c r="I1294" s="7">
        <f>I1290/I1289</f>
        <v>3.4527557914032112</v>
      </c>
    </row>
    <row r="1295" spans="1:9">
      <c r="B1295" s="1" t="s">
        <v>271</v>
      </c>
      <c r="D1295" t="s">
        <v>18</v>
      </c>
      <c r="E1295" s="8">
        <v>0.37909999999999999</v>
      </c>
      <c r="F1295" s="8">
        <v>0.37780000000000002</v>
      </c>
      <c r="G1295" s="8">
        <v>0.38279999999999997</v>
      </c>
      <c r="H1295" s="8">
        <v>0.3876</v>
      </c>
      <c r="I1295" s="8">
        <f>I1291/I1290</f>
        <v>0.37214118746990865</v>
      </c>
    </row>
    <row r="1296" spans="1:9">
      <c r="B1296" s="1" t="s">
        <v>271</v>
      </c>
      <c r="D1296" t="s">
        <v>19</v>
      </c>
      <c r="E1296" s="8">
        <v>0.58309999999999995</v>
      </c>
      <c r="F1296" s="8">
        <v>0.59019999999999995</v>
      </c>
      <c r="G1296" s="8">
        <v>0.60550000000000004</v>
      </c>
      <c r="H1296" s="8">
        <v>0.6129</v>
      </c>
      <c r="I1296" s="8">
        <f>I1292/I1291</f>
        <v>0.66175305077163438</v>
      </c>
    </row>
    <row r="1297" spans="1:9">
      <c r="B1297" s="1" t="s">
        <v>271</v>
      </c>
      <c r="D1297" t="s">
        <v>20</v>
      </c>
      <c r="E1297" s="8">
        <v>0.22109999999999999</v>
      </c>
      <c r="F1297" s="8">
        <v>0.223</v>
      </c>
      <c r="G1297" s="8">
        <v>0.23169999999999999</v>
      </c>
      <c r="H1297" s="8">
        <v>0.23760000000000001</v>
      </c>
      <c r="I1297" s="8">
        <f>I1292/I1290</f>
        <v>0.24626556612599076</v>
      </c>
    </row>
    <row r="1298" spans="1:9">
      <c r="B1298" s="1" t="s">
        <v>271</v>
      </c>
    </row>
    <row r="1299" spans="1:9">
      <c r="A1299" t="s">
        <v>273</v>
      </c>
      <c r="B1299" s="1" t="s">
        <v>274</v>
      </c>
      <c r="C1299" t="s">
        <v>275</v>
      </c>
    </row>
    <row r="1300" spans="1:9">
      <c r="B1300" s="1" t="s">
        <v>274</v>
      </c>
      <c r="D1300" t="s">
        <v>11</v>
      </c>
      <c r="E1300" s="3">
        <v>72</v>
      </c>
      <c r="F1300" s="3">
        <v>70</v>
      </c>
      <c r="G1300" s="3">
        <v>61</v>
      </c>
      <c r="H1300" s="3">
        <v>62</v>
      </c>
      <c r="I1300" s="3">
        <f>VLOOKUP(B1300,[1]Sheet3!$A$13:$E$198,5,TRUE)</f>
        <v>48</v>
      </c>
    </row>
    <row r="1301" spans="1:9">
      <c r="B1301" s="1" t="s">
        <v>274</v>
      </c>
      <c r="D1301" t="s">
        <v>12</v>
      </c>
      <c r="E1301" s="5">
        <v>176328</v>
      </c>
      <c r="F1301" s="5">
        <v>139302</v>
      </c>
      <c r="G1301" s="5">
        <v>149060</v>
      </c>
      <c r="H1301" s="5">
        <v>139997</v>
      </c>
      <c r="I1301" s="3">
        <f>VLOOKUP(B1301,[1]Sheet3!$A$13:$F$198,6,TRUE)</f>
        <v>133419</v>
      </c>
    </row>
    <row r="1302" spans="1:9">
      <c r="B1302" s="1" t="s">
        <v>274</v>
      </c>
      <c r="D1302" t="s">
        <v>23</v>
      </c>
      <c r="E1302" s="5">
        <v>51443.28</v>
      </c>
      <c r="F1302" s="5">
        <v>44829.75</v>
      </c>
      <c r="G1302" s="5">
        <v>43488.55</v>
      </c>
      <c r="H1302" s="5">
        <v>48406.89</v>
      </c>
      <c r="I1302" s="3">
        <f>VLOOKUP(B1302,[1]Sheet3!$A$13:$G$198,7,TRUE)</f>
        <v>43473.73</v>
      </c>
    </row>
    <row r="1303" spans="1:9">
      <c r="B1303" s="1" t="s">
        <v>274</v>
      </c>
      <c r="D1303" t="s">
        <v>14</v>
      </c>
      <c r="E1303" s="5">
        <v>50715.1</v>
      </c>
      <c r="F1303" s="5">
        <v>46298.95</v>
      </c>
      <c r="G1303" s="5">
        <v>40346.78</v>
      </c>
      <c r="H1303" s="5">
        <v>43566.2</v>
      </c>
      <c r="I1303" s="3">
        <f>VLOOKUP(B1303,[1]Sheet3!$A$13:$H$198,8,TRUE)</f>
        <v>39126.36</v>
      </c>
    </row>
    <row r="1304" spans="1:9">
      <c r="B1304" s="1" t="s">
        <v>274</v>
      </c>
      <c r="D1304" t="s">
        <v>15</v>
      </c>
      <c r="E1304" s="5">
        <v>29466.3</v>
      </c>
      <c r="F1304" s="5">
        <v>26793.68</v>
      </c>
      <c r="G1304" s="5">
        <v>23602.400000000001</v>
      </c>
      <c r="H1304" s="5">
        <v>27032.35</v>
      </c>
      <c r="I1304" s="3">
        <f>VLOOKUP(B1304,[1]Sheet3!$A$13:$I$198,9,TRUE)</f>
        <v>26831.93</v>
      </c>
    </row>
    <row r="1305" spans="1:9">
      <c r="B1305" s="1" t="s">
        <v>274</v>
      </c>
      <c r="D1305" t="s">
        <v>16</v>
      </c>
      <c r="E1305" s="5">
        <v>714.49</v>
      </c>
      <c r="F1305" s="5">
        <v>640.42999999999995</v>
      </c>
      <c r="G1305" s="5">
        <v>712.93</v>
      </c>
      <c r="H1305" s="5">
        <v>780.76</v>
      </c>
      <c r="I1305" s="5">
        <f>I1302/I1300</f>
        <v>905.70270833333336</v>
      </c>
    </row>
    <row r="1306" spans="1:9">
      <c r="B1306" s="1" t="s">
        <v>274</v>
      </c>
      <c r="D1306" t="s">
        <v>17</v>
      </c>
      <c r="E1306" s="6">
        <v>0.28999999999999998</v>
      </c>
      <c r="F1306" s="6">
        <v>0.32</v>
      </c>
      <c r="G1306" s="6">
        <v>0.28999999999999998</v>
      </c>
      <c r="H1306" s="6">
        <v>0.35</v>
      </c>
      <c r="I1306" s="7">
        <f>I1302/I1301</f>
        <v>0.32584362047384557</v>
      </c>
    </row>
    <row r="1307" spans="1:9">
      <c r="B1307" s="1" t="s">
        <v>274</v>
      </c>
      <c r="D1307" t="s">
        <v>18</v>
      </c>
      <c r="E1307" s="8">
        <v>0.98580000000000001</v>
      </c>
      <c r="F1307" s="8">
        <v>1.0327999999999999</v>
      </c>
      <c r="G1307" s="8">
        <v>0.92779999999999996</v>
      </c>
      <c r="H1307" s="8">
        <v>0.9</v>
      </c>
      <c r="I1307" s="8">
        <f>I1303/I1302</f>
        <v>0.90000006900719121</v>
      </c>
    </row>
    <row r="1308" spans="1:9">
      <c r="B1308" s="1" t="s">
        <v>274</v>
      </c>
      <c r="D1308" t="s">
        <v>19</v>
      </c>
      <c r="E1308" s="8">
        <v>0.58099999999999996</v>
      </c>
      <c r="F1308" s="8">
        <v>0.57869999999999999</v>
      </c>
      <c r="G1308" s="8">
        <v>0.58499999999999996</v>
      </c>
      <c r="H1308" s="8">
        <v>0.62050000000000005</v>
      </c>
      <c r="I1308" s="8">
        <f>I1304/I1303</f>
        <v>0.68577628994877116</v>
      </c>
    </row>
    <row r="1309" spans="1:9">
      <c r="B1309" s="1" t="s">
        <v>274</v>
      </c>
      <c r="D1309" t="s">
        <v>20</v>
      </c>
      <c r="E1309" s="8">
        <v>0.57279999999999998</v>
      </c>
      <c r="F1309" s="8">
        <v>0.59770000000000001</v>
      </c>
      <c r="G1309" s="8">
        <v>0.54269999999999996</v>
      </c>
      <c r="H1309" s="8">
        <v>0.55840000000000001</v>
      </c>
      <c r="I1309" s="8">
        <f>I1304/I1302</f>
        <v>0.61719870827738954</v>
      </c>
    </row>
    <row r="1310" spans="1:9">
      <c r="B1310" s="1" t="s">
        <v>274</v>
      </c>
    </row>
    <row r="1311" spans="1:9">
      <c r="A1311" t="s">
        <v>276</v>
      </c>
      <c r="B1311" s="1" t="s">
        <v>277</v>
      </c>
      <c r="C1311" t="s">
        <v>278</v>
      </c>
    </row>
    <row r="1312" spans="1:9">
      <c r="B1312" s="1" t="s">
        <v>277</v>
      </c>
      <c r="D1312" t="s">
        <v>11</v>
      </c>
      <c r="E1312" s="3">
        <v>1394</v>
      </c>
      <c r="F1312" s="3">
        <v>698</v>
      </c>
      <c r="G1312" s="3">
        <v>1051</v>
      </c>
      <c r="H1312" s="3">
        <v>1314</v>
      </c>
      <c r="I1312" s="3">
        <f>VLOOKUP(B1312,[1]Sheet3!$A$13:$E$198,5,TRUE)</f>
        <v>1128</v>
      </c>
    </row>
    <row r="1313" spans="1:9">
      <c r="B1313" s="1" t="s">
        <v>277</v>
      </c>
      <c r="D1313" t="s">
        <v>12</v>
      </c>
      <c r="E1313" s="5">
        <v>163493</v>
      </c>
      <c r="F1313" s="5">
        <v>199899</v>
      </c>
      <c r="G1313" s="5">
        <v>214434</v>
      </c>
      <c r="H1313" s="5">
        <v>201096</v>
      </c>
      <c r="I1313" s="3">
        <f>VLOOKUP(B1313,[1]Sheet3!$A$13:$F$198,6,TRUE)</f>
        <v>165528</v>
      </c>
    </row>
    <row r="1314" spans="1:9">
      <c r="B1314" s="1" t="s">
        <v>277</v>
      </c>
      <c r="D1314" t="s">
        <v>23</v>
      </c>
      <c r="E1314" s="5">
        <v>571681.5</v>
      </c>
      <c r="F1314" s="5">
        <v>612163.68999999994</v>
      </c>
      <c r="G1314" s="5">
        <v>550625.47</v>
      </c>
      <c r="H1314" s="5">
        <v>509429.37</v>
      </c>
      <c r="I1314" s="3">
        <f>VLOOKUP(B1314,[1]Sheet3!$A$13:$G$198,7,TRUE)</f>
        <v>523671.11</v>
      </c>
    </row>
    <row r="1315" spans="1:9">
      <c r="B1315" s="1" t="s">
        <v>277</v>
      </c>
      <c r="D1315" t="s">
        <v>14</v>
      </c>
      <c r="E1315" s="5">
        <v>268323.34999999998</v>
      </c>
      <c r="F1315" s="5">
        <v>257401.41</v>
      </c>
      <c r="G1315" s="5">
        <v>257401.41</v>
      </c>
      <c r="H1315" s="5">
        <v>240198.48</v>
      </c>
      <c r="I1315" s="3">
        <f>VLOOKUP(B1315,[1]Sheet3!$A$13:$H$198,8,TRUE)</f>
        <v>218821.28999999998</v>
      </c>
    </row>
    <row r="1316" spans="1:9">
      <c r="B1316" s="1" t="s">
        <v>277</v>
      </c>
      <c r="D1316" t="s">
        <v>15</v>
      </c>
      <c r="E1316" s="5">
        <v>155754.68</v>
      </c>
      <c r="F1316" s="5">
        <v>150282.79999999999</v>
      </c>
      <c r="G1316" s="5">
        <v>154371.62</v>
      </c>
      <c r="H1316" s="5">
        <v>145432.84</v>
      </c>
      <c r="I1316" s="3">
        <f>VLOOKUP(B1316,[1]Sheet3!$A$13:$I$198,9,TRUE)</f>
        <v>135486.69</v>
      </c>
    </row>
    <row r="1317" spans="1:9">
      <c r="B1317" s="1" t="s">
        <v>277</v>
      </c>
      <c r="D1317" t="s">
        <v>16</v>
      </c>
      <c r="E1317" s="5">
        <v>410.1</v>
      </c>
      <c r="F1317" s="5">
        <v>877.03</v>
      </c>
      <c r="G1317" s="5">
        <v>523.91</v>
      </c>
      <c r="H1317" s="5">
        <v>387.69</v>
      </c>
      <c r="I1317" s="5">
        <f>I1314/I1312</f>
        <v>464.24743794326241</v>
      </c>
    </row>
    <row r="1318" spans="1:9">
      <c r="B1318" s="1" t="s">
        <v>277</v>
      </c>
      <c r="D1318" t="s">
        <v>17</v>
      </c>
      <c r="E1318" s="6">
        <v>3.5</v>
      </c>
      <c r="F1318" s="6">
        <v>3.06</v>
      </c>
      <c r="G1318" s="6">
        <v>2.57</v>
      </c>
      <c r="H1318" s="6">
        <v>2.5299999999999998</v>
      </c>
      <c r="I1318" s="7">
        <f>I1314/I1313</f>
        <v>3.163640652940892</v>
      </c>
    </row>
    <row r="1319" spans="1:9">
      <c r="B1319" s="1" t="s">
        <v>277</v>
      </c>
      <c r="D1319" t="s">
        <v>18</v>
      </c>
      <c r="E1319" s="8">
        <v>0.46939999999999998</v>
      </c>
      <c r="F1319" s="8">
        <v>0.42049999999999998</v>
      </c>
      <c r="G1319" s="8">
        <v>0.46750000000000003</v>
      </c>
      <c r="H1319" s="8">
        <v>0.47149999999999997</v>
      </c>
      <c r="I1319" s="8">
        <f>I1315/I1314</f>
        <v>0.41786015272066468</v>
      </c>
    </row>
    <row r="1320" spans="1:9">
      <c r="B1320" s="1" t="s">
        <v>277</v>
      </c>
      <c r="D1320" t="s">
        <v>19</v>
      </c>
      <c r="E1320" s="8">
        <v>0.58050000000000002</v>
      </c>
      <c r="F1320" s="8">
        <v>0.58379999999999999</v>
      </c>
      <c r="G1320" s="8">
        <v>0.59970000000000001</v>
      </c>
      <c r="H1320" s="8">
        <v>0.60550000000000004</v>
      </c>
      <c r="I1320" s="8">
        <f>I1316/I1315</f>
        <v>0.61916594130306069</v>
      </c>
    </row>
    <row r="1321" spans="1:9">
      <c r="B1321" s="1" t="s">
        <v>277</v>
      </c>
      <c r="D1321" t="s">
        <v>20</v>
      </c>
      <c r="E1321" s="8">
        <v>0.27250000000000002</v>
      </c>
      <c r="F1321" s="8">
        <v>0.2455</v>
      </c>
      <c r="G1321" s="8">
        <v>0.28039999999999998</v>
      </c>
      <c r="H1321" s="8">
        <v>0.28549999999999998</v>
      </c>
      <c r="I1321" s="8">
        <f>I1316/I1314</f>
        <v>0.25872477479233102</v>
      </c>
    </row>
    <row r="1322" spans="1:9">
      <c r="B1322" s="1" t="s">
        <v>277</v>
      </c>
    </row>
    <row r="1323" spans="1:9">
      <c r="A1323" t="s">
        <v>279</v>
      </c>
      <c r="B1323" s="1" t="s">
        <v>280</v>
      </c>
      <c r="C1323" t="s">
        <v>281</v>
      </c>
    </row>
    <row r="1324" spans="1:9">
      <c r="B1324" s="1" t="s">
        <v>280</v>
      </c>
      <c r="D1324" t="s">
        <v>11</v>
      </c>
      <c r="E1324" s="3">
        <v>2162</v>
      </c>
      <c r="F1324" s="3">
        <v>2328</v>
      </c>
      <c r="G1324" s="3">
        <v>1665</v>
      </c>
      <c r="H1324" s="3">
        <v>1459</v>
      </c>
      <c r="I1324" s="3">
        <f>VLOOKUP(B1324,[1]Sheet3!$A$13:$E$198,5,TRUE)</f>
        <v>1437</v>
      </c>
    </row>
    <row r="1325" spans="1:9">
      <c r="B1325" s="1" t="s">
        <v>280</v>
      </c>
      <c r="D1325" t="s">
        <v>12</v>
      </c>
      <c r="E1325" s="5">
        <v>470580</v>
      </c>
      <c r="F1325" s="5">
        <v>436832</v>
      </c>
      <c r="G1325" s="5">
        <v>355105</v>
      </c>
      <c r="H1325" s="5">
        <v>343584</v>
      </c>
      <c r="I1325" s="3">
        <f>VLOOKUP(B1325,[1]Sheet3!$A$13:$F$198,6,TRUE)</f>
        <v>378840</v>
      </c>
    </row>
    <row r="1326" spans="1:9">
      <c r="B1326" s="1" t="s">
        <v>280</v>
      </c>
      <c r="D1326" t="s">
        <v>23</v>
      </c>
      <c r="E1326" s="5">
        <v>1021327.26</v>
      </c>
      <c r="F1326" s="5">
        <v>874620.18</v>
      </c>
      <c r="G1326" s="5">
        <v>831021.91</v>
      </c>
      <c r="H1326" s="5">
        <v>852982.67</v>
      </c>
      <c r="I1326" s="3">
        <f>VLOOKUP(B1326,[1]Sheet3!$A$13:$G$198,7,TRUE)</f>
        <v>941167.29</v>
      </c>
    </row>
    <row r="1327" spans="1:9">
      <c r="B1327" s="1" t="s">
        <v>280</v>
      </c>
      <c r="D1327" t="s">
        <v>14</v>
      </c>
      <c r="E1327" s="5">
        <v>487719.97</v>
      </c>
      <c r="F1327" s="5">
        <v>463772.92000000004</v>
      </c>
      <c r="G1327" s="5">
        <v>405631.57999999996</v>
      </c>
      <c r="H1327" s="5">
        <v>374950.45</v>
      </c>
      <c r="I1327" s="3">
        <f>VLOOKUP(B1327,[1]Sheet3!$A$13:$H$198,8,TRUE)</f>
        <v>413647.9</v>
      </c>
    </row>
    <row r="1328" spans="1:9">
      <c r="B1328" s="1" t="s">
        <v>280</v>
      </c>
      <c r="D1328" t="s">
        <v>15</v>
      </c>
      <c r="E1328" s="5">
        <v>283373.28000000003</v>
      </c>
      <c r="F1328" s="5">
        <v>270357.99</v>
      </c>
      <c r="G1328" s="5">
        <v>237459.64</v>
      </c>
      <c r="H1328" s="5">
        <v>226625.99</v>
      </c>
      <c r="I1328" s="3">
        <f>VLOOKUP(B1328,[1]Sheet3!$A$13:$I$198,9,TRUE)</f>
        <v>258784.55</v>
      </c>
    </row>
    <row r="1329" spans="1:9">
      <c r="B1329" s="1" t="s">
        <v>280</v>
      </c>
      <c r="D1329" t="s">
        <v>16</v>
      </c>
      <c r="E1329" s="5">
        <v>472.4</v>
      </c>
      <c r="F1329" s="5">
        <v>375.7</v>
      </c>
      <c r="G1329" s="5">
        <v>499.11</v>
      </c>
      <c r="H1329" s="5">
        <v>584.64</v>
      </c>
      <c r="I1329" s="5">
        <f>I1326/I1324</f>
        <v>654.95288100208768</v>
      </c>
    </row>
    <row r="1330" spans="1:9">
      <c r="B1330" s="1" t="s">
        <v>280</v>
      </c>
      <c r="D1330" t="s">
        <v>17</v>
      </c>
      <c r="E1330" s="6">
        <v>2.17</v>
      </c>
      <c r="F1330" s="6">
        <v>2</v>
      </c>
      <c r="G1330" s="6">
        <v>2.34</v>
      </c>
      <c r="H1330" s="6">
        <v>2.48</v>
      </c>
      <c r="I1330" s="7">
        <f>I1326/I1325</f>
        <v>2.4843398004434589</v>
      </c>
    </row>
    <row r="1331" spans="1:9">
      <c r="B1331" s="1" t="s">
        <v>280</v>
      </c>
      <c r="D1331" t="s">
        <v>18</v>
      </c>
      <c r="E1331" s="8">
        <v>0.47749999999999998</v>
      </c>
      <c r="F1331" s="8">
        <v>0.53029999999999999</v>
      </c>
      <c r="G1331" s="8">
        <v>0.48809999999999998</v>
      </c>
      <c r="H1331" s="8">
        <v>0.43959999999999999</v>
      </c>
      <c r="I1331" s="8">
        <f>I1327/I1326</f>
        <v>0.43950518084834844</v>
      </c>
    </row>
    <row r="1332" spans="1:9">
      <c r="B1332" s="1" t="s">
        <v>280</v>
      </c>
      <c r="D1332" t="s">
        <v>19</v>
      </c>
      <c r="E1332" s="8">
        <v>0.58099999999999996</v>
      </c>
      <c r="F1332" s="8">
        <v>0.58299999999999996</v>
      </c>
      <c r="G1332" s="8">
        <v>0.58540000000000003</v>
      </c>
      <c r="H1332" s="8">
        <v>0.60440000000000005</v>
      </c>
      <c r="I1332" s="8">
        <f>I1328/I1327</f>
        <v>0.62561552953611022</v>
      </c>
    </row>
    <row r="1333" spans="1:9">
      <c r="B1333" s="1" t="s">
        <v>280</v>
      </c>
      <c r="D1333" t="s">
        <v>20</v>
      </c>
      <c r="E1333" s="8">
        <v>0.27750000000000002</v>
      </c>
      <c r="F1333" s="8">
        <v>0.30909999999999999</v>
      </c>
      <c r="G1333" s="8">
        <v>0.28570000000000001</v>
      </c>
      <c r="H1333" s="8">
        <v>0.26569999999999999</v>
      </c>
      <c r="I1333" s="8">
        <f>I1328/I1326</f>
        <v>0.27496126645030339</v>
      </c>
    </row>
    <row r="1334" spans="1:9">
      <c r="B1334" s="1" t="s">
        <v>280</v>
      </c>
    </row>
    <row r="1335" spans="1:9">
      <c r="A1335" t="s">
        <v>279</v>
      </c>
      <c r="B1335" s="1" t="s">
        <v>282</v>
      </c>
      <c r="C1335" t="s">
        <v>283</v>
      </c>
    </row>
    <row r="1336" spans="1:9">
      <c r="B1336" s="1" t="s">
        <v>282</v>
      </c>
      <c r="D1336" t="s">
        <v>11</v>
      </c>
      <c r="E1336" s="3">
        <v>370</v>
      </c>
      <c r="F1336" s="3">
        <v>363</v>
      </c>
      <c r="G1336" s="3">
        <v>347</v>
      </c>
      <c r="H1336" s="3">
        <v>352</v>
      </c>
      <c r="I1336" s="3">
        <f>VLOOKUP(B1336,[1]Sheet3!$A$13:$E$198,5,TRUE)</f>
        <v>530</v>
      </c>
    </row>
    <row r="1337" spans="1:9">
      <c r="B1337" s="1" t="s">
        <v>282</v>
      </c>
      <c r="D1337" t="s">
        <v>12</v>
      </c>
      <c r="E1337" s="5">
        <v>103125</v>
      </c>
      <c r="F1337" s="5">
        <v>118080</v>
      </c>
      <c r="G1337" s="5">
        <v>79281.600000000006</v>
      </c>
      <c r="H1337" s="5">
        <v>86718.399999999994</v>
      </c>
      <c r="I1337" s="3">
        <f>VLOOKUP(B1337,[1]Sheet3!$A$13:$F$198,6,TRUE)</f>
        <v>82404.899999999994</v>
      </c>
    </row>
    <row r="1338" spans="1:9">
      <c r="B1338" s="1" t="s">
        <v>282</v>
      </c>
      <c r="D1338" t="s">
        <v>23</v>
      </c>
      <c r="E1338" s="5">
        <v>235805</v>
      </c>
      <c r="F1338" s="5">
        <v>208265.25</v>
      </c>
      <c r="G1338" s="5">
        <v>177546.94</v>
      </c>
      <c r="H1338" s="5">
        <v>194951.18</v>
      </c>
      <c r="I1338" s="3">
        <f>VLOOKUP(B1338,[1]Sheet3!$A$13:$G$198,7,TRUE)</f>
        <v>201186.55</v>
      </c>
    </row>
    <row r="1339" spans="1:9">
      <c r="B1339" s="1" t="s">
        <v>282</v>
      </c>
      <c r="D1339" t="s">
        <v>14</v>
      </c>
      <c r="E1339" s="5">
        <v>105693.19</v>
      </c>
      <c r="F1339" s="5">
        <v>105693.19</v>
      </c>
      <c r="G1339" s="5">
        <v>100110.73000000001</v>
      </c>
      <c r="H1339" s="5">
        <v>87747.23000000001</v>
      </c>
      <c r="I1339" s="3">
        <f>VLOOKUP(B1339,[1]Sheet3!$A$13:$H$198,8,TRUE)</f>
        <v>88778.900000000009</v>
      </c>
    </row>
    <row r="1340" spans="1:9">
      <c r="B1340" s="1" t="s">
        <v>282</v>
      </c>
      <c r="D1340" t="s">
        <v>15</v>
      </c>
      <c r="E1340" s="5">
        <v>61519.729999999996</v>
      </c>
      <c r="F1340" s="5">
        <v>62143.53</v>
      </c>
      <c r="G1340" s="5">
        <v>59481.65</v>
      </c>
      <c r="H1340" s="5">
        <v>52500.81</v>
      </c>
      <c r="I1340" s="3">
        <f>VLOOKUP(B1340,[1]Sheet3!$A$13:$I$198,9,TRUE)</f>
        <v>54785.19</v>
      </c>
    </row>
    <row r="1341" spans="1:9">
      <c r="B1341" s="1" t="s">
        <v>282</v>
      </c>
      <c r="D1341" t="s">
        <v>16</v>
      </c>
      <c r="E1341" s="5">
        <v>637.30999999999995</v>
      </c>
      <c r="F1341" s="5">
        <v>573.73</v>
      </c>
      <c r="G1341" s="5">
        <v>511.66</v>
      </c>
      <c r="H1341" s="5">
        <v>553.84</v>
      </c>
      <c r="I1341" s="5">
        <f>I1338/I1336</f>
        <v>379.59726415094337</v>
      </c>
    </row>
    <row r="1342" spans="1:9">
      <c r="B1342" s="1" t="s">
        <v>282</v>
      </c>
      <c r="D1342" t="s">
        <v>17</v>
      </c>
      <c r="E1342" s="6">
        <v>2.29</v>
      </c>
      <c r="F1342" s="6">
        <v>1.76</v>
      </c>
      <c r="G1342" s="6">
        <v>2.2400000000000002</v>
      </c>
      <c r="H1342" s="6">
        <v>2.25</v>
      </c>
      <c r="I1342" s="7">
        <f>I1338/I1337</f>
        <v>2.4414391619915805</v>
      </c>
    </row>
    <row r="1343" spans="1:9">
      <c r="B1343" s="1" t="s">
        <v>282</v>
      </c>
      <c r="D1343" t="s">
        <v>18</v>
      </c>
      <c r="E1343" s="8">
        <v>0.44819999999999999</v>
      </c>
      <c r="F1343" s="8">
        <v>0.50749999999999995</v>
      </c>
      <c r="G1343" s="8">
        <v>0.56389999999999996</v>
      </c>
      <c r="H1343" s="8">
        <v>0.4501</v>
      </c>
      <c r="I1343" s="8">
        <f>I1339/I1338</f>
        <v>0.44127651674527951</v>
      </c>
    </row>
    <row r="1344" spans="1:9">
      <c r="B1344" s="1" t="s">
        <v>282</v>
      </c>
      <c r="D1344" t="s">
        <v>19</v>
      </c>
      <c r="E1344" s="8">
        <v>0.58209999999999995</v>
      </c>
      <c r="F1344" s="8">
        <v>0.58799999999999997</v>
      </c>
      <c r="G1344" s="8">
        <v>0.59419999999999995</v>
      </c>
      <c r="H1344" s="8">
        <v>0.59830000000000005</v>
      </c>
      <c r="I1344" s="8">
        <f>I1340/I1339</f>
        <v>0.61709696786060653</v>
      </c>
    </row>
    <row r="1345" spans="1:9">
      <c r="B1345" s="1" t="s">
        <v>282</v>
      </c>
      <c r="D1345" t="s">
        <v>20</v>
      </c>
      <c r="E1345" s="8">
        <v>0.26090000000000002</v>
      </c>
      <c r="F1345" s="8">
        <v>0.2984</v>
      </c>
      <c r="G1345" s="8">
        <v>0.33500000000000002</v>
      </c>
      <c r="H1345" s="8">
        <v>0.26929999999999998</v>
      </c>
      <c r="I1345" s="8">
        <f>I1340/I1338</f>
        <v>0.27231040047160215</v>
      </c>
    </row>
    <row r="1346" spans="1:9">
      <c r="B1346" s="1" t="s">
        <v>282</v>
      </c>
    </row>
    <row r="1347" spans="1:9">
      <c r="A1347" t="s">
        <v>279</v>
      </c>
      <c r="B1347" s="1" t="s">
        <v>284</v>
      </c>
      <c r="C1347" t="s">
        <v>285</v>
      </c>
    </row>
    <row r="1348" spans="1:9">
      <c r="B1348" s="1" t="s">
        <v>284</v>
      </c>
      <c r="D1348" t="s">
        <v>11</v>
      </c>
      <c r="E1348" s="3">
        <v>184</v>
      </c>
      <c r="F1348" s="3">
        <v>203</v>
      </c>
      <c r="G1348" s="3">
        <v>228</v>
      </c>
      <c r="H1348" s="3">
        <v>214</v>
      </c>
      <c r="I1348" s="3">
        <f>VLOOKUP(B1348,[1]Sheet3!$A$13:$E$198,5,TRUE)</f>
        <v>213</v>
      </c>
    </row>
    <row r="1349" spans="1:9">
      <c r="B1349" s="1" t="s">
        <v>284</v>
      </c>
      <c r="D1349" t="s">
        <v>12</v>
      </c>
      <c r="E1349" s="5">
        <v>34932</v>
      </c>
      <c r="F1349" s="5">
        <v>35448</v>
      </c>
      <c r="G1349" s="5">
        <v>42330</v>
      </c>
      <c r="H1349" s="5">
        <v>39674</v>
      </c>
      <c r="I1349" s="3">
        <f>VLOOKUP(B1349,[1]Sheet3!$A$13:$F$198,6,TRUE)</f>
        <v>38076</v>
      </c>
    </row>
    <row r="1350" spans="1:9">
      <c r="B1350" s="1" t="s">
        <v>284</v>
      </c>
      <c r="D1350" t="s">
        <v>23</v>
      </c>
      <c r="E1350" s="5">
        <v>100665.93</v>
      </c>
      <c r="F1350" s="5">
        <v>86964.96</v>
      </c>
      <c r="G1350" s="5">
        <v>99486.18</v>
      </c>
      <c r="H1350" s="5">
        <v>100362.22</v>
      </c>
      <c r="I1350" s="3">
        <f>VLOOKUP(B1350,[1]Sheet3!$A$13:$G$198,7,TRUE)</f>
        <v>101890.58</v>
      </c>
    </row>
    <row r="1351" spans="1:9">
      <c r="B1351" s="1" t="s">
        <v>284</v>
      </c>
      <c r="D1351" t="s">
        <v>14</v>
      </c>
      <c r="E1351" s="5">
        <v>47922.7</v>
      </c>
      <c r="F1351" s="5">
        <v>42843.72</v>
      </c>
      <c r="G1351" s="5">
        <v>44296.85</v>
      </c>
      <c r="H1351" s="5">
        <v>44296.85</v>
      </c>
      <c r="I1351" s="3">
        <f>VLOOKUP(B1351,[1]Sheet3!$A$13:$H$198,8,TRUE)</f>
        <v>44045.88</v>
      </c>
    </row>
    <row r="1352" spans="1:9">
      <c r="B1352" s="1" t="s">
        <v>284</v>
      </c>
      <c r="D1352" t="s">
        <v>15</v>
      </c>
      <c r="E1352" s="5">
        <v>27498.170000000002</v>
      </c>
      <c r="F1352" s="5">
        <v>24697.84</v>
      </c>
      <c r="G1352" s="5">
        <v>26711.410000000003</v>
      </c>
      <c r="H1352" s="5">
        <v>27147.840000000004</v>
      </c>
      <c r="I1352" s="3">
        <f>VLOOKUP(B1352,[1]Sheet3!$A$13:$I$198,9,TRUE)</f>
        <v>27101.27</v>
      </c>
    </row>
    <row r="1353" spans="1:9">
      <c r="B1353" s="1" t="s">
        <v>284</v>
      </c>
      <c r="D1353" t="s">
        <v>16</v>
      </c>
      <c r="E1353" s="5">
        <v>547.1</v>
      </c>
      <c r="F1353" s="5">
        <v>428.4</v>
      </c>
      <c r="G1353" s="5">
        <v>436.34</v>
      </c>
      <c r="H1353" s="5">
        <v>468.98</v>
      </c>
      <c r="I1353" s="5">
        <f>I1350/I1348</f>
        <v>478.35953051643196</v>
      </c>
    </row>
    <row r="1354" spans="1:9">
      <c r="B1354" s="1" t="s">
        <v>284</v>
      </c>
      <c r="D1354" t="s">
        <v>17</v>
      </c>
      <c r="E1354" s="6">
        <v>2.88</v>
      </c>
      <c r="F1354" s="6">
        <v>2.4500000000000002</v>
      </c>
      <c r="G1354" s="6">
        <v>2.35</v>
      </c>
      <c r="H1354" s="6">
        <v>2.5299999999999998</v>
      </c>
      <c r="I1354" s="7">
        <f>I1350/I1349</f>
        <v>2.6759790944426936</v>
      </c>
    </row>
    <row r="1355" spans="1:9">
      <c r="B1355" s="1" t="s">
        <v>284</v>
      </c>
      <c r="D1355" t="s">
        <v>18</v>
      </c>
      <c r="E1355" s="8">
        <v>0.47610000000000002</v>
      </c>
      <c r="F1355" s="8">
        <v>0.49270000000000003</v>
      </c>
      <c r="G1355" s="8">
        <v>0.44529999999999997</v>
      </c>
      <c r="H1355" s="8">
        <v>0.44140000000000001</v>
      </c>
      <c r="I1355" s="8">
        <f>I1351/I1350</f>
        <v>0.43228608572058375</v>
      </c>
    </row>
    <row r="1356" spans="1:9">
      <c r="B1356" s="1" t="s">
        <v>284</v>
      </c>
      <c r="D1356" t="s">
        <v>19</v>
      </c>
      <c r="E1356" s="8">
        <v>0.57379999999999998</v>
      </c>
      <c r="F1356" s="8">
        <v>0.57650000000000001</v>
      </c>
      <c r="G1356" s="8">
        <v>0.60299999999999998</v>
      </c>
      <c r="H1356" s="8">
        <v>0.6129</v>
      </c>
      <c r="I1356" s="8">
        <f>I1352/I1351</f>
        <v>0.61529636824147915</v>
      </c>
    </row>
    <row r="1357" spans="1:9">
      <c r="B1357" s="1" t="s">
        <v>284</v>
      </c>
      <c r="D1357" t="s">
        <v>20</v>
      </c>
      <c r="E1357" s="8">
        <v>0.2732</v>
      </c>
      <c r="F1357" s="8">
        <v>0.28399999999999997</v>
      </c>
      <c r="G1357" s="8">
        <v>0.26850000000000002</v>
      </c>
      <c r="H1357" s="8">
        <v>0.27050000000000002</v>
      </c>
      <c r="I1357" s="8">
        <f>I1352/I1350</f>
        <v>0.26598405858519991</v>
      </c>
    </row>
    <row r="1358" spans="1:9">
      <c r="B1358" s="1" t="s">
        <v>284</v>
      </c>
    </row>
    <row r="1359" spans="1:9">
      <c r="A1359" t="s">
        <v>286</v>
      </c>
      <c r="B1359" s="1" t="s">
        <v>287</v>
      </c>
      <c r="C1359" t="s">
        <v>288</v>
      </c>
    </row>
    <row r="1360" spans="1:9">
      <c r="B1360" s="1" t="s">
        <v>287</v>
      </c>
      <c r="D1360" t="s">
        <v>11</v>
      </c>
      <c r="E1360" s="3">
        <v>2629</v>
      </c>
      <c r="F1360" s="3">
        <v>2640</v>
      </c>
      <c r="G1360" s="3">
        <v>2665</v>
      </c>
      <c r="H1360" s="3">
        <v>2563</v>
      </c>
      <c r="I1360" s="3">
        <f>VLOOKUP(B1360,[1]Sheet3!$A$13:$E$198,5,TRUE)</f>
        <v>2479</v>
      </c>
    </row>
    <row r="1361" spans="1:9">
      <c r="B1361" s="1" t="s">
        <v>287</v>
      </c>
      <c r="D1361" t="s">
        <v>12</v>
      </c>
      <c r="E1361" s="5">
        <v>417788</v>
      </c>
      <c r="F1361" s="5">
        <v>403512</v>
      </c>
      <c r="G1361" s="5">
        <v>403856</v>
      </c>
      <c r="H1361" s="5">
        <v>402480</v>
      </c>
      <c r="I1361" s="3">
        <f>VLOOKUP(B1361,[1]Sheet3!$A$13:$F$198,6,TRUE)</f>
        <v>371520</v>
      </c>
    </row>
    <row r="1362" spans="1:9">
      <c r="B1362" s="1" t="s">
        <v>287</v>
      </c>
      <c r="D1362" t="s">
        <v>23</v>
      </c>
      <c r="E1362" s="5">
        <v>1435529</v>
      </c>
      <c r="F1362" s="5">
        <v>1577325</v>
      </c>
      <c r="G1362" s="5">
        <v>1632726</v>
      </c>
      <c r="H1362" s="5">
        <v>1636716</v>
      </c>
      <c r="I1362" s="3">
        <f>VLOOKUP(B1362,[1]Sheet3!$A$13:$G$198,7,TRUE)</f>
        <v>1625022.42</v>
      </c>
    </row>
    <row r="1363" spans="1:9">
      <c r="B1363" s="1" t="s">
        <v>287</v>
      </c>
      <c r="D1363" t="s">
        <v>14</v>
      </c>
      <c r="E1363" s="5">
        <v>530744.1</v>
      </c>
      <c r="F1363" s="5">
        <v>601362.44999999995</v>
      </c>
      <c r="G1363" s="5">
        <v>635933.23</v>
      </c>
      <c r="H1363" s="5">
        <v>636839.34</v>
      </c>
      <c r="I1363" s="3">
        <f>VLOOKUP(B1363,[1]Sheet3!$A$13:$H$198,8,TRUE)</f>
        <v>620249.21</v>
      </c>
    </row>
    <row r="1364" spans="1:9">
      <c r="B1364" s="1" t="s">
        <v>287</v>
      </c>
      <c r="D1364" t="s">
        <v>15</v>
      </c>
      <c r="E1364" s="5">
        <v>308371.01</v>
      </c>
      <c r="F1364" s="5">
        <v>360427.28</v>
      </c>
      <c r="G1364" s="5">
        <v>384843.67</v>
      </c>
      <c r="H1364" s="5">
        <v>390387.94</v>
      </c>
      <c r="I1364" s="3">
        <f>VLOOKUP(B1364,[1]Sheet3!$A$13:$I$198,9,TRUE)</f>
        <v>392222.19</v>
      </c>
    </row>
    <row r="1365" spans="1:9">
      <c r="B1365" s="1" t="s">
        <v>287</v>
      </c>
      <c r="D1365" t="s">
        <v>16</v>
      </c>
      <c r="E1365" s="5">
        <v>546.04</v>
      </c>
      <c r="F1365" s="5">
        <v>597.47</v>
      </c>
      <c r="G1365" s="5">
        <v>612.66</v>
      </c>
      <c r="H1365" s="5">
        <v>638.59</v>
      </c>
      <c r="I1365" s="5">
        <f>I1362/I1360</f>
        <v>655.51529649052031</v>
      </c>
    </row>
    <row r="1366" spans="1:9">
      <c r="B1366" s="1" t="s">
        <v>287</v>
      </c>
      <c r="D1366" t="s">
        <v>17</v>
      </c>
      <c r="E1366" s="6">
        <v>3.44</v>
      </c>
      <c r="F1366" s="6">
        <v>3.91</v>
      </c>
      <c r="G1366" s="6">
        <v>4.04</v>
      </c>
      <c r="H1366" s="6">
        <v>4.07</v>
      </c>
      <c r="I1366" s="7">
        <f>I1362/I1361</f>
        <v>4.3739836886304904</v>
      </c>
    </row>
    <row r="1367" spans="1:9">
      <c r="B1367" s="1" t="s">
        <v>287</v>
      </c>
      <c r="D1367" t="s">
        <v>18</v>
      </c>
      <c r="E1367" s="8">
        <v>0.36969999999999997</v>
      </c>
      <c r="F1367" s="8">
        <v>0.38129999999999997</v>
      </c>
      <c r="G1367" s="8">
        <v>0.38950000000000001</v>
      </c>
      <c r="H1367" s="8">
        <v>0.3891</v>
      </c>
      <c r="I1367" s="8">
        <f>I1363/I1362</f>
        <v>0.38168655543841667</v>
      </c>
    </row>
    <row r="1368" spans="1:9">
      <c r="B1368" s="1" t="s">
        <v>287</v>
      </c>
      <c r="D1368" t="s">
        <v>19</v>
      </c>
      <c r="E1368" s="8">
        <v>0.58099999999999996</v>
      </c>
      <c r="F1368" s="8">
        <v>0.59940000000000004</v>
      </c>
      <c r="G1368" s="8">
        <v>0.60519999999999996</v>
      </c>
      <c r="H1368" s="8">
        <v>0.61299999999999999</v>
      </c>
      <c r="I1368" s="8">
        <f>I1364/I1363</f>
        <v>0.63236225645494981</v>
      </c>
    </row>
    <row r="1369" spans="1:9">
      <c r="B1369" s="1" t="s">
        <v>287</v>
      </c>
      <c r="D1369" t="s">
        <v>20</v>
      </c>
      <c r="E1369" s="8">
        <v>0.21479999999999999</v>
      </c>
      <c r="F1369" s="8">
        <v>0.22850000000000001</v>
      </c>
      <c r="G1369" s="8">
        <v>0.23569999999999999</v>
      </c>
      <c r="H1369" s="8">
        <v>0.23849999999999999</v>
      </c>
      <c r="I1369" s="8">
        <f>I1364/I1362</f>
        <v>0.24136417145555444</v>
      </c>
    </row>
    <row r="1370" spans="1:9">
      <c r="B1370" s="1" t="s">
        <v>287</v>
      </c>
    </row>
    <row r="1371" spans="1:9">
      <c r="A1371" t="s">
        <v>286</v>
      </c>
      <c r="B1371" s="1" t="s">
        <v>289</v>
      </c>
      <c r="C1371" t="s">
        <v>290</v>
      </c>
    </row>
    <row r="1372" spans="1:9">
      <c r="B1372" s="1" t="s">
        <v>289</v>
      </c>
      <c r="D1372" t="s">
        <v>11</v>
      </c>
      <c r="E1372" s="3">
        <v>240</v>
      </c>
      <c r="F1372" s="3">
        <v>274</v>
      </c>
      <c r="G1372" s="3">
        <v>246</v>
      </c>
      <c r="H1372" s="3">
        <v>337</v>
      </c>
      <c r="I1372" s="3">
        <f>VLOOKUP(B1372,[1]Sheet3!$A$13:$E$198,5,TRUE)</f>
        <v>245</v>
      </c>
    </row>
    <row r="1373" spans="1:9">
      <c r="B1373" s="1" t="s">
        <v>289</v>
      </c>
      <c r="D1373" t="s">
        <v>12</v>
      </c>
      <c r="E1373" s="5">
        <v>76998</v>
      </c>
      <c r="F1373" s="5">
        <v>97809.600000000006</v>
      </c>
      <c r="G1373" s="5">
        <v>85635</v>
      </c>
      <c r="H1373" s="5">
        <v>66748</v>
      </c>
      <c r="I1373" s="3">
        <f>VLOOKUP(B1373,[1]Sheet3!$A$13:$F$198,6,TRUE)</f>
        <v>69116</v>
      </c>
    </row>
    <row r="1374" spans="1:9">
      <c r="B1374" s="1" t="s">
        <v>289</v>
      </c>
      <c r="D1374" t="s">
        <v>23</v>
      </c>
      <c r="E1374" s="5">
        <v>146588.22</v>
      </c>
      <c r="F1374" s="5">
        <v>188653.38</v>
      </c>
      <c r="G1374" s="5">
        <v>166820.97</v>
      </c>
      <c r="H1374" s="5">
        <v>161938.13</v>
      </c>
      <c r="I1374" s="3">
        <f>VLOOKUP(B1374,[1]Sheet3!$A$13:$G$198,7,TRUE)</f>
        <v>178257.81</v>
      </c>
    </row>
    <row r="1375" spans="1:9">
      <c r="B1375" s="1" t="s">
        <v>289</v>
      </c>
      <c r="D1375" t="s">
        <v>14</v>
      </c>
      <c r="E1375" s="5">
        <v>71700.58</v>
      </c>
      <c r="F1375" s="5">
        <v>88391.78</v>
      </c>
      <c r="G1375" s="5">
        <v>88391.78</v>
      </c>
      <c r="H1375" s="5">
        <v>77948.200000000012</v>
      </c>
      <c r="I1375" s="3">
        <f>VLOOKUP(B1375,[1]Sheet3!$A$13:$H$198,8,TRUE)</f>
        <v>77684.94</v>
      </c>
    </row>
    <row r="1376" spans="1:9">
      <c r="B1376" s="1" t="s">
        <v>289</v>
      </c>
      <c r="D1376" t="s">
        <v>15</v>
      </c>
      <c r="E1376" s="5">
        <v>41659.21</v>
      </c>
      <c r="F1376" s="5">
        <v>53589.85</v>
      </c>
      <c r="G1376" s="5">
        <v>53011.3</v>
      </c>
      <c r="H1376" s="5">
        <v>46693.520000000004</v>
      </c>
      <c r="I1376" s="3">
        <f>VLOOKUP(B1376,[1]Sheet3!$A$13:$I$198,9,TRUE)</f>
        <v>47817.909999999996</v>
      </c>
    </row>
    <row r="1377" spans="1:9">
      <c r="B1377" s="1" t="s">
        <v>289</v>
      </c>
      <c r="D1377" t="s">
        <v>16</v>
      </c>
      <c r="E1377" s="5">
        <v>610.78</v>
      </c>
      <c r="F1377" s="5">
        <v>688.52</v>
      </c>
      <c r="G1377" s="5">
        <v>678.13</v>
      </c>
      <c r="H1377" s="5">
        <v>480.53</v>
      </c>
      <c r="I1377" s="5">
        <f>I1374/I1372</f>
        <v>727.5828979591837</v>
      </c>
    </row>
    <row r="1378" spans="1:9">
      <c r="B1378" s="1" t="s">
        <v>289</v>
      </c>
      <c r="D1378" t="s">
        <v>17</v>
      </c>
      <c r="E1378" s="6">
        <v>1.9</v>
      </c>
      <c r="F1378" s="6">
        <v>1.93</v>
      </c>
      <c r="G1378" s="6">
        <v>1.95</v>
      </c>
      <c r="H1378" s="6">
        <v>2.4300000000000002</v>
      </c>
      <c r="I1378" s="7">
        <f>I1374/I1373</f>
        <v>2.5791106256149083</v>
      </c>
    </row>
    <row r="1379" spans="1:9">
      <c r="B1379" s="1" t="s">
        <v>289</v>
      </c>
      <c r="D1379" t="s">
        <v>18</v>
      </c>
      <c r="E1379" s="8">
        <v>0.48909999999999998</v>
      </c>
      <c r="F1379" s="8">
        <v>0.46850000000000003</v>
      </c>
      <c r="G1379" s="8">
        <v>0.52990000000000004</v>
      </c>
      <c r="H1379" s="8">
        <v>0.48130000000000001</v>
      </c>
      <c r="I1379" s="8">
        <f>I1375/I1374</f>
        <v>0.43580104568770367</v>
      </c>
    </row>
    <row r="1380" spans="1:9">
      <c r="B1380" s="1" t="s">
        <v>289</v>
      </c>
      <c r="D1380" t="s">
        <v>19</v>
      </c>
      <c r="E1380" s="8">
        <v>0.58099999999999996</v>
      </c>
      <c r="F1380" s="8">
        <v>0.60629999999999995</v>
      </c>
      <c r="G1380" s="8">
        <v>0.59970000000000001</v>
      </c>
      <c r="H1380" s="8">
        <v>0.59899999999999998</v>
      </c>
      <c r="I1380" s="8">
        <f>I1376/I1375</f>
        <v>0.61553642185988677</v>
      </c>
    </row>
    <row r="1381" spans="1:9">
      <c r="B1381" s="1" t="s">
        <v>289</v>
      </c>
      <c r="D1381" t="s">
        <v>20</v>
      </c>
      <c r="E1381" s="8">
        <v>0.28420000000000001</v>
      </c>
      <c r="F1381" s="8">
        <v>0.28410000000000002</v>
      </c>
      <c r="G1381" s="8">
        <v>0.31780000000000003</v>
      </c>
      <c r="H1381" s="8">
        <v>0.2883</v>
      </c>
      <c r="I1381" s="8">
        <f>I1376/I1374</f>
        <v>0.26825141630540617</v>
      </c>
    </row>
    <row r="1382" spans="1:9">
      <c r="B1382" s="1" t="s">
        <v>289</v>
      </c>
    </row>
    <row r="1383" spans="1:9">
      <c r="A1383" t="s">
        <v>291</v>
      </c>
      <c r="B1383" s="1" t="s">
        <v>292</v>
      </c>
      <c r="C1383" t="s">
        <v>293</v>
      </c>
    </row>
    <row r="1384" spans="1:9">
      <c r="B1384" s="1" t="s">
        <v>292</v>
      </c>
      <c r="D1384" t="s">
        <v>11</v>
      </c>
      <c r="E1384" s="3">
        <v>584</v>
      </c>
      <c r="F1384" s="3">
        <v>514</v>
      </c>
      <c r="G1384" s="3">
        <v>556</v>
      </c>
      <c r="H1384" s="3">
        <v>613</v>
      </c>
      <c r="I1384" s="3">
        <f>VLOOKUP(B1384,[1]Sheet3!$A$13:$E$198,5,TRUE)</f>
        <v>536</v>
      </c>
    </row>
    <row r="1385" spans="1:9">
      <c r="B1385" s="1" t="s">
        <v>292</v>
      </c>
      <c r="D1385" t="s">
        <v>12</v>
      </c>
      <c r="E1385" s="5">
        <v>117102</v>
      </c>
      <c r="F1385" s="5">
        <v>129325</v>
      </c>
      <c r="G1385" s="5">
        <v>114275</v>
      </c>
      <c r="H1385" s="5">
        <v>108360</v>
      </c>
      <c r="I1385" s="3">
        <f>VLOOKUP(B1385,[1]Sheet3!$A$13:$F$198,6,TRUE)</f>
        <v>107880</v>
      </c>
    </row>
    <row r="1386" spans="1:9">
      <c r="B1386" s="1" t="s">
        <v>292</v>
      </c>
      <c r="D1386" t="s">
        <v>23</v>
      </c>
      <c r="E1386" s="5">
        <v>459907</v>
      </c>
      <c r="F1386" s="5">
        <v>342936.2</v>
      </c>
      <c r="G1386" s="5">
        <v>317263.35999999999</v>
      </c>
      <c r="H1386" s="5">
        <v>409881.45</v>
      </c>
      <c r="I1386" s="3">
        <f>VLOOKUP(B1386,[1]Sheet3!$A$13:$G$198,7,TRUE)</f>
        <v>426569.54</v>
      </c>
    </row>
    <row r="1387" spans="1:9">
      <c r="B1387" s="1" t="s">
        <v>292</v>
      </c>
      <c r="D1387" t="s">
        <v>14</v>
      </c>
      <c r="E1387" s="5">
        <v>199867.31</v>
      </c>
      <c r="F1387" s="5">
        <v>185096.86</v>
      </c>
      <c r="G1387" s="5">
        <v>148539.91</v>
      </c>
      <c r="H1387" s="5">
        <v>165963.91</v>
      </c>
      <c r="I1387" s="3">
        <f>VLOOKUP(B1387,[1]Sheet3!$A$13:$H$198,8,TRUE)</f>
        <v>171495.96000000002</v>
      </c>
    </row>
    <row r="1388" spans="1:9">
      <c r="B1388" s="1" t="s">
        <v>292</v>
      </c>
      <c r="D1388" t="s">
        <v>15</v>
      </c>
      <c r="E1388" s="5">
        <v>116126.18</v>
      </c>
      <c r="F1388" s="5">
        <v>107397.23999999999</v>
      </c>
      <c r="G1388" s="5">
        <v>85430.76</v>
      </c>
      <c r="H1388" s="5">
        <v>103511.34</v>
      </c>
      <c r="I1388" s="3">
        <f>VLOOKUP(B1388,[1]Sheet3!$A$13:$I$198,9,TRUE)</f>
        <v>106197.61</v>
      </c>
    </row>
    <row r="1389" spans="1:9">
      <c r="B1389" s="1" t="s">
        <v>292</v>
      </c>
      <c r="D1389" t="s">
        <v>16</v>
      </c>
      <c r="E1389" s="5">
        <v>787.51</v>
      </c>
      <c r="F1389" s="5">
        <v>667.19</v>
      </c>
      <c r="G1389" s="5">
        <v>570.62</v>
      </c>
      <c r="H1389" s="5">
        <v>668.65</v>
      </c>
      <c r="I1389" s="5">
        <f>I1386/I1384</f>
        <v>795.83869402985067</v>
      </c>
    </row>
    <row r="1390" spans="1:9">
      <c r="B1390" s="1" t="s">
        <v>292</v>
      </c>
      <c r="D1390" t="s">
        <v>17</v>
      </c>
      <c r="E1390" s="6">
        <v>3.93</v>
      </c>
      <c r="F1390" s="6">
        <v>2.65</v>
      </c>
      <c r="G1390" s="6">
        <v>2.78</v>
      </c>
      <c r="H1390" s="6">
        <v>3.78</v>
      </c>
      <c r="I1390" s="7">
        <f>I1386/I1385</f>
        <v>3.9541114200964032</v>
      </c>
    </row>
    <row r="1391" spans="1:9">
      <c r="B1391" s="1" t="s">
        <v>292</v>
      </c>
      <c r="D1391" t="s">
        <v>18</v>
      </c>
      <c r="E1391" s="8">
        <v>0.43459999999999999</v>
      </c>
      <c r="F1391" s="8">
        <v>0.53969999999999996</v>
      </c>
      <c r="G1391" s="8">
        <v>0.46820000000000001</v>
      </c>
      <c r="H1391" s="8">
        <v>0.40489999999999998</v>
      </c>
      <c r="I1391" s="8">
        <f>I1387/I1386</f>
        <v>0.40203517578868858</v>
      </c>
    </row>
    <row r="1392" spans="1:9">
      <c r="B1392" s="1" t="s">
        <v>292</v>
      </c>
      <c r="D1392" t="s">
        <v>19</v>
      </c>
      <c r="E1392" s="8">
        <v>0.58099999999999996</v>
      </c>
      <c r="F1392" s="8">
        <v>0.58020000000000005</v>
      </c>
      <c r="G1392" s="8">
        <v>0.57509999999999994</v>
      </c>
      <c r="H1392" s="8">
        <v>0.62370000000000003</v>
      </c>
      <c r="I1392" s="8">
        <f>I1388/I1387</f>
        <v>0.61924263405388669</v>
      </c>
    </row>
    <row r="1393" spans="1:9">
      <c r="B1393" s="1" t="s">
        <v>292</v>
      </c>
      <c r="D1393" t="s">
        <v>20</v>
      </c>
      <c r="E1393" s="8">
        <v>0.2525</v>
      </c>
      <c r="F1393" s="8">
        <v>0.31319999999999998</v>
      </c>
      <c r="G1393" s="8">
        <v>0.26929999999999998</v>
      </c>
      <c r="H1393" s="8">
        <v>0.2525</v>
      </c>
      <c r="I1393" s="8">
        <f>I1388/I1386</f>
        <v>0.24895732123770489</v>
      </c>
    </row>
    <row r="1394" spans="1:9">
      <c r="B1394" s="1" t="s">
        <v>292</v>
      </c>
    </row>
    <row r="1395" spans="1:9">
      <c r="A1395" t="s">
        <v>291</v>
      </c>
      <c r="B1395" s="1" t="s">
        <v>294</v>
      </c>
      <c r="C1395" t="s">
        <v>295</v>
      </c>
    </row>
    <row r="1396" spans="1:9">
      <c r="B1396" s="1" t="s">
        <v>294</v>
      </c>
      <c r="D1396" t="s">
        <v>11</v>
      </c>
      <c r="E1396" s="3">
        <v>1427</v>
      </c>
      <c r="F1396" s="3">
        <v>1475</v>
      </c>
      <c r="G1396" s="3">
        <v>1450</v>
      </c>
      <c r="H1396" s="3">
        <v>1331</v>
      </c>
      <c r="I1396" s="3">
        <f>VLOOKUP(B1396,[1]Sheet3!$A$13:$E$198,5,TRUE)</f>
        <v>1246</v>
      </c>
    </row>
    <row r="1397" spans="1:9">
      <c r="B1397" s="1" t="s">
        <v>294</v>
      </c>
      <c r="D1397" t="s">
        <v>12</v>
      </c>
      <c r="E1397" s="5">
        <v>233728</v>
      </c>
      <c r="F1397" s="5">
        <v>245340</v>
      </c>
      <c r="G1397" s="5">
        <v>254320</v>
      </c>
      <c r="H1397" s="5">
        <v>268275</v>
      </c>
      <c r="I1397" s="3">
        <f>VLOOKUP(B1397,[1]Sheet3!$A$13:$F$198,6,TRUE)</f>
        <v>271091</v>
      </c>
    </row>
    <row r="1398" spans="1:9">
      <c r="B1398" s="1" t="s">
        <v>294</v>
      </c>
      <c r="D1398" t="s">
        <v>23</v>
      </c>
      <c r="E1398" s="5">
        <v>411945.74</v>
      </c>
      <c r="F1398" s="5">
        <v>448877.56</v>
      </c>
      <c r="G1398" s="5">
        <v>447252.54</v>
      </c>
      <c r="H1398" s="5">
        <v>480354.8</v>
      </c>
      <c r="I1398" s="3">
        <f>VLOOKUP(B1398,[1]Sheet3!$A$13:$G$198,7,TRUE)</f>
        <v>482905.13</v>
      </c>
    </row>
    <row r="1399" spans="1:9">
      <c r="B1399" s="1" t="s">
        <v>294</v>
      </c>
      <c r="D1399" t="s">
        <v>14</v>
      </c>
      <c r="E1399" s="5">
        <v>219094.02000000002</v>
      </c>
      <c r="F1399" s="5">
        <v>213476.38</v>
      </c>
      <c r="G1399" s="5">
        <v>215174.89</v>
      </c>
      <c r="H1399" s="5">
        <v>229881.43</v>
      </c>
      <c r="I1399" s="3">
        <f>VLOOKUP(B1399,[1]Sheet3!$A$13:$H$198,8,TRUE)</f>
        <v>231450.45</v>
      </c>
    </row>
    <row r="1400" spans="1:9">
      <c r="B1400" s="1" t="s">
        <v>294</v>
      </c>
      <c r="D1400" t="s">
        <v>15</v>
      </c>
      <c r="E1400" s="5">
        <v>124686.48</v>
      </c>
      <c r="F1400" s="5">
        <v>124971.04</v>
      </c>
      <c r="G1400" s="5">
        <v>129216.80000000002</v>
      </c>
      <c r="H1400" s="5">
        <v>142403.46</v>
      </c>
      <c r="I1400" s="3">
        <f>VLOOKUP(B1400,[1]Sheet3!$A$13:$I$198,9,TRUE)</f>
        <v>142710.85999999999</v>
      </c>
    </row>
    <row r="1401" spans="1:9">
      <c r="B1401" s="1" t="s">
        <v>294</v>
      </c>
      <c r="D1401" t="s">
        <v>16</v>
      </c>
      <c r="E1401" s="5">
        <v>288.68</v>
      </c>
      <c r="F1401" s="5">
        <v>304.32</v>
      </c>
      <c r="G1401" s="5">
        <v>308.45</v>
      </c>
      <c r="H1401" s="5">
        <v>360.9</v>
      </c>
      <c r="I1401" s="5">
        <f>I1398/I1396</f>
        <v>387.56430979133228</v>
      </c>
    </row>
    <row r="1402" spans="1:9">
      <c r="B1402" s="1" t="s">
        <v>294</v>
      </c>
      <c r="D1402" t="s">
        <v>17</v>
      </c>
      <c r="E1402" s="6">
        <v>1.76</v>
      </c>
      <c r="F1402" s="6">
        <v>1.83</v>
      </c>
      <c r="G1402" s="6">
        <v>1.76</v>
      </c>
      <c r="H1402" s="6">
        <v>1.79</v>
      </c>
      <c r="I1402" s="7">
        <f>I1398/I1397</f>
        <v>1.7813395870759265</v>
      </c>
    </row>
    <row r="1403" spans="1:9">
      <c r="B1403" s="1" t="s">
        <v>294</v>
      </c>
      <c r="D1403" t="s">
        <v>18</v>
      </c>
      <c r="E1403" s="8">
        <v>0.53190000000000004</v>
      </c>
      <c r="F1403" s="8">
        <v>0.47560000000000002</v>
      </c>
      <c r="G1403" s="8">
        <v>0.48110000000000003</v>
      </c>
      <c r="H1403" s="8">
        <v>0.47860000000000003</v>
      </c>
      <c r="I1403" s="8">
        <f>I1399/I1398</f>
        <v>0.47928761908161965</v>
      </c>
    </row>
    <row r="1404" spans="1:9">
      <c r="B1404" s="1" t="s">
        <v>294</v>
      </c>
      <c r="D1404" t="s">
        <v>19</v>
      </c>
      <c r="E1404" s="8">
        <v>0.56910000000000005</v>
      </c>
      <c r="F1404" s="8">
        <v>0.58540000000000003</v>
      </c>
      <c r="G1404" s="8">
        <v>0.60050000000000003</v>
      </c>
      <c r="H1404" s="8">
        <v>0.61950000000000005</v>
      </c>
      <c r="I1404" s="8">
        <f>I1400/I1399</f>
        <v>0.61659357326805797</v>
      </c>
    </row>
    <row r="1405" spans="1:9">
      <c r="B1405" s="1" t="s">
        <v>294</v>
      </c>
      <c r="D1405" t="s">
        <v>20</v>
      </c>
      <c r="E1405" s="8">
        <v>0.30270000000000002</v>
      </c>
      <c r="F1405" s="8">
        <v>0.27839999999999998</v>
      </c>
      <c r="G1405" s="8">
        <v>0.28889999999999999</v>
      </c>
      <c r="H1405" s="8">
        <v>0.29649999999999999</v>
      </c>
      <c r="I1405" s="8">
        <f>I1400/I1398</f>
        <v>0.29552566567267569</v>
      </c>
    </row>
    <row r="1406" spans="1:9">
      <c r="B1406" s="1" t="s">
        <v>294</v>
      </c>
    </row>
    <row r="1407" spans="1:9">
      <c r="A1407" t="s">
        <v>291</v>
      </c>
      <c r="B1407" s="1" t="s">
        <v>296</v>
      </c>
      <c r="C1407" t="s">
        <v>297</v>
      </c>
    </row>
    <row r="1408" spans="1:9">
      <c r="B1408" s="1" t="s">
        <v>296</v>
      </c>
      <c r="D1408" t="s">
        <v>11</v>
      </c>
      <c r="E1408" s="3">
        <v>92</v>
      </c>
      <c r="F1408" s="3">
        <v>104</v>
      </c>
      <c r="G1408" s="3">
        <v>83</v>
      </c>
      <c r="H1408" s="3">
        <v>90</v>
      </c>
      <c r="I1408" s="3">
        <f>VLOOKUP(B1408,[1]Sheet3!$A$13:$E$198,5,TRUE)</f>
        <v>85</v>
      </c>
    </row>
    <row r="1409" spans="1:9">
      <c r="B1409" s="1" t="s">
        <v>296</v>
      </c>
      <c r="D1409" t="s">
        <v>12</v>
      </c>
      <c r="E1409" s="5">
        <v>32035</v>
      </c>
      <c r="F1409" s="5">
        <v>32035</v>
      </c>
      <c r="G1409" s="5">
        <v>30992</v>
      </c>
      <c r="H1409" s="5">
        <v>42912</v>
      </c>
      <c r="I1409" s="3">
        <f>VLOOKUP(B1409,[1]Sheet3!$A$13:$F$198,6,TRUE)</f>
        <v>54087</v>
      </c>
    </row>
    <row r="1410" spans="1:9">
      <c r="B1410" s="1" t="s">
        <v>296</v>
      </c>
      <c r="D1410" t="s">
        <v>23</v>
      </c>
      <c r="E1410" s="5">
        <v>109295</v>
      </c>
      <c r="F1410" s="5">
        <v>93182.95</v>
      </c>
      <c r="G1410" s="5">
        <v>102869.63</v>
      </c>
      <c r="H1410" s="5">
        <v>126252.02</v>
      </c>
      <c r="I1410" s="3">
        <f>VLOOKUP(B1410,[1]Sheet3!$A$13:$G$198,7,TRUE)</f>
        <v>128813</v>
      </c>
    </row>
    <row r="1411" spans="1:9">
      <c r="B1411" s="1" t="s">
        <v>296</v>
      </c>
      <c r="D1411" t="s">
        <v>14</v>
      </c>
      <c r="E1411" s="5">
        <v>45040.880000000005</v>
      </c>
      <c r="F1411" s="5">
        <v>45040.880000000005</v>
      </c>
      <c r="G1411" s="5">
        <v>42603.4</v>
      </c>
      <c r="H1411" s="5">
        <v>53508.19</v>
      </c>
      <c r="I1411" s="3">
        <f>VLOOKUP(B1411,[1]Sheet3!$A$13:$H$198,8,TRUE)</f>
        <v>57174.21</v>
      </c>
    </row>
    <row r="1412" spans="1:9">
      <c r="B1412" s="1" t="s">
        <v>296</v>
      </c>
      <c r="D1412" t="s">
        <v>15</v>
      </c>
      <c r="E1412" s="5">
        <v>27058.27</v>
      </c>
      <c r="F1412" s="5">
        <v>26482.31</v>
      </c>
      <c r="G1412" s="5">
        <v>25307</v>
      </c>
      <c r="H1412" s="5">
        <v>33918.660000000003</v>
      </c>
      <c r="I1412" s="3">
        <f>VLOOKUP(B1412,[1]Sheet3!$A$13:$I$198,9,TRUE)</f>
        <v>35594.11</v>
      </c>
    </row>
    <row r="1413" spans="1:9">
      <c r="B1413" s="1" t="s">
        <v>296</v>
      </c>
      <c r="D1413" t="s">
        <v>16</v>
      </c>
      <c r="E1413" s="5">
        <v>1187.99</v>
      </c>
      <c r="F1413" s="5">
        <v>895.99</v>
      </c>
      <c r="G1413" s="5">
        <v>1239.3900000000001</v>
      </c>
      <c r="H1413" s="5">
        <v>1402.8</v>
      </c>
      <c r="I1413" s="5">
        <f>I1410/I1408</f>
        <v>1515.4470588235295</v>
      </c>
    </row>
    <row r="1414" spans="1:9">
      <c r="B1414" s="1" t="s">
        <v>296</v>
      </c>
      <c r="D1414" t="s">
        <v>17</v>
      </c>
      <c r="E1414" s="6">
        <v>3.41</v>
      </c>
      <c r="F1414" s="6">
        <v>2.91</v>
      </c>
      <c r="G1414" s="6">
        <v>3.32</v>
      </c>
      <c r="H1414" s="6">
        <v>2.94</v>
      </c>
      <c r="I1414" s="7">
        <f>I1410/I1409</f>
        <v>2.3815889215523138</v>
      </c>
    </row>
    <row r="1415" spans="1:9">
      <c r="B1415" s="1" t="s">
        <v>296</v>
      </c>
      <c r="D1415" t="s">
        <v>18</v>
      </c>
      <c r="E1415" s="8">
        <v>0.41210000000000002</v>
      </c>
      <c r="F1415" s="8">
        <v>0.4834</v>
      </c>
      <c r="G1415" s="8">
        <v>0.41410000000000002</v>
      </c>
      <c r="H1415" s="8">
        <v>0.42380000000000001</v>
      </c>
      <c r="I1415" s="8">
        <f>I1411/I1410</f>
        <v>0.44385434699913828</v>
      </c>
    </row>
    <row r="1416" spans="1:9">
      <c r="B1416" s="1" t="s">
        <v>296</v>
      </c>
      <c r="D1416" t="s">
        <v>19</v>
      </c>
      <c r="E1416" s="8">
        <v>0.60070000000000001</v>
      </c>
      <c r="F1416" s="8">
        <v>0.58799999999999997</v>
      </c>
      <c r="G1416" s="8">
        <v>0.59399999999999997</v>
      </c>
      <c r="H1416" s="8">
        <v>0.63390000000000002</v>
      </c>
      <c r="I1416" s="8">
        <f>I1412/I1411</f>
        <v>0.62255534444638594</v>
      </c>
    </row>
    <row r="1417" spans="1:9">
      <c r="B1417" s="1" t="s">
        <v>296</v>
      </c>
      <c r="D1417" t="s">
        <v>20</v>
      </c>
      <c r="E1417" s="8">
        <v>0.24759999999999999</v>
      </c>
      <c r="F1417" s="8">
        <v>0.28420000000000001</v>
      </c>
      <c r="G1417" s="8">
        <v>0.246</v>
      </c>
      <c r="H1417" s="8">
        <v>0.26869999999999999</v>
      </c>
      <c r="I1417" s="8">
        <f>I1412/I1410</f>
        <v>0.27632389588007422</v>
      </c>
    </row>
    <row r="1418" spans="1:9">
      <c r="B1418" s="1" t="s">
        <v>296</v>
      </c>
    </row>
    <row r="1419" spans="1:9">
      <c r="A1419" t="s">
        <v>291</v>
      </c>
      <c r="B1419" s="1" t="s">
        <v>298</v>
      </c>
      <c r="C1419" t="s">
        <v>299</v>
      </c>
    </row>
    <row r="1420" spans="1:9">
      <c r="B1420" s="1" t="s">
        <v>298</v>
      </c>
      <c r="D1420" t="s">
        <v>11</v>
      </c>
      <c r="E1420" s="3">
        <v>308</v>
      </c>
      <c r="F1420" s="3">
        <v>306</v>
      </c>
      <c r="G1420" s="3">
        <v>320</v>
      </c>
      <c r="H1420" s="3">
        <v>281</v>
      </c>
      <c r="I1420" s="3">
        <f>VLOOKUP(B1420,[1]Sheet3!$A$13:$E$198,5,TRUE)</f>
        <v>303</v>
      </c>
    </row>
    <row r="1421" spans="1:9">
      <c r="B1421" s="1" t="s">
        <v>298</v>
      </c>
      <c r="D1421" t="s">
        <v>12</v>
      </c>
      <c r="E1421" s="5">
        <v>93060</v>
      </c>
      <c r="F1421" s="5">
        <v>96025</v>
      </c>
      <c r="G1421" s="5">
        <v>109886</v>
      </c>
      <c r="H1421" s="5">
        <v>84975</v>
      </c>
      <c r="I1421" s="3">
        <f>VLOOKUP(B1421,[1]Sheet3!$A$13:$F$198,6,TRUE)</f>
        <v>96693</v>
      </c>
    </row>
    <row r="1422" spans="1:9">
      <c r="B1422" s="1" t="s">
        <v>298</v>
      </c>
      <c r="D1422" t="s">
        <v>23</v>
      </c>
      <c r="E1422" s="5">
        <v>168691.55</v>
      </c>
      <c r="F1422" s="5">
        <v>238968.28</v>
      </c>
      <c r="G1422" s="5">
        <v>197163.59</v>
      </c>
      <c r="H1422" s="5">
        <v>176176.13</v>
      </c>
      <c r="I1422" s="3">
        <f>VLOOKUP(B1422,[1]Sheet3!$A$13:$G$198,7,TRUE)</f>
        <v>173897.12</v>
      </c>
    </row>
    <row r="1423" spans="1:9">
      <c r="B1423" s="1" t="s">
        <v>298</v>
      </c>
      <c r="D1423" t="s">
        <v>14</v>
      </c>
      <c r="E1423" s="5">
        <v>101759.20000000001</v>
      </c>
      <c r="F1423" s="5">
        <v>104986.51</v>
      </c>
      <c r="G1423" s="5">
        <v>104986.51</v>
      </c>
      <c r="H1423" s="5">
        <v>94298.53</v>
      </c>
      <c r="I1423" s="3">
        <f>VLOOKUP(B1423,[1]Sheet3!$A$13:$H$198,8,TRUE)</f>
        <v>83114.2</v>
      </c>
    </row>
    <row r="1424" spans="1:9">
      <c r="B1424" s="1" t="s">
        <v>298</v>
      </c>
      <c r="D1424" t="s">
        <v>15</v>
      </c>
      <c r="E1424" s="5">
        <v>59123.759999999995</v>
      </c>
      <c r="F1424" s="5">
        <v>62041.039999999994</v>
      </c>
      <c r="G1424" s="5">
        <v>62963.67</v>
      </c>
      <c r="H1424" s="5">
        <v>56688.79</v>
      </c>
      <c r="I1424" s="3">
        <f>VLOOKUP(B1424,[1]Sheet3!$A$13:$I$198,9,TRUE)</f>
        <v>50026.240000000005</v>
      </c>
    </row>
    <row r="1425" spans="1:9">
      <c r="B1425" s="1" t="s">
        <v>298</v>
      </c>
      <c r="D1425" t="s">
        <v>16</v>
      </c>
      <c r="E1425" s="5">
        <v>547.70000000000005</v>
      </c>
      <c r="F1425" s="5">
        <v>780.94</v>
      </c>
      <c r="G1425" s="5">
        <v>616.14</v>
      </c>
      <c r="H1425" s="5">
        <v>626.96</v>
      </c>
      <c r="I1425" s="5">
        <f>I1422/I1420</f>
        <v>573.9178877887789</v>
      </c>
    </row>
    <row r="1426" spans="1:9">
      <c r="B1426" s="1" t="s">
        <v>298</v>
      </c>
      <c r="D1426" t="s">
        <v>17</v>
      </c>
      <c r="E1426" s="6">
        <v>1.81</v>
      </c>
      <c r="F1426" s="6">
        <v>2.4900000000000002</v>
      </c>
      <c r="G1426" s="6">
        <v>1.79</v>
      </c>
      <c r="H1426" s="6">
        <v>2.0699999999999998</v>
      </c>
      <c r="I1426" s="7">
        <f>I1422/I1421</f>
        <v>1.7984458026951278</v>
      </c>
    </row>
    <row r="1427" spans="1:9">
      <c r="B1427" s="1" t="s">
        <v>298</v>
      </c>
      <c r="D1427" t="s">
        <v>18</v>
      </c>
      <c r="E1427" s="8">
        <v>0.60319999999999996</v>
      </c>
      <c r="F1427" s="8">
        <v>0.43930000000000002</v>
      </c>
      <c r="G1427" s="8">
        <v>0.53249999999999997</v>
      </c>
      <c r="H1427" s="8">
        <v>0.5353</v>
      </c>
      <c r="I1427" s="8">
        <f>I1423/I1422</f>
        <v>0.47795041113964393</v>
      </c>
    </row>
    <row r="1428" spans="1:9">
      <c r="B1428" s="1" t="s">
        <v>298</v>
      </c>
      <c r="D1428" t="s">
        <v>19</v>
      </c>
      <c r="E1428" s="8">
        <v>0.58099999999999996</v>
      </c>
      <c r="F1428" s="8">
        <v>0.59089999999999998</v>
      </c>
      <c r="G1428" s="8">
        <v>0.59970000000000001</v>
      </c>
      <c r="H1428" s="8">
        <v>0.60119999999999996</v>
      </c>
      <c r="I1428" s="8">
        <f>I1424/I1423</f>
        <v>0.60189763000786878</v>
      </c>
    </row>
    <row r="1429" spans="1:9">
      <c r="B1429" s="1" t="s">
        <v>298</v>
      </c>
      <c r="D1429" t="s">
        <v>20</v>
      </c>
      <c r="E1429" s="8">
        <v>0.35049999999999998</v>
      </c>
      <c r="F1429" s="8">
        <v>0.2596</v>
      </c>
      <c r="G1429" s="8">
        <v>0.31929999999999997</v>
      </c>
      <c r="H1429" s="8">
        <v>0.32179999999999997</v>
      </c>
      <c r="I1429" s="8">
        <f>I1424/I1422</f>
        <v>0.28767721972623816</v>
      </c>
    </row>
    <row r="1430" spans="1:9">
      <c r="B1430" s="1" t="s">
        <v>298</v>
      </c>
    </row>
    <row r="1431" spans="1:9">
      <c r="A1431" t="s">
        <v>300</v>
      </c>
      <c r="B1431" s="1" t="s">
        <v>301</v>
      </c>
      <c r="C1431" t="s">
        <v>302</v>
      </c>
    </row>
    <row r="1432" spans="1:9">
      <c r="B1432" s="1" t="s">
        <v>301</v>
      </c>
      <c r="D1432" t="s">
        <v>11</v>
      </c>
      <c r="E1432" s="3">
        <v>731</v>
      </c>
      <c r="F1432" s="3">
        <v>618</v>
      </c>
      <c r="G1432" s="3">
        <v>522</v>
      </c>
      <c r="H1432" s="3">
        <v>558</v>
      </c>
      <c r="I1432" s="3">
        <f>VLOOKUP(B1432,[1]Sheet3!$A$13:$E$198,5,TRUE)</f>
        <v>601</v>
      </c>
    </row>
    <row r="1433" spans="1:9">
      <c r="B1433" s="1" t="s">
        <v>301</v>
      </c>
      <c r="D1433" t="s">
        <v>12</v>
      </c>
      <c r="E1433" s="5">
        <v>67490</v>
      </c>
      <c r="F1433" s="5">
        <v>64020</v>
      </c>
      <c r="G1433" s="5">
        <v>66400</v>
      </c>
      <c r="H1433" s="5">
        <v>68476.800000000003</v>
      </c>
      <c r="I1433" s="3">
        <f>VLOOKUP(B1433,[1]Sheet3!$A$13:$F$198,6,TRUE)</f>
        <v>58474</v>
      </c>
    </row>
    <row r="1434" spans="1:9">
      <c r="B1434" s="1" t="s">
        <v>301</v>
      </c>
      <c r="D1434" t="s">
        <v>23</v>
      </c>
      <c r="E1434" s="5">
        <v>184779.64</v>
      </c>
      <c r="F1434" s="5">
        <v>186110.95</v>
      </c>
      <c r="G1434" s="5">
        <v>177979.13</v>
      </c>
      <c r="H1434" s="5">
        <v>175179.4</v>
      </c>
      <c r="I1434" s="3">
        <f>VLOOKUP(B1434,[1]Sheet3!$A$13:$G$198,7,TRUE)</f>
        <v>176625.96</v>
      </c>
    </row>
    <row r="1435" spans="1:9">
      <c r="B1435" s="1" t="s">
        <v>301</v>
      </c>
      <c r="D1435" t="s">
        <v>14</v>
      </c>
      <c r="E1435" s="5">
        <v>80725.25</v>
      </c>
      <c r="F1435" s="5">
        <v>79486.67</v>
      </c>
      <c r="G1435" s="5">
        <v>79068.58</v>
      </c>
      <c r="H1435" s="5">
        <v>76910.37</v>
      </c>
      <c r="I1435" s="3">
        <f>VLOOKUP(B1435,[1]Sheet3!$A$13:$H$198,8,TRUE)</f>
        <v>74467.11</v>
      </c>
    </row>
    <row r="1436" spans="1:9">
      <c r="B1436" s="1" t="s">
        <v>301</v>
      </c>
      <c r="D1436" t="s">
        <v>15</v>
      </c>
      <c r="E1436" s="5">
        <v>46902.69</v>
      </c>
      <c r="F1436" s="5">
        <v>46614.97</v>
      </c>
      <c r="G1436" s="5">
        <v>47378.11</v>
      </c>
      <c r="H1436" s="5">
        <v>46912.65</v>
      </c>
      <c r="I1436" s="3">
        <f>VLOOKUP(B1436,[1]Sheet3!$A$13:$I$198,9,TRUE)</f>
        <v>47060.01</v>
      </c>
    </row>
    <row r="1437" spans="1:9">
      <c r="B1437" s="1" t="s">
        <v>301</v>
      </c>
      <c r="D1437" t="s">
        <v>16</v>
      </c>
      <c r="E1437" s="5">
        <v>252.78</v>
      </c>
      <c r="F1437" s="5">
        <v>301.14999999999998</v>
      </c>
      <c r="G1437" s="5">
        <v>340.96</v>
      </c>
      <c r="H1437" s="5">
        <v>313.94</v>
      </c>
      <c r="I1437" s="5">
        <f>I1434/I1432</f>
        <v>293.8867886855241</v>
      </c>
    </row>
    <row r="1438" spans="1:9">
      <c r="B1438" s="1" t="s">
        <v>301</v>
      </c>
      <c r="D1438" t="s">
        <v>17</v>
      </c>
      <c r="E1438" s="6">
        <v>2.74</v>
      </c>
      <c r="F1438" s="6">
        <v>2.91</v>
      </c>
      <c r="G1438" s="6">
        <v>2.68</v>
      </c>
      <c r="H1438" s="6">
        <v>2.56</v>
      </c>
      <c r="I1438" s="7">
        <f>I1434/I1433</f>
        <v>3.0205896637821938</v>
      </c>
    </row>
    <row r="1439" spans="1:9">
      <c r="B1439" s="1" t="s">
        <v>301</v>
      </c>
      <c r="D1439" t="s">
        <v>18</v>
      </c>
      <c r="E1439" s="8">
        <v>0.43690000000000001</v>
      </c>
      <c r="F1439" s="8">
        <v>0.42709999999999998</v>
      </c>
      <c r="G1439" s="8">
        <v>0.44429999999999997</v>
      </c>
      <c r="H1439" s="8">
        <v>0.439</v>
      </c>
      <c r="I1439" s="8">
        <f>I1435/I1434</f>
        <v>0.42160908849412626</v>
      </c>
    </row>
    <row r="1440" spans="1:9">
      <c r="B1440" s="1" t="s">
        <v>301</v>
      </c>
      <c r="D1440" t="s">
        <v>19</v>
      </c>
      <c r="E1440" s="8">
        <v>0.58099999999999996</v>
      </c>
      <c r="F1440" s="8">
        <v>0.58650000000000002</v>
      </c>
      <c r="G1440" s="8">
        <v>0.59919999999999995</v>
      </c>
      <c r="H1440" s="8">
        <v>0.61</v>
      </c>
      <c r="I1440" s="8">
        <f>I1436/I1435</f>
        <v>0.63195698073955064</v>
      </c>
    </row>
    <row r="1441" spans="1:9">
      <c r="B1441" s="1" t="s">
        <v>301</v>
      </c>
      <c r="D1441" t="s">
        <v>20</v>
      </c>
      <c r="E1441" s="8">
        <v>0.25380000000000003</v>
      </c>
      <c r="F1441" s="8">
        <v>0.2505</v>
      </c>
      <c r="G1441" s="8">
        <v>0.26619999999999999</v>
      </c>
      <c r="H1441" s="8">
        <v>0.26779999999999998</v>
      </c>
      <c r="I1441" s="8">
        <f>I1436/I1434</f>
        <v>0.26643880661710206</v>
      </c>
    </row>
    <row r="1442" spans="1:9">
      <c r="B1442" s="1" t="s">
        <v>301</v>
      </c>
    </row>
    <row r="1443" spans="1:9">
      <c r="A1443" t="s">
        <v>300</v>
      </c>
      <c r="B1443" s="1" t="s">
        <v>303</v>
      </c>
      <c r="C1443" t="s">
        <v>304</v>
      </c>
    </row>
    <row r="1444" spans="1:9">
      <c r="B1444" s="1" t="s">
        <v>303</v>
      </c>
      <c r="D1444" t="s">
        <v>11</v>
      </c>
      <c r="E1444" s="3">
        <v>373</v>
      </c>
      <c r="F1444" s="3">
        <v>317</v>
      </c>
      <c r="G1444" s="3">
        <v>321</v>
      </c>
      <c r="H1444" s="3">
        <v>353</v>
      </c>
      <c r="I1444" s="3">
        <f>VLOOKUP(B1444,[1]Sheet3!$A$13:$E$198,5,TRUE)</f>
        <v>332</v>
      </c>
    </row>
    <row r="1445" spans="1:9">
      <c r="B1445" s="1" t="s">
        <v>303</v>
      </c>
      <c r="D1445" t="s">
        <v>12</v>
      </c>
      <c r="E1445" s="5">
        <v>48764</v>
      </c>
      <c r="F1445" s="5">
        <v>39412</v>
      </c>
      <c r="G1445" s="5">
        <v>36188</v>
      </c>
      <c r="H1445" s="5">
        <v>35568</v>
      </c>
      <c r="I1445" s="3">
        <f>VLOOKUP(B1445,[1]Sheet3!$A$13:$F$198,6,TRUE)</f>
        <v>37791</v>
      </c>
    </row>
    <row r="1446" spans="1:9">
      <c r="B1446" s="1" t="s">
        <v>303</v>
      </c>
      <c r="D1446" t="s">
        <v>23</v>
      </c>
      <c r="E1446" s="5">
        <v>117023.49</v>
      </c>
      <c r="F1446" s="5">
        <v>110913.42</v>
      </c>
      <c r="G1446" s="5">
        <v>113018.44</v>
      </c>
      <c r="H1446" s="5">
        <v>130509.59</v>
      </c>
      <c r="I1446" s="3">
        <f>VLOOKUP(B1446,[1]Sheet3!$A$13:$G$198,7,TRUE)</f>
        <v>124482.85</v>
      </c>
    </row>
    <row r="1447" spans="1:9">
      <c r="B1447" s="1" t="s">
        <v>303</v>
      </c>
      <c r="D1447" t="s">
        <v>14</v>
      </c>
      <c r="E1447" s="5">
        <v>51848.04</v>
      </c>
      <c r="F1447" s="5">
        <v>51848.04</v>
      </c>
      <c r="G1447" s="5">
        <v>47436.49</v>
      </c>
      <c r="H1447" s="5">
        <v>53111.040000000001</v>
      </c>
      <c r="I1447" s="3">
        <f>VLOOKUP(B1447,[1]Sheet3!$A$13:$H$198,8,TRUE)</f>
        <v>51626.5</v>
      </c>
    </row>
    <row r="1448" spans="1:9">
      <c r="B1448" s="1" t="s">
        <v>303</v>
      </c>
      <c r="D1448" t="s">
        <v>15</v>
      </c>
      <c r="E1448" s="5">
        <v>30430.81</v>
      </c>
      <c r="F1448" s="5">
        <v>30484.65</v>
      </c>
      <c r="G1448" s="5">
        <v>28008.28</v>
      </c>
      <c r="H1448" s="5">
        <v>33135.42</v>
      </c>
      <c r="I1448" s="3">
        <f>VLOOKUP(B1448,[1]Sheet3!$A$13:$I$198,9,TRUE)</f>
        <v>32710.489999999998</v>
      </c>
    </row>
    <row r="1449" spans="1:9">
      <c r="B1449" s="1" t="s">
        <v>303</v>
      </c>
      <c r="D1449" t="s">
        <v>16</v>
      </c>
      <c r="E1449" s="5">
        <v>313.74</v>
      </c>
      <c r="F1449" s="5">
        <v>349.88</v>
      </c>
      <c r="G1449" s="5">
        <v>352.08</v>
      </c>
      <c r="H1449" s="5">
        <v>369.72</v>
      </c>
      <c r="I1449" s="5">
        <f>I1446/I1444</f>
        <v>374.94834337349397</v>
      </c>
    </row>
    <row r="1450" spans="1:9">
      <c r="B1450" s="1" t="s">
        <v>303</v>
      </c>
      <c r="D1450" t="s">
        <v>17</v>
      </c>
      <c r="E1450" s="6">
        <v>2.4</v>
      </c>
      <c r="F1450" s="6">
        <v>2.81</v>
      </c>
      <c r="G1450" s="6">
        <v>3.12</v>
      </c>
      <c r="H1450" s="6">
        <v>3.67</v>
      </c>
      <c r="I1450" s="7">
        <f>I1446/I1445</f>
        <v>3.2939813712259536</v>
      </c>
    </row>
    <row r="1451" spans="1:9">
      <c r="B1451" s="1" t="s">
        <v>303</v>
      </c>
      <c r="D1451" t="s">
        <v>18</v>
      </c>
      <c r="E1451" s="8">
        <v>0.44309999999999999</v>
      </c>
      <c r="F1451" s="8">
        <v>0.46750000000000003</v>
      </c>
      <c r="G1451" s="8">
        <v>0.41970000000000002</v>
      </c>
      <c r="H1451" s="8">
        <v>0.40699999999999997</v>
      </c>
      <c r="I1451" s="8">
        <f>I1447/I1446</f>
        <v>0.41472781190340674</v>
      </c>
    </row>
    <row r="1452" spans="1:9">
      <c r="B1452" s="1" t="s">
        <v>303</v>
      </c>
      <c r="D1452" t="s">
        <v>19</v>
      </c>
      <c r="E1452" s="8">
        <v>0.58689999999999998</v>
      </c>
      <c r="F1452" s="8">
        <v>0.58799999999999997</v>
      </c>
      <c r="G1452" s="8">
        <v>0.59040000000000004</v>
      </c>
      <c r="H1452" s="8">
        <v>0.62390000000000001</v>
      </c>
      <c r="I1452" s="8">
        <f>I1448/I1447</f>
        <v>0.6335988300582065</v>
      </c>
    </row>
    <row r="1453" spans="1:9">
      <c r="B1453" s="1" t="s">
        <v>303</v>
      </c>
      <c r="D1453" t="s">
        <v>20</v>
      </c>
      <c r="E1453" s="8">
        <v>0.26</v>
      </c>
      <c r="F1453" s="8">
        <v>0.27489999999999998</v>
      </c>
      <c r="G1453" s="8">
        <v>0.24779999999999999</v>
      </c>
      <c r="H1453" s="8">
        <v>0.25390000000000001</v>
      </c>
      <c r="I1453" s="8">
        <f>I1448/I1446</f>
        <v>0.26277105641459847</v>
      </c>
    </row>
    <row r="1454" spans="1:9">
      <c r="B1454" s="1" t="s">
        <v>303</v>
      </c>
    </row>
    <row r="1455" spans="1:9">
      <c r="A1455" t="s">
        <v>300</v>
      </c>
      <c r="B1455" s="1" t="s">
        <v>305</v>
      </c>
      <c r="C1455" t="s">
        <v>306</v>
      </c>
    </row>
    <row r="1456" spans="1:9">
      <c r="B1456" s="1" t="s">
        <v>305</v>
      </c>
      <c r="D1456" t="s">
        <v>11</v>
      </c>
      <c r="E1456" s="3">
        <v>59</v>
      </c>
      <c r="F1456" s="3">
        <v>66</v>
      </c>
      <c r="G1456" s="3">
        <v>74</v>
      </c>
      <c r="H1456" s="3">
        <v>71</v>
      </c>
      <c r="I1456" s="3">
        <f>VLOOKUP(B1456,[1]Sheet3!$A$13:$E$198,5,TRUE)</f>
        <v>50</v>
      </c>
    </row>
    <row r="1457" spans="1:9">
      <c r="B1457" s="1" t="s">
        <v>305</v>
      </c>
      <c r="D1457" t="s">
        <v>12</v>
      </c>
      <c r="E1457" s="5">
        <v>8250</v>
      </c>
      <c r="F1457" s="5">
        <v>7872</v>
      </c>
      <c r="G1457" s="5">
        <v>6474</v>
      </c>
      <c r="H1457" s="5">
        <v>5280</v>
      </c>
      <c r="I1457" s="3">
        <f>VLOOKUP(B1457,[1]Sheet3!$A$13:$F$198,6,TRUE)</f>
        <v>7872</v>
      </c>
    </row>
    <row r="1458" spans="1:9">
      <c r="B1458" s="1" t="s">
        <v>305</v>
      </c>
      <c r="D1458" t="s">
        <v>23</v>
      </c>
      <c r="E1458" s="5">
        <v>61637.18</v>
      </c>
      <c r="F1458" s="5">
        <v>67090.240000000005</v>
      </c>
      <c r="G1458" s="5">
        <v>26488.85</v>
      </c>
      <c r="H1458" s="5">
        <v>22538.93</v>
      </c>
      <c r="I1458" s="3">
        <f>VLOOKUP(B1458,[1]Sheet3!$A$13:$G$198,7,TRUE)</f>
        <v>15271.21</v>
      </c>
    </row>
    <row r="1459" spans="1:9">
      <c r="B1459" s="1" t="s">
        <v>305</v>
      </c>
      <c r="D1459" t="s">
        <v>14</v>
      </c>
      <c r="E1459" s="5">
        <v>25055.599999999999</v>
      </c>
      <c r="F1459" s="5">
        <v>24694.89</v>
      </c>
      <c r="G1459" s="5">
        <v>24694.89</v>
      </c>
      <c r="H1459" s="5">
        <v>10593.08</v>
      </c>
      <c r="I1459" s="3">
        <f>VLOOKUP(B1459,[1]Sheet3!$A$13:$H$198,8,TRUE)</f>
        <v>7143.78</v>
      </c>
    </row>
    <row r="1460" spans="1:9">
      <c r="B1460" s="1" t="s">
        <v>305</v>
      </c>
      <c r="D1460" t="s">
        <v>15</v>
      </c>
      <c r="E1460" s="5">
        <v>14557.71</v>
      </c>
      <c r="F1460" s="5">
        <v>14484.66</v>
      </c>
      <c r="G1460" s="5">
        <v>14810.289999999999</v>
      </c>
      <c r="H1460" s="5">
        <v>5036.57</v>
      </c>
      <c r="I1460" s="3">
        <f>VLOOKUP(B1460,[1]Sheet3!$A$13:$I$198,9,TRUE)</f>
        <v>5345.8600000000006</v>
      </c>
    </row>
    <row r="1461" spans="1:9">
      <c r="B1461" s="1" t="s">
        <v>305</v>
      </c>
      <c r="D1461" t="s">
        <v>16</v>
      </c>
      <c r="E1461" s="5">
        <v>1044.7</v>
      </c>
      <c r="F1461" s="5">
        <v>1016.52</v>
      </c>
      <c r="G1461" s="5">
        <v>357.96</v>
      </c>
      <c r="H1461" s="5">
        <v>317.45</v>
      </c>
      <c r="I1461" s="5">
        <f>I1458/I1456</f>
        <v>305.42419999999998</v>
      </c>
    </row>
    <row r="1462" spans="1:9">
      <c r="B1462" s="1" t="s">
        <v>305</v>
      </c>
      <c r="D1462" t="s">
        <v>17</v>
      </c>
      <c r="E1462" s="6">
        <v>7.47</v>
      </c>
      <c r="F1462" s="6">
        <v>8.52</v>
      </c>
      <c r="G1462" s="6">
        <v>4.09</v>
      </c>
      <c r="H1462" s="6">
        <v>4.2699999999999996</v>
      </c>
      <c r="I1462" s="7">
        <f>I1458/I1457</f>
        <v>1.9399402947154469</v>
      </c>
    </row>
    <row r="1463" spans="1:9">
      <c r="B1463" s="1" t="s">
        <v>305</v>
      </c>
      <c r="D1463" t="s">
        <v>18</v>
      </c>
      <c r="E1463" s="8">
        <v>0.40649999999999997</v>
      </c>
      <c r="F1463" s="8">
        <v>0.36809999999999998</v>
      </c>
      <c r="G1463" s="8">
        <v>0.93230000000000002</v>
      </c>
      <c r="H1463" s="8">
        <v>0.47</v>
      </c>
      <c r="I1463" s="8">
        <f>I1459/I1458</f>
        <v>0.46779397310363752</v>
      </c>
    </row>
    <row r="1464" spans="1:9">
      <c r="B1464" s="1" t="s">
        <v>305</v>
      </c>
      <c r="D1464" t="s">
        <v>19</v>
      </c>
      <c r="E1464" s="8">
        <v>0.58099999999999996</v>
      </c>
      <c r="F1464" s="8">
        <v>0.58650000000000002</v>
      </c>
      <c r="G1464" s="8">
        <v>0.59970000000000001</v>
      </c>
      <c r="H1464" s="8">
        <v>0.47549999999999998</v>
      </c>
      <c r="I1464" s="8">
        <f>I1460/I1459</f>
        <v>0.74832371657581853</v>
      </c>
    </row>
    <row r="1465" spans="1:9">
      <c r="B1465" s="1" t="s">
        <v>305</v>
      </c>
      <c r="D1465" t="s">
        <v>20</v>
      </c>
      <c r="E1465" s="8">
        <v>0.23619999999999999</v>
      </c>
      <c r="F1465" s="8">
        <v>0.21590000000000001</v>
      </c>
      <c r="G1465" s="8">
        <v>0.55910000000000004</v>
      </c>
      <c r="H1465" s="8">
        <v>0.2235</v>
      </c>
      <c r="I1465" s="8">
        <f>I1460/I1458</f>
        <v>0.35006132454468253</v>
      </c>
    </row>
    <row r="1466" spans="1:9">
      <c r="B1466" s="1" t="s">
        <v>305</v>
      </c>
      <c r="I1466" s="8"/>
    </row>
    <row r="1467" spans="1:9">
      <c r="A1467" t="s">
        <v>300</v>
      </c>
      <c r="B1467" s="1" t="s">
        <v>307</v>
      </c>
      <c r="C1467" t="s">
        <v>308</v>
      </c>
    </row>
    <row r="1468" spans="1:9">
      <c r="B1468" s="1" t="s">
        <v>307</v>
      </c>
      <c r="D1468" t="s">
        <v>11</v>
      </c>
      <c r="E1468" s="3">
        <v>167</v>
      </c>
      <c r="F1468" s="3">
        <v>200</v>
      </c>
      <c r="G1468" s="3">
        <v>214</v>
      </c>
      <c r="H1468" s="3">
        <v>187</v>
      </c>
      <c r="I1468" s="3">
        <f>VLOOKUP(B1468,[1]Sheet3!$A$13:$E$198,5,TRUE)</f>
        <v>170</v>
      </c>
    </row>
    <row r="1469" spans="1:9">
      <c r="B1469" s="1" t="s">
        <v>307</v>
      </c>
      <c r="D1469" t="s">
        <v>12</v>
      </c>
      <c r="E1469" s="5">
        <v>92904</v>
      </c>
      <c r="F1469" s="5">
        <v>97194</v>
      </c>
      <c r="G1469" s="5">
        <v>70848</v>
      </c>
      <c r="H1469" s="5">
        <v>63342</v>
      </c>
      <c r="I1469" s="3">
        <f>VLOOKUP(B1469,[1]Sheet3!$A$13:$F$198,6,TRUE)</f>
        <v>66667</v>
      </c>
    </row>
    <row r="1470" spans="1:9">
      <c r="B1470" s="1" t="s">
        <v>307</v>
      </c>
      <c r="D1470" t="s">
        <v>23</v>
      </c>
      <c r="E1470" s="5">
        <v>157477.42000000001</v>
      </c>
      <c r="F1470" s="5">
        <v>132277.44</v>
      </c>
      <c r="G1470" s="5">
        <v>110980.96</v>
      </c>
      <c r="H1470" s="5">
        <v>115833.19</v>
      </c>
      <c r="I1470" s="3">
        <f>VLOOKUP(B1470,[1]Sheet3!$A$13:$G$198,7,TRUE)</f>
        <v>116837.82</v>
      </c>
    </row>
    <row r="1471" spans="1:9">
      <c r="B1471" s="1" t="s">
        <v>307</v>
      </c>
      <c r="D1471" t="s">
        <v>14</v>
      </c>
      <c r="E1471" s="5">
        <v>76603.95</v>
      </c>
      <c r="F1471" s="5">
        <v>76603.95</v>
      </c>
      <c r="G1471" s="5">
        <v>69143.08</v>
      </c>
      <c r="H1471" s="5">
        <v>55332.020000000004</v>
      </c>
      <c r="I1471" s="3">
        <f>VLOOKUP(B1471,[1]Sheet3!$A$13:$H$198,8,TRUE)</f>
        <v>56268.67</v>
      </c>
    </row>
    <row r="1472" spans="1:9">
      <c r="B1472" s="1" t="s">
        <v>307</v>
      </c>
      <c r="D1472" t="s">
        <v>15</v>
      </c>
      <c r="E1472" s="5">
        <v>44595.360000000001</v>
      </c>
      <c r="F1472" s="5">
        <v>45040.17</v>
      </c>
      <c r="G1472" s="5">
        <v>40721.67</v>
      </c>
      <c r="H1472" s="5">
        <v>32485.35</v>
      </c>
      <c r="I1472" s="3">
        <f>VLOOKUP(B1472,[1]Sheet3!$A$13:$I$198,9,TRUE)</f>
        <v>34752.630000000005</v>
      </c>
    </row>
    <row r="1473" spans="1:9">
      <c r="B1473" s="1" t="s">
        <v>307</v>
      </c>
      <c r="D1473" t="s">
        <v>16</v>
      </c>
      <c r="E1473" s="5">
        <v>942.98</v>
      </c>
      <c r="F1473" s="5">
        <v>661.39</v>
      </c>
      <c r="G1473" s="5">
        <v>518.6</v>
      </c>
      <c r="H1473" s="5">
        <v>619.42999999999995</v>
      </c>
      <c r="I1473" s="5">
        <f>I1470/I1468</f>
        <v>687.28129411764712</v>
      </c>
    </row>
    <row r="1474" spans="1:9">
      <c r="B1474" s="1" t="s">
        <v>307</v>
      </c>
      <c r="D1474" t="s">
        <v>17</v>
      </c>
      <c r="E1474" s="6">
        <v>1.7</v>
      </c>
      <c r="F1474" s="6">
        <v>1.36</v>
      </c>
      <c r="G1474" s="6">
        <v>1.57</v>
      </c>
      <c r="H1474" s="6">
        <v>1.83</v>
      </c>
      <c r="I1474" s="7">
        <f>I1470/I1469</f>
        <v>1.752558537207314</v>
      </c>
    </row>
    <row r="1475" spans="1:9">
      <c r="B1475" s="1" t="s">
        <v>307</v>
      </c>
      <c r="D1475" t="s">
        <v>18</v>
      </c>
      <c r="E1475" s="8">
        <v>0.4864</v>
      </c>
      <c r="F1475" s="8">
        <v>0.57909999999999995</v>
      </c>
      <c r="G1475" s="8">
        <v>0.623</v>
      </c>
      <c r="H1475" s="8">
        <v>0.47770000000000001</v>
      </c>
      <c r="I1475" s="8">
        <f>I1471/I1470</f>
        <v>0.48159637007948281</v>
      </c>
    </row>
    <row r="1476" spans="1:9">
      <c r="B1476" s="1" t="s">
        <v>307</v>
      </c>
      <c r="D1476" t="s">
        <v>19</v>
      </c>
      <c r="E1476" s="8">
        <v>0.58220000000000005</v>
      </c>
      <c r="F1476" s="8">
        <v>0.58799999999999997</v>
      </c>
      <c r="G1476" s="8">
        <v>0.58889999999999998</v>
      </c>
      <c r="H1476" s="8">
        <v>0.58709999999999996</v>
      </c>
      <c r="I1476" s="8">
        <f>I1472/I1471</f>
        <v>0.61761953854605067</v>
      </c>
    </row>
    <row r="1477" spans="1:9">
      <c r="B1477" s="1" t="s">
        <v>307</v>
      </c>
      <c r="D1477" t="s">
        <v>20</v>
      </c>
      <c r="E1477" s="8">
        <v>0.28320000000000001</v>
      </c>
      <c r="F1477" s="8">
        <v>0.34050000000000002</v>
      </c>
      <c r="G1477" s="8">
        <v>0.3669</v>
      </c>
      <c r="H1477" s="8">
        <v>0.28039999999999998</v>
      </c>
      <c r="I1477" s="8">
        <f>I1472/I1470</f>
        <v>0.29744332785394323</v>
      </c>
    </row>
    <row r="1478" spans="1:9">
      <c r="B1478" s="1" t="s">
        <v>307</v>
      </c>
    </row>
    <row r="1479" spans="1:9">
      <c r="A1479" t="s">
        <v>300</v>
      </c>
      <c r="B1479" s="1" t="s">
        <v>309</v>
      </c>
      <c r="C1479" t="s">
        <v>310</v>
      </c>
    </row>
    <row r="1480" spans="1:9">
      <c r="B1480" s="1" t="s">
        <v>309</v>
      </c>
      <c r="D1480" t="s">
        <v>11</v>
      </c>
      <c r="E1480" s="3">
        <v>179</v>
      </c>
      <c r="F1480" s="3">
        <v>150</v>
      </c>
      <c r="G1480" s="3">
        <v>150</v>
      </c>
      <c r="H1480" s="3">
        <v>108</v>
      </c>
      <c r="I1480" s="3">
        <f>VLOOKUP(B1480,[1]Sheet3!$A$13:$E$198,5,TRUE)</f>
        <v>178</v>
      </c>
    </row>
    <row r="1481" spans="1:9">
      <c r="B1481" s="1" t="s">
        <v>309</v>
      </c>
      <c r="D1481" t="s">
        <v>12</v>
      </c>
      <c r="E1481" s="5">
        <v>16100</v>
      </c>
      <c r="F1481" s="5">
        <v>14280</v>
      </c>
      <c r="G1481" s="5">
        <v>11760</v>
      </c>
      <c r="H1481" s="5">
        <v>13490</v>
      </c>
      <c r="I1481" s="3">
        <f>VLOOKUP(B1481,[1]Sheet3!$A$13:$F$198,6,TRUE)</f>
        <v>14805</v>
      </c>
    </row>
    <row r="1482" spans="1:9">
      <c r="B1482" s="1" t="s">
        <v>309</v>
      </c>
      <c r="D1482" t="s">
        <v>23</v>
      </c>
      <c r="E1482" s="5">
        <v>70317.009999999995</v>
      </c>
      <c r="F1482" s="5">
        <v>80197.009999999995</v>
      </c>
      <c r="G1482" s="5">
        <v>64024.959999999999</v>
      </c>
      <c r="H1482" s="5">
        <v>69566.039999999994</v>
      </c>
      <c r="I1482" s="3">
        <f>VLOOKUP(B1482,[1]Sheet3!$A$13:$G$198,7,TRUE)</f>
        <v>92926.35</v>
      </c>
    </row>
    <row r="1483" spans="1:9">
      <c r="B1483" s="1" t="s">
        <v>309</v>
      </c>
      <c r="D1483" t="s">
        <v>14</v>
      </c>
      <c r="E1483" s="5">
        <v>27848.36</v>
      </c>
      <c r="F1483" s="5">
        <v>30738.93</v>
      </c>
      <c r="G1483" s="5">
        <v>30738.93</v>
      </c>
      <c r="H1483" s="5">
        <v>26940.37</v>
      </c>
      <c r="I1483" s="3">
        <f>VLOOKUP(B1483,[1]Sheet3!$A$13:$H$198,8,TRUE)</f>
        <v>35181.83</v>
      </c>
    </row>
    <row r="1484" spans="1:9">
      <c r="B1484" s="1" t="s">
        <v>309</v>
      </c>
      <c r="D1484" t="s">
        <v>15</v>
      </c>
      <c r="E1484" s="5">
        <v>16412.96</v>
      </c>
      <c r="F1484" s="5">
        <v>18353.669999999998</v>
      </c>
      <c r="G1484" s="5">
        <v>18435.09</v>
      </c>
      <c r="H1484" s="5">
        <v>16118.64</v>
      </c>
      <c r="I1484" s="3">
        <f>VLOOKUP(B1484,[1]Sheet3!$A$13:$I$198,9,TRUE)</f>
        <v>22524.98</v>
      </c>
    </row>
    <row r="1485" spans="1:9">
      <c r="B1485" s="1" t="s">
        <v>309</v>
      </c>
      <c r="D1485" t="s">
        <v>16</v>
      </c>
      <c r="E1485" s="5">
        <v>392.83</v>
      </c>
      <c r="F1485" s="5">
        <v>534.65</v>
      </c>
      <c r="G1485" s="5">
        <v>426.83</v>
      </c>
      <c r="H1485" s="5">
        <v>644.13</v>
      </c>
      <c r="I1485" s="5">
        <f>I1482/I1480</f>
        <v>522.05814606741581</v>
      </c>
    </row>
    <row r="1486" spans="1:9">
      <c r="B1486" s="1" t="s">
        <v>309</v>
      </c>
      <c r="D1486" t="s">
        <v>17</v>
      </c>
      <c r="E1486" s="6">
        <v>4.37</v>
      </c>
      <c r="F1486" s="6">
        <v>5.62</v>
      </c>
      <c r="G1486" s="6">
        <v>5.44</v>
      </c>
      <c r="H1486" s="6">
        <v>5.16</v>
      </c>
      <c r="I1486" s="7">
        <f>I1482/I1481</f>
        <v>6.2766869300911861</v>
      </c>
    </row>
    <row r="1487" spans="1:9">
      <c r="B1487" s="1" t="s">
        <v>309</v>
      </c>
      <c r="D1487" t="s">
        <v>18</v>
      </c>
      <c r="E1487" s="8">
        <v>0.39600000000000002</v>
      </c>
      <c r="F1487" s="8">
        <v>0.38329999999999997</v>
      </c>
      <c r="G1487" s="8">
        <v>0.48010000000000003</v>
      </c>
      <c r="H1487" s="8">
        <v>0.38729999999999998</v>
      </c>
      <c r="I1487" s="8">
        <f>I1483/I1482</f>
        <v>0.37859907335217619</v>
      </c>
    </row>
    <row r="1488" spans="1:9">
      <c r="B1488" s="1" t="s">
        <v>309</v>
      </c>
      <c r="D1488" t="s">
        <v>19</v>
      </c>
      <c r="E1488" s="8">
        <v>0.58940000000000003</v>
      </c>
      <c r="F1488" s="8">
        <v>0.59709999999999996</v>
      </c>
      <c r="G1488" s="8">
        <v>0.59970000000000001</v>
      </c>
      <c r="H1488" s="8">
        <v>0.59830000000000005</v>
      </c>
      <c r="I1488" s="8">
        <f>I1484/I1483</f>
        <v>0.64024469449144628</v>
      </c>
    </row>
    <row r="1489" spans="1:9">
      <c r="B1489" s="1" t="s">
        <v>309</v>
      </c>
      <c r="D1489" t="s">
        <v>20</v>
      </c>
      <c r="E1489" s="8">
        <v>0.2334</v>
      </c>
      <c r="F1489" s="8">
        <v>0.22889999999999999</v>
      </c>
      <c r="G1489" s="8">
        <v>0.28789999999999999</v>
      </c>
      <c r="H1489" s="8">
        <v>0.23169999999999999</v>
      </c>
      <c r="I1489" s="8">
        <f>I1484/I1482</f>
        <v>0.24239604805310871</v>
      </c>
    </row>
    <row r="1490" spans="1:9">
      <c r="B1490" s="1" t="s">
        <v>309</v>
      </c>
    </row>
    <row r="1491" spans="1:9">
      <c r="A1491" t="s">
        <v>300</v>
      </c>
      <c r="B1491" s="1" t="s">
        <v>311</v>
      </c>
      <c r="C1491" t="s">
        <v>312</v>
      </c>
    </row>
    <row r="1492" spans="1:9">
      <c r="B1492" s="1" t="s">
        <v>311</v>
      </c>
      <c r="D1492" t="s">
        <v>11</v>
      </c>
      <c r="E1492" s="3">
        <v>145</v>
      </c>
      <c r="F1492" s="3">
        <v>147</v>
      </c>
      <c r="G1492" s="3">
        <v>130</v>
      </c>
      <c r="H1492" s="3">
        <v>131</v>
      </c>
      <c r="I1492" s="3">
        <f>VLOOKUP(B1492,[1]Sheet3!$A$13:$E$198,5,TRUE)</f>
        <v>138</v>
      </c>
    </row>
    <row r="1493" spans="1:9">
      <c r="B1493" s="1" t="s">
        <v>311</v>
      </c>
      <c r="D1493" t="s">
        <v>12</v>
      </c>
      <c r="E1493" s="5">
        <v>17869</v>
      </c>
      <c r="F1493" s="5">
        <v>19173</v>
      </c>
      <c r="G1493" s="5">
        <v>16830</v>
      </c>
      <c r="H1493" s="5">
        <v>26400</v>
      </c>
      <c r="I1493" s="3">
        <f>VLOOKUP(B1493,[1]Sheet3!$A$13:$F$198,6,TRUE)</f>
        <v>26386</v>
      </c>
    </row>
    <row r="1494" spans="1:9">
      <c r="B1494" s="1" t="s">
        <v>311</v>
      </c>
      <c r="D1494" t="s">
        <v>23</v>
      </c>
      <c r="E1494" s="5">
        <v>42115.47</v>
      </c>
      <c r="F1494" s="5">
        <v>44493.919999999998</v>
      </c>
      <c r="G1494" s="5">
        <v>52556.4</v>
      </c>
      <c r="H1494" s="5">
        <v>68460.98</v>
      </c>
      <c r="I1494" s="3">
        <f>VLOOKUP(B1494,[1]Sheet3!$A$13:$G$198,7,TRUE)</f>
        <v>48927.49</v>
      </c>
    </row>
    <row r="1495" spans="1:9">
      <c r="B1495" s="1" t="s">
        <v>311</v>
      </c>
      <c r="D1495" t="s">
        <v>14</v>
      </c>
      <c r="E1495" s="5">
        <v>19458.440000000002</v>
      </c>
      <c r="F1495" s="5">
        <v>19871.669999999998</v>
      </c>
      <c r="G1495" s="5">
        <v>22015.66</v>
      </c>
      <c r="H1495" s="5">
        <v>29799.200000000001</v>
      </c>
      <c r="I1495" s="3">
        <f>VLOOKUP(B1495,[1]Sheet3!$A$13:$H$198,8,TRUE)</f>
        <v>23179.699999999997</v>
      </c>
    </row>
    <row r="1496" spans="1:9">
      <c r="B1496" s="1" t="s">
        <v>311</v>
      </c>
      <c r="D1496" t="s">
        <v>15</v>
      </c>
      <c r="E1496" s="5">
        <v>11281.05</v>
      </c>
      <c r="F1496" s="5">
        <v>11723.85</v>
      </c>
      <c r="G1496" s="5">
        <v>13417.73</v>
      </c>
      <c r="H1496" s="5">
        <v>19066.169999999998</v>
      </c>
      <c r="I1496" s="3">
        <f>VLOOKUP(B1496,[1]Sheet3!$A$13:$I$198,9,TRUE)</f>
        <v>18352.989999999998</v>
      </c>
    </row>
    <row r="1497" spans="1:9">
      <c r="B1497" s="1" t="s">
        <v>311</v>
      </c>
      <c r="D1497" t="s">
        <v>16</v>
      </c>
      <c r="E1497" s="5">
        <v>290.45</v>
      </c>
      <c r="F1497" s="5">
        <v>302.68</v>
      </c>
      <c r="G1497" s="5">
        <v>404.28</v>
      </c>
      <c r="H1497" s="5">
        <v>522.6</v>
      </c>
      <c r="I1497" s="5">
        <f>I1494/I1492</f>
        <v>354.54702898550721</v>
      </c>
    </row>
    <row r="1498" spans="1:9">
      <c r="B1498" s="1" t="s">
        <v>311</v>
      </c>
      <c r="D1498" t="s">
        <v>17</v>
      </c>
      <c r="E1498" s="6">
        <v>2.36</v>
      </c>
      <c r="F1498" s="6">
        <v>2.3199999999999998</v>
      </c>
      <c r="G1498" s="6">
        <v>3.12</v>
      </c>
      <c r="H1498" s="6">
        <v>2.59</v>
      </c>
      <c r="I1498" s="7">
        <f>I1494/I1493</f>
        <v>1.854297354657773</v>
      </c>
    </row>
    <row r="1499" spans="1:9">
      <c r="B1499" s="1" t="s">
        <v>311</v>
      </c>
      <c r="D1499" t="s">
        <v>18</v>
      </c>
      <c r="E1499" s="8">
        <v>0.46200000000000002</v>
      </c>
      <c r="F1499" s="8">
        <v>0.4466</v>
      </c>
      <c r="G1499" s="8">
        <v>0.41889999999999999</v>
      </c>
      <c r="H1499" s="8">
        <v>0.43530000000000002</v>
      </c>
      <c r="I1499" s="8">
        <f>I1495/I1494</f>
        <v>0.47375616447931412</v>
      </c>
    </row>
    <row r="1500" spans="1:9">
      <c r="B1500" s="1" t="s">
        <v>311</v>
      </c>
      <c r="D1500" t="s">
        <v>19</v>
      </c>
      <c r="E1500" s="8">
        <v>0.57979999999999998</v>
      </c>
      <c r="F1500" s="8">
        <v>0.59</v>
      </c>
      <c r="G1500" s="8">
        <v>0.60950000000000004</v>
      </c>
      <c r="H1500" s="8">
        <v>0.63980000000000004</v>
      </c>
      <c r="I1500" s="8">
        <f>I1496/I1495</f>
        <v>0.79176995388206062</v>
      </c>
    </row>
    <row r="1501" spans="1:9">
      <c r="B1501" s="1" t="s">
        <v>311</v>
      </c>
      <c r="D1501" t="s">
        <v>20</v>
      </c>
      <c r="E1501" s="8">
        <v>0.26790000000000003</v>
      </c>
      <c r="F1501" s="8">
        <v>0.26350000000000001</v>
      </c>
      <c r="G1501" s="8">
        <v>0.25530000000000003</v>
      </c>
      <c r="H1501" s="8">
        <v>0.27850000000000003</v>
      </c>
      <c r="I1501" s="8">
        <f>I1496/I1494</f>
        <v>0.37510589650112847</v>
      </c>
    </row>
    <row r="1502" spans="1:9">
      <c r="B1502" s="1" t="s">
        <v>311</v>
      </c>
    </row>
    <row r="1503" spans="1:9">
      <c r="A1503" t="s">
        <v>313</v>
      </c>
      <c r="B1503" s="1" t="s">
        <v>314</v>
      </c>
      <c r="C1503" t="s">
        <v>315</v>
      </c>
    </row>
    <row r="1504" spans="1:9">
      <c r="B1504" s="1" t="s">
        <v>314</v>
      </c>
      <c r="D1504" t="s">
        <v>11</v>
      </c>
      <c r="E1504" s="3">
        <v>104</v>
      </c>
      <c r="F1504" s="3">
        <v>94</v>
      </c>
      <c r="G1504" s="3">
        <v>66</v>
      </c>
      <c r="H1504" s="3">
        <v>43</v>
      </c>
      <c r="I1504" s="3">
        <f>VLOOKUP(B1504,[1]Sheet3!$A$13:$E$198,5,TRUE)</f>
        <v>62</v>
      </c>
    </row>
    <row r="1505" spans="1:9">
      <c r="B1505" s="1" t="s">
        <v>314</v>
      </c>
      <c r="D1505" t="s">
        <v>12</v>
      </c>
      <c r="E1505" s="5">
        <v>15792</v>
      </c>
      <c r="F1505" s="5">
        <v>13944</v>
      </c>
      <c r="G1505" s="5">
        <v>7436</v>
      </c>
      <c r="H1505" s="5">
        <v>7172</v>
      </c>
      <c r="I1505" s="3">
        <f>VLOOKUP(B1505,[1]Sheet3!$A$13:$F$198,6,TRUE)</f>
        <v>7544</v>
      </c>
    </row>
    <row r="1506" spans="1:9">
      <c r="B1506" s="1" t="s">
        <v>314</v>
      </c>
      <c r="D1506" t="s">
        <v>23</v>
      </c>
      <c r="E1506" s="5">
        <v>26142.43</v>
      </c>
      <c r="F1506" s="5">
        <v>25153.63</v>
      </c>
      <c r="G1506" s="5">
        <v>29999.56</v>
      </c>
      <c r="H1506" s="5">
        <v>35709.599999999999</v>
      </c>
      <c r="I1506" s="3">
        <f>VLOOKUP(B1506,[1]Sheet3!$A$13:$G$198,7,TRUE)</f>
        <v>36330.79</v>
      </c>
    </row>
    <row r="1507" spans="1:9">
      <c r="B1507" s="1" t="s">
        <v>314</v>
      </c>
      <c r="D1507" t="s">
        <v>14</v>
      </c>
      <c r="E1507" s="5">
        <v>12809.3</v>
      </c>
      <c r="F1507" s="5">
        <v>12809.3</v>
      </c>
      <c r="G1507" s="5">
        <v>12023.08</v>
      </c>
      <c r="H1507" s="5">
        <v>13890.96</v>
      </c>
      <c r="I1507" s="3">
        <f>VLOOKUP(B1507,[1]Sheet3!$A$13:$H$198,8,TRUE)</f>
        <v>14194.51</v>
      </c>
    </row>
    <row r="1508" spans="1:9">
      <c r="B1508" s="1" t="s">
        <v>314</v>
      </c>
      <c r="D1508" t="s">
        <v>15</v>
      </c>
      <c r="E1508" s="5">
        <v>7253.91</v>
      </c>
      <c r="F1508" s="5">
        <v>7531.380000000001</v>
      </c>
      <c r="G1508" s="5">
        <v>7132.05</v>
      </c>
      <c r="H1508" s="5">
        <v>8706.0300000000007</v>
      </c>
      <c r="I1508" s="3">
        <f>VLOOKUP(B1508,[1]Sheet3!$A$13:$I$198,9,TRUE)</f>
        <v>8773.7999999999993</v>
      </c>
    </row>
    <row r="1509" spans="1:9">
      <c r="B1509" s="1" t="s">
        <v>314</v>
      </c>
      <c r="D1509" t="s">
        <v>16</v>
      </c>
      <c r="E1509" s="5">
        <v>251.37</v>
      </c>
      <c r="F1509" s="5">
        <v>267.58999999999997</v>
      </c>
      <c r="G1509" s="5">
        <v>454.54</v>
      </c>
      <c r="H1509" s="5">
        <v>830.46</v>
      </c>
      <c r="I1509" s="5">
        <f>I1506/I1504</f>
        <v>585.98048387096776</v>
      </c>
    </row>
    <row r="1510" spans="1:9">
      <c r="B1510" s="1" t="s">
        <v>314</v>
      </c>
      <c r="D1510" t="s">
        <v>17</v>
      </c>
      <c r="E1510" s="6">
        <v>1.66</v>
      </c>
      <c r="F1510" s="6">
        <v>1.8</v>
      </c>
      <c r="G1510" s="6">
        <v>4.03</v>
      </c>
      <c r="H1510" s="6">
        <v>4.9800000000000004</v>
      </c>
      <c r="I1510" s="7">
        <f>I1506/I1505</f>
        <v>4.8158523329798513</v>
      </c>
    </row>
    <row r="1511" spans="1:9">
      <c r="B1511" s="1" t="s">
        <v>314</v>
      </c>
      <c r="D1511" t="s">
        <v>18</v>
      </c>
      <c r="E1511" s="8">
        <v>0.49</v>
      </c>
      <c r="F1511" s="8">
        <v>0.50919999999999999</v>
      </c>
      <c r="G1511" s="8">
        <v>0.40079999999999999</v>
      </c>
      <c r="H1511" s="8">
        <v>0.38900000000000001</v>
      </c>
      <c r="I1511" s="8">
        <f>I1507/I1506</f>
        <v>0.39070193629150368</v>
      </c>
    </row>
    <row r="1512" spans="1:9">
      <c r="B1512" s="1" t="s">
        <v>314</v>
      </c>
      <c r="D1512" t="s">
        <v>19</v>
      </c>
      <c r="E1512" s="8">
        <v>0.56630000000000003</v>
      </c>
      <c r="F1512" s="8">
        <v>0.58799999999999997</v>
      </c>
      <c r="G1512" s="8">
        <v>0.59319999999999995</v>
      </c>
      <c r="H1512" s="8">
        <v>0.62670000000000003</v>
      </c>
      <c r="I1512" s="8">
        <f>I1508/I1507</f>
        <v>0.61811221380660542</v>
      </c>
    </row>
    <row r="1513" spans="1:9">
      <c r="B1513" s="1" t="s">
        <v>314</v>
      </c>
      <c r="D1513" t="s">
        <v>20</v>
      </c>
      <c r="E1513" s="8">
        <v>0.27750000000000002</v>
      </c>
      <c r="F1513" s="8">
        <v>0.2994</v>
      </c>
      <c r="G1513" s="8">
        <v>0.23769999999999999</v>
      </c>
      <c r="H1513" s="8">
        <v>0.24379999999999999</v>
      </c>
      <c r="I1513" s="8">
        <f>I1508/I1506</f>
        <v>0.24149763877966868</v>
      </c>
    </row>
    <row r="1514" spans="1:9">
      <c r="B1514" s="1" t="s">
        <v>314</v>
      </c>
    </row>
    <row r="1515" spans="1:9">
      <c r="A1515" t="s">
        <v>313</v>
      </c>
      <c r="B1515" s="1" t="s">
        <v>316</v>
      </c>
      <c r="C1515" t="s">
        <v>317</v>
      </c>
    </row>
    <row r="1516" spans="1:9">
      <c r="B1516" s="1" t="s">
        <v>316</v>
      </c>
      <c r="D1516" t="s">
        <v>11</v>
      </c>
      <c r="E1516" s="3">
        <v>87</v>
      </c>
      <c r="F1516" s="3">
        <v>236</v>
      </c>
      <c r="G1516" s="3">
        <v>340</v>
      </c>
      <c r="H1516" s="3">
        <v>331</v>
      </c>
      <c r="I1516" s="3">
        <f>VLOOKUP(B1516,[1]Sheet3!$A$13:$E$198,5,TRUE)</f>
        <v>208</v>
      </c>
    </row>
    <row r="1517" spans="1:9">
      <c r="B1517" s="1" t="s">
        <v>316</v>
      </c>
      <c r="D1517" t="s">
        <v>12</v>
      </c>
      <c r="E1517" s="5">
        <v>57892</v>
      </c>
      <c r="F1517" s="5">
        <v>49593.599999999999</v>
      </c>
      <c r="G1517" s="5">
        <v>3640686.5</v>
      </c>
      <c r="H1517" s="5">
        <v>25748</v>
      </c>
      <c r="I1517" s="3">
        <f>VLOOKUP(B1517,[1]Sheet3!$A$13:$F$198,6,TRUE)</f>
        <v>24436</v>
      </c>
    </row>
    <row r="1518" spans="1:9">
      <c r="B1518" s="1" t="s">
        <v>316</v>
      </c>
      <c r="D1518" t="s">
        <v>23</v>
      </c>
      <c r="E1518" s="5">
        <v>119227.26</v>
      </c>
      <c r="F1518" s="5">
        <v>92737</v>
      </c>
      <c r="G1518" s="5">
        <v>85813.75</v>
      </c>
      <c r="H1518" s="5">
        <v>90988.77</v>
      </c>
      <c r="I1518" s="3">
        <f>VLOOKUP(B1518,[1]Sheet3!$A$13:$G$198,7,TRUE)</f>
        <v>105558</v>
      </c>
    </row>
    <row r="1519" spans="1:9">
      <c r="B1519" s="1" t="s">
        <v>316</v>
      </c>
      <c r="D1519" t="s">
        <v>14</v>
      </c>
      <c r="E1519" s="5">
        <v>67780.2</v>
      </c>
      <c r="F1519" s="5">
        <v>54880.42</v>
      </c>
      <c r="G1519" s="5">
        <v>77232.38</v>
      </c>
      <c r="H1519" s="5">
        <v>77232.38</v>
      </c>
      <c r="I1519" s="3">
        <f>VLOOKUP(B1519,[1]Sheet3!$A$13:$H$198,8,TRUE)</f>
        <v>41872.11</v>
      </c>
    </row>
    <row r="1520" spans="1:9">
      <c r="B1520" s="1" t="s">
        <v>316</v>
      </c>
      <c r="D1520" t="s">
        <v>15</v>
      </c>
      <c r="E1520" s="5">
        <v>39381.410000000003</v>
      </c>
      <c r="F1520" s="5">
        <v>31016.42</v>
      </c>
      <c r="G1520" s="5">
        <v>48552.36</v>
      </c>
      <c r="H1520" s="5">
        <v>47332.770000000004</v>
      </c>
      <c r="I1520" s="3">
        <f>VLOOKUP(B1520,[1]Sheet3!$A$13:$I$198,9,TRUE)</f>
        <v>22112.07</v>
      </c>
    </row>
    <row r="1521" spans="1:9">
      <c r="B1521" s="1" t="s">
        <v>316</v>
      </c>
      <c r="D1521" t="s">
        <v>16</v>
      </c>
      <c r="E1521" s="5">
        <v>1370.43</v>
      </c>
      <c r="F1521" s="5">
        <v>392.95</v>
      </c>
      <c r="G1521" s="5">
        <v>252.39</v>
      </c>
      <c r="H1521" s="5">
        <v>274.89</v>
      </c>
      <c r="I1521" s="5">
        <f>I1518/I1516</f>
        <v>507.49038461538464</v>
      </c>
    </row>
    <row r="1522" spans="1:9">
      <c r="B1522" s="1" t="s">
        <v>316</v>
      </c>
      <c r="D1522" t="s">
        <v>17</v>
      </c>
      <c r="E1522" s="6">
        <v>2.06</v>
      </c>
      <c r="F1522" s="6">
        <v>1.87</v>
      </c>
      <c r="G1522" s="6">
        <v>0.02</v>
      </c>
      <c r="H1522" s="6">
        <v>3.53</v>
      </c>
      <c r="I1522" s="7">
        <f>I1518/I1517</f>
        <v>4.319774103781306</v>
      </c>
    </row>
    <row r="1523" spans="1:9">
      <c r="B1523" s="1" t="s">
        <v>316</v>
      </c>
      <c r="D1523" t="s">
        <v>18</v>
      </c>
      <c r="E1523" s="8">
        <v>0.56850000000000001</v>
      </c>
      <c r="F1523" s="8">
        <v>0.59179999999999999</v>
      </c>
      <c r="G1523" s="8">
        <v>0.9</v>
      </c>
      <c r="H1523" s="8">
        <v>0.8488</v>
      </c>
      <c r="I1523" s="8">
        <f>I1519/I1518</f>
        <v>0.39667396123458193</v>
      </c>
    </row>
    <row r="1524" spans="1:9">
      <c r="B1524" s="1" t="s">
        <v>316</v>
      </c>
      <c r="D1524" t="s">
        <v>19</v>
      </c>
      <c r="E1524" s="8">
        <v>0.58099999999999996</v>
      </c>
      <c r="F1524" s="8">
        <v>0.56520000000000004</v>
      </c>
      <c r="G1524" s="8">
        <v>0.62870000000000004</v>
      </c>
      <c r="H1524" s="8">
        <v>0.6129</v>
      </c>
      <c r="I1524" s="8">
        <f>I1520/I1519</f>
        <v>0.52808587864332601</v>
      </c>
    </row>
    <row r="1525" spans="1:9">
      <c r="B1525" s="1" t="s">
        <v>316</v>
      </c>
      <c r="D1525" t="s">
        <v>20</v>
      </c>
      <c r="E1525" s="8">
        <v>0.33029999999999998</v>
      </c>
      <c r="F1525" s="8">
        <v>0.33450000000000002</v>
      </c>
      <c r="G1525" s="8">
        <v>0.56579999999999997</v>
      </c>
      <c r="H1525" s="8">
        <v>0.5202</v>
      </c>
      <c r="I1525" s="8">
        <f>I1520/I1518</f>
        <v>0.20947791735349286</v>
      </c>
    </row>
    <row r="1526" spans="1:9">
      <c r="B1526" s="1" t="s">
        <v>316</v>
      </c>
    </row>
    <row r="1527" spans="1:9">
      <c r="A1527" t="s">
        <v>318</v>
      </c>
      <c r="B1527" s="1" t="s">
        <v>319</v>
      </c>
      <c r="C1527" t="s">
        <v>320</v>
      </c>
    </row>
    <row r="1528" spans="1:9">
      <c r="B1528" s="1" t="s">
        <v>319</v>
      </c>
      <c r="D1528" t="s">
        <v>11</v>
      </c>
      <c r="E1528" s="3">
        <v>1300</v>
      </c>
      <c r="F1528" s="3">
        <v>1248</v>
      </c>
      <c r="G1528" s="3">
        <v>1212</v>
      </c>
      <c r="H1528" s="3">
        <v>1092</v>
      </c>
      <c r="I1528" s="3">
        <f>VLOOKUP(B1528,[1]Sheet3!$A$13:$E$198,5,TRUE)</f>
        <v>1089</v>
      </c>
    </row>
    <row r="1529" spans="1:9">
      <c r="B1529" s="1" t="s">
        <v>319</v>
      </c>
      <c r="D1529" t="s">
        <v>12</v>
      </c>
      <c r="E1529" s="5">
        <v>274572</v>
      </c>
      <c r="F1529" s="5">
        <v>247350</v>
      </c>
      <c r="G1529" s="5">
        <v>278800</v>
      </c>
      <c r="H1529" s="5">
        <v>263160</v>
      </c>
      <c r="I1529" s="3">
        <f>VLOOKUP(B1529,[1]Sheet3!$A$13:$F$198,6,TRUE)</f>
        <v>226352</v>
      </c>
    </row>
    <row r="1530" spans="1:9">
      <c r="B1530" s="1" t="s">
        <v>319</v>
      </c>
      <c r="D1530" t="s">
        <v>23</v>
      </c>
      <c r="E1530" s="5">
        <v>659043.25</v>
      </c>
      <c r="F1530" s="5">
        <v>662689.09</v>
      </c>
      <c r="G1530" s="5">
        <v>678393.71</v>
      </c>
      <c r="H1530" s="5">
        <v>686584.92</v>
      </c>
      <c r="I1530" s="3">
        <f>VLOOKUP(B1530,[1]Sheet3!$A$13:$G$198,7,TRUE)</f>
        <v>649823.14</v>
      </c>
    </row>
    <row r="1531" spans="1:9">
      <c r="B1531" s="1" t="s">
        <v>319</v>
      </c>
      <c r="D1531" t="s">
        <v>14</v>
      </c>
      <c r="E1531" s="5">
        <v>291980.2</v>
      </c>
      <c r="F1531" s="5">
        <v>291980.2</v>
      </c>
      <c r="G1531" s="5">
        <v>299593.04000000004</v>
      </c>
      <c r="H1531" s="5">
        <v>299593.04000000004</v>
      </c>
      <c r="I1531" s="3">
        <f>VLOOKUP(B1531,[1]Sheet3!$A$13:$H$198,8,TRUE)</f>
        <v>276781.40000000002</v>
      </c>
    </row>
    <row r="1532" spans="1:9">
      <c r="B1532" s="1" t="s">
        <v>319</v>
      </c>
      <c r="D1532" t="s">
        <v>15</v>
      </c>
      <c r="E1532" s="5">
        <v>170520.19</v>
      </c>
      <c r="F1532" s="5">
        <v>171673.12</v>
      </c>
      <c r="G1532" s="5">
        <v>180436.03</v>
      </c>
      <c r="H1532" s="5">
        <v>183609.09</v>
      </c>
      <c r="I1532" s="3">
        <f>VLOOKUP(B1532,[1]Sheet3!$A$13:$I$198,9,TRUE)</f>
        <v>183693.59</v>
      </c>
    </row>
    <row r="1533" spans="1:9">
      <c r="B1533" s="1" t="s">
        <v>319</v>
      </c>
      <c r="D1533" t="s">
        <v>16</v>
      </c>
      <c r="E1533" s="5">
        <v>506.96</v>
      </c>
      <c r="F1533" s="5">
        <v>531</v>
      </c>
      <c r="G1533" s="5">
        <v>559.73</v>
      </c>
      <c r="H1533" s="5">
        <v>628.74</v>
      </c>
      <c r="I1533" s="5">
        <f>I1530/I1528</f>
        <v>596.71546372819103</v>
      </c>
    </row>
    <row r="1534" spans="1:9">
      <c r="B1534" s="1" t="s">
        <v>319</v>
      </c>
      <c r="D1534" t="s">
        <v>17</v>
      </c>
      <c r="E1534" s="6">
        <v>2.4</v>
      </c>
      <c r="F1534" s="6">
        <v>2.68</v>
      </c>
      <c r="G1534" s="6">
        <v>2.4300000000000002</v>
      </c>
      <c r="H1534" s="6">
        <v>2.61</v>
      </c>
      <c r="I1534" s="7">
        <f>I1530/I1529</f>
        <v>2.8708522124832121</v>
      </c>
    </row>
    <row r="1535" spans="1:9">
      <c r="B1535" s="1" t="s">
        <v>319</v>
      </c>
      <c r="D1535" t="s">
        <v>18</v>
      </c>
      <c r="E1535" s="8">
        <v>0.443</v>
      </c>
      <c r="F1535" s="8">
        <v>0.44059999999999999</v>
      </c>
      <c r="G1535" s="8">
        <v>0.44159999999999999</v>
      </c>
      <c r="H1535" s="8">
        <v>0.43640000000000001</v>
      </c>
      <c r="I1535" s="8">
        <f>I1531/I1530</f>
        <v>0.42593343167188541</v>
      </c>
    </row>
    <row r="1536" spans="1:9">
      <c r="B1536" s="1" t="s">
        <v>319</v>
      </c>
      <c r="D1536" t="s">
        <v>19</v>
      </c>
      <c r="E1536" s="8">
        <v>0.58399999999999996</v>
      </c>
      <c r="F1536" s="8">
        <v>0.58799999999999997</v>
      </c>
      <c r="G1536" s="8">
        <v>0.60229999999999995</v>
      </c>
      <c r="H1536" s="8">
        <v>0.6129</v>
      </c>
      <c r="I1536" s="8">
        <f>I1532/I1531</f>
        <v>0.66367750867652231</v>
      </c>
    </row>
    <row r="1537" spans="1:9">
      <c r="B1537" s="1" t="s">
        <v>319</v>
      </c>
      <c r="D1537" t="s">
        <v>20</v>
      </c>
      <c r="E1537" s="8">
        <v>0.25869999999999999</v>
      </c>
      <c r="F1537" s="8">
        <v>0.2591</v>
      </c>
      <c r="G1537" s="8">
        <v>0.26600000000000001</v>
      </c>
      <c r="H1537" s="8">
        <v>0.26740000000000003</v>
      </c>
      <c r="I1537" s="8">
        <f>I1532/I1530</f>
        <v>0.28268243879403865</v>
      </c>
    </row>
    <row r="1538" spans="1:9">
      <c r="B1538" s="1" t="s">
        <v>319</v>
      </c>
    </row>
    <row r="1539" spans="1:9">
      <c r="A1539" t="s">
        <v>318</v>
      </c>
      <c r="B1539" s="1" t="s">
        <v>321</v>
      </c>
      <c r="C1539" t="s">
        <v>322</v>
      </c>
    </row>
    <row r="1540" spans="1:9">
      <c r="B1540" s="1" t="s">
        <v>321</v>
      </c>
      <c r="D1540" t="s">
        <v>11</v>
      </c>
      <c r="E1540" s="3">
        <v>183</v>
      </c>
      <c r="F1540" s="3">
        <v>141</v>
      </c>
      <c r="G1540" s="3">
        <v>218</v>
      </c>
      <c r="H1540" s="3">
        <v>179</v>
      </c>
      <c r="I1540" s="3">
        <f>VLOOKUP(B1540,[1]Sheet3!$A$13:$E$198,5,TRUE)</f>
        <v>198</v>
      </c>
    </row>
    <row r="1541" spans="1:9">
      <c r="B1541" s="1" t="s">
        <v>321</v>
      </c>
      <c r="D1541" t="s">
        <v>12</v>
      </c>
      <c r="E1541" s="5">
        <v>59040</v>
      </c>
      <c r="F1541" s="5">
        <v>59040</v>
      </c>
      <c r="G1541" s="5">
        <v>69264</v>
      </c>
      <c r="H1541" s="5">
        <v>58896</v>
      </c>
      <c r="I1541" s="3">
        <f>VLOOKUP(B1541,[1]Sheet3!$A$13:$F$198,6,TRUE)</f>
        <v>81360</v>
      </c>
    </row>
    <row r="1542" spans="1:9">
      <c r="B1542" s="1" t="s">
        <v>321</v>
      </c>
      <c r="D1542" t="s">
        <v>23</v>
      </c>
      <c r="E1542" s="5">
        <v>96656.11</v>
      </c>
      <c r="F1542" s="5">
        <v>146378.35</v>
      </c>
      <c r="G1542" s="5">
        <v>179314.75</v>
      </c>
      <c r="H1542" s="5">
        <v>180705.62</v>
      </c>
      <c r="I1542" s="3">
        <f>VLOOKUP(B1542,[1]Sheet3!$A$13:$G$198,7,TRUE)</f>
        <v>164682.16</v>
      </c>
    </row>
    <row r="1543" spans="1:9">
      <c r="B1543" s="1" t="s">
        <v>321</v>
      </c>
      <c r="D1543" t="s">
        <v>14</v>
      </c>
      <c r="E1543" s="5">
        <v>61239.69</v>
      </c>
      <c r="F1543" s="5">
        <v>64363.990000000005</v>
      </c>
      <c r="G1543" s="5">
        <v>78079.989999999991</v>
      </c>
      <c r="H1543" s="5">
        <v>78079.989999999991</v>
      </c>
      <c r="I1543" s="3">
        <f>VLOOKUP(B1543,[1]Sheet3!$A$13:$H$198,8,TRUE)</f>
        <v>76153.179999999993</v>
      </c>
    </row>
    <row r="1544" spans="1:9">
      <c r="B1544" s="1" t="s">
        <v>321</v>
      </c>
      <c r="D1544" t="s">
        <v>15</v>
      </c>
      <c r="E1544" s="5">
        <v>35581.26</v>
      </c>
      <c r="F1544" s="5">
        <v>38146.58</v>
      </c>
      <c r="G1544" s="5">
        <v>48197.67</v>
      </c>
      <c r="H1544" s="5">
        <v>47852.229999999996</v>
      </c>
      <c r="I1544" s="3">
        <f>VLOOKUP(B1544,[1]Sheet3!$A$13:$I$198,9,TRUE)</f>
        <v>46701.56</v>
      </c>
    </row>
    <row r="1545" spans="1:9">
      <c r="B1545" s="1" t="s">
        <v>321</v>
      </c>
      <c r="D1545" t="s">
        <v>16</v>
      </c>
      <c r="E1545" s="5">
        <v>528.17999999999995</v>
      </c>
      <c r="F1545" s="5">
        <v>1038.1400000000001</v>
      </c>
      <c r="G1545" s="5">
        <v>822.54</v>
      </c>
      <c r="H1545" s="5">
        <v>1009.53</v>
      </c>
      <c r="I1545" s="5">
        <f>I1542/I1540</f>
        <v>831.72808080808079</v>
      </c>
    </row>
    <row r="1546" spans="1:9">
      <c r="B1546" s="1" t="s">
        <v>321</v>
      </c>
      <c r="D1546" t="s">
        <v>17</v>
      </c>
      <c r="E1546" s="6">
        <v>1.64</v>
      </c>
      <c r="F1546" s="6">
        <v>2.48</v>
      </c>
      <c r="G1546" s="6">
        <v>2.59</v>
      </c>
      <c r="H1546" s="6">
        <v>3.07</v>
      </c>
      <c r="I1546" s="7">
        <f>I1542/I1541</f>
        <v>2.0241170108161257</v>
      </c>
    </row>
    <row r="1547" spans="1:9">
      <c r="B1547" s="1" t="s">
        <v>321</v>
      </c>
      <c r="D1547" t="s">
        <v>18</v>
      </c>
      <c r="E1547" s="8">
        <v>0.63360000000000005</v>
      </c>
      <c r="F1547" s="8">
        <v>0.43969999999999998</v>
      </c>
      <c r="G1547" s="8">
        <v>0.43540000000000001</v>
      </c>
      <c r="H1547" s="8">
        <v>0.43209999999999998</v>
      </c>
      <c r="I1547" s="8">
        <f>I1543/I1542</f>
        <v>0.46242519529741405</v>
      </c>
    </row>
    <row r="1548" spans="1:9">
      <c r="B1548" s="1" t="s">
        <v>321</v>
      </c>
      <c r="D1548" t="s">
        <v>19</v>
      </c>
      <c r="E1548" s="8">
        <v>0.58099999999999996</v>
      </c>
      <c r="F1548" s="8">
        <v>0.5927</v>
      </c>
      <c r="G1548" s="8">
        <v>0.61729999999999996</v>
      </c>
      <c r="H1548" s="8">
        <v>0.6129</v>
      </c>
      <c r="I1548" s="8">
        <f>I1544/I1543</f>
        <v>0.61325817254118609</v>
      </c>
    </row>
    <row r="1549" spans="1:9">
      <c r="B1549" s="1" t="s">
        <v>321</v>
      </c>
      <c r="D1549" t="s">
        <v>20</v>
      </c>
      <c r="E1549" s="8">
        <v>0.36809999999999998</v>
      </c>
      <c r="F1549" s="8">
        <v>0.2606</v>
      </c>
      <c r="G1549" s="8">
        <v>0.26879999999999998</v>
      </c>
      <c r="H1549" s="8">
        <v>0.26479999999999998</v>
      </c>
      <c r="I1549" s="8">
        <f>I1544/I1542</f>
        <v>0.28358603020509321</v>
      </c>
    </row>
    <row r="1550" spans="1:9">
      <c r="B1550" s="1" t="s">
        <v>321</v>
      </c>
    </row>
    <row r="1551" spans="1:9">
      <c r="A1551" t="s">
        <v>323</v>
      </c>
      <c r="B1551" s="1" t="s">
        <v>324</v>
      </c>
      <c r="C1551" t="s">
        <v>325</v>
      </c>
    </row>
    <row r="1552" spans="1:9">
      <c r="B1552" s="1" t="s">
        <v>324</v>
      </c>
      <c r="D1552" t="s">
        <v>11</v>
      </c>
      <c r="E1552" s="3">
        <v>198</v>
      </c>
      <c r="F1552" s="3">
        <v>191</v>
      </c>
      <c r="G1552" s="3">
        <v>177</v>
      </c>
      <c r="H1552" s="3">
        <v>162</v>
      </c>
      <c r="I1552" s="3">
        <f>VLOOKUP(B1552,[1]Sheet3!$A$13:$E$198,5,TRUE)</f>
        <v>183</v>
      </c>
    </row>
    <row r="1553" spans="1:9">
      <c r="B1553" s="1" t="s">
        <v>324</v>
      </c>
      <c r="D1553" t="s">
        <v>12</v>
      </c>
      <c r="E1553" s="5">
        <v>132720</v>
      </c>
      <c r="F1553" s="5">
        <v>130220</v>
      </c>
      <c r="G1553" s="5">
        <v>107100</v>
      </c>
      <c r="H1553" s="5">
        <v>108116</v>
      </c>
      <c r="I1553" s="3">
        <f>VLOOKUP(B1553,[1]Sheet3!$A$13:$F$198,6,TRUE)</f>
        <v>115412</v>
      </c>
    </row>
    <row r="1554" spans="1:9">
      <c r="B1554" s="1" t="s">
        <v>324</v>
      </c>
      <c r="D1554" t="s">
        <v>23</v>
      </c>
      <c r="E1554" s="5">
        <v>236550</v>
      </c>
      <c r="F1554" s="5">
        <v>241042.45</v>
      </c>
      <c r="G1554" s="5">
        <v>228240.21</v>
      </c>
      <c r="H1554" s="5">
        <v>206136.32000000001</v>
      </c>
      <c r="I1554" s="3">
        <f>VLOOKUP(B1554,[1]Sheet3!$A$13:$G$198,7,TRUE)</f>
        <v>226671.56</v>
      </c>
    </row>
    <row r="1555" spans="1:9">
      <c r="B1555" s="1" t="s">
        <v>324</v>
      </c>
      <c r="D1555" t="s">
        <v>14</v>
      </c>
      <c r="E1555" s="5">
        <v>113357.12</v>
      </c>
      <c r="F1555" s="5">
        <v>114252.63</v>
      </c>
      <c r="G1555" s="5">
        <v>114252.63</v>
      </c>
      <c r="H1555" s="5">
        <v>104126.47</v>
      </c>
      <c r="I1555" s="3">
        <f>VLOOKUP(B1555,[1]Sheet3!$A$13:$H$198,8,TRUE)</f>
        <v>105676.78</v>
      </c>
    </row>
    <row r="1556" spans="1:9">
      <c r="B1556" s="1" t="s">
        <v>324</v>
      </c>
      <c r="D1556" t="s">
        <v>15</v>
      </c>
      <c r="E1556" s="5">
        <v>66002.399999999994</v>
      </c>
      <c r="F1556" s="5">
        <v>67263.010000000009</v>
      </c>
      <c r="G1556" s="5">
        <v>68520.850000000006</v>
      </c>
      <c r="H1556" s="5">
        <v>62769.94</v>
      </c>
      <c r="I1556" s="3">
        <f>VLOOKUP(B1556,[1]Sheet3!$A$13:$I$198,9,TRUE)</f>
        <v>65246.340000000004</v>
      </c>
    </row>
    <row r="1557" spans="1:9">
      <c r="B1557" s="1" t="s">
        <v>324</v>
      </c>
      <c r="D1557" t="s">
        <v>16</v>
      </c>
      <c r="E1557" s="5">
        <v>1194.7</v>
      </c>
      <c r="F1557" s="5">
        <v>1262</v>
      </c>
      <c r="G1557" s="5">
        <v>1289.49</v>
      </c>
      <c r="H1557" s="5">
        <v>1272.45</v>
      </c>
      <c r="I1557" s="5">
        <f>I1554/I1552</f>
        <v>1238.6424043715847</v>
      </c>
    </row>
    <row r="1558" spans="1:9">
      <c r="B1558" s="1" t="s">
        <v>324</v>
      </c>
      <c r="D1558" t="s">
        <v>17</v>
      </c>
      <c r="E1558" s="6">
        <v>1.78</v>
      </c>
      <c r="F1558" s="6">
        <v>1.85</v>
      </c>
      <c r="G1558" s="6">
        <v>2.13</v>
      </c>
      <c r="H1558" s="6">
        <v>1.91</v>
      </c>
      <c r="I1558" s="7">
        <f>I1554/I1553</f>
        <v>1.9640207257477558</v>
      </c>
    </row>
    <row r="1559" spans="1:9">
      <c r="B1559" s="1" t="s">
        <v>324</v>
      </c>
      <c r="D1559" t="s">
        <v>18</v>
      </c>
      <c r="E1559" s="8">
        <v>0.47920000000000001</v>
      </c>
      <c r="F1559" s="8">
        <v>0.47399999999999998</v>
      </c>
      <c r="G1559" s="8">
        <v>0.50060000000000004</v>
      </c>
      <c r="H1559" s="8">
        <v>0.50509999999999999</v>
      </c>
      <c r="I1559" s="8">
        <f>I1555/I1554</f>
        <v>0.46621102356202077</v>
      </c>
    </row>
    <row r="1560" spans="1:9">
      <c r="B1560" s="1" t="s">
        <v>324</v>
      </c>
      <c r="D1560" t="s">
        <v>19</v>
      </c>
      <c r="E1560" s="8">
        <v>0.58230000000000004</v>
      </c>
      <c r="F1560" s="8">
        <v>0.5887</v>
      </c>
      <c r="G1560" s="8">
        <v>0.59970000000000001</v>
      </c>
      <c r="H1560" s="8">
        <v>0.6028</v>
      </c>
      <c r="I1560" s="8">
        <f>I1556/I1555</f>
        <v>0.61741415663876209</v>
      </c>
    </row>
    <row r="1561" spans="1:9">
      <c r="B1561" s="1" t="s">
        <v>324</v>
      </c>
      <c r="D1561" t="s">
        <v>20</v>
      </c>
      <c r="E1561" s="8">
        <v>0.27900000000000003</v>
      </c>
      <c r="F1561" s="8">
        <v>0.27910000000000001</v>
      </c>
      <c r="G1561" s="8">
        <v>0.30020000000000002</v>
      </c>
      <c r="H1561" s="8">
        <v>0.30449999999999999</v>
      </c>
      <c r="I1561" s="8">
        <f>I1556/I1554</f>
        <v>0.2878452859282391</v>
      </c>
    </row>
    <row r="1562" spans="1:9">
      <c r="B1562" s="1" t="s">
        <v>324</v>
      </c>
    </row>
    <row r="1563" spans="1:9">
      <c r="A1563" t="s">
        <v>323</v>
      </c>
      <c r="B1563" s="1" t="s">
        <v>326</v>
      </c>
      <c r="C1563" t="s">
        <v>327</v>
      </c>
    </row>
    <row r="1564" spans="1:9">
      <c r="B1564" s="1" t="s">
        <v>326</v>
      </c>
      <c r="D1564" t="s">
        <v>11</v>
      </c>
      <c r="E1564" s="3">
        <v>109</v>
      </c>
      <c r="F1564" s="3">
        <v>77</v>
      </c>
      <c r="G1564" s="3">
        <v>81</v>
      </c>
      <c r="H1564" s="3">
        <v>102</v>
      </c>
      <c r="I1564" s="3">
        <f>VLOOKUP(B1564,[1]Sheet3!$A$13:$E$198,5,TRUE)</f>
        <v>112</v>
      </c>
    </row>
    <row r="1565" spans="1:9">
      <c r="B1565" s="1" t="s">
        <v>326</v>
      </c>
      <c r="D1565" t="s">
        <v>12</v>
      </c>
      <c r="E1565" s="5">
        <v>55900</v>
      </c>
      <c r="F1565" s="5">
        <v>49966</v>
      </c>
      <c r="G1565" s="5">
        <v>64680</v>
      </c>
      <c r="H1565" s="5">
        <v>60164</v>
      </c>
      <c r="I1565" s="3">
        <f>VLOOKUP(B1565,[1]Sheet3!$A$13:$F$198,6,TRUE)</f>
        <v>47476</v>
      </c>
    </row>
    <row r="1566" spans="1:9">
      <c r="B1566" s="1" t="s">
        <v>326</v>
      </c>
      <c r="D1566" t="s">
        <v>23</v>
      </c>
      <c r="E1566" s="5">
        <v>86688.26</v>
      </c>
      <c r="F1566" s="5">
        <v>84080.93</v>
      </c>
      <c r="G1566" s="5">
        <v>107469.31</v>
      </c>
      <c r="H1566" s="5">
        <v>90818.46</v>
      </c>
      <c r="I1566" s="3">
        <f>VLOOKUP(B1566,[1]Sheet3!$A$13:$G$198,7,TRUE)</f>
        <v>86537.35</v>
      </c>
    </row>
    <row r="1567" spans="1:9">
      <c r="B1567" s="1" t="s">
        <v>326</v>
      </c>
      <c r="D1567" t="s">
        <v>14</v>
      </c>
      <c r="E1567" s="5">
        <v>43360.59</v>
      </c>
      <c r="F1567" s="5">
        <v>43360.59</v>
      </c>
      <c r="G1567" s="5">
        <v>52597.95</v>
      </c>
      <c r="H1567" s="5">
        <v>52597.95</v>
      </c>
      <c r="I1567" s="3">
        <f>VLOOKUP(B1567,[1]Sheet3!$A$13:$H$198,8,TRUE)</f>
        <v>41199.82</v>
      </c>
    </row>
    <row r="1568" spans="1:9">
      <c r="B1568" s="1" t="s">
        <v>326</v>
      </c>
      <c r="D1568" t="s">
        <v>15</v>
      </c>
      <c r="E1568" s="5">
        <v>24794.06</v>
      </c>
      <c r="F1568" s="5">
        <v>25494.36</v>
      </c>
      <c r="G1568" s="5">
        <v>32467.74</v>
      </c>
      <c r="H1568" s="5">
        <v>32235.27</v>
      </c>
      <c r="I1568" s="3">
        <f>VLOOKUP(B1568,[1]Sheet3!$A$13:$I$198,9,TRUE)</f>
        <v>27520.589999999997</v>
      </c>
    </row>
    <row r="1569" spans="1:9">
      <c r="B1569" s="1" t="s">
        <v>326</v>
      </c>
      <c r="D1569" t="s">
        <v>16</v>
      </c>
      <c r="E1569" s="5">
        <v>795.31</v>
      </c>
      <c r="F1569" s="5">
        <v>1091.96</v>
      </c>
      <c r="G1569" s="5">
        <v>1326.78</v>
      </c>
      <c r="H1569" s="5">
        <v>890.38</v>
      </c>
      <c r="I1569" s="5">
        <f>I1566/I1564</f>
        <v>772.65491071428573</v>
      </c>
    </row>
    <row r="1570" spans="1:9">
      <c r="B1570" s="1" t="s">
        <v>326</v>
      </c>
      <c r="D1570" t="s">
        <v>17</v>
      </c>
      <c r="E1570" s="6">
        <v>1.55</v>
      </c>
      <c r="F1570" s="6">
        <v>1.68</v>
      </c>
      <c r="G1570" s="6">
        <v>1.66</v>
      </c>
      <c r="H1570" s="6">
        <v>1.51</v>
      </c>
      <c r="I1570" s="7">
        <f>I1566/I1565</f>
        <v>1.8227599208020897</v>
      </c>
    </row>
    <row r="1571" spans="1:9">
      <c r="B1571" s="1" t="s">
        <v>326</v>
      </c>
      <c r="D1571" t="s">
        <v>18</v>
      </c>
      <c r="E1571" s="8">
        <v>0.50019999999999998</v>
      </c>
      <c r="F1571" s="8">
        <v>0.51570000000000005</v>
      </c>
      <c r="G1571" s="8">
        <v>0.4894</v>
      </c>
      <c r="H1571" s="8">
        <v>0.57920000000000005</v>
      </c>
      <c r="I1571" s="8">
        <f>I1567/I1566</f>
        <v>0.47609292403800207</v>
      </c>
    </row>
    <row r="1572" spans="1:9">
      <c r="B1572" s="1" t="s">
        <v>326</v>
      </c>
      <c r="D1572" t="s">
        <v>19</v>
      </c>
      <c r="E1572" s="8">
        <v>0.57179999999999997</v>
      </c>
      <c r="F1572" s="8">
        <v>0.58799999999999997</v>
      </c>
      <c r="G1572" s="8">
        <v>0.61729999999999996</v>
      </c>
      <c r="H1572" s="8">
        <v>0.6129</v>
      </c>
      <c r="I1572" s="8">
        <f>I1568/I1567</f>
        <v>0.66797840378914264</v>
      </c>
    </row>
    <row r="1573" spans="1:9">
      <c r="B1573" s="1" t="s">
        <v>326</v>
      </c>
      <c r="D1573" t="s">
        <v>20</v>
      </c>
      <c r="E1573" s="8">
        <v>0.28599999999999998</v>
      </c>
      <c r="F1573" s="8">
        <v>0.30320000000000003</v>
      </c>
      <c r="G1573" s="8">
        <v>0.30209999999999998</v>
      </c>
      <c r="H1573" s="8">
        <v>0.35489999999999999</v>
      </c>
      <c r="I1573" s="8">
        <f>I1568/I1566</f>
        <v>0.31801979145421017</v>
      </c>
    </row>
    <row r="1574" spans="1:9">
      <c r="B1574" s="1" t="s">
        <v>326</v>
      </c>
    </row>
    <row r="1575" spans="1:9">
      <c r="A1575" t="s">
        <v>328</v>
      </c>
      <c r="B1575" s="1" t="s">
        <v>329</v>
      </c>
      <c r="C1575" t="s">
        <v>330</v>
      </c>
    </row>
    <row r="1576" spans="1:9">
      <c r="B1576" s="1" t="s">
        <v>329</v>
      </c>
      <c r="D1576" t="s">
        <v>11</v>
      </c>
      <c r="E1576" s="3">
        <v>763</v>
      </c>
      <c r="F1576" s="3">
        <v>812</v>
      </c>
      <c r="G1576" s="3">
        <v>875</v>
      </c>
      <c r="H1576" s="3">
        <v>865</v>
      </c>
      <c r="I1576" s="3">
        <f>VLOOKUP(B1576,[1]Sheet3!$A$13:$E$198,5,TRUE)</f>
        <v>846</v>
      </c>
    </row>
    <row r="1577" spans="1:9">
      <c r="B1577" s="1" t="s">
        <v>329</v>
      </c>
      <c r="D1577" t="s">
        <v>12</v>
      </c>
      <c r="E1577" s="5">
        <v>132352</v>
      </c>
      <c r="F1577" s="5">
        <v>105357</v>
      </c>
      <c r="G1577" s="5">
        <v>92209</v>
      </c>
      <c r="H1577" s="5">
        <v>88576</v>
      </c>
      <c r="I1577" s="3">
        <f>VLOOKUP(B1577,[1]Sheet3!$A$13:$F$198,6,TRUE)</f>
        <v>86022</v>
      </c>
    </row>
    <row r="1578" spans="1:9">
      <c r="B1578" s="1" t="s">
        <v>329</v>
      </c>
      <c r="D1578" t="s">
        <v>23</v>
      </c>
      <c r="E1578" s="5">
        <v>514304</v>
      </c>
      <c r="F1578" s="5">
        <v>532180</v>
      </c>
      <c r="G1578" s="5">
        <v>578259</v>
      </c>
      <c r="H1578" s="5">
        <v>552469</v>
      </c>
      <c r="I1578" s="3">
        <f>VLOOKUP(B1578,[1]Sheet3!$A$13:$G$198,7,TRUE)</f>
        <v>525545</v>
      </c>
    </row>
    <row r="1579" spans="1:9">
      <c r="B1579" s="1" t="s">
        <v>329</v>
      </c>
      <c r="D1579" t="s">
        <v>14</v>
      </c>
      <c r="E1579" s="5">
        <v>207340.25</v>
      </c>
      <c r="F1579" s="5">
        <v>207340.25</v>
      </c>
      <c r="G1579" s="5">
        <v>218948.62</v>
      </c>
      <c r="H1579" s="5">
        <v>218948.62</v>
      </c>
      <c r="I1579" s="3">
        <f>VLOOKUP(B1579,[1]Sheet3!$A$13:$H$198,8,TRUE)</f>
        <v>199544.95</v>
      </c>
    </row>
    <row r="1580" spans="1:9">
      <c r="B1580" s="1" t="s">
        <v>329</v>
      </c>
      <c r="D1580" t="s">
        <v>15</v>
      </c>
      <c r="E1580" s="5">
        <v>123491.73</v>
      </c>
      <c r="F1580" s="5">
        <v>121908.09</v>
      </c>
      <c r="G1580" s="5">
        <v>132470.34</v>
      </c>
      <c r="H1580" s="5">
        <v>134185.21000000002</v>
      </c>
      <c r="I1580" s="3">
        <f>VLOOKUP(B1580,[1]Sheet3!$A$13:$I$198,9,TRUE)</f>
        <v>128073.87</v>
      </c>
    </row>
    <row r="1581" spans="1:9">
      <c r="B1581" s="1" t="s">
        <v>329</v>
      </c>
      <c r="D1581" t="s">
        <v>16</v>
      </c>
      <c r="E1581" s="5">
        <v>674.06</v>
      </c>
      <c r="F1581" s="5">
        <v>655.39</v>
      </c>
      <c r="G1581" s="5">
        <v>660.87</v>
      </c>
      <c r="H1581" s="5">
        <v>638.69000000000005</v>
      </c>
      <c r="I1581" s="5">
        <f>I1578/I1576</f>
        <v>621.21158392434984</v>
      </c>
    </row>
    <row r="1582" spans="1:9">
      <c r="B1582" s="1" t="s">
        <v>329</v>
      </c>
      <c r="D1582" t="s">
        <v>17</v>
      </c>
      <c r="E1582" s="6">
        <v>3.89</v>
      </c>
      <c r="F1582" s="6">
        <v>5.05</v>
      </c>
      <c r="G1582" s="6">
        <v>6.27</v>
      </c>
      <c r="H1582" s="6">
        <v>6.24</v>
      </c>
      <c r="I1582" s="7">
        <f>I1578/I1577</f>
        <v>6.1094254958033991</v>
      </c>
    </row>
    <row r="1583" spans="1:9">
      <c r="B1583" s="1" t="s">
        <v>329</v>
      </c>
      <c r="D1583" t="s">
        <v>18</v>
      </c>
      <c r="E1583" s="8">
        <v>0.40310000000000001</v>
      </c>
      <c r="F1583" s="8">
        <v>0.3896</v>
      </c>
      <c r="G1583" s="8">
        <v>0.37859999999999999</v>
      </c>
      <c r="H1583" s="8">
        <v>0.39629999999999999</v>
      </c>
      <c r="I1583" s="8">
        <f>I1579/I1578</f>
        <v>0.37969146314777996</v>
      </c>
    </row>
    <row r="1584" spans="1:9">
      <c r="B1584" s="1" t="s">
        <v>329</v>
      </c>
      <c r="D1584" t="s">
        <v>19</v>
      </c>
      <c r="E1584" s="8">
        <v>0.59560000000000002</v>
      </c>
      <c r="F1584" s="8">
        <v>0.58799999999999997</v>
      </c>
      <c r="G1584" s="8">
        <v>0.60499999999999998</v>
      </c>
      <c r="H1584" s="8">
        <v>0.6129</v>
      </c>
      <c r="I1584" s="8">
        <f>I1580/I1579</f>
        <v>0.64182967296340998</v>
      </c>
    </row>
    <row r="1585" spans="1:9">
      <c r="B1585" s="1" t="s">
        <v>329</v>
      </c>
      <c r="D1585" t="s">
        <v>20</v>
      </c>
      <c r="E1585" s="8">
        <v>0.24010000000000001</v>
      </c>
      <c r="F1585" s="8">
        <v>0.2291</v>
      </c>
      <c r="G1585" s="8">
        <v>0.2291</v>
      </c>
      <c r="H1585" s="8">
        <v>0.2429</v>
      </c>
      <c r="I1585" s="8">
        <f>I1580/I1578</f>
        <v>0.24369724761913822</v>
      </c>
    </row>
    <row r="1586" spans="1:9">
      <c r="B1586" s="1" t="s">
        <v>329</v>
      </c>
    </row>
    <row r="1587" spans="1:9">
      <c r="A1587" t="s">
        <v>331</v>
      </c>
      <c r="B1587" s="1" t="s">
        <v>332</v>
      </c>
      <c r="C1587" t="s">
        <v>333</v>
      </c>
    </row>
    <row r="1588" spans="1:9">
      <c r="B1588" s="1" t="s">
        <v>332</v>
      </c>
      <c r="D1588" t="s">
        <v>11</v>
      </c>
      <c r="E1588" s="3">
        <v>94</v>
      </c>
      <c r="F1588" s="3">
        <v>86</v>
      </c>
      <c r="G1588" s="3">
        <v>99</v>
      </c>
      <c r="H1588" s="3">
        <v>96</v>
      </c>
      <c r="I1588" s="3">
        <f>VLOOKUP(B1588,[1]Sheet3!$A$13:$E$198,5,TRUE)</f>
        <v>88</v>
      </c>
    </row>
    <row r="1589" spans="1:9">
      <c r="B1589" s="1" t="s">
        <v>332</v>
      </c>
      <c r="D1589" t="s">
        <v>12</v>
      </c>
      <c r="E1589" s="5">
        <v>32868</v>
      </c>
      <c r="F1589" s="5">
        <v>33734</v>
      </c>
      <c r="G1589" s="5">
        <v>33578</v>
      </c>
      <c r="H1589" s="5">
        <v>31752</v>
      </c>
      <c r="I1589" s="3">
        <f>VLOOKUP(B1589,[1]Sheet3!$A$13:$F$198,6,TRUE)</f>
        <v>27720</v>
      </c>
    </row>
    <row r="1590" spans="1:9">
      <c r="B1590" s="1" t="s">
        <v>332</v>
      </c>
      <c r="D1590" t="s">
        <v>23</v>
      </c>
      <c r="E1590" s="5">
        <v>50334</v>
      </c>
      <c r="F1590" s="5">
        <v>49985</v>
      </c>
      <c r="G1590" s="5">
        <v>51771</v>
      </c>
      <c r="H1590" s="5">
        <v>60858</v>
      </c>
      <c r="I1590" s="3">
        <f>VLOOKUP(B1590,[1]Sheet3!$A$13:$G$198,7,TRUE)</f>
        <v>50907</v>
      </c>
    </row>
    <row r="1591" spans="1:9">
      <c r="B1591" s="1" t="s">
        <v>332</v>
      </c>
      <c r="D1591" t="s">
        <v>14</v>
      </c>
      <c r="E1591" s="5">
        <v>26765.59</v>
      </c>
      <c r="F1591" s="5">
        <v>25378.07</v>
      </c>
      <c r="G1591" s="5">
        <v>25943.919999999998</v>
      </c>
      <c r="H1591" s="5">
        <v>28564.39</v>
      </c>
      <c r="I1591" s="3">
        <f>VLOOKUP(B1591,[1]Sheet3!$A$13:$H$198,8,TRUE)</f>
        <v>24184.239999999998</v>
      </c>
    </row>
    <row r="1592" spans="1:9">
      <c r="B1592" s="1" t="s">
        <v>332</v>
      </c>
      <c r="D1592" t="s">
        <v>15</v>
      </c>
      <c r="E1592" s="5">
        <v>15551.25</v>
      </c>
      <c r="F1592" s="5">
        <v>14786.75</v>
      </c>
      <c r="G1592" s="5">
        <v>15615.919999999998</v>
      </c>
      <c r="H1592" s="5">
        <v>17776.5</v>
      </c>
      <c r="I1592" s="3">
        <f>VLOOKUP(B1592,[1]Sheet3!$A$13:$I$198,9,TRUE)</f>
        <v>17592.490000000002</v>
      </c>
    </row>
    <row r="1593" spans="1:9">
      <c r="B1593" s="1" t="s">
        <v>332</v>
      </c>
      <c r="D1593" t="s">
        <v>16</v>
      </c>
      <c r="E1593" s="5">
        <v>535.47</v>
      </c>
      <c r="F1593" s="5">
        <v>581.22</v>
      </c>
      <c r="G1593" s="5">
        <v>522.94000000000005</v>
      </c>
      <c r="H1593" s="5">
        <v>633.94000000000005</v>
      </c>
      <c r="I1593" s="5">
        <f>I1590/I1588</f>
        <v>578.48863636363637</v>
      </c>
    </row>
    <row r="1594" spans="1:9">
      <c r="B1594" s="1" t="s">
        <v>332</v>
      </c>
      <c r="D1594" t="s">
        <v>17</v>
      </c>
      <c r="E1594" s="6">
        <v>1.53</v>
      </c>
      <c r="F1594" s="6">
        <v>1.48</v>
      </c>
      <c r="G1594" s="6">
        <v>1.54</v>
      </c>
      <c r="H1594" s="6">
        <v>1.92</v>
      </c>
      <c r="I1594" s="7">
        <f>I1590/I1589</f>
        <v>1.8364718614718614</v>
      </c>
    </row>
    <row r="1595" spans="1:9">
      <c r="B1595" s="1" t="s">
        <v>332</v>
      </c>
      <c r="D1595" t="s">
        <v>18</v>
      </c>
      <c r="E1595" s="8">
        <v>0.53180000000000005</v>
      </c>
      <c r="F1595" s="8">
        <v>0.50770000000000004</v>
      </c>
      <c r="G1595" s="8">
        <v>0.50109999999999999</v>
      </c>
      <c r="H1595" s="8">
        <v>0.46939999999999998</v>
      </c>
      <c r="I1595" s="8">
        <f>I1591/I1590</f>
        <v>0.47506708311234208</v>
      </c>
    </row>
    <row r="1596" spans="1:9">
      <c r="B1596" s="1" t="s">
        <v>332</v>
      </c>
      <c r="D1596" t="s">
        <v>19</v>
      </c>
      <c r="E1596" s="8">
        <v>0.58099999999999996</v>
      </c>
      <c r="F1596" s="8">
        <v>0.5827</v>
      </c>
      <c r="G1596" s="8">
        <v>0.60189999999999999</v>
      </c>
      <c r="H1596" s="8">
        <v>0.62229999999999996</v>
      </c>
      <c r="I1596" s="8">
        <f>I1592/I1591</f>
        <v>0.72743613196031809</v>
      </c>
    </row>
    <row r="1597" spans="1:9">
      <c r="B1597" s="1" t="s">
        <v>332</v>
      </c>
      <c r="D1597" t="s">
        <v>20</v>
      </c>
      <c r="E1597" s="8">
        <v>0.309</v>
      </c>
      <c r="F1597" s="8">
        <v>0.29580000000000001</v>
      </c>
      <c r="G1597" s="8">
        <v>0.30159999999999998</v>
      </c>
      <c r="H1597" s="8">
        <v>0.29210000000000003</v>
      </c>
      <c r="I1597" s="8">
        <f>I1592/I1590</f>
        <v>0.34558096136091304</v>
      </c>
    </row>
    <row r="1598" spans="1:9">
      <c r="B1598" s="1" t="s">
        <v>332</v>
      </c>
    </row>
    <row r="1599" spans="1:9">
      <c r="A1599" t="s">
        <v>331</v>
      </c>
      <c r="B1599" s="1" t="s">
        <v>334</v>
      </c>
      <c r="C1599" t="s">
        <v>335</v>
      </c>
    </row>
    <row r="1600" spans="1:9">
      <c r="B1600" s="1" t="s">
        <v>334</v>
      </c>
      <c r="D1600" t="s">
        <v>11</v>
      </c>
      <c r="E1600" s="3">
        <v>494</v>
      </c>
      <c r="F1600" s="3">
        <v>468</v>
      </c>
      <c r="G1600" s="3">
        <v>495</v>
      </c>
      <c r="H1600" s="3">
        <v>459</v>
      </c>
      <c r="I1600" s="3">
        <f>VLOOKUP(B1600,[1]Sheet3!$A$13:$E$198,5,TRUE)</f>
        <v>398</v>
      </c>
    </row>
    <row r="1601" spans="1:9">
      <c r="B1601" s="1" t="s">
        <v>334</v>
      </c>
      <c r="D1601" t="s">
        <v>12</v>
      </c>
      <c r="E1601" s="5">
        <v>89425</v>
      </c>
      <c r="F1601" s="5">
        <v>97059</v>
      </c>
      <c r="G1601" s="5">
        <v>99648</v>
      </c>
      <c r="H1601" s="5">
        <v>92648</v>
      </c>
      <c r="I1601" s="3">
        <f>VLOOKUP(B1601,[1]Sheet3!$A$13:$F$198,6,TRUE)</f>
        <v>76587</v>
      </c>
    </row>
    <row r="1602" spans="1:9">
      <c r="B1602" s="1" t="s">
        <v>334</v>
      </c>
      <c r="D1602" t="s">
        <v>23</v>
      </c>
      <c r="E1602" s="5">
        <v>221998</v>
      </c>
      <c r="F1602" s="5">
        <v>214267.83</v>
      </c>
      <c r="G1602" s="5">
        <v>233023</v>
      </c>
      <c r="H1602" s="5">
        <v>159031.92000000001</v>
      </c>
      <c r="I1602" s="3">
        <f>VLOOKUP(B1602,[1]Sheet3!$A$13:$G$198,7,TRUE)</f>
        <v>161981.98000000001</v>
      </c>
    </row>
    <row r="1603" spans="1:9">
      <c r="B1603" s="1" t="s">
        <v>334</v>
      </c>
      <c r="D1603" t="s">
        <v>14</v>
      </c>
      <c r="E1603" s="5">
        <v>97585.81</v>
      </c>
      <c r="F1603" s="5">
        <v>97585.81</v>
      </c>
      <c r="G1603" s="5">
        <v>103880.17</v>
      </c>
      <c r="H1603" s="5">
        <v>103880.17</v>
      </c>
      <c r="I1603" s="3">
        <f>VLOOKUP(B1603,[1]Sheet3!$A$13:$H$198,8,TRUE)</f>
        <v>74043.31</v>
      </c>
    </row>
    <row r="1604" spans="1:9">
      <c r="B1604" s="1" t="s">
        <v>334</v>
      </c>
      <c r="D1604" t="s">
        <v>15</v>
      </c>
      <c r="E1604" s="5">
        <v>56993.25</v>
      </c>
      <c r="F1604" s="5">
        <v>57376.7</v>
      </c>
      <c r="G1604" s="5">
        <v>62929.17</v>
      </c>
      <c r="H1604" s="5">
        <v>63664.17</v>
      </c>
      <c r="I1604" s="3">
        <f>VLOOKUP(B1604,[1]Sheet3!$A$13:$I$198,9,TRUE)</f>
        <v>44676.41</v>
      </c>
    </row>
    <row r="1605" spans="1:9">
      <c r="B1605" s="1" t="s">
        <v>334</v>
      </c>
      <c r="D1605" t="s">
        <v>16</v>
      </c>
      <c r="E1605" s="5">
        <v>449.39</v>
      </c>
      <c r="F1605" s="5">
        <v>457.84</v>
      </c>
      <c r="G1605" s="5">
        <v>470.75</v>
      </c>
      <c r="H1605" s="5">
        <v>346.47</v>
      </c>
      <c r="I1605" s="5">
        <f>I1602/I1600</f>
        <v>406.98989949748744</v>
      </c>
    </row>
    <row r="1606" spans="1:9">
      <c r="B1606" s="1" t="s">
        <v>334</v>
      </c>
      <c r="D1606" t="s">
        <v>17</v>
      </c>
      <c r="E1606" s="6">
        <v>2.48</v>
      </c>
      <c r="F1606" s="6">
        <v>2.21</v>
      </c>
      <c r="G1606" s="6">
        <v>2.34</v>
      </c>
      <c r="H1606" s="6">
        <v>1.72</v>
      </c>
      <c r="I1606" s="7">
        <f>I1602/I1601</f>
        <v>2.1150062020969616</v>
      </c>
    </row>
    <row r="1607" spans="1:9">
      <c r="B1607" s="1" t="s">
        <v>334</v>
      </c>
      <c r="D1607" t="s">
        <v>18</v>
      </c>
      <c r="E1607" s="8">
        <v>0.43959999999999999</v>
      </c>
      <c r="F1607" s="8">
        <v>0.45540000000000003</v>
      </c>
      <c r="G1607" s="8">
        <v>0.44579999999999997</v>
      </c>
      <c r="H1607" s="8">
        <v>0.6532</v>
      </c>
      <c r="I1607" s="8">
        <f>I1603/I1602</f>
        <v>0.45710831538174795</v>
      </c>
    </row>
    <row r="1608" spans="1:9">
      <c r="B1608" s="1" t="s">
        <v>334</v>
      </c>
      <c r="D1608" t="s">
        <v>19</v>
      </c>
      <c r="E1608" s="8">
        <v>0.58399999999999996</v>
      </c>
      <c r="F1608" s="8">
        <v>0.58799999999999997</v>
      </c>
      <c r="G1608" s="8">
        <v>0.60580000000000001</v>
      </c>
      <c r="H1608" s="8">
        <v>0.6129</v>
      </c>
      <c r="I1608" s="8">
        <f>I1604/I1603</f>
        <v>0.60338212864875984</v>
      </c>
    </row>
    <row r="1609" spans="1:9">
      <c r="B1609" s="1" t="s">
        <v>334</v>
      </c>
      <c r="D1609" t="s">
        <v>20</v>
      </c>
      <c r="E1609" s="8">
        <v>0.25669999999999998</v>
      </c>
      <c r="F1609" s="8">
        <v>0.26779999999999998</v>
      </c>
      <c r="G1609" s="8">
        <v>0.27010000000000001</v>
      </c>
      <c r="H1609" s="8">
        <v>0.40029999999999999</v>
      </c>
      <c r="I1609" s="8">
        <f>I1604/I1602</f>
        <v>0.27581098835808776</v>
      </c>
    </row>
    <row r="1610" spans="1:9">
      <c r="B1610" s="1" t="s">
        <v>334</v>
      </c>
    </row>
    <row r="1611" spans="1:9">
      <c r="A1611" t="s">
        <v>331</v>
      </c>
      <c r="B1611" s="1" t="s">
        <v>336</v>
      </c>
      <c r="C1611" t="s">
        <v>337</v>
      </c>
    </row>
    <row r="1612" spans="1:9">
      <c r="B1612" s="1" t="s">
        <v>336</v>
      </c>
      <c r="D1612" t="s">
        <v>11</v>
      </c>
      <c r="E1612" s="3">
        <v>120</v>
      </c>
      <c r="F1612" s="3">
        <v>114</v>
      </c>
      <c r="G1612" s="3">
        <v>120</v>
      </c>
      <c r="H1612" s="3">
        <v>117</v>
      </c>
      <c r="I1612" s="3">
        <f>VLOOKUP(B1612,[1]Sheet3!$A$13:$E$198,5,TRUE)</f>
        <v>113</v>
      </c>
    </row>
    <row r="1613" spans="1:9">
      <c r="B1613" s="1" t="s">
        <v>336</v>
      </c>
      <c r="D1613" t="s">
        <v>12</v>
      </c>
      <c r="E1613" s="5">
        <v>50209.4</v>
      </c>
      <c r="F1613" s="5">
        <v>47747.7</v>
      </c>
      <c r="G1613" s="5">
        <v>47712</v>
      </c>
      <c r="H1613" s="5">
        <v>49932</v>
      </c>
      <c r="I1613" s="3">
        <f>VLOOKUP(B1613,[1]Sheet3!$A$13:$F$198,6,TRUE)</f>
        <v>52272</v>
      </c>
    </row>
    <row r="1614" spans="1:9">
      <c r="B1614" s="1" t="s">
        <v>336</v>
      </c>
      <c r="D1614" t="s">
        <v>23</v>
      </c>
      <c r="E1614" s="5">
        <v>64785.06</v>
      </c>
      <c r="F1614" s="5">
        <v>69303.259999999995</v>
      </c>
      <c r="G1614" s="5">
        <v>76373.25</v>
      </c>
      <c r="H1614" s="5">
        <v>98616.23</v>
      </c>
      <c r="I1614" s="3">
        <f>VLOOKUP(B1614,[1]Sheet3!$A$13:$G$198,7,TRUE)</f>
        <v>111133.62</v>
      </c>
    </row>
    <row r="1615" spans="1:9">
      <c r="B1615" s="1" t="s">
        <v>336</v>
      </c>
      <c r="D1615" t="s">
        <v>14</v>
      </c>
      <c r="E1615" s="5">
        <v>41906.300000000003</v>
      </c>
      <c r="F1615" s="5">
        <v>35430.67</v>
      </c>
      <c r="G1615" s="5">
        <v>37816.339999999997</v>
      </c>
      <c r="H1615" s="5">
        <v>45906</v>
      </c>
      <c r="I1615" s="3">
        <f>VLOOKUP(B1615,[1]Sheet3!$A$13:$H$198,8,TRUE)</f>
        <v>50731.66</v>
      </c>
    </row>
    <row r="1616" spans="1:9">
      <c r="B1616" s="1" t="s">
        <v>336</v>
      </c>
      <c r="D1616" t="s">
        <v>15</v>
      </c>
      <c r="E1616" s="5">
        <v>24348.25</v>
      </c>
      <c r="F1616" s="5">
        <v>20203.79</v>
      </c>
      <c r="G1616" s="5">
        <v>22918.04</v>
      </c>
      <c r="H1616" s="5">
        <v>28969</v>
      </c>
      <c r="I1616" s="3">
        <f>VLOOKUP(B1616,[1]Sheet3!$A$13:$I$198,9,TRUE)</f>
        <v>31746.79</v>
      </c>
    </row>
    <row r="1617" spans="1:9">
      <c r="B1617" s="1" t="s">
        <v>336</v>
      </c>
      <c r="D1617" t="s">
        <v>16</v>
      </c>
      <c r="E1617" s="5">
        <v>539.88</v>
      </c>
      <c r="F1617" s="5">
        <v>607.91999999999996</v>
      </c>
      <c r="G1617" s="5">
        <v>636.44000000000005</v>
      </c>
      <c r="H1617" s="5">
        <v>842.87</v>
      </c>
      <c r="I1617" s="5">
        <f>I1614/I1612</f>
        <v>983.48336283185836</v>
      </c>
    </row>
    <row r="1618" spans="1:9">
      <c r="B1618" s="1" t="s">
        <v>336</v>
      </c>
      <c r="D1618" t="s">
        <v>17</v>
      </c>
      <c r="E1618" s="6">
        <v>1.29</v>
      </c>
      <c r="F1618" s="6">
        <v>1.45</v>
      </c>
      <c r="G1618" s="6">
        <v>1.6</v>
      </c>
      <c r="H1618" s="6">
        <v>1.98</v>
      </c>
      <c r="I1618" s="7">
        <f>I1614/I1613</f>
        <v>2.1260640495867769</v>
      </c>
    </row>
    <row r="1619" spans="1:9">
      <c r="B1619" s="1" t="s">
        <v>336</v>
      </c>
      <c r="D1619" t="s">
        <v>18</v>
      </c>
      <c r="E1619" s="8">
        <v>0.64690000000000003</v>
      </c>
      <c r="F1619" s="8">
        <v>0.51119999999999999</v>
      </c>
      <c r="G1619" s="8">
        <v>0.49519999999999997</v>
      </c>
      <c r="H1619" s="8">
        <v>0.46550000000000002</v>
      </c>
      <c r="I1619" s="8">
        <f>I1615/I1614</f>
        <v>0.45649246375669222</v>
      </c>
    </row>
    <row r="1620" spans="1:9">
      <c r="B1620" s="1" t="s">
        <v>336</v>
      </c>
      <c r="D1620" t="s">
        <v>19</v>
      </c>
      <c r="E1620" s="8">
        <v>0.58099999999999996</v>
      </c>
      <c r="F1620" s="8">
        <v>0.57020000000000004</v>
      </c>
      <c r="G1620" s="8">
        <v>0.60599999999999998</v>
      </c>
      <c r="H1620" s="8">
        <v>0.63109999999999999</v>
      </c>
      <c r="I1620" s="8">
        <f>I1616/I1615</f>
        <v>0.62577865577432312</v>
      </c>
    </row>
    <row r="1621" spans="1:9">
      <c r="B1621" s="1" t="s">
        <v>336</v>
      </c>
      <c r="D1621" t="s">
        <v>20</v>
      </c>
      <c r="E1621" s="8">
        <v>0.37580000000000002</v>
      </c>
      <c r="F1621" s="8">
        <v>0.29149999999999998</v>
      </c>
      <c r="G1621" s="8">
        <v>0.30009999999999998</v>
      </c>
      <c r="H1621" s="8">
        <v>0.29380000000000001</v>
      </c>
      <c r="I1621" s="8">
        <f>I1616/I1614</f>
        <v>0.28566324034077178</v>
      </c>
    </row>
    <row r="1622" spans="1:9">
      <c r="B1622" s="1" t="s">
        <v>336</v>
      </c>
    </row>
    <row r="1623" spans="1:9">
      <c r="A1623" t="s">
        <v>331</v>
      </c>
      <c r="B1623" s="1" t="s">
        <v>338</v>
      </c>
      <c r="C1623" t="s">
        <v>339</v>
      </c>
    </row>
    <row r="1624" spans="1:9">
      <c r="B1624" s="1" t="s">
        <v>338</v>
      </c>
      <c r="D1624" t="s">
        <v>11</v>
      </c>
      <c r="E1624" s="3">
        <v>67</v>
      </c>
      <c r="F1624" s="3">
        <v>104</v>
      </c>
      <c r="G1624" s="3">
        <v>124</v>
      </c>
      <c r="H1624" s="3">
        <v>111</v>
      </c>
      <c r="I1624" s="3">
        <f>VLOOKUP(B1624,[1]Sheet3!$A$13:$E$198,5,TRUE)</f>
        <v>110</v>
      </c>
    </row>
    <row r="1625" spans="1:9">
      <c r="B1625" s="1" t="s">
        <v>338</v>
      </c>
      <c r="D1625" t="s">
        <v>12</v>
      </c>
      <c r="E1625" s="5">
        <v>15288</v>
      </c>
      <c r="F1625" s="5">
        <v>18426</v>
      </c>
      <c r="G1625" s="5">
        <v>13968</v>
      </c>
      <c r="H1625" s="5">
        <v>13870</v>
      </c>
      <c r="I1625" s="3">
        <f>VLOOKUP(B1625,[1]Sheet3!$A$13:$F$198,6,TRUE)</f>
        <v>14906.6</v>
      </c>
    </row>
    <row r="1626" spans="1:9">
      <c r="B1626" s="1" t="s">
        <v>338</v>
      </c>
      <c r="D1626" t="s">
        <v>23</v>
      </c>
      <c r="E1626" s="5">
        <v>40786</v>
      </c>
      <c r="F1626" s="5">
        <v>58552.82</v>
      </c>
      <c r="G1626" s="5">
        <v>38374.89</v>
      </c>
      <c r="H1626" s="5">
        <v>34041.57</v>
      </c>
      <c r="I1626" s="3">
        <f>VLOOKUP(B1626,[1]Sheet3!$A$13:$G$198,7,TRUE)</f>
        <v>32827.69</v>
      </c>
    </row>
    <row r="1627" spans="1:9">
      <c r="B1627" s="1" t="s">
        <v>338</v>
      </c>
      <c r="D1627" t="s">
        <v>14</v>
      </c>
      <c r="E1627" s="5">
        <v>20002.86</v>
      </c>
      <c r="F1627" s="5">
        <v>24446.35</v>
      </c>
      <c r="G1627" s="5">
        <v>24446.35</v>
      </c>
      <c r="H1627" s="5">
        <v>16495.64</v>
      </c>
      <c r="I1627" s="3">
        <f>VLOOKUP(B1627,[1]Sheet3!$A$13:$H$198,8,TRUE)</f>
        <v>14851.86</v>
      </c>
    </row>
    <row r="1628" spans="1:9">
      <c r="B1628" s="1" t="s">
        <v>338</v>
      </c>
      <c r="D1628" t="s">
        <v>15</v>
      </c>
      <c r="E1628" s="5">
        <v>11621.99</v>
      </c>
      <c r="F1628" s="5">
        <v>14804.49</v>
      </c>
      <c r="G1628" s="5">
        <v>14661.24</v>
      </c>
      <c r="H1628" s="5">
        <v>9288.91</v>
      </c>
      <c r="I1628" s="3">
        <f>VLOOKUP(B1628,[1]Sheet3!$A$13:$I$198,9,TRUE)</f>
        <v>9085.27</v>
      </c>
    </row>
    <row r="1629" spans="1:9">
      <c r="B1629" s="1" t="s">
        <v>338</v>
      </c>
      <c r="D1629" t="s">
        <v>16</v>
      </c>
      <c r="E1629" s="5">
        <v>608.75</v>
      </c>
      <c r="F1629" s="5">
        <v>563.01</v>
      </c>
      <c r="G1629" s="5">
        <v>309.47000000000003</v>
      </c>
      <c r="H1629" s="5">
        <v>306.68</v>
      </c>
      <c r="I1629" s="5">
        <f>I1626/I1624</f>
        <v>298.43354545454548</v>
      </c>
    </row>
    <row r="1630" spans="1:9">
      <c r="B1630" s="1" t="s">
        <v>338</v>
      </c>
      <c r="D1630" t="s">
        <v>17</v>
      </c>
      <c r="E1630" s="6">
        <v>2.67</v>
      </c>
      <c r="F1630" s="6">
        <v>3.18</v>
      </c>
      <c r="G1630" s="6">
        <v>2.75</v>
      </c>
      <c r="H1630" s="6">
        <v>2.4500000000000002</v>
      </c>
      <c r="I1630" s="7">
        <f>I1626/I1625</f>
        <v>2.2022251888425264</v>
      </c>
    </row>
    <row r="1631" spans="1:9">
      <c r="B1631" s="1" t="s">
        <v>338</v>
      </c>
      <c r="D1631" t="s">
        <v>18</v>
      </c>
      <c r="E1631" s="8">
        <v>0.4904</v>
      </c>
      <c r="F1631" s="8">
        <v>0.41749999999999998</v>
      </c>
      <c r="G1631" s="8">
        <v>0.63700000000000001</v>
      </c>
      <c r="H1631" s="8">
        <v>0.48459999999999998</v>
      </c>
      <c r="I1631" s="8">
        <f>I1627/I1626</f>
        <v>0.45241867460061913</v>
      </c>
    </row>
    <row r="1632" spans="1:9">
      <c r="B1632" s="1" t="s">
        <v>338</v>
      </c>
      <c r="D1632" t="s">
        <v>19</v>
      </c>
      <c r="E1632" s="8">
        <v>0.58099999999999996</v>
      </c>
      <c r="F1632" s="8">
        <v>0.60560000000000003</v>
      </c>
      <c r="G1632" s="8">
        <v>0.59970000000000001</v>
      </c>
      <c r="H1632" s="8">
        <v>0.56310000000000004</v>
      </c>
      <c r="I1632" s="8">
        <f>I1628/I1627</f>
        <v>0.6117260733672415</v>
      </c>
    </row>
    <row r="1633" spans="1:9">
      <c r="B1633" s="1" t="s">
        <v>338</v>
      </c>
      <c r="D1633" t="s">
        <v>20</v>
      </c>
      <c r="E1633" s="8">
        <v>0.28499999999999998</v>
      </c>
      <c r="F1633" s="8">
        <v>0.25280000000000002</v>
      </c>
      <c r="G1633" s="8">
        <v>0.3821</v>
      </c>
      <c r="H1633" s="8">
        <v>0.27289999999999998</v>
      </c>
      <c r="I1633" s="8">
        <f>I1628/I1626</f>
        <v>0.27675629933144852</v>
      </c>
    </row>
    <row r="1634" spans="1:9">
      <c r="B1634" s="1" t="s">
        <v>338</v>
      </c>
    </row>
    <row r="1635" spans="1:9">
      <c r="A1635" t="s">
        <v>340</v>
      </c>
      <c r="B1635" s="1" t="s">
        <v>341</v>
      </c>
      <c r="C1635" t="s">
        <v>342</v>
      </c>
    </row>
    <row r="1636" spans="1:9">
      <c r="B1636" s="1" t="s">
        <v>341</v>
      </c>
      <c r="D1636" t="s">
        <v>11</v>
      </c>
      <c r="E1636" s="3">
        <v>3002</v>
      </c>
      <c r="F1636" s="3">
        <v>2845</v>
      </c>
      <c r="G1636" s="3">
        <v>3895</v>
      </c>
      <c r="H1636" s="3">
        <v>3780</v>
      </c>
      <c r="I1636" s="3">
        <f>VLOOKUP(B1636,[1]Sheet3!$A$13:$E$198,5,TRUE)</f>
        <v>3103</v>
      </c>
    </row>
    <row r="1637" spans="1:9">
      <c r="B1637" s="1" t="s">
        <v>341</v>
      </c>
      <c r="D1637" t="s">
        <v>12</v>
      </c>
      <c r="E1637" s="5">
        <v>277888.5</v>
      </c>
      <c r="F1637" s="5">
        <v>363625</v>
      </c>
      <c r="G1637" s="5">
        <v>395737.8</v>
      </c>
      <c r="H1637" s="5">
        <v>336208.2</v>
      </c>
      <c r="I1637" s="3">
        <f>VLOOKUP(B1637,[1]Sheet3!$A$13:$F$198,6,TRUE)</f>
        <v>442693.6</v>
      </c>
    </row>
    <row r="1638" spans="1:9">
      <c r="B1638" s="1" t="s">
        <v>341</v>
      </c>
      <c r="D1638" t="s">
        <v>23</v>
      </c>
      <c r="E1638" s="5">
        <v>1685641</v>
      </c>
      <c r="F1638" s="5">
        <v>1552009</v>
      </c>
      <c r="G1638" s="5">
        <v>1622309.46</v>
      </c>
      <c r="H1638" s="5">
        <v>1596438.71</v>
      </c>
      <c r="I1638" s="3">
        <f>VLOOKUP(B1638,[1]Sheet3!$A$13:$G$198,7,TRUE)</f>
        <v>1679317.5</v>
      </c>
    </row>
    <row r="1639" spans="1:9">
      <c r="B1639" s="1" t="s">
        <v>341</v>
      </c>
      <c r="D1639" t="s">
        <v>14</v>
      </c>
      <c r="E1639" s="5">
        <v>640519.42000000004</v>
      </c>
      <c r="F1639" s="5">
        <v>640519.42000000004</v>
      </c>
      <c r="G1639" s="5">
        <v>648582.53</v>
      </c>
      <c r="H1639" s="5">
        <v>648582.53</v>
      </c>
      <c r="I1639" s="3">
        <f>VLOOKUP(B1639,[1]Sheet3!$A$13:$H$198,8,TRUE)</f>
        <v>651222.84000000008</v>
      </c>
    </row>
    <row r="1640" spans="1:9">
      <c r="B1640" s="1" t="s">
        <v>341</v>
      </c>
      <c r="D1640" t="s">
        <v>15</v>
      </c>
      <c r="E1640" s="5">
        <v>381561.33999999997</v>
      </c>
      <c r="F1640" s="5">
        <v>376600.76</v>
      </c>
      <c r="G1640" s="5">
        <v>389780.87</v>
      </c>
      <c r="H1640" s="5">
        <v>397491.37</v>
      </c>
      <c r="I1640" s="3">
        <f>VLOOKUP(B1640,[1]Sheet3!$A$13:$I$198,9,TRUE)</f>
        <v>401355.35000000003</v>
      </c>
    </row>
    <row r="1641" spans="1:9">
      <c r="B1641" s="1" t="s">
        <v>341</v>
      </c>
      <c r="D1641" t="s">
        <v>16</v>
      </c>
      <c r="E1641" s="5">
        <v>561.51</v>
      </c>
      <c r="F1641" s="5">
        <v>545.52</v>
      </c>
      <c r="G1641" s="5">
        <v>416.51</v>
      </c>
      <c r="H1641" s="5">
        <v>422.34</v>
      </c>
      <c r="I1641" s="5">
        <f>I1638/I1636</f>
        <v>541.19158878504675</v>
      </c>
    </row>
    <row r="1642" spans="1:9">
      <c r="B1642" s="1" t="s">
        <v>341</v>
      </c>
      <c r="D1642" t="s">
        <v>17</v>
      </c>
      <c r="E1642" s="6">
        <v>6.07</v>
      </c>
      <c r="F1642" s="6">
        <v>4.2699999999999996</v>
      </c>
      <c r="G1642" s="6">
        <v>4.0999999999999996</v>
      </c>
      <c r="H1642" s="6">
        <v>4.75</v>
      </c>
      <c r="I1642" s="7">
        <f>I1638/I1637</f>
        <v>3.793408126975407</v>
      </c>
    </row>
    <row r="1643" spans="1:9">
      <c r="B1643" s="1" t="s">
        <v>341</v>
      </c>
      <c r="D1643" t="s">
        <v>18</v>
      </c>
      <c r="E1643" s="8">
        <v>0.38</v>
      </c>
      <c r="F1643" s="8">
        <v>0.41270000000000001</v>
      </c>
      <c r="G1643" s="8">
        <v>0.39979999999999999</v>
      </c>
      <c r="H1643" s="8">
        <v>0.40629999999999999</v>
      </c>
      <c r="I1643" s="8">
        <f>I1639/I1638</f>
        <v>0.3877901826188318</v>
      </c>
    </row>
    <row r="1644" spans="1:9">
      <c r="B1644" s="1" t="s">
        <v>341</v>
      </c>
      <c r="D1644" t="s">
        <v>19</v>
      </c>
      <c r="E1644" s="8">
        <v>0.59570000000000001</v>
      </c>
      <c r="F1644" s="8">
        <v>0.58799999999999997</v>
      </c>
      <c r="G1644" s="8">
        <v>0.60099999999999998</v>
      </c>
      <c r="H1644" s="8">
        <v>0.6129</v>
      </c>
      <c r="I1644" s="8">
        <f>I1640/I1639</f>
        <v>0.61631030938656883</v>
      </c>
    </row>
    <row r="1645" spans="1:9">
      <c r="B1645" s="1" t="s">
        <v>341</v>
      </c>
      <c r="D1645" t="s">
        <v>20</v>
      </c>
      <c r="E1645" s="8">
        <v>0.22639999999999999</v>
      </c>
      <c r="F1645" s="8">
        <v>0.2427</v>
      </c>
      <c r="G1645" s="8">
        <v>0.24030000000000001</v>
      </c>
      <c r="H1645" s="8">
        <v>0.249</v>
      </c>
      <c r="I1645" s="8">
        <f>I1640/I1638</f>
        <v>0.23899908742688625</v>
      </c>
    </row>
    <row r="1646" spans="1:9">
      <c r="B1646" s="1" t="s">
        <v>341</v>
      </c>
    </row>
    <row r="1647" spans="1:9">
      <c r="A1647" t="s">
        <v>340</v>
      </c>
      <c r="B1647" s="1" t="s">
        <v>343</v>
      </c>
      <c r="C1647" t="s">
        <v>344</v>
      </c>
    </row>
    <row r="1648" spans="1:9">
      <c r="B1648" s="1" t="s">
        <v>343</v>
      </c>
      <c r="D1648" t="s">
        <v>11</v>
      </c>
      <c r="E1648" s="3">
        <v>8060</v>
      </c>
      <c r="F1648" s="3">
        <v>8146</v>
      </c>
      <c r="G1648" s="3">
        <v>8160</v>
      </c>
      <c r="H1648" s="3">
        <v>8291</v>
      </c>
      <c r="I1648" s="3">
        <f>VLOOKUP(B1648,[1]Sheet3!$A$13:$E$198,5,TRUE)</f>
        <v>8423</v>
      </c>
    </row>
    <row r="1649" spans="1:9">
      <c r="B1649" s="1" t="s">
        <v>343</v>
      </c>
      <c r="D1649" t="s">
        <v>12</v>
      </c>
      <c r="E1649" s="5">
        <v>1204091.1000000001</v>
      </c>
      <c r="F1649" s="5">
        <v>1051388.3</v>
      </c>
      <c r="G1649" s="5">
        <v>969133.6</v>
      </c>
      <c r="H1649" s="5">
        <v>876931.6</v>
      </c>
      <c r="I1649" s="3">
        <f>VLOOKUP(B1649,[1]Sheet3!$A$13:$F$198,6,TRUE)</f>
        <v>878530.8</v>
      </c>
    </row>
    <row r="1650" spans="1:9">
      <c r="B1650" s="1" t="s">
        <v>343</v>
      </c>
      <c r="D1650" t="s">
        <v>23</v>
      </c>
      <c r="E1650" s="5">
        <v>2693384.42</v>
      </c>
      <c r="F1650" s="5">
        <v>2913135.37</v>
      </c>
      <c r="G1650" s="5">
        <v>3141082.71</v>
      </c>
      <c r="H1650" s="5">
        <v>2997625.84</v>
      </c>
      <c r="I1650" s="3">
        <f>VLOOKUP(B1650,[1]Sheet3!$A$13:$G$198,7,TRUE)</f>
        <v>2757747.12</v>
      </c>
    </row>
    <row r="1651" spans="1:9">
      <c r="B1651" s="1" t="s">
        <v>343</v>
      </c>
      <c r="D1651" t="s">
        <v>14</v>
      </c>
      <c r="E1651" s="5">
        <v>1213795.03</v>
      </c>
      <c r="F1651" s="5">
        <v>1249982.6499999999</v>
      </c>
      <c r="G1651" s="5">
        <v>1249982.6499999999</v>
      </c>
      <c r="H1651" s="5">
        <v>1235312.28</v>
      </c>
      <c r="I1651" s="3">
        <f>VLOOKUP(B1651,[1]Sheet3!$A$13:$H$198,8,TRUE)</f>
        <v>1081914.97</v>
      </c>
    </row>
    <row r="1652" spans="1:9">
      <c r="B1652" s="1" t="s">
        <v>343</v>
      </c>
      <c r="D1652" t="s">
        <v>15</v>
      </c>
      <c r="E1652" s="5">
        <v>698908.37</v>
      </c>
      <c r="F1652" s="5">
        <v>738451.54</v>
      </c>
      <c r="G1652" s="5">
        <v>749653.42</v>
      </c>
      <c r="H1652" s="5">
        <v>755561.34</v>
      </c>
      <c r="I1652" s="3">
        <f>VLOOKUP(B1652,[1]Sheet3!$A$13:$I$198,9,TRUE)</f>
        <v>704864.75</v>
      </c>
    </row>
    <row r="1653" spans="1:9">
      <c r="B1653" s="1" t="s">
        <v>343</v>
      </c>
      <c r="D1653" t="s">
        <v>16</v>
      </c>
      <c r="E1653" s="5">
        <v>334.17</v>
      </c>
      <c r="F1653" s="5">
        <v>357.62</v>
      </c>
      <c r="G1653" s="5">
        <v>384.94</v>
      </c>
      <c r="H1653" s="5">
        <v>361.55</v>
      </c>
      <c r="I1653" s="5">
        <f>I1650/I1648</f>
        <v>327.40675768728482</v>
      </c>
    </row>
    <row r="1654" spans="1:9">
      <c r="B1654" s="1" t="s">
        <v>343</v>
      </c>
      <c r="D1654" t="s">
        <v>17</v>
      </c>
      <c r="E1654" s="6">
        <v>2.2400000000000002</v>
      </c>
      <c r="F1654" s="6">
        <v>2.77</v>
      </c>
      <c r="G1654" s="6">
        <v>3.24</v>
      </c>
      <c r="H1654" s="6">
        <v>3.42</v>
      </c>
      <c r="I1654" s="7">
        <f>I1650/I1649</f>
        <v>3.1390443226350175</v>
      </c>
    </row>
    <row r="1655" spans="1:9">
      <c r="B1655" s="1" t="s">
        <v>343</v>
      </c>
      <c r="D1655" t="s">
        <v>18</v>
      </c>
      <c r="E1655" s="8">
        <v>0.45069999999999999</v>
      </c>
      <c r="F1655" s="8">
        <v>0.42909999999999998</v>
      </c>
      <c r="G1655" s="8">
        <v>0.39789999999999998</v>
      </c>
      <c r="H1655" s="8">
        <v>0.41210000000000002</v>
      </c>
      <c r="I1655" s="8">
        <f>I1651/I1650</f>
        <v>0.39231841170411591</v>
      </c>
    </row>
    <row r="1656" spans="1:9">
      <c r="B1656" s="1" t="s">
        <v>343</v>
      </c>
      <c r="D1656" t="s">
        <v>19</v>
      </c>
      <c r="E1656" s="8">
        <v>0.57579999999999998</v>
      </c>
      <c r="F1656" s="8">
        <v>0.59079999999999999</v>
      </c>
      <c r="G1656" s="8">
        <v>0.59970000000000001</v>
      </c>
      <c r="H1656" s="8">
        <v>0.61160000000000003</v>
      </c>
      <c r="I1656" s="8">
        <f>I1652/I1651</f>
        <v>0.65149736305062866</v>
      </c>
    </row>
    <row r="1657" spans="1:9">
      <c r="B1657" s="1" t="s">
        <v>343</v>
      </c>
      <c r="D1657" t="s">
        <v>20</v>
      </c>
      <c r="E1657" s="8">
        <v>0.25950000000000001</v>
      </c>
      <c r="F1657" s="8">
        <v>0.2535</v>
      </c>
      <c r="G1657" s="8">
        <v>0.2387</v>
      </c>
      <c r="H1657" s="8">
        <v>0.25209999999999999</v>
      </c>
      <c r="I1657" s="8">
        <f>I1652/I1650</f>
        <v>0.2555944107014424</v>
      </c>
    </row>
    <row r="1658" spans="1:9">
      <c r="B1658" s="1" t="s">
        <v>343</v>
      </c>
    </row>
    <row r="1659" spans="1:9">
      <c r="A1659" t="s">
        <v>345</v>
      </c>
      <c r="B1659" s="1" t="s">
        <v>346</v>
      </c>
      <c r="C1659" t="s">
        <v>347</v>
      </c>
    </row>
    <row r="1660" spans="1:9">
      <c r="B1660" s="1" t="s">
        <v>346</v>
      </c>
      <c r="D1660" t="s">
        <v>11</v>
      </c>
      <c r="E1660" s="3">
        <v>257</v>
      </c>
      <c r="F1660" s="3">
        <v>257</v>
      </c>
      <c r="G1660" s="3">
        <v>493</v>
      </c>
      <c r="H1660" s="3">
        <v>543</v>
      </c>
      <c r="I1660" s="3">
        <f>VLOOKUP(B1660,[1]Sheet3!$A$13:$E$198,5,TRUE)</f>
        <v>589</v>
      </c>
    </row>
    <row r="1661" spans="1:9">
      <c r="B1661" s="1" t="s">
        <v>346</v>
      </c>
      <c r="D1661" t="s">
        <v>12</v>
      </c>
      <c r="E1661" s="5">
        <v>100340</v>
      </c>
      <c r="F1661" s="5">
        <v>98610</v>
      </c>
      <c r="G1661" s="5">
        <v>104487</v>
      </c>
      <c r="H1661" s="5">
        <v>96104</v>
      </c>
      <c r="I1661" s="3">
        <f>VLOOKUP(B1661,[1]Sheet3!$A$13:$F$198,6,TRUE)</f>
        <v>100206</v>
      </c>
    </row>
    <row r="1662" spans="1:9">
      <c r="B1662" s="1" t="s">
        <v>346</v>
      </c>
      <c r="D1662" t="s">
        <v>23</v>
      </c>
      <c r="E1662" s="5">
        <v>212346.05</v>
      </c>
      <c r="F1662" s="5">
        <v>220903.52</v>
      </c>
      <c r="G1662" s="5">
        <v>233291.11</v>
      </c>
      <c r="H1662" s="5">
        <v>224332.85</v>
      </c>
      <c r="I1662" s="3">
        <f>VLOOKUP(B1662,[1]Sheet3!$A$13:$G$198,7,TRUE)</f>
        <v>240551.83</v>
      </c>
    </row>
    <row r="1663" spans="1:9">
      <c r="B1663" s="1" t="s">
        <v>346</v>
      </c>
      <c r="D1663" t="s">
        <v>14</v>
      </c>
      <c r="E1663" s="5">
        <v>97050.19</v>
      </c>
      <c r="F1663" s="5">
        <v>99515.35</v>
      </c>
      <c r="G1663" s="5">
        <v>105182.83000000002</v>
      </c>
      <c r="H1663" s="5">
        <v>105182.83000000002</v>
      </c>
      <c r="I1663" s="3">
        <f>VLOOKUP(B1663,[1]Sheet3!$A$13:$H$198,8,TRUE)</f>
        <v>106569.92000000001</v>
      </c>
    </row>
    <row r="1664" spans="1:9">
      <c r="B1664" s="1" t="s">
        <v>346</v>
      </c>
      <c r="D1664" t="s">
        <v>15</v>
      </c>
      <c r="E1664" s="5">
        <v>56427.13</v>
      </c>
      <c r="F1664" s="5">
        <v>58750.29</v>
      </c>
      <c r="G1664" s="5">
        <v>63647.78</v>
      </c>
      <c r="H1664" s="5">
        <v>64462.53</v>
      </c>
      <c r="I1664" s="3">
        <f>VLOOKUP(B1664,[1]Sheet3!$A$13:$I$198,9,TRUE)</f>
        <v>65779.429999999993</v>
      </c>
    </row>
    <row r="1665" spans="1:9">
      <c r="B1665" s="1" t="s">
        <v>346</v>
      </c>
      <c r="D1665" t="s">
        <v>16</v>
      </c>
      <c r="E1665" s="5">
        <v>826.25</v>
      </c>
      <c r="F1665" s="5">
        <v>859.55</v>
      </c>
      <c r="G1665" s="5">
        <v>473.21</v>
      </c>
      <c r="H1665" s="5">
        <v>413.14</v>
      </c>
      <c r="I1665" s="5">
        <f>I1662/I1660</f>
        <v>408.40718166383698</v>
      </c>
    </row>
    <row r="1666" spans="1:9">
      <c r="B1666" s="1" t="s">
        <v>346</v>
      </c>
      <c r="D1666" t="s">
        <v>17</v>
      </c>
      <c r="E1666" s="6">
        <v>2.12</v>
      </c>
      <c r="F1666" s="6">
        <v>2.2400000000000002</v>
      </c>
      <c r="G1666" s="6">
        <v>2.23</v>
      </c>
      <c r="H1666" s="6">
        <v>2.33</v>
      </c>
      <c r="I1666" s="7">
        <f>I1662/I1661</f>
        <v>2.4005731193740893</v>
      </c>
    </row>
    <row r="1667" spans="1:9">
      <c r="B1667" s="1" t="s">
        <v>346</v>
      </c>
      <c r="D1667" t="s">
        <v>18</v>
      </c>
      <c r="E1667" s="8">
        <v>0.45700000000000002</v>
      </c>
      <c r="F1667" s="8">
        <v>0.45050000000000001</v>
      </c>
      <c r="G1667" s="8">
        <v>0.45090000000000002</v>
      </c>
      <c r="H1667" s="8">
        <v>0.46889999999999998</v>
      </c>
      <c r="I1667" s="8">
        <f>I1663/I1662</f>
        <v>0.44302269494270741</v>
      </c>
    </row>
    <row r="1668" spans="1:9">
      <c r="B1668" s="1" t="s">
        <v>346</v>
      </c>
      <c r="D1668" t="s">
        <v>19</v>
      </c>
      <c r="E1668" s="8">
        <v>0.58140000000000003</v>
      </c>
      <c r="F1668" s="8">
        <v>0.59040000000000004</v>
      </c>
      <c r="G1668" s="8">
        <v>0.60509999999999997</v>
      </c>
      <c r="H1668" s="8">
        <v>0.6129</v>
      </c>
      <c r="I1668" s="8">
        <f>I1664/I1663</f>
        <v>0.61724199473922836</v>
      </c>
    </row>
    <row r="1669" spans="1:9">
      <c r="B1669" s="1" t="s">
        <v>346</v>
      </c>
      <c r="D1669" t="s">
        <v>20</v>
      </c>
      <c r="E1669" s="8">
        <v>0.26569999999999999</v>
      </c>
      <c r="F1669" s="8">
        <v>0.26600000000000001</v>
      </c>
      <c r="G1669" s="8">
        <v>0.27279999999999999</v>
      </c>
      <c r="H1669" s="8">
        <v>0.28739999999999999</v>
      </c>
      <c r="I1669" s="8">
        <f>I1664/I1662</f>
        <v>0.27345221194118541</v>
      </c>
    </row>
    <row r="1670" spans="1:9">
      <c r="B1670" s="1" t="s">
        <v>346</v>
      </c>
    </row>
    <row r="1671" spans="1:9">
      <c r="A1671" t="s">
        <v>345</v>
      </c>
      <c r="B1671" s="1" t="s">
        <v>348</v>
      </c>
      <c r="C1671" t="s">
        <v>349</v>
      </c>
    </row>
    <row r="1672" spans="1:9">
      <c r="B1672" s="1" t="s">
        <v>348</v>
      </c>
      <c r="D1672" t="s">
        <v>11</v>
      </c>
      <c r="E1672" s="3">
        <v>292</v>
      </c>
      <c r="F1672" s="3">
        <v>338</v>
      </c>
      <c r="G1672" s="3">
        <v>340</v>
      </c>
      <c r="H1672" s="3">
        <v>378</v>
      </c>
      <c r="I1672" s="3">
        <f>VLOOKUP(B1672,[1]Sheet3!$A$13:$E$198,5,TRUE)</f>
        <v>398</v>
      </c>
    </row>
    <row r="1673" spans="1:9">
      <c r="B1673" s="1" t="s">
        <v>348</v>
      </c>
      <c r="D1673" t="s">
        <v>12</v>
      </c>
      <c r="E1673" s="5">
        <v>100031.6</v>
      </c>
      <c r="F1673" s="5">
        <v>168477.2</v>
      </c>
      <c r="G1673" s="5">
        <v>137955</v>
      </c>
      <c r="H1673" s="5">
        <v>138990</v>
      </c>
      <c r="I1673" s="3">
        <f>VLOOKUP(B1673,[1]Sheet3!$A$13:$F$198,6,TRUE)</f>
        <v>79380</v>
      </c>
    </row>
    <row r="1674" spans="1:9">
      <c r="B1674" s="1" t="s">
        <v>348</v>
      </c>
      <c r="D1674" t="s">
        <v>23</v>
      </c>
      <c r="E1674" s="5">
        <v>189603</v>
      </c>
      <c r="F1674" s="5">
        <v>189839</v>
      </c>
      <c r="G1674" s="5">
        <v>144763</v>
      </c>
      <c r="H1674" s="5">
        <v>156641</v>
      </c>
      <c r="I1674" s="3">
        <f>VLOOKUP(B1674,[1]Sheet3!$A$13:$G$198,7,TRUE)</f>
        <v>161305</v>
      </c>
    </row>
    <row r="1675" spans="1:9">
      <c r="B1675" s="1" t="s">
        <v>348</v>
      </c>
      <c r="D1675" t="s">
        <v>14</v>
      </c>
      <c r="E1675" s="5">
        <v>89269.88</v>
      </c>
      <c r="F1675" s="5">
        <v>106490.94</v>
      </c>
      <c r="G1675" s="5">
        <v>106490.94</v>
      </c>
      <c r="H1675" s="5">
        <v>87862.170000000013</v>
      </c>
      <c r="I1675" s="3">
        <f>VLOOKUP(B1675,[1]Sheet3!$A$13:$H$198,8,TRUE)</f>
        <v>74513.48</v>
      </c>
    </row>
    <row r="1676" spans="1:9">
      <c r="B1676" s="1" t="s">
        <v>348</v>
      </c>
      <c r="D1676" t="s">
        <v>15</v>
      </c>
      <c r="E1676" s="5">
        <v>52045.350000000006</v>
      </c>
      <c r="F1676" s="5">
        <v>64282.850000000006</v>
      </c>
      <c r="G1676" s="5">
        <v>63865.929999999993</v>
      </c>
      <c r="H1676" s="5">
        <v>51924.57</v>
      </c>
      <c r="I1676" s="3">
        <f>VLOOKUP(B1676,[1]Sheet3!$A$13:$I$198,9,TRUE)</f>
        <v>54113.32</v>
      </c>
    </row>
    <row r="1677" spans="1:9">
      <c r="B1677" s="1" t="s">
        <v>348</v>
      </c>
      <c r="D1677" t="s">
        <v>16</v>
      </c>
      <c r="E1677" s="5">
        <v>649.33000000000004</v>
      </c>
      <c r="F1677" s="5">
        <v>561.65</v>
      </c>
      <c r="G1677" s="5">
        <v>425.77</v>
      </c>
      <c r="H1677" s="5">
        <v>414.39</v>
      </c>
      <c r="I1677" s="5">
        <f>I1674/I1672</f>
        <v>405.2889447236181</v>
      </c>
    </row>
    <row r="1678" spans="1:9">
      <c r="B1678" s="1" t="s">
        <v>348</v>
      </c>
      <c r="D1678" t="s">
        <v>17</v>
      </c>
      <c r="E1678" s="6">
        <v>1.9</v>
      </c>
      <c r="F1678" s="6">
        <v>1.1299999999999999</v>
      </c>
      <c r="G1678" s="6">
        <v>1.05</v>
      </c>
      <c r="H1678" s="6">
        <v>1.1299999999999999</v>
      </c>
      <c r="I1678" s="7">
        <f>I1674/I1673</f>
        <v>2.0320609725371632</v>
      </c>
    </row>
    <row r="1679" spans="1:9">
      <c r="B1679" s="1" t="s">
        <v>348</v>
      </c>
      <c r="D1679" t="s">
        <v>18</v>
      </c>
      <c r="E1679" s="8">
        <v>0.4708</v>
      </c>
      <c r="F1679" s="8">
        <v>0.56100000000000005</v>
      </c>
      <c r="G1679" s="8">
        <v>0.73560000000000003</v>
      </c>
      <c r="H1679" s="8">
        <v>0.56089999999999995</v>
      </c>
      <c r="I1679" s="8">
        <f>I1675/I1674</f>
        <v>0.46194153931992188</v>
      </c>
    </row>
    <row r="1680" spans="1:9">
      <c r="B1680" s="1" t="s">
        <v>348</v>
      </c>
      <c r="D1680" t="s">
        <v>19</v>
      </c>
      <c r="E1680" s="8">
        <v>0.58299999999999996</v>
      </c>
      <c r="F1680" s="8">
        <v>0.60360000000000003</v>
      </c>
      <c r="G1680" s="8">
        <v>0.59970000000000001</v>
      </c>
      <c r="H1680" s="8">
        <v>0.59099999999999997</v>
      </c>
      <c r="I1680" s="8">
        <f>I1676/I1675</f>
        <v>0.72622188629493623</v>
      </c>
    </row>
    <row r="1681" spans="1:9">
      <c r="B1681" s="1" t="s">
        <v>348</v>
      </c>
      <c r="D1681" t="s">
        <v>20</v>
      </c>
      <c r="E1681" s="8">
        <v>0.27450000000000002</v>
      </c>
      <c r="F1681" s="8">
        <v>0.33860000000000001</v>
      </c>
      <c r="G1681" s="8">
        <v>0.44119999999999998</v>
      </c>
      <c r="H1681" s="8">
        <v>0.33150000000000002</v>
      </c>
      <c r="I1681" s="8">
        <f>I1676/I1674</f>
        <v>0.33547205604290009</v>
      </c>
    </row>
    <row r="1682" spans="1:9">
      <c r="B1682" s="1" t="s">
        <v>348</v>
      </c>
    </row>
    <row r="1683" spans="1:9">
      <c r="A1683" t="s">
        <v>350</v>
      </c>
      <c r="B1683" s="1" t="s">
        <v>351</v>
      </c>
      <c r="C1683" t="s">
        <v>352</v>
      </c>
    </row>
    <row r="1684" spans="1:9">
      <c r="B1684" s="1" t="s">
        <v>351</v>
      </c>
      <c r="D1684" t="s">
        <v>11</v>
      </c>
      <c r="E1684" s="3">
        <v>354</v>
      </c>
      <c r="F1684" s="3">
        <v>311</v>
      </c>
      <c r="G1684" s="3">
        <v>324</v>
      </c>
      <c r="H1684" s="3">
        <v>297</v>
      </c>
      <c r="I1684" s="3">
        <f>VLOOKUP(B1684,[1]Sheet3!$A$13:$E$198,5,TRUE)</f>
        <v>226</v>
      </c>
    </row>
    <row r="1685" spans="1:9">
      <c r="B1685" s="1" t="s">
        <v>351</v>
      </c>
      <c r="D1685" t="s">
        <v>12</v>
      </c>
      <c r="E1685" s="5">
        <v>83040.100000000006</v>
      </c>
      <c r="F1685" s="5">
        <v>74307</v>
      </c>
      <c r="G1685" s="5">
        <v>74564.2</v>
      </c>
      <c r="H1685" s="5">
        <v>55784.3</v>
      </c>
      <c r="I1685" s="3">
        <f>VLOOKUP(B1685,[1]Sheet3!$A$13:$F$198,6,TRUE)</f>
        <v>49478.400000000001</v>
      </c>
    </row>
    <row r="1686" spans="1:9">
      <c r="B1686" s="1" t="s">
        <v>351</v>
      </c>
      <c r="D1686" t="s">
        <v>23</v>
      </c>
      <c r="E1686" s="5">
        <v>142856.39000000001</v>
      </c>
      <c r="F1686" s="5">
        <v>154127.91</v>
      </c>
      <c r="G1686" s="5">
        <v>141831.69</v>
      </c>
      <c r="H1686" s="5">
        <v>112856.02</v>
      </c>
      <c r="I1686" s="3">
        <f>VLOOKUP(B1686,[1]Sheet3!$A$13:$G$198,7,TRUE)</f>
        <v>82927.11</v>
      </c>
    </row>
    <row r="1687" spans="1:9">
      <c r="B1687" s="1" t="s">
        <v>351</v>
      </c>
      <c r="D1687" t="s">
        <v>14</v>
      </c>
      <c r="E1687" s="5">
        <v>75799.47</v>
      </c>
      <c r="F1687" s="5">
        <v>70812.14</v>
      </c>
      <c r="G1687" s="5">
        <v>70812.14</v>
      </c>
      <c r="H1687" s="5">
        <v>66711.83</v>
      </c>
      <c r="I1687" s="3">
        <f>VLOOKUP(B1687,[1]Sheet3!$A$13:$H$198,8,TRUE)</f>
        <v>40478.5</v>
      </c>
    </row>
    <row r="1688" spans="1:9">
      <c r="B1688" s="1" t="s">
        <v>351</v>
      </c>
      <c r="D1688" t="s">
        <v>15</v>
      </c>
      <c r="E1688" s="5">
        <v>43969.880000000005</v>
      </c>
      <c r="F1688" s="5">
        <v>41151.089999999997</v>
      </c>
      <c r="G1688" s="5">
        <v>42468.240000000005</v>
      </c>
      <c r="H1688" s="5">
        <v>40461.910000000003</v>
      </c>
      <c r="I1688" s="3">
        <f>VLOOKUP(B1688,[1]Sheet3!$A$13:$I$198,9,TRUE)</f>
        <v>30636.7</v>
      </c>
    </row>
    <row r="1689" spans="1:9">
      <c r="B1689" s="1" t="s">
        <v>351</v>
      </c>
      <c r="D1689" t="s">
        <v>16</v>
      </c>
      <c r="E1689" s="5">
        <v>403.55</v>
      </c>
      <c r="F1689" s="5">
        <v>495.59</v>
      </c>
      <c r="G1689" s="5">
        <v>437.75</v>
      </c>
      <c r="H1689" s="5">
        <v>379.99</v>
      </c>
      <c r="I1689" s="5">
        <f>I1686/I1684</f>
        <v>366.93411504424779</v>
      </c>
    </row>
    <row r="1690" spans="1:9">
      <c r="B1690" s="1" t="s">
        <v>351</v>
      </c>
      <c r="D1690" t="s">
        <v>17</v>
      </c>
      <c r="E1690" s="6">
        <v>1.72</v>
      </c>
      <c r="F1690" s="6">
        <v>2.0699999999999998</v>
      </c>
      <c r="G1690" s="6">
        <v>1.9</v>
      </c>
      <c r="H1690" s="6">
        <v>2.02</v>
      </c>
      <c r="I1690" s="7">
        <f>I1686/I1685</f>
        <v>1.6760265085370585</v>
      </c>
    </row>
    <row r="1691" spans="1:9">
      <c r="B1691" s="1" t="s">
        <v>351</v>
      </c>
      <c r="D1691" t="s">
        <v>18</v>
      </c>
      <c r="E1691" s="8">
        <v>0.53059999999999996</v>
      </c>
      <c r="F1691" s="8">
        <v>0.45939999999999998</v>
      </c>
      <c r="G1691" s="8">
        <v>0.49930000000000002</v>
      </c>
      <c r="H1691" s="8">
        <v>0.59109999999999996</v>
      </c>
      <c r="I1691" s="8">
        <f>I1687/I1686</f>
        <v>0.4881214358006688</v>
      </c>
    </row>
    <row r="1692" spans="1:9">
      <c r="B1692" s="1" t="s">
        <v>351</v>
      </c>
      <c r="D1692" t="s">
        <v>19</v>
      </c>
      <c r="E1692" s="8">
        <v>0.58009999999999995</v>
      </c>
      <c r="F1692" s="8">
        <v>0.58109999999999995</v>
      </c>
      <c r="G1692" s="8">
        <v>0.59970000000000001</v>
      </c>
      <c r="H1692" s="8">
        <v>0.60650000000000004</v>
      </c>
      <c r="I1692" s="8">
        <f>I1688/I1687</f>
        <v>0.75686352014032143</v>
      </c>
    </row>
    <row r="1693" spans="1:9">
      <c r="B1693" s="1" t="s">
        <v>351</v>
      </c>
      <c r="D1693" t="s">
        <v>20</v>
      </c>
      <c r="E1693" s="8">
        <v>0.30780000000000002</v>
      </c>
      <c r="F1693" s="8">
        <v>0.26700000000000002</v>
      </c>
      <c r="G1693" s="8">
        <v>0.2994</v>
      </c>
      <c r="H1693" s="8">
        <v>0.35849999999999999</v>
      </c>
      <c r="I1693" s="8">
        <f>I1688/I1686</f>
        <v>0.36944130815604209</v>
      </c>
    </row>
    <row r="1694" spans="1:9">
      <c r="B1694" s="1" t="s">
        <v>351</v>
      </c>
    </row>
    <row r="1695" spans="1:9">
      <c r="A1695" t="s">
        <v>350</v>
      </c>
      <c r="B1695" s="1" t="s">
        <v>353</v>
      </c>
      <c r="C1695" t="s">
        <v>354</v>
      </c>
    </row>
    <row r="1696" spans="1:9">
      <c r="B1696" s="1" t="s">
        <v>353</v>
      </c>
      <c r="D1696" t="s">
        <v>11</v>
      </c>
      <c r="E1696" s="3">
        <v>513</v>
      </c>
      <c r="F1696" s="3">
        <v>493</v>
      </c>
      <c r="G1696" s="3">
        <v>532</v>
      </c>
      <c r="H1696" s="3">
        <v>534</v>
      </c>
      <c r="I1696" s="3">
        <f>VLOOKUP(B1696,[1]Sheet3!$A$13:$E$198,5,TRUE)</f>
        <v>506</v>
      </c>
    </row>
    <row r="1697" spans="1:9">
      <c r="B1697" s="1" t="s">
        <v>353</v>
      </c>
      <c r="D1697" t="s">
        <v>12</v>
      </c>
      <c r="E1697" s="5">
        <v>76588</v>
      </c>
      <c r="F1697" s="5">
        <v>75075</v>
      </c>
      <c r="G1697" s="5">
        <v>62196</v>
      </c>
      <c r="H1697" s="5">
        <v>60590</v>
      </c>
      <c r="I1697" s="3">
        <f>VLOOKUP(B1697,[1]Sheet3!$A$13:$F$198,6,TRUE)</f>
        <v>45698</v>
      </c>
    </row>
    <row r="1698" spans="1:9">
      <c r="B1698" s="1" t="s">
        <v>353</v>
      </c>
      <c r="D1698" t="s">
        <v>23</v>
      </c>
      <c r="E1698" s="5">
        <v>183973.63</v>
      </c>
      <c r="F1698" s="5">
        <v>180452.98</v>
      </c>
      <c r="G1698" s="5">
        <v>185543.48</v>
      </c>
      <c r="H1698" s="5">
        <v>190064.94</v>
      </c>
      <c r="I1698" s="3">
        <f>VLOOKUP(B1698,[1]Sheet3!$A$13:$G$198,7,TRUE)</f>
        <v>163928.01999999999</v>
      </c>
    </row>
    <row r="1699" spans="1:9">
      <c r="B1699" s="1" t="s">
        <v>353</v>
      </c>
      <c r="D1699" t="s">
        <v>14</v>
      </c>
      <c r="E1699" s="5">
        <v>87435.510000000009</v>
      </c>
      <c r="F1699" s="5">
        <v>81492.13</v>
      </c>
      <c r="G1699" s="5">
        <v>79920.78</v>
      </c>
      <c r="H1699" s="5">
        <v>79548.81</v>
      </c>
      <c r="I1699" s="3">
        <f>VLOOKUP(B1699,[1]Sheet3!$A$13:$H$198,8,TRUE)</f>
        <v>66966.77</v>
      </c>
    </row>
    <row r="1700" spans="1:9">
      <c r="B1700" s="1" t="s">
        <v>353</v>
      </c>
      <c r="D1700" t="s">
        <v>15</v>
      </c>
      <c r="E1700" s="5">
        <v>50025.899999999994</v>
      </c>
      <c r="F1700" s="5">
        <v>47337.79</v>
      </c>
      <c r="G1700" s="5">
        <v>47773.95</v>
      </c>
      <c r="H1700" s="5">
        <v>48714.020000000004</v>
      </c>
      <c r="I1700" s="3">
        <f>VLOOKUP(B1700,[1]Sheet3!$A$13:$I$198,9,TRUE)</f>
        <v>48993.22</v>
      </c>
    </row>
    <row r="1701" spans="1:9">
      <c r="B1701" s="1" t="s">
        <v>353</v>
      </c>
      <c r="D1701" t="s">
        <v>16</v>
      </c>
      <c r="E1701" s="5">
        <v>358.62</v>
      </c>
      <c r="F1701" s="5">
        <v>366.03</v>
      </c>
      <c r="G1701" s="5">
        <v>348.77</v>
      </c>
      <c r="H1701" s="5">
        <v>355.93</v>
      </c>
      <c r="I1701" s="5">
        <f>I1698/I1696</f>
        <v>323.96841897233202</v>
      </c>
    </row>
    <row r="1702" spans="1:9">
      <c r="B1702" s="1" t="s">
        <v>353</v>
      </c>
      <c r="D1702" t="s">
        <v>17</v>
      </c>
      <c r="E1702" s="6">
        <v>2.4</v>
      </c>
      <c r="F1702" s="6">
        <v>2.4</v>
      </c>
      <c r="G1702" s="6">
        <v>2.98</v>
      </c>
      <c r="H1702" s="6">
        <v>3.14</v>
      </c>
      <c r="I1702" s="7">
        <f>I1698/I1697</f>
        <v>3.5872033787036628</v>
      </c>
    </row>
    <row r="1703" spans="1:9">
      <c r="B1703" s="1" t="s">
        <v>353</v>
      </c>
      <c r="D1703" t="s">
        <v>18</v>
      </c>
      <c r="E1703" s="8">
        <v>0.4753</v>
      </c>
      <c r="F1703" s="8">
        <v>0.4516</v>
      </c>
      <c r="G1703" s="8">
        <v>0.43070000000000003</v>
      </c>
      <c r="H1703" s="8">
        <v>0.41849999999999998</v>
      </c>
      <c r="I1703" s="8">
        <f>I1699/I1698</f>
        <v>0.40851326088120876</v>
      </c>
    </row>
    <row r="1704" spans="1:9">
      <c r="B1704" s="1" t="s">
        <v>353</v>
      </c>
      <c r="D1704" t="s">
        <v>19</v>
      </c>
      <c r="E1704" s="8">
        <v>0.57210000000000005</v>
      </c>
      <c r="F1704" s="8">
        <v>0.58089999999999997</v>
      </c>
      <c r="G1704" s="8">
        <v>0.5978</v>
      </c>
      <c r="H1704" s="8">
        <v>0.61240000000000006</v>
      </c>
      <c r="I1704" s="8">
        <f>I1700/I1699</f>
        <v>0.73160494376539287</v>
      </c>
    </row>
    <row r="1705" spans="1:9">
      <c r="B1705" s="1" t="s">
        <v>353</v>
      </c>
      <c r="D1705" t="s">
        <v>20</v>
      </c>
      <c r="E1705" s="8">
        <v>0.27189999999999998</v>
      </c>
      <c r="F1705" s="8">
        <v>0.26229999999999998</v>
      </c>
      <c r="G1705" s="8">
        <v>0.25750000000000001</v>
      </c>
      <c r="H1705" s="8">
        <v>0.25629999999999997</v>
      </c>
      <c r="I1705" s="8">
        <f>I1700/I1698</f>
        <v>0.29887032125441398</v>
      </c>
    </row>
    <row r="1706" spans="1:9">
      <c r="B1706" s="1" t="s">
        <v>353</v>
      </c>
    </row>
    <row r="1707" spans="1:9">
      <c r="A1707" t="s">
        <v>350</v>
      </c>
      <c r="B1707" s="1" t="s">
        <v>355</v>
      </c>
      <c r="C1707" t="s">
        <v>356</v>
      </c>
    </row>
    <row r="1708" spans="1:9">
      <c r="B1708" s="1" t="s">
        <v>355</v>
      </c>
      <c r="D1708" t="s">
        <v>11</v>
      </c>
      <c r="E1708" s="3">
        <v>466</v>
      </c>
      <c r="F1708" s="3">
        <v>481</v>
      </c>
      <c r="G1708" s="3">
        <v>473</v>
      </c>
      <c r="H1708" s="3">
        <v>452</v>
      </c>
      <c r="I1708" s="3">
        <f>VLOOKUP(B1708,[1]Sheet3!$A$13:$E$198,5,TRUE)</f>
        <v>453</v>
      </c>
    </row>
    <row r="1709" spans="1:9">
      <c r="B1709" s="1" t="s">
        <v>355</v>
      </c>
      <c r="D1709" t="s">
        <v>12</v>
      </c>
      <c r="E1709" s="5">
        <v>48622</v>
      </c>
      <c r="F1709" s="5">
        <v>67482</v>
      </c>
      <c r="G1709" s="5">
        <v>62429</v>
      </c>
      <c r="H1709" s="5">
        <v>61125</v>
      </c>
      <c r="I1709" s="3">
        <f>VLOOKUP(B1709,[1]Sheet3!$A$13:$F$198,6,TRUE)</f>
        <v>68224</v>
      </c>
    </row>
    <row r="1710" spans="1:9">
      <c r="B1710" s="1" t="s">
        <v>355</v>
      </c>
      <c r="D1710" t="s">
        <v>23</v>
      </c>
      <c r="E1710" s="5">
        <v>88399.06</v>
      </c>
      <c r="F1710" s="5">
        <v>95495.18</v>
      </c>
      <c r="G1710" s="5">
        <v>89150</v>
      </c>
      <c r="H1710" s="5">
        <v>89177.29</v>
      </c>
      <c r="I1710" s="3">
        <f>VLOOKUP(B1710,[1]Sheet3!$A$13:$G$198,7,TRUE)</f>
        <v>97659.1</v>
      </c>
    </row>
    <row r="1711" spans="1:9">
      <c r="B1711" s="1" t="s">
        <v>355</v>
      </c>
      <c r="D1711" t="s">
        <v>14</v>
      </c>
      <c r="E1711" s="5">
        <v>43179.149999999994</v>
      </c>
      <c r="F1711" s="5">
        <v>49244.020000000004</v>
      </c>
      <c r="G1711" s="5">
        <v>49244.020000000004</v>
      </c>
      <c r="H1711" s="5">
        <v>45829.47</v>
      </c>
      <c r="I1711" s="3">
        <f>VLOOKUP(B1711,[1]Sheet3!$A$13:$H$198,8,TRUE)</f>
        <v>50162.770000000004</v>
      </c>
    </row>
    <row r="1712" spans="1:9">
      <c r="B1712" s="1" t="s">
        <v>355</v>
      </c>
      <c r="D1712" t="s">
        <v>15</v>
      </c>
      <c r="E1712" s="5">
        <v>25028.92</v>
      </c>
      <c r="F1712" s="5">
        <v>29541.82</v>
      </c>
      <c r="G1712" s="5">
        <v>29533.17</v>
      </c>
      <c r="H1712" s="5">
        <v>27734.69</v>
      </c>
      <c r="I1712" s="3">
        <f>VLOOKUP(B1712,[1]Sheet3!$A$13:$I$198,9,TRUE)</f>
        <v>31345.23</v>
      </c>
    </row>
    <row r="1713" spans="1:9">
      <c r="B1713" s="1" t="s">
        <v>355</v>
      </c>
      <c r="D1713" t="s">
        <v>16</v>
      </c>
      <c r="E1713" s="5">
        <v>189.7</v>
      </c>
      <c r="F1713" s="5">
        <v>198.53</v>
      </c>
      <c r="G1713" s="5">
        <v>188.48</v>
      </c>
      <c r="H1713" s="5">
        <v>197.29</v>
      </c>
      <c r="I1713" s="5">
        <f>I1710/I1708</f>
        <v>215.58300220750553</v>
      </c>
    </row>
    <row r="1714" spans="1:9">
      <c r="B1714" s="1" t="s">
        <v>355</v>
      </c>
      <c r="D1714" t="s">
        <v>17</v>
      </c>
      <c r="E1714" s="6">
        <v>1.82</v>
      </c>
      <c r="F1714" s="6">
        <v>1.42</v>
      </c>
      <c r="G1714" s="6">
        <v>1.43</v>
      </c>
      <c r="H1714" s="6">
        <v>1.46</v>
      </c>
      <c r="I1714" s="7">
        <f>I1710/I1709</f>
        <v>1.4314478775797375</v>
      </c>
    </row>
    <row r="1715" spans="1:9">
      <c r="B1715" s="1" t="s">
        <v>355</v>
      </c>
      <c r="D1715" t="s">
        <v>18</v>
      </c>
      <c r="E1715" s="8">
        <v>0.48849999999999999</v>
      </c>
      <c r="F1715" s="8">
        <v>0.51570000000000005</v>
      </c>
      <c r="G1715" s="8">
        <v>0.5524</v>
      </c>
      <c r="H1715" s="8">
        <v>0.51390000000000002</v>
      </c>
      <c r="I1715" s="8">
        <f>I1711/I1710</f>
        <v>0.51365177438661636</v>
      </c>
    </row>
    <row r="1716" spans="1:9">
      <c r="B1716" s="1" t="s">
        <v>355</v>
      </c>
      <c r="D1716" t="s">
        <v>19</v>
      </c>
      <c r="E1716" s="8">
        <v>0.57969999999999999</v>
      </c>
      <c r="F1716" s="8">
        <v>0.59989999999999999</v>
      </c>
      <c r="G1716" s="8">
        <v>0.59970000000000001</v>
      </c>
      <c r="H1716" s="8">
        <v>0.60519999999999996</v>
      </c>
      <c r="I1716" s="8">
        <f>I1712/I1711</f>
        <v>0.62487039690989943</v>
      </c>
    </row>
    <row r="1717" spans="1:9">
      <c r="B1717" s="1" t="s">
        <v>355</v>
      </c>
      <c r="D1717" t="s">
        <v>20</v>
      </c>
      <c r="E1717" s="8">
        <v>0.28310000000000002</v>
      </c>
      <c r="F1717" s="8">
        <v>0.30940000000000001</v>
      </c>
      <c r="G1717" s="8">
        <v>0.33129999999999998</v>
      </c>
      <c r="H1717" s="8">
        <v>0.311</v>
      </c>
      <c r="I1717" s="8">
        <f>I1712/I1710</f>
        <v>0.32096578813443905</v>
      </c>
    </row>
    <row r="1718" spans="1:9">
      <c r="B1718" s="1" t="s">
        <v>355</v>
      </c>
    </row>
    <row r="1719" spans="1:9">
      <c r="A1719" t="s">
        <v>357</v>
      </c>
      <c r="B1719" s="1" t="s">
        <v>358</v>
      </c>
      <c r="C1719" t="s">
        <v>359</v>
      </c>
    </row>
    <row r="1720" spans="1:9">
      <c r="B1720" s="1" t="s">
        <v>358</v>
      </c>
      <c r="D1720" t="s">
        <v>11</v>
      </c>
      <c r="E1720" s="3">
        <v>465</v>
      </c>
      <c r="F1720" s="3">
        <v>438</v>
      </c>
      <c r="G1720" s="3">
        <v>420</v>
      </c>
      <c r="H1720" s="3">
        <v>389</v>
      </c>
      <c r="I1720" s="3">
        <f>VLOOKUP(B1720,[1]Sheet3!$A$13:$E$198,5,TRUE)</f>
        <v>389</v>
      </c>
    </row>
    <row r="1721" spans="1:9">
      <c r="B1721" s="1" t="s">
        <v>358</v>
      </c>
      <c r="D1721" t="s">
        <v>12</v>
      </c>
      <c r="E1721" s="5">
        <v>63008.4</v>
      </c>
      <c r="F1721" s="5">
        <v>59935.199999999997</v>
      </c>
      <c r="G1721" s="5">
        <v>63273.599999999999</v>
      </c>
      <c r="H1721" s="5">
        <v>57720</v>
      </c>
      <c r="I1721" s="3">
        <f>VLOOKUP(B1721,[1]Sheet3!$A$13:$F$198,6,TRUE)</f>
        <v>65145.599999999999</v>
      </c>
    </row>
    <row r="1722" spans="1:9">
      <c r="B1722" s="1" t="s">
        <v>358</v>
      </c>
      <c r="D1722" t="s">
        <v>23</v>
      </c>
      <c r="E1722" s="5">
        <v>155220.44</v>
      </c>
      <c r="F1722" s="5">
        <v>120304.1</v>
      </c>
      <c r="G1722" s="5">
        <v>102995.19</v>
      </c>
      <c r="H1722" s="5">
        <v>96045.47</v>
      </c>
      <c r="I1722" s="3">
        <f>VLOOKUP(B1722,[1]Sheet3!$A$13:$G$198,7,TRUE)</f>
        <v>132962.35</v>
      </c>
    </row>
    <row r="1723" spans="1:9">
      <c r="B1723" s="1" t="s">
        <v>358</v>
      </c>
      <c r="D1723" t="s">
        <v>14</v>
      </c>
      <c r="E1723" s="5">
        <v>68352.63</v>
      </c>
      <c r="F1723" s="5">
        <v>68352.63</v>
      </c>
      <c r="G1723" s="5">
        <v>55756.83</v>
      </c>
      <c r="H1723" s="5">
        <v>50730.35</v>
      </c>
      <c r="I1723" s="3">
        <f>VLOOKUP(B1723,[1]Sheet3!$A$13:$H$198,8,TRUE)</f>
        <v>61349.04</v>
      </c>
    </row>
    <row r="1724" spans="1:9">
      <c r="B1724" s="1" t="s">
        <v>358</v>
      </c>
      <c r="D1724" t="s">
        <v>15</v>
      </c>
      <c r="E1724" s="5">
        <v>40044.36</v>
      </c>
      <c r="F1724" s="5">
        <v>40188.720000000001</v>
      </c>
      <c r="G1724" s="5">
        <v>32180.370000000003</v>
      </c>
      <c r="H1724" s="5">
        <v>30571.87</v>
      </c>
      <c r="I1724" s="3">
        <f>VLOOKUP(B1724,[1]Sheet3!$A$13:$I$198,9,TRUE)</f>
        <v>38888.229999999996</v>
      </c>
    </row>
    <row r="1725" spans="1:9">
      <c r="B1725" s="1" t="s">
        <v>358</v>
      </c>
      <c r="D1725" t="s">
        <v>16</v>
      </c>
      <c r="E1725" s="5">
        <v>333.81</v>
      </c>
      <c r="F1725" s="5">
        <v>274.67</v>
      </c>
      <c r="G1725" s="5">
        <v>245.23</v>
      </c>
      <c r="H1725" s="5">
        <v>246.9</v>
      </c>
      <c r="I1725" s="5">
        <f>I1722/I1720</f>
        <v>341.80552699228792</v>
      </c>
    </row>
    <row r="1726" spans="1:9">
      <c r="B1726" s="1" t="s">
        <v>358</v>
      </c>
      <c r="D1726" t="s">
        <v>17</v>
      </c>
      <c r="E1726" s="6">
        <v>2.46</v>
      </c>
      <c r="F1726" s="6">
        <v>2.0099999999999998</v>
      </c>
      <c r="G1726" s="6">
        <v>1.63</v>
      </c>
      <c r="H1726" s="6">
        <v>1.66</v>
      </c>
      <c r="I1726" s="7">
        <f>I1722/I1721</f>
        <v>2.0410027691816488</v>
      </c>
    </row>
    <row r="1727" spans="1:9">
      <c r="B1727" s="1" t="s">
        <v>358</v>
      </c>
      <c r="D1727" t="s">
        <v>18</v>
      </c>
      <c r="E1727" s="8">
        <v>0.44040000000000001</v>
      </c>
      <c r="F1727" s="8">
        <v>0.56820000000000004</v>
      </c>
      <c r="G1727" s="8">
        <v>0.54139999999999999</v>
      </c>
      <c r="H1727" s="8">
        <v>0.5282</v>
      </c>
      <c r="I1727" s="8">
        <f>I1723/I1722</f>
        <v>0.46140159225525118</v>
      </c>
    </row>
    <row r="1728" spans="1:9">
      <c r="B1728" s="1" t="s">
        <v>358</v>
      </c>
      <c r="D1728" t="s">
        <v>19</v>
      </c>
      <c r="E1728" s="8">
        <v>0.58579999999999999</v>
      </c>
      <c r="F1728" s="8">
        <v>0.58799999999999997</v>
      </c>
      <c r="G1728" s="8">
        <v>0.57720000000000005</v>
      </c>
      <c r="H1728" s="8">
        <v>0.60260000000000002</v>
      </c>
      <c r="I1728" s="8">
        <f>I1724/I1723</f>
        <v>0.63388489860640029</v>
      </c>
    </row>
    <row r="1729" spans="1:9">
      <c r="B1729" s="1" t="s">
        <v>358</v>
      </c>
      <c r="D1729" t="s">
        <v>20</v>
      </c>
      <c r="E1729" s="8">
        <v>0.25800000000000001</v>
      </c>
      <c r="F1729" s="8">
        <v>0.33410000000000001</v>
      </c>
      <c r="G1729" s="8">
        <v>0.31240000000000001</v>
      </c>
      <c r="H1729" s="8">
        <v>0.31830000000000003</v>
      </c>
      <c r="I1729" s="8">
        <f>I1724/I1722</f>
        <v>0.29247550152355156</v>
      </c>
    </row>
    <row r="1730" spans="1:9">
      <c r="B1730" s="1" t="s">
        <v>358</v>
      </c>
    </row>
    <row r="1731" spans="1:9">
      <c r="A1731" t="s">
        <v>357</v>
      </c>
      <c r="B1731" s="1" t="s">
        <v>360</v>
      </c>
      <c r="C1731" t="s">
        <v>361</v>
      </c>
    </row>
    <row r="1732" spans="1:9">
      <c r="B1732" s="1" t="s">
        <v>360</v>
      </c>
      <c r="D1732" t="s">
        <v>11</v>
      </c>
      <c r="E1732" s="3">
        <v>1349</v>
      </c>
      <c r="F1732" s="3">
        <v>1330</v>
      </c>
      <c r="G1732" s="3">
        <v>1554</v>
      </c>
      <c r="H1732" s="3">
        <v>1395</v>
      </c>
      <c r="I1732" s="3">
        <f>VLOOKUP(B1732,[1]Sheet3!$A$13:$E$198,5,TRUE)</f>
        <v>1250</v>
      </c>
    </row>
    <row r="1733" spans="1:9">
      <c r="B1733" s="1" t="s">
        <v>360</v>
      </c>
      <c r="D1733" t="s">
        <v>12</v>
      </c>
      <c r="E1733" s="5">
        <v>128020</v>
      </c>
      <c r="F1733" s="5">
        <v>122484</v>
      </c>
      <c r="G1733" s="5">
        <v>122636</v>
      </c>
      <c r="H1733" s="5">
        <v>112104</v>
      </c>
      <c r="I1733" s="3">
        <f>VLOOKUP(B1733,[1]Sheet3!$A$13:$F$198,6,TRUE)</f>
        <v>114724</v>
      </c>
    </row>
    <row r="1734" spans="1:9">
      <c r="B1734" s="1" t="s">
        <v>360</v>
      </c>
      <c r="D1734" t="s">
        <v>23</v>
      </c>
      <c r="E1734" s="5">
        <v>594177</v>
      </c>
      <c r="F1734" s="5">
        <v>597031</v>
      </c>
      <c r="G1734" s="5">
        <v>521147</v>
      </c>
      <c r="H1734" s="5">
        <v>564955</v>
      </c>
      <c r="I1734" s="3">
        <f>VLOOKUP(B1734,[1]Sheet3!$A$13:$G$198,7,TRUE)</f>
        <v>552507</v>
      </c>
    </row>
    <row r="1735" spans="1:9">
      <c r="B1735" s="1" t="s">
        <v>360</v>
      </c>
      <c r="D1735" t="s">
        <v>14</v>
      </c>
      <c r="E1735" s="5">
        <v>233308.34999999998</v>
      </c>
      <c r="F1735" s="5">
        <v>233308.34999999998</v>
      </c>
      <c r="G1735" s="5">
        <v>232888.6</v>
      </c>
      <c r="H1735" s="5">
        <v>219424.94</v>
      </c>
      <c r="I1735" s="3">
        <f>VLOOKUP(B1735,[1]Sheet3!$A$13:$H$198,8,TRUE)</f>
        <v>215864.95</v>
      </c>
    </row>
    <row r="1736" spans="1:9">
      <c r="B1736" s="1" t="s">
        <v>360</v>
      </c>
      <c r="D1736" t="s">
        <v>15</v>
      </c>
      <c r="E1736" s="5">
        <v>135715.16</v>
      </c>
      <c r="F1736" s="5">
        <v>137176.33000000002</v>
      </c>
      <c r="G1736" s="5">
        <v>139628.58000000002</v>
      </c>
      <c r="H1736" s="5">
        <v>133087.48000000001</v>
      </c>
      <c r="I1736" s="3">
        <f>VLOOKUP(B1736,[1]Sheet3!$A$13:$I$198,9,TRUE)</f>
        <v>135141.35999999999</v>
      </c>
    </row>
    <row r="1737" spans="1:9">
      <c r="B1737" s="1" t="s">
        <v>360</v>
      </c>
      <c r="D1737" t="s">
        <v>16</v>
      </c>
      <c r="E1737" s="5">
        <v>440.46</v>
      </c>
      <c r="F1737" s="5">
        <v>448.9</v>
      </c>
      <c r="G1737" s="5">
        <v>335.36</v>
      </c>
      <c r="H1737" s="5">
        <v>404.99</v>
      </c>
      <c r="I1737" s="5">
        <f>I1734/I1732</f>
        <v>442.00560000000002</v>
      </c>
    </row>
    <row r="1738" spans="1:9">
      <c r="B1738" s="1" t="s">
        <v>360</v>
      </c>
      <c r="D1738" t="s">
        <v>17</v>
      </c>
      <c r="E1738" s="6">
        <v>4.6399999999999997</v>
      </c>
      <c r="F1738" s="6">
        <v>4.87</v>
      </c>
      <c r="G1738" s="6">
        <v>4.25</v>
      </c>
      <c r="H1738" s="6">
        <v>5.04</v>
      </c>
      <c r="I1738" s="7">
        <f>I1734/I1733</f>
        <v>4.8159670164917543</v>
      </c>
    </row>
    <row r="1739" spans="1:9">
      <c r="B1739" s="1" t="s">
        <v>360</v>
      </c>
      <c r="D1739" t="s">
        <v>18</v>
      </c>
      <c r="E1739" s="8">
        <v>0.39269999999999999</v>
      </c>
      <c r="F1739" s="8">
        <v>0.39079999999999998</v>
      </c>
      <c r="G1739" s="8">
        <v>0.44690000000000002</v>
      </c>
      <c r="H1739" s="8">
        <v>0.38840000000000002</v>
      </c>
      <c r="I1739" s="8">
        <f>I1735/I1734</f>
        <v>0.39070084179928943</v>
      </c>
    </row>
    <row r="1740" spans="1:9">
      <c r="B1740" s="1" t="s">
        <v>360</v>
      </c>
      <c r="D1740" t="s">
        <v>19</v>
      </c>
      <c r="E1740" s="8">
        <v>0.58169999999999999</v>
      </c>
      <c r="F1740" s="8">
        <v>0.58799999999999997</v>
      </c>
      <c r="G1740" s="8">
        <v>0.59960000000000002</v>
      </c>
      <c r="H1740" s="8">
        <v>0.60650000000000004</v>
      </c>
      <c r="I1740" s="8">
        <f>I1736/I1735</f>
        <v>0.62604586802998807</v>
      </c>
    </row>
    <row r="1741" spans="1:9">
      <c r="B1741" s="1" t="s">
        <v>360</v>
      </c>
      <c r="D1741" t="s">
        <v>20</v>
      </c>
      <c r="E1741" s="8">
        <v>0.22839999999999999</v>
      </c>
      <c r="F1741" s="8">
        <v>0.2298</v>
      </c>
      <c r="G1741" s="8">
        <v>0.26790000000000003</v>
      </c>
      <c r="H1741" s="8">
        <v>0.2356</v>
      </c>
      <c r="I1741" s="8">
        <f>I1736/I1734</f>
        <v>0.24459664764428321</v>
      </c>
    </row>
    <row r="1742" spans="1:9">
      <c r="B1742" s="1" t="s">
        <v>360</v>
      </c>
    </row>
    <row r="1743" spans="1:9">
      <c r="A1743" t="s">
        <v>357</v>
      </c>
      <c r="B1743" s="1" t="s">
        <v>362</v>
      </c>
      <c r="C1743" t="s">
        <v>363</v>
      </c>
    </row>
    <row r="1744" spans="1:9">
      <c r="B1744" s="1" t="s">
        <v>362</v>
      </c>
      <c r="D1744" t="s">
        <v>11</v>
      </c>
      <c r="E1744" s="3">
        <v>389</v>
      </c>
      <c r="F1744" s="3">
        <v>382</v>
      </c>
      <c r="G1744" s="3">
        <v>372</v>
      </c>
      <c r="H1744" s="3">
        <v>359</v>
      </c>
      <c r="I1744" s="3">
        <f>VLOOKUP(B1744,[1]Sheet3!$A$13:$E$198,5,TRUE)</f>
        <v>383</v>
      </c>
    </row>
    <row r="1745" spans="1:9">
      <c r="B1745" s="1" t="s">
        <v>362</v>
      </c>
      <c r="D1745" t="s">
        <v>12</v>
      </c>
      <c r="E1745" s="5">
        <v>102583</v>
      </c>
      <c r="F1745" s="5">
        <v>85176</v>
      </c>
      <c r="G1745" s="5">
        <v>109174</v>
      </c>
      <c r="H1745" s="5">
        <v>78078</v>
      </c>
      <c r="I1745" s="3">
        <f>VLOOKUP(B1745,[1]Sheet3!$A$13:$F$198,6,TRUE)</f>
        <v>70811</v>
      </c>
    </row>
    <row r="1746" spans="1:9">
      <c r="B1746" s="1" t="s">
        <v>362</v>
      </c>
      <c r="D1746" t="s">
        <v>23</v>
      </c>
      <c r="E1746" s="5">
        <v>198750.45</v>
      </c>
      <c r="F1746" s="5">
        <v>237632</v>
      </c>
      <c r="G1746" s="5">
        <v>160236.97</v>
      </c>
      <c r="H1746" s="5">
        <v>132125.07</v>
      </c>
      <c r="I1746" s="3">
        <f>VLOOKUP(B1746,[1]Sheet3!$A$13:$G$198,7,TRUE)</f>
        <v>126301</v>
      </c>
    </row>
    <row r="1747" spans="1:9">
      <c r="B1747" s="1" t="s">
        <v>362</v>
      </c>
      <c r="D1747" t="s">
        <v>14</v>
      </c>
      <c r="E1747" s="5">
        <v>93007.08</v>
      </c>
      <c r="F1747" s="5">
        <v>101816.95000000001</v>
      </c>
      <c r="G1747" s="5">
        <v>101816.95000000001</v>
      </c>
      <c r="H1747" s="5">
        <v>81613.170000000013</v>
      </c>
      <c r="I1747" s="3">
        <f>VLOOKUP(B1747,[1]Sheet3!$A$13:$H$198,8,TRUE)</f>
        <v>60511.66</v>
      </c>
    </row>
    <row r="1748" spans="1:9">
      <c r="B1748" s="1" t="s">
        <v>362</v>
      </c>
      <c r="D1748" t="s">
        <v>15</v>
      </c>
      <c r="E1748" s="5">
        <v>54276.82</v>
      </c>
      <c r="F1748" s="5">
        <v>60718.92</v>
      </c>
      <c r="G1748" s="5">
        <v>61062.79</v>
      </c>
      <c r="H1748" s="5">
        <v>47932.24</v>
      </c>
      <c r="I1748" s="3">
        <f>VLOOKUP(B1748,[1]Sheet3!$A$13:$I$198,9,TRUE)</f>
        <v>37804.559999999998</v>
      </c>
    </row>
    <row r="1749" spans="1:9">
      <c r="B1749" s="1" t="s">
        <v>362</v>
      </c>
      <c r="D1749" t="s">
        <v>16</v>
      </c>
      <c r="E1749" s="5">
        <v>510.93</v>
      </c>
      <c r="F1749" s="5">
        <v>622.07000000000005</v>
      </c>
      <c r="G1749" s="5">
        <v>430.74</v>
      </c>
      <c r="H1749" s="5">
        <v>368.04</v>
      </c>
      <c r="I1749" s="5">
        <f>I1746/I1744</f>
        <v>329.76762402088775</v>
      </c>
    </row>
    <row r="1750" spans="1:9">
      <c r="B1750" s="1" t="s">
        <v>362</v>
      </c>
      <c r="D1750" t="s">
        <v>17</v>
      </c>
      <c r="E1750" s="6">
        <v>1.94</v>
      </c>
      <c r="F1750" s="6">
        <v>2.79</v>
      </c>
      <c r="G1750" s="6">
        <v>1.47</v>
      </c>
      <c r="H1750" s="6">
        <v>1.69</v>
      </c>
      <c r="I1750" s="7">
        <f>I1746/I1745</f>
        <v>1.7836353108980243</v>
      </c>
    </row>
    <row r="1751" spans="1:9">
      <c r="B1751" s="1" t="s">
        <v>362</v>
      </c>
      <c r="D1751" t="s">
        <v>18</v>
      </c>
      <c r="E1751" s="8">
        <v>0.46800000000000003</v>
      </c>
      <c r="F1751" s="8">
        <v>0.42849999999999999</v>
      </c>
      <c r="G1751" s="8">
        <v>0.63539999999999996</v>
      </c>
      <c r="H1751" s="8">
        <v>0.61770000000000003</v>
      </c>
      <c r="I1751" s="8">
        <f>I1747/I1746</f>
        <v>0.47910673708046653</v>
      </c>
    </row>
    <row r="1752" spans="1:9">
      <c r="B1752" s="1" t="s">
        <v>362</v>
      </c>
      <c r="D1752" t="s">
        <v>19</v>
      </c>
      <c r="E1752" s="8">
        <v>0.58360000000000001</v>
      </c>
      <c r="F1752" s="8">
        <v>0.59640000000000004</v>
      </c>
      <c r="G1752" s="8">
        <v>0.59970000000000001</v>
      </c>
      <c r="H1752" s="8">
        <v>0.58730000000000004</v>
      </c>
      <c r="I1752" s="8">
        <f>I1748/I1747</f>
        <v>0.62474835428411646</v>
      </c>
    </row>
    <row r="1753" spans="1:9">
      <c r="B1753" s="1" t="s">
        <v>362</v>
      </c>
      <c r="D1753" t="s">
        <v>20</v>
      </c>
      <c r="E1753" s="8">
        <v>0.27310000000000001</v>
      </c>
      <c r="F1753" s="8">
        <v>0.2555</v>
      </c>
      <c r="G1753" s="8">
        <v>0.38109999999999999</v>
      </c>
      <c r="H1753" s="8">
        <v>0.36280000000000001</v>
      </c>
      <c r="I1753" s="8">
        <f>I1748/I1746</f>
        <v>0.29932114551745431</v>
      </c>
    </row>
    <row r="1754" spans="1:9">
      <c r="B1754" s="1" t="s">
        <v>362</v>
      </c>
    </row>
    <row r="1755" spans="1:9">
      <c r="A1755" t="s">
        <v>364</v>
      </c>
      <c r="B1755" s="1" t="s">
        <v>365</v>
      </c>
      <c r="C1755" t="s">
        <v>366</v>
      </c>
    </row>
    <row r="1756" spans="1:9">
      <c r="B1756" s="1" t="s">
        <v>365</v>
      </c>
      <c r="D1756" t="s">
        <v>11</v>
      </c>
      <c r="E1756" s="3">
        <v>79</v>
      </c>
      <c r="F1756" s="3">
        <v>81</v>
      </c>
      <c r="G1756" s="3">
        <v>84</v>
      </c>
      <c r="H1756" s="3">
        <v>99</v>
      </c>
      <c r="I1756" s="3">
        <f>VLOOKUP(B1756,[1]Sheet3!$A$13:$E$198,5,TRUE)</f>
        <v>97</v>
      </c>
    </row>
    <row r="1757" spans="1:9">
      <c r="B1757" s="1" t="s">
        <v>365</v>
      </c>
      <c r="D1757" t="s">
        <v>12</v>
      </c>
      <c r="E1757" s="5">
        <v>62392.5</v>
      </c>
      <c r="F1757" s="5">
        <v>67369.5</v>
      </c>
      <c r="G1757" s="5">
        <v>74153.399999999994</v>
      </c>
      <c r="H1757" s="5">
        <v>54998.2</v>
      </c>
      <c r="I1757" s="3">
        <f>VLOOKUP(B1757,[1]Sheet3!$A$13:$F$198,6,TRUE)</f>
        <v>48363</v>
      </c>
    </row>
    <row r="1758" spans="1:9">
      <c r="B1758" s="1" t="s">
        <v>365</v>
      </c>
      <c r="D1758" t="s">
        <v>23</v>
      </c>
      <c r="E1758" s="5">
        <v>78212.06</v>
      </c>
      <c r="F1758" s="5">
        <v>94955.89</v>
      </c>
      <c r="G1758" s="5">
        <v>109987.2</v>
      </c>
      <c r="H1758" s="5">
        <v>90030.49</v>
      </c>
      <c r="I1758" s="3">
        <f>VLOOKUP(B1758,[1]Sheet3!$A$13:$G$198,7,TRUE)</f>
        <v>86513.49</v>
      </c>
    </row>
    <row r="1759" spans="1:9">
      <c r="B1759" s="1" t="s">
        <v>365</v>
      </c>
      <c r="D1759" t="s">
        <v>14</v>
      </c>
      <c r="E1759" s="5">
        <v>43646.01</v>
      </c>
      <c r="F1759" s="5">
        <v>49033.19</v>
      </c>
      <c r="G1759" s="5">
        <v>55823.22</v>
      </c>
      <c r="H1759" s="5">
        <v>55823.22</v>
      </c>
      <c r="I1759" s="3">
        <f>VLOOKUP(B1759,[1]Sheet3!$A$13:$H$198,8,TRUE)</f>
        <v>41413.869999999995</v>
      </c>
    </row>
    <row r="1760" spans="1:9">
      <c r="B1760" s="1" t="s">
        <v>365</v>
      </c>
      <c r="D1760" t="s">
        <v>15</v>
      </c>
      <c r="E1760" s="5">
        <v>25359.040000000001</v>
      </c>
      <c r="F1760" s="5">
        <v>29352.14</v>
      </c>
      <c r="G1760" s="5">
        <v>34157.46</v>
      </c>
      <c r="H1760" s="5">
        <v>34211.910000000003</v>
      </c>
      <c r="I1760" s="3">
        <f>VLOOKUP(B1760,[1]Sheet3!$A$13:$I$198,9,TRUE)</f>
        <v>26061.85</v>
      </c>
    </row>
    <row r="1761" spans="1:9">
      <c r="B1761" s="1" t="s">
        <v>365</v>
      </c>
      <c r="D1761" t="s">
        <v>16</v>
      </c>
      <c r="E1761" s="5">
        <v>990.03</v>
      </c>
      <c r="F1761" s="5">
        <v>1172.29</v>
      </c>
      <c r="G1761" s="5">
        <v>1309.3699999999999</v>
      </c>
      <c r="H1761" s="5">
        <v>909.4</v>
      </c>
      <c r="I1761" s="5">
        <f>I1758/I1756</f>
        <v>891.89164948453617</v>
      </c>
    </row>
    <row r="1762" spans="1:9">
      <c r="B1762" s="1" t="s">
        <v>365</v>
      </c>
      <c r="D1762" t="s">
        <v>17</v>
      </c>
      <c r="E1762" s="6">
        <v>1.25</v>
      </c>
      <c r="F1762" s="6">
        <v>1.41</v>
      </c>
      <c r="G1762" s="6">
        <v>1.48</v>
      </c>
      <c r="H1762" s="6">
        <v>1.64</v>
      </c>
      <c r="I1762" s="7">
        <f>I1758/I1757</f>
        <v>1.788836300477638</v>
      </c>
    </row>
    <row r="1763" spans="1:9">
      <c r="B1763" s="1" t="s">
        <v>365</v>
      </c>
      <c r="D1763" t="s">
        <v>18</v>
      </c>
      <c r="E1763" s="8">
        <v>0.55800000000000005</v>
      </c>
      <c r="F1763" s="8">
        <v>0.51639999999999997</v>
      </c>
      <c r="G1763" s="8">
        <v>0.50749999999999995</v>
      </c>
      <c r="H1763" s="8">
        <v>0.62</v>
      </c>
      <c r="I1763" s="8">
        <f>I1759/I1758</f>
        <v>0.4786984087683897</v>
      </c>
    </row>
    <row r="1764" spans="1:9">
      <c r="B1764" s="1" t="s">
        <v>365</v>
      </c>
      <c r="D1764" t="s">
        <v>19</v>
      </c>
      <c r="E1764" s="8">
        <v>0.58099999999999996</v>
      </c>
      <c r="F1764" s="8">
        <v>0.59860000000000002</v>
      </c>
      <c r="G1764" s="8">
        <v>0.6119</v>
      </c>
      <c r="H1764" s="8">
        <v>0.6129</v>
      </c>
      <c r="I1764" s="8">
        <f>I1760/I1759</f>
        <v>0.62930245350168923</v>
      </c>
    </row>
    <row r="1765" spans="1:9">
      <c r="B1765" s="1" t="s">
        <v>365</v>
      </c>
      <c r="D1765" t="s">
        <v>20</v>
      </c>
      <c r="E1765" s="8">
        <v>0.32419999999999999</v>
      </c>
      <c r="F1765" s="8">
        <v>0.30909999999999999</v>
      </c>
      <c r="G1765" s="8">
        <v>0.31059999999999999</v>
      </c>
      <c r="H1765" s="8">
        <v>0.38</v>
      </c>
      <c r="I1765" s="8">
        <f>I1760/I1758</f>
        <v>0.30124608312530216</v>
      </c>
    </row>
    <row r="1766" spans="1:9">
      <c r="B1766" s="1" t="s">
        <v>365</v>
      </c>
    </row>
    <row r="1767" spans="1:9">
      <c r="A1767" t="s">
        <v>364</v>
      </c>
      <c r="B1767" s="1" t="s">
        <v>367</v>
      </c>
      <c r="C1767" t="s">
        <v>368</v>
      </c>
    </row>
    <row r="1768" spans="1:9">
      <c r="B1768" s="1" t="s">
        <v>367</v>
      </c>
      <c r="D1768" t="s">
        <v>11</v>
      </c>
      <c r="E1768" s="3">
        <v>130</v>
      </c>
      <c r="F1768" s="3">
        <v>145</v>
      </c>
      <c r="G1768" s="3">
        <v>124</v>
      </c>
      <c r="H1768" s="3">
        <v>115</v>
      </c>
      <c r="I1768" s="3">
        <f>VLOOKUP(B1768,[1]Sheet3!$A$13:$E$198,5,TRUE)</f>
        <v>112</v>
      </c>
    </row>
    <row r="1769" spans="1:9">
      <c r="B1769" s="1" t="s">
        <v>367</v>
      </c>
      <c r="D1769" t="s">
        <v>12</v>
      </c>
      <c r="E1769" s="5">
        <v>41172</v>
      </c>
      <c r="F1769" s="5">
        <v>37008</v>
      </c>
      <c r="G1769" s="5">
        <v>41083.9</v>
      </c>
      <c r="H1769" s="5">
        <v>42185</v>
      </c>
      <c r="I1769" s="3">
        <f>VLOOKUP(B1769,[1]Sheet3!$A$13:$F$198,6,TRUE)</f>
        <v>44044</v>
      </c>
    </row>
    <row r="1770" spans="1:9">
      <c r="B1770" s="1" t="s">
        <v>367</v>
      </c>
      <c r="D1770" t="s">
        <v>23</v>
      </c>
      <c r="E1770" s="5">
        <v>48132</v>
      </c>
      <c r="F1770" s="5">
        <v>50366.98</v>
      </c>
      <c r="G1770" s="5">
        <v>53757.04</v>
      </c>
      <c r="H1770" s="5">
        <v>76041.81</v>
      </c>
      <c r="I1770" s="3">
        <f>VLOOKUP(B1770,[1]Sheet3!$A$13:$G$198,7,TRUE)</f>
        <v>64741</v>
      </c>
    </row>
    <row r="1771" spans="1:9">
      <c r="B1771" s="1" t="s">
        <v>367</v>
      </c>
      <c r="D1771" t="s">
        <v>14</v>
      </c>
      <c r="E1771" s="5">
        <v>32125.87</v>
      </c>
      <c r="F1771" s="5">
        <v>26613.190000000002</v>
      </c>
      <c r="G1771" s="5">
        <v>28496.33</v>
      </c>
      <c r="H1771" s="5">
        <v>36319.93</v>
      </c>
      <c r="I1771" s="3">
        <f>VLOOKUP(B1771,[1]Sheet3!$A$13:$H$198,8,TRUE)</f>
        <v>32957.9</v>
      </c>
    </row>
    <row r="1772" spans="1:9">
      <c r="B1772" s="1" t="s">
        <v>367</v>
      </c>
      <c r="D1772" t="s">
        <v>15</v>
      </c>
      <c r="E1772" s="5">
        <v>18665.650000000001</v>
      </c>
      <c r="F1772" s="5">
        <v>15112.86</v>
      </c>
      <c r="G1772" s="5">
        <v>17278.32</v>
      </c>
      <c r="H1772" s="5">
        <v>23066.61</v>
      </c>
      <c r="I1772" s="3">
        <f>VLOOKUP(B1772,[1]Sheet3!$A$13:$I$198,9,TRUE)</f>
        <v>22369.040000000001</v>
      </c>
    </row>
    <row r="1773" spans="1:9">
      <c r="B1773" s="1" t="s">
        <v>367</v>
      </c>
      <c r="D1773" t="s">
        <v>16</v>
      </c>
      <c r="E1773" s="5">
        <v>370.25</v>
      </c>
      <c r="F1773" s="5">
        <v>347.36</v>
      </c>
      <c r="G1773" s="5">
        <v>433.52</v>
      </c>
      <c r="H1773" s="5">
        <v>661.23</v>
      </c>
      <c r="I1773" s="5">
        <f>I1770/I1768</f>
        <v>578.04464285714289</v>
      </c>
    </row>
    <row r="1774" spans="1:9">
      <c r="B1774" s="1" t="s">
        <v>367</v>
      </c>
      <c r="D1774" t="s">
        <v>17</v>
      </c>
      <c r="E1774" s="6">
        <v>1.17</v>
      </c>
      <c r="F1774" s="6">
        <v>1.36</v>
      </c>
      <c r="G1774" s="6">
        <v>1.31</v>
      </c>
      <c r="H1774" s="6">
        <v>1.8</v>
      </c>
      <c r="I1774" s="7">
        <f>I1770/I1769</f>
        <v>1.4699164471891744</v>
      </c>
    </row>
    <row r="1775" spans="1:9">
      <c r="B1775" s="1" t="s">
        <v>367</v>
      </c>
      <c r="D1775" t="s">
        <v>18</v>
      </c>
      <c r="E1775" s="8">
        <v>0.66749999999999998</v>
      </c>
      <c r="F1775" s="8">
        <v>0.52839999999999998</v>
      </c>
      <c r="G1775" s="8">
        <v>0.53010000000000002</v>
      </c>
      <c r="H1775" s="8">
        <v>0.47760000000000002</v>
      </c>
      <c r="I1775" s="8">
        <f>I1771/I1770</f>
        <v>0.50907307579431893</v>
      </c>
    </row>
    <row r="1776" spans="1:9">
      <c r="B1776" s="1" t="s">
        <v>367</v>
      </c>
      <c r="D1776" t="s">
        <v>19</v>
      </c>
      <c r="E1776" s="8">
        <v>0.58099999999999996</v>
      </c>
      <c r="F1776" s="8">
        <v>0.56789999999999996</v>
      </c>
      <c r="G1776" s="8">
        <v>0.60629999999999995</v>
      </c>
      <c r="H1776" s="8">
        <v>0.6351</v>
      </c>
      <c r="I1776" s="8">
        <f>I1772/I1771</f>
        <v>0.67871557350437983</v>
      </c>
    </row>
    <row r="1777" spans="1:9">
      <c r="B1777" s="1" t="s">
        <v>367</v>
      </c>
      <c r="D1777" t="s">
        <v>20</v>
      </c>
      <c r="E1777" s="8">
        <v>0.38779999999999998</v>
      </c>
      <c r="F1777" s="8">
        <v>0.30009999999999998</v>
      </c>
      <c r="G1777" s="8">
        <v>0.32140000000000002</v>
      </c>
      <c r="H1777" s="8">
        <v>0.30330000000000001</v>
      </c>
      <c r="I1777" s="8">
        <f>I1772/I1770</f>
        <v>0.34551582459337976</v>
      </c>
    </row>
    <row r="1778" spans="1:9">
      <c r="B1778" s="1" t="s">
        <v>367</v>
      </c>
    </row>
    <row r="1779" spans="1:9">
      <c r="A1779" t="s">
        <v>364</v>
      </c>
      <c r="B1779" s="1" t="s">
        <v>369</v>
      </c>
      <c r="C1779" t="s">
        <v>370</v>
      </c>
    </row>
    <row r="1780" spans="1:9">
      <c r="B1780" s="1" t="s">
        <v>369</v>
      </c>
      <c r="D1780" t="s">
        <v>11</v>
      </c>
      <c r="E1780" s="3">
        <v>398</v>
      </c>
      <c r="F1780" s="3">
        <v>389</v>
      </c>
      <c r="G1780" s="3">
        <v>257</v>
      </c>
      <c r="H1780" s="3">
        <v>471</v>
      </c>
      <c r="I1780" s="3">
        <f>VLOOKUP(B1780,[1]Sheet3!$A$13:$E$198,5,TRUE)</f>
        <v>502</v>
      </c>
    </row>
    <row r="1781" spans="1:9">
      <c r="B1781" s="1" t="s">
        <v>369</v>
      </c>
      <c r="D1781" t="s">
        <v>12</v>
      </c>
      <c r="E1781" s="5">
        <v>52626</v>
      </c>
      <c r="F1781" s="5">
        <v>51684</v>
      </c>
      <c r="G1781" s="5">
        <v>46530</v>
      </c>
      <c r="H1781" s="5">
        <v>67987</v>
      </c>
      <c r="I1781" s="3">
        <f>VLOOKUP(B1781,[1]Sheet3!$A$13:$F$198,6,TRUE)</f>
        <v>35752</v>
      </c>
    </row>
    <row r="1782" spans="1:9">
      <c r="B1782" s="1" t="s">
        <v>369</v>
      </c>
      <c r="D1782" t="s">
        <v>23</v>
      </c>
      <c r="E1782" s="5">
        <v>87916</v>
      </c>
      <c r="F1782" s="5">
        <v>84056</v>
      </c>
      <c r="G1782" s="5">
        <v>122090</v>
      </c>
      <c r="H1782" s="5">
        <v>108864.96000000001</v>
      </c>
      <c r="I1782" s="3">
        <f>VLOOKUP(B1782,[1]Sheet3!$A$13:$G$198,7,TRUE)</f>
        <v>93378.22</v>
      </c>
    </row>
    <row r="1783" spans="1:9">
      <c r="B1783" s="1" t="s">
        <v>369</v>
      </c>
      <c r="D1783" t="s">
        <v>14</v>
      </c>
      <c r="E1783" s="5">
        <v>44618.57</v>
      </c>
      <c r="F1783" s="5">
        <v>42956.51</v>
      </c>
      <c r="G1783" s="5">
        <v>53004.59</v>
      </c>
      <c r="H1783" s="5">
        <v>53898.84</v>
      </c>
      <c r="I1783" s="3">
        <f>VLOOKUP(B1783,[1]Sheet3!$A$13:$H$198,8,TRUE)</f>
        <v>40580.730000000003</v>
      </c>
    </row>
    <row r="1784" spans="1:9">
      <c r="B1784" s="1" t="s">
        <v>369</v>
      </c>
      <c r="D1784" t="s">
        <v>15</v>
      </c>
      <c r="E1784" s="5">
        <v>25924.12</v>
      </c>
      <c r="F1784" s="5">
        <v>25095.57</v>
      </c>
      <c r="G1784" s="5">
        <v>32792.629999999997</v>
      </c>
      <c r="H1784" s="5">
        <v>33124.83</v>
      </c>
      <c r="I1784" s="3">
        <f>VLOOKUP(B1784,[1]Sheet3!$A$13:$I$198,9,TRUE)</f>
        <v>33195.69</v>
      </c>
    </row>
    <row r="1785" spans="1:9">
      <c r="B1785" s="1" t="s">
        <v>369</v>
      </c>
      <c r="D1785" t="s">
        <v>16</v>
      </c>
      <c r="E1785" s="5">
        <v>220.89</v>
      </c>
      <c r="F1785" s="5">
        <v>216.08</v>
      </c>
      <c r="G1785" s="5">
        <v>475.06</v>
      </c>
      <c r="H1785" s="5">
        <v>231.14</v>
      </c>
      <c r="I1785" s="5">
        <f>I1782/I1780</f>
        <v>186.01239043824702</v>
      </c>
    </row>
    <row r="1786" spans="1:9">
      <c r="B1786" s="1" t="s">
        <v>369</v>
      </c>
      <c r="D1786" t="s">
        <v>17</v>
      </c>
      <c r="E1786" s="6">
        <v>1.67</v>
      </c>
      <c r="F1786" s="6">
        <v>1.63</v>
      </c>
      <c r="G1786" s="6">
        <v>2.62</v>
      </c>
      <c r="H1786" s="6">
        <v>1.6</v>
      </c>
      <c r="I1786" s="7">
        <f>I1782/I1781</f>
        <v>2.6118320653390019</v>
      </c>
    </row>
    <row r="1787" spans="1:9">
      <c r="B1787" s="1" t="s">
        <v>369</v>
      </c>
      <c r="D1787" t="s">
        <v>18</v>
      </c>
      <c r="E1787" s="8">
        <v>0.50749999999999995</v>
      </c>
      <c r="F1787" s="8">
        <v>0.51100000000000001</v>
      </c>
      <c r="G1787" s="8">
        <v>0.43409999999999999</v>
      </c>
      <c r="H1787" s="8">
        <v>0.49509999999999998</v>
      </c>
      <c r="I1787" s="8">
        <f>I1783/I1782</f>
        <v>0.43458453159634014</v>
      </c>
    </row>
    <row r="1788" spans="1:9">
      <c r="B1788" s="1" t="s">
        <v>369</v>
      </c>
      <c r="D1788" t="s">
        <v>19</v>
      </c>
      <c r="E1788" s="8">
        <v>0.58099999999999996</v>
      </c>
      <c r="F1788" s="8">
        <v>0.58420000000000005</v>
      </c>
      <c r="G1788" s="8">
        <v>0.61870000000000003</v>
      </c>
      <c r="H1788" s="8">
        <v>0.61460000000000004</v>
      </c>
      <c r="I1788" s="8">
        <f>I1784/I1783</f>
        <v>0.81801608793139013</v>
      </c>
    </row>
    <row r="1789" spans="1:9">
      <c r="B1789" s="1" t="s">
        <v>369</v>
      </c>
      <c r="D1789" t="s">
        <v>20</v>
      </c>
      <c r="E1789" s="8">
        <v>0.2949</v>
      </c>
      <c r="F1789" s="8">
        <v>0.29859999999999998</v>
      </c>
      <c r="G1789" s="8">
        <v>0.26860000000000001</v>
      </c>
      <c r="H1789" s="8">
        <v>0.30430000000000001</v>
      </c>
      <c r="I1789" s="8">
        <f>I1784/I1782</f>
        <v>0.35549713841193376</v>
      </c>
    </row>
    <row r="1790" spans="1:9">
      <c r="B1790" s="1" t="s">
        <v>369</v>
      </c>
    </row>
    <row r="1791" spans="1:9">
      <c r="A1791" t="s">
        <v>371</v>
      </c>
      <c r="B1791" s="1" t="s">
        <v>372</v>
      </c>
      <c r="C1791" t="s">
        <v>373</v>
      </c>
    </row>
    <row r="1792" spans="1:9">
      <c r="B1792" s="1" t="s">
        <v>372</v>
      </c>
      <c r="D1792" t="s">
        <v>11</v>
      </c>
      <c r="E1792" s="3">
        <v>0</v>
      </c>
      <c r="F1792" s="3">
        <v>0</v>
      </c>
      <c r="G1792" s="3">
        <v>0</v>
      </c>
      <c r="H1792" s="3">
        <v>0</v>
      </c>
      <c r="I1792" s="3">
        <f>VLOOKUP(B1792,[1]Sheet3!$A$13:$E$198,5,TRUE)</f>
        <v>0</v>
      </c>
    </row>
    <row r="1793" spans="1:9">
      <c r="B1793" s="1" t="s">
        <v>372</v>
      </c>
      <c r="D1793" t="s">
        <v>12</v>
      </c>
      <c r="E1793" s="5">
        <v>0</v>
      </c>
      <c r="F1793" s="5">
        <v>0</v>
      </c>
      <c r="G1793" s="5">
        <v>0</v>
      </c>
      <c r="H1793" s="5">
        <v>0</v>
      </c>
      <c r="I1793" s="3">
        <f>VLOOKUP(B1793,[1]Sheet3!$A$13:$F$198,6,TRUE)</f>
        <v>0</v>
      </c>
    </row>
    <row r="1794" spans="1:9">
      <c r="B1794" s="1" t="s">
        <v>372</v>
      </c>
      <c r="D1794" t="s">
        <v>23</v>
      </c>
      <c r="E1794" s="5">
        <v>0</v>
      </c>
      <c r="F1794" s="5">
        <v>0</v>
      </c>
      <c r="G1794" s="5">
        <v>0</v>
      </c>
      <c r="H1794" s="5">
        <v>0</v>
      </c>
      <c r="I1794" s="3">
        <f>VLOOKUP(B1794,[1]Sheet3!$A$13:$G$198,7,TRUE)</f>
        <v>0</v>
      </c>
    </row>
    <row r="1795" spans="1:9">
      <c r="B1795" s="1" t="s">
        <v>372</v>
      </c>
      <c r="D1795" t="s">
        <v>14</v>
      </c>
      <c r="E1795" s="5">
        <v>0</v>
      </c>
      <c r="F1795" s="5">
        <v>0</v>
      </c>
      <c r="G1795" s="5">
        <v>0</v>
      </c>
      <c r="H1795" s="5">
        <v>0</v>
      </c>
      <c r="I1795" s="3">
        <f>VLOOKUP(B1795,[1]Sheet3!$A$13:$H$198,8,TRUE)</f>
        <v>0</v>
      </c>
    </row>
    <row r="1796" spans="1:9">
      <c r="B1796" s="1" t="s">
        <v>372</v>
      </c>
      <c r="D1796" t="s">
        <v>15</v>
      </c>
      <c r="E1796" s="5">
        <v>0</v>
      </c>
      <c r="F1796" s="5">
        <v>0</v>
      </c>
      <c r="G1796" s="5">
        <v>0</v>
      </c>
      <c r="H1796" s="5">
        <v>0</v>
      </c>
      <c r="I1796" s="3">
        <f>VLOOKUP(B1796,[1]Sheet3!$A$13:$I$198,9,TRUE)</f>
        <v>0</v>
      </c>
    </row>
    <row r="1797" spans="1:9">
      <c r="B1797" s="1" t="s">
        <v>372</v>
      </c>
      <c r="D1797" t="s">
        <v>16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</row>
    <row r="1798" spans="1:9">
      <c r="B1798" s="1" t="s">
        <v>372</v>
      </c>
      <c r="D1798" t="s">
        <v>17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</row>
    <row r="1799" spans="1:9">
      <c r="B1799" s="1" t="s">
        <v>372</v>
      </c>
      <c r="D1799" t="s">
        <v>18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</row>
    <row r="1800" spans="1:9">
      <c r="B1800" s="1" t="s">
        <v>372</v>
      </c>
      <c r="D1800" t="s">
        <v>19</v>
      </c>
      <c r="E1800" s="8">
        <v>0</v>
      </c>
      <c r="F1800" s="8">
        <v>0</v>
      </c>
      <c r="G1800" s="8">
        <v>0</v>
      </c>
      <c r="H1800" s="8">
        <v>0</v>
      </c>
      <c r="I1800" s="8">
        <v>0</v>
      </c>
    </row>
    <row r="1801" spans="1:9">
      <c r="B1801" s="1" t="s">
        <v>372</v>
      </c>
      <c r="D1801" t="s">
        <v>20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</row>
    <row r="1802" spans="1:9">
      <c r="B1802" s="1" t="s">
        <v>372</v>
      </c>
    </row>
    <row r="1803" spans="1:9">
      <c r="A1803" t="s">
        <v>374</v>
      </c>
      <c r="B1803" s="1" t="s">
        <v>375</v>
      </c>
      <c r="C1803" t="s">
        <v>376</v>
      </c>
    </row>
    <row r="1804" spans="1:9">
      <c r="B1804" s="1" t="s">
        <v>375</v>
      </c>
      <c r="D1804" t="s">
        <v>11</v>
      </c>
      <c r="E1804" s="3">
        <v>134</v>
      </c>
      <c r="F1804" s="3">
        <v>148</v>
      </c>
      <c r="G1804" s="3">
        <v>267</v>
      </c>
      <c r="H1804" s="3">
        <v>485</v>
      </c>
      <c r="I1804" s="3">
        <f>VLOOKUP(B1804,[1]Sheet3!$A$13:$E$198,5,TRUE)</f>
        <v>424</v>
      </c>
    </row>
    <row r="1805" spans="1:9">
      <c r="B1805" s="1" t="s">
        <v>375</v>
      </c>
      <c r="D1805" t="s">
        <v>12</v>
      </c>
      <c r="E1805" s="5">
        <v>13588</v>
      </c>
      <c r="F1805" s="5">
        <v>14364</v>
      </c>
      <c r="G1805" s="5">
        <v>14960</v>
      </c>
      <c r="H1805" s="5">
        <v>16048</v>
      </c>
      <c r="I1805" s="3">
        <f>VLOOKUP(B1805,[1]Sheet3!$A$13:$F$198,6,TRUE)</f>
        <v>14790</v>
      </c>
    </row>
    <row r="1806" spans="1:9">
      <c r="B1806" s="1" t="s">
        <v>375</v>
      </c>
      <c r="D1806" t="s">
        <v>23</v>
      </c>
      <c r="E1806" s="5">
        <v>152622</v>
      </c>
      <c r="F1806" s="5">
        <v>186061.05</v>
      </c>
      <c r="G1806" s="5">
        <v>147812.87</v>
      </c>
      <c r="H1806" s="5">
        <v>159049.43</v>
      </c>
      <c r="I1806" s="3">
        <f>VLOOKUP(B1806,[1]Sheet3!$A$13:$G$198,7,TRUE)</f>
        <v>151294</v>
      </c>
    </row>
    <row r="1807" spans="1:9">
      <c r="B1807" s="1" t="s">
        <v>375</v>
      </c>
      <c r="D1807" t="s">
        <v>14</v>
      </c>
      <c r="E1807" s="5">
        <v>67642.569999999992</v>
      </c>
      <c r="F1807" s="5">
        <v>66616.12</v>
      </c>
      <c r="G1807" s="5">
        <v>66616.12</v>
      </c>
      <c r="H1807" s="5">
        <v>57889.009999999995</v>
      </c>
      <c r="I1807" s="3">
        <f>VLOOKUP(B1807,[1]Sheet3!$A$13:$H$198,8,TRUE)</f>
        <v>54947.200000000004</v>
      </c>
    </row>
    <row r="1808" spans="1:9">
      <c r="B1808" s="1" t="s">
        <v>375</v>
      </c>
      <c r="D1808" t="s">
        <v>15</v>
      </c>
      <c r="E1808" s="5">
        <v>38688.699999999997</v>
      </c>
      <c r="F1808" s="5">
        <v>39068.159999999996</v>
      </c>
      <c r="G1808" s="5">
        <v>39951.75</v>
      </c>
      <c r="H1808" s="5">
        <v>34577.18</v>
      </c>
      <c r="I1808" s="3">
        <f>VLOOKUP(B1808,[1]Sheet3!$A$13:$I$198,9,TRUE)</f>
        <v>35653.19</v>
      </c>
    </row>
    <row r="1809" spans="1:9">
      <c r="B1809" s="1" t="s">
        <v>375</v>
      </c>
      <c r="D1809" t="s">
        <v>16</v>
      </c>
      <c r="E1809" s="5">
        <v>1138.97</v>
      </c>
      <c r="F1809" s="5">
        <v>1257.17</v>
      </c>
      <c r="G1809" s="5">
        <v>553.61</v>
      </c>
      <c r="H1809" s="5">
        <v>327.94</v>
      </c>
      <c r="I1809" s="5">
        <f>I1806/I1804</f>
        <v>356.82547169811323</v>
      </c>
    </row>
    <row r="1810" spans="1:9">
      <c r="B1810" s="1" t="s">
        <v>375</v>
      </c>
      <c r="D1810" t="s">
        <v>17</v>
      </c>
      <c r="E1810" s="6">
        <v>11.23</v>
      </c>
      <c r="F1810" s="6">
        <v>12.95</v>
      </c>
      <c r="G1810" s="6">
        <v>9.8800000000000008</v>
      </c>
      <c r="H1810" s="6">
        <v>9.91</v>
      </c>
      <c r="I1810" s="7">
        <f>I1806/I1805</f>
        <v>10.22947937795808</v>
      </c>
    </row>
    <row r="1811" spans="1:9">
      <c r="B1811" s="1" t="s">
        <v>375</v>
      </c>
      <c r="D1811" t="s">
        <v>18</v>
      </c>
      <c r="E1811" s="8">
        <v>0.44319999999999998</v>
      </c>
      <c r="F1811" s="8">
        <v>0.35799999999999998</v>
      </c>
      <c r="G1811" s="8">
        <v>0.45069999999999999</v>
      </c>
      <c r="H1811" s="8">
        <v>0.36399999999999999</v>
      </c>
      <c r="I1811" s="8">
        <f>I1807/I1806</f>
        <v>0.36318161989239495</v>
      </c>
    </row>
    <row r="1812" spans="1:9">
      <c r="B1812" s="1" t="s">
        <v>375</v>
      </c>
      <c r="D1812" t="s">
        <v>19</v>
      </c>
      <c r="E1812" s="8">
        <v>0.57199999999999995</v>
      </c>
      <c r="F1812" s="8">
        <v>0.58650000000000002</v>
      </c>
      <c r="G1812" s="8">
        <v>0.59970000000000001</v>
      </c>
      <c r="H1812" s="8">
        <v>0.59730000000000005</v>
      </c>
      <c r="I1812" s="8">
        <f>I1808/I1807</f>
        <v>0.64886272639916132</v>
      </c>
    </row>
    <row r="1813" spans="1:9">
      <c r="B1813" s="1" t="s">
        <v>375</v>
      </c>
      <c r="D1813" t="s">
        <v>20</v>
      </c>
      <c r="E1813" s="8">
        <v>0.2535</v>
      </c>
      <c r="F1813" s="8">
        <v>0.21</v>
      </c>
      <c r="G1813" s="8">
        <v>0.27029999999999998</v>
      </c>
      <c r="H1813" s="8">
        <v>0.21740000000000001</v>
      </c>
      <c r="I1813" s="8">
        <f>I1808/I1806</f>
        <v>0.23565501606144329</v>
      </c>
    </row>
    <row r="1814" spans="1:9">
      <c r="B1814" s="1" t="s">
        <v>375</v>
      </c>
    </row>
    <row r="1815" spans="1:9">
      <c r="A1815" t="s">
        <v>374</v>
      </c>
      <c r="B1815" s="1" t="s">
        <v>377</v>
      </c>
      <c r="C1815" t="s">
        <v>378</v>
      </c>
    </row>
    <row r="1816" spans="1:9">
      <c r="B1816" s="1" t="s">
        <v>377</v>
      </c>
      <c r="D1816" t="s">
        <v>11</v>
      </c>
      <c r="E1816" s="3">
        <v>207</v>
      </c>
      <c r="F1816" s="3">
        <v>189</v>
      </c>
      <c r="G1816" s="3">
        <v>159</v>
      </c>
      <c r="H1816" s="3">
        <v>167</v>
      </c>
      <c r="I1816" s="3">
        <f>VLOOKUP(B1816,[1]Sheet3!$A$13:$E$198,5,TRUE)</f>
        <v>144</v>
      </c>
    </row>
    <row r="1817" spans="1:9">
      <c r="B1817" s="1" t="s">
        <v>377</v>
      </c>
      <c r="D1817" t="s">
        <v>12</v>
      </c>
      <c r="E1817" s="5">
        <v>47261</v>
      </c>
      <c r="F1817" s="5">
        <v>39508</v>
      </c>
      <c r="G1817" s="5">
        <v>48888</v>
      </c>
      <c r="H1817" s="5">
        <v>33864</v>
      </c>
      <c r="I1817" s="3">
        <f>VLOOKUP(B1817,[1]Sheet3!$A$13:$F$198,6,TRUE)</f>
        <v>31374</v>
      </c>
    </row>
    <row r="1818" spans="1:9">
      <c r="B1818" s="1" t="s">
        <v>377</v>
      </c>
      <c r="D1818" t="s">
        <v>23</v>
      </c>
      <c r="E1818" s="5">
        <v>54821.02</v>
      </c>
      <c r="F1818" s="5">
        <v>54550.16</v>
      </c>
      <c r="G1818" s="5">
        <v>62433.04</v>
      </c>
      <c r="H1818" s="5">
        <v>79857.23</v>
      </c>
      <c r="I1818" s="3">
        <f>VLOOKUP(B1818,[1]Sheet3!$A$13:$G$198,7,TRUE)</f>
        <v>74545.399999999994</v>
      </c>
    </row>
    <row r="1819" spans="1:9">
      <c r="B1819" s="1" t="s">
        <v>377</v>
      </c>
      <c r="D1819" t="s">
        <v>14</v>
      </c>
      <c r="E1819" s="5">
        <v>30403.65</v>
      </c>
      <c r="F1819" s="5">
        <v>30403.65</v>
      </c>
      <c r="G1819" s="5">
        <v>33389.31</v>
      </c>
      <c r="H1819" s="5">
        <v>35528.35</v>
      </c>
      <c r="I1819" s="3">
        <f>VLOOKUP(B1819,[1]Sheet3!$A$13:$H$198,8,TRUE)</f>
        <v>33105.65</v>
      </c>
    </row>
    <row r="1820" spans="1:9">
      <c r="B1820" s="1" t="s">
        <v>377</v>
      </c>
      <c r="D1820" t="s">
        <v>15</v>
      </c>
      <c r="E1820" s="5">
        <v>17929.68</v>
      </c>
      <c r="F1820" s="5">
        <v>17876.18</v>
      </c>
      <c r="G1820" s="5">
        <v>20322.97</v>
      </c>
      <c r="H1820" s="5">
        <v>21994.75</v>
      </c>
      <c r="I1820" s="3">
        <f>VLOOKUP(B1820,[1]Sheet3!$A$13:$I$198,9,TRUE)</f>
        <v>21881.510000000002</v>
      </c>
    </row>
    <row r="1821" spans="1:9">
      <c r="B1821" s="1" t="s">
        <v>377</v>
      </c>
      <c r="D1821" t="s">
        <v>16</v>
      </c>
      <c r="E1821" s="5">
        <v>264.83999999999997</v>
      </c>
      <c r="F1821" s="5">
        <v>288.63</v>
      </c>
      <c r="G1821" s="5">
        <v>392.66</v>
      </c>
      <c r="H1821" s="5">
        <v>478.19</v>
      </c>
      <c r="I1821" s="5">
        <f>I1818/I1816</f>
        <v>517.67638888888882</v>
      </c>
    </row>
    <row r="1822" spans="1:9">
      <c r="B1822" s="1" t="s">
        <v>377</v>
      </c>
      <c r="D1822" t="s">
        <v>17</v>
      </c>
      <c r="E1822" s="6">
        <v>1.1599999999999999</v>
      </c>
      <c r="F1822" s="6">
        <v>1.38</v>
      </c>
      <c r="G1822" s="6">
        <v>1.28</v>
      </c>
      <c r="H1822" s="6">
        <v>2.36</v>
      </c>
      <c r="I1822" s="7">
        <f>I1818/I1817</f>
        <v>2.3760247338560592</v>
      </c>
    </row>
    <row r="1823" spans="1:9">
      <c r="B1823" s="1" t="s">
        <v>377</v>
      </c>
      <c r="D1823" t="s">
        <v>18</v>
      </c>
      <c r="E1823" s="8">
        <v>0.55459999999999998</v>
      </c>
      <c r="F1823" s="8">
        <v>0.55740000000000001</v>
      </c>
      <c r="G1823" s="8">
        <v>0.53480000000000005</v>
      </c>
      <c r="H1823" s="8">
        <v>0.44490000000000002</v>
      </c>
      <c r="I1823" s="8">
        <f>I1819/I1818</f>
        <v>0.44410050787842048</v>
      </c>
    </row>
    <row r="1824" spans="1:9">
      <c r="B1824" s="1" t="s">
        <v>377</v>
      </c>
      <c r="D1824" t="s">
        <v>19</v>
      </c>
      <c r="E1824" s="8">
        <v>0.5897</v>
      </c>
      <c r="F1824" s="8">
        <v>0.58799999999999997</v>
      </c>
      <c r="G1824" s="8">
        <v>0.60870000000000002</v>
      </c>
      <c r="H1824" s="8">
        <v>0.61909999999999998</v>
      </c>
      <c r="I1824" s="8">
        <f>I1820/I1819</f>
        <v>0.66095998719251858</v>
      </c>
    </row>
    <row r="1825" spans="1:9">
      <c r="B1825" s="1" t="s">
        <v>377</v>
      </c>
      <c r="D1825" t="s">
        <v>20</v>
      </c>
      <c r="E1825" s="8">
        <v>0.3271</v>
      </c>
      <c r="F1825" s="8">
        <v>0.32769999999999999</v>
      </c>
      <c r="G1825" s="8">
        <v>0.32550000000000001</v>
      </c>
      <c r="H1825" s="8">
        <v>0.27539999999999998</v>
      </c>
      <c r="I1825" s="8">
        <f>I1820/I1818</f>
        <v>0.29353266599951178</v>
      </c>
    </row>
    <row r="1826" spans="1:9">
      <c r="B1826" s="1" t="s">
        <v>377</v>
      </c>
    </row>
    <row r="1827" spans="1:9">
      <c r="A1827" t="s">
        <v>379</v>
      </c>
      <c r="B1827" s="1" t="s">
        <v>380</v>
      </c>
      <c r="C1827" t="s">
        <v>381</v>
      </c>
    </row>
    <row r="1828" spans="1:9">
      <c r="B1828" s="1" t="s">
        <v>380</v>
      </c>
      <c r="D1828" t="s">
        <v>11</v>
      </c>
      <c r="E1828" s="3">
        <v>25</v>
      </c>
      <c r="F1828" s="3">
        <v>22</v>
      </c>
      <c r="G1828" s="3">
        <v>33</v>
      </c>
      <c r="H1828" s="3">
        <v>33</v>
      </c>
      <c r="I1828" s="3">
        <f>VLOOKUP(B1828,[1]Sheet3!$A$13:$E$198,5,TRUE)</f>
        <v>34</v>
      </c>
    </row>
    <row r="1829" spans="1:9">
      <c r="B1829" s="1" t="s">
        <v>380</v>
      </c>
      <c r="D1829" t="s">
        <v>12</v>
      </c>
      <c r="E1829" s="5">
        <v>20532</v>
      </c>
      <c r="F1829" s="5">
        <v>19488</v>
      </c>
      <c r="G1829" s="5">
        <v>27048</v>
      </c>
      <c r="H1829" s="5">
        <v>26832</v>
      </c>
      <c r="I1829" s="3">
        <f>VLOOKUP(B1829,[1]Sheet3!$A$13:$F$198,6,TRUE)</f>
        <v>26871</v>
      </c>
    </row>
    <row r="1830" spans="1:9">
      <c r="B1830" s="1" t="s">
        <v>380</v>
      </c>
      <c r="D1830" t="s">
        <v>23</v>
      </c>
      <c r="E1830" s="5">
        <v>41013.33</v>
      </c>
      <c r="F1830" s="5">
        <v>15288.69</v>
      </c>
      <c r="G1830" s="5">
        <v>27119.22</v>
      </c>
      <c r="H1830" s="5">
        <v>28156.34</v>
      </c>
      <c r="I1830" s="3">
        <f>VLOOKUP(B1830,[1]Sheet3!$A$13:$G$198,7,TRUE)</f>
        <v>26512.16</v>
      </c>
    </row>
    <row r="1831" spans="1:9">
      <c r="B1831" s="1" t="s">
        <v>380</v>
      </c>
      <c r="D1831" t="s">
        <v>14</v>
      </c>
      <c r="E1831" s="5">
        <v>19033.13</v>
      </c>
      <c r="F1831" s="5">
        <v>19033.13</v>
      </c>
      <c r="G1831" s="5">
        <v>15959.029999999999</v>
      </c>
      <c r="H1831" s="5">
        <v>16256.210000000001</v>
      </c>
      <c r="I1831" s="3">
        <f>VLOOKUP(B1831,[1]Sheet3!$A$13:$H$198,8,TRUE)</f>
        <v>15709.09</v>
      </c>
    </row>
    <row r="1832" spans="1:9">
      <c r="B1832" s="1" t="s">
        <v>380</v>
      </c>
      <c r="D1832" t="s">
        <v>15</v>
      </c>
      <c r="E1832" s="5">
        <v>11556.060000000001</v>
      </c>
      <c r="F1832" s="5">
        <v>11190.75</v>
      </c>
      <c r="G1832" s="5">
        <v>9263.92</v>
      </c>
      <c r="H1832" s="5">
        <v>9993.48</v>
      </c>
      <c r="I1832" s="3">
        <f>VLOOKUP(B1832,[1]Sheet3!$A$13:$I$198,9,TRUE)</f>
        <v>10012.02</v>
      </c>
    </row>
    <row r="1833" spans="1:9">
      <c r="B1833" s="1" t="s">
        <v>380</v>
      </c>
      <c r="D1833" t="s">
        <v>16</v>
      </c>
      <c r="E1833" s="5">
        <v>1640.53</v>
      </c>
      <c r="F1833" s="5">
        <v>694.94</v>
      </c>
      <c r="G1833" s="5">
        <v>821.79</v>
      </c>
      <c r="H1833" s="5">
        <v>853.22</v>
      </c>
      <c r="I1833" s="5">
        <f>I1830/I1828</f>
        <v>779.76941176470586</v>
      </c>
    </row>
    <row r="1834" spans="1:9">
      <c r="B1834" s="1" t="s">
        <v>380</v>
      </c>
      <c r="D1834" t="s">
        <v>17</v>
      </c>
      <c r="E1834" s="6">
        <v>2</v>
      </c>
      <c r="F1834" s="6">
        <v>0.78</v>
      </c>
      <c r="G1834" s="6">
        <v>1</v>
      </c>
      <c r="H1834" s="6">
        <v>1.05</v>
      </c>
      <c r="I1834" s="7">
        <f>I1830/I1829</f>
        <v>0.98664582635555054</v>
      </c>
    </row>
    <row r="1835" spans="1:9">
      <c r="B1835" s="1" t="s">
        <v>380</v>
      </c>
      <c r="D1835" t="s">
        <v>18</v>
      </c>
      <c r="E1835" s="8">
        <v>0.46410000000000001</v>
      </c>
      <c r="F1835" s="8">
        <v>1.2448999999999999</v>
      </c>
      <c r="G1835" s="8">
        <v>0.58850000000000002</v>
      </c>
      <c r="H1835" s="8">
        <v>0.57740000000000002</v>
      </c>
      <c r="I1835" s="8">
        <f>I1831/I1830</f>
        <v>0.59252395881738795</v>
      </c>
    </row>
    <row r="1836" spans="1:9">
      <c r="B1836" s="1" t="s">
        <v>380</v>
      </c>
      <c r="D1836" t="s">
        <v>19</v>
      </c>
      <c r="E1836" s="8">
        <v>0.60719999999999996</v>
      </c>
      <c r="F1836" s="8">
        <v>0.58799999999999997</v>
      </c>
      <c r="G1836" s="8">
        <v>0.58050000000000002</v>
      </c>
      <c r="H1836" s="8">
        <v>0.61470000000000002</v>
      </c>
      <c r="I1836" s="8">
        <f>I1832/I1831</f>
        <v>0.63733927299417092</v>
      </c>
    </row>
    <row r="1837" spans="1:9">
      <c r="B1837" s="1" t="s">
        <v>380</v>
      </c>
      <c r="D1837" t="s">
        <v>20</v>
      </c>
      <c r="E1837" s="8">
        <v>0.28179999999999999</v>
      </c>
      <c r="F1837" s="8">
        <v>0.73199999999999998</v>
      </c>
      <c r="G1837" s="8">
        <v>0.34160000000000001</v>
      </c>
      <c r="H1837" s="8">
        <v>0.35489999999999999</v>
      </c>
      <c r="I1837" s="8">
        <f>I1832/I1830</f>
        <v>0.3776387891443021</v>
      </c>
    </row>
    <row r="1838" spans="1:9">
      <c r="B1838" s="1" t="s">
        <v>380</v>
      </c>
    </row>
    <row r="1839" spans="1:9">
      <c r="A1839" t="s">
        <v>379</v>
      </c>
      <c r="B1839" s="1" t="s">
        <v>382</v>
      </c>
      <c r="C1839" t="s">
        <v>383</v>
      </c>
    </row>
    <row r="1840" spans="1:9">
      <c r="B1840" s="1" t="s">
        <v>382</v>
      </c>
      <c r="D1840" t="s">
        <v>11</v>
      </c>
      <c r="E1840" s="3">
        <v>30</v>
      </c>
      <c r="F1840" s="3">
        <v>27</v>
      </c>
      <c r="G1840" s="3">
        <v>27</v>
      </c>
      <c r="H1840" s="3">
        <v>83</v>
      </c>
      <c r="I1840" s="3">
        <f>VLOOKUP(B1840,[1]Sheet3!$A$13:$E$198,5,TRUE)</f>
        <v>23</v>
      </c>
    </row>
    <row r="1841" spans="1:9">
      <c r="B1841" s="1" t="s">
        <v>382</v>
      </c>
      <c r="D1841" t="s">
        <v>12</v>
      </c>
      <c r="E1841" s="5">
        <v>34504</v>
      </c>
      <c r="F1841" s="5">
        <v>31520</v>
      </c>
      <c r="G1841" s="5">
        <v>27723.599999999999</v>
      </c>
      <c r="H1841" s="5">
        <v>30064.5</v>
      </c>
      <c r="I1841" s="3">
        <f>VLOOKUP(B1841,[1]Sheet3!$A$13:$F$198,6,TRUE)</f>
        <v>31500</v>
      </c>
    </row>
    <row r="1842" spans="1:9">
      <c r="B1842" s="1" t="s">
        <v>382</v>
      </c>
      <c r="D1842" t="s">
        <v>23</v>
      </c>
      <c r="E1842" s="5">
        <v>38245.32</v>
      </c>
      <c r="F1842" s="5">
        <v>33993.599999999999</v>
      </c>
      <c r="G1842" s="5">
        <v>38283.53</v>
      </c>
      <c r="H1842" s="5">
        <v>45658</v>
      </c>
      <c r="I1842" s="3">
        <f>VLOOKUP(B1842,[1]Sheet3!$A$13:$G$198,7,TRUE)</f>
        <v>42939.45</v>
      </c>
    </row>
    <row r="1843" spans="1:9">
      <c r="B1843" s="1" t="s">
        <v>382</v>
      </c>
      <c r="D1843" t="s">
        <v>14</v>
      </c>
      <c r="E1843" s="5">
        <v>26682.33</v>
      </c>
      <c r="F1843" s="5">
        <v>21594.67</v>
      </c>
      <c r="G1843" s="5">
        <v>19909.57</v>
      </c>
      <c r="H1843" s="5">
        <v>22993.550000000003</v>
      </c>
      <c r="I1843" s="3">
        <f>VLOOKUP(B1843,[1]Sheet3!$A$13:$H$198,8,TRUE)</f>
        <v>22432.269999999997</v>
      </c>
    </row>
    <row r="1844" spans="1:9">
      <c r="B1844" s="1" t="s">
        <v>382</v>
      </c>
      <c r="D1844" t="s">
        <v>15</v>
      </c>
      <c r="E1844" s="5">
        <v>15502.869999999999</v>
      </c>
      <c r="F1844" s="5">
        <v>12203.369999999999</v>
      </c>
      <c r="G1844" s="5">
        <v>11771.99</v>
      </c>
      <c r="H1844" s="5">
        <v>14410.18</v>
      </c>
      <c r="I1844" s="3">
        <f>VLOOKUP(B1844,[1]Sheet3!$A$13:$I$198,9,TRUE)</f>
        <v>14161.470000000001</v>
      </c>
    </row>
    <row r="1845" spans="1:9">
      <c r="B1845" s="1" t="s">
        <v>382</v>
      </c>
      <c r="D1845" t="s">
        <v>16</v>
      </c>
      <c r="E1845" s="5">
        <v>1274.8399999999999</v>
      </c>
      <c r="F1845" s="5">
        <v>1259.02</v>
      </c>
      <c r="G1845" s="5">
        <v>1417.91</v>
      </c>
      <c r="H1845" s="5">
        <v>550.1</v>
      </c>
      <c r="I1845" s="5">
        <f>I1842/I1840</f>
        <v>1866.9326086956521</v>
      </c>
    </row>
    <row r="1846" spans="1:9">
      <c r="B1846" s="1" t="s">
        <v>382</v>
      </c>
      <c r="D1846" t="s">
        <v>17</v>
      </c>
      <c r="E1846" s="6">
        <v>1.1100000000000001</v>
      </c>
      <c r="F1846" s="6">
        <v>1.08</v>
      </c>
      <c r="G1846" s="6">
        <v>1.38</v>
      </c>
      <c r="H1846" s="6">
        <v>1.52</v>
      </c>
      <c r="I1846" s="7">
        <f>I1842/I1841</f>
        <v>1.3631571428571427</v>
      </c>
    </row>
    <row r="1847" spans="1:9">
      <c r="B1847" s="1" t="s">
        <v>382</v>
      </c>
      <c r="D1847" t="s">
        <v>18</v>
      </c>
      <c r="E1847" s="8">
        <v>0.69769999999999999</v>
      </c>
      <c r="F1847" s="8">
        <v>0.63529999999999998</v>
      </c>
      <c r="G1847" s="8">
        <v>0.52010000000000001</v>
      </c>
      <c r="H1847" s="8">
        <v>0.50360000000000005</v>
      </c>
      <c r="I1847" s="8">
        <f>I1843/I1842</f>
        <v>0.52241633276625565</v>
      </c>
    </row>
    <row r="1848" spans="1:9">
      <c r="B1848" s="1" t="s">
        <v>382</v>
      </c>
      <c r="D1848" t="s">
        <v>19</v>
      </c>
      <c r="E1848" s="8">
        <v>0.58099999999999996</v>
      </c>
      <c r="F1848" s="8">
        <v>0.56510000000000005</v>
      </c>
      <c r="G1848" s="8">
        <v>0.59130000000000005</v>
      </c>
      <c r="H1848" s="8">
        <v>0.62670000000000003</v>
      </c>
      <c r="I1848" s="8">
        <f>I1844/I1843</f>
        <v>0.63129901699649671</v>
      </c>
    </row>
    <row r="1849" spans="1:9">
      <c r="B1849" s="1" t="s">
        <v>382</v>
      </c>
      <c r="D1849" t="s">
        <v>20</v>
      </c>
      <c r="E1849" s="8">
        <v>0.40539999999999998</v>
      </c>
      <c r="F1849" s="8">
        <v>0.35899999999999999</v>
      </c>
      <c r="G1849" s="8">
        <v>0.3075</v>
      </c>
      <c r="H1849" s="8">
        <v>0.31559999999999999</v>
      </c>
      <c r="I1849" s="8">
        <f>I1844/I1842</f>
        <v>0.32980091733825195</v>
      </c>
    </row>
    <row r="1850" spans="1:9">
      <c r="B1850" s="1" t="s">
        <v>382</v>
      </c>
    </row>
    <row r="1851" spans="1:9">
      <c r="A1851" t="s">
        <v>384</v>
      </c>
      <c r="B1851" s="1" t="s">
        <v>385</v>
      </c>
      <c r="C1851" t="s">
        <v>386</v>
      </c>
    </row>
    <row r="1852" spans="1:9">
      <c r="B1852" s="1" t="s">
        <v>385</v>
      </c>
      <c r="D1852" t="s">
        <v>11</v>
      </c>
      <c r="E1852" s="3">
        <v>3596</v>
      </c>
      <c r="F1852" s="3">
        <v>2830</v>
      </c>
      <c r="G1852" s="3">
        <v>2823</v>
      </c>
      <c r="H1852" s="3">
        <v>2937</v>
      </c>
      <c r="I1852" s="3">
        <f>VLOOKUP(B1852,[1]Sheet3!$A$13:$E$198,5,TRUE)</f>
        <v>2669</v>
      </c>
    </row>
    <row r="1853" spans="1:9">
      <c r="B1853" s="1" t="s">
        <v>385</v>
      </c>
      <c r="D1853" t="s">
        <v>12</v>
      </c>
      <c r="E1853" s="5">
        <v>276474</v>
      </c>
      <c r="F1853" s="5">
        <v>276320</v>
      </c>
      <c r="G1853" s="5">
        <v>259600</v>
      </c>
      <c r="H1853" s="5">
        <v>260128</v>
      </c>
      <c r="I1853" s="3">
        <f>VLOOKUP(B1853,[1]Sheet3!$A$13:$F$198,6,TRUE)</f>
        <v>269280</v>
      </c>
    </row>
    <row r="1854" spans="1:9">
      <c r="B1854" s="1" t="s">
        <v>385</v>
      </c>
      <c r="D1854" t="s">
        <v>23</v>
      </c>
      <c r="E1854" s="5">
        <v>950508</v>
      </c>
      <c r="F1854" s="5">
        <v>1014827.94</v>
      </c>
      <c r="G1854" s="5">
        <v>1095444.22</v>
      </c>
      <c r="H1854" s="5">
        <v>1068904.3600000001</v>
      </c>
      <c r="I1854" s="3">
        <f>VLOOKUP(B1854,[1]Sheet3!$A$13:$G$198,7,TRUE)</f>
        <v>1014787.95</v>
      </c>
    </row>
    <row r="1855" spans="1:9">
      <c r="B1855" s="1" t="s">
        <v>385</v>
      </c>
      <c r="D1855" t="s">
        <v>14</v>
      </c>
      <c r="E1855" s="5">
        <v>404640.16</v>
      </c>
      <c r="F1855" s="5">
        <v>412922.23</v>
      </c>
      <c r="G1855" s="5">
        <v>436039.7</v>
      </c>
      <c r="H1855" s="5">
        <v>436039.7</v>
      </c>
      <c r="I1855" s="3">
        <f>VLOOKUP(B1855,[1]Sheet3!$A$13:$H$198,8,TRUE)</f>
        <v>411145.63</v>
      </c>
    </row>
    <row r="1856" spans="1:9">
      <c r="B1856" s="1" t="s">
        <v>385</v>
      </c>
      <c r="D1856" t="s">
        <v>15</v>
      </c>
      <c r="E1856" s="5">
        <v>235102.55</v>
      </c>
      <c r="F1856" s="5">
        <v>243585.65999999997</v>
      </c>
      <c r="G1856" s="5">
        <v>263816.74</v>
      </c>
      <c r="H1856" s="5">
        <v>267232.02</v>
      </c>
      <c r="I1856" s="3">
        <f>VLOOKUP(B1856,[1]Sheet3!$A$13:$I$198,9,TRUE)</f>
        <v>262176.28000000003</v>
      </c>
    </row>
    <row r="1857" spans="1:9">
      <c r="B1857" s="1" t="s">
        <v>385</v>
      </c>
      <c r="D1857" t="s">
        <v>16</v>
      </c>
      <c r="E1857" s="5">
        <v>264.32</v>
      </c>
      <c r="F1857" s="5">
        <v>358.6</v>
      </c>
      <c r="G1857" s="5">
        <v>388.04</v>
      </c>
      <c r="H1857" s="5">
        <v>363.94</v>
      </c>
      <c r="I1857" s="5">
        <f>I1854/I1852</f>
        <v>380.21279505432744</v>
      </c>
    </row>
    <row r="1858" spans="1:9">
      <c r="B1858" s="1" t="s">
        <v>385</v>
      </c>
      <c r="D1858" t="s">
        <v>17</v>
      </c>
      <c r="E1858" s="6">
        <v>3.44</v>
      </c>
      <c r="F1858" s="6">
        <v>3.67</v>
      </c>
      <c r="G1858" s="6">
        <v>4.22</v>
      </c>
      <c r="H1858" s="6">
        <v>4.1100000000000003</v>
      </c>
      <c r="I1858" s="7">
        <f>I1854/I1853</f>
        <v>3.7685232843137255</v>
      </c>
    </row>
    <row r="1859" spans="1:9">
      <c r="B1859" s="1" t="s">
        <v>385</v>
      </c>
      <c r="D1859" t="s">
        <v>18</v>
      </c>
      <c r="E1859" s="8">
        <v>0.42570000000000002</v>
      </c>
      <c r="F1859" s="8">
        <v>0.40689999999999998</v>
      </c>
      <c r="G1859" s="8">
        <v>0.39800000000000002</v>
      </c>
      <c r="H1859" s="8">
        <v>0.40789999999999998</v>
      </c>
      <c r="I1859" s="8">
        <f>I1855/I1854</f>
        <v>0.40515422951169261</v>
      </c>
    </row>
    <row r="1860" spans="1:9">
      <c r="B1860" s="1" t="s">
        <v>385</v>
      </c>
      <c r="D1860" t="s">
        <v>19</v>
      </c>
      <c r="E1860" s="8">
        <v>0.58099999999999996</v>
      </c>
      <c r="F1860" s="8">
        <v>0.58989999999999998</v>
      </c>
      <c r="G1860" s="8">
        <v>0.60499999999999998</v>
      </c>
      <c r="H1860" s="8">
        <v>0.6129</v>
      </c>
      <c r="I1860" s="8">
        <f>I1856/I1855</f>
        <v>0.63767254439746823</v>
      </c>
    </row>
    <row r="1861" spans="1:9">
      <c r="B1861" s="1" t="s">
        <v>385</v>
      </c>
      <c r="D1861" t="s">
        <v>20</v>
      </c>
      <c r="E1861" s="8">
        <v>0.24729999999999999</v>
      </c>
      <c r="F1861" s="8">
        <v>0.24</v>
      </c>
      <c r="G1861" s="8">
        <v>0.24079999999999999</v>
      </c>
      <c r="H1861" s="8">
        <v>0.25</v>
      </c>
      <c r="I1861" s="8">
        <f>I1856/I1854</f>
        <v>0.25835572840611681</v>
      </c>
    </row>
    <row r="1862" spans="1:9">
      <c r="B1862" s="1" t="s">
        <v>385</v>
      </c>
    </row>
    <row r="1863" spans="1:9">
      <c r="A1863" t="s">
        <v>387</v>
      </c>
      <c r="B1863" s="1" t="s">
        <v>388</v>
      </c>
      <c r="C1863" t="s">
        <v>389</v>
      </c>
    </row>
    <row r="1864" spans="1:9">
      <c r="B1864" s="1" t="s">
        <v>388</v>
      </c>
      <c r="D1864" t="s">
        <v>11</v>
      </c>
      <c r="E1864" s="3">
        <v>414</v>
      </c>
      <c r="F1864" s="3">
        <v>385</v>
      </c>
      <c r="G1864" s="3">
        <v>394</v>
      </c>
      <c r="H1864" s="3">
        <v>352</v>
      </c>
      <c r="I1864" s="3">
        <f>VLOOKUP(B1864,[1]Sheet3!$A$13:$E$198,5,TRUE)</f>
        <v>222</v>
      </c>
    </row>
    <row r="1865" spans="1:9">
      <c r="B1865" s="1" t="s">
        <v>388</v>
      </c>
      <c r="D1865" t="s">
        <v>12</v>
      </c>
      <c r="E1865" s="5">
        <v>124650</v>
      </c>
      <c r="F1865" s="5">
        <v>98165</v>
      </c>
      <c r="G1865" s="5">
        <v>93888</v>
      </c>
      <c r="H1865" s="5">
        <v>70758.600000000006</v>
      </c>
      <c r="I1865" s="3">
        <f>VLOOKUP(B1865,[1]Sheet3!$A$13:$F$198,6,TRUE)</f>
        <v>76219</v>
      </c>
    </row>
    <row r="1866" spans="1:9">
      <c r="B1866" s="1" t="s">
        <v>388</v>
      </c>
      <c r="D1866" t="s">
        <v>23</v>
      </c>
      <c r="E1866" s="5">
        <v>264658.34000000003</v>
      </c>
      <c r="F1866" s="5">
        <v>243515.21</v>
      </c>
      <c r="G1866" s="5">
        <v>255150.13</v>
      </c>
      <c r="H1866" s="5">
        <v>187213.02</v>
      </c>
      <c r="I1866" s="3">
        <f>VLOOKUP(B1866,[1]Sheet3!$A$13:$G$198,7,TRUE)</f>
        <v>202400.76</v>
      </c>
    </row>
    <row r="1867" spans="1:9">
      <c r="B1867" s="1" t="s">
        <v>388</v>
      </c>
      <c r="D1867" t="s">
        <v>14</v>
      </c>
      <c r="E1867" s="5">
        <v>125415.26000000001</v>
      </c>
      <c r="F1867" s="5">
        <v>120856.42000000001</v>
      </c>
      <c r="G1867" s="5">
        <v>109932.13</v>
      </c>
      <c r="H1867" s="5">
        <v>109932.13</v>
      </c>
      <c r="I1867" s="3">
        <f>VLOOKUP(B1867,[1]Sheet3!$A$13:$H$198,8,TRUE)</f>
        <v>87640.989999999991</v>
      </c>
    </row>
    <row r="1868" spans="1:9">
      <c r="B1868" s="1" t="s">
        <v>388</v>
      </c>
      <c r="D1868" t="s">
        <v>15</v>
      </c>
      <c r="E1868" s="5">
        <v>72868.319999999992</v>
      </c>
      <c r="F1868" s="5">
        <v>70616.760000000009</v>
      </c>
      <c r="G1868" s="5">
        <v>64838.02</v>
      </c>
      <c r="H1868" s="5">
        <v>67373.19</v>
      </c>
      <c r="I1868" s="3">
        <f>VLOOKUP(B1868,[1]Sheet3!$A$13:$I$198,9,TRUE)</f>
        <v>51659.44</v>
      </c>
    </row>
    <row r="1869" spans="1:9">
      <c r="B1869" s="1" t="s">
        <v>388</v>
      </c>
      <c r="D1869" t="s">
        <v>16</v>
      </c>
      <c r="E1869" s="5">
        <v>639.27</v>
      </c>
      <c r="F1869" s="5">
        <v>632.51</v>
      </c>
      <c r="G1869" s="5">
        <v>647.59</v>
      </c>
      <c r="H1869" s="5">
        <v>531.86</v>
      </c>
      <c r="I1869" s="5">
        <f>I1866/I1864</f>
        <v>911.71513513513514</v>
      </c>
    </row>
    <row r="1870" spans="1:9">
      <c r="B1870" s="1" t="s">
        <v>388</v>
      </c>
      <c r="D1870" t="s">
        <v>17</v>
      </c>
      <c r="E1870" s="6">
        <v>2.12</v>
      </c>
      <c r="F1870" s="6">
        <v>2.48</v>
      </c>
      <c r="G1870" s="6">
        <v>2.72</v>
      </c>
      <c r="H1870" s="6">
        <v>2.65</v>
      </c>
      <c r="I1870" s="7">
        <f>I1866/I1865</f>
        <v>2.6555158162662855</v>
      </c>
    </row>
    <row r="1871" spans="1:9">
      <c r="B1871" s="1" t="s">
        <v>388</v>
      </c>
      <c r="D1871" t="s">
        <v>18</v>
      </c>
      <c r="E1871" s="8">
        <v>0.47389999999999999</v>
      </c>
      <c r="F1871" s="8">
        <v>0.49630000000000002</v>
      </c>
      <c r="G1871" s="8">
        <v>0.43090000000000001</v>
      </c>
      <c r="H1871" s="8">
        <v>0.58720000000000006</v>
      </c>
      <c r="I1871" s="8">
        <f>I1867/I1866</f>
        <v>0.43300721795708663</v>
      </c>
    </row>
    <row r="1872" spans="1:9">
      <c r="B1872" s="1" t="s">
        <v>388</v>
      </c>
      <c r="D1872" t="s">
        <v>19</v>
      </c>
      <c r="E1872" s="8">
        <v>0.58099999999999996</v>
      </c>
      <c r="F1872" s="8">
        <v>0.58430000000000004</v>
      </c>
      <c r="G1872" s="8">
        <v>0.58979999999999999</v>
      </c>
      <c r="H1872" s="8">
        <v>0.6129</v>
      </c>
      <c r="I1872" s="8">
        <f>I1868/I1867</f>
        <v>0.58944382075099799</v>
      </c>
    </row>
    <row r="1873" spans="1:9">
      <c r="B1873" s="1" t="s">
        <v>388</v>
      </c>
      <c r="D1873" t="s">
        <v>20</v>
      </c>
      <c r="E1873" s="8">
        <v>0.27529999999999999</v>
      </c>
      <c r="F1873" s="8">
        <v>0.28999999999999998</v>
      </c>
      <c r="G1873" s="8">
        <v>0.25409999999999999</v>
      </c>
      <c r="H1873" s="8">
        <v>0.3599</v>
      </c>
      <c r="I1873" s="8">
        <f>I1868/I1866</f>
        <v>0.25523342896538531</v>
      </c>
    </row>
    <row r="1874" spans="1:9">
      <c r="B1874" s="1" t="s">
        <v>388</v>
      </c>
    </row>
    <row r="1875" spans="1:9">
      <c r="A1875" t="s">
        <v>387</v>
      </c>
      <c r="B1875" s="1" t="s">
        <v>390</v>
      </c>
      <c r="C1875" t="s">
        <v>391</v>
      </c>
    </row>
    <row r="1876" spans="1:9">
      <c r="B1876" s="1" t="s">
        <v>390</v>
      </c>
      <c r="D1876" t="s">
        <v>11</v>
      </c>
      <c r="E1876" s="3">
        <v>2113</v>
      </c>
      <c r="F1876" s="3">
        <v>2248</v>
      </c>
      <c r="G1876" s="3">
        <v>1135</v>
      </c>
      <c r="H1876" s="3">
        <v>1115</v>
      </c>
      <c r="I1876" s="3">
        <f>VLOOKUP(B1876,[1]Sheet3!$A$13:$E$198,5,TRUE)</f>
        <v>1147</v>
      </c>
    </row>
    <row r="1877" spans="1:9">
      <c r="B1877" s="1" t="s">
        <v>390</v>
      </c>
      <c r="D1877" t="s">
        <v>12</v>
      </c>
      <c r="E1877" s="5">
        <v>435369</v>
      </c>
      <c r="F1877" s="5">
        <v>431840</v>
      </c>
      <c r="G1877" s="5">
        <v>301760</v>
      </c>
      <c r="H1877" s="5">
        <v>294468</v>
      </c>
      <c r="I1877" s="3">
        <f>VLOOKUP(B1877,[1]Sheet3!$A$13:$F$198,6,TRUE)</f>
        <v>275310</v>
      </c>
    </row>
    <row r="1878" spans="1:9">
      <c r="B1878" s="1" t="s">
        <v>390</v>
      </c>
      <c r="D1878" t="s">
        <v>23</v>
      </c>
      <c r="E1878" s="5">
        <v>1197228</v>
      </c>
      <c r="F1878" s="5">
        <v>1206042</v>
      </c>
      <c r="G1878" s="5">
        <v>1060014.31</v>
      </c>
      <c r="H1878" s="5">
        <v>1030529</v>
      </c>
      <c r="I1878" s="3">
        <f>VLOOKUP(B1878,[1]Sheet3!$A$13:$G$198,7,TRUE)</f>
        <v>999380.97</v>
      </c>
    </row>
    <row r="1879" spans="1:9">
      <c r="B1879" s="1" t="s">
        <v>390</v>
      </c>
      <c r="D1879" t="s">
        <v>14</v>
      </c>
      <c r="E1879" s="5">
        <v>485495.92000000004</v>
      </c>
      <c r="F1879" s="5">
        <v>480481.45</v>
      </c>
      <c r="G1879" s="5">
        <v>480481.45</v>
      </c>
      <c r="H1879" s="5">
        <v>389274.13</v>
      </c>
      <c r="I1879" s="3">
        <f>VLOOKUP(B1879,[1]Sheet3!$A$13:$H$198,8,TRUE)</f>
        <v>407437.41000000003</v>
      </c>
    </row>
    <row r="1880" spans="1:9">
      <c r="B1880" s="1" t="s">
        <v>390</v>
      </c>
      <c r="D1880" t="s">
        <v>15</v>
      </c>
      <c r="E1880" s="5">
        <v>282081.07</v>
      </c>
      <c r="F1880" s="5">
        <v>282018.25</v>
      </c>
      <c r="G1880" s="5">
        <v>288159.64999999997</v>
      </c>
      <c r="H1880" s="5">
        <v>229157.19</v>
      </c>
      <c r="I1880" s="3">
        <f>VLOOKUP(B1880,[1]Sheet3!$A$13:$I$198,9,TRUE)</f>
        <v>252824.58999999997</v>
      </c>
    </row>
    <row r="1881" spans="1:9">
      <c r="B1881" s="1" t="s">
        <v>390</v>
      </c>
      <c r="D1881" t="s">
        <v>16</v>
      </c>
      <c r="E1881" s="5">
        <v>566.6</v>
      </c>
      <c r="F1881" s="5">
        <v>536.5</v>
      </c>
      <c r="G1881" s="5">
        <v>933.93</v>
      </c>
      <c r="H1881" s="5">
        <v>924.24</v>
      </c>
      <c r="I1881" s="5">
        <f>I1878/I1876</f>
        <v>871.29988666085433</v>
      </c>
    </row>
    <row r="1882" spans="1:9">
      <c r="B1882" s="1" t="s">
        <v>390</v>
      </c>
      <c r="D1882" t="s">
        <v>17</v>
      </c>
      <c r="E1882" s="6">
        <v>2.75</v>
      </c>
      <c r="F1882" s="6">
        <v>2.79</v>
      </c>
      <c r="G1882" s="6">
        <v>3.51</v>
      </c>
      <c r="H1882" s="6">
        <v>3.5</v>
      </c>
      <c r="I1882" s="7">
        <f>I1878/I1877</f>
        <v>3.630020594965675</v>
      </c>
    </row>
    <row r="1883" spans="1:9">
      <c r="B1883" s="1" t="s">
        <v>390</v>
      </c>
      <c r="D1883" t="s">
        <v>18</v>
      </c>
      <c r="E1883" s="8">
        <v>0.40550000000000003</v>
      </c>
      <c r="F1883" s="8">
        <v>0.39839999999999998</v>
      </c>
      <c r="G1883" s="8">
        <v>0.45329999999999998</v>
      </c>
      <c r="H1883" s="8">
        <v>0.37769999999999998</v>
      </c>
      <c r="I1883" s="8">
        <f>I1879/I1878</f>
        <v>0.40768978220587893</v>
      </c>
    </row>
    <row r="1884" spans="1:9">
      <c r="B1884" s="1" t="s">
        <v>390</v>
      </c>
      <c r="D1884" t="s">
        <v>19</v>
      </c>
      <c r="E1884" s="8">
        <v>0.58099999999999996</v>
      </c>
      <c r="F1884" s="8">
        <v>0.58689999999999998</v>
      </c>
      <c r="G1884" s="8">
        <v>0.59970000000000001</v>
      </c>
      <c r="H1884" s="8">
        <v>0.5887</v>
      </c>
      <c r="I1884" s="8">
        <f>I1880/I1879</f>
        <v>0.620523751120448</v>
      </c>
    </row>
    <row r="1885" spans="1:9">
      <c r="B1885" s="1" t="s">
        <v>390</v>
      </c>
      <c r="D1885" t="s">
        <v>20</v>
      </c>
      <c r="E1885" s="8">
        <v>0.2356</v>
      </c>
      <c r="F1885" s="8">
        <v>0.23380000000000001</v>
      </c>
      <c r="G1885" s="8">
        <v>0.27179999999999999</v>
      </c>
      <c r="H1885" s="8">
        <v>0.22239999999999999</v>
      </c>
      <c r="I1885" s="8">
        <f>I1880/I1878</f>
        <v>0.25298119294787047</v>
      </c>
    </row>
    <row r="1886" spans="1:9">
      <c r="B1886" s="1" t="s">
        <v>390</v>
      </c>
    </row>
    <row r="1887" spans="1:9">
      <c r="A1887" t="s">
        <v>392</v>
      </c>
      <c r="B1887" s="1" t="s">
        <v>393</v>
      </c>
      <c r="C1887" t="s">
        <v>394</v>
      </c>
    </row>
    <row r="1888" spans="1:9">
      <c r="B1888" s="1" t="s">
        <v>393</v>
      </c>
      <c r="D1888" t="s">
        <v>11</v>
      </c>
      <c r="E1888" s="3">
        <v>117</v>
      </c>
      <c r="F1888" s="3">
        <v>125</v>
      </c>
      <c r="G1888" s="3">
        <v>130</v>
      </c>
      <c r="H1888" s="3">
        <v>136</v>
      </c>
      <c r="I1888" s="3">
        <f>VLOOKUP(B1888,[1]Sheet3!$A$13:$E$198,5,TRUE)</f>
        <v>139</v>
      </c>
    </row>
    <row r="1889" spans="1:9">
      <c r="B1889" s="1" t="s">
        <v>393</v>
      </c>
      <c r="D1889" t="s">
        <v>12</v>
      </c>
      <c r="E1889" s="5">
        <v>80828</v>
      </c>
      <c r="F1889" s="5">
        <v>95928</v>
      </c>
      <c r="G1889" s="5">
        <v>94400</v>
      </c>
      <c r="H1889" s="5">
        <v>91186.5</v>
      </c>
      <c r="I1889" s="3">
        <f>VLOOKUP(B1889,[1]Sheet3!$A$13:$F$198,6,TRUE)</f>
        <v>93599.2</v>
      </c>
    </row>
    <row r="1890" spans="1:9">
      <c r="B1890" s="1" t="s">
        <v>393</v>
      </c>
      <c r="D1890" t="s">
        <v>23</v>
      </c>
      <c r="E1890" s="5">
        <v>156082.85</v>
      </c>
      <c r="F1890" s="5">
        <v>175722.89</v>
      </c>
      <c r="G1890" s="5">
        <v>175252.71</v>
      </c>
      <c r="H1890" s="5">
        <v>195164.13</v>
      </c>
      <c r="I1890" s="3">
        <f>VLOOKUP(B1890,[1]Sheet3!$A$13:$G$198,7,TRUE)</f>
        <v>215542.58</v>
      </c>
    </row>
    <row r="1891" spans="1:9">
      <c r="B1891" s="1" t="s">
        <v>393</v>
      </c>
      <c r="D1891" t="s">
        <v>14</v>
      </c>
      <c r="E1891" s="5">
        <v>73107.360000000001</v>
      </c>
      <c r="F1891" s="5">
        <v>83541</v>
      </c>
      <c r="G1891" s="5">
        <v>83541</v>
      </c>
      <c r="H1891" s="5">
        <v>88938.32</v>
      </c>
      <c r="I1891" s="3">
        <f>VLOOKUP(B1891,[1]Sheet3!$A$13:$H$198,8,TRUE)</f>
        <v>96444.72</v>
      </c>
    </row>
    <row r="1892" spans="1:9">
      <c r="B1892" s="1" t="s">
        <v>393</v>
      </c>
      <c r="D1892" t="s">
        <v>15</v>
      </c>
      <c r="E1892" s="5">
        <v>42920.81</v>
      </c>
      <c r="F1892" s="5">
        <v>50130.86</v>
      </c>
      <c r="G1892" s="5">
        <v>50102.130000000005</v>
      </c>
      <c r="H1892" s="5">
        <v>55063.97</v>
      </c>
      <c r="I1892" s="3">
        <f>VLOOKUP(B1892,[1]Sheet3!$A$13:$I$198,9,TRUE)</f>
        <v>60179.67</v>
      </c>
    </row>
    <row r="1893" spans="1:9">
      <c r="B1893" s="1" t="s">
        <v>393</v>
      </c>
      <c r="D1893" t="s">
        <v>16</v>
      </c>
      <c r="E1893" s="5">
        <v>1334.04</v>
      </c>
      <c r="F1893" s="5">
        <v>1405.78</v>
      </c>
      <c r="G1893" s="5">
        <v>1348.1</v>
      </c>
      <c r="H1893" s="5">
        <v>1435.03</v>
      </c>
      <c r="I1893" s="5">
        <f>I1890/I1888</f>
        <v>1550.6660431654675</v>
      </c>
    </row>
    <row r="1894" spans="1:9">
      <c r="B1894" s="1" t="s">
        <v>393</v>
      </c>
      <c r="D1894" t="s">
        <v>17</v>
      </c>
      <c r="E1894" s="6">
        <v>1.93</v>
      </c>
      <c r="F1894" s="6">
        <v>1.83</v>
      </c>
      <c r="G1894" s="6">
        <v>1.86</v>
      </c>
      <c r="H1894" s="6">
        <v>2.14</v>
      </c>
      <c r="I1894" s="7">
        <f>I1890/I1889</f>
        <v>2.3028250241455055</v>
      </c>
    </row>
    <row r="1895" spans="1:9">
      <c r="B1895" s="1" t="s">
        <v>393</v>
      </c>
      <c r="D1895" t="s">
        <v>18</v>
      </c>
      <c r="E1895" s="8">
        <v>0.46839999999999998</v>
      </c>
      <c r="F1895" s="8">
        <v>0.47539999999999999</v>
      </c>
      <c r="G1895" s="8">
        <v>0.47670000000000001</v>
      </c>
      <c r="H1895" s="8">
        <v>0.45569999999999999</v>
      </c>
      <c r="I1895" s="8">
        <f>I1891/I1890</f>
        <v>0.44745089346151468</v>
      </c>
    </row>
    <row r="1896" spans="1:9">
      <c r="B1896" s="1" t="s">
        <v>393</v>
      </c>
      <c r="D1896" t="s">
        <v>19</v>
      </c>
      <c r="E1896" s="8">
        <v>0.58709999999999996</v>
      </c>
      <c r="F1896" s="8">
        <v>0.60009999999999997</v>
      </c>
      <c r="G1896" s="8">
        <v>0.59970000000000001</v>
      </c>
      <c r="H1896" s="8">
        <v>0.61909999999999998</v>
      </c>
      <c r="I1896" s="8">
        <f>I1892/I1891</f>
        <v>0.62398097065344793</v>
      </c>
    </row>
    <row r="1897" spans="1:9">
      <c r="B1897" s="1" t="s">
        <v>393</v>
      </c>
      <c r="D1897" t="s">
        <v>20</v>
      </c>
      <c r="E1897" s="8">
        <v>0.27500000000000002</v>
      </c>
      <c r="F1897" s="8">
        <v>0.2853</v>
      </c>
      <c r="G1897" s="8">
        <v>0.28589999999999999</v>
      </c>
      <c r="H1897" s="8">
        <v>0.28210000000000002</v>
      </c>
      <c r="I1897" s="8">
        <f>I1892/I1890</f>
        <v>0.27920084282186841</v>
      </c>
    </row>
    <row r="1898" spans="1:9">
      <c r="B1898" s="1" t="s">
        <v>393</v>
      </c>
      <c r="I1898" s="8"/>
    </row>
    <row r="1899" spans="1:9">
      <c r="A1899" t="s">
        <v>392</v>
      </c>
      <c r="B1899" s="1" t="s">
        <v>395</v>
      </c>
      <c r="C1899" t="s">
        <v>396</v>
      </c>
    </row>
    <row r="1900" spans="1:9">
      <c r="B1900" s="1" t="s">
        <v>395</v>
      </c>
      <c r="D1900" t="s">
        <v>11</v>
      </c>
      <c r="E1900" s="3">
        <v>123</v>
      </c>
      <c r="F1900" s="3">
        <v>113</v>
      </c>
      <c r="G1900" s="3">
        <v>111</v>
      </c>
      <c r="H1900" s="3">
        <v>104</v>
      </c>
      <c r="I1900" s="3">
        <f>VLOOKUP(B1900,[1]Sheet3!$A$13:$E$198,5,TRUE)</f>
        <v>108</v>
      </c>
    </row>
    <row r="1901" spans="1:9">
      <c r="B1901" s="1" t="s">
        <v>395</v>
      </c>
      <c r="D1901" t="s">
        <v>12</v>
      </c>
      <c r="E1901" s="5">
        <v>94668</v>
      </c>
      <c r="F1901" s="5">
        <v>55080</v>
      </c>
      <c r="G1901" s="5">
        <v>67620</v>
      </c>
      <c r="H1901" s="5">
        <v>74358</v>
      </c>
      <c r="I1901" s="3">
        <f>VLOOKUP(B1901,[1]Sheet3!$A$13:$F$198,6,TRUE)</f>
        <v>111360</v>
      </c>
    </row>
    <row r="1902" spans="1:9">
      <c r="B1902" s="1" t="s">
        <v>395</v>
      </c>
      <c r="D1902" t="s">
        <v>23</v>
      </c>
      <c r="E1902" s="5">
        <v>111049</v>
      </c>
      <c r="F1902" s="5">
        <v>65276.45</v>
      </c>
      <c r="G1902" s="5">
        <v>115001.3</v>
      </c>
      <c r="H1902" s="5">
        <v>139354.43</v>
      </c>
      <c r="I1902" s="3">
        <f>VLOOKUP(B1902,[1]Sheet3!$A$13:$G$198,7,TRUE)</f>
        <v>177797</v>
      </c>
    </row>
    <row r="1903" spans="1:9">
      <c r="B1903" s="1" t="s">
        <v>395</v>
      </c>
      <c r="D1903" t="s">
        <v>14</v>
      </c>
      <c r="E1903" s="5">
        <v>61320.409999999996</v>
      </c>
      <c r="F1903" s="5">
        <v>61320.409999999996</v>
      </c>
      <c r="G1903" s="5">
        <v>55885.31</v>
      </c>
      <c r="H1903" s="5">
        <v>65821.14</v>
      </c>
      <c r="I1903" s="3">
        <f>VLOOKUP(B1903,[1]Sheet3!$A$13:$H$198,8,TRUE)</f>
        <v>88108.209999999992</v>
      </c>
    </row>
    <row r="1904" spans="1:9">
      <c r="B1904" s="1" t="s">
        <v>395</v>
      </c>
      <c r="D1904" t="s">
        <v>15</v>
      </c>
      <c r="E1904" s="5">
        <v>36282.199999999997</v>
      </c>
      <c r="F1904" s="5">
        <v>36054.04</v>
      </c>
      <c r="G1904" s="5">
        <v>32973.01</v>
      </c>
      <c r="H1904" s="5">
        <v>41364.79</v>
      </c>
      <c r="I1904" s="3">
        <f>VLOOKUP(B1904,[1]Sheet3!$A$13:$I$198,9,TRUE)</f>
        <v>56582.09</v>
      </c>
    </row>
    <row r="1905" spans="1:9">
      <c r="B1905" s="1" t="s">
        <v>395</v>
      </c>
      <c r="D1905" t="s">
        <v>16</v>
      </c>
      <c r="E1905" s="5">
        <v>902.84</v>
      </c>
      <c r="F1905" s="5">
        <v>577.66999999999996</v>
      </c>
      <c r="G1905" s="5">
        <v>1036.05</v>
      </c>
      <c r="H1905" s="5">
        <v>1339.95</v>
      </c>
      <c r="I1905" s="5">
        <f>I1902/I1900</f>
        <v>1646.2685185185185</v>
      </c>
    </row>
    <row r="1906" spans="1:9">
      <c r="B1906" s="1" t="s">
        <v>395</v>
      </c>
      <c r="D1906" t="s">
        <v>17</v>
      </c>
      <c r="E1906" s="6">
        <v>1.17</v>
      </c>
      <c r="F1906" s="6">
        <v>1.19</v>
      </c>
      <c r="G1906" s="6">
        <v>1.7</v>
      </c>
      <c r="H1906" s="6">
        <v>1.87</v>
      </c>
      <c r="I1906" s="7">
        <f>I1902/I1901</f>
        <v>1.5965966235632183</v>
      </c>
    </row>
    <row r="1907" spans="1:9">
      <c r="B1907" s="1" t="s">
        <v>395</v>
      </c>
      <c r="D1907" t="s">
        <v>18</v>
      </c>
      <c r="E1907" s="8">
        <v>0.55220000000000002</v>
      </c>
      <c r="F1907" s="8">
        <v>0.93940000000000001</v>
      </c>
      <c r="G1907" s="8">
        <v>0.48599999999999999</v>
      </c>
      <c r="H1907" s="8">
        <v>0.4723</v>
      </c>
      <c r="I1907" s="8">
        <f>I1903/I1902</f>
        <v>0.49555509935488223</v>
      </c>
    </row>
    <row r="1908" spans="1:9">
      <c r="B1908" s="1" t="s">
        <v>395</v>
      </c>
      <c r="D1908" t="s">
        <v>19</v>
      </c>
      <c r="E1908" s="8">
        <v>0.5917</v>
      </c>
      <c r="F1908" s="8">
        <v>0.58799999999999997</v>
      </c>
      <c r="G1908" s="8">
        <v>0.59</v>
      </c>
      <c r="H1908" s="8">
        <v>0.62839999999999996</v>
      </c>
      <c r="I1908" s="8">
        <f>I1904/I1903</f>
        <v>0.64218862237696128</v>
      </c>
    </row>
    <row r="1909" spans="1:9">
      <c r="B1909" s="1" t="s">
        <v>395</v>
      </c>
      <c r="D1909" t="s">
        <v>20</v>
      </c>
      <c r="E1909" s="8">
        <v>0.32669999999999999</v>
      </c>
      <c r="F1909" s="8">
        <v>0.55230000000000001</v>
      </c>
      <c r="G1909" s="8">
        <v>0.28670000000000001</v>
      </c>
      <c r="H1909" s="8">
        <v>0.29680000000000001</v>
      </c>
      <c r="I1909" s="8">
        <f>I1904/I1902</f>
        <v>0.31823984656658999</v>
      </c>
    </row>
    <row r="1910" spans="1:9">
      <c r="B1910" s="1" t="s">
        <v>395</v>
      </c>
    </row>
    <row r="1911" spans="1:9">
      <c r="A1911" t="s">
        <v>392</v>
      </c>
      <c r="B1911" s="1" t="s">
        <v>397</v>
      </c>
      <c r="C1911" t="s">
        <v>398</v>
      </c>
    </row>
    <row r="1912" spans="1:9">
      <c r="B1912" s="1" t="s">
        <v>397</v>
      </c>
      <c r="D1912" t="s">
        <v>11</v>
      </c>
      <c r="E1912" s="3">
        <v>195</v>
      </c>
      <c r="F1912" s="3">
        <v>198</v>
      </c>
      <c r="G1912" s="3">
        <v>209</v>
      </c>
      <c r="H1912" s="3">
        <v>191</v>
      </c>
      <c r="I1912" s="3">
        <f>VLOOKUP(B1912,[1]Sheet3!$A$13:$E$198,5,TRUE)</f>
        <v>179</v>
      </c>
    </row>
    <row r="1913" spans="1:9">
      <c r="B1913" s="1" t="s">
        <v>397</v>
      </c>
      <c r="D1913" t="s">
        <v>12</v>
      </c>
      <c r="E1913" s="5">
        <v>53120</v>
      </c>
      <c r="F1913" s="5">
        <v>33366</v>
      </c>
      <c r="G1913" s="5">
        <v>30807</v>
      </c>
      <c r="H1913" s="5">
        <v>26569</v>
      </c>
      <c r="I1913" s="3">
        <f>VLOOKUP(B1913,[1]Sheet3!$A$13:$F$198,6,TRUE)</f>
        <v>27216</v>
      </c>
    </row>
    <row r="1914" spans="1:9">
      <c r="B1914" s="1" t="s">
        <v>397</v>
      </c>
      <c r="D1914" t="s">
        <v>23</v>
      </c>
      <c r="E1914" s="5">
        <v>107208.72</v>
      </c>
      <c r="F1914" s="5">
        <v>118117.19</v>
      </c>
      <c r="G1914" s="5">
        <v>137353.07999999999</v>
      </c>
      <c r="H1914" s="5">
        <v>126059.5</v>
      </c>
      <c r="I1914" s="3">
        <f>VLOOKUP(B1914,[1]Sheet3!$A$13:$G$198,7,TRUE)</f>
        <v>82833.75</v>
      </c>
    </row>
    <row r="1915" spans="1:9">
      <c r="B1915" s="1" t="s">
        <v>397</v>
      </c>
      <c r="D1915" t="s">
        <v>14</v>
      </c>
      <c r="E1915" s="5">
        <v>49614.66</v>
      </c>
      <c r="F1915" s="5">
        <v>49614.66</v>
      </c>
      <c r="G1915" s="5">
        <v>54236.62</v>
      </c>
      <c r="H1915" s="5">
        <v>54236.62</v>
      </c>
      <c r="I1915" s="3">
        <f>VLOOKUP(B1915,[1]Sheet3!$A$13:$H$198,8,TRUE)</f>
        <v>34871.61</v>
      </c>
    </row>
    <row r="1916" spans="1:9">
      <c r="B1916" s="1" t="s">
        <v>397</v>
      </c>
      <c r="D1916" t="s">
        <v>15</v>
      </c>
      <c r="E1916" s="5">
        <v>30015.55</v>
      </c>
      <c r="F1916" s="5">
        <v>29171.510000000002</v>
      </c>
      <c r="G1916" s="5">
        <v>32989.270000000004</v>
      </c>
      <c r="H1916" s="5">
        <v>33239.54</v>
      </c>
      <c r="I1916" s="3">
        <f>VLOOKUP(B1916,[1]Sheet3!$A$13:$I$198,9,TRUE)</f>
        <v>29886.14</v>
      </c>
    </row>
    <row r="1917" spans="1:9">
      <c r="B1917" s="1" t="s">
        <v>397</v>
      </c>
      <c r="D1917" t="s">
        <v>16</v>
      </c>
      <c r="E1917" s="5">
        <v>549.79</v>
      </c>
      <c r="F1917" s="5">
        <v>596.54999999999995</v>
      </c>
      <c r="G1917" s="5">
        <v>657.19</v>
      </c>
      <c r="H1917" s="5">
        <v>660</v>
      </c>
      <c r="I1917" s="5">
        <f>I1914/I1912</f>
        <v>462.75837988826817</v>
      </c>
    </row>
    <row r="1918" spans="1:9">
      <c r="B1918" s="1" t="s">
        <v>397</v>
      </c>
      <c r="D1918" t="s">
        <v>17</v>
      </c>
      <c r="E1918" s="6">
        <v>2.02</v>
      </c>
      <c r="F1918" s="6">
        <v>3.54</v>
      </c>
      <c r="G1918" s="6">
        <v>4.46</v>
      </c>
      <c r="H1918" s="6">
        <v>4.74</v>
      </c>
      <c r="I1918" s="7">
        <f>I1914/I1913</f>
        <v>3.0435681216931219</v>
      </c>
    </row>
    <row r="1919" spans="1:9">
      <c r="B1919" s="1" t="s">
        <v>397</v>
      </c>
      <c r="D1919" t="s">
        <v>18</v>
      </c>
      <c r="E1919" s="8">
        <v>0.46279999999999999</v>
      </c>
      <c r="F1919" s="8">
        <v>0.42</v>
      </c>
      <c r="G1919" s="8">
        <v>0.39489999999999997</v>
      </c>
      <c r="H1919" s="8">
        <v>0.43020000000000003</v>
      </c>
      <c r="I1919" s="8">
        <f>I1915/I1914</f>
        <v>0.42098311376703335</v>
      </c>
    </row>
    <row r="1920" spans="1:9">
      <c r="B1920" s="1" t="s">
        <v>397</v>
      </c>
      <c r="D1920" t="s">
        <v>19</v>
      </c>
      <c r="E1920" s="8">
        <v>0.60499999999999998</v>
      </c>
      <c r="F1920" s="8">
        <v>0.58799999999999997</v>
      </c>
      <c r="G1920" s="8">
        <v>0.60819999999999996</v>
      </c>
      <c r="H1920" s="8">
        <v>0.6129</v>
      </c>
      <c r="I1920" s="8">
        <f>I1916/I1915</f>
        <v>0.85703355824408445</v>
      </c>
    </row>
    <row r="1921" spans="1:9">
      <c r="B1921" s="1" t="s">
        <v>397</v>
      </c>
      <c r="D1921" t="s">
        <v>20</v>
      </c>
      <c r="E1921" s="8">
        <v>0.28000000000000003</v>
      </c>
      <c r="F1921" s="8">
        <v>0.247</v>
      </c>
      <c r="G1921" s="8">
        <v>0.2402</v>
      </c>
      <c r="H1921" s="8">
        <v>0.26369999999999999</v>
      </c>
      <c r="I1921" s="8">
        <f>I1916/I1914</f>
        <v>0.36079665595243482</v>
      </c>
    </row>
    <row r="1922" spans="1:9">
      <c r="B1922" s="1" t="s">
        <v>397</v>
      </c>
    </row>
    <row r="1923" spans="1:9">
      <c r="A1923" t="s">
        <v>392</v>
      </c>
      <c r="B1923" s="1" t="s">
        <v>399</v>
      </c>
      <c r="C1923" t="s">
        <v>400</v>
      </c>
    </row>
    <row r="1924" spans="1:9">
      <c r="B1924" s="1" t="s">
        <v>399</v>
      </c>
      <c r="D1924" t="s">
        <v>11</v>
      </c>
      <c r="E1924" s="3">
        <v>37</v>
      </c>
      <c r="F1924" s="3">
        <v>37</v>
      </c>
      <c r="G1924" s="3">
        <v>40</v>
      </c>
      <c r="H1924" s="3">
        <v>47</v>
      </c>
      <c r="I1924" s="3">
        <f>VLOOKUP(B1924,[1]Sheet3!$A$13:$E$198,5,TRUE)</f>
        <v>60</v>
      </c>
    </row>
    <row r="1925" spans="1:9">
      <c r="B1925" s="1" t="s">
        <v>399</v>
      </c>
      <c r="D1925" t="s">
        <v>12</v>
      </c>
      <c r="E1925" s="5">
        <v>31008</v>
      </c>
      <c r="F1925" s="5">
        <v>31008</v>
      </c>
      <c r="G1925" s="5">
        <v>29290</v>
      </c>
      <c r="H1925" s="5">
        <v>28762</v>
      </c>
      <c r="I1925" s="3">
        <f>VLOOKUP(B1925,[1]Sheet3!$A$13:$F$198,6,TRUE)</f>
        <v>32890</v>
      </c>
    </row>
    <row r="1926" spans="1:9">
      <c r="B1926" s="1" t="s">
        <v>399</v>
      </c>
      <c r="D1926" t="s">
        <v>23</v>
      </c>
      <c r="E1926" s="5">
        <v>25148.34</v>
      </c>
      <c r="F1926" s="5">
        <v>25148</v>
      </c>
      <c r="G1926" s="5">
        <v>32181.15</v>
      </c>
      <c r="H1926" s="5">
        <v>26912.77</v>
      </c>
      <c r="I1926" s="3">
        <f>VLOOKUP(B1926,[1]Sheet3!$A$13:$G$198,7,TRUE)</f>
        <v>33584.300000000003</v>
      </c>
    </row>
    <row r="1927" spans="1:9">
      <c r="B1927" s="1" t="s">
        <v>399</v>
      </c>
      <c r="D1927" t="s">
        <v>14</v>
      </c>
      <c r="E1927" s="5">
        <v>17943.169999999998</v>
      </c>
      <c r="F1927" s="5">
        <v>16283.21</v>
      </c>
      <c r="G1927" s="5">
        <v>18234.97</v>
      </c>
      <c r="H1927" s="5">
        <v>18234.97</v>
      </c>
      <c r="I1927" s="3">
        <f>VLOOKUP(B1927,[1]Sheet3!$A$13:$H$198,8,TRUE)</f>
        <v>19611.78</v>
      </c>
    </row>
    <row r="1928" spans="1:9">
      <c r="B1928" s="1" t="s">
        <v>399</v>
      </c>
      <c r="D1928" t="s">
        <v>15</v>
      </c>
      <c r="E1928" s="5">
        <v>10425.27</v>
      </c>
      <c r="F1928" s="5">
        <v>9412.9</v>
      </c>
      <c r="G1928" s="5">
        <v>11131.119999999999</v>
      </c>
      <c r="H1928" s="5">
        <v>11175.51</v>
      </c>
      <c r="I1928" s="3">
        <f>VLOOKUP(B1928,[1]Sheet3!$A$13:$I$198,9,TRUE)</f>
        <v>12221.83</v>
      </c>
    </row>
    <row r="1929" spans="1:9">
      <c r="B1929" s="1" t="s">
        <v>399</v>
      </c>
      <c r="D1929" t="s">
        <v>16</v>
      </c>
      <c r="E1929" s="5">
        <v>679.68</v>
      </c>
      <c r="F1929" s="5">
        <v>679.68</v>
      </c>
      <c r="G1929" s="5">
        <v>804.53</v>
      </c>
      <c r="H1929" s="5">
        <v>572.61</v>
      </c>
      <c r="I1929" s="5">
        <f>I1926/I1924</f>
        <v>559.73833333333334</v>
      </c>
    </row>
    <row r="1930" spans="1:9">
      <c r="B1930" s="1" t="s">
        <v>399</v>
      </c>
      <c r="D1930" t="s">
        <v>17</v>
      </c>
      <c r="E1930" s="6">
        <v>0.81</v>
      </c>
      <c r="F1930" s="6">
        <v>0.81</v>
      </c>
      <c r="G1930" s="6">
        <v>1.1000000000000001</v>
      </c>
      <c r="H1930" s="6">
        <v>0.94</v>
      </c>
      <c r="I1930" s="7">
        <f>I1926/I1925</f>
        <v>1.021109759805412</v>
      </c>
    </row>
    <row r="1931" spans="1:9">
      <c r="B1931" s="1" t="s">
        <v>399</v>
      </c>
      <c r="D1931" t="s">
        <v>18</v>
      </c>
      <c r="E1931" s="8">
        <v>0.71350000000000002</v>
      </c>
      <c r="F1931" s="8">
        <v>0.64749999999999996</v>
      </c>
      <c r="G1931" s="8">
        <v>0.56659999999999999</v>
      </c>
      <c r="H1931" s="8">
        <v>0.67759999999999998</v>
      </c>
      <c r="I1931" s="8">
        <f>I1927/I1926</f>
        <v>0.5839567893331109</v>
      </c>
    </row>
    <row r="1932" spans="1:9">
      <c r="B1932" s="1" t="s">
        <v>399</v>
      </c>
      <c r="D1932" t="s">
        <v>19</v>
      </c>
      <c r="E1932" s="8">
        <v>0.58099999999999996</v>
      </c>
      <c r="F1932" s="8">
        <v>0.57809999999999995</v>
      </c>
      <c r="G1932" s="8">
        <v>0.61040000000000005</v>
      </c>
      <c r="H1932" s="8">
        <v>0.6129</v>
      </c>
      <c r="I1932" s="8">
        <f>I1928/I1927</f>
        <v>0.62318820627194471</v>
      </c>
    </row>
    <row r="1933" spans="1:9">
      <c r="B1933" s="1" t="s">
        <v>399</v>
      </c>
      <c r="D1933" t="s">
        <v>20</v>
      </c>
      <c r="E1933" s="8">
        <v>0.41460000000000002</v>
      </c>
      <c r="F1933" s="8">
        <v>0.37430000000000002</v>
      </c>
      <c r="G1933" s="8">
        <v>0.34589999999999999</v>
      </c>
      <c r="H1933" s="8">
        <v>0.41520000000000001</v>
      </c>
      <c r="I1933" s="8">
        <f>I1928/I1926</f>
        <v>0.36391498408482531</v>
      </c>
    </row>
    <row r="1934" spans="1:9">
      <c r="B1934" s="1" t="s">
        <v>399</v>
      </c>
    </row>
    <row r="1935" spans="1:9">
      <c r="A1935" t="s">
        <v>392</v>
      </c>
      <c r="B1935" s="1" t="s">
        <v>401</v>
      </c>
      <c r="C1935" t="s">
        <v>402</v>
      </c>
    </row>
    <row r="1936" spans="1:9">
      <c r="B1936" s="1" t="s">
        <v>401</v>
      </c>
      <c r="D1936" t="s">
        <v>11</v>
      </c>
      <c r="E1936" s="3">
        <v>90</v>
      </c>
      <c r="F1936" s="3">
        <v>66</v>
      </c>
      <c r="G1936" s="3">
        <v>81</v>
      </c>
      <c r="H1936" s="3">
        <v>92</v>
      </c>
      <c r="I1936" s="3">
        <f>VLOOKUP(B1936,[1]Sheet3!$A$13:$E$198,5,TRUE)</f>
        <v>89</v>
      </c>
    </row>
    <row r="1937" spans="1:9">
      <c r="B1937" s="1" t="s">
        <v>401</v>
      </c>
      <c r="D1937" t="s">
        <v>12</v>
      </c>
      <c r="E1937" s="5">
        <v>61984</v>
      </c>
      <c r="F1937" s="5">
        <v>59388</v>
      </c>
      <c r="G1937" s="5">
        <v>67032</v>
      </c>
      <c r="H1937" s="5">
        <v>64368</v>
      </c>
      <c r="I1937" s="3">
        <f>VLOOKUP(B1937,[1]Sheet3!$A$13:$F$198,6,TRUE)</f>
        <v>68093</v>
      </c>
    </row>
    <row r="1938" spans="1:9">
      <c r="B1938" s="1" t="s">
        <v>401</v>
      </c>
      <c r="D1938" t="s">
        <v>23</v>
      </c>
      <c r="E1938" s="5">
        <v>95247</v>
      </c>
      <c r="F1938" s="5">
        <v>68160.53</v>
      </c>
      <c r="G1938" s="5">
        <v>77238.039999999994</v>
      </c>
      <c r="H1938" s="5">
        <v>82985.64</v>
      </c>
      <c r="I1938" s="3">
        <f>VLOOKUP(B1938,[1]Sheet3!$A$13:$G$198,7,TRUE)</f>
        <v>98548.18</v>
      </c>
    </row>
    <row r="1939" spans="1:9">
      <c r="B1939" s="1" t="s">
        <v>401</v>
      </c>
      <c r="D1939" t="s">
        <v>14</v>
      </c>
      <c r="E1939" s="5">
        <v>53456.17</v>
      </c>
      <c r="F1939" s="5">
        <v>47783.08</v>
      </c>
      <c r="G1939" s="5">
        <v>42947.64</v>
      </c>
      <c r="H1939" s="5">
        <v>44227.19</v>
      </c>
      <c r="I1939" s="3">
        <f>VLOOKUP(B1939,[1]Sheet3!$A$13:$H$198,8,TRUE)</f>
        <v>50431.09</v>
      </c>
    </row>
    <row r="1940" spans="1:9">
      <c r="B1940" s="1" t="s">
        <v>401</v>
      </c>
      <c r="D1940" t="s">
        <v>15</v>
      </c>
      <c r="E1940" s="5">
        <v>31058.91</v>
      </c>
      <c r="F1940" s="5">
        <v>27544.379999999997</v>
      </c>
      <c r="G1940" s="5">
        <v>25273.809999999998</v>
      </c>
      <c r="H1940" s="5">
        <v>27237.22</v>
      </c>
      <c r="I1940" s="3">
        <f>VLOOKUP(B1940,[1]Sheet3!$A$13:$I$198,9,TRUE)</f>
        <v>31704.979999999996</v>
      </c>
    </row>
    <row r="1941" spans="1:9">
      <c r="B1941" s="1" t="s">
        <v>401</v>
      </c>
      <c r="D1941" t="s">
        <v>16</v>
      </c>
      <c r="E1941" s="5">
        <v>1058.3</v>
      </c>
      <c r="F1941" s="5">
        <v>1032.74</v>
      </c>
      <c r="G1941" s="5">
        <v>953.56</v>
      </c>
      <c r="H1941" s="5">
        <v>902.02</v>
      </c>
      <c r="I1941" s="5">
        <f>I1938/I1936</f>
        <v>1107.2829213483146</v>
      </c>
    </row>
    <row r="1942" spans="1:9">
      <c r="B1942" s="1" t="s">
        <v>401</v>
      </c>
      <c r="D1942" t="s">
        <v>17</v>
      </c>
      <c r="E1942" s="6">
        <v>1.54</v>
      </c>
      <c r="F1942" s="6">
        <v>1.1499999999999999</v>
      </c>
      <c r="G1942" s="6">
        <v>1.1499999999999999</v>
      </c>
      <c r="H1942" s="6">
        <v>1.29</v>
      </c>
      <c r="I1942" s="7">
        <f>I1938/I1937</f>
        <v>1.4472586022058067</v>
      </c>
    </row>
    <row r="1943" spans="1:9">
      <c r="B1943" s="1" t="s">
        <v>401</v>
      </c>
      <c r="D1943" t="s">
        <v>18</v>
      </c>
      <c r="E1943" s="8">
        <v>0.56120000000000003</v>
      </c>
      <c r="F1943" s="8">
        <v>0.70099999999999996</v>
      </c>
      <c r="G1943" s="8">
        <v>0.55600000000000005</v>
      </c>
      <c r="H1943" s="8">
        <v>0.53290000000000004</v>
      </c>
      <c r="I1943" s="8">
        <f>I1939/I1938</f>
        <v>0.51174045020415393</v>
      </c>
    </row>
    <row r="1944" spans="1:9">
      <c r="B1944" s="1" t="s">
        <v>401</v>
      </c>
      <c r="D1944" t="s">
        <v>19</v>
      </c>
      <c r="E1944" s="8">
        <v>0.58099999999999996</v>
      </c>
      <c r="F1944" s="8">
        <v>0.57640000000000002</v>
      </c>
      <c r="G1944" s="8">
        <v>0.58850000000000002</v>
      </c>
      <c r="H1944" s="8">
        <v>0.61580000000000001</v>
      </c>
      <c r="I1944" s="8">
        <f>I1940/I1939</f>
        <v>0.62867925321463403</v>
      </c>
    </row>
    <row r="1945" spans="1:9">
      <c r="B1945" s="1" t="s">
        <v>401</v>
      </c>
      <c r="D1945" t="s">
        <v>20</v>
      </c>
      <c r="E1945" s="8">
        <v>0.3261</v>
      </c>
      <c r="F1945" s="8">
        <v>0.40410000000000001</v>
      </c>
      <c r="G1945" s="8">
        <v>0.32719999999999999</v>
      </c>
      <c r="H1945" s="8">
        <v>0.32819999999999999</v>
      </c>
      <c r="I1945" s="8">
        <f>I1940/I1938</f>
        <v>0.32172060407406811</v>
      </c>
    </row>
    <row r="1946" spans="1:9">
      <c r="B1946" s="1" t="s">
        <v>401</v>
      </c>
    </row>
    <row r="1947" spans="1:9">
      <c r="A1947" t="s">
        <v>403</v>
      </c>
      <c r="B1947" s="1" t="s">
        <v>404</v>
      </c>
      <c r="C1947" t="s">
        <v>405</v>
      </c>
    </row>
    <row r="1948" spans="1:9">
      <c r="B1948" s="1" t="s">
        <v>404</v>
      </c>
      <c r="D1948" t="s">
        <v>11</v>
      </c>
      <c r="E1948" s="3">
        <v>1512</v>
      </c>
      <c r="F1948" s="3">
        <v>1283</v>
      </c>
      <c r="G1948" s="3">
        <v>1345</v>
      </c>
      <c r="H1948" s="3">
        <v>1223</v>
      </c>
      <c r="I1948" s="3">
        <f>VLOOKUP(B1948,[1]Sheet3!$A$13:$E$198,5,TRUE)</f>
        <v>1239</v>
      </c>
    </row>
    <row r="1949" spans="1:9">
      <c r="B1949" s="1" t="s">
        <v>404</v>
      </c>
      <c r="D1949" t="s">
        <v>12</v>
      </c>
      <c r="E1949" s="5">
        <v>228120</v>
      </c>
      <c r="F1949" s="5">
        <v>214638</v>
      </c>
      <c r="G1949" s="5">
        <v>203093</v>
      </c>
      <c r="H1949" s="5">
        <v>166840</v>
      </c>
      <c r="I1949" s="3">
        <f>VLOOKUP(B1949,[1]Sheet3!$A$13:$F$198,6,TRUE)</f>
        <v>150891</v>
      </c>
    </row>
    <row r="1950" spans="1:9">
      <c r="B1950" s="1" t="s">
        <v>404</v>
      </c>
      <c r="D1950" t="s">
        <v>23</v>
      </c>
      <c r="E1950" s="5">
        <v>517357.4</v>
      </c>
      <c r="F1950" s="5">
        <v>546158.61</v>
      </c>
      <c r="G1950" s="5">
        <v>520895.85</v>
      </c>
      <c r="H1950" s="5">
        <v>421830.16</v>
      </c>
      <c r="I1950" s="3">
        <f>VLOOKUP(B1950,[1]Sheet3!$A$13:$G$198,7,TRUE)</f>
        <v>448473.76</v>
      </c>
    </row>
    <row r="1951" spans="1:9">
      <c r="B1951" s="1" t="s">
        <v>404</v>
      </c>
      <c r="D1951" t="s">
        <v>14</v>
      </c>
      <c r="E1951" s="5">
        <v>236678.46</v>
      </c>
      <c r="F1951" s="5">
        <v>238736.64000000001</v>
      </c>
      <c r="G1951" s="5">
        <v>238736.64000000001</v>
      </c>
      <c r="H1951" s="5">
        <v>227288.88</v>
      </c>
      <c r="I1951" s="3">
        <f>VLOOKUP(B1951,[1]Sheet3!$A$13:$H$198,8,TRUE)</f>
        <v>189686.34000000003</v>
      </c>
    </row>
    <row r="1952" spans="1:9">
      <c r="B1952" s="1" t="s">
        <v>404</v>
      </c>
      <c r="D1952" t="s">
        <v>15</v>
      </c>
      <c r="E1952" s="5">
        <v>137514.06</v>
      </c>
      <c r="F1952" s="5">
        <v>140567.58000000002</v>
      </c>
      <c r="G1952" s="5">
        <v>143177.78</v>
      </c>
      <c r="H1952" s="5">
        <v>138115.06</v>
      </c>
      <c r="I1952" s="3">
        <f>VLOOKUP(B1952,[1]Sheet3!$A$13:$I$198,9,TRUE)</f>
        <v>112916.07</v>
      </c>
    </row>
    <row r="1953" spans="1:9">
      <c r="B1953" s="1" t="s">
        <v>404</v>
      </c>
      <c r="D1953" t="s">
        <v>16</v>
      </c>
      <c r="E1953" s="5">
        <v>342.17</v>
      </c>
      <c r="F1953" s="5">
        <v>425.69</v>
      </c>
      <c r="G1953" s="5">
        <v>387.28</v>
      </c>
      <c r="H1953" s="5">
        <v>344.91</v>
      </c>
      <c r="I1953" s="5">
        <f>I1950/I1948</f>
        <v>361.96429378531076</v>
      </c>
    </row>
    <row r="1954" spans="1:9">
      <c r="B1954" s="1" t="s">
        <v>404</v>
      </c>
      <c r="D1954" t="s">
        <v>17</v>
      </c>
      <c r="E1954" s="6">
        <v>2.27</v>
      </c>
      <c r="F1954" s="6">
        <v>2.54</v>
      </c>
      <c r="G1954" s="6">
        <v>2.56</v>
      </c>
      <c r="H1954" s="6">
        <v>2.5299999999999998</v>
      </c>
      <c r="I1954" s="7">
        <f>I1950/I1949</f>
        <v>2.9721703746412973</v>
      </c>
    </row>
    <row r="1955" spans="1:9">
      <c r="B1955" s="1" t="s">
        <v>404</v>
      </c>
      <c r="D1955" t="s">
        <v>18</v>
      </c>
      <c r="E1955" s="8">
        <v>0.45750000000000002</v>
      </c>
      <c r="F1955" s="8">
        <v>0.43709999999999999</v>
      </c>
      <c r="G1955" s="8">
        <v>0.45829999999999999</v>
      </c>
      <c r="H1955" s="8">
        <v>0.53879999999999995</v>
      </c>
      <c r="I1955" s="8">
        <f>I1951/I1950</f>
        <v>0.42295972901513795</v>
      </c>
    </row>
    <row r="1956" spans="1:9">
      <c r="B1956" s="1" t="s">
        <v>404</v>
      </c>
      <c r="D1956" t="s">
        <v>19</v>
      </c>
      <c r="E1956" s="8">
        <v>0.58099999999999996</v>
      </c>
      <c r="F1956" s="8">
        <v>0.58879999999999999</v>
      </c>
      <c r="G1956" s="8">
        <v>0.59970000000000001</v>
      </c>
      <c r="H1956" s="8">
        <v>0.60770000000000002</v>
      </c>
      <c r="I1956" s="8">
        <f>I1952/I1951</f>
        <v>0.59527781494439713</v>
      </c>
    </row>
    <row r="1957" spans="1:9">
      <c r="B1957" s="1" t="s">
        <v>404</v>
      </c>
      <c r="D1957" t="s">
        <v>20</v>
      </c>
      <c r="E1957" s="8">
        <v>0.26579999999999998</v>
      </c>
      <c r="F1957" s="8">
        <v>0.25740000000000002</v>
      </c>
      <c r="G1957" s="8">
        <v>0.27489999999999998</v>
      </c>
      <c r="H1957" s="8">
        <v>0.32740000000000002</v>
      </c>
      <c r="I1957" s="8">
        <f>I1952/I1950</f>
        <v>0.25177854329760563</v>
      </c>
    </row>
    <row r="1958" spans="1:9">
      <c r="B1958" s="1" t="s">
        <v>404</v>
      </c>
    </row>
    <row r="1959" spans="1:9">
      <c r="A1959" t="s">
        <v>403</v>
      </c>
      <c r="B1959" s="1" t="s">
        <v>406</v>
      </c>
      <c r="C1959" t="s">
        <v>407</v>
      </c>
    </row>
    <row r="1960" spans="1:9">
      <c r="B1960" s="1" t="s">
        <v>406</v>
      </c>
      <c r="D1960" t="s">
        <v>11</v>
      </c>
      <c r="E1960" s="3">
        <v>690</v>
      </c>
      <c r="F1960" s="3">
        <v>899</v>
      </c>
      <c r="G1960" s="3">
        <v>729</v>
      </c>
      <c r="H1960" s="3">
        <v>768</v>
      </c>
      <c r="I1960" s="3">
        <f>VLOOKUP(B1960,[1]Sheet3!$A$13:$E$198,5,TRUE)</f>
        <v>1190</v>
      </c>
    </row>
    <row r="1961" spans="1:9">
      <c r="B1961" s="1" t="s">
        <v>406</v>
      </c>
      <c r="D1961" t="s">
        <v>12</v>
      </c>
      <c r="E1961" s="5">
        <v>121342</v>
      </c>
      <c r="F1961" s="5">
        <v>150968</v>
      </c>
      <c r="G1961" s="5">
        <v>119990</v>
      </c>
      <c r="H1961" s="5">
        <v>125460</v>
      </c>
      <c r="I1961" s="3">
        <f>VLOOKUP(B1961,[1]Sheet3!$A$13:$F$198,6,TRUE)</f>
        <v>123816</v>
      </c>
    </row>
    <row r="1962" spans="1:9">
      <c r="B1962" s="1" t="s">
        <v>406</v>
      </c>
      <c r="D1962" t="s">
        <v>23</v>
      </c>
      <c r="E1962" s="5">
        <v>247454</v>
      </c>
      <c r="F1962" s="5">
        <v>303036.84999999998</v>
      </c>
      <c r="G1962" s="5">
        <v>259398.52</v>
      </c>
      <c r="H1962" s="5">
        <v>306135.98</v>
      </c>
      <c r="I1962" s="3">
        <f>VLOOKUP(B1962,[1]Sheet3!$A$13:$G$198,7,TRUE)</f>
        <v>316434.17</v>
      </c>
    </row>
    <row r="1963" spans="1:9">
      <c r="B1963" s="1" t="s">
        <v>406</v>
      </c>
      <c r="D1963" t="s">
        <v>14</v>
      </c>
      <c r="E1963" s="5">
        <v>114200.87</v>
      </c>
      <c r="F1963" s="5">
        <v>140446.15000000002</v>
      </c>
      <c r="G1963" s="5">
        <v>140446.15000000002</v>
      </c>
      <c r="H1963" s="5">
        <v>135107.74</v>
      </c>
      <c r="I1963" s="3">
        <f>VLOOKUP(B1963,[1]Sheet3!$A$13:$H$198,8,TRUE)</f>
        <v>138184.03</v>
      </c>
    </row>
    <row r="1964" spans="1:9">
      <c r="B1964" s="1" t="s">
        <v>406</v>
      </c>
      <c r="D1964" t="s">
        <v>15</v>
      </c>
      <c r="E1964" s="5">
        <v>65539.100000000006</v>
      </c>
      <c r="F1964" s="5">
        <v>85122.47</v>
      </c>
      <c r="G1964" s="5">
        <v>84229.92</v>
      </c>
      <c r="H1964" s="5">
        <v>82251.350000000006</v>
      </c>
      <c r="I1964" s="3">
        <f>VLOOKUP(B1964,[1]Sheet3!$A$13:$I$198,9,TRUE)</f>
        <v>85425.84</v>
      </c>
    </row>
    <row r="1965" spans="1:9">
      <c r="B1965" s="1" t="s">
        <v>406</v>
      </c>
      <c r="D1965" t="s">
        <v>16</v>
      </c>
      <c r="E1965" s="5">
        <v>358.63</v>
      </c>
      <c r="F1965" s="5">
        <v>337.08</v>
      </c>
      <c r="G1965" s="5">
        <v>355.83</v>
      </c>
      <c r="H1965" s="5">
        <v>398.61</v>
      </c>
      <c r="I1965" s="5">
        <f>I1962/I1960</f>
        <v>265.91106722689074</v>
      </c>
    </row>
    <row r="1966" spans="1:9">
      <c r="B1966" s="1" t="s">
        <v>406</v>
      </c>
      <c r="D1966" t="s">
        <v>17</v>
      </c>
      <c r="E1966" s="6">
        <v>2.04</v>
      </c>
      <c r="F1966" s="6">
        <v>2.0099999999999998</v>
      </c>
      <c r="G1966" s="6">
        <v>2.16</v>
      </c>
      <c r="H1966" s="6">
        <v>2.44</v>
      </c>
      <c r="I1966" s="7">
        <f>I1962/I1961</f>
        <v>2.5556807682367384</v>
      </c>
    </row>
    <row r="1967" spans="1:9">
      <c r="B1967" s="1" t="s">
        <v>406</v>
      </c>
      <c r="D1967" t="s">
        <v>18</v>
      </c>
      <c r="E1967" s="8">
        <v>0.46150000000000002</v>
      </c>
      <c r="F1967" s="8">
        <v>0.46350000000000002</v>
      </c>
      <c r="G1967" s="8">
        <v>0.54139999999999999</v>
      </c>
      <c r="H1967" s="8">
        <v>0.44130000000000003</v>
      </c>
      <c r="I1967" s="8">
        <f>I1963/I1962</f>
        <v>0.43669123976086405</v>
      </c>
    </row>
    <row r="1968" spans="1:9">
      <c r="B1968" s="1" t="s">
        <v>406</v>
      </c>
      <c r="D1968" t="s">
        <v>19</v>
      </c>
      <c r="E1968" s="8">
        <v>0.57389999999999997</v>
      </c>
      <c r="F1968" s="8">
        <v>0.60609999999999997</v>
      </c>
      <c r="G1968" s="8">
        <v>0.59970000000000001</v>
      </c>
      <c r="H1968" s="8">
        <v>0.60880000000000001</v>
      </c>
      <c r="I1968" s="8">
        <f>I1964/I1963</f>
        <v>0.61820342046761845</v>
      </c>
    </row>
    <row r="1969" spans="1:9">
      <c r="B1969" s="1" t="s">
        <v>406</v>
      </c>
      <c r="D1969" t="s">
        <v>20</v>
      </c>
      <c r="E1969" s="8">
        <v>0.26490000000000002</v>
      </c>
      <c r="F1969" s="8">
        <v>0.28089999999999998</v>
      </c>
      <c r="G1969" s="8">
        <v>0.32469999999999999</v>
      </c>
      <c r="H1969" s="8">
        <v>0.26869999999999999</v>
      </c>
      <c r="I1969" s="8">
        <f>I1964/I1962</f>
        <v>0.26996401810841097</v>
      </c>
    </row>
    <row r="1970" spans="1:9">
      <c r="B1970" s="1" t="s">
        <v>406</v>
      </c>
    </row>
    <row r="1971" spans="1:9">
      <c r="A1971" t="s">
        <v>403</v>
      </c>
      <c r="B1971" s="1" t="s">
        <v>408</v>
      </c>
      <c r="C1971" t="s">
        <v>409</v>
      </c>
    </row>
    <row r="1972" spans="1:9">
      <c r="B1972" s="1" t="s">
        <v>408</v>
      </c>
      <c r="D1972" t="s">
        <v>11</v>
      </c>
      <c r="E1972" s="3">
        <v>1633</v>
      </c>
      <c r="F1972" s="3">
        <v>1363</v>
      </c>
      <c r="G1972" s="3">
        <v>1287</v>
      </c>
      <c r="H1972" s="3">
        <v>1481</v>
      </c>
      <c r="I1972" s="3">
        <f>VLOOKUP(B1972,[1]Sheet3!$A$13:$E$198,5,TRUE)</f>
        <v>1423</v>
      </c>
    </row>
    <row r="1973" spans="1:9">
      <c r="B1973" s="1" t="s">
        <v>408</v>
      </c>
      <c r="D1973" t="s">
        <v>12</v>
      </c>
      <c r="E1973" s="5">
        <v>425516</v>
      </c>
      <c r="F1973" s="5">
        <v>423679</v>
      </c>
      <c r="G1973" s="5">
        <v>376585</v>
      </c>
      <c r="H1973" s="5">
        <v>485688</v>
      </c>
      <c r="I1973" s="3">
        <f>VLOOKUP(B1973,[1]Sheet3!$A$13:$F$198,6,TRUE)</f>
        <v>522568</v>
      </c>
    </row>
    <row r="1974" spans="1:9">
      <c r="B1974" s="1" t="s">
        <v>408</v>
      </c>
      <c r="D1974" t="s">
        <v>23</v>
      </c>
      <c r="E1974" s="5">
        <v>779295</v>
      </c>
      <c r="F1974" s="5">
        <v>774759</v>
      </c>
      <c r="G1974" s="5">
        <v>852827</v>
      </c>
      <c r="H1974" s="5">
        <v>955522</v>
      </c>
      <c r="I1974" s="3">
        <f>VLOOKUP(B1974,[1]Sheet3!$A$13:$G$198,7,TRUE)</f>
        <v>991784</v>
      </c>
    </row>
    <row r="1975" spans="1:9">
      <c r="B1975" s="1" t="s">
        <v>408</v>
      </c>
      <c r="D1975" t="s">
        <v>14</v>
      </c>
      <c r="E1975" s="5">
        <v>370511.02</v>
      </c>
      <c r="F1975" s="5">
        <v>370511.02</v>
      </c>
      <c r="G1975" s="5">
        <v>383162.31</v>
      </c>
      <c r="H1975" s="5">
        <v>445268.24</v>
      </c>
      <c r="I1975" s="3">
        <f>VLOOKUP(B1975,[1]Sheet3!$A$13:$H$198,8,TRUE)</f>
        <v>466786.2</v>
      </c>
    </row>
    <row r="1976" spans="1:9">
      <c r="B1976" s="1" t="s">
        <v>408</v>
      </c>
      <c r="D1976" t="s">
        <v>15</v>
      </c>
      <c r="E1976" s="5">
        <v>215849.31</v>
      </c>
      <c r="F1976" s="5">
        <v>217846.21999999997</v>
      </c>
      <c r="G1976" s="5">
        <v>231058.62</v>
      </c>
      <c r="H1976" s="5">
        <v>279298.13</v>
      </c>
      <c r="I1976" s="3">
        <f>VLOOKUP(B1976,[1]Sheet3!$A$13:$I$198,9,TRUE)</f>
        <v>289725.64</v>
      </c>
    </row>
    <row r="1977" spans="1:9">
      <c r="B1977" s="1" t="s">
        <v>408</v>
      </c>
      <c r="D1977" t="s">
        <v>16</v>
      </c>
      <c r="E1977" s="5">
        <v>477.22</v>
      </c>
      <c r="F1977" s="5">
        <v>568.41999999999996</v>
      </c>
      <c r="G1977" s="5">
        <v>662.65</v>
      </c>
      <c r="H1977" s="5">
        <v>645.19000000000005</v>
      </c>
      <c r="I1977" s="5">
        <f>I1974/I1972</f>
        <v>696.96697118763177</v>
      </c>
    </row>
    <row r="1978" spans="1:9">
      <c r="B1978" s="1" t="s">
        <v>408</v>
      </c>
      <c r="D1978" t="s">
        <v>17</v>
      </c>
      <c r="E1978" s="6">
        <v>1.83</v>
      </c>
      <c r="F1978" s="6">
        <v>1.83</v>
      </c>
      <c r="G1978" s="6">
        <v>2.2599999999999998</v>
      </c>
      <c r="H1978" s="6">
        <v>1.97</v>
      </c>
      <c r="I1978" s="7">
        <f>I1974/I1973</f>
        <v>1.8979041962003032</v>
      </c>
    </row>
    <row r="1979" spans="1:9">
      <c r="B1979" s="1" t="s">
        <v>408</v>
      </c>
      <c r="D1979" t="s">
        <v>18</v>
      </c>
      <c r="E1979" s="8">
        <v>0.47539999999999999</v>
      </c>
      <c r="F1979" s="8">
        <v>0.47820000000000001</v>
      </c>
      <c r="G1979" s="8">
        <v>0.44929999999999998</v>
      </c>
      <c r="H1979" s="8">
        <v>0.46600000000000003</v>
      </c>
      <c r="I1979" s="8">
        <f>I1975/I1974</f>
        <v>0.47065308575254289</v>
      </c>
    </row>
    <row r="1980" spans="1:9">
      <c r="B1980" s="1" t="s">
        <v>408</v>
      </c>
      <c r="D1980" t="s">
        <v>19</v>
      </c>
      <c r="E1980" s="8">
        <v>0.58260000000000001</v>
      </c>
      <c r="F1980" s="8">
        <v>0.58799999999999997</v>
      </c>
      <c r="G1980" s="8">
        <v>0.60299999999999998</v>
      </c>
      <c r="H1980" s="8">
        <v>0.62729999999999997</v>
      </c>
      <c r="I1980" s="8">
        <f>I1976/I1975</f>
        <v>0.62068167396551144</v>
      </c>
    </row>
    <row r="1981" spans="1:9">
      <c r="B1981" s="1" t="s">
        <v>408</v>
      </c>
      <c r="D1981" t="s">
        <v>20</v>
      </c>
      <c r="E1981" s="8">
        <v>0.27700000000000002</v>
      </c>
      <c r="F1981" s="8">
        <v>0.28120000000000001</v>
      </c>
      <c r="G1981" s="8">
        <v>0.27089999999999997</v>
      </c>
      <c r="H1981" s="8">
        <v>0.2923</v>
      </c>
      <c r="I1981" s="8">
        <f>I1976/I1974</f>
        <v>0.29212574512192174</v>
      </c>
    </row>
    <row r="1982" spans="1:9">
      <c r="B1982" s="1" t="s">
        <v>408</v>
      </c>
    </row>
    <row r="1983" spans="1:9">
      <c r="A1983" t="s">
        <v>403</v>
      </c>
      <c r="B1983" s="1" t="s">
        <v>410</v>
      </c>
      <c r="C1983" t="s">
        <v>411</v>
      </c>
    </row>
    <row r="1984" spans="1:9">
      <c r="B1984" s="1" t="s">
        <v>410</v>
      </c>
      <c r="D1984" t="s">
        <v>11</v>
      </c>
      <c r="E1984" s="3">
        <v>1183</v>
      </c>
      <c r="F1984" s="3">
        <v>1249</v>
      </c>
      <c r="G1984" s="3">
        <v>1295</v>
      </c>
      <c r="H1984" s="3">
        <v>1329</v>
      </c>
      <c r="I1984" s="3">
        <f>VLOOKUP(B1984,[1]Sheet3!$A$13:$E$198,5,TRUE)</f>
        <v>1273</v>
      </c>
    </row>
    <row r="1985" spans="1:9">
      <c r="B1985" s="1" t="s">
        <v>410</v>
      </c>
      <c r="D1985" t="s">
        <v>12</v>
      </c>
      <c r="E1985" s="5">
        <v>195732.2</v>
      </c>
      <c r="F1985" s="5">
        <v>212602</v>
      </c>
      <c r="G1985" s="5">
        <v>243678</v>
      </c>
      <c r="H1985" s="5">
        <v>247214</v>
      </c>
      <c r="I1985" s="3">
        <f>VLOOKUP(B1985,[1]Sheet3!$A$13:$F$198,6,TRUE)</f>
        <v>194854.5</v>
      </c>
    </row>
    <row r="1986" spans="1:9">
      <c r="B1986" s="1" t="s">
        <v>410</v>
      </c>
      <c r="D1986" t="s">
        <v>23</v>
      </c>
      <c r="E1986" s="5">
        <v>643267.82999999996</v>
      </c>
      <c r="F1986" s="5">
        <v>733027.15</v>
      </c>
      <c r="G1986" s="5">
        <v>731725.23</v>
      </c>
      <c r="H1986" s="5">
        <v>810403.47</v>
      </c>
      <c r="I1986" s="3">
        <f>VLOOKUP(B1986,[1]Sheet3!$A$13:$G$198,7,TRUE)</f>
        <v>826704.62</v>
      </c>
    </row>
    <row r="1987" spans="1:9">
      <c r="B1987" s="1" t="s">
        <v>410</v>
      </c>
      <c r="D1987" t="s">
        <v>14</v>
      </c>
      <c r="E1987" s="5">
        <v>266892.87</v>
      </c>
      <c r="F1987" s="5">
        <v>301519.13</v>
      </c>
      <c r="G1987" s="5">
        <v>308860.67</v>
      </c>
      <c r="H1987" s="5">
        <v>336394.52</v>
      </c>
      <c r="I1987" s="3">
        <f>VLOOKUP(B1987,[1]Sheet3!$A$13:$H$198,8,TRUE)</f>
        <v>328803.11</v>
      </c>
    </row>
    <row r="1988" spans="1:9">
      <c r="B1988" s="1" t="s">
        <v>410</v>
      </c>
      <c r="D1988" t="s">
        <v>15</v>
      </c>
      <c r="E1988" s="5">
        <v>156290.13</v>
      </c>
      <c r="F1988" s="5">
        <v>180640.06</v>
      </c>
      <c r="G1988" s="5">
        <v>185966.99</v>
      </c>
      <c r="H1988" s="5">
        <v>209005.22</v>
      </c>
      <c r="I1988" s="3">
        <f>VLOOKUP(B1988,[1]Sheet3!$A$13:$I$198,9,TRUE)</f>
        <v>207181.6</v>
      </c>
    </row>
    <row r="1989" spans="1:9">
      <c r="B1989" s="1" t="s">
        <v>410</v>
      </c>
      <c r="D1989" t="s">
        <v>16</v>
      </c>
      <c r="E1989" s="5">
        <v>543.76</v>
      </c>
      <c r="F1989" s="5">
        <v>586.89</v>
      </c>
      <c r="G1989" s="5">
        <v>565.04</v>
      </c>
      <c r="H1989" s="5">
        <v>609.78</v>
      </c>
      <c r="I1989" s="5">
        <f>I1986/I1984</f>
        <v>649.4144697564808</v>
      </c>
    </row>
    <row r="1990" spans="1:9">
      <c r="B1990" s="1" t="s">
        <v>410</v>
      </c>
      <c r="D1990" t="s">
        <v>17</v>
      </c>
      <c r="E1990" s="6">
        <v>3.29</v>
      </c>
      <c r="F1990" s="6">
        <v>3.45</v>
      </c>
      <c r="G1990" s="6">
        <v>3</v>
      </c>
      <c r="H1990" s="6">
        <v>3.28</v>
      </c>
      <c r="I1990" s="7">
        <f>I1986/I1985</f>
        <v>4.2426765612290191</v>
      </c>
    </row>
    <row r="1991" spans="1:9">
      <c r="B1991" s="1" t="s">
        <v>410</v>
      </c>
      <c r="D1991" t="s">
        <v>18</v>
      </c>
      <c r="E1991" s="8">
        <v>0.41489999999999999</v>
      </c>
      <c r="F1991" s="8">
        <v>0.4113</v>
      </c>
      <c r="G1991" s="8">
        <v>0.42209999999999998</v>
      </c>
      <c r="H1991" s="8">
        <v>0.41510000000000002</v>
      </c>
      <c r="I1991" s="8">
        <f>I1987/I1986</f>
        <v>0.39772743740079736</v>
      </c>
    </row>
    <row r="1992" spans="1:9">
      <c r="B1992" s="1" t="s">
        <v>410</v>
      </c>
      <c r="D1992" t="s">
        <v>19</v>
      </c>
      <c r="E1992" s="8">
        <v>0.58560000000000001</v>
      </c>
      <c r="F1992" s="8">
        <v>0.59909999999999997</v>
      </c>
      <c r="G1992" s="8">
        <v>0.60209999999999997</v>
      </c>
      <c r="H1992" s="8">
        <v>0.62129999999999996</v>
      </c>
      <c r="I1992" s="8">
        <f>I1988/I1987</f>
        <v>0.63010839526426621</v>
      </c>
    </row>
    <row r="1993" spans="1:9">
      <c r="B1993" s="1" t="s">
        <v>410</v>
      </c>
      <c r="D1993" t="s">
        <v>20</v>
      </c>
      <c r="E1993" s="8">
        <v>0.24299999999999999</v>
      </c>
      <c r="F1993" s="8">
        <v>0.24640000000000001</v>
      </c>
      <c r="G1993" s="8">
        <v>0.25409999999999999</v>
      </c>
      <c r="H1993" s="8">
        <v>0.25790000000000002</v>
      </c>
      <c r="I1993" s="8">
        <f>I1988/I1986</f>
        <v>0.25061139733318533</v>
      </c>
    </row>
    <row r="1994" spans="1:9">
      <c r="B1994" s="1" t="s">
        <v>410</v>
      </c>
    </row>
    <row r="1995" spans="1:9">
      <c r="A1995" t="s">
        <v>403</v>
      </c>
      <c r="B1995" s="1" t="s">
        <v>412</v>
      </c>
      <c r="C1995" t="s">
        <v>413</v>
      </c>
    </row>
    <row r="1996" spans="1:9">
      <c r="B1996" s="1" t="s">
        <v>412</v>
      </c>
      <c r="D1996" t="s">
        <v>11</v>
      </c>
      <c r="E1996" s="3">
        <v>2146</v>
      </c>
      <c r="F1996" s="3">
        <v>2180</v>
      </c>
      <c r="G1996" s="3">
        <v>2393</v>
      </c>
      <c r="H1996" s="3">
        <v>2476</v>
      </c>
      <c r="I1996" s="3">
        <f>VLOOKUP(B1996,[1]Sheet3!$A$13:$E$198,5,TRUE)</f>
        <v>2591</v>
      </c>
    </row>
    <row r="1997" spans="1:9">
      <c r="B1997" s="1" t="s">
        <v>412</v>
      </c>
      <c r="D1997" t="s">
        <v>12</v>
      </c>
      <c r="E1997" s="5">
        <v>206389</v>
      </c>
      <c r="F1997" s="5">
        <v>194279</v>
      </c>
      <c r="G1997" s="5">
        <v>205371</v>
      </c>
      <c r="H1997" s="5">
        <v>222190</v>
      </c>
      <c r="I1997" s="3">
        <f>VLOOKUP(B1997,[1]Sheet3!$A$13:$F$198,6,TRUE)</f>
        <v>226233</v>
      </c>
    </row>
    <row r="1998" spans="1:9">
      <c r="B1998" s="1" t="s">
        <v>412</v>
      </c>
      <c r="D1998" t="s">
        <v>23</v>
      </c>
      <c r="E1998" s="5">
        <v>529114.09</v>
      </c>
      <c r="F1998" s="5">
        <v>550959.82999999996</v>
      </c>
      <c r="G1998" s="5">
        <v>614179.92000000004</v>
      </c>
      <c r="H1998" s="5">
        <v>628800</v>
      </c>
      <c r="I1998" s="3">
        <f>VLOOKUP(B1998,[1]Sheet3!$A$13:$G$198,7,TRUE)</f>
        <v>677095.65</v>
      </c>
    </row>
    <row r="1999" spans="1:9">
      <c r="B1999" s="1" t="s">
        <v>412</v>
      </c>
      <c r="D1999" t="s">
        <v>14</v>
      </c>
      <c r="E1999" s="5">
        <v>230897.83000000002</v>
      </c>
      <c r="F1999" s="5">
        <v>235264.22000000003</v>
      </c>
      <c r="G1999" s="5">
        <v>259454.69</v>
      </c>
      <c r="H1999" s="5">
        <v>268618.56</v>
      </c>
      <c r="I1999" s="3">
        <f>VLOOKUP(B1999,[1]Sheet3!$A$13:$H$198,8,TRUE)</f>
        <v>285988.8</v>
      </c>
    </row>
    <row r="2000" spans="1:9">
      <c r="B2000" s="1" t="s">
        <v>412</v>
      </c>
      <c r="D2000" t="s">
        <v>15</v>
      </c>
      <c r="E2000" s="5">
        <v>134120.57</v>
      </c>
      <c r="F2000" s="5">
        <v>138749.79999999999</v>
      </c>
      <c r="G2000" s="5">
        <v>158020.46000000002</v>
      </c>
      <c r="H2000" s="5">
        <v>165571.87</v>
      </c>
      <c r="I2000" s="3">
        <f>VLOOKUP(B2000,[1]Sheet3!$A$13:$I$198,9,TRUE)</f>
        <v>177943.31</v>
      </c>
    </row>
    <row r="2001" spans="1:9">
      <c r="B2001" s="1" t="s">
        <v>412</v>
      </c>
      <c r="D2001" t="s">
        <v>16</v>
      </c>
      <c r="E2001" s="5">
        <v>246.56</v>
      </c>
      <c r="F2001" s="5">
        <v>252.73</v>
      </c>
      <c r="G2001" s="5">
        <v>256.66000000000003</v>
      </c>
      <c r="H2001" s="5">
        <v>253.96</v>
      </c>
      <c r="I2001" s="5">
        <f>I1998/I1996</f>
        <v>261.3259938247781</v>
      </c>
    </row>
    <row r="2002" spans="1:9">
      <c r="B2002" s="1" t="s">
        <v>412</v>
      </c>
      <c r="D2002" t="s">
        <v>17</v>
      </c>
      <c r="E2002" s="6">
        <v>2.56</v>
      </c>
      <c r="F2002" s="6">
        <v>2.84</v>
      </c>
      <c r="G2002" s="6">
        <v>2.99</v>
      </c>
      <c r="H2002" s="6">
        <v>2.83</v>
      </c>
      <c r="I2002" s="7">
        <f>I1998/I1997</f>
        <v>2.9929128376496799</v>
      </c>
    </row>
    <row r="2003" spans="1:9">
      <c r="B2003" s="1" t="s">
        <v>412</v>
      </c>
      <c r="D2003" t="s">
        <v>18</v>
      </c>
      <c r="E2003" s="8">
        <v>0.43640000000000001</v>
      </c>
      <c r="F2003" s="8">
        <v>0.42699999999999999</v>
      </c>
      <c r="G2003" s="8">
        <v>0.4224</v>
      </c>
      <c r="H2003" s="8">
        <v>0.42720000000000002</v>
      </c>
      <c r="I2003" s="8">
        <f>I1999/I1998</f>
        <v>0.42237577512128455</v>
      </c>
    </row>
    <row r="2004" spans="1:9">
      <c r="B2004" s="1" t="s">
        <v>412</v>
      </c>
      <c r="D2004" t="s">
        <v>19</v>
      </c>
      <c r="E2004" s="8">
        <v>0.58089999999999997</v>
      </c>
      <c r="F2004" s="8">
        <v>0.58979999999999999</v>
      </c>
      <c r="G2004" s="8">
        <v>0.60899999999999999</v>
      </c>
      <c r="H2004" s="8">
        <v>0.61639999999999995</v>
      </c>
      <c r="I2004" s="8">
        <f>I2000/I1999</f>
        <v>0.62220377161623119</v>
      </c>
    </row>
    <row r="2005" spans="1:9">
      <c r="B2005" s="1" t="s">
        <v>412</v>
      </c>
      <c r="D2005" t="s">
        <v>20</v>
      </c>
      <c r="E2005" s="8">
        <v>0.2535</v>
      </c>
      <c r="F2005" s="8">
        <v>0.25180000000000002</v>
      </c>
      <c r="G2005" s="8">
        <v>0.25729999999999997</v>
      </c>
      <c r="H2005" s="8">
        <v>0.26329999999999998</v>
      </c>
      <c r="I2005" s="8">
        <f>I2000/I1998</f>
        <v>0.26280380031979234</v>
      </c>
    </row>
    <row r="2006" spans="1:9">
      <c r="B2006" s="1" t="s">
        <v>412</v>
      </c>
    </row>
    <row r="2007" spans="1:9">
      <c r="A2007" t="s">
        <v>403</v>
      </c>
      <c r="B2007" s="1" t="s">
        <v>414</v>
      </c>
      <c r="C2007" t="s">
        <v>415</v>
      </c>
    </row>
    <row r="2008" spans="1:9">
      <c r="B2008" s="1" t="s">
        <v>414</v>
      </c>
      <c r="D2008" t="s">
        <v>11</v>
      </c>
      <c r="E2008" s="3">
        <v>6195</v>
      </c>
      <c r="F2008" s="3">
        <v>6458</v>
      </c>
      <c r="G2008" s="3">
        <v>6912</v>
      </c>
      <c r="H2008" s="3">
        <v>6618</v>
      </c>
      <c r="I2008" s="3">
        <f>VLOOKUP(B2008,[1]Sheet3!$A$13:$E$198,5,TRUE)</f>
        <v>6530</v>
      </c>
    </row>
    <row r="2009" spans="1:9">
      <c r="B2009" s="1" t="s">
        <v>414</v>
      </c>
      <c r="D2009" t="s">
        <v>12</v>
      </c>
      <c r="E2009" s="5">
        <v>823999</v>
      </c>
      <c r="F2009" s="5">
        <v>836940</v>
      </c>
      <c r="G2009" s="5">
        <v>886452</v>
      </c>
      <c r="H2009" s="5">
        <v>990930</v>
      </c>
      <c r="I2009" s="3">
        <f>VLOOKUP(B2009,[1]Sheet3!$A$13:$F$198,6,TRUE)</f>
        <v>818117</v>
      </c>
    </row>
    <row r="2010" spans="1:9">
      <c r="B2010" s="1" t="s">
        <v>414</v>
      </c>
      <c r="D2010" t="s">
        <v>23</v>
      </c>
      <c r="E2010" s="5">
        <v>3416925.37</v>
      </c>
      <c r="F2010" s="5">
        <v>3797404.05</v>
      </c>
      <c r="G2010" s="5">
        <v>3631823.67</v>
      </c>
      <c r="H2010" s="5">
        <v>3647669.01</v>
      </c>
      <c r="I2010" s="3">
        <f>VLOOKUP(B2010,[1]Sheet3!$A$13:$G$198,7,TRUE)</f>
        <v>3936477.51</v>
      </c>
    </row>
    <row r="2011" spans="1:9">
      <c r="B2011" s="1" t="s">
        <v>414</v>
      </c>
      <c r="D2011" t="s">
        <v>14</v>
      </c>
      <c r="E2011" s="5">
        <v>1363670.24</v>
      </c>
      <c r="F2011" s="5">
        <v>1495779.24</v>
      </c>
      <c r="G2011" s="5">
        <v>1495779.24</v>
      </c>
      <c r="H2011" s="5">
        <v>1483628.3599999999</v>
      </c>
      <c r="I2011" s="3">
        <f>VLOOKUP(B2011,[1]Sheet3!$A$13:$H$198,8,TRUE)</f>
        <v>1538169.5</v>
      </c>
    </row>
    <row r="2012" spans="1:9">
      <c r="B2012" s="1" t="s">
        <v>414</v>
      </c>
      <c r="D2012" t="s">
        <v>15</v>
      </c>
      <c r="E2012" s="5">
        <v>790707.42999999993</v>
      </c>
      <c r="F2012" s="5">
        <v>892273.92999999993</v>
      </c>
      <c r="G2012" s="5">
        <v>897065.28</v>
      </c>
      <c r="H2012" s="5">
        <v>908004.78</v>
      </c>
      <c r="I2012" s="3">
        <f>VLOOKUP(B2012,[1]Sheet3!$A$13:$I$198,9,TRUE)</f>
        <v>953012.07000000007</v>
      </c>
    </row>
    <row r="2013" spans="1:9">
      <c r="B2013" s="1" t="s">
        <v>414</v>
      </c>
      <c r="D2013" t="s">
        <v>16</v>
      </c>
      <c r="E2013" s="5">
        <v>551.55999999999995</v>
      </c>
      <c r="F2013" s="5">
        <v>588.02</v>
      </c>
      <c r="G2013" s="5">
        <v>525.44000000000005</v>
      </c>
      <c r="H2013" s="5">
        <v>551.16999999999996</v>
      </c>
      <c r="I2013" s="5">
        <f>I2010/I2008</f>
        <v>602.82963399693722</v>
      </c>
    </row>
    <row r="2014" spans="1:9">
      <c r="B2014" s="1" t="s">
        <v>414</v>
      </c>
      <c r="D2014" t="s">
        <v>17</v>
      </c>
      <c r="E2014" s="6">
        <v>4.1500000000000004</v>
      </c>
      <c r="F2014" s="6">
        <v>4.54</v>
      </c>
      <c r="G2014" s="6">
        <v>4.0999999999999996</v>
      </c>
      <c r="H2014" s="6">
        <v>3.68</v>
      </c>
      <c r="I2014" s="7">
        <f>I2010/I2009</f>
        <v>4.8116314781382119</v>
      </c>
    </row>
    <row r="2015" spans="1:9">
      <c r="B2015" s="1" t="s">
        <v>414</v>
      </c>
      <c r="D2015" t="s">
        <v>18</v>
      </c>
      <c r="E2015" s="8">
        <v>0.39910000000000001</v>
      </c>
      <c r="F2015" s="8">
        <v>0.39389999999999997</v>
      </c>
      <c r="G2015" s="8">
        <v>0.41189999999999999</v>
      </c>
      <c r="H2015" s="8">
        <v>0.40670000000000001</v>
      </c>
      <c r="I2015" s="8">
        <f>I2011/I2010</f>
        <v>0.39074769158277245</v>
      </c>
    </row>
    <row r="2016" spans="1:9">
      <c r="B2016" s="1" t="s">
        <v>414</v>
      </c>
      <c r="D2016" t="s">
        <v>19</v>
      </c>
      <c r="E2016" s="8">
        <v>0.57979999999999998</v>
      </c>
      <c r="F2016" s="8">
        <v>0.59650000000000003</v>
      </c>
      <c r="G2016" s="8">
        <v>0.59970000000000001</v>
      </c>
      <c r="H2016" s="8">
        <v>0.61199999999999999</v>
      </c>
      <c r="I2016" s="8">
        <f>I2012/I2011</f>
        <v>0.6195754564110133</v>
      </c>
    </row>
    <row r="2017" spans="1:9">
      <c r="B2017" s="1" t="s">
        <v>414</v>
      </c>
      <c r="D2017" t="s">
        <v>20</v>
      </c>
      <c r="E2017" s="8">
        <v>0.23139999999999999</v>
      </c>
      <c r="F2017" s="8">
        <v>0.23499999999999999</v>
      </c>
      <c r="G2017" s="8">
        <v>0.247</v>
      </c>
      <c r="H2017" s="8">
        <v>0.24890000000000001</v>
      </c>
      <c r="I2017" s="8">
        <f>I2012/I2010</f>
        <v>0.2420976793539461</v>
      </c>
    </row>
    <row r="2018" spans="1:9">
      <c r="B2018" s="1" t="s">
        <v>414</v>
      </c>
    </row>
    <row r="2019" spans="1:9">
      <c r="A2019" t="s">
        <v>403</v>
      </c>
      <c r="B2019" s="1" t="s">
        <v>416</v>
      </c>
      <c r="C2019" t="s">
        <v>417</v>
      </c>
    </row>
    <row r="2020" spans="1:9">
      <c r="B2020" s="1" t="s">
        <v>416</v>
      </c>
      <c r="D2020" t="s">
        <v>11</v>
      </c>
      <c r="E2020" s="3">
        <v>667</v>
      </c>
      <c r="F2020" s="3">
        <v>444</v>
      </c>
      <c r="G2020" s="3">
        <v>476</v>
      </c>
      <c r="H2020" s="3">
        <v>726</v>
      </c>
      <c r="I2020" s="3">
        <f>VLOOKUP(B2020,[1]Sheet3!$A$13:$E$198,5,TRUE)</f>
        <v>664</v>
      </c>
    </row>
    <row r="2021" spans="1:9">
      <c r="B2021" s="1" t="s">
        <v>416</v>
      </c>
      <c r="D2021" t="s">
        <v>12</v>
      </c>
      <c r="E2021" s="5">
        <v>132416</v>
      </c>
      <c r="F2021" s="5">
        <v>84838</v>
      </c>
      <c r="G2021" s="5">
        <v>67468</v>
      </c>
      <c r="H2021" s="5">
        <v>93019</v>
      </c>
      <c r="I2021" s="3">
        <f>VLOOKUP(B2021,[1]Sheet3!$A$13:$F$198,6,TRUE)</f>
        <v>161700</v>
      </c>
    </row>
    <row r="2022" spans="1:9">
      <c r="B2022" s="1" t="s">
        <v>416</v>
      </c>
      <c r="D2022" t="s">
        <v>23</v>
      </c>
      <c r="E2022" s="5">
        <v>497325</v>
      </c>
      <c r="F2022" s="5">
        <v>430326.89</v>
      </c>
      <c r="G2022" s="5">
        <v>490382.2</v>
      </c>
      <c r="H2022" s="5">
        <v>510957.03</v>
      </c>
      <c r="I2022" s="3">
        <f>VLOOKUP(B2022,[1]Sheet3!$A$13:$G$198,7,TRUE)</f>
        <v>497690.26</v>
      </c>
    </row>
    <row r="2023" spans="1:9">
      <c r="B2023" s="1" t="s">
        <v>416</v>
      </c>
      <c r="D2023" t="s">
        <v>14</v>
      </c>
      <c r="E2023" s="5">
        <v>201605.49</v>
      </c>
      <c r="F2023" s="5">
        <v>201605.49</v>
      </c>
      <c r="G2023" s="5">
        <v>182988.75</v>
      </c>
      <c r="H2023" s="5">
        <v>196356.3</v>
      </c>
      <c r="I2023" s="3">
        <f>VLOOKUP(B2023,[1]Sheet3!$A$13:$H$198,8,TRUE)</f>
        <v>209062.92</v>
      </c>
    </row>
    <row r="2024" spans="1:9">
      <c r="B2024" s="1" t="s">
        <v>416</v>
      </c>
      <c r="D2024" t="s">
        <v>15</v>
      </c>
      <c r="E2024" s="5">
        <v>119018.20999999999</v>
      </c>
      <c r="F2024" s="5">
        <v>118536.26999999999</v>
      </c>
      <c r="G2024" s="5">
        <v>107883.61</v>
      </c>
      <c r="H2024" s="5">
        <v>121718.98999999999</v>
      </c>
      <c r="I2024" s="3">
        <f>VLOOKUP(B2024,[1]Sheet3!$A$13:$I$198,9,TRUE)</f>
        <v>130080.63</v>
      </c>
    </row>
    <row r="2025" spans="1:9">
      <c r="B2025" s="1" t="s">
        <v>416</v>
      </c>
      <c r="D2025" t="s">
        <v>16</v>
      </c>
      <c r="E2025" s="5">
        <v>745.61</v>
      </c>
      <c r="F2025" s="5">
        <v>969.2</v>
      </c>
      <c r="G2025" s="5">
        <v>1030.21</v>
      </c>
      <c r="H2025" s="5">
        <v>703.8</v>
      </c>
      <c r="I2025" s="5">
        <f>I2022/I2020</f>
        <v>749.53352409638558</v>
      </c>
    </row>
    <row r="2026" spans="1:9">
      <c r="B2026" s="1" t="s">
        <v>416</v>
      </c>
      <c r="D2026" t="s">
        <v>17</v>
      </c>
      <c r="E2026" s="6">
        <v>3.76</v>
      </c>
      <c r="F2026" s="6">
        <v>5.07</v>
      </c>
      <c r="G2026" s="6">
        <v>7.27</v>
      </c>
      <c r="H2026" s="6">
        <v>5.49</v>
      </c>
      <c r="I2026" s="7">
        <f>I2022/I2021</f>
        <v>3.0778618429189857</v>
      </c>
    </row>
    <row r="2027" spans="1:9">
      <c r="B2027" s="1" t="s">
        <v>416</v>
      </c>
      <c r="D2027" t="s">
        <v>18</v>
      </c>
      <c r="E2027" s="8">
        <v>0.40539999999999998</v>
      </c>
      <c r="F2027" s="8">
        <v>0.46850000000000003</v>
      </c>
      <c r="G2027" s="8">
        <v>0.37319999999999998</v>
      </c>
      <c r="H2027" s="8">
        <v>0.38429999999999997</v>
      </c>
      <c r="I2027" s="8">
        <f>I2023/I2022</f>
        <v>0.42006632800087351</v>
      </c>
    </row>
    <row r="2028" spans="1:9">
      <c r="B2028" s="1" t="s">
        <v>416</v>
      </c>
      <c r="D2028" t="s">
        <v>19</v>
      </c>
      <c r="E2028" s="8">
        <v>0.59040000000000004</v>
      </c>
      <c r="F2028" s="8">
        <v>0.58799999999999997</v>
      </c>
      <c r="G2028" s="8">
        <v>0.58960000000000001</v>
      </c>
      <c r="H2028" s="8">
        <v>0.61990000000000001</v>
      </c>
      <c r="I2028" s="8">
        <f>I2024/I2023</f>
        <v>0.62220804148339648</v>
      </c>
    </row>
    <row r="2029" spans="1:9">
      <c r="B2029" s="1" t="s">
        <v>416</v>
      </c>
      <c r="D2029" t="s">
        <v>20</v>
      </c>
      <c r="E2029" s="8">
        <v>0.23930000000000001</v>
      </c>
      <c r="F2029" s="8">
        <v>0.27550000000000002</v>
      </c>
      <c r="G2029" s="8">
        <v>0.22</v>
      </c>
      <c r="H2029" s="8">
        <v>0.2382</v>
      </c>
      <c r="I2029" s="8">
        <f>I2024/I2022</f>
        <v>0.26136864723854553</v>
      </c>
    </row>
    <row r="2030" spans="1:9">
      <c r="B2030" s="1" t="s">
        <v>416</v>
      </c>
    </row>
    <row r="2031" spans="1:9">
      <c r="A2031" t="s">
        <v>403</v>
      </c>
      <c r="B2031" s="1" t="s">
        <v>418</v>
      </c>
      <c r="C2031" t="s">
        <v>419</v>
      </c>
    </row>
    <row r="2032" spans="1:9">
      <c r="B2032" s="1" t="s">
        <v>418</v>
      </c>
      <c r="D2032" t="s">
        <v>11</v>
      </c>
      <c r="E2032" s="3">
        <v>864</v>
      </c>
      <c r="F2032" s="3">
        <v>790</v>
      </c>
      <c r="G2032" s="3">
        <v>777</v>
      </c>
      <c r="H2032" s="3">
        <v>801</v>
      </c>
      <c r="I2032" s="3">
        <f>VLOOKUP(B2032,[1]Sheet3!$A$13:$E$198,5,TRUE)</f>
        <v>733</v>
      </c>
    </row>
    <row r="2033" spans="1:9">
      <c r="B2033" s="1" t="s">
        <v>418</v>
      </c>
      <c r="D2033" t="s">
        <v>12</v>
      </c>
      <c r="E2033" s="5">
        <v>201351</v>
      </c>
      <c r="F2033" s="5">
        <v>178690</v>
      </c>
      <c r="G2033" s="5">
        <v>201264</v>
      </c>
      <c r="H2033" s="5">
        <v>179674</v>
      </c>
      <c r="I2033" s="3">
        <f>VLOOKUP(B2033,[1]Sheet3!$A$13:$F$198,6,TRUE)</f>
        <v>127512</v>
      </c>
    </row>
    <row r="2034" spans="1:9">
      <c r="B2034" s="1" t="s">
        <v>418</v>
      </c>
      <c r="D2034" t="s">
        <v>23</v>
      </c>
      <c r="E2034" s="5">
        <v>688258</v>
      </c>
      <c r="F2034" s="5">
        <v>674081.84</v>
      </c>
      <c r="G2034" s="5">
        <v>711740.1</v>
      </c>
      <c r="H2034" s="5">
        <v>780082.31</v>
      </c>
      <c r="I2034" s="3">
        <f>VLOOKUP(B2034,[1]Sheet3!$A$13:$G$198,7,TRUE)</f>
        <v>756631.1</v>
      </c>
    </row>
    <row r="2035" spans="1:9">
      <c r="B2035" s="1" t="s">
        <v>418</v>
      </c>
      <c r="D2035" t="s">
        <v>14</v>
      </c>
      <c r="E2035" s="5">
        <v>283538.18</v>
      </c>
      <c r="F2035" s="5">
        <v>283538.18</v>
      </c>
      <c r="G2035" s="5">
        <v>291469.78000000003</v>
      </c>
      <c r="H2035" s="5">
        <v>309210.40999999997</v>
      </c>
      <c r="I2035" s="3">
        <f>VLOOKUP(B2035,[1]Sheet3!$A$13:$H$198,8,TRUE)</f>
        <v>288204.33</v>
      </c>
    </row>
    <row r="2036" spans="1:9">
      <c r="B2036" s="1" t="s">
        <v>418</v>
      </c>
      <c r="D2036" t="s">
        <v>15</v>
      </c>
      <c r="E2036" s="5">
        <v>168338.91999999998</v>
      </c>
      <c r="F2036" s="5">
        <v>166709.53999999998</v>
      </c>
      <c r="G2036" s="5">
        <v>175596.11</v>
      </c>
      <c r="H2036" s="5">
        <v>191334.31</v>
      </c>
      <c r="I2036" s="3">
        <f>VLOOKUP(B2036,[1]Sheet3!$A$13:$I$198,9,TRUE)</f>
        <v>190439.22</v>
      </c>
    </row>
    <row r="2037" spans="1:9">
      <c r="B2037" s="1" t="s">
        <v>418</v>
      </c>
      <c r="D2037" t="s">
        <v>16</v>
      </c>
      <c r="E2037" s="5">
        <v>796.59</v>
      </c>
      <c r="F2037" s="5">
        <v>853.27</v>
      </c>
      <c r="G2037" s="5">
        <v>916.01</v>
      </c>
      <c r="H2037" s="5">
        <v>973.89</v>
      </c>
      <c r="I2037" s="5">
        <f>I2034/I2032</f>
        <v>1032.2388813096861</v>
      </c>
    </row>
    <row r="2038" spans="1:9">
      <c r="B2038" s="1" t="s">
        <v>418</v>
      </c>
      <c r="D2038" t="s">
        <v>17</v>
      </c>
      <c r="E2038" s="6">
        <v>3.42</v>
      </c>
      <c r="F2038" s="6">
        <v>3.77</v>
      </c>
      <c r="G2038" s="6">
        <v>3.54</v>
      </c>
      <c r="H2038" s="6">
        <v>4.34</v>
      </c>
      <c r="I2038" s="7">
        <f>I2034/I2033</f>
        <v>5.933803093042223</v>
      </c>
    </row>
    <row r="2039" spans="1:9">
      <c r="B2039" s="1" t="s">
        <v>418</v>
      </c>
      <c r="D2039" t="s">
        <v>18</v>
      </c>
      <c r="E2039" s="8">
        <v>0.41199999999999998</v>
      </c>
      <c r="F2039" s="8">
        <v>0.42059999999999997</v>
      </c>
      <c r="G2039" s="8">
        <v>0.40949999999999998</v>
      </c>
      <c r="H2039" s="8">
        <v>0.39639999999999997</v>
      </c>
      <c r="I2039" s="8">
        <f>I2035/I2034</f>
        <v>0.38090468393382193</v>
      </c>
    </row>
    <row r="2040" spans="1:9">
      <c r="B2040" s="1" t="s">
        <v>418</v>
      </c>
      <c r="D2040" t="s">
        <v>19</v>
      </c>
      <c r="E2040" s="8">
        <v>0.59370000000000001</v>
      </c>
      <c r="F2040" s="8">
        <v>0.58799999999999997</v>
      </c>
      <c r="G2040" s="8">
        <v>0.60250000000000004</v>
      </c>
      <c r="H2040" s="8">
        <v>0.61880000000000002</v>
      </c>
      <c r="I2040" s="8">
        <f>I2036/I2035</f>
        <v>0.66077848309912623</v>
      </c>
    </row>
    <row r="2041" spans="1:9">
      <c r="B2041" s="1" t="s">
        <v>418</v>
      </c>
      <c r="D2041" t="s">
        <v>20</v>
      </c>
      <c r="E2041" s="8">
        <v>0.24460000000000001</v>
      </c>
      <c r="F2041" s="8">
        <v>0.24729999999999999</v>
      </c>
      <c r="G2041" s="8">
        <v>0.2467</v>
      </c>
      <c r="H2041" s="8">
        <v>0.24529999999999999</v>
      </c>
      <c r="I2041" s="8">
        <f>I2036/I2034</f>
        <v>0.251693619255143</v>
      </c>
    </row>
    <row r="2042" spans="1:9">
      <c r="B2042" s="1" t="s">
        <v>418</v>
      </c>
    </row>
    <row r="2043" spans="1:9">
      <c r="A2043" t="s">
        <v>403</v>
      </c>
      <c r="B2043" s="1" t="s">
        <v>420</v>
      </c>
      <c r="C2043" t="s">
        <v>421</v>
      </c>
    </row>
    <row r="2044" spans="1:9">
      <c r="B2044" s="1" t="s">
        <v>420</v>
      </c>
      <c r="D2044" t="s">
        <v>11</v>
      </c>
      <c r="E2044" s="3">
        <v>632</v>
      </c>
      <c r="F2044" s="3">
        <v>582</v>
      </c>
      <c r="G2044" s="3">
        <v>582</v>
      </c>
      <c r="H2044" s="3">
        <v>716</v>
      </c>
      <c r="I2044" s="3">
        <f>VLOOKUP(B2044,[1]Sheet3!$A$13:$E$198,5,TRUE)</f>
        <v>591</v>
      </c>
    </row>
    <row r="2045" spans="1:9">
      <c r="B2045" s="1" t="s">
        <v>420</v>
      </c>
      <c r="D2045" t="s">
        <v>12</v>
      </c>
      <c r="E2045" s="5">
        <v>260270</v>
      </c>
      <c r="F2045" s="5">
        <v>173259.5</v>
      </c>
      <c r="G2045" s="5">
        <v>173259.5</v>
      </c>
      <c r="H2045" s="5">
        <v>181460</v>
      </c>
      <c r="I2045" s="3">
        <f>VLOOKUP(B2045,[1]Sheet3!$A$13:$F$198,6,TRUE)</f>
        <v>232200.6</v>
      </c>
    </row>
    <row r="2046" spans="1:9">
      <c r="B2046" s="1" t="s">
        <v>420</v>
      </c>
      <c r="D2046" t="s">
        <v>23</v>
      </c>
      <c r="E2046" s="5">
        <v>333867.2</v>
      </c>
      <c r="F2046" s="5">
        <v>386489.72</v>
      </c>
      <c r="G2046" s="5">
        <v>387936.48</v>
      </c>
      <c r="H2046" s="5">
        <v>396516.57</v>
      </c>
      <c r="I2046" s="3">
        <f>VLOOKUP(B2046,[1]Sheet3!$A$13:$G$198,7,TRUE)</f>
        <v>388359.29</v>
      </c>
    </row>
    <row r="2047" spans="1:9">
      <c r="B2047" s="1" t="s">
        <v>420</v>
      </c>
      <c r="D2047" t="s">
        <v>14</v>
      </c>
      <c r="E2047" s="5">
        <v>196855.78000000003</v>
      </c>
      <c r="F2047" s="5">
        <v>178261.36</v>
      </c>
      <c r="G2047" s="5">
        <v>174784.21</v>
      </c>
      <c r="H2047" s="5">
        <v>179743.97</v>
      </c>
      <c r="I2047" s="3">
        <f>VLOOKUP(B2047,[1]Sheet3!$A$13:$H$198,8,TRUE)</f>
        <v>189688.28999999998</v>
      </c>
    </row>
    <row r="2048" spans="1:9">
      <c r="B2048" s="1" t="s">
        <v>420</v>
      </c>
      <c r="D2048" t="s">
        <v>15</v>
      </c>
      <c r="E2048" s="5">
        <v>114234.81</v>
      </c>
      <c r="F2048" s="5">
        <v>103007.32999999999</v>
      </c>
      <c r="G2048" s="5">
        <v>104476.04</v>
      </c>
      <c r="H2048" s="5">
        <v>110670.11000000002</v>
      </c>
      <c r="I2048" s="3">
        <f>VLOOKUP(B2048,[1]Sheet3!$A$13:$I$198,9,TRUE)</f>
        <v>117860.82</v>
      </c>
    </row>
    <row r="2049" spans="1:9">
      <c r="B2049" s="1" t="s">
        <v>420</v>
      </c>
      <c r="D2049" t="s">
        <v>16</v>
      </c>
      <c r="E2049" s="5">
        <v>528.27</v>
      </c>
      <c r="F2049" s="5">
        <v>664.07</v>
      </c>
      <c r="G2049" s="5">
        <v>666.56</v>
      </c>
      <c r="H2049" s="5">
        <v>553.79</v>
      </c>
      <c r="I2049" s="5">
        <f>I2046/I2044</f>
        <v>657.12231810490687</v>
      </c>
    </row>
    <row r="2050" spans="1:9">
      <c r="B2050" s="1" t="s">
        <v>420</v>
      </c>
      <c r="D2050" t="s">
        <v>17</v>
      </c>
      <c r="E2050" s="6">
        <v>1.28</v>
      </c>
      <c r="F2050" s="6">
        <v>2.23</v>
      </c>
      <c r="G2050" s="6">
        <v>2.2400000000000002</v>
      </c>
      <c r="H2050" s="6">
        <v>2.19</v>
      </c>
      <c r="I2050" s="7">
        <f>I2046/I2045</f>
        <v>1.6725163070207396</v>
      </c>
    </row>
    <row r="2051" spans="1:9">
      <c r="B2051" s="1" t="s">
        <v>420</v>
      </c>
      <c r="D2051" t="s">
        <v>18</v>
      </c>
      <c r="E2051" s="8">
        <v>0.58960000000000001</v>
      </c>
      <c r="F2051" s="8">
        <v>0.4612</v>
      </c>
      <c r="G2051" s="8">
        <v>0.45050000000000001</v>
      </c>
      <c r="H2051" s="8">
        <v>0.45329999999999998</v>
      </c>
      <c r="I2051" s="8">
        <f>I2047/I2046</f>
        <v>0.48843505198498016</v>
      </c>
    </row>
    <row r="2052" spans="1:9">
      <c r="B2052" s="1" t="s">
        <v>420</v>
      </c>
      <c r="D2052" t="s">
        <v>19</v>
      </c>
      <c r="E2052" s="8">
        <v>0.58030000000000004</v>
      </c>
      <c r="F2052" s="8">
        <v>0.57779999999999998</v>
      </c>
      <c r="G2052" s="8">
        <v>0.59770000000000001</v>
      </c>
      <c r="H2052" s="8">
        <v>0.61570000000000003</v>
      </c>
      <c r="I2052" s="8">
        <f>I2048/I2047</f>
        <v>0.62133946170319754</v>
      </c>
    </row>
    <row r="2053" spans="1:9">
      <c r="B2053" s="1" t="s">
        <v>420</v>
      </c>
      <c r="D2053" t="s">
        <v>20</v>
      </c>
      <c r="E2053" s="8">
        <v>0.3422</v>
      </c>
      <c r="F2053" s="8">
        <v>0.26650000000000001</v>
      </c>
      <c r="G2053" s="8">
        <v>0.26929999999999998</v>
      </c>
      <c r="H2053" s="8">
        <v>0.27910000000000001</v>
      </c>
      <c r="I2053" s="8">
        <f>I2048/I2046</f>
        <v>0.30348397227732088</v>
      </c>
    </row>
    <row r="2054" spans="1:9">
      <c r="B2054" s="1" t="s">
        <v>420</v>
      </c>
    </row>
    <row r="2055" spans="1:9">
      <c r="A2055" t="s">
        <v>403</v>
      </c>
      <c r="B2055" s="1" t="s">
        <v>422</v>
      </c>
      <c r="C2055" t="s">
        <v>423</v>
      </c>
    </row>
    <row r="2056" spans="1:9">
      <c r="B2056" s="1" t="s">
        <v>422</v>
      </c>
      <c r="D2056" t="s">
        <v>11</v>
      </c>
      <c r="E2056" s="3">
        <v>111</v>
      </c>
      <c r="F2056" s="3">
        <v>122</v>
      </c>
      <c r="G2056" s="3">
        <v>115</v>
      </c>
      <c r="H2056" s="3">
        <v>117</v>
      </c>
      <c r="I2056" s="3">
        <f>VLOOKUP(B2056,[1]Sheet3!$A$13:$E$198,5,TRUE)</f>
        <v>119</v>
      </c>
    </row>
    <row r="2057" spans="1:9">
      <c r="B2057" s="1" t="s">
        <v>422</v>
      </c>
      <c r="D2057" t="s">
        <v>12</v>
      </c>
      <c r="E2057" s="5">
        <v>61248</v>
      </c>
      <c r="F2057" s="5">
        <v>55917</v>
      </c>
      <c r="G2057" s="5">
        <v>51554</v>
      </c>
      <c r="H2057" s="5">
        <v>52448</v>
      </c>
      <c r="I2057" s="3">
        <f>VLOOKUP(B2057,[1]Sheet3!$A$13:$F$198,6,TRUE)</f>
        <v>48723</v>
      </c>
    </row>
    <row r="2058" spans="1:9">
      <c r="B2058" s="1" t="s">
        <v>422</v>
      </c>
      <c r="D2058" t="s">
        <v>23</v>
      </c>
      <c r="E2058" s="5">
        <v>100310</v>
      </c>
      <c r="F2058" s="5">
        <v>95556</v>
      </c>
      <c r="G2058" s="5">
        <v>110281.92</v>
      </c>
      <c r="H2058" s="5">
        <v>130615.03999999999</v>
      </c>
      <c r="I2058" s="3">
        <f>VLOOKUP(B2058,[1]Sheet3!$A$13:$G$198,7,TRUE)</f>
        <v>109790.57</v>
      </c>
    </row>
    <row r="2059" spans="1:9">
      <c r="B2059" s="1" t="s">
        <v>422</v>
      </c>
      <c r="D2059" t="s">
        <v>14</v>
      </c>
      <c r="E2059" s="5">
        <v>57417.08</v>
      </c>
      <c r="F2059" s="5">
        <v>49313.599999999999</v>
      </c>
      <c r="G2059" s="5">
        <v>50263.380000000005</v>
      </c>
      <c r="H2059" s="5">
        <v>57374.09</v>
      </c>
      <c r="I2059" s="3">
        <f>VLOOKUP(B2059,[1]Sheet3!$A$13:$H$198,8,TRUE)</f>
        <v>49387.98</v>
      </c>
    </row>
    <row r="2060" spans="1:9">
      <c r="B2060" s="1" t="s">
        <v>422</v>
      </c>
      <c r="D2060" t="s">
        <v>15</v>
      </c>
      <c r="E2060" s="5">
        <v>33360.26</v>
      </c>
      <c r="F2060" s="5">
        <v>28208.54</v>
      </c>
      <c r="G2060" s="5">
        <v>30239.43</v>
      </c>
      <c r="H2060" s="5">
        <v>35896.32</v>
      </c>
      <c r="I2060" s="3">
        <f>VLOOKUP(B2060,[1]Sheet3!$A$13:$I$198,9,TRUE)</f>
        <v>35336.06</v>
      </c>
    </row>
    <row r="2061" spans="1:9">
      <c r="B2061" s="1" t="s">
        <v>422</v>
      </c>
      <c r="D2061" t="s">
        <v>16</v>
      </c>
      <c r="E2061" s="5">
        <v>903.69</v>
      </c>
      <c r="F2061" s="5">
        <v>783.25</v>
      </c>
      <c r="G2061" s="5">
        <v>958.97</v>
      </c>
      <c r="H2061" s="5">
        <v>1116.3699999999999</v>
      </c>
      <c r="I2061" s="5">
        <f>I2058/I2056</f>
        <v>922.6098319327732</v>
      </c>
    </row>
    <row r="2062" spans="1:9">
      <c r="B2062" s="1" t="s">
        <v>422</v>
      </c>
      <c r="D2062" t="s">
        <v>17</v>
      </c>
      <c r="E2062" s="6">
        <v>1.64</v>
      </c>
      <c r="F2062" s="6">
        <v>1.71</v>
      </c>
      <c r="G2062" s="6">
        <v>2.14</v>
      </c>
      <c r="H2062" s="6">
        <v>2.4900000000000002</v>
      </c>
      <c r="I2062" s="7">
        <f>I2058/I2057</f>
        <v>2.2533622724380682</v>
      </c>
    </row>
    <row r="2063" spans="1:9">
      <c r="B2063" s="1" t="s">
        <v>422</v>
      </c>
      <c r="D2063" t="s">
        <v>18</v>
      </c>
      <c r="E2063" s="8">
        <v>0.57240000000000002</v>
      </c>
      <c r="F2063" s="8">
        <v>0.5161</v>
      </c>
      <c r="G2063" s="8">
        <v>0.45579999999999998</v>
      </c>
      <c r="H2063" s="8">
        <v>0.43930000000000002</v>
      </c>
      <c r="I2063" s="8">
        <f>I2059/I2058</f>
        <v>0.44983808718726936</v>
      </c>
    </row>
    <row r="2064" spans="1:9">
      <c r="B2064" s="1" t="s">
        <v>422</v>
      </c>
      <c r="D2064" t="s">
        <v>19</v>
      </c>
      <c r="E2064" s="8">
        <v>0.58099999999999996</v>
      </c>
      <c r="F2064" s="8">
        <v>0.57199999999999995</v>
      </c>
      <c r="G2064" s="8">
        <v>0.60160000000000002</v>
      </c>
      <c r="H2064" s="8">
        <v>0.62570000000000003</v>
      </c>
      <c r="I2064" s="8">
        <f>I2060/I2059</f>
        <v>0.71547894852148231</v>
      </c>
    </row>
    <row r="2065" spans="1:9">
      <c r="B2065" s="1" t="s">
        <v>422</v>
      </c>
      <c r="D2065" t="s">
        <v>20</v>
      </c>
      <c r="E2065" s="8">
        <v>0.33260000000000001</v>
      </c>
      <c r="F2065" s="8">
        <v>0.29520000000000002</v>
      </c>
      <c r="G2065" s="8">
        <v>0.2742</v>
      </c>
      <c r="H2065" s="8">
        <v>0.27479999999999999</v>
      </c>
      <c r="I2065" s="8">
        <f>I2060/I2058</f>
        <v>0.32184968162566235</v>
      </c>
    </row>
    <row r="2066" spans="1:9">
      <c r="B2066" s="1" t="s">
        <v>422</v>
      </c>
    </row>
    <row r="2067" spans="1:9">
      <c r="A2067" t="s">
        <v>403</v>
      </c>
      <c r="B2067" s="1" t="s">
        <v>424</v>
      </c>
      <c r="C2067" t="s">
        <v>425</v>
      </c>
    </row>
    <row r="2068" spans="1:9">
      <c r="B2068" s="1" t="s">
        <v>424</v>
      </c>
      <c r="D2068" t="s">
        <v>11</v>
      </c>
      <c r="E2068" s="3">
        <v>104</v>
      </c>
      <c r="F2068" s="3">
        <v>115</v>
      </c>
      <c r="G2068" s="3">
        <v>119</v>
      </c>
      <c r="H2068" s="3">
        <v>108</v>
      </c>
      <c r="I2068" s="3">
        <f>VLOOKUP(B2068,[1]Sheet3!$A$13:$E$198,5,TRUE)</f>
        <v>108</v>
      </c>
    </row>
    <row r="2069" spans="1:9">
      <c r="B2069" s="1" t="s">
        <v>424</v>
      </c>
      <c r="D2069" t="s">
        <v>12</v>
      </c>
      <c r="E2069" s="5">
        <v>80997</v>
      </c>
      <c r="F2069" s="5">
        <v>79716</v>
      </c>
      <c r="G2069" s="5">
        <v>75545</v>
      </c>
      <c r="H2069" s="5">
        <v>77322</v>
      </c>
      <c r="I2069" s="3">
        <f>VLOOKUP(B2069,[1]Sheet3!$A$13:$F$198,6,TRUE)</f>
        <v>76146</v>
      </c>
    </row>
    <row r="2070" spans="1:9">
      <c r="B2070" s="1" t="s">
        <v>424</v>
      </c>
      <c r="D2070" t="s">
        <v>23</v>
      </c>
      <c r="E2070" s="5">
        <v>120396.46</v>
      </c>
      <c r="F2070" s="5">
        <v>134775.01999999999</v>
      </c>
      <c r="G2070" s="5">
        <v>140601.37</v>
      </c>
      <c r="H2070" s="5">
        <v>142097.60999999999</v>
      </c>
      <c r="I2070" s="3">
        <f>VLOOKUP(B2070,[1]Sheet3!$A$13:$G$198,7,TRUE)</f>
        <v>141772.1</v>
      </c>
    </row>
    <row r="2071" spans="1:9">
      <c r="B2071" s="1" t="s">
        <v>424</v>
      </c>
      <c r="D2071" t="s">
        <v>14</v>
      </c>
      <c r="E2071" s="5">
        <v>61532.08</v>
      </c>
      <c r="F2071" s="5">
        <v>65611.92</v>
      </c>
      <c r="G2071" s="5">
        <v>66540.739999999991</v>
      </c>
      <c r="H2071" s="5">
        <v>67492.539999999994</v>
      </c>
      <c r="I2071" s="3">
        <f>VLOOKUP(B2071,[1]Sheet3!$A$13:$H$198,8,TRUE)</f>
        <v>67087.78</v>
      </c>
    </row>
    <row r="2072" spans="1:9">
      <c r="B2072" s="1" t="s">
        <v>424</v>
      </c>
      <c r="D2072" t="s">
        <v>15</v>
      </c>
      <c r="E2072" s="5">
        <v>35751.15</v>
      </c>
      <c r="F2072" s="5">
        <v>38972.979999999996</v>
      </c>
      <c r="G2072" s="5">
        <v>39999.370000000003</v>
      </c>
      <c r="H2072" s="5">
        <v>41461.83</v>
      </c>
      <c r="I2072" s="3">
        <f>VLOOKUP(B2072,[1]Sheet3!$A$13:$I$198,9,TRUE)</f>
        <v>41567.9</v>
      </c>
    </row>
    <row r="2073" spans="1:9">
      <c r="B2073" s="1" t="s">
        <v>424</v>
      </c>
      <c r="D2073" t="s">
        <v>16</v>
      </c>
      <c r="E2073" s="5">
        <v>1157.6600000000001</v>
      </c>
      <c r="F2073" s="5">
        <v>1171.96</v>
      </c>
      <c r="G2073" s="5">
        <v>1181.52</v>
      </c>
      <c r="H2073" s="5">
        <v>1315.72</v>
      </c>
      <c r="I2073" s="5">
        <f>I2070/I2068</f>
        <v>1312.7046296296296</v>
      </c>
    </row>
    <row r="2074" spans="1:9">
      <c r="B2074" s="1" t="s">
        <v>424</v>
      </c>
      <c r="D2074" t="s">
        <v>17</v>
      </c>
      <c r="E2074" s="6">
        <v>1.49</v>
      </c>
      <c r="F2074" s="6">
        <v>1.69</v>
      </c>
      <c r="G2074" s="6">
        <v>1.86</v>
      </c>
      <c r="H2074" s="6">
        <v>1.84</v>
      </c>
      <c r="I2074" s="7">
        <f>I2070/I2069</f>
        <v>1.8618456649068895</v>
      </c>
    </row>
    <row r="2075" spans="1:9">
      <c r="B2075" s="1" t="s">
        <v>424</v>
      </c>
      <c r="D2075" t="s">
        <v>18</v>
      </c>
      <c r="E2075" s="8">
        <v>0.5111</v>
      </c>
      <c r="F2075" s="8">
        <v>0.48680000000000001</v>
      </c>
      <c r="G2075" s="8">
        <v>0.4733</v>
      </c>
      <c r="H2075" s="8">
        <v>0.47499999999999998</v>
      </c>
      <c r="I2075" s="8">
        <f>I2071/I2070</f>
        <v>0.47320862144244175</v>
      </c>
    </row>
    <row r="2076" spans="1:9">
      <c r="B2076" s="1" t="s">
        <v>424</v>
      </c>
      <c r="D2076" t="s">
        <v>19</v>
      </c>
      <c r="E2076" s="8">
        <v>0.58099999999999996</v>
      </c>
      <c r="F2076" s="8">
        <v>0.59399999999999997</v>
      </c>
      <c r="G2076" s="8">
        <v>0.60109999999999997</v>
      </c>
      <c r="H2076" s="8">
        <v>0.61429999999999996</v>
      </c>
      <c r="I2076" s="8">
        <f>I2072/I2071</f>
        <v>0.61960464334935517</v>
      </c>
    </row>
    <row r="2077" spans="1:9">
      <c r="B2077" s="1" t="s">
        <v>424</v>
      </c>
      <c r="D2077" t="s">
        <v>20</v>
      </c>
      <c r="E2077" s="8">
        <v>0.2969</v>
      </c>
      <c r="F2077" s="8">
        <v>0.28920000000000001</v>
      </c>
      <c r="G2077" s="8">
        <v>0.28449999999999998</v>
      </c>
      <c r="H2077" s="8">
        <v>0.2918</v>
      </c>
      <c r="I2077" s="8">
        <f>I2072/I2070</f>
        <v>0.29320225911868414</v>
      </c>
    </row>
    <row r="2078" spans="1:9">
      <c r="B2078" s="1" t="s">
        <v>424</v>
      </c>
    </row>
    <row r="2079" spans="1:9">
      <c r="A2079" t="s">
        <v>403</v>
      </c>
      <c r="B2079" s="1" t="s">
        <v>426</v>
      </c>
      <c r="C2079" t="s">
        <v>427</v>
      </c>
    </row>
    <row r="2080" spans="1:9">
      <c r="B2080" s="1" t="s">
        <v>426</v>
      </c>
      <c r="D2080" t="s">
        <v>11</v>
      </c>
      <c r="E2080" s="3">
        <v>70</v>
      </c>
      <c r="F2080" s="3">
        <v>61</v>
      </c>
      <c r="G2080" s="3">
        <v>54</v>
      </c>
      <c r="H2080" s="3">
        <v>67</v>
      </c>
      <c r="I2080" s="3">
        <f>VLOOKUP(B2080,[1]Sheet3!$A$13:$E$198,5,TRUE)</f>
        <v>64</v>
      </c>
    </row>
    <row r="2081" spans="1:9">
      <c r="B2081" s="1" t="s">
        <v>426</v>
      </c>
      <c r="D2081" t="s">
        <v>12</v>
      </c>
      <c r="E2081" s="5">
        <v>79376</v>
      </c>
      <c r="F2081" s="5">
        <v>68796</v>
      </c>
      <c r="G2081" s="5">
        <v>27777</v>
      </c>
      <c r="H2081" s="5">
        <v>71662.5</v>
      </c>
      <c r="I2081" s="3">
        <f>VLOOKUP(B2081,[1]Sheet3!$A$13:$F$198,6,TRUE)</f>
        <v>72030</v>
      </c>
    </row>
    <row r="2082" spans="1:9">
      <c r="B2082" s="1" t="s">
        <v>426</v>
      </c>
      <c r="D2082" t="s">
        <v>23</v>
      </c>
      <c r="E2082" s="5">
        <v>100485.49</v>
      </c>
      <c r="F2082" s="5">
        <v>75096.34</v>
      </c>
      <c r="G2082" s="5">
        <v>76054.960000000006</v>
      </c>
      <c r="H2082" s="5">
        <v>88881.99</v>
      </c>
      <c r="I2082" s="3">
        <f>VLOOKUP(B2082,[1]Sheet3!$A$13:$G$198,7,TRUE)</f>
        <v>83986.86</v>
      </c>
    </row>
    <row r="2083" spans="1:9">
      <c r="B2083" s="1" t="s">
        <v>426</v>
      </c>
      <c r="D2083" t="s">
        <v>14</v>
      </c>
      <c r="E2083" s="5">
        <v>53912.91</v>
      </c>
      <c r="F2083" s="5">
        <v>53912.91</v>
      </c>
      <c r="G2083" s="5">
        <v>42664.009999999995</v>
      </c>
      <c r="H2083" s="5">
        <v>48051.08</v>
      </c>
      <c r="I2083" s="3">
        <f>VLOOKUP(B2083,[1]Sheet3!$A$13:$H$198,8,TRUE)</f>
        <v>46485.13</v>
      </c>
    </row>
    <row r="2084" spans="1:9">
      <c r="B2084" s="1" t="s">
        <v>426</v>
      </c>
      <c r="D2084" t="s">
        <v>15</v>
      </c>
      <c r="E2084" s="5">
        <v>31620.309999999998</v>
      </c>
      <c r="F2084" s="5">
        <v>31698.720000000001</v>
      </c>
      <c r="G2084" s="5">
        <v>24462.799999999999</v>
      </c>
      <c r="H2084" s="5">
        <v>30004.699999999997</v>
      </c>
      <c r="I2084" s="3">
        <f>VLOOKUP(B2084,[1]Sheet3!$A$13:$I$198,9,TRUE)</f>
        <v>29594.120000000003</v>
      </c>
    </row>
    <row r="2085" spans="1:9">
      <c r="B2085" s="1" t="s">
        <v>426</v>
      </c>
      <c r="D2085" t="s">
        <v>16</v>
      </c>
      <c r="E2085" s="5">
        <v>1435.51</v>
      </c>
      <c r="F2085" s="5">
        <v>1231.0899999999999</v>
      </c>
      <c r="G2085" s="5">
        <v>1408.43</v>
      </c>
      <c r="H2085" s="5">
        <v>1326.6</v>
      </c>
      <c r="I2085" s="5">
        <f>I2082/I2080</f>
        <v>1312.2946875</v>
      </c>
    </row>
    <row r="2086" spans="1:9">
      <c r="B2086" s="1" t="s">
        <v>426</v>
      </c>
      <c r="D2086" t="s">
        <v>17</v>
      </c>
      <c r="E2086" s="6">
        <v>1.27</v>
      </c>
      <c r="F2086" s="6">
        <v>1.0900000000000001</v>
      </c>
      <c r="G2086" s="6">
        <v>2.74</v>
      </c>
      <c r="H2086" s="6">
        <v>1.24</v>
      </c>
      <c r="I2086" s="7">
        <f>I2082/I2081</f>
        <v>1.1659983340274886</v>
      </c>
    </row>
    <row r="2087" spans="1:9">
      <c r="B2087" s="1" t="s">
        <v>426</v>
      </c>
      <c r="D2087" t="s">
        <v>18</v>
      </c>
      <c r="E2087" s="8">
        <v>0.53649999999999998</v>
      </c>
      <c r="F2087" s="8">
        <v>0.71789999999999998</v>
      </c>
      <c r="G2087" s="8">
        <v>0.56100000000000005</v>
      </c>
      <c r="H2087" s="8">
        <v>0.54059999999999997</v>
      </c>
      <c r="I2087" s="8">
        <f>I2083/I2082</f>
        <v>0.5534809850017014</v>
      </c>
    </row>
    <row r="2088" spans="1:9">
      <c r="B2088" s="1" t="s">
        <v>426</v>
      </c>
      <c r="D2088" t="s">
        <v>19</v>
      </c>
      <c r="E2088" s="8">
        <v>0.58650000000000002</v>
      </c>
      <c r="F2088" s="8">
        <v>0.58799999999999997</v>
      </c>
      <c r="G2088" s="8">
        <v>0.57340000000000002</v>
      </c>
      <c r="H2088" s="8">
        <v>0.62439999999999996</v>
      </c>
      <c r="I2088" s="8">
        <f>I2084/I2083</f>
        <v>0.63663627486897434</v>
      </c>
    </row>
    <row r="2089" spans="1:9">
      <c r="B2089" s="1" t="s">
        <v>426</v>
      </c>
      <c r="D2089" t="s">
        <v>20</v>
      </c>
      <c r="E2089" s="8">
        <v>0.31469999999999998</v>
      </c>
      <c r="F2089" s="8">
        <v>0.42209999999999998</v>
      </c>
      <c r="G2089" s="8">
        <v>0.3216</v>
      </c>
      <c r="H2089" s="8">
        <v>0.33760000000000001</v>
      </c>
      <c r="I2089" s="8">
        <f>I2084/I2082</f>
        <v>0.35236607250229385</v>
      </c>
    </row>
    <row r="2090" spans="1:9">
      <c r="B2090" s="1" t="s">
        <v>426</v>
      </c>
    </row>
    <row r="2091" spans="1:9">
      <c r="A2091" t="s">
        <v>428</v>
      </c>
      <c r="B2091" s="1">
        <v>3200</v>
      </c>
      <c r="C2091" t="s">
        <v>429</v>
      </c>
    </row>
    <row r="2092" spans="1:9">
      <c r="B2092" s="1">
        <v>3200</v>
      </c>
      <c r="D2092" t="s">
        <v>11</v>
      </c>
      <c r="E2092" s="3">
        <v>602</v>
      </c>
      <c r="F2092" s="3">
        <v>575</v>
      </c>
      <c r="G2092" s="3">
        <v>549</v>
      </c>
      <c r="H2092" s="3">
        <v>558</v>
      </c>
      <c r="I2092" s="3">
        <f>VLOOKUP(B2092,[1]Sheet3!$A$13:$E$198,5,TRUE)</f>
        <v>607</v>
      </c>
    </row>
    <row r="2093" spans="1:9">
      <c r="B2093" s="1">
        <v>3200</v>
      </c>
      <c r="D2093" t="s">
        <v>12</v>
      </c>
      <c r="E2093" s="5">
        <v>161080.29999999999</v>
      </c>
      <c r="F2093" s="5">
        <v>143826.4</v>
      </c>
      <c r="G2093" s="5">
        <v>113646.6</v>
      </c>
      <c r="H2093" s="5">
        <v>107654.8</v>
      </c>
      <c r="I2093" s="3">
        <f>VLOOKUP(B2093,[1]Sheet3!$A$13:$F$198,6,TRUE)</f>
        <v>124075.6</v>
      </c>
    </row>
    <row r="2094" spans="1:9">
      <c r="B2094" s="1">
        <v>3200</v>
      </c>
      <c r="D2094" t="s">
        <v>23</v>
      </c>
      <c r="E2094" s="5">
        <v>338108.44</v>
      </c>
      <c r="F2094" s="5">
        <v>314771.31</v>
      </c>
      <c r="G2094" s="5">
        <v>257700.43</v>
      </c>
      <c r="H2094" s="5">
        <v>275351.34000000003</v>
      </c>
      <c r="I2094" s="3">
        <f>VLOOKUP(B2094,[1]Sheet3!$A$13:$G$198,7,TRUE)</f>
        <v>312938.02</v>
      </c>
    </row>
    <row r="2095" spans="1:9">
      <c r="B2095" s="1">
        <v>3200</v>
      </c>
      <c r="D2095" t="s">
        <v>14</v>
      </c>
      <c r="E2095" s="5">
        <v>154857.35999999999</v>
      </c>
      <c r="F2095" s="5">
        <v>154857.35999999999</v>
      </c>
      <c r="G2095" s="5">
        <v>142632.10999999999</v>
      </c>
      <c r="H2095" s="5">
        <v>120221.95000000001</v>
      </c>
      <c r="I2095" s="3">
        <f>VLOOKUP(B2095,[1]Sheet3!$A$13:$H$198,8,TRUE)</f>
        <v>137064.89000000001</v>
      </c>
    </row>
    <row r="2096" spans="1:9">
      <c r="B2096" s="1">
        <v>3200</v>
      </c>
      <c r="D2096" t="s">
        <v>15</v>
      </c>
      <c r="E2096" s="5">
        <v>90643.39</v>
      </c>
      <c r="F2096" s="5">
        <v>91050.17</v>
      </c>
      <c r="G2096" s="5">
        <v>84319.2</v>
      </c>
      <c r="H2096" s="5">
        <v>71366.350000000006</v>
      </c>
      <c r="I2096" s="3">
        <f>VLOOKUP(B2096,[1]Sheet3!$A$13:$I$198,9,TRUE)</f>
        <v>86167.92</v>
      </c>
    </row>
    <row r="2097" spans="1:9">
      <c r="B2097" s="1">
        <v>3200</v>
      </c>
      <c r="D2097" t="s">
        <v>16</v>
      </c>
      <c r="E2097" s="5">
        <v>561.64</v>
      </c>
      <c r="F2097" s="5">
        <v>547.42999999999995</v>
      </c>
      <c r="G2097" s="5">
        <v>469.4</v>
      </c>
      <c r="H2097" s="5">
        <v>493.46</v>
      </c>
      <c r="I2097" s="5">
        <f>I2094/I2092</f>
        <v>515.5486326194399</v>
      </c>
    </row>
    <row r="2098" spans="1:9">
      <c r="B2098" s="1">
        <v>3200</v>
      </c>
      <c r="D2098" t="s">
        <v>17</v>
      </c>
      <c r="E2098" s="6">
        <v>2.1</v>
      </c>
      <c r="F2098" s="6">
        <v>2.19</v>
      </c>
      <c r="G2098" s="6">
        <v>2.27</v>
      </c>
      <c r="H2098" s="6">
        <v>2.56</v>
      </c>
      <c r="I2098" s="7">
        <f>I2094/I2093</f>
        <v>2.522156008111184</v>
      </c>
    </row>
    <row r="2099" spans="1:9">
      <c r="B2099" s="1">
        <v>3200</v>
      </c>
      <c r="D2099" t="s">
        <v>18</v>
      </c>
      <c r="E2099" s="8">
        <v>0.45800000000000002</v>
      </c>
      <c r="F2099" s="8">
        <v>0.49199999999999999</v>
      </c>
      <c r="G2099" s="8">
        <v>0.55349999999999999</v>
      </c>
      <c r="H2099" s="8">
        <v>0.43659999999999999</v>
      </c>
      <c r="I2099" s="8">
        <f>I2095/I2094</f>
        <v>0.4379937279592937</v>
      </c>
    </row>
    <row r="2100" spans="1:9">
      <c r="B2100" s="1">
        <v>3200</v>
      </c>
      <c r="D2100" t="s">
        <v>19</v>
      </c>
      <c r="E2100" s="8">
        <v>0.58530000000000004</v>
      </c>
      <c r="F2100" s="8">
        <v>0.58799999999999997</v>
      </c>
      <c r="G2100" s="8">
        <v>0.59119999999999995</v>
      </c>
      <c r="H2100" s="8">
        <v>0.59360000000000002</v>
      </c>
      <c r="I2100" s="8">
        <f>I2096/I2095</f>
        <v>0.62866515268789835</v>
      </c>
    </row>
    <row r="2101" spans="1:9">
      <c r="B2101" s="1">
        <v>3200</v>
      </c>
      <c r="D2101" t="s">
        <v>20</v>
      </c>
      <c r="E2101" s="8">
        <v>0.2681</v>
      </c>
      <c r="F2101" s="8">
        <v>0.2893</v>
      </c>
      <c r="G2101" s="8">
        <v>0.32719999999999999</v>
      </c>
      <c r="H2101" s="8">
        <v>0.25919999999999999</v>
      </c>
      <c r="I2101" s="8">
        <f>I2096/I2094</f>
        <v>0.2753513938638712</v>
      </c>
    </row>
    <row r="2102" spans="1:9">
      <c r="B2102" s="1">
        <v>3200</v>
      </c>
    </row>
    <row r="2103" spans="1:9">
      <c r="A2103" t="s">
        <v>428</v>
      </c>
      <c r="B2103" s="1">
        <v>3210</v>
      </c>
      <c r="C2103" t="s">
        <v>430</v>
      </c>
    </row>
    <row r="2104" spans="1:9">
      <c r="B2104" s="1">
        <v>3210</v>
      </c>
      <c r="D2104" t="s">
        <v>11</v>
      </c>
      <c r="E2104" s="3">
        <v>576</v>
      </c>
      <c r="F2104" s="3">
        <v>536</v>
      </c>
      <c r="G2104" s="3">
        <v>558</v>
      </c>
      <c r="H2104" s="3">
        <v>548</v>
      </c>
      <c r="I2104" s="3">
        <f>VLOOKUP(B2104,[1]Sheet3!$A$13:$E$198,5,TRUE)</f>
        <v>588</v>
      </c>
    </row>
    <row r="2105" spans="1:9">
      <c r="B2105" s="1">
        <v>3210</v>
      </c>
      <c r="D2105" t="s">
        <v>12</v>
      </c>
      <c r="E2105" s="5">
        <v>188125</v>
      </c>
      <c r="F2105" s="5">
        <v>190473</v>
      </c>
      <c r="G2105" s="5">
        <v>190232</v>
      </c>
      <c r="H2105" s="5">
        <v>178596</v>
      </c>
      <c r="I2105" s="3">
        <f>VLOOKUP(B2105,[1]Sheet3!$A$13:$F$198,6,TRUE)</f>
        <v>195926</v>
      </c>
    </row>
    <row r="2106" spans="1:9">
      <c r="B2106" s="1">
        <v>3210</v>
      </c>
      <c r="D2106" t="s">
        <v>23</v>
      </c>
      <c r="E2106" s="5">
        <v>279516.18</v>
      </c>
      <c r="F2106" s="5">
        <v>296209.42</v>
      </c>
      <c r="G2106" s="5">
        <v>279844.59999999998</v>
      </c>
      <c r="H2106" s="5">
        <v>280245.24</v>
      </c>
      <c r="I2106" s="3">
        <f>VLOOKUP(B2106,[1]Sheet3!$A$13:$G$198,7,TRUE)</f>
        <v>298861.19</v>
      </c>
    </row>
    <row r="2107" spans="1:9">
      <c r="B2107" s="1">
        <v>3210</v>
      </c>
      <c r="D2107" t="s">
        <v>14</v>
      </c>
      <c r="E2107" s="5">
        <v>146892.26</v>
      </c>
      <c r="F2107" s="5">
        <v>148027.10999999999</v>
      </c>
      <c r="G2107" s="5">
        <v>148027.10999999999</v>
      </c>
      <c r="H2107" s="5">
        <v>142423.99</v>
      </c>
      <c r="I2107" s="3">
        <f>VLOOKUP(B2107,[1]Sheet3!$A$13:$H$198,8,TRUE)</f>
        <v>150290.88</v>
      </c>
    </row>
    <row r="2108" spans="1:9">
      <c r="B2108" s="1">
        <v>3210</v>
      </c>
      <c r="D2108" t="s">
        <v>15</v>
      </c>
      <c r="E2108" s="5">
        <v>85346.81</v>
      </c>
      <c r="F2108" s="5">
        <v>87144.31</v>
      </c>
      <c r="G2108" s="5">
        <v>88776.459999999992</v>
      </c>
      <c r="H2108" s="5">
        <v>86707.88</v>
      </c>
      <c r="I2108" s="3">
        <f>VLOOKUP(B2108,[1]Sheet3!$A$13:$I$198,9,TRUE)</f>
        <v>93380.4</v>
      </c>
    </row>
    <row r="2109" spans="1:9">
      <c r="B2109" s="1">
        <v>3210</v>
      </c>
      <c r="D2109" t="s">
        <v>16</v>
      </c>
      <c r="E2109" s="5">
        <v>485.27</v>
      </c>
      <c r="F2109" s="5">
        <v>552.63</v>
      </c>
      <c r="G2109" s="5">
        <v>501.51</v>
      </c>
      <c r="H2109" s="5">
        <v>511.4</v>
      </c>
      <c r="I2109" s="5">
        <f>I2106/I2104</f>
        <v>508.26732993197277</v>
      </c>
    </row>
    <row r="2110" spans="1:9">
      <c r="B2110" s="1">
        <v>3210</v>
      </c>
      <c r="D2110" t="s">
        <v>17</v>
      </c>
      <c r="E2110" s="6">
        <v>1.49</v>
      </c>
      <c r="F2110" s="6">
        <v>1.56</v>
      </c>
      <c r="G2110" s="6">
        <v>1.47</v>
      </c>
      <c r="H2110" s="6">
        <v>1.57</v>
      </c>
      <c r="I2110" s="7">
        <f>I2106/I2105</f>
        <v>1.5253778977777324</v>
      </c>
    </row>
    <row r="2111" spans="1:9">
      <c r="B2111" s="1">
        <v>3210</v>
      </c>
      <c r="D2111" t="s">
        <v>18</v>
      </c>
      <c r="E2111" s="8">
        <v>0.52549999999999997</v>
      </c>
      <c r="F2111" s="8">
        <v>0.49969999999999998</v>
      </c>
      <c r="G2111" s="8">
        <v>0.52900000000000003</v>
      </c>
      <c r="H2111" s="8">
        <v>0.50819999999999999</v>
      </c>
      <c r="I2111" s="8">
        <f>I2107/I2106</f>
        <v>0.50287854371455865</v>
      </c>
    </row>
    <row r="2112" spans="1:9">
      <c r="B2112" s="1">
        <v>3210</v>
      </c>
      <c r="D2112" t="s">
        <v>19</v>
      </c>
      <c r="E2112" s="8">
        <v>0.58099999999999996</v>
      </c>
      <c r="F2112" s="8">
        <v>0.5887</v>
      </c>
      <c r="G2112" s="8">
        <v>0.59970000000000001</v>
      </c>
      <c r="H2112" s="8">
        <v>0.60880000000000001</v>
      </c>
      <c r="I2112" s="8">
        <f>I2108/I2107</f>
        <v>0.62133111470236912</v>
      </c>
    </row>
    <row r="2113" spans="1:9">
      <c r="B2113" s="1">
        <v>3210</v>
      </c>
      <c r="D2113" t="s">
        <v>20</v>
      </c>
      <c r="E2113" s="8">
        <v>0.30530000000000002</v>
      </c>
      <c r="F2113" s="8">
        <v>0.29420000000000002</v>
      </c>
      <c r="G2113" s="8">
        <v>0.31719999999999998</v>
      </c>
      <c r="H2113" s="8">
        <v>0.30940000000000001</v>
      </c>
      <c r="I2113" s="8">
        <f>I2108/I2106</f>
        <v>0.31245408612607073</v>
      </c>
    </row>
    <row r="2114" spans="1:9">
      <c r="B2114" s="1">
        <v>3210</v>
      </c>
    </row>
    <row r="2115" spans="1:9">
      <c r="A2115" t="s">
        <v>428</v>
      </c>
      <c r="B2115" s="1">
        <v>3220</v>
      </c>
      <c r="C2115" t="s">
        <v>431</v>
      </c>
    </row>
    <row r="2116" spans="1:9">
      <c r="B2116" s="1">
        <v>3220</v>
      </c>
      <c r="D2116" t="s">
        <v>11</v>
      </c>
      <c r="E2116" s="3">
        <v>90</v>
      </c>
      <c r="F2116" s="3">
        <v>109</v>
      </c>
      <c r="G2116" s="3">
        <v>105</v>
      </c>
      <c r="H2116" s="3">
        <v>105</v>
      </c>
      <c r="I2116" s="3">
        <f>VLOOKUP(B2116,[1]Sheet3!$A$13:$E$198,5,TRUE)</f>
        <v>129</v>
      </c>
    </row>
    <row r="2117" spans="1:9">
      <c r="B2117" s="1">
        <v>3220</v>
      </c>
      <c r="D2117" t="s">
        <v>12</v>
      </c>
      <c r="E2117" s="5">
        <v>91466</v>
      </c>
      <c r="F2117" s="5">
        <v>87042</v>
      </c>
      <c r="G2117" s="5">
        <v>89142</v>
      </c>
      <c r="H2117" s="5">
        <v>91575</v>
      </c>
      <c r="I2117" s="3">
        <f>VLOOKUP(B2117,[1]Sheet3!$A$13:$F$198,6,TRUE)</f>
        <v>97200</v>
      </c>
    </row>
    <row r="2118" spans="1:9">
      <c r="B2118" s="1">
        <v>3220</v>
      </c>
      <c r="D2118" t="s">
        <v>23</v>
      </c>
      <c r="E2118" s="5">
        <v>151872</v>
      </c>
      <c r="F2118" s="5">
        <v>107138.12</v>
      </c>
      <c r="G2118" s="5">
        <v>102734.23</v>
      </c>
      <c r="H2118" s="5">
        <v>164462.9</v>
      </c>
      <c r="I2118" s="3">
        <f>VLOOKUP(B2118,[1]Sheet3!$A$13:$G$198,7,TRUE)</f>
        <v>206377.43</v>
      </c>
    </row>
    <row r="2119" spans="1:9">
      <c r="B2119" s="1">
        <v>3220</v>
      </c>
      <c r="D2119" t="s">
        <v>14</v>
      </c>
      <c r="E2119" s="5">
        <v>74345.26999999999</v>
      </c>
      <c r="F2119" s="5">
        <v>74345.26999999999</v>
      </c>
      <c r="G2119" s="5">
        <v>58085.99</v>
      </c>
      <c r="H2119" s="5">
        <v>78637.100000000006</v>
      </c>
      <c r="I2119" s="3">
        <f>VLOOKUP(B2119,[1]Sheet3!$A$13:$H$198,8,TRUE)</f>
        <v>94242.25</v>
      </c>
    </row>
    <row r="2120" spans="1:9">
      <c r="B2120" s="1">
        <v>3220</v>
      </c>
      <c r="D2120" t="s">
        <v>15</v>
      </c>
      <c r="E2120" s="5">
        <v>43378.17</v>
      </c>
      <c r="F2120" s="5">
        <v>43712.160000000003</v>
      </c>
      <c r="G2120" s="5">
        <v>33211.14</v>
      </c>
      <c r="H2120" s="5">
        <v>50314.85</v>
      </c>
      <c r="I2120" s="3">
        <f>VLOOKUP(B2120,[1]Sheet3!$A$13:$I$198,9,TRUE)</f>
        <v>59665.240000000005</v>
      </c>
    </row>
    <row r="2121" spans="1:9">
      <c r="B2121" s="1">
        <v>3220</v>
      </c>
      <c r="D2121" t="s">
        <v>16</v>
      </c>
      <c r="E2121" s="5">
        <v>1687.47</v>
      </c>
      <c r="F2121" s="5">
        <v>982.92</v>
      </c>
      <c r="G2121" s="5">
        <v>978.42</v>
      </c>
      <c r="H2121" s="5">
        <v>1566.31</v>
      </c>
      <c r="I2121" s="5">
        <f>I2118/I2116</f>
        <v>1599.82503875969</v>
      </c>
    </row>
    <row r="2122" spans="1:9">
      <c r="B2122" s="1">
        <v>3220</v>
      </c>
      <c r="D2122" t="s">
        <v>17</v>
      </c>
      <c r="E2122" s="6">
        <v>1.66</v>
      </c>
      <c r="F2122" s="6">
        <v>1.23</v>
      </c>
      <c r="G2122" s="6">
        <v>1.1499999999999999</v>
      </c>
      <c r="H2122" s="6">
        <v>1.8</v>
      </c>
      <c r="I2122" s="7">
        <f>I2118/I2117</f>
        <v>2.1232245884773664</v>
      </c>
    </row>
    <row r="2123" spans="1:9">
      <c r="B2123" s="1">
        <v>3220</v>
      </c>
      <c r="D2123" t="s">
        <v>18</v>
      </c>
      <c r="E2123" s="8">
        <v>0.48949999999999999</v>
      </c>
      <c r="F2123" s="8">
        <v>0.69389999999999996</v>
      </c>
      <c r="G2123" s="8">
        <v>0.56540000000000001</v>
      </c>
      <c r="H2123" s="8">
        <v>0.47810000000000002</v>
      </c>
      <c r="I2123" s="8">
        <f>I2119/I2118</f>
        <v>0.45664998347929814</v>
      </c>
    </row>
    <row r="2124" spans="1:9">
      <c r="B2124" s="1">
        <v>3220</v>
      </c>
      <c r="D2124" t="s">
        <v>19</v>
      </c>
      <c r="E2124" s="8">
        <v>0.58350000000000002</v>
      </c>
      <c r="F2124" s="8">
        <v>0.58799999999999997</v>
      </c>
      <c r="G2124" s="8">
        <v>0.57179999999999997</v>
      </c>
      <c r="H2124" s="8">
        <v>0.63980000000000004</v>
      </c>
      <c r="I2124" s="8">
        <f>I2120/I2119</f>
        <v>0.63310500332918629</v>
      </c>
    </row>
    <row r="2125" spans="1:9">
      <c r="B2125" s="1">
        <v>3220</v>
      </c>
      <c r="D2125" t="s">
        <v>20</v>
      </c>
      <c r="E2125" s="8">
        <v>0.28560000000000002</v>
      </c>
      <c r="F2125" s="8">
        <v>0.40799999999999997</v>
      </c>
      <c r="G2125" s="8">
        <v>0.32329999999999998</v>
      </c>
      <c r="H2125" s="8">
        <v>0.30590000000000001</v>
      </c>
      <c r="I2125" s="8">
        <f>I2120/I2118</f>
        <v>0.28910738931093388</v>
      </c>
    </row>
    <row r="2126" spans="1:9">
      <c r="B2126" s="1">
        <v>3220</v>
      </c>
    </row>
    <row r="2127" spans="1:9">
      <c r="A2127" t="s">
        <v>428</v>
      </c>
      <c r="B2127" s="1">
        <v>3230</v>
      </c>
      <c r="C2127" t="s">
        <v>432</v>
      </c>
    </row>
    <row r="2128" spans="1:9">
      <c r="B2128" s="1">
        <v>3230</v>
      </c>
      <c r="D2128" t="s">
        <v>11</v>
      </c>
      <c r="E2128" s="3">
        <v>89</v>
      </c>
      <c r="F2128" s="3">
        <v>84</v>
      </c>
      <c r="G2128" s="3">
        <v>84</v>
      </c>
      <c r="H2128" s="3">
        <v>83</v>
      </c>
      <c r="I2128" s="3">
        <f>VLOOKUP(B2128,[1]Sheet3!$A$13:$E$198,5,TRUE)</f>
        <v>81</v>
      </c>
    </row>
    <row r="2129" spans="2:9">
      <c r="B2129" s="1">
        <v>3230</v>
      </c>
      <c r="D2129" t="s">
        <v>12</v>
      </c>
      <c r="E2129" s="5">
        <v>33060</v>
      </c>
      <c r="F2129" s="5">
        <v>31610</v>
      </c>
      <c r="G2129" s="5">
        <v>20020</v>
      </c>
      <c r="H2129" s="5">
        <v>22776</v>
      </c>
      <c r="I2129" s="3">
        <f>VLOOKUP(B2129,[1]Sheet3!$A$13:$F$198,6,TRUE)</f>
        <v>35424</v>
      </c>
    </row>
    <row r="2130" spans="2:9">
      <c r="B2130" s="1">
        <v>3230</v>
      </c>
      <c r="D2130" t="s">
        <v>23</v>
      </c>
      <c r="E2130" s="5">
        <v>67698.850000000006</v>
      </c>
      <c r="F2130" s="5">
        <v>74936.75</v>
      </c>
      <c r="G2130" s="5">
        <v>76913.69</v>
      </c>
      <c r="H2130" s="5">
        <v>71126.100000000006</v>
      </c>
      <c r="I2130" s="3">
        <f>VLOOKUP(B2130,[1]Sheet3!$A$13:$G$198,7,TRUE)</f>
        <v>85657.65</v>
      </c>
    </row>
    <row r="2131" spans="2:9">
      <c r="B2131" s="1">
        <v>3230</v>
      </c>
      <c r="D2131" t="s">
        <v>14</v>
      </c>
      <c r="E2131" s="5">
        <v>42197.63</v>
      </c>
      <c r="F2131" s="5">
        <v>33297.31</v>
      </c>
      <c r="G2131" s="5">
        <v>33297.31</v>
      </c>
      <c r="H2131" s="5">
        <v>31064.36</v>
      </c>
      <c r="I2131" s="3">
        <f>VLOOKUP(B2131,[1]Sheet3!$A$13:$H$198,8,TRUE)</f>
        <v>37883.630000000005</v>
      </c>
    </row>
    <row r="2132" spans="2:9">
      <c r="B2132" s="1">
        <v>3230</v>
      </c>
      <c r="D2132" t="s">
        <v>15</v>
      </c>
      <c r="E2132" s="5">
        <v>24517.52</v>
      </c>
      <c r="F2132" s="5">
        <v>18714.29</v>
      </c>
      <c r="G2132" s="5">
        <v>19969.43</v>
      </c>
      <c r="H2132" s="5">
        <v>18807.68</v>
      </c>
      <c r="I2132" s="3">
        <f>VLOOKUP(B2132,[1]Sheet3!$A$13:$I$198,9,TRUE)</f>
        <v>24041.119999999999</v>
      </c>
    </row>
    <row r="2133" spans="2:9">
      <c r="B2133" s="1">
        <v>3230</v>
      </c>
      <c r="D2133" t="s">
        <v>16</v>
      </c>
      <c r="E2133" s="5">
        <v>760.66</v>
      </c>
      <c r="F2133" s="5">
        <v>892.1</v>
      </c>
      <c r="G2133" s="5">
        <v>915.64</v>
      </c>
      <c r="H2133" s="5">
        <v>856.94</v>
      </c>
      <c r="I2133" s="5">
        <f>I2130/I2128</f>
        <v>1057.5018518518518</v>
      </c>
    </row>
    <row r="2134" spans="2:9">
      <c r="B2134" s="1">
        <v>3230</v>
      </c>
      <c r="D2134" t="s">
        <v>17</v>
      </c>
      <c r="E2134" s="6">
        <v>2.0499999999999998</v>
      </c>
      <c r="F2134" s="6">
        <v>2.37</v>
      </c>
      <c r="G2134" s="6">
        <v>3.84</v>
      </c>
      <c r="H2134" s="6">
        <v>3.12</v>
      </c>
      <c r="I2134" s="7">
        <f>I2130/I2129</f>
        <v>2.4180682588075881</v>
      </c>
    </row>
    <row r="2135" spans="2:9">
      <c r="B2135" s="1">
        <v>3230</v>
      </c>
      <c r="D2135" t="s">
        <v>18</v>
      </c>
      <c r="E2135" s="8">
        <v>0.62329999999999997</v>
      </c>
      <c r="F2135" s="8">
        <v>0.44429999999999997</v>
      </c>
      <c r="G2135" s="8">
        <v>0.43290000000000001</v>
      </c>
      <c r="H2135" s="8">
        <v>0.43680000000000002</v>
      </c>
      <c r="I2135" s="8">
        <f>I2131/I2130</f>
        <v>0.44226791185609232</v>
      </c>
    </row>
    <row r="2136" spans="2:9">
      <c r="B2136" s="1">
        <v>3230</v>
      </c>
      <c r="D2136" t="s">
        <v>19</v>
      </c>
      <c r="E2136" s="8">
        <v>0.58099999999999996</v>
      </c>
      <c r="F2136" s="8">
        <v>0.56200000000000006</v>
      </c>
      <c r="G2136" s="8">
        <v>0.59970000000000001</v>
      </c>
      <c r="H2136" s="8">
        <v>0.60540000000000005</v>
      </c>
      <c r="I2136" s="8">
        <f>I2132/I2131</f>
        <v>0.63460444524455539</v>
      </c>
    </row>
    <row r="2137" spans="2:9">
      <c r="B2137" s="1">
        <v>3230</v>
      </c>
      <c r="D2137" t="s">
        <v>20</v>
      </c>
      <c r="E2137" s="8">
        <v>0.36220000000000002</v>
      </c>
      <c r="F2137" s="8">
        <v>0.24970000000000001</v>
      </c>
      <c r="G2137" s="8">
        <v>0.2596</v>
      </c>
      <c r="H2137" s="8">
        <v>0.26440000000000002</v>
      </c>
      <c r="I2137" s="8">
        <f>I2132/I2130</f>
        <v>0.28066518285290337</v>
      </c>
    </row>
    <row r="2138" spans="2:9">
      <c r="B2138" s="1">
        <v>3230</v>
      </c>
    </row>
    <row r="2139" spans="2:9">
      <c r="B2139" s="1">
        <v>8001</v>
      </c>
      <c r="C2139" t="s">
        <v>433</v>
      </c>
    </row>
    <row r="2140" spans="2:9">
      <c r="B2140" s="1">
        <v>8001</v>
      </c>
      <c r="D2140" t="s">
        <v>11</v>
      </c>
      <c r="E2140" s="3">
        <v>2029</v>
      </c>
      <c r="F2140" s="3">
        <v>1569</v>
      </c>
      <c r="G2140" s="3">
        <v>2016</v>
      </c>
      <c r="H2140" s="3">
        <v>2479</v>
      </c>
      <c r="I2140" s="3">
        <f>VLOOKUP(B2140,[1]Sheet3!$A$13:$E$198,5,TRUE)</f>
        <v>2325</v>
      </c>
    </row>
    <row r="2141" spans="2:9">
      <c r="B2141" s="1">
        <v>8001</v>
      </c>
      <c r="D2141" t="s">
        <v>12</v>
      </c>
      <c r="E2141" s="5">
        <v>155547.6</v>
      </c>
      <c r="F2141" s="5">
        <v>165300</v>
      </c>
      <c r="G2141" s="5">
        <v>184230</v>
      </c>
      <c r="H2141" s="5">
        <v>204050</v>
      </c>
      <c r="I2141" s="3">
        <f>VLOOKUP(B2141,[1]Sheet3!$A$13:$F$198,6,TRUE)</f>
        <v>233782.2</v>
      </c>
    </row>
    <row r="2142" spans="2:9">
      <c r="B2142" s="1">
        <v>8001</v>
      </c>
      <c r="D2142" t="s">
        <v>23</v>
      </c>
      <c r="E2142" s="5">
        <v>675261.99</v>
      </c>
      <c r="F2142" s="5">
        <v>684313.57</v>
      </c>
      <c r="G2142" s="5">
        <v>799294.95</v>
      </c>
      <c r="H2142" s="5">
        <v>860949.34</v>
      </c>
      <c r="I2142" s="3">
        <f>VLOOKUP(B2142,[1]Sheet3!$A$13:$G$198,7,TRUE)</f>
        <v>982398.27</v>
      </c>
    </row>
    <row r="2143" spans="2:9">
      <c r="B2143" s="1">
        <v>8001</v>
      </c>
      <c r="D2143" t="s">
        <v>14</v>
      </c>
      <c r="E2143" s="5">
        <v>267665.69</v>
      </c>
      <c r="F2143" s="5">
        <v>273173.8</v>
      </c>
      <c r="G2143" s="5">
        <v>316858.70999999996</v>
      </c>
      <c r="H2143" s="5">
        <v>340672.47</v>
      </c>
      <c r="I2143" s="3">
        <f>VLOOKUP(B2143,[1]Sheet3!$A$13:$H$198,8,TRUE)</f>
        <v>389253.18</v>
      </c>
    </row>
    <row r="2144" spans="2:9">
      <c r="B2144" s="1">
        <v>8001</v>
      </c>
      <c r="D2144" t="s">
        <v>15</v>
      </c>
      <c r="E2144" s="5">
        <v>156842.5</v>
      </c>
      <c r="F2144" s="5">
        <v>161149.91</v>
      </c>
      <c r="G2144" s="5">
        <v>194395.56</v>
      </c>
      <c r="H2144" s="5">
        <v>211243.03999999998</v>
      </c>
      <c r="I2144" s="3">
        <f>VLOOKUP(B2144,[1]Sheet3!$A$13:$I$198,9,TRUE)</f>
        <v>244787.71000000002</v>
      </c>
    </row>
    <row r="2145" spans="2:9">
      <c r="B2145" s="1">
        <v>8001</v>
      </c>
      <c r="D2145" t="s">
        <v>16</v>
      </c>
      <c r="E2145" s="5">
        <v>332.81</v>
      </c>
      <c r="F2145" s="5">
        <v>436.15</v>
      </c>
      <c r="G2145" s="5">
        <v>396.48</v>
      </c>
      <c r="H2145" s="5">
        <v>347.3</v>
      </c>
      <c r="I2145" s="5">
        <f>I2142/I2140</f>
        <v>422.53689032258063</v>
      </c>
    </row>
    <row r="2146" spans="2:9">
      <c r="B2146" s="1">
        <v>8001</v>
      </c>
      <c r="D2146" t="s">
        <v>17</v>
      </c>
      <c r="E2146" s="6">
        <v>4.34</v>
      </c>
      <c r="F2146" s="6">
        <v>4.1399999999999997</v>
      </c>
      <c r="G2146" s="6">
        <v>4.34</v>
      </c>
      <c r="H2146" s="6">
        <v>4.22</v>
      </c>
      <c r="I2146" s="7">
        <f>I2142/I2141</f>
        <v>4.2021944784504548</v>
      </c>
    </row>
    <row r="2147" spans="2:9">
      <c r="B2147" s="1">
        <v>8001</v>
      </c>
      <c r="D2147" t="s">
        <v>18</v>
      </c>
      <c r="E2147" s="8">
        <v>0.39639999999999997</v>
      </c>
      <c r="F2147" s="8">
        <v>0.3992</v>
      </c>
      <c r="G2147" s="8">
        <v>0.39639999999999997</v>
      </c>
      <c r="H2147" s="8">
        <v>0.3957</v>
      </c>
      <c r="I2147" s="8">
        <f>I2143/I2142</f>
        <v>0.39622746892662991</v>
      </c>
    </row>
    <row r="2148" spans="2:9">
      <c r="B2148" s="1">
        <v>8001</v>
      </c>
      <c r="D2148" t="s">
        <v>19</v>
      </c>
      <c r="E2148" s="8">
        <v>0.58599999999999997</v>
      </c>
      <c r="F2148" s="8">
        <v>0.58989999999999998</v>
      </c>
      <c r="G2148" s="8">
        <v>0.61350000000000005</v>
      </c>
      <c r="H2148" s="8">
        <v>0.62009999999999998</v>
      </c>
      <c r="I2148" s="8">
        <f>I2144/I2143</f>
        <v>0.62886502301663927</v>
      </c>
    </row>
    <row r="2149" spans="2:9">
      <c r="B2149" s="1">
        <v>8001</v>
      </c>
      <c r="D2149" t="s">
        <v>20</v>
      </c>
      <c r="E2149" s="8">
        <v>0.23230000000000001</v>
      </c>
      <c r="F2149" s="8">
        <v>0.23549999999999999</v>
      </c>
      <c r="G2149" s="8">
        <v>0.2432</v>
      </c>
      <c r="H2149" s="8">
        <v>0.24540000000000001</v>
      </c>
      <c r="I2149" s="8">
        <f>I2144/I2142</f>
        <v>0.24917359636636985</v>
      </c>
    </row>
    <row r="2150" spans="2:9">
      <c r="B2150" s="1">
        <v>8001</v>
      </c>
      <c r="E2150" s="10"/>
      <c r="F2150" s="10"/>
      <c r="G2150" s="10"/>
    </row>
    <row r="2151" spans="2:9">
      <c r="B2151" s="1">
        <v>9025</v>
      </c>
      <c r="C2151" t="s">
        <v>434</v>
      </c>
    </row>
    <row r="2152" spans="2:9">
      <c r="B2152" s="1">
        <v>9025</v>
      </c>
      <c r="D2152" t="s">
        <v>11</v>
      </c>
      <c r="E2152" s="3">
        <v>3</v>
      </c>
      <c r="F2152" s="3">
        <v>9</v>
      </c>
      <c r="G2152" s="3">
        <v>5</v>
      </c>
      <c r="H2152" s="3">
        <v>6</v>
      </c>
      <c r="I2152" s="3">
        <f>VLOOKUP(B2152,[1]Sheet3!$A$13:$E$198,5,TRUE)</f>
        <v>4</v>
      </c>
    </row>
    <row r="2153" spans="2:9">
      <c r="B2153" s="1">
        <v>9025</v>
      </c>
      <c r="D2153" t="s">
        <v>12</v>
      </c>
      <c r="E2153" s="5">
        <v>13680</v>
      </c>
      <c r="F2153" s="5">
        <v>28130</v>
      </c>
      <c r="G2153" s="5">
        <v>16530</v>
      </c>
      <c r="H2153" s="5">
        <v>21736</v>
      </c>
      <c r="I2153" s="3">
        <f>VLOOKUP(B2153,[1]Sheet3!$A$13:$F$198,6,TRUE)</f>
        <v>8618</v>
      </c>
    </row>
    <row r="2154" spans="2:9">
      <c r="B2154" s="1">
        <v>9025</v>
      </c>
      <c r="D2154" t="s">
        <v>23</v>
      </c>
      <c r="E2154" s="5">
        <v>14886</v>
      </c>
      <c r="F2154" s="5">
        <v>13611.52</v>
      </c>
      <c r="G2154" s="5">
        <v>14344.07</v>
      </c>
      <c r="H2154" s="5">
        <v>16512.46</v>
      </c>
      <c r="I2154" s="3">
        <f>VLOOKUP(B2154,[1]Sheet3!$A$13:$G$198,7,TRUE)</f>
        <v>14694.13</v>
      </c>
    </row>
    <row r="2155" spans="2:9">
      <c r="B2155" s="1">
        <v>9025</v>
      </c>
      <c r="D2155" t="s">
        <v>14</v>
      </c>
      <c r="E2155" s="5">
        <v>9052.39</v>
      </c>
      <c r="F2155" s="5">
        <v>11654.94</v>
      </c>
      <c r="G2155" s="5">
        <v>11654.94</v>
      </c>
      <c r="H2155" s="5">
        <v>11036.21</v>
      </c>
      <c r="I2155" s="3">
        <f>VLOOKUP(B2155,[1]Sheet3!$A$13:$H$198,8,TRUE)</f>
        <v>7135.15</v>
      </c>
    </row>
    <row r="2156" spans="2:9">
      <c r="B2156" s="1">
        <v>9025</v>
      </c>
      <c r="D2156" t="s">
        <v>15</v>
      </c>
      <c r="E2156" s="5">
        <v>4922.76</v>
      </c>
      <c r="F2156" s="5">
        <v>7105.08</v>
      </c>
      <c r="G2156" s="5">
        <v>6989.83</v>
      </c>
      <c r="H2156" s="5">
        <v>6699.8</v>
      </c>
      <c r="I2156" s="3">
        <f>VLOOKUP(B2156,[1]Sheet3!$A$13:$I$198,9,TRUE)</f>
        <v>6797.08</v>
      </c>
    </row>
    <row r="2157" spans="2:9">
      <c r="B2157" s="1">
        <v>9025</v>
      </c>
      <c r="D2157" t="s">
        <v>16</v>
      </c>
      <c r="E2157" s="5">
        <v>4962</v>
      </c>
      <c r="F2157" s="5">
        <v>1512.39</v>
      </c>
      <c r="G2157" s="5">
        <v>2868.81</v>
      </c>
      <c r="H2157" s="5">
        <v>2752.08</v>
      </c>
      <c r="I2157" s="5">
        <f>I2154/I2152</f>
        <v>3673.5324999999998</v>
      </c>
    </row>
    <row r="2158" spans="2:9">
      <c r="B2158" s="1">
        <v>9025</v>
      </c>
      <c r="D2158" t="s">
        <v>17</v>
      </c>
      <c r="E2158" s="6">
        <v>1.0900000000000001</v>
      </c>
      <c r="F2158" s="6">
        <v>0.48</v>
      </c>
      <c r="G2158" s="6">
        <v>0.87</v>
      </c>
      <c r="H2158" s="6">
        <v>0.76</v>
      </c>
      <c r="I2158" s="7">
        <f>I2154/I2153</f>
        <v>1.7050510559294498</v>
      </c>
    </row>
    <row r="2159" spans="2:9">
      <c r="B2159" s="1">
        <v>9025</v>
      </c>
      <c r="D2159" t="s">
        <v>18</v>
      </c>
      <c r="E2159" s="8">
        <v>0.60809999999999997</v>
      </c>
      <c r="F2159" s="8">
        <v>0.85629999999999995</v>
      </c>
      <c r="G2159" s="8">
        <v>0.8125</v>
      </c>
      <c r="H2159" s="8">
        <v>0.66839999999999999</v>
      </c>
      <c r="I2159" s="8">
        <f>I2155/I2154</f>
        <v>0.48557825471804045</v>
      </c>
    </row>
    <row r="2160" spans="2:9">
      <c r="B2160" s="1">
        <v>9025</v>
      </c>
      <c r="D2160" t="s">
        <v>19</v>
      </c>
      <c r="E2160" s="8">
        <v>0.54379999999999995</v>
      </c>
      <c r="F2160" s="8">
        <v>0.60960000000000003</v>
      </c>
      <c r="G2160" s="8">
        <v>0.59970000000000001</v>
      </c>
      <c r="H2160" s="8">
        <v>0.60709999999999997</v>
      </c>
      <c r="I2160" s="8">
        <f>I2156/I2155</f>
        <v>0.95261907598298567</v>
      </c>
    </row>
    <row r="2161" spans="2:9">
      <c r="B2161" s="1">
        <v>9025</v>
      </c>
      <c r="D2161" t="s">
        <v>20</v>
      </c>
      <c r="E2161" s="8">
        <v>0.33069999999999999</v>
      </c>
      <c r="F2161" s="8">
        <v>0.52200000000000002</v>
      </c>
      <c r="G2161" s="8">
        <v>0.48730000000000001</v>
      </c>
      <c r="H2161" s="8">
        <v>0.40570000000000001</v>
      </c>
      <c r="I2161" s="8">
        <f>I2156/I2154</f>
        <v>0.46257110832693055</v>
      </c>
    </row>
    <row r="2162" spans="2:9">
      <c r="B2162" s="1">
        <v>9025</v>
      </c>
      <c r="E2162" s="10"/>
      <c r="F2162" s="10"/>
      <c r="G2162" s="10"/>
    </row>
    <row r="2163" spans="2:9">
      <c r="B2163" s="1">
        <v>9055</v>
      </c>
      <c r="C2163" t="s">
        <v>435</v>
      </c>
    </row>
    <row r="2164" spans="2:9">
      <c r="B2164" s="1">
        <v>9055</v>
      </c>
      <c r="D2164" t="s">
        <v>11</v>
      </c>
      <c r="E2164" s="3">
        <v>1</v>
      </c>
      <c r="F2164" s="3">
        <v>0</v>
      </c>
      <c r="G2164" s="3">
        <v>0</v>
      </c>
      <c r="H2164" s="3">
        <v>0</v>
      </c>
      <c r="I2164" s="3">
        <f>VLOOKUP(B2164,[1]Sheet3!$A$13:$E$198,5,TRUE)</f>
        <v>0</v>
      </c>
    </row>
    <row r="2165" spans="2:9">
      <c r="B2165" s="1">
        <v>9055</v>
      </c>
      <c r="D2165" t="s">
        <v>12</v>
      </c>
      <c r="E2165" s="5">
        <v>3500</v>
      </c>
      <c r="F2165" s="5">
        <v>0</v>
      </c>
      <c r="G2165" s="5">
        <v>0</v>
      </c>
      <c r="H2165" s="5">
        <v>0</v>
      </c>
      <c r="I2165" s="3">
        <f>VLOOKUP(B2165,[1]Sheet3!$A$13:$F$198,6,TRUE)</f>
        <v>0</v>
      </c>
    </row>
    <row r="2166" spans="2:9">
      <c r="B2166" s="1">
        <v>9055</v>
      </c>
      <c r="D2166" t="s">
        <v>23</v>
      </c>
      <c r="E2166" s="5">
        <v>15079.24</v>
      </c>
      <c r="F2166" s="5">
        <v>0</v>
      </c>
      <c r="G2166" s="5">
        <v>0</v>
      </c>
      <c r="H2166" s="5">
        <v>0</v>
      </c>
      <c r="I2166" s="3">
        <f>VLOOKUP(B2166,[1]Sheet3!$A$13:$G$198,7,TRUE)</f>
        <v>0</v>
      </c>
    </row>
    <row r="2167" spans="2:9">
      <c r="B2167" s="1">
        <v>9055</v>
      </c>
      <c r="D2167" t="s">
        <v>14</v>
      </c>
      <c r="E2167" s="5">
        <v>5983.86</v>
      </c>
      <c r="F2167" s="5">
        <v>0</v>
      </c>
      <c r="G2167" s="5">
        <v>0</v>
      </c>
      <c r="H2167" s="5">
        <v>0</v>
      </c>
      <c r="I2167" s="3">
        <f>VLOOKUP(B2167,[1]Sheet3!$A$13:$H$198,8,TRUE)</f>
        <v>0</v>
      </c>
    </row>
    <row r="2168" spans="2:9">
      <c r="B2168" s="1">
        <v>9055</v>
      </c>
      <c r="D2168" t="s">
        <v>15</v>
      </c>
      <c r="E2168" s="5">
        <v>1774.48</v>
      </c>
      <c r="F2168" s="5">
        <v>0</v>
      </c>
      <c r="G2168" s="5">
        <v>0</v>
      </c>
      <c r="H2168" s="5">
        <v>0</v>
      </c>
      <c r="I2168" s="3">
        <f>VLOOKUP(B2168,[1]Sheet3!$A$13:$I$198,9,TRUE)</f>
        <v>0</v>
      </c>
    </row>
    <row r="2169" spans="2:9">
      <c r="B2169" s="1">
        <v>9055</v>
      </c>
      <c r="D2169" t="s">
        <v>16</v>
      </c>
      <c r="E2169" s="5">
        <v>15079.24</v>
      </c>
      <c r="F2169" s="5">
        <v>0</v>
      </c>
      <c r="G2169" s="5">
        <v>0</v>
      </c>
      <c r="H2169" s="5">
        <v>0</v>
      </c>
      <c r="I2169" s="5">
        <v>0</v>
      </c>
    </row>
    <row r="2170" spans="2:9">
      <c r="B2170" s="1">
        <v>9055</v>
      </c>
      <c r="D2170" t="s">
        <v>17</v>
      </c>
      <c r="E2170" s="6">
        <v>4.3099999999999996</v>
      </c>
      <c r="F2170" s="6">
        <v>0</v>
      </c>
      <c r="G2170" s="6">
        <v>0</v>
      </c>
      <c r="H2170" s="6">
        <v>0</v>
      </c>
      <c r="I2170" s="6">
        <v>0</v>
      </c>
    </row>
    <row r="2171" spans="2:9">
      <c r="B2171" s="1">
        <v>9055</v>
      </c>
      <c r="D2171" t="s">
        <v>18</v>
      </c>
      <c r="E2171" s="8">
        <v>0.39679999999999999</v>
      </c>
      <c r="F2171" s="8">
        <v>0</v>
      </c>
      <c r="G2171" s="8">
        <v>0</v>
      </c>
      <c r="H2171" s="8">
        <v>0</v>
      </c>
      <c r="I2171" s="8">
        <v>0</v>
      </c>
    </row>
    <row r="2172" spans="2:9">
      <c r="B2172" s="1">
        <v>9055</v>
      </c>
      <c r="D2172" t="s">
        <v>19</v>
      </c>
      <c r="E2172" s="8">
        <v>0.29649999999999999</v>
      </c>
      <c r="F2172" s="8">
        <v>0</v>
      </c>
      <c r="G2172" s="8">
        <v>0</v>
      </c>
      <c r="H2172" s="8">
        <v>0</v>
      </c>
      <c r="I2172" s="8">
        <v>0</v>
      </c>
    </row>
    <row r="2173" spans="2:9">
      <c r="B2173" s="1">
        <v>9055</v>
      </c>
      <c r="D2173" t="s">
        <v>20</v>
      </c>
      <c r="E2173" s="8">
        <v>0.1177</v>
      </c>
      <c r="F2173" s="8">
        <v>0</v>
      </c>
      <c r="G2173" s="8">
        <v>0</v>
      </c>
      <c r="H2173" s="8">
        <v>0</v>
      </c>
      <c r="I2173" s="8">
        <v>0</v>
      </c>
    </row>
    <row r="2174" spans="2:9">
      <c r="B2174" s="1">
        <v>9055</v>
      </c>
    </row>
    <row r="2175" spans="2:9">
      <c r="B2175" s="1">
        <v>9060</v>
      </c>
      <c r="C2175" t="s">
        <v>436</v>
      </c>
    </row>
    <row r="2176" spans="2:9">
      <c r="B2176" s="1">
        <v>9060</v>
      </c>
      <c r="D2176" t="s">
        <v>11</v>
      </c>
      <c r="E2176" s="3">
        <v>0</v>
      </c>
      <c r="F2176" s="3">
        <v>0</v>
      </c>
      <c r="G2176" s="3">
        <v>0</v>
      </c>
      <c r="H2176" s="3">
        <v>0</v>
      </c>
      <c r="I2176" s="3">
        <f>VLOOKUP(B2176,[1]Sheet3!$A$13:$E$198,5,TRUE)</f>
        <v>0</v>
      </c>
    </row>
    <row r="2177" spans="2:9">
      <c r="B2177" s="1">
        <v>9060</v>
      </c>
      <c r="D2177" t="s">
        <v>12</v>
      </c>
      <c r="E2177" s="5">
        <v>0</v>
      </c>
      <c r="F2177" s="5">
        <v>0</v>
      </c>
      <c r="G2177" s="5">
        <v>0</v>
      </c>
      <c r="H2177" s="5">
        <v>0</v>
      </c>
      <c r="I2177" s="3">
        <f>VLOOKUP(B2177,[1]Sheet3!$A$13:$F$198,6,TRUE)</f>
        <v>0</v>
      </c>
    </row>
    <row r="2178" spans="2:9">
      <c r="B2178" s="1">
        <v>9060</v>
      </c>
      <c r="D2178" t="s">
        <v>23</v>
      </c>
      <c r="E2178" s="5">
        <v>0</v>
      </c>
      <c r="F2178" s="5">
        <v>0</v>
      </c>
      <c r="G2178" s="5">
        <v>0</v>
      </c>
      <c r="H2178" s="5">
        <v>0</v>
      </c>
      <c r="I2178" s="3">
        <f>VLOOKUP(B2178,[1]Sheet3!$A$13:$G$198,7,TRUE)</f>
        <v>0</v>
      </c>
    </row>
    <row r="2179" spans="2:9">
      <c r="B2179" s="1">
        <v>9060</v>
      </c>
      <c r="D2179" t="s">
        <v>14</v>
      </c>
      <c r="E2179" s="5">
        <v>0</v>
      </c>
      <c r="F2179" s="5">
        <v>0</v>
      </c>
      <c r="G2179" s="5">
        <v>0</v>
      </c>
      <c r="H2179" s="5">
        <v>0</v>
      </c>
      <c r="I2179" s="3">
        <f>VLOOKUP(B2179,[1]Sheet3!$A$13:$H$198,8,TRUE)</f>
        <v>0</v>
      </c>
    </row>
    <row r="2180" spans="2:9">
      <c r="B2180" s="1">
        <v>9060</v>
      </c>
      <c r="D2180" t="s">
        <v>15</v>
      </c>
      <c r="E2180" s="5">
        <v>0</v>
      </c>
      <c r="F2180" s="5">
        <v>0</v>
      </c>
      <c r="G2180" s="5">
        <v>0</v>
      </c>
      <c r="H2180" s="5">
        <v>0</v>
      </c>
      <c r="I2180" s="3">
        <f>VLOOKUP(B2180,[1]Sheet3!$A$13:$I$198,9,TRUE)</f>
        <v>0</v>
      </c>
    </row>
    <row r="2181" spans="2:9">
      <c r="B2181" s="1">
        <v>9060</v>
      </c>
      <c r="D2181" t="s">
        <v>16</v>
      </c>
      <c r="E2181" s="5">
        <v>0</v>
      </c>
      <c r="F2181" s="5">
        <v>0</v>
      </c>
      <c r="G2181" s="5">
        <v>0</v>
      </c>
      <c r="H2181" s="5">
        <v>0</v>
      </c>
      <c r="I2181" s="5">
        <v>0</v>
      </c>
    </row>
    <row r="2182" spans="2:9">
      <c r="B2182" s="1">
        <v>9060</v>
      </c>
      <c r="D2182" t="s">
        <v>17</v>
      </c>
      <c r="E2182" s="6">
        <v>0</v>
      </c>
      <c r="F2182" s="6">
        <v>0</v>
      </c>
      <c r="G2182" s="6">
        <v>0</v>
      </c>
      <c r="H2182" s="6">
        <v>0</v>
      </c>
      <c r="I2182" s="6">
        <v>0</v>
      </c>
    </row>
    <row r="2183" spans="2:9">
      <c r="B2183" s="1">
        <v>9060</v>
      </c>
      <c r="D2183" t="s">
        <v>18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</row>
    <row r="2184" spans="2:9">
      <c r="B2184" s="1">
        <v>9060</v>
      </c>
      <c r="D2184" t="s">
        <v>19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</row>
    <row r="2185" spans="2:9">
      <c r="B2185" s="1">
        <v>9060</v>
      </c>
      <c r="D2185" t="s">
        <v>20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</row>
    <row r="2186" spans="2:9">
      <c r="B2186" s="1">
        <v>9060</v>
      </c>
    </row>
    <row r="2187" spans="2:9">
      <c r="B2187" s="1">
        <v>9065</v>
      </c>
      <c r="C2187" t="s">
        <v>437</v>
      </c>
    </row>
    <row r="2188" spans="2:9">
      <c r="B2188" s="1">
        <v>9065</v>
      </c>
      <c r="D2188" t="s">
        <v>11</v>
      </c>
      <c r="E2188" s="3">
        <v>0</v>
      </c>
      <c r="F2188" s="3">
        <v>0</v>
      </c>
      <c r="G2188" s="3">
        <v>0</v>
      </c>
      <c r="H2188" s="3">
        <v>0</v>
      </c>
      <c r="I2188" s="3">
        <f>VLOOKUP(B2188,[1]Sheet3!$A$13:$E$198,5,TRUE)</f>
        <v>0</v>
      </c>
    </row>
    <row r="2189" spans="2:9">
      <c r="B2189" s="1">
        <v>9065</v>
      </c>
      <c r="D2189" t="s">
        <v>12</v>
      </c>
      <c r="E2189" s="5">
        <v>0</v>
      </c>
      <c r="F2189" s="5">
        <v>0</v>
      </c>
      <c r="G2189" s="5">
        <v>0</v>
      </c>
      <c r="H2189" s="5">
        <v>0</v>
      </c>
      <c r="I2189" s="3">
        <f>VLOOKUP(B2189,[1]Sheet3!$A$13:$F$198,6,TRUE)</f>
        <v>0</v>
      </c>
    </row>
    <row r="2190" spans="2:9">
      <c r="B2190" s="1">
        <v>9065</v>
      </c>
      <c r="D2190" t="s">
        <v>23</v>
      </c>
      <c r="E2190" s="5">
        <v>0</v>
      </c>
      <c r="F2190" s="5">
        <v>0</v>
      </c>
      <c r="G2190" s="5">
        <v>0</v>
      </c>
      <c r="H2190" s="5">
        <v>0</v>
      </c>
      <c r="I2190" s="3">
        <f>VLOOKUP(B2190,[1]Sheet3!$A$13:$G$198,7,TRUE)</f>
        <v>0</v>
      </c>
    </row>
    <row r="2191" spans="2:9">
      <c r="B2191" s="1">
        <v>9065</v>
      </c>
      <c r="D2191" t="s">
        <v>14</v>
      </c>
      <c r="E2191" s="5">
        <v>0</v>
      </c>
      <c r="F2191" s="5">
        <v>0</v>
      </c>
      <c r="G2191" s="5">
        <v>0</v>
      </c>
      <c r="H2191" s="5">
        <v>0</v>
      </c>
      <c r="I2191" s="3">
        <f>VLOOKUP(B2191,[1]Sheet3!$A$13:$H$198,8,TRUE)</f>
        <v>0</v>
      </c>
    </row>
    <row r="2192" spans="2:9">
      <c r="B2192" s="1">
        <v>9065</v>
      </c>
      <c r="D2192" t="s">
        <v>15</v>
      </c>
      <c r="E2192" s="5">
        <v>0</v>
      </c>
      <c r="F2192" s="5">
        <v>0</v>
      </c>
      <c r="G2192" s="5">
        <v>0</v>
      </c>
      <c r="H2192" s="5">
        <v>0</v>
      </c>
      <c r="I2192" s="3">
        <f>VLOOKUP(B2192,[1]Sheet3!$A$13:$I$198,9,TRUE)</f>
        <v>0</v>
      </c>
    </row>
    <row r="2193" spans="2:9">
      <c r="B2193" s="1">
        <v>9065</v>
      </c>
      <c r="D2193" t="s">
        <v>16</v>
      </c>
      <c r="E2193" s="5">
        <v>0</v>
      </c>
      <c r="F2193" s="5">
        <v>0</v>
      </c>
      <c r="G2193" s="5">
        <v>0</v>
      </c>
      <c r="H2193" s="5">
        <v>0</v>
      </c>
      <c r="I2193" s="5">
        <v>0</v>
      </c>
    </row>
    <row r="2194" spans="2:9">
      <c r="B2194" s="1">
        <v>9065</v>
      </c>
      <c r="D2194" t="s">
        <v>17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</row>
    <row r="2195" spans="2:9">
      <c r="B2195" s="1">
        <v>9065</v>
      </c>
      <c r="D2195" t="s">
        <v>18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</row>
    <row r="2196" spans="2:9">
      <c r="B2196" s="1">
        <v>9065</v>
      </c>
      <c r="D2196" t="s">
        <v>19</v>
      </c>
      <c r="E2196" s="8">
        <v>0</v>
      </c>
      <c r="F2196" s="8">
        <v>0</v>
      </c>
      <c r="G2196" s="8">
        <v>0</v>
      </c>
      <c r="H2196" s="8">
        <v>0</v>
      </c>
      <c r="I2196" s="8">
        <v>0</v>
      </c>
    </row>
    <row r="2197" spans="2:9">
      <c r="B2197" s="1">
        <v>9065</v>
      </c>
      <c r="D2197" t="s">
        <v>20</v>
      </c>
      <c r="E2197" s="8">
        <v>0</v>
      </c>
      <c r="F2197" s="8">
        <v>0</v>
      </c>
      <c r="G2197" s="8">
        <v>0</v>
      </c>
      <c r="H2197" s="8">
        <v>0</v>
      </c>
      <c r="I2197" s="8">
        <v>0</v>
      </c>
    </row>
    <row r="2198" spans="2:9">
      <c r="B2198" s="1">
        <v>9065</v>
      </c>
      <c r="E2198">
        <v>0</v>
      </c>
      <c r="F2198">
        <v>0</v>
      </c>
      <c r="G2198">
        <v>0</v>
      </c>
    </row>
    <row r="2199" spans="2:9">
      <c r="B2199" s="1">
        <v>9035</v>
      </c>
      <c r="C2199" t="s">
        <v>438</v>
      </c>
    </row>
    <row r="2200" spans="2:9">
      <c r="B2200" s="1">
        <v>9035</v>
      </c>
      <c r="D2200" t="s">
        <v>11</v>
      </c>
      <c r="E2200" s="3">
        <v>0</v>
      </c>
      <c r="F2200" s="3">
        <v>0</v>
      </c>
      <c r="G2200" s="3">
        <v>0</v>
      </c>
      <c r="H2200" s="3">
        <v>0</v>
      </c>
      <c r="I2200" s="3">
        <f>VLOOKUP(B2200,[1]Sheet3!$A$13:$E$198,5,TRUE)</f>
        <v>4</v>
      </c>
    </row>
    <row r="2201" spans="2:9">
      <c r="B2201" s="1">
        <v>9035</v>
      </c>
      <c r="D2201" t="s">
        <v>12</v>
      </c>
      <c r="E2201" s="5">
        <v>0</v>
      </c>
      <c r="F2201" s="5">
        <v>0</v>
      </c>
      <c r="G2201" s="5">
        <v>0</v>
      </c>
      <c r="H2201" s="5">
        <v>0</v>
      </c>
      <c r="I2201" s="3">
        <f>VLOOKUP(B2201,[1]Sheet3!$A$13:$F$198,6,TRUE)</f>
        <v>8618</v>
      </c>
    </row>
    <row r="2202" spans="2:9">
      <c r="B2202" s="1">
        <v>9035</v>
      </c>
      <c r="D2202" t="s">
        <v>23</v>
      </c>
      <c r="E2202" s="5">
        <v>0</v>
      </c>
      <c r="F2202" s="5">
        <v>0</v>
      </c>
      <c r="G2202" s="5">
        <v>0</v>
      </c>
      <c r="H2202" s="5">
        <v>0</v>
      </c>
      <c r="I2202" s="3">
        <f>VLOOKUP(B2202,[1]Sheet3!$A$13:$G$198,7,TRUE)</f>
        <v>14694.13</v>
      </c>
    </row>
    <row r="2203" spans="2:9">
      <c r="B2203" s="1">
        <v>9035</v>
      </c>
      <c r="D2203" t="s">
        <v>14</v>
      </c>
      <c r="E2203" s="5">
        <v>0</v>
      </c>
      <c r="F2203" s="5">
        <v>0</v>
      </c>
      <c r="G2203" s="5">
        <v>0</v>
      </c>
      <c r="H2203" s="5">
        <v>0</v>
      </c>
      <c r="I2203" s="3">
        <f>VLOOKUP(B2203,[1]Sheet3!$A$13:$H$198,8,TRUE)</f>
        <v>7135.15</v>
      </c>
    </row>
    <row r="2204" spans="2:9">
      <c r="B2204" s="1">
        <v>9035</v>
      </c>
      <c r="D2204" t="s">
        <v>15</v>
      </c>
      <c r="E2204" s="5">
        <v>0</v>
      </c>
      <c r="F2204" s="5">
        <v>0</v>
      </c>
      <c r="G2204" s="5">
        <v>0</v>
      </c>
      <c r="H2204" s="5">
        <v>0</v>
      </c>
      <c r="I2204" s="3">
        <f>VLOOKUP(B2204,[1]Sheet3!$A$13:$I$198,9,TRUE)</f>
        <v>6797.08</v>
      </c>
    </row>
    <row r="2205" spans="2:9">
      <c r="B2205" s="1">
        <v>9035</v>
      </c>
      <c r="D2205" t="s">
        <v>16</v>
      </c>
      <c r="E2205" s="5">
        <v>0</v>
      </c>
      <c r="F2205" s="5">
        <v>0</v>
      </c>
      <c r="G2205" s="5">
        <v>0</v>
      </c>
      <c r="H2205" s="5">
        <v>0</v>
      </c>
      <c r="I2205" s="5">
        <f>I2202/I2200</f>
        <v>3673.5324999999998</v>
      </c>
    </row>
    <row r="2206" spans="2:9">
      <c r="B2206" s="1">
        <v>9035</v>
      </c>
      <c r="D2206" t="s">
        <v>17</v>
      </c>
      <c r="E2206" s="6">
        <v>0</v>
      </c>
      <c r="F2206" s="6">
        <v>0</v>
      </c>
      <c r="G2206" s="6">
        <v>0</v>
      </c>
      <c r="H2206" s="6">
        <v>0</v>
      </c>
      <c r="I2206" s="7">
        <f>I2202/I2201</f>
        <v>1.7050510559294498</v>
      </c>
    </row>
    <row r="2207" spans="2:9">
      <c r="B2207" s="1">
        <v>9035</v>
      </c>
      <c r="D2207" t="s">
        <v>18</v>
      </c>
      <c r="E2207" s="8">
        <v>0</v>
      </c>
      <c r="F2207" s="8">
        <v>0</v>
      </c>
      <c r="G2207" s="8">
        <v>0</v>
      </c>
      <c r="H2207" s="8">
        <v>0</v>
      </c>
      <c r="I2207" s="8">
        <f>I2203/I2202</f>
        <v>0.48557825471804045</v>
      </c>
    </row>
    <row r="2208" spans="2:9">
      <c r="B2208" s="1">
        <v>9035</v>
      </c>
      <c r="D2208" t="s">
        <v>19</v>
      </c>
      <c r="E2208" s="8">
        <v>0</v>
      </c>
      <c r="F2208" s="8">
        <v>0</v>
      </c>
      <c r="G2208" s="8">
        <v>0</v>
      </c>
      <c r="H2208" s="8">
        <v>0</v>
      </c>
      <c r="I2208" s="8">
        <f>I2204/I2203</f>
        <v>0.95261907598298567</v>
      </c>
    </row>
    <row r="2209" spans="2:9">
      <c r="B2209" s="1">
        <v>9035</v>
      </c>
      <c r="D2209" t="s">
        <v>20</v>
      </c>
      <c r="E2209" s="8">
        <v>0</v>
      </c>
      <c r="F2209" s="8">
        <v>0</v>
      </c>
      <c r="G2209" s="8">
        <v>0</v>
      </c>
      <c r="H2209" s="8">
        <v>0</v>
      </c>
      <c r="I2209" s="8">
        <f>I2204/I2202</f>
        <v>0.46257110832693055</v>
      </c>
    </row>
    <row r="2210" spans="2:9">
      <c r="B2210" s="1">
        <v>9035</v>
      </c>
    </row>
    <row r="2211" spans="2:9">
      <c r="B2211" s="1">
        <v>9701</v>
      </c>
      <c r="C2211" t="s">
        <v>439</v>
      </c>
    </row>
    <row r="2212" spans="2:9">
      <c r="B2212" s="1">
        <v>9701</v>
      </c>
      <c r="D2212" t="s">
        <v>11</v>
      </c>
      <c r="E2212" s="3">
        <v>7</v>
      </c>
      <c r="F2212" s="3">
        <v>0</v>
      </c>
      <c r="G2212" s="3">
        <v>9</v>
      </c>
      <c r="H2212" s="3">
        <v>4</v>
      </c>
      <c r="I2212" s="3">
        <f>VLOOKUP(B2212,[1]Sheet3!$A$13:$E$198,5,TRUE)</f>
        <v>8</v>
      </c>
    </row>
    <row r="2213" spans="2:9">
      <c r="B2213" s="1">
        <v>9701</v>
      </c>
      <c r="D2213" t="s">
        <v>12</v>
      </c>
      <c r="E2213" s="5">
        <v>100496</v>
      </c>
      <c r="F2213" s="5">
        <v>0</v>
      </c>
      <c r="G2213" s="5">
        <v>62832</v>
      </c>
      <c r="H2213" s="5">
        <v>100496</v>
      </c>
      <c r="I2213" s="3">
        <f>VLOOKUP(B2213,[1]Sheet3!$A$13:$F$198,6,TRUE)</f>
        <v>113168</v>
      </c>
    </row>
    <row r="2214" spans="2:9">
      <c r="B2214" s="1">
        <v>9701</v>
      </c>
      <c r="D2214" t="s">
        <v>23</v>
      </c>
      <c r="E2214" s="5">
        <v>45462.18</v>
      </c>
      <c r="F2214" s="5">
        <v>0</v>
      </c>
      <c r="G2214" s="5">
        <v>37190.57</v>
      </c>
      <c r="H2214" s="5">
        <v>44390.07</v>
      </c>
      <c r="I2214" s="3">
        <f>VLOOKUP(B2214,[1]Sheet3!$A$13:$G$198,7,TRUE)</f>
        <v>70775</v>
      </c>
    </row>
    <row r="2215" spans="2:9">
      <c r="B2215" s="1">
        <v>9701</v>
      </c>
      <c r="D2215" t="s">
        <v>14</v>
      </c>
      <c r="E2215" s="5">
        <v>40565.689999999995</v>
      </c>
      <c r="F2215" s="5">
        <v>0</v>
      </c>
      <c r="G2215" s="5">
        <v>28331.739999999998</v>
      </c>
      <c r="H2215" s="5">
        <v>39951.06</v>
      </c>
      <c r="I2215" s="3">
        <f>VLOOKUP(B2215,[1]Sheet3!$A$13:$H$198,8,TRUE)</f>
        <v>52312.639999999999</v>
      </c>
    </row>
    <row r="2216" spans="2:9">
      <c r="B2216" s="1">
        <v>9701</v>
      </c>
      <c r="D2216" t="s">
        <v>15</v>
      </c>
      <c r="E2216" s="5">
        <v>27433.38</v>
      </c>
      <c r="F2216" s="5">
        <v>0</v>
      </c>
      <c r="G2216" s="5">
        <v>19822.7</v>
      </c>
      <c r="H2216" s="5">
        <v>25683.759999999998</v>
      </c>
      <c r="I2216" s="3">
        <f>VLOOKUP(B2216,[1]Sheet3!$A$13:$I$198,9,TRUE)</f>
        <v>33504.03</v>
      </c>
    </row>
    <row r="2217" spans="2:9">
      <c r="B2217" s="1">
        <v>9701</v>
      </c>
      <c r="D2217" t="s">
        <v>16</v>
      </c>
      <c r="E2217" s="5">
        <v>6494.6</v>
      </c>
      <c r="F2217" s="5">
        <v>0</v>
      </c>
      <c r="G2217" s="5">
        <v>4132.29</v>
      </c>
      <c r="H2217" s="5">
        <v>11097.52</v>
      </c>
      <c r="I2217" s="5">
        <f>I2214/I2212</f>
        <v>8846.875</v>
      </c>
    </row>
    <row r="2218" spans="2:9">
      <c r="B2218" s="1">
        <v>9701</v>
      </c>
      <c r="D2218" t="s">
        <v>17</v>
      </c>
      <c r="E2218" s="6">
        <v>0.45</v>
      </c>
      <c r="F2218" s="6">
        <v>0</v>
      </c>
      <c r="G2218" s="6">
        <v>0.59</v>
      </c>
      <c r="H2218" s="6">
        <v>0.44</v>
      </c>
      <c r="I2218" s="7">
        <f>I2214/I2213</f>
        <v>0.6253976389085254</v>
      </c>
    </row>
    <row r="2219" spans="2:9">
      <c r="B2219" s="1">
        <v>9701</v>
      </c>
      <c r="D2219" t="s">
        <v>18</v>
      </c>
      <c r="E2219" s="8">
        <v>0.89229999999999998</v>
      </c>
      <c r="F2219" s="8">
        <v>0</v>
      </c>
      <c r="G2219" s="8">
        <v>0.76180000000000003</v>
      </c>
      <c r="H2219" s="8">
        <v>0.9</v>
      </c>
      <c r="I2219" s="8">
        <f>I2215/I2214</f>
        <v>0.73914009184033913</v>
      </c>
    </row>
    <row r="2220" spans="2:9">
      <c r="B2220" s="1">
        <v>9701</v>
      </c>
      <c r="D2220" t="s">
        <v>19</v>
      </c>
      <c r="E2220" s="8">
        <v>0.67630000000000001</v>
      </c>
      <c r="F2220" s="8">
        <v>0</v>
      </c>
      <c r="G2220" s="8">
        <v>0.69969999999999999</v>
      </c>
      <c r="H2220" s="8">
        <v>0.64290000000000003</v>
      </c>
      <c r="I2220" s="8">
        <f>I2216/I2215</f>
        <v>0.64045764083020851</v>
      </c>
    </row>
    <row r="2221" spans="2:9">
      <c r="B2221" s="1">
        <v>9701</v>
      </c>
      <c r="D2221" t="s">
        <v>20</v>
      </c>
      <c r="E2221" s="8">
        <v>0.60340000000000005</v>
      </c>
      <c r="F2221" s="8">
        <v>0</v>
      </c>
      <c r="G2221" s="8">
        <v>0.53300000000000003</v>
      </c>
      <c r="H2221" s="8">
        <v>0.5786</v>
      </c>
      <c r="I2221" s="8">
        <f>I2216/I2214</f>
        <v>0.47338791946308723</v>
      </c>
    </row>
    <row r="2224" spans="2:9">
      <c r="E2224" s="11" t="s">
        <v>3</v>
      </c>
      <c r="F2224" s="11" t="s">
        <v>4</v>
      </c>
      <c r="G2224" s="11" t="s">
        <v>5</v>
      </c>
      <c r="H2224" s="11" t="s">
        <v>6</v>
      </c>
      <c r="I2224" s="11" t="s">
        <v>7</v>
      </c>
    </row>
    <row r="2225" spans="3:9">
      <c r="C2225" s="12" t="s">
        <v>440</v>
      </c>
      <c r="D2225" s="13" t="s">
        <v>11</v>
      </c>
      <c r="E2225" s="14">
        <v>349120</v>
      </c>
      <c r="F2225" s="14">
        <v>333710</v>
      </c>
      <c r="G2225" s="14">
        <v>334414</v>
      </c>
      <c r="H2225" s="14">
        <v>344079</v>
      </c>
      <c r="I2225" s="15">
        <f>[1]Sheet3!GH6</f>
        <v>347028</v>
      </c>
    </row>
    <row r="2226" spans="3:9">
      <c r="D2226" s="13" t="s">
        <v>12</v>
      </c>
      <c r="E2226" s="16">
        <v>53655005.800000019</v>
      </c>
      <c r="F2226" s="16">
        <v>52712902.800000004</v>
      </c>
      <c r="G2226" s="16">
        <v>54188528.900000006</v>
      </c>
      <c r="H2226" s="16">
        <v>53365359.899999999</v>
      </c>
      <c r="I2226" s="17">
        <f>[1]Sheet3!GH7</f>
        <v>49982013.900000006</v>
      </c>
    </row>
    <row r="2227" spans="3:9">
      <c r="D2227" s="13" t="s">
        <v>23</v>
      </c>
      <c r="E2227" s="18">
        <v>202384615.06000006</v>
      </c>
      <c r="F2227" s="18">
        <v>205975208.92999992</v>
      </c>
      <c r="G2227" s="18">
        <v>204546773.28999996</v>
      </c>
      <c r="H2227" s="18">
        <v>209701420.03000003</v>
      </c>
      <c r="I2227" s="19">
        <f>[1]Sheet3!GH8</f>
        <v>213737057.74000004</v>
      </c>
    </row>
    <row r="2228" spans="3:9">
      <c r="D2228" s="13" t="s">
        <v>14</v>
      </c>
      <c r="E2228" s="16">
        <v>83650260.089999929</v>
      </c>
      <c r="F2228" s="16">
        <v>84520163.589999944</v>
      </c>
      <c r="G2228" s="16">
        <v>84411847.969999954</v>
      </c>
      <c r="H2228" s="16">
        <v>85140862.979999974</v>
      </c>
      <c r="I2228" s="17">
        <f>[1]Sheet3!GH9</f>
        <v>84538041.629999995</v>
      </c>
    </row>
    <row r="2229" spans="3:9">
      <c r="D2229" s="13" t="s">
        <v>15</v>
      </c>
      <c r="E2229" s="16">
        <v>48803474.919999979</v>
      </c>
      <c r="F2229" s="16">
        <v>49784111.859999977</v>
      </c>
      <c r="G2229" s="16">
        <v>50620332.740000032</v>
      </c>
      <c r="H2229" s="16">
        <v>52259643.450000025</v>
      </c>
      <c r="I2229" s="17">
        <f>[1]Sheet3!GH10</f>
        <v>53053629.269999996</v>
      </c>
    </row>
    <row r="2230" spans="3:9">
      <c r="D2230" s="13" t="s">
        <v>16</v>
      </c>
      <c r="E2230" s="18">
        <v>579.70000000000005</v>
      </c>
      <c r="F2230" s="18">
        <v>617.23</v>
      </c>
      <c r="G2230" s="18">
        <v>611.66</v>
      </c>
      <c r="H2230" s="18">
        <v>609.46</v>
      </c>
      <c r="I2230" s="13">
        <f>I2227/I2225</f>
        <v>615.90724016505885</v>
      </c>
    </row>
    <row r="2231" spans="3:9">
      <c r="D2231" s="13" t="s">
        <v>17</v>
      </c>
      <c r="E2231" s="20">
        <v>3.77</v>
      </c>
      <c r="F2231" s="20">
        <v>3.91</v>
      </c>
      <c r="G2231" s="20">
        <v>3.77</v>
      </c>
      <c r="H2231" s="20">
        <v>3.93</v>
      </c>
      <c r="I2231" s="16">
        <f>I2227/I2226</f>
        <v>4.276279426587891</v>
      </c>
    </row>
    <row r="2232" spans="3:9">
      <c r="D2232" s="13" t="s">
        <v>18</v>
      </c>
      <c r="E2232" s="21">
        <v>0.4133</v>
      </c>
      <c r="F2232" s="21">
        <v>0</v>
      </c>
      <c r="G2232" s="21">
        <v>0.41270000000000001</v>
      </c>
      <c r="H2232" s="21">
        <v>0.40600000000000003</v>
      </c>
      <c r="I2232" s="21">
        <f>I2228/I2227</f>
        <v>0.39552355835662389</v>
      </c>
    </row>
    <row r="2233" spans="3:9">
      <c r="D2233" s="13" t="s">
        <v>19</v>
      </c>
      <c r="E2233" s="21">
        <v>0.58340000000000003</v>
      </c>
      <c r="F2233" s="21">
        <v>0.58899999999999997</v>
      </c>
      <c r="G2233" s="21">
        <v>0.59970000000000001</v>
      </c>
      <c r="H2233" s="21">
        <v>0.61380000000000001</v>
      </c>
      <c r="I2233" s="21">
        <f>I2229/I2228</f>
        <v>0.62757107033779291</v>
      </c>
    </row>
    <row r="2234" spans="3:9">
      <c r="D2234" s="13" t="s">
        <v>20</v>
      </c>
      <c r="E2234" s="21">
        <v>0.24110000000000001</v>
      </c>
      <c r="F2234" s="21">
        <v>0.2417</v>
      </c>
      <c r="G2234" s="21">
        <v>0.2475</v>
      </c>
      <c r="H2234" s="21">
        <v>0.2492</v>
      </c>
      <c r="I2234" s="21">
        <f>I2229/I2227</f>
        <v>0.24821914286167895</v>
      </c>
    </row>
  </sheetData>
  <sheetProtection password="CB03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CDE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williams_a</dc:creator>
  <cp:lastModifiedBy>williams_a</cp:lastModifiedBy>
  <dcterms:created xsi:type="dcterms:W3CDTF">2014-03-19T20:56:30Z</dcterms:created>
  <dcterms:modified xsi:type="dcterms:W3CDTF">2014-03-19T20:58:06Z</dcterms:modified>
</cp:coreProperties>
</file>