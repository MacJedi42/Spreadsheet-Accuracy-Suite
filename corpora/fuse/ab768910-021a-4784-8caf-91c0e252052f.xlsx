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5480" windowHeight="8640"/>
  </bookViews>
  <sheets>
    <sheet name="Vehcile Sales" sheetId="2" r:id="rId1"/>
    <sheet name="Sheet1" sheetId="3" r:id="rId2"/>
  </sheets>
  <calcPr calcId="125725"/>
</workbook>
</file>

<file path=xl/calcChain.xml><?xml version="1.0" encoding="utf-8"?>
<calcChain xmlns="http://schemas.openxmlformats.org/spreadsheetml/2006/main">
  <c r="M214" i="2"/>
  <c r="L208"/>
  <c r="L209"/>
  <c r="L210"/>
  <c r="L211"/>
  <c r="L212"/>
  <c r="L213"/>
  <c r="L214"/>
  <c r="C214"/>
  <c r="D214"/>
  <c r="E214"/>
  <c r="F214"/>
  <c r="G214"/>
  <c r="H214"/>
  <c r="I214"/>
  <c r="J214"/>
  <c r="K214"/>
  <c r="B214"/>
  <c r="B213"/>
  <c r="C127"/>
  <c r="C140" s="1"/>
  <c r="D127"/>
  <c r="D140" s="1"/>
  <c r="E127"/>
  <c r="E140" s="1"/>
  <c r="F127"/>
  <c r="F140" s="1"/>
  <c r="G127"/>
  <c r="G140" s="1"/>
  <c r="H127"/>
  <c r="H140" s="1"/>
  <c r="I127"/>
  <c r="I140" s="1"/>
  <c r="J127"/>
  <c r="J140" s="1"/>
  <c r="K127"/>
  <c r="K140" s="1"/>
  <c r="B127"/>
  <c r="B140" s="1"/>
  <c r="B126"/>
  <c r="M113"/>
  <c r="M112"/>
  <c r="M111"/>
  <c r="L113"/>
  <c r="L112"/>
  <c r="L111"/>
  <c r="M110"/>
  <c r="K213"/>
  <c r="C213"/>
  <c r="D213"/>
  <c r="E213"/>
  <c r="F213"/>
  <c r="G213"/>
  <c r="H213"/>
  <c r="I213"/>
  <c r="J213"/>
  <c r="J226" s="1"/>
  <c r="K126"/>
  <c r="C126"/>
  <c r="D126"/>
  <c r="E126"/>
  <c r="F126"/>
  <c r="G126"/>
  <c r="H126"/>
  <c r="I126"/>
  <c r="J126"/>
  <c r="M109"/>
  <c r="L110"/>
  <c r="L109"/>
  <c r="L108"/>
  <c r="M108"/>
  <c r="L106"/>
  <c r="M106"/>
  <c r="L107"/>
  <c r="M105"/>
  <c r="L104"/>
  <c r="M107"/>
  <c r="L105"/>
  <c r="L98"/>
  <c r="L99"/>
  <c r="M96"/>
  <c r="M104"/>
  <c r="M103"/>
  <c r="L103"/>
  <c r="L102"/>
  <c r="M102"/>
  <c r="L4"/>
  <c r="M4"/>
  <c r="L5"/>
  <c r="M5"/>
  <c r="L6"/>
  <c r="M6"/>
  <c r="L7"/>
  <c r="M7"/>
  <c r="L8"/>
  <c r="M8"/>
  <c r="L9"/>
  <c r="M9"/>
  <c r="L10"/>
  <c r="M10"/>
  <c r="L11"/>
  <c r="M11"/>
  <c r="L12"/>
  <c r="M12"/>
  <c r="L13"/>
  <c r="M13"/>
  <c r="L14"/>
  <c r="M14"/>
  <c r="L15"/>
  <c r="M15"/>
  <c r="L16"/>
  <c r="M16"/>
  <c r="L17"/>
  <c r="M17"/>
  <c r="L18"/>
  <c r="M18"/>
  <c r="L19"/>
  <c r="M19"/>
  <c r="L20"/>
  <c r="M20"/>
  <c r="L21"/>
  <c r="M21"/>
  <c r="L22"/>
  <c r="M22"/>
  <c r="L23"/>
  <c r="M23"/>
  <c r="L24"/>
  <c r="M24"/>
  <c r="L25"/>
  <c r="M25"/>
  <c r="L26"/>
  <c r="M26"/>
  <c r="L27"/>
  <c r="M27"/>
  <c r="L28"/>
  <c r="M28"/>
  <c r="L29"/>
  <c r="M29"/>
  <c r="L30"/>
  <c r="M30"/>
  <c r="L31"/>
  <c r="M31"/>
  <c r="L32"/>
  <c r="M32"/>
  <c r="L33"/>
  <c r="M33"/>
  <c r="L34"/>
  <c r="M34"/>
  <c r="L35"/>
  <c r="M35"/>
  <c r="L36"/>
  <c r="M36"/>
  <c r="L37"/>
  <c r="M37"/>
  <c r="L38"/>
  <c r="M38"/>
  <c r="L39"/>
  <c r="M39"/>
  <c r="L40"/>
  <c r="M40"/>
  <c r="L41"/>
  <c r="M41"/>
  <c r="L42"/>
  <c r="M42"/>
  <c r="L43"/>
  <c r="M43"/>
  <c r="L44"/>
  <c r="M44"/>
  <c r="L45"/>
  <c r="M45"/>
  <c r="L46"/>
  <c r="M46"/>
  <c r="L47"/>
  <c r="M47"/>
  <c r="L48"/>
  <c r="M48"/>
  <c r="L49"/>
  <c r="M49"/>
  <c r="L50"/>
  <c r="M50"/>
  <c r="L51"/>
  <c r="M51"/>
  <c r="L52"/>
  <c r="M52"/>
  <c r="L53"/>
  <c r="M53"/>
  <c r="L54"/>
  <c r="M54"/>
  <c r="L55"/>
  <c r="M55"/>
  <c r="L56"/>
  <c r="M56"/>
  <c r="L57"/>
  <c r="M57"/>
  <c r="L58"/>
  <c r="M58"/>
  <c r="L59"/>
  <c r="M59"/>
  <c r="L60"/>
  <c r="M60"/>
  <c r="L61"/>
  <c r="M61"/>
  <c r="L62"/>
  <c r="M62"/>
  <c r="L63"/>
  <c r="M63"/>
  <c r="L64"/>
  <c r="M64"/>
  <c r="L65"/>
  <c r="M65"/>
  <c r="L66"/>
  <c r="M66"/>
  <c r="L67"/>
  <c r="M67"/>
  <c r="L68"/>
  <c r="M68"/>
  <c r="L69"/>
  <c r="M69"/>
  <c r="L70"/>
  <c r="M70"/>
  <c r="L71"/>
  <c r="M71"/>
  <c r="L72"/>
  <c r="M72"/>
  <c r="L73"/>
  <c r="M73"/>
  <c r="L74"/>
  <c r="M74"/>
  <c r="L75"/>
  <c r="M75"/>
  <c r="L76"/>
  <c r="M76"/>
  <c r="L77"/>
  <c r="M77"/>
  <c r="L78"/>
  <c r="M78"/>
  <c r="L79"/>
  <c r="M79"/>
  <c r="L80"/>
  <c r="M80"/>
  <c r="L81"/>
  <c r="M81"/>
  <c r="L82"/>
  <c r="M82"/>
  <c r="L83"/>
  <c r="M83"/>
  <c r="L84"/>
  <c r="M84"/>
  <c r="L85"/>
  <c r="M85"/>
  <c r="L86"/>
  <c r="M86"/>
  <c r="M3"/>
  <c r="L3"/>
  <c r="B212"/>
  <c r="B125"/>
  <c r="B139" s="1"/>
  <c r="C125"/>
  <c r="M101"/>
  <c r="L101"/>
  <c r="M100"/>
  <c r="L100"/>
  <c r="M99"/>
  <c r="M126" s="1"/>
  <c r="A219"/>
  <c r="A220" s="1"/>
  <c r="A221" s="1"/>
  <c r="A222" s="1"/>
  <c r="A223" s="1"/>
  <c r="A224" s="1"/>
  <c r="A225" s="1"/>
  <c r="K212"/>
  <c r="J212"/>
  <c r="I212"/>
  <c r="H212"/>
  <c r="G212"/>
  <c r="G211"/>
  <c r="G210"/>
  <c r="G209"/>
  <c r="G208"/>
  <c r="G207"/>
  <c r="G206"/>
  <c r="G205"/>
  <c r="F212"/>
  <c r="F211"/>
  <c r="F210"/>
  <c r="F209"/>
  <c r="F208"/>
  <c r="F207"/>
  <c r="F206"/>
  <c r="F205"/>
  <c r="E205"/>
  <c r="E211"/>
  <c r="E212"/>
  <c r="E210"/>
  <c r="E209"/>
  <c r="E208"/>
  <c r="E207"/>
  <c r="E206"/>
  <c r="D212"/>
  <c r="D211"/>
  <c r="D210"/>
  <c r="D209"/>
  <c r="D208"/>
  <c r="D207"/>
  <c r="D206"/>
  <c r="D205"/>
  <c r="C212"/>
  <c r="C211"/>
  <c r="C210"/>
  <c r="C209"/>
  <c r="C208"/>
  <c r="C207"/>
  <c r="C206"/>
  <c r="C205"/>
  <c r="B211"/>
  <c r="B210"/>
  <c r="B209"/>
  <c r="B208"/>
  <c r="B207"/>
  <c r="B206"/>
  <c r="B205"/>
  <c r="A206"/>
  <c r="A207" s="1"/>
  <c r="A208" s="1"/>
  <c r="A209" s="1"/>
  <c r="A210" s="1"/>
  <c r="A211" s="1"/>
  <c r="A212" s="1"/>
  <c r="A133"/>
  <c r="A134" s="1"/>
  <c r="A135" s="1"/>
  <c r="A136" s="1"/>
  <c r="A137" s="1"/>
  <c r="A138" s="1"/>
  <c r="B227" l="1"/>
  <c r="D227"/>
  <c r="E227"/>
  <c r="F227"/>
  <c r="M212"/>
  <c r="M127"/>
  <c r="M140" s="1"/>
  <c r="L126"/>
  <c r="M213"/>
  <c r="C226" s="1"/>
  <c r="L127"/>
  <c r="L140" s="1"/>
  <c r="H227"/>
  <c r="D226"/>
  <c r="B226"/>
  <c r="G226"/>
  <c r="H226"/>
  <c r="C139"/>
  <c r="K226"/>
  <c r="I226"/>
  <c r="B225"/>
  <c r="B221"/>
  <c r="M205"/>
  <c r="C218" s="1"/>
  <c r="E226"/>
  <c r="D224"/>
  <c r="C225"/>
  <c r="L205"/>
  <c r="B218" s="1"/>
  <c r="B222"/>
  <c r="L207"/>
  <c r="B220" s="1"/>
  <c r="B223"/>
  <c r="M211"/>
  <c r="C224" s="1"/>
  <c r="M209"/>
  <c r="E222" s="1"/>
  <c r="M207"/>
  <c r="C220" s="1"/>
  <c r="B224"/>
  <c r="L206"/>
  <c r="D219" s="1"/>
  <c r="M210"/>
  <c r="E223" s="1"/>
  <c r="M208"/>
  <c r="E221" s="1"/>
  <c r="M206"/>
  <c r="E219" s="1"/>
  <c r="E225"/>
  <c r="G225"/>
  <c r="I225"/>
  <c r="K225"/>
  <c r="K227" l="1"/>
  <c r="G227"/>
  <c r="C227"/>
  <c r="J227"/>
  <c r="F224"/>
  <c r="I227"/>
  <c r="H225"/>
  <c r="E218"/>
  <c r="G218"/>
  <c r="F221"/>
  <c r="D221"/>
  <c r="F226"/>
  <c r="G223"/>
  <c r="G219"/>
  <c r="E220"/>
  <c r="C223"/>
  <c r="C219"/>
  <c r="B219"/>
  <c r="G222"/>
  <c r="F222"/>
  <c r="F218"/>
  <c r="D222"/>
  <c r="D218"/>
  <c r="C222"/>
  <c r="G221"/>
  <c r="F223"/>
  <c r="F219"/>
  <c r="D223"/>
  <c r="C221"/>
  <c r="G224"/>
  <c r="G220"/>
  <c r="F220"/>
  <c r="E224"/>
  <c r="D220"/>
  <c r="J225"/>
  <c r="F225"/>
  <c r="D225"/>
  <c r="B119" l="1"/>
  <c r="B118"/>
  <c r="C118"/>
  <c r="D118"/>
  <c r="E118"/>
  <c r="F118"/>
  <c r="G118"/>
  <c r="C119"/>
  <c r="D119"/>
  <c r="E119"/>
  <c r="F119"/>
  <c r="G119"/>
  <c r="C120"/>
  <c r="D120"/>
  <c r="E120"/>
  <c r="F120"/>
  <c r="G120"/>
  <c r="C121"/>
  <c r="D121"/>
  <c r="E121"/>
  <c r="F121"/>
  <c r="G121"/>
  <c r="C122"/>
  <c r="D122"/>
  <c r="E122"/>
  <c r="F122"/>
  <c r="G122"/>
  <c r="C123"/>
  <c r="D123"/>
  <c r="E123"/>
  <c r="F123"/>
  <c r="G123"/>
  <c r="C124"/>
  <c r="C138" s="1"/>
  <c r="D124"/>
  <c r="E124"/>
  <c r="F124"/>
  <c r="G124"/>
  <c r="D125"/>
  <c r="D139" s="1"/>
  <c r="E125"/>
  <c r="E139" s="1"/>
  <c r="F125"/>
  <c r="F139" s="1"/>
  <c r="G125"/>
  <c r="G139" s="1"/>
  <c r="H125"/>
  <c r="H139" s="1"/>
  <c r="I125"/>
  <c r="I139" s="1"/>
  <c r="J125"/>
  <c r="J139" s="1"/>
  <c r="K125"/>
  <c r="K139" s="1"/>
  <c r="M98"/>
  <c r="M97"/>
  <c r="L97"/>
  <c r="L96"/>
  <c r="M95"/>
  <c r="L95"/>
  <c r="M94"/>
  <c r="L94"/>
  <c r="M93"/>
  <c r="L93"/>
  <c r="M92"/>
  <c r="L92"/>
  <c r="M91"/>
  <c r="L91"/>
  <c r="B124"/>
  <c r="B123"/>
  <c r="B122"/>
  <c r="B121"/>
  <c r="B120"/>
  <c r="B133" s="1"/>
  <c r="F137" l="1"/>
  <c r="D137"/>
  <c r="G136"/>
  <c r="M122"/>
  <c r="B132"/>
  <c r="L119"/>
  <c r="G138"/>
  <c r="E138"/>
  <c r="B134"/>
  <c r="E136"/>
  <c r="C136"/>
  <c r="F135"/>
  <c r="D135"/>
  <c r="G134"/>
  <c r="E134"/>
  <c r="C134"/>
  <c r="F133"/>
  <c r="D133"/>
  <c r="G132"/>
  <c r="E132"/>
  <c r="C132"/>
  <c r="F138"/>
  <c r="D138"/>
  <c r="G137"/>
  <c r="E137"/>
  <c r="C137"/>
  <c r="F136"/>
  <c r="D136"/>
  <c r="G135"/>
  <c r="E135"/>
  <c r="C135"/>
  <c r="F134"/>
  <c r="D134"/>
  <c r="G133"/>
  <c r="E133"/>
  <c r="C133"/>
  <c r="F132"/>
  <c r="D132"/>
  <c r="B135"/>
  <c r="B137"/>
  <c r="B136"/>
  <c r="B138"/>
  <c r="M121"/>
  <c r="M120"/>
  <c r="M119"/>
  <c r="M118"/>
  <c r="L122"/>
  <c r="L121"/>
  <c r="L120"/>
  <c r="L118"/>
  <c r="L87"/>
  <c r="M87"/>
  <c r="L88"/>
  <c r="M88"/>
  <c r="L89"/>
  <c r="M89"/>
  <c r="L90"/>
  <c r="M90"/>
  <c r="M123"/>
  <c r="L125" l="1"/>
  <c r="L139" s="1"/>
  <c r="M125"/>
  <c r="M139" s="1"/>
  <c r="M136"/>
  <c r="L123"/>
  <c r="L136" s="1"/>
  <c r="M132"/>
  <c r="M134"/>
  <c r="L132"/>
  <c r="L134"/>
  <c r="L133"/>
  <c r="L135"/>
  <c r="M133"/>
  <c r="M135"/>
  <c r="L124" l="1"/>
  <c r="L137" s="1"/>
  <c r="M124" l="1"/>
  <c r="M137" s="1"/>
  <c r="L138"/>
  <c r="M138" l="1"/>
</calcChain>
</file>

<file path=xl/sharedStrings.xml><?xml version="1.0" encoding="utf-8"?>
<sst xmlns="http://schemas.openxmlformats.org/spreadsheetml/2006/main" count="99" uniqueCount="40">
  <si>
    <t>Durban</t>
  </si>
  <si>
    <t>PMB</t>
  </si>
  <si>
    <t>Rbay</t>
  </si>
  <si>
    <t>Pass + Mini Bus</t>
  </si>
  <si>
    <t>L,M, H, XCV</t>
  </si>
  <si>
    <t>Port Shepstone</t>
  </si>
  <si>
    <t>New Castle</t>
  </si>
  <si>
    <t>Average</t>
  </si>
  <si>
    <t>Average 2003</t>
  </si>
  <si>
    <t>Average 2004</t>
  </si>
  <si>
    <t>Average 2005</t>
  </si>
  <si>
    <t>Average 2006</t>
  </si>
  <si>
    <t>Average 2007</t>
  </si>
  <si>
    <t>Average 2008</t>
  </si>
  <si>
    <t>Average 2009</t>
  </si>
  <si>
    <t>Average 2010</t>
  </si>
  <si>
    <t>Annual Averages</t>
  </si>
  <si>
    <t>Annual Percentange Change</t>
  </si>
  <si>
    <t xml:space="preserve"> </t>
  </si>
  <si>
    <t>Pass + Mini Bus Durban</t>
  </si>
  <si>
    <t xml:space="preserve">L,M, H, XCV Durban </t>
  </si>
  <si>
    <t>Pass + Mini Bus PMB</t>
  </si>
  <si>
    <t>L,M, H, XCV PMB</t>
  </si>
  <si>
    <t>Pass + Mini Bus Rbay</t>
  </si>
  <si>
    <t>L,M, H, XCV Rbay</t>
  </si>
  <si>
    <t>Pass + Mini Bus Port Shepstone</t>
  </si>
  <si>
    <t>L,M, H, XCV Port Shepstone</t>
  </si>
  <si>
    <t>Pass + Mini Bus New Castle</t>
  </si>
  <si>
    <t>L,M, H, XCV New Castle</t>
  </si>
  <si>
    <t>Average Pass + Mini Bus</t>
  </si>
  <si>
    <t>Average L,M, H, XCV</t>
  </si>
  <si>
    <t>TOTAL</t>
  </si>
  <si>
    <t>Total L, M, H, XCV</t>
  </si>
  <si>
    <t>Total Pass +Mini Bus</t>
  </si>
  <si>
    <t>Proportional Contribution</t>
  </si>
  <si>
    <t>Average 2011</t>
  </si>
  <si>
    <t>RBay</t>
  </si>
  <si>
    <t>Average 2012</t>
  </si>
  <si>
    <t>New Vehicle Sales</t>
  </si>
  <si>
    <t>`</t>
  </si>
</sst>
</file>

<file path=xl/styles.xml><?xml version="1.0" encoding="utf-8"?>
<styleSheet xmlns="http://schemas.openxmlformats.org/spreadsheetml/2006/main"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3">
    <xf numFmtId="0" fontId="0" fillId="0" borderId="0" xfId="0"/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33" borderId="12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0" borderId="0" xfId="0" applyFill="1"/>
    <xf numFmtId="3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Alignment="1">
      <alignment horizontal="center"/>
    </xf>
    <xf numFmtId="3" fontId="0" fillId="0" borderId="16" xfId="0" applyNumberFormat="1" applyFill="1" applyBorder="1" applyAlignment="1">
      <alignment horizontal="center" vertical="center"/>
    </xf>
    <xf numFmtId="3" fontId="18" fillId="0" borderId="0" xfId="0" applyNumberFormat="1" applyFont="1" applyFill="1" applyAlignment="1">
      <alignment horizontal="center"/>
    </xf>
    <xf numFmtId="0" fontId="21" fillId="0" borderId="16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3" fontId="0" fillId="0" borderId="16" xfId="0" applyNumberFormat="1" applyFill="1" applyBorder="1" applyAlignment="1">
      <alignment horizontal="center"/>
    </xf>
    <xf numFmtId="3" fontId="0" fillId="0" borderId="0" xfId="0" applyNumberFormat="1" applyFill="1" applyBorder="1" applyAlignment="1">
      <alignment horizontal="center"/>
    </xf>
    <xf numFmtId="17" fontId="22" fillId="36" borderId="0" xfId="0" applyNumberFormat="1" applyFont="1" applyFill="1" applyBorder="1" applyAlignment="1">
      <alignment horizontal="center" vertical="center" wrapText="1"/>
    </xf>
    <xf numFmtId="3" fontId="0" fillId="36" borderId="0" xfId="0" applyNumberForma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23" fillId="38" borderId="0" xfId="0" applyFont="1" applyFill="1" applyBorder="1" applyAlignment="1">
      <alignment horizontal="center"/>
    </xf>
    <xf numFmtId="0" fontId="0" fillId="38" borderId="12" xfId="0" applyFill="1" applyBorder="1" applyAlignment="1">
      <alignment horizontal="center" vertical="center"/>
    </xf>
    <xf numFmtId="0" fontId="0" fillId="38" borderId="13" xfId="0" applyFill="1" applyBorder="1" applyAlignment="1">
      <alignment horizontal="center" vertical="center"/>
    </xf>
    <xf numFmtId="0" fontId="0" fillId="36" borderId="0" xfId="0" applyFill="1" applyAlignment="1">
      <alignment horizontal="center"/>
    </xf>
    <xf numFmtId="2" fontId="0" fillId="36" borderId="0" xfId="0" applyNumberFormat="1" applyFill="1" applyAlignment="1">
      <alignment horizontal="center"/>
    </xf>
    <xf numFmtId="0" fontId="16" fillId="36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38" borderId="12" xfId="0" applyFill="1" applyBorder="1" applyAlignment="1">
      <alignment horizontal="center" vertical="center" wrapText="1"/>
    </xf>
    <xf numFmtId="0" fontId="0" fillId="38" borderId="13" xfId="0" applyFill="1" applyBorder="1" applyAlignment="1">
      <alignment horizontal="center" vertical="center" wrapText="1"/>
    </xf>
    <xf numFmtId="0" fontId="26" fillId="38" borderId="0" xfId="0" applyFont="1" applyFill="1" applyBorder="1" applyAlignment="1">
      <alignment horizontal="center"/>
    </xf>
    <xf numFmtId="0" fontId="0" fillId="38" borderId="13" xfId="0" applyFill="1" applyBorder="1" applyAlignment="1">
      <alignment horizontal="center"/>
    </xf>
    <xf numFmtId="0" fontId="23" fillId="38" borderId="13" xfId="0" applyFont="1" applyFill="1" applyBorder="1" applyAlignment="1">
      <alignment horizontal="center"/>
    </xf>
    <xf numFmtId="3" fontId="0" fillId="36" borderId="0" xfId="0" applyNumberFormat="1" applyFill="1" applyAlignment="1">
      <alignment horizontal="center"/>
    </xf>
    <xf numFmtId="0" fontId="23" fillId="38" borderId="21" xfId="0" applyFont="1" applyFill="1" applyBorder="1" applyAlignment="1">
      <alignment horizontal="center"/>
    </xf>
    <xf numFmtId="0" fontId="0" fillId="0" borderId="0" xfId="0" applyAlignment="1">
      <alignment vertical="center"/>
    </xf>
    <xf numFmtId="17" fontId="22" fillId="39" borderId="0" xfId="0" applyNumberFormat="1" applyFont="1" applyFill="1" applyBorder="1" applyAlignment="1">
      <alignment horizontal="center" vertical="center" wrapText="1"/>
    </xf>
    <xf numFmtId="0" fontId="16" fillId="39" borderId="0" xfId="0" applyFont="1" applyFill="1" applyAlignment="1">
      <alignment horizontal="center"/>
    </xf>
    <xf numFmtId="0" fontId="19" fillId="38" borderId="10" xfId="0" applyFont="1" applyFill="1" applyBorder="1" applyAlignment="1">
      <alignment horizontal="center" vertical="center"/>
    </xf>
    <xf numFmtId="0" fontId="19" fillId="38" borderId="11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20" fillId="35" borderId="14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6" fillId="37" borderId="17" xfId="0" applyFont="1" applyFill="1" applyBorder="1" applyAlignment="1">
      <alignment horizontal="center"/>
    </xf>
    <xf numFmtId="0" fontId="19" fillId="37" borderId="18" xfId="0" applyFont="1" applyFill="1" applyBorder="1" applyAlignment="1">
      <alignment horizontal="center"/>
    </xf>
    <xf numFmtId="0" fontId="19" fillId="37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9" fillId="37" borderId="17" xfId="0" applyFont="1" applyFill="1" applyBorder="1" applyAlignment="1">
      <alignment horizontal="center"/>
    </xf>
    <xf numFmtId="0" fontId="24" fillId="37" borderId="17" xfId="0" applyFont="1" applyFill="1" applyBorder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0" fillId="38" borderId="14" xfId="0" applyFill="1" applyBorder="1" applyAlignment="1">
      <alignment horizontal="center" wrapText="1"/>
    </xf>
    <xf numFmtId="0" fontId="0" fillId="38" borderId="15" xfId="0" applyFont="1" applyFill="1" applyBorder="1" applyAlignment="1">
      <alignment wrapText="1"/>
    </xf>
    <xf numFmtId="0" fontId="0" fillId="38" borderId="15" xfId="0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FFCC99"/>
      <color rgb="FFFF66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title>
      <c:tx>
        <c:rich>
          <a:bodyPr/>
          <a:lstStyle/>
          <a:p>
            <a:pPr>
              <a:defRPr lang="en-ZA" sz="1200">
                <a:solidFill>
                  <a:sysClr val="windowText" lastClr="000000"/>
                </a:solidFill>
              </a:defRPr>
            </a:pPr>
            <a:r>
              <a:rPr lang="en-ZA" sz="1200">
                <a:solidFill>
                  <a:sysClr val="windowText" lastClr="000000"/>
                </a:solidFill>
              </a:rPr>
              <a:t>Annual</a:t>
            </a:r>
            <a:r>
              <a:rPr lang="en-ZA" sz="1200" baseline="0">
                <a:solidFill>
                  <a:sysClr val="windowText" lastClr="000000"/>
                </a:solidFill>
              </a:rPr>
              <a:t> % Change for Pass + Mini Bus</a:t>
            </a:r>
            <a:endParaRPr lang="en-ZA" sz="1200">
              <a:solidFill>
                <a:sysClr val="windowText" lastClr="000000"/>
              </a:solidFill>
            </a:endParaRPr>
          </a:p>
        </c:rich>
      </c:tx>
      <c:overlay val="1"/>
    </c:title>
    <c:plotArea>
      <c:layout>
        <c:manualLayout>
          <c:layoutTarget val="inner"/>
          <c:xMode val="edge"/>
          <c:yMode val="edge"/>
          <c:x val="7.3041918136529327E-2"/>
          <c:y val="8.9242839210316102E-2"/>
          <c:w val="0.79001537197781757"/>
          <c:h val="0.88109580052493464"/>
        </c:manualLayout>
      </c:layout>
      <c:barChart>
        <c:barDir val="col"/>
        <c:grouping val="clustered"/>
        <c:ser>
          <c:idx val="0"/>
          <c:order val="0"/>
          <c:tx>
            <c:strRef>
              <c:f>'Vehcile Sales'!$B$131</c:f>
              <c:strCache>
                <c:ptCount val="1"/>
                <c:pt idx="0">
                  <c:v>Pass + Mini Bus Durban</c:v>
                </c:pt>
              </c:strCache>
            </c:strRef>
          </c:tx>
          <c:cat>
            <c:numRef>
              <c:f>'Vehcile Sales'!$A$132:$A$140</c:f>
              <c:numCache>
                <c:formatCode>General</c:formatCode>
                <c:ptCount val="9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</c:numCache>
            </c:numRef>
          </c:cat>
          <c:val>
            <c:numRef>
              <c:f>'Vehcile Sales'!$B$132:$B$140</c:f>
              <c:numCache>
                <c:formatCode>0.00</c:formatCode>
                <c:ptCount val="9"/>
                <c:pt idx="0">
                  <c:v>36.065817883999706</c:v>
                </c:pt>
                <c:pt idx="1">
                  <c:v>26.068399452804375</c:v>
                </c:pt>
                <c:pt idx="2">
                  <c:v>13.65510655844438</c:v>
                </c:pt>
                <c:pt idx="3">
                  <c:v>-16.677487110941382</c:v>
                </c:pt>
                <c:pt idx="4">
                  <c:v>-27.669813915115967</c:v>
                </c:pt>
                <c:pt idx="5">
                  <c:v>-31.189404980672958</c:v>
                </c:pt>
                <c:pt idx="6">
                  <c:v>34.13758172944101</c:v>
                </c:pt>
                <c:pt idx="7">
                  <c:v>15.968694219415088</c:v>
                </c:pt>
                <c:pt idx="8">
                  <c:v>13.971110584892246</c:v>
                </c:pt>
              </c:numCache>
            </c:numRef>
          </c:val>
        </c:ser>
        <c:ser>
          <c:idx val="1"/>
          <c:order val="1"/>
          <c:tx>
            <c:strRef>
              <c:f>'Vehcile Sales'!$D$131</c:f>
              <c:strCache>
                <c:ptCount val="1"/>
                <c:pt idx="0">
                  <c:v>Pass + Mini Bus PMB</c:v>
                </c:pt>
              </c:strCache>
            </c:strRef>
          </c:tx>
          <c:cat>
            <c:numRef>
              <c:f>'Vehcile Sales'!$A$132:$A$140</c:f>
              <c:numCache>
                <c:formatCode>General</c:formatCode>
                <c:ptCount val="9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</c:numCache>
            </c:numRef>
          </c:cat>
          <c:val>
            <c:numRef>
              <c:f>'Vehcile Sales'!$D$132:$D$140</c:f>
              <c:numCache>
                <c:formatCode>0.00</c:formatCode>
                <c:ptCount val="9"/>
                <c:pt idx="0">
                  <c:v>40.176088971269692</c:v>
                </c:pt>
                <c:pt idx="1">
                  <c:v>39.008264462809919</c:v>
                </c:pt>
                <c:pt idx="2">
                  <c:v>20.927467300832337</c:v>
                </c:pt>
                <c:pt idx="3">
                  <c:v>-8.3775811209439528</c:v>
                </c:pt>
                <c:pt idx="4">
                  <c:v>-32.925520497960932</c:v>
                </c:pt>
                <c:pt idx="5">
                  <c:v>-35.936</c:v>
                </c:pt>
                <c:pt idx="6">
                  <c:v>48.551448551448551</c:v>
                </c:pt>
                <c:pt idx="7">
                  <c:v>24.714189643577662</c:v>
                </c:pt>
                <c:pt idx="8">
                  <c:v>15.610676732272852</c:v>
                </c:pt>
              </c:numCache>
            </c:numRef>
          </c:val>
        </c:ser>
        <c:ser>
          <c:idx val="2"/>
          <c:order val="2"/>
          <c:tx>
            <c:strRef>
              <c:f>'Vehcile Sales'!$F$131</c:f>
              <c:strCache>
                <c:ptCount val="1"/>
                <c:pt idx="0">
                  <c:v>Pass + Mini Bus Rbay</c:v>
                </c:pt>
              </c:strCache>
            </c:strRef>
          </c:tx>
          <c:cat>
            <c:numRef>
              <c:f>'Vehcile Sales'!$A$132:$A$140</c:f>
              <c:numCache>
                <c:formatCode>General</c:formatCode>
                <c:ptCount val="9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</c:numCache>
            </c:numRef>
          </c:cat>
          <c:val>
            <c:numRef>
              <c:f>'Vehcile Sales'!$F$132:$F$140</c:f>
              <c:numCache>
                <c:formatCode>0.00</c:formatCode>
                <c:ptCount val="9"/>
                <c:pt idx="0">
                  <c:v>34.485294117647058</c:v>
                </c:pt>
                <c:pt idx="1">
                  <c:v>32.258064516129046</c:v>
                </c:pt>
                <c:pt idx="2">
                  <c:v>11.616370400992141</c:v>
                </c:pt>
                <c:pt idx="3">
                  <c:v>-6.1851851851851807</c:v>
                </c:pt>
                <c:pt idx="4">
                  <c:v>-20.765890248716939</c:v>
                </c:pt>
                <c:pt idx="5">
                  <c:v>-30.543099152964619</c:v>
                </c:pt>
                <c:pt idx="6">
                  <c:v>18.938307030129113</c:v>
                </c:pt>
                <c:pt idx="7">
                  <c:v>-5.1266586248492025</c:v>
                </c:pt>
                <c:pt idx="8">
                  <c:v>78.258105530832793</c:v>
                </c:pt>
              </c:numCache>
            </c:numRef>
          </c:val>
        </c:ser>
        <c:ser>
          <c:idx val="3"/>
          <c:order val="3"/>
          <c:tx>
            <c:strRef>
              <c:f>'Vehcile Sales'!$H$131</c:f>
              <c:strCache>
                <c:ptCount val="1"/>
                <c:pt idx="0">
                  <c:v>Pass + Mini Bus Port Shepstone</c:v>
                </c:pt>
              </c:strCache>
            </c:strRef>
          </c:tx>
          <c:cat>
            <c:numRef>
              <c:f>'Vehcile Sales'!$A$132:$A$140</c:f>
              <c:numCache>
                <c:formatCode>General</c:formatCode>
                <c:ptCount val="9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</c:numCache>
            </c:numRef>
          </c:cat>
          <c:val>
            <c:numRef>
              <c:f>'Vehcile Sales'!$H$132:$H$140</c:f>
              <c:numCache>
                <c:formatCode>0.00</c:formatCode>
                <c:ptCount val="9"/>
                <c:pt idx="7">
                  <c:v>15.205091937765211</c:v>
                </c:pt>
                <c:pt idx="8">
                  <c:v>12.216083486801727</c:v>
                </c:pt>
              </c:numCache>
            </c:numRef>
          </c:val>
        </c:ser>
        <c:ser>
          <c:idx val="4"/>
          <c:order val="4"/>
          <c:tx>
            <c:strRef>
              <c:f>'Vehcile Sales'!$J$131</c:f>
              <c:strCache>
                <c:ptCount val="1"/>
                <c:pt idx="0">
                  <c:v>Pass + Mini Bus New Castle</c:v>
                </c:pt>
              </c:strCache>
            </c:strRef>
          </c:tx>
          <c:cat>
            <c:numRef>
              <c:f>'Vehcile Sales'!$A$132:$A$140</c:f>
              <c:numCache>
                <c:formatCode>General</c:formatCode>
                <c:ptCount val="9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</c:numCache>
            </c:numRef>
          </c:cat>
          <c:val>
            <c:numRef>
              <c:f>'Vehcile Sales'!$J$132:$J$140</c:f>
              <c:numCache>
                <c:formatCode>0.00</c:formatCode>
                <c:ptCount val="9"/>
                <c:pt idx="7">
                  <c:v>22.455845248107657</c:v>
                </c:pt>
                <c:pt idx="8">
                  <c:v>14.285714285714283</c:v>
                </c:pt>
              </c:numCache>
            </c:numRef>
          </c:val>
        </c:ser>
        <c:axId val="180171520"/>
        <c:axId val="180220288"/>
      </c:barChart>
      <c:catAx>
        <c:axId val="180171520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180220288"/>
        <c:crosses val="autoZero"/>
        <c:auto val="1"/>
        <c:lblAlgn val="ctr"/>
        <c:lblOffset val="100"/>
      </c:catAx>
      <c:valAx>
        <c:axId val="180220288"/>
        <c:scaling>
          <c:orientation val="minMax"/>
        </c:scaling>
        <c:axPos val="l"/>
        <c:numFmt formatCode="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180171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696567558696179"/>
          <c:y val="2.6817949839603498E-2"/>
          <c:w val="0.13063119611210341"/>
          <c:h val="0.91395632837561958"/>
        </c:manualLayout>
      </c:layout>
      <c:txPr>
        <a:bodyPr/>
        <a:lstStyle/>
        <a:p>
          <a:pPr>
            <a:defRPr lang="en-ZA" sz="1000"/>
          </a:pPr>
          <a:endParaRPr lang="en-US"/>
        </a:p>
      </c:txPr>
    </c:legend>
    <c:plotVisOnly val="1"/>
  </c:chart>
  <c:spPr>
    <a:solidFill>
      <a:srgbClr val="FFCC99"/>
    </a:solidFill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title>
      <c:tx>
        <c:rich>
          <a:bodyPr/>
          <a:lstStyle/>
          <a:p>
            <a:pPr>
              <a:defRPr lang="en-ZA" sz="1200"/>
            </a:pPr>
            <a:r>
              <a:rPr lang="en-ZA" sz="1200"/>
              <a:t>Annual</a:t>
            </a:r>
            <a:r>
              <a:rPr lang="en-ZA" sz="1200" baseline="0"/>
              <a:t> % Change for L , M, H, XCV</a:t>
            </a:r>
            <a:endParaRPr lang="en-ZA" sz="1200"/>
          </a:p>
        </c:rich>
      </c:tx>
      <c:layout>
        <c:manualLayout>
          <c:xMode val="edge"/>
          <c:yMode val="edge"/>
          <c:x val="0.29669232686696284"/>
          <c:y val="4.6296296296296502E-3"/>
        </c:manualLayout>
      </c:layout>
      <c:overlay val="1"/>
    </c:title>
    <c:plotArea>
      <c:layout>
        <c:manualLayout>
          <c:layoutTarget val="inner"/>
          <c:xMode val="edge"/>
          <c:yMode val="edge"/>
          <c:x val="7.6612267042039037E-2"/>
          <c:y val="8.0587412986420248E-2"/>
          <c:w val="0.78266836757137204"/>
          <c:h val="0.88653058313362865"/>
        </c:manualLayout>
      </c:layout>
      <c:barChart>
        <c:barDir val="col"/>
        <c:grouping val="clustered"/>
        <c:ser>
          <c:idx val="0"/>
          <c:order val="0"/>
          <c:tx>
            <c:strRef>
              <c:f>'Vehcile Sales'!$C$131</c:f>
              <c:strCache>
                <c:ptCount val="1"/>
                <c:pt idx="0">
                  <c:v>L,M, H, XCV Durban </c:v>
                </c:pt>
              </c:strCache>
            </c:strRef>
          </c:tx>
          <c:cat>
            <c:numRef>
              <c:f>'Vehcile Sales'!$A$132:$A$140</c:f>
              <c:numCache>
                <c:formatCode>General</c:formatCode>
                <c:ptCount val="9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</c:numCache>
            </c:numRef>
          </c:cat>
          <c:val>
            <c:numRef>
              <c:f>'Vehcile Sales'!$C$132:$C$140</c:f>
              <c:numCache>
                <c:formatCode>0.00</c:formatCode>
                <c:ptCount val="9"/>
                <c:pt idx="0">
                  <c:v>33.832335329341312</c:v>
                </c:pt>
                <c:pt idx="1">
                  <c:v>44.311281559603714</c:v>
                </c:pt>
                <c:pt idx="2">
                  <c:v>17.949285793378351</c:v>
                </c:pt>
                <c:pt idx="3">
                  <c:v>1.8775816748037077E-2</c:v>
                </c:pt>
                <c:pt idx="4">
                  <c:v>-21.100056316876294</c:v>
                </c:pt>
                <c:pt idx="5">
                  <c:v>-36.795146324054244</c:v>
                </c:pt>
                <c:pt idx="6">
                  <c:v>8.4133258046301513</c:v>
                </c:pt>
                <c:pt idx="7">
                  <c:v>19.652777777777786</c:v>
                </c:pt>
                <c:pt idx="8">
                  <c:v>-5.5136390017411623</c:v>
                </c:pt>
              </c:numCache>
            </c:numRef>
          </c:val>
        </c:ser>
        <c:ser>
          <c:idx val="1"/>
          <c:order val="1"/>
          <c:tx>
            <c:strRef>
              <c:f>'Vehcile Sales'!$E$131</c:f>
              <c:strCache>
                <c:ptCount val="1"/>
                <c:pt idx="0">
                  <c:v>L,M, H, XCV PMB</c:v>
                </c:pt>
              </c:strCache>
            </c:strRef>
          </c:tx>
          <c:cat>
            <c:numRef>
              <c:f>'Vehcile Sales'!$A$132:$A$140</c:f>
              <c:numCache>
                <c:formatCode>General</c:formatCode>
                <c:ptCount val="9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</c:numCache>
            </c:numRef>
          </c:cat>
          <c:val>
            <c:numRef>
              <c:f>'Vehcile Sales'!$E$132:$E$140</c:f>
              <c:numCache>
                <c:formatCode>0.00</c:formatCode>
                <c:ptCount val="9"/>
                <c:pt idx="0">
                  <c:v>16.861313868613127</c:v>
                </c:pt>
                <c:pt idx="1">
                  <c:v>28.419737663960042</c:v>
                </c:pt>
                <c:pt idx="2">
                  <c:v>12.645914396887154</c:v>
                </c:pt>
                <c:pt idx="3">
                  <c:v>8.1174438687392012</c:v>
                </c:pt>
                <c:pt idx="4">
                  <c:v>-22.923322683706061</c:v>
                </c:pt>
                <c:pt idx="5">
                  <c:v>-35.906735751295344</c:v>
                </c:pt>
                <c:pt idx="6">
                  <c:v>26.596604688763144</c:v>
                </c:pt>
                <c:pt idx="7">
                  <c:v>26.564495530012767</c:v>
                </c:pt>
                <c:pt idx="8">
                  <c:v>-5.3481331987890908</c:v>
                </c:pt>
              </c:numCache>
            </c:numRef>
          </c:val>
        </c:ser>
        <c:ser>
          <c:idx val="2"/>
          <c:order val="2"/>
          <c:tx>
            <c:strRef>
              <c:f>'Vehcile Sales'!$G$131</c:f>
              <c:strCache>
                <c:ptCount val="1"/>
                <c:pt idx="0">
                  <c:v>L,M, H, XCV Rbay</c:v>
                </c:pt>
              </c:strCache>
            </c:strRef>
          </c:tx>
          <c:cat>
            <c:numRef>
              <c:f>'Vehcile Sales'!$A$132:$A$140</c:f>
              <c:numCache>
                <c:formatCode>General</c:formatCode>
                <c:ptCount val="9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</c:numCache>
            </c:numRef>
          </c:cat>
          <c:val>
            <c:numRef>
              <c:f>'Vehcile Sales'!$G$132:$G$140</c:f>
              <c:numCache>
                <c:formatCode>0.00</c:formatCode>
                <c:ptCount val="9"/>
                <c:pt idx="0">
                  <c:v>19.300225733634313</c:v>
                </c:pt>
                <c:pt idx="1">
                  <c:v>42.762535477767273</c:v>
                </c:pt>
                <c:pt idx="2">
                  <c:v>33.134526176275671</c:v>
                </c:pt>
                <c:pt idx="3">
                  <c:v>-12.195121951219507</c:v>
                </c:pt>
                <c:pt idx="4">
                  <c:v>-22.39229024943311</c:v>
                </c:pt>
                <c:pt idx="5">
                  <c:v>-33.893352812271729</c:v>
                </c:pt>
                <c:pt idx="6">
                  <c:v>12.486187845303855</c:v>
                </c:pt>
                <c:pt idx="7">
                  <c:v>-33.791748526522589</c:v>
                </c:pt>
                <c:pt idx="8">
                  <c:v>92.87833827893175</c:v>
                </c:pt>
              </c:numCache>
            </c:numRef>
          </c:val>
        </c:ser>
        <c:ser>
          <c:idx val="3"/>
          <c:order val="3"/>
          <c:tx>
            <c:strRef>
              <c:f>'Vehcile Sales'!$I$131</c:f>
              <c:strCache>
                <c:ptCount val="1"/>
                <c:pt idx="0">
                  <c:v>L,M, H, XCV Port Shepstone</c:v>
                </c:pt>
              </c:strCache>
            </c:strRef>
          </c:tx>
          <c:cat>
            <c:numRef>
              <c:f>'Vehcile Sales'!$A$132:$A$140</c:f>
              <c:numCache>
                <c:formatCode>General</c:formatCode>
                <c:ptCount val="9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</c:numCache>
            </c:numRef>
          </c:cat>
          <c:val>
            <c:numRef>
              <c:f>'Vehcile Sales'!$I$132:$I$140</c:f>
              <c:numCache>
                <c:formatCode>0.00</c:formatCode>
                <c:ptCount val="9"/>
                <c:pt idx="7">
                  <c:v>22.758620689655174</c:v>
                </c:pt>
                <c:pt idx="8">
                  <c:v>2.2471910112359552</c:v>
                </c:pt>
              </c:numCache>
            </c:numRef>
          </c:val>
        </c:ser>
        <c:ser>
          <c:idx val="4"/>
          <c:order val="4"/>
          <c:tx>
            <c:strRef>
              <c:f>'Vehcile Sales'!$K$131</c:f>
              <c:strCache>
                <c:ptCount val="1"/>
                <c:pt idx="0">
                  <c:v>L,M, H, XCV New Castle</c:v>
                </c:pt>
              </c:strCache>
            </c:strRef>
          </c:tx>
          <c:cat>
            <c:numRef>
              <c:f>'Vehcile Sales'!$A$132:$A$140</c:f>
              <c:numCache>
                <c:formatCode>General</c:formatCode>
                <c:ptCount val="9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</c:numCache>
            </c:numRef>
          </c:cat>
          <c:val>
            <c:numRef>
              <c:f>'Vehcile Sales'!$K$132:$K$140</c:f>
              <c:numCache>
                <c:formatCode>0.00</c:formatCode>
                <c:ptCount val="9"/>
                <c:pt idx="7">
                  <c:v>-7.9207920792079207</c:v>
                </c:pt>
                <c:pt idx="8">
                  <c:v>27.598566308243733</c:v>
                </c:pt>
              </c:numCache>
            </c:numRef>
          </c:val>
        </c:ser>
        <c:axId val="190398848"/>
        <c:axId val="190943232"/>
      </c:barChart>
      <c:catAx>
        <c:axId val="190398848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190943232"/>
        <c:crosses val="autoZero"/>
        <c:auto val="1"/>
        <c:lblAlgn val="ctr"/>
        <c:lblOffset val="100"/>
      </c:catAx>
      <c:valAx>
        <c:axId val="190943232"/>
        <c:scaling>
          <c:orientation val="minMax"/>
        </c:scaling>
        <c:axPos val="l"/>
        <c:numFmt formatCode="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190398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133535682545"/>
          <c:y val="4.0706838728492303E-2"/>
          <c:w val="0.13252555022800866"/>
          <c:h val="0.90006743948673051"/>
        </c:manualLayout>
      </c:layout>
      <c:txPr>
        <a:bodyPr/>
        <a:lstStyle/>
        <a:p>
          <a:pPr>
            <a:defRPr lang="en-ZA" sz="1000"/>
          </a:pPr>
          <a:endParaRPr lang="en-US"/>
        </a:p>
      </c:txPr>
    </c:legend>
    <c:plotVisOnly val="1"/>
  </c:chart>
  <c:spPr>
    <a:solidFill>
      <a:srgbClr val="FFCC99"/>
    </a:solidFill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title>
      <c:tx>
        <c:rich>
          <a:bodyPr/>
          <a:lstStyle/>
          <a:p>
            <a:pPr>
              <a:defRPr lang="en-ZA" sz="1200"/>
            </a:pPr>
            <a:r>
              <a:rPr lang="en-ZA" sz="1200"/>
              <a:t>Average</a:t>
            </a:r>
            <a:r>
              <a:rPr lang="en-ZA" sz="1200" baseline="0"/>
              <a:t> for Pass + Mini Bus and L, M, H, XCV</a:t>
            </a:r>
            <a:endParaRPr lang="en-ZA" sz="1200"/>
          </a:p>
        </c:rich>
      </c:tx>
      <c:layout>
        <c:manualLayout>
          <c:xMode val="edge"/>
          <c:yMode val="edge"/>
          <c:x val="0.25447169968307282"/>
          <c:y val="1.3888888888888951E-2"/>
        </c:manualLayout>
      </c:layout>
      <c:overlay val="1"/>
    </c:title>
    <c:plotArea>
      <c:layout>
        <c:manualLayout>
          <c:layoutTarget val="inner"/>
          <c:xMode val="edge"/>
          <c:yMode val="edge"/>
          <c:x val="7.7368812678386994E-2"/>
          <c:y val="0.10232648002333065"/>
          <c:w val="0.79125380836563253"/>
          <c:h val="0.84627296587926237"/>
        </c:manualLayout>
      </c:layout>
      <c:lineChart>
        <c:grouping val="standard"/>
        <c:ser>
          <c:idx val="0"/>
          <c:order val="0"/>
          <c:tx>
            <c:strRef>
              <c:f>'Vehcile Sales'!$L$131</c:f>
              <c:strCache>
                <c:ptCount val="1"/>
                <c:pt idx="0">
                  <c:v>Average Pass + Mini Bus</c:v>
                </c:pt>
              </c:strCache>
            </c:strRef>
          </c:tx>
          <c:cat>
            <c:numRef>
              <c:f>'Vehcile Sales'!$A$132:$A$140</c:f>
              <c:numCache>
                <c:formatCode>General</c:formatCode>
                <c:ptCount val="9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</c:numCache>
            </c:numRef>
          </c:cat>
          <c:val>
            <c:numRef>
              <c:f>'Vehcile Sales'!$L$132:$L$140</c:f>
              <c:numCache>
                <c:formatCode>0.00</c:formatCode>
                <c:ptCount val="9"/>
                <c:pt idx="0">
                  <c:v>36.462328160953454</c:v>
                </c:pt>
                <c:pt idx="1">
                  <c:v>28.250248605646593</c:v>
                </c:pt>
                <c:pt idx="2">
                  <c:v>14.519772106664885</c:v>
                </c:pt>
                <c:pt idx="3">
                  <c:v>-14.60111863408893</c:v>
                </c:pt>
                <c:pt idx="4">
                  <c:v>-27.911065149948268</c:v>
                </c:pt>
                <c:pt idx="5">
                  <c:v>-31.836656625065757</c:v>
                </c:pt>
                <c:pt idx="6">
                  <c:v>-8.2385128025254399</c:v>
                </c:pt>
                <c:pt idx="7">
                  <c:v>15.861657722122855</c:v>
                </c:pt>
                <c:pt idx="8">
                  <c:v>18.120273961756197</c:v>
                </c:pt>
              </c:numCache>
            </c:numRef>
          </c:val>
        </c:ser>
        <c:ser>
          <c:idx val="1"/>
          <c:order val="1"/>
          <c:tx>
            <c:strRef>
              <c:f>'Vehcile Sales'!$M$131</c:f>
              <c:strCache>
                <c:ptCount val="1"/>
                <c:pt idx="0">
                  <c:v>Average L,M, H, XCV</c:v>
                </c:pt>
              </c:strCache>
            </c:strRef>
          </c:tx>
          <c:cat>
            <c:numRef>
              <c:f>'Vehcile Sales'!$A$132:$A$140</c:f>
              <c:numCache>
                <c:formatCode>General</c:formatCode>
                <c:ptCount val="9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</c:numCache>
            </c:numRef>
          </c:cat>
          <c:val>
            <c:numRef>
              <c:f>'Vehcile Sales'!$M$132:$M$140</c:f>
              <c:numCache>
                <c:formatCode>0.00</c:formatCode>
                <c:ptCount val="9"/>
                <c:pt idx="0">
                  <c:v>28.620888632429281</c:v>
                </c:pt>
                <c:pt idx="1">
                  <c:v>41.274113952445077</c:v>
                </c:pt>
                <c:pt idx="2">
                  <c:v>18.902826294061612</c:v>
                </c:pt>
                <c:pt idx="3">
                  <c:v>-0.36722975228686555</c:v>
                </c:pt>
                <c:pt idx="4">
                  <c:v>-21.558772282535852</c:v>
                </c:pt>
                <c:pt idx="5">
                  <c:v>-36.309269542930359</c:v>
                </c:pt>
                <c:pt idx="6">
                  <c:v>-20.965794768611666</c:v>
                </c:pt>
                <c:pt idx="7">
                  <c:v>13.788187372708736</c:v>
                </c:pt>
                <c:pt idx="8">
                  <c:v>2.8458922498657508</c:v>
                </c:pt>
              </c:numCache>
            </c:numRef>
          </c:val>
        </c:ser>
        <c:marker val="1"/>
        <c:axId val="205272192"/>
        <c:axId val="205316864"/>
      </c:lineChart>
      <c:catAx>
        <c:axId val="205272192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05316864"/>
        <c:crosses val="autoZero"/>
        <c:auto val="1"/>
        <c:lblAlgn val="ctr"/>
        <c:lblOffset val="100"/>
      </c:catAx>
      <c:valAx>
        <c:axId val="205316864"/>
        <c:scaling>
          <c:orientation val="minMax"/>
        </c:scaling>
        <c:axPos val="l"/>
        <c:numFmt formatCode="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05272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029226776837"/>
          <c:y val="9.6838363954505707E-2"/>
          <c:w val="0.11396969596007833"/>
          <c:h val="0.58873067949839664"/>
        </c:manualLayout>
      </c:layout>
      <c:txPr>
        <a:bodyPr/>
        <a:lstStyle/>
        <a:p>
          <a:pPr>
            <a:defRPr lang="en-ZA"/>
          </a:pPr>
          <a:endParaRPr lang="en-US"/>
        </a:p>
      </c:txPr>
    </c:legend>
    <c:plotVisOnly val="1"/>
  </c:chart>
  <c:spPr>
    <a:solidFill>
      <a:srgbClr val="FFCC99"/>
    </a:solidFill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title>
      <c:tx>
        <c:rich>
          <a:bodyPr/>
          <a:lstStyle/>
          <a:p>
            <a:pPr>
              <a:defRPr lang="en-ZA" sz="1200"/>
            </a:pPr>
            <a:r>
              <a:rPr lang="en-ZA" sz="1200"/>
              <a:t>Proportional</a:t>
            </a:r>
            <a:r>
              <a:rPr lang="en-ZA" sz="1200" baseline="0"/>
              <a:t> Contribution  for Pass + Mini Bus</a:t>
            </a:r>
            <a:endParaRPr lang="en-ZA" sz="1200"/>
          </a:p>
        </c:rich>
      </c:tx>
      <c:layout>
        <c:manualLayout>
          <c:xMode val="edge"/>
          <c:yMode val="edge"/>
          <c:x val="0.28113611391943238"/>
          <c:y val="4.6296296296296502E-3"/>
        </c:manualLayout>
      </c:layout>
      <c:overlay val="1"/>
    </c:title>
    <c:plotArea>
      <c:layout>
        <c:manualLayout>
          <c:layoutTarget val="inner"/>
          <c:xMode val="edge"/>
          <c:yMode val="edge"/>
          <c:x val="7.3041918136529327E-2"/>
          <c:y val="0.10057487605715978"/>
          <c:w val="0.79001537197781757"/>
          <c:h val="0.77219889180519397"/>
        </c:manualLayout>
      </c:layout>
      <c:barChart>
        <c:barDir val="col"/>
        <c:grouping val="clustered"/>
        <c:ser>
          <c:idx val="0"/>
          <c:order val="0"/>
          <c:tx>
            <c:strRef>
              <c:f>'Vehcile Sales'!$B$217</c:f>
              <c:strCache>
                <c:ptCount val="1"/>
                <c:pt idx="0">
                  <c:v>Pass + Mini Bus Durban</c:v>
                </c:pt>
              </c:strCache>
            </c:strRef>
          </c:tx>
          <c:cat>
            <c:numRef>
              <c:f>'Vehcile Sales'!$A$132:$A$140</c:f>
              <c:numCache>
                <c:formatCode>General</c:formatCode>
                <c:ptCount val="9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</c:numCache>
            </c:numRef>
          </c:cat>
          <c:val>
            <c:numRef>
              <c:f>'Vehcile Sales'!$B$218:$B$227</c:f>
              <c:numCache>
                <c:formatCode>0.00</c:formatCode>
                <c:ptCount val="10"/>
                <c:pt idx="0">
                  <c:v>0.79243613192518736</c:v>
                </c:pt>
                <c:pt idx="1">
                  <c:v>0.79013359851268972</c:v>
                </c:pt>
                <c:pt idx="2">
                  <c:v>0.7766915011967771</c:v>
                </c:pt>
                <c:pt idx="3">
                  <c:v>0.77082720047100384</c:v>
                </c:pt>
                <c:pt idx="4">
                  <c:v>0.75208548776284045</c:v>
                </c:pt>
                <c:pt idx="5">
                  <c:v>0.75460240042079085</c:v>
                </c:pt>
                <c:pt idx="6">
                  <c:v>0.76176780077165906</c:v>
                </c:pt>
                <c:pt idx="7">
                  <c:v>0.66813448924361263</c:v>
                </c:pt>
                <c:pt idx="8">
                  <c:v>0.66875173205590088</c:v>
                </c:pt>
                <c:pt idx="9">
                  <c:v>0.64526075881485456</c:v>
                </c:pt>
              </c:numCache>
            </c:numRef>
          </c:val>
        </c:ser>
        <c:ser>
          <c:idx val="1"/>
          <c:order val="1"/>
          <c:tx>
            <c:strRef>
              <c:f>'Vehcile Sales'!$D$217</c:f>
              <c:strCache>
                <c:ptCount val="1"/>
                <c:pt idx="0">
                  <c:v>Pass + Mini Bus PMB</c:v>
                </c:pt>
              </c:strCache>
            </c:strRef>
          </c:tx>
          <c:cat>
            <c:numRef>
              <c:f>'Vehcile Sales'!$A$132:$A$140</c:f>
              <c:numCache>
                <c:formatCode>General</c:formatCode>
                <c:ptCount val="9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</c:numCache>
            </c:numRef>
          </c:cat>
          <c:val>
            <c:numRef>
              <c:f>'Vehcile Sales'!$D$218:$D$227</c:f>
              <c:numCache>
                <c:formatCode>0.00</c:formatCode>
                <c:ptCount val="10"/>
                <c:pt idx="0">
                  <c:v>0.12732314590831317</c:v>
                </c:pt>
                <c:pt idx="1">
                  <c:v>0.13078818798910458</c:v>
                </c:pt>
                <c:pt idx="2">
                  <c:v>0.14175909382058458</c:v>
                </c:pt>
                <c:pt idx="3">
                  <c:v>0.14969090373859287</c:v>
                </c:pt>
                <c:pt idx="4">
                  <c:v>0.16059979317476733</c:v>
                </c:pt>
                <c:pt idx="5">
                  <c:v>0.14942858509061349</c:v>
                </c:pt>
                <c:pt idx="6">
                  <c:v>0.14044195019291478</c:v>
                </c:pt>
                <c:pt idx="7">
                  <c:v>0.13641576074491996</c:v>
                </c:pt>
                <c:pt idx="8">
                  <c:v>0.14683875054436044</c:v>
                </c:pt>
                <c:pt idx="9">
                  <c:v>0.1437189971846092</c:v>
                </c:pt>
              </c:numCache>
            </c:numRef>
          </c:val>
        </c:ser>
        <c:ser>
          <c:idx val="2"/>
          <c:order val="2"/>
          <c:tx>
            <c:strRef>
              <c:f>'Vehcile Sales'!$F$217</c:f>
              <c:strCache>
                <c:ptCount val="1"/>
                <c:pt idx="0">
                  <c:v>Pass + Mini Bus Rbay</c:v>
                </c:pt>
              </c:strCache>
            </c:strRef>
          </c:tx>
          <c:cat>
            <c:numRef>
              <c:f>'Vehcile Sales'!$A$132:$A$140</c:f>
              <c:numCache>
                <c:formatCode>General</c:formatCode>
                <c:ptCount val="9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</c:numCache>
            </c:numRef>
          </c:cat>
          <c:val>
            <c:numRef>
              <c:f>'Vehcile Sales'!$F$218:$F$227</c:f>
              <c:numCache>
                <c:formatCode>0.00</c:formatCode>
                <c:ptCount val="10"/>
                <c:pt idx="0">
                  <c:v>8.0240722166499495E-2</c:v>
                </c:pt>
                <c:pt idx="1">
                  <c:v>7.9078213498205721E-2</c:v>
                </c:pt>
                <c:pt idx="2">
                  <c:v>8.154940498263831E-2</c:v>
                </c:pt>
                <c:pt idx="3">
                  <c:v>7.9481895790403295E-2</c:v>
                </c:pt>
                <c:pt idx="4">
                  <c:v>8.7314719062392285E-2</c:v>
                </c:pt>
                <c:pt idx="5">
                  <c:v>9.5969014488595614E-2</c:v>
                </c:pt>
                <c:pt idx="6">
                  <c:v>9.7790249035426172E-2</c:v>
                </c:pt>
                <c:pt idx="7">
                  <c:v>7.6051557268015227E-2</c:v>
                </c:pt>
                <c:pt idx="8">
                  <c:v>6.2274832732887288E-2</c:v>
                </c:pt>
                <c:pt idx="9">
                  <c:v>9.3980426330607325E-2</c:v>
                </c:pt>
              </c:numCache>
            </c:numRef>
          </c:val>
        </c:ser>
        <c:ser>
          <c:idx val="3"/>
          <c:order val="3"/>
          <c:tx>
            <c:strRef>
              <c:f>'Vehcile Sales'!$H$217</c:f>
              <c:strCache>
                <c:ptCount val="1"/>
                <c:pt idx="0">
                  <c:v>Pass + Mini Bus Port Shepstone</c:v>
                </c:pt>
              </c:strCache>
            </c:strRef>
          </c:tx>
          <c:cat>
            <c:numRef>
              <c:f>'Vehcile Sales'!$A$132:$A$140</c:f>
              <c:numCache>
                <c:formatCode>General</c:formatCode>
                <c:ptCount val="9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</c:numCache>
            </c:numRef>
          </c:cat>
          <c:val>
            <c:numRef>
              <c:f>'Vehcile Sales'!$H$218:$H$227</c:f>
              <c:numCache>
                <c:formatCode>0.00</c:formatCode>
                <c:ptCount val="10"/>
                <c:pt idx="7">
                  <c:v>6.4859410118801891E-2</c:v>
                </c:pt>
                <c:pt idx="8">
                  <c:v>6.4491864285997069E-2</c:v>
                </c:pt>
                <c:pt idx="9">
                  <c:v>6.1268266523662691E-2</c:v>
                </c:pt>
              </c:numCache>
            </c:numRef>
          </c:val>
        </c:ser>
        <c:ser>
          <c:idx val="4"/>
          <c:order val="4"/>
          <c:tx>
            <c:strRef>
              <c:f>'Vehcile Sales'!$J$217</c:f>
              <c:strCache>
                <c:ptCount val="1"/>
                <c:pt idx="0">
                  <c:v>Pass + Mini Bus New Castle</c:v>
                </c:pt>
              </c:strCache>
            </c:strRef>
          </c:tx>
          <c:cat>
            <c:numRef>
              <c:f>'Vehcile Sales'!$A$132:$A$140</c:f>
              <c:numCache>
                <c:formatCode>General</c:formatCode>
                <c:ptCount val="9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</c:numCache>
            </c:numRef>
          </c:cat>
          <c:val>
            <c:numRef>
              <c:f>'Vehcile Sales'!$J$218:$J$227</c:f>
              <c:numCache>
                <c:formatCode>0.00</c:formatCode>
                <c:ptCount val="10"/>
                <c:pt idx="7">
                  <c:v>5.4538782624650242E-2</c:v>
                </c:pt>
                <c:pt idx="8">
                  <c:v>5.7642820380854352E-2</c:v>
                </c:pt>
                <c:pt idx="9">
                  <c:v>5.5771551146266259E-2</c:v>
                </c:pt>
              </c:numCache>
            </c:numRef>
          </c:val>
        </c:ser>
        <c:axId val="230027648"/>
        <c:axId val="170885120"/>
      </c:barChart>
      <c:catAx>
        <c:axId val="230027648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170885120"/>
        <c:crosses val="autoZero"/>
        <c:auto val="1"/>
        <c:lblAlgn val="ctr"/>
        <c:lblOffset val="100"/>
      </c:catAx>
      <c:valAx>
        <c:axId val="170885120"/>
        <c:scaling>
          <c:orientation val="minMax"/>
        </c:scaling>
        <c:axPos val="l"/>
        <c:numFmt formatCode="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230027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696567558696179"/>
          <c:y val="2.6817949839603512E-2"/>
          <c:w val="0.13063119611210341"/>
          <c:h val="0.91395632837561958"/>
        </c:manualLayout>
      </c:layout>
      <c:txPr>
        <a:bodyPr/>
        <a:lstStyle/>
        <a:p>
          <a:pPr>
            <a:defRPr lang="en-ZA" sz="1000"/>
          </a:pPr>
          <a:endParaRPr lang="en-US"/>
        </a:p>
      </c:txPr>
    </c:legend>
    <c:plotVisOnly val="1"/>
  </c:chart>
  <c:spPr>
    <a:solidFill>
      <a:srgbClr val="FFCC99"/>
    </a:solidFill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title>
      <c:tx>
        <c:rich>
          <a:bodyPr/>
          <a:lstStyle/>
          <a:p>
            <a:pPr>
              <a:defRPr lang="en-ZA" sz="1200"/>
            </a:pPr>
            <a:r>
              <a:rPr lang="en-ZA" sz="1200"/>
              <a:t>Proportional</a:t>
            </a:r>
            <a:r>
              <a:rPr lang="en-ZA" sz="1200" baseline="0"/>
              <a:t> Contribution  for L, M, H, XCV	</a:t>
            </a:r>
            <a:endParaRPr lang="en-ZA" sz="1200"/>
          </a:p>
        </c:rich>
      </c:tx>
      <c:layout>
        <c:manualLayout>
          <c:xMode val="edge"/>
          <c:yMode val="edge"/>
          <c:x val="0.28113611391943238"/>
          <c:y val="4.6296296296296519E-3"/>
        </c:manualLayout>
      </c:layout>
      <c:overlay val="1"/>
    </c:title>
    <c:plotArea>
      <c:layout>
        <c:manualLayout>
          <c:layoutTarget val="inner"/>
          <c:xMode val="edge"/>
          <c:yMode val="edge"/>
          <c:x val="7.3041918136529327E-2"/>
          <c:y val="0.10057487605715983"/>
          <c:w val="0.79001537197781757"/>
          <c:h val="0.77219889180519441"/>
        </c:manualLayout>
      </c:layout>
      <c:barChart>
        <c:barDir val="col"/>
        <c:grouping val="clustered"/>
        <c:ser>
          <c:idx val="0"/>
          <c:order val="0"/>
          <c:tx>
            <c:strRef>
              <c:f>'Vehcile Sales'!$C$217</c:f>
              <c:strCache>
                <c:ptCount val="1"/>
                <c:pt idx="0">
                  <c:v>L,M, H, XCV Durban </c:v>
                </c:pt>
              </c:strCache>
            </c:strRef>
          </c:tx>
          <c:cat>
            <c:numRef>
              <c:f>'Vehcile Sales'!$A$132:$A$140</c:f>
              <c:numCache>
                <c:formatCode>General</c:formatCode>
                <c:ptCount val="9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</c:numCache>
            </c:numRef>
          </c:cat>
          <c:val>
            <c:numRef>
              <c:f>'Vehcile Sales'!$C$218:$C$227</c:f>
              <c:numCache>
                <c:formatCode>0.00</c:formatCode>
                <c:ptCount val="10"/>
                <c:pt idx="0">
                  <c:v>0.6745527986151183</c:v>
                </c:pt>
                <c:pt idx="1">
                  <c:v>0.70188425302826385</c:v>
                </c:pt>
                <c:pt idx="2">
                  <c:v>0.71697364242616701</c:v>
                </c:pt>
                <c:pt idx="3">
                  <c:v>0.71122387661080322</c:v>
                </c:pt>
                <c:pt idx="4">
                  <c:v>0.71397935933520973</c:v>
                </c:pt>
                <c:pt idx="5">
                  <c:v>0.71815463477146524</c:v>
                </c:pt>
                <c:pt idx="6">
                  <c:v>0.71267605633802822</c:v>
                </c:pt>
                <c:pt idx="7">
                  <c:v>0.5865580448065173</c:v>
                </c:pt>
                <c:pt idx="8">
                  <c:v>0.61678897440486846</c:v>
                </c:pt>
                <c:pt idx="9">
                  <c:v>0.56665506439262092</c:v>
                </c:pt>
              </c:numCache>
            </c:numRef>
          </c:val>
        </c:ser>
        <c:ser>
          <c:idx val="1"/>
          <c:order val="1"/>
          <c:tx>
            <c:strRef>
              <c:f>'Vehcile Sales'!$E$217</c:f>
              <c:strCache>
                <c:ptCount val="1"/>
                <c:pt idx="0">
                  <c:v>L,M, H, XCV PMB</c:v>
                </c:pt>
              </c:strCache>
            </c:strRef>
          </c:tx>
          <c:cat>
            <c:numRef>
              <c:f>'Vehcile Sales'!$A$132:$A$140</c:f>
              <c:numCache>
                <c:formatCode>General</c:formatCode>
                <c:ptCount val="9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</c:numCache>
            </c:numRef>
          </c:cat>
          <c:val>
            <c:numRef>
              <c:f>'Vehcile Sales'!$E$218:$E$227</c:f>
              <c:numCache>
                <c:formatCode>0.00</c:formatCode>
                <c:ptCount val="10"/>
                <c:pt idx="0">
                  <c:v>0.1976341604154645</c:v>
                </c:pt>
                <c:pt idx="1">
                  <c:v>0.17956482727680576</c:v>
                </c:pt>
                <c:pt idx="2">
                  <c:v>0.16322642108605906</c:v>
                </c:pt>
                <c:pt idx="3">
                  <c:v>0.15463711023569474</c:v>
                </c:pt>
                <c:pt idx="4">
                  <c:v>0.16780592413885539</c:v>
                </c:pt>
                <c:pt idx="5">
                  <c:v>0.16488680051260146</c:v>
                </c:pt>
                <c:pt idx="6">
                  <c:v>0.1659289067739772</c:v>
                </c:pt>
                <c:pt idx="7">
                  <c:v>0.1594704684317719</c:v>
                </c:pt>
                <c:pt idx="8">
                  <c:v>0.17737605154823699</c:v>
                </c:pt>
                <c:pt idx="9">
                  <c:v>0.16324399582318133</c:v>
                </c:pt>
              </c:numCache>
            </c:numRef>
          </c:val>
        </c:ser>
        <c:ser>
          <c:idx val="2"/>
          <c:order val="2"/>
          <c:tx>
            <c:strRef>
              <c:f>'Vehcile Sales'!$G$217</c:f>
              <c:strCache>
                <c:ptCount val="1"/>
                <c:pt idx="0">
                  <c:v>L,M, H, XCV Rbay</c:v>
                </c:pt>
              </c:strCache>
            </c:strRef>
          </c:tx>
          <c:cat>
            <c:numRef>
              <c:f>'Vehcile Sales'!$A$132:$A$140</c:f>
              <c:numCache>
                <c:formatCode>General</c:formatCode>
                <c:ptCount val="9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</c:numCache>
            </c:numRef>
          </c:cat>
          <c:val>
            <c:numRef>
              <c:f>'Vehcile Sales'!$G$218:$G$227</c:f>
              <c:numCache>
                <c:formatCode>0.00</c:formatCode>
                <c:ptCount val="10"/>
                <c:pt idx="0">
                  <c:v>0.1278130409694172</c:v>
                </c:pt>
                <c:pt idx="1">
                  <c:v>0.11855091969493046</c:v>
                </c:pt>
                <c:pt idx="2">
                  <c:v>0.1197999364877739</c:v>
                </c:pt>
                <c:pt idx="3">
                  <c:v>0.13413901315350205</c:v>
                </c:pt>
                <c:pt idx="4">
                  <c:v>0.11821471652593486</c:v>
                </c:pt>
                <c:pt idx="5">
                  <c:v>0.11695856471593336</c:v>
                </c:pt>
                <c:pt idx="6">
                  <c:v>0.12139503688799463</c:v>
                </c:pt>
                <c:pt idx="7">
                  <c:v>0.10366598778004073</c:v>
                </c:pt>
                <c:pt idx="8">
                  <c:v>6.0318596742437801E-2</c:v>
                </c:pt>
                <c:pt idx="9">
                  <c:v>0.11312217194570136</c:v>
                </c:pt>
              </c:numCache>
            </c:numRef>
          </c:val>
        </c:ser>
        <c:ser>
          <c:idx val="3"/>
          <c:order val="3"/>
          <c:tx>
            <c:strRef>
              <c:f>'Vehcile Sales'!$I$217</c:f>
              <c:strCache>
                <c:ptCount val="1"/>
                <c:pt idx="0">
                  <c:v>L,M, H, XCV Port Shepstone</c:v>
                </c:pt>
              </c:strCache>
            </c:strRef>
          </c:tx>
          <c:cat>
            <c:numRef>
              <c:f>'Vehcile Sales'!$A$132:$A$140</c:f>
              <c:numCache>
                <c:formatCode>General</c:formatCode>
                <c:ptCount val="9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</c:numCache>
            </c:numRef>
          </c:cat>
          <c:val>
            <c:numRef>
              <c:f>'Vehcile Sales'!$I$218:$I$227</c:f>
              <c:numCache>
                <c:formatCode>0.00</c:formatCode>
                <c:ptCount val="10"/>
                <c:pt idx="7">
                  <c:v>8.8594704684317724E-2</c:v>
                </c:pt>
                <c:pt idx="8">
                  <c:v>9.5579022731340613E-2</c:v>
                </c:pt>
                <c:pt idx="9">
                  <c:v>9.5022624434389136E-2</c:v>
                </c:pt>
              </c:numCache>
            </c:numRef>
          </c:val>
        </c:ser>
        <c:ser>
          <c:idx val="4"/>
          <c:order val="4"/>
          <c:tx>
            <c:strRef>
              <c:f>'Vehcile Sales'!$K$217</c:f>
              <c:strCache>
                <c:ptCount val="1"/>
                <c:pt idx="0">
                  <c:v>L,M, H, XCV New Castle</c:v>
                </c:pt>
              </c:strCache>
            </c:strRef>
          </c:tx>
          <c:cat>
            <c:numRef>
              <c:f>'Vehcile Sales'!$A$132:$A$140</c:f>
              <c:numCache>
                <c:formatCode>General</c:formatCode>
                <c:ptCount val="9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</c:numCache>
            </c:numRef>
          </c:cat>
          <c:val>
            <c:numRef>
              <c:f>'Vehcile Sales'!$K$218:$K$227</c:f>
              <c:numCache>
                <c:formatCode>0.00</c:formatCode>
                <c:ptCount val="10"/>
                <c:pt idx="7">
                  <c:v>6.1710794297352344E-2</c:v>
                </c:pt>
                <c:pt idx="8">
                  <c:v>4.9937354573116162E-2</c:v>
                </c:pt>
                <c:pt idx="9">
                  <c:v>6.1956143404107204E-2</c:v>
                </c:pt>
              </c:numCache>
            </c:numRef>
          </c:val>
        </c:ser>
        <c:axId val="170896384"/>
        <c:axId val="170898176"/>
      </c:barChart>
      <c:catAx>
        <c:axId val="170896384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170898176"/>
        <c:crosses val="autoZero"/>
        <c:auto val="1"/>
        <c:lblAlgn val="ctr"/>
        <c:lblOffset val="100"/>
      </c:catAx>
      <c:valAx>
        <c:axId val="170898176"/>
        <c:scaling>
          <c:orientation val="minMax"/>
        </c:scaling>
        <c:axPos val="l"/>
        <c:numFmt formatCode="0.0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170896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696567558696179"/>
          <c:y val="2.6817949839603523E-2"/>
          <c:w val="0.13063119611210341"/>
          <c:h val="0.91395632837561958"/>
        </c:manualLayout>
      </c:layout>
      <c:txPr>
        <a:bodyPr/>
        <a:lstStyle/>
        <a:p>
          <a:pPr>
            <a:defRPr lang="en-ZA" sz="1000"/>
          </a:pPr>
          <a:endParaRPr lang="en-US"/>
        </a:p>
      </c:txPr>
    </c:legend>
    <c:plotVisOnly val="1"/>
  </c:chart>
  <c:spPr>
    <a:solidFill>
      <a:srgbClr val="FFCC99"/>
    </a:solidFill>
  </c:sp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295274</xdr:colOff>
      <xdr:row>140</xdr:row>
      <xdr:rowOff>57150</xdr:rowOff>
    </xdr:from>
    <xdr:to>
      <xdr:col>7</xdr:col>
      <xdr:colOff>609600</xdr:colOff>
      <xdr:row>159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295275</xdr:colOff>
      <xdr:row>160</xdr:row>
      <xdr:rowOff>142875</xdr:rowOff>
    </xdr:from>
    <xdr:to>
      <xdr:col>7</xdr:col>
      <xdr:colOff>638175</xdr:colOff>
      <xdr:row>180</xdr:row>
      <xdr:rowOff>28575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276225</xdr:colOff>
      <xdr:row>180</xdr:row>
      <xdr:rowOff>142875</xdr:rowOff>
    </xdr:from>
    <xdr:to>
      <xdr:col>7</xdr:col>
      <xdr:colOff>666750</xdr:colOff>
      <xdr:row>200</xdr:row>
      <xdr:rowOff>28575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171450</xdr:colOff>
      <xdr:row>227</xdr:row>
      <xdr:rowOff>104775</xdr:rowOff>
    </xdr:from>
    <xdr:to>
      <xdr:col>7</xdr:col>
      <xdr:colOff>485776</xdr:colOff>
      <xdr:row>245</xdr:row>
      <xdr:rowOff>180975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133350</xdr:colOff>
      <xdr:row>246</xdr:row>
      <xdr:rowOff>171450</xdr:rowOff>
    </xdr:from>
    <xdr:to>
      <xdr:col>7</xdr:col>
      <xdr:colOff>447676</xdr:colOff>
      <xdr:row>265</xdr:row>
      <xdr:rowOff>57150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27"/>
  <sheetViews>
    <sheetView tabSelected="1" workbookViewId="0">
      <selection sqref="A1:A2"/>
    </sheetView>
  </sheetViews>
  <sheetFormatPr defaultRowHeight="15"/>
  <cols>
    <col min="1" max="1" width="16.5703125" style="2" customWidth="1"/>
    <col min="2" max="2" width="13.85546875" style="2" customWidth="1"/>
    <col min="3" max="3" width="12" style="2" customWidth="1"/>
    <col min="4" max="4" width="14.7109375" style="2" bestFit="1" customWidth="1"/>
    <col min="5" max="5" width="12.5703125" style="2" bestFit="1" customWidth="1"/>
    <col min="6" max="6" width="14.7109375" style="2" bestFit="1" customWidth="1"/>
    <col min="7" max="7" width="11.5703125" bestFit="1" customWidth="1"/>
    <col min="8" max="8" width="15" customWidth="1"/>
    <col min="9" max="9" width="14" customWidth="1"/>
    <col min="10" max="10" width="14.42578125" bestFit="1" customWidth="1"/>
    <col min="11" max="11" width="11" bestFit="1" customWidth="1"/>
    <col min="12" max="12" width="14.28515625" customWidth="1"/>
    <col min="13" max="13" width="13.7109375" customWidth="1"/>
  </cols>
  <sheetData>
    <row r="1" spans="1:13" s="32" customFormat="1" ht="29.25" customHeight="1">
      <c r="A1" s="39" t="s">
        <v>38</v>
      </c>
      <c r="B1" s="37" t="s">
        <v>0</v>
      </c>
      <c r="C1" s="38"/>
      <c r="D1" s="37" t="s">
        <v>1</v>
      </c>
      <c r="E1" s="38"/>
      <c r="F1" s="37" t="s">
        <v>36</v>
      </c>
      <c r="G1" s="38"/>
      <c r="H1" s="37" t="s">
        <v>5</v>
      </c>
      <c r="I1" s="38"/>
      <c r="J1" s="37" t="s">
        <v>6</v>
      </c>
      <c r="K1" s="38"/>
      <c r="L1" s="37" t="s">
        <v>7</v>
      </c>
      <c r="M1" s="38"/>
    </row>
    <row r="2" spans="1:13" s="32" customFormat="1" ht="35.25" customHeight="1" thickBot="1">
      <c r="A2" s="40"/>
      <c r="B2" s="3" t="s">
        <v>3</v>
      </c>
      <c r="C2" s="4" t="s">
        <v>4</v>
      </c>
      <c r="D2" s="3" t="s">
        <v>3</v>
      </c>
      <c r="E2" s="4" t="s">
        <v>4</v>
      </c>
      <c r="F2" s="3" t="s">
        <v>3</v>
      </c>
      <c r="G2" s="4" t="s">
        <v>4</v>
      </c>
      <c r="H2" s="3" t="s">
        <v>3</v>
      </c>
      <c r="I2" s="4" t="s">
        <v>4</v>
      </c>
      <c r="J2" s="3" t="s">
        <v>3</v>
      </c>
      <c r="K2" s="4" t="s">
        <v>4</v>
      </c>
      <c r="L2" s="3" t="s">
        <v>3</v>
      </c>
      <c r="M2" s="4" t="s">
        <v>4</v>
      </c>
    </row>
    <row r="3" spans="1:13" s="5" customFormat="1" ht="15.75" hidden="1" customHeight="1">
      <c r="A3" s="1">
        <v>37622</v>
      </c>
      <c r="B3" s="8">
        <v>1291</v>
      </c>
      <c r="C3" s="8">
        <v>387</v>
      </c>
      <c r="D3" s="10">
        <v>215</v>
      </c>
      <c r="E3" s="10">
        <v>127</v>
      </c>
      <c r="F3" s="12">
        <v>138</v>
      </c>
      <c r="G3" s="12">
        <v>71</v>
      </c>
      <c r="H3" s="6"/>
      <c r="I3" s="6"/>
      <c r="J3" s="6"/>
      <c r="K3" s="6"/>
      <c r="L3" s="7">
        <f>(B3+D3+F3)/3</f>
        <v>548</v>
      </c>
      <c r="M3" s="7">
        <f>(C3+E3+G3)/3</f>
        <v>195</v>
      </c>
    </row>
    <row r="4" spans="1:13" s="5" customFormat="1" ht="15.75" hidden="1" customHeight="1">
      <c r="A4" s="1">
        <v>37653</v>
      </c>
      <c r="B4" s="6">
        <v>1003</v>
      </c>
      <c r="C4" s="6">
        <v>356</v>
      </c>
      <c r="D4" s="11">
        <v>173</v>
      </c>
      <c r="E4" s="11">
        <v>128</v>
      </c>
      <c r="F4" s="13">
        <v>92</v>
      </c>
      <c r="G4" s="13">
        <v>71</v>
      </c>
      <c r="H4" s="6"/>
      <c r="I4" s="6"/>
      <c r="J4" s="6"/>
      <c r="K4" s="6"/>
      <c r="L4" s="7">
        <f t="shared" ref="L4:L67" si="0">(B4+D4+F4)/3</f>
        <v>422.66666666666669</v>
      </c>
      <c r="M4" s="7">
        <f t="shared" ref="M4:M67" si="1">(C4+E4+G4)/3</f>
        <v>185</v>
      </c>
    </row>
    <row r="5" spans="1:13" s="5" customFormat="1" ht="15.75" hidden="1" customHeight="1">
      <c r="A5" s="1">
        <v>37681</v>
      </c>
      <c r="B5" s="6">
        <v>1246</v>
      </c>
      <c r="C5" s="6">
        <v>392</v>
      </c>
      <c r="D5" s="11">
        <v>246</v>
      </c>
      <c r="E5" s="11">
        <v>129</v>
      </c>
      <c r="F5" s="13">
        <v>133</v>
      </c>
      <c r="G5" s="13">
        <v>90</v>
      </c>
      <c r="H5" s="6"/>
      <c r="I5" s="6"/>
      <c r="J5" s="6"/>
      <c r="K5" s="6"/>
      <c r="L5" s="7">
        <f t="shared" si="0"/>
        <v>541.66666666666663</v>
      </c>
      <c r="M5" s="7">
        <f t="shared" si="1"/>
        <v>203.66666666666666</v>
      </c>
    </row>
    <row r="6" spans="1:13" s="5" customFormat="1" ht="15.75" hidden="1" customHeight="1">
      <c r="A6" s="1">
        <v>37712</v>
      </c>
      <c r="B6" s="6">
        <v>1007</v>
      </c>
      <c r="C6" s="6">
        <v>366</v>
      </c>
      <c r="D6" s="11">
        <v>170</v>
      </c>
      <c r="E6" s="11">
        <v>95</v>
      </c>
      <c r="F6" s="13">
        <v>89</v>
      </c>
      <c r="G6" s="13">
        <v>63</v>
      </c>
      <c r="H6" s="6"/>
      <c r="I6" s="6"/>
      <c r="J6" s="6"/>
      <c r="K6" s="6"/>
      <c r="L6" s="7">
        <f t="shared" si="0"/>
        <v>422</v>
      </c>
      <c r="M6" s="7">
        <f t="shared" si="1"/>
        <v>174.66666666666666</v>
      </c>
    </row>
    <row r="7" spans="1:13" s="5" customFormat="1" ht="15.75" hidden="1" customHeight="1">
      <c r="A7" s="1">
        <v>37742</v>
      </c>
      <c r="B7" s="6">
        <v>1061</v>
      </c>
      <c r="C7" s="6">
        <v>359</v>
      </c>
      <c r="D7" s="11">
        <v>172</v>
      </c>
      <c r="E7" s="11">
        <v>84</v>
      </c>
      <c r="F7" s="13">
        <v>95</v>
      </c>
      <c r="G7" s="13">
        <v>73</v>
      </c>
      <c r="H7" s="6"/>
      <c r="I7" s="6"/>
      <c r="J7" s="6"/>
      <c r="K7" s="6"/>
      <c r="L7" s="7">
        <f t="shared" si="0"/>
        <v>442.66666666666669</v>
      </c>
      <c r="M7" s="7">
        <f t="shared" si="1"/>
        <v>172</v>
      </c>
    </row>
    <row r="8" spans="1:13" s="5" customFormat="1" ht="15.75" hidden="1" customHeight="1">
      <c r="A8" s="1">
        <v>37773</v>
      </c>
      <c r="B8" s="6">
        <v>1095</v>
      </c>
      <c r="C8" s="6">
        <v>454</v>
      </c>
      <c r="D8" s="11">
        <v>165</v>
      </c>
      <c r="E8" s="11">
        <v>109</v>
      </c>
      <c r="F8" s="13">
        <v>125</v>
      </c>
      <c r="G8" s="13">
        <v>95</v>
      </c>
      <c r="H8" s="6"/>
      <c r="I8" s="6"/>
      <c r="J8" s="6"/>
      <c r="K8" s="6"/>
      <c r="L8" s="7">
        <f t="shared" si="0"/>
        <v>461.66666666666669</v>
      </c>
      <c r="M8" s="7">
        <f t="shared" si="1"/>
        <v>219.33333333333334</v>
      </c>
    </row>
    <row r="9" spans="1:13" s="5" customFormat="1" ht="15.75" hidden="1" customHeight="1">
      <c r="A9" s="1">
        <v>37803</v>
      </c>
      <c r="B9" s="6">
        <v>1148</v>
      </c>
      <c r="C9" s="6">
        <v>445</v>
      </c>
      <c r="D9" s="11">
        <v>174</v>
      </c>
      <c r="E9" s="11">
        <v>96</v>
      </c>
      <c r="F9" s="13">
        <v>126</v>
      </c>
      <c r="G9" s="13">
        <v>52</v>
      </c>
      <c r="H9" s="6"/>
      <c r="I9" s="6"/>
      <c r="J9" s="6"/>
      <c r="K9" s="6"/>
      <c r="L9" s="7">
        <f t="shared" si="0"/>
        <v>482.66666666666669</v>
      </c>
      <c r="M9" s="7">
        <f t="shared" si="1"/>
        <v>197.66666666666666</v>
      </c>
    </row>
    <row r="10" spans="1:13" s="5" customFormat="1" ht="15.75" hidden="1" customHeight="1">
      <c r="A10" s="1">
        <v>37834</v>
      </c>
      <c r="B10" s="6">
        <v>1222</v>
      </c>
      <c r="C10" s="6">
        <v>372</v>
      </c>
      <c r="D10" s="11">
        <v>146</v>
      </c>
      <c r="E10" s="11">
        <v>153</v>
      </c>
      <c r="F10" s="13">
        <v>129</v>
      </c>
      <c r="G10" s="13">
        <v>83</v>
      </c>
      <c r="H10" s="6"/>
      <c r="I10" s="6"/>
      <c r="J10" s="6"/>
      <c r="K10" s="6"/>
      <c r="L10" s="7">
        <f t="shared" si="0"/>
        <v>499</v>
      </c>
      <c r="M10" s="7">
        <f t="shared" si="1"/>
        <v>202.66666666666666</v>
      </c>
    </row>
    <row r="11" spans="1:13" s="5" customFormat="1" ht="15.75" hidden="1" customHeight="1">
      <c r="A11" s="1">
        <v>37865</v>
      </c>
      <c r="B11" s="6">
        <v>1129</v>
      </c>
      <c r="C11" s="6">
        <v>421</v>
      </c>
      <c r="D11" s="11">
        <v>180</v>
      </c>
      <c r="E11" s="11">
        <v>116</v>
      </c>
      <c r="F11" s="13">
        <v>119</v>
      </c>
      <c r="G11" s="13">
        <v>63</v>
      </c>
      <c r="H11" s="6"/>
      <c r="I11" s="6"/>
      <c r="J11" s="6"/>
      <c r="K11" s="6"/>
      <c r="L11" s="7">
        <f t="shared" si="0"/>
        <v>476</v>
      </c>
      <c r="M11" s="7">
        <f t="shared" si="1"/>
        <v>200</v>
      </c>
    </row>
    <row r="12" spans="1:13" s="5" customFormat="1" ht="15.75" hidden="1" customHeight="1">
      <c r="A12" s="1">
        <v>37895</v>
      </c>
      <c r="B12" s="6">
        <v>1040</v>
      </c>
      <c r="C12" s="6">
        <v>394</v>
      </c>
      <c r="D12" s="11">
        <v>174</v>
      </c>
      <c r="E12" s="11">
        <v>128</v>
      </c>
      <c r="F12" s="13">
        <v>115</v>
      </c>
      <c r="G12" s="13">
        <v>69</v>
      </c>
      <c r="H12" s="6"/>
      <c r="I12" s="6"/>
      <c r="J12" s="6"/>
      <c r="K12" s="6"/>
      <c r="L12" s="7">
        <f t="shared" si="0"/>
        <v>443</v>
      </c>
      <c r="M12" s="7">
        <f t="shared" si="1"/>
        <v>197</v>
      </c>
    </row>
    <row r="13" spans="1:13" s="5" customFormat="1" ht="15.75" hidden="1" customHeight="1">
      <c r="A13" s="1">
        <v>37926</v>
      </c>
      <c r="B13" s="6">
        <v>1061</v>
      </c>
      <c r="C13" s="6">
        <v>420</v>
      </c>
      <c r="D13" s="11">
        <v>163</v>
      </c>
      <c r="E13" s="11">
        <v>127</v>
      </c>
      <c r="F13" s="13">
        <v>115</v>
      </c>
      <c r="G13" s="13">
        <v>84</v>
      </c>
      <c r="H13" s="6"/>
      <c r="I13" s="6"/>
      <c r="J13" s="6"/>
      <c r="K13" s="6"/>
      <c r="L13" s="7">
        <f t="shared" si="0"/>
        <v>446.33333333333331</v>
      </c>
      <c r="M13" s="7">
        <f t="shared" si="1"/>
        <v>210.33333333333334</v>
      </c>
    </row>
    <row r="14" spans="1:13" s="5" customFormat="1" ht="15.75" hidden="1" customHeight="1">
      <c r="A14" s="1">
        <v>37956</v>
      </c>
      <c r="B14" s="6">
        <v>1128</v>
      </c>
      <c r="C14" s="6">
        <v>310</v>
      </c>
      <c r="D14" s="11">
        <v>180</v>
      </c>
      <c r="E14" s="11">
        <v>78</v>
      </c>
      <c r="F14" s="13">
        <v>84</v>
      </c>
      <c r="G14" s="13">
        <v>72</v>
      </c>
      <c r="H14" s="6"/>
      <c r="I14" s="6"/>
      <c r="J14" s="6"/>
      <c r="K14" s="6"/>
      <c r="L14" s="7">
        <f t="shared" si="0"/>
        <v>464</v>
      </c>
      <c r="M14" s="7">
        <f t="shared" si="1"/>
        <v>153.33333333333334</v>
      </c>
    </row>
    <row r="15" spans="1:13" s="5" customFormat="1" ht="15.75" hidden="1" customHeight="1">
      <c r="A15" s="1">
        <v>37987</v>
      </c>
      <c r="B15" s="6">
        <v>1562</v>
      </c>
      <c r="C15" s="6">
        <v>400</v>
      </c>
      <c r="D15" s="11">
        <v>236</v>
      </c>
      <c r="E15" s="11">
        <v>88</v>
      </c>
      <c r="F15" s="13">
        <v>153</v>
      </c>
      <c r="G15" s="13">
        <v>72</v>
      </c>
      <c r="H15" s="6"/>
      <c r="I15" s="6"/>
      <c r="J15" s="6"/>
      <c r="K15" s="6"/>
      <c r="L15" s="7">
        <f t="shared" si="0"/>
        <v>650.33333333333337</v>
      </c>
      <c r="M15" s="7">
        <f t="shared" si="1"/>
        <v>186.66666666666666</v>
      </c>
    </row>
    <row r="16" spans="1:13" s="5" customFormat="1" ht="15.75" hidden="1" customHeight="1">
      <c r="A16" s="1">
        <v>38018</v>
      </c>
      <c r="B16" s="6">
        <v>1390</v>
      </c>
      <c r="C16" s="6">
        <v>474</v>
      </c>
      <c r="D16" s="11">
        <v>200</v>
      </c>
      <c r="E16" s="11">
        <v>111</v>
      </c>
      <c r="F16" s="13">
        <v>125</v>
      </c>
      <c r="G16" s="13">
        <v>94</v>
      </c>
      <c r="H16" s="6"/>
      <c r="I16" s="6"/>
      <c r="J16" s="6"/>
      <c r="K16" s="6"/>
      <c r="L16" s="7">
        <f t="shared" si="0"/>
        <v>571.66666666666663</v>
      </c>
      <c r="M16" s="7">
        <f t="shared" si="1"/>
        <v>226.33333333333334</v>
      </c>
    </row>
    <row r="17" spans="1:13" s="5" customFormat="1" ht="15.75" hidden="1" customHeight="1">
      <c r="A17" s="1">
        <v>38047</v>
      </c>
      <c r="B17" s="6">
        <v>1686</v>
      </c>
      <c r="C17" s="6">
        <v>552</v>
      </c>
      <c r="D17" s="11">
        <v>241</v>
      </c>
      <c r="E17" s="11">
        <v>135</v>
      </c>
      <c r="F17" s="13">
        <v>170</v>
      </c>
      <c r="G17" s="13">
        <v>103</v>
      </c>
      <c r="H17" s="6"/>
      <c r="I17" s="6"/>
      <c r="J17" s="6"/>
      <c r="K17" s="6"/>
      <c r="L17" s="7">
        <f t="shared" si="0"/>
        <v>699</v>
      </c>
      <c r="M17" s="7">
        <f t="shared" si="1"/>
        <v>263.33333333333331</v>
      </c>
    </row>
    <row r="18" spans="1:13" s="5" customFormat="1" ht="15.75" hidden="1" customHeight="1">
      <c r="A18" s="1">
        <v>38078</v>
      </c>
      <c r="B18" s="6">
        <v>1248</v>
      </c>
      <c r="C18" s="6">
        <v>423</v>
      </c>
      <c r="D18" s="11">
        <v>178</v>
      </c>
      <c r="E18" s="11">
        <v>120</v>
      </c>
      <c r="F18" s="13">
        <v>132</v>
      </c>
      <c r="G18" s="13">
        <v>67</v>
      </c>
      <c r="H18" s="6"/>
      <c r="I18" s="6"/>
      <c r="J18" s="6"/>
      <c r="K18" s="6"/>
      <c r="L18" s="7">
        <f t="shared" si="0"/>
        <v>519.33333333333337</v>
      </c>
      <c r="M18" s="7">
        <f t="shared" si="1"/>
        <v>203.33333333333334</v>
      </c>
    </row>
    <row r="19" spans="1:13" s="5" customFormat="1" ht="15.75" hidden="1" customHeight="1">
      <c r="A19" s="1">
        <v>38108</v>
      </c>
      <c r="B19" s="6">
        <v>1567</v>
      </c>
      <c r="C19" s="6">
        <v>577</v>
      </c>
      <c r="D19" s="11">
        <v>234</v>
      </c>
      <c r="E19" s="11">
        <v>127</v>
      </c>
      <c r="F19" s="13">
        <v>137</v>
      </c>
      <c r="G19" s="13">
        <v>83</v>
      </c>
      <c r="H19" s="6"/>
      <c r="I19" s="6"/>
      <c r="J19" s="6"/>
      <c r="K19" s="6"/>
      <c r="L19" s="7">
        <f t="shared" si="0"/>
        <v>646</v>
      </c>
      <c r="M19" s="7">
        <f t="shared" si="1"/>
        <v>262.33333333333331</v>
      </c>
    </row>
    <row r="20" spans="1:13" s="5" customFormat="1" ht="15.75" hidden="1" customHeight="1">
      <c r="A20" s="1">
        <v>38139</v>
      </c>
      <c r="B20" s="6">
        <v>1609</v>
      </c>
      <c r="C20" s="6">
        <v>504</v>
      </c>
      <c r="D20" s="11">
        <v>261</v>
      </c>
      <c r="E20" s="11">
        <v>157</v>
      </c>
      <c r="F20" s="13">
        <v>142</v>
      </c>
      <c r="G20" s="13">
        <v>78</v>
      </c>
      <c r="H20" s="6"/>
      <c r="I20" s="6"/>
      <c r="J20" s="6"/>
      <c r="K20" s="6"/>
      <c r="L20" s="7">
        <f t="shared" si="0"/>
        <v>670.66666666666663</v>
      </c>
      <c r="M20" s="7">
        <f t="shared" si="1"/>
        <v>246.33333333333334</v>
      </c>
    </row>
    <row r="21" spans="1:13" s="5" customFormat="1" ht="15.75" hidden="1" customHeight="1">
      <c r="A21" s="1">
        <v>38169</v>
      </c>
      <c r="B21" s="6">
        <v>1430</v>
      </c>
      <c r="C21" s="6">
        <v>525</v>
      </c>
      <c r="D21" s="11">
        <v>269</v>
      </c>
      <c r="E21" s="11">
        <v>120</v>
      </c>
      <c r="F21" s="13">
        <v>150</v>
      </c>
      <c r="G21" s="13">
        <v>88</v>
      </c>
      <c r="H21" s="6"/>
      <c r="I21" s="6"/>
      <c r="J21" s="6"/>
      <c r="K21" s="6"/>
      <c r="L21" s="7">
        <f t="shared" si="0"/>
        <v>616.33333333333337</v>
      </c>
      <c r="M21" s="7">
        <f t="shared" si="1"/>
        <v>244.33333333333334</v>
      </c>
    </row>
    <row r="22" spans="1:13" s="5" customFormat="1" ht="15.75" hidden="1" customHeight="1">
      <c r="A22" s="1">
        <v>38200</v>
      </c>
      <c r="B22" s="6">
        <v>1658</v>
      </c>
      <c r="C22" s="6">
        <v>547</v>
      </c>
      <c r="D22" s="11">
        <v>257</v>
      </c>
      <c r="E22" s="11">
        <v>159</v>
      </c>
      <c r="F22" s="13">
        <v>147</v>
      </c>
      <c r="G22" s="13">
        <v>104</v>
      </c>
      <c r="H22" s="6"/>
      <c r="I22" s="6"/>
      <c r="J22" s="6"/>
      <c r="K22" s="6"/>
      <c r="L22" s="7">
        <f t="shared" si="0"/>
        <v>687.33333333333337</v>
      </c>
      <c r="M22" s="7">
        <f t="shared" si="1"/>
        <v>270</v>
      </c>
    </row>
    <row r="23" spans="1:13" s="5" customFormat="1" ht="15.75" hidden="1" customHeight="1">
      <c r="A23" s="1">
        <v>38231</v>
      </c>
      <c r="B23" s="6">
        <v>1574</v>
      </c>
      <c r="C23" s="6">
        <v>577</v>
      </c>
      <c r="D23" s="11">
        <v>298</v>
      </c>
      <c r="E23" s="11">
        <v>142</v>
      </c>
      <c r="F23" s="13">
        <v>181</v>
      </c>
      <c r="G23" s="13">
        <v>103</v>
      </c>
      <c r="H23" s="6"/>
      <c r="I23" s="6"/>
      <c r="J23" s="6"/>
      <c r="K23" s="6"/>
      <c r="L23" s="7">
        <f t="shared" si="0"/>
        <v>684.33333333333337</v>
      </c>
      <c r="M23" s="7">
        <f t="shared" si="1"/>
        <v>274</v>
      </c>
    </row>
    <row r="24" spans="1:13" s="5" customFormat="1" ht="15.75" hidden="1" customHeight="1">
      <c r="A24" s="1">
        <v>38261</v>
      </c>
      <c r="B24" s="6">
        <v>1548</v>
      </c>
      <c r="C24" s="6">
        <v>571</v>
      </c>
      <c r="D24" s="11">
        <v>253</v>
      </c>
      <c r="E24" s="11">
        <v>166</v>
      </c>
      <c r="F24" s="13">
        <v>172</v>
      </c>
      <c r="G24" s="13">
        <v>93</v>
      </c>
      <c r="H24" s="6"/>
      <c r="I24" s="6"/>
      <c r="J24" s="6"/>
      <c r="K24" s="6"/>
      <c r="L24" s="7">
        <f t="shared" si="0"/>
        <v>657.66666666666663</v>
      </c>
      <c r="M24" s="7">
        <f t="shared" si="1"/>
        <v>276.66666666666669</v>
      </c>
    </row>
    <row r="25" spans="1:13" s="5" customFormat="1" ht="15.75" hidden="1" customHeight="1">
      <c r="A25" s="1">
        <v>38292</v>
      </c>
      <c r="B25" s="6">
        <v>1378</v>
      </c>
      <c r="C25" s="6">
        <v>634</v>
      </c>
      <c r="D25" s="11">
        <v>280</v>
      </c>
      <c r="E25" s="11">
        <v>154</v>
      </c>
      <c r="F25" s="13">
        <v>162</v>
      </c>
      <c r="G25" s="13">
        <v>94</v>
      </c>
      <c r="H25" s="6"/>
      <c r="I25" s="6"/>
      <c r="J25" s="6"/>
      <c r="K25" s="6"/>
      <c r="L25" s="7">
        <f t="shared" si="0"/>
        <v>606.66666666666663</v>
      </c>
      <c r="M25" s="7">
        <f t="shared" si="1"/>
        <v>294</v>
      </c>
    </row>
    <row r="26" spans="1:13" s="5" customFormat="1" ht="15.75" hidden="1" customHeight="1">
      <c r="A26" s="1">
        <v>38322</v>
      </c>
      <c r="B26" s="6">
        <v>1625</v>
      </c>
      <c r="C26" s="6">
        <v>474</v>
      </c>
      <c r="D26" s="11">
        <v>318</v>
      </c>
      <c r="E26" s="11">
        <v>122</v>
      </c>
      <c r="F26" s="13">
        <v>158</v>
      </c>
      <c r="G26" s="13">
        <v>78</v>
      </c>
      <c r="H26" s="6"/>
      <c r="I26" s="6"/>
      <c r="J26" s="6"/>
      <c r="K26" s="6"/>
      <c r="L26" s="7">
        <f t="shared" si="0"/>
        <v>700.33333333333337</v>
      </c>
      <c r="M26" s="7">
        <f t="shared" si="1"/>
        <v>224.66666666666666</v>
      </c>
    </row>
    <row r="27" spans="1:13" s="5" customFormat="1" ht="15.75" hidden="1" customHeight="1">
      <c r="A27" s="1">
        <v>38353</v>
      </c>
      <c r="B27" s="6">
        <v>1947</v>
      </c>
      <c r="C27" s="6">
        <v>538</v>
      </c>
      <c r="D27" s="11">
        <v>376</v>
      </c>
      <c r="E27" s="11">
        <v>118</v>
      </c>
      <c r="F27" s="13">
        <v>166</v>
      </c>
      <c r="G27" s="13">
        <v>84</v>
      </c>
      <c r="H27" s="6"/>
      <c r="I27" s="6"/>
      <c r="J27" s="6"/>
      <c r="K27" s="6"/>
      <c r="L27" s="7">
        <f t="shared" si="0"/>
        <v>829.66666666666663</v>
      </c>
      <c r="M27" s="7">
        <f t="shared" si="1"/>
        <v>246.66666666666666</v>
      </c>
    </row>
    <row r="28" spans="1:13" s="5" customFormat="1" ht="15.75" hidden="1" customHeight="1">
      <c r="A28" s="1">
        <v>38384</v>
      </c>
      <c r="B28" s="6">
        <v>1739</v>
      </c>
      <c r="C28" s="6">
        <v>726</v>
      </c>
      <c r="D28" s="11">
        <v>292</v>
      </c>
      <c r="E28" s="11">
        <v>178</v>
      </c>
      <c r="F28" s="13">
        <v>188</v>
      </c>
      <c r="G28" s="13">
        <v>120</v>
      </c>
      <c r="H28" s="6"/>
      <c r="I28" s="6"/>
      <c r="J28" s="6"/>
      <c r="K28" s="6"/>
      <c r="L28" s="7">
        <f t="shared" si="0"/>
        <v>739.66666666666663</v>
      </c>
      <c r="M28" s="7">
        <f t="shared" si="1"/>
        <v>341.33333333333331</v>
      </c>
    </row>
    <row r="29" spans="1:13" s="5" customFormat="1" ht="15.75" hidden="1" customHeight="1">
      <c r="A29" s="1">
        <v>38412</v>
      </c>
      <c r="B29" s="6">
        <v>1969</v>
      </c>
      <c r="C29" s="6">
        <v>695</v>
      </c>
      <c r="D29" s="11">
        <v>391</v>
      </c>
      <c r="E29" s="11">
        <v>167</v>
      </c>
      <c r="F29" s="13">
        <v>179</v>
      </c>
      <c r="G29" s="13">
        <v>106</v>
      </c>
      <c r="H29" s="6"/>
      <c r="I29" s="6"/>
      <c r="J29" s="6"/>
      <c r="K29" s="6"/>
      <c r="L29" s="7">
        <f t="shared" si="0"/>
        <v>846.33333333333337</v>
      </c>
      <c r="M29" s="7">
        <f t="shared" si="1"/>
        <v>322.66666666666669</v>
      </c>
    </row>
    <row r="30" spans="1:13" s="5" customFormat="1" ht="15.75" hidden="1" customHeight="1">
      <c r="A30" s="1">
        <v>38443</v>
      </c>
      <c r="B30" s="6">
        <v>1754</v>
      </c>
      <c r="C30" s="6">
        <v>770</v>
      </c>
      <c r="D30" s="11">
        <v>327</v>
      </c>
      <c r="E30" s="11">
        <v>141</v>
      </c>
      <c r="F30" s="13">
        <v>153</v>
      </c>
      <c r="G30" s="13">
        <v>102</v>
      </c>
      <c r="H30" s="6"/>
      <c r="I30" s="6"/>
      <c r="J30" s="6"/>
      <c r="K30" s="6"/>
      <c r="L30" s="7">
        <f t="shared" si="0"/>
        <v>744.66666666666663</v>
      </c>
      <c r="M30" s="7">
        <f t="shared" si="1"/>
        <v>337.66666666666669</v>
      </c>
    </row>
    <row r="31" spans="1:13" s="5" customFormat="1" ht="15.75" hidden="1" customHeight="1">
      <c r="A31" s="1">
        <v>38473</v>
      </c>
      <c r="B31" s="6">
        <v>1672</v>
      </c>
      <c r="C31" s="6">
        <v>950</v>
      </c>
      <c r="D31" s="11">
        <v>346</v>
      </c>
      <c r="E31" s="11">
        <v>191</v>
      </c>
      <c r="F31" s="13">
        <v>198</v>
      </c>
      <c r="G31" s="13">
        <v>111</v>
      </c>
      <c r="H31" s="6"/>
      <c r="I31" s="6"/>
      <c r="J31" s="6"/>
      <c r="K31" s="6"/>
      <c r="L31" s="7">
        <f t="shared" si="0"/>
        <v>738.66666666666663</v>
      </c>
      <c r="M31" s="7">
        <f t="shared" si="1"/>
        <v>417.33333333333331</v>
      </c>
    </row>
    <row r="32" spans="1:13" s="5" customFormat="1" ht="15.75" hidden="1" customHeight="1">
      <c r="A32" s="1">
        <v>38504</v>
      </c>
      <c r="B32" s="6">
        <v>2037</v>
      </c>
      <c r="C32" s="6">
        <v>992</v>
      </c>
      <c r="D32" s="11">
        <v>374</v>
      </c>
      <c r="E32" s="11">
        <v>217</v>
      </c>
      <c r="F32" s="13">
        <v>217</v>
      </c>
      <c r="G32" s="13">
        <v>121</v>
      </c>
      <c r="H32" s="6"/>
      <c r="I32" s="6"/>
      <c r="J32" s="6"/>
      <c r="K32" s="6"/>
      <c r="L32" s="7">
        <f t="shared" si="0"/>
        <v>876</v>
      </c>
      <c r="M32" s="7">
        <f t="shared" si="1"/>
        <v>443.33333333333331</v>
      </c>
    </row>
    <row r="33" spans="1:13" s="5" customFormat="1" ht="15.75" hidden="1" customHeight="1">
      <c r="A33" s="1">
        <v>38534</v>
      </c>
      <c r="B33" s="6">
        <v>2100</v>
      </c>
      <c r="C33" s="6">
        <v>1000</v>
      </c>
      <c r="D33" s="11">
        <v>352</v>
      </c>
      <c r="E33" s="11">
        <v>166</v>
      </c>
      <c r="F33" s="13">
        <v>213</v>
      </c>
      <c r="G33" s="13">
        <v>137</v>
      </c>
      <c r="H33" s="6"/>
      <c r="I33" s="6"/>
      <c r="J33" s="6"/>
      <c r="K33" s="6"/>
      <c r="L33" s="7">
        <f t="shared" si="0"/>
        <v>888.33333333333337</v>
      </c>
      <c r="M33" s="7">
        <f t="shared" si="1"/>
        <v>434.33333333333331</v>
      </c>
    </row>
    <row r="34" spans="1:13" s="5" customFormat="1" ht="15.75" hidden="1" customHeight="1">
      <c r="A34" s="1">
        <v>38565</v>
      </c>
      <c r="B34" s="6">
        <v>2150</v>
      </c>
      <c r="C34" s="6">
        <v>120</v>
      </c>
      <c r="D34" s="11">
        <v>378</v>
      </c>
      <c r="E34" s="11">
        <v>176</v>
      </c>
      <c r="F34" s="13">
        <v>202</v>
      </c>
      <c r="G34" s="13">
        <v>143</v>
      </c>
      <c r="H34" s="6"/>
      <c r="I34" s="6"/>
      <c r="J34" s="6"/>
      <c r="K34" s="6"/>
      <c r="L34" s="7">
        <f t="shared" si="0"/>
        <v>910</v>
      </c>
      <c r="M34" s="7">
        <f t="shared" si="1"/>
        <v>146.33333333333334</v>
      </c>
    </row>
    <row r="35" spans="1:13" s="5" customFormat="1" ht="15.75" hidden="1" customHeight="1">
      <c r="A35" s="1">
        <v>38596</v>
      </c>
      <c r="B35" s="6">
        <v>2052</v>
      </c>
      <c r="C35" s="6">
        <v>943</v>
      </c>
      <c r="D35" s="11">
        <v>360</v>
      </c>
      <c r="E35" s="11">
        <v>208</v>
      </c>
      <c r="F35" s="13">
        <v>247</v>
      </c>
      <c r="G35" s="13">
        <v>200</v>
      </c>
      <c r="H35" s="6"/>
      <c r="I35" s="6"/>
      <c r="J35" s="6"/>
      <c r="K35" s="6"/>
      <c r="L35" s="7">
        <f t="shared" si="0"/>
        <v>886.33333333333337</v>
      </c>
      <c r="M35" s="7">
        <f t="shared" si="1"/>
        <v>450.33333333333331</v>
      </c>
    </row>
    <row r="36" spans="1:13" s="5" customFormat="1" ht="15.75" hidden="1" customHeight="1">
      <c r="A36" s="1">
        <v>38626</v>
      </c>
      <c r="B36" s="6">
        <v>1674</v>
      </c>
      <c r="C36" s="6">
        <v>805</v>
      </c>
      <c r="D36" s="11">
        <v>361</v>
      </c>
      <c r="E36" s="11">
        <v>169</v>
      </c>
      <c r="F36" s="13">
        <v>211</v>
      </c>
      <c r="G36" s="13">
        <v>124</v>
      </c>
      <c r="H36" s="6"/>
      <c r="I36" s="6"/>
      <c r="J36" s="6"/>
      <c r="K36" s="6"/>
      <c r="L36" s="7">
        <f t="shared" si="0"/>
        <v>748.66666666666663</v>
      </c>
      <c r="M36" s="7">
        <f t="shared" si="1"/>
        <v>366</v>
      </c>
    </row>
    <row r="37" spans="1:13" s="5" customFormat="1" ht="15.75" hidden="1" customHeight="1">
      <c r="A37" s="1">
        <v>38657</v>
      </c>
      <c r="B37" s="6">
        <v>1792</v>
      </c>
      <c r="C37" s="6">
        <v>759</v>
      </c>
      <c r="D37" s="11">
        <v>312</v>
      </c>
      <c r="E37" s="11">
        <v>167</v>
      </c>
      <c r="F37" s="13">
        <v>206</v>
      </c>
      <c r="G37" s="13">
        <v>142</v>
      </c>
      <c r="H37" s="6"/>
      <c r="I37" s="6"/>
      <c r="J37" s="6"/>
      <c r="K37" s="6"/>
      <c r="L37" s="7">
        <f t="shared" si="0"/>
        <v>770</v>
      </c>
      <c r="M37" s="7">
        <f t="shared" si="1"/>
        <v>356</v>
      </c>
    </row>
    <row r="38" spans="1:13" s="5" customFormat="1" ht="15.75" hidden="1" customHeight="1">
      <c r="A38" s="1">
        <v>38687</v>
      </c>
      <c r="B38" s="6">
        <v>2153</v>
      </c>
      <c r="C38" s="6">
        <v>733</v>
      </c>
      <c r="D38" s="11">
        <v>336</v>
      </c>
      <c r="E38" s="11">
        <v>158</v>
      </c>
      <c r="F38" s="13">
        <v>239</v>
      </c>
      <c r="G38" s="13">
        <v>119</v>
      </c>
      <c r="H38" s="6"/>
      <c r="I38" s="6"/>
      <c r="J38" s="6"/>
      <c r="K38" s="6"/>
      <c r="L38" s="7">
        <f t="shared" si="0"/>
        <v>909.33333333333337</v>
      </c>
      <c r="M38" s="7">
        <f t="shared" si="1"/>
        <v>336.66666666666669</v>
      </c>
    </row>
    <row r="39" spans="1:13" s="5" customFormat="1" ht="15.75" hidden="1" customHeight="1">
      <c r="A39" s="1">
        <v>38718</v>
      </c>
      <c r="B39" s="6">
        <v>2107</v>
      </c>
      <c r="C39" s="6">
        <v>632</v>
      </c>
      <c r="D39" s="11">
        <v>431</v>
      </c>
      <c r="E39" s="11">
        <v>141</v>
      </c>
      <c r="F39" s="13">
        <v>133</v>
      </c>
      <c r="G39" s="13">
        <v>247</v>
      </c>
      <c r="H39" s="6"/>
      <c r="I39" s="6"/>
      <c r="J39" s="6"/>
      <c r="K39" s="6"/>
      <c r="L39" s="7">
        <f t="shared" si="0"/>
        <v>890.33333333333337</v>
      </c>
      <c r="M39" s="7">
        <f t="shared" si="1"/>
        <v>340</v>
      </c>
    </row>
    <row r="40" spans="1:13" s="5" customFormat="1" ht="15.75" hidden="1" customHeight="1">
      <c r="A40" s="1">
        <v>38749</v>
      </c>
      <c r="B40" s="6">
        <v>2041</v>
      </c>
      <c r="C40" s="6">
        <v>829</v>
      </c>
      <c r="D40" s="11">
        <v>392</v>
      </c>
      <c r="E40" s="11">
        <v>205</v>
      </c>
      <c r="F40" s="13">
        <v>237</v>
      </c>
      <c r="G40" s="13">
        <v>271</v>
      </c>
      <c r="H40" s="6"/>
      <c r="I40" s="6"/>
      <c r="J40" s="6"/>
      <c r="K40" s="6"/>
      <c r="L40" s="7">
        <f t="shared" si="0"/>
        <v>890</v>
      </c>
      <c r="M40" s="7">
        <f t="shared" si="1"/>
        <v>435</v>
      </c>
    </row>
    <row r="41" spans="1:13" s="5" customFormat="1" ht="15.75" hidden="1" customHeight="1">
      <c r="A41" s="1">
        <v>38777</v>
      </c>
      <c r="B41" s="6">
        <v>2540</v>
      </c>
      <c r="C41" s="6">
        <v>903</v>
      </c>
      <c r="D41" s="11">
        <v>453</v>
      </c>
      <c r="E41" s="11">
        <v>197</v>
      </c>
      <c r="F41" s="13">
        <v>223</v>
      </c>
      <c r="G41" s="13">
        <v>165</v>
      </c>
      <c r="H41" s="6"/>
      <c r="I41" s="6"/>
      <c r="J41" s="6"/>
      <c r="K41" s="6"/>
      <c r="L41" s="7">
        <f t="shared" si="0"/>
        <v>1072</v>
      </c>
      <c r="M41" s="7">
        <f t="shared" si="1"/>
        <v>421.66666666666669</v>
      </c>
    </row>
    <row r="42" spans="1:13" s="5" customFormat="1" ht="15.75" hidden="1" customHeight="1">
      <c r="A42" s="1">
        <v>38808</v>
      </c>
      <c r="B42" s="6">
        <v>2153</v>
      </c>
      <c r="C42" s="6">
        <v>766</v>
      </c>
      <c r="D42" s="11">
        <v>422</v>
      </c>
      <c r="E42" s="11">
        <v>172</v>
      </c>
      <c r="F42" s="13">
        <v>229</v>
      </c>
      <c r="G42" s="13">
        <v>126</v>
      </c>
      <c r="H42" s="6"/>
      <c r="I42" s="6"/>
      <c r="J42" s="6"/>
      <c r="K42" s="6"/>
      <c r="L42" s="7">
        <f t="shared" si="0"/>
        <v>934.66666666666663</v>
      </c>
      <c r="M42" s="7">
        <f t="shared" si="1"/>
        <v>354.66666666666669</v>
      </c>
    </row>
    <row r="43" spans="1:13" s="5" customFormat="1" ht="15.75" hidden="1" customHeight="1">
      <c r="A43" s="1">
        <v>38838</v>
      </c>
      <c r="B43" s="6">
        <v>2213</v>
      </c>
      <c r="C43" s="6">
        <v>898</v>
      </c>
      <c r="D43" s="11">
        <v>409</v>
      </c>
      <c r="E43" s="11">
        <v>196</v>
      </c>
      <c r="F43" s="13">
        <v>264</v>
      </c>
      <c r="G43" s="13">
        <v>160</v>
      </c>
      <c r="H43" s="6"/>
      <c r="I43" s="6"/>
      <c r="J43" s="6"/>
      <c r="K43" s="6"/>
      <c r="L43" s="7">
        <f t="shared" si="0"/>
        <v>962</v>
      </c>
      <c r="M43" s="7">
        <f t="shared" si="1"/>
        <v>418</v>
      </c>
    </row>
    <row r="44" spans="1:13" s="5" customFormat="1" ht="15.75" hidden="1" customHeight="1">
      <c r="A44" s="1">
        <v>38869</v>
      </c>
      <c r="B44" s="6">
        <v>2227</v>
      </c>
      <c r="C44" s="6">
        <v>979</v>
      </c>
      <c r="D44" s="11">
        <v>401</v>
      </c>
      <c r="E44" s="11">
        <v>195</v>
      </c>
      <c r="F44" s="13">
        <v>266</v>
      </c>
      <c r="G44" s="13">
        <v>171</v>
      </c>
      <c r="H44" s="6"/>
      <c r="I44" s="6"/>
      <c r="J44" s="6"/>
      <c r="K44" s="6"/>
      <c r="L44" s="7">
        <f t="shared" si="0"/>
        <v>964.66666666666663</v>
      </c>
      <c r="M44" s="7">
        <f t="shared" si="1"/>
        <v>448.33333333333331</v>
      </c>
    </row>
    <row r="45" spans="1:13" s="5" customFormat="1" ht="15.75" hidden="1" customHeight="1">
      <c r="A45" s="1">
        <v>38899</v>
      </c>
      <c r="B45" s="6">
        <v>2233</v>
      </c>
      <c r="C45" s="6">
        <v>965</v>
      </c>
      <c r="D45" s="11">
        <v>434</v>
      </c>
      <c r="E45" s="11">
        <v>187</v>
      </c>
      <c r="F45" s="6">
        <v>231</v>
      </c>
      <c r="G45" s="13">
        <v>138</v>
      </c>
      <c r="H45" s="6"/>
      <c r="I45" s="6"/>
      <c r="J45" s="6"/>
      <c r="K45" s="6"/>
      <c r="L45" s="7">
        <f t="shared" si="0"/>
        <v>966</v>
      </c>
      <c r="M45" s="7">
        <f t="shared" si="1"/>
        <v>430</v>
      </c>
    </row>
    <row r="46" spans="1:13" s="5" customFormat="1" ht="15.75" hidden="1" customHeight="1">
      <c r="A46" s="1">
        <v>38930</v>
      </c>
      <c r="B46" s="6">
        <v>2422</v>
      </c>
      <c r="C46" s="6">
        <v>980</v>
      </c>
      <c r="D46" s="11">
        <v>463</v>
      </c>
      <c r="E46" s="11">
        <v>187</v>
      </c>
      <c r="F46" s="6">
        <v>262</v>
      </c>
      <c r="G46" s="6">
        <v>137</v>
      </c>
      <c r="H46" s="6"/>
      <c r="I46" s="6"/>
      <c r="J46" s="6"/>
      <c r="K46" s="6"/>
      <c r="L46" s="7">
        <f t="shared" si="0"/>
        <v>1049</v>
      </c>
      <c r="M46" s="7">
        <f t="shared" si="1"/>
        <v>434.66666666666669</v>
      </c>
    </row>
    <row r="47" spans="1:13" s="5" customFormat="1" ht="15.75" hidden="1" customHeight="1">
      <c r="A47" s="1">
        <v>38961</v>
      </c>
      <c r="B47" s="6">
        <v>2014</v>
      </c>
      <c r="C47" s="6">
        <v>911</v>
      </c>
      <c r="D47" s="11">
        <v>450</v>
      </c>
      <c r="E47" s="11">
        <v>221</v>
      </c>
      <c r="F47" s="6">
        <v>205</v>
      </c>
      <c r="G47" s="6">
        <v>149</v>
      </c>
      <c r="H47" s="6"/>
      <c r="I47" s="6"/>
      <c r="J47" s="6"/>
      <c r="K47" s="6"/>
      <c r="L47" s="7">
        <f t="shared" si="0"/>
        <v>889.66666666666663</v>
      </c>
      <c r="M47" s="7">
        <f t="shared" si="1"/>
        <v>427</v>
      </c>
    </row>
    <row r="48" spans="1:13" s="5" customFormat="1" ht="15.75" hidden="1" customHeight="1">
      <c r="A48" s="1">
        <v>38991</v>
      </c>
      <c r="B48" s="6">
        <v>1927</v>
      </c>
      <c r="C48" s="6">
        <v>910</v>
      </c>
      <c r="D48" s="11">
        <v>404</v>
      </c>
      <c r="E48" s="11">
        <v>220</v>
      </c>
      <c r="F48" s="6">
        <v>201</v>
      </c>
      <c r="G48" s="6">
        <v>154</v>
      </c>
      <c r="H48" s="6"/>
      <c r="I48" s="6"/>
      <c r="J48" s="6"/>
      <c r="K48" s="6"/>
      <c r="L48" s="7">
        <f t="shared" si="0"/>
        <v>844</v>
      </c>
      <c r="M48" s="7">
        <f t="shared" si="1"/>
        <v>428</v>
      </c>
    </row>
    <row r="49" spans="1:13" s="5" customFormat="1" ht="15.75" hidden="1" customHeight="1">
      <c r="A49" s="1">
        <v>39022</v>
      </c>
      <c r="B49" s="6">
        <v>1914</v>
      </c>
      <c r="C49" s="6">
        <v>1000</v>
      </c>
      <c r="D49" s="11">
        <v>382</v>
      </c>
      <c r="E49" s="11">
        <v>203</v>
      </c>
      <c r="F49" s="6">
        <v>208</v>
      </c>
      <c r="G49" s="6">
        <v>137</v>
      </c>
      <c r="H49" s="6"/>
      <c r="I49" s="6"/>
      <c r="J49" s="6"/>
      <c r="K49" s="6"/>
      <c r="L49" s="7">
        <f t="shared" si="0"/>
        <v>834.66666666666663</v>
      </c>
      <c r="M49" s="7">
        <f t="shared" si="1"/>
        <v>446.66666666666669</v>
      </c>
    </row>
    <row r="50" spans="1:13" s="5" customFormat="1" ht="15.75" hidden="1" customHeight="1">
      <c r="A50" s="1">
        <v>39052</v>
      </c>
      <c r="B50" s="6">
        <v>2394</v>
      </c>
      <c r="C50" s="6">
        <v>879</v>
      </c>
      <c r="D50" s="11">
        <v>444</v>
      </c>
      <c r="E50" s="11">
        <v>192</v>
      </c>
      <c r="F50" s="6">
        <v>241</v>
      </c>
      <c r="G50" s="6">
        <v>154</v>
      </c>
      <c r="H50" s="6"/>
      <c r="I50" s="6"/>
      <c r="J50" s="6"/>
      <c r="K50" s="6"/>
      <c r="L50" s="7">
        <f t="shared" si="0"/>
        <v>1026.3333333333333</v>
      </c>
      <c r="M50" s="7">
        <f t="shared" si="1"/>
        <v>408.33333333333331</v>
      </c>
    </row>
    <row r="51" spans="1:13" s="5" customFormat="1" ht="15.75" hidden="1" customHeight="1">
      <c r="A51" s="1">
        <v>39083</v>
      </c>
      <c r="B51" s="6">
        <v>2114</v>
      </c>
      <c r="C51" s="6">
        <v>855</v>
      </c>
      <c r="D51" s="11">
        <v>477</v>
      </c>
      <c r="E51" s="11">
        <v>172</v>
      </c>
      <c r="F51" s="6">
        <v>258</v>
      </c>
      <c r="G51" s="6">
        <v>150</v>
      </c>
      <c r="H51" s="6"/>
      <c r="I51" s="6"/>
      <c r="J51" s="6"/>
      <c r="K51" s="6"/>
      <c r="L51" s="7">
        <f t="shared" si="0"/>
        <v>949.66666666666663</v>
      </c>
      <c r="M51" s="7">
        <f t="shared" si="1"/>
        <v>392.33333333333331</v>
      </c>
    </row>
    <row r="52" spans="1:13" s="5" customFormat="1" ht="15.75" hidden="1" customHeight="1">
      <c r="A52" s="1">
        <v>39114</v>
      </c>
      <c r="B52" s="6">
        <v>1882</v>
      </c>
      <c r="C52" s="6">
        <v>848</v>
      </c>
      <c r="D52" s="11">
        <v>426</v>
      </c>
      <c r="E52" s="11">
        <v>242</v>
      </c>
      <c r="F52" s="6">
        <v>198</v>
      </c>
      <c r="G52" s="6">
        <v>159</v>
      </c>
      <c r="H52" s="6"/>
      <c r="I52" s="6"/>
      <c r="J52" s="6"/>
      <c r="K52" s="6"/>
      <c r="L52" s="7">
        <f t="shared" si="0"/>
        <v>835.33333333333337</v>
      </c>
      <c r="M52" s="7">
        <f t="shared" si="1"/>
        <v>416.33333333333331</v>
      </c>
    </row>
    <row r="53" spans="1:13" s="5" customFormat="1" ht="15.75" hidden="1" customHeight="1">
      <c r="A53" s="1">
        <v>39142</v>
      </c>
      <c r="B53" s="6">
        <v>2215</v>
      </c>
      <c r="C53" s="6">
        <v>1024</v>
      </c>
      <c r="D53" s="11">
        <v>479</v>
      </c>
      <c r="E53" s="11">
        <v>233</v>
      </c>
      <c r="F53" s="6">
        <v>211</v>
      </c>
      <c r="G53" s="6">
        <v>203</v>
      </c>
      <c r="H53" s="6"/>
      <c r="I53" s="6"/>
      <c r="J53" s="6"/>
      <c r="K53" s="6"/>
      <c r="L53" s="7">
        <f t="shared" si="0"/>
        <v>968.33333333333337</v>
      </c>
      <c r="M53" s="7">
        <f t="shared" si="1"/>
        <v>486.66666666666669</v>
      </c>
    </row>
    <row r="54" spans="1:13" s="5" customFormat="1" ht="15.75" hidden="1" customHeight="1">
      <c r="A54" s="1">
        <v>39173</v>
      </c>
      <c r="B54" s="6">
        <v>1828</v>
      </c>
      <c r="C54" s="6">
        <v>991</v>
      </c>
      <c r="D54" s="11">
        <v>322</v>
      </c>
      <c r="E54" s="11">
        <v>209</v>
      </c>
      <c r="F54" s="6">
        <v>206</v>
      </c>
      <c r="G54" s="6">
        <v>132</v>
      </c>
      <c r="H54" s="6"/>
      <c r="I54" s="6"/>
      <c r="J54" s="6"/>
      <c r="K54" s="6"/>
      <c r="L54" s="7">
        <f t="shared" si="0"/>
        <v>785.33333333333337</v>
      </c>
      <c r="M54" s="7">
        <f t="shared" si="1"/>
        <v>444</v>
      </c>
    </row>
    <row r="55" spans="1:13" s="5" customFormat="1" ht="15.75" hidden="1" customHeight="1">
      <c r="A55" s="1">
        <v>39203</v>
      </c>
      <c r="B55" s="6">
        <v>1988</v>
      </c>
      <c r="C55" s="6">
        <v>983</v>
      </c>
      <c r="D55" s="11">
        <v>423</v>
      </c>
      <c r="E55" s="11">
        <v>245</v>
      </c>
      <c r="F55" s="6">
        <v>205</v>
      </c>
      <c r="G55" s="6">
        <v>165</v>
      </c>
      <c r="H55" s="6"/>
      <c r="I55" s="6"/>
      <c r="J55" s="6"/>
      <c r="K55" s="6"/>
      <c r="L55" s="7">
        <f t="shared" si="0"/>
        <v>872</v>
      </c>
      <c r="M55" s="7">
        <f t="shared" si="1"/>
        <v>464.33333333333331</v>
      </c>
    </row>
    <row r="56" spans="1:13" s="5" customFormat="1" ht="15.75" hidden="1" customHeight="1">
      <c r="A56" s="1">
        <v>39234</v>
      </c>
      <c r="B56" s="6">
        <v>1831</v>
      </c>
      <c r="C56" s="6">
        <v>881</v>
      </c>
      <c r="D56" s="11">
        <v>394</v>
      </c>
      <c r="E56" s="11">
        <v>232</v>
      </c>
      <c r="F56" s="6">
        <v>196</v>
      </c>
      <c r="G56" s="6">
        <v>118</v>
      </c>
      <c r="H56" s="6"/>
      <c r="I56" s="6"/>
      <c r="J56" s="6"/>
      <c r="K56" s="6"/>
      <c r="L56" s="7">
        <f t="shared" si="0"/>
        <v>807</v>
      </c>
      <c r="M56" s="7">
        <f t="shared" si="1"/>
        <v>410.33333333333331</v>
      </c>
    </row>
    <row r="57" spans="1:13" s="5" customFormat="1" ht="15.75" hidden="1" customHeight="1">
      <c r="A57" s="1">
        <v>39264</v>
      </c>
      <c r="B57" s="6">
        <v>1754</v>
      </c>
      <c r="C57" s="6">
        <v>952</v>
      </c>
      <c r="D57" s="11">
        <v>391</v>
      </c>
      <c r="E57" s="11">
        <v>225</v>
      </c>
      <c r="F57" s="6">
        <v>231</v>
      </c>
      <c r="G57" s="6">
        <v>180</v>
      </c>
      <c r="H57" s="6"/>
      <c r="I57" s="6"/>
      <c r="J57" s="6"/>
      <c r="K57" s="6"/>
      <c r="L57" s="7">
        <f t="shared" si="0"/>
        <v>792</v>
      </c>
      <c r="M57" s="7">
        <f t="shared" si="1"/>
        <v>452.33333333333331</v>
      </c>
    </row>
    <row r="58" spans="1:13" s="5" customFormat="1" ht="15.75" hidden="1" customHeight="1">
      <c r="A58" s="1">
        <v>39295</v>
      </c>
      <c r="B58" s="6">
        <v>1913</v>
      </c>
      <c r="C58" s="6">
        <v>946</v>
      </c>
      <c r="D58" s="11">
        <v>412</v>
      </c>
      <c r="E58" s="11">
        <v>242</v>
      </c>
      <c r="F58" s="6">
        <v>199</v>
      </c>
      <c r="G58" s="6">
        <v>164</v>
      </c>
      <c r="H58" s="6"/>
      <c r="I58" s="6"/>
      <c r="J58" s="6"/>
      <c r="K58" s="6"/>
      <c r="L58" s="7">
        <f t="shared" si="0"/>
        <v>841.33333333333337</v>
      </c>
      <c r="M58" s="7">
        <f t="shared" si="1"/>
        <v>450.66666666666669</v>
      </c>
    </row>
    <row r="59" spans="1:13" s="5" customFormat="1" ht="15.75" hidden="1" customHeight="1">
      <c r="A59" s="1">
        <v>39326</v>
      </c>
      <c r="B59" s="6">
        <v>1595</v>
      </c>
      <c r="C59" s="6">
        <v>780</v>
      </c>
      <c r="D59" s="11">
        <v>408</v>
      </c>
      <c r="E59" s="11">
        <v>154</v>
      </c>
      <c r="F59" s="6">
        <v>206</v>
      </c>
      <c r="G59" s="6">
        <v>112</v>
      </c>
      <c r="H59" s="6"/>
      <c r="I59" s="6"/>
      <c r="J59" s="6"/>
      <c r="K59" s="6"/>
      <c r="L59" s="7">
        <f t="shared" si="0"/>
        <v>736.33333333333337</v>
      </c>
      <c r="M59" s="7">
        <f t="shared" si="1"/>
        <v>348.66666666666669</v>
      </c>
    </row>
    <row r="60" spans="1:13" s="5" customFormat="1" ht="15.75" hidden="1" customHeight="1">
      <c r="A60" s="1">
        <v>39356</v>
      </c>
      <c r="B60" s="6">
        <v>1574</v>
      </c>
      <c r="C60" s="6">
        <v>862</v>
      </c>
      <c r="D60" s="11">
        <v>335</v>
      </c>
      <c r="E60" s="11">
        <v>210</v>
      </c>
      <c r="F60" s="6">
        <v>206</v>
      </c>
      <c r="G60" s="6">
        <v>130</v>
      </c>
      <c r="H60" s="6"/>
      <c r="I60" s="6"/>
      <c r="J60" s="6"/>
      <c r="K60" s="6"/>
      <c r="L60" s="7">
        <f t="shared" si="0"/>
        <v>705</v>
      </c>
      <c r="M60" s="7">
        <f t="shared" si="1"/>
        <v>400.66666666666669</v>
      </c>
    </row>
    <row r="61" spans="1:13" s="5" customFormat="1" ht="15.75" hidden="1" customHeight="1">
      <c r="A61" s="1">
        <v>39387</v>
      </c>
      <c r="B61" s="6">
        <v>1570</v>
      </c>
      <c r="C61" s="6">
        <v>820</v>
      </c>
      <c r="D61" s="11">
        <v>324</v>
      </c>
      <c r="E61" s="11">
        <v>192</v>
      </c>
      <c r="F61" s="6">
        <v>197</v>
      </c>
      <c r="G61" s="6">
        <v>117</v>
      </c>
      <c r="H61" s="6"/>
      <c r="I61" s="6"/>
      <c r="J61" s="6"/>
      <c r="K61" s="6"/>
      <c r="L61" s="7">
        <f t="shared" si="0"/>
        <v>697</v>
      </c>
      <c r="M61" s="7">
        <f t="shared" si="1"/>
        <v>376.33333333333331</v>
      </c>
    </row>
    <row r="62" spans="1:13" s="5" customFormat="1" ht="15.75" hidden="1" customHeight="1">
      <c r="A62" s="1">
        <v>39417</v>
      </c>
      <c r="B62" s="6">
        <v>1554</v>
      </c>
      <c r="C62" s="6">
        <v>712</v>
      </c>
      <c r="D62" s="11">
        <v>268</v>
      </c>
      <c r="E62" s="11">
        <v>148</v>
      </c>
      <c r="F62" s="6">
        <v>220</v>
      </c>
      <c r="G62" s="6">
        <v>134</v>
      </c>
      <c r="H62" s="6"/>
      <c r="I62" s="6"/>
      <c r="J62" s="6"/>
      <c r="K62" s="6"/>
      <c r="L62" s="7">
        <f t="shared" si="0"/>
        <v>680.66666666666663</v>
      </c>
      <c r="M62" s="7">
        <f t="shared" si="1"/>
        <v>331.33333333333331</v>
      </c>
    </row>
    <row r="63" spans="1:13" s="5" customFormat="1" ht="15.75" hidden="1" customHeight="1">
      <c r="A63" s="1">
        <v>39448</v>
      </c>
      <c r="B63" s="6">
        <v>1852</v>
      </c>
      <c r="C63" s="6">
        <v>744</v>
      </c>
      <c r="D63" s="11">
        <v>364</v>
      </c>
      <c r="E63" s="11">
        <v>212</v>
      </c>
      <c r="F63" s="6">
        <v>182</v>
      </c>
      <c r="G63" s="6">
        <v>155</v>
      </c>
      <c r="H63" s="6"/>
      <c r="I63" s="6"/>
      <c r="J63" s="6"/>
      <c r="K63" s="6"/>
      <c r="L63" s="7">
        <f t="shared" si="0"/>
        <v>799.33333333333337</v>
      </c>
      <c r="M63" s="7">
        <f t="shared" si="1"/>
        <v>370.33333333333331</v>
      </c>
    </row>
    <row r="64" spans="1:13" s="5" customFormat="1" ht="15.75" hidden="1" customHeight="1">
      <c r="A64" s="1">
        <v>39479</v>
      </c>
      <c r="B64" s="6">
        <v>1528</v>
      </c>
      <c r="C64" s="6">
        <v>874</v>
      </c>
      <c r="D64" s="11">
        <v>282</v>
      </c>
      <c r="E64" s="11">
        <v>259</v>
      </c>
      <c r="F64" s="6">
        <v>185</v>
      </c>
      <c r="G64" s="6">
        <v>158</v>
      </c>
      <c r="H64" s="6"/>
      <c r="I64" s="6"/>
      <c r="J64" s="6"/>
      <c r="K64" s="6"/>
      <c r="L64" s="7">
        <f t="shared" si="0"/>
        <v>665</v>
      </c>
      <c r="M64" s="7">
        <f t="shared" si="1"/>
        <v>430.33333333333331</v>
      </c>
    </row>
    <row r="65" spans="1:13" s="5" customFormat="1" ht="15.75" hidden="1" customHeight="1">
      <c r="A65" s="1">
        <v>39508</v>
      </c>
      <c r="B65" s="6">
        <v>1645</v>
      </c>
      <c r="C65" s="6">
        <v>881</v>
      </c>
      <c r="D65" s="11">
        <v>313</v>
      </c>
      <c r="E65" s="11">
        <v>235</v>
      </c>
      <c r="F65" s="6">
        <v>219</v>
      </c>
      <c r="G65" s="6">
        <v>125</v>
      </c>
      <c r="H65" s="6"/>
      <c r="I65" s="6"/>
      <c r="J65" s="6"/>
      <c r="K65" s="6"/>
      <c r="L65" s="7">
        <f t="shared" si="0"/>
        <v>725.66666666666663</v>
      </c>
      <c r="M65" s="7">
        <f t="shared" si="1"/>
        <v>413.66666666666669</v>
      </c>
    </row>
    <row r="66" spans="1:13" s="5" customFormat="1" ht="15.75" hidden="1" customHeight="1">
      <c r="A66" s="1">
        <v>39539</v>
      </c>
      <c r="B66" s="6">
        <v>1582</v>
      </c>
      <c r="C66" s="6">
        <v>871</v>
      </c>
      <c r="D66" s="11">
        <v>270</v>
      </c>
      <c r="E66" s="11">
        <v>216</v>
      </c>
      <c r="F66" s="6">
        <v>209</v>
      </c>
      <c r="G66" s="6">
        <v>99</v>
      </c>
      <c r="H66" s="6"/>
      <c r="I66" s="6"/>
      <c r="J66" s="6"/>
      <c r="K66" s="6"/>
      <c r="L66" s="7">
        <f t="shared" si="0"/>
        <v>687</v>
      </c>
      <c r="M66" s="7">
        <f t="shared" si="1"/>
        <v>395.33333333333331</v>
      </c>
    </row>
    <row r="67" spans="1:13" s="5" customFormat="1" ht="15.75" hidden="1" customHeight="1">
      <c r="A67" s="1">
        <v>39569</v>
      </c>
      <c r="B67" s="6">
        <v>1347</v>
      </c>
      <c r="C67" s="6">
        <v>873</v>
      </c>
      <c r="D67" s="11">
        <v>264</v>
      </c>
      <c r="E67" s="11">
        <v>146</v>
      </c>
      <c r="F67" s="6">
        <v>187</v>
      </c>
      <c r="G67" s="6">
        <v>152</v>
      </c>
      <c r="H67" s="6"/>
      <c r="I67" s="6"/>
      <c r="J67" s="6"/>
      <c r="K67" s="6"/>
      <c r="L67" s="7">
        <f t="shared" si="0"/>
        <v>599.33333333333337</v>
      </c>
      <c r="M67" s="7">
        <f t="shared" si="1"/>
        <v>390.33333333333331</v>
      </c>
    </row>
    <row r="68" spans="1:13" s="5" customFormat="1" ht="15.75" hidden="1" customHeight="1">
      <c r="A68" s="1">
        <v>39600</v>
      </c>
      <c r="B68" s="6">
        <v>1247</v>
      </c>
      <c r="C68" s="6">
        <v>720</v>
      </c>
      <c r="D68" s="11">
        <v>240</v>
      </c>
      <c r="E68" s="11">
        <v>161</v>
      </c>
      <c r="F68" s="6">
        <v>172</v>
      </c>
      <c r="G68" s="6">
        <v>128</v>
      </c>
      <c r="H68" s="6"/>
      <c r="I68" s="6"/>
      <c r="J68" s="6"/>
      <c r="K68" s="6"/>
      <c r="L68" s="7">
        <f t="shared" ref="L68:L86" si="2">(B68+D68+F68)/3</f>
        <v>553</v>
      </c>
      <c r="M68" s="7">
        <f t="shared" ref="M68:M86" si="3">(C68+E68+G68)/3</f>
        <v>336.33333333333331</v>
      </c>
    </row>
    <row r="69" spans="1:13" s="5" customFormat="1" ht="15.75" hidden="1" customHeight="1">
      <c r="A69" s="1">
        <v>39630</v>
      </c>
      <c r="B69" s="6">
        <v>1314</v>
      </c>
      <c r="C69" s="6">
        <v>666</v>
      </c>
      <c r="D69" s="11">
        <v>244</v>
      </c>
      <c r="E69" s="11">
        <v>155</v>
      </c>
      <c r="F69" s="6">
        <v>161</v>
      </c>
      <c r="G69" s="6">
        <v>96</v>
      </c>
      <c r="H69" s="6"/>
      <c r="I69" s="6"/>
      <c r="J69" s="6"/>
      <c r="K69" s="6"/>
      <c r="L69" s="7">
        <f t="shared" si="2"/>
        <v>573</v>
      </c>
      <c r="M69" s="7">
        <f t="shared" si="3"/>
        <v>305.66666666666669</v>
      </c>
    </row>
    <row r="70" spans="1:13" s="5" customFormat="1" ht="15.75" hidden="1" customHeight="1">
      <c r="A70" s="1">
        <v>39661</v>
      </c>
      <c r="B70" s="6">
        <v>1170</v>
      </c>
      <c r="C70" s="6">
        <v>620</v>
      </c>
      <c r="D70" s="11">
        <v>258</v>
      </c>
      <c r="E70" s="11">
        <v>101</v>
      </c>
      <c r="F70" s="6">
        <v>140</v>
      </c>
      <c r="G70" s="6">
        <v>95</v>
      </c>
      <c r="H70" s="6"/>
      <c r="I70" s="6"/>
      <c r="J70" s="6"/>
      <c r="K70" s="6"/>
      <c r="L70" s="7">
        <f t="shared" si="2"/>
        <v>522.66666666666663</v>
      </c>
      <c r="M70" s="7">
        <f t="shared" si="3"/>
        <v>272</v>
      </c>
    </row>
    <row r="71" spans="1:13" s="5" customFormat="1" ht="15.75" hidden="1" customHeight="1">
      <c r="A71" s="1">
        <v>39692</v>
      </c>
      <c r="B71" s="6">
        <v>1172</v>
      </c>
      <c r="C71" s="6">
        <v>577</v>
      </c>
      <c r="D71" s="11">
        <v>278</v>
      </c>
      <c r="E71" s="11">
        <v>99</v>
      </c>
      <c r="F71" s="6">
        <v>154</v>
      </c>
      <c r="G71" s="6">
        <v>99</v>
      </c>
      <c r="H71" s="6"/>
      <c r="I71" s="6"/>
      <c r="J71" s="6"/>
      <c r="K71" s="6"/>
      <c r="L71" s="7">
        <f t="shared" si="2"/>
        <v>534.66666666666663</v>
      </c>
      <c r="M71" s="7">
        <f t="shared" si="3"/>
        <v>258.33333333333331</v>
      </c>
    </row>
    <row r="72" spans="1:13" ht="15.75" hidden="1" customHeight="1">
      <c r="A72" s="1">
        <v>39722</v>
      </c>
      <c r="B72" s="6">
        <v>1022</v>
      </c>
      <c r="C72" s="6">
        <v>527</v>
      </c>
      <c r="D72" s="11">
        <v>190</v>
      </c>
      <c r="E72" s="11">
        <v>135</v>
      </c>
      <c r="F72" s="6">
        <v>138</v>
      </c>
      <c r="G72" s="6">
        <v>91</v>
      </c>
      <c r="H72" s="7"/>
      <c r="I72" s="7"/>
      <c r="J72" s="7"/>
      <c r="K72" s="7"/>
      <c r="L72" s="7">
        <f t="shared" si="2"/>
        <v>450</v>
      </c>
      <c r="M72" s="7">
        <f t="shared" si="3"/>
        <v>251</v>
      </c>
    </row>
    <row r="73" spans="1:13" hidden="1">
      <c r="A73" s="1">
        <v>39753</v>
      </c>
      <c r="B73" s="6">
        <v>884</v>
      </c>
      <c r="C73" s="6">
        <v>483</v>
      </c>
      <c r="D73" s="11">
        <v>221</v>
      </c>
      <c r="E73" s="11">
        <v>101</v>
      </c>
      <c r="F73" s="6">
        <v>117</v>
      </c>
      <c r="G73" s="6">
        <v>102</v>
      </c>
      <c r="H73" s="7"/>
      <c r="I73" s="7"/>
      <c r="J73" s="7"/>
      <c r="K73" s="7"/>
      <c r="L73" s="7">
        <f t="shared" si="2"/>
        <v>407.33333333333331</v>
      </c>
      <c r="M73" s="7">
        <f t="shared" si="3"/>
        <v>228.66666666666666</v>
      </c>
    </row>
    <row r="74" spans="1:13" hidden="1">
      <c r="A74" s="1">
        <v>39783</v>
      </c>
      <c r="B74" s="6">
        <v>1018</v>
      </c>
      <c r="C74" s="6">
        <v>570</v>
      </c>
      <c r="D74" s="11">
        <v>201</v>
      </c>
      <c r="E74" s="11">
        <v>110</v>
      </c>
      <c r="F74" s="6">
        <v>143</v>
      </c>
      <c r="G74" s="6">
        <v>69</v>
      </c>
      <c r="H74" s="7"/>
      <c r="I74" s="7"/>
      <c r="J74" s="7"/>
      <c r="K74" s="7"/>
      <c r="L74" s="7">
        <f t="shared" si="2"/>
        <v>454</v>
      </c>
      <c r="M74" s="7">
        <f t="shared" si="3"/>
        <v>249.66666666666666</v>
      </c>
    </row>
    <row r="75" spans="1:13" hidden="1">
      <c r="A75" s="1">
        <v>39814</v>
      </c>
      <c r="B75" s="6">
        <v>1025</v>
      </c>
      <c r="C75" s="6">
        <v>531</v>
      </c>
      <c r="D75" s="11">
        <v>207</v>
      </c>
      <c r="E75" s="11">
        <v>61</v>
      </c>
      <c r="F75" s="6">
        <v>129</v>
      </c>
      <c r="G75" s="6">
        <v>88</v>
      </c>
      <c r="H75" s="7"/>
      <c r="I75" s="7"/>
      <c r="J75" s="7"/>
      <c r="K75" s="7"/>
      <c r="L75" s="7">
        <f t="shared" si="2"/>
        <v>453.66666666666669</v>
      </c>
      <c r="M75" s="7">
        <f t="shared" si="3"/>
        <v>226.66666666666666</v>
      </c>
    </row>
    <row r="76" spans="1:13" hidden="1">
      <c r="A76" s="1">
        <v>39845</v>
      </c>
      <c r="B76" s="6">
        <v>800</v>
      </c>
      <c r="C76" s="6">
        <v>472</v>
      </c>
      <c r="D76" s="11">
        <v>184</v>
      </c>
      <c r="E76" s="11">
        <v>99</v>
      </c>
      <c r="F76" s="6">
        <v>115</v>
      </c>
      <c r="G76" s="6">
        <v>76</v>
      </c>
      <c r="H76" s="7"/>
      <c r="I76" s="7"/>
      <c r="J76" s="7"/>
      <c r="K76" s="7"/>
      <c r="L76" s="7">
        <f t="shared" si="2"/>
        <v>366.33333333333331</v>
      </c>
      <c r="M76" s="7">
        <f t="shared" si="3"/>
        <v>215.66666666666666</v>
      </c>
    </row>
    <row r="77" spans="1:13" hidden="1">
      <c r="A77" s="1">
        <v>39873</v>
      </c>
      <c r="B77" s="6">
        <v>1302</v>
      </c>
      <c r="C77" s="6">
        <v>479</v>
      </c>
      <c r="D77" s="11">
        <v>237</v>
      </c>
      <c r="E77" s="11">
        <v>117</v>
      </c>
      <c r="F77" s="6">
        <v>146</v>
      </c>
      <c r="G77" s="6">
        <v>100</v>
      </c>
      <c r="H77" s="7"/>
      <c r="I77" s="7"/>
      <c r="J77" s="7"/>
      <c r="K77" s="7"/>
      <c r="L77" s="7">
        <f t="shared" si="2"/>
        <v>561.66666666666663</v>
      </c>
      <c r="M77" s="7">
        <f t="shared" si="3"/>
        <v>232</v>
      </c>
    </row>
    <row r="78" spans="1:13" hidden="1">
      <c r="A78" s="1">
        <v>39904</v>
      </c>
      <c r="B78" s="6">
        <v>781</v>
      </c>
      <c r="C78" s="6">
        <v>527</v>
      </c>
      <c r="D78" s="11">
        <v>152</v>
      </c>
      <c r="E78" s="11">
        <v>100</v>
      </c>
      <c r="F78" s="6">
        <v>100</v>
      </c>
      <c r="G78" s="6">
        <v>67</v>
      </c>
      <c r="H78" s="7"/>
      <c r="I78" s="7"/>
      <c r="J78" s="7"/>
      <c r="K78" s="7"/>
      <c r="L78" s="7">
        <f t="shared" si="2"/>
        <v>344.33333333333331</v>
      </c>
      <c r="M78" s="7">
        <f t="shared" si="3"/>
        <v>231.33333333333334</v>
      </c>
    </row>
    <row r="79" spans="1:13" hidden="1">
      <c r="A79" s="1">
        <v>39934</v>
      </c>
      <c r="B79" s="6">
        <v>834</v>
      </c>
      <c r="C79" s="6">
        <v>384</v>
      </c>
      <c r="D79" s="11">
        <v>142</v>
      </c>
      <c r="E79" s="11">
        <v>99</v>
      </c>
      <c r="F79" s="6">
        <v>117</v>
      </c>
      <c r="G79" s="6">
        <v>78</v>
      </c>
      <c r="H79" s="7"/>
      <c r="I79" s="7"/>
      <c r="J79" s="7"/>
      <c r="K79" s="7"/>
      <c r="L79" s="7">
        <f t="shared" si="2"/>
        <v>364.33333333333331</v>
      </c>
      <c r="M79" s="7">
        <f t="shared" si="3"/>
        <v>187</v>
      </c>
    </row>
    <row r="80" spans="1:13" hidden="1">
      <c r="A80" s="1">
        <v>39965</v>
      </c>
      <c r="B80" s="6">
        <v>810</v>
      </c>
      <c r="C80" s="6">
        <v>437</v>
      </c>
      <c r="D80" s="11">
        <v>185</v>
      </c>
      <c r="E80" s="11">
        <v>117</v>
      </c>
      <c r="F80" s="6">
        <v>142</v>
      </c>
      <c r="G80" s="6">
        <v>81</v>
      </c>
      <c r="H80" s="7"/>
      <c r="I80" s="7"/>
      <c r="J80" s="7"/>
      <c r="K80" s="7"/>
      <c r="L80" s="7">
        <f t="shared" si="2"/>
        <v>379</v>
      </c>
      <c r="M80" s="7">
        <f t="shared" si="3"/>
        <v>211.66666666666666</v>
      </c>
    </row>
    <row r="81" spans="1:13" hidden="1">
      <c r="A81" s="1">
        <v>39995</v>
      </c>
      <c r="B81" s="6">
        <v>912</v>
      </c>
      <c r="C81" s="6">
        <v>446</v>
      </c>
      <c r="D81" s="11">
        <v>163</v>
      </c>
      <c r="E81" s="11">
        <v>139</v>
      </c>
      <c r="F81" s="6">
        <v>98</v>
      </c>
      <c r="G81" s="6">
        <v>68</v>
      </c>
      <c r="H81" s="7"/>
      <c r="I81" s="7"/>
      <c r="J81" s="7"/>
      <c r="K81" s="7"/>
      <c r="L81" s="7">
        <f t="shared" si="2"/>
        <v>391</v>
      </c>
      <c r="M81" s="7">
        <f t="shared" si="3"/>
        <v>217.66666666666666</v>
      </c>
    </row>
    <row r="82" spans="1:13" hidden="1">
      <c r="A82" s="1">
        <v>40026</v>
      </c>
      <c r="B82" s="6">
        <v>836</v>
      </c>
      <c r="C82" s="6">
        <v>429</v>
      </c>
      <c r="D82" s="11">
        <v>171</v>
      </c>
      <c r="E82" s="11">
        <v>118</v>
      </c>
      <c r="F82" s="6">
        <v>100</v>
      </c>
      <c r="G82" s="6">
        <v>65</v>
      </c>
      <c r="H82" s="7"/>
      <c r="I82" s="7"/>
      <c r="J82" s="7"/>
      <c r="K82" s="7"/>
      <c r="L82" s="7">
        <f t="shared" si="2"/>
        <v>369</v>
      </c>
      <c r="M82" s="7">
        <f t="shared" si="3"/>
        <v>204</v>
      </c>
    </row>
    <row r="83" spans="1:13" hidden="1">
      <c r="A83" s="1">
        <v>40057</v>
      </c>
      <c r="B83" s="6">
        <v>853</v>
      </c>
      <c r="C83" s="6">
        <v>409</v>
      </c>
      <c r="D83" s="11">
        <v>144</v>
      </c>
      <c r="E83" s="11">
        <v>107</v>
      </c>
      <c r="F83" s="6">
        <v>117</v>
      </c>
      <c r="G83" s="6">
        <v>90</v>
      </c>
      <c r="H83" s="7"/>
      <c r="I83" s="7"/>
      <c r="J83" s="7"/>
      <c r="K83" s="7"/>
      <c r="L83" s="7">
        <f t="shared" si="2"/>
        <v>371.33333333333331</v>
      </c>
      <c r="M83" s="7">
        <f t="shared" si="3"/>
        <v>202</v>
      </c>
    </row>
    <row r="84" spans="1:13" hidden="1">
      <c r="A84" s="1">
        <v>40087</v>
      </c>
      <c r="B84" s="6">
        <v>922</v>
      </c>
      <c r="C84" s="6">
        <v>399</v>
      </c>
      <c r="D84" s="11">
        <v>142</v>
      </c>
      <c r="E84" s="11">
        <v>94</v>
      </c>
      <c r="F84" s="6">
        <v>101</v>
      </c>
      <c r="G84" s="6">
        <v>79</v>
      </c>
      <c r="H84" s="7"/>
      <c r="I84" s="7"/>
      <c r="J84" s="7"/>
      <c r="K84" s="7"/>
      <c r="L84" s="7">
        <f t="shared" si="2"/>
        <v>388.33333333333331</v>
      </c>
      <c r="M84" s="7">
        <f t="shared" si="3"/>
        <v>190.66666666666666</v>
      </c>
    </row>
    <row r="85" spans="1:13" hidden="1">
      <c r="A85" s="1">
        <v>40118</v>
      </c>
      <c r="B85" s="6">
        <v>812</v>
      </c>
      <c r="C85" s="6">
        <v>370</v>
      </c>
      <c r="D85" s="11">
        <v>136</v>
      </c>
      <c r="E85" s="11">
        <v>89</v>
      </c>
      <c r="F85" s="6">
        <v>105</v>
      </c>
      <c r="G85" s="6">
        <v>51</v>
      </c>
      <c r="H85" s="7"/>
      <c r="I85" s="7"/>
      <c r="J85" s="7"/>
      <c r="K85" s="7"/>
      <c r="L85" s="7">
        <f t="shared" si="2"/>
        <v>351</v>
      </c>
      <c r="M85" s="7">
        <f t="shared" si="3"/>
        <v>170</v>
      </c>
    </row>
    <row r="86" spans="1:13" hidden="1">
      <c r="A86" s="1">
        <v>40148</v>
      </c>
      <c r="B86" s="6">
        <v>972</v>
      </c>
      <c r="C86" s="6">
        <v>430</v>
      </c>
      <c r="D86" s="11">
        <v>139</v>
      </c>
      <c r="E86" s="11">
        <v>97</v>
      </c>
      <c r="F86" s="6">
        <v>124</v>
      </c>
      <c r="G86" s="6">
        <v>62</v>
      </c>
      <c r="H86" s="7"/>
      <c r="I86" s="7"/>
      <c r="J86" s="7"/>
      <c r="K86" s="7"/>
      <c r="L86" s="7">
        <f t="shared" si="2"/>
        <v>411.66666666666669</v>
      </c>
      <c r="M86" s="7">
        <f t="shared" si="3"/>
        <v>196.33333333333334</v>
      </c>
    </row>
    <row r="87" spans="1:13">
      <c r="A87" s="1">
        <v>40179</v>
      </c>
      <c r="B87" s="9">
        <v>1255</v>
      </c>
      <c r="C87" s="7">
        <v>435</v>
      </c>
      <c r="D87" s="7">
        <v>271</v>
      </c>
      <c r="E87" s="7">
        <v>136</v>
      </c>
      <c r="F87" s="7">
        <v>159</v>
      </c>
      <c r="G87" s="7">
        <v>75</v>
      </c>
      <c r="H87" s="7">
        <v>162</v>
      </c>
      <c r="I87" s="7">
        <v>67</v>
      </c>
      <c r="J87" s="7">
        <v>91</v>
      </c>
      <c r="K87" s="7">
        <v>42</v>
      </c>
      <c r="L87" s="7">
        <f t="shared" ref="L87:L90" si="4">(B87+D87+F87+H87+J87)/5</f>
        <v>387.6</v>
      </c>
      <c r="M87" s="7">
        <f t="shared" ref="M87:M90" si="5">(C87+E87+G87+I87+K87)/5</f>
        <v>151</v>
      </c>
    </row>
    <row r="88" spans="1:13">
      <c r="A88" s="1">
        <v>40210</v>
      </c>
      <c r="B88" s="9">
        <v>1079</v>
      </c>
      <c r="C88" s="7">
        <v>453</v>
      </c>
      <c r="D88" s="7">
        <v>221</v>
      </c>
      <c r="E88" s="7">
        <v>128</v>
      </c>
      <c r="F88" s="7">
        <v>129</v>
      </c>
      <c r="G88" s="7">
        <v>107</v>
      </c>
      <c r="H88" s="7">
        <v>94</v>
      </c>
      <c r="I88" s="7">
        <v>67</v>
      </c>
      <c r="J88" s="7">
        <v>76</v>
      </c>
      <c r="K88" s="7">
        <v>32</v>
      </c>
      <c r="L88" s="7">
        <f t="shared" si="4"/>
        <v>319.8</v>
      </c>
      <c r="M88" s="7">
        <f t="shared" si="5"/>
        <v>157.4</v>
      </c>
    </row>
    <row r="89" spans="1:13">
      <c r="A89" s="1">
        <v>40238</v>
      </c>
      <c r="B89" s="7">
        <v>1350</v>
      </c>
      <c r="C89" s="7">
        <v>481</v>
      </c>
      <c r="D89" s="7">
        <v>286</v>
      </c>
      <c r="E89" s="7">
        <v>148</v>
      </c>
      <c r="F89" s="7">
        <v>146</v>
      </c>
      <c r="G89" s="7">
        <v>65</v>
      </c>
      <c r="H89" s="7">
        <v>112</v>
      </c>
      <c r="I89" s="7">
        <v>24</v>
      </c>
      <c r="J89" s="7">
        <v>86</v>
      </c>
      <c r="K89" s="7">
        <v>33</v>
      </c>
      <c r="L89" s="7">
        <f t="shared" si="4"/>
        <v>396</v>
      </c>
      <c r="M89" s="7">
        <f t="shared" si="5"/>
        <v>150.19999999999999</v>
      </c>
    </row>
    <row r="90" spans="1:13">
      <c r="A90" s="1">
        <v>40269</v>
      </c>
      <c r="B90" s="7">
        <v>1078</v>
      </c>
      <c r="C90" s="7">
        <v>480</v>
      </c>
      <c r="D90" s="7">
        <v>240</v>
      </c>
      <c r="E90" s="7">
        <v>106</v>
      </c>
      <c r="F90" s="7">
        <v>138</v>
      </c>
      <c r="G90" s="7">
        <v>74</v>
      </c>
      <c r="H90" s="7">
        <v>107</v>
      </c>
      <c r="I90" s="7">
        <v>95</v>
      </c>
      <c r="J90" s="7">
        <v>79</v>
      </c>
      <c r="K90" s="7">
        <v>89</v>
      </c>
      <c r="L90" s="7">
        <f t="shared" si="4"/>
        <v>328.4</v>
      </c>
      <c r="M90" s="7">
        <f t="shared" si="5"/>
        <v>168.8</v>
      </c>
    </row>
    <row r="91" spans="1:13">
      <c r="A91" s="1">
        <v>40299</v>
      </c>
      <c r="B91" s="7">
        <v>1183</v>
      </c>
      <c r="C91" s="7">
        <v>505</v>
      </c>
      <c r="D91" s="7">
        <v>249</v>
      </c>
      <c r="E91" s="7">
        <v>113</v>
      </c>
      <c r="F91" s="7">
        <v>148</v>
      </c>
      <c r="G91" s="7">
        <v>74</v>
      </c>
      <c r="H91" s="7">
        <v>118</v>
      </c>
      <c r="I91" s="7">
        <v>93</v>
      </c>
      <c r="J91" s="7">
        <v>93</v>
      </c>
      <c r="K91" s="7">
        <v>48</v>
      </c>
      <c r="L91" s="7">
        <f t="shared" ref="L91:L103" si="6">(B91+D91+F91+H91+J91)/5</f>
        <v>358.2</v>
      </c>
      <c r="M91" s="7">
        <f t="shared" ref="M91:M109" si="7">(C91+E91+G91+I91+K91)/5</f>
        <v>166.6</v>
      </c>
    </row>
    <row r="92" spans="1:13">
      <c r="A92" s="1">
        <v>40330</v>
      </c>
      <c r="B92" s="7">
        <v>1298</v>
      </c>
      <c r="C92" s="7">
        <v>547</v>
      </c>
      <c r="D92" s="7">
        <v>270</v>
      </c>
      <c r="E92" s="7">
        <v>131</v>
      </c>
      <c r="F92" s="7">
        <v>156</v>
      </c>
      <c r="G92" s="7">
        <v>84</v>
      </c>
      <c r="H92" s="7">
        <v>118</v>
      </c>
      <c r="I92" s="7">
        <v>69</v>
      </c>
      <c r="J92" s="7">
        <v>90</v>
      </c>
      <c r="K92" s="7">
        <v>28</v>
      </c>
      <c r="L92" s="7">
        <f t="shared" si="6"/>
        <v>386.4</v>
      </c>
      <c r="M92" s="7">
        <f t="shared" si="7"/>
        <v>171.8</v>
      </c>
    </row>
    <row r="93" spans="1:13">
      <c r="A93" s="1">
        <v>40360</v>
      </c>
      <c r="B93" s="7">
        <v>1287</v>
      </c>
      <c r="C93" s="7">
        <v>501</v>
      </c>
      <c r="D93" s="7">
        <v>255</v>
      </c>
      <c r="E93" s="7">
        <v>132</v>
      </c>
      <c r="F93" s="7">
        <v>61</v>
      </c>
      <c r="G93" s="7">
        <v>86</v>
      </c>
      <c r="H93" s="7">
        <v>113</v>
      </c>
      <c r="I93" s="7">
        <v>65</v>
      </c>
      <c r="J93" s="7">
        <v>210</v>
      </c>
      <c r="K93" s="7">
        <v>43</v>
      </c>
      <c r="L93" s="7">
        <f t="shared" si="6"/>
        <v>385.2</v>
      </c>
      <c r="M93" s="7">
        <f t="shared" si="7"/>
        <v>165.4</v>
      </c>
    </row>
    <row r="94" spans="1:13">
      <c r="A94" s="1">
        <v>40391</v>
      </c>
      <c r="B94" s="7">
        <v>1417</v>
      </c>
      <c r="C94" s="7">
        <v>532</v>
      </c>
      <c r="D94" s="7">
        <v>242</v>
      </c>
      <c r="E94" s="7">
        <v>132</v>
      </c>
      <c r="F94" s="7">
        <v>173</v>
      </c>
      <c r="G94" s="7">
        <v>95</v>
      </c>
      <c r="H94" s="7">
        <v>134</v>
      </c>
      <c r="I94" s="7">
        <v>73</v>
      </c>
      <c r="J94" s="7">
        <v>90</v>
      </c>
      <c r="K94" s="7">
        <v>61</v>
      </c>
      <c r="L94" s="7">
        <f t="shared" si="6"/>
        <v>411.2</v>
      </c>
      <c r="M94" s="7">
        <f t="shared" si="7"/>
        <v>178.6</v>
      </c>
    </row>
    <row r="95" spans="1:13">
      <c r="A95" s="1">
        <v>40422</v>
      </c>
      <c r="B95" s="7">
        <v>1001</v>
      </c>
      <c r="C95" s="7">
        <v>426</v>
      </c>
      <c r="D95" s="7">
        <v>204</v>
      </c>
      <c r="E95" s="7">
        <v>152</v>
      </c>
      <c r="F95" s="7">
        <v>139</v>
      </c>
      <c r="G95" s="7">
        <v>97</v>
      </c>
      <c r="H95" s="7">
        <v>91</v>
      </c>
      <c r="I95" s="7">
        <v>68</v>
      </c>
      <c r="J95" s="7">
        <v>92</v>
      </c>
      <c r="K95" s="7">
        <v>54</v>
      </c>
      <c r="L95" s="7">
        <f t="shared" si="6"/>
        <v>305.39999999999998</v>
      </c>
      <c r="M95" s="7">
        <f t="shared" si="7"/>
        <v>159.4</v>
      </c>
    </row>
    <row r="96" spans="1:13">
      <c r="A96" s="1">
        <v>40452</v>
      </c>
      <c r="B96" s="7">
        <v>1005</v>
      </c>
      <c r="C96" s="7">
        <v>461</v>
      </c>
      <c r="D96" s="7">
        <v>218</v>
      </c>
      <c r="E96" s="7">
        <v>129</v>
      </c>
      <c r="F96" s="7">
        <v>76</v>
      </c>
      <c r="G96" s="7">
        <v>62</v>
      </c>
      <c r="H96" s="7">
        <v>114</v>
      </c>
      <c r="I96" s="7">
        <v>72</v>
      </c>
      <c r="J96" s="7">
        <v>76</v>
      </c>
      <c r="K96" s="7">
        <v>47</v>
      </c>
      <c r="L96" s="7">
        <f t="shared" si="6"/>
        <v>297.8</v>
      </c>
      <c r="M96" s="7">
        <f>(C96+E96+G96+I96+K96)/5</f>
        <v>154.19999999999999</v>
      </c>
    </row>
    <row r="97" spans="1:13">
      <c r="A97" s="1">
        <v>40483</v>
      </c>
      <c r="B97" s="7">
        <v>1097</v>
      </c>
      <c r="C97" s="7">
        <v>392</v>
      </c>
      <c r="D97" s="7">
        <v>237</v>
      </c>
      <c r="E97" s="7">
        <v>118</v>
      </c>
      <c r="F97" s="7">
        <v>159</v>
      </c>
      <c r="G97" s="7">
        <v>88</v>
      </c>
      <c r="H97" s="7">
        <v>114</v>
      </c>
      <c r="I97" s="7">
        <v>90</v>
      </c>
      <c r="J97" s="7">
        <v>85</v>
      </c>
      <c r="K97" s="7">
        <v>73</v>
      </c>
      <c r="L97" s="7">
        <f t="shared" si="6"/>
        <v>338.4</v>
      </c>
      <c r="M97" s="7">
        <f t="shared" si="7"/>
        <v>152.19999999999999</v>
      </c>
    </row>
    <row r="98" spans="1:13">
      <c r="A98" s="1">
        <v>40513</v>
      </c>
      <c r="B98" s="7">
        <v>1516</v>
      </c>
      <c r="C98" s="7">
        <v>547</v>
      </c>
      <c r="D98" s="7">
        <v>281</v>
      </c>
      <c r="E98" s="7">
        <v>141</v>
      </c>
      <c r="F98" s="7">
        <v>174</v>
      </c>
      <c r="G98" s="7">
        <v>111</v>
      </c>
      <c r="H98" s="7">
        <v>137</v>
      </c>
      <c r="I98" s="7">
        <v>87</v>
      </c>
      <c r="J98" s="7">
        <v>121</v>
      </c>
      <c r="K98" s="7">
        <v>56</v>
      </c>
      <c r="L98" s="7">
        <f>(B98+D98+F98+H98+J98)/5</f>
        <v>445.8</v>
      </c>
      <c r="M98" s="7">
        <f t="shared" si="7"/>
        <v>188.4</v>
      </c>
    </row>
    <row r="99" spans="1:13">
      <c r="A99" s="1">
        <v>40554</v>
      </c>
      <c r="B99" s="7">
        <v>1324</v>
      </c>
      <c r="C99" s="7">
        <v>448</v>
      </c>
      <c r="D99" s="7">
        <v>322</v>
      </c>
      <c r="E99" s="7">
        <v>111</v>
      </c>
      <c r="F99" s="7">
        <v>189</v>
      </c>
      <c r="G99" s="7">
        <v>88</v>
      </c>
      <c r="H99" s="7">
        <v>132</v>
      </c>
      <c r="I99" s="7">
        <v>88</v>
      </c>
      <c r="J99" s="7">
        <v>129</v>
      </c>
      <c r="K99" s="7">
        <v>30</v>
      </c>
      <c r="L99" s="7">
        <f>(B99+D99+F99+H99+J99)/5</f>
        <v>419.2</v>
      </c>
      <c r="M99" s="7">
        <f t="shared" si="7"/>
        <v>153</v>
      </c>
    </row>
    <row r="100" spans="1:13">
      <c r="A100" s="1">
        <v>40585</v>
      </c>
      <c r="B100" s="7">
        <v>1618</v>
      </c>
      <c r="C100" s="7">
        <v>510</v>
      </c>
      <c r="D100" s="7">
        <v>325</v>
      </c>
      <c r="E100" s="7">
        <v>174</v>
      </c>
      <c r="F100" s="7">
        <v>201</v>
      </c>
      <c r="G100" s="7">
        <v>75</v>
      </c>
      <c r="H100" s="7">
        <v>139</v>
      </c>
      <c r="I100" s="7">
        <v>91</v>
      </c>
      <c r="J100" s="7">
        <v>111</v>
      </c>
      <c r="K100" s="7">
        <v>49</v>
      </c>
      <c r="L100" s="7">
        <f t="shared" si="6"/>
        <v>478.8</v>
      </c>
      <c r="M100" s="7">
        <f t="shared" si="7"/>
        <v>179.8</v>
      </c>
    </row>
    <row r="101" spans="1:13">
      <c r="A101" s="1">
        <v>40613</v>
      </c>
      <c r="B101" s="7">
        <v>1748</v>
      </c>
      <c r="C101" s="7">
        <v>731</v>
      </c>
      <c r="D101" s="7">
        <v>347</v>
      </c>
      <c r="E101" s="7">
        <v>208</v>
      </c>
      <c r="F101" s="7">
        <v>190</v>
      </c>
      <c r="G101" s="7">
        <v>89</v>
      </c>
      <c r="H101" s="7">
        <v>137</v>
      </c>
      <c r="I101" s="7">
        <v>106</v>
      </c>
      <c r="J101" s="7">
        <v>127</v>
      </c>
      <c r="K101" s="7">
        <v>40</v>
      </c>
      <c r="L101" s="7">
        <f t="shared" si="6"/>
        <v>509.8</v>
      </c>
      <c r="M101" s="7">
        <f t="shared" si="7"/>
        <v>234.8</v>
      </c>
    </row>
    <row r="102" spans="1:13">
      <c r="A102" s="1">
        <v>40644</v>
      </c>
      <c r="B102" s="7">
        <v>1090</v>
      </c>
      <c r="C102" s="7">
        <v>558</v>
      </c>
      <c r="D102" s="7">
        <v>250</v>
      </c>
      <c r="E102" s="7">
        <v>151</v>
      </c>
      <c r="F102" s="7">
        <v>101</v>
      </c>
      <c r="G102" s="7">
        <v>36</v>
      </c>
      <c r="H102" s="7">
        <v>102</v>
      </c>
      <c r="I102" s="7">
        <v>91</v>
      </c>
      <c r="J102" s="7">
        <v>97</v>
      </c>
      <c r="K102" s="7">
        <v>31</v>
      </c>
      <c r="L102" s="7">
        <f t="shared" si="6"/>
        <v>328</v>
      </c>
      <c r="M102" s="7">
        <f t="shared" si="7"/>
        <v>173.4</v>
      </c>
    </row>
    <row r="103" spans="1:13">
      <c r="A103" s="1">
        <v>40674</v>
      </c>
      <c r="B103" s="7">
        <v>1196</v>
      </c>
      <c r="C103" s="7">
        <v>487</v>
      </c>
      <c r="D103" s="7">
        <v>298</v>
      </c>
      <c r="E103" s="7">
        <v>187</v>
      </c>
      <c r="F103" s="7">
        <v>102</v>
      </c>
      <c r="G103" s="7">
        <v>37</v>
      </c>
      <c r="H103" s="7">
        <v>115</v>
      </c>
      <c r="I103" s="7">
        <v>94</v>
      </c>
      <c r="J103" s="7">
        <v>117</v>
      </c>
      <c r="K103" s="7">
        <v>55</v>
      </c>
      <c r="L103" s="7">
        <f t="shared" si="6"/>
        <v>365.6</v>
      </c>
      <c r="M103" s="7">
        <f t="shared" si="7"/>
        <v>172</v>
      </c>
    </row>
    <row r="104" spans="1:13">
      <c r="A104" s="1">
        <v>40705</v>
      </c>
      <c r="B104" s="7">
        <v>1361</v>
      </c>
      <c r="C104" s="7">
        <v>572</v>
      </c>
      <c r="D104" s="7">
        <v>348</v>
      </c>
      <c r="E104" s="7">
        <v>180</v>
      </c>
      <c r="F104" s="7">
        <v>112</v>
      </c>
      <c r="G104" s="7">
        <v>40</v>
      </c>
      <c r="H104" s="7">
        <v>141</v>
      </c>
      <c r="I104" s="7">
        <v>62</v>
      </c>
      <c r="J104" s="7">
        <v>133</v>
      </c>
      <c r="K104" s="7">
        <v>41</v>
      </c>
      <c r="L104" s="7">
        <f>(B104+D104+F104+H104+J104)/5</f>
        <v>419</v>
      </c>
      <c r="M104" s="7">
        <f t="shared" si="7"/>
        <v>179</v>
      </c>
    </row>
    <row r="105" spans="1:13">
      <c r="A105" s="1">
        <v>40735</v>
      </c>
      <c r="B105" s="7">
        <v>1312</v>
      </c>
      <c r="C105" s="7">
        <v>517</v>
      </c>
      <c r="D105" s="7">
        <v>288</v>
      </c>
      <c r="E105" s="7">
        <v>192</v>
      </c>
      <c r="F105" s="7">
        <v>111</v>
      </c>
      <c r="G105" s="7">
        <v>38</v>
      </c>
      <c r="H105" s="7">
        <v>137</v>
      </c>
      <c r="I105" s="7">
        <v>79</v>
      </c>
      <c r="J105" s="7">
        <v>117</v>
      </c>
      <c r="K105" s="7">
        <v>62</v>
      </c>
      <c r="L105" s="7">
        <f t="shared" ref="L105" si="8">(B105+D105+F105+H105+J105)/5</f>
        <v>393</v>
      </c>
      <c r="M105" s="7">
        <f>(C105+E105+G105+I105+K105)/5</f>
        <v>177.6</v>
      </c>
    </row>
    <row r="106" spans="1:13">
      <c r="A106" s="1">
        <v>40766</v>
      </c>
      <c r="B106" s="7">
        <v>1444</v>
      </c>
      <c r="C106" s="7">
        <v>608</v>
      </c>
      <c r="D106" s="7">
        <v>325</v>
      </c>
      <c r="E106" s="7">
        <v>134</v>
      </c>
      <c r="F106" s="7">
        <v>114</v>
      </c>
      <c r="G106" s="7">
        <v>53</v>
      </c>
      <c r="H106" s="7">
        <v>143</v>
      </c>
      <c r="I106" s="7">
        <v>90</v>
      </c>
      <c r="J106" s="7">
        <v>116</v>
      </c>
      <c r="K106" s="7">
        <v>43</v>
      </c>
      <c r="L106" s="7">
        <f t="shared" ref="L106:L113" si="9">(B106+D106+F106+H106+J106)/5</f>
        <v>428.4</v>
      </c>
      <c r="M106" s="7">
        <f>(C106+E106+G106+I106+K106)/5</f>
        <v>185.6</v>
      </c>
    </row>
    <row r="107" spans="1:13">
      <c r="A107" s="1">
        <v>40797</v>
      </c>
      <c r="B107" s="7">
        <v>1362</v>
      </c>
      <c r="C107" s="7">
        <v>606</v>
      </c>
      <c r="D107" s="7">
        <v>284</v>
      </c>
      <c r="E107" s="7">
        <v>137</v>
      </c>
      <c r="F107" s="7">
        <v>103</v>
      </c>
      <c r="G107" s="7">
        <v>38</v>
      </c>
      <c r="H107" s="7">
        <v>134</v>
      </c>
      <c r="I107" s="7">
        <v>112</v>
      </c>
      <c r="J107" s="7">
        <v>125</v>
      </c>
      <c r="K107" s="7">
        <v>64</v>
      </c>
      <c r="L107" s="7">
        <f t="shared" si="9"/>
        <v>401.6</v>
      </c>
      <c r="M107" s="7">
        <f t="shared" si="7"/>
        <v>191.4</v>
      </c>
    </row>
    <row r="108" spans="1:13">
      <c r="A108" s="1">
        <v>40827</v>
      </c>
      <c r="B108" s="7">
        <v>1449</v>
      </c>
      <c r="C108" s="7">
        <v>644</v>
      </c>
      <c r="D108" s="7">
        <v>303</v>
      </c>
      <c r="E108" s="7">
        <v>173</v>
      </c>
      <c r="F108" s="7">
        <v>108</v>
      </c>
      <c r="G108" s="7">
        <v>84</v>
      </c>
      <c r="H108" s="7">
        <v>132</v>
      </c>
      <c r="I108" s="7">
        <v>92</v>
      </c>
      <c r="J108" s="7">
        <v>121</v>
      </c>
      <c r="K108" s="7">
        <v>63</v>
      </c>
      <c r="L108" s="7">
        <f t="shared" si="9"/>
        <v>422.6</v>
      </c>
      <c r="M108" s="7">
        <f t="shared" si="7"/>
        <v>211.2</v>
      </c>
    </row>
    <row r="109" spans="1:13">
      <c r="A109" s="1">
        <v>40858</v>
      </c>
      <c r="B109" s="7">
        <v>1357</v>
      </c>
      <c r="C109" s="7">
        <v>557</v>
      </c>
      <c r="D109" s="7">
        <v>292</v>
      </c>
      <c r="E109" s="7">
        <v>182</v>
      </c>
      <c r="F109" s="7">
        <v>103</v>
      </c>
      <c r="G109" s="7">
        <v>42</v>
      </c>
      <c r="H109" s="7">
        <v>148</v>
      </c>
      <c r="I109" s="7">
        <v>83</v>
      </c>
      <c r="J109" s="7">
        <v>120</v>
      </c>
      <c r="K109" s="7">
        <v>40</v>
      </c>
      <c r="L109" s="7">
        <f t="shared" si="9"/>
        <v>404</v>
      </c>
      <c r="M109" s="7">
        <f t="shared" si="7"/>
        <v>180.8</v>
      </c>
    </row>
    <row r="110" spans="1:13">
      <c r="A110" s="1">
        <v>40888</v>
      </c>
      <c r="B110" s="7">
        <v>1631</v>
      </c>
      <c r="C110" s="7">
        <v>654</v>
      </c>
      <c r="D110" s="7">
        <v>327</v>
      </c>
      <c r="E110" s="7">
        <v>153</v>
      </c>
      <c r="F110" s="7">
        <v>139</v>
      </c>
      <c r="G110" s="7">
        <v>54</v>
      </c>
      <c r="H110" s="7">
        <v>169</v>
      </c>
      <c r="I110" s="7">
        <v>80</v>
      </c>
      <c r="J110" s="7">
        <v>143</v>
      </c>
      <c r="K110" s="7">
        <v>40</v>
      </c>
      <c r="L110" s="7">
        <f t="shared" si="9"/>
        <v>481.8</v>
      </c>
      <c r="M110" s="7">
        <f>(C110+E110+G110+I110+K110)/5</f>
        <v>196.2</v>
      </c>
    </row>
    <row r="111" spans="1:13">
      <c r="A111" s="1">
        <v>40919</v>
      </c>
      <c r="B111" s="7">
        <v>1495</v>
      </c>
      <c r="C111" s="7">
        <v>432</v>
      </c>
      <c r="D111" s="7">
        <v>371</v>
      </c>
      <c r="E111" s="7">
        <v>125</v>
      </c>
      <c r="F111" s="7">
        <v>208</v>
      </c>
      <c r="G111" s="7">
        <v>91</v>
      </c>
      <c r="H111" s="7">
        <v>162</v>
      </c>
      <c r="I111" s="7">
        <v>70</v>
      </c>
      <c r="J111" s="7">
        <v>140</v>
      </c>
      <c r="K111" s="7">
        <v>73</v>
      </c>
      <c r="L111" s="7">
        <f t="shared" si="9"/>
        <v>475.2</v>
      </c>
      <c r="M111" s="7">
        <f>(C111+E111+G111+I111+K111)/5</f>
        <v>158.19999999999999</v>
      </c>
    </row>
    <row r="112" spans="1:13">
      <c r="A112" s="1">
        <v>40950</v>
      </c>
      <c r="B112" s="7">
        <v>1457</v>
      </c>
      <c r="C112" s="7">
        <v>597</v>
      </c>
      <c r="D112" s="7">
        <v>334</v>
      </c>
      <c r="E112" s="7">
        <v>151</v>
      </c>
      <c r="F112" s="7">
        <v>216</v>
      </c>
      <c r="G112" s="7">
        <v>103</v>
      </c>
      <c r="H112" s="7">
        <v>136</v>
      </c>
      <c r="I112" s="7">
        <v>73</v>
      </c>
      <c r="J112" s="7">
        <v>134</v>
      </c>
      <c r="K112" s="7">
        <v>39</v>
      </c>
      <c r="L112" s="7">
        <f t="shared" si="9"/>
        <v>455.4</v>
      </c>
      <c r="M112" s="7">
        <f>(C112+E112+G112+I112+K112)/5</f>
        <v>192.6</v>
      </c>
    </row>
    <row r="113" spans="1:16">
      <c r="A113" s="1">
        <v>40979</v>
      </c>
      <c r="B113" s="7">
        <v>1861</v>
      </c>
      <c r="C113" s="7">
        <v>599</v>
      </c>
      <c r="D113" s="7">
        <v>367</v>
      </c>
      <c r="E113" s="7">
        <v>193</v>
      </c>
      <c r="F113" s="7">
        <v>277</v>
      </c>
      <c r="G113" s="7">
        <v>131</v>
      </c>
      <c r="H113" s="7">
        <v>159</v>
      </c>
      <c r="I113" s="7">
        <v>130</v>
      </c>
      <c r="J113" s="7">
        <v>142</v>
      </c>
      <c r="K113" s="7">
        <v>66</v>
      </c>
      <c r="L113" s="7">
        <f t="shared" si="9"/>
        <v>561.20000000000005</v>
      </c>
      <c r="M113" s="7">
        <f>(C113+E113+G113+I113+K113)/5</f>
        <v>223.8</v>
      </c>
    </row>
    <row r="114" spans="1:16" ht="15.75" thickBot="1">
      <c r="A114" s="1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</row>
    <row r="115" spans="1:16" ht="18.75" customHeight="1" thickBot="1">
      <c r="A115" s="41" t="s">
        <v>16</v>
      </c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3"/>
      <c r="N115" s="16"/>
      <c r="O115" s="17"/>
      <c r="P115" s="17"/>
    </row>
    <row r="116" spans="1:16" ht="17.25" customHeight="1">
      <c r="A116" s="18"/>
      <c r="B116" s="35" t="s">
        <v>0</v>
      </c>
      <c r="C116" s="36"/>
      <c r="D116" s="35" t="s">
        <v>1</v>
      </c>
      <c r="E116" s="36"/>
      <c r="F116" s="35" t="s">
        <v>36</v>
      </c>
      <c r="G116" s="36"/>
      <c r="H116" s="35" t="s">
        <v>5</v>
      </c>
      <c r="I116" s="36"/>
      <c r="J116" s="35" t="s">
        <v>6</v>
      </c>
      <c r="K116" s="36"/>
      <c r="L116" s="35" t="s">
        <v>7</v>
      </c>
      <c r="M116" s="36"/>
      <c r="N116" s="17"/>
      <c r="O116" s="17"/>
      <c r="P116" s="17"/>
    </row>
    <row r="117" spans="1:16" ht="21.75" customHeight="1" thickBot="1">
      <c r="A117" s="29"/>
      <c r="B117" s="19" t="s">
        <v>3</v>
      </c>
      <c r="C117" s="20" t="s">
        <v>4</v>
      </c>
      <c r="D117" s="19" t="s">
        <v>3</v>
      </c>
      <c r="E117" s="20" t="s">
        <v>4</v>
      </c>
      <c r="F117" s="19" t="s">
        <v>3</v>
      </c>
      <c r="G117" s="20" t="s">
        <v>4</v>
      </c>
      <c r="H117" s="19" t="s">
        <v>3</v>
      </c>
      <c r="I117" s="20" t="s">
        <v>4</v>
      </c>
      <c r="J117" s="19" t="s">
        <v>3</v>
      </c>
      <c r="K117" s="20" t="s">
        <v>4</v>
      </c>
      <c r="L117" s="19" t="s">
        <v>3</v>
      </c>
      <c r="M117" s="20" t="s">
        <v>4</v>
      </c>
      <c r="N117" s="17"/>
      <c r="O117" s="17"/>
      <c r="P117" s="17"/>
    </row>
    <row r="118" spans="1:16">
      <c r="A118" s="14" t="s">
        <v>8</v>
      </c>
      <c r="B118" s="15">
        <f t="shared" ref="B118:G118" si="10">AVERAGE(B3:B14)</f>
        <v>1119.25</v>
      </c>
      <c r="C118" s="15">
        <f t="shared" si="10"/>
        <v>389.66666666666669</v>
      </c>
      <c r="D118" s="15">
        <f t="shared" si="10"/>
        <v>179.83333333333334</v>
      </c>
      <c r="E118" s="15">
        <f t="shared" si="10"/>
        <v>114.16666666666667</v>
      </c>
      <c r="F118" s="15">
        <f t="shared" si="10"/>
        <v>113.33333333333333</v>
      </c>
      <c r="G118" s="15">
        <f t="shared" si="10"/>
        <v>73.833333333333329</v>
      </c>
      <c r="H118" s="15"/>
      <c r="I118" s="15"/>
      <c r="J118" s="15"/>
      <c r="K118" s="15"/>
      <c r="L118" s="15">
        <f>AVERAGE(L3:L14)</f>
        <v>470.80555555555549</v>
      </c>
      <c r="M118" s="15">
        <f>AVERAGE(M3:M14)</f>
        <v>192.55555555555557</v>
      </c>
    </row>
    <row r="119" spans="1:16">
      <c r="A119" s="14" t="s">
        <v>9</v>
      </c>
      <c r="B119" s="15">
        <f>AVERAGE(B15:B26)</f>
        <v>1522.9166666666667</v>
      </c>
      <c r="C119" s="15">
        <f t="shared" ref="C119:M119" si="11">AVERAGE(C15:C26)</f>
        <v>521.5</v>
      </c>
      <c r="D119" s="15">
        <f t="shared" si="11"/>
        <v>252.08333333333334</v>
      </c>
      <c r="E119" s="15">
        <f t="shared" si="11"/>
        <v>133.41666666666666</v>
      </c>
      <c r="F119" s="15">
        <f t="shared" si="11"/>
        <v>152.41666666666666</v>
      </c>
      <c r="G119" s="15">
        <f t="shared" si="11"/>
        <v>88.083333333333329</v>
      </c>
      <c r="H119" s="15"/>
      <c r="I119" s="15"/>
      <c r="J119" s="15"/>
      <c r="K119" s="15"/>
      <c r="L119" s="15">
        <f>AVERAGE(L15:L26)</f>
        <v>642.47222222222217</v>
      </c>
      <c r="M119" s="15">
        <f t="shared" si="11"/>
        <v>247.66666666666663</v>
      </c>
    </row>
    <row r="120" spans="1:16">
      <c r="A120" s="14" t="s">
        <v>10</v>
      </c>
      <c r="B120" s="15">
        <f>AVERAGE(B27:B38)</f>
        <v>1919.9166666666667</v>
      </c>
      <c r="C120" s="15">
        <f t="shared" ref="C120:M120" si="12">AVERAGE(C27:C38)</f>
        <v>752.58333333333337</v>
      </c>
      <c r="D120" s="15">
        <f t="shared" si="12"/>
        <v>350.41666666666669</v>
      </c>
      <c r="E120" s="15">
        <f t="shared" si="12"/>
        <v>171.33333333333334</v>
      </c>
      <c r="F120" s="15">
        <f t="shared" si="12"/>
        <v>201.58333333333334</v>
      </c>
      <c r="G120" s="15">
        <f t="shared" si="12"/>
        <v>125.75</v>
      </c>
      <c r="H120" s="15"/>
      <c r="I120" s="15"/>
      <c r="J120" s="15"/>
      <c r="K120" s="15"/>
      <c r="L120" s="15">
        <f t="shared" si="12"/>
        <v>823.97222222222217</v>
      </c>
      <c r="M120" s="15">
        <f t="shared" si="12"/>
        <v>349.88888888888891</v>
      </c>
    </row>
    <row r="121" spans="1:16">
      <c r="A121" s="14" t="s">
        <v>11</v>
      </c>
      <c r="B121" s="15">
        <f>AVERAGE(B39:B50)</f>
        <v>2182.0833333333335</v>
      </c>
      <c r="C121" s="15">
        <f t="shared" ref="C121:M121" si="13">AVERAGE(C39:C50)</f>
        <v>887.66666666666663</v>
      </c>
      <c r="D121" s="15">
        <f t="shared" si="13"/>
        <v>423.75</v>
      </c>
      <c r="E121" s="15">
        <f t="shared" si="13"/>
        <v>193</v>
      </c>
      <c r="F121" s="15">
        <f t="shared" si="13"/>
        <v>225</v>
      </c>
      <c r="G121" s="15">
        <f t="shared" si="13"/>
        <v>167.41666666666666</v>
      </c>
      <c r="H121" s="15"/>
      <c r="I121" s="15"/>
      <c r="J121" s="15"/>
      <c r="K121" s="15"/>
      <c r="L121" s="15">
        <f t="shared" si="13"/>
        <v>943.6111111111112</v>
      </c>
      <c r="M121" s="15">
        <f t="shared" si="13"/>
        <v>416.02777777777783</v>
      </c>
    </row>
    <row r="122" spans="1:16">
      <c r="A122" s="14" t="s">
        <v>12</v>
      </c>
      <c r="B122" s="15">
        <f>AVERAGE(B51:B62)</f>
        <v>1818.1666666666667</v>
      </c>
      <c r="C122" s="15">
        <f t="shared" ref="C122:M122" si="14">AVERAGE(C51:C62)</f>
        <v>887.83333333333337</v>
      </c>
      <c r="D122" s="15">
        <f t="shared" si="14"/>
        <v>388.25</v>
      </c>
      <c r="E122" s="15">
        <f t="shared" si="14"/>
        <v>208.66666666666666</v>
      </c>
      <c r="F122" s="15">
        <f t="shared" si="14"/>
        <v>211.08333333333334</v>
      </c>
      <c r="G122" s="15">
        <f t="shared" si="14"/>
        <v>147</v>
      </c>
      <c r="H122" s="15"/>
      <c r="I122" s="15"/>
      <c r="J122" s="15"/>
      <c r="K122" s="15"/>
      <c r="L122" s="15">
        <f t="shared" si="14"/>
        <v>805.83333333333314</v>
      </c>
      <c r="M122" s="15">
        <f t="shared" si="14"/>
        <v>414.49999999999994</v>
      </c>
    </row>
    <row r="123" spans="1:16">
      <c r="A123" s="14" t="s">
        <v>13</v>
      </c>
      <c r="B123" s="15">
        <f>AVERAGE(B63:B74)</f>
        <v>1315.0833333333333</v>
      </c>
      <c r="C123" s="15">
        <f t="shared" ref="C123:M123" si="15">AVERAGE(C63:C74)</f>
        <v>700.5</v>
      </c>
      <c r="D123" s="15">
        <f t="shared" si="15"/>
        <v>260.41666666666669</v>
      </c>
      <c r="E123" s="15">
        <f t="shared" si="15"/>
        <v>160.83333333333334</v>
      </c>
      <c r="F123" s="15">
        <f t="shared" si="15"/>
        <v>167.25</v>
      </c>
      <c r="G123" s="15">
        <f t="shared" si="15"/>
        <v>114.08333333333333</v>
      </c>
      <c r="H123" s="15"/>
      <c r="I123" s="15"/>
      <c r="J123" s="15"/>
      <c r="K123" s="15"/>
      <c r="L123" s="15">
        <f t="shared" si="15"/>
        <v>580.91666666666674</v>
      </c>
      <c r="M123" s="15">
        <f t="shared" si="15"/>
        <v>325.13888888888886</v>
      </c>
    </row>
    <row r="124" spans="1:16">
      <c r="A124" s="14" t="s">
        <v>14</v>
      </c>
      <c r="B124" s="15">
        <f>AVERAGE(B75:B86)</f>
        <v>904.91666666666663</v>
      </c>
      <c r="C124" s="15">
        <f t="shared" ref="C124:M124" si="16">AVERAGE(C75:C86)</f>
        <v>442.75</v>
      </c>
      <c r="D124" s="15">
        <f t="shared" si="16"/>
        <v>166.83333333333334</v>
      </c>
      <c r="E124" s="15">
        <f t="shared" si="16"/>
        <v>103.08333333333333</v>
      </c>
      <c r="F124" s="15">
        <f t="shared" si="16"/>
        <v>116.16666666666667</v>
      </c>
      <c r="G124" s="15">
        <f t="shared" si="16"/>
        <v>75.416666666666671</v>
      </c>
      <c r="H124" s="15"/>
      <c r="I124" s="15"/>
      <c r="J124" s="15"/>
      <c r="K124" s="15"/>
      <c r="L124" s="15">
        <f t="shared" si="16"/>
        <v>395.97222222222223</v>
      </c>
      <c r="M124" s="15">
        <f t="shared" si="16"/>
        <v>207.08333333333334</v>
      </c>
    </row>
    <row r="125" spans="1:16">
      <c r="A125" s="14" t="s">
        <v>15</v>
      </c>
      <c r="B125" s="15">
        <f>AVERAGE(B87:B98)</f>
        <v>1213.8333333333333</v>
      </c>
      <c r="C125" s="15">
        <f>AVERAGE(C87:C98)</f>
        <v>480</v>
      </c>
      <c r="D125" s="15">
        <f t="shared" ref="D125:M125" si="17">AVERAGE(D87:D98)</f>
        <v>247.83333333333334</v>
      </c>
      <c r="E125" s="15">
        <f t="shared" si="17"/>
        <v>130.5</v>
      </c>
      <c r="F125" s="15">
        <f t="shared" si="17"/>
        <v>138.16666666666666</v>
      </c>
      <c r="G125" s="15">
        <f t="shared" si="17"/>
        <v>84.833333333333329</v>
      </c>
      <c r="H125" s="15">
        <f t="shared" si="17"/>
        <v>117.83333333333333</v>
      </c>
      <c r="I125" s="15">
        <f t="shared" si="17"/>
        <v>72.5</v>
      </c>
      <c r="J125" s="15">
        <f t="shared" si="17"/>
        <v>99.083333333333329</v>
      </c>
      <c r="K125" s="15">
        <f t="shared" si="17"/>
        <v>50.5</v>
      </c>
      <c r="L125" s="15">
        <f>AVERAGE(L87:L98)</f>
        <v>363.34999999999997</v>
      </c>
      <c r="M125" s="15">
        <f t="shared" si="17"/>
        <v>163.66666666666669</v>
      </c>
    </row>
    <row r="126" spans="1:16">
      <c r="A126" s="14" t="s">
        <v>35</v>
      </c>
      <c r="B126" s="15">
        <f>AVERAGE(B99:B110)</f>
        <v>1407.6666666666667</v>
      </c>
      <c r="C126" s="15">
        <f t="shared" ref="C126:J126" si="18">AVERAGE(C99:C110)</f>
        <v>574.33333333333337</v>
      </c>
      <c r="D126" s="15">
        <f t="shared" si="18"/>
        <v>309.08333333333331</v>
      </c>
      <c r="E126" s="15">
        <f t="shared" si="18"/>
        <v>165.16666666666666</v>
      </c>
      <c r="F126" s="15">
        <f t="shared" si="18"/>
        <v>131.08333333333334</v>
      </c>
      <c r="G126" s="15">
        <f t="shared" si="18"/>
        <v>56.166666666666664</v>
      </c>
      <c r="H126" s="15">
        <f t="shared" si="18"/>
        <v>135.75</v>
      </c>
      <c r="I126" s="15">
        <f t="shared" si="18"/>
        <v>89</v>
      </c>
      <c r="J126" s="15">
        <f t="shared" si="18"/>
        <v>121.33333333333333</v>
      </c>
      <c r="K126" s="15">
        <f>AVERAGE(K99:K110)</f>
        <v>46.5</v>
      </c>
      <c r="L126" s="15">
        <f>AVERAGE(L99:L110)</f>
        <v>420.98333333333335</v>
      </c>
      <c r="M126" s="15">
        <f>AVERAGE(M99:M110)</f>
        <v>186.23333333333332</v>
      </c>
    </row>
    <row r="127" spans="1:16" s="5" customFormat="1">
      <c r="A127" s="14" t="s">
        <v>37</v>
      </c>
      <c r="B127" s="15">
        <f>AVERAGE(B111:B113)</f>
        <v>1604.3333333333333</v>
      </c>
      <c r="C127" s="15">
        <f t="shared" ref="C127:M127" si="19">AVERAGE(C111:C113)</f>
        <v>542.66666666666663</v>
      </c>
      <c r="D127" s="15">
        <f t="shared" si="19"/>
        <v>357.33333333333331</v>
      </c>
      <c r="E127" s="15">
        <f t="shared" si="19"/>
        <v>156.33333333333334</v>
      </c>
      <c r="F127" s="15">
        <f t="shared" si="19"/>
        <v>233.66666666666666</v>
      </c>
      <c r="G127" s="15">
        <f t="shared" si="19"/>
        <v>108.33333333333333</v>
      </c>
      <c r="H127" s="15">
        <f t="shared" si="19"/>
        <v>152.33333333333334</v>
      </c>
      <c r="I127" s="15">
        <f t="shared" si="19"/>
        <v>91</v>
      </c>
      <c r="J127" s="15">
        <f t="shared" si="19"/>
        <v>138.66666666666666</v>
      </c>
      <c r="K127" s="15">
        <f t="shared" si="19"/>
        <v>59.333333333333336</v>
      </c>
      <c r="L127" s="15">
        <f t="shared" si="19"/>
        <v>497.26666666666665</v>
      </c>
      <c r="M127" s="15">
        <f t="shared" si="19"/>
        <v>191.5333333333333</v>
      </c>
    </row>
    <row r="128" spans="1:16" s="5" customFormat="1" ht="15.75" thickBot="1">
      <c r="A128" s="33" t="s">
        <v>39</v>
      </c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</row>
    <row r="129" spans="1:16" ht="17.25" customHeight="1" thickBot="1">
      <c r="A129" s="41" t="s">
        <v>17</v>
      </c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3"/>
    </row>
    <row r="130" spans="1:16" ht="17.25" customHeight="1" thickBot="1">
      <c r="A130" s="18"/>
      <c r="B130" s="35" t="s">
        <v>0</v>
      </c>
      <c r="C130" s="36"/>
      <c r="D130" s="35" t="s">
        <v>1</v>
      </c>
      <c r="E130" s="36"/>
      <c r="F130" s="35" t="s">
        <v>36</v>
      </c>
      <c r="G130" s="36"/>
      <c r="H130" s="35" t="s">
        <v>5</v>
      </c>
      <c r="I130" s="36"/>
      <c r="J130" s="35" t="s">
        <v>6</v>
      </c>
      <c r="K130" s="36"/>
      <c r="L130" s="35" t="s">
        <v>7</v>
      </c>
      <c r="M130" s="36"/>
      <c r="N130" s="17"/>
      <c r="O130" s="17"/>
      <c r="P130" s="17"/>
    </row>
    <row r="131" spans="1:16" ht="29.25" customHeight="1" thickBot="1">
      <c r="A131" s="31"/>
      <c r="B131" s="25" t="s">
        <v>19</v>
      </c>
      <c r="C131" s="26" t="s">
        <v>20</v>
      </c>
      <c r="D131" s="25" t="s">
        <v>21</v>
      </c>
      <c r="E131" s="26" t="s">
        <v>22</v>
      </c>
      <c r="F131" s="25" t="s">
        <v>23</v>
      </c>
      <c r="G131" s="26" t="s">
        <v>24</v>
      </c>
      <c r="H131" s="25" t="s">
        <v>25</v>
      </c>
      <c r="I131" s="26" t="s">
        <v>26</v>
      </c>
      <c r="J131" s="25" t="s">
        <v>27</v>
      </c>
      <c r="K131" s="26" t="s">
        <v>28</v>
      </c>
      <c r="L131" s="25" t="s">
        <v>29</v>
      </c>
      <c r="M131" s="26" t="s">
        <v>30</v>
      </c>
    </row>
    <row r="132" spans="1:16">
      <c r="A132" s="23">
        <v>2004</v>
      </c>
      <c r="B132" s="22">
        <f t="shared" ref="B132:G138" si="20">(B119-B118)/B118*100</f>
        <v>36.065817883999706</v>
      </c>
      <c r="C132" s="22">
        <f t="shared" si="20"/>
        <v>33.832335329341312</v>
      </c>
      <c r="D132" s="22">
        <f t="shared" si="20"/>
        <v>40.176088971269692</v>
      </c>
      <c r="E132" s="22">
        <f t="shared" si="20"/>
        <v>16.861313868613127</v>
      </c>
      <c r="F132" s="22">
        <f t="shared" si="20"/>
        <v>34.485294117647058</v>
      </c>
      <c r="G132" s="22">
        <f t="shared" si="20"/>
        <v>19.300225733634313</v>
      </c>
      <c r="H132" s="22"/>
      <c r="I132" s="22"/>
      <c r="J132" s="22"/>
      <c r="K132" s="22"/>
      <c r="L132" s="22">
        <f t="shared" ref="L132:M138" si="21">(L119-L118)/L118*100</f>
        <v>36.462328160953454</v>
      </c>
      <c r="M132" s="22">
        <f t="shared" si="21"/>
        <v>28.620888632429281</v>
      </c>
    </row>
    <row r="133" spans="1:16">
      <c r="A133" s="23">
        <f>A132+1</f>
        <v>2005</v>
      </c>
      <c r="B133" s="22">
        <f t="shared" si="20"/>
        <v>26.068399452804375</v>
      </c>
      <c r="C133" s="22">
        <f t="shared" si="20"/>
        <v>44.311281559603714</v>
      </c>
      <c r="D133" s="22">
        <f t="shared" si="20"/>
        <v>39.008264462809919</v>
      </c>
      <c r="E133" s="22">
        <f t="shared" si="20"/>
        <v>28.419737663960042</v>
      </c>
      <c r="F133" s="22">
        <f t="shared" si="20"/>
        <v>32.258064516129046</v>
      </c>
      <c r="G133" s="22">
        <f t="shared" si="20"/>
        <v>42.762535477767273</v>
      </c>
      <c r="H133" s="22"/>
      <c r="I133" s="22"/>
      <c r="J133" s="22"/>
      <c r="K133" s="22"/>
      <c r="L133" s="22">
        <f t="shared" si="21"/>
        <v>28.250248605646593</v>
      </c>
      <c r="M133" s="22">
        <f t="shared" si="21"/>
        <v>41.274113952445077</v>
      </c>
    </row>
    <row r="134" spans="1:16">
      <c r="A134" s="23">
        <f t="shared" ref="A134:A138" si="22">A133+1</f>
        <v>2006</v>
      </c>
      <c r="B134" s="22">
        <f t="shared" si="20"/>
        <v>13.65510655844438</v>
      </c>
      <c r="C134" s="22">
        <f t="shared" si="20"/>
        <v>17.949285793378351</v>
      </c>
      <c r="D134" s="22">
        <f t="shared" si="20"/>
        <v>20.927467300832337</v>
      </c>
      <c r="E134" s="22">
        <f t="shared" si="20"/>
        <v>12.645914396887154</v>
      </c>
      <c r="F134" s="22">
        <f t="shared" si="20"/>
        <v>11.616370400992141</v>
      </c>
      <c r="G134" s="22">
        <f t="shared" si="20"/>
        <v>33.134526176275671</v>
      </c>
      <c r="H134" s="22"/>
      <c r="I134" s="22"/>
      <c r="J134" s="22"/>
      <c r="K134" s="22"/>
      <c r="L134" s="22">
        <f t="shared" si="21"/>
        <v>14.519772106664885</v>
      </c>
      <c r="M134" s="22">
        <f t="shared" si="21"/>
        <v>18.902826294061612</v>
      </c>
    </row>
    <row r="135" spans="1:16">
      <c r="A135" s="23">
        <f t="shared" si="22"/>
        <v>2007</v>
      </c>
      <c r="B135" s="22">
        <f t="shared" si="20"/>
        <v>-16.677487110941382</v>
      </c>
      <c r="C135" s="22">
        <f t="shared" si="20"/>
        <v>1.8775816748037077E-2</v>
      </c>
      <c r="D135" s="22">
        <f t="shared" si="20"/>
        <v>-8.3775811209439528</v>
      </c>
      <c r="E135" s="22">
        <f t="shared" si="20"/>
        <v>8.1174438687392012</v>
      </c>
      <c r="F135" s="22">
        <f t="shared" si="20"/>
        <v>-6.1851851851851807</v>
      </c>
      <c r="G135" s="22">
        <f t="shared" si="20"/>
        <v>-12.195121951219507</v>
      </c>
      <c r="H135" s="22"/>
      <c r="I135" s="22"/>
      <c r="J135" s="22"/>
      <c r="K135" s="22"/>
      <c r="L135" s="22">
        <f t="shared" si="21"/>
        <v>-14.60111863408893</v>
      </c>
      <c r="M135" s="22">
        <f t="shared" si="21"/>
        <v>-0.36722975228686555</v>
      </c>
    </row>
    <row r="136" spans="1:16">
      <c r="A136" s="23">
        <f t="shared" si="22"/>
        <v>2008</v>
      </c>
      <c r="B136" s="22">
        <f t="shared" si="20"/>
        <v>-27.669813915115967</v>
      </c>
      <c r="C136" s="22">
        <f t="shared" si="20"/>
        <v>-21.100056316876294</v>
      </c>
      <c r="D136" s="22">
        <f t="shared" si="20"/>
        <v>-32.925520497960932</v>
      </c>
      <c r="E136" s="22">
        <f t="shared" si="20"/>
        <v>-22.923322683706061</v>
      </c>
      <c r="F136" s="22">
        <f t="shared" si="20"/>
        <v>-20.765890248716939</v>
      </c>
      <c r="G136" s="22">
        <f t="shared" si="20"/>
        <v>-22.39229024943311</v>
      </c>
      <c r="H136" s="22"/>
      <c r="I136" s="22"/>
      <c r="J136" s="22"/>
      <c r="K136" s="22"/>
      <c r="L136" s="22">
        <f t="shared" si="21"/>
        <v>-27.911065149948268</v>
      </c>
      <c r="M136" s="22">
        <f t="shared" si="21"/>
        <v>-21.558772282535852</v>
      </c>
    </row>
    <row r="137" spans="1:16">
      <c r="A137" s="23">
        <f t="shared" si="22"/>
        <v>2009</v>
      </c>
      <c r="B137" s="22">
        <f t="shared" si="20"/>
        <v>-31.189404980672958</v>
      </c>
      <c r="C137" s="22">
        <f t="shared" si="20"/>
        <v>-36.795146324054244</v>
      </c>
      <c r="D137" s="22">
        <f t="shared" si="20"/>
        <v>-35.936</v>
      </c>
      <c r="E137" s="22">
        <f t="shared" si="20"/>
        <v>-35.906735751295344</v>
      </c>
      <c r="F137" s="22">
        <f t="shared" si="20"/>
        <v>-30.543099152964619</v>
      </c>
      <c r="G137" s="22">
        <f t="shared" si="20"/>
        <v>-33.893352812271729</v>
      </c>
      <c r="H137" s="22"/>
      <c r="I137" s="22"/>
      <c r="J137" s="22"/>
      <c r="K137" s="22"/>
      <c r="L137" s="22">
        <f t="shared" si="21"/>
        <v>-31.836656625065757</v>
      </c>
      <c r="M137" s="22">
        <f t="shared" si="21"/>
        <v>-36.309269542930359</v>
      </c>
    </row>
    <row r="138" spans="1:16">
      <c r="A138" s="23">
        <f t="shared" si="22"/>
        <v>2010</v>
      </c>
      <c r="B138" s="22">
        <f t="shared" si="20"/>
        <v>34.13758172944101</v>
      </c>
      <c r="C138" s="22">
        <f t="shared" si="20"/>
        <v>8.4133258046301513</v>
      </c>
      <c r="D138" s="22">
        <f t="shared" si="20"/>
        <v>48.551448551448551</v>
      </c>
      <c r="E138" s="22">
        <f t="shared" si="20"/>
        <v>26.596604688763144</v>
      </c>
      <c r="F138" s="22">
        <f t="shared" si="20"/>
        <v>18.938307030129113</v>
      </c>
      <c r="G138" s="22">
        <f t="shared" si="20"/>
        <v>12.486187845303855</v>
      </c>
      <c r="H138" s="22"/>
      <c r="I138" s="22"/>
      <c r="J138" s="22"/>
      <c r="K138" s="22"/>
      <c r="L138" s="22">
        <f t="shared" si="21"/>
        <v>-8.2385128025254399</v>
      </c>
      <c r="M138" s="22">
        <f t="shared" si="21"/>
        <v>-20.965794768611666</v>
      </c>
    </row>
    <row r="139" spans="1:16">
      <c r="A139" s="23">
        <v>2011</v>
      </c>
      <c r="B139" s="22">
        <f>(B126-B125)/B125*100</f>
        <v>15.968694219415088</v>
      </c>
      <c r="C139" s="22">
        <f>(C126-C125)/C125*100</f>
        <v>19.652777777777786</v>
      </c>
      <c r="D139" s="22">
        <f>(D126-D125)/D125*100</f>
        <v>24.714189643577662</v>
      </c>
      <c r="E139" s="22">
        <f t="shared" ref="E139:M139" si="23">(E126-E125)/E125*100</f>
        <v>26.564495530012767</v>
      </c>
      <c r="F139" s="22">
        <f>(F126-F125)/F125*100</f>
        <v>-5.1266586248492025</v>
      </c>
      <c r="G139" s="22">
        <f t="shared" si="23"/>
        <v>-33.791748526522589</v>
      </c>
      <c r="H139" s="22">
        <f>(H126-H125)/H125*100</f>
        <v>15.205091937765211</v>
      </c>
      <c r="I139" s="22">
        <f t="shared" si="23"/>
        <v>22.758620689655174</v>
      </c>
      <c r="J139" s="22">
        <f>(J126-J125)/J125*100</f>
        <v>22.455845248107657</v>
      </c>
      <c r="K139" s="22">
        <f t="shared" si="23"/>
        <v>-7.9207920792079207</v>
      </c>
      <c r="L139" s="22">
        <f t="shared" si="23"/>
        <v>15.861657722122855</v>
      </c>
      <c r="M139" s="22">
        <f t="shared" si="23"/>
        <v>13.788187372708736</v>
      </c>
    </row>
    <row r="140" spans="1:16">
      <c r="A140" s="23">
        <v>2012</v>
      </c>
      <c r="B140" s="22">
        <f>(B127-B126)/B126*100</f>
        <v>13.971110584892246</v>
      </c>
      <c r="C140" s="22">
        <f t="shared" ref="C140:M140" si="24">(C127-C126)/C126*100</f>
        <v>-5.5136390017411623</v>
      </c>
      <c r="D140" s="22">
        <f t="shared" si="24"/>
        <v>15.610676732272852</v>
      </c>
      <c r="E140" s="22">
        <f t="shared" si="24"/>
        <v>-5.3481331987890908</v>
      </c>
      <c r="F140" s="22">
        <f t="shared" si="24"/>
        <v>78.258105530832793</v>
      </c>
      <c r="G140" s="22">
        <f t="shared" si="24"/>
        <v>92.87833827893175</v>
      </c>
      <c r="H140" s="22">
        <f t="shared" si="24"/>
        <v>12.216083486801727</v>
      </c>
      <c r="I140" s="22">
        <f t="shared" si="24"/>
        <v>2.2471910112359552</v>
      </c>
      <c r="J140" s="22">
        <f t="shared" si="24"/>
        <v>14.285714285714283</v>
      </c>
      <c r="K140" s="22">
        <f t="shared" si="24"/>
        <v>27.598566308243733</v>
      </c>
      <c r="L140" s="22">
        <f t="shared" si="24"/>
        <v>18.120273961756197</v>
      </c>
      <c r="M140" s="22">
        <f t="shared" si="24"/>
        <v>2.8458922498657508</v>
      </c>
    </row>
    <row r="141" spans="1:16">
      <c r="D141" s="24"/>
    </row>
    <row r="142" spans="1:16">
      <c r="D142" s="2" t="s">
        <v>18</v>
      </c>
      <c r="I142" t="s">
        <v>18</v>
      </c>
    </row>
    <row r="201" spans="1:13" ht="15.75" thickBot="1"/>
    <row r="202" spans="1:13" ht="19.5" thickBot="1">
      <c r="A202" s="47" t="s">
        <v>31</v>
      </c>
      <c r="B202" s="48"/>
      <c r="C202" s="48"/>
      <c r="D202" s="48"/>
      <c r="E202" s="48"/>
      <c r="F202" s="48"/>
      <c r="G202" s="48"/>
      <c r="H202" s="48"/>
      <c r="I202" s="48"/>
      <c r="J202" s="48"/>
      <c r="K202" s="49"/>
      <c r="L202" s="46"/>
      <c r="M202" s="45"/>
    </row>
    <row r="203" spans="1:13" ht="18.75">
      <c r="A203" s="27"/>
      <c r="B203" s="35" t="s">
        <v>0</v>
      </c>
      <c r="C203" s="36"/>
      <c r="D203" s="35" t="s">
        <v>1</v>
      </c>
      <c r="E203" s="36"/>
      <c r="F203" s="35" t="s">
        <v>2</v>
      </c>
      <c r="G203" s="36"/>
      <c r="H203" s="35" t="s">
        <v>5</v>
      </c>
      <c r="I203" s="36"/>
      <c r="J203" s="35" t="s">
        <v>6</v>
      </c>
      <c r="K203" s="36"/>
      <c r="L203" s="50" t="s">
        <v>33</v>
      </c>
      <c r="M203" s="50" t="s">
        <v>32</v>
      </c>
    </row>
    <row r="204" spans="1:13" ht="15.75" thickBot="1">
      <c r="A204" s="28"/>
      <c r="B204" s="19" t="s">
        <v>3</v>
      </c>
      <c r="C204" s="20" t="s">
        <v>4</v>
      </c>
      <c r="D204" s="19" t="s">
        <v>3</v>
      </c>
      <c r="E204" s="20" t="s">
        <v>4</v>
      </c>
      <c r="F204" s="19" t="s">
        <v>3</v>
      </c>
      <c r="G204" s="20" t="s">
        <v>4</v>
      </c>
      <c r="H204" s="19" t="s">
        <v>3</v>
      </c>
      <c r="I204" s="20" t="s">
        <v>4</v>
      </c>
      <c r="J204" s="19" t="s">
        <v>3</v>
      </c>
      <c r="K204" s="20" t="s">
        <v>4</v>
      </c>
      <c r="L204" s="51"/>
      <c r="M204" s="52"/>
    </row>
    <row r="205" spans="1:13">
      <c r="A205" s="23">
        <v>2003</v>
      </c>
      <c r="B205" s="30">
        <f t="shared" ref="B205:G205" si="25">SUM(B3:B14)</f>
        <v>13431</v>
      </c>
      <c r="C205" s="30">
        <f t="shared" si="25"/>
        <v>4676</v>
      </c>
      <c r="D205" s="21">
        <f t="shared" si="25"/>
        <v>2158</v>
      </c>
      <c r="E205" s="21">
        <f t="shared" si="25"/>
        <v>1370</v>
      </c>
      <c r="F205" s="30">
        <f t="shared" si="25"/>
        <v>1360</v>
      </c>
      <c r="G205" s="30">
        <f t="shared" si="25"/>
        <v>886</v>
      </c>
      <c r="H205" s="30"/>
      <c r="I205" s="30"/>
      <c r="J205" s="30"/>
      <c r="K205" s="30"/>
      <c r="L205" s="30">
        <f>B205+D205+F205+H205+J205</f>
        <v>16949</v>
      </c>
      <c r="M205" s="30">
        <f>C205+E205+G205+I205+K205</f>
        <v>6932</v>
      </c>
    </row>
    <row r="206" spans="1:13">
      <c r="A206" s="23">
        <f>A205+1</f>
        <v>2004</v>
      </c>
      <c r="B206" s="30">
        <f t="shared" ref="B206:G206" si="26">SUM(B15:B26)</f>
        <v>18275</v>
      </c>
      <c r="C206" s="30">
        <f t="shared" si="26"/>
        <v>6258</v>
      </c>
      <c r="D206" s="21">
        <f t="shared" si="26"/>
        <v>3025</v>
      </c>
      <c r="E206" s="21">
        <f t="shared" si="26"/>
        <v>1601</v>
      </c>
      <c r="F206" s="30">
        <f t="shared" si="26"/>
        <v>1829</v>
      </c>
      <c r="G206" s="30">
        <f t="shared" si="26"/>
        <v>1057</v>
      </c>
      <c r="H206" s="30"/>
      <c r="I206" s="30"/>
      <c r="J206" s="30"/>
      <c r="K206" s="30"/>
      <c r="L206" s="30">
        <f t="shared" ref="L206:L214" si="27">B206+D206+F206+H206+J206</f>
        <v>23129</v>
      </c>
      <c r="M206" s="30">
        <f t="shared" ref="M206:M211" si="28">C206+E206+G206+I206+K206</f>
        <v>8916</v>
      </c>
    </row>
    <row r="207" spans="1:13">
      <c r="A207" s="23">
        <f t="shared" ref="A207:A211" si="29">A206+1</f>
        <v>2005</v>
      </c>
      <c r="B207" s="30">
        <f t="shared" ref="B207:G207" si="30">SUM(B27:B38)</f>
        <v>23039</v>
      </c>
      <c r="C207" s="30">
        <f t="shared" si="30"/>
        <v>9031</v>
      </c>
      <c r="D207" s="21">
        <f t="shared" si="30"/>
        <v>4205</v>
      </c>
      <c r="E207" s="21">
        <f t="shared" si="30"/>
        <v>2056</v>
      </c>
      <c r="F207" s="30">
        <f t="shared" si="30"/>
        <v>2419</v>
      </c>
      <c r="G207" s="30">
        <f t="shared" si="30"/>
        <v>1509</v>
      </c>
      <c r="H207" s="30"/>
      <c r="I207" s="30"/>
      <c r="J207" s="30"/>
      <c r="K207" s="30"/>
      <c r="L207" s="30">
        <f t="shared" si="27"/>
        <v>29663</v>
      </c>
      <c r="M207" s="30">
        <f t="shared" si="28"/>
        <v>12596</v>
      </c>
    </row>
    <row r="208" spans="1:13">
      <c r="A208" s="23">
        <f t="shared" si="29"/>
        <v>2006</v>
      </c>
      <c r="B208" s="30">
        <f t="shared" ref="B208:G208" si="31">SUM(B39:B50)</f>
        <v>26185</v>
      </c>
      <c r="C208" s="30">
        <f t="shared" si="31"/>
        <v>10652</v>
      </c>
      <c r="D208" s="21">
        <f t="shared" si="31"/>
        <v>5085</v>
      </c>
      <c r="E208" s="21">
        <f t="shared" si="31"/>
        <v>2316</v>
      </c>
      <c r="F208" s="30">
        <f t="shared" si="31"/>
        <v>2700</v>
      </c>
      <c r="G208" s="30">
        <f t="shared" si="31"/>
        <v>2009</v>
      </c>
      <c r="H208" s="30"/>
      <c r="I208" s="30"/>
      <c r="J208" s="30"/>
      <c r="K208" s="30"/>
      <c r="L208" s="30">
        <f t="shared" si="27"/>
        <v>33970</v>
      </c>
      <c r="M208" s="30">
        <f t="shared" si="28"/>
        <v>14977</v>
      </c>
    </row>
    <row r="209" spans="1:13">
      <c r="A209" s="23">
        <f t="shared" si="29"/>
        <v>2007</v>
      </c>
      <c r="B209" s="30">
        <f t="shared" ref="B209:G209" si="32">SUM(B51:B62)</f>
        <v>21818</v>
      </c>
      <c r="C209" s="30">
        <f t="shared" si="32"/>
        <v>10654</v>
      </c>
      <c r="D209" s="21">
        <f t="shared" si="32"/>
        <v>4659</v>
      </c>
      <c r="E209" s="21">
        <f t="shared" si="32"/>
        <v>2504</v>
      </c>
      <c r="F209" s="30">
        <f t="shared" si="32"/>
        <v>2533</v>
      </c>
      <c r="G209" s="30">
        <f t="shared" si="32"/>
        <v>1764</v>
      </c>
      <c r="H209" s="30"/>
      <c r="I209" s="30"/>
      <c r="J209" s="30"/>
      <c r="K209" s="30"/>
      <c r="L209" s="30">
        <f t="shared" si="27"/>
        <v>29010</v>
      </c>
      <c r="M209" s="30">
        <f t="shared" si="28"/>
        <v>14922</v>
      </c>
    </row>
    <row r="210" spans="1:13">
      <c r="A210" s="23">
        <f t="shared" si="29"/>
        <v>2008</v>
      </c>
      <c r="B210" s="30">
        <f t="shared" ref="B210:G210" si="33">SUM(B63:B74)</f>
        <v>15781</v>
      </c>
      <c r="C210" s="30">
        <f t="shared" si="33"/>
        <v>8406</v>
      </c>
      <c r="D210" s="21">
        <f t="shared" si="33"/>
        <v>3125</v>
      </c>
      <c r="E210" s="21">
        <f t="shared" si="33"/>
        <v>1930</v>
      </c>
      <c r="F210" s="30">
        <f t="shared" si="33"/>
        <v>2007</v>
      </c>
      <c r="G210" s="30">
        <f t="shared" si="33"/>
        <v>1369</v>
      </c>
      <c r="H210" s="30"/>
      <c r="I210" s="30"/>
      <c r="J210" s="30"/>
      <c r="K210" s="30"/>
      <c r="L210" s="30">
        <f t="shared" si="27"/>
        <v>20913</v>
      </c>
      <c r="M210" s="30">
        <f t="shared" si="28"/>
        <v>11705</v>
      </c>
    </row>
    <row r="211" spans="1:13">
      <c r="A211" s="23">
        <f t="shared" si="29"/>
        <v>2009</v>
      </c>
      <c r="B211" s="30">
        <f t="shared" ref="B211:G211" si="34">SUM(B75:B86)</f>
        <v>10859</v>
      </c>
      <c r="C211" s="30">
        <f t="shared" si="34"/>
        <v>5313</v>
      </c>
      <c r="D211" s="21">
        <f t="shared" si="34"/>
        <v>2002</v>
      </c>
      <c r="E211" s="21">
        <f t="shared" si="34"/>
        <v>1237</v>
      </c>
      <c r="F211" s="30">
        <f t="shared" si="34"/>
        <v>1394</v>
      </c>
      <c r="G211" s="30">
        <f t="shared" si="34"/>
        <v>905</v>
      </c>
      <c r="H211" s="30"/>
      <c r="I211" s="30"/>
      <c r="J211" s="30"/>
      <c r="K211" s="30"/>
      <c r="L211" s="30">
        <f t="shared" si="27"/>
        <v>14255</v>
      </c>
      <c r="M211" s="30">
        <f t="shared" si="28"/>
        <v>7455</v>
      </c>
    </row>
    <row r="212" spans="1:13">
      <c r="A212" s="23">
        <f>A211+1</f>
        <v>2010</v>
      </c>
      <c r="B212" s="30">
        <f>SUM(B87:B98)</f>
        <v>14566</v>
      </c>
      <c r="C212" s="30">
        <f t="shared" ref="C212:K212" si="35">SUM(C87:C98)</f>
        <v>5760</v>
      </c>
      <c r="D212" s="30">
        <f t="shared" si="35"/>
        <v>2974</v>
      </c>
      <c r="E212" s="30">
        <f t="shared" si="35"/>
        <v>1566</v>
      </c>
      <c r="F212" s="30">
        <f t="shared" si="35"/>
        <v>1658</v>
      </c>
      <c r="G212" s="30">
        <f t="shared" si="35"/>
        <v>1018</v>
      </c>
      <c r="H212" s="30">
        <f t="shared" si="35"/>
        <v>1414</v>
      </c>
      <c r="I212" s="30">
        <f t="shared" si="35"/>
        <v>870</v>
      </c>
      <c r="J212" s="30">
        <f t="shared" si="35"/>
        <v>1189</v>
      </c>
      <c r="K212" s="30">
        <f t="shared" si="35"/>
        <v>606</v>
      </c>
      <c r="L212" s="30">
        <f t="shared" si="27"/>
        <v>21801</v>
      </c>
      <c r="M212" s="30">
        <f>C212+E212+G212+I212+K212</f>
        <v>9820</v>
      </c>
    </row>
    <row r="213" spans="1:13">
      <c r="A213" s="23">
        <v>2011</v>
      </c>
      <c r="B213" s="30">
        <f>SUM(B99:B110)</f>
        <v>16892</v>
      </c>
      <c r="C213" s="30">
        <f t="shared" ref="C213:J213" si="36">SUM(C99:C110)</f>
        <v>6892</v>
      </c>
      <c r="D213" s="30">
        <f t="shared" si="36"/>
        <v>3709</v>
      </c>
      <c r="E213" s="30">
        <f t="shared" si="36"/>
        <v>1982</v>
      </c>
      <c r="F213" s="30">
        <f t="shared" si="36"/>
        <v>1573</v>
      </c>
      <c r="G213" s="30">
        <f t="shared" si="36"/>
        <v>674</v>
      </c>
      <c r="H213" s="30">
        <f t="shared" si="36"/>
        <v>1629</v>
      </c>
      <c r="I213" s="30">
        <f t="shared" si="36"/>
        <v>1068</v>
      </c>
      <c r="J213" s="30">
        <f t="shared" si="36"/>
        <v>1456</v>
      </c>
      <c r="K213" s="30">
        <f>SUM(K99:K110)</f>
        <v>558</v>
      </c>
      <c r="L213" s="30">
        <f t="shared" si="27"/>
        <v>25259</v>
      </c>
      <c r="M213" s="30">
        <f>K213+I213+G213+E213+C213</f>
        <v>11174</v>
      </c>
    </row>
    <row r="214" spans="1:13">
      <c r="A214" s="23">
        <v>2012</v>
      </c>
      <c r="B214" s="30">
        <f>SUM(B111:B113)</f>
        <v>4813</v>
      </c>
      <c r="C214" s="30">
        <f t="shared" ref="C214:K214" si="37">SUM(C111:C113)</f>
        <v>1628</v>
      </c>
      <c r="D214" s="30">
        <f t="shared" si="37"/>
        <v>1072</v>
      </c>
      <c r="E214" s="30">
        <f t="shared" si="37"/>
        <v>469</v>
      </c>
      <c r="F214" s="30">
        <f t="shared" si="37"/>
        <v>701</v>
      </c>
      <c r="G214" s="30">
        <f t="shared" si="37"/>
        <v>325</v>
      </c>
      <c r="H214" s="30">
        <f t="shared" si="37"/>
        <v>457</v>
      </c>
      <c r="I214" s="30">
        <f t="shared" si="37"/>
        <v>273</v>
      </c>
      <c r="J214" s="30">
        <f t="shared" si="37"/>
        <v>416</v>
      </c>
      <c r="K214" s="30">
        <f t="shared" si="37"/>
        <v>178</v>
      </c>
      <c r="L214" s="30">
        <f t="shared" si="27"/>
        <v>7459</v>
      </c>
      <c r="M214" s="30">
        <f>K214+I214+G214+E214+C214</f>
        <v>2873</v>
      </c>
    </row>
    <row r="215" spans="1:13" ht="15.75" thickBot="1">
      <c r="A215" s="34"/>
    </row>
    <row r="216" spans="1:13" ht="19.5" thickBot="1">
      <c r="A216" s="41" t="s">
        <v>34</v>
      </c>
      <c r="B216" s="44"/>
      <c r="C216" s="44"/>
      <c r="D216" s="44"/>
      <c r="E216" s="44"/>
      <c r="F216" s="44"/>
      <c r="G216" s="44"/>
      <c r="H216" s="44"/>
      <c r="I216" s="44"/>
      <c r="J216" s="44"/>
      <c r="K216" s="45"/>
    </row>
    <row r="217" spans="1:13" ht="45.75" thickBot="1">
      <c r="A217" s="31"/>
      <c r="B217" s="25" t="s">
        <v>19</v>
      </c>
      <c r="C217" s="26" t="s">
        <v>20</v>
      </c>
      <c r="D217" s="25" t="s">
        <v>21</v>
      </c>
      <c r="E217" s="26" t="s">
        <v>22</v>
      </c>
      <c r="F217" s="25" t="s">
        <v>23</v>
      </c>
      <c r="G217" s="26" t="s">
        <v>24</v>
      </c>
      <c r="H217" s="25" t="s">
        <v>25</v>
      </c>
      <c r="I217" s="26" t="s">
        <v>26</v>
      </c>
      <c r="J217" s="25" t="s">
        <v>27</v>
      </c>
      <c r="K217" s="26" t="s">
        <v>28</v>
      </c>
    </row>
    <row r="218" spans="1:13">
      <c r="A218" s="23">
        <v>2003</v>
      </c>
      <c r="B218" s="22">
        <f t="shared" ref="B218:C224" si="38">B205/L205</f>
        <v>0.79243613192518736</v>
      </c>
      <c r="C218" s="22">
        <f t="shared" si="38"/>
        <v>0.6745527986151183</v>
      </c>
      <c r="D218" s="22">
        <f t="shared" ref="D218:E225" si="39">D205/L205</f>
        <v>0.12732314590831317</v>
      </c>
      <c r="E218" s="22">
        <f t="shared" si="39"/>
        <v>0.1976341604154645</v>
      </c>
      <c r="F218" s="22">
        <f t="shared" ref="F218:G225" si="40">F205/L205</f>
        <v>8.0240722166499495E-2</v>
      </c>
      <c r="G218" s="22">
        <f t="shared" si="40"/>
        <v>0.1278130409694172</v>
      </c>
      <c r="H218" s="22"/>
      <c r="I218" s="22"/>
      <c r="J218" s="22"/>
      <c r="K218" s="22"/>
    </row>
    <row r="219" spans="1:13">
      <c r="A219" s="23">
        <f>A218+1</f>
        <v>2004</v>
      </c>
      <c r="B219" s="22">
        <f t="shared" si="38"/>
        <v>0.79013359851268972</v>
      </c>
      <c r="C219" s="22">
        <f t="shared" si="38"/>
        <v>0.70188425302826385</v>
      </c>
      <c r="D219" s="22">
        <f t="shared" si="39"/>
        <v>0.13078818798910458</v>
      </c>
      <c r="E219" s="22">
        <f t="shared" si="39"/>
        <v>0.17956482727680576</v>
      </c>
      <c r="F219" s="22">
        <f t="shared" si="40"/>
        <v>7.9078213498205721E-2</v>
      </c>
      <c r="G219" s="22">
        <f t="shared" si="40"/>
        <v>0.11855091969493046</v>
      </c>
      <c r="H219" s="22"/>
      <c r="I219" s="22"/>
      <c r="J219" s="22"/>
      <c r="K219" s="22"/>
    </row>
    <row r="220" spans="1:13">
      <c r="A220" s="23">
        <f t="shared" ref="A220:A224" si="41">A219+1</f>
        <v>2005</v>
      </c>
      <c r="B220" s="22">
        <f t="shared" si="38"/>
        <v>0.7766915011967771</v>
      </c>
      <c r="C220" s="22">
        <f t="shared" si="38"/>
        <v>0.71697364242616701</v>
      </c>
      <c r="D220" s="22">
        <f t="shared" si="39"/>
        <v>0.14175909382058458</v>
      </c>
      <c r="E220" s="22">
        <f t="shared" si="39"/>
        <v>0.16322642108605906</v>
      </c>
      <c r="F220" s="22">
        <f t="shared" si="40"/>
        <v>8.154940498263831E-2</v>
      </c>
      <c r="G220" s="22">
        <f t="shared" si="40"/>
        <v>0.1197999364877739</v>
      </c>
      <c r="H220" s="22"/>
      <c r="I220" s="22"/>
      <c r="J220" s="22"/>
      <c r="K220" s="22"/>
    </row>
    <row r="221" spans="1:13">
      <c r="A221" s="23">
        <f t="shared" si="41"/>
        <v>2006</v>
      </c>
      <c r="B221" s="22">
        <f t="shared" si="38"/>
        <v>0.77082720047100384</v>
      </c>
      <c r="C221" s="22">
        <f t="shared" si="38"/>
        <v>0.71122387661080322</v>
      </c>
      <c r="D221" s="22">
        <f t="shared" si="39"/>
        <v>0.14969090373859287</v>
      </c>
      <c r="E221" s="22">
        <f t="shared" si="39"/>
        <v>0.15463711023569474</v>
      </c>
      <c r="F221" s="22">
        <f t="shared" si="40"/>
        <v>7.9481895790403295E-2</v>
      </c>
      <c r="G221" s="22">
        <f t="shared" si="40"/>
        <v>0.13413901315350205</v>
      </c>
      <c r="H221" s="22"/>
      <c r="I221" s="22"/>
      <c r="J221" s="22"/>
      <c r="K221" s="22"/>
    </row>
    <row r="222" spans="1:13">
      <c r="A222" s="23">
        <f t="shared" si="41"/>
        <v>2007</v>
      </c>
      <c r="B222" s="22">
        <f t="shared" si="38"/>
        <v>0.75208548776284045</v>
      </c>
      <c r="C222" s="22">
        <f t="shared" si="38"/>
        <v>0.71397935933520973</v>
      </c>
      <c r="D222" s="22">
        <f t="shared" si="39"/>
        <v>0.16059979317476733</v>
      </c>
      <c r="E222" s="22">
        <f t="shared" si="39"/>
        <v>0.16780592413885539</v>
      </c>
      <c r="F222" s="22">
        <f t="shared" si="40"/>
        <v>8.7314719062392285E-2</v>
      </c>
      <c r="G222" s="22">
        <f t="shared" si="40"/>
        <v>0.11821471652593486</v>
      </c>
      <c r="H222" s="22"/>
      <c r="I222" s="22"/>
      <c r="J222" s="22"/>
      <c r="K222" s="22"/>
    </row>
    <row r="223" spans="1:13">
      <c r="A223" s="23">
        <f t="shared" si="41"/>
        <v>2008</v>
      </c>
      <c r="B223" s="22">
        <f t="shared" si="38"/>
        <v>0.75460240042079085</v>
      </c>
      <c r="C223" s="22">
        <f t="shared" si="38"/>
        <v>0.71815463477146524</v>
      </c>
      <c r="D223" s="22">
        <f t="shared" si="39"/>
        <v>0.14942858509061349</v>
      </c>
      <c r="E223" s="22">
        <f t="shared" si="39"/>
        <v>0.16488680051260146</v>
      </c>
      <c r="F223" s="22">
        <f t="shared" si="40"/>
        <v>9.5969014488595614E-2</v>
      </c>
      <c r="G223" s="22">
        <f t="shared" si="40"/>
        <v>0.11695856471593336</v>
      </c>
      <c r="H223" s="22"/>
      <c r="I223" s="22"/>
      <c r="J223" s="22"/>
      <c r="K223" s="22"/>
    </row>
    <row r="224" spans="1:13">
      <c r="A224" s="23">
        <f t="shared" si="41"/>
        <v>2009</v>
      </c>
      <c r="B224" s="22">
        <f t="shared" si="38"/>
        <v>0.76176780077165906</v>
      </c>
      <c r="C224" s="22">
        <f t="shared" si="38"/>
        <v>0.71267605633802822</v>
      </c>
      <c r="D224" s="22">
        <f t="shared" si="39"/>
        <v>0.14044195019291478</v>
      </c>
      <c r="E224" s="22">
        <f t="shared" si="39"/>
        <v>0.1659289067739772</v>
      </c>
      <c r="F224" s="22">
        <f t="shared" si="40"/>
        <v>9.7790249035426172E-2</v>
      </c>
      <c r="G224" s="22">
        <f t="shared" si="40"/>
        <v>0.12139503688799463</v>
      </c>
      <c r="H224" s="22"/>
      <c r="I224" s="22"/>
      <c r="J224" s="22"/>
      <c r="K224" s="22"/>
    </row>
    <row r="225" spans="1:11">
      <c r="A225" s="23">
        <f>A224+1</f>
        <v>2010</v>
      </c>
      <c r="B225" s="22">
        <f>B212/L212</f>
        <v>0.66813448924361263</v>
      </c>
      <c r="C225" s="22">
        <f>C212/M212</f>
        <v>0.5865580448065173</v>
      </c>
      <c r="D225" s="22">
        <f t="shared" si="39"/>
        <v>0.13641576074491996</v>
      </c>
      <c r="E225" s="22">
        <f t="shared" si="39"/>
        <v>0.1594704684317719</v>
      </c>
      <c r="F225" s="22">
        <f t="shared" si="40"/>
        <v>7.6051557268015227E-2</v>
      </c>
      <c r="G225" s="22">
        <f t="shared" si="40"/>
        <v>0.10366598778004073</v>
      </c>
      <c r="H225" s="22">
        <f t="shared" ref="H225:I227" si="42">H212/L212</f>
        <v>6.4859410118801891E-2</v>
      </c>
      <c r="I225" s="22">
        <f t="shared" si="42"/>
        <v>8.8594704684317724E-2</v>
      </c>
      <c r="J225" s="22">
        <f t="shared" ref="J225:K227" si="43">J212/L212</f>
        <v>5.4538782624650242E-2</v>
      </c>
      <c r="K225" s="22">
        <f t="shared" si="43"/>
        <v>6.1710794297352344E-2</v>
      </c>
    </row>
    <row r="226" spans="1:11">
      <c r="A226" s="23">
        <v>2011</v>
      </c>
      <c r="B226" s="22">
        <f>B213/L213</f>
        <v>0.66875173205590088</v>
      </c>
      <c r="C226" s="22">
        <f>C213/M213</f>
        <v>0.61678897440486846</v>
      </c>
      <c r="D226" s="22">
        <f>D213/L213</f>
        <v>0.14683875054436044</v>
      </c>
      <c r="E226" s="22">
        <f>E213/M213</f>
        <v>0.17737605154823699</v>
      </c>
      <c r="F226" s="22">
        <f>F213/L213</f>
        <v>6.2274832732887288E-2</v>
      </c>
      <c r="G226" s="22">
        <f>G213/M213</f>
        <v>6.0318596742437801E-2</v>
      </c>
      <c r="H226" s="22">
        <f t="shared" si="42"/>
        <v>6.4491864285997069E-2</v>
      </c>
      <c r="I226" s="22">
        <f t="shared" si="42"/>
        <v>9.5579022731340613E-2</v>
      </c>
      <c r="J226" s="22">
        <f t="shared" si="43"/>
        <v>5.7642820380854352E-2</v>
      </c>
      <c r="K226" s="22">
        <f t="shared" si="43"/>
        <v>4.9937354573116162E-2</v>
      </c>
    </row>
    <row r="227" spans="1:11">
      <c r="A227" s="23">
        <v>2012</v>
      </c>
      <c r="B227" s="22">
        <f>B214/L214</f>
        <v>0.64526075881485456</v>
      </c>
      <c r="C227" s="22">
        <f t="shared" ref="C227" si="44">C214/M214</f>
        <v>0.56665506439262092</v>
      </c>
      <c r="D227" s="22">
        <f>D214/L214</f>
        <v>0.1437189971846092</v>
      </c>
      <c r="E227" s="22">
        <f>E214/M214</f>
        <v>0.16324399582318133</v>
      </c>
      <c r="F227" s="22">
        <f>F214/L214</f>
        <v>9.3980426330607325E-2</v>
      </c>
      <c r="G227" s="22">
        <f>G214/M214</f>
        <v>0.11312217194570136</v>
      </c>
      <c r="H227" s="22">
        <f t="shared" si="42"/>
        <v>6.1268266523662691E-2</v>
      </c>
      <c r="I227" s="22">
        <f t="shared" si="42"/>
        <v>9.5022624434389136E-2</v>
      </c>
      <c r="J227" s="22">
        <f t="shared" si="43"/>
        <v>5.5771551146266259E-2</v>
      </c>
      <c r="K227" s="22">
        <f t="shared" si="43"/>
        <v>6.1956143404107204E-2</v>
      </c>
    </row>
  </sheetData>
  <mergeCells count="31">
    <mergeCell ref="A216:K216"/>
    <mergeCell ref="L202:M202"/>
    <mergeCell ref="A202:K202"/>
    <mergeCell ref="B203:C203"/>
    <mergeCell ref="D203:E203"/>
    <mergeCell ref="F203:G203"/>
    <mergeCell ref="H203:I203"/>
    <mergeCell ref="J203:K203"/>
    <mergeCell ref="L203:L204"/>
    <mergeCell ref="M203:M204"/>
    <mergeCell ref="A129:M129"/>
    <mergeCell ref="A115:M115"/>
    <mergeCell ref="B116:C116"/>
    <mergeCell ref="D116:E116"/>
    <mergeCell ref="F116:G116"/>
    <mergeCell ref="H116:I116"/>
    <mergeCell ref="J116:K116"/>
    <mergeCell ref="L116:M116"/>
    <mergeCell ref="J1:K1"/>
    <mergeCell ref="L1:M1"/>
    <mergeCell ref="A1:A2"/>
    <mergeCell ref="B1:C1"/>
    <mergeCell ref="D1:E1"/>
    <mergeCell ref="F1:G1"/>
    <mergeCell ref="H1:I1"/>
    <mergeCell ref="L130:M130"/>
    <mergeCell ref="B130:C130"/>
    <mergeCell ref="D130:E130"/>
    <mergeCell ref="F130:G130"/>
    <mergeCell ref="H130:I130"/>
    <mergeCell ref="J130:K130"/>
  </mergeCells>
  <conditionalFormatting sqref="B87:C110 D87:D107 E87:M110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D108:D110"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B111">
    <cfRule type="iconSet" priority="14">
      <iconSet iconSet="3Arrows">
        <cfvo type="percent" val="0"/>
        <cfvo type="percent" val="33"/>
        <cfvo type="percent" val="67"/>
      </iconSet>
    </cfRule>
  </conditionalFormatting>
  <conditionalFormatting sqref="B112"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B113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C111:C113"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D111:D113"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E111:E113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F111:F113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G111:G113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H111:H113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I111:I113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J111:J113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L111:L113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K111:K11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M111:M113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Vehcile Sales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COETZEECL</dc:creator>
  <cp:lastModifiedBy>user</cp:lastModifiedBy>
  <dcterms:created xsi:type="dcterms:W3CDTF">2011-01-25T05:02:44Z</dcterms:created>
  <dcterms:modified xsi:type="dcterms:W3CDTF">2012-05-12T23:19:04Z</dcterms:modified>
</cp:coreProperties>
</file>