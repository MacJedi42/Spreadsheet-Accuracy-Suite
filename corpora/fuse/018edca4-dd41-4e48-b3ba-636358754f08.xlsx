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CBEB" lockStructure="1"/>
  <bookViews>
    <workbookView xWindow="360" yWindow="330" windowWidth="18195" windowHeight="8010"/>
  </bookViews>
  <sheets>
    <sheet name="Excess Cost" sheetId="1" r:id="rId1"/>
    <sheet name="Totals" sheetId="3" r:id="rId2"/>
    <sheet name="Data" sheetId="5" state="hidden" r:id="rId3"/>
  </sheets>
  <definedNames>
    <definedName name="_xlnm._FilterDatabase" localSheetId="2" hidden="1">Data!$A$1:$P$306</definedName>
    <definedName name="_xlnm.Print_Area" localSheetId="0">'Excess Cost'!$A$1:$I$38</definedName>
  </definedNames>
  <calcPr calcId="145621"/>
</workbook>
</file>

<file path=xl/calcChain.xml><?xml version="1.0" encoding="utf-8"?>
<calcChain xmlns="http://schemas.openxmlformats.org/spreadsheetml/2006/main">
  <c r="D2" i="1" l="1"/>
  <c r="F33" i="1"/>
  <c r="F10" i="1" l="1"/>
  <c r="D2" i="3" l="1"/>
  <c r="C2" i="3" l="1"/>
  <c r="F30" i="3" s="1"/>
  <c r="E21" i="3" l="1"/>
  <c r="E19" i="3"/>
  <c r="E10" i="3"/>
  <c r="E6" i="3"/>
  <c r="E23" i="3"/>
  <c r="E20" i="3"/>
  <c r="E11" i="3"/>
  <c r="E7" i="3"/>
  <c r="H26" i="1"/>
  <c r="H23" i="1"/>
  <c r="H12" i="1"/>
  <c r="H8" i="1"/>
  <c r="I33" i="1"/>
  <c r="H24" i="1"/>
  <c r="H22" i="1"/>
  <c r="H13" i="1"/>
  <c r="H9" i="1"/>
  <c r="I14" i="1" l="1"/>
  <c r="I27" i="1"/>
  <c r="I10" i="1"/>
  <c r="F8" i="3"/>
  <c r="F24" i="3"/>
  <c r="F12" i="3"/>
  <c r="F14" i="3" s="1"/>
  <c r="I16" i="1" l="1"/>
  <c r="I29" i="1" s="1"/>
  <c r="F26" i="3"/>
  <c r="F27" i="1"/>
  <c r="F14" i="1"/>
  <c r="F16" i="1" s="1"/>
  <c r="F29" i="1" l="1"/>
</calcChain>
</file>

<file path=xl/comments1.xml><?xml version="1.0" encoding="utf-8"?>
<comments xmlns="http://schemas.openxmlformats.org/spreadsheetml/2006/main">
  <authors>
    <author>Dan D. Robinson</author>
  </authors>
  <commentList>
    <comment ref="C2" authorId="0">
      <text>
        <r>
          <rPr>
            <b/>
            <sz val="9"/>
            <color indexed="81"/>
            <rFont val="Tahoma"/>
            <charset val="1"/>
          </rPr>
          <t>Dan D. Robinson:</t>
        </r>
        <r>
          <rPr>
            <sz val="9"/>
            <color indexed="81"/>
            <rFont val="Tahoma"/>
            <charset val="1"/>
          </rPr>
          <t xml:space="preserve">
Only enter your LEA's 3 digit number then press the "enter" key or the arrow keys and the worksheet will automatically include the "D0."</t>
        </r>
      </text>
    </comment>
  </commentList>
</comments>
</file>

<file path=xl/sharedStrings.xml><?xml version="1.0" encoding="utf-8"?>
<sst xmlns="http://schemas.openxmlformats.org/spreadsheetml/2006/main" count="659" uniqueCount="397">
  <si>
    <t>Capital Outlay</t>
  </si>
  <si>
    <t>Debt Services</t>
  </si>
  <si>
    <t>Total Expenditures</t>
  </si>
  <si>
    <t>Less Capital Outlay &amp; Debt Services</t>
  </si>
  <si>
    <t>Total Expenditures from all Sources</t>
  </si>
  <si>
    <t>Total Capital Outlay &amp; Debt Services</t>
  </si>
  <si>
    <t xml:space="preserve"> &amp; Debt Services</t>
  </si>
  <si>
    <t>Total Expenditures less Capital Outlay</t>
  </si>
  <si>
    <t>ESEA Title I, Part A</t>
  </si>
  <si>
    <t>ESEA Title III, Parts A &amp; B</t>
  </si>
  <si>
    <t>State and Local special education funds</t>
  </si>
  <si>
    <t xml:space="preserve">State and local funds for programs under </t>
  </si>
  <si>
    <t>ESEA Title I, Part A, and ESEA Title III, Parts A &amp; B</t>
  </si>
  <si>
    <t>Special Education Expenditures</t>
  </si>
  <si>
    <t>Prior year's September 20 count</t>
  </si>
  <si>
    <t>Excess Cost Worksheet</t>
  </si>
  <si>
    <t>Year:</t>
  </si>
  <si>
    <t>Total special education deductions</t>
  </si>
  <si>
    <t xml:space="preserve">Total Expenditures less </t>
  </si>
  <si>
    <t>School enrollments</t>
  </si>
  <si>
    <t>Deduct prior Year's Special Education Expenditures.</t>
  </si>
  <si>
    <t>Prior school year total expenditures from all sources less capital outlay and debt service.</t>
  </si>
  <si>
    <t>Turner-Kansas City</t>
  </si>
  <si>
    <t>Blue Valley</t>
  </si>
  <si>
    <t>Spring Hill</t>
  </si>
  <si>
    <t>Gardner Edgerton</t>
  </si>
  <si>
    <t>De Soto</t>
  </si>
  <si>
    <t>Olathe</t>
  </si>
  <si>
    <t>Fort Scott</t>
  </si>
  <si>
    <t>Wichita</t>
  </si>
  <si>
    <t>Derby</t>
  </si>
  <si>
    <t>Haysville</t>
  </si>
  <si>
    <t>Mulvane</t>
  </si>
  <si>
    <t>Ottawa</t>
  </si>
  <si>
    <t>Kaw Valley</t>
  </si>
  <si>
    <t>Mission Valley</t>
  </si>
  <si>
    <t>Seaman</t>
  </si>
  <si>
    <t>Wellington</t>
  </si>
  <si>
    <t>Silver Lake</t>
  </si>
  <si>
    <t>Manhattan-Ogden</t>
  </si>
  <si>
    <t>Eureka</t>
  </si>
  <si>
    <t>Russell County</t>
  </si>
  <si>
    <t>Auburn Washburn</t>
  </si>
  <si>
    <t>Shawnee Heights</t>
  </si>
  <si>
    <t>Garden City</t>
  </si>
  <si>
    <t>Liberal</t>
  </si>
  <si>
    <t>Lawrence</t>
  </si>
  <si>
    <t>`</t>
  </si>
  <si>
    <t>2011-2012</t>
  </si>
  <si>
    <t>Note: The data provided on this tab is informational only and is directly populated from the annual district budgets submitted to KSDE in July.  No action is required by district officials on this tab.</t>
  </si>
  <si>
    <t>District</t>
  </si>
  <si>
    <t>Total for District</t>
  </si>
  <si>
    <t>Secondary (9-12, NG)</t>
  </si>
  <si>
    <t>Elementary (PreK-8)</t>
  </si>
  <si>
    <t>Erie-Galesburg</t>
  </si>
  <si>
    <t>Cimarron-Ensign</t>
  </si>
  <si>
    <t>Cheylin</t>
  </si>
  <si>
    <t>Rawlins County</t>
  </si>
  <si>
    <t>Western Plains</t>
  </si>
  <si>
    <t>Rock Hills</t>
  </si>
  <si>
    <t>Washington Co. Schools</t>
  </si>
  <si>
    <t>Republic County</t>
  </si>
  <si>
    <t>Thunder Ridge Schools</t>
  </si>
  <si>
    <t>Doniphan West Schools</t>
  </si>
  <si>
    <t>Central Plains</t>
  </si>
  <si>
    <t>Prairie Hills</t>
  </si>
  <si>
    <t>Riverside</t>
  </si>
  <si>
    <t>Nemaha Central Schools</t>
  </si>
  <si>
    <t>Greeley County Schools</t>
  </si>
  <si>
    <t>Piper-Kansas City</t>
  </si>
  <si>
    <t>Bonner Springs</t>
  </si>
  <si>
    <t>Bluestem</t>
  </si>
  <si>
    <t>Remington-Whitewater</t>
  </si>
  <si>
    <t>Ft Leavenworth</t>
  </si>
  <si>
    <t>Wakeeney</t>
  </si>
  <si>
    <t>Moscow Public Schools</t>
  </si>
  <si>
    <t>Hugoton Public Schools</t>
  </si>
  <si>
    <t>Norton Community Schools</t>
  </si>
  <si>
    <t>Northern Valley</t>
  </si>
  <si>
    <t>Ulysses</t>
  </si>
  <si>
    <t>Lakin</t>
  </si>
  <si>
    <t>Deerfield</t>
  </si>
  <si>
    <t>Rolla</t>
  </si>
  <si>
    <t>Elkhart</t>
  </si>
  <si>
    <t>Minneola</t>
  </si>
  <si>
    <t>Ashland</t>
  </si>
  <si>
    <t>Barnes</t>
  </si>
  <si>
    <t>Clifton-Clyde</t>
  </si>
  <si>
    <t>Fowler</t>
  </si>
  <si>
    <t>Meade</t>
  </si>
  <si>
    <t>Jetmore</t>
  </si>
  <si>
    <t>Uniontown</t>
  </si>
  <si>
    <t>Smith Center</t>
  </si>
  <si>
    <t>North Ottawa County</t>
  </si>
  <si>
    <t>Twin Valley</t>
  </si>
  <si>
    <t>Wallace County Schools</t>
  </si>
  <si>
    <t>Weskan</t>
  </si>
  <si>
    <t>Lebo-Waverly</t>
  </si>
  <si>
    <t>Burlington</t>
  </si>
  <si>
    <t>LeRoy-Gridley</t>
  </si>
  <si>
    <t>Northeast</t>
  </si>
  <si>
    <t>Cherokee</t>
  </si>
  <si>
    <t>Girard</t>
  </si>
  <si>
    <t>Frontenac Public Schools</t>
  </si>
  <si>
    <t>Pittsburg</t>
  </si>
  <si>
    <t>North Lyon County</t>
  </si>
  <si>
    <t>Southern Lyon County</t>
  </si>
  <si>
    <t>Emporia</t>
  </si>
  <si>
    <t>Barber County North</t>
  </si>
  <si>
    <t>South Barber</t>
  </si>
  <si>
    <t>Marmaton Valley</t>
  </si>
  <si>
    <t>Iola</t>
  </si>
  <si>
    <t>Humboldt</t>
  </si>
  <si>
    <t>Valley Center Pub Sch</t>
  </si>
  <si>
    <t>Clearwater</t>
  </si>
  <si>
    <t>Goddard</t>
  </si>
  <si>
    <t>Maize</t>
  </si>
  <si>
    <t>Renwick</t>
  </si>
  <si>
    <t>Cheney</t>
  </si>
  <si>
    <t>Palco</t>
  </si>
  <si>
    <t>Plainville</t>
  </si>
  <si>
    <t>Stockton</t>
  </si>
  <si>
    <t>Waconda</t>
  </si>
  <si>
    <t>Beloit</t>
  </si>
  <si>
    <t>Oakley</t>
  </si>
  <si>
    <t>Triplains</t>
  </si>
  <si>
    <t>Graham County</t>
  </si>
  <si>
    <t>West Elk</t>
  </si>
  <si>
    <t>Elk Valley</t>
  </si>
  <si>
    <t>Chase County</t>
  </si>
  <si>
    <t>Cedar Vale</t>
  </si>
  <si>
    <t>Chautauqua Co Community</t>
  </si>
  <si>
    <t>West Franklin</t>
  </si>
  <si>
    <t>Central Heights</t>
  </si>
  <si>
    <t>Wellsville</t>
  </si>
  <si>
    <t>Grinnell Public Schools</t>
  </si>
  <si>
    <t>Wheatland</t>
  </si>
  <si>
    <t>Quinter Public Schools</t>
  </si>
  <si>
    <t>Oberlin</t>
  </si>
  <si>
    <t>St Francis Comm Sch</t>
  </si>
  <si>
    <t>Lincoln</t>
  </si>
  <si>
    <t>Sylvan Grove</t>
  </si>
  <si>
    <t>Comanche County</t>
  </si>
  <si>
    <t>Ness City</t>
  </si>
  <si>
    <t>Salina</t>
  </si>
  <si>
    <t>Southeast Of Saline</t>
  </si>
  <si>
    <t>Ell-Saline</t>
  </si>
  <si>
    <t>Hutchinson Public Schools</t>
  </si>
  <si>
    <t>Nickerson</t>
  </si>
  <si>
    <t>Fairfield</t>
  </si>
  <si>
    <t>Pretty Prairie</t>
  </si>
  <si>
    <t>Haven Public Schools</t>
  </si>
  <si>
    <t>Buhler</t>
  </si>
  <si>
    <t>Brewster</t>
  </si>
  <si>
    <t>Colby Public Schools</t>
  </si>
  <si>
    <t>Golden Plains</t>
  </si>
  <si>
    <t>Wamego</t>
  </si>
  <si>
    <t>Onaga-Havensville-Wheaton</t>
  </si>
  <si>
    <t>Rock Creek</t>
  </si>
  <si>
    <t>Phillipsburg</t>
  </si>
  <si>
    <t>Logan</t>
  </si>
  <si>
    <t>Ellsworth</t>
  </si>
  <si>
    <t>Mill Creek Valley</t>
  </si>
  <si>
    <t>Kingman - Norwich</t>
  </si>
  <si>
    <t>Cunningham</t>
  </si>
  <si>
    <t>Concordia</t>
  </si>
  <si>
    <t>Southern Cloud</t>
  </si>
  <si>
    <t>North Jackson</t>
  </si>
  <si>
    <t>Holton</t>
  </si>
  <si>
    <t>Royal Valley</t>
  </si>
  <si>
    <t>Valley Falls</t>
  </si>
  <si>
    <t>Jefferson County North</t>
  </si>
  <si>
    <t>Jefferson West</t>
  </si>
  <si>
    <t>Oskaloosa Public Schools</t>
  </si>
  <si>
    <t>McLouth</t>
  </si>
  <si>
    <t>Perry Public Schools</t>
  </si>
  <si>
    <t>Pleasanton</t>
  </si>
  <si>
    <t>Jayhawk</t>
  </si>
  <si>
    <t>Kinsley-Offerle</t>
  </si>
  <si>
    <t>Baldwin City</t>
  </si>
  <si>
    <t>Stafford</t>
  </si>
  <si>
    <t>St John-Hudson</t>
  </si>
  <si>
    <t>Macksville</t>
  </si>
  <si>
    <t>Goodland</t>
  </si>
  <si>
    <t>Ellinwood Public Schools</t>
  </si>
  <si>
    <t>Conway Springs</t>
  </si>
  <si>
    <t>Belle Plaine</t>
  </si>
  <si>
    <t>Oxford</t>
  </si>
  <si>
    <t>Argonia Public Schools</t>
  </si>
  <si>
    <t>Caldwell</t>
  </si>
  <si>
    <t>Anthony-Harper</t>
  </si>
  <si>
    <t>Prairie View</t>
  </si>
  <si>
    <t>Holcomb</t>
  </si>
  <si>
    <t>Marysville</t>
  </si>
  <si>
    <t>Garnett</t>
  </si>
  <si>
    <t>Woodson</t>
  </si>
  <si>
    <t>Osawatomie</t>
  </si>
  <si>
    <t>Paola</t>
  </si>
  <si>
    <t>Burrton</t>
  </si>
  <si>
    <t>Montezuma</t>
  </si>
  <si>
    <t>Newton</t>
  </si>
  <si>
    <t>Sublette</t>
  </si>
  <si>
    <t>Circle</t>
  </si>
  <si>
    <t>Sterling</t>
  </si>
  <si>
    <t>Atchison Co Comm Schools</t>
  </si>
  <si>
    <t>Riley County</t>
  </si>
  <si>
    <t>Clay Center</t>
  </si>
  <si>
    <t>Vermillion</t>
  </si>
  <si>
    <t>Spearville</t>
  </si>
  <si>
    <t>Pratt</t>
  </si>
  <si>
    <t>Andover</t>
  </si>
  <si>
    <t>Madison-Virgil</t>
  </si>
  <si>
    <t>Altoona-Midway</t>
  </si>
  <si>
    <t>Ellis</t>
  </si>
  <si>
    <t>Hamilton</t>
  </si>
  <si>
    <t>Osborne County</t>
  </si>
  <si>
    <t>Solomon</t>
  </si>
  <si>
    <t>Rose Hill Public Schools</t>
  </si>
  <si>
    <t>LaCrosse</t>
  </si>
  <si>
    <t>Douglass Public Schools</t>
  </si>
  <si>
    <t>Centre</t>
  </si>
  <si>
    <t>Peabody-Burns</t>
  </si>
  <si>
    <t>Paradise</t>
  </si>
  <si>
    <t>Smoky Valley</t>
  </si>
  <si>
    <t>Chase-Raymond</t>
  </si>
  <si>
    <t>Augusta</t>
  </si>
  <si>
    <t>Otis-Bison</t>
  </si>
  <si>
    <t>Riverton</t>
  </si>
  <si>
    <t>Lyons</t>
  </si>
  <si>
    <t>Marion-Florence</t>
  </si>
  <si>
    <t>Atchison Public Schools</t>
  </si>
  <si>
    <t>Durham-Hillsboro-Lehigh</t>
  </si>
  <si>
    <t>Goessel</t>
  </si>
  <si>
    <t>Hoxie Community Schools</t>
  </si>
  <si>
    <t>Chanute Public Schools</t>
  </si>
  <si>
    <t>Hiawatha</t>
  </si>
  <si>
    <t>Louisburg</t>
  </si>
  <si>
    <t>Morris County</t>
  </si>
  <si>
    <t>McPherson</t>
  </si>
  <si>
    <t>Canton-Galva</t>
  </si>
  <si>
    <t>Osage City</t>
  </si>
  <si>
    <t>Lyndon</t>
  </si>
  <si>
    <t>Kiowa County</t>
  </si>
  <si>
    <t>Moundridge</t>
  </si>
  <si>
    <t>Pike Valley</t>
  </si>
  <si>
    <t>Great Bend</t>
  </si>
  <si>
    <t>Troy Public Schools</t>
  </si>
  <si>
    <t>South Brown County</t>
  </si>
  <si>
    <t>Hoisington</t>
  </si>
  <si>
    <t>Victoria</t>
  </si>
  <si>
    <t>Santa Fe Trail</t>
  </si>
  <si>
    <t>Abilene</t>
  </si>
  <si>
    <t>Caney Valley</t>
  </si>
  <si>
    <t>Skyline Schools</t>
  </si>
  <si>
    <t>Sedgwick Public Schools</t>
  </si>
  <si>
    <t>Halstead</t>
  </si>
  <si>
    <t>Dodge City</t>
  </si>
  <si>
    <t>Little River</t>
  </si>
  <si>
    <t>Coffeyville</t>
  </si>
  <si>
    <t>Independence</t>
  </si>
  <si>
    <t>Cherryvale</t>
  </si>
  <si>
    <t>Inman</t>
  </si>
  <si>
    <t>Easton</t>
  </si>
  <si>
    <t>Stanton County</t>
  </si>
  <si>
    <t>Leavenworth</t>
  </si>
  <si>
    <t>Burlingame Public School</t>
  </si>
  <si>
    <t>Marais Des Cygnes Valley</t>
  </si>
  <si>
    <t>Basehor-Linwood</t>
  </si>
  <si>
    <t>Bucklin</t>
  </si>
  <si>
    <t>Hesston</t>
  </si>
  <si>
    <t>Neodesha</t>
  </si>
  <si>
    <t>Central</t>
  </si>
  <si>
    <t>Udall</t>
  </si>
  <si>
    <t>Tonganoxie</t>
  </si>
  <si>
    <t>Winfield</t>
  </si>
  <si>
    <t>Scott County</t>
  </si>
  <si>
    <t>Leoti</t>
  </si>
  <si>
    <t>Healy Public Schools</t>
  </si>
  <si>
    <t>Lansing</t>
  </si>
  <si>
    <t>Arkansas City</t>
  </si>
  <si>
    <t>Dexter</t>
  </si>
  <si>
    <t>Chapman</t>
  </si>
  <si>
    <t>Haviland</t>
  </si>
  <si>
    <t>Geary County Schools</t>
  </si>
  <si>
    <t>Copeland</t>
  </si>
  <si>
    <t>Ingalls</t>
  </si>
  <si>
    <t>Crest</t>
  </si>
  <si>
    <t>Rural Vista</t>
  </si>
  <si>
    <t>Dighton</t>
  </si>
  <si>
    <t>Kismet-Plains</t>
  </si>
  <si>
    <t>Fredonia</t>
  </si>
  <si>
    <t>Herington</t>
  </si>
  <si>
    <t>Hays</t>
  </si>
  <si>
    <t>El Dorado</t>
  </si>
  <si>
    <t>Eudora</t>
  </si>
  <si>
    <t>Flinthills</t>
  </si>
  <si>
    <t>Columbus</t>
  </si>
  <si>
    <t>Syracuse</t>
  </si>
  <si>
    <t>Ft Larned</t>
  </si>
  <si>
    <t>Pawnee Heights</t>
  </si>
  <si>
    <t>Valley Heights</t>
  </si>
  <si>
    <t>Galena</t>
  </si>
  <si>
    <t>Kansas City</t>
  </si>
  <si>
    <t>Topeka Public Schools</t>
  </si>
  <si>
    <t>Lewis</t>
  </si>
  <si>
    <t>Parsons</t>
  </si>
  <si>
    <t>Oswego</t>
  </si>
  <si>
    <t>Chetopa-St. Paul</t>
  </si>
  <si>
    <t>Labette County</t>
  </si>
  <si>
    <t>Satanta</t>
  </si>
  <si>
    <t>Baxter Springs</t>
  </si>
  <si>
    <t>South Haven</t>
  </si>
  <si>
    <t>Attica</t>
  </si>
  <si>
    <t>Shawnee Mission Pub Sch</t>
  </si>
  <si>
    <t>NW KS Ed Services</t>
  </si>
  <si>
    <t>ANW Spec Ed Coop</t>
  </si>
  <si>
    <t>South Central KS Special Ed</t>
  </si>
  <si>
    <t>Tri County Special Ed Coop</t>
  </si>
  <si>
    <t>NE KS Education Services</t>
  </si>
  <si>
    <t>SE KS Reg Ed Services Ctr</t>
  </si>
  <si>
    <t>Reno Co Education Coop</t>
  </si>
  <si>
    <t>High Plains Ed Coop</t>
  </si>
  <si>
    <t>SW Area Coop</t>
  </si>
  <si>
    <t>East Central KS Coop</t>
  </si>
  <si>
    <t>Brown Co Special Ed Coop</t>
  </si>
  <si>
    <t>Doniphan Co Education Coop</t>
  </si>
  <si>
    <t>Marion Co Special Ed Coop</t>
  </si>
  <si>
    <t>Sedgwick Co Area Ed Service Coop</t>
  </si>
  <si>
    <t>Sumner Co Special Ed Coop</t>
  </si>
  <si>
    <t>Three Lakes Educational Coop</t>
  </si>
  <si>
    <t>South Central KS Educ Service</t>
  </si>
  <si>
    <t>North Central KS Spec Educ</t>
  </si>
  <si>
    <t>SE KS Special Education</t>
  </si>
  <si>
    <t>State &amp; Local</t>
  </si>
  <si>
    <t>Coop</t>
  </si>
  <si>
    <t>USD#</t>
  </si>
  <si>
    <t>USD_Name</t>
  </si>
  <si>
    <t>Cap_Outlay</t>
  </si>
  <si>
    <t>Debt_Service</t>
  </si>
  <si>
    <t>IDEA_Draw</t>
  </si>
  <si>
    <t>TitleI_Draw</t>
  </si>
  <si>
    <t>TitleIII_Draw</t>
  </si>
  <si>
    <t>Sped Fund</t>
  </si>
  <si>
    <t>Coop Fund</t>
  </si>
  <si>
    <t>Sped_Expend</t>
  </si>
  <si>
    <t>Bil_Expend</t>
  </si>
  <si>
    <t>PK-8_Hdct</t>
  </si>
  <si>
    <t>9-12,NG_Hdct</t>
  </si>
  <si>
    <t>D0603</t>
  </si>
  <si>
    <t>D0613</t>
  </si>
  <si>
    <t>D0602</t>
  </si>
  <si>
    <t>D0273</t>
  </si>
  <si>
    <t>D0333</t>
  </si>
  <si>
    <t>D0636</t>
  </si>
  <si>
    <t>D0616</t>
  </si>
  <si>
    <t>D0305</t>
  </si>
  <si>
    <t>D0336</t>
  </si>
  <si>
    <t>D0115</t>
  </si>
  <si>
    <t>D0611</t>
  </si>
  <si>
    <t>D0500</t>
  </si>
  <si>
    <t>D0490</t>
  </si>
  <si>
    <t>D0453</t>
  </si>
  <si>
    <t>D0379</t>
  </si>
  <si>
    <t>D0637</t>
  </si>
  <si>
    <t>D0244</t>
  </si>
  <si>
    <t>D0253</t>
  </si>
  <si>
    <t>D0605</t>
  </si>
  <si>
    <t>D0618</t>
  </si>
  <si>
    <t>D0282</t>
  </si>
  <si>
    <t>D0465</t>
  </si>
  <si>
    <t>D0620</t>
  </si>
  <si>
    <t>D0368</t>
  </si>
  <si>
    <t>D0614</t>
  </si>
  <si>
    <t>D0610</t>
  </si>
  <si>
    <t>D0320</t>
  </si>
  <si>
    <t>D0608</t>
  </si>
  <si>
    <t>D0495</t>
  </si>
  <si>
    <t>D0428</t>
  </si>
  <si>
    <t>D0619</t>
  </si>
  <si>
    <t>D0364</t>
  </si>
  <si>
    <t>D0373</t>
  </si>
  <si>
    <t>D0405</t>
  </si>
  <si>
    <t>D0489</t>
  </si>
  <si>
    <t>D0617</t>
  </si>
  <si>
    <t>D0418</t>
  </si>
  <si>
    <t>D0615</t>
  </si>
  <si>
    <t>D0607</t>
  </si>
  <si>
    <t>D0609</t>
  </si>
  <si>
    <t>D0628</t>
  </si>
  <si>
    <t>Federal</t>
  </si>
  <si>
    <t xml:space="preserve">Federal </t>
  </si>
  <si>
    <t>Note: All requested data are from the prior school year (the 2010-2011 school year).</t>
  </si>
  <si>
    <t>Ln1:Non-Fed Exp</t>
  </si>
  <si>
    <t>Ln2:Federal Exp (Code 7)</t>
  </si>
  <si>
    <t>Please return a copy of the completed Excel file to your Coop/Interlocal Special Education Director.</t>
  </si>
  <si>
    <t>Do not send a faxed or printed copy.</t>
  </si>
  <si>
    <t>Robinson Member District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</si>
</sst>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44" formatCode="_(&quot;$&quot;* #,##0.00_);_(&quot;$&quot;* \(#,##0.00\);_(&quot;$&quot;* &quot;-&quot;??_);_(@_)"/>
    <numFmt numFmtId="164" formatCode="&quot;D0&quot;###"/>
  </numFmts>
  <fonts count="28">
    <font>
      <sz val="11"/>
      <color theme="1"/>
      <name val="Calibri"/>
      <family val="2"/>
      <scheme val="minor"/>
    </font>
    <font>
      <sz val="14"/>
      <color theme="1"/>
      <name val="Calibri"/>
      <family val="2"/>
      <scheme val="minor"/>
    </font>
    <font>
      <sz val="10"/>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b/>
      <sz val="14"/>
      <color theme="1"/>
      <name val="Calibri"/>
      <family val="2"/>
      <scheme val="minor"/>
    </font>
    <font>
      <sz val="10"/>
      <name val="Arial"/>
      <family val="2"/>
    </font>
    <font>
      <sz val="10"/>
      <name val="Geneva"/>
    </font>
    <font>
      <sz val="10"/>
      <color indexed="8"/>
      <name val="Calibri"/>
      <family val="2"/>
      <scheme val="minor"/>
    </font>
    <font>
      <sz val="10"/>
      <name val="Calibri"/>
      <family val="2"/>
      <scheme val="minor"/>
    </font>
    <font>
      <sz val="9"/>
      <color indexed="81"/>
      <name val="Tahoma"/>
      <charset val="1"/>
    </font>
    <font>
      <b/>
      <sz val="9"/>
      <color indexed="81"/>
      <name val="Tahoma"/>
      <charset val="1"/>
    </font>
  </fonts>
  <fills count="3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85">
    <xf numFmtId="0" fontId="0" fillId="0" borderId="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12" applyNumberFormat="0" applyAlignment="0" applyProtection="0"/>
    <xf numFmtId="0" fontId="13" fillId="9" borderId="13" applyNumberFormat="0" applyAlignment="0" applyProtection="0"/>
    <xf numFmtId="0" fontId="14" fillId="9" borderId="12" applyNumberFormat="0" applyAlignment="0" applyProtection="0"/>
    <xf numFmtId="0" fontId="16" fillId="10" borderId="15" applyNumberFormat="0" applyAlignment="0" applyProtection="0"/>
    <xf numFmtId="0" fontId="4" fillId="11" borderId="16" applyNumberFormat="0" applyFont="0" applyAlignment="0" applyProtection="0"/>
    <xf numFmtId="0" fontId="19"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19" fillId="35" borderId="0" applyNumberFormat="0" applyBorder="0" applyAlignment="0" applyProtection="0"/>
    <xf numFmtId="0" fontId="20" fillId="0" borderId="0"/>
    <xf numFmtId="44" fontId="20" fillId="0" borderId="0" applyFont="0" applyFill="0" applyBorder="0" applyAlignment="0" applyProtection="0"/>
    <xf numFmtId="0" fontId="5" fillId="0" borderId="0" applyNumberFormat="0" applyFill="0" applyBorder="0" applyAlignment="0" applyProtection="0"/>
    <xf numFmtId="0" fontId="6" fillId="0" borderId="9" applyNumberFormat="0" applyFill="0" applyAlignment="0" applyProtection="0"/>
    <xf numFmtId="0" fontId="7" fillId="0" borderId="10" applyNumberFormat="0" applyFill="0" applyAlignment="0" applyProtection="0"/>
    <xf numFmtId="0" fontId="8" fillId="0" borderId="11" applyNumberFormat="0" applyFill="0" applyAlignment="0" applyProtection="0"/>
    <xf numFmtId="0" fontId="8" fillId="0" borderId="0" applyNumberFormat="0" applyFill="0" applyBorder="0" applyAlignment="0" applyProtection="0"/>
    <xf numFmtId="0" fontId="15" fillId="0" borderId="14"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3" fillId="0" borderId="17" applyNumberFormat="0" applyFill="0" applyAlignment="0" applyProtection="0"/>
    <xf numFmtId="0" fontId="4" fillId="0" borderId="0"/>
    <xf numFmtId="0" fontId="4" fillId="0" borderId="0"/>
    <xf numFmtId="0" fontId="20" fillId="0" borderId="0"/>
    <xf numFmtId="0" fontId="4" fillId="0" borderId="0"/>
    <xf numFmtId="0" fontId="5" fillId="0" borderId="0" applyNumberFormat="0" applyFill="0" applyBorder="0" applyAlignment="0" applyProtection="0"/>
    <xf numFmtId="0" fontId="6" fillId="0" borderId="9" applyNumberFormat="0" applyFill="0" applyAlignment="0" applyProtection="0"/>
    <xf numFmtId="0" fontId="7" fillId="0" borderId="10" applyNumberFormat="0" applyFill="0" applyAlignment="0" applyProtection="0"/>
    <xf numFmtId="0" fontId="8" fillId="0" borderId="11" applyNumberFormat="0" applyFill="0" applyAlignment="0" applyProtection="0"/>
    <xf numFmtId="0" fontId="8" fillId="0" borderId="0" applyNumberFormat="0" applyFill="0" applyBorder="0" applyAlignment="0" applyProtection="0"/>
    <xf numFmtId="0" fontId="15" fillId="0" borderId="14"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3" fillId="0" borderId="17" applyNumberFormat="0" applyFill="0" applyAlignment="0" applyProtection="0"/>
    <xf numFmtId="0" fontId="22" fillId="0" borderId="0"/>
    <xf numFmtId="0" fontId="23" fillId="0" borderId="0"/>
    <xf numFmtId="40" fontId="23" fillId="0" borderId="0" applyFont="0" applyFill="0" applyBorder="0" applyAlignment="0" applyProtection="0"/>
    <xf numFmtId="8" fontId="23" fillId="0" borderId="0" applyFont="0" applyFill="0" applyBorder="0" applyAlignment="0" applyProtection="0"/>
    <xf numFmtId="9" fontId="23" fillId="0" borderId="0" applyFont="0" applyFill="0" applyBorder="0" applyAlignment="0" applyProtection="0"/>
    <xf numFmtId="0" fontId="4" fillId="11" borderId="16" applyNumberFormat="0" applyFont="0" applyAlignment="0" applyProtection="0"/>
    <xf numFmtId="0" fontId="4" fillId="0" borderId="0"/>
    <xf numFmtId="0" fontId="4" fillId="11" borderId="16" applyNumberFormat="0" applyFont="0" applyAlignment="0" applyProtection="0"/>
    <xf numFmtId="0" fontId="4" fillId="13" borderId="0" applyNumberFormat="0" applyBorder="0" applyAlignment="0" applyProtection="0"/>
    <xf numFmtId="0" fontId="4" fillId="14"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44" fontId="20" fillId="0" borderId="0" applyFont="0" applyFill="0" applyBorder="0" applyAlignment="0" applyProtection="0"/>
    <xf numFmtId="0" fontId="4" fillId="0" borderId="0"/>
    <xf numFmtId="0" fontId="20" fillId="0" borderId="0"/>
    <xf numFmtId="0" fontId="4" fillId="0" borderId="0"/>
    <xf numFmtId="44" fontId="20" fillId="0" borderId="0" applyFont="0" applyFill="0" applyBorder="0" applyAlignment="0" applyProtection="0"/>
    <xf numFmtId="0" fontId="4" fillId="0" borderId="0"/>
    <xf numFmtId="0" fontId="20" fillId="0" borderId="0"/>
    <xf numFmtId="0" fontId="4" fillId="0" borderId="0"/>
  </cellStyleXfs>
  <cellXfs count="76">
    <xf numFmtId="0" fontId="0" fillId="0" borderId="0" xfId="0"/>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2" fillId="0" borderId="5" xfId="0" applyFont="1" applyBorder="1"/>
    <xf numFmtId="0" fontId="2" fillId="0" borderId="0" xfId="0" applyFont="1" applyBorder="1"/>
    <xf numFmtId="0" fontId="2" fillId="0" borderId="7" xfId="0" applyFont="1" applyBorder="1"/>
    <xf numFmtId="44" fontId="2" fillId="0" borderId="5" xfId="0" applyNumberFormat="1" applyFont="1" applyBorder="1"/>
    <xf numFmtId="44" fontId="2" fillId="0" borderId="8" xfId="0" applyNumberFormat="1" applyFont="1" applyBorder="1"/>
    <xf numFmtId="44" fontId="2" fillId="0" borderId="0" xfId="0" applyNumberFormat="1" applyFont="1" applyBorder="1"/>
    <xf numFmtId="44" fontId="2" fillId="0" borderId="7" xfId="0" applyNumberFormat="1" applyFont="1" applyBorder="1"/>
    <xf numFmtId="0" fontId="0" fillId="0" borderId="0" xfId="0" applyAlignment="1">
      <alignment horizontal="right"/>
    </xf>
    <xf numFmtId="0" fontId="3" fillId="0" borderId="0" xfId="0" applyFont="1" applyAlignment="1">
      <alignment horizontal="right"/>
    </xf>
    <xf numFmtId="0" fontId="3" fillId="0" borderId="0" xfId="0" applyFont="1"/>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0" xfId="0" applyAlignment="1">
      <alignment vertical="top" wrapText="1"/>
    </xf>
    <xf numFmtId="0" fontId="0" fillId="0" borderId="0" xfId="0" applyBorder="1" applyAlignment="1">
      <alignment horizontal="center" vertical="center" wrapText="1"/>
    </xf>
    <xf numFmtId="44" fontId="2" fillId="0" borderId="0" xfId="0" applyNumberFormat="1" applyFont="1" applyFill="1" applyBorder="1"/>
    <xf numFmtId="44" fontId="2" fillId="0" borderId="7" xfId="0" applyNumberFormat="1" applyFont="1" applyFill="1" applyBorder="1"/>
    <xf numFmtId="1" fontId="0" fillId="0" borderId="8" xfId="0" applyNumberFormat="1" applyBorder="1"/>
    <xf numFmtId="0" fontId="0" fillId="0" borderId="0" xfId="0"/>
    <xf numFmtId="1" fontId="0" fillId="0" borderId="5" xfId="0" applyNumberFormat="1" applyBorder="1"/>
    <xf numFmtId="0" fontId="21" fillId="0" borderId="0" xfId="0" applyFont="1" applyAlignment="1">
      <alignment horizontal="right"/>
    </xf>
    <xf numFmtId="0" fontId="1" fillId="0" borderId="0" xfId="0" applyFont="1" applyFill="1"/>
    <xf numFmtId="164" fontId="3" fillId="0" borderId="0" xfId="0" applyNumberFormat="1" applyFont="1" applyFill="1"/>
    <xf numFmtId="1" fontId="0" fillId="0" borderId="0" xfId="0" applyNumberFormat="1" applyFill="1" applyBorder="1"/>
    <xf numFmtId="0" fontId="0" fillId="0" borderId="8" xfId="0" applyBorder="1"/>
    <xf numFmtId="44" fontId="2" fillId="2" borderId="18" xfId="0" applyNumberFormat="1" applyFont="1" applyFill="1" applyBorder="1" applyProtection="1">
      <protection locked="0"/>
    </xf>
    <xf numFmtId="164" fontId="21" fillId="2" borderId="18" xfId="0" applyNumberFormat="1" applyFont="1" applyFill="1" applyBorder="1" applyProtection="1">
      <protection locked="0"/>
    </xf>
    <xf numFmtId="44" fontId="0" fillId="0" borderId="0" xfId="0" applyNumberFormat="1"/>
    <xf numFmtId="44" fontId="0" fillId="0" borderId="8" xfId="0" applyNumberFormat="1" applyBorder="1"/>
    <xf numFmtId="1" fontId="0" fillId="2" borderId="18" xfId="0" applyNumberFormat="1" applyFill="1" applyBorder="1" applyProtection="1">
      <protection locked="0"/>
    </xf>
    <xf numFmtId="164" fontId="2" fillId="0" borderId="0" xfId="0" applyNumberFormat="1" applyFont="1" applyAlignment="1">
      <alignment horizontal="center"/>
    </xf>
    <xf numFmtId="44" fontId="0" fillId="0" borderId="7" xfId="0" applyNumberFormat="1" applyBorder="1"/>
    <xf numFmtId="0" fontId="0" fillId="0" borderId="0" xfId="0"/>
    <xf numFmtId="3" fontId="0" fillId="0" borderId="0" xfId="0" applyNumberFormat="1"/>
    <xf numFmtId="3" fontId="2" fillId="0" borderId="7" xfId="0" applyNumberFormat="1" applyFont="1" applyBorder="1" applyAlignment="1">
      <alignment horizontal="center"/>
    </xf>
    <xf numFmtId="0" fontId="2" fillId="0" borderId="0" xfId="0" applyFont="1" applyAlignment="1">
      <alignment horizontal="center"/>
    </xf>
    <xf numFmtId="3" fontId="2" fillId="0" borderId="0" xfId="0" applyNumberFormat="1" applyFont="1"/>
    <xf numFmtId="0" fontId="24" fillId="0" borderId="0" xfId="57" applyFont="1" applyBorder="1" applyAlignment="1" applyProtection="1">
      <alignment wrapText="1" readingOrder="1"/>
      <protection locked="0"/>
    </xf>
    <xf numFmtId="0" fontId="2" fillId="0" borderId="0" xfId="0" applyFont="1" applyAlignment="1">
      <alignment horizontal="left"/>
    </xf>
    <xf numFmtId="0" fontId="2" fillId="0" borderId="0" xfId="0" applyFont="1" applyFill="1" applyAlignment="1">
      <alignment horizontal="center"/>
    </xf>
    <xf numFmtId="0" fontId="2" fillId="36" borderId="0" xfId="0" applyFont="1" applyFill="1" applyAlignment="1">
      <alignment horizontal="center"/>
    </xf>
    <xf numFmtId="0" fontId="25" fillId="0" borderId="0" xfId="0" applyFont="1" applyFill="1" applyProtection="1">
      <protection locked="0"/>
    </xf>
    <xf numFmtId="0" fontId="25" fillId="0" borderId="0" xfId="0" applyFont="1"/>
    <xf numFmtId="0" fontId="25" fillId="0" borderId="0" xfId="0" applyFont="1" applyFill="1"/>
    <xf numFmtId="3" fontId="2" fillId="0" borderId="0" xfId="0" applyNumberFormat="1" applyFont="1" applyAlignment="1">
      <alignment horizontal="center"/>
    </xf>
    <xf numFmtId="3" fontId="24" fillId="0" borderId="0" xfId="57" applyNumberFormat="1" applyFont="1" applyBorder="1" applyAlignment="1" applyProtection="1">
      <alignment wrapText="1" readingOrder="1"/>
      <protection locked="0"/>
    </xf>
    <xf numFmtId="0" fontId="2" fillId="0" borderId="0" xfId="0" applyFont="1"/>
    <xf numFmtId="3" fontId="2" fillId="0" borderId="0" xfId="0" applyNumberFormat="1" applyFont="1"/>
    <xf numFmtId="3" fontId="24" fillId="0" borderId="0" xfId="57" applyNumberFormat="1" applyFont="1" applyBorder="1" applyAlignment="1" applyProtection="1">
      <alignment wrapText="1" readingOrder="1"/>
      <protection locked="0"/>
    </xf>
    <xf numFmtId="3" fontId="25" fillId="0" borderId="0" xfId="0" applyNumberFormat="1" applyFont="1"/>
    <xf numFmtId="3" fontId="25" fillId="0" borderId="0" xfId="0" applyNumberFormat="1" applyFont="1" applyFill="1"/>
    <xf numFmtId="3" fontId="0" fillId="0" borderId="0" xfId="0" applyNumberFormat="1"/>
    <xf numFmtId="0" fontId="0" fillId="0" borderId="0" xfId="0" applyFill="1"/>
    <xf numFmtId="0" fontId="3" fillId="0" borderId="0" xfId="0" applyFont="1" applyAlignment="1">
      <alignment vertical="top"/>
    </xf>
    <xf numFmtId="0" fontId="21" fillId="0" borderId="0" xfId="0" applyFont="1" applyAlignment="1">
      <alignment horizontal="center"/>
    </xf>
    <xf numFmtId="0" fontId="21" fillId="0" borderId="0" xfId="0" applyFont="1" applyAlignment="1">
      <alignment horizontal="left"/>
    </xf>
    <xf numFmtId="0" fontId="0" fillId="0" borderId="0" xfId="0" applyBorder="1" applyAlignment="1">
      <alignment horizontal="center"/>
    </xf>
    <xf numFmtId="0" fontId="0" fillId="0" borderId="5" xfId="0"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4" borderId="0" xfId="0" applyFill="1" applyBorder="1" applyAlignment="1">
      <alignment horizontal="center" vertical="center" wrapText="1"/>
    </xf>
    <xf numFmtId="0" fontId="0" fillId="4" borderId="5" xfId="0" applyFill="1"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3" borderId="0" xfId="0" applyFill="1" applyAlignment="1">
      <alignment horizontal="center" vertical="top" wrapText="1"/>
    </xf>
    <xf numFmtId="0" fontId="3" fillId="0" borderId="0" xfId="0" applyFont="1" applyAlignment="1">
      <alignment horizontal="left"/>
    </xf>
  </cellXfs>
  <cellStyles count="85">
    <cellStyle name="20% - Accent1" xfId="10" builtinId="30" customBuiltin="1"/>
    <cellStyle name="20% - Accent1 2" xfId="65"/>
    <cellStyle name="20% - Accent2" xfId="14" builtinId="34" customBuiltin="1"/>
    <cellStyle name="20% - Accent2 2" xfId="67"/>
    <cellStyle name="20% - Accent3" xfId="18" builtinId="38" customBuiltin="1"/>
    <cellStyle name="20% - Accent3 2" xfId="69"/>
    <cellStyle name="20% - Accent4" xfId="22" builtinId="42" customBuiltin="1"/>
    <cellStyle name="20% - Accent4 2" xfId="71"/>
    <cellStyle name="20% - Accent5" xfId="26" builtinId="46" customBuiltin="1"/>
    <cellStyle name="20% - Accent5 2" xfId="73"/>
    <cellStyle name="20% - Accent6" xfId="30" builtinId="50" customBuiltin="1"/>
    <cellStyle name="20% - Accent6 2" xfId="75"/>
    <cellStyle name="40% - Accent1" xfId="11" builtinId="31" customBuiltin="1"/>
    <cellStyle name="40% - Accent1 2" xfId="66"/>
    <cellStyle name="40% - Accent2" xfId="15" builtinId="35" customBuiltin="1"/>
    <cellStyle name="40% - Accent2 2" xfId="68"/>
    <cellStyle name="40% - Accent3" xfId="19" builtinId="39" customBuiltin="1"/>
    <cellStyle name="40% - Accent3 2" xfId="70"/>
    <cellStyle name="40% - Accent4" xfId="23" builtinId="43" customBuiltin="1"/>
    <cellStyle name="40% - Accent4 2" xfId="72"/>
    <cellStyle name="40% - Accent5" xfId="27" builtinId="47" customBuiltin="1"/>
    <cellStyle name="40% - Accent5 2" xfId="74"/>
    <cellStyle name="40% - Accent6" xfId="31" builtinId="51" customBuiltin="1"/>
    <cellStyle name="40% - Accent6 2" xfId="76"/>
    <cellStyle name="60% - Accent1" xfId="12" builtinId="32" customBuiltin="1"/>
    <cellStyle name="60% - Accent2" xfId="16" builtinId="36" customBuiltin="1"/>
    <cellStyle name="60% - Accent3" xfId="20" builtinId="40" customBuiltin="1"/>
    <cellStyle name="60% - Accent4" xfId="24" builtinId="44" customBuiltin="1"/>
    <cellStyle name="60% - Accent5" xfId="28" builtinId="48" customBuiltin="1"/>
    <cellStyle name="60% - Accent6" xfId="32" builtinId="52" customBuiltin="1"/>
    <cellStyle name="Accent1" xfId="9" builtinId="29" customBuiltin="1"/>
    <cellStyle name="Accent2" xfId="13" builtinId="33" customBuiltin="1"/>
    <cellStyle name="Accent3" xfId="17" builtinId="37" customBuiltin="1"/>
    <cellStyle name="Accent4" xfId="21" builtinId="41" customBuiltin="1"/>
    <cellStyle name="Accent5" xfId="25" builtinId="45" customBuiltin="1"/>
    <cellStyle name="Accent6" xfId="29" builtinId="49" customBuiltin="1"/>
    <cellStyle name="Bad" xfId="2" builtinId="27" customBuiltin="1"/>
    <cellStyle name="Calculation" xfId="6" builtinId="22" customBuiltin="1"/>
    <cellStyle name="Check Cell" xfId="7" builtinId="23" customBuiltin="1"/>
    <cellStyle name="Comma 2" xfId="59"/>
    <cellStyle name="Currency 2" xfId="34"/>
    <cellStyle name="Currency 2 2" xfId="60"/>
    <cellStyle name="Currency 2 3" xfId="77"/>
    <cellStyle name="Currency 2 4" xfId="81"/>
    <cellStyle name="Explanatory Text" xfId="55" builtinId="53" customBuiltin="1"/>
    <cellStyle name="Explanatory Text 2" xfId="42"/>
    <cellStyle name="Good" xfId="1" builtinId="26" customBuiltin="1"/>
    <cellStyle name="Heading 1" xfId="49" builtinId="16" customBuiltin="1"/>
    <cellStyle name="Heading 1 2" xfId="36"/>
    <cellStyle name="Heading 2" xfId="50" builtinId="17" customBuiltin="1"/>
    <cellStyle name="Heading 2 2" xfId="37"/>
    <cellStyle name="Heading 3" xfId="51" builtinId="18" customBuiltin="1"/>
    <cellStyle name="Heading 3 2" xfId="38"/>
    <cellStyle name="Heading 4" xfId="52" builtinId="19" customBuiltin="1"/>
    <cellStyle name="Heading 4 2" xfId="39"/>
    <cellStyle name="Input" xfId="4" builtinId="20" customBuiltin="1"/>
    <cellStyle name="Linked Cell" xfId="53" builtinId="24" customBuiltin="1"/>
    <cellStyle name="Linked Cell 2" xfId="40"/>
    <cellStyle name="Neutral" xfId="3" builtinId="28" customBuiltin="1"/>
    <cellStyle name="Normal" xfId="0" builtinId="0"/>
    <cellStyle name="Normal 2" xfId="44"/>
    <cellStyle name="Normal 3" xfId="45"/>
    <cellStyle name="Normal 3 2" xfId="57"/>
    <cellStyle name="Normal 3 3" xfId="78"/>
    <cellStyle name="Normal 3 4" xfId="82"/>
    <cellStyle name="Normal 4" xfId="46"/>
    <cellStyle name="Normal 4 2" xfId="63"/>
    <cellStyle name="Normal 4 3" xfId="79"/>
    <cellStyle name="Normal 4 4" xfId="83"/>
    <cellStyle name="Normal 5" xfId="47"/>
    <cellStyle name="Normal 5 2" xfId="58"/>
    <cellStyle name="Normal 5 3" xfId="80"/>
    <cellStyle name="Normal 5 4" xfId="84"/>
    <cellStyle name="Normal 6" xfId="33"/>
    <cellStyle name="Note" xfId="8" builtinId="10" customBuiltin="1"/>
    <cellStyle name="Note 2" xfId="62"/>
    <cellStyle name="Note 3" xfId="64"/>
    <cellStyle name="Output" xfId="5" builtinId="21" customBuiltin="1"/>
    <cellStyle name="Percent 2" xfId="61"/>
    <cellStyle name="Title" xfId="48" builtinId="15" customBuiltin="1"/>
    <cellStyle name="Title 2" xfId="35"/>
    <cellStyle name="Total" xfId="56" builtinId="25" customBuiltin="1"/>
    <cellStyle name="Total 2" xfId="43"/>
    <cellStyle name="Warning Text" xfId="54" builtinId="11" customBuiltin="1"/>
    <cellStyle name="Warning Text 2" xfId="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247650</xdr:colOff>
      <xdr:row>0</xdr:row>
      <xdr:rowOff>104775</xdr:rowOff>
    </xdr:from>
    <xdr:to>
      <xdr:col>14</xdr:col>
      <xdr:colOff>28575</xdr:colOff>
      <xdr:row>2</xdr:row>
      <xdr:rowOff>47625</xdr:rowOff>
    </xdr:to>
    <xdr:sp macro="" textlink="">
      <xdr:nvSpPr>
        <xdr:cNvPr id="2" name="TextBox 1"/>
        <xdr:cNvSpPr txBox="1"/>
      </xdr:nvSpPr>
      <xdr:spPr>
        <a:xfrm>
          <a:off x="7839075" y="104775"/>
          <a:ext cx="2828925" cy="419100"/>
        </a:xfrm>
        <a:prstGeom prst="rect">
          <a:avLst/>
        </a:prstGeom>
        <a:solidFill>
          <a:srgbClr val="FFFF00"/>
        </a:solidFill>
        <a:ln w="5715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a:t>PLEASE READ FIRST</a:t>
          </a:r>
        </a:p>
      </xdr:txBody>
    </xdr:sp>
    <xdr:clientData/>
  </xdr:twoCellAnchor>
  <xdr:twoCellAnchor>
    <xdr:from>
      <xdr:col>9</xdr:col>
      <xdr:colOff>238125</xdr:colOff>
      <xdr:row>2</xdr:row>
      <xdr:rowOff>171450</xdr:rowOff>
    </xdr:from>
    <xdr:to>
      <xdr:col>13</xdr:col>
      <xdr:colOff>600075</xdr:colOff>
      <xdr:row>6</xdr:row>
      <xdr:rowOff>123825</xdr:rowOff>
    </xdr:to>
    <xdr:sp macro="" textlink="">
      <xdr:nvSpPr>
        <xdr:cNvPr id="3" name="Down Arrow 2"/>
        <xdr:cNvSpPr/>
      </xdr:nvSpPr>
      <xdr:spPr>
        <a:xfrm>
          <a:off x="7829550" y="647700"/>
          <a:ext cx="2800350" cy="628650"/>
        </a:xfrm>
        <a:prstGeom prst="downArrow">
          <a:avLst>
            <a:gd name="adj1" fmla="val 100000"/>
            <a:gd name="adj2" fmla="val 30556"/>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effectLst/>
              <a:latin typeface="+mn-lt"/>
              <a:ea typeface="+mn-ea"/>
              <a:cs typeface="+mn-cs"/>
            </a:rPr>
            <a:t>Follow these steps to complete this worksheet.</a:t>
          </a:r>
          <a:endParaRPr lang="en-US">
            <a:solidFill>
              <a:sysClr val="windowText" lastClr="000000"/>
            </a:solidFill>
            <a:effectLst/>
          </a:endParaRPr>
        </a:p>
      </xdr:txBody>
    </xdr:sp>
    <xdr:clientData/>
  </xdr:twoCellAnchor>
  <xdr:oneCellAnchor>
    <xdr:from>
      <xdr:col>9</xdr:col>
      <xdr:colOff>438150</xdr:colOff>
      <xdr:row>7</xdr:row>
      <xdr:rowOff>28575</xdr:rowOff>
    </xdr:from>
    <xdr:ext cx="2533650" cy="9629776"/>
    <xdr:sp macro="" textlink="">
      <xdr:nvSpPr>
        <xdr:cNvPr id="4" name="TextBox 3"/>
        <xdr:cNvSpPr txBox="1"/>
      </xdr:nvSpPr>
      <xdr:spPr>
        <a:xfrm>
          <a:off x="8029575" y="1371600"/>
          <a:ext cx="2533650" cy="962977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STEP 1:</a:t>
          </a:r>
          <a:r>
            <a:rPr lang="en-US"/>
            <a:t> </a:t>
          </a:r>
        </a:p>
        <a:p>
          <a:r>
            <a:rPr lang="en-US" sz="1100" b="0" i="0" u="none" strike="noStrike">
              <a:solidFill>
                <a:schemeClr val="tx1"/>
              </a:solidFill>
              <a:effectLst/>
              <a:latin typeface="+mn-lt"/>
              <a:ea typeface="+mn-ea"/>
              <a:cs typeface="+mn-cs"/>
            </a:rPr>
            <a:t>Enter only the 3 digit number of your District in the </a:t>
          </a:r>
          <a:r>
            <a:rPr lang="en-US"/>
            <a:t> </a:t>
          </a:r>
          <a:r>
            <a:rPr lang="en-US" sz="1100" b="0" i="0" u="none" strike="noStrike">
              <a:solidFill>
                <a:schemeClr val="tx1"/>
              </a:solidFill>
              <a:effectLst/>
              <a:latin typeface="+mn-lt"/>
              <a:ea typeface="+mn-ea"/>
              <a:cs typeface="+mn-cs"/>
            </a:rPr>
            <a:t>shaded cell next to "District."</a:t>
          </a:r>
          <a:r>
            <a:rPr lang="en-US"/>
            <a:t> </a:t>
          </a:r>
        </a:p>
        <a:p>
          <a:r>
            <a:rPr lang="en-US" sz="1100" b="1" i="0" u="none" strike="noStrike">
              <a:solidFill>
                <a:schemeClr val="tx1"/>
              </a:solidFill>
              <a:effectLst/>
              <a:latin typeface="+mn-lt"/>
              <a:ea typeface="+mn-ea"/>
              <a:cs typeface="+mn-cs"/>
            </a:rPr>
            <a:t>Note</a:t>
          </a:r>
          <a:r>
            <a:rPr lang="en-US" sz="1100" b="0" i="0" u="none" strike="noStrike">
              <a:solidFill>
                <a:schemeClr val="tx1"/>
              </a:solidFill>
              <a:effectLst/>
              <a:latin typeface="+mn-lt"/>
              <a:ea typeface="+mn-ea"/>
              <a:cs typeface="+mn-cs"/>
            </a:rPr>
            <a:t>: After you type the three digits, press the</a:t>
          </a:r>
          <a:r>
            <a:rPr lang="en-US"/>
            <a:t> </a:t>
          </a:r>
          <a:r>
            <a:rPr lang="en-US" sz="1100" b="0" i="0" u="none" strike="noStrike">
              <a:solidFill>
                <a:schemeClr val="tx1"/>
              </a:solidFill>
              <a:effectLst/>
              <a:latin typeface="+mn-lt"/>
              <a:ea typeface="+mn-ea"/>
              <a:cs typeface="+mn-cs"/>
            </a:rPr>
            <a:t>"enter" or arrow keys and the worksheet will</a:t>
          </a:r>
          <a:r>
            <a:rPr lang="en-US"/>
            <a:t> </a:t>
          </a:r>
          <a:r>
            <a:rPr lang="en-US" sz="1100" b="0" i="0" u="none" strike="noStrike">
              <a:solidFill>
                <a:schemeClr val="tx1"/>
              </a:solidFill>
              <a:effectLst/>
              <a:latin typeface="+mn-lt"/>
              <a:ea typeface="+mn-ea"/>
              <a:cs typeface="+mn-cs"/>
            </a:rPr>
            <a:t>automatically include the "D0."</a:t>
          </a:r>
          <a:r>
            <a:rPr lang="en-US"/>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2:</a:t>
          </a:r>
        </a:p>
        <a:p>
          <a:r>
            <a:rPr lang="en-US" sz="1100" b="0" i="0" u="none" strike="noStrike">
              <a:solidFill>
                <a:schemeClr val="tx1"/>
              </a:solidFill>
              <a:effectLst/>
              <a:latin typeface="+mn-lt"/>
              <a:ea typeface="+mn-ea"/>
              <a:cs typeface="+mn-cs"/>
            </a:rPr>
            <a:t>Click the "Totals" tab located in the lower</a:t>
          </a:r>
          <a:r>
            <a:rPr lang="en-US"/>
            <a:t> </a:t>
          </a:r>
          <a:r>
            <a:rPr lang="en-US" sz="1100" b="0" i="0" u="none" strike="noStrike">
              <a:solidFill>
                <a:schemeClr val="tx1"/>
              </a:solidFill>
              <a:effectLst/>
              <a:latin typeface="+mn-lt"/>
              <a:ea typeface="+mn-ea"/>
              <a:cs typeface="+mn-cs"/>
            </a:rPr>
            <a:t>lefthand corner of the workbook to view the</a:t>
          </a:r>
          <a:r>
            <a:rPr lang="en-US"/>
            <a:t> </a:t>
          </a:r>
          <a:r>
            <a:rPr lang="en-US" sz="1100" b="0" i="0" u="none" strike="noStrike">
              <a:solidFill>
                <a:schemeClr val="tx1"/>
              </a:solidFill>
              <a:effectLst/>
              <a:latin typeface="+mn-lt"/>
              <a:ea typeface="+mn-ea"/>
              <a:cs typeface="+mn-cs"/>
            </a:rPr>
            <a:t>total expenditures per line item for your district.</a:t>
          </a:r>
          <a:r>
            <a:rPr lang="en-US"/>
            <a:t>  Refer to the Member District Worksheet Notes to</a:t>
          </a:r>
          <a:r>
            <a:rPr lang="en-US" baseline="0"/>
            <a:t> view how the figures for each line item were determined.  </a:t>
          </a:r>
        </a:p>
        <a:p>
          <a:endParaRPr lang="en-US" baseline="0"/>
        </a:p>
        <a:p>
          <a:r>
            <a:rPr lang="en-US" b="1"/>
            <a:t>STEP 3</a:t>
          </a:r>
          <a:r>
            <a:rPr lang="en-US"/>
            <a:t>:</a:t>
          </a:r>
        </a:p>
        <a:p>
          <a:r>
            <a:rPr lang="en-US" sz="1100" b="0" i="0" u="none" strike="noStrike">
              <a:solidFill>
                <a:schemeClr val="tx1"/>
              </a:solidFill>
              <a:effectLst/>
              <a:latin typeface="+mn-lt"/>
              <a:ea typeface="+mn-ea"/>
              <a:cs typeface="+mn-cs"/>
            </a:rPr>
            <a:t>Identify the secondary specific</a:t>
          </a:r>
          <a:r>
            <a:rPr lang="en-US" sz="1100" b="0" i="0" u="none" strike="noStrike" baseline="0">
              <a:solidFill>
                <a:schemeClr val="tx1"/>
              </a:solidFill>
              <a:effectLst/>
              <a:latin typeface="+mn-lt"/>
              <a:ea typeface="+mn-ea"/>
              <a:cs typeface="+mn-cs"/>
            </a:rPr>
            <a:t> expenditures for each line item.  Refer to the Member District Worksheet Notes for guidance on separating secondary specific expenditures from the total district expenditures.   </a:t>
          </a:r>
          <a:endParaRPr lang="en-US" sz="1100" b="0" i="0" u="none" strike="noStrike">
            <a:solidFill>
              <a:schemeClr val="tx1"/>
            </a:solidFill>
            <a:effectLst/>
            <a:latin typeface="+mn-lt"/>
            <a:ea typeface="+mn-ea"/>
            <a:cs typeface="+mn-cs"/>
          </a:endParaRP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4:</a:t>
          </a:r>
        </a:p>
        <a:p>
          <a:r>
            <a:rPr lang="en-US" sz="1100" b="0" i="0">
              <a:solidFill>
                <a:schemeClr val="tx1"/>
              </a:solidFill>
              <a:effectLst/>
              <a:latin typeface="+mn-lt"/>
              <a:ea typeface="+mn-ea"/>
              <a:cs typeface="+mn-cs"/>
            </a:rPr>
            <a:t>Enter the secondary expenditures in the</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shaded cells.  As you enter data in the shaded cells, an </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elementary amount will appear.</a:t>
          </a:r>
          <a:endParaRPr lang="en-US" sz="1100" b="1" i="0" u="none" strike="noStrike">
            <a:solidFill>
              <a:schemeClr val="tx1"/>
            </a:solidFill>
            <a:effectLst/>
            <a:latin typeface="+mn-lt"/>
            <a:ea typeface="+mn-ea"/>
            <a:cs typeface="+mn-cs"/>
          </a:endParaRP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Note</a:t>
          </a:r>
          <a:r>
            <a:rPr lang="en-US" sz="1100" b="0" i="0" u="none" strike="noStrike">
              <a:solidFill>
                <a:schemeClr val="tx1"/>
              </a:solidFill>
              <a:effectLst/>
              <a:latin typeface="+mn-lt"/>
              <a:ea typeface="+mn-ea"/>
              <a:cs typeface="+mn-cs"/>
            </a:rPr>
            <a:t>: </a:t>
          </a:r>
          <a:r>
            <a:rPr lang="en-US" sz="1100" b="0" i="0" u="sng" strike="noStrike">
              <a:solidFill>
                <a:schemeClr val="tx1"/>
              </a:solidFill>
              <a:effectLst/>
              <a:latin typeface="+mn-lt"/>
              <a:ea typeface="+mn-ea"/>
              <a:cs typeface="+mn-cs"/>
            </a:rPr>
            <a:t>The expenditures for </a:t>
          </a:r>
          <a:r>
            <a:rPr lang="en-US" sz="1100" b="0" i="0" u="sng" strike="noStrike" baseline="0">
              <a:solidFill>
                <a:schemeClr val="tx1"/>
              </a:solidFill>
              <a:effectLst/>
              <a:latin typeface="+mn-lt"/>
              <a:ea typeface="+mn-ea"/>
              <a:cs typeface="+mn-cs"/>
            </a:rPr>
            <a:t> a grade level (secondary or elementary) should never exceed the total for that line item.  A negative number is incorrect and should be addressed.  </a:t>
          </a:r>
          <a:r>
            <a:rPr lang="en-US" sz="1100" b="0" i="0" u="none" strike="noStrike" baseline="0">
              <a:solidFill>
                <a:schemeClr val="tx1"/>
              </a:solidFill>
              <a:effectLst/>
              <a:latin typeface="+mn-lt"/>
              <a:ea typeface="+mn-ea"/>
              <a:cs typeface="+mn-cs"/>
            </a:rPr>
            <a:t>Also, e</a:t>
          </a:r>
          <a:r>
            <a:rPr lang="en-US" sz="1100" b="0" i="0" u="none" strike="noStrike">
              <a:solidFill>
                <a:schemeClr val="tx1"/>
              </a:solidFill>
              <a:effectLst/>
              <a:latin typeface="+mn-lt"/>
              <a:ea typeface="+mn-ea"/>
              <a:cs typeface="+mn-cs"/>
            </a:rPr>
            <a:t>xcept for certain cases such as </a:t>
          </a:r>
          <a:r>
            <a:rPr lang="en-US"/>
            <a:t> </a:t>
          </a:r>
          <a:r>
            <a:rPr lang="en-US" sz="1100" b="0" i="0" u="none" strike="noStrike">
              <a:solidFill>
                <a:schemeClr val="tx1"/>
              </a:solidFill>
              <a:effectLst/>
              <a:latin typeface="+mn-lt"/>
              <a:ea typeface="+mn-ea"/>
              <a:cs typeface="+mn-cs"/>
            </a:rPr>
            <a:t>Title programs,  the expenditures</a:t>
          </a:r>
          <a:r>
            <a:rPr lang="en-US"/>
            <a:t> for a </a:t>
          </a:r>
          <a:r>
            <a:rPr lang="en-US" baseline="0"/>
            <a:t>grade level should not equal the total for that line item.</a:t>
          </a:r>
          <a:endParaRPr lang="en-US"/>
        </a:p>
        <a:p>
          <a:endParaRPr lang="en-US" sz="1100" b="0"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5: </a:t>
          </a:r>
        </a:p>
        <a:p>
          <a:r>
            <a:rPr lang="en-US" sz="1100" b="0" i="0" u="none" strike="noStrike">
              <a:solidFill>
                <a:schemeClr val="tx1"/>
              </a:solidFill>
              <a:effectLst/>
              <a:latin typeface="+mn-lt"/>
              <a:ea typeface="+mn-ea"/>
              <a:cs typeface="+mn-cs"/>
            </a:rPr>
            <a:t>Save a copy of the</a:t>
          </a:r>
          <a:r>
            <a:rPr lang="en-US" sz="1100" b="0" i="0" u="none" strike="noStrike" baseline="0">
              <a:solidFill>
                <a:schemeClr val="tx1"/>
              </a:solidFill>
              <a:effectLst/>
              <a:latin typeface="+mn-lt"/>
              <a:ea typeface="+mn-ea"/>
              <a:cs typeface="+mn-cs"/>
            </a:rPr>
            <a:t> completed worksheet at your district and send the completed </a:t>
          </a:r>
          <a:r>
            <a:rPr lang="en-US" sz="1100" b="1" i="0" u="sng" strike="noStrike" baseline="0">
              <a:solidFill>
                <a:schemeClr val="tx1"/>
              </a:solidFill>
              <a:effectLst/>
              <a:latin typeface="+mn-lt"/>
              <a:ea typeface="+mn-ea"/>
              <a:cs typeface="+mn-cs"/>
            </a:rPr>
            <a:t>Excel file </a:t>
          </a:r>
          <a:r>
            <a:rPr lang="en-US" sz="1100" b="0" i="0" u="none" strike="noStrike" baseline="0">
              <a:solidFill>
                <a:schemeClr val="tx1"/>
              </a:solidFill>
              <a:effectLst/>
              <a:latin typeface="+mn-lt"/>
              <a:ea typeface="+mn-ea"/>
              <a:cs typeface="+mn-cs"/>
            </a:rPr>
            <a:t>to the Special Ed. director of your Coop/Interlocal.</a:t>
          </a:r>
          <a:endParaRPr lang="en-US" sz="1100" b="0" i="0" u="none" strike="noStrike">
            <a:solidFill>
              <a:schemeClr val="tx1"/>
            </a:solidFill>
            <a:effectLst/>
            <a:latin typeface="+mn-lt"/>
            <a:ea typeface="+mn-ea"/>
            <a:cs typeface="+mn-cs"/>
          </a:endParaRPr>
        </a:p>
        <a:p>
          <a:endParaRPr lang="en-US" sz="1100" b="0" i="0" u="none" strike="noStrike">
            <a:solidFill>
              <a:schemeClr val="tx1"/>
            </a:solidFill>
            <a:effectLst/>
            <a:latin typeface="+mn-lt"/>
            <a:ea typeface="+mn-ea"/>
            <a:cs typeface="+mn-cs"/>
          </a:endParaRPr>
        </a:p>
        <a:p>
          <a:r>
            <a:rPr lang="en-US" sz="1100" b="0" i="0" u="none" strike="noStrike">
              <a:solidFill>
                <a:schemeClr val="tx1"/>
              </a:solidFill>
              <a:effectLst/>
              <a:latin typeface="+mn-lt"/>
              <a:ea typeface="+mn-ea"/>
              <a:cs typeface="+mn-cs"/>
            </a:rPr>
            <a:t>Note: Data for September 20 and December 1 counts </a:t>
          </a:r>
          <a:r>
            <a:rPr lang="en-US"/>
            <a:t> </a:t>
          </a:r>
          <a:r>
            <a:rPr lang="en-US" sz="1100" b="0" i="0" u="none" strike="noStrike">
              <a:solidFill>
                <a:schemeClr val="tx1"/>
              </a:solidFill>
              <a:effectLst/>
              <a:latin typeface="+mn-lt"/>
              <a:ea typeface="+mn-ea"/>
              <a:cs typeface="+mn-cs"/>
            </a:rPr>
            <a:t>are pre-populated, but can be altered if needed.</a:t>
          </a:r>
          <a:r>
            <a:rPr lang="en-US"/>
            <a:t> </a:t>
          </a:r>
          <a:r>
            <a:rPr lang="en-US" sz="1100" b="0" i="0" u="none" strike="noStrike">
              <a:solidFill>
                <a:schemeClr val="tx1"/>
              </a:solidFill>
              <a:effectLst/>
              <a:latin typeface="+mn-lt"/>
              <a:ea typeface="+mn-ea"/>
              <a:cs typeface="+mn-cs"/>
            </a:rPr>
            <a:t>The September 20 and December 1 counts </a:t>
          </a:r>
          <a:r>
            <a:rPr lang="en-US"/>
            <a:t> </a:t>
          </a:r>
          <a:r>
            <a:rPr lang="en-US" sz="1100" b="0" i="0" u="none" strike="noStrike">
              <a:solidFill>
                <a:schemeClr val="tx1"/>
              </a:solidFill>
              <a:effectLst/>
              <a:latin typeface="+mn-lt"/>
              <a:ea typeface="+mn-ea"/>
              <a:cs typeface="+mn-cs"/>
            </a:rPr>
            <a:t>are from the prior school year.</a:t>
          </a:r>
          <a:r>
            <a:rPr lang="en-US"/>
            <a:t> </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8"/>
  <sheetViews>
    <sheetView tabSelected="1" workbookViewId="0">
      <selection activeCell="E22" sqref="E22"/>
    </sheetView>
  </sheetViews>
  <sheetFormatPr defaultRowHeight="15"/>
  <cols>
    <col min="1" max="1" width="2.5703125" customWidth="1"/>
    <col min="3" max="3" width="10.140625" customWidth="1"/>
    <col min="4" max="4" width="26" customWidth="1"/>
    <col min="5" max="6" width="15.28515625" customWidth="1"/>
    <col min="7" max="7" width="1.5703125" customWidth="1"/>
    <col min="8" max="8" width="15.7109375" customWidth="1"/>
    <col min="9" max="9" width="18.140625" customWidth="1"/>
  </cols>
  <sheetData>
    <row r="1" spans="1:17" ht="18.75">
      <c r="A1" s="59" t="s">
        <v>15</v>
      </c>
      <c r="B1" s="59"/>
      <c r="C1" s="59"/>
      <c r="D1" s="59"/>
      <c r="E1" s="59"/>
      <c r="F1" s="59"/>
      <c r="G1" s="59"/>
      <c r="H1" s="59"/>
      <c r="I1" s="59"/>
    </row>
    <row r="2" spans="1:17" ht="18.75">
      <c r="A2" t="s">
        <v>47</v>
      </c>
      <c r="B2" s="25" t="s">
        <v>50</v>
      </c>
      <c r="C2" s="31"/>
      <c r="D2" s="60" t="str">
        <f>IF(ISBLANK(C2),"-",VLOOKUP(C2,Data!B2:C307,2,FALSE))</f>
        <v>-</v>
      </c>
      <c r="E2" s="60"/>
      <c r="F2" s="15"/>
      <c r="H2" s="25" t="s">
        <v>16</v>
      </c>
      <c r="I2" s="26" t="s">
        <v>48</v>
      </c>
    </row>
    <row r="3" spans="1:17">
      <c r="B3" t="s">
        <v>391</v>
      </c>
      <c r="E3" s="13"/>
    </row>
    <row r="4" spans="1:17" ht="15" customHeight="1">
      <c r="A4" s="66" t="s">
        <v>21</v>
      </c>
      <c r="B4" s="67"/>
      <c r="C4" s="67"/>
      <c r="D4" s="67"/>
      <c r="E4" s="67"/>
      <c r="F4" s="67"/>
      <c r="G4" s="67"/>
      <c r="H4" s="67"/>
      <c r="I4" s="68"/>
    </row>
    <row r="5" spans="1:17" ht="8.25" customHeight="1">
      <c r="A5" s="69"/>
      <c r="B5" s="70"/>
      <c r="C5" s="70"/>
      <c r="D5" s="70"/>
      <c r="E5" s="70"/>
      <c r="F5" s="70"/>
      <c r="G5" s="70"/>
      <c r="H5" s="70"/>
      <c r="I5" s="71"/>
      <c r="K5" s="57"/>
      <c r="L5" s="57"/>
      <c r="M5" s="57"/>
      <c r="N5" s="57"/>
      <c r="O5" s="57"/>
      <c r="P5" s="57"/>
      <c r="Q5" s="57"/>
    </row>
    <row r="6" spans="1:17">
      <c r="A6" s="16"/>
      <c r="B6" s="17"/>
      <c r="C6" s="17"/>
      <c r="D6" s="17"/>
      <c r="E6" s="72" t="s">
        <v>52</v>
      </c>
      <c r="F6" s="72"/>
      <c r="G6" s="17"/>
      <c r="H6" s="72" t="s">
        <v>53</v>
      </c>
      <c r="I6" s="73"/>
      <c r="K6" s="57"/>
      <c r="L6" s="57"/>
      <c r="M6" s="57"/>
      <c r="N6" s="57"/>
      <c r="O6" s="57"/>
      <c r="P6" s="57"/>
      <c r="Q6" s="57"/>
    </row>
    <row r="7" spans="1:17">
      <c r="A7" s="1" t="s">
        <v>2</v>
      </c>
      <c r="B7" s="2"/>
      <c r="C7" s="2"/>
      <c r="D7" s="2"/>
      <c r="E7" s="2"/>
      <c r="F7" s="2"/>
      <c r="G7" s="2"/>
      <c r="H7" s="2"/>
      <c r="I7" s="3"/>
      <c r="K7" s="57"/>
      <c r="L7" s="57"/>
      <c r="M7" s="57"/>
      <c r="N7" s="57"/>
      <c r="O7" s="57"/>
      <c r="P7" s="57"/>
      <c r="Q7" s="57"/>
    </row>
    <row r="8" spans="1:17">
      <c r="A8" s="1"/>
      <c r="B8" s="2" t="s">
        <v>333</v>
      </c>
      <c r="C8" s="2"/>
      <c r="D8" s="2"/>
      <c r="E8" s="30"/>
      <c r="G8" s="2"/>
      <c r="H8" s="11">
        <f>IF(ISBLANK(E8),0,Totals!E6-'Excess Cost'!E8)</f>
        <v>0</v>
      </c>
      <c r="I8" s="3"/>
      <c r="K8" s="57"/>
      <c r="L8" s="57"/>
      <c r="M8" s="57"/>
      <c r="N8" s="57"/>
      <c r="O8" s="57"/>
      <c r="P8" s="57"/>
      <c r="Q8" s="57"/>
    </row>
    <row r="9" spans="1:17" s="23" customFormat="1">
      <c r="A9" s="1"/>
      <c r="B9" s="2" t="s">
        <v>390</v>
      </c>
      <c r="C9" s="2"/>
      <c r="D9" s="2"/>
      <c r="E9" s="30"/>
      <c r="G9" s="2"/>
      <c r="H9" s="11">
        <f>IF(ISBLANK(E9),0,Totals!E7-'Excess Cost'!E9)</f>
        <v>0</v>
      </c>
      <c r="I9" s="3"/>
      <c r="K9" s="57"/>
      <c r="L9" s="57"/>
      <c r="M9" s="57"/>
      <c r="N9" s="57"/>
      <c r="O9" s="57"/>
      <c r="P9" s="57"/>
      <c r="Q9" s="57"/>
    </row>
    <row r="10" spans="1:17">
      <c r="A10" s="1" t="s">
        <v>4</v>
      </c>
      <c r="B10" s="2"/>
      <c r="C10" s="2"/>
      <c r="D10" s="2"/>
      <c r="E10" s="7"/>
      <c r="F10" s="36">
        <f>SUM(E8:E9)</f>
        <v>0</v>
      </c>
      <c r="G10" s="2"/>
      <c r="H10" s="7"/>
      <c r="I10" s="33">
        <f>SUM(H8:H9)</f>
        <v>0</v>
      </c>
      <c r="K10" s="57"/>
      <c r="L10" s="57"/>
      <c r="M10" s="57"/>
      <c r="N10" s="57"/>
      <c r="O10" s="57"/>
      <c r="P10" s="57"/>
      <c r="Q10" s="57"/>
    </row>
    <row r="11" spans="1:17">
      <c r="A11" s="1" t="s">
        <v>3</v>
      </c>
      <c r="B11" s="2"/>
      <c r="C11" s="2"/>
      <c r="D11" s="2"/>
      <c r="E11" s="7"/>
      <c r="F11" s="11"/>
      <c r="G11" s="2"/>
      <c r="H11" s="7"/>
      <c r="I11" s="9"/>
      <c r="K11" s="57"/>
      <c r="L11" s="57"/>
      <c r="M11" s="57"/>
      <c r="N11" s="57"/>
      <c r="O11" s="57"/>
      <c r="P11" s="57"/>
      <c r="Q11" s="57"/>
    </row>
    <row r="12" spans="1:17">
      <c r="A12" s="1"/>
      <c r="B12" s="2" t="s">
        <v>0</v>
      </c>
      <c r="C12" s="2"/>
      <c r="D12" s="2"/>
      <c r="E12" s="30"/>
      <c r="F12" s="7"/>
      <c r="G12" s="2"/>
      <c r="H12" s="20">
        <f>IF(ISBLANK(E12),0,Totals!E10-'Excess Cost'!E12)</f>
        <v>0</v>
      </c>
      <c r="I12" s="6"/>
      <c r="K12" s="57"/>
      <c r="L12" s="57"/>
      <c r="M12" s="57"/>
      <c r="N12" s="57"/>
      <c r="O12" s="57"/>
      <c r="P12" s="57"/>
      <c r="Q12" s="57"/>
    </row>
    <row r="13" spans="1:17">
      <c r="A13" s="1"/>
      <c r="B13" s="2" t="s">
        <v>1</v>
      </c>
      <c r="C13" s="2"/>
      <c r="D13" s="2"/>
      <c r="E13" s="30"/>
      <c r="F13" s="7"/>
      <c r="G13" s="2"/>
      <c r="H13" s="21">
        <f>IF(ISBLANK(E13),0,Totals!E11-'Excess Cost'!E13)</f>
        <v>0</v>
      </c>
      <c r="I13" s="6"/>
      <c r="K13" s="57"/>
      <c r="L13" s="57"/>
      <c r="M13" s="57"/>
      <c r="N13" s="57"/>
      <c r="O13" s="57"/>
      <c r="P13" s="57"/>
      <c r="Q13" s="57"/>
    </row>
    <row r="14" spans="1:17">
      <c r="A14" s="1" t="s">
        <v>5</v>
      </c>
      <c r="B14" s="2"/>
      <c r="C14" s="2"/>
      <c r="D14" s="2"/>
      <c r="E14" s="7"/>
      <c r="F14" s="12">
        <f>SUM(E12:E13)</f>
        <v>0</v>
      </c>
      <c r="G14" s="2"/>
      <c r="H14" s="7"/>
      <c r="I14" s="10">
        <f>SUM(H12:H13)</f>
        <v>0</v>
      </c>
      <c r="K14" s="57"/>
      <c r="L14" s="57"/>
      <c r="M14" s="57"/>
      <c r="N14" s="57"/>
      <c r="O14" s="57"/>
      <c r="P14" s="57"/>
      <c r="Q14" s="57"/>
    </row>
    <row r="15" spans="1:17">
      <c r="A15" s="1" t="s">
        <v>7</v>
      </c>
      <c r="B15" s="2"/>
      <c r="C15" s="2"/>
      <c r="D15" s="2"/>
      <c r="E15" s="7"/>
      <c r="F15" s="11"/>
      <c r="G15" s="2"/>
      <c r="H15" s="7"/>
      <c r="I15" s="9"/>
      <c r="K15" s="57"/>
      <c r="L15" s="57"/>
      <c r="M15" s="57"/>
      <c r="N15" s="57"/>
      <c r="O15" s="57"/>
      <c r="P15" s="57"/>
      <c r="Q15" s="57"/>
    </row>
    <row r="16" spans="1:17" s="23" customFormat="1">
      <c r="A16" s="1" t="s">
        <v>6</v>
      </c>
      <c r="B16" s="2"/>
      <c r="C16" s="2"/>
      <c r="D16" s="2"/>
      <c r="E16" s="7"/>
      <c r="F16" s="11">
        <f>F10-F14</f>
        <v>0</v>
      </c>
      <c r="G16" s="2"/>
      <c r="H16" s="7"/>
      <c r="I16" s="9">
        <f>I10-I14</f>
        <v>0</v>
      </c>
      <c r="K16" s="57"/>
      <c r="L16" s="57"/>
      <c r="M16" s="57"/>
      <c r="N16" s="57"/>
      <c r="O16" s="57"/>
      <c r="P16" s="57"/>
      <c r="Q16" s="57"/>
    </row>
    <row r="17" spans="1:17">
      <c r="A17" s="5"/>
      <c r="B17" s="5"/>
      <c r="C17" s="5"/>
      <c r="D17" s="5"/>
      <c r="E17" s="8"/>
      <c r="F17" s="5"/>
      <c r="G17" s="5"/>
      <c r="H17" s="5"/>
      <c r="I17" s="29"/>
      <c r="K17" s="57"/>
      <c r="L17" s="57"/>
      <c r="M17" s="57"/>
      <c r="N17" s="57"/>
      <c r="O17" s="57"/>
      <c r="P17" s="57"/>
      <c r="Q17" s="57"/>
    </row>
    <row r="18" spans="1:17" ht="8.25" customHeight="1">
      <c r="K18" s="57"/>
      <c r="L18" s="57"/>
      <c r="M18" s="57"/>
      <c r="N18" s="57"/>
      <c r="O18" s="57"/>
      <c r="P18" s="57"/>
      <c r="Q18" s="57"/>
    </row>
    <row r="19" spans="1:17" ht="15" customHeight="1">
      <c r="A19" s="63" t="s">
        <v>20</v>
      </c>
      <c r="B19" s="64"/>
      <c r="C19" s="64"/>
      <c r="D19" s="64"/>
      <c r="E19" s="64"/>
      <c r="F19" s="64"/>
      <c r="G19" s="64"/>
      <c r="H19" s="64"/>
      <c r="I19" s="65"/>
      <c r="K19" s="57"/>
      <c r="L19" s="57"/>
      <c r="M19" s="57"/>
      <c r="N19" s="57"/>
      <c r="O19" s="57"/>
      <c r="P19" s="57"/>
      <c r="Q19" s="57"/>
    </row>
    <row r="20" spans="1:17">
      <c r="A20" s="1"/>
      <c r="B20" s="2"/>
      <c r="C20" s="2"/>
      <c r="D20" s="2"/>
      <c r="E20" s="61" t="s">
        <v>52</v>
      </c>
      <c r="F20" s="61"/>
      <c r="G20" s="2"/>
      <c r="H20" s="61" t="s">
        <v>53</v>
      </c>
      <c r="I20" s="62"/>
      <c r="K20" s="57"/>
      <c r="L20" s="57"/>
      <c r="M20" s="57"/>
      <c r="N20" s="57"/>
      <c r="O20" s="57"/>
      <c r="P20" s="57"/>
      <c r="Q20" s="57"/>
    </row>
    <row r="21" spans="1:17">
      <c r="A21" s="1" t="s">
        <v>13</v>
      </c>
      <c r="B21" s="2"/>
      <c r="C21" s="2"/>
      <c r="D21" s="2"/>
      <c r="E21" s="2"/>
      <c r="F21" s="2"/>
      <c r="G21" s="2"/>
      <c r="H21" s="2"/>
      <c r="I21" s="3"/>
      <c r="K21" s="57"/>
      <c r="L21" s="57"/>
      <c r="M21" s="57"/>
      <c r="N21" s="57"/>
      <c r="O21" s="57"/>
      <c r="P21" s="57"/>
      <c r="Q21" s="57"/>
    </row>
    <row r="22" spans="1:17">
      <c r="A22" s="1"/>
      <c r="B22" s="2" t="s">
        <v>8</v>
      </c>
      <c r="C22" s="2"/>
      <c r="D22" s="2"/>
      <c r="E22" s="30"/>
      <c r="F22" s="11"/>
      <c r="G22" s="2"/>
      <c r="H22" s="20">
        <f>IF(ISBLANK(E22),0,Totals!E19-'Excess Cost'!E22)</f>
        <v>0</v>
      </c>
      <c r="I22" s="9"/>
      <c r="K22" s="57"/>
      <c r="L22" s="57"/>
      <c r="M22" s="57"/>
      <c r="N22" s="57"/>
      <c r="O22" s="57"/>
      <c r="P22" s="57"/>
      <c r="Q22" s="57"/>
    </row>
    <row r="23" spans="1:17">
      <c r="A23" s="1"/>
      <c r="B23" s="2" t="s">
        <v>9</v>
      </c>
      <c r="C23" s="2"/>
      <c r="D23" s="2"/>
      <c r="E23" s="30"/>
      <c r="F23" s="11"/>
      <c r="G23" s="2"/>
      <c r="H23" s="20">
        <f>IF(ISBLANK(E23),0,Totals!E20-'Excess Cost'!E23)</f>
        <v>0</v>
      </c>
      <c r="I23" s="9"/>
      <c r="K23" s="57"/>
      <c r="L23" s="57"/>
      <c r="M23" s="57"/>
      <c r="N23" s="57"/>
      <c r="O23" s="57"/>
      <c r="P23" s="57"/>
      <c r="Q23" s="57"/>
    </row>
    <row r="24" spans="1:17">
      <c r="A24" s="1"/>
      <c r="B24" s="2" t="s">
        <v>10</v>
      </c>
      <c r="C24" s="2"/>
      <c r="D24" s="2"/>
      <c r="E24" s="30"/>
      <c r="F24" s="11"/>
      <c r="G24" s="2"/>
      <c r="H24" s="20">
        <f>IF(ISBLANK(E24),0,Totals!E21-'Excess Cost'!E24)</f>
        <v>0</v>
      </c>
      <c r="I24" s="9"/>
      <c r="K24" s="57"/>
      <c r="L24" s="57"/>
      <c r="M24" s="57"/>
      <c r="N24" s="57"/>
      <c r="O24" s="57"/>
      <c r="P24" s="57"/>
      <c r="Q24" s="57"/>
    </row>
    <row r="25" spans="1:17">
      <c r="A25" s="1"/>
      <c r="B25" s="2" t="s">
        <v>11</v>
      </c>
      <c r="C25" s="2"/>
      <c r="D25" s="2"/>
      <c r="E25" s="20"/>
      <c r="F25" s="11"/>
      <c r="G25" s="2"/>
      <c r="H25" s="20"/>
      <c r="I25" s="9"/>
      <c r="K25" s="57"/>
      <c r="L25" s="57"/>
      <c r="M25" s="57"/>
      <c r="N25" s="57"/>
      <c r="O25" s="57"/>
      <c r="P25" s="57"/>
      <c r="Q25" s="57"/>
    </row>
    <row r="26" spans="1:17">
      <c r="A26" s="1"/>
      <c r="B26" s="2" t="s">
        <v>12</v>
      </c>
      <c r="C26" s="2"/>
      <c r="D26" s="2"/>
      <c r="E26" s="30"/>
      <c r="F26" s="11"/>
      <c r="G26" s="2"/>
      <c r="H26" s="21">
        <f>IF(ISBLANK(E26),0,Totals!E23-'Excess Cost'!E26)</f>
        <v>0</v>
      </c>
      <c r="I26" s="9"/>
      <c r="K26" s="57"/>
      <c r="L26" s="57"/>
      <c r="M26" s="57"/>
      <c r="N26" s="57"/>
      <c r="O26" s="57"/>
      <c r="P26" s="57"/>
      <c r="Q26" s="57"/>
    </row>
    <row r="27" spans="1:17">
      <c r="A27" s="1" t="s">
        <v>17</v>
      </c>
      <c r="B27" s="2"/>
      <c r="C27" s="2"/>
      <c r="D27" s="2"/>
      <c r="E27" s="11"/>
      <c r="F27" s="12">
        <f>SUM(E22:E26)</f>
        <v>0</v>
      </c>
      <c r="G27" s="2"/>
      <c r="H27" s="11"/>
      <c r="I27" s="10">
        <f>SUM(H22:H26)</f>
        <v>0</v>
      </c>
      <c r="K27" s="57"/>
      <c r="L27" s="57"/>
      <c r="M27" s="57"/>
      <c r="N27" s="57"/>
      <c r="O27" s="57"/>
      <c r="P27" s="57"/>
      <c r="Q27" s="57"/>
    </row>
    <row r="28" spans="1:17">
      <c r="A28" s="1" t="s">
        <v>18</v>
      </c>
      <c r="B28" s="2"/>
      <c r="C28" s="2"/>
      <c r="D28" s="2"/>
      <c r="E28" s="11"/>
      <c r="F28" s="11"/>
      <c r="G28" s="2"/>
      <c r="H28" s="11"/>
      <c r="I28" s="9"/>
      <c r="K28" s="57"/>
      <c r="L28" s="57"/>
      <c r="M28" s="57"/>
      <c r="N28" s="57"/>
      <c r="O28" s="57"/>
      <c r="P28" s="57"/>
      <c r="Q28" s="57"/>
    </row>
    <row r="29" spans="1:17">
      <c r="A29" s="4" t="s">
        <v>13</v>
      </c>
      <c r="B29" s="5"/>
      <c r="C29" s="5"/>
      <c r="D29" s="5"/>
      <c r="E29" s="12"/>
      <c r="F29" s="12">
        <f>F16-F27</f>
        <v>0</v>
      </c>
      <c r="G29" s="5"/>
      <c r="H29" s="12"/>
      <c r="I29" s="10">
        <f>I16-I27</f>
        <v>0</v>
      </c>
      <c r="K29" s="57"/>
      <c r="L29" s="57"/>
      <c r="M29" s="57"/>
      <c r="N29" s="57"/>
      <c r="O29" s="57"/>
      <c r="P29" s="57"/>
      <c r="Q29" s="57"/>
    </row>
    <row r="30" spans="1:17" ht="8.25" customHeight="1">
      <c r="K30" s="57"/>
      <c r="L30" s="57"/>
      <c r="M30" s="57"/>
      <c r="N30" s="57"/>
      <c r="O30" s="57"/>
      <c r="P30" s="57"/>
      <c r="Q30" s="57"/>
    </row>
    <row r="31" spans="1:17">
      <c r="A31" s="63" t="s">
        <v>19</v>
      </c>
      <c r="B31" s="64"/>
      <c r="C31" s="64"/>
      <c r="D31" s="64"/>
      <c r="E31" s="64"/>
      <c r="F31" s="64"/>
      <c r="G31" s="64"/>
      <c r="H31" s="64"/>
      <c r="I31" s="65"/>
      <c r="K31" s="57"/>
      <c r="L31" s="57"/>
      <c r="M31" s="57"/>
      <c r="N31" s="57"/>
      <c r="O31" s="57"/>
      <c r="P31" s="57"/>
      <c r="Q31" s="57"/>
    </row>
    <row r="32" spans="1:17">
      <c r="A32" s="1"/>
      <c r="B32" s="2"/>
      <c r="C32" s="2"/>
      <c r="D32" s="2"/>
      <c r="E32" s="61" t="s">
        <v>52</v>
      </c>
      <c r="F32" s="61"/>
      <c r="G32" s="2"/>
      <c r="H32" s="61" t="s">
        <v>53</v>
      </c>
      <c r="I32" s="62"/>
      <c r="K32" s="57"/>
      <c r="L32" s="57"/>
      <c r="M32" s="57"/>
      <c r="N32" s="57"/>
      <c r="O32" s="57"/>
      <c r="P32" s="57"/>
      <c r="Q32" s="57"/>
    </row>
    <row r="33" spans="1:17">
      <c r="A33" s="1" t="s">
        <v>14</v>
      </c>
      <c r="B33" s="2"/>
      <c r="C33" s="2"/>
      <c r="D33" s="2"/>
      <c r="E33" s="2"/>
      <c r="F33" s="34" t="str">
        <f>IF(ISBLANK(C2),"-",VLOOKUP(C2,Data!B2:Q307,15,FALSE))</f>
        <v>-</v>
      </c>
      <c r="G33" s="2"/>
      <c r="H33" s="2"/>
      <c r="I33" s="24" t="str">
        <f>IF(ISBLANK(C2),"-",Totals!F30-'Excess Cost'!F33)</f>
        <v>-</v>
      </c>
      <c r="K33" s="57"/>
      <c r="L33" s="57"/>
      <c r="M33" s="57"/>
      <c r="N33" s="57"/>
      <c r="O33" s="57"/>
      <c r="P33" s="57"/>
      <c r="Q33" s="57"/>
    </row>
    <row r="34" spans="1:17">
      <c r="A34" s="4"/>
      <c r="B34" s="5"/>
      <c r="C34" s="5"/>
      <c r="D34" s="5"/>
      <c r="E34" s="5"/>
      <c r="F34" s="5"/>
      <c r="G34" s="5"/>
      <c r="H34" s="5"/>
      <c r="I34" s="22"/>
      <c r="K34" s="57"/>
      <c r="L34" s="57"/>
      <c r="M34" s="57"/>
      <c r="N34" s="57"/>
      <c r="O34" s="57"/>
      <c r="P34" s="57"/>
      <c r="Q34" s="57"/>
    </row>
    <row r="35" spans="1:17" ht="8.25" customHeight="1">
      <c r="K35" s="57"/>
      <c r="L35" s="57"/>
      <c r="M35" s="57"/>
      <c r="N35" s="57"/>
      <c r="O35" s="57"/>
      <c r="P35" s="57"/>
      <c r="Q35" s="57"/>
    </row>
    <row r="36" spans="1:17" ht="15" customHeight="1">
      <c r="A36" s="18"/>
      <c r="K36" s="57"/>
      <c r="L36" s="57"/>
      <c r="M36" s="57"/>
      <c r="N36" s="57"/>
      <c r="O36" s="57"/>
      <c r="P36" s="57"/>
      <c r="Q36" s="57"/>
    </row>
    <row r="37" spans="1:17">
      <c r="A37" s="18"/>
      <c r="B37" s="15" t="s">
        <v>394</v>
      </c>
    </row>
    <row r="38" spans="1:17">
      <c r="A38" s="18"/>
      <c r="B38" s="58" t="s">
        <v>395</v>
      </c>
    </row>
  </sheetData>
  <sheetProtection password="CBEB" sheet="1" objects="1" scenarios="1" selectLockedCells="1"/>
  <mergeCells count="11">
    <mergeCell ref="A1:I1"/>
    <mergeCell ref="D2:E2"/>
    <mergeCell ref="E32:F32"/>
    <mergeCell ref="H32:I32"/>
    <mergeCell ref="A31:I31"/>
    <mergeCell ref="A4:I5"/>
    <mergeCell ref="E6:F6"/>
    <mergeCell ref="H6:I6"/>
    <mergeCell ref="A19:I19"/>
    <mergeCell ref="E20:F20"/>
    <mergeCell ref="H20:I20"/>
  </mergeCells>
  <pageMargins left="0.7" right="0.7" top="0.75" bottom="0.75" header="0.3" footer="0.3"/>
  <pageSetup scale="94" orientation="landscape" r:id="rId1"/>
  <drawing r:id="rId2"/>
  <legacyDrawing r:id="rId3"/>
  <extLst>
    <ext xmlns:x14="http://schemas.microsoft.com/office/spreadsheetml/2009/9/main" uri="{CCE6A557-97BC-4b89-ADB6-D9C93CAAB3DF}">
      <x14:dataValidations xmlns:xm="http://schemas.microsoft.com/office/excel/2006/main" count="2">
        <x14:dataValidation type="whole" operator="lessThanOrEqual" allowBlank="1" showInputMessage="1" showErrorMessage="1" errorTitle="Negative Inappropriate" error="This entry is greater than the total district expenditures which will cause a negative elementary amount.">
          <x14:formula1>
            <xm:f>Totals!E6</xm:f>
          </x14:formula1>
          <xm:sqref>E8 E9 E12 E13</xm:sqref>
        </x14:dataValidation>
        <x14:dataValidation type="whole" operator="lessThanOrEqual" allowBlank="1" showInputMessage="1" showErrorMessage="1" errorTitle="Negative Inappropriate" error="This entry is greater than the total district expenditures which will cause a negative elementary amount.">
          <x14:formula1>
            <xm:f>Totals!E19</xm:f>
          </x14:formula1>
          <xm:sqref>E22 E23 E24 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workbookViewId="0">
      <selection activeCell="F31" sqref="F31"/>
    </sheetView>
  </sheetViews>
  <sheetFormatPr defaultRowHeight="15"/>
  <cols>
    <col min="1" max="1" width="2.5703125" style="23" customWidth="1"/>
    <col min="2" max="2" width="9.140625" style="23"/>
    <col min="3" max="3" width="10.140625" style="23" customWidth="1"/>
    <col min="4" max="4" width="26" style="23" customWidth="1"/>
    <col min="5" max="5" width="17.7109375" style="23" customWidth="1"/>
    <col min="6" max="6" width="18" style="23" customWidth="1"/>
  </cols>
  <sheetData>
    <row r="1" spans="1:14">
      <c r="A1"/>
      <c r="B1"/>
      <c r="C1"/>
      <c r="D1"/>
      <c r="E1"/>
      <c r="F1"/>
    </row>
    <row r="2" spans="1:14">
      <c r="B2" s="14" t="s">
        <v>50</v>
      </c>
      <c r="C2" s="27">
        <f>'Excess Cost'!C2</f>
        <v>0</v>
      </c>
      <c r="D2" s="75" t="str">
        <f>'Excess Cost'!D2:E2</f>
        <v>-</v>
      </c>
      <c r="E2" s="75"/>
      <c r="F2" s="15"/>
      <c r="H2" s="74" t="s">
        <v>49</v>
      </c>
      <c r="I2" s="74"/>
      <c r="J2" s="74"/>
      <c r="K2" s="74"/>
      <c r="L2" s="74"/>
      <c r="M2" s="74"/>
      <c r="N2" s="74"/>
    </row>
    <row r="3" spans="1:14">
      <c r="E3" s="13"/>
      <c r="H3" s="74"/>
      <c r="I3" s="74"/>
      <c r="J3" s="74"/>
      <c r="K3" s="74"/>
      <c r="L3" s="74"/>
      <c r="M3" s="74"/>
      <c r="N3" s="74"/>
    </row>
    <row r="4" spans="1:14">
      <c r="A4" s="16"/>
      <c r="B4" s="19"/>
      <c r="C4" s="19"/>
      <c r="D4" s="19"/>
      <c r="E4" s="72" t="s">
        <v>51</v>
      </c>
      <c r="F4" s="72"/>
      <c r="H4" s="74"/>
      <c r="I4" s="74"/>
      <c r="J4" s="74"/>
      <c r="K4" s="74"/>
      <c r="L4" s="74"/>
      <c r="M4" s="74"/>
      <c r="N4" s="74"/>
    </row>
    <row r="5" spans="1:14">
      <c r="A5" s="1" t="s">
        <v>2</v>
      </c>
      <c r="B5" s="2"/>
      <c r="C5" s="2"/>
      <c r="D5" s="2"/>
      <c r="E5" s="2"/>
      <c r="F5" s="2"/>
      <c r="H5" s="74"/>
      <c r="I5" s="74"/>
      <c r="J5" s="74"/>
      <c r="K5" s="74"/>
      <c r="L5" s="74"/>
      <c r="M5" s="74"/>
      <c r="N5" s="74"/>
    </row>
    <row r="6" spans="1:14">
      <c r="A6" s="1"/>
      <c r="B6" s="2" t="s">
        <v>333</v>
      </c>
      <c r="C6" s="2"/>
      <c r="D6" s="2"/>
      <c r="E6" s="20" t="e">
        <f>VLOOKUP(C2,Data!B2:P307,3,FALSE)</f>
        <v>#N/A</v>
      </c>
    </row>
    <row r="7" spans="1:14" s="37" customFormat="1">
      <c r="A7" s="1"/>
      <c r="B7" s="2" t="s">
        <v>389</v>
      </c>
      <c r="C7" s="2"/>
      <c r="D7" s="2"/>
      <c r="E7" s="20" t="e">
        <f>VLOOKUP(C2,Data!B2:P307,4,FALSE)</f>
        <v>#N/A</v>
      </c>
      <c r="F7" s="20"/>
    </row>
    <row r="8" spans="1:14">
      <c r="A8" s="1" t="s">
        <v>4</v>
      </c>
      <c r="B8" s="2"/>
      <c r="C8" s="2"/>
      <c r="D8" s="2"/>
      <c r="E8" s="7"/>
      <c r="F8" s="32" t="e">
        <f>SUM(E6:E7)</f>
        <v>#N/A</v>
      </c>
    </row>
    <row r="9" spans="1:14">
      <c r="A9" s="1" t="s">
        <v>3</v>
      </c>
      <c r="B9" s="2"/>
      <c r="C9" s="2"/>
      <c r="D9" s="2"/>
      <c r="E9" s="7"/>
      <c r="F9" s="7"/>
    </row>
    <row r="10" spans="1:14">
      <c r="A10" s="1"/>
      <c r="B10" s="2" t="s">
        <v>0</v>
      </c>
      <c r="C10" s="2"/>
      <c r="D10" s="2"/>
      <c r="E10" s="20" t="e">
        <f>VLOOKUP(C2,Data!B2:P307,5,FALSE)</f>
        <v>#N/A</v>
      </c>
      <c r="F10" s="7"/>
    </row>
    <row r="11" spans="1:14">
      <c r="A11" s="1"/>
      <c r="B11" s="2" t="s">
        <v>1</v>
      </c>
      <c r="C11" s="2"/>
      <c r="D11" s="2"/>
      <c r="E11" s="21" t="e">
        <f>VLOOKUP(C2,Data!B2:P307,6,FALSE)</f>
        <v>#N/A</v>
      </c>
      <c r="F11" s="7"/>
    </row>
    <row r="12" spans="1:14">
      <c r="A12" s="1" t="s">
        <v>5</v>
      </c>
      <c r="B12" s="2"/>
      <c r="C12" s="2"/>
      <c r="D12" s="2"/>
      <c r="E12" s="7"/>
      <c r="F12" s="12" t="e">
        <f>SUM(E10:E11)</f>
        <v>#N/A</v>
      </c>
    </row>
    <row r="13" spans="1:14">
      <c r="A13" s="1" t="s">
        <v>7</v>
      </c>
      <c r="B13" s="2"/>
      <c r="C13" s="2"/>
      <c r="D13" s="2"/>
      <c r="E13" s="7"/>
      <c r="F13" s="11"/>
    </row>
    <row r="14" spans="1:14">
      <c r="A14" s="4" t="s">
        <v>6</v>
      </c>
      <c r="B14" s="5"/>
      <c r="C14" s="5"/>
      <c r="D14" s="5"/>
      <c r="E14" s="8"/>
      <c r="F14" s="12" t="e">
        <f>F8-F12</f>
        <v>#N/A</v>
      </c>
    </row>
    <row r="16" spans="1:14">
      <c r="A16"/>
      <c r="B16"/>
      <c r="C16"/>
      <c r="D16"/>
      <c r="E16"/>
      <c r="F16"/>
    </row>
    <row r="17" spans="1:6">
      <c r="A17" s="1"/>
      <c r="B17" s="2"/>
      <c r="C17" s="2"/>
      <c r="D17" s="2"/>
      <c r="E17" s="61" t="s">
        <v>51</v>
      </c>
      <c r="F17" s="61"/>
    </row>
    <row r="18" spans="1:6">
      <c r="A18" s="1" t="s">
        <v>13</v>
      </c>
      <c r="B18" s="2"/>
      <c r="C18" s="2"/>
      <c r="D18" s="2"/>
      <c r="E18" s="2"/>
      <c r="F18" s="2"/>
    </row>
    <row r="19" spans="1:6">
      <c r="A19" s="1"/>
      <c r="B19" s="2" t="s">
        <v>8</v>
      </c>
      <c r="C19" s="2"/>
      <c r="D19" s="2"/>
      <c r="E19" s="20" t="e">
        <f>VLOOKUP(C2,Data!B2:Q307,8,FALSE)</f>
        <v>#N/A</v>
      </c>
      <c r="F19" s="11"/>
    </row>
    <row r="20" spans="1:6">
      <c r="A20" s="1"/>
      <c r="B20" s="2" t="s">
        <v>9</v>
      </c>
      <c r="C20" s="2"/>
      <c r="D20" s="2"/>
      <c r="E20" s="20" t="e">
        <f>VLOOKUP(C2,Data!B2:Q307,9,FALSE)</f>
        <v>#N/A</v>
      </c>
      <c r="F20" s="11"/>
    </row>
    <row r="21" spans="1:6">
      <c r="A21" s="1"/>
      <c r="B21" s="2" t="s">
        <v>10</v>
      </c>
      <c r="C21" s="2"/>
      <c r="D21" s="2"/>
      <c r="E21" s="20" t="e">
        <f>VLOOKUP(C2,Data!B2:Q307,10,FALSE)</f>
        <v>#N/A</v>
      </c>
      <c r="F21" s="11"/>
    </row>
    <row r="22" spans="1:6">
      <c r="A22" s="1"/>
      <c r="B22" s="2" t="s">
        <v>11</v>
      </c>
      <c r="C22" s="2"/>
      <c r="D22" s="2"/>
      <c r="F22" s="11"/>
    </row>
    <row r="23" spans="1:6">
      <c r="A23" s="1"/>
      <c r="B23" s="2" t="s">
        <v>12</v>
      </c>
      <c r="C23" s="2"/>
      <c r="D23" s="2"/>
      <c r="E23" s="20" t="e">
        <f>VLOOKUP(C2,Data!B2:Q307,13,FALSE)</f>
        <v>#N/A</v>
      </c>
      <c r="F23" s="11"/>
    </row>
    <row r="24" spans="1:6">
      <c r="A24" s="1" t="s">
        <v>17</v>
      </c>
      <c r="B24" s="2"/>
      <c r="C24" s="2"/>
      <c r="D24" s="2"/>
      <c r="E24" s="11"/>
      <c r="F24" s="12" t="e">
        <f>SUM(E19:E23)</f>
        <v>#N/A</v>
      </c>
    </row>
    <row r="25" spans="1:6">
      <c r="A25" s="1" t="s">
        <v>18</v>
      </c>
      <c r="B25" s="2"/>
      <c r="C25" s="2"/>
      <c r="D25" s="2"/>
      <c r="E25" s="11"/>
      <c r="F25" s="11"/>
    </row>
    <row r="26" spans="1:6">
      <c r="A26" s="4" t="s">
        <v>13</v>
      </c>
      <c r="B26" s="5"/>
      <c r="C26" s="5"/>
      <c r="D26" s="5"/>
      <c r="E26" s="12"/>
      <c r="F26" s="12" t="e">
        <f>F14-F24</f>
        <v>#N/A</v>
      </c>
    </row>
    <row r="28" spans="1:6">
      <c r="A28"/>
      <c r="B28"/>
      <c r="C28"/>
      <c r="D28"/>
      <c r="E28"/>
      <c r="F28"/>
    </row>
    <row r="29" spans="1:6">
      <c r="A29" s="1"/>
      <c r="B29" s="2"/>
      <c r="C29" s="2"/>
      <c r="D29" s="2"/>
      <c r="E29" s="61" t="s">
        <v>51</v>
      </c>
      <c r="F29" s="61"/>
    </row>
    <row r="30" spans="1:6">
      <c r="A30" s="1" t="s">
        <v>14</v>
      </c>
      <c r="B30" s="2"/>
      <c r="C30" s="2"/>
      <c r="D30" s="2"/>
      <c r="E30" s="2"/>
      <c r="F30" s="28" t="e">
        <f>VLOOKUP(C2,Data!B2:Q307,14,FALSE)+VLOOKUP(C2,Data!B2:Q307,15,FALSE)</f>
        <v>#N/A</v>
      </c>
    </row>
    <row r="31" spans="1:6">
      <c r="A31" s="1"/>
      <c r="B31" s="2"/>
      <c r="C31" s="2"/>
      <c r="D31" s="2"/>
      <c r="E31" s="2"/>
      <c r="F31" s="2"/>
    </row>
    <row r="32" spans="1:6">
      <c r="A32"/>
      <c r="B32"/>
      <c r="C32"/>
      <c r="D32"/>
      <c r="E32"/>
      <c r="F32"/>
    </row>
    <row r="33" spans="1:6">
      <c r="A33"/>
      <c r="B33"/>
      <c r="C33"/>
      <c r="D33"/>
      <c r="E33"/>
      <c r="F33"/>
    </row>
    <row r="34" spans="1:6">
      <c r="A34" s="18"/>
      <c r="B34" s="18"/>
      <c r="C34" s="18"/>
      <c r="D34" s="18"/>
      <c r="E34" s="18"/>
      <c r="F34" s="18"/>
    </row>
  </sheetData>
  <sheetProtection password="CBEB" sheet="1" objects="1" scenarios="1" selectLockedCells="1"/>
  <mergeCells count="5">
    <mergeCell ref="H2:N5"/>
    <mergeCell ref="D2:E2"/>
    <mergeCell ref="E4:F4"/>
    <mergeCell ref="E17:F17"/>
    <mergeCell ref="E29:F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9"/>
  <sheetViews>
    <sheetView workbookViewId="0">
      <pane xSplit="2" ySplit="1" topLeftCell="C278" activePane="bottomRight" state="frozen"/>
      <selection pane="topRight" activeCell="C1" sqref="C1"/>
      <selection pane="bottomLeft" activeCell="A2" sqref="A2"/>
      <selection pane="bottomRight" activeCell="C312" sqref="C312:D312"/>
    </sheetView>
  </sheetViews>
  <sheetFormatPr defaultRowHeight="15"/>
  <cols>
    <col min="3" max="3" width="27.5703125" customWidth="1"/>
    <col min="4" max="4" width="16.85546875" style="37" customWidth="1"/>
    <col min="5" max="5" width="16.28515625" style="37" customWidth="1"/>
    <col min="6" max="6" width="15.28515625" customWidth="1"/>
    <col min="7" max="7" width="12.140625" customWidth="1"/>
    <col min="8" max="8" width="14.42578125" customWidth="1"/>
    <col min="9" max="9" width="16.140625" customWidth="1"/>
    <col min="10" max="10" width="13.42578125" customWidth="1"/>
    <col min="11" max="12" width="12.5703125" customWidth="1"/>
    <col min="13" max="13" width="13.28515625" customWidth="1"/>
  </cols>
  <sheetData>
    <row r="1" spans="1:16">
      <c r="A1" s="40" t="s">
        <v>334</v>
      </c>
      <c r="B1" s="40" t="s">
        <v>335</v>
      </c>
      <c r="C1" s="43" t="s">
        <v>336</v>
      </c>
      <c r="D1" s="40" t="s">
        <v>392</v>
      </c>
      <c r="E1" s="40" t="s">
        <v>393</v>
      </c>
      <c r="F1" s="39" t="s">
        <v>337</v>
      </c>
      <c r="G1" s="49" t="s">
        <v>338</v>
      </c>
      <c r="H1" s="49" t="s">
        <v>339</v>
      </c>
      <c r="I1" s="49" t="s">
        <v>340</v>
      </c>
      <c r="J1" s="49" t="s">
        <v>341</v>
      </c>
      <c r="K1" s="49" t="s">
        <v>342</v>
      </c>
      <c r="L1" s="49" t="s">
        <v>343</v>
      </c>
      <c r="M1" s="49" t="s">
        <v>344</v>
      </c>
      <c r="N1" s="49" t="s">
        <v>345</v>
      </c>
      <c r="O1" s="49" t="s">
        <v>346</v>
      </c>
      <c r="P1" s="49" t="s">
        <v>347</v>
      </c>
    </row>
    <row r="2" spans="1:16">
      <c r="A2" s="44" t="s">
        <v>348</v>
      </c>
      <c r="B2" s="35">
        <v>101</v>
      </c>
      <c r="C2" s="42" t="s">
        <v>54</v>
      </c>
      <c r="D2" s="50">
        <v>7893998</v>
      </c>
      <c r="E2" s="50">
        <v>229659</v>
      </c>
      <c r="F2" s="41">
        <v>1056129</v>
      </c>
      <c r="G2" s="41">
        <v>1263846</v>
      </c>
      <c r="H2" s="41">
        <v>0</v>
      </c>
      <c r="I2" s="41">
        <v>234359</v>
      </c>
      <c r="J2" s="41">
        <v>0</v>
      </c>
      <c r="K2" s="41">
        <v>116302</v>
      </c>
      <c r="L2" s="41">
        <v>0</v>
      </c>
      <c r="M2" s="41">
        <v>116302</v>
      </c>
      <c r="N2" s="41">
        <v>1969</v>
      </c>
      <c r="O2" s="41">
        <v>347</v>
      </c>
      <c r="P2" s="51">
        <v>197</v>
      </c>
    </row>
    <row r="3" spans="1:16">
      <c r="A3" s="44" t="s">
        <v>349</v>
      </c>
      <c r="B3" s="35">
        <v>102</v>
      </c>
      <c r="C3" s="42" t="s">
        <v>55</v>
      </c>
      <c r="D3" s="50">
        <v>6346680</v>
      </c>
      <c r="E3" s="50">
        <v>334944</v>
      </c>
      <c r="F3" s="41">
        <v>764852</v>
      </c>
      <c r="G3" s="41">
        <v>395005</v>
      </c>
      <c r="H3" s="41">
        <v>0</v>
      </c>
      <c r="I3" s="41">
        <v>122312</v>
      </c>
      <c r="J3" s="41">
        <v>14377</v>
      </c>
      <c r="K3" s="41">
        <v>61997</v>
      </c>
      <c r="L3" s="41">
        <v>0</v>
      </c>
      <c r="M3" s="41">
        <v>61997</v>
      </c>
      <c r="N3" s="41">
        <v>259784</v>
      </c>
      <c r="O3" s="41">
        <v>502</v>
      </c>
      <c r="P3" s="51">
        <v>217</v>
      </c>
    </row>
    <row r="4" spans="1:16">
      <c r="A4" s="44" t="s">
        <v>350</v>
      </c>
      <c r="B4" s="35">
        <v>103</v>
      </c>
      <c r="C4" s="42" t="s">
        <v>56</v>
      </c>
      <c r="D4" s="50">
        <v>2052178</v>
      </c>
      <c r="E4" s="50">
        <v>129857</v>
      </c>
      <c r="F4" s="41">
        <v>178431</v>
      </c>
      <c r="G4" s="41">
        <v>0</v>
      </c>
      <c r="H4" s="41">
        <v>0</v>
      </c>
      <c r="I4" s="41">
        <v>50028</v>
      </c>
      <c r="J4" s="41">
        <v>0</v>
      </c>
      <c r="K4" s="41">
        <v>49637</v>
      </c>
      <c r="L4" s="41">
        <v>0</v>
      </c>
      <c r="M4" s="41">
        <v>49637</v>
      </c>
      <c r="N4" s="41">
        <v>30490</v>
      </c>
      <c r="O4" s="41">
        <v>89</v>
      </c>
      <c r="P4" s="51">
        <v>53</v>
      </c>
    </row>
    <row r="5" spans="1:16">
      <c r="A5" s="44" t="s">
        <v>350</v>
      </c>
      <c r="B5" s="35">
        <v>105</v>
      </c>
      <c r="C5" s="42" t="s">
        <v>57</v>
      </c>
      <c r="D5" s="50">
        <v>3629528</v>
      </c>
      <c r="E5" s="50">
        <v>132283</v>
      </c>
      <c r="F5" s="41">
        <v>402826</v>
      </c>
      <c r="G5" s="41">
        <v>0</v>
      </c>
      <c r="H5" s="41">
        <v>0</v>
      </c>
      <c r="I5" s="41">
        <v>96668</v>
      </c>
      <c r="J5" s="41">
        <v>0</v>
      </c>
      <c r="K5" s="41">
        <v>170537</v>
      </c>
      <c r="L5" s="41">
        <v>0</v>
      </c>
      <c r="M5" s="41">
        <v>170537</v>
      </c>
      <c r="N5" s="41">
        <v>0</v>
      </c>
      <c r="O5" s="41">
        <v>200</v>
      </c>
      <c r="P5" s="51">
        <v>115</v>
      </c>
    </row>
    <row r="6" spans="1:16">
      <c r="A6" s="44" t="s">
        <v>349</v>
      </c>
      <c r="B6" s="35">
        <v>106</v>
      </c>
      <c r="C6" s="42" t="s">
        <v>58</v>
      </c>
      <c r="D6" s="50">
        <v>2097730</v>
      </c>
      <c r="E6" s="50">
        <v>71770</v>
      </c>
      <c r="F6" s="41">
        <v>50449</v>
      </c>
      <c r="G6" s="41">
        <v>59001</v>
      </c>
      <c r="H6" s="41">
        <v>0</v>
      </c>
      <c r="I6" s="41">
        <v>34098</v>
      </c>
      <c r="J6" s="41">
        <v>0</v>
      </c>
      <c r="K6" s="41">
        <v>1102</v>
      </c>
      <c r="L6" s="41">
        <v>0</v>
      </c>
      <c r="M6" s="41">
        <v>1102</v>
      </c>
      <c r="N6" s="41">
        <v>18183</v>
      </c>
      <c r="O6" s="41">
        <v>122</v>
      </c>
      <c r="P6" s="51">
        <v>48</v>
      </c>
    </row>
    <row r="7" spans="1:16">
      <c r="A7" s="44" t="s">
        <v>351</v>
      </c>
      <c r="B7" s="35">
        <v>107</v>
      </c>
      <c r="C7" s="42" t="s">
        <v>59</v>
      </c>
      <c r="D7" s="50">
        <v>3703256</v>
      </c>
      <c r="E7" s="50">
        <v>117063</v>
      </c>
      <c r="F7" s="41">
        <v>350063</v>
      </c>
      <c r="G7" s="41">
        <v>52908</v>
      </c>
      <c r="H7" s="41">
        <v>0</v>
      </c>
      <c r="I7" s="41">
        <v>102952</v>
      </c>
      <c r="J7" s="41">
        <v>0</v>
      </c>
      <c r="K7" s="41">
        <v>20504</v>
      </c>
      <c r="L7" s="41">
        <v>0</v>
      </c>
      <c r="M7" s="41">
        <v>20504</v>
      </c>
      <c r="N7" s="41">
        <v>0</v>
      </c>
      <c r="O7" s="41">
        <v>171</v>
      </c>
      <c r="P7" s="51">
        <v>127</v>
      </c>
    </row>
    <row r="8" spans="1:16">
      <c r="A8" s="44" t="s">
        <v>352</v>
      </c>
      <c r="B8" s="35">
        <v>108</v>
      </c>
      <c r="C8" s="42" t="s">
        <v>60</v>
      </c>
      <c r="D8" s="50">
        <v>5711058</v>
      </c>
      <c r="E8" s="50">
        <v>142453</v>
      </c>
      <c r="F8" s="41">
        <v>1371943</v>
      </c>
      <c r="G8" s="41">
        <v>261765</v>
      </c>
      <c r="H8" s="41">
        <v>0</v>
      </c>
      <c r="I8" s="41">
        <v>94258</v>
      </c>
      <c r="J8" s="41">
        <v>0</v>
      </c>
      <c r="K8" s="41">
        <v>140153</v>
      </c>
      <c r="L8" s="41">
        <v>0</v>
      </c>
      <c r="M8" s="41">
        <v>140153</v>
      </c>
      <c r="N8" s="41">
        <v>0</v>
      </c>
      <c r="O8" s="41">
        <v>298</v>
      </c>
      <c r="P8" s="51">
        <v>118</v>
      </c>
    </row>
    <row r="9" spans="1:16">
      <c r="A9" s="44" t="s">
        <v>352</v>
      </c>
      <c r="B9" s="35">
        <v>109</v>
      </c>
      <c r="C9" s="42" t="s">
        <v>61</v>
      </c>
      <c r="D9" s="50">
        <v>4703569</v>
      </c>
      <c r="E9" s="50">
        <v>218170</v>
      </c>
      <c r="F9" s="41">
        <v>221692</v>
      </c>
      <c r="G9" s="41">
        <v>67320</v>
      </c>
      <c r="H9" s="41">
        <v>0</v>
      </c>
      <c r="I9" s="41">
        <v>157312</v>
      </c>
      <c r="J9" s="41">
        <v>0</v>
      </c>
      <c r="K9" s="41">
        <v>53406</v>
      </c>
      <c r="L9" s="41">
        <v>0</v>
      </c>
      <c r="M9" s="41">
        <v>53406</v>
      </c>
      <c r="N9" s="41">
        <v>0</v>
      </c>
      <c r="O9" s="41">
        <v>346</v>
      </c>
      <c r="P9" s="51">
        <v>163</v>
      </c>
    </row>
    <row r="10" spans="1:16">
      <c r="A10" s="44" t="s">
        <v>353</v>
      </c>
      <c r="B10" s="35">
        <v>110</v>
      </c>
      <c r="C10" s="42" t="s">
        <v>62</v>
      </c>
      <c r="D10" s="50">
        <v>3227975</v>
      </c>
      <c r="E10" s="50">
        <v>105455</v>
      </c>
      <c r="F10" s="41">
        <v>299807</v>
      </c>
      <c r="G10" s="41">
        <v>0</v>
      </c>
      <c r="H10" s="41">
        <v>0</v>
      </c>
      <c r="I10" s="41">
        <v>54828</v>
      </c>
      <c r="J10" s="41">
        <v>0</v>
      </c>
      <c r="K10" s="41">
        <v>440</v>
      </c>
      <c r="L10" s="41">
        <v>0</v>
      </c>
      <c r="M10" s="41">
        <v>440</v>
      </c>
      <c r="N10" s="41">
        <v>0</v>
      </c>
      <c r="O10" s="41">
        <v>186</v>
      </c>
      <c r="P10" s="51">
        <v>83</v>
      </c>
    </row>
    <row r="11" spans="1:16">
      <c r="A11" s="44" t="s">
        <v>354</v>
      </c>
      <c r="B11" s="35">
        <v>111</v>
      </c>
      <c r="C11" s="42" t="s">
        <v>63</v>
      </c>
      <c r="D11" s="50">
        <v>5125166</v>
      </c>
      <c r="E11" s="50">
        <v>80958</v>
      </c>
      <c r="F11" s="41">
        <v>306258</v>
      </c>
      <c r="G11" s="41">
        <v>0</v>
      </c>
      <c r="H11" s="41">
        <v>0</v>
      </c>
      <c r="I11" s="41">
        <v>49912</v>
      </c>
      <c r="J11" s="41">
        <v>0</v>
      </c>
      <c r="K11" s="41">
        <v>6854</v>
      </c>
      <c r="L11" s="41">
        <v>0</v>
      </c>
      <c r="M11" s="41">
        <v>6854</v>
      </c>
      <c r="N11" s="41">
        <v>0</v>
      </c>
      <c r="O11" s="41">
        <v>236</v>
      </c>
      <c r="P11" s="51">
        <v>129</v>
      </c>
    </row>
    <row r="12" spans="1:16">
      <c r="A12" s="44" t="s">
        <v>355</v>
      </c>
      <c r="B12" s="35">
        <v>112</v>
      </c>
      <c r="C12" s="42" t="s">
        <v>64</v>
      </c>
      <c r="D12" s="50">
        <v>8059964</v>
      </c>
      <c r="E12" s="50">
        <v>133078</v>
      </c>
      <c r="F12" s="41">
        <v>516017</v>
      </c>
      <c r="G12" s="41">
        <v>708875</v>
      </c>
      <c r="H12" s="41">
        <v>0</v>
      </c>
      <c r="I12" s="41">
        <v>96897</v>
      </c>
      <c r="J12" s="41">
        <v>0</v>
      </c>
      <c r="K12" s="41">
        <v>40632</v>
      </c>
      <c r="L12" s="41">
        <v>0</v>
      </c>
      <c r="M12" s="41">
        <v>40632</v>
      </c>
      <c r="N12" s="41">
        <v>0</v>
      </c>
      <c r="O12" s="41">
        <v>365</v>
      </c>
      <c r="P12" s="51">
        <v>254</v>
      </c>
    </row>
    <row r="13" spans="1:16">
      <c r="A13" s="44" t="s">
        <v>356</v>
      </c>
      <c r="B13" s="35">
        <v>113</v>
      </c>
      <c r="C13" s="42" t="s">
        <v>65</v>
      </c>
      <c r="D13" s="50">
        <v>12575798</v>
      </c>
      <c r="E13" s="50">
        <v>191344</v>
      </c>
      <c r="F13" s="41">
        <v>643708</v>
      </c>
      <c r="G13" s="41">
        <v>561693</v>
      </c>
      <c r="H13" s="41">
        <v>0</v>
      </c>
      <c r="I13" s="41">
        <v>169542</v>
      </c>
      <c r="J13" s="41">
        <v>0</v>
      </c>
      <c r="K13" s="41">
        <v>282693</v>
      </c>
      <c r="L13" s="41">
        <v>0</v>
      </c>
      <c r="M13" s="41">
        <v>282693</v>
      </c>
      <c r="N13" s="41">
        <v>2000</v>
      </c>
      <c r="O13" s="41">
        <v>866</v>
      </c>
      <c r="P13" s="51">
        <v>392</v>
      </c>
    </row>
    <row r="14" spans="1:16">
      <c r="A14" s="44" t="s">
        <v>354</v>
      </c>
      <c r="B14" s="35">
        <v>114</v>
      </c>
      <c r="C14" s="42" t="s">
        <v>66</v>
      </c>
      <c r="D14" s="50">
        <v>6851191</v>
      </c>
      <c r="E14" s="50">
        <v>176312</v>
      </c>
      <c r="F14" s="41">
        <v>534777</v>
      </c>
      <c r="G14" s="41">
        <v>171591</v>
      </c>
      <c r="H14" s="41">
        <v>0</v>
      </c>
      <c r="I14" s="41">
        <v>155493</v>
      </c>
      <c r="J14" s="41">
        <v>0</v>
      </c>
      <c r="K14" s="41">
        <v>10987</v>
      </c>
      <c r="L14" s="41">
        <v>0</v>
      </c>
      <c r="M14" s="41">
        <v>10987</v>
      </c>
      <c r="N14" s="41">
        <v>0</v>
      </c>
      <c r="O14" s="41">
        <v>524</v>
      </c>
      <c r="P14" s="51">
        <v>263</v>
      </c>
    </row>
    <row r="15" spans="1:16">
      <c r="A15" s="44" t="s">
        <v>357</v>
      </c>
      <c r="B15" s="35">
        <v>115</v>
      </c>
      <c r="C15" s="42" t="s">
        <v>67</v>
      </c>
      <c r="D15" s="50">
        <v>6718779</v>
      </c>
      <c r="E15" s="50">
        <v>265082</v>
      </c>
      <c r="F15" s="41">
        <v>737259</v>
      </c>
      <c r="G15" s="41">
        <v>340826</v>
      </c>
      <c r="H15" s="41">
        <v>510928</v>
      </c>
      <c r="I15" s="41">
        <v>97779</v>
      </c>
      <c r="J15" s="41">
        <v>0</v>
      </c>
      <c r="K15" s="41">
        <v>23143</v>
      </c>
      <c r="L15" s="41">
        <v>1200712</v>
      </c>
      <c r="M15" s="41">
        <v>1223855</v>
      </c>
      <c r="N15" s="41">
        <v>0</v>
      </c>
      <c r="O15" s="41">
        <v>414</v>
      </c>
      <c r="P15" s="51">
        <v>239</v>
      </c>
    </row>
    <row r="16" spans="1:16">
      <c r="A16" s="44" t="s">
        <v>358</v>
      </c>
      <c r="B16" s="35">
        <v>200</v>
      </c>
      <c r="C16" s="42" t="s">
        <v>68</v>
      </c>
      <c r="D16" s="50">
        <v>2665109</v>
      </c>
      <c r="E16" s="50">
        <v>53407</v>
      </c>
      <c r="F16" s="41">
        <v>159854</v>
      </c>
      <c r="G16" s="41">
        <v>27753</v>
      </c>
      <c r="H16" s="41">
        <v>0</v>
      </c>
      <c r="I16" s="41">
        <v>55794</v>
      </c>
      <c r="J16" s="41">
        <v>0</v>
      </c>
      <c r="K16" s="41">
        <v>3682</v>
      </c>
      <c r="L16" s="41">
        <v>0</v>
      </c>
      <c r="M16" s="41">
        <v>3682</v>
      </c>
      <c r="N16" s="41">
        <v>59889</v>
      </c>
      <c r="O16" s="41">
        <v>138</v>
      </c>
      <c r="P16" s="51">
        <v>63</v>
      </c>
    </row>
    <row r="17" spans="1:16">
      <c r="A17" s="37"/>
      <c r="B17" s="35">
        <v>202</v>
      </c>
      <c r="C17" s="42" t="s">
        <v>22</v>
      </c>
      <c r="D17" s="50">
        <v>40618890</v>
      </c>
      <c r="E17" s="50">
        <v>1849607</v>
      </c>
      <c r="F17" s="41">
        <v>3767346</v>
      </c>
      <c r="G17" s="41">
        <v>3761905</v>
      </c>
      <c r="H17" s="41">
        <v>1129985</v>
      </c>
      <c r="I17" s="41">
        <v>1457336</v>
      </c>
      <c r="J17" s="41">
        <v>67046</v>
      </c>
      <c r="K17" s="41">
        <v>4109176</v>
      </c>
      <c r="L17" s="41">
        <v>0</v>
      </c>
      <c r="M17" s="41">
        <v>4109176</v>
      </c>
      <c r="N17" s="41">
        <v>456154</v>
      </c>
      <c r="O17" s="41">
        <v>2780</v>
      </c>
      <c r="P17" s="51">
        <v>1296</v>
      </c>
    </row>
    <row r="18" spans="1:16">
      <c r="A18" s="44" t="s">
        <v>359</v>
      </c>
      <c r="B18" s="35">
        <v>203</v>
      </c>
      <c r="C18" s="42" t="s">
        <v>69</v>
      </c>
      <c r="D18" s="50">
        <v>14975203</v>
      </c>
      <c r="E18" s="50">
        <v>126433</v>
      </c>
      <c r="F18" s="41">
        <v>977527</v>
      </c>
      <c r="G18" s="41">
        <v>1707443</v>
      </c>
      <c r="H18" s="41">
        <v>0</v>
      </c>
      <c r="I18" s="41">
        <v>92969</v>
      </c>
      <c r="J18" s="41">
        <v>0</v>
      </c>
      <c r="K18" s="41">
        <v>156606</v>
      </c>
      <c r="L18" s="41">
        <v>0</v>
      </c>
      <c r="M18" s="41">
        <v>156606</v>
      </c>
      <c r="N18" s="41">
        <v>0</v>
      </c>
      <c r="O18" s="41">
        <v>1194</v>
      </c>
      <c r="P18" s="51">
        <v>524</v>
      </c>
    </row>
    <row r="19" spans="1:16">
      <c r="A19" s="44" t="s">
        <v>359</v>
      </c>
      <c r="B19" s="35">
        <v>204</v>
      </c>
      <c r="C19" s="42" t="s">
        <v>70</v>
      </c>
      <c r="D19" s="50">
        <v>21118421</v>
      </c>
      <c r="E19" s="50">
        <v>517728</v>
      </c>
      <c r="F19" s="41">
        <v>754220</v>
      </c>
      <c r="G19" s="41">
        <v>3167774</v>
      </c>
      <c r="H19" s="41">
        <v>0</v>
      </c>
      <c r="I19" s="41">
        <v>411472</v>
      </c>
      <c r="J19" s="41">
        <v>22868</v>
      </c>
      <c r="K19" s="41">
        <v>384374</v>
      </c>
      <c r="L19" s="41">
        <v>0</v>
      </c>
      <c r="M19" s="41">
        <v>384374</v>
      </c>
      <c r="N19" s="41">
        <v>145683</v>
      </c>
      <c r="O19" s="41">
        <v>1800</v>
      </c>
      <c r="P19" s="51">
        <v>716</v>
      </c>
    </row>
    <row r="20" spans="1:16">
      <c r="A20" s="44" t="s">
        <v>360</v>
      </c>
      <c r="B20" s="35">
        <v>205</v>
      </c>
      <c r="C20" s="42" t="s">
        <v>71</v>
      </c>
      <c r="D20" s="50">
        <v>6504262</v>
      </c>
      <c r="E20" s="50">
        <v>149584</v>
      </c>
      <c r="F20" s="41">
        <v>429440</v>
      </c>
      <c r="G20" s="41">
        <v>608588</v>
      </c>
      <c r="H20" s="41">
        <v>0</v>
      </c>
      <c r="I20" s="41">
        <v>120657</v>
      </c>
      <c r="J20" s="41">
        <v>0</v>
      </c>
      <c r="K20" s="41">
        <v>32949</v>
      </c>
      <c r="L20" s="41">
        <v>0</v>
      </c>
      <c r="M20" s="41">
        <v>32949</v>
      </c>
      <c r="N20" s="41">
        <v>0</v>
      </c>
      <c r="O20" s="41">
        <v>323</v>
      </c>
      <c r="P20" s="51">
        <v>221</v>
      </c>
    </row>
    <row r="21" spans="1:16">
      <c r="A21" s="44" t="s">
        <v>360</v>
      </c>
      <c r="B21" s="35">
        <v>206</v>
      </c>
      <c r="C21" s="42" t="s">
        <v>72</v>
      </c>
      <c r="D21" s="50">
        <v>5410950</v>
      </c>
      <c r="E21" s="50">
        <v>104250</v>
      </c>
      <c r="F21" s="41">
        <v>242224</v>
      </c>
      <c r="G21" s="41">
        <v>436319</v>
      </c>
      <c r="H21" s="41">
        <v>0</v>
      </c>
      <c r="I21" s="41">
        <v>83473</v>
      </c>
      <c r="J21" s="41">
        <v>0</v>
      </c>
      <c r="K21" s="41">
        <v>80964</v>
      </c>
      <c r="L21" s="41">
        <v>0</v>
      </c>
      <c r="M21" s="41">
        <v>80964</v>
      </c>
      <c r="N21" s="41">
        <v>26284</v>
      </c>
      <c r="O21" s="41">
        <v>350</v>
      </c>
      <c r="P21" s="51">
        <v>203</v>
      </c>
    </row>
    <row r="22" spans="1:16">
      <c r="A22" s="44" t="s">
        <v>361</v>
      </c>
      <c r="B22" s="35">
        <v>207</v>
      </c>
      <c r="C22" s="42" t="s">
        <v>73</v>
      </c>
      <c r="D22" s="50">
        <v>16272024</v>
      </c>
      <c r="E22" s="50">
        <v>94400</v>
      </c>
      <c r="F22" s="41">
        <v>2254434</v>
      </c>
      <c r="G22" s="41">
        <v>0</v>
      </c>
      <c r="H22" s="41">
        <v>0</v>
      </c>
      <c r="I22" s="41">
        <v>67496</v>
      </c>
      <c r="J22" s="41">
        <v>0</v>
      </c>
      <c r="K22" s="41">
        <v>88699</v>
      </c>
      <c r="L22" s="41">
        <v>0</v>
      </c>
      <c r="M22" s="41">
        <v>88699</v>
      </c>
      <c r="N22" s="41">
        <v>174016</v>
      </c>
      <c r="O22" s="41">
        <v>1905</v>
      </c>
      <c r="P22" s="51">
        <v>91</v>
      </c>
    </row>
    <row r="23" spans="1:16">
      <c r="A23" s="44" t="s">
        <v>350</v>
      </c>
      <c r="B23" s="35">
        <v>208</v>
      </c>
      <c r="C23" s="42" t="s">
        <v>74</v>
      </c>
      <c r="D23" s="50">
        <v>4551003</v>
      </c>
      <c r="E23" s="50">
        <v>150004</v>
      </c>
      <c r="F23" s="41">
        <v>357668</v>
      </c>
      <c r="G23" s="41">
        <v>207507</v>
      </c>
      <c r="H23" s="41">
        <v>0</v>
      </c>
      <c r="I23" s="41">
        <v>119170</v>
      </c>
      <c r="J23" s="41">
        <v>0</v>
      </c>
      <c r="K23" s="41">
        <v>504994</v>
      </c>
      <c r="L23" s="41">
        <v>0</v>
      </c>
      <c r="M23" s="41">
        <v>504994</v>
      </c>
      <c r="N23" s="41">
        <v>0</v>
      </c>
      <c r="O23" s="41">
        <v>270</v>
      </c>
      <c r="P23" s="51">
        <v>122</v>
      </c>
    </row>
    <row r="24" spans="1:16">
      <c r="A24" s="44" t="s">
        <v>358</v>
      </c>
      <c r="B24" s="35">
        <v>209</v>
      </c>
      <c r="C24" s="42" t="s">
        <v>75</v>
      </c>
      <c r="D24" s="50">
        <v>3059217</v>
      </c>
      <c r="E24" s="50">
        <v>258073</v>
      </c>
      <c r="F24" s="41">
        <v>680739</v>
      </c>
      <c r="G24" s="41">
        <v>0</v>
      </c>
      <c r="H24" s="41">
        <v>0</v>
      </c>
      <c r="I24" s="41">
        <v>37185</v>
      </c>
      <c r="J24" s="41">
        <v>0</v>
      </c>
      <c r="K24" s="41">
        <v>0</v>
      </c>
      <c r="L24" s="41">
        <v>0</v>
      </c>
      <c r="M24" s="41">
        <v>0</v>
      </c>
      <c r="N24" s="41">
        <v>81496</v>
      </c>
      <c r="O24" s="41">
        <v>117</v>
      </c>
      <c r="P24" s="51">
        <v>83</v>
      </c>
    </row>
    <row r="25" spans="1:16">
      <c r="A25" s="44" t="s">
        <v>358</v>
      </c>
      <c r="B25" s="35">
        <v>210</v>
      </c>
      <c r="C25" s="42" t="s">
        <v>76</v>
      </c>
      <c r="D25" s="50">
        <v>12621278</v>
      </c>
      <c r="E25" s="50">
        <v>688037</v>
      </c>
      <c r="F25" s="41">
        <v>2094055</v>
      </c>
      <c r="G25" s="41">
        <v>1206610</v>
      </c>
      <c r="H25" s="41">
        <v>0</v>
      </c>
      <c r="I25" s="41">
        <v>247875</v>
      </c>
      <c r="J25" s="41">
        <v>23205</v>
      </c>
      <c r="K25" s="41">
        <v>28176</v>
      </c>
      <c r="L25" s="41">
        <v>0</v>
      </c>
      <c r="M25" s="41">
        <v>28176</v>
      </c>
      <c r="N25" s="41">
        <v>268897</v>
      </c>
      <c r="O25" s="41">
        <v>774</v>
      </c>
      <c r="P25" s="51">
        <v>340</v>
      </c>
    </row>
    <row r="26" spans="1:16">
      <c r="A26" s="44" t="s">
        <v>353</v>
      </c>
      <c r="B26" s="35">
        <v>211</v>
      </c>
      <c r="C26" s="42" t="s">
        <v>77</v>
      </c>
      <c r="D26" s="50">
        <v>6721102</v>
      </c>
      <c r="E26" s="50">
        <v>177858</v>
      </c>
      <c r="F26" s="41">
        <v>539467</v>
      </c>
      <c r="G26" s="41">
        <v>0</v>
      </c>
      <c r="H26" s="41">
        <v>0</v>
      </c>
      <c r="I26" s="41">
        <v>151724</v>
      </c>
      <c r="J26" s="41">
        <v>0</v>
      </c>
      <c r="K26" s="41">
        <v>22021</v>
      </c>
      <c r="L26" s="41">
        <v>0</v>
      </c>
      <c r="M26" s="41">
        <v>22021</v>
      </c>
      <c r="N26" s="41">
        <v>0</v>
      </c>
      <c r="O26" s="41">
        <v>481</v>
      </c>
      <c r="P26" s="51">
        <v>280</v>
      </c>
    </row>
    <row r="27" spans="1:16">
      <c r="A27" s="44" t="s">
        <v>353</v>
      </c>
      <c r="B27" s="35">
        <v>212</v>
      </c>
      <c r="C27" s="42" t="s">
        <v>78</v>
      </c>
      <c r="D27" s="50">
        <v>3000525</v>
      </c>
      <c r="E27" s="50">
        <v>56906</v>
      </c>
      <c r="F27" s="41">
        <v>609499</v>
      </c>
      <c r="G27" s="41">
        <v>0</v>
      </c>
      <c r="H27" s="41">
        <v>0</v>
      </c>
      <c r="I27" s="41">
        <v>58800</v>
      </c>
      <c r="J27" s="41">
        <v>0</v>
      </c>
      <c r="K27" s="41">
        <v>14261</v>
      </c>
      <c r="L27" s="41">
        <v>0</v>
      </c>
      <c r="M27" s="41">
        <v>14261</v>
      </c>
      <c r="N27" s="41">
        <v>0</v>
      </c>
      <c r="O27" s="41">
        <v>150</v>
      </c>
      <c r="P27" s="51">
        <v>62</v>
      </c>
    </row>
    <row r="28" spans="1:16">
      <c r="A28" s="44" t="s">
        <v>358</v>
      </c>
      <c r="B28" s="35">
        <v>214</v>
      </c>
      <c r="C28" s="42" t="s">
        <v>79</v>
      </c>
      <c r="D28" s="50">
        <v>14837976</v>
      </c>
      <c r="E28" s="50">
        <v>1018855</v>
      </c>
      <c r="F28" s="41">
        <v>640226</v>
      </c>
      <c r="G28" s="41">
        <v>1333206</v>
      </c>
      <c r="H28" s="41">
        <v>0</v>
      </c>
      <c r="I28" s="41">
        <v>347248</v>
      </c>
      <c r="J28" s="41">
        <v>43635</v>
      </c>
      <c r="K28" s="41">
        <v>9130</v>
      </c>
      <c r="L28" s="41">
        <v>0</v>
      </c>
      <c r="M28" s="41">
        <v>9130</v>
      </c>
      <c r="N28" s="41">
        <v>370087</v>
      </c>
      <c r="O28" s="41">
        <v>1224</v>
      </c>
      <c r="P28" s="51">
        <v>494</v>
      </c>
    </row>
    <row r="29" spans="1:16">
      <c r="A29" s="44" t="s">
        <v>358</v>
      </c>
      <c r="B29" s="35">
        <v>215</v>
      </c>
      <c r="C29" s="42" t="s">
        <v>80</v>
      </c>
      <c r="D29" s="50">
        <v>7627396</v>
      </c>
      <c r="E29" s="50">
        <v>213356</v>
      </c>
      <c r="F29" s="41">
        <v>547329</v>
      </c>
      <c r="G29" s="41">
        <v>936175</v>
      </c>
      <c r="H29" s="41">
        <v>0</v>
      </c>
      <c r="I29" s="41">
        <v>178782</v>
      </c>
      <c r="J29" s="41">
        <v>0</v>
      </c>
      <c r="K29" s="41">
        <v>9462</v>
      </c>
      <c r="L29" s="41">
        <v>0</v>
      </c>
      <c r="M29" s="41">
        <v>9462</v>
      </c>
      <c r="N29" s="41">
        <v>218562</v>
      </c>
      <c r="O29" s="41">
        <v>464</v>
      </c>
      <c r="P29" s="51">
        <v>165</v>
      </c>
    </row>
    <row r="30" spans="1:16">
      <c r="A30" s="44" t="s">
        <v>358</v>
      </c>
      <c r="B30" s="35">
        <v>216</v>
      </c>
      <c r="C30" s="42" t="s">
        <v>81</v>
      </c>
      <c r="D30" s="50">
        <v>3428820</v>
      </c>
      <c r="E30" s="50">
        <v>480338</v>
      </c>
      <c r="F30" s="41">
        <v>395756</v>
      </c>
      <c r="G30" s="41">
        <v>0</v>
      </c>
      <c r="H30" s="41">
        <v>0</v>
      </c>
      <c r="I30" s="41">
        <v>122587</v>
      </c>
      <c r="J30" s="41">
        <v>0</v>
      </c>
      <c r="K30" s="41">
        <v>7903</v>
      </c>
      <c r="L30" s="41">
        <v>0</v>
      </c>
      <c r="M30" s="41">
        <v>7903</v>
      </c>
      <c r="N30" s="41">
        <v>154734</v>
      </c>
      <c r="O30" s="41">
        <v>177</v>
      </c>
      <c r="P30" s="51">
        <v>146</v>
      </c>
    </row>
    <row r="31" spans="1:16">
      <c r="A31" s="44" t="s">
        <v>358</v>
      </c>
      <c r="B31" s="35">
        <v>217</v>
      </c>
      <c r="C31" s="42" t="s">
        <v>82</v>
      </c>
      <c r="D31" s="50">
        <v>3510071</v>
      </c>
      <c r="E31" s="50">
        <v>55084</v>
      </c>
      <c r="F31" s="41">
        <v>430357</v>
      </c>
      <c r="G31" s="41">
        <v>498850</v>
      </c>
      <c r="H31" s="41">
        <v>0</v>
      </c>
      <c r="I31" s="41">
        <v>39613</v>
      </c>
      <c r="J31" s="41">
        <v>0</v>
      </c>
      <c r="K31" s="41">
        <v>639</v>
      </c>
      <c r="L31" s="41">
        <v>0</v>
      </c>
      <c r="M31" s="41">
        <v>639</v>
      </c>
      <c r="N31" s="41">
        <v>45817</v>
      </c>
      <c r="O31" s="41">
        <v>128</v>
      </c>
      <c r="P31" s="51">
        <v>73</v>
      </c>
    </row>
    <row r="32" spans="1:16">
      <c r="A32" s="44" t="s">
        <v>358</v>
      </c>
      <c r="B32" s="35">
        <v>218</v>
      </c>
      <c r="C32" s="42" t="s">
        <v>83</v>
      </c>
      <c r="D32" s="50">
        <v>7270108</v>
      </c>
      <c r="E32" s="50">
        <v>423720</v>
      </c>
      <c r="F32" s="41">
        <v>722095</v>
      </c>
      <c r="G32" s="41">
        <v>0</v>
      </c>
      <c r="H32" s="41">
        <v>0</v>
      </c>
      <c r="I32" s="41">
        <v>154917</v>
      </c>
      <c r="J32" s="41">
        <v>10594</v>
      </c>
      <c r="K32" s="41">
        <v>4240</v>
      </c>
      <c r="L32" s="41">
        <v>0</v>
      </c>
      <c r="M32" s="41">
        <v>4240</v>
      </c>
      <c r="N32" s="41">
        <v>149212</v>
      </c>
      <c r="O32" s="41">
        <v>589</v>
      </c>
      <c r="P32" s="51">
        <v>309</v>
      </c>
    </row>
    <row r="33" spans="1:16">
      <c r="A33" s="44" t="s">
        <v>349</v>
      </c>
      <c r="B33" s="35">
        <v>219</v>
      </c>
      <c r="C33" s="42" t="s">
        <v>84</v>
      </c>
      <c r="D33" s="50">
        <v>2896191</v>
      </c>
      <c r="E33" s="50">
        <v>80719</v>
      </c>
      <c r="F33" s="41">
        <v>104814</v>
      </c>
      <c r="G33" s="41">
        <v>300961</v>
      </c>
      <c r="H33" s="41">
        <v>0</v>
      </c>
      <c r="I33" s="41">
        <v>42024</v>
      </c>
      <c r="J33" s="41">
        <v>0</v>
      </c>
      <c r="K33" s="41">
        <v>605</v>
      </c>
      <c r="L33" s="41">
        <v>0</v>
      </c>
      <c r="M33" s="41">
        <v>605</v>
      </c>
      <c r="N33" s="41">
        <v>0</v>
      </c>
      <c r="O33" s="41">
        <v>200</v>
      </c>
      <c r="P33" s="51">
        <v>80</v>
      </c>
    </row>
    <row r="34" spans="1:16">
      <c r="A34" s="44" t="s">
        <v>349</v>
      </c>
      <c r="B34" s="35">
        <v>220</v>
      </c>
      <c r="C34" s="42" t="s">
        <v>85</v>
      </c>
      <c r="D34" s="50">
        <v>2352510</v>
      </c>
      <c r="E34" s="50">
        <v>78666</v>
      </c>
      <c r="F34" s="41">
        <v>121629</v>
      </c>
      <c r="G34" s="41">
        <v>0</v>
      </c>
      <c r="H34" s="41">
        <v>0</v>
      </c>
      <c r="I34" s="41">
        <v>44797</v>
      </c>
      <c r="J34" s="41">
        <v>0</v>
      </c>
      <c r="K34" s="41">
        <v>28728</v>
      </c>
      <c r="L34" s="41">
        <v>0</v>
      </c>
      <c r="M34" s="41">
        <v>28728</v>
      </c>
      <c r="N34" s="41">
        <v>10316</v>
      </c>
      <c r="O34" s="41">
        <v>146</v>
      </c>
      <c r="P34" s="51">
        <v>73</v>
      </c>
    </row>
    <row r="35" spans="1:16">
      <c r="A35" s="44" t="s">
        <v>362</v>
      </c>
      <c r="B35" s="35">
        <v>223</v>
      </c>
      <c r="C35" s="42" t="s">
        <v>86</v>
      </c>
      <c r="D35" s="50">
        <v>3930780</v>
      </c>
      <c r="E35" s="50">
        <v>133820</v>
      </c>
      <c r="F35" s="41">
        <v>175353</v>
      </c>
      <c r="G35" s="41">
        <v>189281</v>
      </c>
      <c r="H35" s="41">
        <v>0</v>
      </c>
      <c r="I35" s="41">
        <v>82732</v>
      </c>
      <c r="J35" s="41">
        <v>0</v>
      </c>
      <c r="K35" s="41">
        <v>58660</v>
      </c>
      <c r="L35" s="41">
        <v>0</v>
      </c>
      <c r="M35" s="41">
        <v>58660</v>
      </c>
      <c r="N35" s="41">
        <v>21978</v>
      </c>
      <c r="O35" s="41">
        <v>293</v>
      </c>
      <c r="P35" s="51">
        <v>137</v>
      </c>
    </row>
    <row r="36" spans="1:16">
      <c r="A36" s="44" t="s">
        <v>352</v>
      </c>
      <c r="B36" s="35">
        <v>224</v>
      </c>
      <c r="C36" s="42" t="s">
        <v>87</v>
      </c>
      <c r="D36" s="50">
        <v>2803258</v>
      </c>
      <c r="E36" s="50">
        <v>77475</v>
      </c>
      <c r="F36" s="41">
        <v>127031</v>
      </c>
      <c r="G36" s="41">
        <v>0</v>
      </c>
      <c r="H36" s="41">
        <v>0</v>
      </c>
      <c r="I36" s="41">
        <v>42879</v>
      </c>
      <c r="J36" s="41">
        <v>0</v>
      </c>
      <c r="K36" s="41">
        <v>14468</v>
      </c>
      <c r="L36" s="41">
        <v>0</v>
      </c>
      <c r="M36" s="41">
        <v>14468</v>
      </c>
      <c r="N36" s="41">
        <v>0</v>
      </c>
      <c r="O36" s="41">
        <v>220</v>
      </c>
      <c r="P36" s="51">
        <v>85</v>
      </c>
    </row>
    <row r="37" spans="1:16">
      <c r="A37" s="44" t="s">
        <v>349</v>
      </c>
      <c r="B37" s="35">
        <v>225</v>
      </c>
      <c r="C37" s="42" t="s">
        <v>88</v>
      </c>
      <c r="D37" s="50">
        <v>2479709</v>
      </c>
      <c r="E37" s="50">
        <v>34133</v>
      </c>
      <c r="F37" s="41">
        <v>411158</v>
      </c>
      <c r="G37" s="41">
        <v>79958</v>
      </c>
      <c r="H37" s="41">
        <v>0</v>
      </c>
      <c r="I37" s="41">
        <v>24934</v>
      </c>
      <c r="J37" s="41">
        <v>0</v>
      </c>
      <c r="K37" s="41">
        <v>11864</v>
      </c>
      <c r="L37" s="41">
        <v>0</v>
      </c>
      <c r="M37" s="41">
        <v>11864</v>
      </c>
      <c r="N37" s="41">
        <v>3937</v>
      </c>
      <c r="O37" s="41">
        <v>115</v>
      </c>
      <c r="P37" s="51">
        <v>61</v>
      </c>
    </row>
    <row r="38" spans="1:16">
      <c r="A38" s="44" t="s">
        <v>349</v>
      </c>
      <c r="B38" s="35">
        <v>226</v>
      </c>
      <c r="C38" s="42" t="s">
        <v>89</v>
      </c>
      <c r="D38" s="50">
        <v>5028745</v>
      </c>
      <c r="E38" s="50">
        <v>134729</v>
      </c>
      <c r="F38" s="41">
        <v>342165</v>
      </c>
      <c r="G38" s="41">
        <v>362287</v>
      </c>
      <c r="H38" s="41">
        <v>0</v>
      </c>
      <c r="I38" s="41">
        <v>79449</v>
      </c>
      <c r="J38" s="41">
        <v>0</v>
      </c>
      <c r="K38" s="41">
        <v>23496</v>
      </c>
      <c r="L38" s="41">
        <v>0</v>
      </c>
      <c r="M38" s="41">
        <v>23496</v>
      </c>
      <c r="N38" s="41">
        <v>21570</v>
      </c>
      <c r="O38" s="41">
        <v>307</v>
      </c>
      <c r="P38" s="51">
        <v>167</v>
      </c>
    </row>
    <row r="39" spans="1:16">
      <c r="A39" s="44" t="s">
        <v>349</v>
      </c>
      <c r="B39" s="35">
        <v>227</v>
      </c>
      <c r="C39" s="42" t="s">
        <v>90</v>
      </c>
      <c r="D39" s="50">
        <v>4164420</v>
      </c>
      <c r="E39" s="50">
        <v>110532</v>
      </c>
      <c r="F39" s="41">
        <v>655153</v>
      </c>
      <c r="G39" s="41">
        <v>345365</v>
      </c>
      <c r="H39" s="41">
        <v>0</v>
      </c>
      <c r="I39" s="41">
        <v>61846</v>
      </c>
      <c r="J39" s="41">
        <v>0</v>
      </c>
      <c r="K39" s="41">
        <v>2149</v>
      </c>
      <c r="L39" s="41">
        <v>0</v>
      </c>
      <c r="M39" s="41">
        <v>2149</v>
      </c>
      <c r="N39" s="41">
        <v>3543</v>
      </c>
      <c r="O39" s="41">
        <v>231</v>
      </c>
      <c r="P39" s="51">
        <v>92</v>
      </c>
    </row>
    <row r="40" spans="1:16">
      <c r="A40" s="37"/>
      <c r="B40" s="35">
        <v>229</v>
      </c>
      <c r="C40" s="42" t="s">
        <v>23</v>
      </c>
      <c r="D40" s="50">
        <v>247410819</v>
      </c>
      <c r="E40" s="50">
        <v>658833</v>
      </c>
      <c r="F40" s="41">
        <v>14269149.74</v>
      </c>
      <c r="G40" s="41">
        <v>41965928</v>
      </c>
      <c r="H40" s="41">
        <v>5216654</v>
      </c>
      <c r="I40" s="41">
        <v>340546</v>
      </c>
      <c r="J40" s="41">
        <v>30806</v>
      </c>
      <c r="K40" s="41">
        <v>29746139</v>
      </c>
      <c r="L40" s="41">
        <v>0</v>
      </c>
      <c r="M40" s="41">
        <v>29746139</v>
      </c>
      <c r="N40" s="41">
        <v>1505859</v>
      </c>
      <c r="O40" s="41">
        <v>14768</v>
      </c>
      <c r="P40" s="51">
        <v>6663</v>
      </c>
    </row>
    <row r="41" spans="1:16">
      <c r="A41" s="37"/>
      <c r="B41" s="35">
        <v>230</v>
      </c>
      <c r="C41" s="42" t="s">
        <v>24</v>
      </c>
      <c r="D41" s="50">
        <v>28028186</v>
      </c>
      <c r="E41" s="50">
        <v>218215</v>
      </c>
      <c r="F41" s="41">
        <v>430068</v>
      </c>
      <c r="G41" s="41">
        <v>3810929</v>
      </c>
      <c r="H41" s="41">
        <v>757820</v>
      </c>
      <c r="I41" s="41">
        <v>183017</v>
      </c>
      <c r="J41" s="41">
        <v>0</v>
      </c>
      <c r="K41" s="41">
        <v>2125599</v>
      </c>
      <c r="L41" s="41">
        <v>0</v>
      </c>
      <c r="M41" s="41">
        <v>2125599</v>
      </c>
      <c r="N41" s="41">
        <v>26137</v>
      </c>
      <c r="O41" s="41">
        <v>1555</v>
      </c>
      <c r="P41" s="51">
        <v>2053</v>
      </c>
    </row>
    <row r="42" spans="1:16">
      <c r="A42" s="37"/>
      <c r="B42" s="35">
        <v>231</v>
      </c>
      <c r="C42" s="42" t="s">
        <v>25</v>
      </c>
      <c r="D42" s="50">
        <v>57050970</v>
      </c>
      <c r="E42" s="50">
        <v>1223108</v>
      </c>
      <c r="F42" s="41">
        <v>3747688</v>
      </c>
      <c r="G42" s="41">
        <v>11399195</v>
      </c>
      <c r="H42" s="41">
        <v>1243765</v>
      </c>
      <c r="I42" s="41">
        <v>412869</v>
      </c>
      <c r="J42" s="41">
        <v>0</v>
      </c>
      <c r="K42" s="41">
        <v>7033419</v>
      </c>
      <c r="L42" s="41">
        <v>0</v>
      </c>
      <c r="M42" s="41">
        <v>7033419</v>
      </c>
      <c r="N42" s="41">
        <v>270804</v>
      </c>
      <c r="O42" s="41">
        <v>3712</v>
      </c>
      <c r="P42" s="51">
        <v>1330</v>
      </c>
    </row>
    <row r="43" spans="1:16">
      <c r="A43" s="37"/>
      <c r="B43" s="35">
        <v>232</v>
      </c>
      <c r="C43" s="42" t="s">
        <v>26</v>
      </c>
      <c r="D43" s="50">
        <v>70741971</v>
      </c>
      <c r="E43" s="50">
        <v>360742</v>
      </c>
      <c r="F43" s="41">
        <v>2210790</v>
      </c>
      <c r="G43" s="41">
        <v>16010332</v>
      </c>
      <c r="H43" s="41">
        <v>1620626</v>
      </c>
      <c r="I43" s="41">
        <v>148872</v>
      </c>
      <c r="J43" s="41">
        <v>17992</v>
      </c>
      <c r="K43" s="41">
        <v>6536322</v>
      </c>
      <c r="L43" s="41">
        <v>0</v>
      </c>
      <c r="M43" s="41">
        <v>6536322</v>
      </c>
      <c r="N43" s="41">
        <v>259117</v>
      </c>
      <c r="O43" s="41">
        <v>4926</v>
      </c>
      <c r="P43" s="51">
        <v>1742</v>
      </c>
    </row>
    <row r="44" spans="1:16">
      <c r="A44" s="37"/>
      <c r="B44" s="35">
        <v>233</v>
      </c>
      <c r="C44" s="42" t="s">
        <v>27</v>
      </c>
      <c r="D44" s="50">
        <v>280212690</v>
      </c>
      <c r="E44" s="50">
        <v>4897040</v>
      </c>
      <c r="F44" s="41">
        <v>3475490</v>
      </c>
      <c r="G44" s="41">
        <v>42372540</v>
      </c>
      <c r="H44" s="41">
        <v>9165610</v>
      </c>
      <c r="I44" s="41">
        <v>2217996</v>
      </c>
      <c r="J44" s="41">
        <v>138591</v>
      </c>
      <c r="K44" s="41">
        <v>33953344</v>
      </c>
      <c r="L44" s="41">
        <v>0</v>
      </c>
      <c r="M44" s="41">
        <v>33953344</v>
      </c>
      <c r="N44" s="41">
        <v>2482521</v>
      </c>
      <c r="O44" s="41">
        <v>19530</v>
      </c>
      <c r="P44" s="51">
        <v>7835</v>
      </c>
    </row>
    <row r="45" spans="1:16">
      <c r="A45" s="37"/>
      <c r="B45" s="35">
        <v>234</v>
      </c>
      <c r="C45" s="42" t="s">
        <v>28</v>
      </c>
      <c r="D45" s="50">
        <v>16714855</v>
      </c>
      <c r="E45" s="50">
        <v>963216</v>
      </c>
      <c r="F45" s="41">
        <v>537363</v>
      </c>
      <c r="G45" s="41">
        <v>1057041</v>
      </c>
      <c r="H45" s="41">
        <v>630903</v>
      </c>
      <c r="I45" s="41">
        <v>803285</v>
      </c>
      <c r="J45" s="41">
        <v>0</v>
      </c>
      <c r="K45" s="41">
        <v>1335376</v>
      </c>
      <c r="L45" s="41">
        <v>0</v>
      </c>
      <c r="M45" s="41">
        <v>1335376</v>
      </c>
      <c r="N45" s="41">
        <v>9645</v>
      </c>
      <c r="O45" s="41">
        <v>1406</v>
      </c>
      <c r="P45" s="51">
        <v>567</v>
      </c>
    </row>
    <row r="46" spans="1:16">
      <c r="A46" s="44" t="s">
        <v>363</v>
      </c>
      <c r="B46" s="35">
        <v>235</v>
      </c>
      <c r="C46" s="42" t="s">
        <v>91</v>
      </c>
      <c r="D46" s="50">
        <v>4824177</v>
      </c>
      <c r="E46" s="50">
        <v>156190</v>
      </c>
      <c r="F46" s="41">
        <v>446675</v>
      </c>
      <c r="G46" s="41">
        <v>154070</v>
      </c>
      <c r="H46" s="41">
        <v>0</v>
      </c>
      <c r="I46" s="41">
        <v>121343</v>
      </c>
      <c r="J46" s="41">
        <v>0</v>
      </c>
      <c r="K46" s="41">
        <v>36029</v>
      </c>
      <c r="L46" s="41">
        <v>0</v>
      </c>
      <c r="M46" s="41">
        <v>36029</v>
      </c>
      <c r="N46" s="41">
        <v>9458</v>
      </c>
      <c r="O46" s="41">
        <v>318</v>
      </c>
      <c r="P46" s="51">
        <v>157</v>
      </c>
    </row>
    <row r="47" spans="1:16">
      <c r="A47" s="44" t="s">
        <v>353</v>
      </c>
      <c r="B47" s="35">
        <v>237</v>
      </c>
      <c r="C47" s="42" t="s">
        <v>92</v>
      </c>
      <c r="D47" s="50">
        <v>5204512</v>
      </c>
      <c r="E47" s="50">
        <v>130488</v>
      </c>
      <c r="F47" s="41">
        <v>1045309</v>
      </c>
      <c r="G47" s="41">
        <v>0</v>
      </c>
      <c r="H47" s="41">
        <v>0</v>
      </c>
      <c r="I47" s="41">
        <v>118879</v>
      </c>
      <c r="J47" s="41">
        <v>0</v>
      </c>
      <c r="K47" s="41">
        <v>38745</v>
      </c>
      <c r="L47" s="41">
        <v>0</v>
      </c>
      <c r="M47" s="41">
        <v>38745</v>
      </c>
      <c r="N47" s="41">
        <v>0</v>
      </c>
      <c r="O47" s="41">
        <v>257</v>
      </c>
      <c r="P47" s="51">
        <v>172</v>
      </c>
    </row>
    <row r="48" spans="1:16">
      <c r="A48" s="44" t="s">
        <v>355</v>
      </c>
      <c r="B48" s="35">
        <v>239</v>
      </c>
      <c r="C48" s="42" t="s">
        <v>93</v>
      </c>
      <c r="D48" s="50">
        <v>6167547</v>
      </c>
      <c r="E48" s="50">
        <v>160941</v>
      </c>
      <c r="F48" s="41">
        <v>305501</v>
      </c>
      <c r="G48" s="41">
        <v>354015</v>
      </c>
      <c r="H48" s="41">
        <v>0</v>
      </c>
      <c r="I48" s="41">
        <v>95946</v>
      </c>
      <c r="J48" s="41">
        <v>0</v>
      </c>
      <c r="K48" s="41">
        <v>202686</v>
      </c>
      <c r="L48" s="41">
        <v>0</v>
      </c>
      <c r="M48" s="41">
        <v>202686</v>
      </c>
      <c r="N48" s="41">
        <v>0</v>
      </c>
      <c r="O48" s="41">
        <v>397</v>
      </c>
      <c r="P48" s="51">
        <v>230</v>
      </c>
    </row>
    <row r="49" spans="1:16">
      <c r="A49" s="44" t="s">
        <v>355</v>
      </c>
      <c r="B49" s="35">
        <v>240</v>
      </c>
      <c r="C49" s="42" t="s">
        <v>94</v>
      </c>
      <c r="D49" s="50">
        <v>6524508</v>
      </c>
      <c r="E49" s="50">
        <v>142998</v>
      </c>
      <c r="F49" s="41">
        <v>216432</v>
      </c>
      <c r="G49" s="41">
        <v>522932</v>
      </c>
      <c r="H49" s="41">
        <v>0</v>
      </c>
      <c r="I49" s="41">
        <v>86385</v>
      </c>
      <c r="J49" s="41">
        <v>0</v>
      </c>
      <c r="K49" s="41">
        <v>98255</v>
      </c>
      <c r="L49" s="41">
        <v>0</v>
      </c>
      <c r="M49" s="41">
        <v>98255</v>
      </c>
      <c r="N49" s="41">
        <v>0</v>
      </c>
      <c r="O49" s="41">
        <v>427</v>
      </c>
      <c r="P49" s="51">
        <v>212</v>
      </c>
    </row>
    <row r="50" spans="1:16">
      <c r="A50" s="44" t="s">
        <v>350</v>
      </c>
      <c r="B50" s="35">
        <v>241</v>
      </c>
      <c r="C50" s="42" t="s">
        <v>95</v>
      </c>
      <c r="D50" s="50">
        <v>2255334</v>
      </c>
      <c r="E50" s="50">
        <v>36690</v>
      </c>
      <c r="F50" s="41">
        <v>146123</v>
      </c>
      <c r="G50" s="41">
        <v>229218</v>
      </c>
      <c r="H50" s="41">
        <v>0</v>
      </c>
      <c r="I50" s="41">
        <v>52577</v>
      </c>
      <c r="J50" s="41">
        <v>0</v>
      </c>
      <c r="K50" s="41">
        <v>8</v>
      </c>
      <c r="L50" s="41">
        <v>0</v>
      </c>
      <c r="M50" s="41">
        <v>8</v>
      </c>
      <c r="N50" s="41">
        <v>0</v>
      </c>
      <c r="O50" s="41">
        <v>141</v>
      </c>
      <c r="P50" s="51">
        <v>58</v>
      </c>
    </row>
    <row r="51" spans="1:16">
      <c r="A51" s="44" t="s">
        <v>350</v>
      </c>
      <c r="B51" s="35">
        <v>242</v>
      </c>
      <c r="C51" s="42" t="s">
        <v>96</v>
      </c>
      <c r="D51" s="50">
        <v>1349297</v>
      </c>
      <c r="E51" s="50">
        <v>53163</v>
      </c>
      <c r="F51" s="41">
        <v>61759</v>
      </c>
      <c r="G51" s="41">
        <v>0</v>
      </c>
      <c r="H51" s="41">
        <v>0</v>
      </c>
      <c r="I51" s="41">
        <v>29028</v>
      </c>
      <c r="J51" s="41">
        <v>0</v>
      </c>
      <c r="K51" s="41">
        <v>0</v>
      </c>
      <c r="L51" s="41">
        <v>0</v>
      </c>
      <c r="M51" s="41">
        <v>0</v>
      </c>
      <c r="N51" s="41">
        <v>20063</v>
      </c>
      <c r="O51" s="41">
        <v>69</v>
      </c>
      <c r="P51" s="51">
        <v>44</v>
      </c>
    </row>
    <row r="52" spans="1:16">
      <c r="A52" s="44" t="s">
        <v>364</v>
      </c>
      <c r="B52" s="35">
        <v>243</v>
      </c>
      <c r="C52" s="42" t="s">
        <v>97</v>
      </c>
      <c r="D52" s="50">
        <v>5771267</v>
      </c>
      <c r="E52" s="50">
        <v>97690</v>
      </c>
      <c r="F52" s="41">
        <v>185017</v>
      </c>
      <c r="G52" s="41">
        <v>407488</v>
      </c>
      <c r="H52" s="41">
        <v>0</v>
      </c>
      <c r="I52" s="41">
        <v>97690</v>
      </c>
      <c r="J52" s="41">
        <v>0</v>
      </c>
      <c r="K52" s="41">
        <v>470525</v>
      </c>
      <c r="L52" s="41">
        <v>0</v>
      </c>
      <c r="M52" s="41">
        <v>470525</v>
      </c>
      <c r="N52" s="41">
        <v>0</v>
      </c>
      <c r="O52" s="41">
        <v>354</v>
      </c>
      <c r="P52" s="51">
        <v>181</v>
      </c>
    </row>
    <row r="53" spans="1:16">
      <c r="A53" s="44" t="s">
        <v>364</v>
      </c>
      <c r="B53" s="35">
        <v>244</v>
      </c>
      <c r="C53" s="42" t="s">
        <v>98</v>
      </c>
      <c r="D53" s="50">
        <v>9779924</v>
      </c>
      <c r="E53" s="50">
        <v>167715</v>
      </c>
      <c r="F53" s="41">
        <v>1048278</v>
      </c>
      <c r="G53" s="41">
        <v>0</v>
      </c>
      <c r="H53" s="41">
        <v>548995</v>
      </c>
      <c r="I53" s="41">
        <v>105272</v>
      </c>
      <c r="J53" s="41">
        <v>0</v>
      </c>
      <c r="K53" s="41">
        <v>1496515</v>
      </c>
      <c r="L53" s="41">
        <v>424094</v>
      </c>
      <c r="M53" s="41">
        <v>1920609</v>
      </c>
      <c r="N53" s="41">
        <v>0</v>
      </c>
      <c r="O53" s="41">
        <v>623</v>
      </c>
      <c r="P53" s="51">
        <v>253</v>
      </c>
    </row>
    <row r="54" spans="1:16">
      <c r="A54" s="44" t="s">
        <v>364</v>
      </c>
      <c r="B54" s="35">
        <v>245</v>
      </c>
      <c r="C54" s="42" t="s">
        <v>99</v>
      </c>
      <c r="D54" s="50">
        <v>2839411</v>
      </c>
      <c r="E54" s="50">
        <v>65443</v>
      </c>
      <c r="F54" s="41">
        <v>1598</v>
      </c>
      <c r="G54" s="41">
        <v>0</v>
      </c>
      <c r="H54" s="41">
        <v>0</v>
      </c>
      <c r="I54" s="41">
        <v>50020</v>
      </c>
      <c r="J54" s="41">
        <v>0</v>
      </c>
      <c r="K54" s="41">
        <v>395077</v>
      </c>
      <c r="L54" s="41">
        <v>0</v>
      </c>
      <c r="M54" s="41">
        <v>395077</v>
      </c>
      <c r="N54" s="41">
        <v>0</v>
      </c>
      <c r="O54" s="41">
        <v>159</v>
      </c>
      <c r="P54" s="51">
        <v>75</v>
      </c>
    </row>
    <row r="55" spans="1:16">
      <c r="A55" s="44" t="s">
        <v>363</v>
      </c>
      <c r="B55" s="35">
        <v>246</v>
      </c>
      <c r="C55" s="42" t="s">
        <v>100</v>
      </c>
      <c r="D55" s="50">
        <v>5748362</v>
      </c>
      <c r="E55" s="50">
        <v>335833</v>
      </c>
      <c r="F55" s="41">
        <v>81280</v>
      </c>
      <c r="G55" s="41">
        <v>348378</v>
      </c>
      <c r="H55" s="41">
        <v>0</v>
      </c>
      <c r="I55" s="41">
        <v>268559</v>
      </c>
      <c r="J55" s="41">
        <v>0</v>
      </c>
      <c r="K55" s="41">
        <v>115615</v>
      </c>
      <c r="L55" s="41">
        <v>0</v>
      </c>
      <c r="M55" s="41">
        <v>115615</v>
      </c>
      <c r="N55" s="41">
        <v>0</v>
      </c>
      <c r="O55" s="41">
        <v>398</v>
      </c>
      <c r="P55" s="51">
        <v>171</v>
      </c>
    </row>
    <row r="56" spans="1:16">
      <c r="A56" s="44" t="s">
        <v>363</v>
      </c>
      <c r="B56" s="35">
        <v>247</v>
      </c>
      <c r="C56" s="42" t="s">
        <v>101</v>
      </c>
      <c r="D56" s="50">
        <v>7126296</v>
      </c>
      <c r="E56" s="50">
        <v>944700</v>
      </c>
      <c r="F56" s="41">
        <v>568960</v>
      </c>
      <c r="G56" s="41">
        <v>0</v>
      </c>
      <c r="H56" s="41">
        <v>0</v>
      </c>
      <c r="I56" s="41">
        <v>222424</v>
      </c>
      <c r="J56" s="41">
        <v>0</v>
      </c>
      <c r="K56" s="41">
        <v>210784</v>
      </c>
      <c r="L56" s="41">
        <v>0</v>
      </c>
      <c r="M56" s="41">
        <v>210784</v>
      </c>
      <c r="N56" s="41">
        <v>0</v>
      </c>
      <c r="O56" s="41">
        <v>518</v>
      </c>
      <c r="P56" s="51">
        <v>215</v>
      </c>
    </row>
    <row r="57" spans="1:16">
      <c r="A57" s="44" t="s">
        <v>363</v>
      </c>
      <c r="B57" s="35">
        <v>248</v>
      </c>
      <c r="C57" s="42" t="s">
        <v>102</v>
      </c>
      <c r="D57" s="50">
        <v>9810023</v>
      </c>
      <c r="E57" s="50">
        <v>410712</v>
      </c>
      <c r="F57" s="41">
        <v>1674722</v>
      </c>
      <c r="G57" s="41">
        <v>0</v>
      </c>
      <c r="H57" s="41">
        <v>0</v>
      </c>
      <c r="I57" s="41">
        <v>256028</v>
      </c>
      <c r="J57" s="41">
        <v>0</v>
      </c>
      <c r="K57" s="41">
        <v>78831</v>
      </c>
      <c r="L57" s="41">
        <v>0</v>
      </c>
      <c r="M57" s="41">
        <v>78831</v>
      </c>
      <c r="N57" s="41">
        <v>0</v>
      </c>
      <c r="O57" s="41">
        <v>719</v>
      </c>
      <c r="P57" s="51">
        <v>340</v>
      </c>
    </row>
    <row r="58" spans="1:16">
      <c r="A58" s="44" t="s">
        <v>363</v>
      </c>
      <c r="B58" s="35">
        <v>249</v>
      </c>
      <c r="C58" s="42" t="s">
        <v>103</v>
      </c>
      <c r="D58" s="50">
        <v>8274151</v>
      </c>
      <c r="E58" s="50">
        <v>143129</v>
      </c>
      <c r="F58" s="41">
        <v>1066359</v>
      </c>
      <c r="G58" s="41">
        <v>354074</v>
      </c>
      <c r="H58" s="41">
        <v>0</v>
      </c>
      <c r="I58" s="41">
        <v>120374</v>
      </c>
      <c r="J58" s="41">
        <v>0</v>
      </c>
      <c r="K58" s="41">
        <v>37474</v>
      </c>
      <c r="L58" s="41">
        <v>0</v>
      </c>
      <c r="M58" s="41">
        <v>37474</v>
      </c>
      <c r="N58" s="41">
        <v>0</v>
      </c>
      <c r="O58" s="41">
        <v>665</v>
      </c>
      <c r="P58" s="51">
        <v>235</v>
      </c>
    </row>
    <row r="59" spans="1:16">
      <c r="A59" s="44" t="s">
        <v>363</v>
      </c>
      <c r="B59" s="35">
        <v>250</v>
      </c>
      <c r="C59" s="42" t="s">
        <v>104</v>
      </c>
      <c r="D59" s="50">
        <v>24648744</v>
      </c>
      <c r="E59" s="50">
        <v>1910102</v>
      </c>
      <c r="F59" s="41">
        <v>487275</v>
      </c>
      <c r="G59" s="41">
        <v>1999650</v>
      </c>
      <c r="H59" s="41">
        <v>0</v>
      </c>
      <c r="I59" s="41">
        <v>1398249</v>
      </c>
      <c r="J59" s="41">
        <v>16983</v>
      </c>
      <c r="K59" s="41">
        <v>341431</v>
      </c>
      <c r="L59" s="41">
        <v>0</v>
      </c>
      <c r="M59" s="41">
        <v>341431</v>
      </c>
      <c r="N59" s="41">
        <v>298159</v>
      </c>
      <c r="O59" s="41">
        <v>1947</v>
      </c>
      <c r="P59" s="51">
        <v>818</v>
      </c>
    </row>
    <row r="60" spans="1:16">
      <c r="A60" s="44" t="s">
        <v>365</v>
      </c>
      <c r="B60" s="35">
        <v>251</v>
      </c>
      <c r="C60" s="42" t="s">
        <v>105</v>
      </c>
      <c r="D60" s="50">
        <v>5263936</v>
      </c>
      <c r="E60" s="50">
        <v>147753</v>
      </c>
      <c r="F60" s="41">
        <v>330012</v>
      </c>
      <c r="G60" s="41">
        <v>0</v>
      </c>
      <c r="H60" s="41">
        <v>0</v>
      </c>
      <c r="I60" s="41">
        <v>99321</v>
      </c>
      <c r="J60" s="41">
        <v>0</v>
      </c>
      <c r="K60" s="41">
        <v>39064</v>
      </c>
      <c r="L60" s="41">
        <v>0</v>
      </c>
      <c r="M60" s="41">
        <v>39064</v>
      </c>
      <c r="N60" s="41">
        <v>0</v>
      </c>
      <c r="O60" s="41">
        <v>299</v>
      </c>
      <c r="P60" s="51">
        <v>155</v>
      </c>
    </row>
    <row r="61" spans="1:16">
      <c r="A61" s="44" t="s">
        <v>365</v>
      </c>
      <c r="B61" s="35">
        <v>252</v>
      </c>
      <c r="C61" s="42" t="s">
        <v>106</v>
      </c>
      <c r="D61" s="50">
        <v>6238921</v>
      </c>
      <c r="E61" s="50">
        <v>177793</v>
      </c>
      <c r="F61" s="41">
        <v>798276</v>
      </c>
      <c r="G61" s="41">
        <v>790319</v>
      </c>
      <c r="H61" s="41">
        <v>0</v>
      </c>
      <c r="I61" s="41">
        <v>103842</v>
      </c>
      <c r="J61" s="41">
        <v>0</v>
      </c>
      <c r="K61" s="41">
        <v>165743</v>
      </c>
      <c r="L61" s="41">
        <v>0</v>
      </c>
      <c r="M61" s="41">
        <v>165743</v>
      </c>
      <c r="N61" s="41">
        <v>0</v>
      </c>
      <c r="O61" s="41">
        <v>363</v>
      </c>
      <c r="P61" s="51">
        <v>181</v>
      </c>
    </row>
    <row r="62" spans="1:16">
      <c r="A62" s="44" t="s">
        <v>365</v>
      </c>
      <c r="B62" s="35">
        <v>253</v>
      </c>
      <c r="C62" s="42" t="s">
        <v>107</v>
      </c>
      <c r="D62" s="50">
        <v>44048387</v>
      </c>
      <c r="E62" s="50">
        <v>2558255</v>
      </c>
      <c r="F62" s="41">
        <v>2298430</v>
      </c>
      <c r="G62" s="41">
        <v>3739043</v>
      </c>
      <c r="H62" s="41">
        <v>2408647</v>
      </c>
      <c r="I62" s="41">
        <v>1651136</v>
      </c>
      <c r="J62" s="41">
        <v>135734</v>
      </c>
      <c r="K62" s="41">
        <v>283717</v>
      </c>
      <c r="L62" s="41">
        <v>5447328</v>
      </c>
      <c r="M62" s="41">
        <v>5731045</v>
      </c>
      <c r="N62" s="41">
        <v>1737081</v>
      </c>
      <c r="O62" s="41">
        <v>3130</v>
      </c>
      <c r="P62" s="51">
        <v>1470</v>
      </c>
    </row>
    <row r="63" spans="1:16">
      <c r="A63" s="44" t="s">
        <v>366</v>
      </c>
      <c r="B63" s="35">
        <v>254</v>
      </c>
      <c r="C63" s="42" t="s">
        <v>108</v>
      </c>
      <c r="D63" s="50">
        <v>5412120</v>
      </c>
      <c r="E63" s="50">
        <v>167922</v>
      </c>
      <c r="F63" s="41">
        <v>899620</v>
      </c>
      <c r="G63" s="41">
        <v>340375</v>
      </c>
      <c r="H63" s="41">
        <v>0</v>
      </c>
      <c r="I63" s="41">
        <v>74440</v>
      </c>
      <c r="J63" s="41">
        <v>0</v>
      </c>
      <c r="K63" s="41">
        <v>43040</v>
      </c>
      <c r="L63" s="41">
        <v>0</v>
      </c>
      <c r="M63" s="41">
        <v>43040</v>
      </c>
      <c r="N63" s="41">
        <v>0</v>
      </c>
      <c r="O63" s="41">
        <v>307</v>
      </c>
      <c r="P63" s="51">
        <v>160</v>
      </c>
    </row>
    <row r="64" spans="1:16">
      <c r="A64" s="44" t="s">
        <v>366</v>
      </c>
      <c r="B64" s="35">
        <v>255</v>
      </c>
      <c r="C64" s="42" t="s">
        <v>109</v>
      </c>
      <c r="D64" s="50">
        <v>2748467</v>
      </c>
      <c r="E64" s="50">
        <v>85719</v>
      </c>
      <c r="F64" s="41">
        <v>271285</v>
      </c>
      <c r="G64" s="41">
        <v>0</v>
      </c>
      <c r="H64" s="41">
        <v>0</v>
      </c>
      <c r="I64" s="41">
        <v>71548</v>
      </c>
      <c r="J64" s="41">
        <v>0</v>
      </c>
      <c r="K64" s="41">
        <v>11198</v>
      </c>
      <c r="L64" s="41">
        <v>0</v>
      </c>
      <c r="M64" s="41">
        <v>11198</v>
      </c>
      <c r="N64" s="41">
        <v>0</v>
      </c>
      <c r="O64" s="41">
        <v>163</v>
      </c>
      <c r="P64" s="51">
        <v>65</v>
      </c>
    </row>
    <row r="65" spans="1:16">
      <c r="A65" s="44" t="s">
        <v>348</v>
      </c>
      <c r="B65" s="35">
        <v>256</v>
      </c>
      <c r="C65" s="42" t="s">
        <v>110</v>
      </c>
      <c r="D65" s="50">
        <v>3554823</v>
      </c>
      <c r="E65" s="50">
        <v>139670</v>
      </c>
      <c r="F65" s="41">
        <v>149385</v>
      </c>
      <c r="G65" s="41">
        <v>187970</v>
      </c>
      <c r="H65" s="41">
        <v>0</v>
      </c>
      <c r="I65" s="41">
        <v>81351</v>
      </c>
      <c r="J65" s="41">
        <v>0</v>
      </c>
      <c r="K65" s="41">
        <v>66340</v>
      </c>
      <c r="L65" s="41">
        <v>0</v>
      </c>
      <c r="M65" s="41">
        <v>66340</v>
      </c>
      <c r="N65" s="41">
        <v>0</v>
      </c>
      <c r="O65" s="41">
        <v>229</v>
      </c>
      <c r="P65" s="51">
        <v>126</v>
      </c>
    </row>
    <row r="66" spans="1:16">
      <c r="A66" s="44" t="s">
        <v>348</v>
      </c>
      <c r="B66" s="35">
        <v>257</v>
      </c>
      <c r="C66" s="42" t="s">
        <v>111</v>
      </c>
      <c r="D66" s="50">
        <v>11904480</v>
      </c>
      <c r="E66" s="50">
        <v>927435</v>
      </c>
      <c r="F66" s="41">
        <v>669265</v>
      </c>
      <c r="G66" s="41">
        <v>0</v>
      </c>
      <c r="H66" s="41">
        <v>0</v>
      </c>
      <c r="I66" s="41">
        <v>532386</v>
      </c>
      <c r="J66" s="41">
        <v>0</v>
      </c>
      <c r="K66" s="41">
        <v>202266</v>
      </c>
      <c r="L66" s="41">
        <v>0</v>
      </c>
      <c r="M66" s="41">
        <v>202266</v>
      </c>
      <c r="N66" s="41">
        <v>0</v>
      </c>
      <c r="O66" s="41">
        <v>943</v>
      </c>
      <c r="P66" s="51">
        <v>389</v>
      </c>
    </row>
    <row r="67" spans="1:16">
      <c r="A67" s="44" t="s">
        <v>348</v>
      </c>
      <c r="B67" s="35">
        <v>258</v>
      </c>
      <c r="C67" s="42" t="s">
        <v>112</v>
      </c>
      <c r="D67" s="50">
        <v>5626952</v>
      </c>
      <c r="E67" s="50">
        <v>263785</v>
      </c>
      <c r="F67" s="41">
        <v>131542</v>
      </c>
      <c r="G67" s="41">
        <v>787577</v>
      </c>
      <c r="H67" s="41">
        <v>0</v>
      </c>
      <c r="I67" s="41">
        <v>128010</v>
      </c>
      <c r="J67" s="41">
        <v>0</v>
      </c>
      <c r="K67" s="41">
        <v>5038</v>
      </c>
      <c r="L67" s="41">
        <v>0</v>
      </c>
      <c r="M67" s="41">
        <v>5038</v>
      </c>
      <c r="N67" s="41">
        <v>0</v>
      </c>
      <c r="O67" s="41">
        <v>388</v>
      </c>
      <c r="P67" s="51">
        <v>183</v>
      </c>
    </row>
    <row r="68" spans="1:16">
      <c r="A68" s="37"/>
      <c r="B68" s="35">
        <v>259</v>
      </c>
      <c r="C68" s="42" t="s">
        <v>29</v>
      </c>
      <c r="D68" s="50">
        <v>544948840</v>
      </c>
      <c r="E68" s="50">
        <v>38214883</v>
      </c>
      <c r="F68" s="41">
        <v>44848559</v>
      </c>
      <c r="G68" s="41">
        <v>45595357</v>
      </c>
      <c r="H68" s="41">
        <v>17187209</v>
      </c>
      <c r="I68" s="41">
        <v>25769412</v>
      </c>
      <c r="J68" s="41">
        <v>765087</v>
      </c>
      <c r="K68" s="41">
        <v>70145127</v>
      </c>
      <c r="L68" s="41">
        <v>0</v>
      </c>
      <c r="M68" s="41">
        <v>70145127</v>
      </c>
      <c r="N68" s="41">
        <v>10727995</v>
      </c>
      <c r="O68" s="41">
        <v>35976</v>
      </c>
      <c r="P68" s="51">
        <v>13597</v>
      </c>
    </row>
    <row r="69" spans="1:16">
      <c r="A69" s="37"/>
      <c r="B69" s="35">
        <v>260</v>
      </c>
      <c r="C69" s="42" t="s">
        <v>30</v>
      </c>
      <c r="D69" s="50">
        <v>60441828</v>
      </c>
      <c r="E69" s="50">
        <v>1354053</v>
      </c>
      <c r="F69" s="41">
        <v>5002215</v>
      </c>
      <c r="G69" s="41">
        <v>3754676</v>
      </c>
      <c r="H69" s="41">
        <v>1983119</v>
      </c>
      <c r="I69" s="41">
        <v>1087197</v>
      </c>
      <c r="J69" s="41">
        <v>69196</v>
      </c>
      <c r="K69" s="41">
        <v>6968616</v>
      </c>
      <c r="L69" s="41">
        <v>0</v>
      </c>
      <c r="M69" s="41">
        <v>6968616</v>
      </c>
      <c r="N69" s="41">
        <v>836215</v>
      </c>
      <c r="O69" s="41">
        <v>4872</v>
      </c>
      <c r="P69" s="51">
        <v>1881</v>
      </c>
    </row>
    <row r="70" spans="1:16">
      <c r="A70" s="37"/>
      <c r="B70" s="35">
        <v>261</v>
      </c>
      <c r="C70" s="42" t="s">
        <v>31</v>
      </c>
      <c r="D70" s="50">
        <v>49117521</v>
      </c>
      <c r="E70" s="50">
        <v>933460</v>
      </c>
      <c r="F70" s="41">
        <v>3020936</v>
      </c>
      <c r="G70" s="41">
        <v>4465218</v>
      </c>
      <c r="H70" s="41">
        <v>1497993</v>
      </c>
      <c r="I70" s="41">
        <v>543743</v>
      </c>
      <c r="J70" s="41">
        <v>13200</v>
      </c>
      <c r="K70" s="41">
        <v>6509808</v>
      </c>
      <c r="L70" s="41">
        <v>0</v>
      </c>
      <c r="M70" s="41">
        <v>6509808</v>
      </c>
      <c r="N70" s="41">
        <v>183207</v>
      </c>
      <c r="O70" s="41">
        <v>3607</v>
      </c>
      <c r="P70" s="51">
        <v>1660</v>
      </c>
    </row>
    <row r="71" spans="1:16">
      <c r="A71" s="44" t="s">
        <v>367</v>
      </c>
      <c r="B71" s="35">
        <v>262</v>
      </c>
      <c r="C71" s="42" t="s">
        <v>113</v>
      </c>
      <c r="D71" s="50">
        <v>23776242</v>
      </c>
      <c r="E71" s="50">
        <v>620085</v>
      </c>
      <c r="F71" s="41">
        <v>1536358</v>
      </c>
      <c r="G71" s="41">
        <v>4901345</v>
      </c>
      <c r="H71" s="41">
        <v>0</v>
      </c>
      <c r="I71" s="41">
        <v>263346</v>
      </c>
      <c r="J71" s="41">
        <v>0</v>
      </c>
      <c r="K71" s="41">
        <v>453807</v>
      </c>
      <c r="L71" s="41">
        <v>0</v>
      </c>
      <c r="M71" s="41">
        <v>453807</v>
      </c>
      <c r="N71" s="41">
        <v>88809</v>
      </c>
      <c r="O71" s="41">
        <v>1838</v>
      </c>
      <c r="P71" s="51">
        <v>849</v>
      </c>
    </row>
    <row r="72" spans="1:16">
      <c r="A72" s="37"/>
      <c r="B72" s="35">
        <v>263</v>
      </c>
      <c r="C72" s="42" t="s">
        <v>32</v>
      </c>
      <c r="D72" s="50">
        <v>17186215</v>
      </c>
      <c r="E72" s="50">
        <v>375332</v>
      </c>
      <c r="F72" s="41">
        <v>982829</v>
      </c>
      <c r="G72" s="41">
        <v>1577705</v>
      </c>
      <c r="H72" s="41">
        <v>520757</v>
      </c>
      <c r="I72" s="41">
        <v>254870</v>
      </c>
      <c r="J72" s="41">
        <v>0</v>
      </c>
      <c r="K72" s="41">
        <v>1831768</v>
      </c>
      <c r="L72" s="41">
        <v>0</v>
      </c>
      <c r="M72" s="41">
        <v>1831768</v>
      </c>
      <c r="N72" s="41">
        <v>2887</v>
      </c>
      <c r="O72" s="41">
        <v>1232</v>
      </c>
      <c r="P72" s="51">
        <v>673</v>
      </c>
    </row>
    <row r="73" spans="1:16">
      <c r="A73" s="44" t="s">
        <v>367</v>
      </c>
      <c r="B73" s="35">
        <v>264</v>
      </c>
      <c r="C73" s="42" t="s">
        <v>114</v>
      </c>
      <c r="D73" s="50">
        <v>11613572</v>
      </c>
      <c r="E73" s="50">
        <v>355608</v>
      </c>
      <c r="F73" s="41">
        <v>1299687</v>
      </c>
      <c r="G73" s="41">
        <v>1123869</v>
      </c>
      <c r="H73" s="41">
        <v>0</v>
      </c>
      <c r="I73" s="41">
        <v>104534</v>
      </c>
      <c r="J73" s="41">
        <v>0</v>
      </c>
      <c r="K73" s="41">
        <v>113224</v>
      </c>
      <c r="L73" s="41">
        <v>0</v>
      </c>
      <c r="M73" s="41">
        <v>113224</v>
      </c>
      <c r="N73" s="41">
        <v>0</v>
      </c>
      <c r="O73" s="41">
        <v>782</v>
      </c>
      <c r="P73" s="51">
        <v>520</v>
      </c>
    </row>
    <row r="74" spans="1:16">
      <c r="A74" s="44" t="s">
        <v>367</v>
      </c>
      <c r="B74" s="35">
        <v>265</v>
      </c>
      <c r="C74" s="42" t="s">
        <v>115</v>
      </c>
      <c r="D74" s="50">
        <v>52623505</v>
      </c>
      <c r="E74" s="50">
        <v>486013</v>
      </c>
      <c r="F74" s="41">
        <v>3610923</v>
      </c>
      <c r="G74" s="41">
        <v>12693150</v>
      </c>
      <c r="H74" s="41">
        <v>0</v>
      </c>
      <c r="I74" s="41">
        <v>277552</v>
      </c>
      <c r="J74" s="41">
        <v>16155</v>
      </c>
      <c r="K74" s="41">
        <v>284827</v>
      </c>
      <c r="L74" s="41">
        <v>0</v>
      </c>
      <c r="M74" s="41">
        <v>284827</v>
      </c>
      <c r="N74" s="41">
        <v>123756</v>
      </c>
      <c r="O74" s="41">
        <v>3569</v>
      </c>
      <c r="P74" s="51">
        <v>1612</v>
      </c>
    </row>
    <row r="75" spans="1:16">
      <c r="A75" s="44" t="s">
        <v>367</v>
      </c>
      <c r="B75" s="35">
        <v>266</v>
      </c>
      <c r="C75" s="42" t="s">
        <v>116</v>
      </c>
      <c r="D75" s="50">
        <v>58279784</v>
      </c>
      <c r="E75" s="50">
        <v>268552</v>
      </c>
      <c r="F75" s="41">
        <v>7472307</v>
      </c>
      <c r="G75" s="41">
        <v>7494635</v>
      </c>
      <c r="H75" s="41">
        <v>0</v>
      </c>
      <c r="I75" s="41">
        <v>159945</v>
      </c>
      <c r="J75" s="41">
        <v>10509</v>
      </c>
      <c r="K75" s="41">
        <v>485934</v>
      </c>
      <c r="L75" s="41">
        <v>0</v>
      </c>
      <c r="M75" s="41">
        <v>485934</v>
      </c>
      <c r="N75" s="41">
        <v>172518</v>
      </c>
      <c r="O75" s="41">
        <v>4477</v>
      </c>
      <c r="P75" s="51">
        <v>2159</v>
      </c>
    </row>
    <row r="76" spans="1:16">
      <c r="A76" s="44" t="s">
        <v>367</v>
      </c>
      <c r="B76" s="35">
        <v>267</v>
      </c>
      <c r="C76" s="42" t="s">
        <v>117</v>
      </c>
      <c r="D76" s="50">
        <v>16437387</v>
      </c>
      <c r="E76" s="50">
        <v>192105</v>
      </c>
      <c r="F76" s="41">
        <v>944728</v>
      </c>
      <c r="G76" s="41">
        <v>2549196</v>
      </c>
      <c r="H76" s="41">
        <v>0</v>
      </c>
      <c r="I76" s="41">
        <v>135031</v>
      </c>
      <c r="J76" s="41">
        <v>0</v>
      </c>
      <c r="K76" s="41">
        <v>162480</v>
      </c>
      <c r="L76" s="41">
        <v>0</v>
      </c>
      <c r="M76" s="41">
        <v>162480</v>
      </c>
      <c r="N76" s="41">
        <v>0</v>
      </c>
      <c r="O76" s="41">
        <v>1338</v>
      </c>
      <c r="P76" s="51">
        <v>647</v>
      </c>
    </row>
    <row r="77" spans="1:16">
      <c r="A77" s="44" t="s">
        <v>367</v>
      </c>
      <c r="B77" s="35">
        <v>268</v>
      </c>
      <c r="C77" s="42" t="s">
        <v>118</v>
      </c>
      <c r="D77" s="50">
        <v>7487761</v>
      </c>
      <c r="E77" s="50">
        <v>80626</v>
      </c>
      <c r="F77" s="41">
        <v>404461</v>
      </c>
      <c r="G77" s="41">
        <v>646110</v>
      </c>
      <c r="H77" s="41">
        <v>0</v>
      </c>
      <c r="I77" s="41">
        <v>55400</v>
      </c>
      <c r="J77" s="41">
        <v>0</v>
      </c>
      <c r="K77" s="41">
        <v>81551</v>
      </c>
      <c r="L77" s="41">
        <v>0</v>
      </c>
      <c r="M77" s="41">
        <v>81551</v>
      </c>
      <c r="N77" s="41">
        <v>0</v>
      </c>
      <c r="O77" s="41">
        <v>543</v>
      </c>
      <c r="P77" s="51">
        <v>265</v>
      </c>
    </row>
    <row r="78" spans="1:16">
      <c r="A78" s="44" t="s">
        <v>353</v>
      </c>
      <c r="B78" s="35">
        <v>269</v>
      </c>
      <c r="C78" s="42" t="s">
        <v>119</v>
      </c>
      <c r="D78" s="50">
        <v>2269326</v>
      </c>
      <c r="E78" s="50">
        <v>89458</v>
      </c>
      <c r="F78" s="41">
        <v>266696</v>
      </c>
      <c r="G78" s="41">
        <v>0</v>
      </c>
      <c r="H78" s="41">
        <v>0</v>
      </c>
      <c r="I78" s="41">
        <v>42029</v>
      </c>
      <c r="J78" s="41">
        <v>0</v>
      </c>
      <c r="K78" s="41">
        <v>37210</v>
      </c>
      <c r="L78" s="41">
        <v>0</v>
      </c>
      <c r="M78" s="41">
        <v>37210</v>
      </c>
      <c r="N78" s="41">
        <v>0</v>
      </c>
      <c r="O78" s="41">
        <v>97</v>
      </c>
      <c r="P78" s="51">
        <v>53</v>
      </c>
    </row>
    <row r="79" spans="1:16">
      <c r="A79" s="44" t="s">
        <v>353</v>
      </c>
      <c r="B79" s="35">
        <v>270</v>
      </c>
      <c r="C79" s="42" t="s">
        <v>120</v>
      </c>
      <c r="D79" s="50">
        <v>4636445</v>
      </c>
      <c r="E79" s="50">
        <v>128273</v>
      </c>
      <c r="F79" s="41">
        <v>939955</v>
      </c>
      <c r="G79" s="41">
        <v>259070</v>
      </c>
      <c r="H79" s="41">
        <v>0</v>
      </c>
      <c r="I79" s="41">
        <v>66127</v>
      </c>
      <c r="J79" s="41">
        <v>0</v>
      </c>
      <c r="K79" s="41">
        <v>10160</v>
      </c>
      <c r="L79" s="41">
        <v>0</v>
      </c>
      <c r="M79" s="41">
        <v>10160</v>
      </c>
      <c r="N79" s="41">
        <v>0</v>
      </c>
      <c r="O79" s="41">
        <v>273</v>
      </c>
      <c r="P79" s="51">
        <v>125</v>
      </c>
    </row>
    <row r="80" spans="1:16">
      <c r="A80" s="44" t="s">
        <v>353</v>
      </c>
      <c r="B80" s="35">
        <v>271</v>
      </c>
      <c r="C80" s="42" t="s">
        <v>121</v>
      </c>
      <c r="D80" s="50">
        <v>3430958</v>
      </c>
      <c r="E80" s="50">
        <v>105798</v>
      </c>
      <c r="F80" s="41">
        <v>406768</v>
      </c>
      <c r="G80" s="41">
        <v>165101</v>
      </c>
      <c r="H80" s="41">
        <v>0</v>
      </c>
      <c r="I80" s="41">
        <v>83131</v>
      </c>
      <c r="J80" s="41">
        <v>0</v>
      </c>
      <c r="K80" s="41">
        <v>49254</v>
      </c>
      <c r="L80" s="41">
        <v>0</v>
      </c>
      <c r="M80" s="41">
        <v>49254</v>
      </c>
      <c r="N80" s="41">
        <v>0</v>
      </c>
      <c r="O80" s="41">
        <v>204</v>
      </c>
      <c r="P80" s="51">
        <v>89</v>
      </c>
    </row>
    <row r="81" spans="1:16">
      <c r="A81" s="44" t="s">
        <v>351</v>
      </c>
      <c r="B81" s="35">
        <v>272</v>
      </c>
      <c r="C81" s="42" t="s">
        <v>122</v>
      </c>
      <c r="D81" s="50">
        <v>3703043</v>
      </c>
      <c r="E81" s="50">
        <v>128725</v>
      </c>
      <c r="F81" s="41">
        <v>105973</v>
      </c>
      <c r="G81" s="41">
        <v>0</v>
      </c>
      <c r="H81" s="41">
        <v>0</v>
      </c>
      <c r="I81" s="41">
        <v>63365</v>
      </c>
      <c r="J81" s="41">
        <v>0</v>
      </c>
      <c r="K81" s="41">
        <v>17847</v>
      </c>
      <c r="L81" s="41">
        <v>0</v>
      </c>
      <c r="M81" s="41">
        <v>17847</v>
      </c>
      <c r="N81" s="41">
        <v>0</v>
      </c>
      <c r="O81" s="41">
        <v>263</v>
      </c>
      <c r="P81" s="51">
        <v>145</v>
      </c>
    </row>
    <row r="82" spans="1:16">
      <c r="A82" s="44" t="s">
        <v>351</v>
      </c>
      <c r="B82" s="35">
        <v>273</v>
      </c>
      <c r="C82" s="42" t="s">
        <v>123</v>
      </c>
      <c r="D82" s="50">
        <v>7604089</v>
      </c>
      <c r="E82" s="50">
        <v>220266</v>
      </c>
      <c r="F82" s="41">
        <v>730273</v>
      </c>
      <c r="G82" s="41">
        <v>0</v>
      </c>
      <c r="H82" s="41">
        <v>716302</v>
      </c>
      <c r="I82" s="41">
        <v>169251</v>
      </c>
      <c r="J82" s="41">
        <v>0</v>
      </c>
      <c r="K82" s="41">
        <v>0</v>
      </c>
      <c r="L82" s="41">
        <v>3064292</v>
      </c>
      <c r="M82" s="41">
        <v>3064292</v>
      </c>
      <c r="N82" s="41">
        <v>1967</v>
      </c>
      <c r="O82" s="41">
        <v>564</v>
      </c>
      <c r="P82" s="51">
        <v>216</v>
      </c>
    </row>
    <row r="83" spans="1:16">
      <c r="A83" s="44" t="s">
        <v>350</v>
      </c>
      <c r="B83" s="35">
        <v>274</v>
      </c>
      <c r="C83" s="42" t="s">
        <v>124</v>
      </c>
      <c r="D83" s="50">
        <v>4236926</v>
      </c>
      <c r="E83" s="50">
        <v>92838</v>
      </c>
      <c r="F83" s="41">
        <v>411188</v>
      </c>
      <c r="G83" s="41">
        <v>0</v>
      </c>
      <c r="H83" s="41">
        <v>0</v>
      </c>
      <c r="I83" s="41">
        <v>68346</v>
      </c>
      <c r="J83" s="41">
        <v>0</v>
      </c>
      <c r="K83" s="41">
        <v>118637</v>
      </c>
      <c r="L83" s="41">
        <v>0</v>
      </c>
      <c r="M83" s="41">
        <v>118637</v>
      </c>
      <c r="N83" s="41">
        <v>0</v>
      </c>
      <c r="O83" s="41">
        <v>255</v>
      </c>
      <c r="P83" s="51">
        <v>208</v>
      </c>
    </row>
    <row r="84" spans="1:16">
      <c r="A84" s="44" t="s">
        <v>350</v>
      </c>
      <c r="B84" s="35">
        <v>275</v>
      </c>
      <c r="C84" s="42" t="s">
        <v>125</v>
      </c>
      <c r="D84" s="50">
        <v>1378958</v>
      </c>
      <c r="E84" s="50">
        <v>40118</v>
      </c>
      <c r="F84" s="41">
        <v>248856</v>
      </c>
      <c r="G84" s="41">
        <v>0</v>
      </c>
      <c r="H84" s="41">
        <v>0</v>
      </c>
      <c r="I84" s="41">
        <v>34815</v>
      </c>
      <c r="J84" s="41">
        <v>0</v>
      </c>
      <c r="K84" s="41">
        <v>83582</v>
      </c>
      <c r="L84" s="41">
        <v>0</v>
      </c>
      <c r="M84" s="41">
        <v>83582</v>
      </c>
      <c r="N84" s="41">
        <v>0</v>
      </c>
      <c r="O84" s="41">
        <v>63</v>
      </c>
      <c r="P84" s="51">
        <v>24</v>
      </c>
    </row>
    <row r="85" spans="1:16">
      <c r="A85" s="44" t="s">
        <v>350</v>
      </c>
      <c r="B85" s="35">
        <v>281</v>
      </c>
      <c r="C85" s="42" t="s">
        <v>126</v>
      </c>
      <c r="D85" s="50">
        <v>5026603</v>
      </c>
      <c r="E85" s="50">
        <v>123817</v>
      </c>
      <c r="F85" s="41">
        <v>1459668</v>
      </c>
      <c r="G85" s="41">
        <v>0</v>
      </c>
      <c r="H85" s="41">
        <v>0</v>
      </c>
      <c r="I85" s="41">
        <v>107714</v>
      </c>
      <c r="J85" s="41">
        <v>0</v>
      </c>
      <c r="K85" s="41">
        <v>33588</v>
      </c>
      <c r="L85" s="41">
        <v>0</v>
      </c>
      <c r="M85" s="41">
        <v>33588</v>
      </c>
      <c r="N85" s="41">
        <v>0</v>
      </c>
      <c r="O85" s="41">
        <v>229</v>
      </c>
      <c r="P85" s="51">
        <v>172</v>
      </c>
    </row>
    <row r="86" spans="1:16">
      <c r="A86" s="44" t="s">
        <v>368</v>
      </c>
      <c r="B86" s="35">
        <v>282</v>
      </c>
      <c r="C86" s="42" t="s">
        <v>127</v>
      </c>
      <c r="D86" s="50">
        <v>3528710</v>
      </c>
      <c r="E86" s="50">
        <v>207018</v>
      </c>
      <c r="F86" s="41">
        <v>229422</v>
      </c>
      <c r="G86" s="41">
        <v>0</v>
      </c>
      <c r="H86" s="41">
        <v>419481</v>
      </c>
      <c r="I86" s="41">
        <v>153989</v>
      </c>
      <c r="J86" s="41">
        <v>0</v>
      </c>
      <c r="K86" s="41">
        <v>0</v>
      </c>
      <c r="L86" s="41">
        <v>1535420</v>
      </c>
      <c r="M86" s="41">
        <v>1535420</v>
      </c>
      <c r="N86" s="41">
        <v>0</v>
      </c>
      <c r="O86" s="41">
        <v>227</v>
      </c>
      <c r="P86" s="51">
        <v>107</v>
      </c>
    </row>
    <row r="87" spans="1:16">
      <c r="A87" s="44" t="s">
        <v>368</v>
      </c>
      <c r="B87" s="35">
        <v>283</v>
      </c>
      <c r="C87" s="42" t="s">
        <v>128</v>
      </c>
      <c r="D87" s="50">
        <v>2058611</v>
      </c>
      <c r="E87" s="50">
        <v>91891</v>
      </c>
      <c r="F87" s="41">
        <v>21647</v>
      </c>
      <c r="G87" s="41">
        <v>142493</v>
      </c>
      <c r="H87" s="41">
        <v>0</v>
      </c>
      <c r="I87" s="41">
        <v>100247</v>
      </c>
      <c r="J87" s="41">
        <v>0</v>
      </c>
      <c r="K87" s="41">
        <v>9050</v>
      </c>
      <c r="L87" s="41">
        <v>0</v>
      </c>
      <c r="M87" s="41">
        <v>9050</v>
      </c>
      <c r="N87" s="41">
        <v>0</v>
      </c>
      <c r="O87" s="41">
        <v>136</v>
      </c>
      <c r="P87" s="51">
        <v>59</v>
      </c>
    </row>
    <row r="88" spans="1:16">
      <c r="A88" s="44" t="s">
        <v>365</v>
      </c>
      <c r="B88" s="35">
        <v>284</v>
      </c>
      <c r="C88" s="42" t="s">
        <v>129</v>
      </c>
      <c r="D88" s="50">
        <v>4313996</v>
      </c>
      <c r="E88" s="50">
        <v>102193</v>
      </c>
      <c r="F88" s="41">
        <v>389688</v>
      </c>
      <c r="G88" s="41">
        <v>207660</v>
      </c>
      <c r="H88" s="41">
        <v>0</v>
      </c>
      <c r="I88" s="41">
        <v>82615</v>
      </c>
      <c r="J88" s="41">
        <v>0</v>
      </c>
      <c r="K88" s="41">
        <v>53059</v>
      </c>
      <c r="L88" s="41">
        <v>0</v>
      </c>
      <c r="M88" s="41">
        <v>53059</v>
      </c>
      <c r="N88" s="41">
        <v>0</v>
      </c>
      <c r="O88" s="41">
        <v>266</v>
      </c>
      <c r="P88" s="51">
        <v>134</v>
      </c>
    </row>
    <row r="89" spans="1:16">
      <c r="A89" s="44" t="s">
        <v>369</v>
      </c>
      <c r="B89" s="35">
        <v>285</v>
      </c>
      <c r="C89" s="42" t="s">
        <v>130</v>
      </c>
      <c r="D89" s="50">
        <v>1511564</v>
      </c>
      <c r="E89" s="50">
        <v>83891</v>
      </c>
      <c r="F89" s="41">
        <v>44476</v>
      </c>
      <c r="G89" s="41">
        <v>0</v>
      </c>
      <c r="H89" s="41">
        <v>0</v>
      </c>
      <c r="I89" s="41">
        <v>69753</v>
      </c>
      <c r="J89" s="41">
        <v>0</v>
      </c>
      <c r="K89" s="41">
        <v>4609</v>
      </c>
      <c r="L89" s="41">
        <v>0</v>
      </c>
      <c r="M89" s="41">
        <v>4609</v>
      </c>
      <c r="N89" s="41">
        <v>0</v>
      </c>
      <c r="O89" s="41">
        <v>100</v>
      </c>
      <c r="P89" s="51">
        <v>42</v>
      </c>
    </row>
    <row r="90" spans="1:16">
      <c r="A90" s="44" t="s">
        <v>368</v>
      </c>
      <c r="B90" s="35">
        <v>286</v>
      </c>
      <c r="C90" s="42" t="s">
        <v>131</v>
      </c>
      <c r="D90" s="50">
        <v>4116380</v>
      </c>
      <c r="E90" s="50">
        <v>116376</v>
      </c>
      <c r="F90" s="41">
        <v>389079</v>
      </c>
      <c r="G90" s="41">
        <v>0</v>
      </c>
      <c r="H90" s="41">
        <v>0</v>
      </c>
      <c r="I90" s="41">
        <v>82261</v>
      </c>
      <c r="J90" s="41">
        <v>0</v>
      </c>
      <c r="K90" s="41">
        <v>33017</v>
      </c>
      <c r="L90" s="41">
        <v>0</v>
      </c>
      <c r="M90" s="41">
        <v>33017</v>
      </c>
      <c r="N90" s="41">
        <v>0</v>
      </c>
      <c r="O90" s="41">
        <v>260</v>
      </c>
      <c r="P90" s="51">
        <v>106</v>
      </c>
    </row>
    <row r="91" spans="1:16">
      <c r="A91" s="44" t="s">
        <v>370</v>
      </c>
      <c r="B91" s="35">
        <v>287</v>
      </c>
      <c r="C91" s="42" t="s">
        <v>132</v>
      </c>
      <c r="D91" s="50">
        <v>6772139</v>
      </c>
      <c r="E91" s="50">
        <v>185728</v>
      </c>
      <c r="F91" s="41">
        <v>275442</v>
      </c>
      <c r="G91" s="41">
        <v>0</v>
      </c>
      <c r="H91" s="41">
        <v>0</v>
      </c>
      <c r="I91" s="41">
        <v>147041</v>
      </c>
      <c r="J91" s="41">
        <v>0</v>
      </c>
      <c r="K91" s="41">
        <v>152300</v>
      </c>
      <c r="L91" s="41">
        <v>0</v>
      </c>
      <c r="M91" s="41">
        <v>152300</v>
      </c>
      <c r="N91" s="41">
        <v>0</v>
      </c>
      <c r="O91" s="41">
        <v>448</v>
      </c>
      <c r="P91" s="51">
        <v>223</v>
      </c>
    </row>
    <row r="92" spans="1:16">
      <c r="A92" s="44" t="s">
        <v>371</v>
      </c>
      <c r="B92" s="35">
        <v>288</v>
      </c>
      <c r="C92" s="42" t="s">
        <v>133</v>
      </c>
      <c r="D92" s="50">
        <v>5776398</v>
      </c>
      <c r="E92" s="50">
        <v>186395</v>
      </c>
      <c r="F92" s="41">
        <v>229526</v>
      </c>
      <c r="G92" s="41">
        <v>272959</v>
      </c>
      <c r="H92" s="41">
        <v>0</v>
      </c>
      <c r="I92" s="41">
        <v>179003</v>
      </c>
      <c r="J92" s="41">
        <v>0</v>
      </c>
      <c r="K92" s="41">
        <v>31214</v>
      </c>
      <c r="L92" s="41">
        <v>0</v>
      </c>
      <c r="M92" s="41">
        <v>31214</v>
      </c>
      <c r="N92" s="41">
        <v>0</v>
      </c>
      <c r="O92" s="41">
        <v>409</v>
      </c>
      <c r="P92" s="51">
        <v>167</v>
      </c>
    </row>
    <row r="93" spans="1:16">
      <c r="A93" s="44" t="s">
        <v>372</v>
      </c>
      <c r="B93" s="35">
        <v>289</v>
      </c>
      <c r="C93" s="42" t="s">
        <v>134</v>
      </c>
      <c r="D93" s="50">
        <v>8358045</v>
      </c>
      <c r="E93" s="50">
        <v>108921</v>
      </c>
      <c r="F93" s="41">
        <v>394107</v>
      </c>
      <c r="G93" s="41">
        <v>759883</v>
      </c>
      <c r="H93" s="41">
        <v>0</v>
      </c>
      <c r="I93" s="41">
        <v>84908</v>
      </c>
      <c r="J93" s="41">
        <v>0</v>
      </c>
      <c r="K93" s="41">
        <v>78938</v>
      </c>
      <c r="L93" s="41">
        <v>0</v>
      </c>
      <c r="M93" s="41">
        <v>78938</v>
      </c>
      <c r="N93" s="41">
        <v>8616</v>
      </c>
      <c r="O93" s="41">
        <v>625</v>
      </c>
      <c r="P93" s="51">
        <v>234</v>
      </c>
    </row>
    <row r="94" spans="1:16">
      <c r="A94" s="37"/>
      <c r="B94" s="35">
        <v>290</v>
      </c>
      <c r="C94" s="42" t="s">
        <v>33</v>
      </c>
      <c r="D94" s="50">
        <v>24775996</v>
      </c>
      <c r="E94" s="50">
        <v>1011268</v>
      </c>
      <c r="F94" s="41">
        <v>1177770</v>
      </c>
      <c r="G94" s="41">
        <v>2609402</v>
      </c>
      <c r="H94" s="41">
        <v>796406</v>
      </c>
      <c r="I94" s="41">
        <v>619264</v>
      </c>
      <c r="J94" s="41">
        <v>0</v>
      </c>
      <c r="K94" s="41">
        <v>2504859</v>
      </c>
      <c r="L94" s="41">
        <v>0</v>
      </c>
      <c r="M94" s="41">
        <v>2504859</v>
      </c>
      <c r="N94" s="41">
        <v>47431</v>
      </c>
      <c r="O94" s="41">
        <v>1798</v>
      </c>
      <c r="P94" s="51">
        <v>736</v>
      </c>
    </row>
    <row r="95" spans="1:16">
      <c r="A95" s="44" t="s">
        <v>350</v>
      </c>
      <c r="B95" s="35">
        <v>291</v>
      </c>
      <c r="C95" s="42" t="s">
        <v>135</v>
      </c>
      <c r="D95" s="50">
        <v>939301</v>
      </c>
      <c r="E95" s="50">
        <v>19332</v>
      </c>
      <c r="F95" s="41">
        <v>68107</v>
      </c>
      <c r="G95" s="41">
        <v>0</v>
      </c>
      <c r="H95" s="41">
        <v>0</v>
      </c>
      <c r="I95" s="41">
        <v>9064</v>
      </c>
      <c r="J95" s="41">
        <v>0</v>
      </c>
      <c r="K95" s="41">
        <v>311</v>
      </c>
      <c r="L95" s="41">
        <v>0</v>
      </c>
      <c r="M95" s="41">
        <v>311</v>
      </c>
      <c r="N95" s="41">
        <v>0</v>
      </c>
      <c r="O95" s="41">
        <v>51</v>
      </c>
      <c r="P95" s="51">
        <v>25</v>
      </c>
    </row>
    <row r="96" spans="1:16">
      <c r="A96" s="44" t="s">
        <v>350</v>
      </c>
      <c r="B96" s="35">
        <v>292</v>
      </c>
      <c r="C96" s="42" t="s">
        <v>136</v>
      </c>
      <c r="D96" s="50">
        <v>1449550</v>
      </c>
      <c r="E96" s="50">
        <v>73339</v>
      </c>
      <c r="F96" s="41">
        <v>98514</v>
      </c>
      <c r="G96" s="41">
        <v>0</v>
      </c>
      <c r="H96" s="41">
        <v>0</v>
      </c>
      <c r="I96" s="41">
        <v>38998</v>
      </c>
      <c r="J96" s="41">
        <v>0</v>
      </c>
      <c r="K96" s="41">
        <v>12547</v>
      </c>
      <c r="L96" s="41">
        <v>0</v>
      </c>
      <c r="M96" s="41">
        <v>12547</v>
      </c>
      <c r="N96" s="41">
        <v>0</v>
      </c>
      <c r="O96" s="41">
        <v>72</v>
      </c>
      <c r="P96" s="51">
        <v>34</v>
      </c>
    </row>
    <row r="97" spans="1:16">
      <c r="A97" s="44" t="s">
        <v>350</v>
      </c>
      <c r="B97" s="35">
        <v>293</v>
      </c>
      <c r="C97" s="42" t="s">
        <v>137</v>
      </c>
      <c r="D97" s="50">
        <v>3269297</v>
      </c>
      <c r="E97" s="50">
        <v>78452</v>
      </c>
      <c r="F97" s="41">
        <v>282743</v>
      </c>
      <c r="G97" s="41">
        <v>0</v>
      </c>
      <c r="H97" s="41">
        <v>0</v>
      </c>
      <c r="I97" s="41">
        <v>33750</v>
      </c>
      <c r="J97" s="41">
        <v>0</v>
      </c>
      <c r="K97" s="41">
        <v>263907</v>
      </c>
      <c r="L97" s="41">
        <v>0</v>
      </c>
      <c r="M97" s="41">
        <v>263907</v>
      </c>
      <c r="N97" s="41">
        <v>11000</v>
      </c>
      <c r="O97" s="41">
        <v>181</v>
      </c>
      <c r="P97" s="51">
        <v>99</v>
      </c>
    </row>
    <row r="98" spans="1:16">
      <c r="A98" s="44" t="s">
        <v>350</v>
      </c>
      <c r="B98" s="35">
        <v>294</v>
      </c>
      <c r="C98" s="42" t="s">
        <v>138</v>
      </c>
      <c r="D98" s="50">
        <v>4063125</v>
      </c>
      <c r="E98" s="50">
        <v>135057</v>
      </c>
      <c r="F98" s="41">
        <v>369546</v>
      </c>
      <c r="G98" s="41">
        <v>0</v>
      </c>
      <c r="H98" s="41">
        <v>0</v>
      </c>
      <c r="I98" s="41">
        <v>96078</v>
      </c>
      <c r="J98" s="41">
        <v>0</v>
      </c>
      <c r="K98" s="41">
        <v>9530</v>
      </c>
      <c r="L98" s="41">
        <v>0</v>
      </c>
      <c r="M98" s="41">
        <v>9530</v>
      </c>
      <c r="N98" s="41">
        <v>0</v>
      </c>
      <c r="O98" s="41">
        <v>251</v>
      </c>
      <c r="P98" s="51">
        <v>113</v>
      </c>
    </row>
    <row r="99" spans="1:16">
      <c r="A99" s="44" t="s">
        <v>350</v>
      </c>
      <c r="B99" s="35">
        <v>297</v>
      </c>
      <c r="C99" s="42" t="s">
        <v>139</v>
      </c>
      <c r="D99" s="50">
        <v>3270557</v>
      </c>
      <c r="E99" s="50">
        <v>93921</v>
      </c>
      <c r="F99" s="41">
        <v>314628</v>
      </c>
      <c r="G99" s="41">
        <v>0</v>
      </c>
      <c r="H99" s="41">
        <v>0</v>
      </c>
      <c r="I99" s="41">
        <v>52990</v>
      </c>
      <c r="J99" s="41">
        <v>0</v>
      </c>
      <c r="K99" s="41">
        <v>160784</v>
      </c>
      <c r="L99" s="41">
        <v>0</v>
      </c>
      <c r="M99" s="41">
        <v>160784</v>
      </c>
      <c r="N99" s="41">
        <v>0</v>
      </c>
      <c r="O99" s="41">
        <v>197</v>
      </c>
      <c r="P99" s="51">
        <v>103</v>
      </c>
    </row>
    <row r="100" spans="1:16">
      <c r="A100" s="44" t="s">
        <v>351</v>
      </c>
      <c r="B100" s="35">
        <v>298</v>
      </c>
      <c r="C100" s="42" t="s">
        <v>140</v>
      </c>
      <c r="D100" s="50">
        <v>3904802</v>
      </c>
      <c r="E100" s="50">
        <v>117759</v>
      </c>
      <c r="F100" s="41">
        <v>176163</v>
      </c>
      <c r="G100" s="41">
        <v>326525</v>
      </c>
      <c r="H100" s="41">
        <v>0</v>
      </c>
      <c r="I100" s="41">
        <v>97794</v>
      </c>
      <c r="J100" s="41">
        <v>0</v>
      </c>
      <c r="K100" s="41">
        <v>56297</v>
      </c>
      <c r="L100" s="41">
        <v>0</v>
      </c>
      <c r="M100" s="41">
        <v>56297</v>
      </c>
      <c r="N100" s="41">
        <v>0</v>
      </c>
      <c r="O100" s="41">
        <v>260</v>
      </c>
      <c r="P100" s="51">
        <v>113</v>
      </c>
    </row>
    <row r="101" spans="1:16">
      <c r="A101" s="44" t="s">
        <v>351</v>
      </c>
      <c r="B101" s="35">
        <v>299</v>
      </c>
      <c r="C101" s="42" t="s">
        <v>141</v>
      </c>
      <c r="D101" s="50">
        <v>2476670</v>
      </c>
      <c r="E101" s="50">
        <v>60373</v>
      </c>
      <c r="F101" s="41">
        <v>125468</v>
      </c>
      <c r="G101" s="41">
        <v>0</v>
      </c>
      <c r="H101" s="41">
        <v>0</v>
      </c>
      <c r="I101" s="41">
        <v>48538</v>
      </c>
      <c r="J101" s="41">
        <v>0</v>
      </c>
      <c r="K101" s="41">
        <v>753</v>
      </c>
      <c r="L101" s="41">
        <v>0</v>
      </c>
      <c r="M101" s="41">
        <v>753</v>
      </c>
      <c r="N101" s="41">
        <v>0</v>
      </c>
      <c r="O101" s="41">
        <v>160</v>
      </c>
      <c r="P101" s="51">
        <v>81</v>
      </c>
    </row>
    <row r="102" spans="1:16">
      <c r="A102" s="44" t="s">
        <v>366</v>
      </c>
      <c r="B102" s="35">
        <v>300</v>
      </c>
      <c r="C102" s="42" t="s">
        <v>142</v>
      </c>
      <c r="D102" s="50">
        <v>3324408</v>
      </c>
      <c r="E102" s="50">
        <v>72430</v>
      </c>
      <c r="F102" s="41">
        <v>106979</v>
      </c>
      <c r="G102" s="41">
        <v>0</v>
      </c>
      <c r="H102" s="41">
        <v>0</v>
      </c>
      <c r="I102" s="41">
        <v>67120</v>
      </c>
      <c r="J102" s="41">
        <v>0</v>
      </c>
      <c r="K102" s="41">
        <v>14170</v>
      </c>
      <c r="L102" s="41">
        <v>0</v>
      </c>
      <c r="M102" s="41">
        <v>14170</v>
      </c>
      <c r="N102" s="41">
        <v>0</v>
      </c>
      <c r="O102" s="41">
        <v>232</v>
      </c>
      <c r="P102" s="51">
        <v>91</v>
      </c>
    </row>
    <row r="103" spans="1:16">
      <c r="A103" s="44" t="s">
        <v>349</v>
      </c>
      <c r="B103" s="35">
        <v>303</v>
      </c>
      <c r="C103" s="42" t="s">
        <v>143</v>
      </c>
      <c r="D103" s="50">
        <v>2977142</v>
      </c>
      <c r="E103" s="50">
        <v>82941</v>
      </c>
      <c r="F103" s="41">
        <v>378316</v>
      </c>
      <c r="G103" s="41">
        <v>0</v>
      </c>
      <c r="H103" s="41">
        <v>0</v>
      </c>
      <c r="I103" s="41">
        <v>37858</v>
      </c>
      <c r="J103" s="41">
        <v>0</v>
      </c>
      <c r="K103" s="41">
        <v>13643</v>
      </c>
      <c r="L103" s="41">
        <v>0</v>
      </c>
      <c r="M103" s="41">
        <v>13643</v>
      </c>
      <c r="N103" s="41">
        <v>0</v>
      </c>
      <c r="O103" s="41">
        <v>220</v>
      </c>
      <c r="P103" s="51">
        <v>110</v>
      </c>
    </row>
    <row r="104" spans="1:16">
      <c r="A104" s="44" t="s">
        <v>355</v>
      </c>
      <c r="B104" s="35">
        <v>305</v>
      </c>
      <c r="C104" s="42" t="s">
        <v>144</v>
      </c>
      <c r="D104" s="50">
        <v>66524800</v>
      </c>
      <c r="E104" s="50">
        <v>8897900</v>
      </c>
      <c r="F104" s="41">
        <v>4113623</v>
      </c>
      <c r="G104" s="41">
        <v>7910988</v>
      </c>
      <c r="H104" s="41">
        <v>4237533</v>
      </c>
      <c r="I104" s="41">
        <v>1582895</v>
      </c>
      <c r="J104" s="41">
        <v>37213</v>
      </c>
      <c r="K104" s="41">
        <v>984005</v>
      </c>
      <c r="L104" s="41">
        <v>15650407</v>
      </c>
      <c r="M104" s="41">
        <v>16634412</v>
      </c>
      <c r="N104" s="41">
        <v>826671</v>
      </c>
      <c r="O104" s="41">
        <v>5126</v>
      </c>
      <c r="P104" s="51">
        <v>2220</v>
      </c>
    </row>
    <row r="105" spans="1:16">
      <c r="A105" s="44" t="s">
        <v>355</v>
      </c>
      <c r="B105" s="35">
        <v>306</v>
      </c>
      <c r="C105" s="42" t="s">
        <v>145</v>
      </c>
      <c r="D105" s="50">
        <v>6182800</v>
      </c>
      <c r="E105" s="50">
        <v>80944</v>
      </c>
      <c r="F105" s="41">
        <v>624205</v>
      </c>
      <c r="G105" s="41">
        <v>0</v>
      </c>
      <c r="H105" s="41">
        <v>0</v>
      </c>
      <c r="I105" s="41">
        <v>62051</v>
      </c>
      <c r="J105" s="41">
        <v>0</v>
      </c>
      <c r="K105" s="41">
        <v>31593</v>
      </c>
      <c r="L105" s="41">
        <v>0</v>
      </c>
      <c r="M105" s="41">
        <v>31593</v>
      </c>
      <c r="N105" s="41">
        <v>0</v>
      </c>
      <c r="O105" s="41">
        <v>495</v>
      </c>
      <c r="P105" s="51">
        <v>245</v>
      </c>
    </row>
    <row r="106" spans="1:16">
      <c r="A106" s="44" t="s">
        <v>355</v>
      </c>
      <c r="B106" s="35">
        <v>307</v>
      </c>
      <c r="C106" s="42" t="s">
        <v>146</v>
      </c>
      <c r="D106" s="50">
        <v>4836371</v>
      </c>
      <c r="E106" s="50">
        <v>145937</v>
      </c>
      <c r="F106" s="41">
        <v>293343</v>
      </c>
      <c r="G106" s="41">
        <v>411650</v>
      </c>
      <c r="H106" s="41">
        <v>0</v>
      </c>
      <c r="I106" s="41">
        <v>68344</v>
      </c>
      <c r="J106" s="41">
        <v>0</v>
      </c>
      <c r="K106" s="41">
        <v>36547</v>
      </c>
      <c r="L106" s="41">
        <v>0</v>
      </c>
      <c r="M106" s="41">
        <v>36547</v>
      </c>
      <c r="N106" s="41">
        <v>5594</v>
      </c>
      <c r="O106" s="41">
        <v>326</v>
      </c>
      <c r="P106" s="51">
        <v>152</v>
      </c>
    </row>
    <row r="107" spans="1:16">
      <c r="A107" s="37"/>
      <c r="B107" s="35">
        <v>308</v>
      </c>
      <c r="C107" s="42" t="s">
        <v>147</v>
      </c>
      <c r="D107" s="50">
        <v>48598253</v>
      </c>
      <c r="E107" s="50">
        <v>5680182</v>
      </c>
      <c r="F107" s="41">
        <v>5327058</v>
      </c>
      <c r="G107" s="41">
        <v>5196705</v>
      </c>
      <c r="H107" s="41">
        <v>1771778</v>
      </c>
      <c r="I107" s="41">
        <v>1991587</v>
      </c>
      <c r="J107" s="41">
        <v>18224</v>
      </c>
      <c r="K107" s="41">
        <v>4023654</v>
      </c>
      <c r="L107" s="41">
        <v>0</v>
      </c>
      <c r="M107" s="41">
        <v>4023654</v>
      </c>
      <c r="N107" s="41">
        <v>280939</v>
      </c>
      <c r="O107" s="41">
        <v>3473</v>
      </c>
      <c r="P107" s="51">
        <v>1449</v>
      </c>
    </row>
    <row r="108" spans="1:16">
      <c r="A108" s="44" t="s">
        <v>373</v>
      </c>
      <c r="B108" s="35">
        <v>309</v>
      </c>
      <c r="C108" s="42" t="s">
        <v>148</v>
      </c>
      <c r="D108" s="50">
        <v>10916478</v>
      </c>
      <c r="E108" s="50">
        <v>489299</v>
      </c>
      <c r="F108" s="41">
        <v>744622</v>
      </c>
      <c r="G108" s="41">
        <v>508803</v>
      </c>
      <c r="H108" s="41">
        <v>0</v>
      </c>
      <c r="I108" s="41">
        <v>296698</v>
      </c>
      <c r="J108" s="41">
        <v>0</v>
      </c>
      <c r="K108" s="41">
        <v>267919</v>
      </c>
      <c r="L108" s="41">
        <v>0</v>
      </c>
      <c r="M108" s="41">
        <v>267919</v>
      </c>
      <c r="N108" s="41">
        <v>58994</v>
      </c>
      <c r="O108" s="41">
        <v>897</v>
      </c>
      <c r="P108" s="51">
        <v>305</v>
      </c>
    </row>
    <row r="109" spans="1:16">
      <c r="A109" s="44" t="s">
        <v>373</v>
      </c>
      <c r="B109" s="35">
        <v>310</v>
      </c>
      <c r="C109" s="42" t="s">
        <v>149</v>
      </c>
      <c r="D109" s="50">
        <v>4107543</v>
      </c>
      <c r="E109" s="50">
        <v>140212</v>
      </c>
      <c r="F109" s="41">
        <v>684799</v>
      </c>
      <c r="G109" s="41">
        <v>0</v>
      </c>
      <c r="H109" s="41">
        <v>0</v>
      </c>
      <c r="I109" s="41">
        <v>100259</v>
      </c>
      <c r="J109" s="41">
        <v>0</v>
      </c>
      <c r="K109" s="41">
        <v>146283</v>
      </c>
      <c r="L109" s="41">
        <v>0</v>
      </c>
      <c r="M109" s="41">
        <v>146283</v>
      </c>
      <c r="N109" s="41">
        <v>11000</v>
      </c>
      <c r="O109" s="41">
        <v>187</v>
      </c>
      <c r="P109" s="51">
        <v>103</v>
      </c>
    </row>
    <row r="110" spans="1:16">
      <c r="A110" s="44" t="s">
        <v>373</v>
      </c>
      <c r="B110" s="35">
        <v>311</v>
      </c>
      <c r="C110" s="42" t="s">
        <v>150</v>
      </c>
      <c r="D110" s="50">
        <v>2914680</v>
      </c>
      <c r="E110" s="50">
        <v>67846</v>
      </c>
      <c r="F110" s="41">
        <v>39411</v>
      </c>
      <c r="G110" s="41">
        <v>138728</v>
      </c>
      <c r="H110" s="41">
        <v>0</v>
      </c>
      <c r="I110" s="41">
        <v>35191</v>
      </c>
      <c r="J110" s="41">
        <v>0</v>
      </c>
      <c r="K110" s="41">
        <v>29884</v>
      </c>
      <c r="L110" s="41">
        <v>0</v>
      </c>
      <c r="M110" s="41">
        <v>29884</v>
      </c>
      <c r="N110" s="41">
        <v>0</v>
      </c>
      <c r="O110" s="41">
        <v>180</v>
      </c>
      <c r="P110" s="51">
        <v>101</v>
      </c>
    </row>
    <row r="111" spans="1:16">
      <c r="A111" s="44" t="s">
        <v>373</v>
      </c>
      <c r="B111" s="35">
        <v>312</v>
      </c>
      <c r="C111" s="42" t="s">
        <v>151</v>
      </c>
      <c r="D111" s="50">
        <v>9538775</v>
      </c>
      <c r="E111" s="50">
        <v>306236</v>
      </c>
      <c r="F111" s="41">
        <v>275830</v>
      </c>
      <c r="G111" s="41">
        <v>674265</v>
      </c>
      <c r="H111" s="41">
        <v>0</v>
      </c>
      <c r="I111" s="41">
        <v>229029</v>
      </c>
      <c r="J111" s="41">
        <v>0</v>
      </c>
      <c r="K111" s="41">
        <v>95258</v>
      </c>
      <c r="L111" s="41">
        <v>0</v>
      </c>
      <c r="M111" s="41">
        <v>95258</v>
      </c>
      <c r="N111" s="41">
        <v>11234</v>
      </c>
      <c r="O111" s="41">
        <v>745</v>
      </c>
      <c r="P111" s="51">
        <v>333</v>
      </c>
    </row>
    <row r="112" spans="1:16">
      <c r="A112" s="44" t="s">
        <v>373</v>
      </c>
      <c r="B112" s="35">
        <v>313</v>
      </c>
      <c r="C112" s="42" t="s">
        <v>152</v>
      </c>
      <c r="D112" s="50">
        <v>19723443</v>
      </c>
      <c r="E112" s="50">
        <v>575552</v>
      </c>
      <c r="F112" s="41">
        <v>1476442</v>
      </c>
      <c r="G112" s="41">
        <v>1413590</v>
      </c>
      <c r="H112" s="41">
        <v>0</v>
      </c>
      <c r="I112" s="41">
        <v>169859</v>
      </c>
      <c r="J112" s="41">
        <v>0</v>
      </c>
      <c r="K112" s="41">
        <v>568841</v>
      </c>
      <c r="L112" s="41">
        <v>0</v>
      </c>
      <c r="M112" s="41">
        <v>568841</v>
      </c>
      <c r="N112" s="41">
        <v>51599</v>
      </c>
      <c r="O112" s="41">
        <v>1616</v>
      </c>
      <c r="P112" s="51">
        <v>660</v>
      </c>
    </row>
    <row r="113" spans="1:16">
      <c r="A113" s="44" t="s">
        <v>350</v>
      </c>
      <c r="B113" s="35">
        <v>314</v>
      </c>
      <c r="C113" s="42" t="s">
        <v>153</v>
      </c>
      <c r="D113" s="50">
        <v>1371739</v>
      </c>
      <c r="E113" s="50">
        <v>42583</v>
      </c>
      <c r="F113" s="41">
        <v>98164</v>
      </c>
      <c r="G113" s="41">
        <v>0</v>
      </c>
      <c r="H113" s="41">
        <v>0</v>
      </c>
      <c r="I113" s="41">
        <v>14315</v>
      </c>
      <c r="J113" s="41">
        <v>0</v>
      </c>
      <c r="K113" s="41">
        <v>52775</v>
      </c>
      <c r="L113" s="41">
        <v>0</v>
      </c>
      <c r="M113" s="41">
        <v>52775</v>
      </c>
      <c r="N113" s="41">
        <v>4271</v>
      </c>
      <c r="O113" s="41">
        <v>60</v>
      </c>
      <c r="P113" s="51">
        <v>34</v>
      </c>
    </row>
    <row r="114" spans="1:16">
      <c r="A114" s="44" t="s">
        <v>350</v>
      </c>
      <c r="B114" s="35">
        <v>315</v>
      </c>
      <c r="C114" s="42" t="s">
        <v>154</v>
      </c>
      <c r="D114" s="50">
        <v>9412232</v>
      </c>
      <c r="E114" s="50">
        <v>259479</v>
      </c>
      <c r="F114" s="41">
        <v>733244</v>
      </c>
      <c r="G114" s="41">
        <v>534338</v>
      </c>
      <c r="H114" s="41">
        <v>0</v>
      </c>
      <c r="I114" s="41">
        <v>142217</v>
      </c>
      <c r="J114" s="41">
        <v>0</v>
      </c>
      <c r="K114" s="41">
        <v>962879</v>
      </c>
      <c r="L114" s="41">
        <v>0</v>
      </c>
      <c r="M114" s="41">
        <v>962879</v>
      </c>
      <c r="N114" s="41">
        <v>9290</v>
      </c>
      <c r="O114" s="41">
        <v>590</v>
      </c>
      <c r="P114" s="51">
        <v>360</v>
      </c>
    </row>
    <row r="115" spans="1:16">
      <c r="A115" s="44" t="s">
        <v>350</v>
      </c>
      <c r="B115" s="35">
        <v>316</v>
      </c>
      <c r="C115" s="42" t="s">
        <v>155</v>
      </c>
      <c r="D115" s="50">
        <v>2117091</v>
      </c>
      <c r="E115" s="50">
        <v>46192</v>
      </c>
      <c r="F115" s="41">
        <v>102740</v>
      </c>
      <c r="G115" s="41">
        <v>50950</v>
      </c>
      <c r="H115" s="41">
        <v>0</v>
      </c>
      <c r="I115" s="41">
        <v>60201</v>
      </c>
      <c r="J115" s="41">
        <v>0</v>
      </c>
      <c r="K115" s="41">
        <v>79344</v>
      </c>
      <c r="L115" s="41">
        <v>0</v>
      </c>
      <c r="M115" s="41">
        <v>79344</v>
      </c>
      <c r="N115" s="41">
        <v>18176</v>
      </c>
      <c r="O115" s="41">
        <v>139</v>
      </c>
      <c r="P115" s="51">
        <v>77</v>
      </c>
    </row>
    <row r="116" spans="1:16">
      <c r="A116" s="44" t="s">
        <v>374</v>
      </c>
      <c r="B116" s="35">
        <v>320</v>
      </c>
      <c r="C116" s="42" t="s">
        <v>156</v>
      </c>
      <c r="D116" s="50">
        <v>12057968</v>
      </c>
      <c r="E116" s="50">
        <v>820287</v>
      </c>
      <c r="F116" s="41">
        <v>541595</v>
      </c>
      <c r="G116" s="41">
        <v>1004735</v>
      </c>
      <c r="H116" s="41">
        <v>743042</v>
      </c>
      <c r="I116" s="41">
        <v>161914</v>
      </c>
      <c r="J116" s="41">
        <v>0</v>
      </c>
      <c r="K116" s="41">
        <v>120827</v>
      </c>
      <c r="L116" s="41">
        <v>3503425</v>
      </c>
      <c r="M116" s="41">
        <v>3624252</v>
      </c>
      <c r="N116" s="41">
        <v>0</v>
      </c>
      <c r="O116" s="41">
        <v>976</v>
      </c>
      <c r="P116" s="51">
        <v>448</v>
      </c>
    </row>
    <row r="117" spans="1:16">
      <c r="A117" s="37"/>
      <c r="B117" s="35">
        <v>321</v>
      </c>
      <c r="C117" s="42" t="s">
        <v>34</v>
      </c>
      <c r="D117" s="50">
        <v>13960385</v>
      </c>
      <c r="E117" s="50">
        <v>283300</v>
      </c>
      <c r="F117" s="41">
        <v>2441820</v>
      </c>
      <c r="G117" s="41">
        <v>0</v>
      </c>
      <c r="H117" s="41">
        <v>452206</v>
      </c>
      <c r="I117" s="41">
        <v>211179</v>
      </c>
      <c r="J117" s="41">
        <v>0</v>
      </c>
      <c r="K117" s="41">
        <v>1659252</v>
      </c>
      <c r="L117" s="41">
        <v>0</v>
      </c>
      <c r="M117" s="41">
        <v>1659252</v>
      </c>
      <c r="N117" s="41">
        <v>0</v>
      </c>
      <c r="O117" s="41">
        <v>834</v>
      </c>
      <c r="P117" s="51">
        <v>371</v>
      </c>
    </row>
    <row r="118" spans="1:16">
      <c r="A118" s="44" t="s">
        <v>356</v>
      </c>
      <c r="B118" s="35">
        <v>322</v>
      </c>
      <c r="C118" s="42" t="s">
        <v>157</v>
      </c>
      <c r="D118" s="50">
        <v>3461024</v>
      </c>
      <c r="E118" s="50">
        <v>107378</v>
      </c>
      <c r="F118" s="41">
        <v>160310</v>
      </c>
      <c r="G118" s="41">
        <v>254540</v>
      </c>
      <c r="H118" s="41">
        <v>0</v>
      </c>
      <c r="I118" s="41">
        <v>60732</v>
      </c>
      <c r="J118" s="41">
        <v>0</v>
      </c>
      <c r="K118" s="41">
        <v>34239</v>
      </c>
      <c r="L118" s="41">
        <v>0</v>
      </c>
      <c r="M118" s="41">
        <v>34239</v>
      </c>
      <c r="N118" s="41">
        <v>0</v>
      </c>
      <c r="O118" s="41">
        <v>206</v>
      </c>
      <c r="P118" s="51">
        <v>115</v>
      </c>
    </row>
    <row r="119" spans="1:16">
      <c r="A119" s="44" t="s">
        <v>374</v>
      </c>
      <c r="B119" s="35">
        <v>323</v>
      </c>
      <c r="C119" s="42" t="s">
        <v>158</v>
      </c>
      <c r="D119" s="50">
        <v>8031201</v>
      </c>
      <c r="E119" s="50">
        <v>166991</v>
      </c>
      <c r="F119" s="41">
        <v>571747</v>
      </c>
      <c r="G119" s="41">
        <v>719088</v>
      </c>
      <c r="H119" s="41">
        <v>0</v>
      </c>
      <c r="I119" s="41">
        <v>114237</v>
      </c>
      <c r="J119" s="41">
        <v>0</v>
      </c>
      <c r="K119" s="41">
        <v>50294</v>
      </c>
      <c r="L119" s="41">
        <v>0</v>
      </c>
      <c r="M119" s="41">
        <v>50294</v>
      </c>
      <c r="N119" s="41">
        <v>0</v>
      </c>
      <c r="O119" s="41">
        <v>640</v>
      </c>
      <c r="P119" s="51">
        <v>239</v>
      </c>
    </row>
    <row r="120" spans="1:16">
      <c r="A120" s="44" t="s">
        <v>353</v>
      </c>
      <c r="B120" s="35">
        <v>325</v>
      </c>
      <c r="C120" s="42" t="s">
        <v>159</v>
      </c>
      <c r="D120" s="50">
        <v>5867614</v>
      </c>
      <c r="E120" s="50">
        <v>149692</v>
      </c>
      <c r="F120" s="41">
        <v>400797</v>
      </c>
      <c r="G120" s="41">
        <v>0</v>
      </c>
      <c r="H120" s="41">
        <v>0</v>
      </c>
      <c r="I120" s="41">
        <v>126752</v>
      </c>
      <c r="J120" s="41">
        <v>0</v>
      </c>
      <c r="K120" s="41">
        <v>4904</v>
      </c>
      <c r="L120" s="41">
        <v>0</v>
      </c>
      <c r="M120" s="41">
        <v>4904</v>
      </c>
      <c r="N120" s="41">
        <v>0</v>
      </c>
      <c r="O120" s="41">
        <v>414</v>
      </c>
      <c r="P120" s="51">
        <v>222</v>
      </c>
    </row>
    <row r="121" spans="1:16">
      <c r="A121" s="44" t="s">
        <v>353</v>
      </c>
      <c r="B121" s="35">
        <v>326</v>
      </c>
      <c r="C121" s="42" t="s">
        <v>160</v>
      </c>
      <c r="D121" s="50">
        <v>2233173</v>
      </c>
      <c r="E121" s="50">
        <v>76789</v>
      </c>
      <c r="F121" s="41">
        <v>132296</v>
      </c>
      <c r="G121" s="41">
        <v>0</v>
      </c>
      <c r="H121" s="41">
        <v>0</v>
      </c>
      <c r="I121" s="41">
        <v>57589</v>
      </c>
      <c r="J121" s="41">
        <v>0</v>
      </c>
      <c r="K121" s="41">
        <v>695</v>
      </c>
      <c r="L121" s="41">
        <v>0</v>
      </c>
      <c r="M121" s="41">
        <v>695</v>
      </c>
      <c r="N121" s="41">
        <v>0</v>
      </c>
      <c r="O121" s="41">
        <v>128</v>
      </c>
      <c r="P121" s="51">
        <v>54</v>
      </c>
    </row>
    <row r="122" spans="1:16">
      <c r="A122" s="44" t="s">
        <v>355</v>
      </c>
      <c r="B122" s="35">
        <v>327</v>
      </c>
      <c r="C122" s="42" t="s">
        <v>161</v>
      </c>
      <c r="D122" s="50">
        <v>6175329</v>
      </c>
      <c r="E122" s="50">
        <v>99742</v>
      </c>
      <c r="F122" s="41">
        <v>703066</v>
      </c>
      <c r="G122" s="41">
        <v>0</v>
      </c>
      <c r="H122" s="41">
        <v>0</v>
      </c>
      <c r="I122" s="41">
        <v>106650</v>
      </c>
      <c r="J122" s="41">
        <v>0</v>
      </c>
      <c r="K122" s="41">
        <v>33521</v>
      </c>
      <c r="L122" s="41">
        <v>0</v>
      </c>
      <c r="M122" s="41">
        <v>33521</v>
      </c>
      <c r="N122" s="41">
        <v>0</v>
      </c>
      <c r="O122" s="41">
        <v>449</v>
      </c>
      <c r="P122" s="51">
        <v>188</v>
      </c>
    </row>
    <row r="123" spans="1:16">
      <c r="A123" s="44" t="s">
        <v>374</v>
      </c>
      <c r="B123" s="35">
        <v>329</v>
      </c>
      <c r="C123" s="42" t="s">
        <v>162</v>
      </c>
      <c r="D123" s="50">
        <v>5289701</v>
      </c>
      <c r="E123" s="50">
        <v>120184</v>
      </c>
      <c r="F123" s="41">
        <v>257313</v>
      </c>
      <c r="G123" s="41">
        <v>546110</v>
      </c>
      <c r="H123" s="41">
        <v>0</v>
      </c>
      <c r="I123" s="41">
        <v>63630</v>
      </c>
      <c r="J123" s="41">
        <v>0</v>
      </c>
      <c r="K123" s="41">
        <v>35592</v>
      </c>
      <c r="L123" s="41">
        <v>0</v>
      </c>
      <c r="M123" s="41">
        <v>35592</v>
      </c>
      <c r="N123" s="41">
        <v>0</v>
      </c>
      <c r="O123" s="41">
        <v>349</v>
      </c>
      <c r="P123" s="51">
        <v>131</v>
      </c>
    </row>
    <row r="124" spans="1:16">
      <c r="A124" s="37"/>
      <c r="B124" s="35">
        <v>330</v>
      </c>
      <c r="C124" s="42" t="s">
        <v>35</v>
      </c>
      <c r="D124" s="50">
        <v>6165991</v>
      </c>
      <c r="E124" s="50">
        <v>163782</v>
      </c>
      <c r="F124" s="41">
        <v>179184</v>
      </c>
      <c r="G124" s="41">
        <v>466998</v>
      </c>
      <c r="H124" s="41">
        <v>167550</v>
      </c>
      <c r="I124" s="41">
        <v>93237</v>
      </c>
      <c r="J124" s="41">
        <v>0</v>
      </c>
      <c r="K124" s="41">
        <v>914085</v>
      </c>
      <c r="L124" s="41">
        <v>0</v>
      </c>
      <c r="M124" s="41">
        <v>914085</v>
      </c>
      <c r="N124" s="41">
        <v>2250</v>
      </c>
      <c r="O124" s="41">
        <v>345</v>
      </c>
      <c r="P124" s="51">
        <v>156</v>
      </c>
    </row>
    <row r="125" spans="1:16">
      <c r="A125" s="44" t="s">
        <v>366</v>
      </c>
      <c r="B125" s="35">
        <v>331</v>
      </c>
      <c r="C125" s="42" t="s">
        <v>163</v>
      </c>
      <c r="D125" s="50">
        <v>9846394</v>
      </c>
      <c r="E125" s="50">
        <v>401422</v>
      </c>
      <c r="F125" s="41">
        <v>355564</v>
      </c>
      <c r="G125" s="41">
        <v>966484</v>
      </c>
      <c r="H125" s="41">
        <v>0</v>
      </c>
      <c r="I125" s="41">
        <v>268074</v>
      </c>
      <c r="J125" s="41">
        <v>0</v>
      </c>
      <c r="K125" s="41">
        <v>99770</v>
      </c>
      <c r="L125" s="41">
        <v>0</v>
      </c>
      <c r="M125" s="41">
        <v>99770</v>
      </c>
      <c r="N125" s="41">
        <v>0</v>
      </c>
      <c r="O125" s="41">
        <v>738</v>
      </c>
      <c r="P125" s="51">
        <v>346</v>
      </c>
    </row>
    <row r="126" spans="1:16">
      <c r="A126" s="44" t="s">
        <v>366</v>
      </c>
      <c r="B126" s="35">
        <v>332</v>
      </c>
      <c r="C126" s="42" t="s">
        <v>164</v>
      </c>
      <c r="D126" s="50">
        <v>2202784</v>
      </c>
      <c r="E126" s="50">
        <v>44859</v>
      </c>
      <c r="F126" s="41">
        <v>106664</v>
      </c>
      <c r="G126" s="41">
        <v>0</v>
      </c>
      <c r="H126" s="41">
        <v>0</v>
      </c>
      <c r="I126" s="41">
        <v>32430</v>
      </c>
      <c r="J126" s="41">
        <v>0</v>
      </c>
      <c r="K126" s="41">
        <v>66240</v>
      </c>
      <c r="L126" s="41">
        <v>0</v>
      </c>
      <c r="M126" s="41">
        <v>66240</v>
      </c>
      <c r="N126" s="41">
        <v>0</v>
      </c>
      <c r="O126" s="41">
        <v>113</v>
      </c>
      <c r="P126" s="51">
        <v>61</v>
      </c>
    </row>
    <row r="127" spans="1:16">
      <c r="A127" s="44" t="s">
        <v>352</v>
      </c>
      <c r="B127" s="35">
        <v>333</v>
      </c>
      <c r="C127" s="42" t="s">
        <v>165</v>
      </c>
      <c r="D127" s="50">
        <v>10301476</v>
      </c>
      <c r="E127" s="50">
        <v>343393</v>
      </c>
      <c r="F127" s="41">
        <v>415177</v>
      </c>
      <c r="G127" s="41">
        <v>439361</v>
      </c>
      <c r="H127" s="41">
        <v>954016</v>
      </c>
      <c r="I127" s="41">
        <v>289245</v>
      </c>
      <c r="J127" s="41">
        <v>0</v>
      </c>
      <c r="K127" s="41">
        <v>53484</v>
      </c>
      <c r="L127" s="41">
        <v>3959583</v>
      </c>
      <c r="M127" s="41">
        <v>4013067</v>
      </c>
      <c r="N127" s="41">
        <v>8000</v>
      </c>
      <c r="O127" s="41">
        <v>770</v>
      </c>
      <c r="P127" s="51">
        <v>350</v>
      </c>
    </row>
    <row r="128" spans="1:16">
      <c r="A128" s="44" t="s">
        <v>362</v>
      </c>
      <c r="B128" s="35">
        <v>334</v>
      </c>
      <c r="C128" s="42" t="s">
        <v>166</v>
      </c>
      <c r="D128" s="50">
        <v>2710386</v>
      </c>
      <c r="E128" s="50">
        <v>89680</v>
      </c>
      <c r="F128" s="41">
        <v>216191</v>
      </c>
      <c r="G128" s="41">
        <v>0</v>
      </c>
      <c r="H128" s="41">
        <v>0</v>
      </c>
      <c r="I128" s="41">
        <v>83609</v>
      </c>
      <c r="J128" s="41">
        <v>0</v>
      </c>
      <c r="K128" s="41">
        <v>16942</v>
      </c>
      <c r="L128" s="41">
        <v>0</v>
      </c>
      <c r="M128" s="41">
        <v>16942</v>
      </c>
      <c r="N128" s="41">
        <v>0</v>
      </c>
      <c r="O128" s="41">
        <v>157</v>
      </c>
      <c r="P128" s="51">
        <v>102</v>
      </c>
    </row>
    <row r="129" spans="1:17">
      <c r="A129" s="44" t="s">
        <v>356</v>
      </c>
      <c r="B129" s="35">
        <v>335</v>
      </c>
      <c r="C129" s="42" t="s">
        <v>167</v>
      </c>
      <c r="D129" s="50">
        <v>3901325</v>
      </c>
      <c r="E129" s="50">
        <v>60095</v>
      </c>
      <c r="F129" s="41">
        <v>202841</v>
      </c>
      <c r="G129" s="41">
        <v>177048</v>
      </c>
      <c r="H129" s="41">
        <v>0</v>
      </c>
      <c r="I129" s="41">
        <v>65901</v>
      </c>
      <c r="J129" s="41">
        <v>0</v>
      </c>
      <c r="K129" s="41">
        <v>2267</v>
      </c>
      <c r="L129" s="41">
        <v>0</v>
      </c>
      <c r="M129" s="41">
        <v>2267</v>
      </c>
      <c r="N129" s="41">
        <v>0</v>
      </c>
      <c r="O129" s="41">
        <v>277</v>
      </c>
      <c r="P129" s="51">
        <v>132</v>
      </c>
    </row>
    <row r="130" spans="1:17">
      <c r="A130" s="44" t="s">
        <v>356</v>
      </c>
      <c r="B130" s="35">
        <v>336</v>
      </c>
      <c r="C130" s="42" t="s">
        <v>168</v>
      </c>
      <c r="D130" s="50">
        <v>9218305</v>
      </c>
      <c r="E130" s="50">
        <v>272701</v>
      </c>
      <c r="F130" s="41">
        <v>416165</v>
      </c>
      <c r="G130" s="41">
        <v>406368</v>
      </c>
      <c r="H130" s="41">
        <v>1166342</v>
      </c>
      <c r="I130" s="41">
        <v>193558</v>
      </c>
      <c r="J130" s="41">
        <v>0</v>
      </c>
      <c r="K130" s="41">
        <v>33085</v>
      </c>
      <c r="L130" s="41">
        <v>3708338</v>
      </c>
      <c r="M130" s="41">
        <v>3741423</v>
      </c>
      <c r="N130" s="41">
        <v>0</v>
      </c>
      <c r="O130" s="41">
        <v>721</v>
      </c>
      <c r="P130" s="51">
        <v>398</v>
      </c>
      <c r="Q130" s="38"/>
    </row>
    <row r="131" spans="1:17">
      <c r="A131" s="44" t="s">
        <v>356</v>
      </c>
      <c r="B131" s="35">
        <v>337</v>
      </c>
      <c r="C131" s="42" t="s">
        <v>169</v>
      </c>
      <c r="D131" s="50">
        <v>9602998</v>
      </c>
      <c r="E131" s="50">
        <v>489063</v>
      </c>
      <c r="F131" s="41">
        <v>1480345</v>
      </c>
      <c r="G131" s="41">
        <v>0</v>
      </c>
      <c r="H131" s="41">
        <v>25701</v>
      </c>
      <c r="I131" s="41">
        <v>154629</v>
      </c>
      <c r="J131" s="41">
        <v>0</v>
      </c>
      <c r="K131" s="41">
        <v>303146</v>
      </c>
      <c r="L131" s="41">
        <v>0</v>
      </c>
      <c r="M131" s="41">
        <v>303146</v>
      </c>
      <c r="N131" s="41">
        <v>0</v>
      </c>
      <c r="O131" s="41">
        <v>639</v>
      </c>
      <c r="P131" s="51">
        <v>314</v>
      </c>
    </row>
    <row r="132" spans="1:17">
      <c r="A132" s="44" t="s">
        <v>375</v>
      </c>
      <c r="B132" s="35">
        <v>338</v>
      </c>
      <c r="C132" s="42" t="s">
        <v>170</v>
      </c>
      <c r="D132" s="50">
        <v>4252080</v>
      </c>
      <c r="E132" s="50">
        <v>114582</v>
      </c>
      <c r="F132" s="41">
        <v>314355</v>
      </c>
      <c r="G132" s="41">
        <v>262783</v>
      </c>
      <c r="H132" s="41">
        <v>0</v>
      </c>
      <c r="I132" s="41">
        <v>63389</v>
      </c>
      <c r="J132" s="41">
        <v>0</v>
      </c>
      <c r="K132" s="41">
        <v>27161</v>
      </c>
      <c r="L132" s="41">
        <v>0</v>
      </c>
      <c r="M132" s="41">
        <v>27161</v>
      </c>
      <c r="N132" s="41">
        <v>0</v>
      </c>
      <c r="O132" s="41">
        <v>263</v>
      </c>
      <c r="P132" s="51">
        <v>154</v>
      </c>
    </row>
    <row r="133" spans="1:17">
      <c r="A133" s="44" t="s">
        <v>375</v>
      </c>
      <c r="B133" s="35">
        <v>339</v>
      </c>
      <c r="C133" s="42" t="s">
        <v>171</v>
      </c>
      <c r="D133" s="50">
        <v>4988949</v>
      </c>
      <c r="E133" s="50">
        <v>150766</v>
      </c>
      <c r="F133" s="41">
        <v>281461</v>
      </c>
      <c r="G133" s="41">
        <v>524770</v>
      </c>
      <c r="H133" s="41">
        <v>0</v>
      </c>
      <c r="I133" s="41">
        <v>74031</v>
      </c>
      <c r="J133" s="41">
        <v>0</v>
      </c>
      <c r="K133" s="41">
        <v>30109</v>
      </c>
      <c r="L133" s="41">
        <v>0</v>
      </c>
      <c r="M133" s="41">
        <v>30109</v>
      </c>
      <c r="N133" s="41">
        <v>0</v>
      </c>
      <c r="O133" s="41">
        <v>340</v>
      </c>
      <c r="P133" s="51">
        <v>158</v>
      </c>
    </row>
    <row r="134" spans="1:17">
      <c r="A134" s="44" t="s">
        <v>375</v>
      </c>
      <c r="B134" s="35">
        <v>340</v>
      </c>
      <c r="C134" s="42" t="s">
        <v>172</v>
      </c>
      <c r="D134" s="50">
        <v>8563560</v>
      </c>
      <c r="E134" s="50">
        <v>90990</v>
      </c>
      <c r="F134" s="41">
        <v>253428</v>
      </c>
      <c r="G134" s="41">
        <v>654810</v>
      </c>
      <c r="H134" s="41">
        <v>0</v>
      </c>
      <c r="I134" s="41">
        <v>70325</v>
      </c>
      <c r="J134" s="41">
        <v>0</v>
      </c>
      <c r="K134" s="41">
        <v>36692</v>
      </c>
      <c r="L134" s="41">
        <v>0</v>
      </c>
      <c r="M134" s="41">
        <v>36692</v>
      </c>
      <c r="N134" s="41">
        <v>0</v>
      </c>
      <c r="O134" s="41">
        <v>577</v>
      </c>
      <c r="P134" s="51">
        <v>314</v>
      </c>
    </row>
    <row r="135" spans="1:17">
      <c r="A135" s="44" t="s">
        <v>375</v>
      </c>
      <c r="B135" s="35">
        <v>341</v>
      </c>
      <c r="C135" s="42" t="s">
        <v>173</v>
      </c>
      <c r="D135" s="50">
        <v>5241531</v>
      </c>
      <c r="E135" s="50">
        <v>179405</v>
      </c>
      <c r="F135" s="41">
        <v>219476</v>
      </c>
      <c r="G135" s="41">
        <v>0</v>
      </c>
      <c r="H135" s="41">
        <v>0</v>
      </c>
      <c r="I135" s="41">
        <v>126373</v>
      </c>
      <c r="J135" s="41">
        <v>0</v>
      </c>
      <c r="K135" s="41">
        <v>116485</v>
      </c>
      <c r="L135" s="41">
        <v>0</v>
      </c>
      <c r="M135" s="41">
        <v>116485</v>
      </c>
      <c r="N135" s="41">
        <v>0</v>
      </c>
      <c r="O135" s="41">
        <v>396</v>
      </c>
      <c r="P135" s="51">
        <v>151</v>
      </c>
    </row>
    <row r="136" spans="1:17">
      <c r="A136" s="44" t="s">
        <v>375</v>
      </c>
      <c r="B136" s="35">
        <v>342</v>
      </c>
      <c r="C136" s="42" t="s">
        <v>174</v>
      </c>
      <c r="D136" s="50">
        <v>4542228</v>
      </c>
      <c r="E136" s="50">
        <v>119843</v>
      </c>
      <c r="F136" s="41">
        <v>219321</v>
      </c>
      <c r="G136" s="41">
        <v>0</v>
      </c>
      <c r="H136" s="41">
        <v>0</v>
      </c>
      <c r="I136" s="41">
        <v>61499</v>
      </c>
      <c r="J136" s="41">
        <v>0</v>
      </c>
      <c r="K136" s="41">
        <v>66017</v>
      </c>
      <c r="L136" s="41">
        <v>0</v>
      </c>
      <c r="M136" s="41">
        <v>66017</v>
      </c>
      <c r="N136" s="41">
        <v>0</v>
      </c>
      <c r="O136" s="41">
        <v>364</v>
      </c>
      <c r="P136" s="51">
        <v>159</v>
      </c>
    </row>
    <row r="137" spans="1:17">
      <c r="A137" s="44" t="s">
        <v>375</v>
      </c>
      <c r="B137" s="35">
        <v>343</v>
      </c>
      <c r="C137" s="42" t="s">
        <v>175</v>
      </c>
      <c r="D137" s="50">
        <v>8961515</v>
      </c>
      <c r="E137" s="50">
        <v>195181</v>
      </c>
      <c r="F137" s="41">
        <v>627280</v>
      </c>
      <c r="G137" s="41">
        <v>687505</v>
      </c>
      <c r="H137" s="41">
        <v>0</v>
      </c>
      <c r="I137" s="41">
        <v>112489</v>
      </c>
      <c r="J137" s="41">
        <v>0</v>
      </c>
      <c r="K137" s="41">
        <v>60365</v>
      </c>
      <c r="L137" s="41">
        <v>0</v>
      </c>
      <c r="M137" s="41">
        <v>60365</v>
      </c>
      <c r="N137" s="41">
        <v>60</v>
      </c>
      <c r="O137" s="41">
        <v>614</v>
      </c>
      <c r="P137" s="51">
        <v>352</v>
      </c>
    </row>
    <row r="138" spans="1:17">
      <c r="A138" s="44" t="s">
        <v>371</v>
      </c>
      <c r="B138" s="35">
        <v>344</v>
      </c>
      <c r="C138" s="42" t="s">
        <v>176</v>
      </c>
      <c r="D138" s="50">
        <v>3280060</v>
      </c>
      <c r="E138" s="50">
        <v>136845</v>
      </c>
      <c r="F138" s="41">
        <v>142230</v>
      </c>
      <c r="G138" s="41">
        <v>0</v>
      </c>
      <c r="H138" s="41">
        <v>0</v>
      </c>
      <c r="I138" s="41">
        <v>155650</v>
      </c>
      <c r="J138" s="41">
        <v>0</v>
      </c>
      <c r="K138" s="41">
        <v>25964</v>
      </c>
      <c r="L138" s="41">
        <v>0</v>
      </c>
      <c r="M138" s="41">
        <v>25964</v>
      </c>
      <c r="N138" s="41">
        <v>0</v>
      </c>
      <c r="O138" s="41">
        <v>241</v>
      </c>
      <c r="P138" s="51">
        <v>104</v>
      </c>
    </row>
    <row r="139" spans="1:17">
      <c r="A139" s="37"/>
      <c r="B139" s="35">
        <v>345</v>
      </c>
      <c r="C139" s="42" t="s">
        <v>36</v>
      </c>
      <c r="D139" s="50">
        <v>34317696</v>
      </c>
      <c r="E139" s="50">
        <v>901448</v>
      </c>
      <c r="F139" s="41">
        <v>2211572</v>
      </c>
      <c r="G139" s="41">
        <v>2367188</v>
      </c>
      <c r="H139" s="41">
        <v>1075303</v>
      </c>
      <c r="I139" s="41">
        <v>420932</v>
      </c>
      <c r="J139" s="41">
        <v>0</v>
      </c>
      <c r="K139" s="41">
        <v>4563410</v>
      </c>
      <c r="L139" s="41">
        <v>0</v>
      </c>
      <c r="M139" s="41">
        <v>4563410</v>
      </c>
      <c r="N139" s="41">
        <v>0</v>
      </c>
      <c r="O139" s="41">
        <v>2647</v>
      </c>
      <c r="P139" s="51">
        <v>1148</v>
      </c>
    </row>
    <row r="140" spans="1:17">
      <c r="A140" s="44" t="s">
        <v>371</v>
      </c>
      <c r="B140" s="35">
        <v>346</v>
      </c>
      <c r="C140" s="42" t="s">
        <v>177</v>
      </c>
      <c r="D140" s="50">
        <v>5729740</v>
      </c>
      <c r="E140" s="50">
        <v>193810</v>
      </c>
      <c r="F140" s="41">
        <v>858689</v>
      </c>
      <c r="G140" s="41">
        <v>172417</v>
      </c>
      <c r="H140" s="41">
        <v>0</v>
      </c>
      <c r="I140" s="41">
        <v>133248</v>
      </c>
      <c r="J140" s="41">
        <v>0</v>
      </c>
      <c r="K140" s="41">
        <v>37790</v>
      </c>
      <c r="L140" s="41">
        <v>0</v>
      </c>
      <c r="M140" s="41">
        <v>37790</v>
      </c>
      <c r="N140" s="41">
        <v>1103</v>
      </c>
      <c r="O140" s="41">
        <v>377</v>
      </c>
      <c r="P140" s="51">
        <v>152</v>
      </c>
    </row>
    <row r="141" spans="1:17">
      <c r="A141" s="44" t="s">
        <v>376</v>
      </c>
      <c r="B141" s="35">
        <v>347</v>
      </c>
      <c r="C141" s="42" t="s">
        <v>178</v>
      </c>
      <c r="D141" s="50">
        <v>3811794</v>
      </c>
      <c r="E141" s="50">
        <v>143676</v>
      </c>
      <c r="F141" s="41">
        <v>380388</v>
      </c>
      <c r="G141" s="41">
        <v>0</v>
      </c>
      <c r="H141" s="41">
        <v>0</v>
      </c>
      <c r="I141" s="41">
        <v>84806</v>
      </c>
      <c r="J141" s="41">
        <v>0</v>
      </c>
      <c r="K141" s="41">
        <v>25295</v>
      </c>
      <c r="L141" s="41">
        <v>0</v>
      </c>
      <c r="M141" s="41">
        <v>25295</v>
      </c>
      <c r="N141" s="41">
        <v>83882</v>
      </c>
      <c r="O141" s="41">
        <v>275</v>
      </c>
      <c r="P141" s="51">
        <v>112</v>
      </c>
    </row>
    <row r="142" spans="1:17">
      <c r="A142" s="44" t="s">
        <v>372</v>
      </c>
      <c r="B142" s="35">
        <v>348</v>
      </c>
      <c r="C142" s="42" t="s">
        <v>179</v>
      </c>
      <c r="D142" s="50">
        <v>13155681</v>
      </c>
      <c r="E142" s="50">
        <v>196659</v>
      </c>
      <c r="F142" s="41">
        <v>554890</v>
      </c>
      <c r="G142" s="41">
        <v>2265308</v>
      </c>
      <c r="H142" s="41">
        <v>0</v>
      </c>
      <c r="I142" s="41">
        <v>151758</v>
      </c>
      <c r="J142" s="41">
        <v>0</v>
      </c>
      <c r="K142" s="41">
        <v>218719</v>
      </c>
      <c r="L142" s="41">
        <v>0</v>
      </c>
      <c r="M142" s="41">
        <v>218719</v>
      </c>
      <c r="N142" s="41">
        <v>1335</v>
      </c>
      <c r="O142" s="41">
        <v>992</v>
      </c>
      <c r="P142" s="51">
        <v>431</v>
      </c>
    </row>
    <row r="143" spans="1:17">
      <c r="A143" s="44" t="s">
        <v>366</v>
      </c>
      <c r="B143" s="35">
        <v>349</v>
      </c>
      <c r="C143" s="42" t="s">
        <v>180</v>
      </c>
      <c r="D143" s="50">
        <v>2926642</v>
      </c>
      <c r="E143" s="50">
        <v>277812</v>
      </c>
      <c r="F143" s="41">
        <v>121260</v>
      </c>
      <c r="G143" s="41">
        <v>311865</v>
      </c>
      <c r="H143" s="41">
        <v>0</v>
      </c>
      <c r="I143" s="41">
        <v>101453</v>
      </c>
      <c r="J143" s="41">
        <v>0</v>
      </c>
      <c r="K143" s="41">
        <v>30136</v>
      </c>
      <c r="L143" s="41">
        <v>0</v>
      </c>
      <c r="M143" s="41">
        <v>30136</v>
      </c>
      <c r="N143" s="41">
        <v>0</v>
      </c>
      <c r="O143" s="41">
        <v>163</v>
      </c>
      <c r="P143" s="51">
        <v>117</v>
      </c>
    </row>
    <row r="144" spans="1:17">
      <c r="A144" s="44" t="s">
        <v>366</v>
      </c>
      <c r="B144" s="35">
        <v>350</v>
      </c>
      <c r="C144" s="42" t="s">
        <v>181</v>
      </c>
      <c r="D144" s="50">
        <v>3706271</v>
      </c>
      <c r="E144" s="50">
        <v>139898</v>
      </c>
      <c r="F144" s="41">
        <v>240207</v>
      </c>
      <c r="G144" s="41">
        <v>217653</v>
      </c>
      <c r="H144" s="41">
        <v>0</v>
      </c>
      <c r="I144" s="41">
        <v>91976</v>
      </c>
      <c r="J144" s="41">
        <v>0</v>
      </c>
      <c r="K144" s="41">
        <v>16825</v>
      </c>
      <c r="L144" s="41">
        <v>0</v>
      </c>
      <c r="M144" s="41">
        <v>16825</v>
      </c>
      <c r="N144" s="41">
        <v>0</v>
      </c>
      <c r="O144" s="41">
        <v>226</v>
      </c>
      <c r="P144" s="51">
        <v>93</v>
      </c>
    </row>
    <row r="145" spans="1:16">
      <c r="A145" s="44" t="s">
        <v>366</v>
      </c>
      <c r="B145" s="35">
        <v>351</v>
      </c>
      <c r="C145" s="42" t="s">
        <v>182</v>
      </c>
      <c r="D145" s="50">
        <v>2742663</v>
      </c>
      <c r="E145" s="50">
        <v>117802</v>
      </c>
      <c r="F145" s="41">
        <v>133294</v>
      </c>
      <c r="G145" s="41">
        <v>0</v>
      </c>
      <c r="H145" s="41">
        <v>0</v>
      </c>
      <c r="I145" s="41">
        <v>85740</v>
      </c>
      <c r="J145" s="41">
        <v>0</v>
      </c>
      <c r="K145" s="41">
        <v>6486</v>
      </c>
      <c r="L145" s="41">
        <v>0</v>
      </c>
      <c r="M145" s="41">
        <v>6486</v>
      </c>
      <c r="N145" s="41">
        <v>72410</v>
      </c>
      <c r="O145" s="41">
        <v>183</v>
      </c>
      <c r="P145" s="51">
        <v>102</v>
      </c>
    </row>
    <row r="146" spans="1:16">
      <c r="A146" s="44" t="s">
        <v>350</v>
      </c>
      <c r="B146" s="35">
        <v>352</v>
      </c>
      <c r="C146" s="42" t="s">
        <v>183</v>
      </c>
      <c r="D146" s="50">
        <v>9203874</v>
      </c>
      <c r="E146" s="50">
        <v>337630</v>
      </c>
      <c r="F146" s="41">
        <v>656729</v>
      </c>
      <c r="G146" s="41">
        <v>0</v>
      </c>
      <c r="H146" s="41">
        <v>0</v>
      </c>
      <c r="I146" s="41">
        <v>255247</v>
      </c>
      <c r="J146" s="41">
        <v>0</v>
      </c>
      <c r="K146" s="41">
        <v>665664</v>
      </c>
      <c r="L146" s="41">
        <v>0</v>
      </c>
      <c r="M146" s="41">
        <v>665664</v>
      </c>
      <c r="N146" s="41">
        <v>131847</v>
      </c>
      <c r="O146" s="41">
        <v>666</v>
      </c>
      <c r="P146" s="51">
        <v>302</v>
      </c>
    </row>
    <row r="147" spans="1:16">
      <c r="A147" s="37"/>
      <c r="B147" s="35">
        <v>353</v>
      </c>
      <c r="C147" s="42" t="s">
        <v>37</v>
      </c>
      <c r="D147" s="50">
        <v>17264934</v>
      </c>
      <c r="E147" s="50">
        <v>1202943</v>
      </c>
      <c r="F147" s="41">
        <v>399856</v>
      </c>
      <c r="G147" s="41">
        <v>1761051</v>
      </c>
      <c r="H147" s="41">
        <v>609449</v>
      </c>
      <c r="I147" s="41">
        <v>574719</v>
      </c>
      <c r="J147" s="41">
        <v>0</v>
      </c>
      <c r="K147" s="41">
        <v>2266974</v>
      </c>
      <c r="L147" s="41">
        <v>0</v>
      </c>
      <c r="M147" s="41">
        <v>2266974</v>
      </c>
      <c r="N147" s="41">
        <v>0</v>
      </c>
      <c r="O147" s="41">
        <v>1199</v>
      </c>
      <c r="P147" s="51">
        <v>557</v>
      </c>
    </row>
    <row r="148" spans="1:16">
      <c r="A148" s="44" t="s">
        <v>377</v>
      </c>
      <c r="B148" s="35">
        <v>355</v>
      </c>
      <c r="C148" s="42" t="s">
        <v>184</v>
      </c>
      <c r="D148" s="50">
        <v>4363636</v>
      </c>
      <c r="E148" s="50">
        <v>105971</v>
      </c>
      <c r="F148" s="41">
        <v>253181</v>
      </c>
      <c r="G148" s="41">
        <v>495466</v>
      </c>
      <c r="H148" s="41">
        <v>0</v>
      </c>
      <c r="I148" s="41">
        <v>76707</v>
      </c>
      <c r="J148" s="41">
        <v>0</v>
      </c>
      <c r="K148" s="41">
        <v>37617</v>
      </c>
      <c r="L148" s="41">
        <v>0</v>
      </c>
      <c r="M148" s="41">
        <v>37617</v>
      </c>
      <c r="N148" s="41">
        <v>0</v>
      </c>
      <c r="O148" s="41">
        <v>299</v>
      </c>
      <c r="P148" s="51">
        <v>150</v>
      </c>
    </row>
    <row r="149" spans="1:16">
      <c r="A149" s="44" t="s">
        <v>367</v>
      </c>
      <c r="B149" s="35">
        <v>356</v>
      </c>
      <c r="C149" s="42" t="s">
        <v>185</v>
      </c>
      <c r="D149" s="50">
        <v>5828482</v>
      </c>
      <c r="E149" s="50">
        <v>143047</v>
      </c>
      <c r="F149" s="41">
        <v>257009</v>
      </c>
      <c r="G149" s="41">
        <v>873410</v>
      </c>
      <c r="H149" s="41">
        <v>0</v>
      </c>
      <c r="I149" s="41">
        <v>86717</v>
      </c>
      <c r="J149" s="41">
        <v>0</v>
      </c>
      <c r="K149" s="41">
        <v>75738</v>
      </c>
      <c r="L149" s="41">
        <v>0</v>
      </c>
      <c r="M149" s="41">
        <v>75738</v>
      </c>
      <c r="N149" s="41">
        <v>0</v>
      </c>
      <c r="O149" s="41">
        <v>394</v>
      </c>
      <c r="P149" s="51">
        <v>226</v>
      </c>
    </row>
    <row r="150" spans="1:16">
      <c r="A150" s="44" t="s">
        <v>378</v>
      </c>
      <c r="B150" s="35">
        <v>357</v>
      </c>
      <c r="C150" s="42" t="s">
        <v>186</v>
      </c>
      <c r="D150" s="50">
        <v>6639435</v>
      </c>
      <c r="E150" s="50">
        <v>118937</v>
      </c>
      <c r="F150" s="41">
        <v>567035</v>
      </c>
      <c r="G150" s="41">
        <v>617045</v>
      </c>
      <c r="H150" s="41">
        <v>0</v>
      </c>
      <c r="I150" s="41">
        <v>97690</v>
      </c>
      <c r="J150" s="41">
        <v>0</v>
      </c>
      <c r="K150" s="41">
        <v>0</v>
      </c>
      <c r="L150" s="41">
        <v>0</v>
      </c>
      <c r="M150" s="41">
        <v>0</v>
      </c>
      <c r="N150" s="41">
        <v>0</v>
      </c>
      <c r="O150" s="41">
        <v>445</v>
      </c>
      <c r="P150" s="51">
        <v>204</v>
      </c>
    </row>
    <row r="151" spans="1:16">
      <c r="A151" s="44" t="s">
        <v>378</v>
      </c>
      <c r="B151" s="35">
        <v>358</v>
      </c>
      <c r="C151" s="42" t="s">
        <v>187</v>
      </c>
      <c r="D151" s="50">
        <v>3956441</v>
      </c>
      <c r="E151" s="50">
        <v>231606</v>
      </c>
      <c r="F151" s="41">
        <v>399236</v>
      </c>
      <c r="G151" s="41">
        <v>392008</v>
      </c>
      <c r="H151" s="41">
        <v>0</v>
      </c>
      <c r="I151" s="41">
        <v>65930</v>
      </c>
      <c r="J151" s="41">
        <v>0</v>
      </c>
      <c r="K151" s="41">
        <v>604</v>
      </c>
      <c r="L151" s="41">
        <v>0</v>
      </c>
      <c r="M151" s="41">
        <v>604</v>
      </c>
      <c r="N151" s="41">
        <v>0</v>
      </c>
      <c r="O151" s="41">
        <v>222</v>
      </c>
      <c r="P151" s="51">
        <v>127</v>
      </c>
    </row>
    <row r="152" spans="1:16">
      <c r="A152" s="44" t="s">
        <v>378</v>
      </c>
      <c r="B152" s="35">
        <v>359</v>
      </c>
      <c r="C152" s="42" t="s">
        <v>188</v>
      </c>
      <c r="D152" s="50">
        <v>1835745</v>
      </c>
      <c r="E152" s="50">
        <v>71931</v>
      </c>
      <c r="F152" s="41">
        <v>71925</v>
      </c>
      <c r="G152" s="41">
        <v>0</v>
      </c>
      <c r="H152" s="41">
        <v>0</v>
      </c>
      <c r="I152" s="41">
        <v>40878</v>
      </c>
      <c r="J152" s="41">
        <v>0</v>
      </c>
      <c r="K152" s="41">
        <v>0</v>
      </c>
      <c r="L152" s="41">
        <v>0</v>
      </c>
      <c r="M152" s="41">
        <v>0</v>
      </c>
      <c r="N152" s="41">
        <v>0</v>
      </c>
      <c r="O152" s="41">
        <v>123</v>
      </c>
      <c r="P152" s="51">
        <v>56</v>
      </c>
    </row>
    <row r="153" spans="1:16">
      <c r="A153" s="44" t="s">
        <v>378</v>
      </c>
      <c r="B153" s="35">
        <v>360</v>
      </c>
      <c r="C153" s="42" t="s">
        <v>189</v>
      </c>
      <c r="D153" s="50">
        <v>3167568</v>
      </c>
      <c r="E153" s="50">
        <v>82478</v>
      </c>
      <c r="F153" s="41">
        <v>323848</v>
      </c>
      <c r="G153" s="41">
        <v>365632</v>
      </c>
      <c r="H153" s="41">
        <v>0</v>
      </c>
      <c r="I153" s="41">
        <v>97514</v>
      </c>
      <c r="J153" s="41">
        <v>0</v>
      </c>
      <c r="K153" s="41">
        <v>0</v>
      </c>
      <c r="L153" s="41">
        <v>0</v>
      </c>
      <c r="M153" s="41">
        <v>0</v>
      </c>
      <c r="N153" s="41">
        <v>0</v>
      </c>
      <c r="O153" s="41">
        <v>166</v>
      </c>
      <c r="P153" s="51">
        <v>90</v>
      </c>
    </row>
    <row r="154" spans="1:16">
      <c r="A154" s="44" t="s">
        <v>366</v>
      </c>
      <c r="B154" s="35">
        <v>361</v>
      </c>
      <c r="C154" s="42" t="s">
        <v>190</v>
      </c>
      <c r="D154" s="50">
        <v>8353126</v>
      </c>
      <c r="E154" s="50">
        <v>518792</v>
      </c>
      <c r="F154" s="41">
        <v>454890</v>
      </c>
      <c r="G154" s="41">
        <v>300035</v>
      </c>
      <c r="H154" s="41">
        <v>0</v>
      </c>
      <c r="I154" s="41">
        <v>208347</v>
      </c>
      <c r="J154" s="41">
        <v>0</v>
      </c>
      <c r="K154" s="41">
        <v>141293</v>
      </c>
      <c r="L154" s="41">
        <v>0</v>
      </c>
      <c r="M154" s="41">
        <v>141293</v>
      </c>
      <c r="N154" s="41">
        <v>7802</v>
      </c>
      <c r="O154" s="41">
        <v>625</v>
      </c>
      <c r="P154" s="51">
        <v>268</v>
      </c>
    </row>
    <row r="155" spans="1:16">
      <c r="A155" s="44" t="s">
        <v>371</v>
      </c>
      <c r="B155" s="35">
        <v>362</v>
      </c>
      <c r="C155" s="42" t="s">
        <v>191</v>
      </c>
      <c r="D155" s="50">
        <v>10452273</v>
      </c>
      <c r="E155" s="50">
        <v>220451</v>
      </c>
      <c r="F155" s="41">
        <v>632209</v>
      </c>
      <c r="G155" s="41">
        <v>811265</v>
      </c>
      <c r="H155" s="41">
        <v>0</v>
      </c>
      <c r="I155" s="41">
        <v>185251</v>
      </c>
      <c r="J155" s="41">
        <v>0</v>
      </c>
      <c r="K155" s="41">
        <v>371924</v>
      </c>
      <c r="L155" s="41">
        <v>0</v>
      </c>
      <c r="M155" s="41">
        <v>371924</v>
      </c>
      <c r="N155" s="41">
        <v>59189</v>
      </c>
      <c r="O155" s="41">
        <v>692</v>
      </c>
      <c r="P155" s="51">
        <v>302</v>
      </c>
    </row>
    <row r="156" spans="1:16">
      <c r="A156" s="44" t="s">
        <v>358</v>
      </c>
      <c r="B156" s="35">
        <v>363</v>
      </c>
      <c r="C156" s="42" t="s">
        <v>192</v>
      </c>
      <c r="D156" s="50">
        <v>9375928</v>
      </c>
      <c r="E156" s="50">
        <v>177220</v>
      </c>
      <c r="F156" s="41">
        <v>483089</v>
      </c>
      <c r="G156" s="41">
        <v>1171983</v>
      </c>
      <c r="H156" s="41">
        <v>0</v>
      </c>
      <c r="I156" s="41">
        <v>140434</v>
      </c>
      <c r="J156" s="41">
        <v>4731</v>
      </c>
      <c r="K156" s="41">
        <v>3669</v>
      </c>
      <c r="L156" s="41">
        <v>0</v>
      </c>
      <c r="M156" s="41">
        <v>3669</v>
      </c>
      <c r="N156" s="41">
        <v>170866</v>
      </c>
      <c r="O156" s="41">
        <v>733</v>
      </c>
      <c r="P156" s="51">
        <v>294</v>
      </c>
    </row>
    <row r="157" spans="1:16">
      <c r="A157" s="44" t="s">
        <v>379</v>
      </c>
      <c r="B157" s="35">
        <v>364</v>
      </c>
      <c r="C157" s="42" t="s">
        <v>193</v>
      </c>
      <c r="D157" s="50">
        <v>7295604</v>
      </c>
      <c r="E157" s="50">
        <v>180784</v>
      </c>
      <c r="F157" s="41">
        <v>717018</v>
      </c>
      <c r="G157" s="41">
        <v>0</v>
      </c>
      <c r="H157" s="41">
        <v>400744</v>
      </c>
      <c r="I157" s="41">
        <v>142677</v>
      </c>
      <c r="J157" s="41">
        <v>0</v>
      </c>
      <c r="K157" s="41">
        <v>0</v>
      </c>
      <c r="L157" s="41">
        <v>1879646</v>
      </c>
      <c r="M157" s="41">
        <v>1879646</v>
      </c>
      <c r="N157" s="41">
        <v>0</v>
      </c>
      <c r="O157" s="41">
        <v>518</v>
      </c>
      <c r="P157" s="51">
        <v>235</v>
      </c>
    </row>
    <row r="158" spans="1:16">
      <c r="A158" s="44" t="s">
        <v>371</v>
      </c>
      <c r="B158" s="35">
        <v>365</v>
      </c>
      <c r="C158" s="42" t="s">
        <v>194</v>
      </c>
      <c r="D158" s="50">
        <v>10331919</v>
      </c>
      <c r="E158" s="50">
        <v>403617</v>
      </c>
      <c r="F158" s="41">
        <v>565497</v>
      </c>
      <c r="G158" s="41">
        <v>603907</v>
      </c>
      <c r="H158" s="41">
        <v>0</v>
      </c>
      <c r="I158" s="41">
        <v>316728</v>
      </c>
      <c r="J158" s="41">
        <v>0</v>
      </c>
      <c r="K158" s="41">
        <v>189678</v>
      </c>
      <c r="L158" s="41">
        <v>0</v>
      </c>
      <c r="M158" s="41">
        <v>189678</v>
      </c>
      <c r="N158" s="41">
        <v>0</v>
      </c>
      <c r="O158" s="41">
        <v>811</v>
      </c>
      <c r="P158" s="51">
        <v>320</v>
      </c>
    </row>
    <row r="159" spans="1:16">
      <c r="A159" s="44" t="s">
        <v>348</v>
      </c>
      <c r="B159" s="35">
        <v>366</v>
      </c>
      <c r="C159" s="42" t="s">
        <v>195</v>
      </c>
      <c r="D159" s="50">
        <v>4421941</v>
      </c>
      <c r="E159" s="50">
        <v>286819</v>
      </c>
      <c r="F159" s="41">
        <v>119528</v>
      </c>
      <c r="G159" s="41">
        <v>0</v>
      </c>
      <c r="H159" s="41">
        <v>0</v>
      </c>
      <c r="I159" s="41">
        <v>130445</v>
      </c>
      <c r="J159" s="41">
        <v>0</v>
      </c>
      <c r="K159" s="41">
        <v>92604</v>
      </c>
      <c r="L159" s="41">
        <v>0</v>
      </c>
      <c r="M159" s="41">
        <v>92604</v>
      </c>
      <c r="N159" s="41">
        <v>0</v>
      </c>
      <c r="O159" s="41">
        <v>343</v>
      </c>
      <c r="P159" s="51">
        <v>116</v>
      </c>
    </row>
    <row r="160" spans="1:16">
      <c r="A160" s="44" t="s">
        <v>371</v>
      </c>
      <c r="B160" s="35">
        <v>367</v>
      </c>
      <c r="C160" s="42" t="s">
        <v>196</v>
      </c>
      <c r="D160" s="50">
        <v>11495429</v>
      </c>
      <c r="E160" s="50">
        <v>367131</v>
      </c>
      <c r="F160" s="41">
        <v>242542</v>
      </c>
      <c r="G160" s="41">
        <v>1149245</v>
      </c>
      <c r="H160" s="41">
        <v>0</v>
      </c>
      <c r="I160" s="41">
        <v>278913</v>
      </c>
      <c r="J160" s="41">
        <v>0</v>
      </c>
      <c r="K160" s="41">
        <v>370096</v>
      </c>
      <c r="L160" s="41">
        <v>0</v>
      </c>
      <c r="M160" s="41">
        <v>370096</v>
      </c>
      <c r="N160" s="41">
        <v>0</v>
      </c>
      <c r="O160" s="41">
        <v>826</v>
      </c>
      <c r="P160" s="51">
        <v>357</v>
      </c>
    </row>
    <row r="161" spans="1:16">
      <c r="A161" s="44" t="s">
        <v>371</v>
      </c>
      <c r="B161" s="35">
        <v>368</v>
      </c>
      <c r="C161" s="42" t="s">
        <v>197</v>
      </c>
      <c r="D161" s="50">
        <v>17697356</v>
      </c>
      <c r="E161" s="50">
        <v>412665</v>
      </c>
      <c r="F161" s="41">
        <v>564777</v>
      </c>
      <c r="G161" s="41">
        <v>2432473</v>
      </c>
      <c r="H161" s="41">
        <v>2716520</v>
      </c>
      <c r="I161" s="41">
        <v>346527</v>
      </c>
      <c r="J161" s="41">
        <v>0</v>
      </c>
      <c r="K161" s="41">
        <v>209624</v>
      </c>
      <c r="L161" s="41">
        <v>9372915</v>
      </c>
      <c r="M161" s="41">
        <v>9582539</v>
      </c>
      <c r="N161" s="41">
        <v>2407</v>
      </c>
      <c r="O161" s="41">
        <v>1398</v>
      </c>
      <c r="P161" s="51">
        <v>685</v>
      </c>
    </row>
    <row r="162" spans="1:16">
      <c r="A162" s="44" t="s">
        <v>367</v>
      </c>
      <c r="B162" s="35">
        <v>369</v>
      </c>
      <c r="C162" s="42" t="s">
        <v>198</v>
      </c>
      <c r="D162" s="50">
        <v>2887076</v>
      </c>
      <c r="E162" s="50">
        <v>65621</v>
      </c>
      <c r="F162" s="41">
        <v>168092</v>
      </c>
      <c r="G162" s="41">
        <v>119038</v>
      </c>
      <c r="H162" s="41">
        <v>0</v>
      </c>
      <c r="I162" s="41">
        <v>97518</v>
      </c>
      <c r="J162" s="41">
        <v>0</v>
      </c>
      <c r="K162" s="41">
        <v>66442</v>
      </c>
      <c r="L162" s="41">
        <v>0</v>
      </c>
      <c r="M162" s="41">
        <v>66442</v>
      </c>
      <c r="N162" s="41">
        <v>0</v>
      </c>
      <c r="O162" s="41">
        <v>188</v>
      </c>
      <c r="P162" s="51">
        <v>72</v>
      </c>
    </row>
    <row r="163" spans="1:16">
      <c r="A163" s="44" t="s">
        <v>358</v>
      </c>
      <c r="B163" s="35">
        <v>371</v>
      </c>
      <c r="C163" s="42" t="s">
        <v>199</v>
      </c>
      <c r="D163" s="50">
        <v>2735079</v>
      </c>
      <c r="E163" s="50">
        <v>149092</v>
      </c>
      <c r="F163" s="41">
        <v>114954</v>
      </c>
      <c r="G163" s="41">
        <v>269895</v>
      </c>
      <c r="H163" s="41">
        <v>0</v>
      </c>
      <c r="I163" s="41">
        <v>58479</v>
      </c>
      <c r="J163" s="41">
        <v>0</v>
      </c>
      <c r="K163" s="41">
        <v>161</v>
      </c>
      <c r="L163" s="41">
        <v>0</v>
      </c>
      <c r="M163" s="41">
        <v>161</v>
      </c>
      <c r="N163" s="41">
        <v>112935</v>
      </c>
      <c r="O163" s="41">
        <v>149</v>
      </c>
      <c r="P163" s="51">
        <v>99</v>
      </c>
    </row>
    <row r="164" spans="1:16">
      <c r="A164" s="37"/>
      <c r="B164" s="35">
        <v>372</v>
      </c>
      <c r="C164" s="42" t="s">
        <v>38</v>
      </c>
      <c r="D164" s="50">
        <v>7288442</v>
      </c>
      <c r="E164" s="50">
        <v>66360</v>
      </c>
      <c r="F164" s="41">
        <v>294143</v>
      </c>
      <c r="G164" s="41">
        <v>589240</v>
      </c>
      <c r="H164" s="41">
        <v>214975</v>
      </c>
      <c r="I164" s="41">
        <v>55087</v>
      </c>
      <c r="J164" s="41">
        <v>0</v>
      </c>
      <c r="K164" s="41">
        <v>693020</v>
      </c>
      <c r="L164" s="41">
        <v>0</v>
      </c>
      <c r="M164" s="41">
        <v>693020</v>
      </c>
      <c r="N164" s="41">
        <v>0</v>
      </c>
      <c r="O164" s="41">
        <v>505</v>
      </c>
      <c r="P164" s="51">
        <v>246</v>
      </c>
    </row>
    <row r="165" spans="1:16">
      <c r="A165" s="44" t="s">
        <v>380</v>
      </c>
      <c r="B165" s="35">
        <v>373</v>
      </c>
      <c r="C165" s="42" t="s">
        <v>200</v>
      </c>
      <c r="D165" s="50">
        <v>31550479</v>
      </c>
      <c r="E165" s="50">
        <v>1269661</v>
      </c>
      <c r="F165" s="41">
        <v>1581509</v>
      </c>
      <c r="G165" s="41">
        <v>3844749</v>
      </c>
      <c r="H165" s="41">
        <v>1812718</v>
      </c>
      <c r="I165" s="41">
        <v>846770</v>
      </c>
      <c r="J165" s="41">
        <v>24224</v>
      </c>
      <c r="K165" s="41">
        <v>361559</v>
      </c>
      <c r="L165" s="41">
        <v>5215191</v>
      </c>
      <c r="M165" s="41">
        <v>5576750</v>
      </c>
      <c r="N165" s="41">
        <v>557931</v>
      </c>
      <c r="O165" s="41">
        <v>2564</v>
      </c>
      <c r="P165" s="51">
        <v>1075</v>
      </c>
    </row>
    <row r="166" spans="1:16">
      <c r="A166" s="44" t="s">
        <v>358</v>
      </c>
      <c r="B166" s="35">
        <v>374</v>
      </c>
      <c r="C166" s="42" t="s">
        <v>201</v>
      </c>
      <c r="D166" s="50">
        <v>6877325</v>
      </c>
      <c r="E166" s="50">
        <v>224882</v>
      </c>
      <c r="F166" s="41">
        <v>875747</v>
      </c>
      <c r="G166" s="41">
        <v>586806</v>
      </c>
      <c r="H166" s="41">
        <v>0</v>
      </c>
      <c r="I166" s="41">
        <v>102224</v>
      </c>
      <c r="J166" s="41">
        <v>15134</v>
      </c>
      <c r="K166" s="41">
        <v>1260</v>
      </c>
      <c r="L166" s="41">
        <v>0</v>
      </c>
      <c r="M166" s="41">
        <v>1260</v>
      </c>
      <c r="N166" s="41">
        <v>264567</v>
      </c>
      <c r="O166" s="41">
        <v>350</v>
      </c>
      <c r="P166" s="51">
        <v>170</v>
      </c>
    </row>
    <row r="167" spans="1:16">
      <c r="A167" s="44" t="s">
        <v>360</v>
      </c>
      <c r="B167" s="35">
        <v>375</v>
      </c>
      <c r="C167" s="42" t="s">
        <v>202</v>
      </c>
      <c r="D167" s="50">
        <v>16614828</v>
      </c>
      <c r="E167" s="50">
        <v>313037</v>
      </c>
      <c r="F167" s="41">
        <v>680640</v>
      </c>
      <c r="G167" s="41">
        <v>2524045</v>
      </c>
      <c r="H167" s="41">
        <v>0</v>
      </c>
      <c r="I167" s="41">
        <v>249965</v>
      </c>
      <c r="J167" s="41">
        <v>0</v>
      </c>
      <c r="K167" s="41">
        <v>170040</v>
      </c>
      <c r="L167" s="41">
        <v>0</v>
      </c>
      <c r="M167" s="41">
        <v>170040</v>
      </c>
      <c r="N167" s="41">
        <v>0</v>
      </c>
      <c r="O167" s="41">
        <v>1250</v>
      </c>
      <c r="P167" s="51">
        <v>579</v>
      </c>
    </row>
    <row r="168" spans="1:16">
      <c r="A168" s="44" t="s">
        <v>381</v>
      </c>
      <c r="B168" s="35">
        <v>376</v>
      </c>
      <c r="C168" s="42" t="s">
        <v>203</v>
      </c>
      <c r="D168" s="50">
        <v>6113424</v>
      </c>
      <c r="E168" s="50">
        <v>119678</v>
      </c>
      <c r="F168" s="41">
        <v>68316</v>
      </c>
      <c r="G168" s="41">
        <v>986775</v>
      </c>
      <c r="H168" s="41">
        <v>0</v>
      </c>
      <c r="I168" s="41">
        <v>94691</v>
      </c>
      <c r="J168" s="41">
        <v>0</v>
      </c>
      <c r="K168" s="41">
        <v>39834</v>
      </c>
      <c r="L168" s="41">
        <v>0</v>
      </c>
      <c r="M168" s="41">
        <v>39834</v>
      </c>
      <c r="N168" s="41">
        <v>0</v>
      </c>
      <c r="O168" s="41">
        <v>386</v>
      </c>
      <c r="P168" s="51">
        <v>161</v>
      </c>
    </row>
    <row r="169" spans="1:16">
      <c r="A169" s="44" t="s">
        <v>375</v>
      </c>
      <c r="B169" s="35">
        <v>377</v>
      </c>
      <c r="C169" s="42" t="s">
        <v>204</v>
      </c>
      <c r="D169" s="50">
        <v>6494818</v>
      </c>
      <c r="E169" s="50">
        <v>157411</v>
      </c>
      <c r="F169" s="41">
        <v>438227</v>
      </c>
      <c r="G169" s="41">
        <v>0</v>
      </c>
      <c r="H169" s="41">
        <v>0</v>
      </c>
      <c r="I169" s="41">
        <v>114535</v>
      </c>
      <c r="J169" s="41">
        <v>0</v>
      </c>
      <c r="K169" s="41">
        <v>59389</v>
      </c>
      <c r="L169" s="41">
        <v>0</v>
      </c>
      <c r="M169" s="41">
        <v>59389</v>
      </c>
      <c r="N169" s="41">
        <v>2006</v>
      </c>
      <c r="O169" s="41">
        <v>423</v>
      </c>
      <c r="P169" s="51">
        <v>239</v>
      </c>
    </row>
    <row r="170" spans="1:16">
      <c r="A170" s="44" t="s">
        <v>362</v>
      </c>
      <c r="B170" s="35">
        <v>378</v>
      </c>
      <c r="C170" s="42" t="s">
        <v>205</v>
      </c>
      <c r="D170" s="50">
        <v>6211538</v>
      </c>
      <c r="E170" s="50">
        <v>135418</v>
      </c>
      <c r="F170" s="41">
        <v>336753</v>
      </c>
      <c r="G170" s="41">
        <v>444614</v>
      </c>
      <c r="H170" s="41">
        <v>0</v>
      </c>
      <c r="I170" s="41">
        <v>111353</v>
      </c>
      <c r="J170" s="41">
        <v>0</v>
      </c>
      <c r="K170" s="41">
        <v>59012</v>
      </c>
      <c r="L170" s="41">
        <v>0</v>
      </c>
      <c r="M170" s="41">
        <v>59012</v>
      </c>
      <c r="N170" s="41">
        <v>0</v>
      </c>
      <c r="O170" s="41">
        <v>479</v>
      </c>
      <c r="P170" s="51">
        <v>219</v>
      </c>
    </row>
    <row r="171" spans="1:16">
      <c r="A171" s="44" t="s">
        <v>362</v>
      </c>
      <c r="B171" s="35">
        <v>379</v>
      </c>
      <c r="C171" s="42" t="s">
        <v>206</v>
      </c>
      <c r="D171" s="50">
        <v>11325915</v>
      </c>
      <c r="E171" s="50">
        <v>325420</v>
      </c>
      <c r="F171" s="41">
        <v>639020</v>
      </c>
      <c r="G171" s="41">
        <v>536838</v>
      </c>
      <c r="H171" s="41">
        <v>949817</v>
      </c>
      <c r="I171" s="41">
        <v>250356</v>
      </c>
      <c r="J171" s="41">
        <v>0</v>
      </c>
      <c r="K171" s="41">
        <v>98121</v>
      </c>
      <c r="L171" s="41">
        <v>3721303</v>
      </c>
      <c r="M171" s="41">
        <v>3819424</v>
      </c>
      <c r="N171" s="41">
        <v>9440</v>
      </c>
      <c r="O171" s="41">
        <v>950</v>
      </c>
      <c r="P171" s="51">
        <v>435</v>
      </c>
    </row>
    <row r="172" spans="1:16">
      <c r="A172" s="44" t="s">
        <v>357</v>
      </c>
      <c r="B172" s="35">
        <v>380</v>
      </c>
      <c r="C172" s="42" t="s">
        <v>207</v>
      </c>
      <c r="D172" s="50">
        <v>5571138</v>
      </c>
      <c r="E172" s="50">
        <v>191997</v>
      </c>
      <c r="F172" s="41">
        <v>286520</v>
      </c>
      <c r="G172" s="41">
        <v>266306</v>
      </c>
      <c r="H172" s="41">
        <v>0</v>
      </c>
      <c r="I172" s="41">
        <v>123305</v>
      </c>
      <c r="J172" s="41">
        <v>0</v>
      </c>
      <c r="K172" s="41">
        <v>43850</v>
      </c>
      <c r="L172" s="41">
        <v>0</v>
      </c>
      <c r="M172" s="41">
        <v>43850</v>
      </c>
      <c r="N172" s="41">
        <v>0</v>
      </c>
      <c r="O172" s="41">
        <v>391</v>
      </c>
      <c r="P172" s="51">
        <v>152</v>
      </c>
    </row>
    <row r="173" spans="1:16">
      <c r="A173" s="44" t="s">
        <v>349</v>
      </c>
      <c r="B173" s="35">
        <v>381</v>
      </c>
      <c r="C173" s="42" t="s">
        <v>208</v>
      </c>
      <c r="D173" s="50">
        <v>3440049</v>
      </c>
      <c r="E173" s="50">
        <v>82227</v>
      </c>
      <c r="F173" s="41">
        <v>72008</v>
      </c>
      <c r="G173" s="41">
        <v>259500</v>
      </c>
      <c r="H173" s="41">
        <v>0</v>
      </c>
      <c r="I173" s="41">
        <v>33496</v>
      </c>
      <c r="J173" s="41">
        <v>0</v>
      </c>
      <c r="K173" s="41">
        <v>20780</v>
      </c>
      <c r="L173" s="41">
        <v>0</v>
      </c>
      <c r="M173" s="41">
        <v>20780</v>
      </c>
      <c r="N173" s="41">
        <v>4524</v>
      </c>
      <c r="O173" s="41">
        <v>282</v>
      </c>
      <c r="P173" s="51">
        <v>93</v>
      </c>
    </row>
    <row r="174" spans="1:16">
      <c r="A174" s="44" t="s">
        <v>366</v>
      </c>
      <c r="B174" s="35">
        <v>382</v>
      </c>
      <c r="C174" s="42" t="s">
        <v>209</v>
      </c>
      <c r="D174" s="50">
        <v>10995576</v>
      </c>
      <c r="E174" s="50">
        <v>234876</v>
      </c>
      <c r="F174" s="41">
        <v>924655</v>
      </c>
      <c r="G174" s="41">
        <v>916664</v>
      </c>
      <c r="H174" s="41">
        <v>0</v>
      </c>
      <c r="I174" s="41">
        <v>176439</v>
      </c>
      <c r="J174" s="41">
        <v>0</v>
      </c>
      <c r="K174" s="41">
        <v>132884</v>
      </c>
      <c r="L174" s="41">
        <v>0</v>
      </c>
      <c r="M174" s="41">
        <v>132884</v>
      </c>
      <c r="N174" s="41">
        <v>0</v>
      </c>
      <c r="O174" s="41">
        <v>707</v>
      </c>
      <c r="P174" s="51">
        <v>389</v>
      </c>
    </row>
    <row r="175" spans="1:16">
      <c r="A175" s="37"/>
      <c r="B175" s="35">
        <v>383</v>
      </c>
      <c r="C175" s="42" t="s">
        <v>39</v>
      </c>
      <c r="D175" s="50">
        <v>60014674</v>
      </c>
      <c r="E175" s="50">
        <v>4110476</v>
      </c>
      <c r="F175" s="41">
        <v>3961187</v>
      </c>
      <c r="G175" s="41">
        <v>5975157</v>
      </c>
      <c r="H175" s="41">
        <v>1946491</v>
      </c>
      <c r="I175" s="41">
        <v>1420000</v>
      </c>
      <c r="J175" s="41">
        <v>20351</v>
      </c>
      <c r="K175" s="41">
        <v>7140925</v>
      </c>
      <c r="L175" s="41">
        <v>0</v>
      </c>
      <c r="M175" s="41">
        <v>7140925</v>
      </c>
      <c r="N175" s="41">
        <v>240485</v>
      </c>
      <c r="O175" s="41">
        <v>4338</v>
      </c>
      <c r="P175" s="51">
        <v>1985</v>
      </c>
    </row>
    <row r="176" spans="1:16">
      <c r="A176" s="44" t="s">
        <v>362</v>
      </c>
      <c r="B176" s="35">
        <v>384</v>
      </c>
      <c r="C176" s="42" t="s">
        <v>23</v>
      </c>
      <c r="D176" s="50">
        <v>2729210</v>
      </c>
      <c r="E176" s="50">
        <v>51240</v>
      </c>
      <c r="F176" s="41">
        <v>167130</v>
      </c>
      <c r="G176" s="41">
        <v>177385</v>
      </c>
      <c r="H176" s="41">
        <v>0</v>
      </c>
      <c r="I176" s="41">
        <v>36173</v>
      </c>
      <c r="J176" s="41">
        <v>0</v>
      </c>
      <c r="K176" s="41">
        <v>7491</v>
      </c>
      <c r="L176" s="41">
        <v>0</v>
      </c>
      <c r="M176" s="41">
        <v>7491</v>
      </c>
      <c r="N176" s="41">
        <v>0</v>
      </c>
      <c r="O176" s="41">
        <v>137</v>
      </c>
      <c r="P176" s="51">
        <v>90</v>
      </c>
    </row>
    <row r="177" spans="1:16">
      <c r="A177" s="44" t="s">
        <v>360</v>
      </c>
      <c r="B177" s="35">
        <v>385</v>
      </c>
      <c r="C177" s="42" t="s">
        <v>210</v>
      </c>
      <c r="D177" s="50">
        <v>44185910</v>
      </c>
      <c r="E177" s="50">
        <v>593218</v>
      </c>
      <c r="F177" s="41">
        <v>3133671</v>
      </c>
      <c r="G177" s="41">
        <v>8070629</v>
      </c>
      <c r="H177" s="41">
        <v>0</v>
      </c>
      <c r="I177" s="41">
        <v>237408</v>
      </c>
      <c r="J177" s="41">
        <v>0</v>
      </c>
      <c r="K177" s="41">
        <v>550604</v>
      </c>
      <c r="L177" s="41">
        <v>0</v>
      </c>
      <c r="M177" s="41">
        <v>550604</v>
      </c>
      <c r="N177" s="41">
        <v>91456</v>
      </c>
      <c r="O177" s="41">
        <v>3524</v>
      </c>
      <c r="P177" s="51">
        <v>1629</v>
      </c>
    </row>
    <row r="178" spans="1:16">
      <c r="A178" s="44" t="s">
        <v>365</v>
      </c>
      <c r="B178" s="35">
        <v>386</v>
      </c>
      <c r="C178" s="42" t="s">
        <v>211</v>
      </c>
      <c r="D178" s="50">
        <v>2735492</v>
      </c>
      <c r="E178" s="50">
        <v>124917</v>
      </c>
      <c r="F178" s="41">
        <v>264809</v>
      </c>
      <c r="G178" s="41">
        <v>0</v>
      </c>
      <c r="H178" s="41">
        <v>0</v>
      </c>
      <c r="I178" s="41">
        <v>65720</v>
      </c>
      <c r="J178" s="41">
        <v>0</v>
      </c>
      <c r="K178" s="41">
        <v>19561</v>
      </c>
      <c r="L178" s="41">
        <v>0</v>
      </c>
      <c r="M178" s="41">
        <v>19561</v>
      </c>
      <c r="N178" s="41">
        <v>0</v>
      </c>
      <c r="O178" s="41">
        <v>171</v>
      </c>
      <c r="P178" s="51">
        <v>82</v>
      </c>
    </row>
    <row r="179" spans="1:16">
      <c r="A179" s="44" t="s">
        <v>348</v>
      </c>
      <c r="B179" s="35">
        <v>387</v>
      </c>
      <c r="C179" s="42" t="s">
        <v>212</v>
      </c>
      <c r="D179" s="50">
        <v>2221462</v>
      </c>
      <c r="E179" s="50">
        <v>64026</v>
      </c>
      <c r="F179" s="41">
        <v>72271</v>
      </c>
      <c r="G179" s="41">
        <v>0</v>
      </c>
      <c r="H179" s="41">
        <v>0</v>
      </c>
      <c r="I179" s="41">
        <v>41748</v>
      </c>
      <c r="J179" s="41">
        <v>0</v>
      </c>
      <c r="K179" s="41">
        <v>25913</v>
      </c>
      <c r="L179" s="41">
        <v>0</v>
      </c>
      <c r="M179" s="41">
        <v>25913</v>
      </c>
      <c r="N179" s="41">
        <v>0</v>
      </c>
      <c r="O179" s="41">
        <v>125</v>
      </c>
      <c r="P179" s="51">
        <v>65</v>
      </c>
    </row>
    <row r="180" spans="1:16">
      <c r="A180" s="44" t="s">
        <v>382</v>
      </c>
      <c r="B180" s="35">
        <v>388</v>
      </c>
      <c r="C180" s="42" t="s">
        <v>213</v>
      </c>
      <c r="D180" s="50">
        <v>3746618</v>
      </c>
      <c r="E180" s="50">
        <v>106192</v>
      </c>
      <c r="F180" s="41">
        <v>491585</v>
      </c>
      <c r="G180" s="41">
        <v>0</v>
      </c>
      <c r="H180" s="41">
        <v>0</v>
      </c>
      <c r="I180" s="41">
        <v>60664</v>
      </c>
      <c r="J180" s="41">
        <v>0</v>
      </c>
      <c r="K180" s="41">
        <v>19730</v>
      </c>
      <c r="L180" s="41">
        <v>0</v>
      </c>
      <c r="M180" s="41">
        <v>19730</v>
      </c>
      <c r="N180" s="41">
        <v>0</v>
      </c>
      <c r="O180" s="41">
        <v>267</v>
      </c>
      <c r="P180" s="51">
        <v>148</v>
      </c>
    </row>
    <row r="181" spans="1:16">
      <c r="A181" s="37"/>
      <c r="B181" s="35">
        <v>389</v>
      </c>
      <c r="C181" s="42" t="s">
        <v>40</v>
      </c>
      <c r="D181" s="50">
        <v>7608007</v>
      </c>
      <c r="E181" s="50">
        <v>244442</v>
      </c>
      <c r="F181" s="41">
        <v>548116</v>
      </c>
      <c r="G181" s="41">
        <v>779395</v>
      </c>
      <c r="H181" s="41">
        <v>253657</v>
      </c>
      <c r="I181" s="41">
        <v>203916</v>
      </c>
      <c r="J181" s="41">
        <v>0</v>
      </c>
      <c r="K181" s="41">
        <v>609023</v>
      </c>
      <c r="L181" s="41">
        <v>0</v>
      </c>
      <c r="M181" s="41">
        <v>609023</v>
      </c>
      <c r="N181" s="41">
        <v>0</v>
      </c>
      <c r="O181" s="41">
        <v>478</v>
      </c>
      <c r="P181" s="51">
        <v>192</v>
      </c>
    </row>
    <row r="182" spans="1:16">
      <c r="A182" s="44" t="s">
        <v>365</v>
      </c>
      <c r="B182" s="35">
        <v>390</v>
      </c>
      <c r="C182" s="42" t="s">
        <v>214</v>
      </c>
      <c r="D182" s="50">
        <v>1219612</v>
      </c>
      <c r="E182" s="50">
        <v>50628</v>
      </c>
      <c r="F182" s="41">
        <v>11961</v>
      </c>
      <c r="G182" s="41">
        <v>0</v>
      </c>
      <c r="H182" s="41">
        <v>0</v>
      </c>
      <c r="I182" s="41">
        <v>34892</v>
      </c>
      <c r="J182" s="41">
        <v>0</v>
      </c>
      <c r="K182" s="41">
        <v>21463</v>
      </c>
      <c r="L182" s="41">
        <v>0</v>
      </c>
      <c r="M182" s="41">
        <v>21463</v>
      </c>
      <c r="N182" s="41">
        <v>0</v>
      </c>
      <c r="O182" s="41">
        <v>67</v>
      </c>
      <c r="P182" s="51">
        <v>27</v>
      </c>
    </row>
    <row r="183" spans="1:16">
      <c r="A183" s="44" t="s">
        <v>353</v>
      </c>
      <c r="B183" s="35">
        <v>392</v>
      </c>
      <c r="C183" s="42" t="s">
        <v>215</v>
      </c>
      <c r="D183" s="50">
        <v>3796721</v>
      </c>
      <c r="E183" s="50">
        <v>39696</v>
      </c>
      <c r="F183" s="41">
        <v>127835</v>
      </c>
      <c r="G183" s="41">
        <v>212460</v>
      </c>
      <c r="H183" s="41">
        <v>0</v>
      </c>
      <c r="I183" s="41">
        <v>85779</v>
      </c>
      <c r="J183" s="41">
        <v>0</v>
      </c>
      <c r="K183" s="41">
        <v>42945</v>
      </c>
      <c r="L183" s="41">
        <v>0</v>
      </c>
      <c r="M183" s="41">
        <v>42945</v>
      </c>
      <c r="N183" s="41">
        <v>0</v>
      </c>
      <c r="O183" s="41">
        <v>208</v>
      </c>
      <c r="P183" s="51">
        <v>125</v>
      </c>
    </row>
    <row r="184" spans="1:16">
      <c r="A184" s="44" t="s">
        <v>355</v>
      </c>
      <c r="B184" s="35">
        <v>393</v>
      </c>
      <c r="C184" s="42" t="s">
        <v>216</v>
      </c>
      <c r="D184" s="50">
        <v>3594937</v>
      </c>
      <c r="E184" s="50">
        <v>99159</v>
      </c>
      <c r="F184" s="41">
        <v>81618</v>
      </c>
      <c r="G184" s="41">
        <v>244968</v>
      </c>
      <c r="H184" s="41">
        <v>0</v>
      </c>
      <c r="I184" s="41">
        <v>80093</v>
      </c>
      <c r="J184" s="41">
        <v>0</v>
      </c>
      <c r="K184" s="41">
        <v>39930</v>
      </c>
      <c r="L184" s="41">
        <v>0</v>
      </c>
      <c r="M184" s="41">
        <v>39930</v>
      </c>
      <c r="N184" s="41">
        <v>0</v>
      </c>
      <c r="O184" s="41">
        <v>238</v>
      </c>
      <c r="P184" s="51">
        <v>125</v>
      </c>
    </row>
    <row r="185" spans="1:16">
      <c r="A185" s="44" t="s">
        <v>360</v>
      </c>
      <c r="B185" s="35">
        <v>394</v>
      </c>
      <c r="C185" s="42" t="s">
        <v>217</v>
      </c>
      <c r="D185" s="50">
        <v>15961390</v>
      </c>
      <c r="E185" s="50">
        <v>228974</v>
      </c>
      <c r="F185" s="41">
        <v>2308283</v>
      </c>
      <c r="G185" s="41">
        <v>2082385</v>
      </c>
      <c r="H185" s="41">
        <v>0</v>
      </c>
      <c r="I185" s="41">
        <v>184081</v>
      </c>
      <c r="J185" s="41">
        <v>0</v>
      </c>
      <c r="K185" s="41">
        <v>212729</v>
      </c>
      <c r="L185" s="41">
        <v>0</v>
      </c>
      <c r="M185" s="41">
        <v>212729</v>
      </c>
      <c r="N185" s="41">
        <v>30367</v>
      </c>
      <c r="O185" s="41">
        <v>1149</v>
      </c>
      <c r="P185" s="51">
        <v>644</v>
      </c>
    </row>
    <row r="186" spans="1:16">
      <c r="A186" s="44" t="s">
        <v>382</v>
      </c>
      <c r="B186" s="35">
        <v>395</v>
      </c>
      <c r="C186" s="42" t="s">
        <v>218</v>
      </c>
      <c r="D186" s="50">
        <v>3016047</v>
      </c>
      <c r="E186" s="50">
        <v>101755</v>
      </c>
      <c r="F186" s="41">
        <v>242594</v>
      </c>
      <c r="G186" s="41">
        <v>0</v>
      </c>
      <c r="H186" s="41">
        <v>0</v>
      </c>
      <c r="I186" s="41">
        <v>63171</v>
      </c>
      <c r="J186" s="41">
        <v>0</v>
      </c>
      <c r="K186" s="41">
        <v>51975</v>
      </c>
      <c r="L186" s="41">
        <v>0</v>
      </c>
      <c r="M186" s="41">
        <v>51975</v>
      </c>
      <c r="N186" s="41">
        <v>0</v>
      </c>
      <c r="O186" s="41">
        <v>191</v>
      </c>
      <c r="P186" s="51">
        <v>114</v>
      </c>
    </row>
    <row r="187" spans="1:16">
      <c r="A187" s="44" t="s">
        <v>360</v>
      </c>
      <c r="B187" s="35">
        <v>396</v>
      </c>
      <c r="C187" s="42" t="s">
        <v>219</v>
      </c>
      <c r="D187" s="50">
        <v>7316974</v>
      </c>
      <c r="E187" s="50">
        <v>175852</v>
      </c>
      <c r="F187" s="41">
        <v>250998</v>
      </c>
      <c r="G187" s="41">
        <v>651473</v>
      </c>
      <c r="H187" s="41">
        <v>0</v>
      </c>
      <c r="I187" s="41">
        <v>90270</v>
      </c>
      <c r="J187" s="41">
        <v>0</v>
      </c>
      <c r="K187" s="41">
        <v>152678</v>
      </c>
      <c r="L187" s="41">
        <v>0</v>
      </c>
      <c r="M187" s="41">
        <v>152678</v>
      </c>
      <c r="N187" s="41">
        <v>3922</v>
      </c>
      <c r="O187" s="41">
        <v>485</v>
      </c>
      <c r="P187" s="51">
        <v>260</v>
      </c>
    </row>
    <row r="188" spans="1:16">
      <c r="A188" s="44" t="s">
        <v>383</v>
      </c>
      <c r="B188" s="35">
        <v>397</v>
      </c>
      <c r="C188" s="42" t="s">
        <v>220</v>
      </c>
      <c r="D188" s="50">
        <v>2859307</v>
      </c>
      <c r="E188" s="50">
        <v>83100</v>
      </c>
      <c r="F188" s="41">
        <v>240319</v>
      </c>
      <c r="G188" s="41">
        <v>77719</v>
      </c>
      <c r="H188" s="41">
        <v>0</v>
      </c>
      <c r="I188" s="41">
        <v>46883</v>
      </c>
      <c r="J188" s="41">
        <v>0</v>
      </c>
      <c r="K188" s="41">
        <v>24498</v>
      </c>
      <c r="L188" s="41">
        <v>0</v>
      </c>
      <c r="M188" s="41">
        <v>24498</v>
      </c>
      <c r="N188" s="41">
        <v>0</v>
      </c>
      <c r="O188" s="41">
        <v>184</v>
      </c>
      <c r="P188" s="51">
        <v>92</v>
      </c>
    </row>
    <row r="189" spans="1:16">
      <c r="A189" s="44" t="s">
        <v>383</v>
      </c>
      <c r="B189" s="35">
        <v>398</v>
      </c>
      <c r="C189" s="42" t="s">
        <v>221</v>
      </c>
      <c r="D189" s="50">
        <v>3864736</v>
      </c>
      <c r="E189" s="50">
        <v>307552</v>
      </c>
      <c r="F189" s="41">
        <v>265160</v>
      </c>
      <c r="G189" s="41">
        <v>389160</v>
      </c>
      <c r="H189" s="41">
        <v>0</v>
      </c>
      <c r="I189" s="41">
        <v>89241</v>
      </c>
      <c r="J189" s="41">
        <v>0</v>
      </c>
      <c r="K189" s="41">
        <v>24749</v>
      </c>
      <c r="L189" s="41">
        <v>0</v>
      </c>
      <c r="M189" s="41">
        <v>24749</v>
      </c>
      <c r="N189" s="41">
        <v>0</v>
      </c>
      <c r="O189" s="41">
        <v>211</v>
      </c>
      <c r="P189" s="51">
        <v>107</v>
      </c>
    </row>
    <row r="190" spans="1:16">
      <c r="A190" s="44" t="s">
        <v>353</v>
      </c>
      <c r="B190" s="35">
        <v>399</v>
      </c>
      <c r="C190" s="42" t="s">
        <v>222</v>
      </c>
      <c r="D190" s="50">
        <v>2016695</v>
      </c>
      <c r="E190" s="50">
        <v>49761</v>
      </c>
      <c r="F190" s="41">
        <v>148113</v>
      </c>
      <c r="G190" s="41">
        <v>0</v>
      </c>
      <c r="H190" s="41">
        <v>0</v>
      </c>
      <c r="I190" s="41">
        <v>39801</v>
      </c>
      <c r="J190" s="41">
        <v>0</v>
      </c>
      <c r="K190" s="41">
        <v>4241</v>
      </c>
      <c r="L190" s="41">
        <v>0</v>
      </c>
      <c r="M190" s="41">
        <v>4241</v>
      </c>
      <c r="N190" s="41">
        <v>0</v>
      </c>
      <c r="O190" s="41">
        <v>89</v>
      </c>
      <c r="P190" s="51">
        <v>66</v>
      </c>
    </row>
    <row r="191" spans="1:16">
      <c r="A191" s="44" t="s">
        <v>384</v>
      </c>
      <c r="B191" s="35">
        <v>400</v>
      </c>
      <c r="C191" s="42" t="s">
        <v>223</v>
      </c>
      <c r="D191" s="50">
        <v>9907448</v>
      </c>
      <c r="E191" s="50">
        <v>188128</v>
      </c>
      <c r="F191" s="41">
        <v>1021005</v>
      </c>
      <c r="G191" s="41">
        <v>971575</v>
      </c>
      <c r="H191" s="41">
        <v>0</v>
      </c>
      <c r="I191" s="41">
        <v>104122</v>
      </c>
      <c r="J191" s="41">
        <v>0</v>
      </c>
      <c r="K191" s="41">
        <v>61969</v>
      </c>
      <c r="L191" s="41">
        <v>0</v>
      </c>
      <c r="M191" s="41">
        <v>61969</v>
      </c>
      <c r="N191" s="41">
        <v>7575</v>
      </c>
      <c r="O191" s="41">
        <v>692</v>
      </c>
      <c r="P191" s="51">
        <v>360</v>
      </c>
    </row>
    <row r="192" spans="1:16">
      <c r="A192" s="44" t="s">
        <v>381</v>
      </c>
      <c r="B192" s="35">
        <v>401</v>
      </c>
      <c r="C192" s="42" t="s">
        <v>224</v>
      </c>
      <c r="D192" s="50">
        <v>1866272</v>
      </c>
      <c r="E192" s="50">
        <v>58958</v>
      </c>
      <c r="F192" s="41">
        <v>92633</v>
      </c>
      <c r="G192" s="41">
        <v>0</v>
      </c>
      <c r="H192" s="41">
        <v>0</v>
      </c>
      <c r="I192" s="41">
        <v>45067</v>
      </c>
      <c r="J192" s="41">
        <v>0</v>
      </c>
      <c r="K192" s="41">
        <v>2516</v>
      </c>
      <c r="L192" s="41">
        <v>0</v>
      </c>
      <c r="M192" s="41">
        <v>2516</v>
      </c>
      <c r="N192" s="41">
        <v>4000</v>
      </c>
      <c r="O192" s="41">
        <v>110</v>
      </c>
      <c r="P192" s="51">
        <v>43</v>
      </c>
    </row>
    <row r="193" spans="1:16">
      <c r="A193" s="44" t="s">
        <v>360</v>
      </c>
      <c r="B193" s="35">
        <v>402</v>
      </c>
      <c r="C193" s="42" t="s">
        <v>225</v>
      </c>
      <c r="D193" s="50">
        <v>20292387</v>
      </c>
      <c r="E193" s="50">
        <v>708667</v>
      </c>
      <c r="F193" s="41">
        <v>1583700</v>
      </c>
      <c r="G193" s="41">
        <v>3257637</v>
      </c>
      <c r="H193" s="41">
        <v>0</v>
      </c>
      <c r="I193" s="41">
        <v>383197</v>
      </c>
      <c r="J193" s="41">
        <v>0</v>
      </c>
      <c r="K193" s="41">
        <v>153827</v>
      </c>
      <c r="L193" s="41">
        <v>0</v>
      </c>
      <c r="M193" s="41">
        <v>153827</v>
      </c>
      <c r="N193" s="41">
        <v>12741</v>
      </c>
      <c r="O193" s="41">
        <v>1708</v>
      </c>
      <c r="P193" s="51">
        <v>628</v>
      </c>
    </row>
    <row r="194" spans="1:16">
      <c r="A194" s="44" t="s">
        <v>377</v>
      </c>
      <c r="B194" s="35">
        <v>403</v>
      </c>
      <c r="C194" s="42" t="s">
        <v>226</v>
      </c>
      <c r="D194" s="50">
        <v>2133679</v>
      </c>
      <c r="E194" s="50">
        <v>69463</v>
      </c>
      <c r="F194" s="41">
        <v>126921</v>
      </c>
      <c r="G194" s="41">
        <v>0</v>
      </c>
      <c r="H194" s="41">
        <v>0</v>
      </c>
      <c r="I194" s="41">
        <v>32382</v>
      </c>
      <c r="J194" s="41">
        <v>0</v>
      </c>
      <c r="K194" s="41">
        <v>24403</v>
      </c>
      <c r="L194" s="41">
        <v>0</v>
      </c>
      <c r="M194" s="41">
        <v>24403</v>
      </c>
      <c r="N194" s="41">
        <v>0</v>
      </c>
      <c r="O194" s="41">
        <v>123</v>
      </c>
      <c r="P194" s="51">
        <v>62</v>
      </c>
    </row>
    <row r="195" spans="1:16">
      <c r="A195" s="44" t="s">
        <v>363</v>
      </c>
      <c r="B195" s="35">
        <v>404</v>
      </c>
      <c r="C195" s="42" t="s">
        <v>227</v>
      </c>
      <c r="D195" s="50">
        <v>7635977</v>
      </c>
      <c r="E195" s="50">
        <v>263670</v>
      </c>
      <c r="F195" s="41">
        <v>185290</v>
      </c>
      <c r="G195" s="41">
        <v>0</v>
      </c>
      <c r="H195" s="41">
        <v>0</v>
      </c>
      <c r="I195" s="41">
        <v>237467</v>
      </c>
      <c r="J195" s="41">
        <v>0</v>
      </c>
      <c r="K195" s="41">
        <v>32667</v>
      </c>
      <c r="L195" s="41">
        <v>0</v>
      </c>
      <c r="M195" s="41">
        <v>32667</v>
      </c>
      <c r="N195" s="41">
        <v>0</v>
      </c>
      <c r="O195" s="41">
        <v>536</v>
      </c>
      <c r="P195" s="51">
        <v>261</v>
      </c>
    </row>
    <row r="196" spans="1:16">
      <c r="A196" s="44" t="s">
        <v>381</v>
      </c>
      <c r="B196" s="35">
        <v>405</v>
      </c>
      <c r="C196" s="42" t="s">
        <v>228</v>
      </c>
      <c r="D196" s="50">
        <v>7792240</v>
      </c>
      <c r="E196" s="50">
        <v>465622</v>
      </c>
      <c r="F196" s="41">
        <v>566293</v>
      </c>
      <c r="G196" s="41">
        <v>429059</v>
      </c>
      <c r="H196" s="41">
        <v>648550</v>
      </c>
      <c r="I196" s="41">
        <v>305015</v>
      </c>
      <c r="J196" s="41">
        <v>19253</v>
      </c>
      <c r="K196" s="41">
        <v>0</v>
      </c>
      <c r="L196" s="41">
        <v>2242968</v>
      </c>
      <c r="M196" s="41">
        <v>2242968</v>
      </c>
      <c r="N196" s="41">
        <v>205833</v>
      </c>
      <c r="O196" s="41">
        <v>580</v>
      </c>
      <c r="P196" s="51">
        <v>276</v>
      </c>
    </row>
    <row r="197" spans="1:16">
      <c r="A197" s="37"/>
      <c r="B197" s="35">
        <v>407</v>
      </c>
      <c r="C197" s="42" t="s">
        <v>41</v>
      </c>
      <c r="D197" s="50">
        <v>8888007</v>
      </c>
      <c r="E197" s="50">
        <v>300490</v>
      </c>
      <c r="F197" s="41">
        <v>415918</v>
      </c>
      <c r="G197" s="41">
        <v>0</v>
      </c>
      <c r="H197" s="41">
        <v>333209</v>
      </c>
      <c r="I197" s="41">
        <v>215472</v>
      </c>
      <c r="J197" s="41">
        <v>0</v>
      </c>
      <c r="K197" s="41">
        <v>894090</v>
      </c>
      <c r="L197" s="41">
        <v>0</v>
      </c>
      <c r="M197" s="41">
        <v>894090</v>
      </c>
      <c r="N197" s="41">
        <v>0</v>
      </c>
      <c r="O197" s="41">
        <v>570</v>
      </c>
      <c r="P197" s="51">
        <v>275</v>
      </c>
    </row>
    <row r="198" spans="1:16">
      <c r="A198" s="44" t="s">
        <v>383</v>
      </c>
      <c r="B198" s="35">
        <v>408</v>
      </c>
      <c r="C198" s="42" t="s">
        <v>229</v>
      </c>
      <c r="D198" s="50">
        <v>5497709</v>
      </c>
      <c r="E198" s="50">
        <v>177885</v>
      </c>
      <c r="F198" s="41">
        <v>102657</v>
      </c>
      <c r="G198" s="41">
        <v>616028</v>
      </c>
      <c r="H198" s="41">
        <v>0</v>
      </c>
      <c r="I198" s="41">
        <v>131281</v>
      </c>
      <c r="J198" s="41">
        <v>0</v>
      </c>
      <c r="K198" s="41">
        <v>16987</v>
      </c>
      <c r="L198" s="41">
        <v>0</v>
      </c>
      <c r="M198" s="41">
        <v>16987</v>
      </c>
      <c r="N198" s="41">
        <v>0</v>
      </c>
      <c r="O198" s="41">
        <v>368</v>
      </c>
      <c r="P198" s="51">
        <v>222</v>
      </c>
    </row>
    <row r="199" spans="1:16">
      <c r="A199" s="37"/>
      <c r="B199" s="35">
        <v>409</v>
      </c>
      <c r="C199" s="42" t="s">
        <v>230</v>
      </c>
      <c r="D199" s="50">
        <v>18420597</v>
      </c>
      <c r="E199" s="50">
        <v>729281</v>
      </c>
      <c r="F199" s="41">
        <v>1090846</v>
      </c>
      <c r="G199" s="41">
        <v>1846663</v>
      </c>
      <c r="H199" s="41">
        <v>915199</v>
      </c>
      <c r="I199" s="41">
        <v>630853</v>
      </c>
      <c r="J199" s="41">
        <v>0</v>
      </c>
      <c r="K199" s="41">
        <v>2268852</v>
      </c>
      <c r="L199" s="41">
        <v>0</v>
      </c>
      <c r="M199" s="41">
        <v>2268852</v>
      </c>
      <c r="N199" s="41">
        <v>0</v>
      </c>
      <c r="O199" s="41">
        <v>1236</v>
      </c>
      <c r="P199" s="51">
        <v>501</v>
      </c>
    </row>
    <row r="200" spans="1:16">
      <c r="A200" s="44" t="s">
        <v>383</v>
      </c>
      <c r="B200" s="35">
        <v>410</v>
      </c>
      <c r="C200" s="42" t="s">
        <v>231</v>
      </c>
      <c r="D200" s="50">
        <v>6253648</v>
      </c>
      <c r="E200" s="50">
        <v>123365</v>
      </c>
      <c r="F200" s="41">
        <v>414124</v>
      </c>
      <c r="G200" s="41">
        <v>341330</v>
      </c>
      <c r="H200" s="41">
        <v>0</v>
      </c>
      <c r="I200" s="41">
        <v>97200</v>
      </c>
      <c r="J200" s="41">
        <v>0</v>
      </c>
      <c r="K200" s="41">
        <v>26726</v>
      </c>
      <c r="L200" s="41">
        <v>0</v>
      </c>
      <c r="M200" s="41">
        <v>26726</v>
      </c>
      <c r="N200" s="41">
        <v>7720</v>
      </c>
      <c r="O200" s="41">
        <v>387</v>
      </c>
      <c r="P200" s="51">
        <v>212</v>
      </c>
    </row>
    <row r="201" spans="1:16">
      <c r="A201" s="44" t="s">
        <v>383</v>
      </c>
      <c r="B201" s="35">
        <v>411</v>
      </c>
      <c r="C201" s="42" t="s">
        <v>232</v>
      </c>
      <c r="D201" s="50">
        <v>3275732</v>
      </c>
      <c r="E201" s="50">
        <v>72569</v>
      </c>
      <c r="F201" s="41">
        <v>475182</v>
      </c>
      <c r="G201" s="41">
        <v>216018</v>
      </c>
      <c r="H201" s="41">
        <v>0</v>
      </c>
      <c r="I201" s="41">
        <v>22545</v>
      </c>
      <c r="J201" s="41">
        <v>0</v>
      </c>
      <c r="K201" s="41">
        <v>12892</v>
      </c>
      <c r="L201" s="41">
        <v>0</v>
      </c>
      <c r="M201" s="41">
        <v>12892</v>
      </c>
      <c r="N201" s="41">
        <v>0</v>
      </c>
      <c r="O201" s="41">
        <v>174</v>
      </c>
      <c r="P201" s="51">
        <v>82</v>
      </c>
    </row>
    <row r="202" spans="1:16">
      <c r="A202" s="44" t="s">
        <v>350</v>
      </c>
      <c r="B202" s="35">
        <v>412</v>
      </c>
      <c r="C202" s="42" t="s">
        <v>233</v>
      </c>
      <c r="D202" s="50">
        <v>3338597</v>
      </c>
      <c r="E202" s="50">
        <v>90924</v>
      </c>
      <c r="F202" s="41">
        <v>97358</v>
      </c>
      <c r="G202" s="41">
        <v>0</v>
      </c>
      <c r="H202" s="41">
        <v>0</v>
      </c>
      <c r="I202" s="41">
        <v>51623</v>
      </c>
      <c r="J202" s="41">
        <v>0</v>
      </c>
      <c r="K202" s="41">
        <v>192286</v>
      </c>
      <c r="L202" s="41">
        <v>0</v>
      </c>
      <c r="M202" s="41">
        <v>192286</v>
      </c>
      <c r="N202" s="41">
        <v>0</v>
      </c>
      <c r="O202" s="41">
        <v>241</v>
      </c>
      <c r="P202" s="51">
        <v>89</v>
      </c>
    </row>
    <row r="203" spans="1:16">
      <c r="A203" s="44" t="s">
        <v>348</v>
      </c>
      <c r="B203" s="35">
        <v>413</v>
      </c>
      <c r="C203" s="42" t="s">
        <v>234</v>
      </c>
      <c r="D203" s="50">
        <v>16736714</v>
      </c>
      <c r="E203" s="50">
        <v>730111</v>
      </c>
      <c r="F203" s="41">
        <v>1002123</v>
      </c>
      <c r="G203" s="41">
        <v>2023356</v>
      </c>
      <c r="H203" s="41">
        <v>0</v>
      </c>
      <c r="I203" s="41">
        <v>625912</v>
      </c>
      <c r="J203" s="41">
        <v>0</v>
      </c>
      <c r="K203" s="41">
        <v>90339</v>
      </c>
      <c r="L203" s="41">
        <v>0</v>
      </c>
      <c r="M203" s="41">
        <v>90339</v>
      </c>
      <c r="N203" s="41">
        <v>111</v>
      </c>
      <c r="O203" s="41">
        <v>1348</v>
      </c>
      <c r="P203" s="51">
        <v>601</v>
      </c>
    </row>
    <row r="204" spans="1:16">
      <c r="A204" s="44" t="s">
        <v>385</v>
      </c>
      <c r="B204" s="35">
        <v>415</v>
      </c>
      <c r="C204" s="42" t="s">
        <v>235</v>
      </c>
      <c r="D204" s="50">
        <v>8776721</v>
      </c>
      <c r="E204" s="50">
        <v>294486</v>
      </c>
      <c r="F204" s="41">
        <v>568824</v>
      </c>
      <c r="G204" s="41">
        <v>587490</v>
      </c>
      <c r="H204" s="41">
        <v>0</v>
      </c>
      <c r="I204" s="41">
        <v>227479</v>
      </c>
      <c r="J204" s="41">
        <v>0</v>
      </c>
      <c r="K204" s="41">
        <v>7152</v>
      </c>
      <c r="L204" s="41">
        <v>0</v>
      </c>
      <c r="M204" s="41">
        <v>7152</v>
      </c>
      <c r="N204" s="41">
        <v>0</v>
      </c>
      <c r="O204" s="41">
        <v>621</v>
      </c>
      <c r="P204" s="51">
        <v>271</v>
      </c>
    </row>
    <row r="205" spans="1:16">
      <c r="A205" s="44" t="s">
        <v>371</v>
      </c>
      <c r="B205" s="35">
        <v>416</v>
      </c>
      <c r="C205" s="42" t="s">
        <v>236</v>
      </c>
      <c r="D205" s="50">
        <v>15796761</v>
      </c>
      <c r="E205" s="50">
        <v>136752</v>
      </c>
      <c r="F205" s="41">
        <v>446531</v>
      </c>
      <c r="G205" s="41">
        <v>3695553</v>
      </c>
      <c r="H205" s="41">
        <v>0</v>
      </c>
      <c r="I205" s="41">
        <v>91211</v>
      </c>
      <c r="J205" s="41">
        <v>0</v>
      </c>
      <c r="K205" s="41">
        <v>252617</v>
      </c>
      <c r="L205" s="41">
        <v>0</v>
      </c>
      <c r="M205" s="41">
        <v>252617</v>
      </c>
      <c r="N205" s="41">
        <v>7000</v>
      </c>
      <c r="O205" s="41">
        <v>1178</v>
      </c>
      <c r="P205" s="51">
        <v>545</v>
      </c>
    </row>
    <row r="206" spans="1:16">
      <c r="A206" s="44" t="s">
        <v>365</v>
      </c>
      <c r="B206" s="35">
        <v>417</v>
      </c>
      <c r="C206" s="42" t="s">
        <v>237</v>
      </c>
      <c r="D206" s="50">
        <v>7799650</v>
      </c>
      <c r="E206" s="50">
        <v>204259</v>
      </c>
      <c r="F206" s="41">
        <v>280846</v>
      </c>
      <c r="G206" s="41">
        <v>536693</v>
      </c>
      <c r="H206" s="41">
        <v>0</v>
      </c>
      <c r="I206" s="41">
        <v>128423</v>
      </c>
      <c r="J206" s="41">
        <v>0</v>
      </c>
      <c r="K206" s="41">
        <v>52908</v>
      </c>
      <c r="L206" s="41">
        <v>0</v>
      </c>
      <c r="M206" s="41">
        <v>52908</v>
      </c>
      <c r="N206" s="41">
        <v>24473</v>
      </c>
      <c r="O206" s="41">
        <v>547</v>
      </c>
      <c r="P206" s="51">
        <v>228</v>
      </c>
    </row>
    <row r="207" spans="1:16">
      <c r="A207" s="44" t="s">
        <v>384</v>
      </c>
      <c r="B207" s="35">
        <v>418</v>
      </c>
      <c r="C207" s="42" t="s">
        <v>238</v>
      </c>
      <c r="D207" s="50">
        <v>19588356</v>
      </c>
      <c r="E207" s="50">
        <v>1474828</v>
      </c>
      <c r="F207" s="41">
        <v>2855494</v>
      </c>
      <c r="G207" s="41">
        <v>1285657</v>
      </c>
      <c r="H207" s="41">
        <v>1474348</v>
      </c>
      <c r="I207" s="41">
        <v>285601</v>
      </c>
      <c r="J207" s="41">
        <v>0</v>
      </c>
      <c r="K207" s="41">
        <v>0</v>
      </c>
      <c r="L207" s="41">
        <v>6318838</v>
      </c>
      <c r="M207" s="41">
        <v>6318838</v>
      </c>
      <c r="N207" s="41">
        <v>47957</v>
      </c>
      <c r="O207" s="41">
        <v>1633</v>
      </c>
      <c r="P207" s="51">
        <v>789</v>
      </c>
    </row>
    <row r="208" spans="1:16">
      <c r="A208" s="44" t="s">
        <v>384</v>
      </c>
      <c r="B208" s="35">
        <v>419</v>
      </c>
      <c r="C208" s="42" t="s">
        <v>239</v>
      </c>
      <c r="D208" s="50">
        <v>4176705</v>
      </c>
      <c r="E208" s="50">
        <v>142758</v>
      </c>
      <c r="F208" s="41">
        <v>161957</v>
      </c>
      <c r="G208" s="41">
        <v>339375</v>
      </c>
      <c r="H208" s="41">
        <v>0</v>
      </c>
      <c r="I208" s="41">
        <v>68399</v>
      </c>
      <c r="J208" s="41">
        <v>0</v>
      </c>
      <c r="K208" s="41">
        <v>58343</v>
      </c>
      <c r="L208" s="41">
        <v>0</v>
      </c>
      <c r="M208" s="41">
        <v>58343</v>
      </c>
      <c r="N208" s="41">
        <v>0</v>
      </c>
      <c r="O208" s="41">
        <v>270</v>
      </c>
      <c r="P208" s="51">
        <v>123</v>
      </c>
    </row>
    <row r="209" spans="1:16">
      <c r="A209" s="44" t="s">
        <v>370</v>
      </c>
      <c r="B209" s="35">
        <v>420</v>
      </c>
      <c r="C209" s="42" t="s">
        <v>240</v>
      </c>
      <c r="D209" s="50">
        <v>6274494</v>
      </c>
      <c r="E209" s="50">
        <v>177092</v>
      </c>
      <c r="F209" s="41">
        <v>287467</v>
      </c>
      <c r="G209" s="41">
        <v>493710</v>
      </c>
      <c r="H209" s="41">
        <v>0</v>
      </c>
      <c r="I209" s="41">
        <v>162759</v>
      </c>
      <c r="J209" s="41">
        <v>0</v>
      </c>
      <c r="K209" s="41">
        <v>49688</v>
      </c>
      <c r="L209" s="41">
        <v>0</v>
      </c>
      <c r="M209" s="41">
        <v>49688</v>
      </c>
      <c r="N209" s="41">
        <v>0</v>
      </c>
      <c r="O209" s="41">
        <v>474</v>
      </c>
      <c r="P209" s="51">
        <v>224</v>
      </c>
    </row>
    <row r="210" spans="1:16">
      <c r="A210" s="44" t="s">
        <v>370</v>
      </c>
      <c r="B210" s="35">
        <v>421</v>
      </c>
      <c r="C210" s="42" t="s">
        <v>241</v>
      </c>
      <c r="D210" s="50">
        <v>3828925</v>
      </c>
      <c r="E210" s="50">
        <v>56983</v>
      </c>
      <c r="F210" s="41">
        <v>58659</v>
      </c>
      <c r="G210" s="41">
        <v>0</v>
      </c>
      <c r="H210" s="41">
        <v>0</v>
      </c>
      <c r="I210" s="41">
        <v>46391</v>
      </c>
      <c r="J210" s="41">
        <v>0</v>
      </c>
      <c r="K210" s="41">
        <v>1434</v>
      </c>
      <c r="L210" s="41">
        <v>0</v>
      </c>
      <c r="M210" s="41">
        <v>1434</v>
      </c>
      <c r="N210" s="41">
        <v>0</v>
      </c>
      <c r="O210" s="41">
        <v>307</v>
      </c>
      <c r="P210" s="51">
        <v>162</v>
      </c>
    </row>
    <row r="211" spans="1:16">
      <c r="A211" s="44" t="s">
        <v>366</v>
      </c>
      <c r="B211" s="35">
        <v>422</v>
      </c>
      <c r="C211" s="42" t="s">
        <v>242</v>
      </c>
      <c r="D211" s="50">
        <v>5779281</v>
      </c>
      <c r="E211" s="50">
        <v>3281193</v>
      </c>
      <c r="F211" s="41">
        <v>2373133</v>
      </c>
      <c r="G211" s="41">
        <v>0</v>
      </c>
      <c r="H211" s="41">
        <v>0</v>
      </c>
      <c r="I211" s="41">
        <v>125387</v>
      </c>
      <c r="J211" s="41">
        <v>0</v>
      </c>
      <c r="K211" s="41">
        <v>21809</v>
      </c>
      <c r="L211" s="41">
        <v>0</v>
      </c>
      <c r="M211" s="41">
        <v>21809</v>
      </c>
      <c r="N211" s="41">
        <v>0</v>
      </c>
      <c r="O211" s="41">
        <v>210</v>
      </c>
      <c r="P211" s="51">
        <v>315</v>
      </c>
    </row>
    <row r="212" spans="1:16">
      <c r="A212" s="44" t="s">
        <v>384</v>
      </c>
      <c r="B212" s="35">
        <v>423</v>
      </c>
      <c r="C212" s="42" t="s">
        <v>243</v>
      </c>
      <c r="D212" s="50">
        <v>4244741</v>
      </c>
      <c r="E212" s="50">
        <v>134612</v>
      </c>
      <c r="F212" s="41">
        <v>304104</v>
      </c>
      <c r="G212" s="41">
        <v>474675</v>
      </c>
      <c r="H212" s="41">
        <v>0</v>
      </c>
      <c r="I212" s="41">
        <v>49349</v>
      </c>
      <c r="J212" s="41">
        <v>0</v>
      </c>
      <c r="K212" s="41">
        <v>16873</v>
      </c>
      <c r="L212" s="41">
        <v>0</v>
      </c>
      <c r="M212" s="41">
        <v>16873</v>
      </c>
      <c r="N212" s="41">
        <v>0</v>
      </c>
      <c r="O212" s="41">
        <v>273</v>
      </c>
      <c r="P212" s="51">
        <v>151</v>
      </c>
    </row>
    <row r="213" spans="1:16">
      <c r="A213" s="44" t="s">
        <v>352</v>
      </c>
      <c r="B213" s="35">
        <v>426</v>
      </c>
      <c r="C213" s="42" t="s">
        <v>244</v>
      </c>
      <c r="D213" s="50">
        <v>2474586</v>
      </c>
      <c r="E213" s="50">
        <v>103333</v>
      </c>
      <c r="F213" s="41">
        <v>217723</v>
      </c>
      <c r="G213" s="41">
        <v>0</v>
      </c>
      <c r="H213" s="41">
        <v>0</v>
      </c>
      <c r="I213" s="41">
        <v>65649</v>
      </c>
      <c r="J213" s="41">
        <v>0</v>
      </c>
      <c r="K213" s="41">
        <v>25121</v>
      </c>
      <c r="L213" s="41">
        <v>0</v>
      </c>
      <c r="M213" s="41">
        <v>25121</v>
      </c>
      <c r="N213" s="41">
        <v>0</v>
      </c>
      <c r="O213" s="41">
        <v>155</v>
      </c>
      <c r="P213" s="51">
        <v>94</v>
      </c>
    </row>
    <row r="214" spans="1:16">
      <c r="A214" s="44" t="s">
        <v>377</v>
      </c>
      <c r="B214" s="35">
        <v>428</v>
      </c>
      <c r="C214" s="42" t="s">
        <v>245</v>
      </c>
      <c r="D214" s="50">
        <v>26685348</v>
      </c>
      <c r="E214" s="50">
        <v>1529009</v>
      </c>
      <c r="F214" s="41">
        <v>1194219</v>
      </c>
      <c r="G214" s="41">
        <v>1784243</v>
      </c>
      <c r="H214" s="41">
        <v>1763560</v>
      </c>
      <c r="I214" s="41">
        <v>839789</v>
      </c>
      <c r="J214" s="41">
        <v>59021</v>
      </c>
      <c r="K214" s="41">
        <v>8711</v>
      </c>
      <c r="L214" s="41">
        <v>4052087</v>
      </c>
      <c r="M214" s="41">
        <v>4060798</v>
      </c>
      <c r="N214" s="41">
        <v>580000</v>
      </c>
      <c r="O214" s="41">
        <v>2072</v>
      </c>
      <c r="P214" s="51">
        <v>1089</v>
      </c>
    </row>
    <row r="215" spans="1:16">
      <c r="A215" s="44" t="s">
        <v>354</v>
      </c>
      <c r="B215" s="35">
        <v>429</v>
      </c>
      <c r="C215" s="42" t="s">
        <v>246</v>
      </c>
      <c r="D215" s="50">
        <v>3201442</v>
      </c>
      <c r="E215" s="50">
        <v>71001</v>
      </c>
      <c r="F215" s="41">
        <v>45079</v>
      </c>
      <c r="G215" s="41">
        <v>0</v>
      </c>
      <c r="H215" s="41">
        <v>0</v>
      </c>
      <c r="I215" s="41">
        <v>57650</v>
      </c>
      <c r="J215" s="41">
        <v>0</v>
      </c>
      <c r="K215" s="41">
        <v>0</v>
      </c>
      <c r="L215" s="41">
        <v>0</v>
      </c>
      <c r="M215" s="41">
        <v>0</v>
      </c>
      <c r="N215" s="41">
        <v>0</v>
      </c>
      <c r="O215" s="41">
        <v>258</v>
      </c>
      <c r="P215" s="51">
        <v>108</v>
      </c>
    </row>
    <row r="216" spans="1:16">
      <c r="A216" s="44" t="s">
        <v>385</v>
      </c>
      <c r="B216" s="35">
        <v>430</v>
      </c>
      <c r="C216" s="42" t="s">
        <v>247</v>
      </c>
      <c r="D216" s="50">
        <v>6819913</v>
      </c>
      <c r="E216" s="50">
        <v>479417</v>
      </c>
      <c r="F216" s="41">
        <v>484870</v>
      </c>
      <c r="G216" s="41">
        <v>467085</v>
      </c>
      <c r="H216" s="41">
        <v>0</v>
      </c>
      <c r="I216" s="41">
        <v>242626</v>
      </c>
      <c r="J216" s="41">
        <v>15470</v>
      </c>
      <c r="K216" s="41">
        <v>0</v>
      </c>
      <c r="L216" s="41">
        <v>0</v>
      </c>
      <c r="M216" s="41">
        <v>0</v>
      </c>
      <c r="N216" s="41">
        <v>50787</v>
      </c>
      <c r="O216" s="41">
        <v>409</v>
      </c>
      <c r="P216" s="51">
        <v>194</v>
      </c>
    </row>
    <row r="217" spans="1:16">
      <c r="A217" s="44" t="s">
        <v>377</v>
      </c>
      <c r="B217" s="35">
        <v>431</v>
      </c>
      <c r="C217" s="42" t="s">
        <v>248</v>
      </c>
      <c r="D217" s="50">
        <v>6626293</v>
      </c>
      <c r="E217" s="50">
        <v>253293</v>
      </c>
      <c r="F217" s="41">
        <v>274965</v>
      </c>
      <c r="G217" s="41">
        <v>900054</v>
      </c>
      <c r="H217" s="41">
        <v>0</v>
      </c>
      <c r="I217" s="41">
        <v>188442</v>
      </c>
      <c r="J217" s="41">
        <v>0</v>
      </c>
      <c r="K217" s="41">
        <v>31746</v>
      </c>
      <c r="L217" s="41">
        <v>0</v>
      </c>
      <c r="M217" s="41">
        <v>31746</v>
      </c>
      <c r="N217" s="41">
        <v>0</v>
      </c>
      <c r="O217" s="41">
        <v>485</v>
      </c>
      <c r="P217" s="51">
        <v>199</v>
      </c>
    </row>
    <row r="218" spans="1:16">
      <c r="A218" s="44" t="s">
        <v>382</v>
      </c>
      <c r="B218" s="35">
        <v>432</v>
      </c>
      <c r="C218" s="42" t="s">
        <v>249</v>
      </c>
      <c r="D218" s="50">
        <v>3098048</v>
      </c>
      <c r="E218" s="50">
        <v>62791</v>
      </c>
      <c r="F218" s="41">
        <v>249363</v>
      </c>
      <c r="G218" s="41">
        <v>306960</v>
      </c>
      <c r="H218" s="41">
        <v>0</v>
      </c>
      <c r="I218" s="41">
        <v>26366</v>
      </c>
      <c r="J218" s="41">
        <v>0</v>
      </c>
      <c r="K218" s="41">
        <v>6981</v>
      </c>
      <c r="L218" s="41">
        <v>0</v>
      </c>
      <c r="M218" s="41">
        <v>6981</v>
      </c>
      <c r="N218" s="41">
        <v>0</v>
      </c>
      <c r="O218" s="41">
        <v>196</v>
      </c>
      <c r="P218" s="51">
        <v>72</v>
      </c>
    </row>
    <row r="219" spans="1:16">
      <c r="A219" s="44" t="s">
        <v>370</v>
      </c>
      <c r="B219" s="35">
        <v>434</v>
      </c>
      <c r="C219" s="42" t="s">
        <v>250</v>
      </c>
      <c r="D219" s="50">
        <v>10282381.440000001</v>
      </c>
      <c r="E219" s="50">
        <v>283683</v>
      </c>
      <c r="F219" s="41">
        <v>547324</v>
      </c>
      <c r="G219" s="41">
        <v>616300</v>
      </c>
      <c r="H219" s="41">
        <v>0</v>
      </c>
      <c r="I219" s="41">
        <v>204440</v>
      </c>
      <c r="J219" s="41">
        <v>0</v>
      </c>
      <c r="K219" s="41">
        <v>149931</v>
      </c>
      <c r="L219" s="41">
        <v>0</v>
      </c>
      <c r="M219" s="41">
        <v>149931</v>
      </c>
      <c r="N219" s="41">
        <v>0</v>
      </c>
      <c r="O219" s="41">
        <v>755</v>
      </c>
      <c r="P219" s="51">
        <v>345</v>
      </c>
    </row>
    <row r="220" spans="1:16">
      <c r="A220" s="44" t="s">
        <v>355</v>
      </c>
      <c r="B220" s="35">
        <v>435</v>
      </c>
      <c r="C220" s="42" t="s">
        <v>251</v>
      </c>
      <c r="D220" s="50">
        <v>11740761</v>
      </c>
      <c r="E220" s="50">
        <v>508808</v>
      </c>
      <c r="F220" s="41">
        <v>484242</v>
      </c>
      <c r="G220" s="41">
        <v>342181</v>
      </c>
      <c r="H220" s="41">
        <v>0</v>
      </c>
      <c r="I220" s="41">
        <v>282928</v>
      </c>
      <c r="J220" s="41">
        <v>0</v>
      </c>
      <c r="K220" s="41">
        <v>121773</v>
      </c>
      <c r="L220" s="41">
        <v>0</v>
      </c>
      <c r="M220" s="41">
        <v>121773</v>
      </c>
      <c r="N220" s="41">
        <v>6986</v>
      </c>
      <c r="O220" s="41">
        <v>1138</v>
      </c>
      <c r="P220" s="51">
        <v>525</v>
      </c>
    </row>
    <row r="221" spans="1:16">
      <c r="A221" s="44" t="s">
        <v>386</v>
      </c>
      <c r="B221" s="35">
        <v>436</v>
      </c>
      <c r="C221" s="42" t="s">
        <v>252</v>
      </c>
      <c r="D221" s="50">
        <v>6991629</v>
      </c>
      <c r="E221" s="50">
        <v>418938</v>
      </c>
      <c r="F221" s="41">
        <v>393640</v>
      </c>
      <c r="G221" s="41">
        <v>0</v>
      </c>
      <c r="H221" s="41">
        <v>0</v>
      </c>
      <c r="I221" s="41">
        <v>94409</v>
      </c>
      <c r="J221" s="41">
        <v>0</v>
      </c>
      <c r="K221" s="41">
        <v>12013</v>
      </c>
      <c r="L221" s="41">
        <v>0</v>
      </c>
      <c r="M221" s="41">
        <v>12013</v>
      </c>
      <c r="N221" s="41">
        <v>5131</v>
      </c>
      <c r="O221" s="41">
        <v>591</v>
      </c>
      <c r="P221" s="51">
        <v>299</v>
      </c>
    </row>
    <row r="222" spans="1:16">
      <c r="A222" s="37"/>
      <c r="B222" s="35">
        <v>437</v>
      </c>
      <c r="C222" s="42" t="s">
        <v>42</v>
      </c>
      <c r="D222" s="50">
        <v>53568788</v>
      </c>
      <c r="E222" s="50">
        <v>752282</v>
      </c>
      <c r="F222" s="41">
        <v>1736673</v>
      </c>
      <c r="G222" s="41">
        <v>4270281</v>
      </c>
      <c r="H222" s="41">
        <v>1667935</v>
      </c>
      <c r="I222" s="41">
        <v>546897</v>
      </c>
      <c r="J222" s="41">
        <v>10509</v>
      </c>
      <c r="K222" s="41">
        <v>8365979</v>
      </c>
      <c r="L222" s="41">
        <v>0</v>
      </c>
      <c r="M222" s="41">
        <v>8365979</v>
      </c>
      <c r="N222" s="41">
        <v>145189</v>
      </c>
      <c r="O222" s="41">
        <v>4073</v>
      </c>
      <c r="P222" s="51">
        <v>1738</v>
      </c>
    </row>
    <row r="223" spans="1:16">
      <c r="A223" s="44" t="s">
        <v>366</v>
      </c>
      <c r="B223" s="35">
        <v>438</v>
      </c>
      <c r="C223" s="42" t="s">
        <v>253</v>
      </c>
      <c r="D223" s="50">
        <v>3709208</v>
      </c>
      <c r="E223" s="50">
        <v>98969</v>
      </c>
      <c r="F223" s="41">
        <v>52652</v>
      </c>
      <c r="G223" s="41">
        <v>0</v>
      </c>
      <c r="H223" s="41">
        <v>0</v>
      </c>
      <c r="I223" s="41">
        <v>61713</v>
      </c>
      <c r="J223" s="41">
        <v>0</v>
      </c>
      <c r="K223" s="41">
        <v>72826</v>
      </c>
      <c r="L223" s="41">
        <v>0</v>
      </c>
      <c r="M223" s="41">
        <v>72826</v>
      </c>
      <c r="N223" s="41">
        <v>17575</v>
      </c>
      <c r="O223" s="41">
        <v>271</v>
      </c>
      <c r="P223" s="51">
        <v>115</v>
      </c>
    </row>
    <row r="224" spans="1:16">
      <c r="A224" s="44" t="s">
        <v>367</v>
      </c>
      <c r="B224" s="35">
        <v>439</v>
      </c>
      <c r="C224" s="42" t="s">
        <v>254</v>
      </c>
      <c r="D224" s="50">
        <v>4331208</v>
      </c>
      <c r="E224" s="50">
        <v>139583</v>
      </c>
      <c r="F224" s="41">
        <v>231141</v>
      </c>
      <c r="G224" s="41">
        <v>316165</v>
      </c>
      <c r="H224" s="41">
        <v>0</v>
      </c>
      <c r="I224" s="41">
        <v>74479</v>
      </c>
      <c r="J224" s="41">
        <v>0</v>
      </c>
      <c r="K224" s="41">
        <v>62699</v>
      </c>
      <c r="L224" s="41">
        <v>0</v>
      </c>
      <c r="M224" s="41">
        <v>62699</v>
      </c>
      <c r="N224" s="41">
        <v>0</v>
      </c>
      <c r="O224" s="41">
        <v>375</v>
      </c>
      <c r="P224" s="51">
        <v>182</v>
      </c>
    </row>
    <row r="225" spans="1:16">
      <c r="A225" s="44" t="s">
        <v>380</v>
      </c>
      <c r="B225" s="35">
        <v>440</v>
      </c>
      <c r="C225" s="42" t="s">
        <v>255</v>
      </c>
      <c r="D225" s="50">
        <v>7441162</v>
      </c>
      <c r="E225" s="50">
        <v>153582</v>
      </c>
      <c r="F225" s="41">
        <v>456101</v>
      </c>
      <c r="G225" s="41">
        <v>654463</v>
      </c>
      <c r="H225" s="41">
        <v>0</v>
      </c>
      <c r="I225" s="41">
        <v>119934</v>
      </c>
      <c r="J225" s="41">
        <v>0</v>
      </c>
      <c r="K225" s="41">
        <v>177496</v>
      </c>
      <c r="L225" s="41">
        <v>0</v>
      </c>
      <c r="M225" s="41">
        <v>177496</v>
      </c>
      <c r="N225" s="41">
        <v>0</v>
      </c>
      <c r="O225" s="41">
        <v>581</v>
      </c>
      <c r="P225" s="51">
        <v>236</v>
      </c>
    </row>
    <row r="226" spans="1:16">
      <c r="A226" s="44" t="s">
        <v>349</v>
      </c>
      <c r="B226" s="35">
        <v>443</v>
      </c>
      <c r="C226" s="42" t="s">
        <v>256</v>
      </c>
      <c r="D226" s="50">
        <v>61298083</v>
      </c>
      <c r="E226" s="50">
        <v>5208277</v>
      </c>
      <c r="F226" s="41">
        <v>4964593</v>
      </c>
      <c r="G226" s="41">
        <v>5282869</v>
      </c>
      <c r="H226" s="41">
        <v>0</v>
      </c>
      <c r="I226" s="41">
        <v>2252371</v>
      </c>
      <c r="J226" s="41">
        <v>249842</v>
      </c>
      <c r="K226" s="41">
        <v>679402</v>
      </c>
      <c r="L226" s="41">
        <v>0</v>
      </c>
      <c r="M226" s="41">
        <v>679402</v>
      </c>
      <c r="N226" s="41">
        <v>3056687</v>
      </c>
      <c r="O226" s="41">
        <v>4617</v>
      </c>
      <c r="P226" s="51">
        <v>1845</v>
      </c>
    </row>
    <row r="227" spans="1:16">
      <c r="A227" s="44" t="s">
        <v>381</v>
      </c>
      <c r="B227" s="35">
        <v>444</v>
      </c>
      <c r="C227" s="42" t="s">
        <v>257</v>
      </c>
      <c r="D227" s="50">
        <v>3376549</v>
      </c>
      <c r="E227" s="50">
        <v>162444</v>
      </c>
      <c r="F227" s="41">
        <v>296229</v>
      </c>
      <c r="G227" s="41">
        <v>169925</v>
      </c>
      <c r="H227" s="41">
        <v>0</v>
      </c>
      <c r="I227" s="41">
        <v>44436</v>
      </c>
      <c r="J227" s="41">
        <v>0</v>
      </c>
      <c r="K227" s="41">
        <v>9043</v>
      </c>
      <c r="L227" s="41">
        <v>0</v>
      </c>
      <c r="M227" s="41">
        <v>9043</v>
      </c>
      <c r="N227" s="41">
        <v>0</v>
      </c>
      <c r="O227" s="41">
        <v>249</v>
      </c>
      <c r="P227" s="51">
        <v>99</v>
      </c>
    </row>
    <row r="228" spans="1:16">
      <c r="A228" s="44" t="s">
        <v>386</v>
      </c>
      <c r="B228" s="35">
        <v>445</v>
      </c>
      <c r="C228" s="42" t="s">
        <v>258</v>
      </c>
      <c r="D228" s="50">
        <v>17351142</v>
      </c>
      <c r="E228" s="50">
        <v>877914</v>
      </c>
      <c r="F228" s="41">
        <v>1106549</v>
      </c>
      <c r="G228" s="41">
        <v>1431333</v>
      </c>
      <c r="H228" s="41">
        <v>0</v>
      </c>
      <c r="I228" s="41">
        <v>608301</v>
      </c>
      <c r="J228" s="41">
        <v>0</v>
      </c>
      <c r="K228" s="41">
        <v>275612</v>
      </c>
      <c r="L228" s="41">
        <v>0</v>
      </c>
      <c r="M228" s="41">
        <v>275612</v>
      </c>
      <c r="N228" s="41">
        <v>8200</v>
      </c>
      <c r="O228" s="41">
        <v>1340</v>
      </c>
      <c r="P228" s="51">
        <v>590</v>
      </c>
    </row>
    <row r="229" spans="1:16">
      <c r="A229" s="44" t="s">
        <v>386</v>
      </c>
      <c r="B229" s="35">
        <v>446</v>
      </c>
      <c r="C229" s="42" t="s">
        <v>259</v>
      </c>
      <c r="D229" s="50">
        <v>16975230</v>
      </c>
      <c r="E229" s="50">
        <v>945554</v>
      </c>
      <c r="F229" s="41">
        <v>942264</v>
      </c>
      <c r="G229" s="41">
        <v>2617888</v>
      </c>
      <c r="H229" s="41">
        <v>0</v>
      </c>
      <c r="I229" s="41">
        <v>845794</v>
      </c>
      <c r="J229" s="41">
        <v>0</v>
      </c>
      <c r="K229" s="41">
        <v>69443</v>
      </c>
      <c r="L229" s="41">
        <v>0</v>
      </c>
      <c r="M229" s="41">
        <v>69443</v>
      </c>
      <c r="N229" s="41">
        <v>9217</v>
      </c>
      <c r="O229" s="41">
        <v>1451</v>
      </c>
      <c r="P229" s="51">
        <v>566</v>
      </c>
    </row>
    <row r="230" spans="1:16">
      <c r="A230" s="44" t="s">
        <v>386</v>
      </c>
      <c r="B230" s="35">
        <v>447</v>
      </c>
      <c r="C230" s="42" t="s">
        <v>260</v>
      </c>
      <c r="D230" s="50">
        <v>7879151</v>
      </c>
      <c r="E230" s="50">
        <v>348497</v>
      </c>
      <c r="F230" s="41">
        <v>467186</v>
      </c>
      <c r="G230" s="41">
        <v>281880</v>
      </c>
      <c r="H230" s="41">
        <v>0</v>
      </c>
      <c r="I230" s="41">
        <v>343329</v>
      </c>
      <c r="J230" s="41">
        <v>0</v>
      </c>
      <c r="K230" s="41">
        <v>2035</v>
      </c>
      <c r="L230" s="41">
        <v>0</v>
      </c>
      <c r="M230" s="41">
        <v>2035</v>
      </c>
      <c r="N230" s="41">
        <v>0</v>
      </c>
      <c r="O230" s="41">
        <v>618</v>
      </c>
      <c r="P230" s="51">
        <v>380</v>
      </c>
    </row>
    <row r="231" spans="1:16">
      <c r="A231" s="44" t="s">
        <v>384</v>
      </c>
      <c r="B231" s="35">
        <v>448</v>
      </c>
      <c r="C231" s="42" t="s">
        <v>261</v>
      </c>
      <c r="D231" s="50">
        <v>4504212</v>
      </c>
      <c r="E231" s="50">
        <v>98936</v>
      </c>
      <c r="F231" s="41">
        <v>169230</v>
      </c>
      <c r="G231" s="41">
        <v>430628</v>
      </c>
      <c r="H231" s="41">
        <v>0</v>
      </c>
      <c r="I231" s="41">
        <v>43637</v>
      </c>
      <c r="J231" s="41">
        <v>0</v>
      </c>
      <c r="K231" s="41">
        <v>20334</v>
      </c>
      <c r="L231" s="41">
        <v>0</v>
      </c>
      <c r="M231" s="41">
        <v>20334</v>
      </c>
      <c r="N231" s="41">
        <v>14406</v>
      </c>
      <c r="O231" s="41">
        <v>295</v>
      </c>
      <c r="P231" s="51">
        <v>148</v>
      </c>
    </row>
    <row r="232" spans="1:16">
      <c r="A232" s="44" t="s">
        <v>361</v>
      </c>
      <c r="B232" s="35">
        <v>449</v>
      </c>
      <c r="C232" s="42" t="s">
        <v>262</v>
      </c>
      <c r="D232" s="50">
        <v>6982517</v>
      </c>
      <c r="E232" s="50">
        <v>94216</v>
      </c>
      <c r="F232" s="41">
        <v>290838</v>
      </c>
      <c r="G232" s="41">
        <v>579460</v>
      </c>
      <c r="H232" s="41">
        <v>0</v>
      </c>
      <c r="I232" s="41">
        <v>74550</v>
      </c>
      <c r="J232" s="41">
        <v>0</v>
      </c>
      <c r="K232" s="41">
        <v>48929</v>
      </c>
      <c r="L232" s="41">
        <v>0</v>
      </c>
      <c r="M232" s="41">
        <v>48929</v>
      </c>
      <c r="N232" s="41">
        <v>0</v>
      </c>
      <c r="O232" s="41">
        <v>444</v>
      </c>
      <c r="P232" s="51">
        <v>249</v>
      </c>
    </row>
    <row r="233" spans="1:16">
      <c r="A233" s="37"/>
      <c r="B233" s="35">
        <v>450</v>
      </c>
      <c r="C233" s="42" t="s">
        <v>43</v>
      </c>
      <c r="D233" s="50">
        <v>32886547</v>
      </c>
      <c r="E233" s="50">
        <v>577024</v>
      </c>
      <c r="F233" s="41">
        <v>1993301</v>
      </c>
      <c r="G233" s="41">
        <v>1784424</v>
      </c>
      <c r="H233" s="41">
        <v>1216854</v>
      </c>
      <c r="I233" s="41">
        <v>414761</v>
      </c>
      <c r="J233" s="41">
        <v>0</v>
      </c>
      <c r="K233" s="41">
        <v>3623532</v>
      </c>
      <c r="L233" s="41">
        <v>0</v>
      </c>
      <c r="M233" s="41">
        <v>3623532</v>
      </c>
      <c r="N233" s="41">
        <v>71811</v>
      </c>
      <c r="O233" s="41">
        <v>2448</v>
      </c>
      <c r="P233" s="51">
        <v>1098</v>
      </c>
    </row>
    <row r="234" spans="1:16">
      <c r="A234" s="44" t="s">
        <v>358</v>
      </c>
      <c r="B234" s="35">
        <v>452</v>
      </c>
      <c r="C234" s="42" t="s">
        <v>263</v>
      </c>
      <c r="D234" s="50">
        <v>5640437</v>
      </c>
      <c r="E234" s="50">
        <v>260032</v>
      </c>
      <c r="F234" s="41">
        <v>803764</v>
      </c>
      <c r="G234" s="41">
        <v>0</v>
      </c>
      <c r="H234" s="41">
        <v>0</v>
      </c>
      <c r="I234" s="41">
        <v>94311</v>
      </c>
      <c r="J234" s="41">
        <v>17320</v>
      </c>
      <c r="K234" s="41">
        <v>45</v>
      </c>
      <c r="L234" s="41">
        <v>0</v>
      </c>
      <c r="M234" s="41">
        <v>45</v>
      </c>
      <c r="N234" s="41">
        <v>215000</v>
      </c>
      <c r="O234" s="41">
        <v>381</v>
      </c>
      <c r="P234" s="51">
        <v>125</v>
      </c>
    </row>
    <row r="235" spans="1:16">
      <c r="A235" s="44" t="s">
        <v>361</v>
      </c>
      <c r="B235" s="35">
        <v>453</v>
      </c>
      <c r="C235" s="42" t="s">
        <v>264</v>
      </c>
      <c r="D235" s="50">
        <v>39036450</v>
      </c>
      <c r="E235" s="50">
        <v>3561984</v>
      </c>
      <c r="F235" s="41">
        <v>3941498</v>
      </c>
      <c r="G235" s="41">
        <v>5566420</v>
      </c>
      <c r="H235" s="41">
        <v>3718445</v>
      </c>
      <c r="I235" s="41">
        <v>1334190</v>
      </c>
      <c r="J235" s="41">
        <v>11014</v>
      </c>
      <c r="K235" s="41">
        <v>1071711</v>
      </c>
      <c r="L235" s="41">
        <v>12255709</v>
      </c>
      <c r="M235" s="41">
        <v>13327420</v>
      </c>
      <c r="N235" s="41">
        <v>79026</v>
      </c>
      <c r="O235" s="41">
        <v>2448</v>
      </c>
      <c r="P235" s="51">
        <v>1259</v>
      </c>
    </row>
    <row r="236" spans="1:16">
      <c r="A236" s="44" t="s">
        <v>370</v>
      </c>
      <c r="B236" s="35">
        <v>454</v>
      </c>
      <c r="C236" s="42" t="s">
        <v>265</v>
      </c>
      <c r="D236" s="50">
        <v>3181238</v>
      </c>
      <c r="E236" s="50">
        <v>75330</v>
      </c>
      <c r="F236" s="41">
        <v>125209</v>
      </c>
      <c r="G236" s="41">
        <v>269865</v>
      </c>
      <c r="H236" s="41">
        <v>0</v>
      </c>
      <c r="I236" s="41">
        <v>60536</v>
      </c>
      <c r="J236" s="41">
        <v>0</v>
      </c>
      <c r="K236" s="41">
        <v>8971</v>
      </c>
      <c r="L236" s="41">
        <v>0</v>
      </c>
      <c r="M236" s="41">
        <v>8971</v>
      </c>
      <c r="N236" s="41">
        <v>0</v>
      </c>
      <c r="O236" s="41">
        <v>235</v>
      </c>
      <c r="P236" s="51">
        <v>116</v>
      </c>
    </row>
    <row r="237" spans="1:16">
      <c r="A237" s="44" t="s">
        <v>370</v>
      </c>
      <c r="B237" s="35">
        <v>456</v>
      </c>
      <c r="C237" s="42" t="s">
        <v>266</v>
      </c>
      <c r="D237" s="50">
        <v>2671435</v>
      </c>
      <c r="E237" s="50">
        <v>108689</v>
      </c>
      <c r="F237" s="41">
        <v>101993</v>
      </c>
      <c r="G237" s="41">
        <v>0</v>
      </c>
      <c r="H237" s="41">
        <v>0</v>
      </c>
      <c r="I237" s="41">
        <v>70710</v>
      </c>
      <c r="J237" s="41">
        <v>0</v>
      </c>
      <c r="K237" s="41">
        <v>0</v>
      </c>
      <c r="L237" s="41">
        <v>0</v>
      </c>
      <c r="M237" s="41">
        <v>0</v>
      </c>
      <c r="N237" s="41">
        <v>0</v>
      </c>
      <c r="O237" s="41">
        <v>173</v>
      </c>
      <c r="P237" s="51">
        <v>96</v>
      </c>
    </row>
    <row r="238" spans="1:16">
      <c r="A238" s="37"/>
      <c r="B238" s="35">
        <v>457</v>
      </c>
      <c r="C238" s="42" t="s">
        <v>44</v>
      </c>
      <c r="D238" s="50">
        <v>72972752</v>
      </c>
      <c r="E238" s="50">
        <v>5450717</v>
      </c>
      <c r="F238" s="41">
        <v>2836758</v>
      </c>
      <c r="G238" s="41">
        <v>6073920</v>
      </c>
      <c r="H238" s="41">
        <v>2425036</v>
      </c>
      <c r="I238" s="41">
        <v>3011917</v>
      </c>
      <c r="J238" s="41">
        <v>273864</v>
      </c>
      <c r="K238" s="41">
        <v>9080968</v>
      </c>
      <c r="L238" s="41">
        <v>0</v>
      </c>
      <c r="M238" s="41">
        <v>9080968</v>
      </c>
      <c r="N238" s="41">
        <v>2289235</v>
      </c>
      <c r="O238" s="41">
        <v>5569</v>
      </c>
      <c r="P238" s="51">
        <v>1988</v>
      </c>
    </row>
    <row r="239" spans="1:16">
      <c r="A239" s="44" t="s">
        <v>361</v>
      </c>
      <c r="B239" s="35">
        <v>458</v>
      </c>
      <c r="C239" s="42" t="s">
        <v>267</v>
      </c>
      <c r="D239" s="50">
        <v>19190959</v>
      </c>
      <c r="E239" s="50">
        <v>189423</v>
      </c>
      <c r="F239" s="41">
        <v>1300440</v>
      </c>
      <c r="G239" s="41">
        <v>3448189</v>
      </c>
      <c r="H239" s="41">
        <v>0</v>
      </c>
      <c r="I239" s="41">
        <v>149768</v>
      </c>
      <c r="J239" s="41">
        <v>0</v>
      </c>
      <c r="K239" s="41">
        <v>213245</v>
      </c>
      <c r="L239" s="41">
        <v>0</v>
      </c>
      <c r="M239" s="41">
        <v>213245</v>
      </c>
      <c r="N239" s="41">
        <v>28427</v>
      </c>
      <c r="O239" s="41">
        <v>1428</v>
      </c>
      <c r="P239" s="51">
        <v>805</v>
      </c>
    </row>
    <row r="240" spans="1:16">
      <c r="A240" s="44" t="s">
        <v>349</v>
      </c>
      <c r="B240" s="35">
        <v>459</v>
      </c>
      <c r="C240" s="42" t="s">
        <v>268</v>
      </c>
      <c r="D240" s="50">
        <v>2777472</v>
      </c>
      <c r="E240" s="50">
        <v>69366</v>
      </c>
      <c r="F240" s="41">
        <v>197992</v>
      </c>
      <c r="G240" s="41">
        <v>0</v>
      </c>
      <c r="H240" s="41">
        <v>0</v>
      </c>
      <c r="I240" s="41">
        <v>47746</v>
      </c>
      <c r="J240" s="41">
        <v>0</v>
      </c>
      <c r="K240" s="41">
        <v>17971</v>
      </c>
      <c r="L240" s="41">
        <v>0</v>
      </c>
      <c r="M240" s="41">
        <v>17971</v>
      </c>
      <c r="N240" s="41">
        <v>4701</v>
      </c>
      <c r="O240" s="41">
        <v>189</v>
      </c>
      <c r="P240" s="51">
        <v>74</v>
      </c>
    </row>
    <row r="241" spans="1:16">
      <c r="A241" s="44" t="s">
        <v>380</v>
      </c>
      <c r="B241" s="35">
        <v>460</v>
      </c>
      <c r="C241" s="42" t="s">
        <v>269</v>
      </c>
      <c r="D241" s="50">
        <v>7924315</v>
      </c>
      <c r="E241" s="50">
        <v>88276</v>
      </c>
      <c r="F241" s="41">
        <v>574750</v>
      </c>
      <c r="G241" s="41">
        <v>1000068</v>
      </c>
      <c r="H241" s="41">
        <v>0</v>
      </c>
      <c r="I241" s="41">
        <v>92098</v>
      </c>
      <c r="J241" s="41">
        <v>0</v>
      </c>
      <c r="K241" s="41">
        <v>33095</v>
      </c>
      <c r="L241" s="41">
        <v>0</v>
      </c>
      <c r="M241" s="41">
        <v>33095</v>
      </c>
      <c r="N241" s="41">
        <v>50156</v>
      </c>
      <c r="O241" s="41">
        <v>583</v>
      </c>
      <c r="P241" s="51">
        <v>269</v>
      </c>
    </row>
    <row r="242" spans="1:16">
      <c r="A242" s="44" t="s">
        <v>386</v>
      </c>
      <c r="B242" s="35">
        <v>461</v>
      </c>
      <c r="C242" s="42" t="s">
        <v>270</v>
      </c>
      <c r="D242" s="50">
        <v>7011731</v>
      </c>
      <c r="E242" s="50">
        <v>257600</v>
      </c>
      <c r="F242" s="41">
        <v>377750</v>
      </c>
      <c r="G242" s="41">
        <v>381583</v>
      </c>
      <c r="H242" s="41">
        <v>0</v>
      </c>
      <c r="I242" s="41">
        <v>207710</v>
      </c>
      <c r="J242" s="41">
        <v>0</v>
      </c>
      <c r="K242" s="41">
        <v>16379</v>
      </c>
      <c r="L242" s="41">
        <v>0</v>
      </c>
      <c r="M242" s="41">
        <v>16379</v>
      </c>
      <c r="N242" s="41">
        <v>0</v>
      </c>
      <c r="O242" s="41">
        <v>502</v>
      </c>
      <c r="P242" s="51">
        <v>228</v>
      </c>
    </row>
    <row r="243" spans="1:16">
      <c r="A243" s="44" t="s">
        <v>369</v>
      </c>
      <c r="B243" s="35">
        <v>462</v>
      </c>
      <c r="C243" s="42" t="s">
        <v>271</v>
      </c>
      <c r="D243" s="50">
        <v>4172035</v>
      </c>
      <c r="E243" s="50">
        <v>144445</v>
      </c>
      <c r="F243" s="41">
        <v>215194</v>
      </c>
      <c r="G243" s="41">
        <v>314673</v>
      </c>
      <c r="H243" s="41">
        <v>0</v>
      </c>
      <c r="I243" s="41">
        <v>91437</v>
      </c>
      <c r="J243" s="41">
        <v>0</v>
      </c>
      <c r="K243" s="41">
        <v>22893</v>
      </c>
      <c r="L243" s="41">
        <v>0</v>
      </c>
      <c r="M243" s="41">
        <v>22893</v>
      </c>
      <c r="N243" s="41">
        <v>0</v>
      </c>
      <c r="O243" s="41">
        <v>218</v>
      </c>
      <c r="P243" s="51">
        <v>151</v>
      </c>
    </row>
    <row r="244" spans="1:16">
      <c r="A244" s="44" t="s">
        <v>369</v>
      </c>
      <c r="B244" s="35">
        <v>463</v>
      </c>
      <c r="C244" s="42" t="s">
        <v>272</v>
      </c>
      <c r="D244" s="50">
        <v>3493661</v>
      </c>
      <c r="E244" s="50">
        <v>70685</v>
      </c>
      <c r="F244" s="41">
        <v>17050</v>
      </c>
      <c r="G244" s="41">
        <v>229705</v>
      </c>
      <c r="H244" s="41">
        <v>0</v>
      </c>
      <c r="I244" s="41">
        <v>71248</v>
      </c>
      <c r="J244" s="41">
        <v>0</v>
      </c>
      <c r="K244" s="41">
        <v>23998</v>
      </c>
      <c r="L244" s="41">
        <v>0</v>
      </c>
      <c r="M244" s="41">
        <v>23998</v>
      </c>
      <c r="N244" s="41">
        <v>0</v>
      </c>
      <c r="O244" s="41">
        <v>251</v>
      </c>
      <c r="P244" s="51">
        <v>122</v>
      </c>
    </row>
    <row r="245" spans="1:16">
      <c r="A245" s="44" t="s">
        <v>361</v>
      </c>
      <c r="B245" s="35">
        <v>464</v>
      </c>
      <c r="C245" s="42" t="s">
        <v>273</v>
      </c>
      <c r="D245" s="50">
        <v>15608615</v>
      </c>
      <c r="E245" s="50">
        <v>212068</v>
      </c>
      <c r="F245" s="41">
        <v>1198560</v>
      </c>
      <c r="G245" s="41">
        <v>1626665</v>
      </c>
      <c r="H245" s="41">
        <v>0</v>
      </c>
      <c r="I245" s="41">
        <v>158096</v>
      </c>
      <c r="J245" s="41">
        <v>0</v>
      </c>
      <c r="K245" s="41">
        <v>220035</v>
      </c>
      <c r="L245" s="41">
        <v>0</v>
      </c>
      <c r="M245" s="41">
        <v>220035</v>
      </c>
      <c r="N245" s="41">
        <v>0</v>
      </c>
      <c r="O245" s="41">
        <v>1316</v>
      </c>
      <c r="P245" s="51">
        <v>606</v>
      </c>
    </row>
    <row r="246" spans="1:16">
      <c r="A246" s="44" t="s">
        <v>369</v>
      </c>
      <c r="B246" s="35">
        <v>465</v>
      </c>
      <c r="C246" s="42" t="s">
        <v>274</v>
      </c>
      <c r="D246" s="50">
        <v>21920758</v>
      </c>
      <c r="E246" s="50">
        <v>1278624</v>
      </c>
      <c r="F246" s="41">
        <v>775623</v>
      </c>
      <c r="G246" s="41">
        <v>1970783</v>
      </c>
      <c r="H246" s="41">
        <v>2510902</v>
      </c>
      <c r="I246" s="41">
        <v>847282</v>
      </c>
      <c r="J246" s="41">
        <v>0</v>
      </c>
      <c r="K246" s="41">
        <v>154823</v>
      </c>
      <c r="L246" s="41">
        <v>5941231</v>
      </c>
      <c r="M246" s="41">
        <v>6096054</v>
      </c>
      <c r="N246" s="41">
        <v>24369</v>
      </c>
      <c r="O246" s="41">
        <v>1719</v>
      </c>
      <c r="P246" s="51">
        <v>785</v>
      </c>
    </row>
    <row r="247" spans="1:16">
      <c r="A247" s="44" t="s">
        <v>358</v>
      </c>
      <c r="B247" s="35">
        <v>466</v>
      </c>
      <c r="C247" s="42" t="s">
        <v>275</v>
      </c>
      <c r="D247" s="50">
        <v>10268486</v>
      </c>
      <c r="E247" s="50">
        <v>363062</v>
      </c>
      <c r="F247" s="41">
        <v>847691</v>
      </c>
      <c r="G247" s="41">
        <v>1228058</v>
      </c>
      <c r="H247" s="41">
        <v>0</v>
      </c>
      <c r="I247" s="41">
        <v>213990</v>
      </c>
      <c r="J247" s="41">
        <v>15638</v>
      </c>
      <c r="K247" s="41">
        <v>5177</v>
      </c>
      <c r="L247" s="41">
        <v>0</v>
      </c>
      <c r="M247" s="41">
        <v>5177</v>
      </c>
      <c r="N247" s="41">
        <v>165335</v>
      </c>
      <c r="O247" s="41">
        <v>643</v>
      </c>
      <c r="P247" s="51">
        <v>287</v>
      </c>
    </row>
    <row r="248" spans="1:16">
      <c r="A248" s="44" t="s">
        <v>358</v>
      </c>
      <c r="B248" s="35">
        <v>467</v>
      </c>
      <c r="C248" s="42" t="s">
        <v>276</v>
      </c>
      <c r="D248" s="50">
        <v>5657816</v>
      </c>
      <c r="E248" s="50">
        <v>238528</v>
      </c>
      <c r="F248" s="41">
        <v>1036162</v>
      </c>
      <c r="G248" s="41">
        <v>276745</v>
      </c>
      <c r="H248" s="41">
        <v>0</v>
      </c>
      <c r="I248" s="41">
        <v>118390</v>
      </c>
      <c r="J248" s="41">
        <v>14484</v>
      </c>
      <c r="K248" s="41">
        <v>1856</v>
      </c>
      <c r="L248" s="41">
        <v>0</v>
      </c>
      <c r="M248" s="41">
        <v>1856</v>
      </c>
      <c r="N248" s="41">
        <v>160513</v>
      </c>
      <c r="O248" s="41">
        <v>317</v>
      </c>
      <c r="P248" s="51">
        <v>132</v>
      </c>
    </row>
    <row r="249" spans="1:16">
      <c r="A249" s="44" t="s">
        <v>350</v>
      </c>
      <c r="B249" s="35">
        <v>468</v>
      </c>
      <c r="C249" s="42" t="s">
        <v>277</v>
      </c>
      <c r="D249" s="50">
        <v>1390525</v>
      </c>
      <c r="E249" s="50">
        <v>41821</v>
      </c>
      <c r="F249" s="41">
        <v>151280</v>
      </c>
      <c r="G249" s="41">
        <v>0</v>
      </c>
      <c r="H249" s="41">
        <v>0</v>
      </c>
      <c r="I249" s="41">
        <v>10548</v>
      </c>
      <c r="J249" s="41">
        <v>0</v>
      </c>
      <c r="K249" s="41">
        <v>2427</v>
      </c>
      <c r="L249" s="41">
        <v>0</v>
      </c>
      <c r="M249" s="41">
        <v>2427</v>
      </c>
      <c r="N249" s="41">
        <v>17615</v>
      </c>
      <c r="O249" s="41">
        <v>43</v>
      </c>
      <c r="P249" s="51">
        <v>34</v>
      </c>
    </row>
    <row r="250" spans="1:16">
      <c r="A250" s="44" t="s">
        <v>361</v>
      </c>
      <c r="B250" s="35">
        <v>469</v>
      </c>
      <c r="C250" s="42" t="s">
        <v>278</v>
      </c>
      <c r="D250" s="50">
        <v>21106736</v>
      </c>
      <c r="E250" s="50">
        <v>180969</v>
      </c>
      <c r="F250" s="41">
        <v>2499256</v>
      </c>
      <c r="G250" s="41">
        <v>2405103</v>
      </c>
      <c r="H250" s="41">
        <v>0</v>
      </c>
      <c r="I250" s="41">
        <v>129519</v>
      </c>
      <c r="J250" s="41">
        <v>0</v>
      </c>
      <c r="K250" s="41">
        <v>423100</v>
      </c>
      <c r="L250" s="41">
        <v>0</v>
      </c>
      <c r="M250" s="41">
        <v>423100</v>
      </c>
      <c r="N250" s="41">
        <v>12293</v>
      </c>
      <c r="O250" s="41">
        <v>1703</v>
      </c>
      <c r="P250" s="51">
        <v>947</v>
      </c>
    </row>
    <row r="251" spans="1:16">
      <c r="A251" s="44" t="s">
        <v>369</v>
      </c>
      <c r="B251" s="35">
        <v>470</v>
      </c>
      <c r="C251" s="42" t="s">
        <v>279</v>
      </c>
      <c r="D251" s="50">
        <v>25051025</v>
      </c>
      <c r="E251" s="50">
        <v>1971336</v>
      </c>
      <c r="F251" s="41">
        <v>703022</v>
      </c>
      <c r="G251" s="41">
        <v>2816240</v>
      </c>
      <c r="H251" s="41">
        <v>0</v>
      </c>
      <c r="I251" s="41">
        <v>1018058</v>
      </c>
      <c r="J251" s="41">
        <v>28586</v>
      </c>
      <c r="K251" s="41">
        <v>74389</v>
      </c>
      <c r="L251" s="41">
        <v>0</v>
      </c>
      <c r="M251" s="41">
        <v>74389</v>
      </c>
      <c r="N251" s="41">
        <v>183514</v>
      </c>
      <c r="O251" s="41">
        <v>1990</v>
      </c>
      <c r="P251" s="51">
        <v>775</v>
      </c>
    </row>
    <row r="252" spans="1:16">
      <c r="A252" s="44" t="s">
        <v>369</v>
      </c>
      <c r="B252" s="35">
        <v>471</v>
      </c>
      <c r="C252" s="42" t="s">
        <v>280</v>
      </c>
      <c r="D252" s="50">
        <v>1794312</v>
      </c>
      <c r="E252" s="50">
        <v>79932</v>
      </c>
      <c r="F252" s="41">
        <v>195453</v>
      </c>
      <c r="G252" s="41">
        <v>0</v>
      </c>
      <c r="H252" s="41">
        <v>0</v>
      </c>
      <c r="I252" s="41">
        <v>39246</v>
      </c>
      <c r="J252" s="41">
        <v>0</v>
      </c>
      <c r="K252" s="41">
        <v>20394</v>
      </c>
      <c r="L252" s="41">
        <v>0</v>
      </c>
      <c r="M252" s="41">
        <v>20394</v>
      </c>
      <c r="N252" s="41">
        <v>0</v>
      </c>
      <c r="O252" s="41">
        <v>75</v>
      </c>
      <c r="P252" s="51">
        <v>73</v>
      </c>
    </row>
    <row r="253" spans="1:16">
      <c r="A253" s="44" t="s">
        <v>355</v>
      </c>
      <c r="B253" s="35">
        <v>473</v>
      </c>
      <c r="C253" s="42" t="s">
        <v>281</v>
      </c>
      <c r="D253" s="50">
        <v>13130837</v>
      </c>
      <c r="E253" s="50">
        <v>216437</v>
      </c>
      <c r="F253" s="41">
        <v>4545709</v>
      </c>
      <c r="G253" s="41">
        <v>352530</v>
      </c>
      <c r="H253" s="41">
        <v>0</v>
      </c>
      <c r="I253" s="41">
        <v>165252</v>
      </c>
      <c r="J253" s="41">
        <v>0</v>
      </c>
      <c r="K253" s="41">
        <v>65991</v>
      </c>
      <c r="L253" s="41">
        <v>0</v>
      </c>
      <c r="M253" s="41">
        <v>65991</v>
      </c>
      <c r="N253" s="41">
        <v>20100</v>
      </c>
      <c r="O253" s="41">
        <v>666</v>
      </c>
      <c r="P253" s="51">
        <v>303</v>
      </c>
    </row>
    <row r="254" spans="1:16">
      <c r="A254" s="44" t="s">
        <v>366</v>
      </c>
      <c r="B254" s="35">
        <v>474</v>
      </c>
      <c r="C254" s="42" t="s">
        <v>282</v>
      </c>
      <c r="D254" s="50">
        <v>1484081</v>
      </c>
      <c r="E254" s="50">
        <v>49181</v>
      </c>
      <c r="F254" s="41">
        <v>51684</v>
      </c>
      <c r="G254" s="41">
        <v>0</v>
      </c>
      <c r="H254" s="41">
        <v>0</v>
      </c>
      <c r="I254" s="41">
        <v>37772</v>
      </c>
      <c r="J254" s="41">
        <v>0</v>
      </c>
      <c r="K254" s="41">
        <v>0</v>
      </c>
      <c r="L254" s="41">
        <v>0</v>
      </c>
      <c r="M254" s="41">
        <v>0</v>
      </c>
      <c r="N254" s="41">
        <v>0</v>
      </c>
      <c r="O254" s="41">
        <v>78</v>
      </c>
      <c r="P254" s="51">
        <v>42</v>
      </c>
    </row>
    <row r="255" spans="1:16">
      <c r="A255" s="37"/>
      <c r="B255" s="35">
        <v>475</v>
      </c>
      <c r="C255" s="42" t="s">
        <v>283</v>
      </c>
      <c r="D255" s="50">
        <v>73595034</v>
      </c>
      <c r="E255" s="50">
        <v>4613595</v>
      </c>
      <c r="F255" s="41">
        <v>4141783</v>
      </c>
      <c r="G255" s="41">
        <v>2454540</v>
      </c>
      <c r="H255" s="41">
        <v>1892322</v>
      </c>
      <c r="I255" s="41">
        <v>1778072</v>
      </c>
      <c r="J255" s="41">
        <v>90106</v>
      </c>
      <c r="K255" s="41">
        <v>9144353</v>
      </c>
      <c r="L255" s="41">
        <v>0</v>
      </c>
      <c r="M255" s="41">
        <v>9144353</v>
      </c>
      <c r="N255" s="41">
        <v>1610737</v>
      </c>
      <c r="O255" s="41">
        <v>6177</v>
      </c>
      <c r="P255" s="51">
        <v>1738</v>
      </c>
    </row>
    <row r="256" spans="1:16">
      <c r="A256" s="44" t="s">
        <v>358</v>
      </c>
      <c r="B256" s="35">
        <v>476</v>
      </c>
      <c r="C256" s="42" t="s">
        <v>284</v>
      </c>
      <c r="D256" s="50">
        <v>1786216</v>
      </c>
      <c r="E256" s="50">
        <v>75257</v>
      </c>
      <c r="F256" s="41">
        <v>139006</v>
      </c>
      <c r="G256" s="41">
        <v>245700</v>
      </c>
      <c r="H256" s="41">
        <v>0</v>
      </c>
      <c r="I256" s="41">
        <v>42594</v>
      </c>
      <c r="J256" s="41">
        <v>0</v>
      </c>
      <c r="K256" s="41">
        <v>0</v>
      </c>
      <c r="L256" s="41">
        <v>0</v>
      </c>
      <c r="M256" s="41">
        <v>0</v>
      </c>
      <c r="N256" s="41">
        <v>77560</v>
      </c>
      <c r="O256" s="41">
        <v>72</v>
      </c>
      <c r="P256" s="51">
        <v>36</v>
      </c>
    </row>
    <row r="257" spans="1:16">
      <c r="A257" s="44" t="s">
        <v>349</v>
      </c>
      <c r="B257" s="35">
        <v>477</v>
      </c>
      <c r="C257" s="42" t="s">
        <v>285</v>
      </c>
      <c r="D257" s="50">
        <v>2518429</v>
      </c>
      <c r="E257" s="50">
        <v>119285</v>
      </c>
      <c r="F257" s="41">
        <v>55955</v>
      </c>
      <c r="G257" s="41">
        <v>0</v>
      </c>
      <c r="H257" s="41">
        <v>0</v>
      </c>
      <c r="I257" s="41">
        <v>47518</v>
      </c>
      <c r="J257" s="41">
        <v>0</v>
      </c>
      <c r="K257" s="41">
        <v>6842</v>
      </c>
      <c r="L257" s="41">
        <v>0</v>
      </c>
      <c r="M257" s="41">
        <v>6842</v>
      </c>
      <c r="N257" s="41">
        <v>69952</v>
      </c>
      <c r="O257" s="41">
        <v>172</v>
      </c>
      <c r="P257" s="51">
        <v>72</v>
      </c>
    </row>
    <row r="258" spans="1:16">
      <c r="A258" s="44" t="s">
        <v>348</v>
      </c>
      <c r="B258" s="35">
        <v>479</v>
      </c>
      <c r="C258" s="42" t="s">
        <v>286</v>
      </c>
      <c r="D258" s="50">
        <v>2144104</v>
      </c>
      <c r="E258" s="50">
        <v>92480</v>
      </c>
      <c r="F258" s="41">
        <v>92717</v>
      </c>
      <c r="G258" s="41">
        <v>0</v>
      </c>
      <c r="H258" s="41">
        <v>0</v>
      </c>
      <c r="I258" s="41">
        <v>50114</v>
      </c>
      <c r="J258" s="41">
        <v>0</v>
      </c>
      <c r="K258" s="41">
        <v>30964</v>
      </c>
      <c r="L258" s="41">
        <v>0</v>
      </c>
      <c r="M258" s="41">
        <v>30964</v>
      </c>
      <c r="N258" s="41">
        <v>0</v>
      </c>
      <c r="O258" s="41">
        <v>153</v>
      </c>
      <c r="P258" s="51">
        <v>73</v>
      </c>
    </row>
    <row r="259" spans="1:16">
      <c r="A259" s="37"/>
      <c r="B259" s="35">
        <v>480</v>
      </c>
      <c r="C259" s="42" t="s">
        <v>45</v>
      </c>
      <c r="D259" s="50">
        <v>42456688</v>
      </c>
      <c r="E259" s="50">
        <v>4180281</v>
      </c>
      <c r="F259" s="41">
        <v>3581051</v>
      </c>
      <c r="G259" s="41">
        <v>2022745</v>
      </c>
      <c r="H259" s="41">
        <v>1316304</v>
      </c>
      <c r="I259" s="41">
        <v>1399295</v>
      </c>
      <c r="J259" s="41">
        <v>193206</v>
      </c>
      <c r="K259" s="41">
        <v>2724206</v>
      </c>
      <c r="L259" s="41">
        <v>0</v>
      </c>
      <c r="M259" s="41">
        <v>2724206</v>
      </c>
      <c r="N259" s="41">
        <v>2212987</v>
      </c>
      <c r="O259" s="41">
        <v>3567</v>
      </c>
      <c r="P259" s="51">
        <v>1206</v>
      </c>
    </row>
    <row r="260" spans="1:16">
      <c r="A260" s="44" t="s">
        <v>355</v>
      </c>
      <c r="B260" s="35">
        <v>481</v>
      </c>
      <c r="C260" s="42" t="s">
        <v>287</v>
      </c>
      <c r="D260" s="50">
        <v>4396915</v>
      </c>
      <c r="E260" s="50">
        <v>185464</v>
      </c>
      <c r="F260" s="41">
        <v>399398</v>
      </c>
      <c r="G260" s="41">
        <v>292500</v>
      </c>
      <c r="H260" s="41">
        <v>0</v>
      </c>
      <c r="I260" s="41">
        <v>102877</v>
      </c>
      <c r="J260" s="41">
        <v>0</v>
      </c>
      <c r="K260" s="41">
        <v>90571</v>
      </c>
      <c r="L260" s="41">
        <v>0</v>
      </c>
      <c r="M260" s="41">
        <v>90571</v>
      </c>
      <c r="N260" s="41">
        <v>0</v>
      </c>
      <c r="O260" s="41">
        <v>242</v>
      </c>
      <c r="P260" s="51">
        <v>141</v>
      </c>
    </row>
    <row r="261" spans="1:16">
      <c r="A261" s="44" t="s">
        <v>349</v>
      </c>
      <c r="B261" s="35">
        <v>482</v>
      </c>
      <c r="C261" s="42" t="s">
        <v>288</v>
      </c>
      <c r="D261" s="50">
        <v>2556437</v>
      </c>
      <c r="E261" s="50">
        <v>89895</v>
      </c>
      <c r="F261" s="41">
        <v>250615</v>
      </c>
      <c r="G261" s="41">
        <v>0</v>
      </c>
      <c r="H261" s="41">
        <v>0</v>
      </c>
      <c r="I261" s="41">
        <v>63435</v>
      </c>
      <c r="J261" s="41">
        <v>0</v>
      </c>
      <c r="K261" s="41">
        <v>3768</v>
      </c>
      <c r="L261" s="41">
        <v>0</v>
      </c>
      <c r="M261" s="41">
        <v>3768</v>
      </c>
      <c r="N261" s="41">
        <v>0</v>
      </c>
      <c r="O261" s="41">
        <v>181</v>
      </c>
      <c r="P261" s="51">
        <v>72</v>
      </c>
    </row>
    <row r="262" spans="1:16">
      <c r="A262" s="44" t="s">
        <v>349</v>
      </c>
      <c r="B262" s="35">
        <v>483</v>
      </c>
      <c r="C262" s="42" t="s">
        <v>289</v>
      </c>
      <c r="D262" s="50">
        <v>8496512</v>
      </c>
      <c r="E262" s="50">
        <v>652312</v>
      </c>
      <c r="F262" s="41">
        <v>852729</v>
      </c>
      <c r="G262" s="41">
        <v>604392</v>
      </c>
      <c r="H262" s="41">
        <v>0</v>
      </c>
      <c r="I262" s="41">
        <v>302504</v>
      </c>
      <c r="J262" s="41">
        <v>38927</v>
      </c>
      <c r="K262" s="41">
        <v>78188</v>
      </c>
      <c r="L262" s="41">
        <v>0</v>
      </c>
      <c r="M262" s="41">
        <v>78188</v>
      </c>
      <c r="N262" s="41">
        <v>636613</v>
      </c>
      <c r="O262" s="41">
        <v>576</v>
      </c>
      <c r="P262" s="51">
        <v>193</v>
      </c>
    </row>
    <row r="263" spans="1:16">
      <c r="A263" s="44" t="s">
        <v>386</v>
      </c>
      <c r="B263" s="35">
        <v>484</v>
      </c>
      <c r="C263" s="42" t="s">
        <v>290</v>
      </c>
      <c r="D263" s="50">
        <v>6320753</v>
      </c>
      <c r="E263" s="50">
        <v>321091</v>
      </c>
      <c r="F263" s="41">
        <v>323750</v>
      </c>
      <c r="G263" s="41">
        <v>0</v>
      </c>
      <c r="H263" s="41">
        <v>0</v>
      </c>
      <c r="I263" s="41">
        <v>237517</v>
      </c>
      <c r="J263" s="41">
        <v>0</v>
      </c>
      <c r="K263" s="41">
        <v>17362</v>
      </c>
      <c r="L263" s="41">
        <v>0</v>
      </c>
      <c r="M263" s="41">
        <v>17362</v>
      </c>
      <c r="N263" s="41">
        <v>0</v>
      </c>
      <c r="O263" s="41">
        <v>528</v>
      </c>
      <c r="P263" s="51">
        <v>224</v>
      </c>
    </row>
    <row r="264" spans="1:16">
      <c r="A264" s="44" t="s">
        <v>355</v>
      </c>
      <c r="B264" s="35">
        <v>487</v>
      </c>
      <c r="C264" s="42" t="s">
        <v>291</v>
      </c>
      <c r="D264" s="50">
        <v>6066359</v>
      </c>
      <c r="E264" s="50">
        <v>164569</v>
      </c>
      <c r="F264" s="41">
        <v>380354</v>
      </c>
      <c r="G264" s="41">
        <v>1143663</v>
      </c>
      <c r="H264" s="41">
        <v>0</v>
      </c>
      <c r="I264" s="41">
        <v>123420</v>
      </c>
      <c r="J264" s="41">
        <v>0</v>
      </c>
      <c r="K264" s="41">
        <v>40360</v>
      </c>
      <c r="L264" s="41">
        <v>0</v>
      </c>
      <c r="M264" s="41">
        <v>40360</v>
      </c>
      <c r="N264" s="41">
        <v>0</v>
      </c>
      <c r="O264" s="41">
        <v>337</v>
      </c>
      <c r="P264" s="51">
        <v>187</v>
      </c>
    </row>
    <row r="265" spans="1:16">
      <c r="A265" s="44" t="s">
        <v>382</v>
      </c>
      <c r="B265" s="35">
        <v>489</v>
      </c>
      <c r="C265" s="42" t="s">
        <v>292</v>
      </c>
      <c r="D265" s="50">
        <v>26152198</v>
      </c>
      <c r="E265" s="50">
        <v>2743903</v>
      </c>
      <c r="F265" s="41">
        <v>2286323</v>
      </c>
      <c r="G265" s="41">
        <v>1026462</v>
      </c>
      <c r="H265" s="41">
        <v>1334127</v>
      </c>
      <c r="I265" s="41">
        <v>501099</v>
      </c>
      <c r="J265" s="41">
        <v>12611</v>
      </c>
      <c r="K265" s="41">
        <v>157825</v>
      </c>
      <c r="L265" s="41">
        <v>5150206</v>
      </c>
      <c r="M265" s="41">
        <v>5308031</v>
      </c>
      <c r="N265" s="41">
        <v>105118</v>
      </c>
      <c r="O265" s="41">
        <v>2152</v>
      </c>
      <c r="P265" s="51">
        <v>966</v>
      </c>
    </row>
    <row r="266" spans="1:16">
      <c r="A266" s="44" t="s">
        <v>360</v>
      </c>
      <c r="B266" s="35">
        <v>490</v>
      </c>
      <c r="C266" s="42" t="s">
        <v>293</v>
      </c>
      <c r="D266" s="50">
        <v>17760245</v>
      </c>
      <c r="E266" s="50">
        <v>761791</v>
      </c>
      <c r="F266" s="41">
        <v>1387195</v>
      </c>
      <c r="G266" s="41">
        <v>1151952</v>
      </c>
      <c r="H266" s="41">
        <v>4140538</v>
      </c>
      <c r="I266" s="41">
        <v>420211</v>
      </c>
      <c r="J266" s="41">
        <v>0</v>
      </c>
      <c r="K266" s="41">
        <v>193109</v>
      </c>
      <c r="L266" s="41">
        <v>11758967</v>
      </c>
      <c r="M266" s="41">
        <v>11952076</v>
      </c>
      <c r="N266" s="41">
        <v>2810</v>
      </c>
      <c r="O266" s="41">
        <v>1407</v>
      </c>
      <c r="P266" s="51">
        <v>637</v>
      </c>
    </row>
    <row r="267" spans="1:16">
      <c r="A267" s="44" t="s">
        <v>372</v>
      </c>
      <c r="B267" s="35">
        <v>491</v>
      </c>
      <c r="C267" s="42" t="s">
        <v>294</v>
      </c>
      <c r="D267" s="50">
        <v>16056678</v>
      </c>
      <c r="E267" s="50">
        <v>1107819</v>
      </c>
      <c r="F267" s="41">
        <v>648113</v>
      </c>
      <c r="G267" s="41">
        <v>3760836</v>
      </c>
      <c r="H267" s="41">
        <v>0</v>
      </c>
      <c r="I267" s="41">
        <v>183515</v>
      </c>
      <c r="J267" s="41">
        <v>0</v>
      </c>
      <c r="K267" s="41">
        <v>132954</v>
      </c>
      <c r="L267" s="41">
        <v>0</v>
      </c>
      <c r="M267" s="41">
        <v>132954</v>
      </c>
      <c r="N267" s="41">
        <v>56005</v>
      </c>
      <c r="O267" s="41">
        <v>1085</v>
      </c>
      <c r="P267" s="51">
        <v>473</v>
      </c>
    </row>
    <row r="268" spans="1:16">
      <c r="A268" s="44" t="s">
        <v>360</v>
      </c>
      <c r="B268" s="35">
        <v>492</v>
      </c>
      <c r="C268" s="42" t="s">
        <v>295</v>
      </c>
      <c r="D268" s="50">
        <v>3171191</v>
      </c>
      <c r="E268" s="50">
        <v>64049</v>
      </c>
      <c r="F268" s="41">
        <v>178532</v>
      </c>
      <c r="G268" s="41">
        <v>303734</v>
      </c>
      <c r="H268" s="41">
        <v>0</v>
      </c>
      <c r="I268" s="41">
        <v>36756</v>
      </c>
      <c r="J268" s="41">
        <v>0</v>
      </c>
      <c r="K268" s="41">
        <v>40077</v>
      </c>
      <c r="L268" s="41">
        <v>0</v>
      </c>
      <c r="M268" s="41">
        <v>40077</v>
      </c>
      <c r="N268" s="41">
        <v>0</v>
      </c>
      <c r="O268" s="41">
        <v>170</v>
      </c>
      <c r="P268" s="51">
        <v>96</v>
      </c>
    </row>
    <row r="269" spans="1:16">
      <c r="A269" s="44" t="s">
        <v>363</v>
      </c>
      <c r="B269" s="35">
        <v>493</v>
      </c>
      <c r="C269" s="42" t="s">
        <v>296</v>
      </c>
      <c r="D269" s="50">
        <v>9902966</v>
      </c>
      <c r="E269" s="50">
        <v>518096</v>
      </c>
      <c r="F269" s="41">
        <v>972829</v>
      </c>
      <c r="G269" s="41">
        <v>14370</v>
      </c>
      <c r="H269" s="41">
        <v>0</v>
      </c>
      <c r="I269" s="41">
        <v>421335</v>
      </c>
      <c r="J269" s="41">
        <v>0</v>
      </c>
      <c r="K269" s="41">
        <v>175363</v>
      </c>
      <c r="L269" s="41">
        <v>0</v>
      </c>
      <c r="M269" s="41">
        <v>175363</v>
      </c>
      <c r="N269" s="41">
        <v>1204</v>
      </c>
      <c r="O269" s="41">
        <v>741</v>
      </c>
      <c r="P269" s="51">
        <v>333</v>
      </c>
    </row>
    <row r="270" spans="1:16">
      <c r="A270" s="44" t="s">
        <v>358</v>
      </c>
      <c r="B270" s="35">
        <v>494</v>
      </c>
      <c r="C270" s="42" t="s">
        <v>297</v>
      </c>
      <c r="D270" s="50">
        <v>6037429</v>
      </c>
      <c r="E270" s="50">
        <v>300681</v>
      </c>
      <c r="F270" s="41">
        <v>616922</v>
      </c>
      <c r="G270" s="41">
        <v>743535</v>
      </c>
      <c r="H270" s="41">
        <v>0</v>
      </c>
      <c r="I270" s="41">
        <v>144770</v>
      </c>
      <c r="J270" s="41">
        <v>17656</v>
      </c>
      <c r="K270" s="41">
        <v>16978</v>
      </c>
      <c r="L270" s="41">
        <v>0</v>
      </c>
      <c r="M270" s="41">
        <v>16978</v>
      </c>
      <c r="N270" s="41">
        <v>365407</v>
      </c>
      <c r="O270" s="41">
        <v>387</v>
      </c>
      <c r="P270" s="51">
        <v>122</v>
      </c>
    </row>
    <row r="271" spans="1:16">
      <c r="A271" s="44" t="s">
        <v>376</v>
      </c>
      <c r="B271" s="35">
        <v>495</v>
      </c>
      <c r="C271" s="42" t="s">
        <v>298</v>
      </c>
      <c r="D271" s="50">
        <v>9020687</v>
      </c>
      <c r="E271" s="50">
        <v>184657</v>
      </c>
      <c r="F271" s="41">
        <v>476707</v>
      </c>
      <c r="G271" s="41">
        <v>480395</v>
      </c>
      <c r="H271" s="41">
        <v>595905</v>
      </c>
      <c r="I271" s="41">
        <v>195942</v>
      </c>
      <c r="J271" s="41">
        <v>0</v>
      </c>
      <c r="K271" s="41">
        <v>254858</v>
      </c>
      <c r="L271" s="41">
        <v>2368893</v>
      </c>
      <c r="M271" s="41">
        <v>2623751</v>
      </c>
      <c r="N271" s="41">
        <v>10000</v>
      </c>
      <c r="O271" s="41">
        <v>691</v>
      </c>
      <c r="P271" s="51">
        <v>259</v>
      </c>
    </row>
    <row r="272" spans="1:16">
      <c r="A272" s="44" t="s">
        <v>376</v>
      </c>
      <c r="B272" s="35">
        <v>496</v>
      </c>
      <c r="C272" s="42" t="s">
        <v>299</v>
      </c>
      <c r="D272" s="50">
        <v>1598488</v>
      </c>
      <c r="E272" s="50">
        <v>52822</v>
      </c>
      <c r="F272" s="41">
        <v>112009</v>
      </c>
      <c r="G272" s="41">
        <v>0</v>
      </c>
      <c r="H272" s="41">
        <v>0</v>
      </c>
      <c r="I272" s="41">
        <v>50000</v>
      </c>
      <c r="J272" s="41">
        <v>0</v>
      </c>
      <c r="K272" s="41">
        <v>7000</v>
      </c>
      <c r="L272" s="41">
        <v>0</v>
      </c>
      <c r="M272" s="41">
        <v>7000</v>
      </c>
      <c r="N272" s="41">
        <v>1181</v>
      </c>
      <c r="O272" s="41">
        <v>94</v>
      </c>
      <c r="P272" s="51">
        <v>98</v>
      </c>
    </row>
    <row r="273" spans="1:16">
      <c r="A273" s="37"/>
      <c r="B273" s="35">
        <v>497</v>
      </c>
      <c r="C273" s="42" t="s">
        <v>46</v>
      </c>
      <c r="D273" s="50">
        <v>111128081</v>
      </c>
      <c r="E273" s="50">
        <v>3340451</v>
      </c>
      <c r="F273" s="41">
        <v>7565298</v>
      </c>
      <c r="G273" s="41">
        <v>11919194</v>
      </c>
      <c r="H273" s="41">
        <v>3492572</v>
      </c>
      <c r="I273" s="41">
        <v>2463018</v>
      </c>
      <c r="J273" s="41">
        <v>28183</v>
      </c>
      <c r="K273" s="41">
        <v>14964031</v>
      </c>
      <c r="L273" s="41">
        <v>0</v>
      </c>
      <c r="M273" s="41">
        <v>14964031</v>
      </c>
      <c r="N273" s="41">
        <v>556778</v>
      </c>
      <c r="O273" s="41">
        <v>8089</v>
      </c>
      <c r="P273" s="51">
        <v>3285</v>
      </c>
    </row>
    <row r="274" spans="1:16">
      <c r="A274" s="44" t="s">
        <v>379</v>
      </c>
      <c r="B274" s="35">
        <v>498</v>
      </c>
      <c r="C274" s="42" t="s">
        <v>300</v>
      </c>
      <c r="D274" s="50">
        <v>4141166</v>
      </c>
      <c r="E274" s="50">
        <v>106095</v>
      </c>
      <c r="F274" s="41">
        <v>153125</v>
      </c>
      <c r="G274" s="41">
        <v>285193</v>
      </c>
      <c r="H274" s="41">
        <v>0</v>
      </c>
      <c r="I274" s="41">
        <v>77107</v>
      </c>
      <c r="J274" s="41">
        <v>0</v>
      </c>
      <c r="K274" s="41">
        <v>58878</v>
      </c>
      <c r="L274" s="41">
        <v>0</v>
      </c>
      <c r="M274" s="41">
        <v>58878</v>
      </c>
      <c r="N274" s="41">
        <v>1500</v>
      </c>
      <c r="O274" s="41">
        <v>273</v>
      </c>
      <c r="P274" s="51">
        <v>100</v>
      </c>
    </row>
    <row r="275" spans="1:16">
      <c r="A275" s="44" t="s">
        <v>363</v>
      </c>
      <c r="B275" s="35">
        <v>499</v>
      </c>
      <c r="C275" s="42" t="s">
        <v>301</v>
      </c>
      <c r="D275" s="50">
        <v>7700963</v>
      </c>
      <c r="E275" s="50">
        <v>522762</v>
      </c>
      <c r="F275" s="41">
        <v>143089</v>
      </c>
      <c r="G275" s="41">
        <v>281350</v>
      </c>
      <c r="H275" s="41">
        <v>0</v>
      </c>
      <c r="I275" s="41">
        <v>393248</v>
      </c>
      <c r="J275" s="41">
        <v>0</v>
      </c>
      <c r="K275" s="41">
        <v>60324</v>
      </c>
      <c r="L275" s="41">
        <v>0</v>
      </c>
      <c r="M275" s="41">
        <v>60324</v>
      </c>
      <c r="N275" s="41">
        <v>0</v>
      </c>
      <c r="O275" s="41">
        <v>601</v>
      </c>
      <c r="P275" s="51">
        <v>237</v>
      </c>
    </row>
    <row r="276" spans="1:16">
      <c r="A276" s="44" t="s">
        <v>359</v>
      </c>
      <c r="B276" s="35">
        <v>500</v>
      </c>
      <c r="C276" s="42" t="s">
        <v>302</v>
      </c>
      <c r="D276" s="50">
        <v>212180287</v>
      </c>
      <c r="E276" s="50">
        <v>24379713</v>
      </c>
      <c r="F276" s="41">
        <v>32324060</v>
      </c>
      <c r="G276" s="41">
        <v>9684263</v>
      </c>
      <c r="H276" s="41">
        <v>8359085</v>
      </c>
      <c r="I276" s="41">
        <v>19200493</v>
      </c>
      <c r="J276" s="41">
        <v>506642</v>
      </c>
      <c r="K276" s="41">
        <v>2903164</v>
      </c>
      <c r="L276" s="41">
        <v>22235521</v>
      </c>
      <c r="M276" s="41">
        <v>22482782</v>
      </c>
      <c r="N276" s="41">
        <v>5408950</v>
      </c>
      <c r="O276" s="41">
        <v>15021</v>
      </c>
      <c r="P276" s="51">
        <v>5151</v>
      </c>
    </row>
    <row r="277" spans="1:16">
      <c r="A277" s="37"/>
      <c r="B277" s="35">
        <v>501</v>
      </c>
      <c r="C277" s="42" t="s">
        <v>303</v>
      </c>
      <c r="D277" s="50">
        <v>142358925</v>
      </c>
      <c r="E277" s="50">
        <v>14776986</v>
      </c>
      <c r="F277" s="41">
        <v>10810656</v>
      </c>
      <c r="G277" s="41">
        <v>6483682</v>
      </c>
      <c r="H277" s="41">
        <v>5233127</v>
      </c>
      <c r="I277" s="41">
        <v>7147271</v>
      </c>
      <c r="J277" s="41">
        <v>64503</v>
      </c>
      <c r="K277" s="41">
        <v>21923810</v>
      </c>
      <c r="L277" s="41">
        <v>0</v>
      </c>
      <c r="M277" s="41">
        <v>21923810</v>
      </c>
      <c r="N277" s="41">
        <v>2430779</v>
      </c>
      <c r="O277" s="41">
        <v>10152</v>
      </c>
      <c r="P277" s="51">
        <v>4014</v>
      </c>
    </row>
    <row r="278" spans="1:16">
      <c r="A278" s="45" t="s">
        <v>366</v>
      </c>
      <c r="B278" s="35">
        <v>502</v>
      </c>
      <c r="C278" s="42" t="s">
        <v>304</v>
      </c>
      <c r="D278" s="50">
        <v>1247012</v>
      </c>
      <c r="E278" s="50">
        <v>51940</v>
      </c>
      <c r="F278" s="41">
        <v>48818</v>
      </c>
      <c r="G278" s="41">
        <v>0</v>
      </c>
      <c r="H278" s="41">
        <v>0</v>
      </c>
      <c r="I278" s="41">
        <v>28545</v>
      </c>
      <c r="J278" s="41">
        <v>0</v>
      </c>
      <c r="K278" s="41">
        <v>9676</v>
      </c>
      <c r="L278" s="41">
        <v>0</v>
      </c>
      <c r="M278" s="41">
        <v>9676</v>
      </c>
      <c r="N278" s="41">
        <v>1575</v>
      </c>
      <c r="O278" s="41">
        <v>88</v>
      </c>
      <c r="P278" s="51">
        <v>17</v>
      </c>
    </row>
    <row r="279" spans="1:16">
      <c r="A279" s="44" t="s">
        <v>386</v>
      </c>
      <c r="B279" s="35">
        <v>503</v>
      </c>
      <c r="C279" s="42" t="s">
        <v>305</v>
      </c>
      <c r="D279" s="50">
        <v>12459871</v>
      </c>
      <c r="E279" s="50">
        <v>1102384</v>
      </c>
      <c r="F279" s="41">
        <v>349062</v>
      </c>
      <c r="G279" s="41">
        <v>1915285</v>
      </c>
      <c r="H279" s="41">
        <v>0</v>
      </c>
      <c r="I279" s="41">
        <v>651095</v>
      </c>
      <c r="J279" s="41">
        <v>0</v>
      </c>
      <c r="K279" s="41">
        <v>123119</v>
      </c>
      <c r="L279" s="41">
        <v>0</v>
      </c>
      <c r="M279" s="41">
        <v>123119</v>
      </c>
      <c r="N279" s="41">
        <v>0</v>
      </c>
      <c r="O279" s="41">
        <v>947</v>
      </c>
      <c r="P279" s="51">
        <v>384</v>
      </c>
    </row>
    <row r="280" spans="1:16">
      <c r="A280" s="44" t="s">
        <v>363</v>
      </c>
      <c r="B280" s="35">
        <v>504</v>
      </c>
      <c r="C280" s="42" t="s">
        <v>306</v>
      </c>
      <c r="D280" s="50">
        <v>4828363</v>
      </c>
      <c r="E280" s="50">
        <v>264072</v>
      </c>
      <c r="F280" s="41">
        <v>360650</v>
      </c>
      <c r="G280" s="41">
        <v>265198</v>
      </c>
      <c r="H280" s="41">
        <v>0</v>
      </c>
      <c r="I280" s="41">
        <v>166528</v>
      </c>
      <c r="J280" s="41">
        <v>0</v>
      </c>
      <c r="K280" s="41">
        <v>116729</v>
      </c>
      <c r="L280" s="41">
        <v>0</v>
      </c>
      <c r="M280" s="41">
        <v>116729</v>
      </c>
      <c r="N280" s="41">
        <v>0</v>
      </c>
      <c r="O280" s="41">
        <v>362</v>
      </c>
      <c r="P280" s="51">
        <v>143</v>
      </c>
    </row>
    <row r="281" spans="1:16">
      <c r="A281" s="44" t="s">
        <v>363</v>
      </c>
      <c r="B281" s="35">
        <v>505</v>
      </c>
      <c r="C281" s="42" t="s">
        <v>307</v>
      </c>
      <c r="D281" s="50">
        <v>5950860</v>
      </c>
      <c r="E281" s="50">
        <v>351807</v>
      </c>
      <c r="F281" s="41">
        <v>365905</v>
      </c>
      <c r="G281" s="41">
        <v>449131</v>
      </c>
      <c r="H281" s="41">
        <v>0</v>
      </c>
      <c r="I281" s="41">
        <v>211376</v>
      </c>
      <c r="J281" s="41">
        <v>0</v>
      </c>
      <c r="K281" s="41">
        <v>115977</v>
      </c>
      <c r="L281" s="41">
        <v>0</v>
      </c>
      <c r="M281" s="41">
        <v>115977</v>
      </c>
      <c r="N281" s="41">
        <v>0</v>
      </c>
      <c r="O281" s="41">
        <v>328</v>
      </c>
      <c r="P281" s="51">
        <v>160</v>
      </c>
    </row>
    <row r="282" spans="1:16">
      <c r="A282" s="44" t="s">
        <v>363</v>
      </c>
      <c r="B282" s="35">
        <v>506</v>
      </c>
      <c r="C282" s="42" t="s">
        <v>308</v>
      </c>
      <c r="D282" s="50">
        <v>13856444</v>
      </c>
      <c r="E282" s="50">
        <v>495280</v>
      </c>
      <c r="F282" s="41">
        <v>987338</v>
      </c>
      <c r="G282" s="41">
        <v>539805</v>
      </c>
      <c r="H282" s="41">
        <v>0</v>
      </c>
      <c r="I282" s="41">
        <v>308548</v>
      </c>
      <c r="J282" s="41">
        <v>0</v>
      </c>
      <c r="K282" s="41">
        <v>228530</v>
      </c>
      <c r="L282" s="41">
        <v>0</v>
      </c>
      <c r="M282" s="41">
        <v>228530</v>
      </c>
      <c r="N282" s="41">
        <v>0</v>
      </c>
      <c r="O282" s="41">
        <v>1121</v>
      </c>
      <c r="P282" s="51">
        <v>555</v>
      </c>
    </row>
    <row r="283" spans="1:16">
      <c r="A283" s="44" t="s">
        <v>358</v>
      </c>
      <c r="B283" s="35">
        <v>507</v>
      </c>
      <c r="C283" s="42" t="s">
        <v>309</v>
      </c>
      <c r="D283" s="50">
        <v>4704007</v>
      </c>
      <c r="E283" s="50">
        <v>188556</v>
      </c>
      <c r="F283" s="41">
        <v>981423</v>
      </c>
      <c r="G283" s="41">
        <v>0</v>
      </c>
      <c r="H283" s="41">
        <v>0</v>
      </c>
      <c r="I283" s="41">
        <v>125335</v>
      </c>
      <c r="J283" s="41">
        <v>15692</v>
      </c>
      <c r="K283" s="41">
        <v>0</v>
      </c>
      <c r="L283" s="41">
        <v>0</v>
      </c>
      <c r="M283" s="41">
        <v>0</v>
      </c>
      <c r="N283" s="41">
        <v>220818</v>
      </c>
      <c r="O283" s="41">
        <v>267</v>
      </c>
      <c r="P283" s="51">
        <v>98</v>
      </c>
    </row>
    <row r="284" spans="1:16">
      <c r="A284" s="44" t="s">
        <v>363</v>
      </c>
      <c r="B284" s="35">
        <v>508</v>
      </c>
      <c r="C284" s="42" t="s">
        <v>310</v>
      </c>
      <c r="D284" s="50">
        <v>8474084</v>
      </c>
      <c r="E284" s="50">
        <v>498310</v>
      </c>
      <c r="F284" s="41">
        <v>496345</v>
      </c>
      <c r="G284" s="41">
        <v>0</v>
      </c>
      <c r="H284" s="41">
        <v>0</v>
      </c>
      <c r="I284" s="41">
        <v>407524</v>
      </c>
      <c r="J284" s="41">
        <v>0</v>
      </c>
      <c r="K284" s="41">
        <v>95344</v>
      </c>
      <c r="L284" s="41">
        <v>0</v>
      </c>
      <c r="M284" s="41">
        <v>95344</v>
      </c>
      <c r="N284" s="41">
        <v>2407</v>
      </c>
      <c r="O284" s="41">
        <v>748</v>
      </c>
      <c r="P284" s="51">
        <v>294</v>
      </c>
    </row>
    <row r="285" spans="1:16">
      <c r="A285" s="44" t="s">
        <v>378</v>
      </c>
      <c r="B285" s="35">
        <v>509</v>
      </c>
      <c r="C285" s="42" t="s">
        <v>311</v>
      </c>
      <c r="D285" s="50">
        <v>2689975</v>
      </c>
      <c r="E285" s="50">
        <v>57984</v>
      </c>
      <c r="F285" s="41">
        <v>155007</v>
      </c>
      <c r="G285" s="41">
        <v>182679</v>
      </c>
      <c r="H285" s="41">
        <v>0</v>
      </c>
      <c r="I285" s="41">
        <v>38447</v>
      </c>
      <c r="J285" s="41">
        <v>0</v>
      </c>
      <c r="K285" s="41">
        <v>15155</v>
      </c>
      <c r="L285" s="41">
        <v>0</v>
      </c>
      <c r="M285" s="41">
        <v>15155</v>
      </c>
      <c r="N285" s="41">
        <v>0</v>
      </c>
      <c r="O285" s="41">
        <v>143</v>
      </c>
      <c r="P285" s="51">
        <v>77</v>
      </c>
    </row>
    <row r="286" spans="1:16">
      <c r="A286" s="44" t="s">
        <v>366</v>
      </c>
      <c r="B286" s="35">
        <v>511</v>
      </c>
      <c r="C286" s="42" t="s">
        <v>312</v>
      </c>
      <c r="D286" s="50">
        <v>1653536</v>
      </c>
      <c r="E286" s="50">
        <v>34893</v>
      </c>
      <c r="F286" s="41">
        <v>61096</v>
      </c>
      <c r="G286" s="41">
        <v>0</v>
      </c>
      <c r="H286" s="41">
        <v>0</v>
      </c>
      <c r="I286" s="41">
        <v>31387</v>
      </c>
      <c r="J286" s="41">
        <v>0</v>
      </c>
      <c r="K286" s="41">
        <v>29060</v>
      </c>
      <c r="L286" s="41">
        <v>0</v>
      </c>
      <c r="M286" s="41">
        <v>29060</v>
      </c>
      <c r="N286" s="41">
        <v>0</v>
      </c>
      <c r="O286" s="41">
        <v>109</v>
      </c>
      <c r="P286" s="51">
        <v>46</v>
      </c>
    </row>
    <row r="287" spans="1:16">
      <c r="A287" s="37"/>
      <c r="B287" s="35">
        <v>512</v>
      </c>
      <c r="C287" s="42" t="s">
        <v>313</v>
      </c>
      <c r="D287" s="50">
        <v>294572498</v>
      </c>
      <c r="E287" s="50">
        <v>5397642</v>
      </c>
      <c r="F287" s="41">
        <v>30198085</v>
      </c>
      <c r="G287" s="41">
        <v>25621652</v>
      </c>
      <c r="H287" s="41">
        <v>9037470</v>
      </c>
      <c r="I287" s="41">
        <v>4161100</v>
      </c>
      <c r="J287" s="41">
        <v>215200</v>
      </c>
      <c r="K287" s="41">
        <v>33901752</v>
      </c>
      <c r="L287" s="41">
        <v>0</v>
      </c>
      <c r="M287" s="41">
        <v>33901752</v>
      </c>
      <c r="N287" s="41">
        <v>3228933</v>
      </c>
      <c r="O287" s="41">
        <v>19105</v>
      </c>
      <c r="P287" s="51">
        <v>8768</v>
      </c>
    </row>
    <row r="288" spans="1:16">
      <c r="A288" s="40" t="s">
        <v>350</v>
      </c>
      <c r="B288" s="35">
        <v>602</v>
      </c>
      <c r="C288" s="46" t="s">
        <v>314</v>
      </c>
      <c r="D288" s="53">
        <v>10641364</v>
      </c>
      <c r="E288" s="54">
        <v>552863</v>
      </c>
      <c r="F288" s="41">
        <v>227879</v>
      </c>
      <c r="G288" s="41">
        <v>0</v>
      </c>
      <c r="H288" s="41">
        <v>2041990</v>
      </c>
      <c r="I288" s="41">
        <v>0</v>
      </c>
      <c r="J288" s="41">
        <v>29087</v>
      </c>
      <c r="K288" s="41">
        <v>5115825</v>
      </c>
      <c r="L288" s="41"/>
      <c r="M288" s="41">
        <v>5115825</v>
      </c>
      <c r="N288" s="41">
        <v>0</v>
      </c>
      <c r="O288" s="41">
        <v>0</v>
      </c>
      <c r="P288" s="51">
        <v>0</v>
      </c>
    </row>
    <row r="289" spans="1:16">
      <c r="A289" s="40" t="s">
        <v>348</v>
      </c>
      <c r="B289" s="35">
        <v>603</v>
      </c>
      <c r="C289" s="46" t="s">
        <v>315</v>
      </c>
      <c r="D289" s="53">
        <v>10743394</v>
      </c>
      <c r="E289" s="52">
        <v>0</v>
      </c>
      <c r="F289" s="41">
        <v>160612</v>
      </c>
      <c r="G289" s="41">
        <v>0</v>
      </c>
      <c r="H289" s="41">
        <v>1957065</v>
      </c>
      <c r="I289" s="41">
        <v>0</v>
      </c>
      <c r="J289" s="41">
        <v>0</v>
      </c>
      <c r="K289" s="41">
        <v>8194417</v>
      </c>
      <c r="L289" s="41"/>
      <c r="M289" s="41">
        <v>8194417</v>
      </c>
      <c r="N289" s="41">
        <v>0</v>
      </c>
      <c r="O289" s="41">
        <v>0</v>
      </c>
      <c r="P289" s="51">
        <v>0</v>
      </c>
    </row>
    <row r="290" spans="1:16">
      <c r="A290" s="44" t="s">
        <v>366</v>
      </c>
      <c r="B290" s="35">
        <v>605</v>
      </c>
      <c r="C290" s="48" t="s">
        <v>316</v>
      </c>
      <c r="D290" s="53">
        <v>11055193</v>
      </c>
      <c r="E290" s="52">
        <v>0</v>
      </c>
      <c r="F290" s="41">
        <v>37085</v>
      </c>
      <c r="G290" s="41">
        <v>0</v>
      </c>
      <c r="H290" s="41">
        <v>2319465</v>
      </c>
      <c r="I290" s="41">
        <v>0</v>
      </c>
      <c r="J290" s="41">
        <v>0</v>
      </c>
      <c r="K290" s="41">
        <v>7922113.4700000007</v>
      </c>
      <c r="L290" s="41"/>
      <c r="M290" s="41">
        <v>8255954.4700000007</v>
      </c>
      <c r="N290" s="41">
        <v>0</v>
      </c>
      <c r="O290" s="41">
        <v>0</v>
      </c>
      <c r="P290" s="51">
        <v>0</v>
      </c>
    </row>
    <row r="291" spans="1:16">
      <c r="A291" s="40" t="s">
        <v>386</v>
      </c>
      <c r="B291" s="35">
        <v>607</v>
      </c>
      <c r="C291" s="47" t="s">
        <v>317</v>
      </c>
      <c r="D291" s="53">
        <v>11915970</v>
      </c>
      <c r="E291" s="52">
        <v>0</v>
      </c>
      <c r="F291" s="41">
        <v>251296</v>
      </c>
      <c r="G291" s="41">
        <v>0</v>
      </c>
      <c r="H291" s="41">
        <v>2815818</v>
      </c>
      <c r="I291" s="41">
        <v>0</v>
      </c>
      <c r="J291" s="41">
        <v>0</v>
      </c>
      <c r="K291" s="41">
        <v>8592134</v>
      </c>
      <c r="L291" s="41"/>
      <c r="M291" s="41">
        <v>8592134</v>
      </c>
      <c r="N291" s="41">
        <v>0</v>
      </c>
      <c r="O291" s="41">
        <v>0</v>
      </c>
      <c r="P291" s="51">
        <v>0</v>
      </c>
    </row>
    <row r="292" spans="1:16">
      <c r="A292" s="40" t="s">
        <v>375</v>
      </c>
      <c r="B292" s="35">
        <v>608</v>
      </c>
      <c r="C292" s="47" t="s">
        <v>318</v>
      </c>
      <c r="D292" s="53">
        <v>10285741</v>
      </c>
      <c r="E292" s="54">
        <v>562763</v>
      </c>
      <c r="F292" s="41">
        <v>155023</v>
      </c>
      <c r="G292" s="41">
        <v>0</v>
      </c>
      <c r="H292" s="41">
        <v>1450866</v>
      </c>
      <c r="I292" s="41">
        <v>0</v>
      </c>
      <c r="J292" s="41">
        <v>0</v>
      </c>
      <c r="K292" s="41">
        <v>7011266</v>
      </c>
      <c r="L292" s="41"/>
      <c r="M292" s="41">
        <v>7011266</v>
      </c>
      <c r="N292" s="41">
        <v>0</v>
      </c>
      <c r="O292" s="41">
        <v>0</v>
      </c>
      <c r="P292" s="51">
        <v>0</v>
      </c>
    </row>
    <row r="293" spans="1:16">
      <c r="A293" s="40" t="s">
        <v>387</v>
      </c>
      <c r="B293" s="35">
        <v>609</v>
      </c>
      <c r="C293" s="47" t="s">
        <v>319</v>
      </c>
      <c r="D293" s="53">
        <v>28565463</v>
      </c>
      <c r="E293" s="54">
        <v>3898238</v>
      </c>
      <c r="F293" s="41">
        <v>1163303</v>
      </c>
      <c r="G293" s="41">
        <v>0</v>
      </c>
      <c r="H293" s="41">
        <v>187972</v>
      </c>
      <c r="I293" s="41">
        <v>0</v>
      </c>
      <c r="J293" s="41">
        <v>28838</v>
      </c>
      <c r="K293" s="41">
        <v>13346919</v>
      </c>
      <c r="L293" s="41"/>
      <c r="M293" s="41">
        <v>13346919</v>
      </c>
      <c r="N293" s="41">
        <v>0</v>
      </c>
      <c r="O293" s="41">
        <v>0</v>
      </c>
      <c r="P293" s="51">
        <v>0</v>
      </c>
    </row>
    <row r="294" spans="1:16">
      <c r="A294" s="40" t="s">
        <v>373</v>
      </c>
      <c r="B294" s="35">
        <v>610</v>
      </c>
      <c r="C294" s="47" t="s">
        <v>320</v>
      </c>
      <c r="D294" s="53">
        <v>8020102</v>
      </c>
      <c r="E294" s="52">
        <v>0</v>
      </c>
      <c r="F294" s="41">
        <v>73217</v>
      </c>
      <c r="G294" s="41">
        <v>0</v>
      </c>
      <c r="H294" s="41">
        <v>1621068</v>
      </c>
      <c r="I294" s="41">
        <v>0</v>
      </c>
      <c r="J294" s="41">
        <v>0</v>
      </c>
      <c r="K294" s="41">
        <v>6149931.9100000001</v>
      </c>
      <c r="L294" s="41"/>
      <c r="M294" s="41">
        <v>6149931.9100000001</v>
      </c>
      <c r="N294" s="41">
        <v>0</v>
      </c>
      <c r="O294" s="41">
        <v>0</v>
      </c>
      <c r="P294" s="51">
        <v>0</v>
      </c>
    </row>
    <row r="295" spans="1:16">
      <c r="A295" s="40" t="s">
        <v>358</v>
      </c>
      <c r="B295" s="35">
        <v>611</v>
      </c>
      <c r="C295" s="47" t="s">
        <v>321</v>
      </c>
      <c r="D295" s="53">
        <v>9498282</v>
      </c>
      <c r="E295" s="52">
        <v>0</v>
      </c>
      <c r="F295" s="41">
        <v>57051</v>
      </c>
      <c r="G295" s="41">
        <v>0</v>
      </c>
      <c r="H295" s="41">
        <v>2897924</v>
      </c>
      <c r="I295" s="41">
        <v>0</v>
      </c>
      <c r="J295" s="41">
        <v>0</v>
      </c>
      <c r="K295" s="41">
        <v>6033304</v>
      </c>
      <c r="L295" s="41"/>
      <c r="M295" s="41">
        <v>6033304</v>
      </c>
      <c r="N295" s="41">
        <v>0</v>
      </c>
      <c r="O295" s="41">
        <v>0</v>
      </c>
      <c r="P295" s="51">
        <v>0</v>
      </c>
    </row>
    <row r="296" spans="1:16">
      <c r="A296" s="40" t="s">
        <v>349</v>
      </c>
      <c r="B296" s="35">
        <v>613</v>
      </c>
      <c r="C296" s="47" t="s">
        <v>322</v>
      </c>
      <c r="D296" s="53">
        <v>12298960</v>
      </c>
      <c r="E296" s="52">
        <v>0</v>
      </c>
      <c r="F296" s="41">
        <v>9543</v>
      </c>
      <c r="G296" s="41">
        <v>0</v>
      </c>
      <c r="H296" s="41">
        <v>3495652</v>
      </c>
      <c r="I296" s="41">
        <v>0</v>
      </c>
      <c r="J296" s="41">
        <v>0</v>
      </c>
      <c r="K296" s="41">
        <v>8421092</v>
      </c>
      <c r="L296" s="41"/>
      <c r="M296" s="41">
        <v>8421092</v>
      </c>
      <c r="N296" s="41">
        <v>0</v>
      </c>
      <c r="O296" s="41">
        <v>0</v>
      </c>
      <c r="P296" s="51">
        <v>0</v>
      </c>
    </row>
    <row r="297" spans="1:16">
      <c r="A297" s="40" t="s">
        <v>372</v>
      </c>
      <c r="B297" s="35">
        <v>614</v>
      </c>
      <c r="C297" s="47" t="s">
        <v>323</v>
      </c>
      <c r="D297" s="53">
        <v>4911755</v>
      </c>
      <c r="E297" s="52">
        <v>0</v>
      </c>
      <c r="F297" s="41">
        <v>4020</v>
      </c>
      <c r="G297" s="41">
        <v>0</v>
      </c>
      <c r="H297" s="41">
        <v>1124259</v>
      </c>
      <c r="I297" s="41">
        <v>0</v>
      </c>
      <c r="J297" s="41">
        <v>0</v>
      </c>
      <c r="K297" s="41">
        <v>3699828</v>
      </c>
      <c r="L297" s="41"/>
      <c r="M297" s="41">
        <v>3699828</v>
      </c>
      <c r="N297" s="41">
        <v>0</v>
      </c>
      <c r="O297" s="41">
        <v>0</v>
      </c>
      <c r="P297" s="51">
        <v>0</v>
      </c>
    </row>
    <row r="298" spans="1:16">
      <c r="A298" s="40" t="s">
        <v>385</v>
      </c>
      <c r="B298" s="35">
        <v>615</v>
      </c>
      <c r="C298" s="47" t="s">
        <v>324</v>
      </c>
      <c r="D298" s="53">
        <v>2729886</v>
      </c>
      <c r="E298" s="52">
        <v>0</v>
      </c>
      <c r="F298" s="41">
        <v>61699.630000000005</v>
      </c>
      <c r="G298" s="41">
        <v>0</v>
      </c>
      <c r="H298" s="41">
        <v>591862</v>
      </c>
      <c r="I298" s="41">
        <v>0</v>
      </c>
      <c r="J298" s="41">
        <v>0</v>
      </c>
      <c r="K298" s="41">
        <v>1986064.5599999998</v>
      </c>
      <c r="L298" s="41"/>
      <c r="M298" s="41">
        <v>1986064.5599999998</v>
      </c>
      <c r="N298" s="41">
        <v>0</v>
      </c>
      <c r="O298" s="41">
        <v>0</v>
      </c>
      <c r="P298" s="51">
        <v>0</v>
      </c>
    </row>
    <row r="299" spans="1:16">
      <c r="A299" s="40" t="s">
        <v>354</v>
      </c>
      <c r="B299" s="35">
        <v>616</v>
      </c>
      <c r="C299" s="47" t="s">
        <v>325</v>
      </c>
      <c r="D299" s="53">
        <v>2381423</v>
      </c>
      <c r="E299" s="52">
        <v>0</v>
      </c>
      <c r="F299" s="41">
        <v>4205.18</v>
      </c>
      <c r="G299" s="41">
        <v>0</v>
      </c>
      <c r="H299" s="41">
        <v>449410</v>
      </c>
      <c r="I299" s="41">
        <v>0</v>
      </c>
      <c r="J299" s="41">
        <v>0</v>
      </c>
      <c r="K299" s="41">
        <v>1890227.0700000008</v>
      </c>
      <c r="L299" s="41"/>
      <c r="M299" s="41">
        <v>1890227.0700000008</v>
      </c>
      <c r="N299" s="41">
        <v>0</v>
      </c>
      <c r="O299" s="41">
        <v>0</v>
      </c>
      <c r="P299" s="51">
        <v>0</v>
      </c>
    </row>
    <row r="300" spans="1:16">
      <c r="A300" s="40" t="s">
        <v>383</v>
      </c>
      <c r="B300" s="35">
        <v>617</v>
      </c>
      <c r="C300" s="47" t="s">
        <v>326</v>
      </c>
      <c r="D300" s="53">
        <v>3948705</v>
      </c>
      <c r="E300" s="52">
        <v>0</v>
      </c>
      <c r="F300" s="41">
        <v>10751</v>
      </c>
      <c r="G300" s="41">
        <v>0</v>
      </c>
      <c r="H300" s="41">
        <v>740361</v>
      </c>
      <c r="I300" s="41">
        <v>0</v>
      </c>
      <c r="J300" s="41">
        <v>0</v>
      </c>
      <c r="K300" s="41">
        <v>2993207</v>
      </c>
      <c r="L300" s="41"/>
      <c r="M300" s="41">
        <v>2993207</v>
      </c>
      <c r="N300" s="41">
        <v>0</v>
      </c>
      <c r="O300" s="41">
        <v>0</v>
      </c>
      <c r="P300" s="51">
        <v>0</v>
      </c>
    </row>
    <row r="301" spans="1:16">
      <c r="A301" s="40" t="s">
        <v>367</v>
      </c>
      <c r="B301" s="35">
        <v>618</v>
      </c>
      <c r="C301" s="47" t="s">
        <v>327</v>
      </c>
      <c r="D301" s="53">
        <v>25747386</v>
      </c>
      <c r="E301" s="52">
        <v>0</v>
      </c>
      <c r="F301" s="41">
        <v>66522</v>
      </c>
      <c r="G301" s="41">
        <v>0</v>
      </c>
      <c r="H301" s="41">
        <v>5517730</v>
      </c>
      <c r="I301" s="41">
        <v>0</v>
      </c>
      <c r="J301" s="41">
        <v>0</v>
      </c>
      <c r="K301" s="41">
        <v>19003173</v>
      </c>
      <c r="L301" s="41"/>
      <c r="M301" s="41">
        <v>19003173</v>
      </c>
      <c r="N301" s="41">
        <v>0</v>
      </c>
      <c r="O301" s="41">
        <v>0</v>
      </c>
      <c r="P301" s="51">
        <v>0</v>
      </c>
    </row>
    <row r="302" spans="1:16">
      <c r="A302" s="44" t="s">
        <v>378</v>
      </c>
      <c r="B302" s="35">
        <v>619</v>
      </c>
      <c r="C302" s="47" t="s">
        <v>328</v>
      </c>
      <c r="D302" s="53">
        <v>3468058</v>
      </c>
      <c r="E302" s="52">
        <v>0</v>
      </c>
      <c r="F302" s="41">
        <v>6344</v>
      </c>
      <c r="G302" s="41">
        <v>0</v>
      </c>
      <c r="H302" s="41">
        <v>587255</v>
      </c>
      <c r="I302" s="41">
        <v>0</v>
      </c>
      <c r="J302" s="41">
        <v>0</v>
      </c>
      <c r="K302" s="41">
        <v>2784110</v>
      </c>
      <c r="L302" s="41"/>
      <c r="M302" s="41">
        <v>2784110</v>
      </c>
      <c r="N302" s="41">
        <v>0</v>
      </c>
      <c r="O302" s="41">
        <v>0</v>
      </c>
      <c r="P302" s="51">
        <v>0</v>
      </c>
    </row>
    <row r="303" spans="1:16">
      <c r="A303" s="40" t="s">
        <v>370</v>
      </c>
      <c r="B303" s="35">
        <v>620</v>
      </c>
      <c r="C303" s="47" t="s">
        <v>329</v>
      </c>
      <c r="D303" s="53">
        <v>6430373</v>
      </c>
      <c r="E303" s="52">
        <v>0</v>
      </c>
      <c r="F303" s="41">
        <v>58050</v>
      </c>
      <c r="G303" s="41">
        <v>0</v>
      </c>
      <c r="H303" s="41">
        <v>1211968</v>
      </c>
      <c r="I303" s="41">
        <v>0</v>
      </c>
      <c r="J303" s="41">
        <v>0</v>
      </c>
      <c r="K303" s="41">
        <v>4804494</v>
      </c>
      <c r="L303" s="41"/>
      <c r="M303" s="41">
        <v>4804494</v>
      </c>
      <c r="N303" s="41">
        <v>0</v>
      </c>
      <c r="O303" s="41">
        <v>0</v>
      </c>
      <c r="P303" s="51">
        <v>0</v>
      </c>
    </row>
    <row r="304" spans="1:16">
      <c r="A304" s="40" t="s">
        <v>388</v>
      </c>
      <c r="B304" s="35">
        <v>628</v>
      </c>
      <c r="C304" s="47" t="s">
        <v>330</v>
      </c>
      <c r="D304" s="53">
        <v>7891802</v>
      </c>
      <c r="E304" s="55">
        <v>20345</v>
      </c>
      <c r="F304" s="41">
        <v>427744.11000000004</v>
      </c>
      <c r="G304" s="41">
        <v>0</v>
      </c>
      <c r="H304" s="41">
        <v>0</v>
      </c>
      <c r="I304" s="41">
        <v>0</v>
      </c>
      <c r="J304" s="41">
        <v>20345</v>
      </c>
      <c r="K304" s="41">
        <v>49996.33</v>
      </c>
      <c r="L304" s="41"/>
      <c r="M304" s="41">
        <v>49996.33</v>
      </c>
      <c r="N304" s="41">
        <v>0</v>
      </c>
      <c r="O304" s="41">
        <v>0</v>
      </c>
      <c r="P304" s="51">
        <v>0</v>
      </c>
    </row>
    <row r="305" spans="1:16">
      <c r="A305" s="40" t="s">
        <v>353</v>
      </c>
      <c r="B305" s="35">
        <v>636</v>
      </c>
      <c r="C305" s="47" t="s">
        <v>331</v>
      </c>
      <c r="D305" s="53">
        <v>7068077</v>
      </c>
      <c r="E305" s="52">
        <v>0</v>
      </c>
      <c r="F305" s="41">
        <v>29919</v>
      </c>
      <c r="G305" s="41">
        <v>0</v>
      </c>
      <c r="H305" s="41">
        <v>1340741</v>
      </c>
      <c r="I305" s="41">
        <v>0</v>
      </c>
      <c r="J305" s="41">
        <v>0</v>
      </c>
      <c r="K305" s="41">
        <v>5442871</v>
      </c>
      <c r="L305" s="41"/>
      <c r="M305" s="41">
        <v>5442871</v>
      </c>
      <c r="N305" s="41">
        <v>0</v>
      </c>
      <c r="O305" s="41">
        <v>0</v>
      </c>
      <c r="P305" s="51">
        <v>0</v>
      </c>
    </row>
    <row r="306" spans="1:16">
      <c r="A306" s="40" t="s">
        <v>363</v>
      </c>
      <c r="B306" s="35">
        <v>637</v>
      </c>
      <c r="C306" s="47" t="s">
        <v>332</v>
      </c>
      <c r="D306" s="53">
        <v>17666834</v>
      </c>
      <c r="E306" s="54">
        <v>95795</v>
      </c>
      <c r="F306" s="41">
        <v>40555.06</v>
      </c>
      <c r="G306" s="41">
        <v>0</v>
      </c>
      <c r="H306" s="41">
        <v>4188766</v>
      </c>
      <c r="I306" s="41">
        <v>0</v>
      </c>
      <c r="J306" s="41">
        <v>0</v>
      </c>
      <c r="K306" s="41">
        <v>12963599.609999999</v>
      </c>
      <c r="L306" s="41"/>
      <c r="M306" s="41">
        <v>12963599.609999999</v>
      </c>
      <c r="N306" s="41">
        <v>0</v>
      </c>
      <c r="O306" s="41">
        <v>0</v>
      </c>
      <c r="P306" s="51">
        <v>0</v>
      </c>
    </row>
    <row r="307" spans="1:16">
      <c r="B307" s="35">
        <v>999</v>
      </c>
      <c r="C307" s="47" t="s">
        <v>396</v>
      </c>
      <c r="D307" s="53">
        <v>7924315</v>
      </c>
      <c r="E307" s="53">
        <v>88276</v>
      </c>
      <c r="F307" s="52">
        <v>574750</v>
      </c>
      <c r="G307" s="52">
        <v>1000068</v>
      </c>
      <c r="H307" s="52">
        <v>0</v>
      </c>
      <c r="I307" s="52">
        <v>92098</v>
      </c>
      <c r="J307" s="52">
        <v>0</v>
      </c>
      <c r="K307" s="52">
        <v>33095</v>
      </c>
      <c r="L307" s="52">
        <v>0</v>
      </c>
      <c r="M307" s="52">
        <v>33095</v>
      </c>
      <c r="N307" s="52">
        <v>50156</v>
      </c>
      <c r="O307" s="52">
        <v>583</v>
      </c>
      <c r="P307" s="51">
        <v>269</v>
      </c>
    </row>
    <row r="308" spans="1:16">
      <c r="F308" s="38"/>
      <c r="G308" s="56"/>
    </row>
    <row r="309" spans="1:16">
      <c r="F309" s="56"/>
    </row>
  </sheetData>
  <autoFilter ref="A1:P30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Excess Cost</vt:lpstr>
      <vt:lpstr>Totals</vt:lpstr>
      <vt:lpstr>Data</vt:lpstr>
      <vt:lpstr>'Excess Cost'!Print_Area</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 Robinson</dc:creator>
  <cp:lastModifiedBy>Dan D. Robinson</cp:lastModifiedBy>
  <cp:lastPrinted>2011-10-26T12:52:27Z</cp:lastPrinted>
  <dcterms:created xsi:type="dcterms:W3CDTF">2011-10-10T12:25:59Z</dcterms:created>
  <dcterms:modified xsi:type="dcterms:W3CDTF">2012-03-30T19:49:11Z</dcterms:modified>
</cp:coreProperties>
</file>