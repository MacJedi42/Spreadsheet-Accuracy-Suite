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docProps/app.xml" ContentType="application/vnd.openxmlformats-officedocument.extended-properties+xml"/>
  <Override PartName="/xl/calcChain.xml" ContentType="application/vnd.openxmlformats-officedocument.spreadsheetml.calcChain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45" windowWidth="27795" windowHeight="12330"/>
  </bookViews>
  <sheets>
    <sheet name="Sheet1" sheetId="1" r:id="rId1"/>
    <sheet name="Sheet2" sheetId="2" r:id="rId2"/>
    <sheet name="Sheet3" sheetId="3" r:id="rId3"/>
  </sheets>
  <externalReferences>
    <externalReference r:id="rId4"/>
    <externalReference r:id="rId5"/>
  </externalReferences>
  <calcPr calcId="145621"/>
</workbook>
</file>

<file path=xl/calcChain.xml><?xml version="1.0" encoding="utf-8"?>
<calcChain xmlns="http://schemas.openxmlformats.org/spreadsheetml/2006/main">
  <c r="B10" i="1" l="1"/>
  <c r="B21" i="1" s="1"/>
  <c r="C4" i="1"/>
  <c r="D4" i="1" s="1"/>
  <c r="E4" i="1" l="1"/>
  <c r="D10" i="1"/>
  <c r="D21" i="1" s="1"/>
  <c r="C10" i="1"/>
  <c r="C21" i="1" s="1"/>
  <c r="B30" i="1"/>
  <c r="B29" i="1"/>
  <c r="B28" i="1"/>
  <c r="B27" i="1"/>
  <c r="B26" i="1"/>
  <c r="B25" i="1"/>
  <c r="B24" i="1"/>
  <c r="B23" i="1"/>
  <c r="B22" i="1"/>
  <c r="B19" i="1"/>
  <c r="B18" i="1"/>
  <c r="B17" i="1"/>
  <c r="B16" i="1"/>
  <c r="B15" i="1"/>
  <c r="B14" i="1"/>
  <c r="B13" i="1"/>
  <c r="B12" i="1"/>
  <c r="B11" i="1"/>
  <c r="B8" i="1"/>
  <c r="B7" i="1"/>
  <c r="B6" i="1"/>
  <c r="B5" i="1"/>
  <c r="F4" i="1" l="1"/>
  <c r="F10" i="1" s="1"/>
  <c r="F21" i="1" s="1"/>
  <c r="E10" i="1"/>
  <c r="E21" i="1" s="1"/>
  <c r="C3" i="1"/>
  <c r="C30" i="1" l="1"/>
  <c r="C28" i="1"/>
  <c r="C26" i="1"/>
  <c r="C24" i="1"/>
  <c r="C22" i="1"/>
  <c r="C18" i="1"/>
  <c r="C16" i="1"/>
  <c r="C14" i="1"/>
  <c r="C12" i="1"/>
  <c r="C8" i="1"/>
  <c r="C6" i="1"/>
  <c r="C5" i="1"/>
  <c r="C29" i="1"/>
  <c r="C27" i="1"/>
  <c r="C25" i="1"/>
  <c r="C23" i="1"/>
  <c r="C19" i="1"/>
  <c r="C17" i="1"/>
  <c r="C15" i="1"/>
  <c r="C13" i="1"/>
  <c r="C11" i="1"/>
  <c r="C7" i="1"/>
  <c r="D3" i="1"/>
  <c r="D29" i="1" l="1"/>
  <c r="D27" i="1"/>
  <c r="D25" i="1"/>
  <c r="D23" i="1"/>
  <c r="D19" i="1"/>
  <c r="D17" i="1"/>
  <c r="D15" i="1"/>
  <c r="D13" i="1"/>
  <c r="D11" i="1"/>
  <c r="D7" i="1"/>
  <c r="D5" i="1"/>
  <c r="D30" i="1"/>
  <c r="D28" i="1"/>
  <c r="D26" i="1"/>
  <c r="D24" i="1"/>
  <c r="D22" i="1"/>
  <c r="D18" i="1"/>
  <c r="D16" i="1"/>
  <c r="D14" i="1"/>
  <c r="D12" i="1"/>
  <c r="D8" i="1"/>
  <c r="D6" i="1"/>
  <c r="E3" i="1"/>
  <c r="E30" i="1" l="1"/>
  <c r="E28" i="1"/>
  <c r="E26" i="1"/>
  <c r="E24" i="1"/>
  <c r="E22" i="1"/>
  <c r="E18" i="1"/>
  <c r="E16" i="1"/>
  <c r="E14" i="1"/>
  <c r="E12" i="1"/>
  <c r="E8" i="1"/>
  <c r="E6" i="1"/>
  <c r="E5" i="1"/>
  <c r="E29" i="1"/>
  <c r="E27" i="1"/>
  <c r="E25" i="1"/>
  <c r="E23" i="1"/>
  <c r="E19" i="1"/>
  <c r="E17" i="1"/>
  <c r="E15" i="1"/>
  <c r="E13" i="1"/>
  <c r="E11" i="1"/>
  <c r="E7" i="1"/>
  <c r="F3" i="1"/>
  <c r="F29" i="1" l="1"/>
  <c r="F27" i="1"/>
  <c r="F25" i="1"/>
  <c r="F23" i="1"/>
  <c r="F19" i="1"/>
  <c r="F17" i="1"/>
  <c r="F15" i="1"/>
  <c r="F13" i="1"/>
  <c r="F11" i="1"/>
  <c r="F7" i="1"/>
  <c r="F5" i="1"/>
  <c r="F30" i="1"/>
  <c r="F28" i="1"/>
  <c r="F26" i="1"/>
  <c r="F24" i="1"/>
  <c r="F22" i="1"/>
  <c r="F18" i="1"/>
  <c r="F16" i="1"/>
  <c r="F14" i="1"/>
  <c r="F12" i="1"/>
  <c r="F8" i="1"/>
  <c r="F6" i="1"/>
</calcChain>
</file>

<file path=xl/sharedStrings.xml><?xml version="1.0" encoding="utf-8"?>
<sst xmlns="http://schemas.openxmlformats.org/spreadsheetml/2006/main" count="34" uniqueCount="32">
  <si>
    <t>Gender</t>
  </si>
  <si>
    <t>Female</t>
  </si>
  <si>
    <t>Male</t>
  </si>
  <si>
    <t>Unknown</t>
  </si>
  <si>
    <t>Ethnicity</t>
  </si>
  <si>
    <t>White</t>
  </si>
  <si>
    <t>Hispanic</t>
  </si>
  <si>
    <t>African American</t>
  </si>
  <si>
    <t>Asian</t>
  </si>
  <si>
    <t>Native American</t>
  </si>
  <si>
    <t>Filipino</t>
  </si>
  <si>
    <t>Pacific Islander</t>
  </si>
  <si>
    <t>Multi-Race</t>
  </si>
  <si>
    <t xml:space="preserve">Age </t>
  </si>
  <si>
    <t>&lt;18</t>
  </si>
  <si>
    <t>18 &amp; 19</t>
  </si>
  <si>
    <t>20 to 24</t>
  </si>
  <si>
    <t>25 to 29</t>
  </si>
  <si>
    <t>30 to 34</t>
  </si>
  <si>
    <t>35 to 39</t>
  </si>
  <si>
    <t>40 to 49</t>
  </si>
  <si>
    <t>AY Average</t>
  </si>
  <si>
    <t>50 +</t>
  </si>
  <si>
    <t>Retention Rates</t>
  </si>
  <si>
    <t>AY 07-08</t>
  </si>
  <si>
    <t>A08-09</t>
  </si>
  <si>
    <t>AY09-10</t>
  </si>
  <si>
    <t>AY10-11</t>
  </si>
  <si>
    <t>AY-11-12</t>
  </si>
  <si>
    <t>MSJC COLLEGE LEVEL DATA</t>
  </si>
  <si>
    <t>CL = Courses 100 level and above</t>
  </si>
  <si>
    <t>#3  Course Retention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</si>
</sst>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(* #,##0.00_);_(* \(#,##0.00\);_(* &quot;-&quot;??_);_(@_)"/>
  </numFmts>
  <fonts count="2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omic Sans MS"/>
      <family val="2"/>
    </font>
    <font>
      <u/>
      <sz val="9.9"/>
      <color theme="10"/>
      <name val="Calibri"/>
      <family val="2"/>
    </font>
    <font>
      <sz val="10"/>
      <name val="Arial"/>
      <family val="2"/>
    </font>
    <font>
      <b/>
      <sz val="11"/>
      <name val="Calibri"/>
      <family val="2"/>
      <scheme val="minor"/>
    </font>
    <font>
      <b/>
      <sz val="11"/>
      <color rgb="FFC0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rgb="FFC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0"/>
      <color rgb="FFC0000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</fills>
  <borders count="2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118">
    <xf numFmtId="0" fontId="0" fillId="0" borderId="0"/>
    <xf numFmtId="0" fontId="2" fillId="0" borderId="0" applyNumberFormat="0" applyFill="0" applyBorder="0" applyAlignment="0" applyProtection="0"/>
    <xf numFmtId="0" fontId="18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/>
    <xf numFmtId="0" fontId="1" fillId="0" borderId="0"/>
    <xf numFmtId="0" fontId="1" fillId="8" borderId="8" applyNumberFormat="0" applyFont="0" applyAlignment="0" applyProtection="0"/>
    <xf numFmtId="0" fontId="19" fillId="0" borderId="0" applyNumberFormat="0" applyFill="0" applyBorder="0" applyAlignment="0" applyProtection="0">
      <alignment vertical="top"/>
      <protection locked="0"/>
    </xf>
    <xf numFmtId="9" fontId="18" fillId="0" borderId="0" applyFont="0" applyFill="0" applyBorder="0" applyAlignment="0" applyProtection="0"/>
    <xf numFmtId="0" fontId="20" fillId="0" borderId="0"/>
    <xf numFmtId="43" fontId="20" fillId="0" borderId="0" applyFont="0" applyFill="0" applyBorder="0" applyAlignment="0" applyProtection="0"/>
    <xf numFmtId="0" fontId="19" fillId="0" borderId="0" applyNumberFormat="0" applyFill="0" applyBorder="0" applyAlignment="0" applyProtection="0">
      <alignment vertical="top"/>
      <protection locked="0"/>
    </xf>
    <xf numFmtId="0" fontId="20" fillId="0" borderId="0"/>
    <xf numFmtId="43" fontId="20" fillId="0" borderId="0" applyFont="0" applyFill="0" applyBorder="0" applyAlignment="0" applyProtection="0"/>
    <xf numFmtId="0" fontId="8" fillId="4" borderId="0" applyNumberFormat="0" applyBorder="0" applyAlignment="0" applyProtection="0"/>
    <xf numFmtId="0" fontId="18" fillId="0" borderId="0"/>
    <xf numFmtId="9" fontId="18" fillId="0" borderId="0" applyFont="0" applyFill="0" applyBorder="0" applyAlignment="0" applyProtection="0"/>
    <xf numFmtId="0" fontId="18" fillId="0" borderId="0"/>
    <xf numFmtId="0" fontId="1" fillId="0" borderId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43" fontId="1" fillId="0" borderId="0" applyFont="0" applyFill="0" applyBorder="0" applyAlignment="0" applyProtection="0"/>
    <xf numFmtId="0" fontId="18" fillId="0" borderId="0"/>
    <xf numFmtId="9" fontId="18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9" fontId="18" fillId="0" borderId="0" applyFont="0" applyFill="0" applyBorder="0" applyAlignment="0" applyProtection="0"/>
    <xf numFmtId="0" fontId="18" fillId="0" borderId="0"/>
    <xf numFmtId="9" fontId="18" fillId="0" borderId="0" applyFont="0" applyFill="0" applyBorder="0" applyAlignment="0" applyProtection="0"/>
    <xf numFmtId="0" fontId="18" fillId="0" borderId="0"/>
    <xf numFmtId="0" fontId="18" fillId="0" borderId="0"/>
    <xf numFmtId="9" fontId="18" fillId="0" borderId="0" applyFont="0" applyFill="0" applyBorder="0" applyAlignment="0" applyProtection="0"/>
    <xf numFmtId="0" fontId="18" fillId="0" borderId="0"/>
    <xf numFmtId="0" fontId="18" fillId="0" borderId="0"/>
    <xf numFmtId="9" fontId="18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/>
    <xf numFmtId="0" fontId="1" fillId="0" borderId="0" xfId="0" applyFont="1"/>
    <xf numFmtId="0" fontId="22" fillId="0" borderId="13" xfId="2" applyFont="1" applyBorder="1" applyAlignment="1">
      <alignment horizontal="center" vertical="center" wrapText="1"/>
    </xf>
    <xf numFmtId="0" fontId="16" fillId="0" borderId="0" xfId="2" applyFont="1" applyBorder="1" applyAlignment="1">
      <alignment horizontal="right"/>
    </xf>
    <xf numFmtId="0" fontId="22" fillId="0" borderId="10" xfId="2" applyFont="1" applyBorder="1" applyAlignment="1">
      <alignment horizontal="center"/>
    </xf>
    <xf numFmtId="0" fontId="26" fillId="33" borderId="20" xfId="2" applyFont="1" applyFill="1" applyBorder="1" applyAlignment="1">
      <alignment wrapText="1"/>
    </xf>
    <xf numFmtId="0" fontId="21" fillId="0" borderId="19" xfId="2" applyFont="1" applyFill="1" applyBorder="1" applyAlignment="1">
      <alignment wrapText="1"/>
    </xf>
    <xf numFmtId="0" fontId="21" fillId="0" borderId="20" xfId="2" applyFont="1" applyFill="1" applyBorder="1" applyAlignment="1">
      <alignment wrapText="1"/>
    </xf>
    <xf numFmtId="0" fontId="21" fillId="0" borderId="16" xfId="2" applyFont="1" applyFill="1" applyBorder="1" applyAlignment="1">
      <alignment horizontal="left" vertical="center" wrapText="1"/>
    </xf>
    <xf numFmtId="0" fontId="22" fillId="0" borderId="14" xfId="2" applyFont="1" applyFill="1" applyBorder="1" applyAlignment="1">
      <alignment horizontal="center" vertical="center" wrapText="1"/>
    </xf>
    <xf numFmtId="0" fontId="23" fillId="0" borderId="0" xfId="2" applyFont="1" applyBorder="1" applyAlignment="1">
      <alignment horizontal="center"/>
    </xf>
    <xf numFmtId="0" fontId="24" fillId="0" borderId="15" xfId="2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0" xfId="0" applyBorder="1" applyAlignment="1">
      <alignment horizontal="center"/>
    </xf>
    <xf numFmtId="0" fontId="0" fillId="0" borderId="18" xfId="0" applyBorder="1" applyAlignment="1">
      <alignment horizontal="center"/>
    </xf>
    <xf numFmtId="0" fontId="16" fillId="0" borderId="16" xfId="2" applyFont="1" applyBorder="1"/>
    <xf numFmtId="0" fontId="16" fillId="0" borderId="17" xfId="2" applyFont="1" applyBorder="1"/>
    <xf numFmtId="0" fontId="21" fillId="0" borderId="24" xfId="49" applyFont="1" applyBorder="1" applyAlignment="1" applyProtection="1"/>
    <xf numFmtId="0" fontId="21" fillId="0" borderId="17" xfId="49" applyFont="1" applyBorder="1" applyAlignment="1" applyProtection="1"/>
    <xf numFmtId="0" fontId="21" fillId="0" borderId="21" xfId="49" applyFont="1" applyBorder="1" applyAlignment="1" applyProtection="1"/>
    <xf numFmtId="0" fontId="16" fillId="0" borderId="23" xfId="2" applyFont="1" applyBorder="1" applyAlignment="1">
      <alignment horizontal="right"/>
    </xf>
    <xf numFmtId="0" fontId="16" fillId="0" borderId="22" xfId="2" applyFont="1" applyBorder="1"/>
    <xf numFmtId="0" fontId="24" fillId="0" borderId="21" xfId="2" applyFont="1" applyBorder="1" applyAlignment="1"/>
    <xf numFmtId="0" fontId="24" fillId="0" borderId="12" xfId="2" applyFont="1" applyBorder="1" applyAlignment="1"/>
    <xf numFmtId="9" fontId="23" fillId="0" borderId="11" xfId="117" applyFont="1" applyBorder="1" applyAlignment="1">
      <alignment horizontal="center" vertical="center"/>
    </xf>
    <xf numFmtId="0" fontId="25" fillId="0" borderId="23" xfId="2" applyFont="1" applyBorder="1" applyAlignment="1">
      <alignment vertical="center" wrapText="1"/>
    </xf>
    <xf numFmtId="0" fontId="24" fillId="0" borderId="15" xfId="2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25" fillId="0" borderId="25" xfId="2" applyFont="1" applyBorder="1" applyAlignment="1">
      <alignment horizontal="center" vertical="center" wrapText="1"/>
    </xf>
    <xf numFmtId="0" fontId="25" fillId="0" borderId="26" xfId="2" applyFont="1" applyBorder="1" applyAlignment="1">
      <alignment horizontal="center" vertical="center" wrapText="1"/>
    </xf>
    <xf numFmtId="0" fontId="27" fillId="0" borderId="27" xfId="2" applyFont="1" applyBorder="1" applyAlignment="1">
      <alignment horizontal="center"/>
    </xf>
    <xf numFmtId="0" fontId="27" fillId="0" borderId="11" xfId="2" applyFont="1" applyBorder="1" applyAlignment="1">
      <alignment horizontal="center"/>
    </xf>
  </cellXfs>
  <cellStyles count="118">
    <cellStyle name="20% - Accent1 2" xfId="78"/>
    <cellStyle name="20% - Accent1 3" xfId="23"/>
    <cellStyle name="20% - Accent2 2" xfId="82"/>
    <cellStyle name="20% - Accent2 3" xfId="27"/>
    <cellStyle name="20% - Accent3 2" xfId="86"/>
    <cellStyle name="20% - Accent3 3" xfId="31"/>
    <cellStyle name="20% - Accent4 2" xfId="90"/>
    <cellStyle name="20% - Accent4 3" xfId="35"/>
    <cellStyle name="20% - Accent5 2" xfId="94"/>
    <cellStyle name="20% - Accent5 3" xfId="39"/>
    <cellStyle name="20% - Accent6 2" xfId="98"/>
    <cellStyle name="20% - Accent6 3" xfId="43"/>
    <cellStyle name="40% - Accent1 2" xfId="79"/>
    <cellStyle name="40% - Accent1 3" xfId="24"/>
    <cellStyle name="40% - Accent2 2" xfId="83"/>
    <cellStyle name="40% - Accent2 3" xfId="28"/>
    <cellStyle name="40% - Accent3 2" xfId="87"/>
    <cellStyle name="40% - Accent3 3" xfId="32"/>
    <cellStyle name="40% - Accent4 2" xfId="91"/>
    <cellStyle name="40% - Accent4 3" xfId="36"/>
    <cellStyle name="40% - Accent5 2" xfId="95"/>
    <cellStyle name="40% - Accent5 3" xfId="40"/>
    <cellStyle name="40% - Accent6 2" xfId="99"/>
    <cellStyle name="40% - Accent6 3" xfId="44"/>
    <cellStyle name="60% - Accent1 2" xfId="80"/>
    <cellStyle name="60% - Accent1 3" xfId="25"/>
    <cellStyle name="60% - Accent2 2" xfId="84"/>
    <cellStyle name="60% - Accent2 3" xfId="29"/>
    <cellStyle name="60% - Accent3 2" xfId="88"/>
    <cellStyle name="60% - Accent3 3" xfId="33"/>
    <cellStyle name="60% - Accent4 2" xfId="92"/>
    <cellStyle name="60% - Accent4 3" xfId="37"/>
    <cellStyle name="60% - Accent5 2" xfId="96"/>
    <cellStyle name="60% - Accent5 3" xfId="41"/>
    <cellStyle name="60% - Accent6 2" xfId="100"/>
    <cellStyle name="60% - Accent6 3" xfId="45"/>
    <cellStyle name="Accent1 2" xfId="77"/>
    <cellStyle name="Accent1 3" xfId="22"/>
    <cellStyle name="Accent2 2" xfId="81"/>
    <cellStyle name="Accent2 3" xfId="26"/>
    <cellStyle name="Accent3 2" xfId="85"/>
    <cellStyle name="Accent3 3" xfId="30"/>
    <cellStyle name="Accent4 2" xfId="89"/>
    <cellStyle name="Accent4 3" xfId="34"/>
    <cellStyle name="Accent5 2" xfId="93"/>
    <cellStyle name="Accent5 3" xfId="38"/>
    <cellStyle name="Accent6 2" xfId="97"/>
    <cellStyle name="Accent6 3" xfId="42"/>
    <cellStyle name="Bad 2" xfId="66"/>
    <cellStyle name="Bad 3" xfId="11"/>
    <cellStyle name="Calculation 2" xfId="70"/>
    <cellStyle name="Calculation 3" xfId="15"/>
    <cellStyle name="Check Cell 2" xfId="72"/>
    <cellStyle name="Check Cell 3" xfId="17"/>
    <cellStyle name="Comma 2" xfId="52"/>
    <cellStyle name="Comma 2 2" xfId="55"/>
    <cellStyle name="Comma 3" xfId="101"/>
    <cellStyle name="Comma 4" xfId="4"/>
    <cellStyle name="Explanatory Text 2" xfId="75"/>
    <cellStyle name="Explanatory Text 3" xfId="20"/>
    <cellStyle name="Good 2" xfId="65"/>
    <cellStyle name="Good 3" xfId="10"/>
    <cellStyle name="Heading 1 2" xfId="61"/>
    <cellStyle name="Heading 1 3" xfId="6"/>
    <cellStyle name="Heading 2 2" xfId="62"/>
    <cellStyle name="Heading 2 3" xfId="7"/>
    <cellStyle name="Heading 3 2" xfId="63"/>
    <cellStyle name="Heading 3 3" xfId="8"/>
    <cellStyle name="Heading 4 2" xfId="64"/>
    <cellStyle name="Heading 4 3" xfId="9"/>
    <cellStyle name="Hyperlink" xfId="49" builtinId="8"/>
    <cellStyle name="Hyperlink 2" xfId="53"/>
    <cellStyle name="Input 2" xfId="68"/>
    <cellStyle name="Input 3" xfId="13"/>
    <cellStyle name="Linked Cell 2" xfId="71"/>
    <cellStyle name="Linked Cell 3" xfId="16"/>
    <cellStyle name="Neutral 2" xfId="56"/>
    <cellStyle name="Neutral 3" xfId="67"/>
    <cellStyle name="Neutral 4" xfId="12"/>
    <cellStyle name="Normal" xfId="0" builtinId="0"/>
    <cellStyle name="Normal 10" xfId="3"/>
    <cellStyle name="Normal 11" xfId="2"/>
    <cellStyle name="Normal 2" xfId="47"/>
    <cellStyle name="Normal 2 2" xfId="51"/>
    <cellStyle name="Normal 2 2 2" xfId="54"/>
    <cellStyle name="Normal 3" xfId="46"/>
    <cellStyle name="Normal 3 2" xfId="57"/>
    <cellStyle name="Normal 3 2 2" xfId="107"/>
    <cellStyle name="Normal 3 3" xfId="109"/>
    <cellStyle name="Normal 3 4" xfId="115"/>
    <cellStyle name="Normal 3 5" xfId="111"/>
    <cellStyle name="Normal 3 6" xfId="102"/>
    <cellStyle name="Normal 4" xfId="60"/>
    <cellStyle name="Normal 5" xfId="105"/>
    <cellStyle name="Normal 6" xfId="106"/>
    <cellStyle name="Normal 7" xfId="112"/>
    <cellStyle name="Normal 8" xfId="114"/>
    <cellStyle name="Normal 9" xfId="59"/>
    <cellStyle name="Note 2" xfId="48"/>
    <cellStyle name="Note 3" xfId="74"/>
    <cellStyle name="Note 4" xfId="19"/>
    <cellStyle name="Output 2" xfId="69"/>
    <cellStyle name="Output 3" xfId="14"/>
    <cellStyle name="Percent" xfId="117" builtinId="5"/>
    <cellStyle name="Percent 2" xfId="50"/>
    <cellStyle name="Percent 2 2" xfId="58"/>
    <cellStyle name="Percent 2 2 2" xfId="108"/>
    <cellStyle name="Percent 2 3" xfId="110"/>
    <cellStyle name="Percent 2 4" xfId="116"/>
    <cellStyle name="Percent 2 5" xfId="113"/>
    <cellStyle name="Percent 2 6" xfId="103"/>
    <cellStyle name="Percent 3" xfId="104"/>
    <cellStyle name="Percent 4" xfId="5"/>
    <cellStyle name="Title" xfId="1" builtinId="15" customBuiltin="1"/>
    <cellStyle name="Total 2" xfId="76"/>
    <cellStyle name="Total 3" xfId="21"/>
    <cellStyle name="Warning Text 2" xfId="73"/>
    <cellStyle name="Warning Text 3" xfId="1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externalLink" Target="externalLinks/externalLink2.xml"/><Relationship Id="rId10" Type="http://schemas.openxmlformats.org/officeDocument/2006/relationships/customXml" Target="../customXml/item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Nik%20Mesaris/_Equity/1.District/3.%20Retention/retention%20base/base.retention%20-%20College%20level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Nik%20Mesaris/_Equity/1.District/2.%20Course%20Completion%20(Success)/base.graded%20-%20College%20leve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gender"/>
      <sheetName val="ethnic"/>
      <sheetName val="age"/>
    </sheetNames>
    <sheetDataSet>
      <sheetData sheetId="0">
        <row r="1">
          <cell r="A1">
            <v>0</v>
          </cell>
          <cell r="B1">
            <v>2007</v>
          </cell>
          <cell r="C1">
            <v>2008</v>
          </cell>
          <cell r="D1">
            <v>2009</v>
          </cell>
          <cell r="E1">
            <v>2010</v>
          </cell>
          <cell r="F1">
            <v>2011</v>
          </cell>
        </row>
        <row r="2">
          <cell r="A2">
            <v>1</v>
          </cell>
          <cell r="B2">
            <v>2</v>
          </cell>
          <cell r="C2">
            <v>3</v>
          </cell>
          <cell r="D2">
            <v>4</v>
          </cell>
          <cell r="E2">
            <v>5</v>
          </cell>
          <cell r="F2">
            <v>6</v>
          </cell>
        </row>
        <row r="3">
          <cell r="A3" t="str">
            <v>#2  Course Completion</v>
          </cell>
          <cell r="B3" t="str">
            <v>MSJC</v>
          </cell>
          <cell r="C3">
            <v>0</v>
          </cell>
          <cell r="D3">
            <v>0</v>
          </cell>
          <cell r="E3">
            <v>0</v>
          </cell>
          <cell r="F3">
            <v>0</v>
          </cell>
        </row>
        <row r="4">
          <cell r="A4">
            <v>0</v>
          </cell>
          <cell r="B4">
            <v>2007</v>
          </cell>
          <cell r="C4">
            <v>2008</v>
          </cell>
          <cell r="D4">
            <v>2009</v>
          </cell>
          <cell r="E4">
            <v>2010</v>
          </cell>
          <cell r="F4">
            <v>2011</v>
          </cell>
        </row>
        <row r="5">
          <cell r="A5" t="str">
            <v>Gender</v>
          </cell>
          <cell r="B5" t="str">
            <v>Seats</v>
          </cell>
          <cell r="C5" t="str">
            <v>Seats</v>
          </cell>
          <cell r="D5" t="str">
            <v>Seats</v>
          </cell>
          <cell r="E5" t="str">
            <v>Seats</v>
          </cell>
          <cell r="F5" t="str">
            <v>Seats</v>
          </cell>
        </row>
        <row r="6">
          <cell r="A6" t="str">
            <v>Female</v>
          </cell>
          <cell r="B6">
            <v>33028</v>
          </cell>
          <cell r="C6">
            <v>39380</v>
          </cell>
          <cell r="D6">
            <v>40017</v>
          </cell>
          <cell r="E6">
            <v>35530</v>
          </cell>
          <cell r="F6">
            <v>33331</v>
          </cell>
        </row>
        <row r="7">
          <cell r="A7" t="str">
            <v>Male</v>
          </cell>
          <cell r="B7">
            <v>22674</v>
          </cell>
          <cell r="C7">
            <v>27693</v>
          </cell>
          <cell r="D7">
            <v>30219</v>
          </cell>
          <cell r="E7">
            <v>27831</v>
          </cell>
          <cell r="F7">
            <v>26031</v>
          </cell>
        </row>
        <row r="8">
          <cell r="A8" t="str">
            <v>Unknown</v>
          </cell>
          <cell r="B8">
            <v>423</v>
          </cell>
          <cell r="C8">
            <v>918</v>
          </cell>
          <cell r="D8">
            <v>843</v>
          </cell>
          <cell r="E8">
            <v>727</v>
          </cell>
          <cell r="F8">
            <v>581</v>
          </cell>
        </row>
        <row r="9">
          <cell r="A9" t="str">
            <v>AY Average</v>
          </cell>
          <cell r="B9">
            <v>56125</v>
          </cell>
          <cell r="C9">
            <v>67991</v>
          </cell>
          <cell r="D9">
            <v>71079</v>
          </cell>
          <cell r="E9">
            <v>64088</v>
          </cell>
          <cell r="F9">
            <v>59943</v>
          </cell>
        </row>
        <row r="10">
          <cell r="A10">
            <v>0</v>
          </cell>
          <cell r="B10">
            <v>0</v>
          </cell>
          <cell r="C10">
            <v>0</v>
          </cell>
          <cell r="D10">
            <v>0</v>
          </cell>
          <cell r="E10">
            <v>0</v>
          </cell>
          <cell r="F10">
            <v>0</v>
          </cell>
        </row>
        <row r="11">
          <cell r="A11" t="str">
            <v>Ethnicity</v>
          </cell>
          <cell r="B11" t="str">
            <v>Seats</v>
          </cell>
          <cell r="C11" t="str">
            <v>Seats</v>
          </cell>
          <cell r="D11" t="str">
            <v>Seats</v>
          </cell>
          <cell r="E11" t="str">
            <v>Seats</v>
          </cell>
          <cell r="F11" t="str">
            <v>Seats</v>
          </cell>
        </row>
        <row r="12">
          <cell r="A12" t="str">
            <v>White</v>
          </cell>
          <cell r="B12">
            <v>27037</v>
          </cell>
          <cell r="C12">
            <v>31389</v>
          </cell>
          <cell r="D12">
            <v>31603</v>
          </cell>
          <cell r="E12">
            <v>27458</v>
          </cell>
          <cell r="F12">
            <v>24509</v>
          </cell>
        </row>
        <row r="13">
          <cell r="A13" t="str">
            <v>Hispanic</v>
          </cell>
          <cell r="B13">
            <v>14736</v>
          </cell>
          <cell r="C13">
            <v>18583</v>
          </cell>
          <cell r="D13">
            <v>20409</v>
          </cell>
          <cell r="E13">
            <v>20317</v>
          </cell>
          <cell r="F13">
            <v>21107</v>
          </cell>
        </row>
        <row r="14">
          <cell r="A14" t="str">
            <v>African American</v>
          </cell>
          <cell r="B14">
            <v>3995</v>
          </cell>
          <cell r="C14">
            <v>5137</v>
          </cell>
          <cell r="D14">
            <v>5589</v>
          </cell>
          <cell r="E14">
            <v>4792</v>
          </cell>
          <cell r="F14">
            <v>4291</v>
          </cell>
        </row>
        <row r="15">
          <cell r="A15" t="str">
            <v>Asian</v>
          </cell>
          <cell r="B15">
            <v>1669</v>
          </cell>
          <cell r="C15">
            <v>2031</v>
          </cell>
          <cell r="D15">
            <v>1954</v>
          </cell>
          <cell r="E15">
            <v>1881</v>
          </cell>
          <cell r="F15">
            <v>1570</v>
          </cell>
        </row>
        <row r="16">
          <cell r="A16" t="str">
            <v>Native American</v>
          </cell>
          <cell r="B16">
            <v>611</v>
          </cell>
          <cell r="C16">
            <v>751</v>
          </cell>
          <cell r="D16">
            <v>707</v>
          </cell>
          <cell r="E16">
            <v>559</v>
          </cell>
          <cell r="F16">
            <v>422</v>
          </cell>
        </row>
        <row r="17">
          <cell r="A17" t="str">
            <v>Filipino</v>
          </cell>
          <cell r="B17">
            <v>2416</v>
          </cell>
          <cell r="C17">
            <v>2731</v>
          </cell>
          <cell r="D17">
            <v>2661</v>
          </cell>
          <cell r="E17">
            <v>2317</v>
          </cell>
          <cell r="F17">
            <v>2170</v>
          </cell>
        </row>
        <row r="18">
          <cell r="A18" t="str">
            <v>Pacific Islander</v>
          </cell>
          <cell r="B18">
            <v>459</v>
          </cell>
          <cell r="C18">
            <v>653</v>
          </cell>
          <cell r="D18">
            <v>545</v>
          </cell>
          <cell r="E18">
            <v>359</v>
          </cell>
          <cell r="F18">
            <v>271</v>
          </cell>
        </row>
        <row r="19">
          <cell r="A19" t="str">
            <v>Multi-Race</v>
          </cell>
          <cell r="B19">
            <v>840</v>
          </cell>
          <cell r="C19">
            <v>890</v>
          </cell>
          <cell r="D19">
            <v>1738</v>
          </cell>
          <cell r="E19">
            <v>2355</v>
          </cell>
          <cell r="F19">
            <v>2889</v>
          </cell>
        </row>
        <row r="20">
          <cell r="A20" t="str">
            <v>Unknown</v>
          </cell>
          <cell r="B20">
            <v>4327</v>
          </cell>
          <cell r="C20">
            <v>5794</v>
          </cell>
          <cell r="D20">
            <v>5693</v>
          </cell>
          <cell r="E20">
            <v>3809</v>
          </cell>
          <cell r="F20">
            <v>2410</v>
          </cell>
        </row>
        <row r="21">
          <cell r="A21">
            <v>0</v>
          </cell>
          <cell r="B21">
            <v>0</v>
          </cell>
          <cell r="C21">
            <v>0</v>
          </cell>
          <cell r="D21">
            <v>0</v>
          </cell>
          <cell r="E21">
            <v>0</v>
          </cell>
          <cell r="F21">
            <v>0</v>
          </cell>
        </row>
        <row r="22">
          <cell r="A22" t="str">
            <v xml:space="preserve">Age </v>
          </cell>
          <cell r="B22" t="str">
            <v>Seats</v>
          </cell>
          <cell r="C22" t="str">
            <v>Seats</v>
          </cell>
          <cell r="D22" t="str">
            <v>Seats</v>
          </cell>
          <cell r="E22" t="str">
            <v>Seats</v>
          </cell>
          <cell r="F22" t="str">
            <v>Seats</v>
          </cell>
        </row>
        <row r="23">
          <cell r="A23" t="str">
            <v>&lt;18</v>
          </cell>
          <cell r="B23">
            <v>1762</v>
          </cell>
          <cell r="C23">
            <v>2348</v>
          </cell>
          <cell r="D23">
            <v>1680</v>
          </cell>
          <cell r="E23">
            <v>1663</v>
          </cell>
          <cell r="F23">
            <v>1651</v>
          </cell>
        </row>
        <row r="24">
          <cell r="A24" t="str">
            <v>18 &amp; 19</v>
          </cell>
          <cell r="B24">
            <v>17286</v>
          </cell>
          <cell r="C24">
            <v>21535</v>
          </cell>
          <cell r="D24">
            <v>22554</v>
          </cell>
          <cell r="E24">
            <v>18044</v>
          </cell>
          <cell r="F24">
            <v>15942</v>
          </cell>
        </row>
        <row r="25">
          <cell r="A25" t="str">
            <v>20 to 24</v>
          </cell>
          <cell r="B25">
            <v>18788</v>
          </cell>
          <cell r="C25">
            <v>22369</v>
          </cell>
          <cell r="D25">
            <v>23686</v>
          </cell>
          <cell r="E25">
            <v>23117</v>
          </cell>
          <cell r="F25">
            <v>23082</v>
          </cell>
        </row>
        <row r="26">
          <cell r="A26" t="str">
            <v>25 to 29</v>
          </cell>
          <cell r="B26">
            <v>5941</v>
          </cell>
          <cell r="C26">
            <v>6950</v>
          </cell>
          <cell r="D26">
            <v>7713</v>
          </cell>
          <cell r="E26">
            <v>7495</v>
          </cell>
          <cell r="F26">
            <v>6819</v>
          </cell>
        </row>
        <row r="27">
          <cell r="A27" t="str">
            <v>30 to 34</v>
          </cell>
          <cell r="B27">
            <v>3530</v>
          </cell>
          <cell r="C27">
            <v>4394</v>
          </cell>
          <cell r="D27">
            <v>4570</v>
          </cell>
          <cell r="E27">
            <v>4224</v>
          </cell>
          <cell r="F27">
            <v>3878</v>
          </cell>
        </row>
        <row r="28">
          <cell r="A28" t="str">
            <v>35 to 39</v>
          </cell>
          <cell r="B28">
            <v>2744</v>
          </cell>
          <cell r="C28">
            <v>3343</v>
          </cell>
          <cell r="D28">
            <v>3374</v>
          </cell>
          <cell r="E28">
            <v>2853</v>
          </cell>
          <cell r="F28">
            <v>2605</v>
          </cell>
        </row>
        <row r="29">
          <cell r="A29" t="str">
            <v>40 to 49</v>
          </cell>
          <cell r="B29">
            <v>4085</v>
          </cell>
          <cell r="C29">
            <v>4740</v>
          </cell>
          <cell r="D29">
            <v>4979</v>
          </cell>
          <cell r="E29">
            <v>4449</v>
          </cell>
          <cell r="F29">
            <v>3826</v>
          </cell>
        </row>
        <row r="30">
          <cell r="A30" t="str">
            <v>50 +</v>
          </cell>
          <cell r="B30">
            <v>1982</v>
          </cell>
          <cell r="C30">
            <v>2312</v>
          </cell>
          <cell r="D30">
            <v>2517</v>
          </cell>
          <cell r="E30">
            <v>2238</v>
          </cell>
          <cell r="F30">
            <v>2135</v>
          </cell>
        </row>
        <row r="31">
          <cell r="A31" t="str">
            <v>Unknown</v>
          </cell>
          <cell r="B31">
            <v>7</v>
          </cell>
          <cell r="C31">
            <v>0</v>
          </cell>
          <cell r="D31">
            <v>6</v>
          </cell>
          <cell r="E31">
            <v>5</v>
          </cell>
          <cell r="F31">
            <v>5</v>
          </cell>
        </row>
        <row r="32">
          <cell r="A32">
            <v>0</v>
          </cell>
          <cell r="B32">
            <v>0</v>
          </cell>
          <cell r="C32">
            <v>0</v>
          </cell>
          <cell r="D32">
            <v>0</v>
          </cell>
          <cell r="E32">
            <v>0</v>
          </cell>
          <cell r="F32">
            <v>0</v>
          </cell>
        </row>
        <row r="33">
          <cell r="A33">
            <v>0</v>
          </cell>
          <cell r="B33" t="str">
            <v>Seats</v>
          </cell>
          <cell r="C33" t="str">
            <v>Seats</v>
          </cell>
          <cell r="D33" t="str">
            <v>Seats</v>
          </cell>
          <cell r="E33" t="str">
            <v>Seats</v>
          </cell>
          <cell r="F33" t="str">
            <v>Seats</v>
          </cell>
        </row>
        <row r="34">
          <cell r="A34" t="str">
            <v>DSPS</v>
          </cell>
          <cell r="B34">
            <v>0</v>
          </cell>
          <cell r="C34">
            <v>0</v>
          </cell>
          <cell r="D34">
            <v>0</v>
          </cell>
          <cell r="E34">
            <v>0</v>
          </cell>
          <cell r="F34">
            <v>0</v>
          </cell>
        </row>
        <row r="35">
          <cell r="A35">
            <v>0</v>
          </cell>
          <cell r="B35">
            <v>0</v>
          </cell>
          <cell r="C35">
            <v>0</v>
          </cell>
          <cell r="D35">
            <v>0</v>
          </cell>
          <cell r="E35">
            <v>0</v>
          </cell>
          <cell r="F35">
            <v>0</v>
          </cell>
        </row>
      </sheetData>
      <sheetData sheetId="1"/>
      <sheetData sheetId="2"/>
      <sheetData sheetId="3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gender"/>
      <sheetName val="ethnic"/>
      <sheetName val="age"/>
    </sheetNames>
    <sheetDataSet>
      <sheetData sheetId="0">
        <row r="1">
          <cell r="A1">
            <v>0</v>
          </cell>
          <cell r="B1">
            <v>2007</v>
          </cell>
          <cell r="C1">
            <v>2008</v>
          </cell>
          <cell r="D1">
            <v>2009</v>
          </cell>
          <cell r="E1">
            <v>2010</v>
          </cell>
          <cell r="F1">
            <v>2011</v>
          </cell>
        </row>
        <row r="2">
          <cell r="A2">
            <v>1</v>
          </cell>
          <cell r="B2">
            <v>2</v>
          </cell>
          <cell r="C2">
            <v>3</v>
          </cell>
          <cell r="D2">
            <v>4</v>
          </cell>
          <cell r="E2">
            <v>5</v>
          </cell>
          <cell r="F2">
            <v>6</v>
          </cell>
        </row>
        <row r="3">
          <cell r="A3" t="str">
            <v>#2  Course Completion</v>
          </cell>
          <cell r="B3" t="str">
            <v>MSJC</v>
          </cell>
          <cell r="C3">
            <v>0</v>
          </cell>
          <cell r="D3">
            <v>0</v>
          </cell>
          <cell r="E3">
            <v>0</v>
          </cell>
          <cell r="F3">
            <v>0</v>
          </cell>
        </row>
        <row r="4">
          <cell r="A4">
            <v>0</v>
          </cell>
          <cell r="B4">
            <v>2007</v>
          </cell>
          <cell r="C4">
            <v>2008</v>
          </cell>
          <cell r="D4">
            <v>2009</v>
          </cell>
          <cell r="E4">
            <v>2010</v>
          </cell>
          <cell r="F4">
            <v>2011</v>
          </cell>
        </row>
        <row r="5">
          <cell r="A5" t="str">
            <v>Gender</v>
          </cell>
          <cell r="B5" t="str">
            <v>Seats</v>
          </cell>
          <cell r="C5" t="str">
            <v>Seats</v>
          </cell>
          <cell r="D5" t="str">
            <v>Seats</v>
          </cell>
          <cell r="E5" t="str">
            <v>Seats</v>
          </cell>
          <cell r="F5" t="str">
            <v>Seats</v>
          </cell>
        </row>
        <row r="6">
          <cell r="A6" t="str">
            <v>Female</v>
          </cell>
          <cell r="B6">
            <v>38909</v>
          </cell>
          <cell r="C6">
            <v>46066</v>
          </cell>
          <cell r="D6">
            <v>46630</v>
          </cell>
          <cell r="E6">
            <v>40999</v>
          </cell>
          <cell r="F6">
            <v>38837</v>
          </cell>
        </row>
        <row r="7">
          <cell r="A7" t="str">
            <v>Male</v>
          </cell>
          <cell r="B7">
            <v>26623</v>
          </cell>
          <cell r="C7">
            <v>32334</v>
          </cell>
          <cell r="D7">
            <v>35303</v>
          </cell>
          <cell r="E7">
            <v>32175</v>
          </cell>
          <cell r="F7">
            <v>30340</v>
          </cell>
        </row>
        <row r="8">
          <cell r="A8" t="str">
            <v>Unknown</v>
          </cell>
          <cell r="B8">
            <v>490</v>
          </cell>
          <cell r="C8">
            <v>1068</v>
          </cell>
          <cell r="D8">
            <v>975</v>
          </cell>
          <cell r="E8">
            <v>820</v>
          </cell>
          <cell r="F8">
            <v>639</v>
          </cell>
        </row>
        <row r="9">
          <cell r="A9" t="str">
            <v>AY Average</v>
          </cell>
          <cell r="B9">
            <v>66022</v>
          </cell>
          <cell r="C9">
            <v>79468</v>
          </cell>
          <cell r="D9">
            <v>82908</v>
          </cell>
          <cell r="E9">
            <v>73994</v>
          </cell>
          <cell r="F9">
            <v>69816</v>
          </cell>
        </row>
        <row r="10">
          <cell r="A10">
            <v>0</v>
          </cell>
          <cell r="B10">
            <v>0</v>
          </cell>
          <cell r="C10">
            <v>0</v>
          </cell>
          <cell r="D10">
            <v>0</v>
          </cell>
          <cell r="E10">
            <v>0</v>
          </cell>
          <cell r="F10">
            <v>0</v>
          </cell>
        </row>
        <row r="11">
          <cell r="A11" t="str">
            <v>Ethnicity</v>
          </cell>
          <cell r="B11" t="str">
            <v>Seats</v>
          </cell>
          <cell r="C11" t="str">
            <v>Seats</v>
          </cell>
          <cell r="D11" t="str">
            <v>Seats</v>
          </cell>
          <cell r="E11" t="str">
            <v>Seats</v>
          </cell>
          <cell r="F11" t="str">
            <v>Seats</v>
          </cell>
        </row>
        <row r="12">
          <cell r="A12" t="str">
            <v>White</v>
          </cell>
          <cell r="B12">
            <v>31555</v>
          </cell>
          <cell r="C12">
            <v>36208</v>
          </cell>
          <cell r="D12">
            <v>36535</v>
          </cell>
          <cell r="E12">
            <v>31561</v>
          </cell>
          <cell r="F12">
            <v>28307</v>
          </cell>
        </row>
        <row r="13">
          <cell r="A13" t="str">
            <v>Hispanic</v>
          </cell>
          <cell r="B13">
            <v>17478</v>
          </cell>
          <cell r="C13">
            <v>21933</v>
          </cell>
          <cell r="D13">
            <v>24055</v>
          </cell>
          <cell r="E13">
            <v>23498</v>
          </cell>
          <cell r="F13">
            <v>24622</v>
          </cell>
        </row>
        <row r="14">
          <cell r="A14" t="str">
            <v>African American</v>
          </cell>
          <cell r="B14">
            <v>4965</v>
          </cell>
          <cell r="C14">
            <v>6361</v>
          </cell>
          <cell r="D14">
            <v>6764</v>
          </cell>
          <cell r="E14">
            <v>5673</v>
          </cell>
          <cell r="F14">
            <v>5294</v>
          </cell>
        </row>
        <row r="15">
          <cell r="A15" t="str">
            <v>Asian</v>
          </cell>
          <cell r="B15">
            <v>1891</v>
          </cell>
          <cell r="C15">
            <v>2310</v>
          </cell>
          <cell r="D15">
            <v>2230</v>
          </cell>
          <cell r="E15">
            <v>2120</v>
          </cell>
          <cell r="F15">
            <v>1772</v>
          </cell>
        </row>
        <row r="16">
          <cell r="A16" t="str">
            <v>Native American</v>
          </cell>
          <cell r="B16">
            <v>742</v>
          </cell>
          <cell r="C16">
            <v>901</v>
          </cell>
          <cell r="D16">
            <v>853</v>
          </cell>
          <cell r="E16">
            <v>668</v>
          </cell>
          <cell r="F16">
            <v>504</v>
          </cell>
        </row>
        <row r="17">
          <cell r="A17" t="str">
            <v>Filipino</v>
          </cell>
          <cell r="B17">
            <v>2819</v>
          </cell>
          <cell r="C17">
            <v>3148</v>
          </cell>
          <cell r="D17">
            <v>3061</v>
          </cell>
          <cell r="E17">
            <v>2641</v>
          </cell>
          <cell r="F17">
            <v>2483</v>
          </cell>
        </row>
        <row r="18">
          <cell r="A18" t="str">
            <v>Pacific Islander</v>
          </cell>
          <cell r="B18">
            <v>523</v>
          </cell>
          <cell r="C18">
            <v>762</v>
          </cell>
          <cell r="D18">
            <v>641</v>
          </cell>
          <cell r="E18">
            <v>436</v>
          </cell>
          <cell r="F18">
            <v>329</v>
          </cell>
        </row>
        <row r="19">
          <cell r="A19" t="str">
            <v>Multi-Race</v>
          </cell>
          <cell r="B19">
            <v>1290</v>
          </cell>
          <cell r="C19">
            <v>1412</v>
          </cell>
          <cell r="D19">
            <v>2479</v>
          </cell>
          <cell r="E19">
            <v>3350</v>
          </cell>
          <cell r="F19">
            <v>4122</v>
          </cell>
        </row>
        <row r="20">
          <cell r="A20" t="str">
            <v>Unknown</v>
          </cell>
          <cell r="B20">
            <v>4971</v>
          </cell>
          <cell r="C20">
            <v>6677</v>
          </cell>
          <cell r="D20">
            <v>6539</v>
          </cell>
          <cell r="E20">
            <v>4355</v>
          </cell>
          <cell r="F20">
            <v>2770</v>
          </cell>
        </row>
        <row r="21">
          <cell r="A21">
            <v>0</v>
          </cell>
          <cell r="B21">
            <v>0</v>
          </cell>
          <cell r="C21">
            <v>0</v>
          </cell>
          <cell r="D21">
            <v>0</v>
          </cell>
          <cell r="E21">
            <v>0</v>
          </cell>
          <cell r="F21">
            <v>0</v>
          </cell>
        </row>
        <row r="22">
          <cell r="A22" t="str">
            <v xml:space="preserve">Age </v>
          </cell>
          <cell r="B22" t="str">
            <v>Seats</v>
          </cell>
          <cell r="C22" t="str">
            <v>Seats</v>
          </cell>
          <cell r="D22" t="str">
            <v>Seats</v>
          </cell>
          <cell r="E22" t="str">
            <v>Seats</v>
          </cell>
          <cell r="F22" t="str">
            <v>Seats</v>
          </cell>
        </row>
        <row r="23">
          <cell r="A23" t="str">
            <v>&lt;18</v>
          </cell>
          <cell r="B23">
            <v>1924</v>
          </cell>
          <cell r="C23">
            <v>2580</v>
          </cell>
          <cell r="D23">
            <v>1814</v>
          </cell>
          <cell r="E23">
            <v>1754</v>
          </cell>
          <cell r="F23">
            <v>1723</v>
          </cell>
        </row>
        <row r="24">
          <cell r="A24" t="str">
            <v>18 &amp; 19</v>
          </cell>
          <cell r="B24">
            <v>20266</v>
          </cell>
          <cell r="C24">
            <v>25081</v>
          </cell>
          <cell r="D24">
            <v>25862</v>
          </cell>
          <cell r="E24">
            <v>20369</v>
          </cell>
          <cell r="F24">
            <v>18052</v>
          </cell>
        </row>
        <row r="25">
          <cell r="A25" t="str">
            <v>20 to 24</v>
          </cell>
          <cell r="B25">
            <v>22430</v>
          </cell>
          <cell r="C25">
            <v>26597</v>
          </cell>
          <cell r="D25">
            <v>28158</v>
          </cell>
          <cell r="E25">
            <v>27322</v>
          </cell>
          <cell r="F25">
            <v>27473</v>
          </cell>
        </row>
        <row r="26">
          <cell r="A26" t="str">
            <v>25 to 29</v>
          </cell>
          <cell r="B26">
            <v>7081</v>
          </cell>
          <cell r="C26">
            <v>8230</v>
          </cell>
          <cell r="D26">
            <v>9096</v>
          </cell>
          <cell r="E26">
            <v>8748</v>
          </cell>
          <cell r="F26">
            <v>8114</v>
          </cell>
        </row>
        <row r="27">
          <cell r="A27" t="str">
            <v>30 to 34</v>
          </cell>
          <cell r="B27">
            <v>4143</v>
          </cell>
          <cell r="C27">
            <v>5066</v>
          </cell>
          <cell r="D27">
            <v>5376</v>
          </cell>
          <cell r="E27">
            <v>4892</v>
          </cell>
          <cell r="F27">
            <v>4545</v>
          </cell>
        </row>
        <row r="28">
          <cell r="A28" t="str">
            <v>35 to 39</v>
          </cell>
          <cell r="B28">
            <v>3197</v>
          </cell>
          <cell r="C28">
            <v>3887</v>
          </cell>
          <cell r="D28">
            <v>3920</v>
          </cell>
          <cell r="E28">
            <v>3271</v>
          </cell>
          <cell r="F28">
            <v>3062</v>
          </cell>
        </row>
        <row r="29">
          <cell r="A29" t="str">
            <v>40 to 49</v>
          </cell>
          <cell r="B29">
            <v>4663</v>
          </cell>
          <cell r="C29">
            <v>5362</v>
          </cell>
          <cell r="D29">
            <v>5775</v>
          </cell>
          <cell r="E29">
            <v>5108</v>
          </cell>
          <cell r="F29">
            <v>4393</v>
          </cell>
        </row>
        <row r="30">
          <cell r="A30" t="str">
            <v>50 +</v>
          </cell>
          <cell r="B30">
            <v>2310</v>
          </cell>
          <cell r="C30">
            <v>2665</v>
          </cell>
          <cell r="D30">
            <v>2895</v>
          </cell>
          <cell r="E30">
            <v>2525</v>
          </cell>
          <cell r="F30">
            <v>2447</v>
          </cell>
        </row>
        <row r="31">
          <cell r="A31" t="str">
            <v>Unknown</v>
          </cell>
          <cell r="B31">
            <v>8</v>
          </cell>
          <cell r="C31">
            <v>0</v>
          </cell>
          <cell r="D31">
            <v>12</v>
          </cell>
          <cell r="E31">
            <v>5</v>
          </cell>
          <cell r="F31">
            <v>7</v>
          </cell>
        </row>
        <row r="32">
          <cell r="A32">
            <v>0</v>
          </cell>
          <cell r="B32">
            <v>0</v>
          </cell>
          <cell r="C32">
            <v>0</v>
          </cell>
          <cell r="D32">
            <v>0</v>
          </cell>
          <cell r="E32">
            <v>0</v>
          </cell>
          <cell r="F32">
            <v>0</v>
          </cell>
        </row>
        <row r="33">
          <cell r="A33">
            <v>0</v>
          </cell>
          <cell r="B33" t="str">
            <v>Seats</v>
          </cell>
          <cell r="C33" t="str">
            <v>Seats</v>
          </cell>
          <cell r="D33" t="str">
            <v>Seats</v>
          </cell>
          <cell r="E33" t="str">
            <v>Seats</v>
          </cell>
          <cell r="F33" t="str">
            <v>Seats</v>
          </cell>
        </row>
        <row r="34">
          <cell r="A34" t="str">
            <v>DSPS</v>
          </cell>
          <cell r="B34">
            <v>0</v>
          </cell>
          <cell r="C34">
            <v>0</v>
          </cell>
          <cell r="D34">
            <v>0</v>
          </cell>
          <cell r="E34">
            <v>0</v>
          </cell>
          <cell r="F34">
            <v>0</v>
          </cell>
        </row>
        <row r="35">
          <cell r="A35">
            <v>0</v>
          </cell>
          <cell r="B35">
            <v>0</v>
          </cell>
          <cell r="C35">
            <v>0</v>
          </cell>
          <cell r="D35">
            <v>0</v>
          </cell>
          <cell r="E35">
            <v>0</v>
          </cell>
          <cell r="F35">
            <v>0</v>
          </cell>
        </row>
        <row r="36">
          <cell r="A36">
            <v>0</v>
          </cell>
          <cell r="B36">
            <v>0</v>
          </cell>
          <cell r="C36">
            <v>0</v>
          </cell>
          <cell r="D36">
            <v>0</v>
          </cell>
          <cell r="E36">
            <v>0</v>
          </cell>
          <cell r="F36">
            <v>0</v>
          </cell>
        </row>
      </sheetData>
      <sheetData sheetId="1"/>
      <sheetData sheetId="2"/>
      <sheetData sheetId="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2"/>
  <sheetViews>
    <sheetView tabSelected="1" workbookViewId="0">
      <selection activeCell="J9" sqref="J9"/>
    </sheetView>
  </sheetViews>
  <sheetFormatPr defaultRowHeight="15" x14ac:dyDescent="0.25"/>
  <cols>
    <col min="1" max="1" width="16.28515625" bestFit="1" customWidth="1"/>
    <col min="2" max="6" width="11.42578125" bestFit="1" customWidth="1"/>
  </cols>
  <sheetData>
    <row r="1" spans="1:6" s="1" customFormat="1" x14ac:dyDescent="0.25">
      <c r="A1" s="29" t="s">
        <v>31</v>
      </c>
      <c r="B1" s="31" t="s">
        <v>29</v>
      </c>
      <c r="C1" s="31"/>
      <c r="D1" s="31"/>
      <c r="E1" s="31"/>
      <c r="F1" s="32"/>
    </row>
    <row r="2" spans="1:6" ht="15" customHeight="1" thickBot="1" x14ac:dyDescent="0.3">
      <c r="A2" s="30"/>
      <c r="B2" s="28" t="s">
        <v>24</v>
      </c>
      <c r="C2" s="28" t="s">
        <v>25</v>
      </c>
      <c r="D2" s="28" t="s">
        <v>26</v>
      </c>
      <c r="E2" s="28" t="s">
        <v>27</v>
      </c>
      <c r="F2" s="28" t="s">
        <v>28</v>
      </c>
    </row>
    <row r="3" spans="1:6" ht="15.75" hidden="1" customHeight="1" thickBot="1" x14ac:dyDescent="0.3">
      <c r="A3" s="26"/>
      <c r="B3" s="23">
        <v>2007</v>
      </c>
      <c r="C3" s="24">
        <f>B3+1</f>
        <v>2008</v>
      </c>
      <c r="D3" s="24">
        <f t="shared" ref="D3:F3" si="0">C3+1</f>
        <v>2009</v>
      </c>
      <c r="E3" s="24">
        <f t="shared" si="0"/>
        <v>2010</v>
      </c>
      <c r="F3" s="24">
        <f t="shared" si="0"/>
        <v>2011</v>
      </c>
    </row>
    <row r="4" spans="1:6" ht="26.25" thickBot="1" x14ac:dyDescent="0.3">
      <c r="A4" s="3" t="s">
        <v>0</v>
      </c>
      <c r="B4" s="12" t="s">
        <v>23</v>
      </c>
      <c r="C4" s="12" t="str">
        <f>B4</f>
        <v>Retention Rates</v>
      </c>
      <c r="D4" s="27" t="str">
        <f t="shared" ref="D4:F4" si="1">C4</f>
        <v>Retention Rates</v>
      </c>
      <c r="E4" s="27" t="str">
        <f t="shared" si="1"/>
        <v>Retention Rates</v>
      </c>
      <c r="F4" s="27" t="str">
        <f t="shared" si="1"/>
        <v>Retention Rates</v>
      </c>
    </row>
    <row r="5" spans="1:6" ht="15.75" thickBot="1" x14ac:dyDescent="0.3">
      <c r="A5" s="16" t="s">
        <v>1</v>
      </c>
      <c r="B5" s="25">
        <f>(VLOOKUP($A5,[1]Sheet1!$A:$F,HLOOKUP(B$3,[1]Sheet1!$1:$2,2,FALSE),FALSE))/(VLOOKUP($A5,[2]Sheet1!$A:$F,HLOOKUP(B$3,[2]Sheet1!$1:$2,2,FALSE),FALSE))</f>
        <v>0.84885245058983783</v>
      </c>
      <c r="C5" s="25">
        <f>(VLOOKUP($A5,[1]Sheet1!$A:$F,HLOOKUP(C$3,[1]Sheet1!$1:$2,2,FALSE),FALSE))/(VLOOKUP($A5,[2]Sheet1!$A:$F,HLOOKUP(C$3,[2]Sheet1!$1:$2,2,FALSE),FALSE))</f>
        <v>0.85486041766161591</v>
      </c>
      <c r="D5" s="25">
        <f>(VLOOKUP($A5,[1]Sheet1!$A:$F,HLOOKUP(D$3,[1]Sheet1!$1:$2,2,FALSE),FALSE))/(VLOOKUP($A5,[2]Sheet1!$A:$F,HLOOKUP(D$3,[2]Sheet1!$1:$2,2,FALSE),FALSE))</f>
        <v>0.85818142826506538</v>
      </c>
      <c r="E5" s="25">
        <f>(VLOOKUP($A5,[1]Sheet1!$A:$F,HLOOKUP(E$3,[1]Sheet1!$1:$2,2,FALSE),FALSE))/(VLOOKUP($A5,[2]Sheet1!$A:$F,HLOOKUP(E$3,[2]Sheet1!$1:$2,2,FALSE),FALSE))</f>
        <v>0.86660650259762428</v>
      </c>
      <c r="F5" s="25">
        <f>(VLOOKUP($A5,[1]Sheet1!$A:$F,HLOOKUP(F$3,[1]Sheet1!$1:$2,2,FALSE),FALSE))/(VLOOKUP($A5,[2]Sheet1!$A:$F,HLOOKUP(F$3,[2]Sheet1!$1:$2,2,FALSE),FALSE))</f>
        <v>0.85822797847413546</v>
      </c>
    </row>
    <row r="6" spans="1:6" ht="15.75" thickBot="1" x14ac:dyDescent="0.3">
      <c r="A6" s="17" t="s">
        <v>2</v>
      </c>
      <c r="B6" s="25">
        <f>(VLOOKUP($A6,[1]Sheet1!$A:$F,HLOOKUP(B$3,[1]Sheet1!$1:$2,2,FALSE),FALSE))/(VLOOKUP($A6,[2]Sheet1!$A:$F,HLOOKUP(B$3,[2]Sheet1!$1:$2,2,FALSE),FALSE))</f>
        <v>0.85166960898471245</v>
      </c>
      <c r="C6" s="25">
        <f>(VLOOKUP($A6,[1]Sheet1!$A:$F,HLOOKUP(C$3,[1]Sheet1!$1:$2,2,FALSE),FALSE))/(VLOOKUP($A6,[2]Sheet1!$A:$F,HLOOKUP(C$3,[2]Sheet1!$1:$2,2,FALSE),FALSE))</f>
        <v>0.85646687697160884</v>
      </c>
      <c r="D6" s="25">
        <f>(VLOOKUP($A6,[1]Sheet1!$A:$F,HLOOKUP(D$3,[1]Sheet1!$1:$2,2,FALSE),FALSE))/(VLOOKUP($A6,[2]Sheet1!$A:$F,HLOOKUP(D$3,[2]Sheet1!$1:$2,2,FALSE),FALSE))</f>
        <v>0.85598957595671754</v>
      </c>
      <c r="E6" s="25">
        <f>(VLOOKUP($A6,[1]Sheet1!$A:$F,HLOOKUP(E$3,[1]Sheet1!$1:$2,2,FALSE),FALSE))/(VLOOKUP($A6,[2]Sheet1!$A:$F,HLOOKUP(E$3,[2]Sheet1!$1:$2,2,FALSE),FALSE))</f>
        <v>0.86498834498834498</v>
      </c>
      <c r="F6" s="25">
        <f>(VLOOKUP($A6,[1]Sheet1!$A:$F,HLOOKUP(F$3,[1]Sheet1!$1:$2,2,FALSE),FALSE))/(VLOOKUP($A6,[2]Sheet1!$A:$F,HLOOKUP(F$3,[2]Sheet1!$1:$2,2,FALSE),FALSE))</f>
        <v>0.85797626895187873</v>
      </c>
    </row>
    <row r="7" spans="1:6" ht="15.75" thickBot="1" x14ac:dyDescent="0.3">
      <c r="A7" s="22" t="s">
        <v>3</v>
      </c>
      <c r="B7" s="25">
        <f>(VLOOKUP($A7,[1]Sheet1!$A:$F,HLOOKUP(B$3,[1]Sheet1!$1:$2,2,FALSE),FALSE))/(VLOOKUP($A7,[2]Sheet1!$A:$F,HLOOKUP(B$3,[2]Sheet1!$1:$2,2,FALSE),FALSE))</f>
        <v>0.86326530612244901</v>
      </c>
      <c r="C7" s="25">
        <f>(VLOOKUP($A7,[1]Sheet1!$A:$F,HLOOKUP(C$3,[1]Sheet1!$1:$2,2,FALSE),FALSE))/(VLOOKUP($A7,[2]Sheet1!$A:$F,HLOOKUP(C$3,[2]Sheet1!$1:$2,2,FALSE),FALSE))</f>
        <v>0.8595505617977528</v>
      </c>
      <c r="D7" s="25">
        <f>(VLOOKUP($A7,[1]Sheet1!$A:$F,HLOOKUP(D$3,[1]Sheet1!$1:$2,2,FALSE),FALSE))/(VLOOKUP($A7,[2]Sheet1!$A:$F,HLOOKUP(D$3,[2]Sheet1!$1:$2,2,FALSE),FALSE))</f>
        <v>0.86461538461538456</v>
      </c>
      <c r="E7" s="25">
        <f>(VLOOKUP($A7,[1]Sheet1!$A:$F,HLOOKUP(E$3,[1]Sheet1!$1:$2,2,FALSE),FALSE))/(VLOOKUP($A7,[2]Sheet1!$A:$F,HLOOKUP(E$3,[2]Sheet1!$1:$2,2,FALSE),FALSE))</f>
        <v>0.88658536585365855</v>
      </c>
      <c r="F7" s="25">
        <f>(VLOOKUP($A7,[1]Sheet1!$A:$F,HLOOKUP(F$3,[1]Sheet1!$1:$2,2,FALSE),FALSE))/(VLOOKUP($A7,[2]Sheet1!$A:$F,HLOOKUP(F$3,[2]Sheet1!$1:$2,2,FALSE),FALSE))</f>
        <v>0.90923317683881066</v>
      </c>
    </row>
    <row r="8" spans="1:6" ht="16.5" thickTop="1" thickBot="1" x14ac:dyDescent="0.3">
      <c r="A8" s="21" t="s">
        <v>21</v>
      </c>
      <c r="B8" s="25">
        <f>(VLOOKUP($A8,[1]Sheet1!$A:$F,HLOOKUP(B$3,[1]Sheet1!$1:$2,2,FALSE),FALSE))/(VLOOKUP($A8,[2]Sheet1!$A:$F,HLOOKUP(B$3,[2]Sheet1!$1:$2,2,FALSE),FALSE))</f>
        <v>0.85009542273787531</v>
      </c>
      <c r="C8" s="25">
        <f>(VLOOKUP($A8,[1]Sheet1!$A:$F,HLOOKUP(C$3,[1]Sheet1!$1:$2,2,FALSE),FALSE))/(VLOOKUP($A8,[2]Sheet1!$A:$F,HLOOKUP(C$3,[2]Sheet1!$1:$2,2,FALSE),FALSE))</f>
        <v>0.85557708763275786</v>
      </c>
      <c r="D8" s="25">
        <f>(VLOOKUP($A8,[1]Sheet1!$A:$F,HLOOKUP(D$3,[1]Sheet1!$1:$2,2,FALSE),FALSE))/(VLOOKUP($A8,[2]Sheet1!$A:$F,HLOOKUP(D$3,[2]Sheet1!$1:$2,2,FALSE),FALSE))</f>
        <v>0.85732378057606018</v>
      </c>
      <c r="E8" s="25">
        <f>(VLOOKUP($A8,[1]Sheet1!$A:$F,HLOOKUP(E$3,[1]Sheet1!$1:$2,2,FALSE),FALSE))/(VLOOKUP($A8,[2]Sheet1!$A:$F,HLOOKUP(E$3,[2]Sheet1!$1:$2,2,FALSE),FALSE))</f>
        <v>0.86612428034705513</v>
      </c>
      <c r="F8" s="25">
        <f>(VLOOKUP($A8,[1]Sheet1!$A:$F,HLOOKUP(F$3,[1]Sheet1!$1:$2,2,FALSE),FALSE))/(VLOOKUP($A8,[2]Sheet1!$A:$F,HLOOKUP(F$3,[2]Sheet1!$1:$2,2,FALSE),FALSE))</f>
        <v>0.85858542454451703</v>
      </c>
    </row>
    <row r="9" spans="1:6" ht="15.75" thickBot="1" x14ac:dyDescent="0.3">
      <c r="A9" s="4"/>
      <c r="B9" s="11"/>
      <c r="C9" s="11"/>
      <c r="D9" s="11"/>
      <c r="E9" s="11"/>
      <c r="F9" s="11"/>
    </row>
    <row r="10" spans="1:6" ht="26.25" thickBot="1" x14ac:dyDescent="0.3">
      <c r="A10" s="5" t="s">
        <v>4</v>
      </c>
      <c r="B10" s="12" t="str">
        <f>B4</f>
        <v>Retention Rates</v>
      </c>
      <c r="C10" s="27" t="str">
        <f t="shared" ref="C10:F10" si="2">C4</f>
        <v>Retention Rates</v>
      </c>
      <c r="D10" s="27" t="str">
        <f t="shared" si="2"/>
        <v>Retention Rates</v>
      </c>
      <c r="E10" s="27" t="str">
        <f t="shared" si="2"/>
        <v>Retention Rates</v>
      </c>
      <c r="F10" s="27" t="str">
        <f t="shared" si="2"/>
        <v>Retention Rates</v>
      </c>
    </row>
    <row r="11" spans="1:6" ht="15.75" thickBot="1" x14ac:dyDescent="0.3">
      <c r="A11" s="18" t="s">
        <v>5</v>
      </c>
      <c r="B11" s="25">
        <f>(VLOOKUP($A11,[1]Sheet1!$A:$F,HLOOKUP(B$3,[1]Sheet1!$1:$2,2,FALSE),FALSE))/(VLOOKUP($A11,[2]Sheet1!$A:$F,HLOOKUP(B$3,[2]Sheet1!$1:$2,2,FALSE),FALSE))</f>
        <v>0.85682142291237517</v>
      </c>
      <c r="C11" s="25">
        <f>(VLOOKUP($A11,[1]Sheet1!$A:$F,HLOOKUP(C$3,[1]Sheet1!$1:$2,2,FALSE),FALSE))/(VLOOKUP($A11,[2]Sheet1!$A:$F,HLOOKUP(C$3,[2]Sheet1!$1:$2,2,FALSE),FALSE))</f>
        <v>0.86690786566504641</v>
      </c>
      <c r="D11" s="25">
        <f>(VLOOKUP($A11,[1]Sheet1!$A:$F,HLOOKUP(D$3,[1]Sheet1!$1:$2,2,FALSE),FALSE))/(VLOOKUP($A11,[2]Sheet1!$A:$F,HLOOKUP(D$3,[2]Sheet1!$1:$2,2,FALSE),FALSE))</f>
        <v>0.86500615847817164</v>
      </c>
      <c r="E11" s="25">
        <f>(VLOOKUP($A11,[1]Sheet1!$A:$F,HLOOKUP(E$3,[1]Sheet1!$1:$2,2,FALSE),FALSE))/(VLOOKUP($A11,[2]Sheet1!$A:$F,HLOOKUP(E$3,[2]Sheet1!$1:$2,2,FALSE),FALSE))</f>
        <v>0.86999778207281142</v>
      </c>
      <c r="F11" s="25">
        <f>(VLOOKUP($A11,[1]Sheet1!$A:$F,HLOOKUP(F$3,[1]Sheet1!$1:$2,2,FALSE),FALSE))/(VLOOKUP($A11,[2]Sheet1!$A:$F,HLOOKUP(F$3,[2]Sheet1!$1:$2,2,FALSE),FALSE))</f>
        <v>0.86582824036457418</v>
      </c>
    </row>
    <row r="12" spans="1:6" ht="15.75" thickBot="1" x14ac:dyDescent="0.3">
      <c r="A12" s="19" t="s">
        <v>6</v>
      </c>
      <c r="B12" s="25">
        <f>(VLOOKUP($A12,[1]Sheet1!$A:$F,HLOOKUP(B$3,[1]Sheet1!$1:$2,2,FALSE),FALSE))/(VLOOKUP($A12,[2]Sheet1!$A:$F,HLOOKUP(B$3,[2]Sheet1!$1:$2,2,FALSE),FALSE))</f>
        <v>0.84311706144867837</v>
      </c>
      <c r="C12" s="25">
        <f>(VLOOKUP($A12,[1]Sheet1!$A:$F,HLOOKUP(C$3,[1]Sheet1!$1:$2,2,FALSE),FALSE))/(VLOOKUP($A12,[2]Sheet1!$A:$F,HLOOKUP(C$3,[2]Sheet1!$1:$2,2,FALSE),FALSE))</f>
        <v>0.84726211644553873</v>
      </c>
      <c r="D12" s="25">
        <f>(VLOOKUP($A12,[1]Sheet1!$A:$F,HLOOKUP(D$3,[1]Sheet1!$1:$2,2,FALSE),FALSE))/(VLOOKUP($A12,[2]Sheet1!$A:$F,HLOOKUP(D$3,[2]Sheet1!$1:$2,2,FALSE),FALSE))</f>
        <v>0.84843067969237163</v>
      </c>
      <c r="E12" s="25">
        <f>(VLOOKUP($A12,[1]Sheet1!$A:$F,HLOOKUP(E$3,[1]Sheet1!$1:$2,2,FALSE),FALSE))/(VLOOKUP($A12,[2]Sheet1!$A:$F,HLOOKUP(E$3,[2]Sheet1!$1:$2,2,FALSE),FALSE))</f>
        <v>0.8646267767469572</v>
      </c>
      <c r="F12" s="25">
        <f>(VLOOKUP($A12,[1]Sheet1!$A:$F,HLOOKUP(F$3,[1]Sheet1!$1:$2,2,FALSE),FALSE))/(VLOOKUP($A12,[2]Sheet1!$A:$F,HLOOKUP(F$3,[2]Sheet1!$1:$2,2,FALSE),FALSE))</f>
        <v>0.85724149134919991</v>
      </c>
    </row>
    <row r="13" spans="1:6" ht="15.75" thickBot="1" x14ac:dyDescent="0.3">
      <c r="A13" s="19" t="s">
        <v>7</v>
      </c>
      <c r="B13" s="25">
        <f>(VLOOKUP($A13,[1]Sheet1!$A:$F,HLOOKUP(B$3,[1]Sheet1!$1:$2,2,FALSE),FALSE))/(VLOOKUP($A13,[2]Sheet1!$A:$F,HLOOKUP(B$3,[2]Sheet1!$1:$2,2,FALSE),FALSE))</f>
        <v>0.80463242698892246</v>
      </c>
      <c r="C13" s="25">
        <f>(VLOOKUP($A13,[1]Sheet1!$A:$F,HLOOKUP(C$3,[1]Sheet1!$1:$2,2,FALSE),FALSE))/(VLOOKUP($A13,[2]Sheet1!$A:$F,HLOOKUP(C$3,[2]Sheet1!$1:$2,2,FALSE),FALSE))</f>
        <v>0.80757742493318663</v>
      </c>
      <c r="D13" s="25">
        <f>(VLOOKUP($A13,[1]Sheet1!$A:$F,HLOOKUP(D$3,[1]Sheet1!$1:$2,2,FALSE),FALSE))/(VLOOKUP($A13,[2]Sheet1!$A:$F,HLOOKUP(D$3,[2]Sheet1!$1:$2,2,FALSE),FALSE))</f>
        <v>0.82628622117090478</v>
      </c>
      <c r="E13" s="25">
        <f>(VLOOKUP($A13,[1]Sheet1!$A:$F,HLOOKUP(E$3,[1]Sheet1!$1:$2,2,FALSE),FALSE))/(VLOOKUP($A13,[2]Sheet1!$A:$F,HLOOKUP(E$3,[2]Sheet1!$1:$2,2,FALSE),FALSE))</f>
        <v>0.84470297902344438</v>
      </c>
      <c r="F13" s="25">
        <f>(VLOOKUP($A13,[1]Sheet1!$A:$F,HLOOKUP(F$3,[1]Sheet1!$1:$2,2,FALSE),FALSE))/(VLOOKUP($A13,[2]Sheet1!$A:$F,HLOOKUP(F$3,[2]Sheet1!$1:$2,2,FALSE),FALSE))</f>
        <v>0.81054023422742727</v>
      </c>
    </row>
    <row r="14" spans="1:6" ht="15.75" thickBot="1" x14ac:dyDescent="0.3">
      <c r="A14" s="19" t="s">
        <v>8</v>
      </c>
      <c r="B14" s="25">
        <f>(VLOOKUP($A14,[1]Sheet1!$A:$F,HLOOKUP(B$3,[1]Sheet1!$1:$2,2,FALSE),FALSE))/(VLOOKUP($A14,[2]Sheet1!$A:$F,HLOOKUP(B$3,[2]Sheet1!$1:$2,2,FALSE),FALSE))</f>
        <v>0.88260179799048122</v>
      </c>
      <c r="C14" s="25">
        <f>(VLOOKUP($A14,[1]Sheet1!$A:$F,HLOOKUP(C$3,[1]Sheet1!$1:$2,2,FALSE),FALSE))/(VLOOKUP($A14,[2]Sheet1!$A:$F,HLOOKUP(C$3,[2]Sheet1!$1:$2,2,FALSE),FALSE))</f>
        <v>0.87922077922077924</v>
      </c>
      <c r="D14" s="25">
        <f>(VLOOKUP($A14,[1]Sheet1!$A:$F,HLOOKUP(D$3,[1]Sheet1!$1:$2,2,FALSE),FALSE))/(VLOOKUP($A14,[2]Sheet1!$A:$F,HLOOKUP(D$3,[2]Sheet1!$1:$2,2,FALSE),FALSE))</f>
        <v>0.87623318385650228</v>
      </c>
      <c r="E14" s="25">
        <f>(VLOOKUP($A14,[1]Sheet1!$A:$F,HLOOKUP(E$3,[1]Sheet1!$1:$2,2,FALSE),FALSE))/(VLOOKUP($A14,[2]Sheet1!$A:$F,HLOOKUP(E$3,[2]Sheet1!$1:$2,2,FALSE),FALSE))</f>
        <v>0.88726415094339628</v>
      </c>
      <c r="F14" s="25">
        <f>(VLOOKUP($A14,[1]Sheet1!$A:$F,HLOOKUP(F$3,[1]Sheet1!$1:$2,2,FALSE),FALSE))/(VLOOKUP($A14,[2]Sheet1!$A:$F,HLOOKUP(F$3,[2]Sheet1!$1:$2,2,FALSE),FALSE))</f>
        <v>0.88600451467268626</v>
      </c>
    </row>
    <row r="15" spans="1:6" ht="15.75" thickBot="1" x14ac:dyDescent="0.3">
      <c r="A15" s="19" t="s">
        <v>9</v>
      </c>
      <c r="B15" s="25">
        <f>(VLOOKUP($A15,[1]Sheet1!$A:$F,HLOOKUP(B$3,[1]Sheet1!$1:$2,2,FALSE),FALSE))/(VLOOKUP($A15,[2]Sheet1!$A:$F,HLOOKUP(B$3,[2]Sheet1!$1:$2,2,FALSE),FALSE))</f>
        <v>0.82345013477088946</v>
      </c>
      <c r="C15" s="25">
        <f>(VLOOKUP($A15,[1]Sheet1!$A:$F,HLOOKUP(C$3,[1]Sheet1!$1:$2,2,FALSE),FALSE))/(VLOOKUP($A15,[2]Sheet1!$A:$F,HLOOKUP(C$3,[2]Sheet1!$1:$2,2,FALSE),FALSE))</f>
        <v>0.83351831298557155</v>
      </c>
      <c r="D15" s="25">
        <f>(VLOOKUP($A15,[1]Sheet1!$A:$F,HLOOKUP(D$3,[1]Sheet1!$1:$2,2,FALSE),FALSE))/(VLOOKUP($A15,[2]Sheet1!$A:$F,HLOOKUP(D$3,[2]Sheet1!$1:$2,2,FALSE),FALSE))</f>
        <v>0.82883939038686982</v>
      </c>
      <c r="E15" s="25">
        <f>(VLOOKUP($A15,[1]Sheet1!$A:$F,HLOOKUP(E$3,[1]Sheet1!$1:$2,2,FALSE),FALSE))/(VLOOKUP($A15,[2]Sheet1!$A:$F,HLOOKUP(E$3,[2]Sheet1!$1:$2,2,FALSE),FALSE))</f>
        <v>0.83682634730538918</v>
      </c>
      <c r="F15" s="25">
        <f>(VLOOKUP($A15,[1]Sheet1!$A:$F,HLOOKUP(F$3,[1]Sheet1!$1:$2,2,FALSE),FALSE))/(VLOOKUP($A15,[2]Sheet1!$A:$F,HLOOKUP(F$3,[2]Sheet1!$1:$2,2,FALSE),FALSE))</f>
        <v>0.83730158730158732</v>
      </c>
    </row>
    <row r="16" spans="1:6" ht="15.75" thickBot="1" x14ac:dyDescent="0.3">
      <c r="A16" s="19" t="s">
        <v>10</v>
      </c>
      <c r="B16" s="25">
        <f>(VLOOKUP($A16,[1]Sheet1!$A:$F,HLOOKUP(B$3,[1]Sheet1!$1:$2,2,FALSE),FALSE))/(VLOOKUP($A16,[2]Sheet1!$A:$F,HLOOKUP(B$3,[2]Sheet1!$1:$2,2,FALSE),FALSE))</f>
        <v>0.85704150407946078</v>
      </c>
      <c r="C16" s="25">
        <f>(VLOOKUP($A16,[1]Sheet1!$A:$F,HLOOKUP(C$3,[1]Sheet1!$1:$2,2,FALSE),FALSE))/(VLOOKUP($A16,[2]Sheet1!$A:$F,HLOOKUP(C$3,[2]Sheet1!$1:$2,2,FALSE),FALSE))</f>
        <v>0.86753494282083865</v>
      </c>
      <c r="D16" s="25">
        <f>(VLOOKUP($A16,[1]Sheet1!$A:$F,HLOOKUP(D$3,[1]Sheet1!$1:$2,2,FALSE),FALSE))/(VLOOKUP($A16,[2]Sheet1!$A:$F,HLOOKUP(D$3,[2]Sheet1!$1:$2,2,FALSE),FALSE))</f>
        <v>0.86932375040836329</v>
      </c>
      <c r="E16" s="25">
        <f>(VLOOKUP($A16,[1]Sheet1!$A:$F,HLOOKUP(E$3,[1]Sheet1!$1:$2,2,FALSE),FALSE))/(VLOOKUP($A16,[2]Sheet1!$A:$F,HLOOKUP(E$3,[2]Sheet1!$1:$2,2,FALSE),FALSE))</f>
        <v>0.87731919727375995</v>
      </c>
      <c r="F16" s="25">
        <f>(VLOOKUP($A16,[1]Sheet1!$A:$F,HLOOKUP(F$3,[1]Sheet1!$1:$2,2,FALSE),FALSE))/(VLOOKUP($A16,[2]Sheet1!$A:$F,HLOOKUP(F$3,[2]Sheet1!$1:$2,2,FALSE),FALSE))</f>
        <v>0.87394281111558603</v>
      </c>
    </row>
    <row r="17" spans="1:6" ht="15.75" thickBot="1" x14ac:dyDescent="0.3">
      <c r="A17" s="19" t="s">
        <v>11</v>
      </c>
      <c r="B17" s="25">
        <f>(VLOOKUP($A17,[1]Sheet1!$A:$F,HLOOKUP(B$3,[1]Sheet1!$1:$2,2,FALSE),FALSE))/(VLOOKUP($A17,[2]Sheet1!$A:$F,HLOOKUP(B$3,[2]Sheet1!$1:$2,2,FALSE),FALSE))</f>
        <v>0.87762906309751432</v>
      </c>
      <c r="C17" s="25">
        <f>(VLOOKUP($A17,[1]Sheet1!$A:$F,HLOOKUP(C$3,[1]Sheet1!$1:$2,2,FALSE),FALSE))/(VLOOKUP($A17,[2]Sheet1!$A:$F,HLOOKUP(C$3,[2]Sheet1!$1:$2,2,FALSE),FALSE))</f>
        <v>0.85695538057742782</v>
      </c>
      <c r="D17" s="25">
        <f>(VLOOKUP($A17,[1]Sheet1!$A:$F,HLOOKUP(D$3,[1]Sheet1!$1:$2,2,FALSE),FALSE))/(VLOOKUP($A17,[2]Sheet1!$A:$F,HLOOKUP(D$3,[2]Sheet1!$1:$2,2,FALSE),FALSE))</f>
        <v>0.85023400936037441</v>
      </c>
      <c r="E17" s="25">
        <f>(VLOOKUP($A17,[1]Sheet1!$A:$F,HLOOKUP(E$3,[1]Sheet1!$1:$2,2,FALSE),FALSE))/(VLOOKUP($A17,[2]Sheet1!$A:$F,HLOOKUP(E$3,[2]Sheet1!$1:$2,2,FALSE),FALSE))</f>
        <v>0.82339449541284404</v>
      </c>
      <c r="F17" s="25">
        <f>(VLOOKUP($A17,[1]Sheet1!$A:$F,HLOOKUP(F$3,[1]Sheet1!$1:$2,2,FALSE),FALSE))/(VLOOKUP($A17,[2]Sheet1!$A:$F,HLOOKUP(F$3,[2]Sheet1!$1:$2,2,FALSE),FALSE))</f>
        <v>0.82370820668693012</v>
      </c>
    </row>
    <row r="18" spans="1:6" ht="15.75" thickBot="1" x14ac:dyDescent="0.3">
      <c r="A18" s="19" t="s">
        <v>12</v>
      </c>
      <c r="B18" s="25">
        <f>(VLOOKUP($A18,[1]Sheet1!$A:$F,HLOOKUP(B$3,[1]Sheet1!$1:$2,2,FALSE),FALSE))/(VLOOKUP($A18,[2]Sheet1!$A:$F,HLOOKUP(B$3,[2]Sheet1!$1:$2,2,FALSE),FALSE))</f>
        <v>0.65116279069767447</v>
      </c>
      <c r="C18" s="25">
        <f>(VLOOKUP($A18,[1]Sheet1!$A:$F,HLOOKUP(C$3,[1]Sheet1!$1:$2,2,FALSE),FALSE))/(VLOOKUP($A18,[2]Sheet1!$A:$F,HLOOKUP(C$3,[2]Sheet1!$1:$2,2,FALSE),FALSE))</f>
        <v>0.63031161473087816</v>
      </c>
      <c r="D18" s="25">
        <f>(VLOOKUP($A18,[1]Sheet1!$A:$F,HLOOKUP(D$3,[1]Sheet1!$1:$2,2,FALSE),FALSE))/(VLOOKUP($A18,[2]Sheet1!$A:$F,HLOOKUP(D$3,[2]Sheet1!$1:$2,2,FALSE),FALSE))</f>
        <v>0.7010891488503429</v>
      </c>
      <c r="E18" s="25">
        <f>(VLOOKUP($A18,[1]Sheet1!$A:$F,HLOOKUP(E$3,[1]Sheet1!$1:$2,2,FALSE),FALSE))/(VLOOKUP($A18,[2]Sheet1!$A:$F,HLOOKUP(E$3,[2]Sheet1!$1:$2,2,FALSE),FALSE))</f>
        <v>0.70298507462686566</v>
      </c>
      <c r="F18" s="25">
        <f>(VLOOKUP($A18,[1]Sheet1!$A:$F,HLOOKUP(F$3,[1]Sheet1!$1:$2,2,FALSE),FALSE))/(VLOOKUP($A18,[2]Sheet1!$A:$F,HLOOKUP(F$3,[2]Sheet1!$1:$2,2,FALSE),FALSE))</f>
        <v>0.70087336244541487</v>
      </c>
    </row>
    <row r="19" spans="1:6" ht="15.75" thickBot="1" x14ac:dyDescent="0.3">
      <c r="A19" s="20" t="s">
        <v>3</v>
      </c>
      <c r="B19" s="25">
        <f>(VLOOKUP($A19,[1]Sheet1!$A:$F,HLOOKUP(B$3,[1]Sheet1!$1:$2,2,FALSE),FALSE))/(VLOOKUP($A19,[2]Sheet1!$A:$F,HLOOKUP(B$3,[2]Sheet1!$1:$2,2,FALSE),FALSE))</f>
        <v>0.86326530612244901</v>
      </c>
      <c r="C19" s="25">
        <f>(VLOOKUP($A19,[1]Sheet1!$A:$F,HLOOKUP(C$3,[1]Sheet1!$1:$2,2,FALSE),FALSE))/(VLOOKUP($A19,[2]Sheet1!$A:$F,HLOOKUP(C$3,[2]Sheet1!$1:$2,2,FALSE),FALSE))</f>
        <v>0.8595505617977528</v>
      </c>
      <c r="D19" s="25">
        <f>(VLOOKUP($A19,[1]Sheet1!$A:$F,HLOOKUP(D$3,[1]Sheet1!$1:$2,2,FALSE),FALSE))/(VLOOKUP($A19,[2]Sheet1!$A:$F,HLOOKUP(D$3,[2]Sheet1!$1:$2,2,FALSE),FALSE))</f>
        <v>0.86461538461538456</v>
      </c>
      <c r="E19" s="25">
        <f>(VLOOKUP($A19,[1]Sheet1!$A:$F,HLOOKUP(E$3,[1]Sheet1!$1:$2,2,FALSE),FALSE))/(VLOOKUP($A19,[2]Sheet1!$A:$F,HLOOKUP(E$3,[2]Sheet1!$1:$2,2,FALSE),FALSE))</f>
        <v>0.88658536585365855</v>
      </c>
      <c r="F19" s="25">
        <f>(VLOOKUP($A19,[1]Sheet1!$A:$F,HLOOKUP(F$3,[1]Sheet1!$1:$2,2,FALSE),FALSE))/(VLOOKUP($A19,[2]Sheet1!$A:$F,HLOOKUP(F$3,[2]Sheet1!$1:$2,2,FALSE),FALSE))</f>
        <v>0.90923317683881066</v>
      </c>
    </row>
    <row r="20" spans="1:6" ht="15.75" thickBot="1" x14ac:dyDescent="0.3">
      <c r="A20" s="2"/>
      <c r="B20" s="13"/>
      <c r="C20" s="13"/>
      <c r="D20" s="13"/>
      <c r="E20" s="15"/>
      <c r="F20" s="13"/>
    </row>
    <row r="21" spans="1:6" ht="26.25" thickBot="1" x14ac:dyDescent="0.3">
      <c r="A21" s="10" t="s">
        <v>13</v>
      </c>
      <c r="B21" s="12" t="str">
        <f>B10</f>
        <v>Retention Rates</v>
      </c>
      <c r="C21" s="27" t="str">
        <f t="shared" ref="C21:F21" si="3">C10</f>
        <v>Retention Rates</v>
      </c>
      <c r="D21" s="27" t="str">
        <f t="shared" si="3"/>
        <v>Retention Rates</v>
      </c>
      <c r="E21" s="27" t="str">
        <f t="shared" si="3"/>
        <v>Retention Rates</v>
      </c>
      <c r="F21" s="27" t="str">
        <f t="shared" si="3"/>
        <v>Retention Rates</v>
      </c>
    </row>
    <row r="22" spans="1:6" ht="15.75" thickBot="1" x14ac:dyDescent="0.3">
      <c r="A22" s="9" t="s">
        <v>14</v>
      </c>
      <c r="B22" s="25">
        <f>(VLOOKUP($A22,[1]Sheet1!$A:$F,HLOOKUP(B$3,[1]Sheet1!$1:$2,2,FALSE),FALSE))/(VLOOKUP($A22,[2]Sheet1!$A:$F,HLOOKUP(B$3,[2]Sheet1!$1:$2,2,FALSE),FALSE))</f>
        <v>0.91580041580041582</v>
      </c>
      <c r="C22" s="25">
        <f>(VLOOKUP($A22,[1]Sheet1!$A:$F,HLOOKUP(C$3,[1]Sheet1!$1:$2,2,FALSE),FALSE))/(VLOOKUP($A22,[2]Sheet1!$A:$F,HLOOKUP(C$3,[2]Sheet1!$1:$2,2,FALSE),FALSE))</f>
        <v>0.91007751937984493</v>
      </c>
      <c r="D22" s="25">
        <f>(VLOOKUP($A22,[1]Sheet1!$A:$F,HLOOKUP(D$3,[1]Sheet1!$1:$2,2,FALSE),FALSE))/(VLOOKUP($A22,[2]Sheet1!$A:$F,HLOOKUP(D$3,[2]Sheet1!$1:$2,2,FALSE),FALSE))</f>
        <v>0.92613009922822487</v>
      </c>
      <c r="E22" s="25">
        <f>(VLOOKUP($A22,[1]Sheet1!$A:$F,HLOOKUP(E$3,[1]Sheet1!$1:$2,2,FALSE),FALSE))/(VLOOKUP($A22,[2]Sheet1!$A:$F,HLOOKUP(E$3,[2]Sheet1!$1:$2,2,FALSE),FALSE))</f>
        <v>0.94811858608893962</v>
      </c>
      <c r="F22" s="25">
        <f>(VLOOKUP($A22,[1]Sheet1!$A:$F,HLOOKUP(F$3,[1]Sheet1!$1:$2,2,FALSE),FALSE))/(VLOOKUP($A22,[2]Sheet1!$A:$F,HLOOKUP(F$3,[2]Sheet1!$1:$2,2,FALSE),FALSE))</f>
        <v>0.95821242019733022</v>
      </c>
    </row>
    <row r="23" spans="1:6" ht="15.75" thickBot="1" x14ac:dyDescent="0.3">
      <c r="A23" s="7" t="s">
        <v>15</v>
      </c>
      <c r="B23" s="25">
        <f>(VLOOKUP($A23,[1]Sheet1!$A:$F,HLOOKUP(B$3,[1]Sheet1!$1:$2,2,FALSE),FALSE))/(VLOOKUP($A23,[2]Sheet1!$A:$F,HLOOKUP(B$3,[2]Sheet1!$1:$2,2,FALSE),FALSE))</f>
        <v>0.85295568933188592</v>
      </c>
      <c r="C23" s="25">
        <f>(VLOOKUP($A23,[1]Sheet1!$A:$F,HLOOKUP(C$3,[1]Sheet1!$1:$2,2,FALSE),FALSE))/(VLOOKUP($A23,[2]Sheet1!$A:$F,HLOOKUP(C$3,[2]Sheet1!$1:$2,2,FALSE),FALSE))</f>
        <v>0.85861807742912966</v>
      </c>
      <c r="D23" s="25">
        <f>(VLOOKUP($A23,[1]Sheet1!$A:$F,HLOOKUP(D$3,[1]Sheet1!$1:$2,2,FALSE),FALSE))/(VLOOKUP($A23,[2]Sheet1!$A:$F,HLOOKUP(D$3,[2]Sheet1!$1:$2,2,FALSE),FALSE))</f>
        <v>0.87209032557420152</v>
      </c>
      <c r="E23" s="25">
        <f>(VLOOKUP($A23,[1]Sheet1!$A:$F,HLOOKUP(E$3,[1]Sheet1!$1:$2,2,FALSE),FALSE))/(VLOOKUP($A23,[2]Sheet1!$A:$F,HLOOKUP(E$3,[2]Sheet1!$1:$2,2,FALSE),FALSE))</f>
        <v>0.88585595758260105</v>
      </c>
      <c r="F23" s="25">
        <f>(VLOOKUP($A23,[1]Sheet1!$A:$F,HLOOKUP(F$3,[1]Sheet1!$1:$2,2,FALSE),FALSE))/(VLOOKUP($A23,[2]Sheet1!$A:$F,HLOOKUP(F$3,[2]Sheet1!$1:$2,2,FALSE),FALSE))</f>
        <v>0.88311544427210287</v>
      </c>
    </row>
    <row r="24" spans="1:6" ht="15.75" thickBot="1" x14ac:dyDescent="0.3">
      <c r="A24" s="8" t="s">
        <v>16</v>
      </c>
      <c r="B24" s="25">
        <f>(VLOOKUP($A24,[1]Sheet1!$A:$F,HLOOKUP(B$3,[1]Sheet1!$1:$2,2,FALSE),FALSE))/(VLOOKUP($A24,[2]Sheet1!$A:$F,HLOOKUP(B$3,[2]Sheet1!$1:$2,2,FALSE),FALSE))</f>
        <v>0.83762817654926436</v>
      </c>
      <c r="C24" s="25">
        <f>(VLOOKUP($A24,[1]Sheet1!$A:$F,HLOOKUP(C$3,[1]Sheet1!$1:$2,2,FALSE),FALSE))/(VLOOKUP($A24,[2]Sheet1!$A:$F,HLOOKUP(C$3,[2]Sheet1!$1:$2,2,FALSE),FALSE))</f>
        <v>0.84103470316201079</v>
      </c>
      <c r="D24" s="25">
        <f>(VLOOKUP($A24,[1]Sheet1!$A:$F,HLOOKUP(D$3,[1]Sheet1!$1:$2,2,FALSE),FALSE))/(VLOOKUP($A24,[2]Sheet1!$A:$F,HLOOKUP(D$3,[2]Sheet1!$1:$2,2,FALSE),FALSE))</f>
        <v>0.84118190212373034</v>
      </c>
      <c r="E24" s="25">
        <f>(VLOOKUP($A24,[1]Sheet1!$A:$F,HLOOKUP(E$3,[1]Sheet1!$1:$2,2,FALSE),FALSE))/(VLOOKUP($A24,[2]Sheet1!$A:$F,HLOOKUP(E$3,[2]Sheet1!$1:$2,2,FALSE),FALSE))</f>
        <v>0.84609472220188864</v>
      </c>
      <c r="F24" s="25">
        <f>(VLOOKUP($A24,[1]Sheet1!$A:$F,HLOOKUP(F$3,[1]Sheet1!$1:$2,2,FALSE),FALSE))/(VLOOKUP($A24,[2]Sheet1!$A:$F,HLOOKUP(F$3,[2]Sheet1!$1:$2,2,FALSE),FALSE))</f>
        <v>0.84017034906999599</v>
      </c>
    </row>
    <row r="25" spans="1:6" ht="15.75" thickBot="1" x14ac:dyDescent="0.3">
      <c r="A25" s="8" t="s">
        <v>17</v>
      </c>
      <c r="B25" s="25">
        <f>(VLOOKUP($A25,[1]Sheet1!$A:$F,HLOOKUP(B$3,[1]Sheet1!$1:$2,2,FALSE),FALSE))/(VLOOKUP($A25,[2]Sheet1!$A:$F,HLOOKUP(B$3,[2]Sheet1!$1:$2,2,FALSE),FALSE))</f>
        <v>0.83900579014263521</v>
      </c>
      <c r="C25" s="25">
        <f>(VLOOKUP($A25,[1]Sheet1!$A:$F,HLOOKUP(C$3,[1]Sheet1!$1:$2,2,FALSE),FALSE))/(VLOOKUP($A25,[2]Sheet1!$A:$F,HLOOKUP(C$3,[2]Sheet1!$1:$2,2,FALSE),FALSE))</f>
        <v>0.84447144592952617</v>
      </c>
      <c r="D25" s="25">
        <f>(VLOOKUP($A25,[1]Sheet1!$A:$F,HLOOKUP(D$3,[1]Sheet1!$1:$2,2,FALSE),FALSE))/(VLOOKUP($A25,[2]Sheet1!$A:$F,HLOOKUP(D$3,[2]Sheet1!$1:$2,2,FALSE),FALSE))</f>
        <v>0.84795514511873349</v>
      </c>
      <c r="E25" s="25">
        <f>(VLOOKUP($A25,[1]Sheet1!$A:$F,HLOOKUP(E$3,[1]Sheet1!$1:$2,2,FALSE),FALSE))/(VLOOKUP($A25,[2]Sheet1!$A:$F,HLOOKUP(E$3,[2]Sheet1!$1:$2,2,FALSE),FALSE))</f>
        <v>0.85676726108824874</v>
      </c>
      <c r="F25" s="25">
        <f>(VLOOKUP($A25,[1]Sheet1!$A:$F,HLOOKUP(F$3,[1]Sheet1!$1:$2,2,FALSE),FALSE))/(VLOOKUP($A25,[2]Sheet1!$A:$F,HLOOKUP(F$3,[2]Sheet1!$1:$2,2,FALSE),FALSE))</f>
        <v>0.84039930983485334</v>
      </c>
    </row>
    <row r="26" spans="1:6" ht="15.75" thickBot="1" x14ac:dyDescent="0.3">
      <c r="A26" s="8" t="s">
        <v>18</v>
      </c>
      <c r="B26" s="25">
        <f>(VLOOKUP($A26,[1]Sheet1!$A:$F,HLOOKUP(B$3,[1]Sheet1!$1:$2,2,FALSE),FALSE))/(VLOOKUP($A26,[2]Sheet1!$A:$F,HLOOKUP(B$3,[2]Sheet1!$1:$2,2,FALSE),FALSE))</f>
        <v>0.85203958484190201</v>
      </c>
      <c r="C26" s="25">
        <f>(VLOOKUP($A26,[1]Sheet1!$A:$F,HLOOKUP(C$3,[1]Sheet1!$1:$2,2,FALSE),FALSE))/(VLOOKUP($A26,[2]Sheet1!$A:$F,HLOOKUP(C$3,[2]Sheet1!$1:$2,2,FALSE),FALSE))</f>
        <v>0.86735096723253058</v>
      </c>
      <c r="D26" s="25">
        <f>(VLOOKUP($A26,[1]Sheet1!$A:$F,HLOOKUP(D$3,[1]Sheet1!$1:$2,2,FALSE),FALSE))/(VLOOKUP($A26,[2]Sheet1!$A:$F,HLOOKUP(D$3,[2]Sheet1!$1:$2,2,FALSE),FALSE))</f>
        <v>0.85007440476190477</v>
      </c>
      <c r="E26" s="25">
        <f>(VLOOKUP($A26,[1]Sheet1!$A:$F,HLOOKUP(E$3,[1]Sheet1!$1:$2,2,FALSE),FALSE))/(VLOOKUP($A26,[2]Sheet1!$A:$F,HLOOKUP(E$3,[2]Sheet1!$1:$2,2,FALSE),FALSE))</f>
        <v>0.86345053147996731</v>
      </c>
      <c r="F26" s="25">
        <f>(VLOOKUP($A26,[1]Sheet1!$A:$F,HLOOKUP(F$3,[1]Sheet1!$1:$2,2,FALSE),FALSE))/(VLOOKUP($A26,[2]Sheet1!$A:$F,HLOOKUP(F$3,[2]Sheet1!$1:$2,2,FALSE),FALSE))</f>
        <v>0.85324532453245328</v>
      </c>
    </row>
    <row r="27" spans="1:6" ht="15.75" thickBot="1" x14ac:dyDescent="0.3">
      <c r="A27" s="8" t="s">
        <v>19</v>
      </c>
      <c r="B27" s="25">
        <f>(VLOOKUP($A27,[1]Sheet1!$A:$F,HLOOKUP(B$3,[1]Sheet1!$1:$2,2,FALSE),FALSE))/(VLOOKUP($A27,[2]Sheet1!$A:$F,HLOOKUP(B$3,[2]Sheet1!$1:$2,2,FALSE),FALSE))</f>
        <v>0.85830466061933064</v>
      </c>
      <c r="C27" s="25">
        <f>(VLOOKUP($A27,[1]Sheet1!$A:$F,HLOOKUP(C$3,[1]Sheet1!$1:$2,2,FALSE),FALSE))/(VLOOKUP($A27,[2]Sheet1!$A:$F,HLOOKUP(C$3,[2]Sheet1!$1:$2,2,FALSE),FALSE))</f>
        <v>0.86004630820684336</v>
      </c>
      <c r="D27" s="25">
        <f>(VLOOKUP($A27,[1]Sheet1!$A:$F,HLOOKUP(D$3,[1]Sheet1!$1:$2,2,FALSE),FALSE))/(VLOOKUP($A27,[2]Sheet1!$A:$F,HLOOKUP(D$3,[2]Sheet1!$1:$2,2,FALSE),FALSE))</f>
        <v>0.86071428571428577</v>
      </c>
      <c r="E27" s="25">
        <f>(VLOOKUP($A27,[1]Sheet1!$A:$F,HLOOKUP(E$3,[1]Sheet1!$1:$2,2,FALSE),FALSE))/(VLOOKUP($A27,[2]Sheet1!$A:$F,HLOOKUP(E$3,[2]Sheet1!$1:$2,2,FALSE),FALSE))</f>
        <v>0.87221033323142771</v>
      </c>
      <c r="F27" s="25">
        <f>(VLOOKUP($A27,[1]Sheet1!$A:$F,HLOOKUP(F$3,[1]Sheet1!$1:$2,2,FALSE),FALSE))/(VLOOKUP($A27,[2]Sheet1!$A:$F,HLOOKUP(F$3,[2]Sheet1!$1:$2,2,FALSE),FALSE))</f>
        <v>0.8507511430437622</v>
      </c>
    </row>
    <row r="28" spans="1:6" ht="15.75" thickBot="1" x14ac:dyDescent="0.3">
      <c r="A28" s="6" t="s">
        <v>20</v>
      </c>
      <c r="B28" s="25">
        <f>(VLOOKUP($A28,[1]Sheet1!$A:$F,HLOOKUP(B$3,[1]Sheet1!$1:$2,2,FALSE),FALSE))/(VLOOKUP($A28,[2]Sheet1!$A:$F,HLOOKUP(B$3,[2]Sheet1!$1:$2,2,FALSE),FALSE))</f>
        <v>0.87604546429337338</v>
      </c>
      <c r="C28" s="25">
        <f>(VLOOKUP($A28,[1]Sheet1!$A:$F,HLOOKUP(C$3,[1]Sheet1!$1:$2,2,FALSE),FALSE))/(VLOOKUP($A28,[2]Sheet1!$A:$F,HLOOKUP(C$3,[2]Sheet1!$1:$2,2,FALSE),FALSE))</f>
        <v>0.88399850801939572</v>
      </c>
      <c r="D28" s="25">
        <f>(VLOOKUP($A28,[1]Sheet1!$A:$F,HLOOKUP(D$3,[1]Sheet1!$1:$2,2,FALSE),FALSE))/(VLOOKUP($A28,[2]Sheet1!$A:$F,HLOOKUP(D$3,[2]Sheet1!$1:$2,2,FALSE),FALSE))</f>
        <v>0.86216450216450213</v>
      </c>
      <c r="E28" s="25">
        <f>(VLOOKUP($A28,[1]Sheet1!$A:$F,HLOOKUP(E$3,[1]Sheet1!$1:$2,2,FALSE),FALSE))/(VLOOKUP($A28,[2]Sheet1!$A:$F,HLOOKUP(E$3,[2]Sheet1!$1:$2,2,FALSE),FALSE))</f>
        <v>0.87098668754894282</v>
      </c>
      <c r="F28" s="25">
        <f>(VLOOKUP($A28,[1]Sheet1!$A:$F,HLOOKUP(F$3,[1]Sheet1!$1:$2,2,FALSE),FALSE))/(VLOOKUP($A28,[2]Sheet1!$A:$F,HLOOKUP(F$3,[2]Sheet1!$1:$2,2,FALSE),FALSE))</f>
        <v>0.87093102663328026</v>
      </c>
    </row>
    <row r="29" spans="1:6" ht="15.75" thickBot="1" x14ac:dyDescent="0.3">
      <c r="A29" s="6" t="s">
        <v>22</v>
      </c>
      <c r="B29" s="25">
        <f>(VLOOKUP($A29,[1]Sheet1!$A:$F,HLOOKUP(B$3,[1]Sheet1!$1:$2,2,FALSE),FALSE))/(VLOOKUP($A29,[2]Sheet1!$A:$F,HLOOKUP(B$3,[2]Sheet1!$1:$2,2,FALSE),FALSE))</f>
        <v>0.858008658008658</v>
      </c>
      <c r="C29" s="25">
        <f>(VLOOKUP($A29,[1]Sheet1!$A:$F,HLOOKUP(C$3,[1]Sheet1!$1:$2,2,FALSE),FALSE))/(VLOOKUP($A29,[2]Sheet1!$A:$F,HLOOKUP(C$3,[2]Sheet1!$1:$2,2,FALSE),FALSE))</f>
        <v>0.86754221388367725</v>
      </c>
      <c r="D29" s="25">
        <f>(VLOOKUP($A29,[1]Sheet1!$A:$F,HLOOKUP(D$3,[1]Sheet1!$1:$2,2,FALSE),FALSE))/(VLOOKUP($A29,[2]Sheet1!$A:$F,HLOOKUP(D$3,[2]Sheet1!$1:$2,2,FALSE),FALSE))</f>
        <v>0.86943005181347155</v>
      </c>
      <c r="E29" s="25">
        <f>(VLOOKUP($A29,[1]Sheet1!$A:$F,HLOOKUP(E$3,[1]Sheet1!$1:$2,2,FALSE),FALSE))/(VLOOKUP($A29,[2]Sheet1!$A:$F,HLOOKUP(E$3,[2]Sheet1!$1:$2,2,FALSE),FALSE))</f>
        <v>0.88633663366336635</v>
      </c>
      <c r="F29" s="25">
        <f>(VLOOKUP($A29,[1]Sheet1!$A:$F,HLOOKUP(F$3,[1]Sheet1!$1:$2,2,FALSE),FALSE))/(VLOOKUP($A29,[2]Sheet1!$A:$F,HLOOKUP(F$3,[2]Sheet1!$1:$2,2,FALSE),FALSE))</f>
        <v>0.87249693502247649</v>
      </c>
    </row>
    <row r="30" spans="1:6" ht="15.75" thickBot="1" x14ac:dyDescent="0.3">
      <c r="A30" s="20" t="s">
        <v>3</v>
      </c>
      <c r="B30" s="25">
        <f>(VLOOKUP($A30,[1]Sheet1!$A:$F,HLOOKUP(B$3,[1]Sheet1!$1:$2,2,FALSE),FALSE))/(VLOOKUP($A30,[2]Sheet1!$A:$F,HLOOKUP(B$3,[2]Sheet1!$1:$2,2,FALSE),FALSE))</f>
        <v>0.86326530612244901</v>
      </c>
      <c r="C30" s="25">
        <f>(VLOOKUP($A30,[1]Sheet1!$A:$F,HLOOKUP(C$3,[1]Sheet1!$1:$2,2,FALSE),FALSE))/(VLOOKUP($A30,[2]Sheet1!$A:$F,HLOOKUP(C$3,[2]Sheet1!$1:$2,2,FALSE),FALSE))</f>
        <v>0.8595505617977528</v>
      </c>
      <c r="D30" s="25">
        <f>(VLOOKUP($A30,[1]Sheet1!$A:$F,HLOOKUP(D$3,[1]Sheet1!$1:$2,2,FALSE),FALSE))/(VLOOKUP($A30,[2]Sheet1!$A:$F,HLOOKUP(D$3,[2]Sheet1!$1:$2,2,FALSE),FALSE))</f>
        <v>0.86461538461538456</v>
      </c>
      <c r="E30" s="25">
        <f>(VLOOKUP($A30,[1]Sheet1!$A:$F,HLOOKUP(E$3,[1]Sheet1!$1:$2,2,FALSE),FALSE))/(VLOOKUP($A30,[2]Sheet1!$A:$F,HLOOKUP(E$3,[2]Sheet1!$1:$2,2,FALSE),FALSE))</f>
        <v>0.88658536585365855</v>
      </c>
      <c r="F30" s="25">
        <f>(VLOOKUP($A30,[1]Sheet1!$A:$F,HLOOKUP(F$3,[1]Sheet1!$1:$2,2,FALSE),FALSE))/(VLOOKUP($A30,[2]Sheet1!$A:$F,HLOOKUP(F$3,[2]Sheet1!$1:$2,2,FALSE),FALSE))</f>
        <v>0.90923317683881066</v>
      </c>
    </row>
    <row r="31" spans="1:6" x14ac:dyDescent="0.25">
      <c r="A31" s="2"/>
      <c r="B31" s="14"/>
      <c r="C31" s="14"/>
      <c r="D31" s="14"/>
      <c r="E31" s="14"/>
      <c r="F31" s="14"/>
    </row>
    <row r="32" spans="1:6" x14ac:dyDescent="0.25">
      <c r="A32" t="s">
        <v>30</v>
      </c>
    </row>
  </sheetData>
  <mergeCells count="2">
    <mergeCell ref="A1:A2"/>
    <mergeCell ref="B1:F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8665BDB43CF6B4DBB85953614CBCAB6" ma:contentTypeVersion="1" ma:contentTypeDescription="Create a new document." ma:contentTypeScope="" ma:versionID="4b76de966b4f8d8e3e72041832bfd9df">
  <xsd:schema xmlns:xsd="http://www.w3.org/2001/XMLSchema" xmlns:xs="http://www.w3.org/2001/XMLSchema" xmlns:p="http://schemas.microsoft.com/office/2006/metadata/properties" xmlns:ns1="http://schemas.microsoft.com/sharepoint/v3" targetNamespace="http://schemas.microsoft.com/office/2006/metadata/properties" ma:root="true" ma:fieldsID="6f9746fe128b0ca74698fd9d7c13d39e" ns1:_="">
    <xsd:import namespace="http://schemas.microsoft.com/sharepoint/v3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8" nillable="true" ma:displayName="Scheduling Start Date" ma:internalName="PublishingStartDate">
      <xsd:simpleType>
        <xsd:restriction base="dms:Unknown"/>
      </xsd:simpleType>
    </xsd:element>
    <xsd:element name="PublishingExpirationDate" ma:index="9" nillable="true" ma:displayName="Scheduling End Date" ma:internalName="PublishingExpirationDat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ublishingExpirationDate xmlns="http://schemas.microsoft.com/sharepoint/v3" xsi:nil="true"/>
    <PublishingStartDate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B05BDF36-0AD2-418B-8791-80E96C7C9A9D}"/>
</file>

<file path=customXml/itemProps2.xml><?xml version="1.0" encoding="utf-8"?>
<ds:datastoreItem xmlns:ds="http://schemas.openxmlformats.org/officeDocument/2006/customXml" ds:itemID="{F36DB695-0FAF-4828-A0DB-207CE96F7DF9}"/>
</file>

<file path=customXml/itemProps3.xml><?xml version="1.0" encoding="utf-8"?>
<ds:datastoreItem xmlns:ds="http://schemas.openxmlformats.org/officeDocument/2006/customXml" ds:itemID="{9D4AC940-A658-4EEE-9A44-03B99649618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Mt. San Jacinto College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nmesaris</dc:creator>
  <cp:lastModifiedBy>nmesaris</cp:lastModifiedBy>
  <dcterms:created xsi:type="dcterms:W3CDTF">2012-06-05T22:10:59Z</dcterms:created>
  <dcterms:modified xsi:type="dcterms:W3CDTF">2012-12-04T16:30:28Z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0x010100C8665BDB43CF6B4DBB85953614CBCAB6</vt:lpwstr>
  </property>
</Properties>
</file>