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360" yWindow="345" windowWidth="18795" windowHeight="11700"/>
  </bookViews>
  <sheets>
    <sheet name="Budget Template" sheetId="11" r:id="rId1"/>
    <sheet name="Summary linked to Detailed Budg" sheetId="10" r:id="rId2"/>
    <sheet name="Travel Calculations" sheetId="9" r:id="rId3"/>
  </sheets>
  <definedNames>
    <definedName name="_xlnm.Print_Area" localSheetId="0">'Budget Template'!$A$1:$N$89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32" i="11"/>
  <c r="E32"/>
  <c r="D32"/>
  <c r="I64" l="1"/>
  <c r="F70" l="1"/>
  <c r="E73"/>
  <c r="E70"/>
  <c r="D47"/>
  <c r="E47"/>
  <c r="F47"/>
  <c r="G47"/>
  <c r="H47"/>
  <c r="H70"/>
  <c r="G70"/>
  <c r="G14"/>
  <c r="D17"/>
  <c r="E28" l="1"/>
  <c r="F28"/>
  <c r="G28"/>
  <c r="H28"/>
  <c r="D28"/>
  <c r="E25"/>
  <c r="F25"/>
  <c r="G25"/>
  <c r="H25"/>
  <c r="D25"/>
  <c r="E22"/>
  <c r="F22"/>
  <c r="G22"/>
  <c r="H22"/>
  <c r="G19"/>
  <c r="H19"/>
  <c r="F19"/>
  <c r="E80" l="1"/>
  <c r="F80"/>
  <c r="G80"/>
  <c r="H80"/>
  <c r="D80"/>
  <c r="D35"/>
  <c r="E35" l="1"/>
  <c r="F35" s="1"/>
  <c r="G35" s="1"/>
  <c r="H35" s="1"/>
  <c r="D29"/>
  <c r="D30" s="1"/>
  <c r="I35" l="1"/>
  <c r="I63"/>
  <c r="I65"/>
  <c r="I62"/>
  <c r="E29" l="1"/>
  <c r="F29" s="1"/>
  <c r="G29" s="1"/>
  <c r="H29" s="1"/>
  <c r="D26"/>
  <c r="C30"/>
  <c r="C27"/>
  <c r="C24"/>
  <c r="C21"/>
  <c r="C18"/>
  <c r="D23"/>
  <c r="E23" s="1"/>
  <c r="D22"/>
  <c r="D20"/>
  <c r="E20" s="1"/>
  <c r="D19"/>
  <c r="E16"/>
  <c r="H16"/>
  <c r="D16"/>
  <c r="D66"/>
  <c r="I50"/>
  <c r="I51"/>
  <c r="E52"/>
  <c r="F52"/>
  <c r="G52"/>
  <c r="H52"/>
  <c r="D52"/>
  <c r="D21" l="1"/>
  <c r="F23"/>
  <c r="E24"/>
  <c r="E30"/>
  <c r="D18"/>
  <c r="E26"/>
  <c r="C4" i="10"/>
  <c r="D4"/>
  <c r="E4"/>
  <c r="F4"/>
  <c r="B4"/>
  <c r="D38" i="11"/>
  <c r="D36"/>
  <c r="D37"/>
  <c r="E36" l="1"/>
  <c r="F36" s="1"/>
  <c r="G36" s="1"/>
  <c r="H36" s="1"/>
  <c r="E37"/>
  <c r="F37" s="1"/>
  <c r="G37" s="1"/>
  <c r="H37" s="1"/>
  <c r="E38"/>
  <c r="F38" s="1"/>
  <c r="G38" s="1"/>
  <c r="H38" s="1"/>
  <c r="F24"/>
  <c r="G23"/>
  <c r="F26"/>
  <c r="E27"/>
  <c r="F30"/>
  <c r="D39"/>
  <c r="D87" s="1"/>
  <c r="I38" l="1"/>
  <c r="I37"/>
  <c r="I36"/>
  <c r="G24"/>
  <c r="H23"/>
  <c r="H24" s="1"/>
  <c r="G26"/>
  <c r="F27"/>
  <c r="G30"/>
  <c r="I23" l="1"/>
  <c r="H26"/>
  <c r="H27" s="1"/>
  <c r="G27"/>
  <c r="I26"/>
  <c r="H30"/>
  <c r="I29"/>
  <c r="I79"/>
  <c r="I78"/>
  <c r="C8" i="10"/>
  <c r="D8"/>
  <c r="E8"/>
  <c r="F8"/>
  <c r="B8"/>
  <c r="I72" i="11"/>
  <c r="F73"/>
  <c r="G73"/>
  <c r="H73"/>
  <c r="D73"/>
  <c r="I58"/>
  <c r="E66"/>
  <c r="F20"/>
  <c r="G20" s="1"/>
  <c r="D70"/>
  <c r="D75" s="1"/>
  <c r="I69"/>
  <c r="D59"/>
  <c r="B6" i="10" s="1"/>
  <c r="I57" i="11"/>
  <c r="E59"/>
  <c r="C6" i="10" s="1"/>
  <c r="I55" i="11"/>
  <c r="B5" i="10"/>
  <c r="F5"/>
  <c r="E5"/>
  <c r="D5"/>
  <c r="A28" i="11"/>
  <c r="E17"/>
  <c r="E18" s="1"/>
  <c r="A16"/>
  <c r="H14"/>
  <c r="F14"/>
  <c r="E14"/>
  <c r="F16"/>
  <c r="I73" l="1"/>
  <c r="F21"/>
  <c r="E19"/>
  <c r="E21" s="1"/>
  <c r="E75"/>
  <c r="C7" i="10" s="1"/>
  <c r="G16" i="11"/>
  <c r="D24"/>
  <c r="D27"/>
  <c r="B7" i="10"/>
  <c r="F17" i="11"/>
  <c r="I46"/>
  <c r="I80"/>
  <c r="G8" i="10" s="1"/>
  <c r="F59" i="11"/>
  <c r="D6" i="10" s="1"/>
  <c r="F66" i="11"/>
  <c r="H59"/>
  <c r="G59"/>
  <c r="I56"/>
  <c r="E6" i="10" l="1"/>
  <c r="F6"/>
  <c r="G21" i="11"/>
  <c r="H20"/>
  <c r="H21" s="1"/>
  <c r="I20"/>
  <c r="F18"/>
  <c r="G17"/>
  <c r="G18" s="1"/>
  <c r="I47"/>
  <c r="G5" i="10" s="1"/>
  <c r="C5"/>
  <c r="I59" i="11"/>
  <c r="G6" i="10" s="1"/>
  <c r="G66" i="11"/>
  <c r="G75" s="1"/>
  <c r="F75"/>
  <c r="D7" i="10" s="1"/>
  <c r="F39" i="11"/>
  <c r="E39"/>
  <c r="I28"/>
  <c r="I30" s="1"/>
  <c r="B2" i="10" l="1"/>
  <c r="D42" i="11"/>
  <c r="D43" s="1"/>
  <c r="D82" s="1"/>
  <c r="H39"/>
  <c r="E87"/>
  <c r="E83" s="1"/>
  <c r="I25"/>
  <c r="I27" s="1"/>
  <c r="E7" i="10"/>
  <c r="H17" i="11"/>
  <c r="H18" s="1"/>
  <c r="H32" s="1"/>
  <c r="H66"/>
  <c r="I52"/>
  <c r="G4" i="10" s="1"/>
  <c r="I70" i="11"/>
  <c r="G39"/>
  <c r="I68"/>
  <c r="D83" l="1"/>
  <c r="B10" i="10" s="1"/>
  <c r="H75" i="11"/>
  <c r="F7" i="10" s="1"/>
  <c r="H42" i="11"/>
  <c r="H43" s="1"/>
  <c r="H87"/>
  <c r="H83" s="1"/>
  <c r="C10" i="10"/>
  <c r="E42" i="11"/>
  <c r="F87"/>
  <c r="F83" s="1"/>
  <c r="C2" i="10"/>
  <c r="G32" i="11"/>
  <c r="I19"/>
  <c r="I21" s="1"/>
  <c r="I66"/>
  <c r="I17"/>
  <c r="B3" i="10"/>
  <c r="I39" i="11"/>
  <c r="I16"/>
  <c r="G42" l="1"/>
  <c r="G43" s="1"/>
  <c r="E43"/>
  <c r="E82" s="1"/>
  <c r="C9" i="10" s="1"/>
  <c r="H82" i="11"/>
  <c r="I75"/>
  <c r="G7" i="10" s="1"/>
  <c r="G87" i="11"/>
  <c r="D10" i="10"/>
  <c r="F42" i="11"/>
  <c r="I18"/>
  <c r="D2" i="10"/>
  <c r="I22" i="11"/>
  <c r="I24" s="1"/>
  <c r="E2" i="10"/>
  <c r="D84" i="11"/>
  <c r="B9" i="10"/>
  <c r="G82" i="11" l="1"/>
  <c r="E9" i="10" s="1"/>
  <c r="C3"/>
  <c r="F43" i="11"/>
  <c r="F82" s="1"/>
  <c r="E84"/>
  <c r="I32"/>
  <c r="G2" i="10" s="1"/>
  <c r="G83" i="11"/>
  <c r="E10" i="10" s="1"/>
  <c r="F3"/>
  <c r="F9"/>
  <c r="F2"/>
  <c r="I42" i="11"/>
  <c r="E3" i="10"/>
  <c r="F84" i="11" l="1"/>
  <c r="D9" i="10"/>
  <c r="I43" i="11"/>
  <c r="G3" i="10" s="1"/>
  <c r="D3"/>
  <c r="G84" i="11"/>
  <c r="I87"/>
  <c r="I82"/>
  <c r="G9" i="10" s="1"/>
  <c r="F10"/>
  <c r="H84" i="11"/>
  <c r="I83"/>
  <c r="G10" i="10" s="1"/>
  <c r="E44" i="9"/>
  <c r="E43"/>
  <c r="E42"/>
  <c r="E41"/>
  <c r="E40"/>
  <c r="E39"/>
  <c r="E45" s="1"/>
  <c r="E38"/>
  <c r="E33"/>
  <c r="E32"/>
  <c r="E31"/>
  <c r="E30"/>
  <c r="E29"/>
  <c r="E28"/>
  <c r="E27"/>
  <c r="E34" s="1"/>
  <c r="E22"/>
  <c r="E21"/>
  <c r="E20"/>
  <c r="E19"/>
  <c r="E18"/>
  <c r="E17"/>
  <c r="E16"/>
  <c r="E23" s="1"/>
  <c r="E6"/>
  <c r="E7"/>
  <c r="E8"/>
  <c r="E9"/>
  <c r="E10"/>
  <c r="E11"/>
  <c r="E5"/>
  <c r="I84" i="11" l="1"/>
  <c r="E12" i="9"/>
  <c r="F11" i="10" l="1"/>
  <c r="E11" l="1"/>
  <c r="B11" l="1"/>
  <c r="C11" l="1"/>
  <c r="I9"/>
  <c r="D11" l="1"/>
  <c r="G11" s="1"/>
  <c r="I11"/>
</calcChain>
</file>

<file path=xl/sharedStrings.xml><?xml version="1.0" encoding="utf-8"?>
<sst xmlns="http://schemas.openxmlformats.org/spreadsheetml/2006/main" count="179" uniqueCount="114">
  <si>
    <t>Travel</t>
  </si>
  <si>
    <t>Other</t>
  </si>
  <si>
    <t>Total Direct Costs</t>
  </si>
  <si>
    <t>Year 1</t>
  </si>
  <si>
    <t>Total Key Personnel (Salary)</t>
  </si>
  <si>
    <t>Total Key Personnel (Fringe)</t>
  </si>
  <si>
    <t>Total Travel</t>
  </si>
  <si>
    <t>Domestic Travel</t>
  </si>
  <si>
    <t>Total Equipment</t>
  </si>
  <si>
    <t>Registration</t>
  </si>
  <si>
    <t>Airfare</t>
  </si>
  <si>
    <t>Total Student Wages</t>
  </si>
  <si>
    <t>Key Personnel (30.6%)</t>
  </si>
  <si>
    <t>Per Diem</t>
  </si>
  <si>
    <t>Total</t>
  </si>
  <si>
    <t>Hotel</t>
  </si>
  <si>
    <t>Mileage</t>
  </si>
  <si>
    <t>Rental Car</t>
  </si>
  <si>
    <t>Fringe</t>
  </si>
  <si>
    <t>Equipment</t>
  </si>
  <si>
    <t>Year 2</t>
  </si>
  <si>
    <t>Year 3</t>
  </si>
  <si>
    <t>Rates</t>
  </si>
  <si>
    <t>Units</t>
  </si>
  <si>
    <t># Travellers</t>
  </si>
  <si>
    <t xml:space="preserve"> (days/miles)</t>
  </si>
  <si>
    <t>TRIP #1</t>
  </si>
  <si>
    <t>TRIP #2</t>
  </si>
  <si>
    <t>TRIP #3</t>
  </si>
  <si>
    <t>TRIP #4</t>
  </si>
  <si>
    <t>Year 4</t>
  </si>
  <si>
    <t>Year 5</t>
  </si>
  <si>
    <t>Personnel (Salaries and Student Wages)</t>
  </si>
  <si>
    <t>CATEGORY</t>
  </si>
  <si>
    <t>Subawards</t>
  </si>
  <si>
    <t>Cross-check</t>
  </si>
  <si>
    <t>Indirect Costs</t>
  </si>
  <si>
    <t>TOTAL COST</t>
  </si>
  <si>
    <t>Y2</t>
  </si>
  <si>
    <t>Y3</t>
  </si>
  <si>
    <t>Y4</t>
  </si>
  <si>
    <t>Y5</t>
  </si>
  <si>
    <t>Summer FTE</t>
  </si>
  <si>
    <t># Years</t>
  </si>
  <si>
    <t>PI/PD</t>
  </si>
  <si>
    <t>Co-PI</t>
  </si>
  <si>
    <t>Research Assistant</t>
  </si>
  <si>
    <t>Summer</t>
  </si>
  <si>
    <t>Title of Project</t>
  </si>
  <si>
    <t>starting date-ending date</t>
  </si>
  <si>
    <t xml:space="preserve">Co-PI Name </t>
  </si>
  <si>
    <t>PI Name</t>
  </si>
  <si>
    <t>Total Participant Support</t>
  </si>
  <si>
    <t>C. Fringe Benefits</t>
  </si>
  <si>
    <t>D. Equipment</t>
  </si>
  <si>
    <t>E. Travel</t>
  </si>
  <si>
    <t>G. Other Direct Cost</t>
  </si>
  <si>
    <t>I. Total Direct Costs</t>
  </si>
  <si>
    <t>K. Total Costs</t>
  </si>
  <si>
    <t>Y1</t>
  </si>
  <si>
    <t>Participant Support</t>
  </si>
  <si>
    <t>Other Direct Cost</t>
  </si>
  <si>
    <t>Subtotal</t>
  </si>
  <si>
    <t>Role/Title</t>
  </si>
  <si>
    <t>Name</t>
  </si>
  <si>
    <t>Cost of Living Adjustment (COLA)'</t>
  </si>
  <si>
    <t>AY/ACAD</t>
  </si>
  <si>
    <t>Foreign Travel</t>
  </si>
  <si>
    <t>F. Participant Support</t>
  </si>
  <si>
    <t>Materials/Supplies</t>
  </si>
  <si>
    <t>Total Other Direct Cost</t>
  </si>
  <si>
    <t>Subtotal Consultants</t>
  </si>
  <si>
    <t>B. Student Wages</t>
  </si>
  <si>
    <t>Faculty Name</t>
  </si>
  <si>
    <t>Staff Name</t>
  </si>
  <si>
    <t xml:space="preserve">Summer Effort </t>
  </si>
  <si>
    <t>#Months</t>
  </si>
  <si>
    <t>Participant/Student Stipends</t>
  </si>
  <si>
    <t>Participant/Student Travel</t>
  </si>
  <si>
    <t>Subsistence</t>
  </si>
  <si>
    <t>Publication and Documentation</t>
  </si>
  <si>
    <t>Institutional Base Salary</t>
  </si>
  <si>
    <t>AY or ACAD % FTE (Course Release)*</t>
  </si>
  <si>
    <t>Subtotal Supplies/Other</t>
  </si>
  <si>
    <t>Hrs/Wk</t>
  </si>
  <si>
    <t>#Wks</t>
  </si>
  <si>
    <t>H. Sub-Award</t>
  </si>
  <si>
    <t>*Note: One academic course release is equivalent to 14.29% FTE or 1/7 of faculty time</t>
  </si>
  <si>
    <t>Total Sub-Awards</t>
  </si>
  <si>
    <t xml:space="preserve">Level 1 </t>
  </si>
  <si>
    <t xml:space="preserve">Level 2 </t>
  </si>
  <si>
    <t xml:space="preserve">Level 3 </t>
  </si>
  <si>
    <t xml:space="preserve">Level 4 </t>
  </si>
  <si>
    <t>Students Level 1</t>
  </si>
  <si>
    <t>Students Level 2</t>
  </si>
  <si>
    <t>Students Level 3</t>
  </si>
  <si>
    <t>Students Level 4</t>
  </si>
  <si>
    <t>Key Personnel</t>
  </si>
  <si>
    <t>Level</t>
  </si>
  <si>
    <t>Rate/Hr</t>
  </si>
  <si>
    <t>#Students</t>
  </si>
  <si>
    <t>J. Total Indirect Costs (IDC)**</t>
  </si>
  <si>
    <t>Consultant 2</t>
  </si>
  <si>
    <t>Consultant 1</t>
  </si>
  <si>
    <t>Sub-Award 1</t>
  </si>
  <si>
    <t>Sub-Award 2</t>
  </si>
  <si>
    <t>Computer Services</t>
  </si>
  <si>
    <t>Subtotal Computer Services</t>
  </si>
  <si>
    <t>A. Key Personnel Salaries</t>
  </si>
  <si>
    <t>Indirect Cost Base (salary and wages only)</t>
  </si>
  <si>
    <t>**Seattle University's federally negotiated indirect cost rate is 48.5% of salaries and wages only.</t>
  </si>
  <si>
    <t>job details that match each wage level</t>
  </si>
  <si>
    <t>Student Wages*</t>
  </si>
  <si>
    <t xml:space="preserve">*Consult Student Financial Services for the 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</si>
</sst>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_);_(&quot;$&quot;* \(#,##0.00\);_(&quot;$&quot;* &quot;-&quot;_);_(@_)"/>
    <numFmt numFmtId="166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b/>
      <u/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 applyProtection="1">
      <protection locked="0"/>
    </xf>
    <xf numFmtId="42" fontId="3" fillId="0" borderId="0" xfId="0" applyNumberFormat="1" applyFont="1" applyProtection="1">
      <protection locked="0"/>
    </xf>
    <xf numFmtId="42" fontId="3" fillId="0" borderId="0" xfId="1" applyNumberFormat="1" applyFont="1" applyProtection="1"/>
    <xf numFmtId="2" fontId="3" fillId="0" borderId="0" xfId="0" applyNumberFormat="1" applyFont="1" applyProtection="1">
      <protection locked="0"/>
    </xf>
    <xf numFmtId="42" fontId="3" fillId="0" borderId="1" xfId="1" applyNumberFormat="1" applyFont="1" applyBorder="1" applyProtection="1"/>
    <xf numFmtId="164" fontId="3" fillId="0" borderId="0" xfId="0" applyNumberFormat="1" applyFont="1" applyProtection="1">
      <protection locked="0"/>
    </xf>
    <xf numFmtId="42" fontId="2" fillId="0" borderId="0" xfId="0" applyNumberFormat="1" applyFont="1" applyProtection="1">
      <protection locked="0"/>
    </xf>
    <xf numFmtId="42" fontId="3" fillId="0" borderId="0" xfId="0" applyNumberFormat="1" applyFont="1" applyProtection="1"/>
    <xf numFmtId="44" fontId="3" fillId="0" borderId="0" xfId="0" applyNumberFormat="1" applyFont="1" applyProtection="1"/>
    <xf numFmtId="42" fontId="2" fillId="0" borderId="0" xfId="1" applyNumberFormat="1" applyFont="1" applyProtection="1"/>
    <xf numFmtId="42" fontId="2" fillId="0" borderId="2" xfId="0" applyNumberFormat="1" applyFont="1" applyBorder="1" applyProtection="1"/>
    <xf numFmtId="42" fontId="2" fillId="0" borderId="0" xfId="0" applyNumberFormat="1" applyFont="1" applyProtection="1"/>
    <xf numFmtId="0" fontId="2" fillId="0" borderId="0" xfId="0" applyFont="1" applyProtection="1">
      <protection locked="0"/>
    </xf>
    <xf numFmtId="1" fontId="3" fillId="0" borderId="0" xfId="0" applyNumberFormat="1" applyFont="1" applyProtection="1">
      <protection locked="0"/>
    </xf>
    <xf numFmtId="0" fontId="2" fillId="0" borderId="0" xfId="0" applyFont="1" applyProtection="1"/>
    <xf numFmtId="0" fontId="2" fillId="0" borderId="2" xfId="0" applyFont="1" applyBorder="1" applyProtection="1"/>
    <xf numFmtId="44" fontId="2" fillId="0" borderId="0" xfId="0" applyNumberFormat="1" applyFont="1" applyProtection="1">
      <protection locked="0"/>
    </xf>
    <xf numFmtId="44" fontId="4" fillId="0" borderId="0" xfId="1" applyFont="1"/>
    <xf numFmtId="44" fontId="4" fillId="2" borderId="0" xfId="0" applyNumberFormat="1" applyFont="1" applyFill="1"/>
    <xf numFmtId="42" fontId="0" fillId="0" borderId="0" xfId="0" applyNumberFormat="1"/>
    <xf numFmtId="0" fontId="4" fillId="0" borderId="0" xfId="0" applyFont="1"/>
    <xf numFmtId="42" fontId="4" fillId="0" borderId="0" xfId="0" applyNumberFormat="1" applyFont="1"/>
    <xf numFmtId="0" fontId="5" fillId="0" borderId="0" xfId="0" applyFont="1"/>
    <xf numFmtId="42" fontId="5" fillId="0" borderId="0" xfId="0" applyNumberFormat="1" applyFont="1"/>
    <xf numFmtId="44" fontId="0" fillId="0" borderId="0" xfId="1" applyFont="1"/>
    <xf numFmtId="44" fontId="0" fillId="2" borderId="0" xfId="1" applyFont="1" applyFill="1"/>
    <xf numFmtId="42" fontId="2" fillId="0" borderId="0" xfId="0" applyNumberFormat="1" applyFont="1" applyBorder="1" applyProtection="1"/>
    <xf numFmtId="0" fontId="3" fillId="0" borderId="0" xfId="0" applyFont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0" xfId="0" applyAlignment="1">
      <alignment horizontal="center"/>
    </xf>
    <xf numFmtId="42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Border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42" fontId="3" fillId="0" borderId="0" xfId="1" applyNumberFormat="1" applyFont="1" applyProtection="1">
      <protection locked="0"/>
    </xf>
    <xf numFmtId="10" fontId="3" fillId="0" borderId="0" xfId="0" applyNumberFormat="1" applyFont="1" applyProtection="1">
      <protection locked="0"/>
    </xf>
    <xf numFmtId="10" fontId="3" fillId="0" borderId="0" xfId="1" applyNumberFormat="1" applyFont="1" applyProtection="1">
      <protection locked="0"/>
    </xf>
    <xf numFmtId="2" fontId="3" fillId="0" borderId="0" xfId="1" applyNumberFormat="1" applyFont="1" applyProtection="1">
      <protection locked="0"/>
    </xf>
    <xf numFmtId="0" fontId="3" fillId="0" borderId="0" xfId="0" applyFont="1" applyProtection="1"/>
    <xf numFmtId="0" fontId="3" fillId="0" borderId="1" xfId="0" applyFont="1" applyBorder="1" applyAlignment="1" applyProtection="1">
      <alignment horizontal="center"/>
      <protection locked="0"/>
    </xf>
    <xf numFmtId="42" fontId="2" fillId="0" borderId="1" xfId="0" applyNumberFormat="1" applyFont="1" applyBorder="1" applyAlignment="1" applyProtection="1">
      <alignment horizontal="center"/>
    </xf>
    <xf numFmtId="42" fontId="2" fillId="0" borderId="0" xfId="0" applyNumberFormat="1" applyFont="1" applyBorder="1" applyAlignment="1" applyProtection="1">
      <alignment horizontal="center"/>
    </xf>
    <xf numFmtId="44" fontId="3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3" fillId="0" borderId="0" xfId="0" applyFont="1" applyBorder="1" applyProtection="1"/>
    <xf numFmtId="42" fontId="3" fillId="0" borderId="1" xfId="0" applyNumberFormat="1" applyFont="1" applyBorder="1" applyProtection="1"/>
    <xf numFmtId="42" fontId="3" fillId="0" borderId="0" xfId="0" applyNumberFormat="1" applyFont="1" applyBorder="1" applyProtection="1"/>
    <xf numFmtId="0" fontId="3" fillId="0" borderId="1" xfId="0" applyFont="1" applyBorder="1" applyProtection="1"/>
    <xf numFmtId="42" fontId="3" fillId="0" borderId="0" xfId="1" applyNumberFormat="1" applyFont="1" applyBorder="1" applyProtection="1">
      <protection locked="0"/>
    </xf>
    <xf numFmtId="42" fontId="3" fillId="0" borderId="1" xfId="1" applyNumberFormat="1" applyFont="1" applyBorder="1" applyProtection="1">
      <protection locked="0"/>
    </xf>
    <xf numFmtId="10" fontId="2" fillId="0" borderId="0" xfId="0" applyNumberFormat="1" applyFont="1" applyProtection="1"/>
    <xf numFmtId="42" fontId="6" fillId="0" borderId="0" xfId="0" applyNumberFormat="1" applyFont="1" applyProtection="1">
      <protection locked="0"/>
    </xf>
    <xf numFmtId="42" fontId="2" fillId="0" borderId="2" xfId="1" applyNumberFormat="1" applyFont="1" applyBorder="1" applyProtection="1"/>
    <xf numFmtId="0" fontId="2" fillId="0" borderId="1" xfId="0" applyFont="1" applyBorder="1" applyProtection="1"/>
    <xf numFmtId="42" fontId="2" fillId="3" borderId="1" xfId="0" applyNumberFormat="1" applyFont="1" applyFill="1" applyBorder="1" applyAlignment="1" applyProtection="1">
      <alignment horizontal="center"/>
      <protection locked="0"/>
    </xf>
    <xf numFmtId="42" fontId="2" fillId="4" borderId="0" xfId="0" applyNumberFormat="1" applyFont="1" applyFill="1" applyAlignment="1" applyProtection="1">
      <alignment horizontal="center"/>
      <protection locked="0"/>
    </xf>
    <xf numFmtId="42" fontId="2" fillId="4" borderId="1" xfId="0" applyNumberFormat="1" applyFont="1" applyFill="1" applyBorder="1" applyAlignment="1" applyProtection="1">
      <alignment horizontal="center"/>
      <protection locked="0"/>
    </xf>
    <xf numFmtId="42" fontId="3" fillId="4" borderId="0" xfId="1" applyNumberFormat="1" applyFont="1" applyFill="1" applyProtection="1">
      <protection locked="0"/>
    </xf>
    <xf numFmtId="10" fontId="3" fillId="3" borderId="0" xfId="0" applyNumberFormat="1" applyFont="1" applyFill="1" applyProtection="1">
      <protection locked="0"/>
    </xf>
    <xf numFmtId="2" fontId="3" fillId="5" borderId="0" xfId="0" applyNumberFormat="1" applyFont="1" applyFill="1" applyProtection="1">
      <protection locked="0"/>
    </xf>
    <xf numFmtId="10" fontId="3" fillId="5" borderId="0" xfId="1" applyNumberFormat="1" applyFont="1" applyFill="1" applyProtection="1"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42" fontId="2" fillId="5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 applyProtection="1">
      <protection locked="0"/>
    </xf>
    <xf numFmtId="164" fontId="2" fillId="6" borderId="1" xfId="0" applyNumberFormat="1" applyFont="1" applyFill="1" applyBorder="1" applyAlignment="1" applyProtection="1">
      <alignment horizontal="center" wrapText="1"/>
      <protection locked="0"/>
    </xf>
    <xf numFmtId="0" fontId="3" fillId="7" borderId="0" xfId="0" applyFont="1" applyFill="1" applyProtection="1"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42" fontId="2" fillId="0" borderId="1" xfId="1" applyNumberFormat="1" applyFont="1" applyBorder="1" applyProtection="1"/>
    <xf numFmtId="42" fontId="2" fillId="0" borderId="1" xfId="0" applyNumberFormat="1" applyFont="1" applyBorder="1" applyProtection="1"/>
    <xf numFmtId="0" fontId="0" fillId="0" borderId="1" xfId="0" applyBorder="1"/>
    <xf numFmtId="42" fontId="0" fillId="0" borderId="1" xfId="0" applyNumberFormat="1" applyBorder="1"/>
    <xf numFmtId="42" fontId="3" fillId="0" borderId="0" xfId="1" applyNumberFormat="1" applyFont="1" applyBorder="1" applyProtection="1"/>
    <xf numFmtId="164" fontId="3" fillId="0" borderId="0" xfId="1" applyNumberFormat="1" applyFont="1" applyBorder="1" applyProtection="1">
      <protection locked="0"/>
    </xf>
    <xf numFmtId="1" fontId="3" fillId="6" borderId="0" xfId="0" applyNumberFormat="1" applyFont="1" applyFill="1" applyAlignment="1" applyProtection="1">
      <alignment horizontal="center"/>
      <protection locked="0"/>
    </xf>
    <xf numFmtId="44" fontId="3" fillId="0" borderId="0" xfId="1" applyFont="1" applyAlignment="1" applyProtection="1">
      <alignment horizontal="left"/>
    </xf>
    <xf numFmtId="44" fontId="3" fillId="0" borderId="0" xfId="1" applyFont="1" applyBorder="1" applyAlignment="1" applyProtection="1">
      <alignment horizontal="left"/>
    </xf>
    <xf numFmtId="44" fontId="3" fillId="0" borderId="1" xfId="1" applyFont="1" applyBorder="1" applyAlignment="1" applyProtection="1">
      <alignment horizontal="left"/>
    </xf>
    <xf numFmtId="0" fontId="3" fillId="9" borderId="0" xfId="0" applyFont="1" applyFill="1" applyProtection="1">
      <protection locked="0"/>
    </xf>
    <xf numFmtId="0" fontId="3" fillId="9" borderId="0" xfId="0" applyFont="1" applyFill="1" applyProtection="1"/>
    <xf numFmtId="44" fontId="3" fillId="9" borderId="0" xfId="1" applyFont="1" applyFill="1" applyBorder="1" applyAlignment="1" applyProtection="1">
      <alignment horizontal="left"/>
    </xf>
    <xf numFmtId="0" fontId="2" fillId="9" borderId="0" xfId="0" applyFont="1" applyFill="1" applyProtection="1"/>
    <xf numFmtId="0" fontId="3" fillId="10" borderId="0" xfId="0" applyFont="1" applyFill="1" applyProtection="1">
      <protection locked="0"/>
    </xf>
    <xf numFmtId="0" fontId="2" fillId="10" borderId="0" xfId="0" applyFont="1" applyFill="1" applyProtection="1">
      <protection locked="0"/>
    </xf>
    <xf numFmtId="0" fontId="2" fillId="10" borderId="0" xfId="0" applyFont="1" applyFill="1" applyProtection="1"/>
    <xf numFmtId="44" fontId="2" fillId="10" borderId="0" xfId="1" applyFont="1" applyFill="1" applyBorder="1" applyAlignment="1" applyProtection="1">
      <alignment horizontal="left"/>
    </xf>
    <xf numFmtId="0" fontId="2" fillId="10" borderId="0" xfId="0" applyFont="1" applyFill="1" applyBorder="1" applyProtection="1">
      <protection locked="0"/>
    </xf>
    <xf numFmtId="2" fontId="2" fillId="0" borderId="0" xfId="1" applyNumberFormat="1" applyFont="1" applyAlignment="1" applyProtection="1">
      <alignment horizontal="left"/>
    </xf>
    <xf numFmtId="42" fontId="2" fillId="10" borderId="0" xfId="1" applyNumberFormat="1" applyFont="1" applyFill="1" applyProtection="1"/>
    <xf numFmtId="42" fontId="2" fillId="10" borderId="0" xfId="0" applyNumberFormat="1" applyFont="1" applyFill="1" applyProtection="1"/>
    <xf numFmtId="0" fontId="3" fillId="0" borderId="0" xfId="0" applyFont="1" applyBorder="1" applyProtection="1">
      <protection locked="0"/>
    </xf>
    <xf numFmtId="165" fontId="3" fillId="0" borderId="1" xfId="1" applyNumberFormat="1" applyFont="1" applyBorder="1" applyProtection="1"/>
    <xf numFmtId="165" fontId="3" fillId="0" borderId="1" xfId="0" applyNumberFormat="1" applyFont="1" applyBorder="1" applyProtection="1"/>
    <xf numFmtId="165" fontId="2" fillId="0" borderId="0" xfId="1" applyNumberFormat="1" applyFont="1" applyProtection="1"/>
    <xf numFmtId="165" fontId="2" fillId="0" borderId="0" xfId="0" applyNumberFormat="1" applyFont="1" applyProtection="1"/>
    <xf numFmtId="10" fontId="2" fillId="0" borderId="2" xfId="0" applyNumberFormat="1" applyFont="1" applyBorder="1" applyAlignment="1" applyProtection="1">
      <alignment horizontal="left"/>
    </xf>
    <xf numFmtId="0" fontId="7" fillId="0" borderId="0" xfId="0" applyFont="1" applyProtection="1">
      <protection locked="0"/>
    </xf>
    <xf numFmtId="0" fontId="2" fillId="11" borderId="1" xfId="0" applyFont="1" applyFill="1" applyBorder="1" applyAlignment="1" applyProtection="1">
      <alignment horizontal="center"/>
      <protection locked="0"/>
    </xf>
    <xf numFmtId="0" fontId="3" fillId="11" borderId="0" xfId="0" applyFont="1" applyFill="1" applyProtection="1">
      <protection locked="0"/>
    </xf>
    <xf numFmtId="0" fontId="8" fillId="11" borderId="0" xfId="0" applyFont="1" applyFill="1" applyProtection="1">
      <protection locked="0"/>
    </xf>
    <xf numFmtId="0" fontId="8" fillId="8" borderId="0" xfId="0" applyFont="1" applyFill="1" applyAlignment="1" applyProtection="1">
      <alignment horizontal="left" vertical="top"/>
      <protection locked="0"/>
    </xf>
    <xf numFmtId="0" fontId="3" fillId="8" borderId="0" xfId="0" applyFont="1" applyFill="1" applyAlignment="1" applyProtection="1">
      <alignment vertical="top"/>
      <protection locked="0"/>
    </xf>
    <xf numFmtId="42" fontId="2" fillId="8" borderId="0" xfId="0" applyNumberFormat="1" applyFont="1" applyFill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42" fontId="3" fillId="0" borderId="0" xfId="1" applyNumberFormat="1" applyFont="1" applyAlignment="1" applyProtection="1">
      <alignment horizontal="left"/>
      <protection locked="0"/>
    </xf>
    <xf numFmtId="42" fontId="2" fillId="0" borderId="0" xfId="0" applyNumberFormat="1" applyFont="1" applyAlignment="1" applyProtection="1">
      <alignment horizontal="left"/>
      <protection locked="0"/>
    </xf>
    <xf numFmtId="0" fontId="2" fillId="8" borderId="0" xfId="0" applyFont="1" applyFill="1" applyAlignment="1" applyProtection="1">
      <alignment horizontal="left" vertical="top" wrapText="1"/>
      <protection locked="0"/>
    </xf>
    <xf numFmtId="44" fontId="2" fillId="8" borderId="0" xfId="0" applyNumberFormat="1" applyFont="1" applyFill="1" applyAlignment="1" applyProtection="1">
      <alignment horizontal="left" vertical="top"/>
    </xf>
    <xf numFmtId="2" fontId="3" fillId="8" borderId="0" xfId="0" applyNumberFormat="1" applyFont="1" applyFill="1" applyAlignment="1" applyProtection="1">
      <alignment horizontal="left" vertical="top"/>
      <protection locked="0"/>
    </xf>
    <xf numFmtId="0" fontId="3" fillId="8" borderId="0" xfId="0" applyFont="1" applyFill="1" applyAlignment="1" applyProtection="1">
      <alignment horizontal="left" vertical="top"/>
      <protection locked="0"/>
    </xf>
    <xf numFmtId="10" fontId="7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Border="1" applyProtection="1"/>
    <xf numFmtId="165" fontId="3" fillId="0" borderId="1" xfId="1" applyNumberFormat="1" applyFont="1" applyBorder="1" applyProtection="1">
      <protection locked="0"/>
    </xf>
    <xf numFmtId="164" fontId="2" fillId="0" borderId="0" xfId="1" applyNumberFormat="1" applyFont="1" applyAlignment="1" applyProtection="1">
      <alignment horizontal="left"/>
    </xf>
    <xf numFmtId="166" fontId="3" fillId="8" borderId="0" xfId="0" applyNumberFormat="1" applyFont="1" applyFill="1" applyAlignment="1" applyProtection="1">
      <alignment horizontal="left" vertical="top"/>
      <protection locked="0"/>
    </xf>
    <xf numFmtId="164" fontId="3" fillId="0" borderId="0" xfId="1" applyNumberFormat="1" applyFont="1" applyBorder="1" applyAlignment="1" applyProtection="1">
      <alignment horizontal="left"/>
      <protection locked="0"/>
    </xf>
    <xf numFmtId="42" fontId="2" fillId="0" borderId="0" xfId="0" applyNumberFormat="1" applyFont="1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42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164" fontId="2" fillId="5" borderId="0" xfId="0" applyNumberFormat="1" applyFont="1" applyFill="1" applyAlignment="1" applyProtection="1">
      <alignment horizontal="center"/>
      <protection locked="0"/>
    </xf>
    <xf numFmtId="0" fontId="4" fillId="5" borderId="0" xfId="0" applyFont="1" applyFill="1" applyAlignment="1">
      <alignment horizontal="center"/>
    </xf>
    <xf numFmtId="0" fontId="2" fillId="0" borderId="0" xfId="0" applyFont="1" applyAlignment="1" applyProtection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9"/>
  <sheetViews>
    <sheetView tabSelected="1" topLeftCell="C13" workbookViewId="0">
      <selection activeCell="J45" sqref="J45"/>
    </sheetView>
  </sheetViews>
  <sheetFormatPr defaultColWidth="8.85546875" defaultRowHeight="12.75"/>
  <cols>
    <col min="1" max="1" width="15.85546875" style="1" customWidth="1"/>
    <col min="2" max="2" width="12.140625" style="1" customWidth="1"/>
    <col min="3" max="3" width="26.42578125" style="1" customWidth="1"/>
    <col min="4" max="6" width="13.7109375" style="2" customWidth="1"/>
    <col min="7" max="9" width="13.7109375" style="6" customWidth="1"/>
    <col min="10" max="10" width="12.28515625" style="6" customWidth="1"/>
    <col min="11" max="11" width="9.85546875" style="1" customWidth="1"/>
    <col min="12" max="12" width="8.5703125" style="1" customWidth="1"/>
    <col min="13" max="13" width="9.85546875" style="1" bestFit="1" customWidth="1"/>
    <col min="14" max="14" width="7.28515625" style="1" bestFit="1" customWidth="1"/>
    <col min="15" max="16384" width="8.85546875" style="1"/>
  </cols>
  <sheetData>
    <row r="1" spans="1:14" ht="27.75" customHeight="1">
      <c r="D1" s="118" t="s">
        <v>48</v>
      </c>
      <c r="E1" s="119"/>
    </row>
    <row r="2" spans="1:14" ht="15">
      <c r="D2" s="120" t="s">
        <v>49</v>
      </c>
      <c r="E2" s="121"/>
    </row>
    <row r="3" spans="1:14" ht="15">
      <c r="D3" s="32"/>
      <c r="E3" s="31"/>
    </row>
    <row r="4" spans="1:14" ht="15">
      <c r="A4" s="99" t="s">
        <v>97</v>
      </c>
      <c r="B4" s="66"/>
      <c r="C4" s="56"/>
      <c r="D4" s="122" t="s">
        <v>82</v>
      </c>
      <c r="E4" s="122"/>
      <c r="F4" s="122"/>
      <c r="G4" s="122"/>
      <c r="H4" s="122"/>
      <c r="I4" s="123" t="s">
        <v>75</v>
      </c>
      <c r="J4" s="124"/>
      <c r="K4" s="64"/>
    </row>
    <row r="5" spans="1:14" s="34" customFormat="1">
      <c r="A5" s="97" t="s">
        <v>63</v>
      </c>
      <c r="B5" s="67" t="s">
        <v>64</v>
      </c>
      <c r="C5" s="57" t="s">
        <v>81</v>
      </c>
      <c r="D5" s="55" t="s">
        <v>59</v>
      </c>
      <c r="E5" s="55" t="s">
        <v>38</v>
      </c>
      <c r="F5" s="55" t="s">
        <v>39</v>
      </c>
      <c r="G5" s="55" t="s">
        <v>40</v>
      </c>
      <c r="H5" s="55" t="s">
        <v>41</v>
      </c>
      <c r="I5" s="62" t="s">
        <v>76</v>
      </c>
      <c r="J5" s="63" t="s">
        <v>42</v>
      </c>
      <c r="K5" s="65" t="s">
        <v>43</v>
      </c>
      <c r="L5" s="33"/>
      <c r="M5" s="33"/>
    </row>
    <row r="6" spans="1:14">
      <c r="A6" s="98" t="s">
        <v>44</v>
      </c>
      <c r="B6" s="66" t="s">
        <v>51</v>
      </c>
      <c r="C6" s="58">
        <v>0</v>
      </c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60">
        <v>0</v>
      </c>
      <c r="J6" s="61">
        <v>1</v>
      </c>
      <c r="K6" s="74">
        <v>3</v>
      </c>
      <c r="L6" s="14"/>
      <c r="M6" s="14"/>
    </row>
    <row r="7" spans="1:14">
      <c r="A7" s="98" t="s">
        <v>45</v>
      </c>
      <c r="B7" s="66" t="s">
        <v>50</v>
      </c>
      <c r="C7" s="58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60">
        <v>0</v>
      </c>
      <c r="J7" s="61">
        <v>1</v>
      </c>
      <c r="K7" s="74">
        <v>3</v>
      </c>
      <c r="L7" s="14"/>
      <c r="M7" s="14"/>
    </row>
    <row r="8" spans="1:14">
      <c r="A8" s="98" t="s">
        <v>45</v>
      </c>
      <c r="B8" s="66" t="s">
        <v>73</v>
      </c>
      <c r="C8" s="58">
        <v>0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60">
        <v>0</v>
      </c>
      <c r="J8" s="61">
        <v>1</v>
      </c>
      <c r="K8" s="74">
        <v>3</v>
      </c>
      <c r="L8" s="14"/>
      <c r="M8" s="14"/>
    </row>
    <row r="9" spans="1:14">
      <c r="A9" s="98" t="s">
        <v>45</v>
      </c>
      <c r="B9" s="66" t="s">
        <v>73</v>
      </c>
      <c r="C9" s="58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60">
        <v>0</v>
      </c>
      <c r="J9" s="61">
        <v>1</v>
      </c>
      <c r="K9" s="74">
        <v>3</v>
      </c>
      <c r="L9" s="14"/>
      <c r="M9" s="14"/>
    </row>
    <row r="10" spans="1:14">
      <c r="A10" s="98" t="s">
        <v>46</v>
      </c>
      <c r="B10" s="66" t="s">
        <v>74</v>
      </c>
      <c r="C10" s="58">
        <v>0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60">
        <v>0</v>
      </c>
      <c r="J10" s="61">
        <v>1</v>
      </c>
      <c r="K10" s="74">
        <v>3</v>
      </c>
      <c r="L10" s="14"/>
      <c r="M10" s="14"/>
    </row>
    <row r="11" spans="1:14">
      <c r="D11" s="35"/>
      <c r="E11" s="36"/>
      <c r="F11" s="36"/>
      <c r="G11" s="36"/>
      <c r="H11" s="36"/>
      <c r="I11" s="36"/>
      <c r="J11" s="38"/>
      <c r="K11" s="37"/>
      <c r="L11" s="14"/>
      <c r="M11" s="14"/>
      <c r="N11" s="14"/>
    </row>
    <row r="12" spans="1:14" ht="15">
      <c r="B12" s="125" t="s">
        <v>65</v>
      </c>
      <c r="C12" s="126"/>
      <c r="D12" s="87">
        <v>1.03</v>
      </c>
      <c r="E12" s="4"/>
      <c r="F12" s="111" t="s">
        <v>87</v>
      </c>
      <c r="G12" s="35"/>
    </row>
    <row r="13" spans="1:14">
      <c r="E13" s="35"/>
      <c r="F13" s="35"/>
    </row>
    <row r="14" spans="1:14" s="28" customFormat="1">
      <c r="C14" s="40"/>
      <c r="D14" s="41" t="s">
        <v>3</v>
      </c>
      <c r="E14" s="41" t="str">
        <f>IF($K6&gt;1, "Year 2", "")</f>
        <v>Year 2</v>
      </c>
      <c r="F14" s="41" t="str">
        <f>IF($K6&gt;2, "Year 3", "")</f>
        <v>Year 3</v>
      </c>
      <c r="G14" s="41" t="str">
        <f>IF($K6&gt;3, "Year 4", "")</f>
        <v/>
      </c>
      <c r="H14" s="41" t="str">
        <f>IF($K6&gt;4, "Year 5", "")</f>
        <v/>
      </c>
      <c r="I14" s="41" t="s">
        <v>14</v>
      </c>
      <c r="J14" s="42"/>
      <c r="L14" s="43"/>
    </row>
    <row r="15" spans="1:14" s="13" customFormat="1">
      <c r="A15" s="13" t="s">
        <v>108</v>
      </c>
      <c r="D15" s="35"/>
      <c r="E15" s="7"/>
      <c r="F15" s="7"/>
      <c r="G15" s="44"/>
      <c r="L15" s="17"/>
    </row>
    <row r="16" spans="1:14" s="13" customFormat="1">
      <c r="A16" s="1" t="str">
        <f t="shared" ref="A16" si="0">A6</f>
        <v>PI/PD</v>
      </c>
      <c r="B16" s="1" t="s">
        <v>66</v>
      </c>
      <c r="C16" s="39"/>
      <c r="D16" s="75">
        <f>$C$6*D6*$D$12</f>
        <v>0</v>
      </c>
      <c r="E16" s="75">
        <f t="shared" ref="E16:H16" si="1">$C$6*E6*$D$12</f>
        <v>0</v>
      </c>
      <c r="F16" s="75">
        <f t="shared" si="1"/>
        <v>0</v>
      </c>
      <c r="G16" s="75">
        <f t="shared" si="1"/>
        <v>0</v>
      </c>
      <c r="H16" s="75">
        <f t="shared" si="1"/>
        <v>0</v>
      </c>
      <c r="I16" s="75">
        <f>SUM(D16:H16)</f>
        <v>0</v>
      </c>
      <c r="J16" s="8"/>
    </row>
    <row r="17" spans="1:14" s="13" customFormat="1">
      <c r="A17" s="78"/>
      <c r="B17" s="78" t="s">
        <v>47</v>
      </c>
      <c r="C17" s="79"/>
      <c r="D17" s="80">
        <f>$C$6/9*$D$12*I6*J6</f>
        <v>0</v>
      </c>
      <c r="E17" s="80">
        <f>IF($K$6&gt;1,D17*$D$12, "")</f>
        <v>0</v>
      </c>
      <c r="F17" s="80">
        <f>IF($K$6&gt;2,E17*$D$12, "")</f>
        <v>0</v>
      </c>
      <c r="G17" s="80" t="str">
        <f>IF($K$6&gt;3,F17*$D$12, "")</f>
        <v/>
      </c>
      <c r="H17" s="80" t="str">
        <f>IF($K$6&gt;4,G17*$D$12, "")</f>
        <v/>
      </c>
      <c r="I17" s="80">
        <f>SUM(D17:H17)</f>
        <v>0</v>
      </c>
      <c r="J17" s="8"/>
    </row>
    <row r="18" spans="1:14" s="13" customFormat="1">
      <c r="A18" s="82"/>
      <c r="B18" s="83" t="s">
        <v>62</v>
      </c>
      <c r="C18" s="84" t="str">
        <f>B6</f>
        <v>PI Name</v>
      </c>
      <c r="D18" s="85">
        <f>SUM(D16:D17)</f>
        <v>0</v>
      </c>
      <c r="E18" s="85">
        <f t="shared" ref="E18:H18" si="2">SUM(E16:E17)</f>
        <v>0</v>
      </c>
      <c r="F18" s="85">
        <f t="shared" si="2"/>
        <v>0</v>
      </c>
      <c r="G18" s="85">
        <f t="shared" si="2"/>
        <v>0</v>
      </c>
      <c r="H18" s="85">
        <f t="shared" si="2"/>
        <v>0</v>
      </c>
      <c r="I18" s="85">
        <f>SUM(I16:I17)</f>
        <v>0</v>
      </c>
      <c r="J18" s="8"/>
    </row>
    <row r="19" spans="1:14" s="13" customFormat="1">
      <c r="A19" s="1" t="s">
        <v>45</v>
      </c>
      <c r="B19" s="1" t="s">
        <v>66</v>
      </c>
      <c r="C19" s="39"/>
      <c r="D19" s="76">
        <f>$C$7*$D$12*D7</f>
        <v>0</v>
      </c>
      <c r="E19" s="76">
        <f t="shared" ref="E19:H19" si="3">$C$7*$D$12*E7</f>
        <v>0</v>
      </c>
      <c r="F19" s="76">
        <f t="shared" si="3"/>
        <v>0</v>
      </c>
      <c r="G19" s="76">
        <f t="shared" si="3"/>
        <v>0</v>
      </c>
      <c r="H19" s="76">
        <f t="shared" si="3"/>
        <v>0</v>
      </c>
      <c r="I19" s="76">
        <f>SUM(D19:H19)</f>
        <v>0</v>
      </c>
      <c r="J19" s="8"/>
    </row>
    <row r="20" spans="1:14" s="13" customFormat="1">
      <c r="A20" s="78"/>
      <c r="B20" s="78" t="s">
        <v>47</v>
      </c>
      <c r="C20" s="79"/>
      <c r="D20" s="80">
        <f>$C$7/9*$D$12*$I$7*$J$7</f>
        <v>0</v>
      </c>
      <c r="E20" s="80">
        <f>IF($K$7&gt;1,D20*$D$12, "")</f>
        <v>0</v>
      </c>
      <c r="F20" s="80">
        <f>IF($K$7&gt;2,E20*$D$12, "")</f>
        <v>0</v>
      </c>
      <c r="G20" s="80" t="str">
        <f>IF($K$7&gt;3,F20*$D$12, "")</f>
        <v/>
      </c>
      <c r="H20" s="80" t="str">
        <f>IF($K$7&gt;4,G20*$D$12, "")</f>
        <v/>
      </c>
      <c r="I20" s="80">
        <f>SUM(D20:H20)</f>
        <v>0</v>
      </c>
      <c r="J20" s="8"/>
    </row>
    <row r="21" spans="1:14" s="13" customFormat="1">
      <c r="A21" s="82"/>
      <c r="B21" s="83" t="s">
        <v>62</v>
      </c>
      <c r="C21" s="84" t="str">
        <f>B7</f>
        <v xml:space="preserve">Co-PI Name </v>
      </c>
      <c r="D21" s="85">
        <f>SUM(D19:D20)</f>
        <v>0</v>
      </c>
      <c r="E21" s="85">
        <f t="shared" ref="E21:H21" si="4">SUM(E19:E20)</f>
        <v>0</v>
      </c>
      <c r="F21" s="85">
        <f t="shared" si="4"/>
        <v>0</v>
      </c>
      <c r="G21" s="85">
        <f t="shared" si="4"/>
        <v>0</v>
      </c>
      <c r="H21" s="85">
        <f t="shared" si="4"/>
        <v>0</v>
      </c>
      <c r="I21" s="85">
        <f>SUM(I19:I20)</f>
        <v>0</v>
      </c>
      <c r="J21" s="8"/>
    </row>
    <row r="22" spans="1:14" s="13" customFormat="1">
      <c r="A22" s="1" t="s">
        <v>45</v>
      </c>
      <c r="B22" s="1" t="s">
        <v>66</v>
      </c>
      <c r="C22" s="39"/>
      <c r="D22" s="76">
        <f>$C$8*$D$12*D8</f>
        <v>0</v>
      </c>
      <c r="E22" s="76">
        <f t="shared" ref="E22:H22" si="5">$C$8*$D$12*E8</f>
        <v>0</v>
      </c>
      <c r="F22" s="76">
        <f t="shared" si="5"/>
        <v>0</v>
      </c>
      <c r="G22" s="76">
        <f t="shared" si="5"/>
        <v>0</v>
      </c>
      <c r="H22" s="76">
        <f t="shared" si="5"/>
        <v>0</v>
      </c>
      <c r="I22" s="76">
        <f>SUM(D22:H22)</f>
        <v>0</v>
      </c>
      <c r="J22" s="8"/>
    </row>
    <row r="23" spans="1:14" s="13" customFormat="1">
      <c r="A23" s="78"/>
      <c r="B23" s="78" t="s">
        <v>47</v>
      </c>
      <c r="C23" s="79"/>
      <c r="D23" s="80">
        <f>$C$8/9*$D$12*I8*J8</f>
        <v>0</v>
      </c>
      <c r="E23" s="80">
        <f>IF($K$8&gt;1,D23*$D$12, "")</f>
        <v>0</v>
      </c>
      <c r="F23" s="80">
        <f>IF($K$8&gt;2,E23*$D$12, "")</f>
        <v>0</v>
      </c>
      <c r="G23" s="80" t="str">
        <f>IF($K$8&gt;3,F23*$D$12," ")</f>
        <v xml:space="preserve"> </v>
      </c>
      <c r="H23" s="80" t="str">
        <f>IF($K$8&gt;4,G23*$D$12, "")</f>
        <v/>
      </c>
      <c r="I23" s="80">
        <f>SUM(D23:H23)</f>
        <v>0</v>
      </c>
      <c r="J23" s="8"/>
    </row>
    <row r="24" spans="1:14" s="13" customFormat="1">
      <c r="A24" s="82"/>
      <c r="B24" s="83" t="s">
        <v>62</v>
      </c>
      <c r="C24" s="84" t="str">
        <f>B8</f>
        <v>Faculty Name</v>
      </c>
      <c r="D24" s="85">
        <f>D22+D23</f>
        <v>0</v>
      </c>
      <c r="E24" s="85">
        <f>SUM(E22:E23)</f>
        <v>0</v>
      </c>
      <c r="F24" s="85">
        <f>SUM(F22:F23)</f>
        <v>0</v>
      </c>
      <c r="G24" s="85">
        <f>SUM(G22:G23)</f>
        <v>0</v>
      </c>
      <c r="H24" s="85">
        <f>SUM(H22:H23)</f>
        <v>0</v>
      </c>
      <c r="I24" s="85">
        <f>SUM(I22:I23)</f>
        <v>0</v>
      </c>
      <c r="J24" s="8"/>
    </row>
    <row r="25" spans="1:14" s="13" customFormat="1">
      <c r="A25" s="1" t="s">
        <v>45</v>
      </c>
      <c r="B25" s="1" t="s">
        <v>66</v>
      </c>
      <c r="C25" s="39"/>
      <c r="D25" s="76">
        <f>$C$9*$D$12*D9</f>
        <v>0</v>
      </c>
      <c r="E25" s="76">
        <f t="shared" ref="E25:H25" si="6">$C$9*$D$12*E9</f>
        <v>0</v>
      </c>
      <c r="F25" s="76">
        <f t="shared" si="6"/>
        <v>0</v>
      </c>
      <c r="G25" s="76">
        <f t="shared" si="6"/>
        <v>0</v>
      </c>
      <c r="H25" s="76">
        <f t="shared" si="6"/>
        <v>0</v>
      </c>
      <c r="I25" s="76">
        <f t="shared" ref="I25:I26" si="7">SUM(D25:H25)</f>
        <v>0</v>
      </c>
      <c r="J25" s="8"/>
    </row>
    <row r="26" spans="1:14" s="13" customFormat="1">
      <c r="A26" s="78"/>
      <c r="B26" s="78" t="s">
        <v>47</v>
      </c>
      <c r="C26" s="79"/>
      <c r="D26" s="80">
        <f>$C$9/9*$D$12*$I$9*$J$9</f>
        <v>0</v>
      </c>
      <c r="E26" s="80">
        <f>IF($K$9&gt;1,D26*$D$12, "")</f>
        <v>0</v>
      </c>
      <c r="F26" s="80">
        <f>IF($K$9&gt;2,E26*$D$12, "")</f>
        <v>0</v>
      </c>
      <c r="G26" s="80" t="str">
        <f>IF($K$9&gt;3,F26*$D$12, "")</f>
        <v/>
      </c>
      <c r="H26" s="80" t="str">
        <f>IF($K$9&gt;4,G26*$D$12, "")</f>
        <v/>
      </c>
      <c r="I26" s="80">
        <f t="shared" si="7"/>
        <v>0</v>
      </c>
      <c r="J26" s="8"/>
    </row>
    <row r="27" spans="1:14" s="13" customFormat="1">
      <c r="A27" s="82"/>
      <c r="B27" s="83" t="s">
        <v>62</v>
      </c>
      <c r="C27" s="84" t="str">
        <f>B9</f>
        <v>Faculty Name</v>
      </c>
      <c r="D27" s="85">
        <f>D25+D26</f>
        <v>0</v>
      </c>
      <c r="E27" s="85">
        <f>SUM(E25:E26)</f>
        <v>0</v>
      </c>
      <c r="F27" s="85">
        <f>SUM(F25:F26)</f>
        <v>0</v>
      </c>
      <c r="G27" s="85">
        <f>SUM(G25:G26)</f>
        <v>0</v>
      </c>
      <c r="H27" s="85">
        <f>SUM(H25:H26)</f>
        <v>0</v>
      </c>
      <c r="I27" s="85">
        <f>SUM(I25:I26)</f>
        <v>0</v>
      </c>
      <c r="J27" s="8"/>
    </row>
    <row r="28" spans="1:14">
      <c r="A28" s="1" t="str">
        <f>A10</f>
        <v>Research Assistant</v>
      </c>
      <c r="B28" s="1" t="s">
        <v>66</v>
      </c>
      <c r="C28" s="45"/>
      <c r="D28" s="76">
        <f>$C$10*D10*$D$12</f>
        <v>0</v>
      </c>
      <c r="E28" s="76">
        <f t="shared" ref="E28:H28" si="8">$C$10*E10*$D$12</f>
        <v>0</v>
      </c>
      <c r="F28" s="76">
        <f t="shared" si="8"/>
        <v>0</v>
      </c>
      <c r="G28" s="76">
        <f t="shared" si="8"/>
        <v>0</v>
      </c>
      <c r="H28" s="76">
        <f t="shared" si="8"/>
        <v>0</v>
      </c>
      <c r="I28" s="76">
        <f t="shared" ref="I28:I29" si="9">SUM(D28:H28)</f>
        <v>0</v>
      </c>
      <c r="J28" s="8"/>
    </row>
    <row r="29" spans="1:14">
      <c r="A29" s="78"/>
      <c r="B29" s="78" t="s">
        <v>47</v>
      </c>
      <c r="C29" s="81"/>
      <c r="D29" s="80">
        <f>$C$10/9*$D$12*I10*J10</f>
        <v>0</v>
      </c>
      <c r="E29" s="80">
        <f>IF($K$10&gt;1,D29*$D$12, "")</f>
        <v>0</v>
      </c>
      <c r="F29" s="80">
        <f>IF($K$10&gt;2,E29*$D$12, "")</f>
        <v>0</v>
      </c>
      <c r="G29" s="80" t="str">
        <f>IF($K$10&gt;3,F29*$D$12, "")</f>
        <v/>
      </c>
      <c r="H29" s="80" t="str">
        <f>IF($K$10&gt;4,G29*$D$12, "")</f>
        <v/>
      </c>
      <c r="I29" s="80">
        <f t="shared" si="9"/>
        <v>0</v>
      </c>
      <c r="J29" s="8"/>
    </row>
    <row r="30" spans="1:14">
      <c r="A30" s="82"/>
      <c r="B30" s="83" t="s">
        <v>62</v>
      </c>
      <c r="C30" s="86" t="str">
        <f>B10</f>
        <v>Staff Name</v>
      </c>
      <c r="D30" s="85">
        <f>SUM(D28:D29)</f>
        <v>0</v>
      </c>
      <c r="E30" s="85">
        <f t="shared" ref="E30:I30" si="10">SUM(E28:E29)</f>
        <v>0</v>
      </c>
      <c r="F30" s="85">
        <f t="shared" si="10"/>
        <v>0</v>
      </c>
      <c r="G30" s="85">
        <f t="shared" si="10"/>
        <v>0</v>
      </c>
      <c r="H30" s="85">
        <f t="shared" si="10"/>
        <v>0</v>
      </c>
      <c r="I30" s="85">
        <f t="shared" si="10"/>
        <v>0</v>
      </c>
      <c r="J30" s="47"/>
      <c r="L30" s="2"/>
      <c r="M30" s="2"/>
      <c r="N30" s="2"/>
    </row>
    <row r="31" spans="1:14">
      <c r="B31" s="13"/>
      <c r="C31" s="29"/>
      <c r="D31" s="77"/>
      <c r="E31" s="77"/>
      <c r="F31" s="77"/>
      <c r="G31" s="77"/>
      <c r="H31" s="77"/>
      <c r="I31" s="77"/>
      <c r="J31" s="47"/>
      <c r="L31" s="2"/>
      <c r="M31" s="2"/>
      <c r="N31" s="2"/>
    </row>
    <row r="32" spans="1:14" s="13" customFormat="1">
      <c r="C32" s="15" t="s">
        <v>4</v>
      </c>
      <c r="D32" s="115">
        <f>D18+D21+D24+D27+D30</f>
        <v>0</v>
      </c>
      <c r="E32" s="115">
        <f>E18+E21+E24+E27+E30</f>
        <v>0</v>
      </c>
      <c r="F32" s="115">
        <f>F18+F21+F24+F27+F30</f>
        <v>0</v>
      </c>
      <c r="G32" s="115">
        <f t="shared" ref="G32:H32" si="11">G18+G21+G24+G27+G30</f>
        <v>0</v>
      </c>
      <c r="H32" s="115">
        <f t="shared" si="11"/>
        <v>0</v>
      </c>
      <c r="I32" s="115">
        <f>I18+I21+I24+I27+I30</f>
        <v>0</v>
      </c>
      <c r="K32" s="7"/>
      <c r="L32" s="7"/>
      <c r="M32" s="7"/>
    </row>
    <row r="33" spans="1:15">
      <c r="D33" s="35"/>
      <c r="G33" s="1"/>
      <c r="H33" s="1"/>
      <c r="I33" s="1"/>
      <c r="J33" s="100" t="s">
        <v>112</v>
      </c>
      <c r="K33" s="101"/>
      <c r="L33" s="101"/>
      <c r="M33" s="101"/>
      <c r="N33" s="101"/>
    </row>
    <row r="34" spans="1:15" s="103" customFormat="1" ht="12.75" customHeight="1">
      <c r="A34" s="103" t="s">
        <v>72</v>
      </c>
      <c r="C34" s="104"/>
      <c r="D34" s="105"/>
      <c r="E34" s="106"/>
      <c r="J34" s="102" t="s">
        <v>99</v>
      </c>
      <c r="K34" s="107" t="s">
        <v>84</v>
      </c>
      <c r="L34" s="107" t="s">
        <v>85</v>
      </c>
      <c r="M34" s="107" t="s">
        <v>100</v>
      </c>
      <c r="N34" s="107" t="s">
        <v>98</v>
      </c>
    </row>
    <row r="35" spans="1:15" s="13" customFormat="1">
      <c r="C35" s="1" t="s">
        <v>93</v>
      </c>
      <c r="D35" s="112">
        <f>J35*K35*L35*M35</f>
        <v>0</v>
      </c>
      <c r="E35" s="113">
        <f>D35*$D$12</f>
        <v>0</v>
      </c>
      <c r="F35" s="113">
        <f t="shared" ref="F35:H35" si="12">E35*$D$12</f>
        <v>0</v>
      </c>
      <c r="G35" s="113">
        <f t="shared" si="12"/>
        <v>0</v>
      </c>
      <c r="H35" s="113">
        <f t="shared" si="12"/>
        <v>0</v>
      </c>
      <c r="I35" s="113">
        <f>SUM(D35:H35)</f>
        <v>0</v>
      </c>
      <c r="J35" s="108">
        <v>9.9</v>
      </c>
      <c r="K35" s="109">
        <v>0</v>
      </c>
      <c r="L35" s="109">
        <v>0</v>
      </c>
      <c r="M35" s="116">
        <v>0</v>
      </c>
      <c r="N35" s="110" t="s">
        <v>89</v>
      </c>
      <c r="O35" s="1"/>
    </row>
    <row r="36" spans="1:15" s="13" customFormat="1">
      <c r="C36" s="1" t="s">
        <v>94</v>
      </c>
      <c r="D36" s="112">
        <f>J36*K36*L36*M36</f>
        <v>0</v>
      </c>
      <c r="E36" s="113">
        <f t="shared" ref="E36:H36" si="13">D36*$D$12</f>
        <v>0</v>
      </c>
      <c r="F36" s="113">
        <f t="shared" si="13"/>
        <v>0</v>
      </c>
      <c r="G36" s="113">
        <f t="shared" si="13"/>
        <v>0</v>
      </c>
      <c r="H36" s="113">
        <f t="shared" si="13"/>
        <v>0</v>
      </c>
      <c r="I36" s="113">
        <f t="shared" ref="I36:I38" si="14">SUM(D36:H36)</f>
        <v>0</v>
      </c>
      <c r="J36" s="108">
        <v>11</v>
      </c>
      <c r="K36" s="109">
        <v>0</v>
      </c>
      <c r="L36" s="109">
        <v>0</v>
      </c>
      <c r="M36" s="116">
        <v>0</v>
      </c>
      <c r="N36" s="110" t="s">
        <v>90</v>
      </c>
      <c r="O36" s="1"/>
    </row>
    <row r="37" spans="1:15" s="13" customFormat="1">
      <c r="C37" s="1" t="s">
        <v>95</v>
      </c>
      <c r="D37" s="112">
        <f>J37*K37*L37*M37</f>
        <v>0</v>
      </c>
      <c r="E37" s="113">
        <f t="shared" ref="E37:H37" si="15">D37*$D$12</f>
        <v>0</v>
      </c>
      <c r="F37" s="113">
        <f t="shared" si="15"/>
        <v>0</v>
      </c>
      <c r="G37" s="113">
        <f t="shared" si="15"/>
        <v>0</v>
      </c>
      <c r="H37" s="113">
        <f t="shared" si="15"/>
        <v>0</v>
      </c>
      <c r="I37" s="113">
        <f t="shared" si="14"/>
        <v>0</v>
      </c>
      <c r="J37" s="108">
        <v>12.05</v>
      </c>
      <c r="K37" s="109">
        <v>0</v>
      </c>
      <c r="L37" s="109">
        <v>0</v>
      </c>
      <c r="M37" s="116">
        <v>0</v>
      </c>
      <c r="N37" s="110" t="s">
        <v>91</v>
      </c>
      <c r="O37" s="1"/>
    </row>
    <row r="38" spans="1:15" s="13" customFormat="1">
      <c r="C38" s="30" t="s">
        <v>96</v>
      </c>
      <c r="D38" s="114">
        <f>J38*K38*L38*M38</f>
        <v>0</v>
      </c>
      <c r="E38" s="91">
        <f t="shared" ref="E38:H38" si="16">D38*$D$12</f>
        <v>0</v>
      </c>
      <c r="F38" s="91">
        <f t="shared" si="16"/>
        <v>0</v>
      </c>
      <c r="G38" s="91">
        <f t="shared" si="16"/>
        <v>0</v>
      </c>
      <c r="H38" s="91">
        <f t="shared" si="16"/>
        <v>0</v>
      </c>
      <c r="I38" s="91">
        <f t="shared" si="14"/>
        <v>0</v>
      </c>
      <c r="J38" s="108">
        <v>21.67</v>
      </c>
      <c r="K38" s="109">
        <v>0</v>
      </c>
      <c r="L38" s="109">
        <v>0</v>
      </c>
      <c r="M38" s="116">
        <v>0</v>
      </c>
      <c r="N38" s="110" t="s">
        <v>92</v>
      </c>
      <c r="O38" s="1"/>
    </row>
    <row r="39" spans="1:15" s="13" customFormat="1">
      <c r="C39" s="13" t="s">
        <v>11</v>
      </c>
      <c r="D39" s="10">
        <f>SUM(D35:D38)</f>
        <v>0</v>
      </c>
      <c r="E39" s="10">
        <f>SUM(E35:E38)</f>
        <v>0</v>
      </c>
      <c r="F39" s="10">
        <f>SUM(F35:F38)</f>
        <v>0</v>
      </c>
      <c r="G39" s="10">
        <f>SUM(G35:G38)</f>
        <v>0</v>
      </c>
      <c r="H39" s="10">
        <f>SUM(H35:H38)</f>
        <v>0</v>
      </c>
      <c r="I39" s="12">
        <f>SUM(D39:H39)</f>
        <v>0</v>
      </c>
      <c r="J39" s="12"/>
      <c r="K39" s="9"/>
    </row>
    <row r="40" spans="1:15" s="13" customFormat="1">
      <c r="D40" s="10"/>
      <c r="E40" s="10"/>
      <c r="F40" s="10"/>
      <c r="G40" s="10"/>
      <c r="H40" s="10"/>
      <c r="I40" s="12"/>
      <c r="J40" s="12" t="s">
        <v>113</v>
      </c>
      <c r="K40" s="9"/>
    </row>
    <row r="41" spans="1:15" s="13" customFormat="1">
      <c r="A41" s="13" t="s">
        <v>53</v>
      </c>
      <c r="C41" s="1"/>
      <c r="D41" s="35"/>
      <c r="E41" s="7"/>
      <c r="F41" s="7"/>
      <c r="J41" s="12" t="s">
        <v>111</v>
      </c>
      <c r="K41" s="1"/>
      <c r="L41" s="1"/>
      <c r="M41" s="1"/>
      <c r="N41" s="1"/>
      <c r="O41" s="1"/>
    </row>
    <row r="42" spans="1:15" s="13" customFormat="1">
      <c r="A42" s="1"/>
      <c r="B42" s="1"/>
      <c r="C42" s="48" t="s">
        <v>12</v>
      </c>
      <c r="D42" s="91">
        <f>D32*0.306</f>
        <v>0</v>
      </c>
      <c r="E42" s="91">
        <f t="shared" ref="E42:H42" si="17">E32*0.306</f>
        <v>0</v>
      </c>
      <c r="F42" s="91">
        <f t="shared" si="17"/>
        <v>0</v>
      </c>
      <c r="G42" s="91">
        <f t="shared" si="17"/>
        <v>0</v>
      </c>
      <c r="H42" s="91">
        <f t="shared" si="17"/>
        <v>0</v>
      </c>
      <c r="I42" s="92">
        <f>SUM(D42:H42)</f>
        <v>0</v>
      </c>
      <c r="J42" s="12"/>
      <c r="K42" s="1"/>
      <c r="L42" s="1"/>
      <c r="M42" s="1"/>
      <c r="N42" s="1"/>
      <c r="O42" s="1"/>
    </row>
    <row r="43" spans="1:15">
      <c r="A43" s="13"/>
      <c r="B43" s="13"/>
      <c r="C43" s="15" t="s">
        <v>5</v>
      </c>
      <c r="D43" s="93">
        <f>SUM(D42:D42)</f>
        <v>0</v>
      </c>
      <c r="E43" s="93">
        <f t="shared" ref="E43:H43" si="18">SUM(E42:E42)</f>
        <v>0</v>
      </c>
      <c r="F43" s="93">
        <f t="shared" si="18"/>
        <v>0</v>
      </c>
      <c r="G43" s="93">
        <f t="shared" si="18"/>
        <v>0</v>
      </c>
      <c r="H43" s="93">
        <f t="shared" si="18"/>
        <v>0</v>
      </c>
      <c r="I43" s="94">
        <f>SUM(D43:H43)</f>
        <v>0</v>
      </c>
      <c r="J43" s="1"/>
    </row>
    <row r="44" spans="1:15">
      <c r="A44" s="13"/>
      <c r="B44" s="13"/>
      <c r="C44" s="15"/>
      <c r="D44" s="10"/>
      <c r="E44" s="10"/>
      <c r="F44" s="10"/>
      <c r="G44" s="10"/>
      <c r="H44" s="10"/>
      <c r="I44" s="12"/>
      <c r="J44" s="1"/>
    </row>
    <row r="45" spans="1:15">
      <c r="A45" s="13" t="s">
        <v>54</v>
      </c>
      <c r="B45" s="13"/>
      <c r="D45" s="35"/>
      <c r="G45" s="1"/>
      <c r="H45" s="1"/>
      <c r="I45" s="1"/>
      <c r="J45" s="1"/>
    </row>
    <row r="46" spans="1:15">
      <c r="C46" s="30" t="s">
        <v>19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46">
        <f>SUM(D46:H46)</f>
        <v>0</v>
      </c>
      <c r="J46" s="1"/>
    </row>
    <row r="47" spans="1:15">
      <c r="A47" s="13"/>
      <c r="B47" s="13"/>
      <c r="C47" s="15" t="s">
        <v>8</v>
      </c>
      <c r="D47" s="10">
        <f>SUM(D46:D46)</f>
        <v>0</v>
      </c>
      <c r="E47" s="10">
        <f t="shared" ref="E47:H47" si="19">SUM(E46:E46)</f>
        <v>0</v>
      </c>
      <c r="F47" s="10">
        <f t="shared" si="19"/>
        <v>0</v>
      </c>
      <c r="G47" s="10">
        <f t="shared" si="19"/>
        <v>0</v>
      </c>
      <c r="H47" s="10">
        <f t="shared" si="19"/>
        <v>0</v>
      </c>
      <c r="I47" s="47">
        <f>SUM(D47:H47)</f>
        <v>0</v>
      </c>
      <c r="J47" s="1"/>
      <c r="K47" s="13"/>
      <c r="L47" s="13"/>
      <c r="M47" s="13"/>
      <c r="N47" s="13"/>
      <c r="O47" s="13"/>
    </row>
    <row r="48" spans="1:15">
      <c r="A48" s="13"/>
      <c r="B48" s="13"/>
      <c r="C48" s="15"/>
      <c r="D48" s="10"/>
      <c r="E48" s="10"/>
      <c r="F48" s="10"/>
      <c r="G48" s="10"/>
      <c r="H48" s="10"/>
      <c r="I48" s="10"/>
      <c r="J48" s="1"/>
    </row>
    <row r="49" spans="1:15" s="13" customFormat="1">
      <c r="A49" s="13" t="s">
        <v>55</v>
      </c>
      <c r="C49" s="1"/>
      <c r="D49" s="35"/>
      <c r="E49" s="7"/>
      <c r="F49" s="7"/>
      <c r="L49" s="17"/>
      <c r="M49" s="17"/>
    </row>
    <row r="50" spans="1:15" s="13" customFormat="1">
      <c r="C50" s="1" t="s">
        <v>7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2">
        <f>SUM(D50:H50)</f>
        <v>0</v>
      </c>
      <c r="L50" s="17"/>
      <c r="M50" s="17"/>
    </row>
    <row r="51" spans="1:15">
      <c r="C51" s="48" t="s">
        <v>67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46">
        <f>SUM(D51:H51)</f>
        <v>0</v>
      </c>
      <c r="J51" s="47"/>
    </row>
    <row r="52" spans="1:15" s="13" customFormat="1">
      <c r="C52" s="15" t="s">
        <v>6</v>
      </c>
      <c r="D52" s="10">
        <f>SUM(D50:D51)</f>
        <v>0</v>
      </c>
      <c r="E52" s="10">
        <f t="shared" ref="E52:H52" si="20">SUM(E50:E51)</f>
        <v>0</v>
      </c>
      <c r="F52" s="10">
        <f t="shared" si="20"/>
        <v>0</v>
      </c>
      <c r="G52" s="10">
        <f t="shared" si="20"/>
        <v>0</v>
      </c>
      <c r="H52" s="10">
        <f t="shared" si="20"/>
        <v>0</v>
      </c>
      <c r="I52" s="12">
        <f>SUM(D52:H52)</f>
        <v>0</v>
      </c>
      <c r="J52" s="12"/>
    </row>
    <row r="53" spans="1:15">
      <c r="D53" s="35"/>
      <c r="G53" s="1"/>
      <c r="H53" s="1"/>
      <c r="I53" s="1"/>
      <c r="J53" s="1"/>
      <c r="K53" s="13"/>
      <c r="L53" s="13"/>
      <c r="M53" s="13"/>
      <c r="N53" s="13"/>
      <c r="O53" s="13"/>
    </row>
    <row r="54" spans="1:15" s="13" customFormat="1">
      <c r="A54" s="13" t="s">
        <v>68</v>
      </c>
      <c r="C54" s="1"/>
      <c r="D54" s="35"/>
      <c r="E54" s="7"/>
      <c r="F54" s="7"/>
    </row>
    <row r="55" spans="1:15" s="13" customFormat="1">
      <c r="C55" s="1" t="s">
        <v>77</v>
      </c>
      <c r="D55" s="49">
        <v>0</v>
      </c>
      <c r="E55" s="49">
        <v>0</v>
      </c>
      <c r="F55" s="49">
        <v>0</v>
      </c>
      <c r="G55" s="49">
        <v>0</v>
      </c>
      <c r="H55" s="49">
        <v>0</v>
      </c>
      <c r="I55" s="8">
        <f>SUM(D55:H55)</f>
        <v>0</v>
      </c>
      <c r="J55" s="2"/>
    </row>
    <row r="56" spans="1:15" s="13" customFormat="1">
      <c r="C56" s="1" t="s">
        <v>78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8">
        <f>SUM(D56:H56)</f>
        <v>0</v>
      </c>
      <c r="J56" s="2"/>
    </row>
    <row r="57" spans="1:15" s="13" customFormat="1">
      <c r="C57" s="1" t="s">
        <v>79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8">
        <f>SUM(D57:H57)</f>
        <v>0</v>
      </c>
      <c r="J57" s="2"/>
    </row>
    <row r="58" spans="1:15" s="13" customFormat="1">
      <c r="C58" s="30" t="s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46">
        <f t="shared" ref="I58" si="21">SUM(D58:H58)</f>
        <v>0</v>
      </c>
      <c r="J58" s="2"/>
    </row>
    <row r="59" spans="1:15" s="13" customFormat="1">
      <c r="C59" s="15" t="s">
        <v>52</v>
      </c>
      <c r="D59" s="10">
        <f>SUM(D55:D58)</f>
        <v>0</v>
      </c>
      <c r="E59" s="10">
        <f>SUM(E55:E58)</f>
        <v>0</v>
      </c>
      <c r="F59" s="10">
        <f>SUM(F55:F58)</f>
        <v>0</v>
      </c>
      <c r="G59" s="10">
        <f>SUM(G55:G58)</f>
        <v>0</v>
      </c>
      <c r="H59" s="10">
        <f>SUM(H55:H58)</f>
        <v>0</v>
      </c>
      <c r="I59" s="12">
        <f>SUM(D59:H59)</f>
        <v>0</v>
      </c>
      <c r="J59" s="51"/>
    </row>
    <row r="60" spans="1:15" s="13" customFormat="1">
      <c r="C60" s="15"/>
      <c r="D60" s="10"/>
      <c r="E60" s="10"/>
      <c r="F60" s="10"/>
      <c r="G60" s="10"/>
      <c r="H60" s="10"/>
      <c r="I60" s="12"/>
      <c r="J60" s="51"/>
    </row>
    <row r="61" spans="1:15" s="13" customFormat="1">
      <c r="A61" s="13" t="s">
        <v>56</v>
      </c>
      <c r="C61" s="1"/>
      <c r="D61" s="35"/>
      <c r="E61" s="7"/>
      <c r="F61" s="7"/>
      <c r="J61" s="51"/>
    </row>
    <row r="62" spans="1:15" s="13" customFormat="1">
      <c r="C62" s="1" t="s">
        <v>69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117">
        <f>SUM(D62:H62)</f>
        <v>0</v>
      </c>
      <c r="J62" s="51"/>
    </row>
    <row r="63" spans="1:15" s="13" customFormat="1">
      <c r="C63" s="1" t="s">
        <v>80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73">
        <f t="shared" ref="I63:I65" si="22">SUM(D63:H63)</f>
        <v>0</v>
      </c>
      <c r="J63" s="51"/>
    </row>
    <row r="64" spans="1:15" s="13" customFormat="1">
      <c r="C64" s="1" t="s">
        <v>1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73">
        <f t="shared" si="22"/>
        <v>0</v>
      </c>
      <c r="J64" s="51"/>
    </row>
    <row r="65" spans="1:11" s="13" customFormat="1">
      <c r="C65" s="90" t="s">
        <v>1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73">
        <f t="shared" si="22"/>
        <v>0</v>
      </c>
      <c r="J65" s="51"/>
    </row>
    <row r="66" spans="1:11" s="13" customFormat="1">
      <c r="C66" s="84" t="s">
        <v>83</v>
      </c>
      <c r="D66" s="88">
        <f t="shared" ref="D66:I66" si="23">SUM(D62:D65)</f>
        <v>0</v>
      </c>
      <c r="E66" s="88">
        <f t="shared" si="23"/>
        <v>0</v>
      </c>
      <c r="F66" s="88">
        <f t="shared" si="23"/>
        <v>0</v>
      </c>
      <c r="G66" s="88">
        <f t="shared" si="23"/>
        <v>0</v>
      </c>
      <c r="H66" s="88">
        <f t="shared" si="23"/>
        <v>0</v>
      </c>
      <c r="I66" s="89">
        <f t="shared" si="23"/>
        <v>0</v>
      </c>
      <c r="J66" s="7"/>
    </row>
    <row r="67" spans="1:11" s="13" customFormat="1">
      <c r="C67" s="1"/>
      <c r="D67" s="35"/>
      <c r="E67" s="7"/>
      <c r="F67" s="7"/>
    </row>
    <row r="68" spans="1:11" s="13" customFormat="1">
      <c r="C68" s="1" t="s">
        <v>103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47">
        <f>SUM(D68:H68)</f>
        <v>0</v>
      </c>
      <c r="J68" s="2"/>
    </row>
    <row r="69" spans="1:11" s="13" customFormat="1">
      <c r="C69" s="90" t="s">
        <v>102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47">
        <f>SUM(D69:H69)</f>
        <v>0</v>
      </c>
      <c r="J69" s="2"/>
    </row>
    <row r="70" spans="1:11" s="13" customFormat="1">
      <c r="C70" s="84" t="s">
        <v>71</v>
      </c>
      <c r="D70" s="88">
        <f>SUM(D68:D69)</f>
        <v>0</v>
      </c>
      <c r="E70" s="88">
        <f>SUM(E68:E69)</f>
        <v>0</v>
      </c>
      <c r="F70" s="88">
        <f>SUM(F68:F69)</f>
        <v>0</v>
      </c>
      <c r="G70" s="88">
        <f>SUM(G68:G69)</f>
        <v>0</v>
      </c>
      <c r="H70" s="88">
        <f>SUM(H68:H69)</f>
        <v>0</v>
      </c>
      <c r="I70" s="89">
        <f t="shared" ref="I70" si="24">SUM(D70:H70)</f>
        <v>0</v>
      </c>
      <c r="J70" s="10"/>
    </row>
    <row r="71" spans="1:11" s="13" customFormat="1">
      <c r="C71" s="15"/>
      <c r="D71" s="10"/>
      <c r="E71" s="10"/>
      <c r="F71" s="10"/>
      <c r="G71" s="10"/>
      <c r="H71" s="10"/>
      <c r="I71" s="12"/>
      <c r="J71" s="10"/>
    </row>
    <row r="72" spans="1:11" s="13" customFormat="1">
      <c r="C72" s="45" t="s">
        <v>106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47">
        <f>SUM(D72:H72)</f>
        <v>0</v>
      </c>
      <c r="J72" s="10"/>
    </row>
    <row r="73" spans="1:11" s="13" customFormat="1">
      <c r="C73" s="84" t="s">
        <v>107</v>
      </c>
      <c r="D73" s="88">
        <f>D72</f>
        <v>0</v>
      </c>
      <c r="E73" s="88">
        <f>SUM(E72)</f>
        <v>0</v>
      </c>
      <c r="F73" s="88">
        <f t="shared" ref="F73:H73" si="25">F72</f>
        <v>0</v>
      </c>
      <c r="G73" s="88">
        <f t="shared" si="25"/>
        <v>0</v>
      </c>
      <c r="H73" s="88">
        <f t="shared" si="25"/>
        <v>0</v>
      </c>
      <c r="I73" s="89">
        <f t="shared" ref="I73" si="26">SUM(D73:H73)</f>
        <v>0</v>
      </c>
      <c r="J73" s="10"/>
    </row>
    <row r="74" spans="1:11" s="13" customFormat="1">
      <c r="C74" s="54"/>
      <c r="D74" s="68"/>
      <c r="E74" s="68"/>
      <c r="F74" s="68"/>
      <c r="G74" s="68"/>
      <c r="H74" s="68"/>
      <c r="I74" s="69"/>
      <c r="J74" s="10"/>
    </row>
    <row r="75" spans="1:11" s="13" customFormat="1">
      <c r="C75" s="15" t="s">
        <v>70</v>
      </c>
      <c r="D75" s="10">
        <f t="shared" ref="D75:H75" si="27">D66+D70+D73</f>
        <v>0</v>
      </c>
      <c r="E75" s="10">
        <f t="shared" si="27"/>
        <v>0</v>
      </c>
      <c r="F75" s="10">
        <f t="shared" si="27"/>
        <v>0</v>
      </c>
      <c r="G75" s="10">
        <f t="shared" si="27"/>
        <v>0</v>
      </c>
      <c r="H75" s="10">
        <f t="shared" si="27"/>
        <v>0</v>
      </c>
      <c r="I75" s="10">
        <f>I66+I70+I73</f>
        <v>0</v>
      </c>
      <c r="J75" s="10"/>
    </row>
    <row r="76" spans="1:11" s="13" customFormat="1">
      <c r="C76" s="15"/>
      <c r="D76" s="10"/>
      <c r="E76" s="10"/>
      <c r="F76" s="10"/>
      <c r="G76" s="10"/>
      <c r="H76" s="10"/>
      <c r="I76" s="12"/>
      <c r="J76" s="10"/>
    </row>
    <row r="77" spans="1:11" s="13" customFormat="1">
      <c r="A77" s="13" t="s">
        <v>86</v>
      </c>
      <c r="C77" s="15"/>
      <c r="D77" s="10"/>
      <c r="E77" s="10"/>
      <c r="F77" s="10"/>
      <c r="G77" s="10"/>
      <c r="H77" s="10"/>
      <c r="I77" s="12"/>
      <c r="J77" s="10"/>
    </row>
    <row r="78" spans="1:11" s="13" customFormat="1">
      <c r="C78" s="39" t="s">
        <v>104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47">
        <f>SUM(D78:H78)</f>
        <v>0</v>
      </c>
      <c r="J78" s="10"/>
    </row>
    <row r="79" spans="1:11" s="13" customFormat="1">
      <c r="C79" s="48" t="s">
        <v>105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46">
        <f>SUM(D79:H79)</f>
        <v>0</v>
      </c>
      <c r="J79" s="10"/>
    </row>
    <row r="80" spans="1:11" s="13" customFormat="1">
      <c r="C80" s="13" t="s">
        <v>88</v>
      </c>
      <c r="D80" s="35">
        <f>SUM(D78:D79)</f>
        <v>0</v>
      </c>
      <c r="E80" s="35">
        <f t="shared" ref="E80:H80" si="28">SUM(E78:E79)</f>
        <v>0</v>
      </c>
      <c r="F80" s="35">
        <f t="shared" si="28"/>
        <v>0</v>
      </c>
      <c r="G80" s="35">
        <f t="shared" si="28"/>
        <v>0</v>
      </c>
      <c r="H80" s="35">
        <f t="shared" si="28"/>
        <v>0</v>
      </c>
      <c r="I80" s="12">
        <f t="shared" ref="I80" si="29">SUM(D80:H80)</f>
        <v>0</v>
      </c>
      <c r="K80" s="7"/>
    </row>
    <row r="81" spans="1:15" s="13" customFormat="1">
      <c r="C81" s="1"/>
      <c r="D81" s="35"/>
      <c r="E81" s="7"/>
      <c r="F81" s="7"/>
    </row>
    <row r="82" spans="1:15" s="13" customFormat="1">
      <c r="A82" s="15" t="s">
        <v>57</v>
      </c>
      <c r="B82" s="15"/>
      <c r="C82" s="15"/>
      <c r="D82" s="10">
        <f>D32+D43+D39+D52+D47+D59+D75+D80</f>
        <v>0</v>
      </c>
      <c r="E82" s="10">
        <f>E32+E43+E39+E52+E47+E59+E75+E80</f>
        <v>0</v>
      </c>
      <c r="F82" s="10">
        <f>F32+F43+F39+F52+F47+F59+F75+F80</f>
        <v>0</v>
      </c>
      <c r="G82" s="10">
        <f>G32+G43+G39+G52+G47+G59+G75+G80</f>
        <v>0</v>
      </c>
      <c r="H82" s="10">
        <f>H32+H43+H39+H52+H47+H59+H75+H80</f>
        <v>0</v>
      </c>
      <c r="I82" s="27">
        <f>SUM(D82:H82)</f>
        <v>0</v>
      </c>
      <c r="J82" s="10"/>
      <c r="K82" s="17"/>
    </row>
    <row r="83" spans="1:15" s="13" customFormat="1" ht="13.5" thickBot="1">
      <c r="A83" s="16" t="s">
        <v>101</v>
      </c>
      <c r="B83" s="16"/>
      <c r="C83" s="95">
        <v>0.48499999999999999</v>
      </c>
      <c r="D83" s="53">
        <f>D87*$C$83</f>
        <v>0</v>
      </c>
      <c r="E83" s="53">
        <f t="shared" ref="E83:H83" si="30">E87*$C$83</f>
        <v>0</v>
      </c>
      <c r="F83" s="53">
        <f t="shared" si="30"/>
        <v>0</v>
      </c>
      <c r="G83" s="53">
        <f t="shared" si="30"/>
        <v>0</v>
      </c>
      <c r="H83" s="53">
        <f t="shared" si="30"/>
        <v>0</v>
      </c>
      <c r="I83" s="11">
        <f>SUM(D83:H83)</f>
        <v>0</v>
      </c>
      <c r="J83" s="27"/>
      <c r="K83" s="1"/>
      <c r="L83" s="1"/>
      <c r="M83" s="1"/>
      <c r="N83" s="1"/>
      <c r="O83" s="1"/>
    </row>
    <row r="84" spans="1:15" s="13" customFormat="1" ht="13.5" thickTop="1">
      <c r="A84" s="15" t="s">
        <v>58</v>
      </c>
      <c r="B84" s="15"/>
      <c r="C84" s="15"/>
      <c r="D84" s="10">
        <f>D82+D83</f>
        <v>0</v>
      </c>
      <c r="E84" s="10">
        <f>E82+E83</f>
        <v>0</v>
      </c>
      <c r="F84" s="10">
        <f>F82+F83</f>
        <v>0</v>
      </c>
      <c r="G84" s="10">
        <f>G82+G83</f>
        <v>0</v>
      </c>
      <c r="H84" s="10">
        <f>H82+H83</f>
        <v>0</v>
      </c>
      <c r="I84" s="27">
        <f>SUM(D84:H84)</f>
        <v>0</v>
      </c>
      <c r="J84" s="12"/>
      <c r="K84" s="1"/>
      <c r="L84" s="1"/>
      <c r="M84" s="1"/>
      <c r="N84" s="1"/>
      <c r="O84" s="1"/>
    </row>
    <row r="85" spans="1:15">
      <c r="D85" s="35"/>
      <c r="H85" s="1"/>
      <c r="I85" s="1"/>
      <c r="J85" s="1"/>
    </row>
    <row r="86" spans="1:15">
      <c r="D86" s="35"/>
      <c r="H86" s="1"/>
      <c r="I86" s="1"/>
      <c r="J86" s="1"/>
    </row>
    <row r="87" spans="1:15">
      <c r="A87" s="39" t="s">
        <v>109</v>
      </c>
      <c r="B87" s="39"/>
      <c r="C87" s="39"/>
      <c r="D87" s="52">
        <f>D32+D39</f>
        <v>0</v>
      </c>
      <c r="E87" s="52">
        <f t="shared" ref="E87:H87" si="31">E32+E39</f>
        <v>0</v>
      </c>
      <c r="F87" s="52">
        <f t="shared" si="31"/>
        <v>0</v>
      </c>
      <c r="G87" s="52">
        <f t="shared" si="31"/>
        <v>0</v>
      </c>
      <c r="H87" s="52">
        <f t="shared" si="31"/>
        <v>0</v>
      </c>
      <c r="I87" s="47">
        <f>SUM(D87:H87)</f>
        <v>0</v>
      </c>
      <c r="J87" s="3"/>
      <c r="L87" s="2"/>
    </row>
    <row r="88" spans="1:15">
      <c r="A88" s="39"/>
      <c r="B88" s="39"/>
      <c r="C88" s="39"/>
      <c r="D88" s="52"/>
      <c r="E88" s="52"/>
      <c r="F88" s="52"/>
      <c r="G88" s="52"/>
      <c r="H88" s="52"/>
      <c r="I88" s="47"/>
      <c r="J88" s="3"/>
      <c r="L88" s="2"/>
    </row>
    <row r="89" spans="1:15" ht="18.75" customHeight="1">
      <c r="A89" s="96" t="s">
        <v>110</v>
      </c>
      <c r="B89" s="34"/>
      <c r="C89" s="13"/>
      <c r="D89" s="35"/>
    </row>
  </sheetData>
  <mergeCells count="5">
    <mergeCell ref="D1:E1"/>
    <mergeCell ref="D2:E2"/>
    <mergeCell ref="D4:H4"/>
    <mergeCell ref="I4:J4"/>
    <mergeCell ref="B12:C12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0" sqref="A20"/>
    </sheetView>
  </sheetViews>
  <sheetFormatPr defaultRowHeight="15"/>
  <cols>
    <col min="1" max="1" width="37" bestFit="1" customWidth="1"/>
    <col min="2" max="2" width="11.5703125" bestFit="1" customWidth="1"/>
    <col min="3" max="6" width="10.5703125" bestFit="1" customWidth="1"/>
    <col min="7" max="7" width="12.28515625" customWidth="1"/>
    <col min="9" max="9" width="12.140625" style="23" bestFit="1" customWidth="1"/>
  </cols>
  <sheetData>
    <row r="1" spans="1:9" s="21" customFormat="1">
      <c r="A1" s="21" t="s">
        <v>33</v>
      </c>
      <c r="B1" s="21" t="s">
        <v>3</v>
      </c>
      <c r="C1" s="21" t="s">
        <v>20</v>
      </c>
      <c r="D1" s="21" t="s">
        <v>21</v>
      </c>
      <c r="E1" s="21" t="s">
        <v>30</v>
      </c>
      <c r="F1" s="21" t="s">
        <v>31</v>
      </c>
      <c r="G1" s="21" t="s">
        <v>14</v>
      </c>
      <c r="I1" s="23" t="s">
        <v>35</v>
      </c>
    </row>
    <row r="2" spans="1:9">
      <c r="A2" t="s">
        <v>32</v>
      </c>
      <c r="B2" s="20">
        <f>'Budget Template'!D32+'Budget Template'!D39</f>
        <v>0</v>
      </c>
      <c r="C2" s="20">
        <f>'Budget Template'!E32+'Budget Template'!E39</f>
        <v>0</v>
      </c>
      <c r="D2" s="20">
        <f>'Budget Template'!F32+'Budget Template'!F39</f>
        <v>0</v>
      </c>
      <c r="E2" s="20">
        <f>'Budget Template'!G32+'Budget Template'!G39</f>
        <v>0</v>
      </c>
      <c r="F2" s="20">
        <f>'Budget Template'!H32+'Budget Template'!H39</f>
        <v>0</v>
      </c>
      <c r="G2" s="20">
        <f>'Budget Template'!I32+'Budget Template'!I39</f>
        <v>0</v>
      </c>
    </row>
    <row r="3" spans="1:9">
      <c r="A3" t="s">
        <v>18</v>
      </c>
      <c r="B3" s="20">
        <f>'Budget Template'!D43</f>
        <v>0</v>
      </c>
      <c r="C3" s="20">
        <f>'Budget Template'!E43</f>
        <v>0</v>
      </c>
      <c r="D3" s="20">
        <f>'Budget Template'!F43</f>
        <v>0</v>
      </c>
      <c r="E3" s="20">
        <f>'Budget Template'!G43</f>
        <v>0</v>
      </c>
      <c r="F3" s="20">
        <f>'Budget Template'!H43</f>
        <v>0</v>
      </c>
      <c r="G3" s="20">
        <f>'Budget Template'!I43</f>
        <v>0</v>
      </c>
    </row>
    <row r="4" spans="1:9">
      <c r="A4" t="s">
        <v>0</v>
      </c>
      <c r="B4" s="20">
        <f>'Budget Template'!D52</f>
        <v>0</v>
      </c>
      <c r="C4" s="20">
        <f>'Budget Template'!E52</f>
        <v>0</v>
      </c>
      <c r="D4" s="20">
        <f>'Budget Template'!F52</f>
        <v>0</v>
      </c>
      <c r="E4" s="20">
        <f>'Budget Template'!G52</f>
        <v>0</v>
      </c>
      <c r="F4" s="20">
        <f>'Budget Template'!H52</f>
        <v>0</v>
      </c>
      <c r="G4" s="20">
        <f>'Budget Template'!I52</f>
        <v>0</v>
      </c>
    </row>
    <row r="5" spans="1:9">
      <c r="A5" t="s">
        <v>19</v>
      </c>
      <c r="B5" s="20">
        <f>'Budget Template'!D47</f>
        <v>0</v>
      </c>
      <c r="C5" s="20">
        <f>'Budget Template'!E47</f>
        <v>0</v>
      </c>
      <c r="D5" s="20">
        <f>'Budget Template'!F47</f>
        <v>0</v>
      </c>
      <c r="E5" s="20">
        <f>'Budget Template'!G47</f>
        <v>0</v>
      </c>
      <c r="F5" s="20">
        <f>'Budget Template'!H47</f>
        <v>0</v>
      </c>
      <c r="G5" s="20">
        <f>'Budget Template'!I47</f>
        <v>0</v>
      </c>
    </row>
    <row r="6" spans="1:9">
      <c r="A6" t="s">
        <v>60</v>
      </c>
      <c r="B6" s="20">
        <f>'Budget Template'!D59</f>
        <v>0</v>
      </c>
      <c r="C6" s="20">
        <f>'Budget Template'!E59</f>
        <v>0</v>
      </c>
      <c r="D6" s="20">
        <f>'Budget Template'!F59</f>
        <v>0</v>
      </c>
      <c r="E6" s="20">
        <f>'Budget Template'!G59</f>
        <v>0</v>
      </c>
      <c r="F6" s="20">
        <f>'Budget Template'!H59</f>
        <v>0</v>
      </c>
      <c r="G6" s="20">
        <f>'Budget Template'!I59</f>
        <v>0</v>
      </c>
    </row>
    <row r="7" spans="1:9">
      <c r="A7" t="s">
        <v>61</v>
      </c>
      <c r="B7" s="20">
        <f>'Budget Template'!D75</f>
        <v>0</v>
      </c>
      <c r="C7" s="20">
        <f>'Budget Template'!E75</f>
        <v>0</v>
      </c>
      <c r="D7" s="20">
        <f>'Budget Template'!F75</f>
        <v>0</v>
      </c>
      <c r="E7" s="20">
        <f>'Budget Template'!G75</f>
        <v>0</v>
      </c>
      <c r="F7" s="20">
        <f>'Budget Template'!H75</f>
        <v>0</v>
      </c>
      <c r="G7" s="20">
        <f>'Budget Template'!I75</f>
        <v>0</v>
      </c>
    </row>
    <row r="8" spans="1:9">
      <c r="A8" s="70" t="s">
        <v>34</v>
      </c>
      <c r="B8" s="71">
        <f>'Budget Template'!D80</f>
        <v>0</v>
      </c>
      <c r="C8" s="71">
        <f>'Budget Template'!E80</f>
        <v>0</v>
      </c>
      <c r="D8" s="71">
        <f>'Budget Template'!F80</f>
        <v>0</v>
      </c>
      <c r="E8" s="71">
        <f>'Budget Template'!G80</f>
        <v>0</v>
      </c>
      <c r="F8" s="71">
        <f>'Budget Template'!H80</f>
        <v>0</v>
      </c>
      <c r="G8" s="71">
        <f>'Budget Template'!I80</f>
        <v>0</v>
      </c>
    </row>
    <row r="9" spans="1:9" s="21" customFormat="1">
      <c r="A9" s="21" t="s">
        <v>2</v>
      </c>
      <c r="B9" s="22">
        <f>'Budget Template'!D82</f>
        <v>0</v>
      </c>
      <c r="C9" s="22">
        <f>'Budget Template'!E82</f>
        <v>0</v>
      </c>
      <c r="D9" s="22">
        <f>'Budget Template'!F82</f>
        <v>0</v>
      </c>
      <c r="E9" s="22">
        <f>'Budget Template'!G82</f>
        <v>0</v>
      </c>
      <c r="F9" s="22">
        <f>'Budget Template'!H82</f>
        <v>0</v>
      </c>
      <c r="G9" s="22">
        <f>'Budget Template'!I82</f>
        <v>0</v>
      </c>
      <c r="I9" s="24">
        <f>SUM(G2:G8)</f>
        <v>0</v>
      </c>
    </row>
    <row r="10" spans="1:9">
      <c r="A10" s="70" t="s">
        <v>36</v>
      </c>
      <c r="B10" s="71">
        <f>'Budget Template'!D83</f>
        <v>0</v>
      </c>
      <c r="C10" s="71">
        <f>'Budget Template'!E83</f>
        <v>0</v>
      </c>
      <c r="D10" s="71">
        <f>'Budget Template'!F83</f>
        <v>0</v>
      </c>
      <c r="E10" s="71">
        <f>'Budget Template'!G83</f>
        <v>0</v>
      </c>
      <c r="F10" s="71">
        <f>'Budget Template'!H83</f>
        <v>0</v>
      </c>
      <c r="G10" s="71">
        <f>'Budget Template'!I83</f>
        <v>0</v>
      </c>
    </row>
    <row r="11" spans="1:9" s="21" customFormat="1">
      <c r="A11" s="21" t="s">
        <v>37</v>
      </c>
      <c r="B11" s="22">
        <f>SUM(B9:B10)</f>
        <v>0</v>
      </c>
      <c r="C11" s="22">
        <f t="shared" ref="C11:F11" si="0">SUM(C9:C10)</f>
        <v>0</v>
      </c>
      <c r="D11" s="22">
        <f t="shared" si="0"/>
        <v>0</v>
      </c>
      <c r="E11" s="22">
        <f t="shared" si="0"/>
        <v>0</v>
      </c>
      <c r="F11" s="22">
        <f t="shared" si="0"/>
        <v>0</v>
      </c>
      <c r="G11" s="22">
        <f>SUM(B11:F11)</f>
        <v>0</v>
      </c>
      <c r="I11" s="24">
        <f>G9+G10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E45"/>
  <sheetViews>
    <sheetView topLeftCell="A8" workbookViewId="0">
      <selection activeCell="D3" sqref="D3"/>
    </sheetView>
  </sheetViews>
  <sheetFormatPr defaultRowHeight="15"/>
  <cols>
    <col min="1" max="1" width="11.7109375" bestFit="1" customWidth="1"/>
    <col min="3" max="3" width="16.28515625" bestFit="1" customWidth="1"/>
    <col min="5" max="5" width="10.5703125" bestFit="1" customWidth="1"/>
    <col min="7" max="7" width="11.5703125" bestFit="1" customWidth="1"/>
  </cols>
  <sheetData>
    <row r="3" spans="1:5">
      <c r="A3" s="21" t="s">
        <v>26</v>
      </c>
      <c r="C3" t="s">
        <v>23</v>
      </c>
      <c r="D3" t="s">
        <v>14</v>
      </c>
    </row>
    <row r="4" spans="1:5">
      <c r="B4" t="s">
        <v>22</v>
      </c>
      <c r="C4" t="s">
        <v>25</v>
      </c>
      <c r="D4" t="s">
        <v>24</v>
      </c>
    </row>
    <row r="5" spans="1:5">
      <c r="A5" t="s">
        <v>13</v>
      </c>
      <c r="B5" s="26">
        <v>35</v>
      </c>
      <c r="E5" s="18">
        <f>B5*C5*D5</f>
        <v>0</v>
      </c>
    </row>
    <row r="6" spans="1:5">
      <c r="A6" t="s">
        <v>15</v>
      </c>
      <c r="B6" s="25"/>
      <c r="E6" s="18">
        <f t="shared" ref="E6:E11" si="0">B6*C6*D6</f>
        <v>0</v>
      </c>
    </row>
    <row r="7" spans="1:5">
      <c r="A7" t="s">
        <v>16</v>
      </c>
      <c r="B7" s="26">
        <v>0.56000000000000005</v>
      </c>
      <c r="C7" s="25"/>
      <c r="E7" s="18">
        <f t="shared" si="0"/>
        <v>0</v>
      </c>
    </row>
    <row r="8" spans="1:5">
      <c r="A8" t="s">
        <v>17</v>
      </c>
      <c r="E8" s="18">
        <f t="shared" si="0"/>
        <v>0</v>
      </c>
    </row>
    <row r="9" spans="1:5">
      <c r="A9" t="s">
        <v>10</v>
      </c>
      <c r="E9" s="18">
        <f t="shared" si="0"/>
        <v>0</v>
      </c>
    </row>
    <row r="10" spans="1:5">
      <c r="A10" t="s">
        <v>9</v>
      </c>
      <c r="E10" s="18">
        <f t="shared" si="0"/>
        <v>0</v>
      </c>
    </row>
    <row r="11" spans="1:5">
      <c r="A11" t="s">
        <v>1</v>
      </c>
      <c r="E11" s="18">
        <f t="shared" si="0"/>
        <v>0</v>
      </c>
    </row>
    <row r="12" spans="1:5">
      <c r="D12" s="21" t="s">
        <v>14</v>
      </c>
      <c r="E12" s="19">
        <f>SUM(E5:E11)</f>
        <v>0</v>
      </c>
    </row>
    <row r="14" spans="1:5">
      <c r="A14" s="21" t="s">
        <v>27</v>
      </c>
      <c r="C14" t="s">
        <v>23</v>
      </c>
      <c r="D14" t="s">
        <v>14</v>
      </c>
    </row>
    <row r="15" spans="1:5">
      <c r="B15" t="s">
        <v>22</v>
      </c>
      <c r="C15" t="s">
        <v>25</v>
      </c>
      <c r="D15" t="s">
        <v>24</v>
      </c>
    </row>
    <row r="16" spans="1:5">
      <c r="A16" t="s">
        <v>13</v>
      </c>
      <c r="B16" s="26">
        <v>35</v>
      </c>
      <c r="E16" s="18">
        <f>B16*C16*D16</f>
        <v>0</v>
      </c>
    </row>
    <row r="17" spans="1:5">
      <c r="A17" t="s">
        <v>15</v>
      </c>
      <c r="B17" s="25"/>
      <c r="E17" s="18">
        <f t="shared" ref="E17:E22" si="1">B17*C17*D17</f>
        <v>0</v>
      </c>
    </row>
    <row r="18" spans="1:5">
      <c r="A18" t="s">
        <v>16</v>
      </c>
      <c r="B18" s="26">
        <v>0.56000000000000005</v>
      </c>
      <c r="C18" s="25"/>
      <c r="E18" s="18">
        <f t="shared" si="1"/>
        <v>0</v>
      </c>
    </row>
    <row r="19" spans="1:5">
      <c r="A19" t="s">
        <v>17</v>
      </c>
      <c r="E19" s="18">
        <f t="shared" si="1"/>
        <v>0</v>
      </c>
    </row>
    <row r="20" spans="1:5">
      <c r="A20" t="s">
        <v>10</v>
      </c>
      <c r="E20" s="18">
        <f t="shared" si="1"/>
        <v>0</v>
      </c>
    </row>
    <row r="21" spans="1:5">
      <c r="A21" t="s">
        <v>9</v>
      </c>
      <c r="E21" s="18">
        <f t="shared" si="1"/>
        <v>0</v>
      </c>
    </row>
    <row r="22" spans="1:5">
      <c r="A22" t="s">
        <v>1</v>
      </c>
      <c r="E22" s="18">
        <f t="shared" si="1"/>
        <v>0</v>
      </c>
    </row>
    <row r="23" spans="1:5">
      <c r="D23" s="21" t="s">
        <v>14</v>
      </c>
      <c r="E23" s="19">
        <f>SUM(E16:E22)</f>
        <v>0</v>
      </c>
    </row>
    <row r="25" spans="1:5">
      <c r="A25" s="21" t="s">
        <v>28</v>
      </c>
      <c r="C25" t="s">
        <v>23</v>
      </c>
      <c r="D25" t="s">
        <v>14</v>
      </c>
    </row>
    <row r="26" spans="1:5">
      <c r="B26" t="s">
        <v>22</v>
      </c>
      <c r="C26" t="s">
        <v>25</v>
      </c>
      <c r="D26" t="s">
        <v>24</v>
      </c>
    </row>
    <row r="27" spans="1:5">
      <c r="A27" t="s">
        <v>13</v>
      </c>
      <c r="B27" s="26">
        <v>35</v>
      </c>
      <c r="E27" s="18">
        <f>B27*C27*D27</f>
        <v>0</v>
      </c>
    </row>
    <row r="28" spans="1:5">
      <c r="A28" t="s">
        <v>15</v>
      </c>
      <c r="B28" s="25"/>
      <c r="E28" s="18">
        <f t="shared" ref="E28:E33" si="2">B28*C28*D28</f>
        <v>0</v>
      </c>
    </row>
    <row r="29" spans="1:5">
      <c r="A29" t="s">
        <v>16</v>
      </c>
      <c r="B29" s="26">
        <v>0.56000000000000005</v>
      </c>
      <c r="C29" s="25"/>
      <c r="E29" s="18">
        <f t="shared" si="2"/>
        <v>0</v>
      </c>
    </row>
    <row r="30" spans="1:5">
      <c r="A30" t="s">
        <v>17</v>
      </c>
      <c r="E30" s="18">
        <f t="shared" si="2"/>
        <v>0</v>
      </c>
    </row>
    <row r="31" spans="1:5">
      <c r="A31" t="s">
        <v>10</v>
      </c>
      <c r="E31" s="18">
        <f t="shared" si="2"/>
        <v>0</v>
      </c>
    </row>
    <row r="32" spans="1:5">
      <c r="A32" t="s">
        <v>9</v>
      </c>
      <c r="E32" s="18">
        <f t="shared" si="2"/>
        <v>0</v>
      </c>
    </row>
    <row r="33" spans="1:5">
      <c r="A33" t="s">
        <v>1</v>
      </c>
      <c r="E33" s="18">
        <f t="shared" si="2"/>
        <v>0</v>
      </c>
    </row>
    <row r="34" spans="1:5">
      <c r="D34" s="21" t="s">
        <v>14</v>
      </c>
      <c r="E34" s="19">
        <f>SUM(E27:E33)</f>
        <v>0</v>
      </c>
    </row>
    <row r="36" spans="1:5">
      <c r="A36" s="21" t="s">
        <v>29</v>
      </c>
      <c r="C36" t="s">
        <v>23</v>
      </c>
      <c r="D36" t="s">
        <v>14</v>
      </c>
    </row>
    <row r="37" spans="1:5">
      <c r="B37" t="s">
        <v>22</v>
      </c>
      <c r="C37" t="s">
        <v>25</v>
      </c>
      <c r="D37" t="s">
        <v>24</v>
      </c>
    </row>
    <row r="38" spans="1:5">
      <c r="A38" t="s">
        <v>13</v>
      </c>
      <c r="B38" s="26">
        <v>35</v>
      </c>
      <c r="E38" s="18">
        <f>B38*C38*D38</f>
        <v>0</v>
      </c>
    </row>
    <row r="39" spans="1:5">
      <c r="A39" t="s">
        <v>15</v>
      </c>
      <c r="B39" s="25"/>
      <c r="E39" s="18">
        <f t="shared" ref="E39:E44" si="3">B39*C39*D39</f>
        <v>0</v>
      </c>
    </row>
    <row r="40" spans="1:5">
      <c r="A40" t="s">
        <v>16</v>
      </c>
      <c r="B40" s="26">
        <v>0.56000000000000005</v>
      </c>
      <c r="C40" s="25"/>
      <c r="E40" s="18">
        <f t="shared" si="3"/>
        <v>0</v>
      </c>
    </row>
    <row r="41" spans="1:5">
      <c r="A41" t="s">
        <v>17</v>
      </c>
      <c r="E41" s="18">
        <f t="shared" si="3"/>
        <v>0</v>
      </c>
    </row>
    <row r="42" spans="1:5">
      <c r="A42" t="s">
        <v>10</v>
      </c>
      <c r="E42" s="18">
        <f t="shared" si="3"/>
        <v>0</v>
      </c>
    </row>
    <row r="43" spans="1:5">
      <c r="A43" t="s">
        <v>9</v>
      </c>
      <c r="E43" s="18">
        <f t="shared" si="3"/>
        <v>0</v>
      </c>
    </row>
    <row r="44" spans="1:5">
      <c r="A44" t="s">
        <v>1</v>
      </c>
      <c r="E44" s="18">
        <f t="shared" si="3"/>
        <v>0</v>
      </c>
    </row>
    <row r="45" spans="1:5">
      <c r="D45" s="21" t="s">
        <v>14</v>
      </c>
      <c r="E45" s="19">
        <f>SUM(E38:E44)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 Template</vt:lpstr>
      <vt:lpstr>Summary linked to Detailed Budg</vt:lpstr>
      <vt:lpstr>Travel Calculations</vt:lpstr>
      <vt:lpstr>'Budget Template'!Print_Area</vt:lpstr>
    </vt:vector>
  </TitlesOfParts>
  <Company>Seattle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Grants and Contracts Financial Analyst</dc:title>
  <dc:subject>Budget Template</dc:subject>
  <dc:creator>Vanessa Quiroz</dc:creator>
  <cp:lastModifiedBy>Office of Information Technology</cp:lastModifiedBy>
  <cp:lastPrinted>2014-04-03T22:13:11Z</cp:lastPrinted>
  <dcterms:created xsi:type="dcterms:W3CDTF">2010-02-23T22:24:19Z</dcterms:created>
  <dcterms:modified xsi:type="dcterms:W3CDTF">2014-07-10T16:49:49Z</dcterms:modified>
</cp:coreProperties>
</file>