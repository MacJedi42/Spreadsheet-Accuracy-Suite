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80" windowWidth="7680" windowHeight="7905"/>
  </bookViews>
  <sheets>
    <sheet name="2011" sheetId="1" r:id="rId1"/>
  </sheets>
  <definedNames>
    <definedName name="_xlnm.Print_Titles" localSheetId="0">'2011'!$A:$C,'2011'!$1:$6</definedName>
  </definedNames>
  <calcPr calcId="145621"/>
</workbook>
</file>

<file path=xl/calcChain.xml><?xml version="1.0" encoding="utf-8"?>
<calcChain xmlns="http://schemas.openxmlformats.org/spreadsheetml/2006/main">
  <c r="G54" i="1" l="1"/>
  <c r="E1129" i="1"/>
  <c r="D1129" i="1"/>
  <c r="G1129" i="1" s="1"/>
  <c r="B1129" i="1"/>
  <c r="G1128" i="1"/>
  <c r="E1049" i="1" l="1"/>
  <c r="D1049" i="1"/>
  <c r="G1049" i="1" s="1"/>
  <c r="B1049" i="1"/>
  <c r="G1048" i="1"/>
  <c r="E94" i="1" l="1"/>
  <c r="G91" i="1"/>
  <c r="F94" i="1"/>
  <c r="D94" i="1"/>
  <c r="B94" i="1"/>
  <c r="F949" i="1" l="1"/>
  <c r="F939" i="1" l="1"/>
  <c r="F894" i="1"/>
  <c r="F477" i="1"/>
  <c r="F881" i="1"/>
  <c r="F870" i="1"/>
  <c r="F849" i="1"/>
  <c r="F784" i="1"/>
  <c r="F738" i="1"/>
  <c r="F731" i="1"/>
  <c r="F688" i="1"/>
  <c r="F664" i="1"/>
  <c r="F633" i="1"/>
  <c r="F627" i="1"/>
  <c r="F617" i="1"/>
  <c r="F580" i="1"/>
  <c r="F574" i="1"/>
  <c r="F564" i="1"/>
  <c r="F504" i="1"/>
  <c r="F415" i="1"/>
  <c r="F304" i="1"/>
  <c r="F256" i="1"/>
  <c r="F165" i="1"/>
  <c r="F160" i="1"/>
  <c r="F147" i="1"/>
  <c r="F119" i="1"/>
  <c r="F273" i="1"/>
  <c r="D1017" i="1" l="1"/>
  <c r="B731" i="1" l="1"/>
  <c r="D1001" i="1" l="1"/>
  <c r="E1001" i="1"/>
  <c r="B1001" i="1"/>
  <c r="G1000" i="1" l="1"/>
  <c r="G1001" i="1" l="1"/>
  <c r="B894" i="1"/>
  <c r="E894" i="1"/>
  <c r="D894" i="1"/>
  <c r="G12" i="1"/>
  <c r="B85" i="1" l="1"/>
  <c r="B617" i="1"/>
  <c r="G66" i="1" l="1"/>
  <c r="G521" i="1" l="1"/>
  <c r="B488" i="1" l="1"/>
  <c r="B469" i="1" l="1"/>
  <c r="G92" i="1" l="1"/>
  <c r="G718" i="1" l="1"/>
  <c r="B826" i="1" l="1"/>
  <c r="E977" i="1"/>
  <c r="D977" i="1"/>
  <c r="B977" i="1"/>
  <c r="D870" i="1"/>
  <c r="B870" i="1"/>
  <c r="E1105" i="1"/>
  <c r="D1105" i="1"/>
  <c r="B1105" i="1"/>
  <c r="G590" i="1" l="1"/>
  <c r="G651" i="1"/>
  <c r="G976" i="1" l="1"/>
  <c r="G977" i="1"/>
  <c r="G1104" i="1"/>
  <c r="G535" i="1"/>
  <c r="G1105" i="1" l="1"/>
  <c r="G441" i="1"/>
  <c r="E989" i="1"/>
  <c r="D989" i="1"/>
  <c r="B989" i="1"/>
  <c r="E1057" i="1"/>
  <c r="D1057" i="1"/>
  <c r="B1057" i="1"/>
  <c r="B1041" i="1"/>
  <c r="E1041" i="1"/>
  <c r="D1041" i="1"/>
  <c r="G988" i="1" l="1"/>
  <c r="G1056" i="1"/>
  <c r="D415" i="1"/>
  <c r="B397" i="1"/>
  <c r="D397" i="1"/>
  <c r="G989" i="1" l="1"/>
  <c r="G1040" i="1"/>
  <c r="G414" i="1"/>
  <c r="G360" i="1"/>
  <c r="G349" i="1"/>
  <c r="E1065" i="1"/>
  <c r="D1065" i="1"/>
  <c r="B1065" i="1"/>
  <c r="G1057" i="1" l="1"/>
  <c r="G1041" i="1"/>
  <c r="G1064" i="1"/>
  <c r="G253" i="1"/>
  <c r="E1101" i="1"/>
  <c r="D1101" i="1"/>
  <c r="B1101" i="1"/>
  <c r="D1109" i="1"/>
  <c r="E1109" i="1"/>
  <c r="B1109" i="1"/>
  <c r="G1100" i="1" l="1"/>
  <c r="G1108" i="1"/>
  <c r="G46" i="1"/>
  <c r="G62" i="1"/>
  <c r="G1065" i="1" l="1"/>
  <c r="G1101" i="1"/>
  <c r="G1109" i="1"/>
  <c r="E881" i="1" l="1"/>
  <c r="D881" i="1"/>
  <c r="G695" i="1" l="1"/>
  <c r="E1113" i="1" l="1"/>
  <c r="D1113" i="1"/>
  <c r="B1113" i="1"/>
  <c r="E1081" i="1"/>
  <c r="D1081" i="1"/>
  <c r="B1081" i="1"/>
  <c r="E1009" i="1"/>
  <c r="D1009" i="1"/>
  <c r="B1009" i="1"/>
  <c r="G674" i="1" l="1"/>
  <c r="G1112" i="1"/>
  <c r="G1113" i="1"/>
  <c r="G1080" i="1"/>
  <c r="G1081" i="1"/>
  <c r="G1008" i="1"/>
  <c r="G1009" i="1" l="1"/>
  <c r="D1053" i="1" l="1"/>
  <c r="E1053" i="1"/>
  <c r="B1053" i="1"/>
  <c r="G1052" i="1" l="1"/>
  <c r="G1053" i="1"/>
  <c r="G843" i="1"/>
  <c r="G419" i="1" l="1"/>
  <c r="D469" i="1"/>
  <c r="G457" i="1" l="1"/>
  <c r="E1097" i="1" l="1"/>
  <c r="D1097" i="1"/>
  <c r="B1097" i="1"/>
  <c r="G1096" i="1" l="1"/>
  <c r="G1097" i="1" l="1"/>
  <c r="G897" i="1" l="1"/>
  <c r="G179" i="1" l="1"/>
  <c r="G158" i="1" l="1"/>
  <c r="D1013" i="1" l="1"/>
  <c r="E1013" i="1"/>
  <c r="B1013" i="1"/>
  <c r="G1012" i="1"/>
  <c r="D160" i="1"/>
  <c r="B147" i="1"/>
  <c r="E147" i="1"/>
  <c r="D147" i="1"/>
  <c r="B119" i="1"/>
  <c r="D119" i="1"/>
  <c r="G117" i="1"/>
  <c r="B949" i="1"/>
  <c r="E949" i="1"/>
  <c r="D949" i="1"/>
  <c r="G75" i="1"/>
  <c r="G32" i="1"/>
  <c r="G255" i="1" l="1"/>
  <c r="G146" i="1"/>
  <c r="G132" i="1"/>
  <c r="G131" i="1"/>
  <c r="G118" i="1"/>
  <c r="G947" i="1"/>
  <c r="G40" i="1"/>
  <c r="E1085" i="1"/>
  <c r="D1085" i="1"/>
  <c r="B1085" i="1"/>
  <c r="G1084" i="1"/>
  <c r="E973" i="1"/>
  <c r="D973" i="1"/>
  <c r="B973" i="1"/>
  <c r="E1061" i="1"/>
  <c r="D1061" i="1"/>
  <c r="B1061" i="1"/>
  <c r="E1089" i="1"/>
  <c r="D1089" i="1"/>
  <c r="B1089" i="1"/>
  <c r="G1088" i="1"/>
  <c r="E985" i="1"/>
  <c r="D985" i="1"/>
  <c r="B985" i="1"/>
  <c r="E1017" i="1"/>
  <c r="B1017" i="1"/>
  <c r="E1093" i="1"/>
  <c r="D1093" i="1"/>
  <c r="B1093" i="1"/>
  <c r="G1013" i="1" l="1"/>
  <c r="G972" i="1"/>
  <c r="G1060" i="1"/>
  <c r="G984" i="1"/>
  <c r="G1016" i="1"/>
  <c r="G1092" i="1"/>
  <c r="G1061" i="1" l="1"/>
  <c r="G985" i="1"/>
  <c r="G973" i="1"/>
  <c r="G1093" i="1"/>
  <c r="G1089" i="1"/>
  <c r="G1017" i="1"/>
  <c r="G1085" i="1"/>
  <c r="E1077" i="1" l="1"/>
  <c r="D1077" i="1"/>
  <c r="B1077" i="1"/>
  <c r="G1076" i="1"/>
  <c r="B939" i="1"/>
  <c r="B881" i="1"/>
  <c r="B664" i="1"/>
  <c r="G946" i="1" l="1"/>
  <c r="G848" i="1"/>
  <c r="G703" i="1"/>
  <c r="G662" i="1"/>
  <c r="E627" i="1"/>
  <c r="D627" i="1"/>
  <c r="B627" i="1"/>
  <c r="G1077" i="1" l="1"/>
  <c r="G949" i="1"/>
  <c r="E939" i="1" l="1"/>
  <c r="D939" i="1"/>
  <c r="G547" i="1" l="1"/>
  <c r="G935" i="1"/>
  <c r="G933" i="1"/>
  <c r="G906" i="1"/>
  <c r="G909" i="1"/>
  <c r="G913" i="1"/>
  <c r="G927" i="1"/>
  <c r="G925" i="1"/>
  <c r="G920" i="1"/>
  <c r="G929" i="1"/>
  <c r="G917" i="1"/>
  <c r="G901" i="1"/>
  <c r="G904" i="1"/>
  <c r="G905" i="1"/>
  <c r="G938" i="1"/>
  <c r="G915" i="1"/>
  <c r="G916" i="1"/>
  <c r="G919" i="1"/>
  <c r="G911" i="1"/>
  <c r="G930" i="1"/>
  <c r="G908" i="1"/>
  <c r="G903" i="1"/>
  <c r="G438" i="1" l="1"/>
  <c r="G936" i="1"/>
  <c r="G931" i="1"/>
  <c r="G926" i="1"/>
  <c r="G934" i="1"/>
  <c r="G923" i="1"/>
  <c r="G899" i="1"/>
  <c r="G921" i="1"/>
  <c r="G900" i="1"/>
  <c r="G898" i="1"/>
  <c r="G922" i="1"/>
  <c r="G914" i="1"/>
  <c r="G918" i="1"/>
  <c r="G924" i="1"/>
  <c r="G912" i="1"/>
  <c r="G932" i="1"/>
  <c r="G937" i="1"/>
  <c r="G902" i="1"/>
  <c r="G910" i="1"/>
  <c r="G928" i="1"/>
  <c r="G907" i="1"/>
  <c r="G381" i="1"/>
  <c r="G492" i="1"/>
  <c r="B298" i="1"/>
  <c r="G939" i="1" l="1"/>
  <c r="G201" i="1" l="1"/>
  <c r="G224" i="1"/>
  <c r="G43" i="1" l="1"/>
  <c r="G49" i="1"/>
  <c r="G61" i="1" l="1"/>
  <c r="G31" i="1"/>
  <c r="G59" i="1"/>
  <c r="G11" i="1"/>
  <c r="G78" i="1"/>
  <c r="G645" i="1" l="1"/>
  <c r="G726" i="1" l="1"/>
  <c r="G729" i="1"/>
  <c r="E1121" i="1" l="1"/>
  <c r="D1121" i="1"/>
  <c r="B1121" i="1"/>
  <c r="E826" i="1"/>
  <c r="D826" i="1"/>
  <c r="G1036" i="1" l="1"/>
  <c r="B1037" i="1"/>
  <c r="D1037" i="1"/>
  <c r="E1037" i="1"/>
  <c r="F826" i="1" l="1"/>
  <c r="G1037" i="1"/>
  <c r="G1120" i="1"/>
  <c r="G1121" i="1" l="1"/>
  <c r="G614" i="1"/>
  <c r="G860" i="1" l="1"/>
  <c r="E558" i="1"/>
  <c r="D558" i="1"/>
  <c r="B558" i="1"/>
  <c r="G458" i="1" l="1"/>
  <c r="G838" i="1"/>
  <c r="G837" i="1"/>
  <c r="G546" i="1"/>
  <c r="G432" i="1"/>
  <c r="G427" i="1"/>
  <c r="G891" i="1"/>
  <c r="E1073" i="1"/>
  <c r="D1073" i="1"/>
  <c r="B1073" i="1"/>
  <c r="E1125" i="1"/>
  <c r="D1125" i="1"/>
  <c r="B1125" i="1"/>
  <c r="B981" i="1"/>
  <c r="G1072" i="1" l="1"/>
  <c r="G392" i="1" l="1"/>
  <c r="G1125" i="1"/>
  <c r="G465" i="1"/>
  <c r="G1073" i="1"/>
  <c r="G1124" i="1"/>
  <c r="E256" i="1" l="1"/>
  <c r="G139" i="1" l="1"/>
  <c r="G199" i="1"/>
  <c r="G668" i="1"/>
  <c r="B504" i="1" l="1"/>
  <c r="E504" i="1"/>
  <c r="D504" i="1"/>
  <c r="G503" i="1" l="1"/>
  <c r="G156" i="1"/>
  <c r="G159" i="1"/>
  <c r="D497" i="1"/>
  <c r="E497" i="1"/>
  <c r="G71" i="1"/>
  <c r="G26" i="1"/>
  <c r="G68" i="1"/>
  <c r="G20" i="1"/>
  <c r="G34" i="1"/>
  <c r="G76" i="1"/>
  <c r="G41" i="1"/>
  <c r="G18" i="1"/>
  <c r="G17" i="1"/>
  <c r="G74" i="1"/>
  <c r="G70" i="1"/>
  <c r="G28" i="1"/>
  <c r="G57" i="1"/>
  <c r="G24" i="1"/>
  <c r="G84" i="1"/>
  <c r="G36" i="1"/>
  <c r="G10" i="1"/>
  <c r="G14" i="1"/>
  <c r="G51" i="1"/>
  <c r="G64" i="1"/>
  <c r="G77" i="1"/>
  <c r="G19" i="1"/>
  <c r="G79" i="1"/>
  <c r="G30" i="1"/>
  <c r="G33" i="1"/>
  <c r="G35" i="1"/>
  <c r="G44" i="1"/>
  <c r="G47" i="1"/>
  <c r="G21" i="1"/>
  <c r="G23" i="1"/>
  <c r="G73" i="1"/>
  <c r="G25" i="1"/>
  <c r="G60" i="1"/>
  <c r="G56" i="1"/>
  <c r="G58" i="1"/>
  <c r="G82" i="1"/>
  <c r="G9" i="1"/>
  <c r="G63" i="1"/>
  <c r="G55" i="1"/>
  <c r="G37" i="1"/>
  <c r="G16" i="1"/>
  <c r="G80" i="1"/>
  <c r="G13" i="1"/>
  <c r="G53" i="1"/>
  <c r="G29" i="1"/>
  <c r="G22" i="1"/>
  <c r="G65" i="1"/>
  <c r="G15" i="1"/>
  <c r="G38" i="1"/>
  <c r="G81" i="1"/>
  <c r="G39" i="1"/>
  <c r="G69" i="1"/>
  <c r="G67" i="1"/>
  <c r="G83" i="1"/>
  <c r="G27" i="1"/>
  <c r="G42" i="1"/>
  <c r="G72" i="1"/>
  <c r="G45" i="1"/>
  <c r="G50" i="1"/>
  <c r="G52" i="1"/>
  <c r="E119" i="1"/>
  <c r="E160" i="1"/>
  <c r="D165" i="1"/>
  <c r="E165" i="1"/>
  <c r="D256" i="1"/>
  <c r="D273" i="1"/>
  <c r="E273" i="1"/>
  <c r="D286" i="1"/>
  <c r="E286" i="1"/>
  <c r="D298" i="1"/>
  <c r="E298" i="1"/>
  <c r="D304" i="1"/>
  <c r="E304" i="1"/>
  <c r="G328" i="1"/>
  <c r="G348" i="1"/>
  <c r="G366" i="1"/>
  <c r="G376" i="1"/>
  <c r="G350" i="1"/>
  <c r="G347" i="1"/>
  <c r="G351" i="1"/>
  <c r="G395" i="1"/>
  <c r="G384" i="1"/>
  <c r="G312" i="1"/>
  <c r="G394" i="1"/>
  <c r="G339" i="1"/>
  <c r="G358" i="1"/>
  <c r="G319" i="1"/>
  <c r="G359" i="1"/>
  <c r="G363" i="1"/>
  <c r="G314" i="1"/>
  <c r="G331" i="1"/>
  <c r="G387" i="1"/>
  <c r="G342" i="1"/>
  <c r="G322" i="1"/>
  <c r="G338" i="1"/>
  <c r="G335" i="1"/>
  <c r="G308" i="1"/>
  <c r="G332" i="1"/>
  <c r="G341" i="1"/>
  <c r="G310" i="1"/>
  <c r="G389" i="1"/>
  <c r="G396" i="1"/>
  <c r="G385" i="1"/>
  <c r="G327" i="1"/>
  <c r="G333" i="1"/>
  <c r="G318" i="1"/>
  <c r="G326" i="1"/>
  <c r="G329" i="1"/>
  <c r="G336" i="1"/>
  <c r="G311" i="1"/>
  <c r="G324" i="1"/>
  <c r="G313" i="1"/>
  <c r="G340" i="1"/>
  <c r="G379" i="1"/>
  <c r="G371" i="1"/>
  <c r="G354" i="1"/>
  <c r="G378" i="1"/>
  <c r="G325" i="1"/>
  <c r="G309" i="1"/>
  <c r="G365" i="1"/>
  <c r="G343" i="1"/>
  <c r="G321" i="1"/>
  <c r="G345" i="1"/>
  <c r="G320" i="1"/>
  <c r="G361" i="1"/>
  <c r="G355" i="1"/>
  <c r="G352" i="1"/>
  <c r="G383" i="1"/>
  <c r="G315" i="1"/>
  <c r="G382" i="1"/>
  <c r="G374" i="1"/>
  <c r="G375" i="1"/>
  <c r="G364" i="1"/>
  <c r="G391" i="1"/>
  <c r="G356" i="1"/>
  <c r="G377" i="1"/>
  <c r="G317" i="1"/>
  <c r="G367" i="1"/>
  <c r="G368" i="1"/>
  <c r="G323" i="1"/>
  <c r="G344" i="1"/>
  <c r="G357" i="1"/>
  <c r="G390" i="1"/>
  <c r="G337" i="1"/>
  <c r="G316" i="1"/>
  <c r="G330" i="1"/>
  <c r="G362" i="1"/>
  <c r="G372" i="1"/>
  <c r="G346" i="1"/>
  <c r="G370" i="1"/>
  <c r="G369" i="1"/>
  <c r="G388" i="1"/>
  <c r="G393" i="1"/>
  <c r="G380" i="1"/>
  <c r="F307" i="1"/>
  <c r="G307" i="1" s="1"/>
  <c r="G373" i="1"/>
  <c r="E415" i="1"/>
  <c r="E469" i="1"/>
  <c r="D477" i="1"/>
  <c r="E477" i="1"/>
  <c r="D488" i="1"/>
  <c r="E488" i="1"/>
  <c r="D548" i="1"/>
  <c r="E548" i="1"/>
  <c r="G556" i="1"/>
  <c r="G553" i="1"/>
  <c r="G551" i="1"/>
  <c r="G554" i="1"/>
  <c r="G552" i="1"/>
  <c r="G557" i="1"/>
  <c r="D564" i="1"/>
  <c r="E564" i="1"/>
  <c r="D574" i="1"/>
  <c r="E574" i="1"/>
  <c r="D580" i="1"/>
  <c r="E580" i="1"/>
  <c r="D587" i="1"/>
  <c r="E587" i="1"/>
  <c r="D602" i="1"/>
  <c r="E602" i="1"/>
  <c r="D617" i="1"/>
  <c r="E617" i="1"/>
  <c r="D633" i="1"/>
  <c r="E633" i="1"/>
  <c r="E637" i="1"/>
  <c r="D664" i="1"/>
  <c r="E664" i="1"/>
  <c r="D678" i="1"/>
  <c r="E678" i="1"/>
  <c r="D688" i="1"/>
  <c r="E688" i="1"/>
  <c r="D731" i="1"/>
  <c r="E731" i="1"/>
  <c r="D738" i="1"/>
  <c r="E738" i="1"/>
  <c r="D784" i="1"/>
  <c r="E784" i="1"/>
  <c r="D849" i="1"/>
  <c r="E849" i="1"/>
  <c r="E870" i="1"/>
  <c r="D1045" i="1"/>
  <c r="E1045" i="1"/>
  <c r="D969" i="1"/>
  <c r="E969" i="1"/>
  <c r="D981" i="1"/>
  <c r="E981" i="1"/>
  <c r="D993" i="1"/>
  <c r="E993" i="1"/>
  <c r="D1005" i="1"/>
  <c r="E1005" i="1"/>
  <c r="D997" i="1"/>
  <c r="E997" i="1"/>
  <c r="D1021" i="1"/>
  <c r="E1021" i="1"/>
  <c r="D1025" i="1"/>
  <c r="E1025" i="1"/>
  <c r="D1029" i="1"/>
  <c r="E1029" i="1"/>
  <c r="D1033" i="1"/>
  <c r="E1033" i="1"/>
  <c r="D1069" i="1"/>
  <c r="E1069" i="1"/>
  <c r="D943" i="1"/>
  <c r="E943" i="1"/>
  <c r="D953" i="1"/>
  <c r="E953" i="1"/>
  <c r="D957" i="1"/>
  <c r="E957" i="1"/>
  <c r="D961" i="1"/>
  <c r="E961" i="1"/>
  <c r="D965" i="1"/>
  <c r="E965" i="1"/>
  <c r="D1117" i="1"/>
  <c r="E1117" i="1"/>
  <c r="E85" i="1"/>
  <c r="E397" i="1"/>
  <c r="D85" i="1"/>
  <c r="B160" i="1"/>
  <c r="B165" i="1"/>
  <c r="B256" i="1"/>
  <c r="B273" i="1"/>
  <c r="B286" i="1"/>
  <c r="B304" i="1"/>
  <c r="B415" i="1"/>
  <c r="B477" i="1"/>
  <c r="B497" i="1"/>
  <c r="B548" i="1"/>
  <c r="B564" i="1"/>
  <c r="B574" i="1"/>
  <c r="B580" i="1"/>
  <c r="B587" i="1"/>
  <c r="B602" i="1"/>
  <c r="B633" i="1"/>
  <c r="B637" i="1"/>
  <c r="B678" i="1"/>
  <c r="B688" i="1"/>
  <c r="B738" i="1"/>
  <c r="B784" i="1"/>
  <c r="B849" i="1"/>
  <c r="B1045" i="1"/>
  <c r="B969" i="1"/>
  <c r="B993" i="1"/>
  <c r="B1005" i="1"/>
  <c r="B997" i="1"/>
  <c r="B1021" i="1"/>
  <c r="B1025" i="1"/>
  <c r="B1029" i="1"/>
  <c r="B1033" i="1"/>
  <c r="B1069" i="1"/>
  <c r="B943" i="1"/>
  <c r="B953" i="1"/>
  <c r="B957" i="1"/>
  <c r="B961" i="1"/>
  <c r="B965" i="1"/>
  <c r="B1117" i="1"/>
  <c r="G1032" i="1"/>
  <c r="G996" i="1"/>
  <c r="G723" i="1"/>
  <c r="G728" i="1"/>
  <c r="G704" i="1"/>
  <c r="G519" i="1"/>
  <c r="G531" i="1"/>
  <c r="G442" i="1"/>
  <c r="G636" i="1"/>
  <c r="G1024" i="1"/>
  <c r="G163" i="1"/>
  <c r="G93" i="1"/>
  <c r="G411" i="1"/>
  <c r="G233" i="1"/>
  <c r="G252" i="1"/>
  <c r="G192" i="1"/>
  <c r="G845" i="1"/>
  <c r="G847" i="1"/>
  <c r="G846" i="1"/>
  <c r="G842" i="1"/>
  <c r="G833" i="1"/>
  <c r="G829" i="1"/>
  <c r="G844" i="1"/>
  <c r="G832" i="1"/>
  <c r="G841" i="1"/>
  <c r="G840" i="1"/>
  <c r="G839" i="1"/>
  <c r="G834" i="1"/>
  <c r="G570" i="1"/>
  <c r="G968" i="1"/>
  <c r="G1028" i="1"/>
  <c r="G980" i="1"/>
  <c r="G1116" i="1"/>
  <c r="G960" i="1"/>
  <c r="G956" i="1"/>
  <c r="G952" i="1"/>
  <c r="G942" i="1"/>
  <c r="G1068" i="1"/>
  <c r="G1020" i="1"/>
  <c r="G1004" i="1"/>
  <c r="G992" i="1"/>
  <c r="G1044" i="1"/>
  <c r="G893" i="1"/>
  <c r="G892" i="1"/>
  <c r="G887" i="1"/>
  <c r="G890" i="1"/>
  <c r="G885" i="1"/>
  <c r="G889" i="1"/>
  <c r="G888" i="1"/>
  <c r="G886" i="1"/>
  <c r="G884" i="1"/>
  <c r="G880" i="1"/>
  <c r="G877" i="1"/>
  <c r="G878" i="1"/>
  <c r="G876" i="1"/>
  <c r="G879" i="1"/>
  <c r="G875" i="1"/>
  <c r="G873" i="1"/>
  <c r="G874" i="1"/>
  <c r="G868" i="1"/>
  <c r="G865" i="1"/>
  <c r="G859" i="1"/>
  <c r="G861" i="1"/>
  <c r="G863" i="1"/>
  <c r="G867" i="1"/>
  <c r="G854" i="1"/>
  <c r="G857" i="1"/>
  <c r="G855" i="1"/>
  <c r="G864" i="1"/>
  <c r="G858" i="1"/>
  <c r="G853" i="1"/>
  <c r="G852" i="1"/>
  <c r="G866" i="1"/>
  <c r="G869" i="1"/>
  <c r="G856" i="1"/>
  <c r="G836" i="1"/>
  <c r="G831" i="1"/>
  <c r="G830" i="1"/>
  <c r="G835" i="1"/>
  <c r="G808" i="1"/>
  <c r="G824" i="1"/>
  <c r="G806" i="1"/>
  <c r="G809" i="1"/>
  <c r="G813" i="1"/>
  <c r="G810" i="1"/>
  <c r="G798" i="1"/>
  <c r="G812" i="1"/>
  <c r="G789" i="1"/>
  <c r="G815" i="1"/>
  <c r="G804" i="1"/>
  <c r="G805" i="1"/>
  <c r="G802" i="1"/>
  <c r="G818" i="1"/>
  <c r="G822" i="1"/>
  <c r="G801" i="1"/>
  <c r="G797" i="1"/>
  <c r="G794" i="1"/>
  <c r="G795" i="1"/>
  <c r="G807" i="1"/>
  <c r="G803" i="1"/>
  <c r="G787" i="1"/>
  <c r="G799" i="1"/>
  <c r="G790" i="1"/>
  <c r="G796" i="1"/>
  <c r="G819" i="1"/>
  <c r="G816" i="1"/>
  <c r="G814" i="1"/>
  <c r="G793" i="1"/>
  <c r="G788" i="1"/>
  <c r="G820" i="1"/>
  <c r="G800" i="1"/>
  <c r="G811" i="1"/>
  <c r="G791" i="1"/>
  <c r="G821" i="1"/>
  <c r="G823" i="1"/>
  <c r="G817" i="1"/>
  <c r="G792" i="1"/>
  <c r="G777" i="1"/>
  <c r="G778" i="1"/>
  <c r="G765" i="1"/>
  <c r="G780" i="1"/>
  <c r="G782" i="1"/>
  <c r="G768" i="1"/>
  <c r="G767" i="1"/>
  <c r="G783" i="1"/>
  <c r="G749" i="1"/>
  <c r="G761" i="1"/>
  <c r="G753" i="1"/>
  <c r="G766" i="1"/>
  <c r="G752" i="1"/>
  <c r="G772" i="1"/>
  <c r="G775" i="1"/>
  <c r="G762" i="1"/>
  <c r="G758" i="1"/>
  <c r="G743" i="1"/>
  <c r="G747" i="1"/>
  <c r="G776" i="1"/>
  <c r="G769" i="1"/>
  <c r="G745" i="1"/>
  <c r="G746" i="1"/>
  <c r="G750" i="1"/>
  <c r="G774" i="1"/>
  <c r="G757" i="1"/>
  <c r="G742" i="1"/>
  <c r="G754" i="1"/>
  <c r="G748" i="1"/>
  <c r="G756" i="1"/>
  <c r="G751" i="1"/>
  <c r="G760" i="1"/>
  <c r="G781" i="1"/>
  <c r="G744" i="1"/>
  <c r="G763" i="1"/>
  <c r="G773" i="1"/>
  <c r="G771" i="1"/>
  <c r="G770" i="1"/>
  <c r="G755" i="1"/>
  <c r="G759" i="1"/>
  <c r="G764" i="1"/>
  <c r="G741" i="1"/>
  <c r="G779" i="1"/>
  <c r="G737" i="1"/>
  <c r="G735" i="1"/>
  <c r="G736" i="1"/>
  <c r="G734" i="1"/>
  <c r="G725" i="1"/>
  <c r="G717" i="1"/>
  <c r="G716" i="1"/>
  <c r="G720" i="1"/>
  <c r="G715" i="1"/>
  <c r="G711" i="1"/>
  <c r="G707" i="1"/>
  <c r="G714" i="1"/>
  <c r="G710" i="1"/>
  <c r="G712" i="1"/>
  <c r="G706" i="1"/>
  <c r="G730" i="1"/>
  <c r="G724" i="1"/>
  <c r="G700" i="1"/>
  <c r="G705" i="1"/>
  <c r="G699" i="1"/>
  <c r="G722" i="1"/>
  <c r="G701" i="1"/>
  <c r="G696" i="1"/>
  <c r="G708" i="1"/>
  <c r="G692" i="1"/>
  <c r="G693" i="1"/>
  <c r="G697" i="1"/>
  <c r="G694" i="1"/>
  <c r="G719" i="1"/>
  <c r="G698" i="1"/>
  <c r="G727" i="1"/>
  <c r="G702" i="1"/>
  <c r="G713" i="1"/>
  <c r="G709" i="1"/>
  <c r="G691" i="1"/>
  <c r="G721" i="1"/>
  <c r="G687" i="1"/>
  <c r="G682" i="1"/>
  <c r="G684" i="1"/>
  <c r="G686" i="1"/>
  <c r="G683" i="1"/>
  <c r="G685" i="1"/>
  <c r="G681" i="1"/>
  <c r="G677" i="1"/>
  <c r="G673" i="1"/>
  <c r="G672" i="1"/>
  <c r="G667" i="1"/>
  <c r="G669" i="1"/>
  <c r="G676" i="1"/>
  <c r="G675" i="1"/>
  <c r="G671" i="1"/>
  <c r="G655" i="1"/>
  <c r="G642" i="1"/>
  <c r="G654" i="1"/>
  <c r="G663" i="1"/>
  <c r="G660" i="1"/>
  <c r="G647" i="1"/>
  <c r="G656" i="1"/>
  <c r="G657" i="1"/>
  <c r="G646" i="1"/>
  <c r="G641" i="1"/>
  <c r="G649" i="1"/>
  <c r="G658" i="1"/>
  <c r="G644" i="1"/>
  <c r="G653" i="1"/>
  <c r="G661" i="1"/>
  <c r="G659" i="1"/>
  <c r="G640" i="1"/>
  <c r="G643" i="1"/>
  <c r="G648" i="1"/>
  <c r="G652" i="1"/>
  <c r="G650" i="1"/>
  <c r="G632" i="1"/>
  <c r="G631" i="1"/>
  <c r="G630" i="1"/>
  <c r="G626" i="1"/>
  <c r="G625" i="1"/>
  <c r="G623" i="1"/>
  <c r="G624" i="1"/>
  <c r="G621" i="1"/>
  <c r="G620" i="1"/>
  <c r="G622" i="1"/>
  <c r="G616" i="1"/>
  <c r="G613" i="1"/>
  <c r="G615" i="1"/>
  <c r="G611" i="1"/>
  <c r="G609" i="1"/>
  <c r="G612" i="1"/>
  <c r="G610" i="1"/>
  <c r="G608" i="1"/>
  <c r="G607" i="1"/>
  <c r="G605" i="1"/>
  <c r="G606" i="1"/>
  <c r="G595" i="1"/>
  <c r="G600" i="1"/>
  <c r="G596" i="1"/>
  <c r="G601" i="1"/>
  <c r="G598" i="1"/>
  <c r="G599" i="1"/>
  <c r="G593" i="1"/>
  <c r="G591" i="1"/>
  <c r="G592" i="1"/>
  <c r="G597" i="1"/>
  <c r="G585" i="1"/>
  <c r="G583" i="1"/>
  <c r="G584" i="1"/>
  <c r="G579" i="1"/>
  <c r="G577" i="1"/>
  <c r="G578" i="1"/>
  <c r="G573" i="1"/>
  <c r="G572" i="1"/>
  <c r="G569" i="1"/>
  <c r="G571" i="1"/>
  <c r="G567" i="1"/>
  <c r="G568" i="1"/>
  <c r="G563" i="1"/>
  <c r="G561" i="1"/>
  <c r="G562" i="1"/>
  <c r="G533" i="1"/>
  <c r="G536" i="1"/>
  <c r="G539" i="1"/>
  <c r="G532" i="1"/>
  <c r="G527" i="1"/>
  <c r="G522" i="1"/>
  <c r="G534" i="1"/>
  <c r="G518" i="1"/>
  <c r="G538" i="1"/>
  <c r="G528" i="1"/>
  <c r="G507" i="1"/>
  <c r="G515" i="1"/>
  <c r="G513" i="1"/>
  <c r="G525" i="1"/>
  <c r="G530" i="1"/>
  <c r="G510" i="1"/>
  <c r="G526" i="1"/>
  <c r="G523" i="1"/>
  <c r="G509" i="1"/>
  <c r="G508" i="1"/>
  <c r="G524" i="1"/>
  <c r="G543" i="1"/>
  <c r="G544" i="1"/>
  <c r="G517" i="1"/>
  <c r="G545" i="1"/>
  <c r="G511" i="1"/>
  <c r="G537" i="1"/>
  <c r="G512" i="1"/>
  <c r="G542" i="1"/>
  <c r="G516" i="1"/>
  <c r="G520" i="1"/>
  <c r="G514" i="1"/>
  <c r="G529" i="1"/>
  <c r="G502" i="1"/>
  <c r="G501" i="1"/>
  <c r="G500" i="1"/>
  <c r="G494" i="1"/>
  <c r="G496" i="1"/>
  <c r="G493" i="1"/>
  <c r="G495" i="1"/>
  <c r="G485" i="1"/>
  <c r="G486" i="1"/>
  <c r="G484" i="1"/>
  <c r="G483" i="1"/>
  <c r="G480" i="1"/>
  <c r="G476" i="1"/>
  <c r="G474" i="1"/>
  <c r="G475" i="1"/>
  <c r="G472" i="1"/>
  <c r="G473" i="1"/>
  <c r="G455" i="1"/>
  <c r="G468" i="1"/>
  <c r="G434" i="1"/>
  <c r="G463" i="1"/>
  <c r="G467" i="1"/>
  <c r="G447" i="1"/>
  <c r="G454" i="1"/>
  <c r="G435" i="1"/>
  <c r="G445" i="1"/>
  <c r="G433" i="1"/>
  <c r="G451" i="1"/>
  <c r="G461" i="1"/>
  <c r="G453" i="1"/>
  <c r="G422" i="1"/>
  <c r="G452" i="1"/>
  <c r="G464" i="1"/>
  <c r="G430" i="1"/>
  <c r="G431" i="1"/>
  <c r="G425" i="1"/>
  <c r="G426" i="1"/>
  <c r="G460" i="1"/>
  <c r="G456" i="1"/>
  <c r="G428" i="1"/>
  <c r="G449" i="1"/>
  <c r="G448" i="1"/>
  <c r="G444" i="1"/>
  <c r="G424" i="1"/>
  <c r="G439" i="1"/>
  <c r="G462" i="1"/>
  <c r="G429" i="1"/>
  <c r="G418" i="1"/>
  <c r="G459" i="1"/>
  <c r="G436" i="1"/>
  <c r="G466" i="1"/>
  <c r="G421" i="1"/>
  <c r="G443" i="1"/>
  <c r="G446" i="1"/>
  <c r="G450" i="1"/>
  <c r="G440" i="1"/>
  <c r="G420" i="1"/>
  <c r="G437" i="1"/>
  <c r="G406" i="1"/>
  <c r="G408" i="1"/>
  <c r="G413" i="1"/>
  <c r="G405" i="1"/>
  <c r="G407" i="1"/>
  <c r="G409" i="1"/>
  <c r="G410" i="1"/>
  <c r="G404" i="1"/>
  <c r="G400" i="1"/>
  <c r="G412" i="1"/>
  <c r="G403" i="1"/>
  <c r="G401" i="1"/>
  <c r="G303" i="1"/>
  <c r="G302" i="1"/>
  <c r="G301" i="1"/>
  <c r="G295" i="1"/>
  <c r="G296" i="1"/>
  <c r="G291" i="1"/>
  <c r="G292" i="1"/>
  <c r="G293" i="1"/>
  <c r="G290" i="1"/>
  <c r="G289" i="1"/>
  <c r="G285" i="1"/>
  <c r="G278" i="1"/>
  <c r="G281" i="1"/>
  <c r="G284" i="1"/>
  <c r="G279" i="1"/>
  <c r="G276" i="1"/>
  <c r="G277" i="1"/>
  <c r="G283" i="1"/>
  <c r="G280" i="1"/>
  <c r="G259" i="1"/>
  <c r="G260" i="1"/>
  <c r="G271" i="1"/>
  <c r="G268" i="1"/>
  <c r="G269" i="1"/>
  <c r="G272" i="1"/>
  <c r="G266" i="1"/>
  <c r="G261" i="1"/>
  <c r="G267" i="1"/>
  <c r="G262" i="1"/>
  <c r="G264" i="1"/>
  <c r="G265" i="1"/>
  <c r="G263" i="1"/>
  <c r="G270" i="1"/>
  <c r="G241" i="1"/>
  <c r="G200" i="1"/>
  <c r="G212" i="1"/>
  <c r="G242" i="1"/>
  <c r="G246" i="1"/>
  <c r="G240" i="1"/>
  <c r="G249" i="1"/>
  <c r="G220" i="1"/>
  <c r="G223" i="1"/>
  <c r="G251" i="1"/>
  <c r="G203" i="1"/>
  <c r="G245" i="1"/>
  <c r="G204" i="1"/>
  <c r="G216" i="1"/>
  <c r="G191" i="1"/>
  <c r="G207" i="1"/>
  <c r="G190" i="1"/>
  <c r="G219" i="1"/>
  <c r="G173" i="1"/>
  <c r="G218" i="1"/>
  <c r="G226" i="1"/>
  <c r="G244" i="1"/>
  <c r="G188" i="1"/>
  <c r="G238" i="1"/>
  <c r="G214" i="1"/>
  <c r="G211" i="1"/>
  <c r="G229" i="1"/>
  <c r="G168" i="1"/>
  <c r="G178" i="1"/>
  <c r="G213" i="1"/>
  <c r="G198" i="1"/>
  <c r="G209" i="1"/>
  <c r="G175" i="1"/>
  <c r="G170" i="1"/>
  <c r="G205" i="1"/>
  <c r="G221" i="1"/>
  <c r="G176" i="1"/>
  <c r="G228" i="1"/>
  <c r="G231" i="1"/>
  <c r="G235" i="1"/>
  <c r="G239" i="1"/>
  <c r="G169" i="1"/>
  <c r="G197" i="1"/>
  <c r="G208" i="1"/>
  <c r="G237" i="1"/>
  <c r="G193" i="1"/>
  <c r="G186" i="1"/>
  <c r="G247" i="1"/>
  <c r="G254" i="1"/>
  <c r="G250" i="1"/>
  <c r="G210" i="1"/>
  <c r="G230" i="1"/>
  <c r="G181" i="1"/>
  <c r="G184" i="1"/>
  <c r="G180" i="1"/>
  <c r="G236" i="1"/>
  <c r="G243" i="1"/>
  <c r="G227" i="1"/>
  <c r="G248" i="1"/>
  <c r="G196" i="1"/>
  <c r="G177" i="1"/>
  <c r="G185" i="1"/>
  <c r="G222" i="1"/>
  <c r="G174" i="1"/>
  <c r="G215" i="1"/>
  <c r="G225" i="1"/>
  <c r="G183" i="1"/>
  <c r="G234" i="1"/>
  <c r="G171" i="1"/>
  <c r="G172" i="1"/>
  <c r="G195" i="1"/>
  <c r="G187" i="1"/>
  <c r="G189" i="1"/>
  <c r="G217" i="1"/>
  <c r="G232" i="1"/>
  <c r="G194" i="1"/>
  <c r="G202" i="1"/>
  <c r="G182" i="1"/>
  <c r="G206" i="1"/>
  <c r="G164" i="1"/>
  <c r="G154" i="1"/>
  <c r="G155" i="1"/>
  <c r="G157" i="1"/>
  <c r="G153" i="1"/>
  <c r="G152" i="1"/>
  <c r="G150" i="1"/>
  <c r="G151" i="1"/>
  <c r="G145" i="1"/>
  <c r="G142" i="1"/>
  <c r="G136" i="1"/>
  <c r="G137" i="1"/>
  <c r="G127" i="1"/>
  <c r="G130" i="1"/>
  <c r="G138" i="1"/>
  <c r="G135" i="1"/>
  <c r="G134" i="1"/>
  <c r="G143" i="1"/>
  <c r="G124" i="1"/>
  <c r="G141" i="1"/>
  <c r="G144" i="1"/>
  <c r="G123" i="1"/>
  <c r="G140" i="1"/>
  <c r="G128" i="1"/>
  <c r="G129" i="1"/>
  <c r="G122" i="1"/>
  <c r="G125" i="1"/>
  <c r="G133" i="1"/>
  <c r="G126" i="1"/>
  <c r="G114" i="1"/>
  <c r="G113" i="1"/>
  <c r="G110" i="1"/>
  <c r="G112" i="1"/>
  <c r="G107" i="1"/>
  <c r="G115" i="1"/>
  <c r="G97" i="1"/>
  <c r="G116" i="1"/>
  <c r="G100" i="1"/>
  <c r="G105" i="1"/>
  <c r="G99" i="1"/>
  <c r="G101" i="1"/>
  <c r="G98" i="1"/>
  <c r="G102" i="1"/>
  <c r="G104" i="1"/>
  <c r="G106" i="1"/>
  <c r="G103" i="1"/>
  <c r="G109" i="1"/>
  <c r="G111" i="1"/>
  <c r="G88" i="1"/>
  <c r="G90" i="1"/>
  <c r="G89" i="1"/>
  <c r="G48" i="1"/>
  <c r="G353" i="1"/>
  <c r="G386" i="1"/>
  <c r="G964" i="1"/>
  <c r="G147" i="1"/>
  <c r="G481" i="1" l="1"/>
  <c r="F487" i="1"/>
  <c r="G487" i="1" s="1"/>
  <c r="G594" i="1"/>
  <c r="F602" i="1"/>
  <c r="G491" i="1"/>
  <c r="F497" i="1"/>
  <c r="G540" i="1"/>
  <c r="F548" i="1"/>
  <c r="G586" i="1"/>
  <c r="F587" i="1"/>
  <c r="G670" i="1"/>
  <c r="G423" i="1"/>
  <c r="F469" i="1"/>
  <c r="G294" i="1"/>
  <c r="F298" i="1"/>
  <c r="G282" i="1"/>
  <c r="F286" i="1"/>
  <c r="G334" i="1"/>
  <c r="F397" i="1"/>
  <c r="G397" i="1" s="1"/>
  <c r="G1029" i="1"/>
  <c r="G981" i="1"/>
  <c r="G997" i="1"/>
  <c r="G1021" i="1"/>
  <c r="G943" i="1"/>
  <c r="G555" i="1"/>
  <c r="F558" i="1"/>
  <c r="G558" i="1" s="1"/>
  <c r="G1045" i="1"/>
  <c r="G1005" i="1"/>
  <c r="G1033" i="1"/>
  <c r="G482" i="1"/>
  <c r="G297" i="1"/>
  <c r="F85" i="1"/>
  <c r="G304" i="1"/>
  <c r="F678" i="1"/>
  <c r="F488" i="1"/>
  <c r="D637" i="1"/>
  <c r="G402" i="1"/>
  <c r="G541" i="1"/>
  <c r="G94" i="1" l="1"/>
  <c r="G957" i="1"/>
  <c r="G961" i="1"/>
  <c r="G953" i="1"/>
  <c r="G1069" i="1"/>
  <c r="G965" i="1"/>
  <c r="G165" i="1"/>
  <c r="G273" i="1"/>
  <c r="G1117" i="1"/>
  <c r="G497" i="1"/>
  <c r="G1025" i="1"/>
  <c r="G108" i="1"/>
  <c r="G286" i="1"/>
  <c r="G969" i="1"/>
  <c r="G85" i="1"/>
  <c r="G993" i="1"/>
  <c r="G826" i="1"/>
  <c r="G738" i="1"/>
  <c r="G731" i="1"/>
  <c r="G504" i="1"/>
  <c r="G256" i="1"/>
  <c r="G678" i="1"/>
  <c r="G548" i="1"/>
  <c r="G488" i="1"/>
  <c r="G617" i="1"/>
  <c r="G574" i="1"/>
  <c r="G637" i="1"/>
  <c r="G119" i="1"/>
  <c r="G469" i="1"/>
  <c r="G587" i="1"/>
  <c r="G870" i="1" l="1"/>
  <c r="G664" i="1"/>
  <c r="G881" i="1"/>
  <c r="G688" i="1"/>
  <c r="G298" i="1"/>
  <c r="G580" i="1"/>
  <c r="G415" i="1"/>
  <c r="G477" i="1"/>
  <c r="G160" i="1"/>
  <c r="G784" i="1"/>
  <c r="G627" i="1"/>
  <c r="G894" i="1"/>
  <c r="G849" i="1"/>
  <c r="G633" i="1"/>
  <c r="G602" i="1"/>
  <c r="G564" i="1"/>
</calcChain>
</file>

<file path=xl/sharedStrings.xml><?xml version="1.0" encoding="utf-8"?>
<sst xmlns="http://schemas.openxmlformats.org/spreadsheetml/2006/main" count="1107" uniqueCount="921">
  <si>
    <t>ENROLLMENT</t>
  </si>
  <si>
    <t>TOTAL</t>
  </si>
  <si>
    <t>F/R</t>
  </si>
  <si>
    <t>NO.</t>
  </si>
  <si>
    <t>CODE</t>
  </si>
  <si>
    <t>SCHOOL NAMES</t>
  </si>
  <si>
    <t>ENROLLED</t>
  </si>
  <si>
    <t>%</t>
  </si>
  <si>
    <t>ALPINE DISTRICT</t>
  </si>
  <si>
    <t>AMERICAN FORK JR</t>
  </si>
  <si>
    <t>CANYON VIEW JR.</t>
  </si>
  <si>
    <t>LAKERIDGE JR</t>
  </si>
  <si>
    <t>LEHI JR.</t>
  </si>
  <si>
    <t>OAK CANYON JR.</t>
  </si>
  <si>
    <t>PLEASANT GROVE JR</t>
  </si>
  <si>
    <t>TIMPANOGOS HIGH</t>
  </si>
  <si>
    <t>TOTALS</t>
  </si>
  <si>
    <t>BEAVER DISTRICT</t>
  </si>
  <si>
    <t>BEAVER HIGH</t>
  </si>
  <si>
    <t>BOX ELDER DISTRICT</t>
  </si>
  <si>
    <t>ALICE C HARRIS INT.</t>
  </si>
  <si>
    <t>ADELE C YOUNG INT.</t>
  </si>
  <si>
    <t>BEAR RIVER MIDDLE</t>
  </si>
  <si>
    <t>BOX ELDER MIDDLE</t>
  </si>
  <si>
    <t>BEAR RIVER HIGH</t>
  </si>
  <si>
    <t>BOX ELDER HIGH</t>
  </si>
  <si>
    <t>CACHE DISTRICT</t>
  </si>
  <si>
    <t>CEDAR RIDGE MIDDLE</t>
  </si>
  <si>
    <t>SPRING CREEK MIDDLE</t>
  </si>
  <si>
    <t>WILLOW VALLEY MIDDLE</t>
  </si>
  <si>
    <t>NO CACHE 8/9 CTR</t>
  </si>
  <si>
    <t>SO CACHE 8/9 CTR</t>
  </si>
  <si>
    <t>CARBON DISTRICT</t>
  </si>
  <si>
    <t>MONT HARMON JR</t>
  </si>
  <si>
    <t>CARBON HIGH</t>
  </si>
  <si>
    <t>LIGHTHOUSE LEARNING</t>
  </si>
  <si>
    <t>DAGGETT DISTRICT</t>
  </si>
  <si>
    <t>DAVIS DISTRICT</t>
  </si>
  <si>
    <t>MORGAN</t>
  </si>
  <si>
    <t>WASATCH</t>
  </si>
  <si>
    <t>WASHINGTON</t>
  </si>
  <si>
    <t>MOUNTAIN HIGH</t>
  </si>
  <si>
    <t>DAVIS JR ALT</t>
  </si>
  <si>
    <t>DUCHESNE</t>
  </si>
  <si>
    <t>ROOSEVELT JR HIGH</t>
  </si>
  <si>
    <t>ALTAMONT HIGH</t>
  </si>
  <si>
    <t>DUCHESNE HIGH</t>
  </si>
  <si>
    <t>TABIONA HIGH</t>
  </si>
  <si>
    <t>UNION HIGH</t>
  </si>
  <si>
    <t>THOMPSEN SCHOOL</t>
  </si>
  <si>
    <t>EMERY</t>
  </si>
  <si>
    <t>GREEN RIVER HIGH</t>
  </si>
  <si>
    <t>EMERY HIGH</t>
  </si>
  <si>
    <t>GARFIELD</t>
  </si>
  <si>
    <t>ESCALANTE HIGH</t>
  </si>
  <si>
    <t>GRAND</t>
  </si>
  <si>
    <t>GRAND COUNTY HIGH</t>
  </si>
  <si>
    <t>GRANITE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</si>
  <si>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</si>
  <si>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</si>
  <si>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</si>
  <si>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</si>
  <si>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</si>
  <si>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</si>
  <si>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</si>
  <si>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</si>
  <si>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IRON</t>
  </si>
  <si>
    <t>CEDAR NORTH ELEM</t>
  </si>
  <si>
    <t>CEDAR SOUTH ELEM</t>
  </si>
  <si>
    <t>ESCALANTE VALLEY ELEM</t>
  </si>
  <si>
    <t>FIDDLERS CANYON ELEM</t>
  </si>
  <si>
    <t>PAROWAN ELEM/HIGH</t>
  </si>
  <si>
    <t>CEDAR MIDDLE</t>
  </si>
  <si>
    <t>CANYON VIEW HIGH</t>
  </si>
  <si>
    <t>JORDAN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</si>
  <si>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</si>
  <si>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</si>
  <si>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</si>
  <si>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</si>
  <si>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</si>
  <si>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</si>
  <si>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OQUIRRH HILLS MIDDLE</t>
  </si>
  <si>
    <t>UNION MIDDLE</t>
  </si>
  <si>
    <t>SOUTH JORDAN MIDDLE</t>
  </si>
  <si>
    <t>WEST JORDAN MIDDLE</t>
  </si>
  <si>
    <t>ELKRIDGE MIDDLE</t>
  </si>
  <si>
    <t>WEST HILLS MIDDLE</t>
  </si>
  <si>
    <t>SOUTH HILLS MIDDLE</t>
  </si>
  <si>
    <t>ALTA HIGH</t>
  </si>
  <si>
    <t>COPPER HILLS HIGH</t>
  </si>
  <si>
    <t>BINGHAM HIGH</t>
  </si>
  <si>
    <t>BRIGHTON HIGH</t>
  </si>
  <si>
    <t>HILLCREST HIGH</t>
  </si>
  <si>
    <t>JORDAN HIGH</t>
  </si>
  <si>
    <t>RIVERTON HIGH</t>
  </si>
  <si>
    <t>WEST JORDAN HIGH</t>
  </si>
  <si>
    <t>SOUTH VALLEY</t>
  </si>
  <si>
    <t>JUAB</t>
  </si>
  <si>
    <t>JUAB HIGH</t>
  </si>
  <si>
    <t>KANE</t>
  </si>
  <si>
    <t>KANAB ELEMENTARY</t>
  </si>
  <si>
    <t>VALLEY ELEMENTARY</t>
  </si>
  <si>
    <t>KANAB MIDDLE</t>
  </si>
  <si>
    <t>KANAB HIGH</t>
  </si>
  <si>
    <t>VALLEY HIGH</t>
  </si>
  <si>
    <t>MILLARD</t>
  </si>
  <si>
    <t>FILLMORE MIDDLE</t>
  </si>
  <si>
    <t>DELTA HIGH</t>
  </si>
  <si>
    <t>MILLARD HIGH</t>
  </si>
  <si>
    <t>MORGAN ELEMENTARY</t>
  </si>
  <si>
    <t>MORGAN MIDDLE</t>
  </si>
  <si>
    <t>MORGAN HIGH</t>
  </si>
  <si>
    <t>NEBO</t>
  </si>
  <si>
    <t>SPRINGVILLE JR</t>
  </si>
  <si>
    <t>LANDMARK HIGH</t>
  </si>
  <si>
    <t>NORTH SANPETE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</si>
  <si>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</si>
  <si>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</si>
  <si>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</si>
  <si>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</si>
  <si>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</si>
  <si>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</si>
  <si>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TREASURE MOUNTAIN MIDD</t>
  </si>
  <si>
    <t>ECKER HILL MIDDLE</t>
  </si>
  <si>
    <t>PIUTE</t>
  </si>
  <si>
    <t>PIUTE HIGH</t>
  </si>
  <si>
    <t>RICH</t>
  </si>
  <si>
    <t>SAN JUAN</t>
  </si>
  <si>
    <t>MONTEZUMA CREEK ELEM</t>
  </si>
  <si>
    <t>MONTICELLO HIGH</t>
  </si>
  <si>
    <t>MONUMENT VALLEY HIGH</t>
  </si>
  <si>
    <t>SAN JUAN HIGH</t>
  </si>
  <si>
    <t>WHITE HORSE HIGH</t>
  </si>
  <si>
    <t>NAVAJO MOUNTAIN HIGH</t>
  </si>
  <si>
    <t>SEVIER</t>
  </si>
  <si>
    <t>NORTH SEVIER MIDDLE</t>
  </si>
  <si>
    <t>SOUTH SEVIER MIDDLE</t>
  </si>
  <si>
    <t>RED HILLS MIDDLE</t>
  </si>
  <si>
    <t>RICHFIELD HIGH</t>
  </si>
  <si>
    <t>SOUTH SEVIER HIGH</t>
  </si>
  <si>
    <t>CEDAR RIDGE HIGH</t>
  </si>
  <si>
    <t>SOUTH SANPETE</t>
  </si>
  <si>
    <t>GUNNISON VALLEY MIDDLE</t>
  </si>
  <si>
    <t>EPHRAIM MIDDLE</t>
  </si>
  <si>
    <t>GUNNISON VALLEY HIGH</t>
  </si>
  <si>
    <t>MANTI HIGH</t>
  </si>
  <si>
    <t>SOUTH SUMMIT</t>
  </si>
  <si>
    <t>SOUTH SUMMIT ELEM</t>
  </si>
  <si>
    <t>SOUTH SUMMIT MIDDLE</t>
  </si>
  <si>
    <t>SOUTH SUMMIT HIGH</t>
  </si>
  <si>
    <t>TINTIC</t>
  </si>
  <si>
    <t>TOOELE</t>
  </si>
  <si>
    <t>GRANTSVILLE HIGH</t>
  </si>
  <si>
    <t>TOOELE HIGH</t>
  </si>
  <si>
    <t>WENDOVER HIGH</t>
  </si>
  <si>
    <t>UINTAH</t>
  </si>
  <si>
    <t>VERNAL MIDDLE</t>
  </si>
  <si>
    <t>VERNAL JUNIOR HIGH</t>
  </si>
  <si>
    <t>UINTAH HIGH</t>
  </si>
  <si>
    <t>WASATCH HIGH</t>
  </si>
  <si>
    <t>DIXIE MIDDLE</t>
  </si>
  <si>
    <t>HURRICANE MIDDLE</t>
  </si>
  <si>
    <t>PINE VIEW MIDDLE</t>
  </si>
  <si>
    <t>SNOW CANYON MIDDLE</t>
  </si>
  <si>
    <t>DIXIE HIGH</t>
  </si>
  <si>
    <t>ENTERPRISE HIGH</t>
  </si>
  <si>
    <t>WAYNE</t>
  </si>
  <si>
    <t xml:space="preserve">WAYNE MIDDLE </t>
  </si>
  <si>
    <t>WAYNE HIGH</t>
  </si>
  <si>
    <t>WEBER</t>
  </si>
  <si>
    <t>BONNEVILLE HIGH</t>
  </si>
  <si>
    <t>WEBER HIGH</t>
  </si>
  <si>
    <t>FREMONT HIGH</t>
  </si>
  <si>
    <t>ROY HIGH</t>
  </si>
  <si>
    <t>CANYON VIEW SCHOOL</t>
  </si>
  <si>
    <t>SALT LAKE</t>
  </si>
  <si>
    <t>OGDEN</t>
  </si>
  <si>
    <t>BEN LOMOND HIGH</t>
  </si>
  <si>
    <t>OGDEN HIGH</t>
  </si>
  <si>
    <t>WASHINGTON HIGH</t>
  </si>
  <si>
    <t>PROVO</t>
  </si>
  <si>
    <t>CENTENNIAL MIDDLE</t>
  </si>
  <si>
    <t>DIXON MIDDLE</t>
  </si>
  <si>
    <t>PROVO HIGH</t>
  </si>
  <si>
    <t>TIMPVIEW HIGH</t>
  </si>
  <si>
    <t>INDEPENDENCE HIGH</t>
  </si>
  <si>
    <t>LOGAN</t>
  </si>
  <si>
    <t>MT LOGAN MIDDLE</t>
  </si>
  <si>
    <t>LOGAN HIGH</t>
  </si>
  <si>
    <t>MURRAY</t>
  </si>
  <si>
    <t>MURRAY HIGH</t>
  </si>
  <si>
    <t>EDITH BOWEN LAB SCHOOL</t>
  </si>
  <si>
    <t>MANILA HIGH</t>
  </si>
  <si>
    <t>MANILA  ELEM</t>
  </si>
  <si>
    <t>CANYON HEIGHTS</t>
  </si>
  <si>
    <t>BRYCE VALLEY HIGH</t>
  </si>
  <si>
    <t>GRAND COUNTY MIDDLE</t>
  </si>
  <si>
    <t>NORTH RICH ELEM</t>
  </si>
  <si>
    <t>SOUTH RICH ELEM</t>
  </si>
  <si>
    <t>RICH JR HIGH/NRES</t>
  </si>
  <si>
    <t>RICH HIGH/SRES</t>
  </si>
  <si>
    <t>EUREKA ELEM/TINTIC HIGH</t>
  </si>
  <si>
    <t>NORTH SANPETE MIDDLE</t>
  </si>
  <si>
    <t>HURRICANE HIGH</t>
  </si>
  <si>
    <t>COLUMBUS COMM CTR</t>
  </si>
  <si>
    <t>GUADALUPE SCHOOL</t>
  </si>
  <si>
    <t>A3</t>
  </si>
  <si>
    <t>SOUTHWEST EDUC ACAD</t>
  </si>
  <si>
    <t>HORIZONTE</t>
  </si>
  <si>
    <t>PINNACLE CANYON</t>
  </si>
  <si>
    <t>WEST HIGH</t>
  </si>
  <si>
    <t>NO DAVIS PREP ACAD</t>
  </si>
  <si>
    <t>FREEDOM ACADEMY</t>
  </si>
  <si>
    <t>DAVINCI ACADEMY</t>
  </si>
  <si>
    <t>OGDEN PREP ACADEMY</t>
  </si>
  <si>
    <t>CITY ACADEMY</t>
  </si>
  <si>
    <t>NUAMES</t>
  </si>
  <si>
    <t>MOUNT JORDAN MIDDLE</t>
  </si>
  <si>
    <t>SUNSET RIDGE MIDDLE</t>
  </si>
  <si>
    <t>FORT HERRIMAN MIDDLE</t>
  </si>
  <si>
    <t>JUAB JR HIGH</t>
  </si>
  <si>
    <t>MILLCREEK HIGH</t>
  </si>
  <si>
    <t>TWO RIVERS HIGH</t>
  </si>
  <si>
    <t>1B</t>
  </si>
  <si>
    <t>UTAH CNTY ACAD SCI</t>
  </si>
  <si>
    <t>WASATCH PEAK ACADEMY</t>
  </si>
  <si>
    <t>4B</t>
  </si>
  <si>
    <t>RONALD REAGAN ACADEMY</t>
  </si>
  <si>
    <t>7B</t>
  </si>
  <si>
    <t>CANYON VIEW MIDDLE</t>
  </si>
  <si>
    <t>THREE MILE CREEK</t>
  </si>
  <si>
    <t>OAKRIDGE SCHOOL</t>
  </si>
  <si>
    <t>PAYSON HIGH</t>
  </si>
  <si>
    <t>SPANISH FORK HIGH</t>
  </si>
  <si>
    <t>SPRINGVILLE HIGH</t>
  </si>
  <si>
    <t>2C</t>
  </si>
  <si>
    <t>INTECH COLLEGIATE</t>
  </si>
  <si>
    <t>5B</t>
  </si>
  <si>
    <t>NORTHSTAR ACADEMY</t>
  </si>
  <si>
    <t>8B</t>
  </si>
  <si>
    <t>3C</t>
  </si>
  <si>
    <t>ENTHEOS ACADEMY</t>
  </si>
  <si>
    <t>4D</t>
  </si>
  <si>
    <t>MAPLETON JR HIGH</t>
  </si>
  <si>
    <t>1E</t>
  </si>
  <si>
    <t>1E1</t>
  </si>
  <si>
    <t>WHITE PINE MIDDLE</t>
  </si>
  <si>
    <t>4C</t>
  </si>
  <si>
    <t>LAKEVIEW ACADEMY</t>
  </si>
  <si>
    <t>DIAMOND FORK JR HIGH</t>
  </si>
  <si>
    <t>MT NEBO JR HIGH</t>
  </si>
  <si>
    <t>2D</t>
  </si>
  <si>
    <t>CHANNING HALL</t>
  </si>
  <si>
    <t>4E</t>
  </si>
  <si>
    <t>DUAL IMMERSION ACADEMY</t>
  </si>
  <si>
    <t>9D</t>
  </si>
  <si>
    <t>CANYON RIM ACADEMY</t>
  </si>
  <si>
    <t>DESERT HILLS MIDDLE</t>
  </si>
  <si>
    <t>PANGUITCH HIGH</t>
  </si>
  <si>
    <t>PANGUITCH MIDDLE</t>
  </si>
  <si>
    <t>MOUNTAIN GREEN ELEM</t>
  </si>
  <si>
    <t>EAGLE VIEW ELEMENTARY</t>
  </si>
  <si>
    <t>HIDDEN HOLLOW ELEM</t>
  </si>
  <si>
    <t>LEHI HIGH</t>
  </si>
  <si>
    <t>AMERICAN FORK HIGH</t>
  </si>
  <si>
    <t>LONE PEAK HIGH</t>
  </si>
  <si>
    <t>LINDON ELEMENTARY</t>
  </si>
  <si>
    <t>MANILA ELEMENTARY</t>
  </si>
  <si>
    <t>MEADOW ELEMENTARY</t>
  </si>
  <si>
    <t>MOUNT MAHOGANY ELEM</t>
  </si>
  <si>
    <t>MOUNTAIN RIDGE JR HIGH</t>
  </si>
  <si>
    <t>MOUNTAIN VIEW HIGH</t>
  </si>
  <si>
    <t>NORTHRIDGE ELEMENTARY</t>
  </si>
  <si>
    <t>LEHI ELEMENTARY</t>
  </si>
  <si>
    <t>LEGACY ELEMENTARY</t>
  </si>
  <si>
    <t>HILLCREST ELEMENTARY</t>
  </si>
  <si>
    <t>HIGHLAND ELEMENTARY</t>
  </si>
  <si>
    <t>CEDAR RIDGE ELEMENTARY</t>
  </si>
  <si>
    <t>CEDAR VALLEY ELEMENTARY</t>
  </si>
  <si>
    <t>CENTRAL ELEMENTARY</t>
  </si>
  <si>
    <t>CHERRY HILL ELEMENTARY</t>
  </si>
  <si>
    <t>DEERFIELD ELEMENTARY</t>
  </si>
  <si>
    <t>EAGLE CREST ELEMENTARY</t>
  </si>
  <si>
    <t>EAGLE VALLEY ELEMENTARY</t>
  </si>
  <si>
    <t>FOOTHILL ELEMENTARY</t>
  </si>
  <si>
    <t>FORBES ELEMENTARY</t>
  </si>
  <si>
    <t>FREEDOM ELEMENTARY</t>
  </si>
  <si>
    <t>FOX HOLLOW ELEMENTARY</t>
  </si>
  <si>
    <t>GENEVA ELEMENTARY</t>
  </si>
  <si>
    <t>GREENWOOD ELEMENTARY</t>
  </si>
  <si>
    <t>GROVECREST ELEMENTARY</t>
  </si>
  <si>
    <t>HARVEST ELEMENTARY</t>
  </si>
  <si>
    <t>ALPINE ELEMENTARY</t>
  </si>
  <si>
    <t>ASPEN ELEMENTARY</t>
  </si>
  <si>
    <t>BARRATT ELEMENTARY</t>
  </si>
  <si>
    <t>BONNEVILLE ELEMENTARY</t>
  </si>
  <si>
    <t>CASCADE ELEMENTARY</t>
  </si>
  <si>
    <t>ORCHARD ELEMENTARY</t>
  </si>
  <si>
    <t>OREM ELEMENTARY</t>
  </si>
  <si>
    <t>OREM HIGH</t>
  </si>
  <si>
    <t>OREM JR HIGH</t>
  </si>
  <si>
    <t>PONY EXPRESS ELEM</t>
  </si>
  <si>
    <t>RIDGELINE ELEMENTARY</t>
  </si>
  <si>
    <t>ROCKY MOUNTAIN ELEM</t>
  </si>
  <si>
    <t>SARATOGA SHORES ELEM</t>
  </si>
  <si>
    <t>SCERA PARK ELEMENTARY</t>
  </si>
  <si>
    <t>SEGO LILY ELEMENTARY</t>
  </si>
  <si>
    <t>SHARON ELEMENTARY</t>
  </si>
  <si>
    <t>SHELLEY ELEMENTARY</t>
  </si>
  <si>
    <t>SNOW SPRINGS ELEM</t>
  </si>
  <si>
    <t>SUNCREST ELEMENTARY</t>
  </si>
  <si>
    <t>TIMBERLINE MIDDLE</t>
  </si>
  <si>
    <t>VALLEY VIEW ELEMENTARY</t>
  </si>
  <si>
    <t>VINEYARD ELEMENTARY</t>
  </si>
  <si>
    <t>WESTFIELD ELEMENTARY</t>
  </si>
  <si>
    <t>WESTMORE ELEMENTARY</t>
  </si>
  <si>
    <t>WILLOWCREEK MIDDLE</t>
  </si>
  <si>
    <t>WINDSOR ELEMENTARY</t>
  </si>
  <si>
    <t>BELKNAP ELEMENTARY</t>
  </si>
  <si>
    <t>MINERSVILLE SCHOOL</t>
  </si>
  <si>
    <t>SKY VIEW HIGH</t>
  </si>
  <si>
    <t>MOUNTAIN CREST HIGH</t>
  </si>
  <si>
    <t>HARTVIGSEN TRNG CTR</t>
  </si>
  <si>
    <t>WASATCH JR HIGH</t>
  </si>
  <si>
    <t>YOUNG PARENTS HUNTER</t>
  </si>
  <si>
    <t>GRANITE PEAKS HIGH</t>
  </si>
  <si>
    <t>SUU HEADSTART</t>
  </si>
  <si>
    <t>A7</t>
  </si>
  <si>
    <t>MOAB CHARTER SCHOOL</t>
  </si>
  <si>
    <t>7C</t>
  </si>
  <si>
    <t>MONTICELLO ACADEMY</t>
  </si>
  <si>
    <t>ITINERIS HIGH</t>
  </si>
  <si>
    <t>LEGACY</t>
  </si>
  <si>
    <t>SANTAQUIN SCHOOL</t>
  </si>
  <si>
    <t>HIGHLAND JUNIOR HIGH</t>
  </si>
  <si>
    <t>4F</t>
  </si>
  <si>
    <t>CLAYTON MIDDLE</t>
  </si>
  <si>
    <t>EAST HIGH SCHOOL</t>
  </si>
  <si>
    <t>GLENDALE INTERMEDIATE</t>
  </si>
  <si>
    <t>HIGHLAND HIGH</t>
  </si>
  <si>
    <t>HILLSIDE MIDDLE</t>
  </si>
  <si>
    <t>NORTHWEST MIDDLE</t>
  </si>
  <si>
    <t>WEST HIGH NURSERY</t>
  </si>
  <si>
    <t>GUNNISON VALLEY ELEM</t>
  </si>
  <si>
    <t>A4</t>
  </si>
  <si>
    <t>SUMMIT ACADEMY</t>
  </si>
  <si>
    <t>GRANTSVILLE JR HIGH</t>
  </si>
  <si>
    <t>DESERT HILLS HIGH</t>
  </si>
  <si>
    <t>LAVA RIDGE INTERMEDIATE</t>
  </si>
  <si>
    <t>TONAQUINT INTERMEDIATE</t>
  </si>
  <si>
    <t>HURRICANE INTERMEDIATE</t>
  </si>
  <si>
    <t>NORTH POINT ELEMENTARY</t>
  </si>
  <si>
    <t>PLEASANT GROVE HIGH</t>
  </si>
  <si>
    <t>SAGE HILLS ELEMENTARY</t>
  </si>
  <si>
    <t>WESTLAKE HIGH SCHOOL</t>
  </si>
  <si>
    <t>SUMMIT/EAST SHORE HIGH</t>
  </si>
  <si>
    <t>CANYONS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</si>
  <si>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</si>
  <si>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</si>
  <si>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</si>
  <si>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</si>
  <si>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</si>
  <si>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</si>
  <si>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</si>
  <si>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SNOWVILLE ELEMENTARY</t>
  </si>
  <si>
    <t>PARK VALLEY ELEMENTARY</t>
  </si>
  <si>
    <t>NORTH PARK ELEMENTARY</t>
  </si>
  <si>
    <t>MOUNTAIN VIEW ELEM.</t>
  </si>
  <si>
    <t>WILLARD ELEMENTARY</t>
  </si>
  <si>
    <t>CANYON ELEMENTARY</t>
  </si>
  <si>
    <t>GREENVILLE ELEMENTARY</t>
  </si>
  <si>
    <t>LEWISTON ELEMENTARY</t>
  </si>
  <si>
    <t>LINCOLN ELEMENTARY</t>
  </si>
  <si>
    <t>MILLVILLE ELEMENTARY</t>
  </si>
  <si>
    <t>MOUNTAINSIDE ELEM</t>
  </si>
  <si>
    <t>NIBLEY ELEMENTARY</t>
  </si>
  <si>
    <t>PARK ELEMENTARY</t>
  </si>
  <si>
    <t>PROVIDENCE ELEMENTARY</t>
  </si>
  <si>
    <t>RIVER HEIGHTS ELEM</t>
  </si>
  <si>
    <t>SUMMIT ELEMENTARY</t>
  </si>
  <si>
    <t>SUNRISE ELEMENTARY</t>
  </si>
  <si>
    <t>WELLSVILLE ELEMENTARY</t>
  </si>
  <si>
    <t>BRUIN POINT ELEMENTARY</t>
  </si>
  <si>
    <t>CASTLE HEIGHTS ELEM</t>
  </si>
  <si>
    <t>CASTLE VALLEY CENTER</t>
  </si>
  <si>
    <t>CREEKVIEW ELEMENTARY</t>
  </si>
  <si>
    <t>HELPER JR HIGH</t>
  </si>
  <si>
    <t>SALLY MAURO ELEMENTARY</t>
  </si>
  <si>
    <t>WELLINGTON ELEMENTARY</t>
  </si>
  <si>
    <t>ADAMS ELEMENTARY</t>
  </si>
  <si>
    <t>ADELAIDE ELEMENTARY</t>
  </si>
  <si>
    <t>ANTELOPE ELEMENTARY</t>
  </si>
  <si>
    <t>BOULTON ELEMENTARY</t>
  </si>
  <si>
    <t>BOUNTIFUL ELEMENTARY</t>
  </si>
  <si>
    <t>BLUFF RIDGE ELEMENTARY</t>
  </si>
  <si>
    <t xml:space="preserve">BOUNTIFUL HIGH </t>
  </si>
  <si>
    <t>BOUNTIFUL JR HIGH</t>
  </si>
  <si>
    <t>BUFFALO POINT ELEM</t>
  </si>
  <si>
    <t>CENTERVILLE ELEMENTARY</t>
  </si>
  <si>
    <t>CENTERVILLE JR HIGH</t>
  </si>
  <si>
    <t>CENTRAL DAVIS JR HIGH</t>
  </si>
  <si>
    <t>CLEARFIELD HIGH</t>
  </si>
  <si>
    <t>CLINTON ELEMENTARY</t>
  </si>
  <si>
    <t>COLUMBIA ELEMENTARY</t>
  </si>
  <si>
    <t>COOK ELEMENTARY</t>
  </si>
  <si>
    <t>CREEKSIDE ELEMENTARY</t>
  </si>
  <si>
    <t>CRESTVIEW ELEMENTARY</t>
  </si>
  <si>
    <t>DAVIS HIGH</t>
  </si>
  <si>
    <t>DOXEY ELEMENTARY</t>
  </si>
  <si>
    <t>EAGLE BAY ELEMENTARY</t>
  </si>
  <si>
    <t>EAST LAYTON ELEMENTARY</t>
  </si>
  <si>
    <t>ELLISON PARK ELEMENTARY</t>
  </si>
  <si>
    <t>FAIRFIELD JR HIGH</t>
  </si>
  <si>
    <t>FARMINGTON ELEMENTARY</t>
  </si>
  <si>
    <t>FARMINGTON JR HIGH</t>
  </si>
  <si>
    <t>FOXBORO ELEMENTARY</t>
  </si>
  <si>
    <t>FREMONT ELEMENTARY</t>
  </si>
  <si>
    <t>H C BURTON ELEMENTARY</t>
  </si>
  <si>
    <t>HERITAGE ELEMENTARY</t>
  </si>
  <si>
    <t>HILL FIELD ELEMENTARY</t>
  </si>
  <si>
    <t>HOLBROOK ELEMENTARY</t>
  </si>
  <si>
    <t>HOLT ELEMENTARY</t>
  </si>
  <si>
    <t>J A TAYLOR ELEMENTARY</t>
  </si>
  <si>
    <t>KAYSVILLE ELEMENTARY</t>
  </si>
  <si>
    <t>KAYSVILLE JR HIGH</t>
  </si>
  <si>
    <t>KING ELEMENTARY</t>
  </si>
  <si>
    <t>KNOWLTON ELEMENTARY</t>
  </si>
  <si>
    <t>LAKESIDE ELEMENTARY</t>
  </si>
  <si>
    <t>LAYTON ELEMENTARY</t>
  </si>
  <si>
    <t>LAYTON HIGH</t>
  </si>
  <si>
    <t>LEGACY JR HIGH</t>
  </si>
  <si>
    <t>MEADOWBROOK ELEM</t>
  </si>
  <si>
    <t>MILLCREEK JR HIGH</t>
  </si>
  <si>
    <t>MOUNTAIN VIEW ELEM</t>
  </si>
  <si>
    <t>MUELLER PARK JR HIGH</t>
  </si>
  <si>
    <t>MUIR ELEMENTARY</t>
  </si>
  <si>
    <t>NO. DAVIS JR HIGH</t>
  </si>
  <si>
    <t>NORTH LAYTON JR HIGH</t>
  </si>
  <si>
    <t>NORTHRIDGE HIGH</t>
  </si>
  <si>
    <t>OAK HILLS ELEMENTARY</t>
  </si>
  <si>
    <t>PARKSIDE ELEMENTARY</t>
  </si>
  <si>
    <t>READING ELEMENTARY</t>
  </si>
  <si>
    <t>SAND SPRINGS ELEM</t>
  </si>
  <si>
    <t>SNOW HORSE ELEMENTARY</t>
  </si>
  <si>
    <t>SO. CLEARFIELD ELEM</t>
  </si>
  <si>
    <t>SOUTH DAVIS JR HIGH</t>
  </si>
  <si>
    <t>SOUTH WEBER ELEMENTARY</t>
  </si>
  <si>
    <t>STEWART ELEMENTARY</t>
  </si>
  <si>
    <t>SUNSET ELEMENTARY</t>
  </si>
  <si>
    <t>SUNSET JR HIGH</t>
  </si>
  <si>
    <t>SYRACUSE ELEMENTARY</t>
  </si>
  <si>
    <t>SYRACUSE HIGH</t>
  </si>
  <si>
    <t>VIEWMONT HIGH</t>
  </si>
  <si>
    <t>WOODS CROSS HIGH</t>
  </si>
  <si>
    <t>WEST POINT JR HIGH</t>
  </si>
  <si>
    <t>SYRACUSE JR HIGH</t>
  </si>
  <si>
    <t>VAE VIEW ELEMENTARY</t>
  </si>
  <si>
    <t>WHITESIDES ELEMENTARY</t>
  </si>
  <si>
    <t>WEST POINT ELEMENTARY</t>
  </si>
  <si>
    <t>WEST CLINTON ELEMENTARY</t>
  </si>
  <si>
    <t>WEST BOUNTIFUL ELEM</t>
  </si>
  <si>
    <t>WASHINGTON ELEMENTARY</t>
  </si>
  <si>
    <t>WASATCH ELEMENTARY</t>
  </si>
  <si>
    <t>TOLMAN ELEMENTARY</t>
  </si>
  <si>
    <t>WOODS CROSS ELEM</t>
  </si>
  <si>
    <t>WINDRIDGE ELEMENTARY</t>
  </si>
  <si>
    <t>ALTAMONT ELEMENTARY</t>
  </si>
  <si>
    <t>CON AMORE TRAINING CNT</t>
  </si>
  <si>
    <t>DUCHESNE ELEMENTARY</t>
  </si>
  <si>
    <t>EAST ELEMENTARY</t>
  </si>
  <si>
    <t>MYTON ELEMENTARY</t>
  </si>
  <si>
    <t>NEOLA ELEMENTARY</t>
  </si>
  <si>
    <t>TABIONA ELEMENTARY</t>
  </si>
  <si>
    <t>BOOK CLIFF ELEMENTARY</t>
  </si>
  <si>
    <t>CANYON VIEW JR HIGH</t>
  </si>
  <si>
    <t>CASTLE DALE ELEMENTARY</t>
  </si>
  <si>
    <t>CLEVELAND ELEMENTARY</t>
  </si>
  <si>
    <t>FERRON ELEMENTARY</t>
  </si>
  <si>
    <t>HUNTINGTON ELEMENTARY</t>
  </si>
  <si>
    <t>SAN RAFAEL JR HIGH</t>
  </si>
  <si>
    <t>COTTONWOOD ELEM</t>
  </si>
  <si>
    <t>ANTIMONY ELEMENTARY</t>
  </si>
  <si>
    <t>BOULDER ELEMENTARY</t>
  </si>
  <si>
    <t>ESCALANTE ELEMENTARY</t>
  </si>
  <si>
    <t>PANGUITCH ELEMENTARY</t>
  </si>
  <si>
    <t>BRYCE VALLEY ELEM</t>
  </si>
  <si>
    <t>ACADEMY PARK ELEM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</si>
  <si>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</si>
  <si>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</si>
  <si>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</si>
  <si>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</si>
  <si>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</si>
  <si>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</si>
  <si>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</si>
  <si>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</si>
  <si>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CHURCHILL JR HIGH</t>
  </si>
  <si>
    <t>COPPER HILLS ELEMENTARY</t>
  </si>
  <si>
    <t>COTTONWOOD ELEMENTARY</t>
  </si>
  <si>
    <t>DAVID GOURLEY ELEM</t>
  </si>
  <si>
    <t>DIAMOND RIDGE ELEM</t>
  </si>
  <si>
    <t>EASTWOOD ELEMENTARY</t>
  </si>
  <si>
    <t>EISENHOWER JR HIGH</t>
  </si>
  <si>
    <t>EVERGREEN JR HIGH</t>
  </si>
  <si>
    <t>FOX HILLS ELEMENTARY</t>
  </si>
  <si>
    <t>GRANGER ELEMENTARY</t>
  </si>
  <si>
    <t>GRANITE PARK JR HIGH</t>
  </si>
  <si>
    <t>HARRY S TRUMAN ELEM</t>
  </si>
  <si>
    <t>DOUGLAS T ORCHARD ELEM</t>
  </si>
  <si>
    <t>HILLSDALE ELEMENTARY</t>
  </si>
  <si>
    <t>HILLSIDE ELEMENTARY</t>
  </si>
  <si>
    <t>HOWARD R DRIGGS ELEM</t>
  </si>
  <si>
    <t>HUNTER ELEMENTARY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</si>
  <si>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</si>
  <si>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</si>
  <si>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</si>
  <si>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</si>
  <si>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</si>
  <si>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</si>
  <si>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</si>
  <si>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</si>
  <si>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</si>
  <si>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</si>
  <si>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</si>
  <si>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</si>
  <si>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MORNINGSIDE ELEMENTARY</t>
  </si>
  <si>
    <t>OAKRIDGE ELEMENTARY</t>
  </si>
  <si>
    <t>OAKWOOD ELEMENTARY</t>
  </si>
  <si>
    <t>OLYMPUS JR HIGH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</si>
  <si>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</si>
  <si>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</si>
  <si>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</si>
  <si>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</si>
  <si>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</si>
  <si>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</si>
  <si>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</si>
  <si>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</si>
  <si>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</si>
  <si>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</si>
  <si>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</si>
  <si>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</si>
  <si>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</si>
  <si>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</si>
  <si>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</si>
  <si>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</si>
  <si>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</si>
  <si>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</si>
  <si>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UPLAND TERRACE ELEM</t>
  </si>
  <si>
    <t>VALLEY CREST ELEMENTARY</t>
  </si>
  <si>
    <t>VALLEY JR HIGH</t>
  </si>
  <si>
    <t>VISTA ELEMENTARY</t>
  </si>
  <si>
    <t>WEST KEARNS ELEMENTARY</t>
  </si>
  <si>
    <t>WEST VALLEY ELEMENTARY</t>
  </si>
  <si>
    <t>WESTBROOK ELEMENTARY</t>
  </si>
  <si>
    <t>WESTERN HILLS ELEM</t>
  </si>
  <si>
    <t>WEST LAKE JR HIGH</t>
  </si>
  <si>
    <t>WHITTIER ELEMENTARY</t>
  </si>
  <si>
    <t>WILLIAM PENN ELEMENTARY</t>
  </si>
  <si>
    <t>WOODROW WILSON ELEM</t>
  </si>
  <si>
    <t>WOODSTOCK ELEMENTARY</t>
  </si>
  <si>
    <t>CEDAR CITY HIGH</t>
  </si>
  <si>
    <t>CEDAR EAST ELEMENTARY</t>
  </si>
  <si>
    <t>ENOCH ELEMENTARY</t>
  </si>
  <si>
    <t>IRON SPRINGS ELEMENTARY</t>
  </si>
  <si>
    <t>THREE PEAKS ELEMENTARY</t>
  </si>
  <si>
    <t>MONA ELEMENTARY</t>
  </si>
  <si>
    <t>NEBO VIEW ELEMENTARY</t>
  </si>
  <si>
    <t>RED CLIFFS ELEMENTARY</t>
  </si>
  <si>
    <t>BIG WATER ELEMENTARY</t>
  </si>
  <si>
    <t>LAKE POWELL SCHOOL</t>
  </si>
  <si>
    <t>DELTA ELEMENTARY</t>
  </si>
  <si>
    <t>DELTA MIDDLE SCHOOL</t>
  </si>
  <si>
    <t>BLUFFDALE ELEMENTARY</t>
  </si>
  <si>
    <t>BUTTERFIELD CANYON ELEM</t>
  </si>
  <si>
    <t>COPPER CANYON ELEM</t>
  </si>
  <si>
    <t>COPPERVIEW ELEMENTARY</t>
  </si>
  <si>
    <t>CRESCENT ELEMENTARY</t>
  </si>
  <si>
    <t>DAYBREAK ELEMENTARY</t>
  </si>
  <si>
    <t>EASTLAKE ELEMENTARY</t>
  </si>
  <si>
    <t>ELK MEADOWS ELEMENTARY</t>
  </si>
  <si>
    <t>FALCON RIDGE ELEMENTARY</t>
  </si>
  <si>
    <t>FOOTHILLS ELEMENTARY</t>
  </si>
  <si>
    <t>HAYDEN PEAK ELEMENTARY</t>
  </si>
  <si>
    <t>HEARTLAND ELEMENTARY</t>
  </si>
  <si>
    <t>HERRIMAN ELEMENTARY</t>
  </si>
  <si>
    <t>JOEL P JENSEN MIDDLE</t>
  </si>
  <si>
    <t>JORDAN HILLS ELEMENTARY</t>
  </si>
  <si>
    <t>JORDAN RIDGE ELEMENTARY</t>
  </si>
  <si>
    <t>KAURI SUE HAMILTON SCH</t>
  </si>
  <si>
    <t>MAJESTIC ELEMENTARY</t>
  </si>
  <si>
    <t>MIDAS CREEK ELEMENTARY</t>
  </si>
  <si>
    <t>MONTE VISTA ELEMENTARY</t>
  </si>
  <si>
    <t>MOUNTAIN SHADOWS ELEM</t>
  </si>
  <si>
    <t>OAKCREST ELEMENTARY</t>
  </si>
  <si>
    <t>OQUIRRH ELEMENTARY</t>
  </si>
  <si>
    <t>RIVERSIDE ELEMENTARY</t>
  </si>
  <si>
    <t>RIVERTON ELEMENTARY</t>
  </si>
  <si>
    <t>ROSAMOND ELEMENTARY</t>
  </si>
  <si>
    <t>ROSE CREEK ELEMENTARY</t>
  </si>
  <si>
    <t>SILVER CREST ELEMENTARY</t>
  </si>
  <si>
    <t>SOUTH JORDAN ELEM</t>
  </si>
  <si>
    <t>SOUTHLAND ELEMENTARY</t>
  </si>
  <si>
    <t>TERRA LINDA ELEMENTARY</t>
  </si>
  <si>
    <t>VALLEY HIGH SCHOOL</t>
  </si>
  <si>
    <t>WELBY ELEMENTARY</t>
  </si>
  <si>
    <t>WEST JORDAN ELEMENTARY</t>
  </si>
  <si>
    <t>WESTLAND ELEMENTARY</t>
  </si>
  <si>
    <t>WESTVALE ELEMENTARY</t>
  </si>
  <si>
    <t>ART CITY ELEMENTARY</t>
  </si>
  <si>
    <t>BARNETT ELEMENTARY</t>
  </si>
  <si>
    <t>BROCKBANK ELEMENTARY</t>
  </si>
  <si>
    <t>BROOKSIDE ELEMENTARY</t>
  </si>
  <si>
    <t>CHERRY CREEK ELEM</t>
  </si>
  <si>
    <t>EAST MEADOWS ELEM</t>
  </si>
  <si>
    <t>GOSHEN ELEMENTARY</t>
  </si>
  <si>
    <t>HOBBLE CREEK ELEM</t>
  </si>
  <si>
    <t>LARSEN ELEMENTARY</t>
  </si>
  <si>
    <t>MAPLE MOUNTAIN HIGH</t>
  </si>
  <si>
    <t>MAPLETON ELEMENTARY</t>
  </si>
  <si>
    <t>MT. LOAFER ELEMENTARY</t>
  </si>
  <si>
    <t>ORCHARD HILLS ELEM</t>
  </si>
  <si>
    <t>PARKVIEW ELEMENTARY</t>
  </si>
  <si>
    <t>PAYSON JR HIGH</t>
  </si>
  <si>
    <t>REES ELEMENTARY</t>
  </si>
  <si>
    <t>SAGE CREEK ELEMENTARY</t>
  </si>
  <si>
    <t>RIVERVIEW ELEMENTARY</t>
  </si>
  <si>
    <t>SALEM ELEMENTARY</t>
  </si>
  <si>
    <t>SALEM HIGH SCHOOL</t>
  </si>
  <si>
    <t>SPANISH FORK JR HIGH</t>
  </si>
  <si>
    <t>SPANISH OAKS ELEMENTARY</t>
  </si>
  <si>
    <t>SPRING LAKE ELEMENTARY</t>
  </si>
  <si>
    <t>TAYLOR ELEMENTARY</t>
  </si>
  <si>
    <t>WESTSIDE ELEMENTARY</t>
  </si>
  <si>
    <t>WILSON ELEMENTARY</t>
  </si>
  <si>
    <t>FAIRVIEW ELEMENTARY</t>
  </si>
  <si>
    <t>FOUNTAIN GREEN ELEM</t>
  </si>
  <si>
    <t>MORONI ELEMENTARY</t>
  </si>
  <si>
    <t>MT PLEASANT ELEM</t>
  </si>
  <si>
    <t>SPRING CITY ELEMENTARY</t>
  </si>
  <si>
    <t>JEREMY RANCH ELEM</t>
  </si>
  <si>
    <t>MCPOLIN ELEMENTARY</t>
  </si>
  <si>
    <t>PARK CITY HIGH SCHOOL</t>
  </si>
  <si>
    <t>PARLEY'S PARK ELEM</t>
  </si>
  <si>
    <t>TRAILSIDE ELEMENTARY</t>
  </si>
  <si>
    <t>CIRCLEVILLE ELEMENTARY</t>
  </si>
  <si>
    <t>OSCARSON ELEMENTARY</t>
  </si>
  <si>
    <t>ALBERT R LYMAN MIDDLE</t>
  </si>
  <si>
    <t>BLANDING ELEMENTARY</t>
  </si>
  <si>
    <t>BLUFF ELEMENTARY</t>
  </si>
  <si>
    <t>LASAL ELEMENTARY</t>
  </si>
  <si>
    <t>MONTICELLO ELEMENTARY</t>
  </si>
  <si>
    <t>ASHMAN ELEMENTARY</t>
  </si>
  <si>
    <t>KOOSHAREM ELEMENTARY</t>
  </si>
  <si>
    <t>NORTH SEVIER HIGH</t>
  </si>
  <si>
    <t>PAHVANT ELEMENTARY</t>
  </si>
  <si>
    <t>SALINA ELEMENTARY</t>
  </si>
  <si>
    <t>EPHRAIM ELEMENTARY</t>
  </si>
  <si>
    <t>MANTI ELEMENTARY</t>
  </si>
  <si>
    <t>ANNA SMITH ELEMENTARY</t>
  </si>
  <si>
    <t>CLARKE JOHNSON JR HIGH</t>
  </si>
  <si>
    <t>DUGWAY ELEMENTARY/HIGH</t>
  </si>
  <si>
    <t>HARRIS ELEMENTARY</t>
  </si>
  <si>
    <t>IBAPAH ELEMENTARY</t>
  </si>
  <si>
    <t>MIDDLE CANYON ELEM</t>
  </si>
  <si>
    <t>NORTHLAKE ELEMENTARY</t>
  </si>
  <si>
    <t>OVERLAKE ELEMENTARY</t>
  </si>
  <si>
    <t>ROSE SPRINGS ELEMENTARY</t>
  </si>
  <si>
    <t>SETTLEMENT CANYON ELEM</t>
  </si>
  <si>
    <t>STANSBURY HIGH</t>
  </si>
  <si>
    <t>TOOELE JR HIGH</t>
  </si>
  <si>
    <t>VERNON ELEMENTARY</t>
  </si>
  <si>
    <t>WEST ELEMENTARY</t>
  </si>
  <si>
    <t>WILLOW ELEMENTARY</t>
  </si>
  <si>
    <t>ASHLEY ELEMENTARY</t>
  </si>
  <si>
    <t>ASHLEY VALLEY EDUC CNT</t>
  </si>
  <si>
    <t>DAVIS ELEMENTARY</t>
  </si>
  <si>
    <t>LAPOINT ELEMENTARY</t>
  </si>
  <si>
    <t>MAESER ELEMENTARY</t>
  </si>
  <si>
    <t>NAPLES ELEMENTARY</t>
  </si>
  <si>
    <t>HEBER VALLEY ELEMENTARY</t>
  </si>
  <si>
    <t>J.R. SMITH ELEMENTARY</t>
  </si>
  <si>
    <t>MIDWAY ELEMENTARY</t>
  </si>
  <si>
    <t>OLD MILL ELEMENTARY</t>
  </si>
  <si>
    <t>ROCKY MOUNTAIN MIDDLE</t>
  </si>
  <si>
    <t>TIMPANOGAS INTER SCHOOL</t>
  </si>
  <si>
    <t>ARROWHEAD ELEMENTARY</t>
  </si>
  <si>
    <t>BLOOMINGTON ELEMENTARY</t>
  </si>
  <si>
    <t>BLOOMINGTON HILLS ELEM</t>
  </si>
  <si>
    <t>CORAL CANYON ELEM</t>
  </si>
  <si>
    <t>CORAL CLIFFS ELEMENTARY</t>
  </si>
  <si>
    <t>DIAMOND VALLEY  ELEM</t>
  </si>
  <si>
    <t>DIXIE SUN ELEMENTARY</t>
  </si>
  <si>
    <t>ENTERPRISE ELEMENTARY</t>
  </si>
  <si>
    <t>FOSSIL RIDGE INTERMEDIATE</t>
  </si>
  <si>
    <t>HORIZON ELEMENTARY</t>
  </si>
  <si>
    <t>HURRICANE ELEMENTARY</t>
  </si>
  <si>
    <t>LAVERKIN ELEMENTARY</t>
  </si>
  <si>
    <t>LITTLE VALLEY ELEMENTARY</t>
  </si>
  <si>
    <t>PANORAMA ELEMENTARY</t>
  </si>
  <si>
    <t>RED MOUNTAIN ELEMENTARY</t>
  </si>
  <si>
    <t>SANDSTONE ELEMENTARY</t>
  </si>
  <si>
    <t>SANTA CLARA ELEMENTARY</t>
  </si>
  <si>
    <t>SPRINGDALE ELEMENTARY</t>
  </si>
  <si>
    <t>SUNRISE RIDGE INTERMED</t>
  </si>
  <si>
    <t>THREE FALLS ELEMENTARY</t>
  </si>
  <si>
    <t>HANKSVILLE ELEMENTARY</t>
  </si>
  <si>
    <t>LOA ELEMENTARY</t>
  </si>
  <si>
    <t>BATES ELEMENTARY</t>
  </si>
  <si>
    <t>CLUB HEIGHTS ELEMENTARY</t>
  </si>
  <si>
    <t>COUNTRY VIEW ELEM</t>
  </si>
  <si>
    <t>FARR WEST ELEMENTARY</t>
  </si>
  <si>
    <t>GREEN ACRES ELEMENTARY</t>
  </si>
  <si>
    <t>H. GUY CHILD ELEMENTARY</t>
  </si>
  <si>
    <t>HOOPER ELEMENTARY</t>
  </si>
  <si>
    <t>KANESVILLE ELEMENTARY</t>
  </si>
  <si>
    <t>LAKEVIEW ELEMENTARY</t>
  </si>
  <si>
    <t>LOMOND VIEW ELEMENTARY</t>
  </si>
  <si>
    <t>MARLON HILLS ELEMENTARY</t>
  </si>
  <si>
    <t>MIDLAND ELEMENTARY</t>
  </si>
  <si>
    <t>MUNICIPAL ELEMENTARY</t>
  </si>
  <si>
    <t>NO. OGDEN ELEMENTARY</t>
  </si>
  <si>
    <t>NORTH OGDEN JR HIGH</t>
  </si>
  <si>
    <t>ORION JR HIGH</t>
  </si>
  <si>
    <t>PLAIN CITY ELEMENTARY</t>
  </si>
  <si>
    <t>RIVERDALE ELEMENTARY</t>
  </si>
  <si>
    <t>ROCKY MOUNTAIN JR HIGH</t>
  </si>
  <si>
    <t>ROY ELEMENTARY</t>
  </si>
  <si>
    <t>ROY JR HIGH</t>
  </si>
  <si>
    <t>SAND RIDGE JR HIGH</t>
  </si>
  <si>
    <t>SNOW CREST JR HIGH</t>
  </si>
  <si>
    <t>SOUTH OGDEN JR HIGH</t>
  </si>
  <si>
    <t>T.H. BELL JR HIGH</t>
  </si>
  <si>
    <t>UINTAH ELEMENTARY</t>
  </si>
  <si>
    <t>WAHLQUIST JR HIGH</t>
  </si>
  <si>
    <t>WASHINGTON TERRACE EL</t>
  </si>
  <si>
    <t>WEST HAVEN ELEMENTARY</t>
  </si>
  <si>
    <t>WEST WEBER ELEMENTARY</t>
  </si>
  <si>
    <t>GRANT ELEMENTARY</t>
  </si>
  <si>
    <t>HILLCREST JR HIGH</t>
  </si>
  <si>
    <t>LIBERTY ELEMENTARY</t>
  </si>
  <si>
    <t>LONGVIEW ELEMENTARY</t>
  </si>
  <si>
    <t>MCMILLAN ELEMENTARY</t>
  </si>
  <si>
    <t>RIVERVIEW JR HIGH</t>
  </si>
  <si>
    <t>VIEWMONT ELEMENTARY</t>
  </si>
  <si>
    <t>BACKMAN ELEMENTARY</t>
  </si>
  <si>
    <t>BEACON HEIGHTS ELEM</t>
  </si>
  <si>
    <t>BRYANT MIDDLE SCHOOL</t>
  </si>
  <si>
    <t>DILWORTH ELEMENTARY</t>
  </si>
  <si>
    <t>EDISON ELEMENTARY</t>
  </si>
  <si>
    <t>EMERSON ELEMENTARY</t>
  </si>
  <si>
    <t>ENSIGN ELEMENTARY</t>
  </si>
  <si>
    <t>FRANKLIN ELEMENTARY</t>
  </si>
  <si>
    <t>HAWTHORNE ELEMENTARY</t>
  </si>
  <si>
    <t>HIGHLAND PARK ELEM</t>
  </si>
  <si>
    <t>INDIAN HILLS ELEMENTARY</t>
  </si>
  <si>
    <t>JACKSON ELEMENTARY</t>
  </si>
  <si>
    <t>M LYNN BENNION ELEM</t>
  </si>
  <si>
    <t>MEADOWLARK ELEMENTARY</t>
  </si>
  <si>
    <t>NEWMAN ELEMENTARY</t>
  </si>
  <si>
    <t>NIBLEY PARK ELEMENTARY</t>
  </si>
  <si>
    <t>NORTH STAR ELEMENTARY</t>
  </si>
  <si>
    <t>RILEY ELEMENTARY</t>
  </si>
  <si>
    <t>ROSE PARK ELEMENTARY</t>
  </si>
  <si>
    <t>DEE ELEMENTARY</t>
  </si>
  <si>
    <t>GRAMERCY ELEMENTARY</t>
  </si>
  <si>
    <t>HERITAGE ELEMENTARY SCH</t>
  </si>
  <si>
    <t>HORACE MANN ELEMENTARY</t>
  </si>
  <si>
    <t>JAMES MADISON ELEM</t>
  </si>
  <si>
    <t>MOUND FORT JR HIGH</t>
  </si>
  <si>
    <t>MOUNT OGDEN JR HIGH</t>
  </si>
  <si>
    <t>ODYSSEY ELEMENTARY</t>
  </si>
  <si>
    <t>POLK ELEMENTARY</t>
  </si>
  <si>
    <t>T.O. SMITH ELEMENTARY</t>
  </si>
  <si>
    <t>SHADOW VALLEY ELEM</t>
  </si>
  <si>
    <t>AMELIA EARHART ELEM</t>
  </si>
  <si>
    <t>CANYON CREST ELEM</t>
  </si>
  <si>
    <t>EDGEMONT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</si>
  <si>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</si>
  <si>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</si>
  <si>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</si>
  <si>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</si>
  <si>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</si>
  <si>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</si>
  <si>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BRIDGER ELEMENTARY</t>
  </si>
  <si>
    <t>ELLIS ELEMENTARY</t>
  </si>
  <si>
    <t>WOODRUFF ELEMENTARY</t>
  </si>
  <si>
    <t>ALTA VIEW ELEMENTARY</t>
  </si>
  <si>
    <t>BELL VIEW ELEMENTARY</t>
  </si>
  <si>
    <t>BELLA VISTA ELEMENTARY</t>
  </si>
  <si>
    <t>BROOKWOOD ELEMENTARY</t>
  </si>
  <si>
    <t>BUTLER ELEMENTARY</t>
  </si>
  <si>
    <t>CANYON VIEW ELEMENTARY</t>
  </si>
  <si>
    <t>DRAPER ELEMENTARY</t>
  </si>
  <si>
    <t>EAST MIDVALE ELEMENTARY</t>
  </si>
  <si>
    <t>EAST SANDY ELEMENTARY</t>
  </si>
  <si>
    <t>GRANITE ELEMENTARY</t>
  </si>
  <si>
    <t>JORDAN VALLEY SCHOOL</t>
  </si>
  <si>
    <t>LONE PEAK ELEMENTARY</t>
  </si>
  <si>
    <t>MIDVALE ELEMENTARY</t>
  </si>
  <si>
    <t>MIDVALLEY ELEMENTARY</t>
  </si>
  <si>
    <t>OAK HOLLOW ELEMENTARY</t>
  </si>
  <si>
    <t>OAKDALE ELEMENTARY</t>
  </si>
  <si>
    <t>PARK LANE ELEMENTARY</t>
  </si>
  <si>
    <t>PERUVIAN PARK ELEM</t>
  </si>
  <si>
    <t>QUAIL HOLLOW ELEM</t>
  </si>
  <si>
    <t>RIDGECREST ELEMENTARY</t>
  </si>
  <si>
    <t>SANDY ELEMENTARY</t>
  </si>
  <si>
    <t>SILVER MESA ELEMENTARY</t>
  </si>
  <si>
    <t>SPRUCEWOOD ELEM</t>
  </si>
  <si>
    <t>WILLOW CANYON ELEM</t>
  </si>
  <si>
    <t>WILLOW SPRINGS ELEM</t>
  </si>
  <si>
    <t>5E</t>
  </si>
  <si>
    <t>AMERICAN PREP ACAD</t>
  </si>
  <si>
    <t>SCHOOL FOR NEW AMERICNS</t>
  </si>
  <si>
    <t>9D1</t>
  </si>
  <si>
    <t>7F</t>
  </si>
  <si>
    <t>EXCELSIOR ACADEMY</t>
  </si>
  <si>
    <t>7E</t>
  </si>
  <si>
    <t>8E</t>
  </si>
  <si>
    <t>MERIT COLLEGE PREP ACAD</t>
  </si>
  <si>
    <t>4B1</t>
  </si>
  <si>
    <t>3F</t>
  </si>
  <si>
    <t>VENTURE ACADEMY</t>
  </si>
  <si>
    <t>SYRACUSE ARTS ACADEMY</t>
  </si>
  <si>
    <t>4D1</t>
  </si>
  <si>
    <t>QUEST ACADEMY</t>
  </si>
  <si>
    <t>1F</t>
  </si>
  <si>
    <t>8D</t>
  </si>
  <si>
    <t>OPEN CLASSROOM</t>
  </si>
  <si>
    <t>6D</t>
  </si>
  <si>
    <t>NOAH WEBSTER ACADEMY</t>
  </si>
  <si>
    <t>1C</t>
  </si>
  <si>
    <t>ODYSSEY CHARTER SCH</t>
  </si>
  <si>
    <t>AMERICAN LEADERSHIP ACAD</t>
  </si>
  <si>
    <t>MOUNTAIN TRAILS ELEM</t>
  </si>
  <si>
    <t>TRAVERSE MOUNTAIN ELEM</t>
  </si>
  <si>
    <t>VISTA HEIGHTS MIDDLE SCH</t>
  </si>
  <si>
    <t>COMMUNITY HIGH</t>
  </si>
  <si>
    <t>INDEPENDENT LIVING</t>
  </si>
  <si>
    <t>BIRCH CREEK ELEMENTARY</t>
  </si>
  <si>
    <t>STUDENT SUPPORT SERV</t>
  </si>
  <si>
    <t>3E</t>
  </si>
  <si>
    <t>CS LEWIS ACADEMY</t>
  </si>
  <si>
    <t>ENDEAVOR ELEMENTARY</t>
  </si>
  <si>
    <t>DAN PETERSON SCHOOL</t>
  </si>
  <si>
    <t>HELEN M KNIGHT</t>
  </si>
  <si>
    <t>FAST FORWARD CHARTER</t>
  </si>
  <si>
    <t>8G</t>
  </si>
  <si>
    <t>GOOD FOUNDATIONS ACAD</t>
  </si>
  <si>
    <t>GEARLD WRIGHT ELEM</t>
  </si>
  <si>
    <t>ALTARA ELEMENTARY</t>
  </si>
  <si>
    <t>HERRIMAN HIGH SCHOOL</t>
  </si>
  <si>
    <t>TAYLOR CANYON</t>
  </si>
  <si>
    <t>5G</t>
  </si>
  <si>
    <t>QUAIL RUN PRIMARH SCH</t>
  </si>
  <si>
    <t>QUAIL RUN PRIMARY SCH</t>
  </si>
  <si>
    <t>3D</t>
  </si>
  <si>
    <t>SPECTRUM ACADEMY HS</t>
  </si>
  <si>
    <t>SPECTRUM ACADEMY</t>
  </si>
  <si>
    <t>7G</t>
  </si>
  <si>
    <t>SUMMIT ACADEMY HIGH SCH</t>
  </si>
  <si>
    <t>A2</t>
  </si>
  <si>
    <t>THE RANCHES ACADEMY</t>
  </si>
  <si>
    <t>PINE VIEW HIGH SCHOOL</t>
  </si>
  <si>
    <t>BLUE PEAK HIGH</t>
  </si>
  <si>
    <t>THUNDER RIDGE ELEM</t>
  </si>
  <si>
    <t>9G</t>
  </si>
  <si>
    <t>ALIANZA ACADEMY</t>
  </si>
  <si>
    <t>ACCELERATED SCHOOL</t>
  </si>
  <si>
    <t>CENTENNIAL JR HIGH</t>
  </si>
  <si>
    <t>KINGS PEAK ELEMENTARY</t>
  </si>
  <si>
    <t>EARLY LIGHT ACADEMY</t>
  </si>
  <si>
    <t>EAST HOLLYWOOD HIGH</t>
  </si>
  <si>
    <t>A8</t>
  </si>
  <si>
    <t>ELK RUN ELEMENTARY</t>
  </si>
  <si>
    <t>GATEWAY PREPARATORY</t>
  </si>
  <si>
    <t>LEGACY PREPARATORY</t>
  </si>
  <si>
    <t>5C</t>
  </si>
  <si>
    <t>LEGACY PREP ELEMENTARY</t>
  </si>
  <si>
    <t>6C</t>
  </si>
  <si>
    <t>LIBERTY ACADEMY</t>
  </si>
  <si>
    <t>2B</t>
  </si>
  <si>
    <t>LINCOLN ACADEMY</t>
  </si>
  <si>
    <t>FILLMORE ELEMENTARY</t>
  </si>
  <si>
    <t>SIERRA BONITA ELEMENTARY</t>
  </si>
  <si>
    <t>PROVIDENCE HALL</t>
  </si>
  <si>
    <t>9E</t>
  </si>
  <si>
    <t>PROVO PEAKS ELEMENTARY</t>
  </si>
  <si>
    <t>1D</t>
  </si>
  <si>
    <t>RENAISSANCE ACADEMY</t>
  </si>
  <si>
    <t>SALT LAKE CENTER FOR SCI</t>
  </si>
  <si>
    <t xml:space="preserve">TSEBII' NIDZISGAI ELEM </t>
  </si>
  <si>
    <t>GRANTSVILLE ELEMENTARY</t>
  </si>
  <si>
    <t>SNOW CANYON HIGH</t>
  </si>
  <si>
    <t>MILFORD ELEMENTARY</t>
  </si>
  <si>
    <t>MILFORD HIGH</t>
  </si>
  <si>
    <t>6F</t>
  </si>
  <si>
    <t>HORIZON SCHOOL</t>
  </si>
  <si>
    <t>2F</t>
  </si>
  <si>
    <t>ROCKWELL CHARTER HIGH</t>
  </si>
  <si>
    <t>FREE AND REDUCED FIGURES ARE FOR THE LAST OPERATING DAY OF OCTOBER 2011</t>
  </si>
  <si>
    <t>ENROLLMENT FIGURES ARE FOR THE FIRST OPERATING DAY OF OCTOBER 2011</t>
  </si>
  <si>
    <t>OCTOBER FREE &amp; REDUCED  REPORT</t>
  </si>
  <si>
    <t>108/704</t>
  </si>
  <si>
    <t>STANSBURY PARK ELEMENTARY</t>
  </si>
  <si>
    <t xml:space="preserve">OGDEN PREP </t>
  </si>
  <si>
    <t>LEA</t>
  </si>
  <si>
    <t>ALL FREE, REDUCED AND ENROLL NUMBERS REFLECT KINDERGARTEN REMOVED</t>
  </si>
  <si>
    <t>SCHOOL</t>
  </si>
  <si>
    <t>FREE</t>
  </si>
  <si>
    <t>MINUS-K</t>
  </si>
  <si>
    <t>RED</t>
  </si>
  <si>
    <t>MINERSVILLE 7-8</t>
  </si>
  <si>
    <t>UTAH VIRTUAL ACADEMY</t>
  </si>
  <si>
    <t>5F</t>
  </si>
  <si>
    <t>UTAH CONNECTIONS ACADEMY</t>
  </si>
  <si>
    <t>2H</t>
  </si>
  <si>
    <t xml:space="preserve">UTAH CONNECTIONS </t>
  </si>
  <si>
    <t>PLEASANT GROVE HS</t>
  </si>
  <si>
    <t xml:space="preserve"> </t>
  </si>
  <si>
    <t>-</t>
  </si>
  <si>
    <t>33.67% 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</si>
</sst>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b/>
      <u/>
      <sz val="16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8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center"/>
    </xf>
    <xf numFmtId="0" fontId="1" fillId="0" borderId="8" xfId="0" applyFont="1" applyFill="1" applyBorder="1"/>
    <xf numFmtId="0" fontId="1" fillId="0" borderId="1" xfId="0" applyFont="1" applyFill="1" applyBorder="1" applyAlignment="1">
      <alignment horizontal="centerContinuous"/>
    </xf>
    <xf numFmtId="0" fontId="1" fillId="0" borderId="7" xfId="0" applyFont="1" applyFill="1" applyBorder="1" applyAlignment="1">
      <alignment horizontal="centerContinuous"/>
    </xf>
    <xf numFmtId="0" fontId="1" fillId="0" borderId="8" xfId="0" quotePrefix="1" applyFont="1" applyFill="1" applyBorder="1" applyAlignment="1">
      <alignment horizontal="center"/>
    </xf>
    <xf numFmtId="10" fontId="1" fillId="0" borderId="8" xfId="0" applyNumberFormat="1" applyFont="1" applyFill="1" applyBorder="1" applyAlignment="1">
      <alignment horizontal="center"/>
    </xf>
    <xf numFmtId="0" fontId="2" fillId="0" borderId="9" xfId="0" applyFont="1" applyFill="1" applyBorder="1" applyProtection="1"/>
    <xf numFmtId="0" fontId="2" fillId="0" borderId="3" xfId="0" applyFont="1" applyFill="1" applyBorder="1" applyProtection="1"/>
    <xf numFmtId="0" fontId="2" fillId="0" borderId="9" xfId="0" applyFont="1" applyFill="1" applyBorder="1" applyAlignment="1" applyProtection="1">
      <alignment horizontal="left"/>
    </xf>
    <xf numFmtId="3" fontId="2" fillId="0" borderId="3" xfId="0" applyNumberFormat="1" applyFont="1" applyFill="1" applyBorder="1"/>
    <xf numFmtId="3" fontId="2" fillId="0" borderId="9" xfId="0" applyNumberFormat="1" applyFont="1" applyFill="1" applyBorder="1"/>
    <xf numFmtId="10" fontId="2" fillId="0" borderId="9" xfId="0" applyNumberFormat="1" applyFont="1" applyFill="1" applyBorder="1"/>
    <xf numFmtId="0" fontId="2" fillId="0" borderId="6" xfId="0" applyFont="1" applyFill="1" applyBorder="1" applyProtection="1"/>
    <xf numFmtId="0" fontId="2" fillId="0" borderId="10" xfId="0" applyFont="1" applyFill="1" applyBorder="1" applyProtection="1"/>
    <xf numFmtId="0" fontId="2" fillId="0" borderId="6" xfId="0" applyFont="1" applyFill="1" applyBorder="1" applyAlignment="1" applyProtection="1">
      <alignment horizontal="left"/>
    </xf>
    <xf numFmtId="10" fontId="2" fillId="0" borderId="6" xfId="0" applyNumberFormat="1" applyFont="1" applyFill="1" applyBorder="1"/>
    <xf numFmtId="0" fontId="2" fillId="0" borderId="4" xfId="0" applyFont="1" applyFill="1" applyBorder="1" applyProtection="1"/>
    <xf numFmtId="0" fontId="2" fillId="0" borderId="7" xfId="0" applyFont="1" applyFill="1" applyBorder="1" applyProtection="1"/>
    <xf numFmtId="0" fontId="1" fillId="0" borderId="4" xfId="0" applyFont="1" applyFill="1" applyBorder="1" applyAlignment="1" applyProtection="1">
      <alignment horizontal="right"/>
    </xf>
    <xf numFmtId="3" fontId="2" fillId="0" borderId="1" xfId="0" applyNumberFormat="1" applyFont="1" applyFill="1" applyBorder="1"/>
    <xf numFmtId="10" fontId="2" fillId="0" borderId="4" xfId="0" applyNumberFormat="1" applyFont="1" applyFill="1" applyBorder="1"/>
    <xf numFmtId="0" fontId="2" fillId="0" borderId="0" xfId="0" applyFont="1" applyFill="1"/>
    <xf numFmtId="0" fontId="2" fillId="0" borderId="11" xfId="0" applyFont="1" applyFill="1" applyBorder="1" applyProtection="1"/>
    <xf numFmtId="0" fontId="2" fillId="0" borderId="0" xfId="0" applyFont="1" applyFill="1" applyProtection="1"/>
    <xf numFmtId="0" fontId="2" fillId="0" borderId="11" xfId="0" applyFont="1" applyFill="1" applyBorder="1" applyAlignment="1" applyProtection="1">
      <alignment horizontal="left"/>
    </xf>
    <xf numFmtId="3" fontId="2" fillId="0" borderId="0" xfId="0" applyNumberFormat="1" applyFont="1" applyFill="1" applyBorder="1"/>
    <xf numFmtId="3" fontId="2" fillId="0" borderId="11" xfId="0" applyNumberFormat="1" applyFont="1" applyFill="1" applyBorder="1"/>
    <xf numFmtId="10" fontId="2" fillId="0" borderId="11" xfId="0" applyNumberFormat="1" applyFont="1" applyFill="1" applyBorder="1"/>
    <xf numFmtId="0" fontId="3" fillId="0" borderId="11" xfId="0" applyFont="1" applyFill="1" applyBorder="1" applyAlignment="1" applyProtection="1">
      <alignment horizontal="center"/>
    </xf>
    <xf numFmtId="3" fontId="2" fillId="0" borderId="0" xfId="0" applyNumberFormat="1" applyFont="1" applyFill="1"/>
    <xf numFmtId="3" fontId="2" fillId="0" borderId="10" xfId="0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right"/>
    </xf>
    <xf numFmtId="3" fontId="2" fillId="0" borderId="6" xfId="0" applyNumberFormat="1" applyFont="1" applyFill="1" applyBorder="1"/>
    <xf numFmtId="3" fontId="2" fillId="0" borderId="4" xfId="0" applyNumberFormat="1" applyFont="1" applyFill="1" applyBorder="1"/>
    <xf numFmtId="3" fontId="2" fillId="0" borderId="10" xfId="0" applyNumberFormat="1" applyFont="1" applyFill="1" applyBorder="1"/>
    <xf numFmtId="0" fontId="2" fillId="0" borderId="0" xfId="0" applyFont="1" applyFill="1" applyBorder="1" applyProtection="1"/>
    <xf numFmtId="0" fontId="2" fillId="2" borderId="11" xfId="0" applyFont="1" applyFill="1" applyBorder="1" applyProtection="1"/>
    <xf numFmtId="0" fontId="2" fillId="0" borderId="6" xfId="0" quotePrefix="1" applyFont="1" applyFill="1" applyBorder="1" applyAlignment="1" applyProtection="1">
      <alignment horizontal="left"/>
    </xf>
    <xf numFmtId="0" fontId="2" fillId="2" borderId="6" xfId="0" applyFont="1" applyFill="1" applyBorder="1" applyProtection="1"/>
    <xf numFmtId="10" fontId="2" fillId="0" borderId="12" xfId="0" applyNumberFormat="1" applyFont="1" applyFill="1" applyBorder="1"/>
    <xf numFmtId="0" fontId="2" fillId="0" borderId="9" xfId="0" quotePrefix="1" applyFont="1" applyFill="1" applyBorder="1" applyAlignment="1" applyProtection="1">
      <alignment horizontal="left"/>
    </xf>
    <xf numFmtId="3" fontId="2" fillId="0" borderId="0" xfId="0" applyNumberFormat="1" applyFont="1" applyFill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0" fontId="2" fillId="2" borderId="4" xfId="0" applyFont="1" applyFill="1" applyBorder="1" applyProtection="1"/>
    <xf numFmtId="0" fontId="2" fillId="2" borderId="7" xfId="0" applyFont="1" applyFill="1" applyBorder="1" applyProtection="1"/>
    <xf numFmtId="0" fontId="1" fillId="2" borderId="4" xfId="0" applyFont="1" applyFill="1" applyBorder="1" applyAlignment="1" applyProtection="1">
      <alignment horizontal="right"/>
    </xf>
    <xf numFmtId="3" fontId="2" fillId="2" borderId="1" xfId="0" applyNumberFormat="1" applyFont="1" applyFill="1" applyBorder="1"/>
    <xf numFmtId="3" fontId="2" fillId="2" borderId="4" xfId="0" applyNumberFormat="1" applyFont="1" applyFill="1" applyBorder="1"/>
    <xf numFmtId="10" fontId="2" fillId="2" borderId="4" xfId="0" applyNumberFormat="1" applyFont="1" applyFill="1" applyBorder="1"/>
    <xf numFmtId="0" fontId="2" fillId="2" borderId="0" xfId="0" applyFont="1" applyFill="1"/>
    <xf numFmtId="0" fontId="2" fillId="0" borderId="6" xfId="0" applyFont="1" applyFill="1" applyBorder="1" applyAlignment="1" applyProtection="1">
      <alignment horizontal="right"/>
    </xf>
    <xf numFmtId="3" fontId="2" fillId="0" borderId="17" xfId="0" applyNumberFormat="1" applyFont="1" applyFill="1" applyBorder="1"/>
    <xf numFmtId="3" fontId="2" fillId="0" borderId="18" xfId="0" applyNumberFormat="1" applyFont="1" applyFill="1" applyBorder="1"/>
    <xf numFmtId="0" fontId="2" fillId="2" borderId="6" xfId="0" applyFont="1" applyFill="1" applyBorder="1" applyAlignment="1" applyProtection="1">
      <alignment horizontal="left"/>
    </xf>
    <xf numFmtId="3" fontId="2" fillId="2" borderId="6" xfId="0" applyNumberFormat="1" applyFont="1" applyFill="1" applyBorder="1"/>
    <xf numFmtId="3" fontId="2" fillId="0" borderId="0" xfId="0" applyNumberFormat="1" applyFont="1" applyFill="1" applyAlignment="1">
      <alignment horizontal="centerContinuous"/>
    </xf>
    <xf numFmtId="3" fontId="2" fillId="0" borderId="11" xfId="0" applyNumberFormat="1" applyFont="1" applyFill="1" applyBorder="1" applyAlignment="1">
      <alignment horizontal="centerContinuous"/>
    </xf>
    <xf numFmtId="0" fontId="2" fillId="0" borderId="15" xfId="0" applyFont="1" applyFill="1" applyBorder="1" applyProtection="1"/>
    <xf numFmtId="0" fontId="2" fillId="0" borderId="15" xfId="0" applyFont="1" applyFill="1" applyBorder="1" applyAlignment="1" applyProtection="1">
      <alignment horizontal="left"/>
    </xf>
    <xf numFmtId="0" fontId="2" fillId="0" borderId="13" xfId="0" applyFont="1" applyFill="1" applyBorder="1" applyProtection="1"/>
    <xf numFmtId="0" fontId="2" fillId="0" borderId="14" xfId="0" applyFont="1" applyFill="1" applyBorder="1" applyProtection="1"/>
    <xf numFmtId="0" fontId="2" fillId="0" borderId="13" xfId="0" applyFont="1" applyFill="1" applyBorder="1" applyAlignment="1" applyProtection="1">
      <alignment horizontal="left"/>
    </xf>
    <xf numFmtId="10" fontId="2" fillId="0" borderId="13" xfId="0" applyNumberFormat="1" applyFont="1" applyFill="1" applyBorder="1"/>
    <xf numFmtId="0" fontId="2" fillId="0" borderId="11" xfId="0" quotePrefix="1" applyFont="1" applyFill="1" applyBorder="1" applyAlignment="1" applyProtection="1">
      <alignment horizontal="left"/>
    </xf>
    <xf numFmtId="3" fontId="2" fillId="0" borderId="16" xfId="0" applyNumberFormat="1" applyFont="1" applyFill="1" applyBorder="1"/>
    <xf numFmtId="3" fontId="2" fillId="0" borderId="15" xfId="0" applyNumberFormat="1" applyFont="1" applyFill="1" applyBorder="1"/>
    <xf numFmtId="3" fontId="2" fillId="0" borderId="13" xfId="0" applyNumberFormat="1" applyFont="1" applyFill="1" applyBorder="1"/>
    <xf numFmtId="0" fontId="2" fillId="0" borderId="16" xfId="0" applyFont="1" applyFill="1" applyBorder="1" applyProtection="1"/>
    <xf numFmtId="0" fontId="2" fillId="2" borderId="15" xfId="0" applyFont="1" applyFill="1" applyBorder="1" applyAlignment="1" applyProtection="1">
      <alignment horizontal="left"/>
    </xf>
    <xf numFmtId="10" fontId="2" fillId="0" borderId="15" xfId="0" applyNumberFormat="1" applyFont="1" applyFill="1" applyBorder="1"/>
    <xf numFmtId="0" fontId="3" fillId="2" borderId="11" xfId="0" applyFont="1" applyFill="1" applyBorder="1" applyAlignment="1" applyProtection="1">
      <alignment horizontal="center"/>
    </xf>
    <xf numFmtId="0" fontId="2" fillId="2" borderId="15" xfId="0" applyFont="1" applyFill="1" applyBorder="1" applyAlignment="1" applyProtection="1">
      <alignment horizontal="right"/>
    </xf>
    <xf numFmtId="0" fontId="2" fillId="2" borderId="16" xfId="0" applyFont="1" applyFill="1" applyBorder="1" applyProtection="1"/>
    <xf numFmtId="3" fontId="2" fillId="2" borderId="10" xfId="0" applyNumberFormat="1" applyFont="1" applyFill="1" applyBorder="1"/>
    <xf numFmtId="10" fontId="2" fillId="2" borderId="15" xfId="0" applyNumberFormat="1" applyFont="1" applyFill="1" applyBorder="1"/>
    <xf numFmtId="0" fontId="2" fillId="2" borderId="13" xfId="0" applyFont="1" applyFill="1" applyBorder="1" applyAlignment="1" applyProtection="1">
      <alignment horizontal="right"/>
    </xf>
    <xf numFmtId="0" fontId="2" fillId="2" borderId="14" xfId="0" applyFont="1" applyFill="1" applyBorder="1" applyProtection="1"/>
    <xf numFmtId="0" fontId="2" fillId="2" borderId="13" xfId="0" applyFont="1" applyFill="1" applyBorder="1" applyAlignment="1" applyProtection="1">
      <alignment horizontal="left"/>
    </xf>
    <xf numFmtId="10" fontId="2" fillId="2" borderId="13" xfId="0" applyNumberFormat="1" applyFont="1" applyFill="1" applyBorder="1"/>
    <xf numFmtId="0" fontId="2" fillId="0" borderId="13" xfId="0" quotePrefix="1" applyFont="1" applyFill="1" applyBorder="1" applyAlignment="1" applyProtection="1">
      <alignment horizontal="right"/>
    </xf>
    <xf numFmtId="0" fontId="2" fillId="0" borderId="13" xfId="0" applyFont="1" applyFill="1" applyBorder="1" applyAlignment="1" applyProtection="1">
      <alignment horizontal="right"/>
    </xf>
    <xf numFmtId="0" fontId="2" fillId="0" borderId="14" xfId="0" quotePrefix="1" applyFont="1" applyFill="1" applyBorder="1" applyAlignment="1" applyProtection="1">
      <alignment horizontal="right"/>
    </xf>
    <xf numFmtId="0" fontId="2" fillId="0" borderId="15" xfId="0" applyFont="1" applyFill="1" applyBorder="1" applyAlignment="1" applyProtection="1">
      <alignment horizontal="right"/>
    </xf>
    <xf numFmtId="0" fontId="2" fillId="0" borderId="14" xfId="0" applyFont="1" applyFill="1" applyBorder="1" applyAlignment="1" applyProtection="1">
      <alignment horizontal="right"/>
    </xf>
    <xf numFmtId="0" fontId="2" fillId="0" borderId="13" xfId="0" applyFont="1" applyFill="1" applyBorder="1" applyAlignment="1" applyProtection="1">
      <alignment horizontal="left" vertical="center"/>
    </xf>
    <xf numFmtId="0" fontId="2" fillId="0" borderId="1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right"/>
    </xf>
    <xf numFmtId="10" fontId="2" fillId="0" borderId="0" xfId="0" applyNumberFormat="1" applyFont="1" applyFill="1"/>
    <xf numFmtId="0" fontId="1" fillId="0" borderId="11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quotePrefix="1" applyFont="1" applyFill="1" applyBorder="1" applyAlignment="1">
      <alignment horizontal="center"/>
    </xf>
    <xf numFmtId="0" fontId="2" fillId="0" borderId="3" xfId="0" quotePrefix="1" applyFont="1" applyFill="1" applyBorder="1" applyAlignment="1"/>
    <xf numFmtId="0" fontId="1" fillId="0" borderId="19" xfId="0" quotePrefix="1" applyFont="1" applyFill="1" applyBorder="1" applyAlignment="1">
      <alignment horizontal="center"/>
    </xf>
    <xf numFmtId="0" fontId="2" fillId="0" borderId="9" xfId="0" quotePrefix="1" applyFont="1" applyFill="1" applyBorder="1" applyAlignment="1">
      <alignment horizontal="center"/>
    </xf>
    <xf numFmtId="10" fontId="2" fillId="0" borderId="9" xfId="0" quotePrefix="1" applyNumberFormat="1" applyFont="1" applyFill="1" applyBorder="1" applyAlignment="1">
      <alignment horizontal="center"/>
    </xf>
    <xf numFmtId="0" fontId="2" fillId="0" borderId="9" xfId="0" applyFont="1" applyFill="1" applyBorder="1" applyAlignment="1" applyProtection="1">
      <alignment horizontal="center"/>
    </xf>
    <xf numFmtId="0" fontId="1" fillId="0" borderId="19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3" fillId="0" borderId="9" xfId="0" applyFont="1" applyFill="1" applyBorder="1" applyAlignment="1" applyProtection="1">
      <alignment horizontal="center"/>
    </xf>
    <xf numFmtId="0" fontId="1" fillId="0" borderId="20" xfId="0" quotePrefix="1" applyFont="1" applyFill="1" applyBorder="1" applyAlignment="1">
      <alignment horizontal="center"/>
    </xf>
    <xf numFmtId="10" fontId="1" fillId="0" borderId="19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0" fontId="1" fillId="0" borderId="11" xfId="0" applyFont="1" applyFill="1" applyBorder="1" applyAlignment="1" applyProtection="1">
      <alignment horizontal="right"/>
    </xf>
    <xf numFmtId="0" fontId="1" fillId="0" borderId="0" xfId="0" applyFont="1" applyFill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17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9"/>
  <sheetViews>
    <sheetView tabSelected="1" topLeftCell="A198" zoomScaleNormal="100" workbookViewId="0">
      <selection activeCell="C198" sqref="C198"/>
    </sheetView>
  </sheetViews>
  <sheetFormatPr defaultRowHeight="20.25" x14ac:dyDescent="0.3"/>
  <cols>
    <col min="1" max="1" width="6.7109375" style="23" customWidth="1"/>
    <col min="2" max="2" width="13.42578125" style="23" customWidth="1"/>
    <col min="3" max="3" width="43.140625" style="23" customWidth="1"/>
    <col min="4" max="4" width="12.85546875" style="23" customWidth="1"/>
    <col min="5" max="5" width="13.28515625" style="23" customWidth="1"/>
    <col min="6" max="6" width="20" style="23" customWidth="1"/>
    <col min="7" max="7" width="14.42578125" style="89" customWidth="1"/>
    <col min="8" max="16384" width="9.140625" style="23"/>
  </cols>
  <sheetData>
    <row r="1" spans="1:7" x14ac:dyDescent="0.3">
      <c r="A1" s="105" t="s">
        <v>901</v>
      </c>
      <c r="B1" s="105"/>
      <c r="C1" s="105"/>
      <c r="D1" s="105"/>
      <c r="E1" s="105"/>
      <c r="F1" s="105"/>
      <c r="G1" s="105"/>
    </row>
    <row r="2" spans="1:7" x14ac:dyDescent="0.3">
      <c r="A2" s="106" t="s">
        <v>899</v>
      </c>
      <c r="B2" s="106"/>
      <c r="C2" s="106"/>
      <c r="D2" s="106"/>
      <c r="E2" s="106"/>
      <c r="F2" s="106"/>
      <c r="G2" s="106"/>
    </row>
    <row r="3" spans="1:7" x14ac:dyDescent="0.3">
      <c r="A3" s="105" t="s">
        <v>900</v>
      </c>
      <c r="B3" s="105"/>
      <c r="C3" s="105"/>
      <c r="D3" s="105"/>
      <c r="E3" s="105"/>
      <c r="F3" s="105"/>
      <c r="G3" s="105"/>
    </row>
    <row r="4" spans="1:7" ht="21" thickBot="1" x14ac:dyDescent="0.35">
      <c r="A4" s="107" t="s">
        <v>906</v>
      </c>
      <c r="B4" s="107"/>
      <c r="C4" s="107"/>
      <c r="D4" s="107"/>
      <c r="E4" s="107"/>
      <c r="F4" s="107"/>
      <c r="G4" s="107"/>
    </row>
    <row r="5" spans="1:7" ht="21" thickBot="1" x14ac:dyDescent="0.35">
      <c r="A5" s="1" t="s">
        <v>905</v>
      </c>
      <c r="B5" s="2" t="s">
        <v>907</v>
      </c>
      <c r="C5" s="3"/>
      <c r="D5" s="4" t="s">
        <v>0</v>
      </c>
      <c r="E5" s="5"/>
      <c r="F5" s="6" t="s">
        <v>1</v>
      </c>
      <c r="G5" s="7" t="s">
        <v>2</v>
      </c>
    </row>
    <row r="6" spans="1:7" x14ac:dyDescent="0.3">
      <c r="A6" s="90" t="s">
        <v>3</v>
      </c>
      <c r="B6" s="91" t="s">
        <v>4</v>
      </c>
      <c r="C6" s="90" t="s">
        <v>5</v>
      </c>
      <c r="D6" s="92" t="s">
        <v>908</v>
      </c>
      <c r="E6" s="101" t="s">
        <v>910</v>
      </c>
      <c r="F6" s="94" t="s">
        <v>6</v>
      </c>
      <c r="G6" s="102" t="s">
        <v>7</v>
      </c>
    </row>
    <row r="7" spans="1:7" x14ac:dyDescent="0.3">
      <c r="A7" s="98"/>
      <c r="B7" s="98"/>
      <c r="C7" s="98"/>
      <c r="D7" s="94" t="s">
        <v>909</v>
      </c>
      <c r="E7" s="94" t="s">
        <v>909</v>
      </c>
      <c r="F7" s="94" t="s">
        <v>909</v>
      </c>
      <c r="G7" s="94" t="s">
        <v>909</v>
      </c>
    </row>
    <row r="8" spans="1:7" x14ac:dyDescent="0.3">
      <c r="A8" s="97"/>
      <c r="B8" s="99"/>
      <c r="C8" s="100" t="s">
        <v>8</v>
      </c>
      <c r="D8" s="93"/>
      <c r="E8" s="95"/>
      <c r="F8" s="95"/>
      <c r="G8" s="96"/>
    </row>
    <row r="9" spans="1:7" x14ac:dyDescent="0.3">
      <c r="A9" s="8">
        <v>1</v>
      </c>
      <c r="B9" s="9">
        <v>232</v>
      </c>
      <c r="C9" s="10" t="s">
        <v>307</v>
      </c>
      <c r="D9" s="11">
        <v>240</v>
      </c>
      <c r="E9" s="12">
        <v>50</v>
      </c>
      <c r="F9" s="12">
        <v>328</v>
      </c>
      <c r="G9" s="13">
        <f t="shared" ref="G9:G40" si="0">+(D9+E9)/F9</f>
        <v>0.88414634146341464</v>
      </c>
    </row>
    <row r="10" spans="1:7" x14ac:dyDescent="0.3">
      <c r="A10" s="14">
        <v>1</v>
      </c>
      <c r="B10" s="15">
        <v>156</v>
      </c>
      <c r="C10" s="16" t="s">
        <v>288</v>
      </c>
      <c r="D10" s="11">
        <v>323</v>
      </c>
      <c r="E10" s="12">
        <v>46</v>
      </c>
      <c r="F10" s="12">
        <v>436</v>
      </c>
      <c r="G10" s="17">
        <f t="shared" si="0"/>
        <v>0.84633027522935778</v>
      </c>
    </row>
    <row r="11" spans="1:7" x14ac:dyDescent="0.3">
      <c r="A11" s="14">
        <v>1</v>
      </c>
      <c r="B11" s="15">
        <v>275</v>
      </c>
      <c r="C11" s="16" t="s">
        <v>315</v>
      </c>
      <c r="D11" s="11">
        <v>232</v>
      </c>
      <c r="E11" s="12">
        <v>49</v>
      </c>
      <c r="F11" s="12">
        <v>355</v>
      </c>
      <c r="G11" s="17">
        <f t="shared" si="0"/>
        <v>0.79154929577464783</v>
      </c>
    </row>
    <row r="12" spans="1:7" x14ac:dyDescent="0.3">
      <c r="A12" s="14">
        <v>1</v>
      </c>
      <c r="B12" s="15">
        <v>253</v>
      </c>
      <c r="C12" s="16" t="s">
        <v>310</v>
      </c>
      <c r="D12" s="11">
        <v>256</v>
      </c>
      <c r="E12" s="12">
        <v>38</v>
      </c>
      <c r="F12" s="12">
        <v>379</v>
      </c>
      <c r="G12" s="17">
        <f t="shared" si="0"/>
        <v>0.77572559366754612</v>
      </c>
    </row>
    <row r="13" spans="1:7" x14ac:dyDescent="0.3">
      <c r="A13" s="14">
        <v>1</v>
      </c>
      <c r="B13" s="15">
        <v>286</v>
      </c>
      <c r="C13" s="16" t="s">
        <v>317</v>
      </c>
      <c r="D13" s="11">
        <v>290</v>
      </c>
      <c r="E13" s="12">
        <v>42</v>
      </c>
      <c r="F13" s="12">
        <v>458</v>
      </c>
      <c r="G13" s="17">
        <f t="shared" si="0"/>
        <v>0.72489082969432317</v>
      </c>
    </row>
    <row r="14" spans="1:7" x14ac:dyDescent="0.3">
      <c r="A14" s="14">
        <v>1</v>
      </c>
      <c r="B14" s="15">
        <v>161</v>
      </c>
      <c r="C14" s="16" t="s">
        <v>289</v>
      </c>
      <c r="D14" s="11">
        <v>283</v>
      </c>
      <c r="E14" s="12">
        <v>56</v>
      </c>
      <c r="F14" s="12">
        <v>519</v>
      </c>
      <c r="G14" s="17">
        <f t="shared" si="0"/>
        <v>0.65317919075144504</v>
      </c>
    </row>
    <row r="15" spans="1:7" x14ac:dyDescent="0.3">
      <c r="A15" s="14">
        <v>1</v>
      </c>
      <c r="B15" s="15">
        <v>459</v>
      </c>
      <c r="C15" s="16" t="s">
        <v>300</v>
      </c>
      <c r="D15" s="11">
        <v>465</v>
      </c>
      <c r="E15" s="12">
        <v>76</v>
      </c>
      <c r="F15" s="12">
        <v>856</v>
      </c>
      <c r="G15" s="17">
        <f t="shared" si="0"/>
        <v>0.6320093457943925</v>
      </c>
    </row>
    <row r="16" spans="1:7" x14ac:dyDescent="0.3">
      <c r="A16" s="14">
        <v>1</v>
      </c>
      <c r="B16" s="15">
        <v>271</v>
      </c>
      <c r="C16" s="16" t="s">
        <v>313</v>
      </c>
      <c r="D16" s="11">
        <v>250</v>
      </c>
      <c r="E16" s="12">
        <v>90</v>
      </c>
      <c r="F16" s="12">
        <v>550</v>
      </c>
      <c r="G16" s="17">
        <f t="shared" si="0"/>
        <v>0.61818181818181817</v>
      </c>
    </row>
    <row r="17" spans="1:7" x14ac:dyDescent="0.3">
      <c r="A17" s="14">
        <v>1</v>
      </c>
      <c r="B17" s="15">
        <v>134</v>
      </c>
      <c r="C17" s="16" t="s">
        <v>280</v>
      </c>
      <c r="D17" s="11">
        <v>298</v>
      </c>
      <c r="E17" s="12">
        <v>66</v>
      </c>
      <c r="F17" s="12">
        <v>603</v>
      </c>
      <c r="G17" s="17">
        <f t="shared" si="0"/>
        <v>0.60364842454394696</v>
      </c>
    </row>
    <row r="18" spans="1:7" x14ac:dyDescent="0.3">
      <c r="A18" s="14">
        <v>1</v>
      </c>
      <c r="B18" s="15">
        <v>129</v>
      </c>
      <c r="C18" s="16" t="s">
        <v>279</v>
      </c>
      <c r="D18" s="11">
        <v>199</v>
      </c>
      <c r="E18" s="12">
        <v>50</v>
      </c>
      <c r="F18" s="12">
        <v>435</v>
      </c>
      <c r="G18" s="17">
        <f t="shared" si="0"/>
        <v>0.57241379310344831</v>
      </c>
    </row>
    <row r="19" spans="1:7" x14ac:dyDescent="0.3">
      <c r="A19" s="14">
        <v>1</v>
      </c>
      <c r="B19" s="15">
        <v>172</v>
      </c>
      <c r="C19" s="16" t="s">
        <v>275</v>
      </c>
      <c r="D19" s="11">
        <v>178</v>
      </c>
      <c r="E19" s="12">
        <v>32</v>
      </c>
      <c r="F19" s="12">
        <v>368</v>
      </c>
      <c r="G19" s="17">
        <f t="shared" si="0"/>
        <v>0.57065217391304346</v>
      </c>
    </row>
    <row r="20" spans="1:7" x14ac:dyDescent="0.3">
      <c r="A20" s="14">
        <v>1</v>
      </c>
      <c r="B20" s="15">
        <v>117</v>
      </c>
      <c r="C20" s="16" t="s">
        <v>295</v>
      </c>
      <c r="D20" s="11">
        <v>272</v>
      </c>
      <c r="E20" s="12">
        <v>76</v>
      </c>
      <c r="F20" s="12">
        <v>629</v>
      </c>
      <c r="G20" s="17">
        <f t="shared" si="0"/>
        <v>0.55325914149443556</v>
      </c>
    </row>
    <row r="21" spans="1:7" x14ac:dyDescent="0.3">
      <c r="A21" s="14">
        <v>1</v>
      </c>
      <c r="B21" s="15">
        <v>209</v>
      </c>
      <c r="C21" s="16" t="s">
        <v>298</v>
      </c>
      <c r="D21" s="11">
        <v>213</v>
      </c>
      <c r="E21" s="12">
        <v>55</v>
      </c>
      <c r="F21" s="12">
        <v>529</v>
      </c>
      <c r="G21" s="17">
        <f t="shared" si="0"/>
        <v>0.50661625708884683</v>
      </c>
    </row>
    <row r="22" spans="1:7" x14ac:dyDescent="0.3">
      <c r="A22" s="14">
        <v>1</v>
      </c>
      <c r="B22" s="15">
        <v>423</v>
      </c>
      <c r="C22" s="16" t="s">
        <v>11</v>
      </c>
      <c r="D22" s="11">
        <v>467</v>
      </c>
      <c r="E22" s="12">
        <v>136</v>
      </c>
      <c r="F22" s="12">
        <v>1199</v>
      </c>
      <c r="G22" s="17">
        <f t="shared" si="0"/>
        <v>0.5029190992493745</v>
      </c>
    </row>
    <row r="23" spans="1:7" x14ac:dyDescent="0.3">
      <c r="A23" s="14">
        <v>1</v>
      </c>
      <c r="B23" s="15">
        <v>212</v>
      </c>
      <c r="C23" s="16" t="s">
        <v>305</v>
      </c>
      <c r="D23" s="11">
        <v>148</v>
      </c>
      <c r="E23" s="12">
        <v>42</v>
      </c>
      <c r="F23" s="12">
        <v>384</v>
      </c>
      <c r="G23" s="17">
        <f t="shared" si="0"/>
        <v>0.49479166666666669</v>
      </c>
    </row>
    <row r="24" spans="1:7" x14ac:dyDescent="0.3">
      <c r="A24" s="14">
        <v>1</v>
      </c>
      <c r="B24" s="15">
        <v>145</v>
      </c>
      <c r="C24" s="16" t="s">
        <v>285</v>
      </c>
      <c r="D24" s="11">
        <v>190</v>
      </c>
      <c r="E24" s="12">
        <v>47</v>
      </c>
      <c r="F24" s="12">
        <v>486</v>
      </c>
      <c r="G24" s="17">
        <f t="shared" si="0"/>
        <v>0.48765432098765432</v>
      </c>
    </row>
    <row r="25" spans="1:7" x14ac:dyDescent="0.3">
      <c r="A25" s="14">
        <v>1</v>
      </c>
      <c r="B25" s="15">
        <v>217</v>
      </c>
      <c r="C25" s="16" t="s">
        <v>269</v>
      </c>
      <c r="D25" s="11">
        <v>294</v>
      </c>
      <c r="E25" s="12">
        <v>66</v>
      </c>
      <c r="F25" s="12">
        <v>756</v>
      </c>
      <c r="G25" s="17">
        <f t="shared" si="0"/>
        <v>0.47619047619047616</v>
      </c>
    </row>
    <row r="26" spans="1:7" x14ac:dyDescent="0.3">
      <c r="A26" s="14">
        <v>1</v>
      </c>
      <c r="B26" s="15">
        <v>107</v>
      </c>
      <c r="C26" s="16" t="s">
        <v>293</v>
      </c>
      <c r="D26" s="11">
        <v>118</v>
      </c>
      <c r="E26" s="12">
        <v>54</v>
      </c>
      <c r="F26" s="12">
        <v>393</v>
      </c>
      <c r="G26" s="17">
        <f t="shared" si="0"/>
        <v>0.43765903307888043</v>
      </c>
    </row>
    <row r="27" spans="1:7" x14ac:dyDescent="0.3">
      <c r="A27" s="14">
        <v>1</v>
      </c>
      <c r="B27" s="15">
        <v>739</v>
      </c>
      <c r="C27" s="16" t="s">
        <v>271</v>
      </c>
      <c r="D27" s="11">
        <v>454</v>
      </c>
      <c r="E27" s="12">
        <v>103</v>
      </c>
      <c r="F27" s="12">
        <v>1276</v>
      </c>
      <c r="G27" s="17">
        <f t="shared" si="0"/>
        <v>0.43652037617554856</v>
      </c>
    </row>
    <row r="28" spans="1:7" x14ac:dyDescent="0.3">
      <c r="A28" s="14">
        <v>1</v>
      </c>
      <c r="B28" s="15">
        <v>141</v>
      </c>
      <c r="C28" s="16" t="s">
        <v>283</v>
      </c>
      <c r="D28" s="11">
        <v>129</v>
      </c>
      <c r="E28" s="12">
        <v>135</v>
      </c>
      <c r="F28" s="12">
        <v>609</v>
      </c>
      <c r="G28" s="17">
        <f t="shared" si="0"/>
        <v>0.43349753694581283</v>
      </c>
    </row>
    <row r="29" spans="1:7" x14ac:dyDescent="0.3">
      <c r="A29" s="14">
        <v>1</v>
      </c>
      <c r="B29" s="15">
        <v>411</v>
      </c>
      <c r="C29" s="16" t="s">
        <v>10</v>
      </c>
      <c r="D29" s="11">
        <v>384</v>
      </c>
      <c r="E29" s="12">
        <v>95</v>
      </c>
      <c r="F29" s="12">
        <v>1119</v>
      </c>
      <c r="G29" s="17">
        <f t="shared" si="0"/>
        <v>0.4280607685433423</v>
      </c>
    </row>
    <row r="30" spans="1:7" x14ac:dyDescent="0.3">
      <c r="A30" s="14">
        <v>1</v>
      </c>
      <c r="B30" s="15">
        <v>183</v>
      </c>
      <c r="C30" s="16" t="s">
        <v>273</v>
      </c>
      <c r="D30" s="11">
        <v>174</v>
      </c>
      <c r="E30" s="12">
        <v>41</v>
      </c>
      <c r="F30" s="12">
        <v>515</v>
      </c>
      <c r="G30" s="17">
        <f t="shared" si="0"/>
        <v>0.41747572815533979</v>
      </c>
    </row>
    <row r="31" spans="1:7" x14ac:dyDescent="0.3">
      <c r="A31" s="14">
        <v>1</v>
      </c>
      <c r="B31" s="15">
        <v>242</v>
      </c>
      <c r="C31" s="16" t="s">
        <v>262</v>
      </c>
      <c r="D31" s="11">
        <v>266</v>
      </c>
      <c r="E31" s="12">
        <v>114</v>
      </c>
      <c r="F31" s="12">
        <v>966</v>
      </c>
      <c r="G31" s="17">
        <f t="shared" si="0"/>
        <v>0.39337474120082816</v>
      </c>
    </row>
    <row r="32" spans="1:7" x14ac:dyDescent="0.3">
      <c r="A32" s="14">
        <v>1</v>
      </c>
      <c r="B32" s="15">
        <v>205</v>
      </c>
      <c r="C32" s="16" t="s">
        <v>833</v>
      </c>
      <c r="D32" s="11">
        <v>126</v>
      </c>
      <c r="E32" s="12">
        <v>85</v>
      </c>
      <c r="F32" s="12">
        <v>553</v>
      </c>
      <c r="G32" s="17">
        <f t="shared" si="0"/>
        <v>0.38155515370705245</v>
      </c>
    </row>
    <row r="33" spans="1:7" x14ac:dyDescent="0.3">
      <c r="A33" s="14">
        <v>1</v>
      </c>
      <c r="B33" s="15">
        <v>187</v>
      </c>
      <c r="C33" s="16" t="s">
        <v>297</v>
      </c>
      <c r="D33" s="11">
        <v>169</v>
      </c>
      <c r="E33" s="12">
        <v>48</v>
      </c>
      <c r="F33" s="12">
        <v>582</v>
      </c>
      <c r="G33" s="17">
        <f t="shared" si="0"/>
        <v>0.37285223367697595</v>
      </c>
    </row>
    <row r="34" spans="1:7" x14ac:dyDescent="0.3">
      <c r="A34" s="14">
        <v>1</v>
      </c>
      <c r="B34" s="15">
        <v>121</v>
      </c>
      <c r="C34" s="16" t="s">
        <v>296</v>
      </c>
      <c r="D34" s="11">
        <v>121</v>
      </c>
      <c r="E34" s="12">
        <v>54</v>
      </c>
      <c r="F34" s="12">
        <v>493</v>
      </c>
      <c r="G34" s="17">
        <f t="shared" si="0"/>
        <v>0.35496957403651114</v>
      </c>
    </row>
    <row r="35" spans="1:7" x14ac:dyDescent="0.3">
      <c r="A35" s="14">
        <v>1</v>
      </c>
      <c r="B35" s="15">
        <v>191</v>
      </c>
      <c r="C35" s="16" t="s">
        <v>301</v>
      </c>
      <c r="D35" s="11">
        <v>205</v>
      </c>
      <c r="E35" s="12">
        <v>108</v>
      </c>
      <c r="F35" s="12">
        <v>891</v>
      </c>
      <c r="G35" s="17">
        <f t="shared" si="0"/>
        <v>0.35129068462401797</v>
      </c>
    </row>
    <row r="36" spans="1:7" x14ac:dyDescent="0.3">
      <c r="A36" s="14">
        <v>1</v>
      </c>
      <c r="B36" s="15">
        <v>148</v>
      </c>
      <c r="C36" s="16" t="s">
        <v>287</v>
      </c>
      <c r="D36" s="11">
        <v>231</v>
      </c>
      <c r="E36" s="12">
        <v>81</v>
      </c>
      <c r="F36" s="12">
        <v>902</v>
      </c>
      <c r="G36" s="17">
        <f t="shared" si="0"/>
        <v>0.34589800443458979</v>
      </c>
    </row>
    <row r="37" spans="1:7" x14ac:dyDescent="0.3">
      <c r="A37" s="14">
        <v>1</v>
      </c>
      <c r="B37" s="15">
        <v>267</v>
      </c>
      <c r="C37" s="16" t="s">
        <v>312</v>
      </c>
      <c r="D37" s="11">
        <v>113</v>
      </c>
      <c r="E37" s="12">
        <v>43</v>
      </c>
      <c r="F37" s="12">
        <v>452</v>
      </c>
      <c r="G37" s="17">
        <f t="shared" si="0"/>
        <v>0.34513274336283184</v>
      </c>
    </row>
    <row r="38" spans="1:7" x14ac:dyDescent="0.3">
      <c r="A38" s="14">
        <v>1</v>
      </c>
      <c r="B38" s="15">
        <v>478</v>
      </c>
      <c r="C38" s="16" t="s">
        <v>14</v>
      </c>
      <c r="D38" s="11">
        <v>343</v>
      </c>
      <c r="E38" s="12">
        <v>144</v>
      </c>
      <c r="F38" s="12">
        <v>1433</v>
      </c>
      <c r="G38" s="17">
        <f t="shared" si="0"/>
        <v>0.33984647592463363</v>
      </c>
    </row>
    <row r="39" spans="1:7" x14ac:dyDescent="0.3">
      <c r="A39" s="14">
        <v>1</v>
      </c>
      <c r="B39" s="15">
        <v>496</v>
      </c>
      <c r="C39" s="16" t="s">
        <v>316</v>
      </c>
      <c r="D39" s="11">
        <v>287</v>
      </c>
      <c r="E39" s="12">
        <v>123</v>
      </c>
      <c r="F39" s="12">
        <v>1249</v>
      </c>
      <c r="G39" s="17">
        <f t="shared" si="0"/>
        <v>0.32826261008807045</v>
      </c>
    </row>
    <row r="40" spans="1:7" x14ac:dyDescent="0.3">
      <c r="A40" s="14">
        <v>1</v>
      </c>
      <c r="B40" s="15">
        <v>490</v>
      </c>
      <c r="C40" s="16" t="s">
        <v>835</v>
      </c>
      <c r="D40" s="11">
        <v>351</v>
      </c>
      <c r="E40" s="12">
        <v>149</v>
      </c>
      <c r="F40" s="12">
        <v>1526</v>
      </c>
      <c r="G40" s="17">
        <f t="shared" si="0"/>
        <v>0.32765399737876805</v>
      </c>
    </row>
    <row r="41" spans="1:7" x14ac:dyDescent="0.3">
      <c r="A41" s="14">
        <v>1</v>
      </c>
      <c r="B41" s="15">
        <v>125</v>
      </c>
      <c r="C41" s="16" t="s">
        <v>278</v>
      </c>
      <c r="D41" s="11">
        <v>22</v>
      </c>
      <c r="E41" s="12">
        <v>14</v>
      </c>
      <c r="F41" s="12">
        <v>111</v>
      </c>
      <c r="G41" s="17">
        <f t="shared" ref="G41:G72" si="1">+(D41+E41)/F41</f>
        <v>0.32432432432432434</v>
      </c>
    </row>
    <row r="42" spans="1:7" x14ac:dyDescent="0.3">
      <c r="A42" s="14">
        <v>1</v>
      </c>
      <c r="B42" s="15">
        <v>754</v>
      </c>
      <c r="C42" s="16" t="s">
        <v>299</v>
      </c>
      <c r="D42" s="11">
        <v>255</v>
      </c>
      <c r="E42" s="12">
        <v>95</v>
      </c>
      <c r="F42" s="12">
        <v>1096</v>
      </c>
      <c r="G42" s="17">
        <f t="shared" si="1"/>
        <v>0.31934306569343068</v>
      </c>
    </row>
    <row r="43" spans="1:7" x14ac:dyDescent="0.3">
      <c r="A43" s="14">
        <v>1</v>
      </c>
      <c r="B43" s="15">
        <v>789</v>
      </c>
      <c r="C43" s="16" t="s">
        <v>354</v>
      </c>
      <c r="D43" s="11">
        <v>474</v>
      </c>
      <c r="E43" s="12">
        <v>210</v>
      </c>
      <c r="F43" s="12">
        <v>2164</v>
      </c>
      <c r="G43" s="17">
        <f t="shared" si="1"/>
        <v>0.31608133086876156</v>
      </c>
    </row>
    <row r="44" spans="1:7" x14ac:dyDescent="0.3">
      <c r="A44" s="14">
        <v>1</v>
      </c>
      <c r="B44" s="15">
        <v>200</v>
      </c>
      <c r="C44" s="16" t="s">
        <v>272</v>
      </c>
      <c r="D44" s="11">
        <v>138</v>
      </c>
      <c r="E44" s="12">
        <v>51</v>
      </c>
      <c r="F44" s="12">
        <v>601</v>
      </c>
      <c r="G44" s="17">
        <f t="shared" si="1"/>
        <v>0.31447587354409318</v>
      </c>
    </row>
    <row r="45" spans="1:7" x14ac:dyDescent="0.3">
      <c r="A45" s="14">
        <v>1</v>
      </c>
      <c r="B45" s="15">
        <v>786</v>
      </c>
      <c r="C45" s="16" t="s">
        <v>15</v>
      </c>
      <c r="D45" s="11">
        <v>333</v>
      </c>
      <c r="E45" s="12">
        <v>80</v>
      </c>
      <c r="F45" s="12">
        <v>1320</v>
      </c>
      <c r="G45" s="17">
        <f t="shared" si="1"/>
        <v>0.31287878787878787</v>
      </c>
    </row>
    <row r="46" spans="1:7" x14ac:dyDescent="0.3">
      <c r="A46" s="14">
        <v>1</v>
      </c>
      <c r="B46" s="15">
        <v>256</v>
      </c>
      <c r="C46" s="16" t="s">
        <v>864</v>
      </c>
      <c r="D46" s="11">
        <v>115</v>
      </c>
      <c r="E46" s="12">
        <v>70</v>
      </c>
      <c r="F46" s="12">
        <v>596</v>
      </c>
      <c r="G46" s="17">
        <f t="shared" si="1"/>
        <v>0.31040268456375841</v>
      </c>
    </row>
    <row r="47" spans="1:7" x14ac:dyDescent="0.3">
      <c r="A47" s="14">
        <v>1</v>
      </c>
      <c r="B47" s="15">
        <v>204</v>
      </c>
      <c r="C47" s="16" t="s">
        <v>266</v>
      </c>
      <c r="D47" s="11">
        <v>137</v>
      </c>
      <c r="E47" s="12">
        <v>30</v>
      </c>
      <c r="F47" s="12">
        <v>554</v>
      </c>
      <c r="G47" s="17">
        <f t="shared" si="1"/>
        <v>0.30144404332129965</v>
      </c>
    </row>
    <row r="48" spans="1:7" x14ac:dyDescent="0.3">
      <c r="A48" s="14">
        <v>1</v>
      </c>
      <c r="B48" s="15">
        <v>196</v>
      </c>
      <c r="C48" s="16" t="s">
        <v>268</v>
      </c>
      <c r="D48" s="11">
        <v>190</v>
      </c>
      <c r="E48" s="12">
        <v>82</v>
      </c>
      <c r="F48" s="12">
        <v>904</v>
      </c>
      <c r="G48" s="17">
        <f t="shared" si="1"/>
        <v>0.30088495575221241</v>
      </c>
    </row>
    <row r="49" spans="1:7" x14ac:dyDescent="0.3">
      <c r="A49" s="14">
        <v>1</v>
      </c>
      <c r="B49" s="15">
        <v>222</v>
      </c>
      <c r="C49" s="16" t="s">
        <v>353</v>
      </c>
      <c r="D49" s="11">
        <v>149</v>
      </c>
      <c r="E49" s="12">
        <v>90</v>
      </c>
      <c r="F49" s="12">
        <v>804</v>
      </c>
      <c r="G49" s="17">
        <f t="shared" si="1"/>
        <v>0.29726368159203981</v>
      </c>
    </row>
    <row r="50" spans="1:7" x14ac:dyDescent="0.3">
      <c r="A50" s="14">
        <v>1</v>
      </c>
      <c r="B50" s="15">
        <v>790</v>
      </c>
      <c r="C50" s="16" t="s">
        <v>355</v>
      </c>
      <c r="D50" s="11">
        <v>120</v>
      </c>
      <c r="E50" s="12">
        <v>8</v>
      </c>
      <c r="F50" s="12">
        <v>436</v>
      </c>
      <c r="G50" s="17">
        <f t="shared" si="1"/>
        <v>0.29357798165137616</v>
      </c>
    </row>
    <row r="51" spans="1:7" x14ac:dyDescent="0.3">
      <c r="A51" s="14">
        <v>1</v>
      </c>
      <c r="B51" s="15">
        <v>166</v>
      </c>
      <c r="C51" s="16" t="s">
        <v>290</v>
      </c>
      <c r="D51" s="11">
        <v>143</v>
      </c>
      <c r="E51" s="12">
        <v>43</v>
      </c>
      <c r="F51" s="12">
        <v>635</v>
      </c>
      <c r="G51" s="17">
        <f t="shared" si="1"/>
        <v>0.29291338582677168</v>
      </c>
    </row>
    <row r="52" spans="1:7" x14ac:dyDescent="0.3">
      <c r="A52" s="14">
        <v>1</v>
      </c>
      <c r="B52" s="15">
        <v>810</v>
      </c>
      <c r="C52" s="16" t="s">
        <v>843</v>
      </c>
      <c r="D52" s="11">
        <v>18</v>
      </c>
      <c r="E52" s="12">
        <v>5</v>
      </c>
      <c r="F52" s="12">
        <v>86</v>
      </c>
      <c r="G52" s="17">
        <f t="shared" si="1"/>
        <v>0.26744186046511625</v>
      </c>
    </row>
    <row r="53" spans="1:7" x14ac:dyDescent="0.3">
      <c r="A53" s="14">
        <v>1</v>
      </c>
      <c r="B53" s="15">
        <v>405</v>
      </c>
      <c r="C53" s="16" t="s">
        <v>9</v>
      </c>
      <c r="D53" s="11">
        <v>375</v>
      </c>
      <c r="E53" s="12">
        <v>107</v>
      </c>
      <c r="F53" s="12">
        <v>1848</v>
      </c>
      <c r="G53" s="17">
        <f t="shared" si="1"/>
        <v>0.26082251082251084</v>
      </c>
    </row>
    <row r="54" spans="1:7" x14ac:dyDescent="0.3">
      <c r="A54" s="14">
        <v>1</v>
      </c>
      <c r="B54" s="15">
        <v>405</v>
      </c>
      <c r="C54" s="16" t="s">
        <v>917</v>
      </c>
      <c r="D54" s="11">
        <v>368</v>
      </c>
      <c r="E54" s="12">
        <v>106</v>
      </c>
      <c r="F54" s="12">
        <v>1852</v>
      </c>
      <c r="G54" s="17">
        <f t="shared" si="1"/>
        <v>0.25593952483801297</v>
      </c>
    </row>
    <row r="55" spans="1:7" x14ac:dyDescent="0.3">
      <c r="A55" s="14">
        <v>1</v>
      </c>
      <c r="B55" s="15">
        <v>247</v>
      </c>
      <c r="C55" s="16" t="s">
        <v>309</v>
      </c>
      <c r="D55" s="11">
        <v>138</v>
      </c>
      <c r="E55" s="12">
        <v>96</v>
      </c>
      <c r="F55" s="12">
        <v>928</v>
      </c>
      <c r="G55" s="17">
        <f t="shared" si="1"/>
        <v>0.25215517241379309</v>
      </c>
    </row>
    <row r="56" spans="1:7" x14ac:dyDescent="0.3">
      <c r="A56" s="14">
        <v>1</v>
      </c>
      <c r="B56" s="15">
        <v>220</v>
      </c>
      <c r="C56" s="16" t="s">
        <v>304</v>
      </c>
      <c r="D56" s="11">
        <v>140</v>
      </c>
      <c r="E56" s="12">
        <v>63</v>
      </c>
      <c r="F56" s="12">
        <v>808</v>
      </c>
      <c r="G56" s="17">
        <f t="shared" si="1"/>
        <v>0.25123762376237624</v>
      </c>
    </row>
    <row r="57" spans="1:7" x14ac:dyDescent="0.3">
      <c r="A57" s="14">
        <v>1</v>
      </c>
      <c r="B57" s="15">
        <v>144</v>
      </c>
      <c r="C57" s="16" t="s">
        <v>284</v>
      </c>
      <c r="D57" s="11">
        <v>116</v>
      </c>
      <c r="E57" s="12">
        <v>28</v>
      </c>
      <c r="F57" s="12">
        <v>576</v>
      </c>
      <c r="G57" s="17">
        <f t="shared" si="1"/>
        <v>0.25</v>
      </c>
    </row>
    <row r="58" spans="1:7" x14ac:dyDescent="0.3">
      <c r="A58" s="14">
        <v>1</v>
      </c>
      <c r="B58" s="15">
        <v>223</v>
      </c>
      <c r="C58" s="16" t="s">
        <v>306</v>
      </c>
      <c r="D58" s="11">
        <v>136</v>
      </c>
      <c r="E58" s="12">
        <v>74</v>
      </c>
      <c r="F58" s="12">
        <v>840</v>
      </c>
      <c r="G58" s="17">
        <f t="shared" si="1"/>
        <v>0.25</v>
      </c>
    </row>
    <row r="59" spans="1:7" x14ac:dyDescent="0.3">
      <c r="A59" s="14">
        <v>1</v>
      </c>
      <c r="B59" s="15">
        <v>485</v>
      </c>
      <c r="C59" s="16" t="s">
        <v>13</v>
      </c>
      <c r="D59" s="11">
        <v>206</v>
      </c>
      <c r="E59" s="12">
        <v>68</v>
      </c>
      <c r="F59" s="12">
        <v>1123</v>
      </c>
      <c r="G59" s="17">
        <f t="shared" si="1"/>
        <v>0.2439893143365984</v>
      </c>
    </row>
    <row r="60" spans="1:7" x14ac:dyDescent="0.3">
      <c r="A60" s="14">
        <v>1</v>
      </c>
      <c r="B60" s="15">
        <v>218</v>
      </c>
      <c r="C60" s="16" t="s">
        <v>303</v>
      </c>
      <c r="D60" s="11">
        <v>95</v>
      </c>
      <c r="E60" s="12">
        <v>27</v>
      </c>
      <c r="F60" s="12">
        <v>510</v>
      </c>
      <c r="G60" s="17">
        <f t="shared" si="1"/>
        <v>0.23921568627450981</v>
      </c>
    </row>
    <row r="61" spans="1:7" x14ac:dyDescent="0.3">
      <c r="A61" s="14">
        <v>1</v>
      </c>
      <c r="B61" s="15">
        <v>207</v>
      </c>
      <c r="C61" s="16" t="s">
        <v>351</v>
      </c>
      <c r="D61" s="11">
        <v>145</v>
      </c>
      <c r="E61" s="12">
        <v>47</v>
      </c>
      <c r="F61" s="12">
        <v>806</v>
      </c>
      <c r="G61" s="17">
        <f t="shared" si="1"/>
        <v>0.23821339950372208</v>
      </c>
    </row>
    <row r="62" spans="1:7" x14ac:dyDescent="0.3">
      <c r="A62" s="14">
        <v>1</v>
      </c>
      <c r="B62" s="15">
        <v>219</v>
      </c>
      <c r="C62" s="16" t="s">
        <v>624</v>
      </c>
      <c r="D62" s="11">
        <v>56</v>
      </c>
      <c r="E62" s="12">
        <v>30</v>
      </c>
      <c r="F62" s="12">
        <v>363</v>
      </c>
      <c r="G62" s="17">
        <f t="shared" si="1"/>
        <v>0.23691460055096419</v>
      </c>
    </row>
    <row r="63" spans="1:7" x14ac:dyDescent="0.3">
      <c r="A63" s="14">
        <v>1</v>
      </c>
      <c r="B63" s="15">
        <v>237</v>
      </c>
      <c r="C63" s="16" t="s">
        <v>308</v>
      </c>
      <c r="D63" s="11">
        <v>145</v>
      </c>
      <c r="E63" s="12">
        <v>63</v>
      </c>
      <c r="F63" s="12">
        <v>900</v>
      </c>
      <c r="G63" s="17">
        <f t="shared" si="1"/>
        <v>0.2311111111111111</v>
      </c>
    </row>
    <row r="64" spans="1:7" x14ac:dyDescent="0.3">
      <c r="A64" s="14">
        <v>1</v>
      </c>
      <c r="B64" s="15">
        <v>170</v>
      </c>
      <c r="C64" s="16" t="s">
        <v>291</v>
      </c>
      <c r="D64" s="11">
        <v>109</v>
      </c>
      <c r="E64" s="12">
        <v>51</v>
      </c>
      <c r="F64" s="12">
        <v>722</v>
      </c>
      <c r="G64" s="17">
        <f t="shared" si="1"/>
        <v>0.22160664819944598</v>
      </c>
    </row>
    <row r="65" spans="1:7" x14ac:dyDescent="0.3">
      <c r="A65" s="14">
        <v>1</v>
      </c>
      <c r="B65" s="15">
        <v>441</v>
      </c>
      <c r="C65" s="16" t="s">
        <v>12</v>
      </c>
      <c r="D65" s="11">
        <v>207</v>
      </c>
      <c r="E65" s="12">
        <v>86</v>
      </c>
      <c r="F65" s="12">
        <v>1328</v>
      </c>
      <c r="G65" s="17">
        <f t="shared" si="1"/>
        <v>0.22063253012048192</v>
      </c>
    </row>
    <row r="66" spans="1:7" x14ac:dyDescent="0.3">
      <c r="A66" s="14">
        <v>1</v>
      </c>
      <c r="B66" s="15">
        <v>808</v>
      </c>
      <c r="C66" s="16" t="s">
        <v>896</v>
      </c>
      <c r="D66" s="11">
        <v>3</v>
      </c>
      <c r="E66" s="12">
        <v>2</v>
      </c>
      <c r="F66" s="12">
        <v>24</v>
      </c>
      <c r="G66" s="17">
        <f t="shared" si="1"/>
        <v>0.20833333333333334</v>
      </c>
    </row>
    <row r="67" spans="1:7" x14ac:dyDescent="0.3">
      <c r="A67" s="14">
        <v>1</v>
      </c>
      <c r="B67" s="15">
        <v>735</v>
      </c>
      <c r="C67" s="16" t="s">
        <v>263</v>
      </c>
      <c r="D67" s="11">
        <v>267</v>
      </c>
      <c r="E67" s="12">
        <v>100</v>
      </c>
      <c r="F67" s="12">
        <v>1777</v>
      </c>
      <c r="G67" s="17">
        <f t="shared" si="1"/>
        <v>0.20652785593697243</v>
      </c>
    </row>
    <row r="68" spans="1:7" x14ac:dyDescent="0.3">
      <c r="A68" s="14">
        <v>1</v>
      </c>
      <c r="B68" s="15">
        <v>112</v>
      </c>
      <c r="C68" s="16" t="s">
        <v>294</v>
      </c>
      <c r="D68" s="11">
        <v>69</v>
      </c>
      <c r="E68" s="12">
        <v>35</v>
      </c>
      <c r="F68" s="12">
        <v>509</v>
      </c>
      <c r="G68" s="17">
        <f t="shared" si="1"/>
        <v>0.20432220039292731</v>
      </c>
    </row>
    <row r="69" spans="1:7" x14ac:dyDescent="0.3">
      <c r="A69" s="14">
        <v>1</v>
      </c>
      <c r="B69" s="15">
        <v>704</v>
      </c>
      <c r="C69" s="16" t="s">
        <v>264</v>
      </c>
      <c r="D69" s="11">
        <v>283</v>
      </c>
      <c r="E69" s="12">
        <v>102</v>
      </c>
      <c r="F69" s="12">
        <v>1910</v>
      </c>
      <c r="G69" s="17">
        <f t="shared" si="1"/>
        <v>0.20157068062827224</v>
      </c>
    </row>
    <row r="70" spans="1:7" x14ac:dyDescent="0.3">
      <c r="A70" s="14">
        <v>1</v>
      </c>
      <c r="B70" s="15">
        <v>140</v>
      </c>
      <c r="C70" s="16" t="s">
        <v>282</v>
      </c>
      <c r="D70" s="11">
        <v>119</v>
      </c>
      <c r="E70" s="12">
        <v>56</v>
      </c>
      <c r="F70" s="12">
        <v>872</v>
      </c>
      <c r="G70" s="17">
        <f t="shared" si="1"/>
        <v>0.2006880733944954</v>
      </c>
    </row>
    <row r="71" spans="1:7" x14ac:dyDescent="0.3">
      <c r="A71" s="14">
        <v>1</v>
      </c>
      <c r="B71" s="15">
        <v>103</v>
      </c>
      <c r="C71" s="16" t="s">
        <v>292</v>
      </c>
      <c r="D71" s="11">
        <v>81</v>
      </c>
      <c r="E71" s="12">
        <v>21</v>
      </c>
      <c r="F71" s="12">
        <v>517</v>
      </c>
      <c r="G71" s="17">
        <f t="shared" si="1"/>
        <v>0.19729206963249515</v>
      </c>
    </row>
    <row r="72" spans="1:7" x14ac:dyDescent="0.3">
      <c r="A72" s="14">
        <v>1</v>
      </c>
      <c r="B72" s="15">
        <v>779</v>
      </c>
      <c r="C72" s="16" t="s">
        <v>352</v>
      </c>
      <c r="D72" s="11">
        <v>265</v>
      </c>
      <c r="E72" s="12">
        <v>102</v>
      </c>
      <c r="F72" s="12">
        <v>1892</v>
      </c>
      <c r="G72" s="17">
        <f t="shared" si="1"/>
        <v>0.19397463002114165</v>
      </c>
    </row>
    <row r="73" spans="1:7" x14ac:dyDescent="0.3">
      <c r="A73" s="14">
        <v>1</v>
      </c>
      <c r="B73" s="15">
        <v>215</v>
      </c>
      <c r="C73" s="16" t="s">
        <v>267</v>
      </c>
      <c r="D73" s="11">
        <v>81</v>
      </c>
      <c r="E73" s="12">
        <v>54</v>
      </c>
      <c r="F73" s="12">
        <v>733</v>
      </c>
      <c r="G73" s="17">
        <f t="shared" ref="G73:G84" si="2">+(D73+E73)/F73</f>
        <v>0.18417462482946795</v>
      </c>
    </row>
    <row r="74" spans="1:7" x14ac:dyDescent="0.3">
      <c r="A74" s="14">
        <v>1</v>
      </c>
      <c r="B74" s="15">
        <v>138</v>
      </c>
      <c r="C74" s="16" t="s">
        <v>281</v>
      </c>
      <c r="D74" s="11">
        <v>120</v>
      </c>
      <c r="E74" s="12">
        <v>26</v>
      </c>
      <c r="F74" s="12">
        <v>832</v>
      </c>
      <c r="G74" s="17">
        <f t="shared" si="2"/>
        <v>0.17548076923076922</v>
      </c>
    </row>
    <row r="75" spans="1:7" x14ac:dyDescent="0.3">
      <c r="A75" s="14">
        <v>1</v>
      </c>
      <c r="B75" s="15">
        <v>258</v>
      </c>
      <c r="C75" s="16" t="s">
        <v>834</v>
      </c>
      <c r="D75" s="11">
        <v>83</v>
      </c>
      <c r="E75" s="12">
        <v>20</v>
      </c>
      <c r="F75" s="12">
        <v>605</v>
      </c>
      <c r="G75" s="17">
        <f t="shared" si="2"/>
        <v>0.17024793388429751</v>
      </c>
    </row>
    <row r="76" spans="1:7" x14ac:dyDescent="0.3">
      <c r="A76" s="14">
        <v>1</v>
      </c>
      <c r="B76" s="15">
        <v>123</v>
      </c>
      <c r="C76" s="16" t="s">
        <v>277</v>
      </c>
      <c r="D76" s="11">
        <v>90</v>
      </c>
      <c r="E76" s="12">
        <v>40</v>
      </c>
      <c r="F76" s="12">
        <v>884</v>
      </c>
      <c r="G76" s="17">
        <f t="shared" si="2"/>
        <v>0.14705882352941177</v>
      </c>
    </row>
    <row r="77" spans="1:7" x14ac:dyDescent="0.3">
      <c r="A77" s="14">
        <v>1</v>
      </c>
      <c r="B77" s="15">
        <v>171</v>
      </c>
      <c r="C77" s="16" t="s">
        <v>276</v>
      </c>
      <c r="D77" s="11">
        <v>89</v>
      </c>
      <c r="E77" s="12">
        <v>15</v>
      </c>
      <c r="F77" s="12">
        <v>748</v>
      </c>
      <c r="G77" s="17">
        <f t="shared" si="2"/>
        <v>0.13903743315508021</v>
      </c>
    </row>
    <row r="78" spans="1:7" x14ac:dyDescent="0.3">
      <c r="A78" s="14">
        <v>1</v>
      </c>
      <c r="B78" s="15">
        <v>494</v>
      </c>
      <c r="C78" s="16" t="s">
        <v>270</v>
      </c>
      <c r="D78" s="11">
        <v>128</v>
      </c>
      <c r="E78" s="12">
        <v>46</v>
      </c>
      <c r="F78" s="12">
        <v>1353</v>
      </c>
      <c r="G78" s="17">
        <f t="shared" si="2"/>
        <v>0.12860310421286031</v>
      </c>
    </row>
    <row r="79" spans="1:7" x14ac:dyDescent="0.3">
      <c r="A79" s="14">
        <v>1</v>
      </c>
      <c r="B79" s="15">
        <v>175</v>
      </c>
      <c r="C79" s="16" t="s">
        <v>274</v>
      </c>
      <c r="D79" s="11">
        <v>50</v>
      </c>
      <c r="E79" s="12">
        <v>44</v>
      </c>
      <c r="F79" s="12">
        <v>770</v>
      </c>
      <c r="G79" s="17">
        <f t="shared" si="2"/>
        <v>0.12207792207792208</v>
      </c>
    </row>
    <row r="80" spans="1:7" x14ac:dyDescent="0.3">
      <c r="A80" s="14">
        <v>1</v>
      </c>
      <c r="B80" s="15">
        <v>277</v>
      </c>
      <c r="C80" s="16" t="s">
        <v>314</v>
      </c>
      <c r="D80" s="11">
        <v>76</v>
      </c>
      <c r="E80" s="12">
        <v>7</v>
      </c>
      <c r="F80" s="12">
        <v>721</v>
      </c>
      <c r="G80" s="17">
        <f t="shared" si="2"/>
        <v>0.11511789181692095</v>
      </c>
    </row>
    <row r="81" spans="1:7" x14ac:dyDescent="0.3">
      <c r="A81" s="14">
        <v>1</v>
      </c>
      <c r="B81" s="15">
        <v>488</v>
      </c>
      <c r="C81" s="16" t="s">
        <v>311</v>
      </c>
      <c r="D81" s="11">
        <v>121</v>
      </c>
      <c r="E81" s="12">
        <v>25</v>
      </c>
      <c r="F81" s="12">
        <v>1298</v>
      </c>
      <c r="G81" s="17">
        <f t="shared" si="2"/>
        <v>0.11248073959938366</v>
      </c>
    </row>
    <row r="82" spans="1:7" x14ac:dyDescent="0.3">
      <c r="A82" s="14">
        <v>1</v>
      </c>
      <c r="B82" s="15">
        <v>226</v>
      </c>
      <c r="C82" s="16" t="s">
        <v>302</v>
      </c>
      <c r="D82" s="11">
        <v>59</v>
      </c>
      <c r="E82" s="12">
        <v>21</v>
      </c>
      <c r="F82" s="12">
        <v>737</v>
      </c>
      <c r="G82" s="17">
        <f t="shared" si="2"/>
        <v>0.10854816824966079</v>
      </c>
    </row>
    <row r="83" spans="1:7" x14ac:dyDescent="0.3">
      <c r="A83" s="14">
        <v>1</v>
      </c>
      <c r="B83" s="15">
        <v>737</v>
      </c>
      <c r="C83" s="16" t="s">
        <v>265</v>
      </c>
      <c r="D83" s="11">
        <v>151</v>
      </c>
      <c r="E83" s="12">
        <v>44</v>
      </c>
      <c r="F83" s="12">
        <v>2160</v>
      </c>
      <c r="G83" s="17">
        <f t="shared" si="2"/>
        <v>9.0277777777777776E-2</v>
      </c>
    </row>
    <row r="84" spans="1:7" ht="21" thickBot="1" x14ac:dyDescent="0.35">
      <c r="A84" s="14">
        <v>1</v>
      </c>
      <c r="B84" s="15">
        <v>147</v>
      </c>
      <c r="C84" s="16" t="s">
        <v>286</v>
      </c>
      <c r="D84" s="11">
        <v>54</v>
      </c>
      <c r="E84" s="12">
        <v>29</v>
      </c>
      <c r="F84" s="12">
        <v>1035</v>
      </c>
      <c r="G84" s="17">
        <f t="shared" si="2"/>
        <v>8.0193236714975843E-2</v>
      </c>
    </row>
    <row r="85" spans="1:7" ht="21" thickBot="1" x14ac:dyDescent="0.35">
      <c r="A85" s="18"/>
      <c r="B85" s="19">
        <f>COUNTA(B9:B84)</f>
        <v>76</v>
      </c>
      <c r="C85" s="20" t="s">
        <v>16</v>
      </c>
      <c r="D85" s="21">
        <f>SUM(D9:D84)</f>
        <v>14588</v>
      </c>
      <c r="E85" s="21">
        <f>SUM(E9:E84)</f>
        <v>4807</v>
      </c>
      <c r="F85" s="21">
        <f>SUM(F9:F84)</f>
        <v>63517</v>
      </c>
      <c r="G85" s="22">
        <f t="shared" ref="G85" si="3">+(D85+E85)/F85</f>
        <v>0.30535132326778658</v>
      </c>
    </row>
    <row r="86" spans="1:7" x14ac:dyDescent="0.3">
      <c r="A86" s="24"/>
      <c r="B86" s="25"/>
      <c r="C86" s="26"/>
      <c r="D86" s="27"/>
      <c r="E86" s="28"/>
      <c r="F86" s="28"/>
      <c r="G86" s="29"/>
    </row>
    <row r="87" spans="1:7" x14ac:dyDescent="0.3">
      <c r="A87" s="24"/>
      <c r="B87" s="25"/>
      <c r="C87" s="30" t="s">
        <v>17</v>
      </c>
      <c r="D87" s="31"/>
      <c r="E87" s="28"/>
      <c r="F87" s="28"/>
      <c r="G87" s="29"/>
    </row>
    <row r="88" spans="1:7" x14ac:dyDescent="0.3">
      <c r="A88" s="14">
        <v>2</v>
      </c>
      <c r="B88" s="15">
        <v>112</v>
      </c>
      <c r="C88" s="16" t="s">
        <v>319</v>
      </c>
      <c r="D88" s="32">
        <v>26</v>
      </c>
      <c r="E88" s="33">
        <v>57</v>
      </c>
      <c r="F88" s="34">
        <v>124</v>
      </c>
      <c r="G88" s="17">
        <f t="shared" ref="G88:G93" si="4">+(D88+E88)/F88</f>
        <v>0.66935483870967738</v>
      </c>
    </row>
    <row r="89" spans="1:7" x14ac:dyDescent="0.3">
      <c r="A89" s="14">
        <v>2</v>
      </c>
      <c r="B89" s="15">
        <v>104</v>
      </c>
      <c r="C89" s="16" t="s">
        <v>318</v>
      </c>
      <c r="D89" s="32">
        <v>164</v>
      </c>
      <c r="E89" s="33">
        <v>85</v>
      </c>
      <c r="F89" s="34">
        <v>432</v>
      </c>
      <c r="G89" s="17">
        <f t="shared" si="4"/>
        <v>0.57638888888888884</v>
      </c>
    </row>
    <row r="90" spans="1:7" x14ac:dyDescent="0.3">
      <c r="A90" s="14">
        <v>2</v>
      </c>
      <c r="B90" s="15">
        <v>108</v>
      </c>
      <c r="C90" s="16" t="s">
        <v>893</v>
      </c>
      <c r="D90" s="32">
        <v>56</v>
      </c>
      <c r="E90" s="33">
        <v>46</v>
      </c>
      <c r="F90" s="34">
        <v>184</v>
      </c>
      <c r="G90" s="17">
        <f t="shared" si="4"/>
        <v>0.55434782608695654</v>
      </c>
    </row>
    <row r="91" spans="1:7" x14ac:dyDescent="0.3">
      <c r="A91" s="14">
        <v>2</v>
      </c>
      <c r="B91" s="15">
        <v>712</v>
      </c>
      <c r="C91" s="16" t="s">
        <v>911</v>
      </c>
      <c r="D91" s="32">
        <v>7</v>
      </c>
      <c r="E91" s="33">
        <v>11</v>
      </c>
      <c r="F91" s="34">
        <v>34</v>
      </c>
      <c r="G91" s="17">
        <f t="shared" si="4"/>
        <v>0.52941176470588236</v>
      </c>
    </row>
    <row r="92" spans="1:7" x14ac:dyDescent="0.3">
      <c r="A92" s="14">
        <v>2</v>
      </c>
      <c r="B92" s="15">
        <v>708</v>
      </c>
      <c r="C92" s="16" t="s">
        <v>894</v>
      </c>
      <c r="D92" s="32">
        <v>58</v>
      </c>
      <c r="E92" s="33">
        <v>30</v>
      </c>
      <c r="F92" s="34">
        <v>169</v>
      </c>
      <c r="G92" s="17">
        <f t="shared" si="4"/>
        <v>0.52071005917159763</v>
      </c>
    </row>
    <row r="93" spans="1:7" ht="21" thickBot="1" x14ac:dyDescent="0.35">
      <c r="A93" s="24">
        <v>2</v>
      </c>
      <c r="B93" s="37">
        <v>704</v>
      </c>
      <c r="C93" s="26" t="s">
        <v>18</v>
      </c>
      <c r="D93" s="103">
        <v>124</v>
      </c>
      <c r="E93" s="44">
        <v>89</v>
      </c>
      <c r="F93" s="28">
        <v>488</v>
      </c>
      <c r="G93" s="29">
        <f t="shared" si="4"/>
        <v>0.43647540983606559</v>
      </c>
    </row>
    <row r="94" spans="1:7" ht="21" thickBot="1" x14ac:dyDescent="0.35">
      <c r="A94" s="18"/>
      <c r="B94" s="19">
        <f>COUNTA(B88:B93)</f>
        <v>6</v>
      </c>
      <c r="C94" s="20" t="s">
        <v>16</v>
      </c>
      <c r="D94" s="21">
        <f>SUM(D88:D93)</f>
        <v>435</v>
      </c>
      <c r="E94" s="35">
        <f>SUM(E88:E93)</f>
        <v>318</v>
      </c>
      <c r="F94" s="35">
        <f>SUM(F88:F93)</f>
        <v>1431</v>
      </c>
      <c r="G94" s="22">
        <f t="shared" ref="G94" si="5">+(D94+E94)/F94</f>
        <v>0.52620545073375258</v>
      </c>
    </row>
    <row r="95" spans="1:7" x14ac:dyDescent="0.3">
      <c r="A95" s="24"/>
      <c r="B95" s="25"/>
      <c r="C95" s="26"/>
      <c r="D95" s="27"/>
      <c r="E95" s="28"/>
      <c r="F95" s="28"/>
      <c r="G95" s="29"/>
    </row>
    <row r="96" spans="1:7" x14ac:dyDescent="0.3">
      <c r="A96" s="24"/>
      <c r="B96" s="25"/>
      <c r="C96" s="30" t="s">
        <v>19</v>
      </c>
      <c r="D96" s="31"/>
      <c r="E96" s="28"/>
      <c r="F96" s="28"/>
      <c r="G96" s="29"/>
    </row>
    <row r="97" spans="1:7" x14ac:dyDescent="0.3">
      <c r="A97" s="14">
        <v>3</v>
      </c>
      <c r="B97" s="15">
        <v>188</v>
      </c>
      <c r="C97" s="16" t="s">
        <v>364</v>
      </c>
      <c r="D97" s="36">
        <v>10</v>
      </c>
      <c r="E97" s="34">
        <v>9</v>
      </c>
      <c r="F97" s="34">
        <v>25</v>
      </c>
      <c r="G97" s="17">
        <f t="shared" ref="G97:G118" si="6">+(D97+E97)/F97</f>
        <v>0.76</v>
      </c>
    </row>
    <row r="98" spans="1:7" x14ac:dyDescent="0.3">
      <c r="A98" s="14">
        <v>3</v>
      </c>
      <c r="B98" s="15">
        <v>150</v>
      </c>
      <c r="C98" s="16" t="s">
        <v>362</v>
      </c>
      <c r="D98" s="36">
        <v>198</v>
      </c>
      <c r="E98" s="34">
        <v>75</v>
      </c>
      <c r="F98" s="34">
        <v>427</v>
      </c>
      <c r="G98" s="17">
        <f t="shared" si="6"/>
        <v>0.63934426229508201</v>
      </c>
    </row>
    <row r="99" spans="1:7" x14ac:dyDescent="0.3">
      <c r="A99" s="14">
        <v>3</v>
      </c>
      <c r="B99" s="15">
        <v>166</v>
      </c>
      <c r="C99" s="16" t="s">
        <v>367</v>
      </c>
      <c r="D99" s="36">
        <v>121</v>
      </c>
      <c r="E99" s="34">
        <v>58</v>
      </c>
      <c r="F99" s="34">
        <v>314</v>
      </c>
      <c r="G99" s="17">
        <f t="shared" si="6"/>
        <v>0.57006369426751591</v>
      </c>
    </row>
    <row r="100" spans="1:7" x14ac:dyDescent="0.3">
      <c r="A100" s="14">
        <v>3</v>
      </c>
      <c r="B100" s="15">
        <v>168</v>
      </c>
      <c r="C100" s="16" t="s">
        <v>365</v>
      </c>
      <c r="D100" s="36">
        <v>12</v>
      </c>
      <c r="E100" s="34">
        <v>6</v>
      </c>
      <c r="F100" s="34">
        <v>32</v>
      </c>
      <c r="G100" s="17">
        <f t="shared" si="6"/>
        <v>0.5625</v>
      </c>
    </row>
    <row r="101" spans="1:7" x14ac:dyDescent="0.3">
      <c r="A101" s="14">
        <v>3</v>
      </c>
      <c r="B101" s="15">
        <v>164</v>
      </c>
      <c r="C101" s="16" t="s">
        <v>363</v>
      </c>
      <c r="D101" s="36">
        <v>152</v>
      </c>
      <c r="E101" s="34">
        <v>89</v>
      </c>
      <c r="F101" s="34">
        <v>438</v>
      </c>
      <c r="G101" s="17">
        <f t="shared" si="6"/>
        <v>0.55022831050228316</v>
      </c>
    </row>
    <row r="102" spans="1:7" x14ac:dyDescent="0.3">
      <c r="A102" s="14">
        <v>3</v>
      </c>
      <c r="B102" s="15">
        <v>140</v>
      </c>
      <c r="C102" s="16" t="s">
        <v>361</v>
      </c>
      <c r="D102" s="36">
        <v>4</v>
      </c>
      <c r="E102" s="34">
        <v>3</v>
      </c>
      <c r="F102" s="34">
        <v>13</v>
      </c>
      <c r="G102" s="17">
        <f t="shared" si="6"/>
        <v>0.53846153846153844</v>
      </c>
    </row>
    <row r="103" spans="1:7" x14ac:dyDescent="0.3">
      <c r="A103" s="14">
        <v>3</v>
      </c>
      <c r="B103" s="15">
        <v>132</v>
      </c>
      <c r="C103" s="16" t="s">
        <v>359</v>
      </c>
      <c r="D103" s="36">
        <v>100</v>
      </c>
      <c r="E103" s="34">
        <v>61</v>
      </c>
      <c r="F103" s="34">
        <v>300</v>
      </c>
      <c r="G103" s="17">
        <f t="shared" si="6"/>
        <v>0.53666666666666663</v>
      </c>
    </row>
    <row r="104" spans="1:7" x14ac:dyDescent="0.3">
      <c r="A104" s="14">
        <v>3</v>
      </c>
      <c r="B104" s="15">
        <v>136</v>
      </c>
      <c r="C104" s="16" t="s">
        <v>360</v>
      </c>
      <c r="D104" s="36">
        <v>155</v>
      </c>
      <c r="E104" s="34">
        <v>99</v>
      </c>
      <c r="F104" s="34">
        <v>484</v>
      </c>
      <c r="G104" s="17">
        <f t="shared" si="6"/>
        <v>0.52479338842975209</v>
      </c>
    </row>
    <row r="105" spans="1:7" x14ac:dyDescent="0.3">
      <c r="A105" s="14">
        <v>3</v>
      </c>
      <c r="B105" s="15">
        <v>167</v>
      </c>
      <c r="C105" s="16" t="s">
        <v>366</v>
      </c>
      <c r="D105" s="36">
        <v>161</v>
      </c>
      <c r="E105" s="34">
        <v>73</v>
      </c>
      <c r="F105" s="34">
        <v>450</v>
      </c>
      <c r="G105" s="17">
        <f t="shared" si="6"/>
        <v>0.52</v>
      </c>
    </row>
    <row r="106" spans="1:7" x14ac:dyDescent="0.3">
      <c r="A106" s="14">
        <v>3</v>
      </c>
      <c r="B106" s="15">
        <v>134</v>
      </c>
      <c r="C106" s="16" t="s">
        <v>284</v>
      </c>
      <c r="D106" s="36">
        <v>125</v>
      </c>
      <c r="E106" s="34">
        <v>61</v>
      </c>
      <c r="F106" s="34">
        <v>370</v>
      </c>
      <c r="G106" s="17">
        <f t="shared" si="6"/>
        <v>0.50270270270270268</v>
      </c>
    </row>
    <row r="107" spans="1:7" x14ac:dyDescent="0.3">
      <c r="A107" s="14">
        <v>3</v>
      </c>
      <c r="B107" s="15">
        <v>304</v>
      </c>
      <c r="C107" s="16" t="s">
        <v>20</v>
      </c>
      <c r="D107" s="36">
        <v>207</v>
      </c>
      <c r="E107" s="34">
        <v>111</v>
      </c>
      <c r="F107" s="34">
        <v>700</v>
      </c>
      <c r="G107" s="17">
        <f t="shared" si="6"/>
        <v>0.45428571428571429</v>
      </c>
    </row>
    <row r="108" spans="1:7" x14ac:dyDescent="0.3">
      <c r="A108" s="14">
        <v>3</v>
      </c>
      <c r="B108" s="15">
        <v>778</v>
      </c>
      <c r="C108" s="16" t="s">
        <v>836</v>
      </c>
      <c r="D108" s="36">
        <v>51</v>
      </c>
      <c r="E108" s="34">
        <v>10</v>
      </c>
      <c r="F108" s="34">
        <v>137</v>
      </c>
      <c r="G108" s="17">
        <f t="shared" si="6"/>
        <v>0.44525547445255476</v>
      </c>
    </row>
    <row r="109" spans="1:7" x14ac:dyDescent="0.3">
      <c r="A109" s="14">
        <v>3</v>
      </c>
      <c r="B109" s="15">
        <v>125</v>
      </c>
      <c r="C109" s="16" t="s">
        <v>358</v>
      </c>
      <c r="D109" s="36">
        <v>128</v>
      </c>
      <c r="E109" s="34">
        <v>50</v>
      </c>
      <c r="F109" s="34">
        <v>400</v>
      </c>
      <c r="G109" s="17">
        <f t="shared" si="6"/>
        <v>0.44500000000000001</v>
      </c>
    </row>
    <row r="110" spans="1:7" x14ac:dyDescent="0.3">
      <c r="A110" s="14">
        <v>3</v>
      </c>
      <c r="B110" s="15">
        <v>404</v>
      </c>
      <c r="C110" s="16" t="s">
        <v>22</v>
      </c>
      <c r="D110" s="36">
        <v>194</v>
      </c>
      <c r="E110" s="34">
        <v>92</v>
      </c>
      <c r="F110" s="34">
        <v>658</v>
      </c>
      <c r="G110" s="17">
        <f t="shared" si="6"/>
        <v>0.43465045592705165</v>
      </c>
    </row>
    <row r="111" spans="1:7" x14ac:dyDescent="0.3">
      <c r="A111" s="14">
        <v>3</v>
      </c>
      <c r="B111" s="15">
        <v>104</v>
      </c>
      <c r="C111" s="16" t="s">
        <v>357</v>
      </c>
      <c r="D111" s="36">
        <v>92</v>
      </c>
      <c r="E111" s="34">
        <v>65</v>
      </c>
      <c r="F111" s="34">
        <v>402</v>
      </c>
      <c r="G111" s="17">
        <f t="shared" si="6"/>
        <v>0.39054726368159204</v>
      </c>
    </row>
    <row r="112" spans="1:7" x14ac:dyDescent="0.3">
      <c r="A112" s="14">
        <v>3</v>
      </c>
      <c r="B112" s="15">
        <v>308</v>
      </c>
      <c r="C112" s="16" t="s">
        <v>21</v>
      </c>
      <c r="D112" s="36">
        <v>289</v>
      </c>
      <c r="E112" s="34">
        <v>117</v>
      </c>
      <c r="F112" s="34">
        <v>1046</v>
      </c>
      <c r="G112" s="17">
        <f t="shared" si="6"/>
        <v>0.3881453154875717</v>
      </c>
    </row>
    <row r="113" spans="1:7" x14ac:dyDescent="0.3">
      <c r="A113" s="14">
        <v>3</v>
      </c>
      <c r="B113" s="15">
        <v>408</v>
      </c>
      <c r="C113" s="16" t="s">
        <v>23</v>
      </c>
      <c r="D113" s="36">
        <v>258</v>
      </c>
      <c r="E113" s="34">
        <v>96</v>
      </c>
      <c r="F113" s="34">
        <v>1013</v>
      </c>
      <c r="G113" s="17">
        <f t="shared" si="6"/>
        <v>0.34945705824284307</v>
      </c>
    </row>
    <row r="114" spans="1:7" x14ac:dyDescent="0.3">
      <c r="A114" s="14">
        <v>3</v>
      </c>
      <c r="B114" s="15">
        <v>704</v>
      </c>
      <c r="C114" s="16" t="s">
        <v>24</v>
      </c>
      <c r="D114" s="36">
        <v>154</v>
      </c>
      <c r="E114" s="34">
        <v>97</v>
      </c>
      <c r="F114" s="34">
        <v>891</v>
      </c>
      <c r="G114" s="17">
        <f t="shared" si="6"/>
        <v>0.28170594837261503</v>
      </c>
    </row>
    <row r="115" spans="1:7" x14ac:dyDescent="0.3">
      <c r="A115" s="14">
        <v>3</v>
      </c>
      <c r="B115" s="15">
        <v>200</v>
      </c>
      <c r="C115" s="16" t="s">
        <v>368</v>
      </c>
      <c r="D115" s="36">
        <v>27</v>
      </c>
      <c r="E115" s="34">
        <v>17</v>
      </c>
      <c r="F115" s="34">
        <v>164</v>
      </c>
      <c r="G115" s="17">
        <f t="shared" si="6"/>
        <v>0.26829268292682928</v>
      </c>
    </row>
    <row r="116" spans="1:7" x14ac:dyDescent="0.3">
      <c r="A116" s="14">
        <v>3</v>
      </c>
      <c r="B116" s="15">
        <v>172</v>
      </c>
      <c r="C116" s="16" t="s">
        <v>230</v>
      </c>
      <c r="D116" s="36">
        <v>96</v>
      </c>
      <c r="E116" s="34">
        <v>59</v>
      </c>
      <c r="F116" s="34">
        <v>635</v>
      </c>
      <c r="G116" s="17">
        <f t="shared" si="6"/>
        <v>0.24409448818897639</v>
      </c>
    </row>
    <row r="117" spans="1:7" x14ac:dyDescent="0.3">
      <c r="A117" s="14">
        <v>3</v>
      </c>
      <c r="B117" s="15">
        <v>708</v>
      </c>
      <c r="C117" s="16" t="s">
        <v>25</v>
      </c>
      <c r="D117" s="36">
        <v>205</v>
      </c>
      <c r="E117" s="34">
        <v>110</v>
      </c>
      <c r="F117" s="34">
        <v>1355</v>
      </c>
      <c r="G117" s="17">
        <f t="shared" si="6"/>
        <v>0.23247232472324722</v>
      </c>
    </row>
    <row r="118" spans="1:7" ht="21" thickBot="1" x14ac:dyDescent="0.35">
      <c r="A118" s="14">
        <v>3</v>
      </c>
      <c r="B118" s="15">
        <v>630</v>
      </c>
      <c r="C118" s="16" t="s">
        <v>837</v>
      </c>
      <c r="D118" s="36">
        <v>0</v>
      </c>
      <c r="E118" s="34">
        <v>3</v>
      </c>
      <c r="F118" s="34">
        <v>18</v>
      </c>
      <c r="G118" s="17">
        <f t="shared" si="6"/>
        <v>0.16666666666666666</v>
      </c>
    </row>
    <row r="119" spans="1:7" ht="21" thickBot="1" x14ac:dyDescent="0.35">
      <c r="A119" s="18"/>
      <c r="B119" s="19">
        <f>COUNTA(B97:B118)</f>
        <v>22</v>
      </c>
      <c r="C119" s="20" t="s">
        <v>16</v>
      </c>
      <c r="D119" s="21">
        <f>SUM(D97:D118)</f>
        <v>2739</v>
      </c>
      <c r="E119" s="35">
        <f>SUM(E97:E118)</f>
        <v>1361</v>
      </c>
      <c r="F119" s="35">
        <f>SUM(F97:F118)</f>
        <v>10272</v>
      </c>
      <c r="G119" s="22">
        <f t="shared" ref="G119" si="7">+(D119+E119)/F119</f>
        <v>0.39914330218068533</v>
      </c>
    </row>
    <row r="120" spans="1:7" x14ac:dyDescent="0.3">
      <c r="A120" s="24"/>
      <c r="B120" s="25"/>
      <c r="C120" s="26"/>
      <c r="D120" s="31"/>
      <c r="E120" s="28"/>
      <c r="F120" s="28"/>
      <c r="G120" s="29"/>
    </row>
    <row r="121" spans="1:7" x14ac:dyDescent="0.3">
      <c r="A121" s="24"/>
      <c r="B121" s="25"/>
      <c r="C121" s="30" t="s">
        <v>26</v>
      </c>
      <c r="D121" s="31"/>
      <c r="E121" s="28"/>
      <c r="F121" s="28"/>
      <c r="G121" s="29"/>
    </row>
    <row r="122" spans="1:7" x14ac:dyDescent="0.3">
      <c r="A122" s="14">
        <v>4</v>
      </c>
      <c r="B122" s="15">
        <v>128</v>
      </c>
      <c r="C122" s="16" t="s">
        <v>372</v>
      </c>
      <c r="D122" s="36">
        <v>142</v>
      </c>
      <c r="E122" s="34">
        <v>54</v>
      </c>
      <c r="F122" s="34">
        <v>354</v>
      </c>
      <c r="G122" s="17">
        <f t="shared" ref="G122:G146" si="8">+(D122+E122)/F122</f>
        <v>0.5536723163841808</v>
      </c>
    </row>
    <row r="123" spans="1:7" x14ac:dyDescent="0.3">
      <c r="A123" s="14">
        <v>4</v>
      </c>
      <c r="B123" s="15">
        <v>152</v>
      </c>
      <c r="C123" s="16" t="s">
        <v>376</v>
      </c>
      <c r="D123" s="36">
        <v>88</v>
      </c>
      <c r="E123" s="34">
        <v>43</v>
      </c>
      <c r="F123" s="34">
        <v>256</v>
      </c>
      <c r="G123" s="17">
        <f t="shared" si="8"/>
        <v>0.51171875</v>
      </c>
    </row>
    <row r="124" spans="1:7" x14ac:dyDescent="0.3">
      <c r="A124" s="14">
        <v>4</v>
      </c>
      <c r="B124" s="15">
        <v>164</v>
      </c>
      <c r="C124" s="16" t="s">
        <v>379</v>
      </c>
      <c r="D124" s="36">
        <v>121</v>
      </c>
      <c r="E124" s="34">
        <v>74</v>
      </c>
      <c r="F124" s="34">
        <v>383</v>
      </c>
      <c r="G124" s="17">
        <f t="shared" si="8"/>
        <v>0.50913838120104438</v>
      </c>
    </row>
    <row r="125" spans="1:7" x14ac:dyDescent="0.3">
      <c r="A125" s="14">
        <v>4</v>
      </c>
      <c r="B125" s="15">
        <v>124</v>
      </c>
      <c r="C125" s="16" t="s">
        <v>371</v>
      </c>
      <c r="D125" s="36">
        <v>145</v>
      </c>
      <c r="E125" s="34">
        <v>67</v>
      </c>
      <c r="F125" s="34">
        <v>424</v>
      </c>
      <c r="G125" s="17">
        <f t="shared" si="8"/>
        <v>0.5</v>
      </c>
    </row>
    <row r="126" spans="1:7" x14ac:dyDescent="0.3">
      <c r="A126" s="14">
        <v>4</v>
      </c>
      <c r="B126" s="15">
        <v>109</v>
      </c>
      <c r="C126" s="16" t="s">
        <v>369</v>
      </c>
      <c r="D126" s="36">
        <v>139</v>
      </c>
      <c r="E126" s="34">
        <v>69</v>
      </c>
      <c r="F126" s="34">
        <v>447</v>
      </c>
      <c r="G126" s="17">
        <f t="shared" si="8"/>
        <v>0.46532438478747201</v>
      </c>
    </row>
    <row r="127" spans="1:7" x14ac:dyDescent="0.3">
      <c r="A127" s="14">
        <v>4</v>
      </c>
      <c r="B127" s="15">
        <v>340</v>
      </c>
      <c r="C127" s="16" t="s">
        <v>29</v>
      </c>
      <c r="D127" s="36">
        <v>175</v>
      </c>
      <c r="E127" s="34">
        <v>103</v>
      </c>
      <c r="F127" s="34">
        <v>631</v>
      </c>
      <c r="G127" s="17">
        <f t="shared" si="8"/>
        <v>0.44057052297939781</v>
      </c>
    </row>
    <row r="128" spans="1:7" x14ac:dyDescent="0.3">
      <c r="A128" s="14">
        <v>4</v>
      </c>
      <c r="B128" s="15">
        <v>140</v>
      </c>
      <c r="C128" s="16" t="s">
        <v>375</v>
      </c>
      <c r="D128" s="36">
        <v>63</v>
      </c>
      <c r="E128" s="34">
        <v>57</v>
      </c>
      <c r="F128" s="34">
        <v>278</v>
      </c>
      <c r="G128" s="17">
        <f t="shared" si="8"/>
        <v>0.43165467625899279</v>
      </c>
    </row>
    <row r="129" spans="1:7" x14ac:dyDescent="0.3">
      <c r="A129" s="14">
        <v>4</v>
      </c>
      <c r="B129" s="15">
        <v>132</v>
      </c>
      <c r="C129" s="16" t="s">
        <v>373</v>
      </c>
      <c r="D129" s="36">
        <v>80</v>
      </c>
      <c r="E129" s="34">
        <v>69</v>
      </c>
      <c r="F129" s="34">
        <v>348</v>
      </c>
      <c r="G129" s="17">
        <f t="shared" si="8"/>
        <v>0.42816091954022989</v>
      </c>
    </row>
    <row r="130" spans="1:7" x14ac:dyDescent="0.3">
      <c r="A130" s="14">
        <v>4</v>
      </c>
      <c r="B130" s="15">
        <v>335</v>
      </c>
      <c r="C130" s="16" t="s">
        <v>246</v>
      </c>
      <c r="D130" s="36">
        <v>126</v>
      </c>
      <c r="E130" s="34">
        <v>58</v>
      </c>
      <c r="F130" s="34">
        <v>455</v>
      </c>
      <c r="G130" s="17">
        <f t="shared" si="8"/>
        <v>0.4043956043956044</v>
      </c>
    </row>
    <row r="131" spans="1:7" x14ac:dyDescent="0.3">
      <c r="A131" s="14">
        <v>4</v>
      </c>
      <c r="B131" s="15">
        <v>106</v>
      </c>
      <c r="C131" s="16" t="s">
        <v>838</v>
      </c>
      <c r="D131" s="36">
        <v>118</v>
      </c>
      <c r="E131" s="34">
        <v>76</v>
      </c>
      <c r="F131" s="34">
        <v>481</v>
      </c>
      <c r="G131" s="17">
        <f t="shared" si="8"/>
        <v>0.40332640332640335</v>
      </c>
    </row>
    <row r="132" spans="1:7" x14ac:dyDescent="0.3">
      <c r="A132" s="14">
        <v>4</v>
      </c>
      <c r="B132" s="15">
        <v>120</v>
      </c>
      <c r="C132" s="16" t="s">
        <v>418</v>
      </c>
      <c r="D132" s="36">
        <v>92</v>
      </c>
      <c r="E132" s="34">
        <v>61</v>
      </c>
      <c r="F132" s="34">
        <v>408</v>
      </c>
      <c r="G132" s="17">
        <f t="shared" si="8"/>
        <v>0.375</v>
      </c>
    </row>
    <row r="133" spans="1:7" x14ac:dyDescent="0.3">
      <c r="A133" s="14">
        <v>4</v>
      </c>
      <c r="B133" s="15">
        <v>118</v>
      </c>
      <c r="C133" s="16" t="s">
        <v>370</v>
      </c>
      <c r="D133" s="36">
        <v>116</v>
      </c>
      <c r="E133" s="34">
        <v>45</v>
      </c>
      <c r="F133" s="34">
        <v>452</v>
      </c>
      <c r="G133" s="17">
        <f t="shared" si="8"/>
        <v>0.35619469026548672</v>
      </c>
    </row>
    <row r="134" spans="1:7" x14ac:dyDescent="0.3">
      <c r="A134" s="14">
        <v>4</v>
      </c>
      <c r="B134" s="15">
        <v>170</v>
      </c>
      <c r="C134" s="16" t="s">
        <v>381</v>
      </c>
      <c r="D134" s="36">
        <v>59</v>
      </c>
      <c r="E134" s="34">
        <v>45</v>
      </c>
      <c r="F134" s="34">
        <v>313</v>
      </c>
      <c r="G134" s="17">
        <f t="shared" si="8"/>
        <v>0.33226837060702874</v>
      </c>
    </row>
    <row r="135" spans="1:7" x14ac:dyDescent="0.3">
      <c r="A135" s="14">
        <v>4</v>
      </c>
      <c r="B135" s="15">
        <v>310</v>
      </c>
      <c r="C135" s="16" t="s">
        <v>27</v>
      </c>
      <c r="D135" s="36">
        <v>132</v>
      </c>
      <c r="E135" s="34">
        <v>70</v>
      </c>
      <c r="F135" s="34">
        <v>656</v>
      </c>
      <c r="G135" s="17">
        <f t="shared" si="8"/>
        <v>0.30792682926829268</v>
      </c>
    </row>
    <row r="136" spans="1:7" x14ac:dyDescent="0.3">
      <c r="A136" s="14">
        <v>4</v>
      </c>
      <c r="B136" s="15">
        <v>410</v>
      </c>
      <c r="C136" s="16" t="s">
        <v>31</v>
      </c>
      <c r="D136" s="36">
        <v>230</v>
      </c>
      <c r="E136" s="34">
        <v>136</v>
      </c>
      <c r="F136" s="34">
        <v>1199</v>
      </c>
      <c r="G136" s="17">
        <f t="shared" si="8"/>
        <v>0.30525437864887406</v>
      </c>
    </row>
    <row r="137" spans="1:7" x14ac:dyDescent="0.3">
      <c r="A137" s="14">
        <v>4</v>
      </c>
      <c r="B137" s="15">
        <v>406</v>
      </c>
      <c r="C137" s="16" t="s">
        <v>30</v>
      </c>
      <c r="D137" s="36">
        <v>232</v>
      </c>
      <c r="E137" s="34">
        <v>108</v>
      </c>
      <c r="F137" s="34">
        <v>1120</v>
      </c>
      <c r="G137" s="17">
        <f t="shared" si="8"/>
        <v>0.30357142857142855</v>
      </c>
    </row>
    <row r="138" spans="1:7" x14ac:dyDescent="0.3">
      <c r="A138" s="14">
        <v>4</v>
      </c>
      <c r="B138" s="15">
        <v>330</v>
      </c>
      <c r="C138" s="16" t="s">
        <v>28</v>
      </c>
      <c r="D138" s="36">
        <v>120</v>
      </c>
      <c r="E138" s="34">
        <v>83</v>
      </c>
      <c r="F138" s="34">
        <v>690</v>
      </c>
      <c r="G138" s="17">
        <f t="shared" si="8"/>
        <v>0.29420289855072462</v>
      </c>
    </row>
    <row r="139" spans="1:7" x14ac:dyDescent="0.3">
      <c r="A139" s="14">
        <v>4</v>
      </c>
      <c r="B139" s="15">
        <v>130</v>
      </c>
      <c r="C139" s="16" t="s">
        <v>374</v>
      </c>
      <c r="D139" s="36">
        <v>68</v>
      </c>
      <c r="E139" s="34">
        <v>56</v>
      </c>
      <c r="F139" s="34">
        <v>423</v>
      </c>
      <c r="G139" s="17">
        <f t="shared" si="8"/>
        <v>0.29314420803782504</v>
      </c>
    </row>
    <row r="140" spans="1:7" x14ac:dyDescent="0.3">
      <c r="A140" s="14">
        <v>4</v>
      </c>
      <c r="B140" s="15">
        <v>144</v>
      </c>
      <c r="C140" s="16" t="s">
        <v>366</v>
      </c>
      <c r="D140" s="36">
        <v>93</v>
      </c>
      <c r="E140" s="34">
        <v>31</v>
      </c>
      <c r="F140" s="34">
        <v>435</v>
      </c>
      <c r="G140" s="17">
        <f t="shared" si="8"/>
        <v>0.28505747126436781</v>
      </c>
    </row>
    <row r="141" spans="1:7" x14ac:dyDescent="0.3">
      <c r="A141" s="14">
        <v>4</v>
      </c>
      <c r="B141" s="15">
        <v>160</v>
      </c>
      <c r="C141" s="16" t="s">
        <v>378</v>
      </c>
      <c r="D141" s="36">
        <v>63</v>
      </c>
      <c r="E141" s="34">
        <v>32</v>
      </c>
      <c r="F141" s="34">
        <v>392</v>
      </c>
      <c r="G141" s="17">
        <f t="shared" si="8"/>
        <v>0.2423469387755102</v>
      </c>
    </row>
    <row r="142" spans="1:7" x14ac:dyDescent="0.3">
      <c r="A142" s="14">
        <v>4</v>
      </c>
      <c r="B142" s="15">
        <v>702</v>
      </c>
      <c r="C142" s="16" t="s">
        <v>321</v>
      </c>
      <c r="D142" s="36">
        <v>195</v>
      </c>
      <c r="E142" s="34">
        <v>179</v>
      </c>
      <c r="F142" s="34">
        <v>1632</v>
      </c>
      <c r="G142" s="17">
        <f t="shared" si="8"/>
        <v>0.22916666666666666</v>
      </c>
    </row>
    <row r="143" spans="1:7" x14ac:dyDescent="0.3">
      <c r="A143" s="14">
        <v>4</v>
      </c>
      <c r="B143" s="15">
        <v>166</v>
      </c>
      <c r="C143" s="16" t="s">
        <v>380</v>
      </c>
      <c r="D143" s="36">
        <v>49</v>
      </c>
      <c r="E143" s="34">
        <v>37</v>
      </c>
      <c r="F143" s="34">
        <v>399</v>
      </c>
      <c r="G143" s="17">
        <f t="shared" si="8"/>
        <v>0.21553884711779447</v>
      </c>
    </row>
    <row r="144" spans="1:7" x14ac:dyDescent="0.3">
      <c r="A144" s="14">
        <v>4</v>
      </c>
      <c r="B144" s="15">
        <v>156</v>
      </c>
      <c r="C144" s="16" t="s">
        <v>377</v>
      </c>
      <c r="D144" s="36">
        <v>57</v>
      </c>
      <c r="E144" s="34">
        <v>35</v>
      </c>
      <c r="F144" s="34">
        <v>449</v>
      </c>
      <c r="G144" s="17">
        <f t="shared" si="8"/>
        <v>0.20489977728285078</v>
      </c>
    </row>
    <row r="145" spans="1:7" x14ac:dyDescent="0.3">
      <c r="A145" s="14">
        <v>4</v>
      </c>
      <c r="B145" s="15">
        <v>706</v>
      </c>
      <c r="C145" s="16" t="s">
        <v>320</v>
      </c>
      <c r="D145" s="36">
        <v>171</v>
      </c>
      <c r="E145" s="34">
        <v>107</v>
      </c>
      <c r="F145" s="34">
        <v>1554</v>
      </c>
      <c r="G145" s="17">
        <f t="shared" si="8"/>
        <v>0.17889317889317891</v>
      </c>
    </row>
    <row r="146" spans="1:7" ht="21" thickBot="1" x14ac:dyDescent="0.35">
      <c r="A146" s="24">
        <v>4</v>
      </c>
      <c r="B146" s="37">
        <v>610</v>
      </c>
      <c r="C146" s="26" t="s">
        <v>839</v>
      </c>
      <c r="D146" s="36">
        <v>0</v>
      </c>
      <c r="E146" s="34">
        <v>1</v>
      </c>
      <c r="F146" s="34">
        <v>45</v>
      </c>
      <c r="G146" s="29">
        <f t="shared" si="8"/>
        <v>2.2222222222222223E-2</v>
      </c>
    </row>
    <row r="147" spans="1:7" ht="21" thickBot="1" x14ac:dyDescent="0.35">
      <c r="A147" s="18"/>
      <c r="B147" s="19">
        <f>COUNTA(B122:B146)</f>
        <v>25</v>
      </c>
      <c r="C147" s="20" t="s">
        <v>16</v>
      </c>
      <c r="D147" s="21">
        <f>SUM(D122:D146)</f>
        <v>2874</v>
      </c>
      <c r="E147" s="21">
        <f>SUM(E122:E146)</f>
        <v>1696</v>
      </c>
      <c r="F147" s="35">
        <f>SUM(F122:F146)</f>
        <v>14224</v>
      </c>
      <c r="G147" s="22">
        <f t="shared" ref="G147" si="9">+(D147+E147)/F147</f>
        <v>0.32128796400449944</v>
      </c>
    </row>
    <row r="148" spans="1:7" x14ac:dyDescent="0.3">
      <c r="A148" s="24"/>
      <c r="B148" s="25"/>
      <c r="C148" s="26"/>
      <c r="D148" s="31"/>
      <c r="E148" s="28"/>
      <c r="F148" s="28"/>
      <c r="G148" s="29"/>
    </row>
    <row r="149" spans="1:7" x14ac:dyDescent="0.3">
      <c r="A149" s="38"/>
      <c r="B149" s="25"/>
      <c r="C149" s="30" t="s">
        <v>32</v>
      </c>
      <c r="D149" s="31"/>
      <c r="E149" s="28"/>
      <c r="F149" s="28"/>
      <c r="G149" s="29"/>
    </row>
    <row r="150" spans="1:7" x14ac:dyDescent="0.3">
      <c r="A150" s="14">
        <v>5</v>
      </c>
      <c r="B150" s="15">
        <v>110</v>
      </c>
      <c r="C150" s="16" t="s">
        <v>382</v>
      </c>
      <c r="D150" s="36">
        <v>64</v>
      </c>
      <c r="E150" s="34">
        <v>10</v>
      </c>
      <c r="F150" s="34">
        <v>103</v>
      </c>
      <c r="G150" s="17">
        <f t="shared" ref="G150:G160" si="10">+(D150+E150)/F150</f>
        <v>0.71844660194174759</v>
      </c>
    </row>
    <row r="151" spans="1:7" x14ac:dyDescent="0.3">
      <c r="A151" s="14">
        <v>5</v>
      </c>
      <c r="B151" s="15">
        <v>120</v>
      </c>
      <c r="C151" s="16" t="s">
        <v>387</v>
      </c>
      <c r="D151" s="36">
        <v>171</v>
      </c>
      <c r="E151" s="34">
        <v>50</v>
      </c>
      <c r="F151" s="34">
        <v>437</v>
      </c>
      <c r="G151" s="17">
        <f t="shared" si="10"/>
        <v>0.50572082379862704</v>
      </c>
    </row>
    <row r="152" spans="1:7" x14ac:dyDescent="0.3">
      <c r="A152" s="14">
        <v>5</v>
      </c>
      <c r="B152" s="15">
        <v>154</v>
      </c>
      <c r="C152" s="16" t="s">
        <v>388</v>
      </c>
      <c r="D152" s="36">
        <v>116</v>
      </c>
      <c r="E152" s="34">
        <v>33</v>
      </c>
      <c r="F152" s="34">
        <v>307</v>
      </c>
      <c r="G152" s="17">
        <f t="shared" si="10"/>
        <v>0.48534201954397393</v>
      </c>
    </row>
    <row r="153" spans="1:7" x14ac:dyDescent="0.3">
      <c r="A153" s="14">
        <v>5</v>
      </c>
      <c r="B153" s="15">
        <v>408</v>
      </c>
      <c r="C153" s="16" t="s">
        <v>386</v>
      </c>
      <c r="D153" s="36">
        <v>67</v>
      </c>
      <c r="E153" s="34">
        <v>15</v>
      </c>
      <c r="F153" s="34">
        <v>176</v>
      </c>
      <c r="G153" s="17">
        <f t="shared" si="10"/>
        <v>0.46590909090909088</v>
      </c>
    </row>
    <row r="154" spans="1:7" x14ac:dyDescent="0.3">
      <c r="A154" s="14">
        <v>5</v>
      </c>
      <c r="B154" s="15">
        <v>801</v>
      </c>
      <c r="C154" s="16" t="s">
        <v>384</v>
      </c>
      <c r="D154" s="36">
        <v>15</v>
      </c>
      <c r="E154" s="34">
        <v>2</v>
      </c>
      <c r="F154" s="34">
        <v>39</v>
      </c>
      <c r="G154" s="17">
        <f t="shared" si="10"/>
        <v>0.4358974358974359</v>
      </c>
    </row>
    <row r="155" spans="1:7" x14ac:dyDescent="0.3">
      <c r="A155" s="14">
        <v>5</v>
      </c>
      <c r="B155" s="15">
        <v>760</v>
      </c>
      <c r="C155" s="16" t="s">
        <v>35</v>
      </c>
      <c r="D155" s="36">
        <v>25</v>
      </c>
      <c r="E155" s="34">
        <v>4</v>
      </c>
      <c r="F155" s="34">
        <v>70</v>
      </c>
      <c r="G155" s="17">
        <f t="shared" si="10"/>
        <v>0.41428571428571431</v>
      </c>
    </row>
    <row r="156" spans="1:7" x14ac:dyDescent="0.3">
      <c r="A156" s="14">
        <v>5</v>
      </c>
      <c r="B156" s="15">
        <v>112</v>
      </c>
      <c r="C156" s="16" t="s">
        <v>383</v>
      </c>
      <c r="D156" s="36">
        <v>126</v>
      </c>
      <c r="E156" s="34">
        <v>44</v>
      </c>
      <c r="F156" s="34">
        <v>428</v>
      </c>
      <c r="G156" s="17">
        <f t="shared" si="10"/>
        <v>0.39719626168224298</v>
      </c>
    </row>
    <row r="157" spans="1:7" x14ac:dyDescent="0.3">
      <c r="A157" s="14">
        <v>5</v>
      </c>
      <c r="B157" s="15">
        <v>412</v>
      </c>
      <c r="C157" s="16" t="s">
        <v>33</v>
      </c>
      <c r="D157" s="36">
        <v>158</v>
      </c>
      <c r="E157" s="34">
        <v>52</v>
      </c>
      <c r="F157" s="34">
        <v>543</v>
      </c>
      <c r="G157" s="17">
        <f t="shared" si="10"/>
        <v>0.38674033149171272</v>
      </c>
    </row>
    <row r="158" spans="1:7" x14ac:dyDescent="0.3">
      <c r="A158" s="14">
        <v>5</v>
      </c>
      <c r="B158" s="15">
        <v>114</v>
      </c>
      <c r="C158" s="16" t="s">
        <v>385</v>
      </c>
      <c r="D158" s="36">
        <v>111</v>
      </c>
      <c r="E158" s="34">
        <v>57</v>
      </c>
      <c r="F158" s="34">
        <v>441</v>
      </c>
      <c r="G158" s="17">
        <f t="shared" si="10"/>
        <v>0.38095238095238093</v>
      </c>
    </row>
    <row r="159" spans="1:7" ht="21" thickBot="1" x14ac:dyDescent="0.35">
      <c r="A159" s="24">
        <v>5</v>
      </c>
      <c r="B159" s="37">
        <v>704</v>
      </c>
      <c r="C159" s="26" t="s">
        <v>34</v>
      </c>
      <c r="D159" s="36">
        <v>103</v>
      </c>
      <c r="E159" s="34">
        <v>56</v>
      </c>
      <c r="F159" s="34">
        <v>587</v>
      </c>
      <c r="G159" s="29">
        <f t="shared" si="10"/>
        <v>0.27086882453151617</v>
      </c>
    </row>
    <row r="160" spans="1:7" ht="21" thickBot="1" x14ac:dyDescent="0.35">
      <c r="A160" s="18"/>
      <c r="B160" s="19">
        <f>COUNTA(B150:B159)</f>
        <v>10</v>
      </c>
      <c r="C160" s="20" t="s">
        <v>16</v>
      </c>
      <c r="D160" s="21">
        <f>SUM(D150:D159)</f>
        <v>956</v>
      </c>
      <c r="E160" s="35">
        <f>SUM(E150:E159)</f>
        <v>323</v>
      </c>
      <c r="F160" s="35">
        <f>SUM(F150:F159)</f>
        <v>3131</v>
      </c>
      <c r="G160" s="22">
        <f t="shared" si="10"/>
        <v>0.40849568827850524</v>
      </c>
    </row>
    <row r="161" spans="1:7" x14ac:dyDescent="0.3">
      <c r="A161" s="24"/>
      <c r="B161" s="25"/>
      <c r="C161" s="26"/>
      <c r="D161" s="31"/>
      <c r="E161" s="28"/>
      <c r="F161" s="28"/>
      <c r="G161" s="29"/>
    </row>
    <row r="162" spans="1:7" x14ac:dyDescent="0.3">
      <c r="A162" s="24"/>
      <c r="B162" s="25"/>
      <c r="C162" s="30" t="s">
        <v>36</v>
      </c>
      <c r="D162" s="31"/>
      <c r="E162" s="28"/>
      <c r="F162" s="28"/>
      <c r="G162" s="29"/>
    </row>
    <row r="163" spans="1:7" x14ac:dyDescent="0.3">
      <c r="A163" s="14">
        <v>6</v>
      </c>
      <c r="B163" s="15">
        <v>112</v>
      </c>
      <c r="C163" s="16" t="s">
        <v>193</v>
      </c>
      <c r="D163" s="36">
        <v>13</v>
      </c>
      <c r="E163" s="34">
        <v>7</v>
      </c>
      <c r="F163" s="34">
        <v>64</v>
      </c>
      <c r="G163" s="17">
        <f>+(D163+E163)/F163</f>
        <v>0.3125</v>
      </c>
    </row>
    <row r="164" spans="1:7" ht="21" thickBot="1" x14ac:dyDescent="0.35">
      <c r="A164" s="24">
        <v>6</v>
      </c>
      <c r="B164" s="25">
        <v>704</v>
      </c>
      <c r="C164" s="26" t="s">
        <v>192</v>
      </c>
      <c r="D164" s="36">
        <v>10</v>
      </c>
      <c r="E164" s="34">
        <v>7</v>
      </c>
      <c r="F164" s="34">
        <v>74</v>
      </c>
      <c r="G164" s="29">
        <f>+(D164+E164)/F164</f>
        <v>0.22972972972972974</v>
      </c>
    </row>
    <row r="165" spans="1:7" ht="21" thickBot="1" x14ac:dyDescent="0.35">
      <c r="A165" s="18"/>
      <c r="B165" s="19">
        <f>COUNTA(B163:B164)</f>
        <v>2</v>
      </c>
      <c r="C165" s="20" t="s">
        <v>16</v>
      </c>
      <c r="D165" s="21">
        <f>SUM(D163:D164)</f>
        <v>23</v>
      </c>
      <c r="E165" s="35">
        <f>SUM(E163:E164)</f>
        <v>14</v>
      </c>
      <c r="F165" s="35">
        <f>SUM(F163:F164)</f>
        <v>138</v>
      </c>
      <c r="G165" s="22">
        <f>+(D165+E165)/F165</f>
        <v>0.26811594202898553</v>
      </c>
    </row>
    <row r="166" spans="1:7" x14ac:dyDescent="0.3">
      <c r="A166" s="24"/>
      <c r="B166" s="25"/>
      <c r="C166" s="26"/>
      <c r="D166" s="31"/>
      <c r="E166" s="28"/>
      <c r="F166" s="28"/>
      <c r="G166" s="29"/>
    </row>
    <row r="167" spans="1:7" x14ac:dyDescent="0.3">
      <c r="A167" s="24"/>
      <c r="B167" s="25"/>
      <c r="C167" s="30" t="s">
        <v>37</v>
      </c>
      <c r="D167" s="31"/>
      <c r="E167" s="28"/>
      <c r="F167" s="28"/>
      <c r="G167" s="29"/>
    </row>
    <row r="168" spans="1:7" x14ac:dyDescent="0.3">
      <c r="A168" s="14">
        <v>7</v>
      </c>
      <c r="B168" s="15">
        <v>193</v>
      </c>
      <c r="C168" s="39" t="s">
        <v>456</v>
      </c>
      <c r="D168" s="36">
        <v>235</v>
      </c>
      <c r="E168" s="34">
        <v>37</v>
      </c>
      <c r="F168" s="34">
        <v>350</v>
      </c>
      <c r="G168" s="17">
        <f t="shared" ref="G168:G199" si="11">+(D168+E168)/F168</f>
        <v>0.77714285714285714</v>
      </c>
    </row>
    <row r="169" spans="1:7" x14ac:dyDescent="0.3">
      <c r="A169" s="14">
        <v>7</v>
      </c>
      <c r="B169" s="15">
        <v>156</v>
      </c>
      <c r="C169" s="39" t="s">
        <v>444</v>
      </c>
      <c r="D169" s="36">
        <v>267</v>
      </c>
      <c r="E169" s="34">
        <v>78</v>
      </c>
      <c r="F169" s="34">
        <v>474</v>
      </c>
      <c r="G169" s="17">
        <f t="shared" si="11"/>
        <v>0.72784810126582278</v>
      </c>
    </row>
    <row r="170" spans="1:7" x14ac:dyDescent="0.3">
      <c r="A170" s="14">
        <v>7</v>
      </c>
      <c r="B170" s="15">
        <v>180</v>
      </c>
      <c r="C170" s="16" t="s">
        <v>462</v>
      </c>
      <c r="D170" s="36">
        <v>172</v>
      </c>
      <c r="E170" s="34">
        <v>42</v>
      </c>
      <c r="F170" s="34">
        <v>298</v>
      </c>
      <c r="G170" s="17">
        <f t="shared" si="11"/>
        <v>0.71812080536912748</v>
      </c>
    </row>
    <row r="171" spans="1:7" x14ac:dyDescent="0.3">
      <c r="A171" s="14">
        <v>7</v>
      </c>
      <c r="B171" s="15">
        <v>128</v>
      </c>
      <c r="C171" s="16" t="s">
        <v>408</v>
      </c>
      <c r="D171" s="36">
        <v>164</v>
      </c>
      <c r="E171" s="34">
        <v>61</v>
      </c>
      <c r="F171" s="34">
        <v>329</v>
      </c>
      <c r="G171" s="17">
        <f t="shared" si="11"/>
        <v>0.68389057750759874</v>
      </c>
    </row>
    <row r="172" spans="1:7" x14ac:dyDescent="0.3">
      <c r="A172" s="14">
        <v>7</v>
      </c>
      <c r="B172" s="15">
        <v>124</v>
      </c>
      <c r="C172" s="39" t="s">
        <v>406</v>
      </c>
      <c r="D172" s="36">
        <v>154</v>
      </c>
      <c r="E172" s="34">
        <v>39</v>
      </c>
      <c r="F172" s="34">
        <v>287</v>
      </c>
      <c r="G172" s="17">
        <f t="shared" si="11"/>
        <v>0.67247386759581884</v>
      </c>
    </row>
    <row r="173" spans="1:7" x14ac:dyDescent="0.3">
      <c r="A173" s="14">
        <v>7</v>
      </c>
      <c r="B173" s="15">
        <v>412</v>
      </c>
      <c r="C173" s="16" t="s">
        <v>436</v>
      </c>
      <c r="D173" s="36">
        <v>476</v>
      </c>
      <c r="E173" s="34">
        <v>161</v>
      </c>
      <c r="F173" s="34">
        <v>1053</v>
      </c>
      <c r="G173" s="17">
        <f t="shared" si="11"/>
        <v>0.60493827160493829</v>
      </c>
    </row>
    <row r="174" spans="1:7" x14ac:dyDescent="0.3">
      <c r="A174" s="14">
        <v>7</v>
      </c>
      <c r="B174" s="15">
        <v>133</v>
      </c>
      <c r="C174" s="16" t="s">
        <v>416</v>
      </c>
      <c r="D174" s="36">
        <v>134</v>
      </c>
      <c r="E174" s="34">
        <v>42</v>
      </c>
      <c r="F174" s="34">
        <v>292</v>
      </c>
      <c r="G174" s="17">
        <f t="shared" si="11"/>
        <v>0.60273972602739723</v>
      </c>
    </row>
    <row r="175" spans="1:7" x14ac:dyDescent="0.3">
      <c r="A175" s="14">
        <v>7</v>
      </c>
      <c r="B175" s="15">
        <v>182</v>
      </c>
      <c r="C175" s="39" t="s">
        <v>461</v>
      </c>
      <c r="D175" s="36">
        <v>113</v>
      </c>
      <c r="E175" s="34">
        <v>24</v>
      </c>
      <c r="F175" s="34">
        <v>236</v>
      </c>
      <c r="G175" s="17">
        <f t="shared" si="11"/>
        <v>0.58050847457627119</v>
      </c>
    </row>
    <row r="176" spans="1:7" x14ac:dyDescent="0.3">
      <c r="A176" s="14">
        <v>7</v>
      </c>
      <c r="B176" s="15">
        <v>164</v>
      </c>
      <c r="C176" s="16" t="s">
        <v>448</v>
      </c>
      <c r="D176" s="36">
        <v>137</v>
      </c>
      <c r="E176" s="34">
        <v>49</v>
      </c>
      <c r="F176" s="34">
        <v>321</v>
      </c>
      <c r="G176" s="17">
        <f t="shared" si="11"/>
        <v>0.57943925233644855</v>
      </c>
    </row>
    <row r="177" spans="1:7" x14ac:dyDescent="0.3">
      <c r="A177" s="14">
        <v>7</v>
      </c>
      <c r="B177" s="15">
        <v>137</v>
      </c>
      <c r="C177" s="16" t="s">
        <v>421</v>
      </c>
      <c r="D177" s="36">
        <v>238</v>
      </c>
      <c r="E177" s="34">
        <v>105</v>
      </c>
      <c r="F177" s="34">
        <v>593</v>
      </c>
      <c r="G177" s="17">
        <f t="shared" si="11"/>
        <v>0.57841483979763908</v>
      </c>
    </row>
    <row r="178" spans="1:7" x14ac:dyDescent="0.3">
      <c r="A178" s="14">
        <v>7</v>
      </c>
      <c r="B178" s="15">
        <v>192</v>
      </c>
      <c r="C178" s="39" t="s">
        <v>457</v>
      </c>
      <c r="D178" s="36">
        <v>166</v>
      </c>
      <c r="E178" s="34">
        <v>37</v>
      </c>
      <c r="F178" s="34">
        <v>358</v>
      </c>
      <c r="G178" s="17">
        <f t="shared" si="11"/>
        <v>0.56703910614525144</v>
      </c>
    </row>
    <row r="179" spans="1:7" ht="24" customHeight="1" x14ac:dyDescent="0.3">
      <c r="A179" s="14">
        <v>7</v>
      </c>
      <c r="B179" s="15">
        <v>106</v>
      </c>
      <c r="C179" s="39" t="s">
        <v>391</v>
      </c>
      <c r="D179" s="36">
        <v>273</v>
      </c>
      <c r="E179" s="34">
        <v>92</v>
      </c>
      <c r="F179" s="34">
        <v>661</v>
      </c>
      <c r="G179" s="17">
        <f t="shared" si="11"/>
        <v>0.5521936459909228</v>
      </c>
    </row>
    <row r="180" spans="1:7" x14ac:dyDescent="0.3">
      <c r="A180" s="14">
        <v>7</v>
      </c>
      <c r="B180" s="15">
        <v>143</v>
      </c>
      <c r="C180" s="39" t="s">
        <v>372</v>
      </c>
      <c r="D180" s="36">
        <v>283</v>
      </c>
      <c r="E180" s="34">
        <v>82</v>
      </c>
      <c r="F180" s="34">
        <v>680</v>
      </c>
      <c r="G180" s="17">
        <f t="shared" si="11"/>
        <v>0.53676470588235292</v>
      </c>
    </row>
    <row r="181" spans="1:7" x14ac:dyDescent="0.3">
      <c r="A181" s="14">
        <v>7</v>
      </c>
      <c r="B181" s="15">
        <v>145</v>
      </c>
      <c r="C181" s="16" t="s">
        <v>431</v>
      </c>
      <c r="D181" s="36">
        <v>114</v>
      </c>
      <c r="E181" s="34">
        <v>36</v>
      </c>
      <c r="F181" s="34">
        <v>325</v>
      </c>
      <c r="G181" s="17">
        <f t="shared" si="11"/>
        <v>0.46153846153846156</v>
      </c>
    </row>
    <row r="182" spans="1:7" x14ac:dyDescent="0.3">
      <c r="A182" s="14">
        <v>7</v>
      </c>
      <c r="B182" s="15">
        <v>104</v>
      </c>
      <c r="C182" s="16" t="s">
        <v>390</v>
      </c>
      <c r="D182" s="36">
        <v>191</v>
      </c>
      <c r="E182" s="34">
        <v>60</v>
      </c>
      <c r="F182" s="34">
        <v>559</v>
      </c>
      <c r="G182" s="17">
        <f t="shared" si="11"/>
        <v>0.44901610017889088</v>
      </c>
    </row>
    <row r="183" spans="1:7" x14ac:dyDescent="0.3">
      <c r="A183" s="14">
        <v>7</v>
      </c>
      <c r="B183" s="15">
        <v>130</v>
      </c>
      <c r="C183" s="16" t="s">
        <v>425</v>
      </c>
      <c r="D183" s="36">
        <v>173</v>
      </c>
      <c r="E183" s="34">
        <v>72</v>
      </c>
      <c r="F183" s="34">
        <v>552</v>
      </c>
      <c r="G183" s="17">
        <f t="shared" si="11"/>
        <v>0.4438405797101449</v>
      </c>
    </row>
    <row r="184" spans="1:7" x14ac:dyDescent="0.3">
      <c r="A184" s="14">
        <v>7</v>
      </c>
      <c r="B184" s="15">
        <v>144</v>
      </c>
      <c r="C184" s="16" t="s">
        <v>428</v>
      </c>
      <c r="D184" s="36">
        <v>163</v>
      </c>
      <c r="E184" s="34">
        <v>79</v>
      </c>
      <c r="F184" s="34">
        <v>579</v>
      </c>
      <c r="G184" s="17">
        <f t="shared" si="11"/>
        <v>0.41796200345423146</v>
      </c>
    </row>
    <row r="185" spans="1:7" x14ac:dyDescent="0.3">
      <c r="A185" s="14">
        <v>7</v>
      </c>
      <c r="B185" s="15">
        <v>135</v>
      </c>
      <c r="C185" s="16" t="s">
        <v>419</v>
      </c>
      <c r="D185" s="36">
        <v>69</v>
      </c>
      <c r="E185" s="34">
        <v>103</v>
      </c>
      <c r="F185" s="34">
        <v>428</v>
      </c>
      <c r="G185" s="17">
        <f t="shared" si="11"/>
        <v>0.40186915887850466</v>
      </c>
    </row>
    <row r="186" spans="1:7" x14ac:dyDescent="0.3">
      <c r="A186" s="14">
        <v>7</v>
      </c>
      <c r="B186" s="15">
        <v>151</v>
      </c>
      <c r="C186" s="16" t="s">
        <v>405</v>
      </c>
      <c r="D186" s="36">
        <v>175</v>
      </c>
      <c r="E186" s="34">
        <v>52</v>
      </c>
      <c r="F186" s="34">
        <v>606</v>
      </c>
      <c r="G186" s="17">
        <f t="shared" si="11"/>
        <v>0.37458745874587457</v>
      </c>
    </row>
    <row r="187" spans="1:7" x14ac:dyDescent="0.3">
      <c r="A187" s="14">
        <v>7</v>
      </c>
      <c r="B187" s="15">
        <v>121</v>
      </c>
      <c r="C187" s="16" t="s">
        <v>440</v>
      </c>
      <c r="D187" s="36">
        <v>114</v>
      </c>
      <c r="E187" s="34">
        <v>71</v>
      </c>
      <c r="F187" s="34">
        <v>500</v>
      </c>
      <c r="G187" s="17">
        <f t="shared" si="11"/>
        <v>0.37</v>
      </c>
    </row>
    <row r="188" spans="1:7" x14ac:dyDescent="0.3">
      <c r="A188" s="14">
        <v>7</v>
      </c>
      <c r="B188" s="15">
        <v>408</v>
      </c>
      <c r="C188" s="16" t="s">
        <v>400</v>
      </c>
      <c r="D188" s="36">
        <v>247</v>
      </c>
      <c r="E188" s="34">
        <v>82</v>
      </c>
      <c r="F188" s="34">
        <v>894</v>
      </c>
      <c r="G188" s="17">
        <f t="shared" si="11"/>
        <v>0.3680089485458613</v>
      </c>
    </row>
    <row r="189" spans="1:7" x14ac:dyDescent="0.3">
      <c r="A189" s="14">
        <v>7</v>
      </c>
      <c r="B189" s="15">
        <v>120</v>
      </c>
      <c r="C189" s="16" t="s">
        <v>402</v>
      </c>
      <c r="D189" s="36">
        <v>108</v>
      </c>
      <c r="E189" s="34">
        <v>68</v>
      </c>
      <c r="F189" s="34">
        <v>517</v>
      </c>
      <c r="G189" s="17">
        <f t="shared" si="11"/>
        <v>0.34042553191489361</v>
      </c>
    </row>
    <row r="190" spans="1:7" x14ac:dyDescent="0.3">
      <c r="A190" s="14">
        <v>7</v>
      </c>
      <c r="B190" s="15">
        <v>414</v>
      </c>
      <c r="C190" s="16" t="s">
        <v>437</v>
      </c>
      <c r="D190" s="36">
        <v>246</v>
      </c>
      <c r="E190" s="34">
        <v>92</v>
      </c>
      <c r="F190" s="34">
        <v>999</v>
      </c>
      <c r="G190" s="17">
        <f t="shared" si="11"/>
        <v>0.33833833833833832</v>
      </c>
    </row>
    <row r="191" spans="1:7" x14ac:dyDescent="0.3">
      <c r="A191" s="14">
        <v>7</v>
      </c>
      <c r="B191" s="15">
        <v>418</v>
      </c>
      <c r="C191" s="16" t="s">
        <v>449</v>
      </c>
      <c r="D191" s="36">
        <v>217</v>
      </c>
      <c r="E191" s="34">
        <v>97</v>
      </c>
      <c r="F191" s="34">
        <v>935</v>
      </c>
      <c r="G191" s="17">
        <f t="shared" si="11"/>
        <v>0.33582887700534758</v>
      </c>
    </row>
    <row r="192" spans="1:7" x14ac:dyDescent="0.3">
      <c r="A192" s="14">
        <v>7</v>
      </c>
      <c r="B192" s="15">
        <v>136</v>
      </c>
      <c r="C192" s="16" t="s">
        <v>411</v>
      </c>
      <c r="D192" s="36">
        <v>156</v>
      </c>
      <c r="E192" s="34">
        <v>80</v>
      </c>
      <c r="F192" s="34">
        <v>711</v>
      </c>
      <c r="G192" s="17">
        <f t="shared" si="11"/>
        <v>0.33192686357243317</v>
      </c>
    </row>
    <row r="193" spans="1:7" x14ac:dyDescent="0.3">
      <c r="A193" s="14">
        <v>7</v>
      </c>
      <c r="B193" s="15">
        <v>152</v>
      </c>
      <c r="C193" s="16" t="s">
        <v>464</v>
      </c>
      <c r="D193" s="36">
        <v>175</v>
      </c>
      <c r="E193" s="34">
        <v>48</v>
      </c>
      <c r="F193" s="34">
        <v>672</v>
      </c>
      <c r="G193" s="17">
        <f t="shared" si="11"/>
        <v>0.33184523809523808</v>
      </c>
    </row>
    <row r="194" spans="1:7" x14ac:dyDescent="0.3">
      <c r="A194" s="14">
        <v>7</v>
      </c>
      <c r="B194" s="15">
        <v>112</v>
      </c>
      <c r="C194" s="16" t="s">
        <v>393</v>
      </c>
      <c r="D194" s="36">
        <v>89</v>
      </c>
      <c r="E194" s="34">
        <v>37</v>
      </c>
      <c r="F194" s="34">
        <v>390</v>
      </c>
      <c r="G194" s="17">
        <f t="shared" si="11"/>
        <v>0.32307692307692309</v>
      </c>
    </row>
    <row r="195" spans="1:7" x14ac:dyDescent="0.3">
      <c r="A195" s="14">
        <v>7</v>
      </c>
      <c r="B195" s="15">
        <v>122</v>
      </c>
      <c r="C195" s="16" t="s">
        <v>404</v>
      </c>
      <c r="D195" s="36">
        <v>125</v>
      </c>
      <c r="E195" s="34">
        <v>85</v>
      </c>
      <c r="F195" s="34">
        <v>665</v>
      </c>
      <c r="G195" s="17">
        <f t="shared" si="11"/>
        <v>0.31578947368421051</v>
      </c>
    </row>
    <row r="196" spans="1:7" x14ac:dyDescent="0.3">
      <c r="A196" s="14">
        <v>7</v>
      </c>
      <c r="B196" s="15">
        <v>138</v>
      </c>
      <c r="C196" s="16" t="s">
        <v>422</v>
      </c>
      <c r="D196" s="36">
        <v>61</v>
      </c>
      <c r="E196" s="34">
        <v>34</v>
      </c>
      <c r="F196" s="34">
        <v>315</v>
      </c>
      <c r="G196" s="17">
        <f t="shared" si="11"/>
        <v>0.30158730158730157</v>
      </c>
    </row>
    <row r="197" spans="1:7" x14ac:dyDescent="0.3">
      <c r="A197" s="14">
        <v>7</v>
      </c>
      <c r="B197" s="15">
        <v>155</v>
      </c>
      <c r="C197" s="16" t="s">
        <v>427</v>
      </c>
      <c r="D197" s="36">
        <v>149</v>
      </c>
      <c r="E197" s="34">
        <v>63</v>
      </c>
      <c r="F197" s="34">
        <v>727</v>
      </c>
      <c r="G197" s="17">
        <f t="shared" si="11"/>
        <v>0.29160935350756534</v>
      </c>
    </row>
    <row r="198" spans="1:7" x14ac:dyDescent="0.3">
      <c r="A198" s="14">
        <v>7</v>
      </c>
      <c r="B198" s="15">
        <v>186</v>
      </c>
      <c r="C198" s="16" t="s">
        <v>459</v>
      </c>
      <c r="D198" s="36">
        <v>148</v>
      </c>
      <c r="E198" s="34">
        <v>94</v>
      </c>
      <c r="F198" s="34">
        <v>840</v>
      </c>
      <c r="G198" s="17">
        <f t="shared" si="11"/>
        <v>0.28809523809523807</v>
      </c>
    </row>
    <row r="199" spans="1:7" x14ac:dyDescent="0.3">
      <c r="A199" s="14">
        <v>7</v>
      </c>
      <c r="B199" s="15">
        <v>113</v>
      </c>
      <c r="C199" s="16" t="s">
        <v>397</v>
      </c>
      <c r="D199" s="36">
        <v>144</v>
      </c>
      <c r="E199" s="34">
        <v>103</v>
      </c>
      <c r="F199" s="34">
        <v>863</v>
      </c>
      <c r="G199" s="17">
        <f t="shared" si="11"/>
        <v>0.28621089223638468</v>
      </c>
    </row>
    <row r="200" spans="1:7" x14ac:dyDescent="0.3">
      <c r="A200" s="40">
        <v>7</v>
      </c>
      <c r="B200" s="15">
        <v>798</v>
      </c>
      <c r="C200" s="16" t="s">
        <v>211</v>
      </c>
      <c r="D200" s="36">
        <v>167</v>
      </c>
      <c r="E200" s="34">
        <v>92</v>
      </c>
      <c r="F200" s="34">
        <v>905</v>
      </c>
      <c r="G200" s="17">
        <f t="shared" ref="G200:G231" si="12">+(D200+E200)/F200</f>
        <v>0.28618784530386743</v>
      </c>
    </row>
    <row r="201" spans="1:7" x14ac:dyDescent="0.3">
      <c r="A201" s="14">
        <v>7</v>
      </c>
      <c r="B201" s="15">
        <v>166</v>
      </c>
      <c r="C201" s="16" t="s">
        <v>415</v>
      </c>
      <c r="D201" s="36">
        <v>135</v>
      </c>
      <c r="E201" s="34">
        <v>60</v>
      </c>
      <c r="F201" s="34">
        <v>708</v>
      </c>
      <c r="G201" s="17">
        <f t="shared" si="12"/>
        <v>0.27542372881355931</v>
      </c>
    </row>
    <row r="202" spans="1:7" x14ac:dyDescent="0.3">
      <c r="A202" s="14">
        <v>7</v>
      </c>
      <c r="B202" s="15">
        <v>108</v>
      </c>
      <c r="C202" s="16" t="s">
        <v>392</v>
      </c>
      <c r="D202" s="36">
        <v>80</v>
      </c>
      <c r="E202" s="34">
        <v>37</v>
      </c>
      <c r="F202" s="34">
        <v>431</v>
      </c>
      <c r="G202" s="17">
        <f t="shared" si="12"/>
        <v>0.27146171693735499</v>
      </c>
    </row>
    <row r="203" spans="1:7" x14ac:dyDescent="0.3">
      <c r="A203" s="14">
        <v>7</v>
      </c>
      <c r="B203" s="15">
        <v>706</v>
      </c>
      <c r="C203" s="16" t="s">
        <v>401</v>
      </c>
      <c r="D203" s="36">
        <v>280</v>
      </c>
      <c r="E203" s="34">
        <v>157</v>
      </c>
      <c r="F203" s="34">
        <v>1611</v>
      </c>
      <c r="G203" s="17">
        <f t="shared" si="12"/>
        <v>0.27126008690254499</v>
      </c>
    </row>
    <row r="204" spans="1:7" x14ac:dyDescent="0.3">
      <c r="A204" s="14">
        <v>7</v>
      </c>
      <c r="B204" s="15">
        <v>422</v>
      </c>
      <c r="C204" s="16" t="s">
        <v>454</v>
      </c>
      <c r="D204" s="36">
        <v>216</v>
      </c>
      <c r="E204" s="34">
        <v>108</v>
      </c>
      <c r="F204" s="34">
        <v>1199</v>
      </c>
      <c r="G204" s="17">
        <f t="shared" si="12"/>
        <v>0.27022518765638032</v>
      </c>
    </row>
    <row r="205" spans="1:7" x14ac:dyDescent="0.3">
      <c r="A205" s="14">
        <v>7</v>
      </c>
      <c r="B205" s="15">
        <v>172</v>
      </c>
      <c r="C205" s="16" t="s">
        <v>463</v>
      </c>
      <c r="D205" s="36">
        <v>60</v>
      </c>
      <c r="E205" s="34">
        <v>23</v>
      </c>
      <c r="F205" s="34">
        <v>308</v>
      </c>
      <c r="G205" s="17">
        <f t="shared" si="12"/>
        <v>0.26948051948051949</v>
      </c>
    </row>
    <row r="206" spans="1:7" x14ac:dyDescent="0.3">
      <c r="A206" s="14">
        <v>7</v>
      </c>
      <c r="B206" s="15">
        <v>102</v>
      </c>
      <c r="C206" s="16" t="s">
        <v>389</v>
      </c>
      <c r="D206" s="36">
        <v>94</v>
      </c>
      <c r="E206" s="34">
        <v>42</v>
      </c>
      <c r="F206" s="34">
        <v>505</v>
      </c>
      <c r="G206" s="17">
        <f t="shared" si="12"/>
        <v>0.26930693069306932</v>
      </c>
    </row>
    <row r="207" spans="1:7" x14ac:dyDescent="0.3">
      <c r="A207" s="14">
        <v>7</v>
      </c>
      <c r="B207" s="15">
        <v>416</v>
      </c>
      <c r="C207" s="16" t="s">
        <v>445</v>
      </c>
      <c r="D207" s="36">
        <v>215</v>
      </c>
      <c r="E207" s="34">
        <v>59</v>
      </c>
      <c r="F207" s="34">
        <v>1036</v>
      </c>
      <c r="G207" s="17">
        <f t="shared" si="12"/>
        <v>0.26447876447876451</v>
      </c>
    </row>
    <row r="208" spans="1:7" x14ac:dyDescent="0.3">
      <c r="A208" s="14">
        <v>7</v>
      </c>
      <c r="B208" s="15">
        <v>154</v>
      </c>
      <c r="C208" s="16" t="s">
        <v>433</v>
      </c>
      <c r="D208" s="36">
        <v>124</v>
      </c>
      <c r="E208" s="34">
        <v>49</v>
      </c>
      <c r="F208" s="34">
        <v>656</v>
      </c>
      <c r="G208" s="41">
        <f t="shared" si="12"/>
        <v>0.26371951219512196</v>
      </c>
    </row>
    <row r="209" spans="1:7" x14ac:dyDescent="0.3">
      <c r="A209" s="8">
        <v>7</v>
      </c>
      <c r="B209" s="9">
        <v>184</v>
      </c>
      <c r="C209" s="42" t="s">
        <v>460</v>
      </c>
      <c r="D209" s="11">
        <v>75</v>
      </c>
      <c r="E209" s="12">
        <v>47</v>
      </c>
      <c r="F209" s="34">
        <v>489</v>
      </c>
      <c r="G209" s="13">
        <f t="shared" si="12"/>
        <v>0.24948875255623723</v>
      </c>
    </row>
    <row r="210" spans="1:7" x14ac:dyDescent="0.3">
      <c r="A210" s="14">
        <v>7</v>
      </c>
      <c r="B210" s="15">
        <v>147</v>
      </c>
      <c r="C210" s="16" t="s">
        <v>297</v>
      </c>
      <c r="D210" s="36">
        <v>115</v>
      </c>
      <c r="E210" s="34">
        <v>29</v>
      </c>
      <c r="F210" s="34">
        <v>584</v>
      </c>
      <c r="G210" s="17">
        <f t="shared" si="12"/>
        <v>0.24657534246575341</v>
      </c>
    </row>
    <row r="211" spans="1:7" x14ac:dyDescent="0.3">
      <c r="A211" s="14">
        <v>7</v>
      </c>
      <c r="B211" s="15">
        <v>402</v>
      </c>
      <c r="C211" s="39" t="s">
        <v>412</v>
      </c>
      <c r="D211" s="36">
        <v>195</v>
      </c>
      <c r="E211" s="34">
        <v>61</v>
      </c>
      <c r="F211" s="34">
        <v>1067</v>
      </c>
      <c r="G211" s="17">
        <f t="shared" si="12"/>
        <v>0.23992502343017807</v>
      </c>
    </row>
    <row r="212" spans="1:7" x14ac:dyDescent="0.3">
      <c r="A212" s="14">
        <v>7</v>
      </c>
      <c r="B212" s="15">
        <v>735</v>
      </c>
      <c r="C212" s="16" t="s">
        <v>194</v>
      </c>
      <c r="D212" s="36">
        <v>18</v>
      </c>
      <c r="E212" s="34">
        <v>4</v>
      </c>
      <c r="F212" s="34">
        <v>93</v>
      </c>
      <c r="G212" s="17">
        <f t="shared" si="12"/>
        <v>0.23655913978494625</v>
      </c>
    </row>
    <row r="213" spans="1:7" x14ac:dyDescent="0.3">
      <c r="A213" s="14">
        <v>7</v>
      </c>
      <c r="B213" s="15">
        <v>188</v>
      </c>
      <c r="C213" s="16" t="s">
        <v>458</v>
      </c>
      <c r="D213" s="36">
        <v>91</v>
      </c>
      <c r="E213" s="34">
        <v>78</v>
      </c>
      <c r="F213" s="34">
        <v>718</v>
      </c>
      <c r="G213" s="17">
        <f t="shared" si="12"/>
        <v>0.23537604456824512</v>
      </c>
    </row>
    <row r="214" spans="1:7" x14ac:dyDescent="0.3">
      <c r="A214" s="14">
        <v>7</v>
      </c>
      <c r="B214" s="15">
        <v>404</v>
      </c>
      <c r="C214" s="16" t="s">
        <v>396</v>
      </c>
      <c r="D214" s="36">
        <v>94</v>
      </c>
      <c r="E214" s="34">
        <v>44</v>
      </c>
      <c r="F214" s="34">
        <v>588</v>
      </c>
      <c r="G214" s="17">
        <f t="shared" si="12"/>
        <v>0.23469387755102042</v>
      </c>
    </row>
    <row r="215" spans="1:7" x14ac:dyDescent="0.3">
      <c r="A215" s="14">
        <v>7</v>
      </c>
      <c r="B215" s="15">
        <v>132</v>
      </c>
      <c r="C215" s="16" t="s">
        <v>413</v>
      </c>
      <c r="D215" s="36">
        <v>55</v>
      </c>
      <c r="E215" s="34">
        <v>47</v>
      </c>
      <c r="F215" s="34">
        <v>437</v>
      </c>
      <c r="G215" s="17">
        <f t="shared" si="12"/>
        <v>0.23340961098398169</v>
      </c>
    </row>
    <row r="216" spans="1:7" x14ac:dyDescent="0.3">
      <c r="A216" s="14">
        <v>7</v>
      </c>
      <c r="B216" s="15">
        <v>420</v>
      </c>
      <c r="C216" s="16" t="s">
        <v>455</v>
      </c>
      <c r="D216" s="36">
        <v>154</v>
      </c>
      <c r="E216" s="34">
        <v>93</v>
      </c>
      <c r="F216" s="34">
        <v>1061</v>
      </c>
      <c r="G216" s="17">
        <f t="shared" si="12"/>
        <v>0.23279924599434496</v>
      </c>
    </row>
    <row r="217" spans="1:7" x14ac:dyDescent="0.3">
      <c r="A217" s="14">
        <v>7</v>
      </c>
      <c r="B217" s="15">
        <v>116</v>
      </c>
      <c r="C217" s="16" t="s">
        <v>398</v>
      </c>
      <c r="D217" s="36">
        <v>55</v>
      </c>
      <c r="E217" s="34">
        <v>32</v>
      </c>
      <c r="F217" s="34">
        <v>397</v>
      </c>
      <c r="G217" s="17">
        <f t="shared" si="12"/>
        <v>0.21914357682619648</v>
      </c>
    </row>
    <row r="218" spans="1:7" x14ac:dyDescent="0.3">
      <c r="A218" s="14">
        <v>7</v>
      </c>
      <c r="B218" s="15">
        <v>411</v>
      </c>
      <c r="C218" s="16" t="s">
        <v>432</v>
      </c>
      <c r="D218" s="36">
        <v>125</v>
      </c>
      <c r="E218" s="34">
        <v>39</v>
      </c>
      <c r="F218" s="34">
        <v>765</v>
      </c>
      <c r="G218" s="17">
        <f t="shared" si="12"/>
        <v>0.21437908496732025</v>
      </c>
    </row>
    <row r="219" spans="1:7" x14ac:dyDescent="0.3">
      <c r="A219" s="14">
        <v>7</v>
      </c>
      <c r="B219" s="15">
        <v>413</v>
      </c>
      <c r="C219" s="16" t="s">
        <v>434</v>
      </c>
      <c r="D219" s="36">
        <v>94</v>
      </c>
      <c r="E219" s="34">
        <v>42</v>
      </c>
      <c r="F219" s="34">
        <v>640</v>
      </c>
      <c r="G219" s="17">
        <f t="shared" si="12"/>
        <v>0.21249999999999999</v>
      </c>
    </row>
    <row r="220" spans="1:7" ht="24" customHeight="1" x14ac:dyDescent="0.3">
      <c r="A220" s="14">
        <v>7</v>
      </c>
      <c r="B220" s="15">
        <v>711</v>
      </c>
      <c r="C220" s="16" t="s">
        <v>438</v>
      </c>
      <c r="D220" s="36">
        <v>244</v>
      </c>
      <c r="E220" s="34">
        <v>109</v>
      </c>
      <c r="F220" s="34">
        <v>1785</v>
      </c>
      <c r="G220" s="17">
        <f t="shared" si="12"/>
        <v>0.19775910364145657</v>
      </c>
    </row>
    <row r="221" spans="1:7" x14ac:dyDescent="0.3">
      <c r="A221" s="14">
        <v>7</v>
      </c>
      <c r="B221" s="15">
        <v>168</v>
      </c>
      <c r="C221" s="16" t="s">
        <v>450</v>
      </c>
      <c r="D221" s="36">
        <v>109</v>
      </c>
      <c r="E221" s="34">
        <v>53</v>
      </c>
      <c r="F221" s="34">
        <v>824</v>
      </c>
      <c r="G221" s="41">
        <f t="shared" si="12"/>
        <v>0.19660194174757281</v>
      </c>
    </row>
    <row r="222" spans="1:7" x14ac:dyDescent="0.3">
      <c r="A222" s="14">
        <v>7</v>
      </c>
      <c r="B222" s="15">
        <v>134</v>
      </c>
      <c r="C222" s="16" t="s">
        <v>420</v>
      </c>
      <c r="D222" s="36">
        <v>58</v>
      </c>
      <c r="E222" s="34">
        <v>17</v>
      </c>
      <c r="F222" s="34">
        <v>383</v>
      </c>
      <c r="G222" s="41">
        <f t="shared" si="12"/>
        <v>0.195822454308094</v>
      </c>
    </row>
    <row r="223" spans="1:7" x14ac:dyDescent="0.3">
      <c r="A223" s="14">
        <v>7</v>
      </c>
      <c r="B223" s="15">
        <v>710</v>
      </c>
      <c r="C223" s="16" t="s">
        <v>429</v>
      </c>
      <c r="D223" s="36">
        <v>220</v>
      </c>
      <c r="E223" s="34">
        <v>110</v>
      </c>
      <c r="F223" s="34">
        <v>1703</v>
      </c>
      <c r="G223" s="41">
        <f t="shared" si="12"/>
        <v>0.19377568995889607</v>
      </c>
    </row>
    <row r="224" spans="1:7" x14ac:dyDescent="0.3">
      <c r="A224" s="14">
        <v>7</v>
      </c>
      <c r="B224" s="15">
        <v>424</v>
      </c>
      <c r="C224" s="16" t="s">
        <v>430</v>
      </c>
      <c r="D224" s="36">
        <v>128</v>
      </c>
      <c r="E224" s="34">
        <v>80</v>
      </c>
      <c r="F224" s="34">
        <v>1084</v>
      </c>
      <c r="G224" s="41">
        <f t="shared" si="12"/>
        <v>0.1918819188191882</v>
      </c>
    </row>
    <row r="225" spans="1:7" x14ac:dyDescent="0.3">
      <c r="A225" s="14">
        <v>7</v>
      </c>
      <c r="B225" s="15">
        <v>131</v>
      </c>
      <c r="C225" s="16" t="s">
        <v>403</v>
      </c>
      <c r="D225" s="36">
        <v>71</v>
      </c>
      <c r="E225" s="34">
        <v>25</v>
      </c>
      <c r="F225" s="34">
        <v>518</v>
      </c>
      <c r="G225" s="41">
        <f t="shared" si="12"/>
        <v>0.18532818532818532</v>
      </c>
    </row>
    <row r="226" spans="1:7" x14ac:dyDescent="0.3">
      <c r="A226" s="14">
        <v>7</v>
      </c>
      <c r="B226" s="15">
        <v>410</v>
      </c>
      <c r="C226" s="16" t="s">
        <v>424</v>
      </c>
      <c r="D226" s="36">
        <v>119</v>
      </c>
      <c r="E226" s="34">
        <v>56</v>
      </c>
      <c r="F226" s="34">
        <v>965</v>
      </c>
      <c r="G226" s="41">
        <f t="shared" si="12"/>
        <v>0.18134715025906736</v>
      </c>
    </row>
    <row r="227" spans="1:7" x14ac:dyDescent="0.3">
      <c r="A227" s="14">
        <v>7</v>
      </c>
      <c r="B227" s="15">
        <v>140</v>
      </c>
      <c r="C227" s="16" t="s">
        <v>423</v>
      </c>
      <c r="D227" s="36">
        <v>62</v>
      </c>
      <c r="E227" s="34">
        <v>36</v>
      </c>
      <c r="F227" s="34">
        <v>551</v>
      </c>
      <c r="G227" s="41">
        <f t="shared" si="12"/>
        <v>0.17785843920145192</v>
      </c>
    </row>
    <row r="228" spans="1:7" x14ac:dyDescent="0.3">
      <c r="A228" s="14">
        <v>7</v>
      </c>
      <c r="B228" s="15">
        <v>160</v>
      </c>
      <c r="C228" s="16" t="s">
        <v>442</v>
      </c>
      <c r="D228" s="36">
        <v>96</v>
      </c>
      <c r="E228" s="34">
        <v>53</v>
      </c>
      <c r="F228" s="34">
        <v>858</v>
      </c>
      <c r="G228" s="41">
        <f t="shared" si="12"/>
        <v>0.17365967365967366</v>
      </c>
    </row>
    <row r="229" spans="1:7" x14ac:dyDescent="0.3">
      <c r="A229" s="14">
        <v>7</v>
      </c>
      <c r="B229" s="15">
        <v>194</v>
      </c>
      <c r="C229" s="16" t="s">
        <v>312</v>
      </c>
      <c r="D229" s="36">
        <v>50</v>
      </c>
      <c r="E229" s="34">
        <v>20</v>
      </c>
      <c r="F229" s="34">
        <v>406</v>
      </c>
      <c r="G229" s="41">
        <f t="shared" si="12"/>
        <v>0.17241379310344829</v>
      </c>
    </row>
    <row r="230" spans="1:7" x14ac:dyDescent="0.3">
      <c r="A230" s="14">
        <v>7</v>
      </c>
      <c r="B230" s="15">
        <v>146</v>
      </c>
      <c r="C230" s="16" t="s">
        <v>439</v>
      </c>
      <c r="D230" s="36">
        <v>46</v>
      </c>
      <c r="E230" s="34">
        <v>19</v>
      </c>
      <c r="F230" s="34">
        <v>378</v>
      </c>
      <c r="G230" s="41">
        <f t="shared" si="12"/>
        <v>0.17195767195767195</v>
      </c>
    </row>
    <row r="231" spans="1:7" x14ac:dyDescent="0.3">
      <c r="A231" s="14">
        <v>7</v>
      </c>
      <c r="B231" s="15">
        <v>159</v>
      </c>
      <c r="C231" s="16" t="s">
        <v>447</v>
      </c>
      <c r="D231" s="36">
        <v>69</v>
      </c>
      <c r="E231" s="34">
        <v>31</v>
      </c>
      <c r="F231" s="34">
        <v>584</v>
      </c>
      <c r="G231" s="41">
        <f t="shared" si="12"/>
        <v>0.17123287671232876</v>
      </c>
    </row>
    <row r="232" spans="1:7" x14ac:dyDescent="0.3">
      <c r="A232" s="14">
        <v>7</v>
      </c>
      <c r="B232" s="15">
        <v>114</v>
      </c>
      <c r="C232" s="16" t="s">
        <v>417</v>
      </c>
      <c r="D232" s="36">
        <v>70</v>
      </c>
      <c r="E232" s="34">
        <v>32</v>
      </c>
      <c r="F232" s="34">
        <v>623</v>
      </c>
      <c r="G232" s="41">
        <f t="shared" ref="G232:G255" si="13">+(D232+E232)/F232</f>
        <v>0.1637239165329053</v>
      </c>
    </row>
    <row r="233" spans="1:7" x14ac:dyDescent="0.3">
      <c r="A233" s="14">
        <v>7</v>
      </c>
      <c r="B233" s="15">
        <v>716</v>
      </c>
      <c r="C233" s="16" t="s">
        <v>451</v>
      </c>
      <c r="D233" s="36">
        <v>177</v>
      </c>
      <c r="E233" s="34">
        <v>137</v>
      </c>
      <c r="F233" s="34">
        <v>1960</v>
      </c>
      <c r="G233" s="41">
        <f t="shared" si="13"/>
        <v>0.16020408163265307</v>
      </c>
    </row>
    <row r="234" spans="1:7" x14ac:dyDescent="0.3">
      <c r="A234" s="14">
        <v>7</v>
      </c>
      <c r="B234" s="15">
        <v>129</v>
      </c>
      <c r="C234" s="16" t="s">
        <v>410</v>
      </c>
      <c r="D234" s="36">
        <v>50</v>
      </c>
      <c r="E234" s="34">
        <v>32</v>
      </c>
      <c r="F234" s="34">
        <v>514</v>
      </c>
      <c r="G234" s="41">
        <f t="shared" si="13"/>
        <v>0.15953307392996108</v>
      </c>
    </row>
    <row r="235" spans="1:7" x14ac:dyDescent="0.3">
      <c r="A235" s="14">
        <v>7</v>
      </c>
      <c r="B235" s="15">
        <v>158</v>
      </c>
      <c r="C235" s="16" t="s">
        <v>446</v>
      </c>
      <c r="D235" s="36">
        <v>65</v>
      </c>
      <c r="E235" s="34">
        <v>44</v>
      </c>
      <c r="F235" s="34">
        <v>714</v>
      </c>
      <c r="G235" s="41">
        <f t="shared" si="13"/>
        <v>0.15266106442577032</v>
      </c>
    </row>
    <row r="236" spans="1:7" x14ac:dyDescent="0.3">
      <c r="A236" s="14">
        <v>7</v>
      </c>
      <c r="B236" s="15">
        <v>142</v>
      </c>
      <c r="C236" s="16" t="s">
        <v>435</v>
      </c>
      <c r="D236" s="36">
        <v>75</v>
      </c>
      <c r="E236" s="34">
        <v>13</v>
      </c>
      <c r="F236" s="34">
        <v>580</v>
      </c>
      <c r="G236" s="41">
        <f t="shared" si="13"/>
        <v>0.15172413793103448</v>
      </c>
    </row>
    <row r="237" spans="1:7" x14ac:dyDescent="0.3">
      <c r="A237" s="14">
        <v>7</v>
      </c>
      <c r="B237" s="15">
        <v>153</v>
      </c>
      <c r="C237" s="16" t="s">
        <v>394</v>
      </c>
      <c r="D237" s="36">
        <v>83</v>
      </c>
      <c r="E237" s="34">
        <v>55</v>
      </c>
      <c r="F237" s="34">
        <v>919</v>
      </c>
      <c r="G237" s="41">
        <f t="shared" si="13"/>
        <v>0.15016322089227421</v>
      </c>
    </row>
    <row r="238" spans="1:7" x14ac:dyDescent="0.3">
      <c r="A238" s="14">
        <v>7</v>
      </c>
      <c r="B238" s="15">
        <v>406</v>
      </c>
      <c r="C238" s="16" t="s">
        <v>399</v>
      </c>
      <c r="D238" s="36">
        <v>100</v>
      </c>
      <c r="E238" s="34">
        <v>46</v>
      </c>
      <c r="F238" s="34">
        <v>978</v>
      </c>
      <c r="G238" s="41">
        <f t="shared" si="13"/>
        <v>0.1492842535787321</v>
      </c>
    </row>
    <row r="239" spans="1:7" x14ac:dyDescent="0.3">
      <c r="A239" s="14">
        <v>7</v>
      </c>
      <c r="B239" s="15">
        <v>157</v>
      </c>
      <c r="C239" s="16" t="s">
        <v>418</v>
      </c>
      <c r="D239" s="36">
        <v>71</v>
      </c>
      <c r="E239" s="34">
        <v>39</v>
      </c>
      <c r="F239" s="34">
        <v>758</v>
      </c>
      <c r="G239" s="41">
        <f t="shared" si="13"/>
        <v>0.14511873350923482</v>
      </c>
    </row>
    <row r="240" spans="1:7" x14ac:dyDescent="0.3">
      <c r="A240" s="14">
        <v>7</v>
      </c>
      <c r="B240" s="15">
        <v>714</v>
      </c>
      <c r="C240" s="16" t="s">
        <v>453</v>
      </c>
      <c r="D240" s="36">
        <v>132</v>
      </c>
      <c r="E240" s="34">
        <v>50</v>
      </c>
      <c r="F240" s="34">
        <v>1283</v>
      </c>
      <c r="G240" s="41">
        <f t="shared" si="13"/>
        <v>0.14185502727981295</v>
      </c>
    </row>
    <row r="241" spans="1:7" x14ac:dyDescent="0.3">
      <c r="A241" s="14">
        <v>7</v>
      </c>
      <c r="B241" s="15">
        <v>799</v>
      </c>
      <c r="C241" s="16" t="s">
        <v>216</v>
      </c>
      <c r="D241" s="36">
        <v>28</v>
      </c>
      <c r="E241" s="34">
        <v>32</v>
      </c>
      <c r="F241" s="34">
        <v>448</v>
      </c>
      <c r="G241" s="41">
        <f t="shared" si="13"/>
        <v>0.13392857142857142</v>
      </c>
    </row>
    <row r="242" spans="1:7" x14ac:dyDescent="0.3">
      <c r="A242" s="14">
        <v>7</v>
      </c>
      <c r="B242" s="15">
        <v>733</v>
      </c>
      <c r="C242" s="16" t="s">
        <v>42</v>
      </c>
      <c r="D242" s="36">
        <v>5</v>
      </c>
      <c r="E242" s="34">
        <v>0</v>
      </c>
      <c r="F242" s="34">
        <v>38</v>
      </c>
      <c r="G242" s="41">
        <f t="shared" si="13"/>
        <v>0.13157894736842105</v>
      </c>
    </row>
    <row r="243" spans="1:7" x14ac:dyDescent="0.3">
      <c r="A243" s="14">
        <v>7</v>
      </c>
      <c r="B243" s="15">
        <v>141</v>
      </c>
      <c r="C243" s="16" t="s">
        <v>109</v>
      </c>
      <c r="D243" s="36">
        <v>51</v>
      </c>
      <c r="E243" s="34">
        <v>30</v>
      </c>
      <c r="F243" s="34">
        <v>629</v>
      </c>
      <c r="G243" s="41">
        <f t="shared" si="13"/>
        <v>0.12877583465818759</v>
      </c>
    </row>
    <row r="244" spans="1:7" x14ac:dyDescent="0.3">
      <c r="A244" s="14">
        <v>7</v>
      </c>
      <c r="B244" s="15">
        <v>409</v>
      </c>
      <c r="C244" s="16" t="s">
        <v>414</v>
      </c>
      <c r="D244" s="36">
        <v>69</v>
      </c>
      <c r="E244" s="34">
        <v>37</v>
      </c>
      <c r="F244" s="34">
        <v>837</v>
      </c>
      <c r="G244" s="41">
        <f t="shared" si="13"/>
        <v>0.12664277180406214</v>
      </c>
    </row>
    <row r="245" spans="1:7" x14ac:dyDescent="0.3">
      <c r="A245" s="14">
        <v>7</v>
      </c>
      <c r="B245" s="15">
        <v>704</v>
      </c>
      <c r="C245" s="16" t="s">
        <v>395</v>
      </c>
      <c r="D245" s="36">
        <v>116</v>
      </c>
      <c r="E245" s="34">
        <v>60</v>
      </c>
      <c r="F245" s="34">
        <v>1439</v>
      </c>
      <c r="G245" s="41">
        <f t="shared" si="13"/>
        <v>0.12230715774843641</v>
      </c>
    </row>
    <row r="246" spans="1:7" x14ac:dyDescent="0.3">
      <c r="A246" s="14">
        <v>7</v>
      </c>
      <c r="B246" s="15">
        <v>730</v>
      </c>
      <c r="C246" s="16" t="s">
        <v>41</v>
      </c>
      <c r="D246" s="36">
        <v>21</v>
      </c>
      <c r="E246" s="34">
        <v>13</v>
      </c>
      <c r="F246" s="34">
        <v>281</v>
      </c>
      <c r="G246" s="41">
        <f t="shared" si="13"/>
        <v>0.12099644128113879</v>
      </c>
    </row>
    <row r="247" spans="1:7" x14ac:dyDescent="0.3">
      <c r="A247" s="14">
        <v>7</v>
      </c>
      <c r="B247" s="15">
        <v>150</v>
      </c>
      <c r="C247" s="16" t="s">
        <v>441</v>
      </c>
      <c r="D247" s="36">
        <v>48</v>
      </c>
      <c r="E247" s="34">
        <v>15</v>
      </c>
      <c r="F247" s="34">
        <v>536</v>
      </c>
      <c r="G247" s="41">
        <f t="shared" si="13"/>
        <v>0.11753731343283583</v>
      </c>
    </row>
    <row r="248" spans="1:7" x14ac:dyDescent="0.3">
      <c r="A248" s="14">
        <v>7</v>
      </c>
      <c r="B248" s="15">
        <v>139</v>
      </c>
      <c r="C248" s="16" t="s">
        <v>426</v>
      </c>
      <c r="D248" s="36">
        <v>50</v>
      </c>
      <c r="E248" s="34">
        <v>18</v>
      </c>
      <c r="F248" s="34">
        <v>599</v>
      </c>
      <c r="G248" s="41">
        <f t="shared" si="13"/>
        <v>0.11352253756260434</v>
      </c>
    </row>
    <row r="249" spans="1:7" x14ac:dyDescent="0.3">
      <c r="A249" s="14">
        <v>7</v>
      </c>
      <c r="B249" s="15">
        <v>712</v>
      </c>
      <c r="C249" s="16" t="s">
        <v>452</v>
      </c>
      <c r="D249" s="36">
        <v>104</v>
      </c>
      <c r="E249" s="34">
        <v>63</v>
      </c>
      <c r="F249" s="34">
        <v>1722</v>
      </c>
      <c r="G249" s="41">
        <f t="shared" si="13"/>
        <v>9.6980255516840877E-2</v>
      </c>
    </row>
    <row r="250" spans="1:7" x14ac:dyDescent="0.3">
      <c r="A250" s="14">
        <v>7</v>
      </c>
      <c r="B250" s="15">
        <v>148</v>
      </c>
      <c r="C250" s="16" t="s">
        <v>409</v>
      </c>
      <c r="D250" s="36">
        <v>37</v>
      </c>
      <c r="E250" s="34">
        <v>35</v>
      </c>
      <c r="F250" s="34">
        <v>746</v>
      </c>
      <c r="G250" s="41">
        <f t="shared" si="13"/>
        <v>9.6514745308310987E-2</v>
      </c>
    </row>
    <row r="251" spans="1:7" x14ac:dyDescent="0.3">
      <c r="A251" s="14">
        <v>7</v>
      </c>
      <c r="B251" s="15">
        <v>708</v>
      </c>
      <c r="C251" s="16" t="s">
        <v>407</v>
      </c>
      <c r="D251" s="36">
        <v>134</v>
      </c>
      <c r="E251" s="34">
        <v>80</v>
      </c>
      <c r="F251" s="34">
        <v>2295</v>
      </c>
      <c r="G251" s="41">
        <f t="shared" si="13"/>
        <v>9.3246187363834429E-2</v>
      </c>
    </row>
    <row r="252" spans="1:7" x14ac:dyDescent="0.3">
      <c r="A252" s="14">
        <v>7</v>
      </c>
      <c r="B252" s="15">
        <v>162</v>
      </c>
      <c r="C252" s="16" t="s">
        <v>443</v>
      </c>
      <c r="D252" s="36">
        <v>39</v>
      </c>
      <c r="E252" s="34">
        <v>21</v>
      </c>
      <c r="F252" s="34">
        <v>688</v>
      </c>
      <c r="G252" s="41">
        <f t="shared" si="13"/>
        <v>8.7209302325581398E-2</v>
      </c>
    </row>
    <row r="253" spans="1:7" x14ac:dyDescent="0.3">
      <c r="A253" s="14">
        <v>7</v>
      </c>
      <c r="B253" s="15">
        <v>426</v>
      </c>
      <c r="C253" s="16" t="s">
        <v>868</v>
      </c>
      <c r="D253" s="36">
        <v>57</v>
      </c>
      <c r="E253" s="34">
        <v>28</v>
      </c>
      <c r="F253" s="34">
        <v>1017</v>
      </c>
      <c r="G253" s="41">
        <f t="shared" si="13"/>
        <v>8.3579154375614556E-2</v>
      </c>
    </row>
    <row r="254" spans="1:7" x14ac:dyDescent="0.3">
      <c r="A254" s="14">
        <v>7</v>
      </c>
      <c r="B254" s="15">
        <v>149</v>
      </c>
      <c r="C254" s="16" t="s">
        <v>465</v>
      </c>
      <c r="D254" s="36">
        <v>29</v>
      </c>
      <c r="E254" s="34">
        <v>23</v>
      </c>
      <c r="F254" s="34">
        <v>623</v>
      </c>
      <c r="G254" s="41">
        <f t="shared" si="13"/>
        <v>8.3467094703049763E-2</v>
      </c>
    </row>
    <row r="255" spans="1:7" ht="21" thickBot="1" x14ac:dyDescent="0.35">
      <c r="A255" s="14">
        <v>7</v>
      </c>
      <c r="B255" s="15">
        <v>161</v>
      </c>
      <c r="C255" s="16" t="s">
        <v>842</v>
      </c>
      <c r="D255" s="36">
        <v>25</v>
      </c>
      <c r="E255" s="34">
        <v>6</v>
      </c>
      <c r="F255" s="34">
        <v>551</v>
      </c>
      <c r="G255" s="41">
        <f t="shared" si="13"/>
        <v>5.6261343012704176E-2</v>
      </c>
    </row>
    <row r="256" spans="1:7" ht="21" thickBot="1" x14ac:dyDescent="0.35">
      <c r="A256" s="18"/>
      <c r="B256" s="19">
        <f>COUNTA(B168:B255)</f>
        <v>88</v>
      </c>
      <c r="C256" s="20" t="s">
        <v>16</v>
      </c>
      <c r="D256" s="21">
        <f>SUM(D168:D255)</f>
        <v>11026</v>
      </c>
      <c r="E256" s="35">
        <f>SUM(E168:E255)</f>
        <v>4866</v>
      </c>
      <c r="F256" s="35">
        <f>SUM(F168:F255)</f>
        <v>63024</v>
      </c>
      <c r="G256" s="22">
        <f t="shared" ref="G256" si="14">+(D256+E256)/F256</f>
        <v>0.25215790809850214</v>
      </c>
    </row>
    <row r="257" spans="1:7" x14ac:dyDescent="0.3">
      <c r="A257" s="24"/>
      <c r="B257" s="25"/>
      <c r="C257" s="26"/>
      <c r="D257" s="43"/>
      <c r="E257" s="44"/>
      <c r="F257" s="28"/>
      <c r="G257" s="29"/>
    </row>
    <row r="258" spans="1:7" x14ac:dyDescent="0.3">
      <c r="A258" s="24"/>
      <c r="B258" s="25"/>
      <c r="C258" s="30" t="s">
        <v>43</v>
      </c>
      <c r="D258" s="43"/>
      <c r="E258" s="44"/>
      <c r="F258" s="28"/>
      <c r="G258" s="29"/>
    </row>
    <row r="259" spans="1:7" x14ac:dyDescent="0.3">
      <c r="A259" s="14">
        <v>8</v>
      </c>
      <c r="B259" s="15">
        <v>804</v>
      </c>
      <c r="C259" s="16" t="s">
        <v>49</v>
      </c>
      <c r="D259" s="36">
        <v>10</v>
      </c>
      <c r="E259" s="34">
        <v>1</v>
      </c>
      <c r="F259" s="34">
        <v>19</v>
      </c>
      <c r="G259" s="17">
        <f t="shared" ref="G259:G272" si="15">+(D259+E259)/F259</f>
        <v>0.57894736842105265</v>
      </c>
    </row>
    <row r="260" spans="1:7" x14ac:dyDescent="0.3">
      <c r="A260" s="14">
        <v>8</v>
      </c>
      <c r="B260" s="15">
        <v>802</v>
      </c>
      <c r="C260" s="16" t="s">
        <v>467</v>
      </c>
      <c r="D260" s="36">
        <v>20</v>
      </c>
      <c r="E260" s="34">
        <v>4</v>
      </c>
      <c r="F260" s="34">
        <v>48</v>
      </c>
      <c r="G260" s="17">
        <f t="shared" si="15"/>
        <v>0.5</v>
      </c>
    </row>
    <row r="261" spans="1:7" x14ac:dyDescent="0.3">
      <c r="A261" s="14">
        <v>8</v>
      </c>
      <c r="B261" s="15">
        <v>304</v>
      </c>
      <c r="C261" s="16" t="s">
        <v>869</v>
      </c>
      <c r="D261" s="36">
        <v>175</v>
      </c>
      <c r="E261" s="34">
        <v>70</v>
      </c>
      <c r="F261" s="34">
        <v>563</v>
      </c>
      <c r="G261" s="17">
        <f t="shared" si="15"/>
        <v>0.43516873889875668</v>
      </c>
    </row>
    <row r="262" spans="1:7" x14ac:dyDescent="0.3">
      <c r="A262" s="14">
        <v>8</v>
      </c>
      <c r="B262" s="15">
        <v>116</v>
      </c>
      <c r="C262" s="16" t="s">
        <v>471</v>
      </c>
      <c r="D262" s="36">
        <v>45</v>
      </c>
      <c r="E262" s="34">
        <v>16</v>
      </c>
      <c r="F262" s="34">
        <v>151</v>
      </c>
      <c r="G262" s="17">
        <f t="shared" si="15"/>
        <v>0.40397350993377484</v>
      </c>
    </row>
    <row r="263" spans="1:7" x14ac:dyDescent="0.3">
      <c r="A263" s="14">
        <v>8</v>
      </c>
      <c r="B263" s="15">
        <v>108</v>
      </c>
      <c r="C263" s="16" t="s">
        <v>468</v>
      </c>
      <c r="D263" s="36">
        <v>85</v>
      </c>
      <c r="E263" s="34">
        <v>45</v>
      </c>
      <c r="F263" s="34">
        <v>322</v>
      </c>
      <c r="G263" s="17">
        <f t="shared" si="15"/>
        <v>0.40372670807453415</v>
      </c>
    </row>
    <row r="264" spans="1:7" x14ac:dyDescent="0.3">
      <c r="A264" s="14">
        <v>8</v>
      </c>
      <c r="B264" s="15">
        <v>112</v>
      </c>
      <c r="C264" s="16" t="s">
        <v>470</v>
      </c>
      <c r="D264" s="36">
        <v>41</v>
      </c>
      <c r="E264" s="34">
        <v>12</v>
      </c>
      <c r="F264" s="34">
        <v>133</v>
      </c>
      <c r="G264" s="17">
        <f t="shared" si="15"/>
        <v>0.39849624060150374</v>
      </c>
    </row>
    <row r="265" spans="1:7" x14ac:dyDescent="0.3">
      <c r="A265" s="14">
        <v>8</v>
      </c>
      <c r="B265" s="15">
        <v>110</v>
      </c>
      <c r="C265" s="16" t="s">
        <v>469</v>
      </c>
      <c r="D265" s="36">
        <v>114</v>
      </c>
      <c r="E265" s="34">
        <v>43</v>
      </c>
      <c r="F265" s="34">
        <v>409</v>
      </c>
      <c r="G265" s="17">
        <f t="shared" si="15"/>
        <v>0.38386308068459657</v>
      </c>
    </row>
    <row r="266" spans="1:7" x14ac:dyDescent="0.3">
      <c r="A266" s="14">
        <v>8</v>
      </c>
      <c r="B266" s="15">
        <v>404</v>
      </c>
      <c r="C266" s="16" t="s">
        <v>44</v>
      </c>
      <c r="D266" s="36">
        <v>159</v>
      </c>
      <c r="E266" s="34">
        <v>84</v>
      </c>
      <c r="F266" s="34">
        <v>673</v>
      </c>
      <c r="G266" s="17">
        <f t="shared" si="15"/>
        <v>0.36106983655274888</v>
      </c>
    </row>
    <row r="267" spans="1:7" x14ac:dyDescent="0.3">
      <c r="A267" s="14">
        <v>8</v>
      </c>
      <c r="B267" s="15">
        <v>124</v>
      </c>
      <c r="C267" s="16" t="s">
        <v>472</v>
      </c>
      <c r="D267" s="36">
        <v>9</v>
      </c>
      <c r="E267" s="34">
        <v>17</v>
      </c>
      <c r="F267" s="34">
        <v>73</v>
      </c>
      <c r="G267" s="17">
        <f t="shared" si="15"/>
        <v>0.35616438356164382</v>
      </c>
    </row>
    <row r="268" spans="1:7" x14ac:dyDescent="0.3">
      <c r="A268" s="14">
        <v>8</v>
      </c>
      <c r="B268" s="15">
        <v>712</v>
      </c>
      <c r="C268" s="16" t="s">
        <v>47</v>
      </c>
      <c r="D268" s="36">
        <v>9</v>
      </c>
      <c r="E268" s="34">
        <v>17</v>
      </c>
      <c r="F268" s="34">
        <v>75</v>
      </c>
      <c r="G268" s="17">
        <f t="shared" si="15"/>
        <v>0.34666666666666668</v>
      </c>
    </row>
    <row r="269" spans="1:7" x14ac:dyDescent="0.3">
      <c r="A269" s="14">
        <v>8</v>
      </c>
      <c r="B269" s="15">
        <v>708</v>
      </c>
      <c r="C269" s="16" t="s">
        <v>46</v>
      </c>
      <c r="D269" s="36">
        <v>53</v>
      </c>
      <c r="E269" s="34">
        <v>38</v>
      </c>
      <c r="F269" s="34">
        <v>325</v>
      </c>
      <c r="G269" s="17">
        <f t="shared" si="15"/>
        <v>0.28000000000000003</v>
      </c>
    </row>
    <row r="270" spans="1:7" x14ac:dyDescent="0.3">
      <c r="A270" s="14">
        <v>8</v>
      </c>
      <c r="B270" s="15">
        <v>104</v>
      </c>
      <c r="C270" s="16" t="s">
        <v>466</v>
      </c>
      <c r="D270" s="36">
        <v>48</v>
      </c>
      <c r="E270" s="34">
        <v>30</v>
      </c>
      <c r="F270" s="34">
        <v>308</v>
      </c>
      <c r="G270" s="17">
        <f t="shared" si="15"/>
        <v>0.25324675324675322</v>
      </c>
    </row>
    <row r="271" spans="1:7" x14ac:dyDescent="0.3">
      <c r="A271" s="14">
        <v>8</v>
      </c>
      <c r="B271" s="15">
        <v>714</v>
      </c>
      <c r="C271" s="16" t="s">
        <v>48</v>
      </c>
      <c r="D271" s="36">
        <v>126</v>
      </c>
      <c r="E271" s="34">
        <v>61</v>
      </c>
      <c r="F271" s="34">
        <v>820</v>
      </c>
      <c r="G271" s="17">
        <f t="shared" si="15"/>
        <v>0.22804878048780489</v>
      </c>
    </row>
    <row r="272" spans="1:7" ht="21" thickBot="1" x14ac:dyDescent="0.35">
      <c r="A272" s="24">
        <v>8</v>
      </c>
      <c r="B272" s="37">
        <v>704</v>
      </c>
      <c r="C272" s="26" t="s">
        <v>45</v>
      </c>
      <c r="D272" s="36">
        <v>30</v>
      </c>
      <c r="E272" s="34">
        <v>14</v>
      </c>
      <c r="F272" s="34">
        <v>249</v>
      </c>
      <c r="G272" s="29">
        <f t="shared" si="15"/>
        <v>0.17670682730923695</v>
      </c>
    </row>
    <row r="273" spans="1:7" s="51" customFormat="1" ht="21" thickBot="1" x14ac:dyDescent="0.35">
      <c r="A273" s="45"/>
      <c r="B273" s="46">
        <f>COUNTA(B259:B272)</f>
        <v>14</v>
      </c>
      <c r="C273" s="47" t="s">
        <v>16</v>
      </c>
      <c r="D273" s="48">
        <f>SUM(D259:D272)</f>
        <v>924</v>
      </c>
      <c r="E273" s="49">
        <f>SUM(E259:E272)</f>
        <v>452</v>
      </c>
      <c r="F273" s="49">
        <f>SUM(F259:F272)</f>
        <v>4168</v>
      </c>
      <c r="G273" s="50">
        <f t="shared" ref="G273" si="16">+(D273+E273)/F273</f>
        <v>0.33013435700575816</v>
      </c>
    </row>
    <row r="274" spans="1:7" x14ac:dyDescent="0.3">
      <c r="A274" s="24"/>
      <c r="B274" s="25"/>
      <c r="C274" s="26"/>
      <c r="D274" s="31"/>
      <c r="E274" s="28"/>
      <c r="F274" s="28"/>
      <c r="G274" s="29"/>
    </row>
    <row r="275" spans="1:7" x14ac:dyDescent="0.3">
      <c r="A275" s="24"/>
      <c r="B275" s="25"/>
      <c r="C275" s="30" t="s">
        <v>50</v>
      </c>
      <c r="D275" s="31"/>
      <c r="E275" s="28"/>
      <c r="F275" s="28"/>
      <c r="G275" s="29"/>
    </row>
    <row r="276" spans="1:7" x14ac:dyDescent="0.3">
      <c r="A276" s="14">
        <v>9</v>
      </c>
      <c r="B276" s="15">
        <v>124</v>
      </c>
      <c r="C276" s="16" t="s">
        <v>473</v>
      </c>
      <c r="D276" s="36">
        <v>75</v>
      </c>
      <c r="E276" s="34">
        <v>12</v>
      </c>
      <c r="F276" s="34">
        <v>112</v>
      </c>
      <c r="G276" s="17">
        <f t="shared" ref="G276:G285" si="17">+(D276+E276)/F276</f>
        <v>0.7767857142857143</v>
      </c>
    </row>
    <row r="277" spans="1:7" x14ac:dyDescent="0.3">
      <c r="A277" s="14">
        <v>9</v>
      </c>
      <c r="B277" s="15">
        <v>120</v>
      </c>
      <c r="C277" s="16" t="s">
        <v>477</v>
      </c>
      <c r="D277" s="36">
        <v>102</v>
      </c>
      <c r="E277" s="34">
        <v>56</v>
      </c>
      <c r="F277" s="34">
        <v>254</v>
      </c>
      <c r="G277" s="17">
        <f t="shared" si="17"/>
        <v>0.62204724409448819</v>
      </c>
    </row>
    <row r="278" spans="1:7" x14ac:dyDescent="0.3">
      <c r="A278" s="14">
        <v>9</v>
      </c>
      <c r="B278" s="15">
        <v>704</v>
      </c>
      <c r="C278" s="16" t="s">
        <v>51</v>
      </c>
      <c r="D278" s="36">
        <v>57</v>
      </c>
      <c r="E278" s="34">
        <v>9</v>
      </c>
      <c r="F278" s="34">
        <v>118</v>
      </c>
      <c r="G278" s="17">
        <f t="shared" si="17"/>
        <v>0.55932203389830504</v>
      </c>
    </row>
    <row r="279" spans="1:7" x14ac:dyDescent="0.3">
      <c r="A279" s="14">
        <v>9</v>
      </c>
      <c r="B279" s="15">
        <v>128</v>
      </c>
      <c r="C279" s="16" t="s">
        <v>478</v>
      </c>
      <c r="D279" s="36">
        <v>113</v>
      </c>
      <c r="E279" s="34">
        <v>41</v>
      </c>
      <c r="F279" s="34">
        <v>289</v>
      </c>
      <c r="G279" s="17">
        <f t="shared" si="17"/>
        <v>0.53287197231833905</v>
      </c>
    </row>
    <row r="280" spans="1:7" x14ac:dyDescent="0.3">
      <c r="A280" s="14">
        <v>9</v>
      </c>
      <c r="B280" s="15">
        <v>104</v>
      </c>
      <c r="C280" s="16" t="s">
        <v>475</v>
      </c>
      <c r="D280" s="36">
        <v>65</v>
      </c>
      <c r="E280" s="34">
        <v>26</v>
      </c>
      <c r="F280" s="34">
        <v>176</v>
      </c>
      <c r="G280" s="17">
        <f t="shared" si="17"/>
        <v>0.51704545454545459</v>
      </c>
    </row>
    <row r="281" spans="1:7" x14ac:dyDescent="0.3">
      <c r="A281" s="14">
        <v>9</v>
      </c>
      <c r="B281" s="15">
        <v>404</v>
      </c>
      <c r="C281" s="16" t="s">
        <v>474</v>
      </c>
      <c r="D281" s="36">
        <v>66</v>
      </c>
      <c r="E281" s="34">
        <v>33</v>
      </c>
      <c r="F281" s="34">
        <v>216</v>
      </c>
      <c r="G281" s="17">
        <f t="shared" si="17"/>
        <v>0.45833333333333331</v>
      </c>
    </row>
    <row r="282" spans="1:7" x14ac:dyDescent="0.3">
      <c r="A282" s="14">
        <v>9</v>
      </c>
      <c r="B282" s="15">
        <v>408</v>
      </c>
      <c r="C282" s="16" t="s">
        <v>479</v>
      </c>
      <c r="D282" s="36">
        <v>71</v>
      </c>
      <c r="E282" s="34">
        <v>41</v>
      </c>
      <c r="F282" s="34">
        <v>265</v>
      </c>
      <c r="G282" s="17">
        <f t="shared" si="17"/>
        <v>0.42264150943396228</v>
      </c>
    </row>
    <row r="283" spans="1:7" x14ac:dyDescent="0.3">
      <c r="A283" s="14">
        <v>9</v>
      </c>
      <c r="B283" s="15">
        <v>108</v>
      </c>
      <c r="C283" s="16" t="s">
        <v>476</v>
      </c>
      <c r="D283" s="36">
        <v>35</v>
      </c>
      <c r="E283" s="34">
        <v>30</v>
      </c>
      <c r="F283" s="34">
        <v>168</v>
      </c>
      <c r="G283" s="17">
        <f t="shared" si="17"/>
        <v>0.38690476190476192</v>
      </c>
    </row>
    <row r="284" spans="1:7" x14ac:dyDescent="0.3">
      <c r="A284" s="14">
        <v>9</v>
      </c>
      <c r="B284" s="15">
        <v>132</v>
      </c>
      <c r="C284" s="16" t="s">
        <v>480</v>
      </c>
      <c r="D284" s="36">
        <v>29</v>
      </c>
      <c r="E284" s="34">
        <v>18</v>
      </c>
      <c r="F284" s="34">
        <v>125</v>
      </c>
      <c r="G284" s="17">
        <f t="shared" si="17"/>
        <v>0.376</v>
      </c>
    </row>
    <row r="285" spans="1:7" ht="21" thickBot="1" x14ac:dyDescent="0.35">
      <c r="A285" s="24">
        <v>9</v>
      </c>
      <c r="B285" s="25">
        <v>706</v>
      </c>
      <c r="C285" s="26" t="s">
        <v>52</v>
      </c>
      <c r="D285" s="36">
        <v>53</v>
      </c>
      <c r="E285" s="34">
        <v>38</v>
      </c>
      <c r="F285" s="34">
        <v>1570</v>
      </c>
      <c r="G285" s="29">
        <f t="shared" si="17"/>
        <v>5.7961783439490447E-2</v>
      </c>
    </row>
    <row r="286" spans="1:7" ht="21" thickBot="1" x14ac:dyDescent="0.35">
      <c r="A286" s="45"/>
      <c r="B286" s="19">
        <f>COUNTA(B276:B285)</f>
        <v>10</v>
      </c>
      <c r="C286" s="20" t="s">
        <v>16</v>
      </c>
      <c r="D286" s="21">
        <f>SUM(D276:D285)</f>
        <v>666</v>
      </c>
      <c r="E286" s="35">
        <f>SUM(E276:E285)</f>
        <v>304</v>
      </c>
      <c r="F286" s="35">
        <f>SUM(F276:F285)</f>
        <v>3293</v>
      </c>
      <c r="G286" s="22">
        <f t="shared" ref="G286" si="18">+(D286+E286)/F286</f>
        <v>0.29456422714849684</v>
      </c>
    </row>
    <row r="287" spans="1:7" x14ac:dyDescent="0.3">
      <c r="A287" s="24"/>
      <c r="B287" s="25"/>
      <c r="C287" s="26"/>
      <c r="D287" s="31"/>
      <c r="E287" s="28"/>
      <c r="F287" s="28"/>
      <c r="G287" s="29"/>
    </row>
    <row r="288" spans="1:7" x14ac:dyDescent="0.3">
      <c r="A288" s="24"/>
      <c r="B288" s="25"/>
      <c r="C288" s="30" t="s">
        <v>53</v>
      </c>
      <c r="D288" s="31"/>
      <c r="E288" s="28"/>
      <c r="F288" s="28"/>
      <c r="G288" s="29"/>
    </row>
    <row r="289" spans="1:7" x14ac:dyDescent="0.3">
      <c r="A289" s="14">
        <v>10</v>
      </c>
      <c r="B289" s="15">
        <v>104</v>
      </c>
      <c r="C289" s="16" t="s">
        <v>481</v>
      </c>
      <c r="D289" s="36">
        <v>9</v>
      </c>
      <c r="E289" s="34">
        <v>3</v>
      </c>
      <c r="F289" s="34">
        <v>13</v>
      </c>
      <c r="G289" s="17">
        <f t="shared" ref="G289:G297" si="19">+(D289+E289)/F289</f>
        <v>0.92307692307692313</v>
      </c>
    </row>
    <row r="290" spans="1:7" x14ac:dyDescent="0.3">
      <c r="A290" s="14">
        <v>10</v>
      </c>
      <c r="B290" s="15">
        <v>108</v>
      </c>
      <c r="C290" s="16" t="s">
        <v>482</v>
      </c>
      <c r="D290" s="36">
        <v>4</v>
      </c>
      <c r="E290" s="34">
        <v>2</v>
      </c>
      <c r="F290" s="34">
        <v>9</v>
      </c>
      <c r="G290" s="17">
        <f t="shared" si="19"/>
        <v>0.66666666666666663</v>
      </c>
    </row>
    <row r="291" spans="1:7" x14ac:dyDescent="0.3">
      <c r="A291" s="14">
        <v>10</v>
      </c>
      <c r="B291" s="15">
        <v>124</v>
      </c>
      <c r="C291" s="16" t="s">
        <v>484</v>
      </c>
      <c r="D291" s="36">
        <v>66</v>
      </c>
      <c r="E291" s="34">
        <v>48</v>
      </c>
      <c r="F291" s="34">
        <v>216</v>
      </c>
      <c r="G291" s="17">
        <f t="shared" si="19"/>
        <v>0.52777777777777779</v>
      </c>
    </row>
    <row r="292" spans="1:7" x14ac:dyDescent="0.3">
      <c r="A292" s="14">
        <v>10</v>
      </c>
      <c r="B292" s="15">
        <v>116</v>
      </c>
      <c r="C292" s="16" t="s">
        <v>483</v>
      </c>
      <c r="D292" s="36">
        <v>25</v>
      </c>
      <c r="E292" s="34">
        <v>6</v>
      </c>
      <c r="F292" s="34">
        <v>61</v>
      </c>
      <c r="G292" s="17">
        <f t="shared" si="19"/>
        <v>0.50819672131147542</v>
      </c>
    </row>
    <row r="293" spans="1:7" x14ac:dyDescent="0.3">
      <c r="A293" s="14">
        <v>10</v>
      </c>
      <c r="B293" s="15">
        <v>112</v>
      </c>
      <c r="C293" s="16" t="s">
        <v>485</v>
      </c>
      <c r="D293" s="36">
        <v>50</v>
      </c>
      <c r="E293" s="34">
        <v>16</v>
      </c>
      <c r="F293" s="34">
        <v>136</v>
      </c>
      <c r="G293" s="17">
        <f t="shared" si="19"/>
        <v>0.48529411764705882</v>
      </c>
    </row>
    <row r="294" spans="1:7" x14ac:dyDescent="0.3">
      <c r="A294" s="14">
        <v>10</v>
      </c>
      <c r="B294" s="15">
        <v>304</v>
      </c>
      <c r="C294" s="16" t="s">
        <v>259</v>
      </c>
      <c r="D294" s="36">
        <v>18</v>
      </c>
      <c r="E294" s="34">
        <v>16</v>
      </c>
      <c r="F294" s="34">
        <v>74</v>
      </c>
      <c r="G294" s="17">
        <f t="shared" si="19"/>
        <v>0.45945945945945948</v>
      </c>
    </row>
    <row r="295" spans="1:7" x14ac:dyDescent="0.3">
      <c r="A295" s="14">
        <v>10</v>
      </c>
      <c r="B295" s="15">
        <v>712</v>
      </c>
      <c r="C295" s="16" t="s">
        <v>258</v>
      </c>
      <c r="D295" s="36">
        <v>33</v>
      </c>
      <c r="E295" s="34">
        <v>20</v>
      </c>
      <c r="F295" s="34">
        <v>130</v>
      </c>
      <c r="G295" s="17">
        <f t="shared" si="19"/>
        <v>0.40769230769230769</v>
      </c>
    </row>
    <row r="296" spans="1:7" x14ac:dyDescent="0.3">
      <c r="A296" s="14">
        <v>10</v>
      </c>
      <c r="B296" s="15">
        <v>704</v>
      </c>
      <c r="C296" s="16" t="s">
        <v>195</v>
      </c>
      <c r="D296" s="36">
        <v>40</v>
      </c>
      <c r="E296" s="34">
        <v>15</v>
      </c>
      <c r="F296" s="34">
        <v>136</v>
      </c>
      <c r="G296" s="17">
        <f t="shared" si="19"/>
        <v>0.40441176470588236</v>
      </c>
    </row>
    <row r="297" spans="1:7" ht="21" thickBot="1" x14ac:dyDescent="0.35">
      <c r="A297" s="24">
        <v>10</v>
      </c>
      <c r="B297" s="37">
        <v>708</v>
      </c>
      <c r="C297" s="26" t="s">
        <v>54</v>
      </c>
      <c r="D297" s="11">
        <v>24</v>
      </c>
      <c r="E297" s="12">
        <v>8</v>
      </c>
      <c r="F297" s="12">
        <v>82</v>
      </c>
      <c r="G297" s="29">
        <f t="shared" si="19"/>
        <v>0.3902439024390244</v>
      </c>
    </row>
    <row r="298" spans="1:7" ht="21" thickBot="1" x14ac:dyDescent="0.35">
      <c r="A298" s="45"/>
      <c r="B298" s="19">
        <f>COUNTA(B289:B297)</f>
        <v>9</v>
      </c>
      <c r="C298" s="20" t="s">
        <v>16</v>
      </c>
      <c r="D298" s="21">
        <f>SUM(D289:D297)</f>
        <v>269</v>
      </c>
      <c r="E298" s="35">
        <f>SUM(E289:E297)</f>
        <v>134</v>
      </c>
      <c r="F298" s="35">
        <f>SUM(F289:F297)</f>
        <v>857</v>
      </c>
      <c r="G298" s="22">
        <f t="shared" ref="G298" si="20">+(D298+E298)/F298</f>
        <v>0.47024504084014002</v>
      </c>
    </row>
    <row r="299" spans="1:7" x14ac:dyDescent="0.3">
      <c r="A299" s="24"/>
      <c r="B299" s="25"/>
      <c r="C299" s="26"/>
      <c r="D299" s="31"/>
      <c r="E299" s="28"/>
      <c r="F299" s="28"/>
      <c r="G299" s="29"/>
    </row>
    <row r="300" spans="1:7" x14ac:dyDescent="0.3">
      <c r="A300" s="24"/>
      <c r="B300" s="25"/>
      <c r="C300" s="30" t="s">
        <v>55</v>
      </c>
      <c r="D300" s="31"/>
      <c r="E300" s="28"/>
      <c r="F300" s="28"/>
      <c r="G300" s="29"/>
    </row>
    <row r="301" spans="1:7" x14ac:dyDescent="0.3">
      <c r="A301" s="14">
        <v>11</v>
      </c>
      <c r="B301" s="15">
        <v>104</v>
      </c>
      <c r="C301" s="16" t="s">
        <v>844</v>
      </c>
      <c r="D301" s="36">
        <v>293</v>
      </c>
      <c r="E301" s="34">
        <v>68</v>
      </c>
      <c r="F301" s="34">
        <v>690</v>
      </c>
      <c r="G301" s="17">
        <f>+(D301+E301)/F301</f>
        <v>0.52318840579710146</v>
      </c>
    </row>
    <row r="302" spans="1:7" x14ac:dyDescent="0.3">
      <c r="A302" s="14">
        <v>11</v>
      </c>
      <c r="B302" s="15">
        <v>404</v>
      </c>
      <c r="C302" s="16" t="s">
        <v>196</v>
      </c>
      <c r="D302" s="36">
        <v>87</v>
      </c>
      <c r="E302" s="34">
        <v>24</v>
      </c>
      <c r="F302" s="34">
        <v>233</v>
      </c>
      <c r="G302" s="17">
        <f>+(D302+E302)/F302</f>
        <v>0.47639484978540775</v>
      </c>
    </row>
    <row r="303" spans="1:7" ht="21" thickBot="1" x14ac:dyDescent="0.35">
      <c r="A303" s="24">
        <v>11</v>
      </c>
      <c r="B303" s="25">
        <v>704</v>
      </c>
      <c r="C303" s="26" t="s">
        <v>56</v>
      </c>
      <c r="D303" s="36">
        <v>118</v>
      </c>
      <c r="E303" s="34">
        <v>31</v>
      </c>
      <c r="F303" s="34">
        <v>453</v>
      </c>
      <c r="G303" s="29">
        <f>+(D303+E303)/F303</f>
        <v>0.32891832229580575</v>
      </c>
    </row>
    <row r="304" spans="1:7" ht="21" thickBot="1" x14ac:dyDescent="0.35">
      <c r="A304" s="45"/>
      <c r="B304" s="19">
        <f>COUNTA(B301:B303)</f>
        <v>3</v>
      </c>
      <c r="C304" s="20" t="s">
        <v>16</v>
      </c>
      <c r="D304" s="21">
        <f>SUM(D301:D303)</f>
        <v>498</v>
      </c>
      <c r="E304" s="35">
        <f>SUM(E301:E303)</f>
        <v>123</v>
      </c>
      <c r="F304" s="35">
        <f>SUM(F301:F303)</f>
        <v>1376</v>
      </c>
      <c r="G304" s="22">
        <f>+(D304+E304)/F304</f>
        <v>0.45130813953488375</v>
      </c>
    </row>
    <row r="305" spans="1:7" x14ac:dyDescent="0.3">
      <c r="A305" s="24"/>
      <c r="B305" s="25"/>
      <c r="C305" s="26"/>
      <c r="D305" s="31"/>
      <c r="E305" s="28"/>
      <c r="F305" s="28"/>
      <c r="G305" s="29"/>
    </row>
    <row r="306" spans="1:7" x14ac:dyDescent="0.3">
      <c r="A306" s="24"/>
      <c r="B306" s="25"/>
      <c r="C306" s="30" t="s">
        <v>57</v>
      </c>
      <c r="D306" s="31"/>
      <c r="E306" s="28"/>
      <c r="F306" s="28"/>
      <c r="G306" s="29"/>
    </row>
    <row r="307" spans="1:7" x14ac:dyDescent="0.3">
      <c r="A307" s="14">
        <v>12</v>
      </c>
      <c r="B307" s="15">
        <v>760</v>
      </c>
      <c r="C307" s="55" t="s">
        <v>325</v>
      </c>
      <c r="D307" s="75">
        <v>433</v>
      </c>
      <c r="E307" s="56">
        <v>11</v>
      </c>
      <c r="F307" s="56">
        <f>SUM(D307:E307)</f>
        <v>444</v>
      </c>
      <c r="G307" s="17">
        <f t="shared" ref="G307:G338" si="21">+(D307+E307)/F307</f>
        <v>1</v>
      </c>
    </row>
    <row r="308" spans="1:7" x14ac:dyDescent="0.3">
      <c r="A308" s="14">
        <v>12</v>
      </c>
      <c r="B308" s="15">
        <v>148</v>
      </c>
      <c r="C308" s="16" t="s">
        <v>372</v>
      </c>
      <c r="D308" s="36">
        <v>333</v>
      </c>
      <c r="E308" s="34">
        <v>22</v>
      </c>
      <c r="F308" s="34">
        <v>371</v>
      </c>
      <c r="G308" s="17">
        <f t="shared" si="21"/>
        <v>0.95687331536388143</v>
      </c>
    </row>
    <row r="309" spans="1:7" x14ac:dyDescent="0.3">
      <c r="A309" s="14">
        <v>12</v>
      </c>
      <c r="B309" s="15">
        <v>197</v>
      </c>
      <c r="C309" s="16" t="s">
        <v>541</v>
      </c>
      <c r="D309" s="36">
        <v>516</v>
      </c>
      <c r="E309" s="34">
        <v>81</v>
      </c>
      <c r="F309" s="34">
        <v>668</v>
      </c>
      <c r="G309" s="17">
        <f t="shared" si="21"/>
        <v>0.89371257485029942</v>
      </c>
    </row>
    <row r="310" spans="1:7" x14ac:dyDescent="0.3">
      <c r="A310" s="14">
        <v>12</v>
      </c>
      <c r="B310" s="15">
        <v>164</v>
      </c>
      <c r="C310" s="16" t="s">
        <v>523</v>
      </c>
      <c r="D310" s="36">
        <v>517</v>
      </c>
      <c r="E310" s="34">
        <v>51</v>
      </c>
      <c r="F310" s="34">
        <v>639</v>
      </c>
      <c r="G310" s="17">
        <f t="shared" si="21"/>
        <v>0.88888888888888884</v>
      </c>
    </row>
    <row r="311" spans="1:7" x14ac:dyDescent="0.3">
      <c r="A311" s="14">
        <v>12</v>
      </c>
      <c r="B311" s="15">
        <v>184</v>
      </c>
      <c r="C311" s="16" t="s">
        <v>533</v>
      </c>
      <c r="D311" s="36">
        <v>581</v>
      </c>
      <c r="E311" s="34">
        <v>52</v>
      </c>
      <c r="F311" s="34">
        <v>714</v>
      </c>
      <c r="G311" s="17">
        <f t="shared" si="21"/>
        <v>0.88655462184873945</v>
      </c>
    </row>
    <row r="312" spans="1:7" x14ac:dyDescent="0.3">
      <c r="A312" s="14">
        <v>12</v>
      </c>
      <c r="B312" s="15">
        <v>116</v>
      </c>
      <c r="C312" s="16" t="s">
        <v>498</v>
      </c>
      <c r="D312" s="36">
        <v>455</v>
      </c>
      <c r="E312" s="34">
        <v>52</v>
      </c>
      <c r="F312" s="34">
        <v>585</v>
      </c>
      <c r="G312" s="17">
        <f t="shared" si="21"/>
        <v>0.8666666666666667</v>
      </c>
    </row>
    <row r="313" spans="1:7" x14ac:dyDescent="0.3">
      <c r="A313" s="14">
        <v>12</v>
      </c>
      <c r="B313" s="15">
        <v>188</v>
      </c>
      <c r="C313" s="16" t="s">
        <v>536</v>
      </c>
      <c r="D313" s="36">
        <v>336</v>
      </c>
      <c r="E313" s="34">
        <v>33</v>
      </c>
      <c r="F313" s="34">
        <v>427</v>
      </c>
      <c r="G313" s="17">
        <f t="shared" si="21"/>
        <v>0.86416861826697888</v>
      </c>
    </row>
    <row r="314" spans="1:7" x14ac:dyDescent="0.3">
      <c r="A314" s="14">
        <v>12</v>
      </c>
      <c r="B314" s="15">
        <v>134</v>
      </c>
      <c r="C314" s="16" t="s">
        <v>508</v>
      </c>
      <c r="D314" s="36">
        <v>475</v>
      </c>
      <c r="E314" s="34">
        <v>69</v>
      </c>
      <c r="F314" s="34">
        <v>635</v>
      </c>
      <c r="G314" s="17">
        <f t="shared" si="21"/>
        <v>0.85669291338582676</v>
      </c>
    </row>
    <row r="315" spans="1:7" x14ac:dyDescent="0.3">
      <c r="A315" s="14">
        <v>12</v>
      </c>
      <c r="B315" s="15">
        <v>216</v>
      </c>
      <c r="C315" s="16" t="s">
        <v>557</v>
      </c>
      <c r="D315" s="36">
        <v>478</v>
      </c>
      <c r="E315" s="34">
        <v>48</v>
      </c>
      <c r="F315" s="34">
        <v>616</v>
      </c>
      <c r="G315" s="17">
        <f t="shared" si="21"/>
        <v>0.85389610389610393</v>
      </c>
    </row>
    <row r="316" spans="1:7" x14ac:dyDescent="0.3">
      <c r="A316" s="14">
        <v>12</v>
      </c>
      <c r="B316" s="15">
        <v>434</v>
      </c>
      <c r="C316" s="16" t="s">
        <v>554</v>
      </c>
      <c r="D316" s="36">
        <v>857</v>
      </c>
      <c r="E316" s="34">
        <v>129</v>
      </c>
      <c r="F316" s="34">
        <v>1162</v>
      </c>
      <c r="G316" s="17">
        <f t="shared" si="21"/>
        <v>0.84853700516351116</v>
      </c>
    </row>
    <row r="317" spans="1:7" x14ac:dyDescent="0.3">
      <c r="A317" s="14">
        <v>12</v>
      </c>
      <c r="B317" s="15">
        <v>416</v>
      </c>
      <c r="C317" s="16" t="s">
        <v>505</v>
      </c>
      <c r="D317" s="36">
        <v>612</v>
      </c>
      <c r="E317" s="34">
        <v>46</v>
      </c>
      <c r="F317" s="34">
        <v>778</v>
      </c>
      <c r="G317" s="17">
        <f t="shared" si="21"/>
        <v>0.84575835475578409</v>
      </c>
    </row>
    <row r="318" spans="1:7" x14ac:dyDescent="0.3">
      <c r="A318" s="14">
        <v>12</v>
      </c>
      <c r="B318" s="15">
        <v>178</v>
      </c>
      <c r="C318" s="16" t="s">
        <v>530</v>
      </c>
      <c r="D318" s="36">
        <v>421</v>
      </c>
      <c r="E318" s="34">
        <v>74</v>
      </c>
      <c r="F318" s="34">
        <v>602</v>
      </c>
      <c r="G318" s="17">
        <f t="shared" si="21"/>
        <v>0.82225913621262459</v>
      </c>
    </row>
    <row r="319" spans="1:7" x14ac:dyDescent="0.3">
      <c r="A319" s="14">
        <v>12</v>
      </c>
      <c r="B319" s="15">
        <v>128</v>
      </c>
      <c r="C319" s="16" t="s">
        <v>504</v>
      </c>
      <c r="D319" s="36">
        <v>481</v>
      </c>
      <c r="E319" s="34">
        <v>101</v>
      </c>
      <c r="F319" s="34">
        <v>709</v>
      </c>
      <c r="G319" s="17">
        <f t="shared" si="21"/>
        <v>0.82087447108603662</v>
      </c>
    </row>
    <row r="320" spans="1:7" x14ac:dyDescent="0.3">
      <c r="A320" s="14">
        <v>12</v>
      </c>
      <c r="B320" s="15">
        <v>204</v>
      </c>
      <c r="C320" s="16" t="s">
        <v>550</v>
      </c>
      <c r="D320" s="36">
        <v>397</v>
      </c>
      <c r="E320" s="34">
        <v>92</v>
      </c>
      <c r="F320" s="34">
        <v>607</v>
      </c>
      <c r="G320" s="17">
        <f t="shared" si="21"/>
        <v>0.80560131795716639</v>
      </c>
    </row>
    <row r="321" spans="1:7" x14ac:dyDescent="0.3">
      <c r="A321" s="14">
        <v>12</v>
      </c>
      <c r="B321" s="15">
        <v>202</v>
      </c>
      <c r="C321" s="16" t="s">
        <v>553</v>
      </c>
      <c r="D321" s="36">
        <v>308</v>
      </c>
      <c r="E321" s="34">
        <v>54</v>
      </c>
      <c r="F321" s="34">
        <v>453</v>
      </c>
      <c r="G321" s="17">
        <f t="shared" si="21"/>
        <v>0.79911699779249445</v>
      </c>
    </row>
    <row r="322" spans="1:7" x14ac:dyDescent="0.3">
      <c r="A322" s="14">
        <v>12</v>
      </c>
      <c r="B322" s="15">
        <v>139</v>
      </c>
      <c r="C322" s="16" t="s">
        <v>514</v>
      </c>
      <c r="D322" s="36">
        <v>317</v>
      </c>
      <c r="E322" s="34">
        <v>39</v>
      </c>
      <c r="F322" s="34">
        <v>446</v>
      </c>
      <c r="G322" s="17">
        <f t="shared" si="21"/>
        <v>0.7982062780269058</v>
      </c>
    </row>
    <row r="323" spans="1:7" x14ac:dyDescent="0.3">
      <c r="A323" s="14">
        <v>12</v>
      </c>
      <c r="B323" s="15">
        <v>420</v>
      </c>
      <c r="C323" s="16" t="s">
        <v>518</v>
      </c>
      <c r="D323" s="36">
        <v>523</v>
      </c>
      <c r="E323" s="34">
        <v>103</v>
      </c>
      <c r="F323" s="34">
        <v>800</v>
      </c>
      <c r="G323" s="17">
        <f t="shared" si="21"/>
        <v>0.78249999999999997</v>
      </c>
    </row>
    <row r="324" spans="1:7" x14ac:dyDescent="0.3">
      <c r="A324" s="14">
        <v>12</v>
      </c>
      <c r="B324" s="15">
        <v>186</v>
      </c>
      <c r="C324" s="16" t="s">
        <v>535</v>
      </c>
      <c r="D324" s="36">
        <v>249</v>
      </c>
      <c r="E324" s="34">
        <v>51</v>
      </c>
      <c r="F324" s="34">
        <v>406</v>
      </c>
      <c r="G324" s="17">
        <f t="shared" si="21"/>
        <v>0.73891625615763545</v>
      </c>
    </row>
    <row r="325" spans="1:7" x14ac:dyDescent="0.3">
      <c r="A325" s="14">
        <v>12</v>
      </c>
      <c r="B325" s="15">
        <v>196</v>
      </c>
      <c r="C325" s="16" t="s">
        <v>539</v>
      </c>
      <c r="D325" s="36">
        <v>198</v>
      </c>
      <c r="E325" s="34">
        <v>42</v>
      </c>
      <c r="F325" s="34">
        <v>325</v>
      </c>
      <c r="G325" s="17">
        <f t="shared" si="21"/>
        <v>0.7384615384615385</v>
      </c>
    </row>
    <row r="326" spans="1:7" x14ac:dyDescent="0.3">
      <c r="A326" s="14">
        <v>12</v>
      </c>
      <c r="B326" s="15">
        <v>179</v>
      </c>
      <c r="C326" s="16" t="s">
        <v>529</v>
      </c>
      <c r="D326" s="36">
        <v>332</v>
      </c>
      <c r="E326" s="34">
        <v>74</v>
      </c>
      <c r="F326" s="34">
        <v>567</v>
      </c>
      <c r="G326" s="17">
        <f t="shared" si="21"/>
        <v>0.71604938271604934</v>
      </c>
    </row>
    <row r="327" spans="1:7" x14ac:dyDescent="0.3">
      <c r="A327" s="14">
        <v>12</v>
      </c>
      <c r="B327" s="15">
        <v>176</v>
      </c>
      <c r="C327" s="16" t="s">
        <v>528</v>
      </c>
      <c r="D327" s="36">
        <v>215</v>
      </c>
      <c r="E327" s="34">
        <v>32</v>
      </c>
      <c r="F327" s="34">
        <v>347</v>
      </c>
      <c r="G327" s="17">
        <f t="shared" si="21"/>
        <v>0.71181556195965423</v>
      </c>
    </row>
    <row r="328" spans="1:7" x14ac:dyDescent="0.3">
      <c r="A328" s="14">
        <v>12</v>
      </c>
      <c r="B328" s="15">
        <v>102</v>
      </c>
      <c r="C328" s="16" t="s">
        <v>486</v>
      </c>
      <c r="D328" s="36">
        <v>308</v>
      </c>
      <c r="E328" s="34">
        <v>51</v>
      </c>
      <c r="F328" s="34">
        <v>512</v>
      </c>
      <c r="G328" s="17">
        <f t="shared" si="21"/>
        <v>0.701171875</v>
      </c>
    </row>
    <row r="329" spans="1:7" x14ac:dyDescent="0.3">
      <c r="A329" s="14">
        <v>12</v>
      </c>
      <c r="B329" s="15">
        <v>180</v>
      </c>
      <c r="C329" s="16" t="s">
        <v>532</v>
      </c>
      <c r="D329" s="36">
        <v>317</v>
      </c>
      <c r="E329" s="34">
        <v>46</v>
      </c>
      <c r="F329" s="34">
        <v>522</v>
      </c>
      <c r="G329" s="17">
        <f t="shared" si="21"/>
        <v>0.6954022988505747</v>
      </c>
    </row>
    <row r="330" spans="1:7" x14ac:dyDescent="0.3">
      <c r="A330" s="14">
        <v>12</v>
      </c>
      <c r="B330" s="15">
        <v>616</v>
      </c>
      <c r="C330" s="16" t="s">
        <v>324</v>
      </c>
      <c r="D330" s="36">
        <v>47</v>
      </c>
      <c r="E330" s="34">
        <v>1</v>
      </c>
      <c r="F330" s="34">
        <v>70</v>
      </c>
      <c r="G330" s="17">
        <f t="shared" si="21"/>
        <v>0.68571428571428572</v>
      </c>
    </row>
    <row r="331" spans="1:7" x14ac:dyDescent="0.3">
      <c r="A331" s="14">
        <v>12</v>
      </c>
      <c r="B331" s="15">
        <v>135</v>
      </c>
      <c r="C331" s="16" t="s">
        <v>511</v>
      </c>
      <c r="D331" s="36">
        <v>302</v>
      </c>
      <c r="E331" s="34">
        <v>51</v>
      </c>
      <c r="F331" s="34">
        <v>536</v>
      </c>
      <c r="G331" s="17">
        <f t="shared" si="21"/>
        <v>0.65858208955223885</v>
      </c>
    </row>
    <row r="332" spans="1:7" x14ac:dyDescent="0.3">
      <c r="A332" s="14">
        <v>12</v>
      </c>
      <c r="B332" s="15">
        <v>156</v>
      </c>
      <c r="C332" s="16" t="s">
        <v>520</v>
      </c>
      <c r="D332" s="36">
        <v>267</v>
      </c>
      <c r="E332" s="34">
        <v>47</v>
      </c>
      <c r="F332" s="34">
        <v>491</v>
      </c>
      <c r="G332" s="17">
        <f t="shared" si="21"/>
        <v>0.63951120162932795</v>
      </c>
    </row>
    <row r="333" spans="1:7" x14ac:dyDescent="0.3">
      <c r="A333" s="14">
        <v>12</v>
      </c>
      <c r="B333" s="15">
        <v>177</v>
      </c>
      <c r="C333" s="16" t="s">
        <v>507</v>
      </c>
      <c r="D333" s="36">
        <v>271</v>
      </c>
      <c r="E333" s="34">
        <v>66</v>
      </c>
      <c r="F333" s="34">
        <v>531</v>
      </c>
      <c r="G333" s="17">
        <f t="shared" si="21"/>
        <v>0.63465160075329563</v>
      </c>
    </row>
    <row r="334" spans="1:7" x14ac:dyDescent="0.3">
      <c r="A334" s="14">
        <v>12</v>
      </c>
      <c r="B334" s="15">
        <v>198</v>
      </c>
      <c r="C334" s="16" t="s">
        <v>542</v>
      </c>
      <c r="D334" s="36">
        <v>261</v>
      </c>
      <c r="E334" s="34">
        <v>39</v>
      </c>
      <c r="F334" s="34">
        <v>474</v>
      </c>
      <c r="G334" s="17">
        <f t="shared" si="21"/>
        <v>0.63291139240506333</v>
      </c>
    </row>
    <row r="335" spans="1:7" x14ac:dyDescent="0.3">
      <c r="A335" s="14">
        <v>12</v>
      </c>
      <c r="B335" s="15">
        <v>141</v>
      </c>
      <c r="C335" s="16" t="s">
        <v>513</v>
      </c>
      <c r="D335" s="36">
        <v>244</v>
      </c>
      <c r="E335" s="34">
        <v>42</v>
      </c>
      <c r="F335" s="34">
        <v>454</v>
      </c>
      <c r="G335" s="17">
        <f t="shared" si="21"/>
        <v>0.62995594713656389</v>
      </c>
    </row>
    <row r="336" spans="1:7" x14ac:dyDescent="0.3">
      <c r="A336" s="14">
        <v>12</v>
      </c>
      <c r="B336" s="15">
        <v>182</v>
      </c>
      <c r="C336" s="16" t="s">
        <v>531</v>
      </c>
      <c r="D336" s="36">
        <v>245</v>
      </c>
      <c r="E336" s="34">
        <v>73</v>
      </c>
      <c r="F336" s="34">
        <v>509</v>
      </c>
      <c r="G336" s="17">
        <f t="shared" si="21"/>
        <v>0.62475442043222007</v>
      </c>
    </row>
    <row r="337" spans="1:7" x14ac:dyDescent="0.3">
      <c r="A337" s="14">
        <v>12</v>
      </c>
      <c r="B337" s="15">
        <v>428</v>
      </c>
      <c r="C337" s="16" t="s">
        <v>548</v>
      </c>
      <c r="D337" s="36">
        <v>474</v>
      </c>
      <c r="E337" s="34">
        <v>92</v>
      </c>
      <c r="F337" s="34">
        <v>929</v>
      </c>
      <c r="G337" s="17">
        <f t="shared" si="21"/>
        <v>0.60925726587728746</v>
      </c>
    </row>
    <row r="338" spans="1:7" x14ac:dyDescent="0.3">
      <c r="A338" s="14">
        <v>12</v>
      </c>
      <c r="B338" s="15">
        <v>140</v>
      </c>
      <c r="C338" s="16" t="s">
        <v>519</v>
      </c>
      <c r="D338" s="36">
        <v>254</v>
      </c>
      <c r="E338" s="34">
        <v>73</v>
      </c>
      <c r="F338" s="34">
        <v>541</v>
      </c>
      <c r="G338" s="17">
        <f t="shared" si="21"/>
        <v>0.60443622920517559</v>
      </c>
    </row>
    <row r="339" spans="1:7" x14ac:dyDescent="0.3">
      <c r="A339" s="14">
        <v>12</v>
      </c>
      <c r="B339" s="15">
        <v>126</v>
      </c>
      <c r="C339" s="16" t="s">
        <v>534</v>
      </c>
      <c r="D339" s="36">
        <v>207</v>
      </c>
      <c r="E339" s="34">
        <v>51</v>
      </c>
      <c r="F339" s="34">
        <v>429</v>
      </c>
      <c r="G339" s="17">
        <f t="shared" ref="G339:G370" si="22">+(D339+E339)/F339</f>
        <v>0.60139860139860135</v>
      </c>
    </row>
    <row r="340" spans="1:7" x14ac:dyDescent="0.3">
      <c r="A340" s="14">
        <v>12</v>
      </c>
      <c r="B340" s="15">
        <v>189</v>
      </c>
      <c r="C340" s="16" t="s">
        <v>538</v>
      </c>
      <c r="D340" s="36">
        <v>220</v>
      </c>
      <c r="E340" s="34">
        <v>35</v>
      </c>
      <c r="F340" s="34">
        <v>426</v>
      </c>
      <c r="G340" s="17">
        <f t="shared" si="22"/>
        <v>0.59859154929577463</v>
      </c>
    </row>
    <row r="341" spans="1:7" x14ac:dyDescent="0.3">
      <c r="A341" s="14">
        <v>12</v>
      </c>
      <c r="B341" s="15">
        <v>160</v>
      </c>
      <c r="C341" s="16" t="s">
        <v>522</v>
      </c>
      <c r="D341" s="36">
        <v>185</v>
      </c>
      <c r="E341" s="34">
        <v>25</v>
      </c>
      <c r="F341" s="34">
        <v>351</v>
      </c>
      <c r="G341" s="17">
        <f t="shared" si="22"/>
        <v>0.59829059829059827</v>
      </c>
    </row>
    <row r="342" spans="1:7" x14ac:dyDescent="0.3">
      <c r="A342" s="14">
        <v>12</v>
      </c>
      <c r="B342" s="15">
        <v>138</v>
      </c>
      <c r="C342" s="16" t="s">
        <v>516</v>
      </c>
      <c r="D342" s="36">
        <v>238</v>
      </c>
      <c r="E342" s="34">
        <v>43</v>
      </c>
      <c r="F342" s="34">
        <v>471</v>
      </c>
      <c r="G342" s="17">
        <f t="shared" si="22"/>
        <v>0.59660297239915072</v>
      </c>
    </row>
    <row r="343" spans="1:7" x14ac:dyDescent="0.3">
      <c r="A343" s="14">
        <v>12</v>
      </c>
      <c r="B343" s="15">
        <v>201</v>
      </c>
      <c r="C343" s="16" t="s">
        <v>549</v>
      </c>
      <c r="D343" s="36">
        <v>300</v>
      </c>
      <c r="E343" s="34">
        <v>70</v>
      </c>
      <c r="F343" s="34">
        <v>627</v>
      </c>
      <c r="G343" s="17">
        <f t="shared" si="22"/>
        <v>0.5901116427432217</v>
      </c>
    </row>
    <row r="344" spans="1:7" x14ac:dyDescent="0.3">
      <c r="A344" s="14">
        <v>12</v>
      </c>
      <c r="B344" s="15">
        <v>422</v>
      </c>
      <c r="C344" s="16" t="s">
        <v>517</v>
      </c>
      <c r="D344" s="36">
        <v>535</v>
      </c>
      <c r="E344" s="34">
        <v>94</v>
      </c>
      <c r="F344" s="34">
        <v>1069</v>
      </c>
      <c r="G344" s="17">
        <f t="shared" si="22"/>
        <v>0.58840037418147806</v>
      </c>
    </row>
    <row r="345" spans="1:7" x14ac:dyDescent="0.3">
      <c r="A345" s="14">
        <v>12</v>
      </c>
      <c r="B345" s="15">
        <v>203</v>
      </c>
      <c r="C345" s="16" t="s">
        <v>547</v>
      </c>
      <c r="D345" s="36">
        <v>313</v>
      </c>
      <c r="E345" s="34">
        <v>93</v>
      </c>
      <c r="F345" s="34">
        <v>692</v>
      </c>
      <c r="G345" s="17">
        <f t="shared" si="22"/>
        <v>0.58670520231213874</v>
      </c>
    </row>
    <row r="346" spans="1:7" x14ac:dyDescent="0.3">
      <c r="A346" s="14">
        <v>12</v>
      </c>
      <c r="B346" s="15">
        <v>708</v>
      </c>
      <c r="C346" s="16" t="s">
        <v>60</v>
      </c>
      <c r="D346" s="36">
        <v>843</v>
      </c>
      <c r="E346" s="34">
        <v>150</v>
      </c>
      <c r="F346" s="34">
        <v>1697</v>
      </c>
      <c r="G346" s="17">
        <f t="shared" si="22"/>
        <v>0.58515026517383617</v>
      </c>
    </row>
    <row r="347" spans="1:7" x14ac:dyDescent="0.3">
      <c r="A347" s="14">
        <v>12</v>
      </c>
      <c r="B347" s="15">
        <v>110</v>
      </c>
      <c r="C347" s="16" t="s">
        <v>494</v>
      </c>
      <c r="D347" s="36">
        <v>201</v>
      </c>
      <c r="E347" s="34">
        <v>36</v>
      </c>
      <c r="F347" s="34">
        <v>406</v>
      </c>
      <c r="G347" s="17">
        <f t="shared" si="22"/>
        <v>0.58374384236453203</v>
      </c>
    </row>
    <row r="348" spans="1:7" x14ac:dyDescent="0.3">
      <c r="A348" s="14">
        <v>12</v>
      </c>
      <c r="B348" s="15">
        <v>103</v>
      </c>
      <c r="C348" s="16" t="s">
        <v>487</v>
      </c>
      <c r="D348" s="36">
        <v>219</v>
      </c>
      <c r="E348" s="34">
        <v>62</v>
      </c>
      <c r="F348" s="34">
        <v>484</v>
      </c>
      <c r="G348" s="17">
        <f t="shared" si="22"/>
        <v>0.58057851239669422</v>
      </c>
    </row>
    <row r="349" spans="1:7" x14ac:dyDescent="0.3">
      <c r="A349" s="14">
        <v>12</v>
      </c>
      <c r="B349" s="15">
        <v>810</v>
      </c>
      <c r="C349" s="16" t="s">
        <v>322</v>
      </c>
      <c r="D349" s="36">
        <v>96</v>
      </c>
      <c r="E349" s="34">
        <v>21</v>
      </c>
      <c r="F349" s="34">
        <v>202</v>
      </c>
      <c r="G349" s="17">
        <f t="shared" si="22"/>
        <v>0.57920792079207917</v>
      </c>
    </row>
    <row r="350" spans="1:7" x14ac:dyDescent="0.3">
      <c r="A350" s="14">
        <v>12</v>
      </c>
      <c r="B350" s="15">
        <v>107</v>
      </c>
      <c r="C350" s="16" t="s">
        <v>488</v>
      </c>
      <c r="D350" s="36">
        <v>266</v>
      </c>
      <c r="E350" s="34">
        <v>53</v>
      </c>
      <c r="F350" s="34">
        <v>561</v>
      </c>
      <c r="G350" s="17">
        <f t="shared" si="22"/>
        <v>0.56862745098039214</v>
      </c>
    </row>
    <row r="351" spans="1:7" x14ac:dyDescent="0.3">
      <c r="A351" s="14">
        <v>12</v>
      </c>
      <c r="B351" s="15">
        <v>111</v>
      </c>
      <c r="C351" s="16" t="s">
        <v>496</v>
      </c>
      <c r="D351" s="36">
        <v>211</v>
      </c>
      <c r="E351" s="34">
        <v>68</v>
      </c>
      <c r="F351" s="34">
        <v>492</v>
      </c>
      <c r="G351" s="17">
        <f t="shared" si="22"/>
        <v>0.56707317073170727</v>
      </c>
    </row>
    <row r="352" spans="1:7" x14ac:dyDescent="0.3">
      <c r="A352" s="14">
        <v>12</v>
      </c>
      <c r="B352" s="15">
        <v>208</v>
      </c>
      <c r="C352" s="16" t="s">
        <v>555</v>
      </c>
      <c r="D352" s="36">
        <v>281</v>
      </c>
      <c r="E352" s="34">
        <v>69</v>
      </c>
      <c r="F352" s="34">
        <v>624</v>
      </c>
      <c r="G352" s="17">
        <f t="shared" si="22"/>
        <v>0.5608974358974359</v>
      </c>
    </row>
    <row r="353" spans="1:7" x14ac:dyDescent="0.3">
      <c r="A353" s="14">
        <v>12</v>
      </c>
      <c r="B353" s="15">
        <v>105</v>
      </c>
      <c r="C353" s="16" t="s">
        <v>515</v>
      </c>
      <c r="D353" s="36">
        <v>214</v>
      </c>
      <c r="E353" s="34">
        <v>65</v>
      </c>
      <c r="F353" s="34">
        <v>502</v>
      </c>
      <c r="G353" s="17">
        <f t="shared" si="22"/>
        <v>0.55577689243027883</v>
      </c>
    </row>
    <row r="354" spans="1:7" x14ac:dyDescent="0.3">
      <c r="A354" s="14">
        <v>12</v>
      </c>
      <c r="B354" s="15">
        <v>193</v>
      </c>
      <c r="C354" s="16" t="s">
        <v>506</v>
      </c>
      <c r="D354" s="36">
        <v>212</v>
      </c>
      <c r="E354" s="34">
        <v>40</v>
      </c>
      <c r="F354" s="34">
        <v>458</v>
      </c>
      <c r="G354" s="17">
        <f t="shared" si="22"/>
        <v>0.55021834061135366</v>
      </c>
    </row>
    <row r="355" spans="1:7" x14ac:dyDescent="0.3">
      <c r="A355" s="14">
        <v>12</v>
      </c>
      <c r="B355" s="15">
        <v>206</v>
      </c>
      <c r="C355" s="16" t="s">
        <v>551</v>
      </c>
      <c r="D355" s="36">
        <v>296</v>
      </c>
      <c r="E355" s="34">
        <v>69</v>
      </c>
      <c r="F355" s="34">
        <v>664</v>
      </c>
      <c r="G355" s="17">
        <f t="shared" si="22"/>
        <v>0.54969879518072284</v>
      </c>
    </row>
    <row r="356" spans="1:7" x14ac:dyDescent="0.3">
      <c r="A356" s="14">
        <v>12</v>
      </c>
      <c r="B356" s="15">
        <v>411</v>
      </c>
      <c r="C356" s="16" t="s">
        <v>501</v>
      </c>
      <c r="D356" s="36">
        <v>458</v>
      </c>
      <c r="E356" s="34">
        <v>69</v>
      </c>
      <c r="F356" s="34">
        <v>966</v>
      </c>
      <c r="G356" s="17">
        <f t="shared" si="22"/>
        <v>0.54554865424430643</v>
      </c>
    </row>
    <row r="357" spans="1:7" x14ac:dyDescent="0.3">
      <c r="A357" s="14">
        <v>12</v>
      </c>
      <c r="B357" s="15">
        <v>423</v>
      </c>
      <c r="C357" s="16" t="s">
        <v>521</v>
      </c>
      <c r="D357" s="36">
        <v>549</v>
      </c>
      <c r="E357" s="34">
        <v>116</v>
      </c>
      <c r="F357" s="34">
        <v>1222</v>
      </c>
      <c r="G357" s="17">
        <f t="shared" si="22"/>
        <v>0.54418985270049103</v>
      </c>
    </row>
    <row r="358" spans="1:7" x14ac:dyDescent="0.3">
      <c r="A358" s="14">
        <v>12</v>
      </c>
      <c r="B358" s="15">
        <v>127</v>
      </c>
      <c r="C358" s="16" t="s">
        <v>503</v>
      </c>
      <c r="D358" s="36">
        <v>295</v>
      </c>
      <c r="E358" s="34">
        <v>106</v>
      </c>
      <c r="F358" s="34">
        <v>747</v>
      </c>
      <c r="G358" s="17">
        <f t="shared" si="22"/>
        <v>0.53681392235609104</v>
      </c>
    </row>
    <row r="359" spans="1:7" x14ac:dyDescent="0.3">
      <c r="A359" s="14">
        <v>12</v>
      </c>
      <c r="B359" s="15">
        <v>130</v>
      </c>
      <c r="C359" s="16" t="s">
        <v>509</v>
      </c>
      <c r="D359" s="36">
        <v>238</v>
      </c>
      <c r="E359" s="34">
        <v>62</v>
      </c>
      <c r="F359" s="34">
        <v>569</v>
      </c>
      <c r="G359" s="17">
        <f t="shared" si="22"/>
        <v>0.52724077328646746</v>
      </c>
    </row>
    <row r="360" spans="1:7" x14ac:dyDescent="0.3">
      <c r="A360" s="14">
        <v>12</v>
      </c>
      <c r="B360" s="15">
        <v>125</v>
      </c>
      <c r="C360" s="16" t="s">
        <v>873</v>
      </c>
      <c r="D360" s="36">
        <v>241</v>
      </c>
      <c r="E360" s="34">
        <v>66</v>
      </c>
      <c r="F360" s="34">
        <v>587</v>
      </c>
      <c r="G360" s="17">
        <f t="shared" si="22"/>
        <v>0.52299829642248719</v>
      </c>
    </row>
    <row r="361" spans="1:7" x14ac:dyDescent="0.3">
      <c r="A361" s="14">
        <v>12</v>
      </c>
      <c r="B361" s="15">
        <v>205</v>
      </c>
      <c r="C361" s="16" t="s">
        <v>552</v>
      </c>
      <c r="D361" s="36">
        <v>212</v>
      </c>
      <c r="E361" s="34">
        <v>76</v>
      </c>
      <c r="F361" s="34">
        <v>556</v>
      </c>
      <c r="G361" s="17">
        <f t="shared" si="22"/>
        <v>0.51798561151079137</v>
      </c>
    </row>
    <row r="362" spans="1:7" x14ac:dyDescent="0.3">
      <c r="A362" s="14">
        <v>12</v>
      </c>
      <c r="B362" s="15">
        <v>702</v>
      </c>
      <c r="C362" s="16" t="s">
        <v>58</v>
      </c>
      <c r="D362" s="36">
        <v>721</v>
      </c>
      <c r="E362" s="34">
        <v>128</v>
      </c>
      <c r="F362" s="34">
        <v>1675</v>
      </c>
      <c r="G362" s="17">
        <f t="shared" si="22"/>
        <v>0.50686567164179108</v>
      </c>
    </row>
    <row r="363" spans="1:7" x14ac:dyDescent="0.3">
      <c r="A363" s="14">
        <v>12</v>
      </c>
      <c r="B363" s="15">
        <v>131</v>
      </c>
      <c r="C363" s="16" t="s">
        <v>848</v>
      </c>
      <c r="D363" s="36">
        <v>253</v>
      </c>
      <c r="E363" s="34">
        <v>93</v>
      </c>
      <c r="F363" s="34">
        <v>696</v>
      </c>
      <c r="G363" s="17">
        <f t="shared" si="22"/>
        <v>0.49712643678160917</v>
      </c>
    </row>
    <row r="364" spans="1:7" x14ac:dyDescent="0.3">
      <c r="A364" s="14">
        <v>12</v>
      </c>
      <c r="B364" s="15">
        <v>404</v>
      </c>
      <c r="C364" s="16" t="s">
        <v>492</v>
      </c>
      <c r="D364" s="36">
        <v>371</v>
      </c>
      <c r="E364" s="34">
        <v>99</v>
      </c>
      <c r="F364" s="34">
        <v>963</v>
      </c>
      <c r="G364" s="17">
        <f t="shared" si="22"/>
        <v>0.48805815160955346</v>
      </c>
    </row>
    <row r="365" spans="1:7" x14ac:dyDescent="0.3">
      <c r="A365" s="14">
        <v>12</v>
      </c>
      <c r="B365" s="15">
        <v>199</v>
      </c>
      <c r="C365" s="16" t="s">
        <v>545</v>
      </c>
      <c r="D365" s="36">
        <v>173</v>
      </c>
      <c r="E365" s="34">
        <v>31</v>
      </c>
      <c r="F365" s="34">
        <v>426</v>
      </c>
      <c r="G365" s="17">
        <f t="shared" si="22"/>
        <v>0.47887323943661969</v>
      </c>
    </row>
    <row r="366" spans="1:7" x14ac:dyDescent="0.3">
      <c r="A366" s="14">
        <v>12</v>
      </c>
      <c r="B366" s="15">
        <v>104</v>
      </c>
      <c r="C366" s="16" t="s">
        <v>544</v>
      </c>
      <c r="D366" s="36">
        <v>173</v>
      </c>
      <c r="E366" s="34">
        <v>59</v>
      </c>
      <c r="F366" s="34">
        <v>491</v>
      </c>
      <c r="G366" s="17">
        <f t="shared" si="22"/>
        <v>0.47250509164969451</v>
      </c>
    </row>
    <row r="367" spans="1:7" x14ac:dyDescent="0.3">
      <c r="A367" s="14">
        <v>12</v>
      </c>
      <c r="B367" s="15">
        <v>418</v>
      </c>
      <c r="C367" s="16" t="s">
        <v>512</v>
      </c>
      <c r="D367" s="36">
        <v>442</v>
      </c>
      <c r="E367" s="34">
        <v>97</v>
      </c>
      <c r="F367" s="34">
        <v>1141</v>
      </c>
      <c r="G367" s="17">
        <f t="shared" si="22"/>
        <v>0.47239263803680981</v>
      </c>
    </row>
    <row r="368" spans="1:7" x14ac:dyDescent="0.3">
      <c r="A368" s="14">
        <v>12</v>
      </c>
      <c r="B368" s="15">
        <v>419</v>
      </c>
      <c r="C368" s="16" t="s">
        <v>543</v>
      </c>
      <c r="D368" s="36">
        <v>399</v>
      </c>
      <c r="E368" s="34">
        <v>107</v>
      </c>
      <c r="F368" s="34">
        <v>1074</v>
      </c>
      <c r="G368" s="17">
        <f t="shared" si="22"/>
        <v>0.47113594040968343</v>
      </c>
    </row>
    <row r="369" spans="1:7" x14ac:dyDescent="0.3">
      <c r="A369" s="14">
        <v>12</v>
      </c>
      <c r="B369" s="15">
        <v>714</v>
      </c>
      <c r="C369" s="16" t="s">
        <v>62</v>
      </c>
      <c r="D369" s="36">
        <v>626</v>
      </c>
      <c r="E369" s="34">
        <v>134</v>
      </c>
      <c r="F369" s="34">
        <v>1680</v>
      </c>
      <c r="G369" s="17">
        <f t="shared" si="22"/>
        <v>0.45238095238095238</v>
      </c>
    </row>
    <row r="370" spans="1:7" x14ac:dyDescent="0.3">
      <c r="A370" s="14">
        <v>12</v>
      </c>
      <c r="B370" s="15">
        <v>710</v>
      </c>
      <c r="C370" s="16" t="s">
        <v>61</v>
      </c>
      <c r="D370" s="36">
        <v>740</v>
      </c>
      <c r="E370" s="34">
        <v>175</v>
      </c>
      <c r="F370" s="34">
        <v>2147</v>
      </c>
      <c r="G370" s="17">
        <f t="shared" si="22"/>
        <v>0.4261760596180717</v>
      </c>
    </row>
    <row r="371" spans="1:7" x14ac:dyDescent="0.3">
      <c r="A371" s="14">
        <v>12</v>
      </c>
      <c r="B371" s="15">
        <v>192</v>
      </c>
      <c r="C371" s="16" t="s">
        <v>540</v>
      </c>
      <c r="D371" s="36">
        <v>183</v>
      </c>
      <c r="E371" s="34">
        <v>24</v>
      </c>
      <c r="F371" s="34">
        <v>493</v>
      </c>
      <c r="G371" s="17">
        <f t="shared" ref="G371:G402" si="23">+(D371+E371)/F371</f>
        <v>0.41987829614604461</v>
      </c>
    </row>
    <row r="372" spans="1:7" x14ac:dyDescent="0.3">
      <c r="A372" s="14">
        <v>12</v>
      </c>
      <c r="B372" s="15">
        <v>704</v>
      </c>
      <c r="C372" s="16" t="s">
        <v>59</v>
      </c>
      <c r="D372" s="36">
        <v>502</v>
      </c>
      <c r="E372" s="34">
        <v>128</v>
      </c>
      <c r="F372" s="34">
        <v>1556</v>
      </c>
      <c r="G372" s="17">
        <f t="shared" si="23"/>
        <v>0.40488431876606684</v>
      </c>
    </row>
    <row r="373" spans="1:7" x14ac:dyDescent="0.3">
      <c r="A373" s="52" t="s">
        <v>872</v>
      </c>
      <c r="B373" s="15">
        <v>700</v>
      </c>
      <c r="C373" s="16" t="s">
        <v>871</v>
      </c>
      <c r="D373" s="36">
        <v>97</v>
      </c>
      <c r="E373" s="34">
        <v>21</v>
      </c>
      <c r="F373" s="34">
        <v>307</v>
      </c>
      <c r="G373" s="17">
        <f t="shared" si="23"/>
        <v>0.38436482084690554</v>
      </c>
    </row>
    <row r="374" spans="1:7" x14ac:dyDescent="0.3">
      <c r="A374" s="14">
        <v>12</v>
      </c>
      <c r="B374" s="15">
        <v>400</v>
      </c>
      <c r="C374" s="16" t="s">
        <v>490</v>
      </c>
      <c r="D374" s="36">
        <v>270</v>
      </c>
      <c r="E374" s="34">
        <v>95</v>
      </c>
      <c r="F374" s="34">
        <v>965</v>
      </c>
      <c r="G374" s="17">
        <f t="shared" si="23"/>
        <v>0.37823834196891193</v>
      </c>
    </row>
    <row r="375" spans="1:7" x14ac:dyDescent="0.3">
      <c r="A375" s="14">
        <v>12</v>
      </c>
      <c r="B375" s="15">
        <v>402</v>
      </c>
      <c r="C375" s="16" t="s">
        <v>491</v>
      </c>
      <c r="D375" s="36">
        <v>271</v>
      </c>
      <c r="E375" s="34">
        <v>49</v>
      </c>
      <c r="F375" s="34">
        <v>850</v>
      </c>
      <c r="G375" s="17">
        <f t="shared" si="23"/>
        <v>0.37647058823529411</v>
      </c>
    </row>
    <row r="376" spans="1:7" x14ac:dyDescent="0.3">
      <c r="A376" s="14">
        <v>12</v>
      </c>
      <c r="B376" s="15">
        <v>106</v>
      </c>
      <c r="C376" s="16" t="s">
        <v>489</v>
      </c>
      <c r="D376" s="36">
        <v>176</v>
      </c>
      <c r="E376" s="34">
        <v>36</v>
      </c>
      <c r="F376" s="34">
        <v>579</v>
      </c>
      <c r="G376" s="17">
        <f t="shared" si="23"/>
        <v>0.36614853195164077</v>
      </c>
    </row>
    <row r="377" spans="1:7" x14ac:dyDescent="0.3">
      <c r="A377" s="14">
        <v>12</v>
      </c>
      <c r="B377" s="15">
        <v>412</v>
      </c>
      <c r="C377" s="16" t="s">
        <v>502</v>
      </c>
      <c r="D377" s="36">
        <v>269</v>
      </c>
      <c r="E377" s="34">
        <v>41</v>
      </c>
      <c r="F377" s="34">
        <v>872</v>
      </c>
      <c r="G377" s="17">
        <f t="shared" si="23"/>
        <v>0.35550458715596328</v>
      </c>
    </row>
    <row r="378" spans="1:7" x14ac:dyDescent="0.3">
      <c r="A378" s="14">
        <v>12</v>
      </c>
      <c r="B378" s="15">
        <v>194</v>
      </c>
      <c r="C378" s="16" t="s">
        <v>493</v>
      </c>
      <c r="D378" s="36">
        <v>151</v>
      </c>
      <c r="E378" s="34">
        <v>54</v>
      </c>
      <c r="F378" s="34">
        <v>578</v>
      </c>
      <c r="G378" s="17">
        <f t="shared" si="23"/>
        <v>0.3546712802768166</v>
      </c>
    </row>
    <row r="379" spans="1:7" x14ac:dyDescent="0.3">
      <c r="A379" s="14">
        <v>12</v>
      </c>
      <c r="B379" s="15">
        <v>190</v>
      </c>
      <c r="C379" s="16" t="s">
        <v>537</v>
      </c>
      <c r="D379" s="36">
        <v>95</v>
      </c>
      <c r="E379" s="34">
        <v>33</v>
      </c>
      <c r="F379" s="34">
        <v>365</v>
      </c>
      <c r="G379" s="17">
        <f t="shared" si="23"/>
        <v>0.35068493150684932</v>
      </c>
    </row>
    <row r="380" spans="1:7" x14ac:dyDescent="0.3">
      <c r="A380" s="14">
        <v>12</v>
      </c>
      <c r="B380" s="15">
        <v>722</v>
      </c>
      <c r="C380" s="16" t="s">
        <v>65</v>
      </c>
      <c r="D380" s="36">
        <v>504</v>
      </c>
      <c r="E380" s="34">
        <v>98</v>
      </c>
      <c r="F380" s="34">
        <v>1772</v>
      </c>
      <c r="G380" s="17">
        <f t="shared" si="23"/>
        <v>0.33972911963882618</v>
      </c>
    </row>
    <row r="381" spans="1:7" x14ac:dyDescent="0.3">
      <c r="A381" s="14">
        <v>12</v>
      </c>
      <c r="B381" s="15">
        <v>118</v>
      </c>
      <c r="C381" s="16" t="s">
        <v>499</v>
      </c>
      <c r="D381" s="36">
        <v>150</v>
      </c>
      <c r="E381" s="34">
        <v>74</v>
      </c>
      <c r="F381" s="34">
        <v>664</v>
      </c>
      <c r="G381" s="17">
        <f t="shared" si="23"/>
        <v>0.33734939759036142</v>
      </c>
    </row>
    <row r="382" spans="1:7" x14ac:dyDescent="0.3">
      <c r="A382" s="14">
        <v>12</v>
      </c>
      <c r="B382" s="15">
        <v>220</v>
      </c>
      <c r="C382" s="16" t="s">
        <v>558</v>
      </c>
      <c r="D382" s="36">
        <v>86</v>
      </c>
      <c r="E382" s="34">
        <v>22</v>
      </c>
      <c r="F382" s="34">
        <v>362</v>
      </c>
      <c r="G382" s="17">
        <f t="shared" si="23"/>
        <v>0.2983425414364641</v>
      </c>
    </row>
    <row r="383" spans="1:7" x14ac:dyDescent="0.3">
      <c r="A383" s="14">
        <v>12</v>
      </c>
      <c r="B383" s="15">
        <v>212</v>
      </c>
      <c r="C383" s="16" t="s">
        <v>556</v>
      </c>
      <c r="D383" s="36">
        <v>119</v>
      </c>
      <c r="E383" s="34">
        <v>14</v>
      </c>
      <c r="F383" s="34">
        <v>562</v>
      </c>
      <c r="G383" s="17">
        <f t="shared" si="23"/>
        <v>0.23665480427046262</v>
      </c>
    </row>
    <row r="384" spans="1:7" x14ac:dyDescent="0.3">
      <c r="A384" s="14">
        <v>12</v>
      </c>
      <c r="B384" s="15">
        <v>114</v>
      </c>
      <c r="C384" s="16" t="s">
        <v>406</v>
      </c>
      <c r="D384" s="36">
        <v>109</v>
      </c>
      <c r="E384" s="34">
        <v>18</v>
      </c>
      <c r="F384" s="34">
        <v>547</v>
      </c>
      <c r="G384" s="17">
        <f t="shared" si="23"/>
        <v>0.23217550274223034</v>
      </c>
    </row>
    <row r="385" spans="1:7" x14ac:dyDescent="0.3">
      <c r="A385" s="14">
        <v>12</v>
      </c>
      <c r="B385" s="15">
        <v>172</v>
      </c>
      <c r="C385" s="16" t="s">
        <v>526</v>
      </c>
      <c r="D385" s="36">
        <v>76</v>
      </c>
      <c r="E385" s="34">
        <v>10</v>
      </c>
      <c r="F385" s="34">
        <v>401</v>
      </c>
      <c r="G385" s="17">
        <f t="shared" si="23"/>
        <v>0.21446384039900249</v>
      </c>
    </row>
    <row r="386" spans="1:7" x14ac:dyDescent="0.3">
      <c r="A386" s="14">
        <v>12</v>
      </c>
      <c r="B386" s="15">
        <v>195</v>
      </c>
      <c r="C386" s="16" t="s">
        <v>546</v>
      </c>
      <c r="D386" s="36">
        <v>62</v>
      </c>
      <c r="E386" s="34">
        <v>20</v>
      </c>
      <c r="F386" s="34">
        <v>521</v>
      </c>
      <c r="G386" s="17">
        <f t="shared" si="23"/>
        <v>0.15738963531669867</v>
      </c>
    </row>
    <row r="387" spans="1:7" x14ac:dyDescent="0.3">
      <c r="A387" s="14">
        <v>12</v>
      </c>
      <c r="B387" s="15">
        <v>137</v>
      </c>
      <c r="C387" s="16" t="s">
        <v>510</v>
      </c>
      <c r="D387" s="36">
        <v>69</v>
      </c>
      <c r="E387" s="34">
        <v>20</v>
      </c>
      <c r="F387" s="34">
        <v>597</v>
      </c>
      <c r="G387" s="17">
        <f t="shared" si="23"/>
        <v>0.1490787269681742</v>
      </c>
    </row>
    <row r="388" spans="1:7" x14ac:dyDescent="0.3">
      <c r="A388" s="14">
        <v>12</v>
      </c>
      <c r="B388" s="15">
        <v>716</v>
      </c>
      <c r="C388" s="16" t="s">
        <v>63</v>
      </c>
      <c r="D388" s="36">
        <v>203</v>
      </c>
      <c r="E388" s="34">
        <v>21</v>
      </c>
      <c r="F388" s="34">
        <v>1551</v>
      </c>
      <c r="G388" s="17">
        <f t="shared" si="23"/>
        <v>0.14442295293359123</v>
      </c>
    </row>
    <row r="389" spans="1:7" x14ac:dyDescent="0.3">
      <c r="A389" s="14">
        <v>12</v>
      </c>
      <c r="B389" s="15">
        <v>168</v>
      </c>
      <c r="C389" s="16" t="s">
        <v>524</v>
      </c>
      <c r="D389" s="36">
        <v>51</v>
      </c>
      <c r="E389" s="34">
        <v>17</v>
      </c>
      <c r="F389" s="34">
        <v>542</v>
      </c>
      <c r="G389" s="17">
        <f t="shared" si="23"/>
        <v>0.12546125461254612</v>
      </c>
    </row>
    <row r="390" spans="1:7" x14ac:dyDescent="0.3">
      <c r="A390" s="14">
        <v>12</v>
      </c>
      <c r="B390" s="15">
        <v>424</v>
      </c>
      <c r="C390" s="16" t="s">
        <v>527</v>
      </c>
      <c r="D390" s="36">
        <v>78</v>
      </c>
      <c r="E390" s="34">
        <v>15</v>
      </c>
      <c r="F390" s="34">
        <v>786</v>
      </c>
      <c r="G390" s="17">
        <f t="shared" si="23"/>
        <v>0.1183206106870229</v>
      </c>
    </row>
    <row r="391" spans="1:7" x14ac:dyDescent="0.3">
      <c r="A391" s="14">
        <v>12</v>
      </c>
      <c r="B391" s="15">
        <v>410</v>
      </c>
      <c r="C391" s="16" t="s">
        <v>495</v>
      </c>
      <c r="D391" s="36">
        <v>58</v>
      </c>
      <c r="E391" s="34">
        <v>14</v>
      </c>
      <c r="F391" s="34">
        <v>650</v>
      </c>
      <c r="G391" s="17">
        <f t="shared" si="23"/>
        <v>0.11076923076923077</v>
      </c>
    </row>
    <row r="392" spans="1:7" x14ac:dyDescent="0.3">
      <c r="A392" s="14">
        <v>12</v>
      </c>
      <c r="B392" s="15">
        <v>558</v>
      </c>
      <c r="C392" s="16" t="s">
        <v>323</v>
      </c>
      <c r="D392" s="36">
        <v>71</v>
      </c>
      <c r="E392" s="34">
        <v>12</v>
      </c>
      <c r="F392" s="34">
        <v>890</v>
      </c>
      <c r="G392" s="17">
        <f t="shared" si="23"/>
        <v>9.3258426966292135E-2</v>
      </c>
    </row>
    <row r="393" spans="1:7" x14ac:dyDescent="0.3">
      <c r="A393" s="14">
        <v>12</v>
      </c>
      <c r="B393" s="15">
        <v>718</v>
      </c>
      <c r="C393" s="16" t="s">
        <v>64</v>
      </c>
      <c r="D393" s="36">
        <v>113</v>
      </c>
      <c r="E393" s="34">
        <v>18</v>
      </c>
      <c r="F393" s="34">
        <v>1450</v>
      </c>
      <c r="G393" s="17">
        <f t="shared" si="23"/>
        <v>9.0344827586206891E-2</v>
      </c>
    </row>
    <row r="394" spans="1:7" x14ac:dyDescent="0.3">
      <c r="A394" s="14">
        <v>12</v>
      </c>
      <c r="B394" s="15">
        <v>124</v>
      </c>
      <c r="C394" s="16" t="s">
        <v>500</v>
      </c>
      <c r="D394" s="36">
        <v>31</v>
      </c>
      <c r="E394" s="34">
        <v>7</v>
      </c>
      <c r="F394" s="34">
        <v>421</v>
      </c>
      <c r="G394" s="17">
        <f t="shared" si="23"/>
        <v>9.0261282660332537E-2</v>
      </c>
    </row>
    <row r="395" spans="1:7" x14ac:dyDescent="0.3">
      <c r="A395" s="14">
        <v>12</v>
      </c>
      <c r="B395" s="15">
        <v>112</v>
      </c>
      <c r="C395" s="16" t="s">
        <v>497</v>
      </c>
      <c r="D395" s="36">
        <v>23</v>
      </c>
      <c r="E395" s="34">
        <v>3</v>
      </c>
      <c r="F395" s="34">
        <v>433</v>
      </c>
      <c r="G395" s="17">
        <f t="shared" si="23"/>
        <v>6.0046189376443418E-2</v>
      </c>
    </row>
    <row r="396" spans="1:7" ht="21" thickBot="1" x14ac:dyDescent="0.35">
      <c r="A396" s="14">
        <v>12</v>
      </c>
      <c r="B396" s="15">
        <v>170</v>
      </c>
      <c r="C396" s="16" t="s">
        <v>525</v>
      </c>
      <c r="D396" s="36">
        <v>18</v>
      </c>
      <c r="E396" s="34">
        <v>2</v>
      </c>
      <c r="F396" s="34">
        <v>476</v>
      </c>
      <c r="G396" s="17">
        <f t="shared" si="23"/>
        <v>4.2016806722689079E-2</v>
      </c>
    </row>
    <row r="397" spans="1:7" ht="21" thickBot="1" x14ac:dyDescent="0.35">
      <c r="A397" s="18"/>
      <c r="B397" s="19">
        <f>COUNTA(B307:B396)</f>
        <v>90</v>
      </c>
      <c r="C397" s="20" t="s">
        <v>16</v>
      </c>
      <c r="D397" s="21">
        <f>SUM(D307:D396)</f>
        <v>26587</v>
      </c>
      <c r="E397" s="21">
        <f>SUM(E307:E396)</f>
        <v>5165</v>
      </c>
      <c r="F397" s="21">
        <f>SUM(F307:F396)</f>
        <v>62155</v>
      </c>
      <c r="G397" s="22">
        <f t="shared" ref="G397" si="24">+(D397+E397)/F397</f>
        <v>0.51085190250181001</v>
      </c>
    </row>
    <row r="398" spans="1:7" x14ac:dyDescent="0.3">
      <c r="A398" s="24"/>
      <c r="B398" s="25"/>
      <c r="C398" s="26"/>
      <c r="D398" s="31"/>
      <c r="E398" s="28"/>
      <c r="F398" s="28"/>
      <c r="G398" s="29"/>
    </row>
    <row r="399" spans="1:7" x14ac:dyDescent="0.3">
      <c r="A399" s="24"/>
      <c r="B399" s="25"/>
      <c r="C399" s="30" t="s">
        <v>66</v>
      </c>
      <c r="D399" s="31"/>
      <c r="E399" s="28"/>
      <c r="F399" s="28"/>
      <c r="G399" s="29"/>
    </row>
    <row r="400" spans="1:7" x14ac:dyDescent="0.3">
      <c r="A400" s="14">
        <v>13</v>
      </c>
      <c r="B400" s="15">
        <v>116</v>
      </c>
      <c r="C400" s="16" t="s">
        <v>69</v>
      </c>
      <c r="D400" s="36">
        <v>57</v>
      </c>
      <c r="E400" s="34">
        <v>21</v>
      </c>
      <c r="F400" s="34">
        <v>92</v>
      </c>
      <c r="G400" s="17">
        <f t="shared" ref="G400:G415" si="25">+(D400+E400)/F400</f>
        <v>0.84782608695652173</v>
      </c>
    </row>
    <row r="401" spans="1:7" x14ac:dyDescent="0.3">
      <c r="A401" s="14">
        <v>13</v>
      </c>
      <c r="B401" s="15">
        <v>104</v>
      </c>
      <c r="C401" s="16" t="s">
        <v>560</v>
      </c>
      <c r="D401" s="36">
        <v>283</v>
      </c>
      <c r="E401" s="34">
        <v>55</v>
      </c>
      <c r="F401" s="34">
        <v>474</v>
      </c>
      <c r="G401" s="17">
        <f t="shared" si="25"/>
        <v>0.71308016877637126</v>
      </c>
    </row>
    <row r="402" spans="1:7" x14ac:dyDescent="0.3">
      <c r="A402" s="14">
        <v>13</v>
      </c>
      <c r="B402" s="15">
        <v>136</v>
      </c>
      <c r="C402" s="16" t="s">
        <v>563</v>
      </c>
      <c r="D402" s="36">
        <v>181</v>
      </c>
      <c r="E402" s="34">
        <v>75</v>
      </c>
      <c r="F402" s="34">
        <v>408</v>
      </c>
      <c r="G402" s="17">
        <f t="shared" si="25"/>
        <v>0.62745098039215685</v>
      </c>
    </row>
    <row r="403" spans="1:7" x14ac:dyDescent="0.3">
      <c r="A403" s="14">
        <v>13</v>
      </c>
      <c r="B403" s="15">
        <v>108</v>
      </c>
      <c r="C403" s="16" t="s">
        <v>67</v>
      </c>
      <c r="D403" s="36">
        <v>132</v>
      </c>
      <c r="E403" s="34">
        <v>24</v>
      </c>
      <c r="F403" s="34">
        <v>252</v>
      </c>
      <c r="G403" s="17">
        <f t="shared" si="25"/>
        <v>0.61904761904761907</v>
      </c>
    </row>
    <row r="404" spans="1:7" x14ac:dyDescent="0.3">
      <c r="A404" s="14">
        <v>13</v>
      </c>
      <c r="B404" s="15">
        <v>120</v>
      </c>
      <c r="C404" s="16" t="s">
        <v>561</v>
      </c>
      <c r="D404" s="36">
        <v>171</v>
      </c>
      <c r="E404" s="34">
        <v>98</v>
      </c>
      <c r="F404" s="34">
        <v>492</v>
      </c>
      <c r="G404" s="17">
        <f t="shared" si="25"/>
        <v>0.5467479674796748</v>
      </c>
    </row>
    <row r="405" spans="1:7" x14ac:dyDescent="0.3">
      <c r="A405" s="14">
        <v>13</v>
      </c>
      <c r="B405" s="15">
        <v>306</v>
      </c>
      <c r="C405" s="16" t="s">
        <v>229</v>
      </c>
      <c r="D405" s="36">
        <v>334</v>
      </c>
      <c r="E405" s="34">
        <v>122</v>
      </c>
      <c r="F405" s="34">
        <v>885</v>
      </c>
      <c r="G405" s="17">
        <f t="shared" si="25"/>
        <v>0.51525423728813557</v>
      </c>
    </row>
    <row r="406" spans="1:7" x14ac:dyDescent="0.3">
      <c r="A406" s="52" t="s">
        <v>816</v>
      </c>
      <c r="B406" s="15">
        <v>100</v>
      </c>
      <c r="C406" s="16" t="s">
        <v>874</v>
      </c>
      <c r="D406" s="36">
        <v>207</v>
      </c>
      <c r="E406" s="34">
        <v>68</v>
      </c>
      <c r="F406" s="34">
        <v>579</v>
      </c>
      <c r="G406" s="17">
        <f t="shared" si="25"/>
        <v>0.47495682210708118</v>
      </c>
    </row>
    <row r="407" spans="1:7" x14ac:dyDescent="0.3">
      <c r="A407" s="14">
        <v>13</v>
      </c>
      <c r="B407" s="15">
        <v>304</v>
      </c>
      <c r="C407" s="39" t="s">
        <v>72</v>
      </c>
      <c r="D407" s="36">
        <v>348</v>
      </c>
      <c r="E407" s="34">
        <v>89</v>
      </c>
      <c r="F407" s="34">
        <v>953</v>
      </c>
      <c r="G407" s="17">
        <f t="shared" si="25"/>
        <v>0.45855194123819515</v>
      </c>
    </row>
    <row r="408" spans="1:7" x14ac:dyDescent="0.3">
      <c r="A408" s="14">
        <v>13</v>
      </c>
      <c r="B408" s="15">
        <v>712</v>
      </c>
      <c r="C408" s="16" t="s">
        <v>73</v>
      </c>
      <c r="D408" s="36">
        <v>334</v>
      </c>
      <c r="E408" s="34">
        <v>122</v>
      </c>
      <c r="F408" s="34">
        <v>998</v>
      </c>
      <c r="G408" s="17">
        <f t="shared" si="25"/>
        <v>0.45691382765531063</v>
      </c>
    </row>
    <row r="409" spans="1:7" x14ac:dyDescent="0.3">
      <c r="A409" s="14">
        <v>13</v>
      </c>
      <c r="B409" s="15">
        <v>132</v>
      </c>
      <c r="C409" s="16" t="s">
        <v>562</v>
      </c>
      <c r="D409" s="36">
        <v>169</v>
      </c>
      <c r="E409" s="34">
        <v>55</v>
      </c>
      <c r="F409" s="34">
        <v>497</v>
      </c>
      <c r="G409" s="17">
        <f t="shared" si="25"/>
        <v>0.45070422535211269</v>
      </c>
    </row>
    <row r="410" spans="1:7" x14ac:dyDescent="0.3">
      <c r="A410" s="14">
        <v>13</v>
      </c>
      <c r="B410" s="15">
        <v>124</v>
      </c>
      <c r="C410" s="16" t="s">
        <v>70</v>
      </c>
      <c r="D410" s="36">
        <v>150</v>
      </c>
      <c r="E410" s="34">
        <v>47</v>
      </c>
      <c r="F410" s="34">
        <v>443</v>
      </c>
      <c r="G410" s="17">
        <f t="shared" si="25"/>
        <v>0.44469525959367945</v>
      </c>
    </row>
    <row r="411" spans="1:7" x14ac:dyDescent="0.3">
      <c r="A411" s="14">
        <v>13</v>
      </c>
      <c r="B411" s="15">
        <v>128</v>
      </c>
      <c r="C411" s="16" t="s">
        <v>71</v>
      </c>
      <c r="D411" s="36">
        <v>230</v>
      </c>
      <c r="E411" s="34">
        <v>70</v>
      </c>
      <c r="F411" s="34">
        <v>716</v>
      </c>
      <c r="G411" s="17">
        <f t="shared" si="25"/>
        <v>0.41899441340782123</v>
      </c>
    </row>
    <row r="412" spans="1:7" x14ac:dyDescent="0.3">
      <c r="A412" s="14">
        <v>13</v>
      </c>
      <c r="B412" s="15">
        <v>112</v>
      </c>
      <c r="C412" s="16" t="s">
        <v>68</v>
      </c>
      <c r="D412" s="36">
        <v>101</v>
      </c>
      <c r="E412" s="34">
        <v>65</v>
      </c>
      <c r="F412" s="34">
        <v>430</v>
      </c>
      <c r="G412" s="17">
        <f t="shared" si="25"/>
        <v>0.38604651162790699</v>
      </c>
    </row>
    <row r="413" spans="1:7" x14ac:dyDescent="0.3">
      <c r="A413" s="14">
        <v>13</v>
      </c>
      <c r="B413" s="14">
        <v>704</v>
      </c>
      <c r="C413" s="16" t="s">
        <v>559</v>
      </c>
      <c r="D413" s="34">
        <v>236</v>
      </c>
      <c r="E413" s="34">
        <v>83</v>
      </c>
      <c r="F413" s="34">
        <v>1071</v>
      </c>
      <c r="G413" s="17">
        <f t="shared" si="25"/>
        <v>0.29785247432306255</v>
      </c>
    </row>
    <row r="414" spans="1:7" ht="21" thickBot="1" x14ac:dyDescent="0.35">
      <c r="A414" s="24">
        <v>13</v>
      </c>
      <c r="B414" s="37">
        <v>750</v>
      </c>
      <c r="C414" s="26" t="s">
        <v>207</v>
      </c>
      <c r="D414" s="11">
        <v>25</v>
      </c>
      <c r="E414" s="12">
        <v>5</v>
      </c>
      <c r="F414" s="12">
        <v>104</v>
      </c>
      <c r="G414" s="29">
        <f t="shared" si="25"/>
        <v>0.28846153846153844</v>
      </c>
    </row>
    <row r="415" spans="1:7" ht="21" thickBot="1" x14ac:dyDescent="0.35">
      <c r="A415" s="18"/>
      <c r="B415" s="19">
        <f>COUNTA(B400:B414)</f>
        <v>15</v>
      </c>
      <c r="C415" s="20" t="s">
        <v>16</v>
      </c>
      <c r="D415" s="21">
        <f>SUM(D400:D414)</f>
        <v>2958</v>
      </c>
      <c r="E415" s="35">
        <f>SUM(E400:E414)</f>
        <v>999</v>
      </c>
      <c r="F415" s="35">
        <f>SUM(F400:F414)</f>
        <v>8394</v>
      </c>
      <c r="G415" s="22">
        <f t="shared" si="25"/>
        <v>0.47140814867762687</v>
      </c>
    </row>
    <row r="416" spans="1:7" x14ac:dyDescent="0.3">
      <c r="A416" s="24"/>
      <c r="B416" s="25"/>
      <c r="C416" s="26"/>
      <c r="D416" s="31"/>
      <c r="E416" s="28"/>
      <c r="F416" s="28"/>
      <c r="G416" s="29"/>
    </row>
    <row r="417" spans="1:7" x14ac:dyDescent="0.3">
      <c r="A417" s="24"/>
      <c r="B417" s="25"/>
      <c r="C417" s="30" t="s">
        <v>74</v>
      </c>
      <c r="D417" s="31"/>
      <c r="E417" s="28"/>
      <c r="F417" s="28"/>
      <c r="G417" s="29"/>
    </row>
    <row r="418" spans="1:7" x14ac:dyDescent="0.3">
      <c r="A418" s="14">
        <v>14</v>
      </c>
      <c r="B418" s="15">
        <v>138</v>
      </c>
      <c r="C418" s="16" t="s">
        <v>588</v>
      </c>
      <c r="D418" s="36">
        <v>208</v>
      </c>
      <c r="E418" s="34">
        <v>30</v>
      </c>
      <c r="F418" s="34">
        <v>294</v>
      </c>
      <c r="G418" s="17">
        <f t="shared" ref="G418:G449" si="26">+(D418+E418)/F418</f>
        <v>0.80952380952380953</v>
      </c>
    </row>
    <row r="419" spans="1:7" x14ac:dyDescent="0.3">
      <c r="A419" s="14">
        <v>14</v>
      </c>
      <c r="B419" s="15">
        <v>147</v>
      </c>
      <c r="C419" s="16" t="s">
        <v>593</v>
      </c>
      <c r="D419" s="36">
        <v>311</v>
      </c>
      <c r="E419" s="34">
        <v>73</v>
      </c>
      <c r="F419" s="34">
        <v>608</v>
      </c>
      <c r="G419" s="17">
        <f t="shared" si="26"/>
        <v>0.63157894736842102</v>
      </c>
    </row>
    <row r="420" spans="1:7" x14ac:dyDescent="0.3">
      <c r="A420" s="14">
        <v>14</v>
      </c>
      <c r="B420" s="15">
        <v>111</v>
      </c>
      <c r="C420" s="16" t="s">
        <v>403</v>
      </c>
      <c r="D420" s="36">
        <v>327</v>
      </c>
      <c r="E420" s="34">
        <v>49</v>
      </c>
      <c r="F420" s="34">
        <v>600</v>
      </c>
      <c r="G420" s="17">
        <f t="shared" si="26"/>
        <v>0.62666666666666671</v>
      </c>
    </row>
    <row r="421" spans="1:7" x14ac:dyDescent="0.3">
      <c r="A421" s="14">
        <v>14</v>
      </c>
      <c r="B421" s="15">
        <v>132</v>
      </c>
      <c r="C421" s="16" t="s">
        <v>582</v>
      </c>
      <c r="D421" s="36">
        <v>306</v>
      </c>
      <c r="E421" s="34">
        <v>76</v>
      </c>
      <c r="F421" s="34">
        <v>633</v>
      </c>
      <c r="G421" s="17">
        <f t="shared" si="26"/>
        <v>0.60347551342812011</v>
      </c>
    </row>
    <row r="422" spans="1:7" x14ac:dyDescent="0.3">
      <c r="A422" s="14">
        <v>14</v>
      </c>
      <c r="B422" s="15">
        <v>406</v>
      </c>
      <c r="C422" s="16" t="s">
        <v>584</v>
      </c>
      <c r="D422" s="36">
        <v>337</v>
      </c>
      <c r="E422" s="34">
        <v>83</v>
      </c>
      <c r="F422" s="34">
        <v>769</v>
      </c>
      <c r="G422" s="17">
        <f t="shared" si="26"/>
        <v>0.54616384915474647</v>
      </c>
    </row>
    <row r="423" spans="1:7" x14ac:dyDescent="0.3">
      <c r="A423" s="14">
        <v>14</v>
      </c>
      <c r="B423" s="15">
        <v>412</v>
      </c>
      <c r="C423" s="16" t="s">
        <v>84</v>
      </c>
      <c r="D423" s="36">
        <v>407</v>
      </c>
      <c r="E423" s="34">
        <v>91</v>
      </c>
      <c r="F423" s="34">
        <v>952</v>
      </c>
      <c r="G423" s="17">
        <f t="shared" si="26"/>
        <v>0.52310924369747902</v>
      </c>
    </row>
    <row r="424" spans="1:7" x14ac:dyDescent="0.3">
      <c r="A424" s="14">
        <v>14</v>
      </c>
      <c r="B424" s="15">
        <v>153</v>
      </c>
      <c r="C424" s="16" t="s">
        <v>594</v>
      </c>
      <c r="D424" s="36">
        <v>266</v>
      </c>
      <c r="E424" s="34">
        <v>62</v>
      </c>
      <c r="F424" s="34">
        <v>633</v>
      </c>
      <c r="G424" s="17">
        <f t="shared" si="26"/>
        <v>0.5181674565560821</v>
      </c>
    </row>
    <row r="425" spans="1:7" x14ac:dyDescent="0.3">
      <c r="A425" s="14">
        <v>14</v>
      </c>
      <c r="B425" s="15">
        <v>169</v>
      </c>
      <c r="C425" s="16" t="s">
        <v>606</v>
      </c>
      <c r="D425" s="36">
        <v>225</v>
      </c>
      <c r="E425" s="34">
        <v>72</v>
      </c>
      <c r="F425" s="34">
        <v>594</v>
      </c>
      <c r="G425" s="17">
        <f t="shared" si="26"/>
        <v>0.5</v>
      </c>
    </row>
    <row r="426" spans="1:7" ht="22.5" customHeight="1" x14ac:dyDescent="0.3">
      <c r="A426" s="14">
        <v>14</v>
      </c>
      <c r="B426" s="15">
        <v>168</v>
      </c>
      <c r="C426" s="16" t="s">
        <v>604</v>
      </c>
      <c r="D426" s="36">
        <v>174</v>
      </c>
      <c r="E426" s="34">
        <v>47</v>
      </c>
      <c r="F426" s="34">
        <v>476</v>
      </c>
      <c r="G426" s="17">
        <f t="shared" si="26"/>
        <v>0.4642857142857143</v>
      </c>
    </row>
    <row r="427" spans="1:7" x14ac:dyDescent="0.3">
      <c r="A427" s="14">
        <v>14</v>
      </c>
      <c r="B427" s="15">
        <v>810</v>
      </c>
      <c r="C427" s="16" t="s">
        <v>587</v>
      </c>
      <c r="D427" s="36">
        <v>60</v>
      </c>
      <c r="E427" s="34">
        <v>3</v>
      </c>
      <c r="F427" s="34">
        <v>147</v>
      </c>
      <c r="G427" s="17">
        <f t="shared" si="26"/>
        <v>0.42857142857142855</v>
      </c>
    </row>
    <row r="428" spans="1:7" x14ac:dyDescent="0.3">
      <c r="A428" s="14">
        <v>14</v>
      </c>
      <c r="B428" s="15">
        <v>162</v>
      </c>
      <c r="C428" s="16" t="s">
        <v>601</v>
      </c>
      <c r="D428" s="36">
        <v>127</v>
      </c>
      <c r="E428" s="34">
        <v>67</v>
      </c>
      <c r="F428" s="34">
        <v>485</v>
      </c>
      <c r="G428" s="17">
        <f t="shared" si="26"/>
        <v>0.4</v>
      </c>
    </row>
    <row r="429" spans="1:7" x14ac:dyDescent="0.3">
      <c r="A429" s="14">
        <v>14</v>
      </c>
      <c r="B429" s="15">
        <v>145</v>
      </c>
      <c r="C429" s="16" t="s">
        <v>591</v>
      </c>
      <c r="D429" s="36">
        <v>245</v>
      </c>
      <c r="E429" s="34">
        <v>79</v>
      </c>
      <c r="F429" s="34">
        <v>829</v>
      </c>
      <c r="G429" s="17">
        <f t="shared" si="26"/>
        <v>0.39083232810615198</v>
      </c>
    </row>
    <row r="430" spans="1:7" x14ac:dyDescent="0.3">
      <c r="A430" s="14">
        <v>14</v>
      </c>
      <c r="B430" s="15">
        <v>175</v>
      </c>
      <c r="C430" s="16" t="s">
        <v>573</v>
      </c>
      <c r="D430" s="36">
        <v>216</v>
      </c>
      <c r="E430" s="34">
        <v>59</v>
      </c>
      <c r="F430" s="34">
        <v>717</v>
      </c>
      <c r="G430" s="17">
        <f t="shared" si="26"/>
        <v>0.38354253835425384</v>
      </c>
    </row>
    <row r="431" spans="1:7" x14ac:dyDescent="0.3">
      <c r="A431" s="14">
        <v>14</v>
      </c>
      <c r="B431" s="15">
        <v>170</v>
      </c>
      <c r="C431" s="16" t="s">
        <v>605</v>
      </c>
      <c r="D431" s="36">
        <v>149</v>
      </c>
      <c r="E431" s="34">
        <v>52</v>
      </c>
      <c r="F431" s="34">
        <v>574</v>
      </c>
      <c r="G431" s="17">
        <f t="shared" si="26"/>
        <v>0.35017421602787457</v>
      </c>
    </row>
    <row r="432" spans="1:7" x14ac:dyDescent="0.3">
      <c r="A432" s="14">
        <v>14</v>
      </c>
      <c r="B432" s="15">
        <v>128</v>
      </c>
      <c r="C432" s="16" t="s">
        <v>579</v>
      </c>
      <c r="D432" s="36">
        <v>198</v>
      </c>
      <c r="E432" s="34">
        <v>71</v>
      </c>
      <c r="F432" s="34">
        <v>775</v>
      </c>
      <c r="G432" s="17">
        <f t="shared" si="26"/>
        <v>0.3470967741935484</v>
      </c>
    </row>
    <row r="433" spans="1:7" x14ac:dyDescent="0.3">
      <c r="A433" s="14">
        <v>14</v>
      </c>
      <c r="B433" s="15">
        <v>414</v>
      </c>
      <c r="C433" s="16" t="s">
        <v>86</v>
      </c>
      <c r="D433" s="36">
        <v>327</v>
      </c>
      <c r="E433" s="34">
        <v>83</v>
      </c>
      <c r="F433" s="34">
        <v>1268</v>
      </c>
      <c r="G433" s="17">
        <f t="shared" si="26"/>
        <v>0.32334384858044163</v>
      </c>
    </row>
    <row r="434" spans="1:7" x14ac:dyDescent="0.3">
      <c r="A434" s="14">
        <v>14</v>
      </c>
      <c r="B434" s="15">
        <v>718</v>
      </c>
      <c r="C434" s="16" t="s">
        <v>95</v>
      </c>
      <c r="D434" s="36">
        <v>401</v>
      </c>
      <c r="E434" s="34">
        <v>139</v>
      </c>
      <c r="F434" s="34">
        <v>1750</v>
      </c>
      <c r="G434" s="17">
        <f t="shared" si="26"/>
        <v>0.30857142857142855</v>
      </c>
    </row>
    <row r="435" spans="1:7" x14ac:dyDescent="0.3">
      <c r="A435" s="14">
        <v>14</v>
      </c>
      <c r="B435" s="15">
        <v>416</v>
      </c>
      <c r="C435" s="16" t="s">
        <v>218</v>
      </c>
      <c r="D435" s="36">
        <v>284</v>
      </c>
      <c r="E435" s="34">
        <v>132</v>
      </c>
      <c r="F435" s="34">
        <v>1399</v>
      </c>
      <c r="G435" s="17">
        <f t="shared" si="26"/>
        <v>0.29735525375268046</v>
      </c>
    </row>
    <row r="436" spans="1:7" x14ac:dyDescent="0.3">
      <c r="A436" s="14">
        <v>14</v>
      </c>
      <c r="B436" s="15">
        <v>134</v>
      </c>
      <c r="C436" s="16" t="s">
        <v>585</v>
      </c>
      <c r="D436" s="36">
        <v>156</v>
      </c>
      <c r="E436" s="34">
        <v>57</v>
      </c>
      <c r="F436" s="34">
        <v>728</v>
      </c>
      <c r="G436" s="17">
        <f t="shared" si="26"/>
        <v>0.2925824175824176</v>
      </c>
    </row>
    <row r="437" spans="1:7" x14ac:dyDescent="0.3">
      <c r="A437" s="14">
        <v>14</v>
      </c>
      <c r="B437" s="15">
        <v>109</v>
      </c>
      <c r="C437" s="16" t="s">
        <v>571</v>
      </c>
      <c r="D437" s="36">
        <v>189</v>
      </c>
      <c r="E437" s="34">
        <v>20</v>
      </c>
      <c r="F437" s="34">
        <v>741</v>
      </c>
      <c r="G437" s="17">
        <f t="shared" si="26"/>
        <v>0.28205128205128205</v>
      </c>
    </row>
    <row r="438" spans="1:7" x14ac:dyDescent="0.3">
      <c r="A438" s="14">
        <v>14</v>
      </c>
      <c r="B438" s="15">
        <v>117</v>
      </c>
      <c r="C438" s="16" t="s">
        <v>598</v>
      </c>
      <c r="D438" s="36">
        <v>156</v>
      </c>
      <c r="E438" s="34">
        <v>53</v>
      </c>
      <c r="F438" s="34">
        <v>747</v>
      </c>
      <c r="G438" s="17">
        <f t="shared" si="26"/>
        <v>0.27978580990629182</v>
      </c>
    </row>
    <row r="439" spans="1:7" x14ac:dyDescent="0.3">
      <c r="A439" s="14">
        <v>14</v>
      </c>
      <c r="B439" s="15">
        <v>152</v>
      </c>
      <c r="C439" s="16" t="s">
        <v>595</v>
      </c>
      <c r="D439" s="36">
        <v>142</v>
      </c>
      <c r="E439" s="34">
        <v>75</v>
      </c>
      <c r="F439" s="34">
        <v>799</v>
      </c>
      <c r="G439" s="17">
        <f t="shared" si="26"/>
        <v>0.2715894868585732</v>
      </c>
    </row>
    <row r="440" spans="1:7" x14ac:dyDescent="0.3">
      <c r="A440" s="14">
        <v>14</v>
      </c>
      <c r="B440" s="15">
        <v>114</v>
      </c>
      <c r="C440" s="16" t="s">
        <v>592</v>
      </c>
      <c r="D440" s="36">
        <v>136</v>
      </c>
      <c r="E440" s="34">
        <v>52</v>
      </c>
      <c r="F440" s="34">
        <v>701</v>
      </c>
      <c r="G440" s="17">
        <f t="shared" si="26"/>
        <v>0.26818830242510699</v>
      </c>
    </row>
    <row r="441" spans="1:7" x14ac:dyDescent="0.3">
      <c r="A441" s="14">
        <v>14</v>
      </c>
      <c r="B441" s="15">
        <v>121</v>
      </c>
      <c r="C441" s="16" t="s">
        <v>287</v>
      </c>
      <c r="D441" s="36">
        <v>121</v>
      </c>
      <c r="E441" s="34">
        <v>60</v>
      </c>
      <c r="F441" s="34">
        <v>699</v>
      </c>
      <c r="G441" s="17">
        <f t="shared" si="26"/>
        <v>0.25894134477825465</v>
      </c>
    </row>
    <row r="442" spans="1:7" x14ac:dyDescent="0.3">
      <c r="A442" s="14">
        <v>14</v>
      </c>
      <c r="B442" s="15">
        <v>119</v>
      </c>
      <c r="C442" s="16" t="s">
        <v>589</v>
      </c>
      <c r="D442" s="36">
        <v>165</v>
      </c>
      <c r="E442" s="34">
        <v>58</v>
      </c>
      <c r="F442" s="34">
        <v>914</v>
      </c>
      <c r="G442" s="17">
        <f t="shared" si="26"/>
        <v>0.24398249452954049</v>
      </c>
    </row>
    <row r="443" spans="1:7" x14ac:dyDescent="0.3">
      <c r="A443" s="14">
        <v>14</v>
      </c>
      <c r="B443" s="15">
        <v>131</v>
      </c>
      <c r="C443" s="16" t="s">
        <v>581</v>
      </c>
      <c r="D443" s="36">
        <v>131</v>
      </c>
      <c r="E443" s="34">
        <v>81</v>
      </c>
      <c r="F443" s="34">
        <v>908</v>
      </c>
      <c r="G443" s="17">
        <f t="shared" si="26"/>
        <v>0.23348017621145375</v>
      </c>
    </row>
    <row r="444" spans="1:7" x14ac:dyDescent="0.3">
      <c r="A444" s="14">
        <v>14</v>
      </c>
      <c r="B444" s="15">
        <v>157</v>
      </c>
      <c r="C444" s="16" t="s">
        <v>596</v>
      </c>
      <c r="D444" s="36">
        <v>119</v>
      </c>
      <c r="E444" s="34">
        <v>37</v>
      </c>
      <c r="F444" s="34">
        <v>685</v>
      </c>
      <c r="G444" s="17">
        <f t="shared" si="26"/>
        <v>0.22773722627737225</v>
      </c>
    </row>
    <row r="445" spans="1:7" x14ac:dyDescent="0.3">
      <c r="A445" s="14">
        <v>14</v>
      </c>
      <c r="B445" s="15">
        <v>415</v>
      </c>
      <c r="C445" s="16" t="s">
        <v>87</v>
      </c>
      <c r="D445" s="36">
        <v>183</v>
      </c>
      <c r="E445" s="34">
        <v>77</v>
      </c>
      <c r="F445" s="34">
        <v>1147</v>
      </c>
      <c r="G445" s="17">
        <f t="shared" si="26"/>
        <v>0.22667829119442023</v>
      </c>
    </row>
    <row r="446" spans="1:7" x14ac:dyDescent="0.3">
      <c r="A446" s="14">
        <v>14</v>
      </c>
      <c r="B446" s="15">
        <v>126</v>
      </c>
      <c r="C446" s="16" t="s">
        <v>578</v>
      </c>
      <c r="D446" s="36">
        <v>109</v>
      </c>
      <c r="E446" s="34">
        <v>41</v>
      </c>
      <c r="F446" s="34">
        <v>667</v>
      </c>
      <c r="G446" s="17">
        <f t="shared" si="26"/>
        <v>0.22488755622188905</v>
      </c>
    </row>
    <row r="447" spans="1:7" x14ac:dyDescent="0.3">
      <c r="A447" s="14">
        <v>14</v>
      </c>
      <c r="B447" s="15">
        <v>703</v>
      </c>
      <c r="C447" s="16" t="s">
        <v>89</v>
      </c>
      <c r="D447" s="36">
        <v>331</v>
      </c>
      <c r="E447" s="34">
        <v>156</v>
      </c>
      <c r="F447" s="34">
        <v>2363</v>
      </c>
      <c r="G447" s="17">
        <f t="shared" si="26"/>
        <v>0.20609394837071518</v>
      </c>
    </row>
    <row r="448" spans="1:7" x14ac:dyDescent="0.3">
      <c r="A448" s="14">
        <v>14</v>
      </c>
      <c r="B448" s="15">
        <v>160</v>
      </c>
      <c r="C448" s="16" t="s">
        <v>599</v>
      </c>
      <c r="D448" s="36">
        <v>139</v>
      </c>
      <c r="E448" s="34">
        <v>40</v>
      </c>
      <c r="F448" s="34">
        <v>886</v>
      </c>
      <c r="G448" s="17">
        <f t="shared" si="26"/>
        <v>0.2020316027088036</v>
      </c>
    </row>
    <row r="449" spans="1:7" x14ac:dyDescent="0.3">
      <c r="A449" s="14">
        <v>14</v>
      </c>
      <c r="B449" s="15">
        <v>161</v>
      </c>
      <c r="C449" s="16" t="s">
        <v>600</v>
      </c>
      <c r="D449" s="36">
        <v>95</v>
      </c>
      <c r="E449" s="34">
        <v>41</v>
      </c>
      <c r="F449" s="34">
        <v>687</v>
      </c>
      <c r="G449" s="17">
        <f t="shared" si="26"/>
        <v>0.19796215429403202</v>
      </c>
    </row>
    <row r="450" spans="1:7" x14ac:dyDescent="0.3">
      <c r="A450" s="14">
        <v>14</v>
      </c>
      <c r="B450" s="15">
        <v>115</v>
      </c>
      <c r="C450" s="16" t="s">
        <v>576</v>
      </c>
      <c r="D450" s="36">
        <v>127</v>
      </c>
      <c r="E450" s="34">
        <v>34</v>
      </c>
      <c r="F450" s="34">
        <v>836</v>
      </c>
      <c r="G450" s="17">
        <f t="shared" ref="G450:G468" si="27">+(D450+E450)/F450</f>
        <v>0.19258373205741627</v>
      </c>
    </row>
    <row r="451" spans="1:7" x14ac:dyDescent="0.3">
      <c r="A451" s="14">
        <v>14</v>
      </c>
      <c r="B451" s="15">
        <v>413</v>
      </c>
      <c r="C451" s="16" t="s">
        <v>85</v>
      </c>
      <c r="D451" s="36">
        <v>187</v>
      </c>
      <c r="E451" s="34">
        <v>85</v>
      </c>
      <c r="F451" s="34">
        <v>1422</v>
      </c>
      <c r="G451" s="17">
        <f t="shared" si="27"/>
        <v>0.19127988748241911</v>
      </c>
    </row>
    <row r="452" spans="1:7" x14ac:dyDescent="0.3">
      <c r="A452" s="14">
        <v>14</v>
      </c>
      <c r="B452" s="15">
        <v>177</v>
      </c>
      <c r="C452" s="16" t="s">
        <v>572</v>
      </c>
      <c r="D452" s="36">
        <v>135</v>
      </c>
      <c r="E452" s="34">
        <v>45</v>
      </c>
      <c r="F452" s="34">
        <v>950</v>
      </c>
      <c r="G452" s="17">
        <f t="shared" si="27"/>
        <v>0.18947368421052632</v>
      </c>
    </row>
    <row r="453" spans="1:7" x14ac:dyDescent="0.3">
      <c r="A453" s="14">
        <v>14</v>
      </c>
      <c r="B453" s="15">
        <v>409</v>
      </c>
      <c r="C453" s="16" t="s">
        <v>81</v>
      </c>
      <c r="D453" s="36">
        <v>143</v>
      </c>
      <c r="E453" s="34">
        <v>77</v>
      </c>
      <c r="F453" s="34">
        <v>1192</v>
      </c>
      <c r="G453" s="17">
        <f t="shared" si="27"/>
        <v>0.18456375838926176</v>
      </c>
    </row>
    <row r="454" spans="1:7" x14ac:dyDescent="0.3">
      <c r="A454" s="14">
        <v>14</v>
      </c>
      <c r="B454" s="15">
        <v>417</v>
      </c>
      <c r="C454" s="16" t="s">
        <v>219</v>
      </c>
      <c r="D454" s="36">
        <v>156</v>
      </c>
      <c r="E454" s="34">
        <v>82</v>
      </c>
      <c r="F454" s="34">
        <v>1302</v>
      </c>
      <c r="G454" s="17">
        <f t="shared" si="27"/>
        <v>0.18279569892473119</v>
      </c>
    </row>
    <row r="455" spans="1:7" x14ac:dyDescent="0.3">
      <c r="A455" s="14">
        <v>14</v>
      </c>
      <c r="B455" s="15">
        <v>998</v>
      </c>
      <c r="C455" s="16" t="s">
        <v>331</v>
      </c>
      <c r="D455" s="36">
        <v>26</v>
      </c>
      <c r="E455" s="34">
        <v>19</v>
      </c>
      <c r="F455" s="34">
        <v>254</v>
      </c>
      <c r="G455" s="17">
        <f t="shared" si="27"/>
        <v>0.17716535433070865</v>
      </c>
    </row>
    <row r="456" spans="1:7" x14ac:dyDescent="0.3">
      <c r="A456" s="14">
        <v>14</v>
      </c>
      <c r="B456" s="15">
        <v>163</v>
      </c>
      <c r="C456" s="16" t="s">
        <v>597</v>
      </c>
      <c r="D456" s="36">
        <v>94</v>
      </c>
      <c r="E456" s="34">
        <v>45</v>
      </c>
      <c r="F456" s="34">
        <v>803</v>
      </c>
      <c r="G456" s="17">
        <f t="shared" si="27"/>
        <v>0.17310087173100872</v>
      </c>
    </row>
    <row r="457" spans="1:7" x14ac:dyDescent="0.3">
      <c r="A457" s="14">
        <v>14</v>
      </c>
      <c r="B457" s="15">
        <v>707</v>
      </c>
      <c r="C457" s="16" t="s">
        <v>850</v>
      </c>
      <c r="D457" s="36">
        <v>197</v>
      </c>
      <c r="E457" s="34">
        <v>125</v>
      </c>
      <c r="F457" s="34">
        <v>1872</v>
      </c>
      <c r="G457" s="17">
        <f t="shared" si="27"/>
        <v>0.17200854700854701</v>
      </c>
    </row>
    <row r="458" spans="1:7" x14ac:dyDescent="0.3">
      <c r="A458" s="14">
        <v>14</v>
      </c>
      <c r="B458" s="15">
        <v>716</v>
      </c>
      <c r="C458" s="16" t="s">
        <v>602</v>
      </c>
      <c r="D458" s="36">
        <v>62</v>
      </c>
      <c r="E458" s="34">
        <v>19</v>
      </c>
      <c r="F458" s="34">
        <v>483</v>
      </c>
      <c r="G458" s="17">
        <f t="shared" si="27"/>
        <v>0.16770186335403728</v>
      </c>
    </row>
    <row r="459" spans="1:7" x14ac:dyDescent="0.3">
      <c r="A459" s="14">
        <v>14</v>
      </c>
      <c r="B459" s="15">
        <v>136</v>
      </c>
      <c r="C459" s="16" t="s">
        <v>583</v>
      </c>
      <c r="D459" s="36">
        <v>109</v>
      </c>
      <c r="E459" s="34">
        <v>44</v>
      </c>
      <c r="F459" s="34">
        <v>934</v>
      </c>
      <c r="G459" s="17">
        <f t="shared" si="27"/>
        <v>0.16381156316916487</v>
      </c>
    </row>
    <row r="460" spans="1:7" x14ac:dyDescent="0.3">
      <c r="A460" s="14">
        <v>14</v>
      </c>
      <c r="B460" s="15">
        <v>167</v>
      </c>
      <c r="C460" s="16" t="s">
        <v>603</v>
      </c>
      <c r="D460" s="36">
        <v>85</v>
      </c>
      <c r="E460" s="34">
        <v>34</v>
      </c>
      <c r="F460" s="34">
        <v>730</v>
      </c>
      <c r="G460" s="17">
        <f t="shared" si="27"/>
        <v>0.16301369863013698</v>
      </c>
    </row>
    <row r="461" spans="1:7" x14ac:dyDescent="0.3">
      <c r="A461" s="14">
        <v>14</v>
      </c>
      <c r="B461" s="15">
        <v>411</v>
      </c>
      <c r="C461" s="16" t="s">
        <v>83</v>
      </c>
      <c r="D461" s="36">
        <v>180</v>
      </c>
      <c r="E461" s="34">
        <v>47</v>
      </c>
      <c r="F461" s="34">
        <v>1556</v>
      </c>
      <c r="G461" s="17">
        <f t="shared" si="27"/>
        <v>0.14588688946015424</v>
      </c>
    </row>
    <row r="462" spans="1:7" x14ac:dyDescent="0.3">
      <c r="A462" s="14">
        <v>14</v>
      </c>
      <c r="B462" s="15">
        <v>146</v>
      </c>
      <c r="C462" s="16" t="s">
        <v>590</v>
      </c>
      <c r="D462" s="36">
        <v>86</v>
      </c>
      <c r="E462" s="34">
        <v>35</v>
      </c>
      <c r="F462" s="34">
        <v>841</v>
      </c>
      <c r="G462" s="17">
        <f t="shared" si="27"/>
        <v>0.14387633769322236</v>
      </c>
    </row>
    <row r="463" spans="1:7" x14ac:dyDescent="0.3">
      <c r="A463" s="14">
        <v>14</v>
      </c>
      <c r="B463" s="15">
        <v>710</v>
      </c>
      <c r="C463" s="16" t="s">
        <v>94</v>
      </c>
      <c r="D463" s="36">
        <v>170</v>
      </c>
      <c r="E463" s="34">
        <v>95</v>
      </c>
      <c r="F463" s="34">
        <v>2023</v>
      </c>
      <c r="G463" s="17">
        <f t="shared" si="27"/>
        <v>0.13099357390014829</v>
      </c>
    </row>
    <row r="464" spans="1:7" x14ac:dyDescent="0.3">
      <c r="A464" s="14">
        <v>14</v>
      </c>
      <c r="B464" s="15">
        <v>176</v>
      </c>
      <c r="C464" s="16" t="s">
        <v>580</v>
      </c>
      <c r="D464" s="36">
        <v>79</v>
      </c>
      <c r="E464" s="34">
        <v>35</v>
      </c>
      <c r="F464" s="34">
        <v>919</v>
      </c>
      <c r="G464" s="17">
        <f t="shared" si="27"/>
        <v>0.12404787812840043</v>
      </c>
    </row>
    <row r="465" spans="1:7" x14ac:dyDescent="0.3">
      <c r="A465" s="14">
        <v>14</v>
      </c>
      <c r="B465" s="15">
        <v>118</v>
      </c>
      <c r="C465" s="16" t="s">
        <v>577</v>
      </c>
      <c r="D465" s="36">
        <v>89</v>
      </c>
      <c r="E465" s="34">
        <v>30</v>
      </c>
      <c r="F465" s="34">
        <v>968</v>
      </c>
      <c r="G465" s="17">
        <f t="shared" si="27"/>
        <v>0.12293388429752067</v>
      </c>
    </row>
    <row r="466" spans="1:7" x14ac:dyDescent="0.3">
      <c r="A466" s="14">
        <v>14</v>
      </c>
      <c r="B466" s="15">
        <v>133</v>
      </c>
      <c r="C466" s="16" t="s">
        <v>586</v>
      </c>
      <c r="D466" s="36">
        <v>80</v>
      </c>
      <c r="E466" s="34">
        <v>22</v>
      </c>
      <c r="F466" s="34">
        <v>904</v>
      </c>
      <c r="G466" s="17">
        <f t="shared" si="27"/>
        <v>0.11283185840707964</v>
      </c>
    </row>
    <row r="467" spans="1:7" x14ac:dyDescent="0.3">
      <c r="A467" s="14">
        <v>14</v>
      </c>
      <c r="B467" s="15">
        <v>704</v>
      </c>
      <c r="C467" s="16" t="s">
        <v>90</v>
      </c>
      <c r="D467" s="36">
        <v>165</v>
      </c>
      <c r="E467" s="34">
        <v>72</v>
      </c>
      <c r="F467" s="34">
        <v>2382</v>
      </c>
      <c r="G467" s="17">
        <f t="shared" si="27"/>
        <v>9.949622166246852E-2</v>
      </c>
    </row>
    <row r="468" spans="1:7" ht="21" thickBot="1" x14ac:dyDescent="0.35">
      <c r="A468" s="14">
        <v>14</v>
      </c>
      <c r="B468" s="15">
        <v>802</v>
      </c>
      <c r="C468" s="16" t="s">
        <v>96</v>
      </c>
      <c r="D468" s="36">
        <v>0</v>
      </c>
      <c r="E468" s="34">
        <v>7</v>
      </c>
      <c r="F468" s="34">
        <v>132</v>
      </c>
      <c r="G468" s="17">
        <f t="shared" si="27"/>
        <v>5.3030303030303032E-2</v>
      </c>
    </row>
    <row r="469" spans="1:7" ht="21" thickBot="1" x14ac:dyDescent="0.35">
      <c r="A469" s="18"/>
      <c r="B469" s="19">
        <f>COUNTA(B418:B468)</f>
        <v>51</v>
      </c>
      <c r="C469" s="20" t="s">
        <v>16</v>
      </c>
      <c r="D469" s="21">
        <f>SUM(D418:D468)</f>
        <v>8910</v>
      </c>
      <c r="E469" s="35">
        <f>SUM(E418:E468)</f>
        <v>3068</v>
      </c>
      <c r="F469" s="35">
        <f>SUM(F418:F468)</f>
        <v>46678</v>
      </c>
      <c r="G469" s="22">
        <f t="shared" ref="G469" si="28">+(D469+E469)/F469</f>
        <v>0.25660910921633318</v>
      </c>
    </row>
    <row r="470" spans="1:7" x14ac:dyDescent="0.3">
      <c r="A470" s="24"/>
      <c r="B470" s="25"/>
      <c r="C470" s="26"/>
      <c r="D470" s="31"/>
      <c r="E470" s="28"/>
      <c r="F470" s="28"/>
      <c r="G470" s="29"/>
    </row>
    <row r="471" spans="1:7" x14ac:dyDescent="0.3">
      <c r="A471" s="24"/>
      <c r="B471" s="25"/>
      <c r="C471" s="30" t="s">
        <v>97</v>
      </c>
      <c r="E471" s="28"/>
      <c r="F471" s="28"/>
      <c r="G471" s="29"/>
    </row>
    <row r="472" spans="1:7" x14ac:dyDescent="0.3">
      <c r="A472" s="14">
        <v>15</v>
      </c>
      <c r="B472" s="15">
        <v>112</v>
      </c>
      <c r="C472" s="16" t="s">
        <v>566</v>
      </c>
      <c r="D472" s="36">
        <v>143</v>
      </c>
      <c r="E472" s="53">
        <v>89</v>
      </c>
      <c r="F472" s="34">
        <v>451</v>
      </c>
      <c r="G472" s="17">
        <f>+(D472+E472)/F472</f>
        <v>0.51441241685144123</v>
      </c>
    </row>
    <row r="473" spans="1:7" x14ac:dyDescent="0.3">
      <c r="A473" s="14">
        <v>15</v>
      </c>
      <c r="B473" s="15">
        <v>110</v>
      </c>
      <c r="C473" s="16" t="s">
        <v>564</v>
      </c>
      <c r="D473" s="36">
        <v>114</v>
      </c>
      <c r="E473" s="53">
        <v>49</v>
      </c>
      <c r="F473" s="34">
        <v>329</v>
      </c>
      <c r="G473" s="17">
        <f>+(D473+E473)/F473</f>
        <v>0.49544072948328266</v>
      </c>
    </row>
    <row r="474" spans="1:7" x14ac:dyDescent="0.3">
      <c r="A474" s="14">
        <v>15</v>
      </c>
      <c r="B474" s="15">
        <v>304</v>
      </c>
      <c r="C474" s="16" t="s">
        <v>220</v>
      </c>
      <c r="D474" s="36">
        <v>111</v>
      </c>
      <c r="E474" s="53">
        <v>47</v>
      </c>
      <c r="F474" s="34">
        <v>363</v>
      </c>
      <c r="G474" s="17">
        <f>+(D474+E474)/F474</f>
        <v>0.43526170798898073</v>
      </c>
    </row>
    <row r="475" spans="1:7" x14ac:dyDescent="0.3">
      <c r="A475" s="14">
        <v>15</v>
      </c>
      <c r="B475" s="15">
        <v>112</v>
      </c>
      <c r="C475" s="16" t="s">
        <v>565</v>
      </c>
      <c r="D475" s="36">
        <v>56</v>
      </c>
      <c r="E475" s="53">
        <v>47</v>
      </c>
      <c r="F475" s="34">
        <v>279</v>
      </c>
      <c r="G475" s="17">
        <f>+(D475+E475)/F475</f>
        <v>0.36917562724014336</v>
      </c>
    </row>
    <row r="476" spans="1:7" ht="21" thickBot="1" x14ac:dyDescent="0.35">
      <c r="A476" s="24">
        <v>15</v>
      </c>
      <c r="B476" s="25">
        <v>704</v>
      </c>
      <c r="C476" s="26" t="s">
        <v>98</v>
      </c>
      <c r="D476" s="36">
        <v>140</v>
      </c>
      <c r="E476" s="54">
        <v>88</v>
      </c>
      <c r="F476" s="34">
        <v>699</v>
      </c>
      <c r="G476" s="29">
        <f>+(D476+E476)/F476</f>
        <v>0.3261802575107296</v>
      </c>
    </row>
    <row r="477" spans="1:7" ht="21" thickBot="1" x14ac:dyDescent="0.35">
      <c r="A477" s="18"/>
      <c r="B477" s="19">
        <f>COUNTA(B472:B476)</f>
        <v>5</v>
      </c>
      <c r="C477" s="20" t="s">
        <v>16</v>
      </c>
      <c r="D477" s="21">
        <f>SUM(D472:D476)</f>
        <v>564</v>
      </c>
      <c r="E477" s="35">
        <f>SUM(E472:E476)</f>
        <v>320</v>
      </c>
      <c r="F477" s="35">
        <f>SUM(F472:F476)</f>
        <v>2121</v>
      </c>
      <c r="G477" s="22">
        <f t="shared" ref="G477" si="29">+(D477+E477)/F477</f>
        <v>0.41678453559641676</v>
      </c>
    </row>
    <row r="478" spans="1:7" x14ac:dyDescent="0.3">
      <c r="A478" s="24"/>
      <c r="B478" s="25"/>
      <c r="C478" s="26"/>
      <c r="D478" s="31"/>
      <c r="E478" s="28"/>
      <c r="F478" s="28"/>
      <c r="G478" s="29"/>
    </row>
    <row r="479" spans="1:7" x14ac:dyDescent="0.3">
      <c r="A479" s="24"/>
      <c r="B479" s="25"/>
      <c r="C479" s="30" t="s">
        <v>99</v>
      </c>
      <c r="D479" s="31"/>
      <c r="E479" s="28"/>
      <c r="F479" s="28"/>
      <c r="G479" s="29"/>
    </row>
    <row r="480" spans="1:7" x14ac:dyDescent="0.3">
      <c r="A480" s="14">
        <v>16</v>
      </c>
      <c r="B480" s="15">
        <v>110</v>
      </c>
      <c r="C480" s="55" t="s">
        <v>567</v>
      </c>
      <c r="D480" s="36">
        <v>25</v>
      </c>
      <c r="E480" s="34">
        <v>4</v>
      </c>
      <c r="F480" s="34">
        <v>29</v>
      </c>
      <c r="G480" s="17">
        <f t="shared" ref="G480:G487" si="30">+(D480+E480)/F480</f>
        <v>1</v>
      </c>
    </row>
    <row r="481" spans="1:7" x14ac:dyDescent="0.3">
      <c r="A481" s="14">
        <v>16</v>
      </c>
      <c r="B481" s="15">
        <v>130</v>
      </c>
      <c r="C481" s="55" t="s">
        <v>568</v>
      </c>
      <c r="D481" s="36">
        <v>8</v>
      </c>
      <c r="E481" s="34">
        <v>4</v>
      </c>
      <c r="F481" s="34">
        <v>12</v>
      </c>
      <c r="G481" s="17">
        <f t="shared" si="30"/>
        <v>1</v>
      </c>
    </row>
    <row r="482" spans="1:7" x14ac:dyDescent="0.3">
      <c r="A482" s="14">
        <v>16</v>
      </c>
      <c r="B482" s="15">
        <v>120</v>
      </c>
      <c r="C482" s="16" t="s">
        <v>101</v>
      </c>
      <c r="D482" s="36">
        <v>58</v>
      </c>
      <c r="E482" s="34">
        <v>37</v>
      </c>
      <c r="F482" s="34">
        <v>140</v>
      </c>
      <c r="G482" s="17">
        <f t="shared" si="30"/>
        <v>0.6785714285714286</v>
      </c>
    </row>
    <row r="483" spans="1:7" x14ac:dyDescent="0.3">
      <c r="A483" s="14">
        <v>16</v>
      </c>
      <c r="B483" s="15">
        <v>116</v>
      </c>
      <c r="C483" s="16" t="s">
        <v>100</v>
      </c>
      <c r="D483" s="36">
        <v>117</v>
      </c>
      <c r="E483" s="34">
        <v>65</v>
      </c>
      <c r="F483" s="34">
        <v>365</v>
      </c>
      <c r="G483" s="17">
        <f t="shared" si="30"/>
        <v>0.49863013698630138</v>
      </c>
    </row>
    <row r="484" spans="1:7" x14ac:dyDescent="0.3">
      <c r="A484" s="14">
        <v>16</v>
      </c>
      <c r="B484" s="15">
        <v>310</v>
      </c>
      <c r="C484" s="16" t="s">
        <v>102</v>
      </c>
      <c r="D484" s="36">
        <v>42</v>
      </c>
      <c r="E484" s="34">
        <v>17</v>
      </c>
      <c r="F484" s="34">
        <v>134</v>
      </c>
      <c r="G484" s="17">
        <f t="shared" si="30"/>
        <v>0.44029850746268656</v>
      </c>
    </row>
    <row r="485" spans="1:7" x14ac:dyDescent="0.3">
      <c r="A485" s="14">
        <v>16</v>
      </c>
      <c r="B485" s="15">
        <v>704</v>
      </c>
      <c r="C485" s="16" t="s">
        <v>104</v>
      </c>
      <c r="D485" s="36">
        <v>25</v>
      </c>
      <c r="E485" s="34">
        <v>22</v>
      </c>
      <c r="F485" s="34">
        <v>128</v>
      </c>
      <c r="G485" s="17">
        <f t="shared" si="30"/>
        <v>0.3671875</v>
      </c>
    </row>
    <row r="486" spans="1:7" x14ac:dyDescent="0.3">
      <c r="A486" s="14">
        <v>16</v>
      </c>
      <c r="B486" s="15">
        <v>704</v>
      </c>
      <c r="C486" s="16" t="s">
        <v>103</v>
      </c>
      <c r="D486" s="36">
        <v>47</v>
      </c>
      <c r="E486" s="34">
        <v>23</v>
      </c>
      <c r="F486" s="34">
        <v>231</v>
      </c>
      <c r="G486" s="17">
        <f t="shared" si="30"/>
        <v>0.30303030303030304</v>
      </c>
    </row>
    <row r="487" spans="1:7" ht="21" thickBot="1" x14ac:dyDescent="0.35">
      <c r="A487" s="14">
        <v>16</v>
      </c>
      <c r="B487" s="15">
        <v>900</v>
      </c>
      <c r="C487" s="16" t="s">
        <v>326</v>
      </c>
      <c r="D487" s="36">
        <v>0</v>
      </c>
      <c r="E487" s="34">
        <v>0</v>
      </c>
      <c r="F487" s="34">
        <f>SUM(F480:F486)</f>
        <v>1039</v>
      </c>
      <c r="G487" s="17">
        <f t="shared" si="30"/>
        <v>0</v>
      </c>
    </row>
    <row r="488" spans="1:7" ht="21" thickBot="1" x14ac:dyDescent="0.35">
      <c r="A488" s="18"/>
      <c r="B488" s="19">
        <f>COUNTA(B480:B487)</f>
        <v>8</v>
      </c>
      <c r="C488" s="20" t="s">
        <v>16</v>
      </c>
      <c r="D488" s="21">
        <f>SUM(D480:D487)</f>
        <v>322</v>
      </c>
      <c r="E488" s="35">
        <f>SUM(E480:E487)</f>
        <v>172</v>
      </c>
      <c r="F488" s="35">
        <f>SUM(D488:E488)</f>
        <v>494</v>
      </c>
      <c r="G488" s="22">
        <f t="shared" ref="G488" si="31">+(D488+E488)/F488</f>
        <v>1</v>
      </c>
    </row>
    <row r="489" spans="1:7" x14ac:dyDescent="0.3">
      <c r="A489" s="24"/>
      <c r="B489" s="25"/>
      <c r="C489" s="26"/>
      <c r="D489" s="31"/>
      <c r="E489" s="28"/>
      <c r="F489" s="28"/>
      <c r="G489" s="29"/>
    </row>
    <row r="490" spans="1:7" x14ac:dyDescent="0.3">
      <c r="A490" s="24"/>
      <c r="B490" s="25"/>
      <c r="C490" s="30" t="s">
        <v>105</v>
      </c>
      <c r="D490" s="31"/>
      <c r="E490" s="28"/>
      <c r="F490" s="28"/>
      <c r="G490" s="29"/>
    </row>
    <row r="491" spans="1:7" x14ac:dyDescent="0.3">
      <c r="A491" s="14">
        <v>17</v>
      </c>
      <c r="B491" s="15">
        <v>320</v>
      </c>
      <c r="C491" s="16" t="s">
        <v>106</v>
      </c>
      <c r="D491" s="36">
        <v>111</v>
      </c>
      <c r="E491" s="34">
        <v>67</v>
      </c>
      <c r="F491" s="34">
        <v>300</v>
      </c>
      <c r="G491" s="17">
        <f t="shared" ref="G491:G496" si="32">+(D491+E491)/F491</f>
        <v>0.59333333333333338</v>
      </c>
    </row>
    <row r="492" spans="1:7" x14ac:dyDescent="0.3">
      <c r="A492" s="14">
        <v>17</v>
      </c>
      <c r="B492" s="15">
        <v>105</v>
      </c>
      <c r="C492" s="16" t="s">
        <v>569</v>
      </c>
      <c r="D492" s="36">
        <v>211</v>
      </c>
      <c r="E492" s="34">
        <v>76</v>
      </c>
      <c r="F492" s="34">
        <v>491</v>
      </c>
      <c r="G492" s="17">
        <f t="shared" si="32"/>
        <v>0.58452138492871686</v>
      </c>
    </row>
    <row r="493" spans="1:7" x14ac:dyDescent="0.3">
      <c r="A493" s="14">
        <v>17</v>
      </c>
      <c r="B493" s="15">
        <v>310</v>
      </c>
      <c r="C493" s="16" t="s">
        <v>570</v>
      </c>
      <c r="D493" s="36">
        <v>216</v>
      </c>
      <c r="E493" s="34">
        <v>84</v>
      </c>
      <c r="F493" s="34">
        <v>549</v>
      </c>
      <c r="G493" s="17">
        <f t="shared" si="32"/>
        <v>0.54644808743169404</v>
      </c>
    </row>
    <row r="494" spans="1:7" x14ac:dyDescent="0.3">
      <c r="A494" s="14">
        <v>17</v>
      </c>
      <c r="B494" s="15">
        <v>708</v>
      </c>
      <c r="C494" s="16" t="s">
        <v>108</v>
      </c>
      <c r="D494" s="36">
        <v>103</v>
      </c>
      <c r="E494" s="34">
        <v>56</v>
      </c>
      <c r="F494" s="34">
        <v>316</v>
      </c>
      <c r="G494" s="17">
        <f t="shared" si="32"/>
        <v>0.50316455696202533</v>
      </c>
    </row>
    <row r="495" spans="1:7" x14ac:dyDescent="0.3">
      <c r="A495" s="14">
        <v>17</v>
      </c>
      <c r="B495" s="15">
        <v>112</v>
      </c>
      <c r="C495" s="16" t="s">
        <v>882</v>
      </c>
      <c r="D495" s="36">
        <v>121</v>
      </c>
      <c r="E495" s="34">
        <v>71</v>
      </c>
      <c r="F495" s="34">
        <v>437</v>
      </c>
      <c r="G495" s="17">
        <f t="shared" si="32"/>
        <v>0.43935926773455375</v>
      </c>
    </row>
    <row r="496" spans="1:7" ht="21" thickBot="1" x14ac:dyDescent="0.35">
      <c r="A496" s="14">
        <v>17</v>
      </c>
      <c r="B496" s="15">
        <v>704</v>
      </c>
      <c r="C496" s="16" t="s">
        <v>107</v>
      </c>
      <c r="D496" s="36">
        <v>171</v>
      </c>
      <c r="E496" s="34">
        <v>75</v>
      </c>
      <c r="F496" s="34">
        <v>603</v>
      </c>
      <c r="G496" s="17">
        <f t="shared" si="32"/>
        <v>0.4079601990049751</v>
      </c>
    </row>
    <row r="497" spans="1:7" ht="21" thickBot="1" x14ac:dyDescent="0.35">
      <c r="A497" s="18"/>
      <c r="B497" s="19">
        <f>COUNTA(B491:B496)</f>
        <v>6</v>
      </c>
      <c r="C497" s="20" t="s">
        <v>16</v>
      </c>
      <c r="D497" s="21">
        <f>SUM(D491:D496)</f>
        <v>933</v>
      </c>
      <c r="E497" s="35">
        <f>SUM(E491:E496)</f>
        <v>429</v>
      </c>
      <c r="F497" s="35">
        <f>SUM(F491:F496)</f>
        <v>2696</v>
      </c>
      <c r="G497" s="22">
        <f t="shared" ref="G497" si="33">+(D497+E497)/F497</f>
        <v>0.50519287833827897</v>
      </c>
    </row>
    <row r="498" spans="1:7" x14ac:dyDescent="0.3">
      <c r="A498" s="24"/>
      <c r="B498" s="25"/>
      <c r="C498" s="26"/>
      <c r="D498" s="31"/>
      <c r="E498" s="28"/>
      <c r="F498" s="28"/>
      <c r="G498" s="29"/>
    </row>
    <row r="499" spans="1:7" x14ac:dyDescent="0.3">
      <c r="A499" s="24"/>
      <c r="B499" s="25"/>
      <c r="C499" s="30" t="s">
        <v>38</v>
      </c>
      <c r="D499" s="31"/>
      <c r="E499" s="28"/>
      <c r="F499" s="28"/>
      <c r="G499" s="29"/>
    </row>
    <row r="500" spans="1:7" x14ac:dyDescent="0.3">
      <c r="A500" s="14">
        <v>18</v>
      </c>
      <c r="B500" s="15">
        <v>104</v>
      </c>
      <c r="C500" s="16" t="s">
        <v>109</v>
      </c>
      <c r="D500" s="36">
        <v>77</v>
      </c>
      <c r="E500" s="34">
        <v>71</v>
      </c>
      <c r="F500" s="34">
        <v>545</v>
      </c>
      <c r="G500" s="17">
        <f>+(D500+E500)/F500</f>
        <v>0.27155963302752295</v>
      </c>
    </row>
    <row r="501" spans="1:7" x14ac:dyDescent="0.3">
      <c r="A501" s="14">
        <v>18</v>
      </c>
      <c r="B501" s="15">
        <v>304</v>
      </c>
      <c r="C501" s="16" t="s">
        <v>110</v>
      </c>
      <c r="D501" s="36">
        <v>85</v>
      </c>
      <c r="E501" s="34">
        <v>44</v>
      </c>
      <c r="F501" s="34">
        <v>577</v>
      </c>
      <c r="G501" s="17">
        <f>+(D501+E501)/F501</f>
        <v>0.22357019064124783</v>
      </c>
    </row>
    <row r="502" spans="1:7" x14ac:dyDescent="0.3">
      <c r="A502" s="14">
        <v>18</v>
      </c>
      <c r="B502" s="15">
        <v>704</v>
      </c>
      <c r="C502" s="16" t="s">
        <v>111</v>
      </c>
      <c r="D502" s="36">
        <v>60</v>
      </c>
      <c r="E502" s="34">
        <v>51</v>
      </c>
      <c r="F502" s="34">
        <v>725</v>
      </c>
      <c r="G502" s="17">
        <f>+(D502+E502)/F502</f>
        <v>0.15310344827586206</v>
      </c>
    </row>
    <row r="503" spans="1:7" ht="21" thickBot="1" x14ac:dyDescent="0.35">
      <c r="A503" s="24">
        <v>18</v>
      </c>
      <c r="B503" s="37">
        <v>106</v>
      </c>
      <c r="C503" s="26" t="s">
        <v>260</v>
      </c>
      <c r="D503" s="36">
        <v>29</v>
      </c>
      <c r="E503" s="34">
        <v>17</v>
      </c>
      <c r="F503" s="34">
        <v>397</v>
      </c>
      <c r="G503" s="29">
        <f>+(D503+E503)/F503</f>
        <v>0.11586901763224182</v>
      </c>
    </row>
    <row r="504" spans="1:7" ht="21" thickBot="1" x14ac:dyDescent="0.35">
      <c r="A504" s="18"/>
      <c r="B504" s="19">
        <f>COUNTA(B500:B503)</f>
        <v>4</v>
      </c>
      <c r="C504" s="20" t="s">
        <v>16</v>
      </c>
      <c r="D504" s="21">
        <f>SUM(D500:D503)</f>
        <v>251</v>
      </c>
      <c r="E504" s="35">
        <f>SUM(E500:E503)</f>
        <v>183</v>
      </c>
      <c r="F504" s="35">
        <f>SUM(F500:F503)</f>
        <v>2244</v>
      </c>
      <c r="G504" s="22">
        <f>+(D504+E504)/F504</f>
        <v>0.19340463458110516</v>
      </c>
    </row>
    <row r="505" spans="1:7" x14ac:dyDescent="0.3">
      <c r="A505" s="24"/>
      <c r="B505" s="25"/>
      <c r="C505" s="26"/>
      <c r="D505" s="31"/>
      <c r="E505" s="28"/>
      <c r="F505" s="28"/>
      <c r="G505" s="29"/>
    </row>
    <row r="506" spans="1:7" x14ac:dyDescent="0.3">
      <c r="A506" s="24"/>
      <c r="B506" s="25"/>
      <c r="C506" s="30" t="s">
        <v>112</v>
      </c>
      <c r="D506" s="31"/>
      <c r="E506" s="28"/>
      <c r="F506" s="28"/>
      <c r="G506" s="29"/>
    </row>
    <row r="507" spans="1:7" x14ac:dyDescent="0.3">
      <c r="A507" s="14">
        <v>19</v>
      </c>
      <c r="B507" s="15">
        <v>184</v>
      </c>
      <c r="C507" s="16" t="s">
        <v>632</v>
      </c>
      <c r="D507" s="36">
        <v>243</v>
      </c>
      <c r="E507" s="34">
        <v>72</v>
      </c>
      <c r="F507" s="34">
        <v>469</v>
      </c>
      <c r="G507" s="17">
        <f t="shared" ref="G507:G547" si="34">+(D507+E507)/F507</f>
        <v>0.67164179104477617</v>
      </c>
    </row>
    <row r="508" spans="1:7" x14ac:dyDescent="0.3">
      <c r="A508" s="14">
        <v>19</v>
      </c>
      <c r="B508" s="15">
        <v>144</v>
      </c>
      <c r="C508" s="16" t="s">
        <v>376</v>
      </c>
      <c r="D508" s="36">
        <v>195</v>
      </c>
      <c r="E508" s="34">
        <v>55</v>
      </c>
      <c r="F508" s="34">
        <v>402</v>
      </c>
      <c r="G508" s="17">
        <f t="shared" si="34"/>
        <v>0.62189054726368154</v>
      </c>
    </row>
    <row r="509" spans="1:7" x14ac:dyDescent="0.3">
      <c r="A509" s="14">
        <v>19</v>
      </c>
      <c r="B509" s="15">
        <v>156</v>
      </c>
      <c r="C509" s="16" t="s">
        <v>622</v>
      </c>
      <c r="D509" s="36">
        <v>231</v>
      </c>
      <c r="E509" s="34">
        <v>65</v>
      </c>
      <c r="F509" s="34">
        <v>489</v>
      </c>
      <c r="G509" s="17">
        <f t="shared" si="34"/>
        <v>0.60531697341513291</v>
      </c>
    </row>
    <row r="510" spans="1:7" x14ac:dyDescent="0.3">
      <c r="A510" s="14">
        <v>19</v>
      </c>
      <c r="B510" s="15">
        <v>168</v>
      </c>
      <c r="C510" s="16" t="s">
        <v>333</v>
      </c>
      <c r="D510" s="36">
        <v>242</v>
      </c>
      <c r="E510" s="34">
        <v>85</v>
      </c>
      <c r="F510" s="34">
        <v>582</v>
      </c>
      <c r="G510" s="17">
        <f t="shared" si="34"/>
        <v>0.56185567010309279</v>
      </c>
    </row>
    <row r="511" spans="1:7" x14ac:dyDescent="0.3">
      <c r="A511" s="14">
        <v>19</v>
      </c>
      <c r="B511" s="15">
        <v>120</v>
      </c>
      <c r="C511" s="16" t="s">
        <v>613</v>
      </c>
      <c r="D511" s="36">
        <v>121</v>
      </c>
      <c r="E511" s="34">
        <v>57</v>
      </c>
      <c r="F511" s="34">
        <v>317</v>
      </c>
      <c r="G511" s="17">
        <f t="shared" si="34"/>
        <v>0.56151419558359617</v>
      </c>
    </row>
    <row r="512" spans="1:7" x14ac:dyDescent="0.3">
      <c r="A512" s="14">
        <v>19</v>
      </c>
      <c r="B512" s="15">
        <v>117</v>
      </c>
      <c r="C512" s="16" t="s">
        <v>611</v>
      </c>
      <c r="D512" s="36">
        <v>234</v>
      </c>
      <c r="E512" s="34">
        <v>66</v>
      </c>
      <c r="F512" s="34">
        <v>539</v>
      </c>
      <c r="G512" s="17">
        <f t="shared" si="34"/>
        <v>0.5565862708719852</v>
      </c>
    </row>
    <row r="513" spans="1:7" x14ac:dyDescent="0.3">
      <c r="A513" s="14">
        <v>19</v>
      </c>
      <c r="B513" s="15">
        <v>172</v>
      </c>
      <c r="C513" s="16" t="s">
        <v>630</v>
      </c>
      <c r="D513" s="36">
        <v>160</v>
      </c>
      <c r="E513" s="34">
        <v>59</v>
      </c>
      <c r="F513" s="34">
        <v>400</v>
      </c>
      <c r="G513" s="17">
        <f t="shared" si="34"/>
        <v>0.54749999999999999</v>
      </c>
    </row>
    <row r="514" spans="1:7" x14ac:dyDescent="0.3">
      <c r="A514" s="14">
        <v>19</v>
      </c>
      <c r="B514" s="15">
        <v>104</v>
      </c>
      <c r="C514" s="16" t="s">
        <v>608</v>
      </c>
      <c r="D514" s="36">
        <v>179</v>
      </c>
      <c r="E514" s="34">
        <v>71</v>
      </c>
      <c r="F514" s="34">
        <v>466</v>
      </c>
      <c r="G514" s="17">
        <f t="shared" si="34"/>
        <v>0.53648068669527893</v>
      </c>
    </row>
    <row r="515" spans="1:7" x14ac:dyDescent="0.3">
      <c r="A515" s="14">
        <v>19</v>
      </c>
      <c r="B515" s="15">
        <v>180</v>
      </c>
      <c r="C515" s="16" t="s">
        <v>631</v>
      </c>
      <c r="D515" s="36">
        <v>237</v>
      </c>
      <c r="E515" s="34">
        <v>71</v>
      </c>
      <c r="F515" s="34">
        <v>604</v>
      </c>
      <c r="G515" s="17">
        <f t="shared" si="34"/>
        <v>0.50993377483443714</v>
      </c>
    </row>
    <row r="516" spans="1:7" x14ac:dyDescent="0.3">
      <c r="A516" s="14">
        <v>19</v>
      </c>
      <c r="B516" s="15">
        <v>112</v>
      </c>
      <c r="C516" s="16" t="s">
        <v>610</v>
      </c>
      <c r="D516" s="36">
        <v>220</v>
      </c>
      <c r="E516" s="34">
        <v>66</v>
      </c>
      <c r="F516" s="34">
        <v>604</v>
      </c>
      <c r="G516" s="17">
        <f t="shared" si="34"/>
        <v>0.47350993377483441</v>
      </c>
    </row>
    <row r="517" spans="1:7" x14ac:dyDescent="0.3">
      <c r="A517" s="14">
        <v>19</v>
      </c>
      <c r="B517" s="15">
        <v>136</v>
      </c>
      <c r="C517" s="16" t="s">
        <v>615</v>
      </c>
      <c r="D517" s="36">
        <v>146</v>
      </c>
      <c r="E517" s="34">
        <v>57</v>
      </c>
      <c r="F517" s="34">
        <v>430</v>
      </c>
      <c r="G517" s="17">
        <f t="shared" si="34"/>
        <v>0.47209302325581393</v>
      </c>
    </row>
    <row r="518" spans="1:7" x14ac:dyDescent="0.3">
      <c r="A518" s="14">
        <v>19</v>
      </c>
      <c r="B518" s="15">
        <v>408</v>
      </c>
      <c r="C518" s="16" t="s">
        <v>621</v>
      </c>
      <c r="D518" s="36">
        <v>362</v>
      </c>
      <c r="E518" s="34">
        <v>145</v>
      </c>
      <c r="F518" s="34">
        <v>1114</v>
      </c>
      <c r="G518" s="17">
        <f t="shared" si="34"/>
        <v>0.45511669658886894</v>
      </c>
    </row>
    <row r="519" spans="1:7" x14ac:dyDescent="0.3">
      <c r="A519" s="14">
        <v>19</v>
      </c>
      <c r="B519" s="15">
        <v>406</v>
      </c>
      <c r="C519" s="16" t="s">
        <v>250</v>
      </c>
      <c r="D519" s="36">
        <v>290</v>
      </c>
      <c r="E519" s="34">
        <v>103</v>
      </c>
      <c r="F519" s="34">
        <v>865</v>
      </c>
      <c r="G519" s="17">
        <f t="shared" si="34"/>
        <v>0.45433526011560693</v>
      </c>
    </row>
    <row r="520" spans="1:7" x14ac:dyDescent="0.3">
      <c r="A520" s="14">
        <v>19</v>
      </c>
      <c r="B520" s="15">
        <v>108</v>
      </c>
      <c r="C520" s="16" t="s">
        <v>609</v>
      </c>
      <c r="D520" s="36">
        <v>150</v>
      </c>
      <c r="E520" s="34">
        <v>60</v>
      </c>
      <c r="F520" s="34">
        <v>467</v>
      </c>
      <c r="G520" s="17">
        <f t="shared" si="34"/>
        <v>0.44967880085653106</v>
      </c>
    </row>
    <row r="521" spans="1:7" x14ac:dyDescent="0.3">
      <c r="A521" s="14">
        <v>19</v>
      </c>
      <c r="B521" s="15">
        <v>148</v>
      </c>
      <c r="C521" s="16" t="s">
        <v>620</v>
      </c>
      <c r="D521" s="36">
        <v>143</v>
      </c>
      <c r="E521" s="34">
        <v>77</v>
      </c>
      <c r="F521" s="34">
        <v>495</v>
      </c>
      <c r="G521" s="17">
        <f t="shared" si="34"/>
        <v>0.44444444444444442</v>
      </c>
    </row>
    <row r="522" spans="1:7" x14ac:dyDescent="0.3">
      <c r="A522" s="14">
        <v>19</v>
      </c>
      <c r="B522" s="15">
        <v>424</v>
      </c>
      <c r="C522" s="16" t="s">
        <v>113</v>
      </c>
      <c r="D522" s="36">
        <v>295</v>
      </c>
      <c r="E522" s="34">
        <v>96</v>
      </c>
      <c r="F522" s="34">
        <v>926</v>
      </c>
      <c r="G522" s="17">
        <f t="shared" si="34"/>
        <v>0.4222462203023758</v>
      </c>
    </row>
    <row r="523" spans="1:7" x14ac:dyDescent="0.3">
      <c r="A523" s="14">
        <v>19</v>
      </c>
      <c r="B523" s="15">
        <v>160</v>
      </c>
      <c r="C523" s="16" t="s">
        <v>623</v>
      </c>
      <c r="D523" s="36">
        <v>216</v>
      </c>
      <c r="E523" s="34">
        <v>62</v>
      </c>
      <c r="F523" s="34">
        <v>671</v>
      </c>
      <c r="G523" s="17">
        <f t="shared" si="34"/>
        <v>0.41430700447093888</v>
      </c>
    </row>
    <row r="524" spans="1:7" x14ac:dyDescent="0.3">
      <c r="A524" s="14">
        <v>19</v>
      </c>
      <c r="B524" s="15">
        <v>143</v>
      </c>
      <c r="C524" s="16" t="s">
        <v>619</v>
      </c>
      <c r="D524" s="36">
        <v>192</v>
      </c>
      <c r="E524" s="34">
        <v>64</v>
      </c>
      <c r="F524" s="34">
        <v>621</v>
      </c>
      <c r="G524" s="17">
        <f t="shared" si="34"/>
        <v>0.41223832528180354</v>
      </c>
    </row>
    <row r="525" spans="1:7" x14ac:dyDescent="0.3">
      <c r="A525" s="14">
        <v>19</v>
      </c>
      <c r="B525" s="15">
        <v>171</v>
      </c>
      <c r="C525" s="16" t="s">
        <v>629</v>
      </c>
      <c r="D525" s="36">
        <v>178</v>
      </c>
      <c r="E525" s="34">
        <v>88</v>
      </c>
      <c r="F525" s="34">
        <v>667</v>
      </c>
      <c r="G525" s="17">
        <f t="shared" si="34"/>
        <v>0.39880059970014992</v>
      </c>
    </row>
    <row r="526" spans="1:7" x14ac:dyDescent="0.3">
      <c r="A526" s="14">
        <v>19</v>
      </c>
      <c r="B526" s="15">
        <v>164</v>
      </c>
      <c r="C526" s="16" t="s">
        <v>625</v>
      </c>
      <c r="D526" s="36">
        <v>128</v>
      </c>
      <c r="E526" s="34">
        <v>41</v>
      </c>
      <c r="F526" s="34">
        <v>424</v>
      </c>
      <c r="G526" s="17">
        <f t="shared" si="34"/>
        <v>0.39858490566037735</v>
      </c>
    </row>
    <row r="527" spans="1:7" x14ac:dyDescent="0.3">
      <c r="A527" s="14">
        <v>19</v>
      </c>
      <c r="B527" s="15">
        <v>640</v>
      </c>
      <c r="C527" s="16" t="s">
        <v>231</v>
      </c>
      <c r="D527" s="36">
        <v>6</v>
      </c>
      <c r="E527" s="34">
        <v>3</v>
      </c>
      <c r="F527" s="34">
        <v>24</v>
      </c>
      <c r="G527" s="17">
        <f t="shared" si="34"/>
        <v>0.375</v>
      </c>
    </row>
    <row r="528" spans="1:7" x14ac:dyDescent="0.3">
      <c r="A528" s="14">
        <v>19</v>
      </c>
      <c r="B528" s="15">
        <v>402</v>
      </c>
      <c r="C528" s="16" t="s">
        <v>249</v>
      </c>
      <c r="D528" s="36">
        <v>366</v>
      </c>
      <c r="E528" s="34">
        <v>142</v>
      </c>
      <c r="F528" s="34">
        <v>1380</v>
      </c>
      <c r="G528" s="17">
        <f t="shared" si="34"/>
        <v>0.36811594202898551</v>
      </c>
    </row>
    <row r="529" spans="1:7" x14ac:dyDescent="0.3">
      <c r="A529" s="14">
        <v>19</v>
      </c>
      <c r="B529" s="15">
        <v>100</v>
      </c>
      <c r="C529" s="16" t="s">
        <v>607</v>
      </c>
      <c r="D529" s="36">
        <v>136</v>
      </c>
      <c r="E529" s="34">
        <v>56</v>
      </c>
      <c r="F529" s="34">
        <v>523</v>
      </c>
      <c r="G529" s="17">
        <f t="shared" si="34"/>
        <v>0.36711281070745699</v>
      </c>
    </row>
    <row r="530" spans="1:7" x14ac:dyDescent="0.3">
      <c r="A530" s="14">
        <v>19</v>
      </c>
      <c r="B530" s="15">
        <v>170</v>
      </c>
      <c r="C530" s="16" t="s">
        <v>628</v>
      </c>
      <c r="D530" s="36">
        <v>125</v>
      </c>
      <c r="E530" s="34">
        <v>70</v>
      </c>
      <c r="F530" s="34">
        <v>575</v>
      </c>
      <c r="G530" s="17">
        <f t="shared" si="34"/>
        <v>0.33913043478260868</v>
      </c>
    </row>
    <row r="531" spans="1:7" x14ac:dyDescent="0.3">
      <c r="A531" s="14">
        <v>19</v>
      </c>
      <c r="B531" s="15">
        <v>158</v>
      </c>
      <c r="C531" s="16" t="s">
        <v>624</v>
      </c>
      <c r="D531" s="36">
        <v>126</v>
      </c>
      <c r="E531" s="34">
        <v>91</v>
      </c>
      <c r="F531" s="34">
        <v>661</v>
      </c>
      <c r="G531" s="17">
        <f t="shared" si="34"/>
        <v>0.32829046898638425</v>
      </c>
    </row>
    <row r="532" spans="1:7" x14ac:dyDescent="0.3">
      <c r="A532" s="14">
        <v>19</v>
      </c>
      <c r="B532" s="15">
        <v>704</v>
      </c>
      <c r="C532" s="16" t="s">
        <v>232</v>
      </c>
      <c r="D532" s="36">
        <v>243</v>
      </c>
      <c r="E532" s="34">
        <v>115</v>
      </c>
      <c r="F532" s="34">
        <v>1116</v>
      </c>
      <c r="G532" s="17">
        <f t="shared" si="34"/>
        <v>0.32078853046594979</v>
      </c>
    </row>
    <row r="533" spans="1:7" x14ac:dyDescent="0.3">
      <c r="A533" s="14">
        <v>19</v>
      </c>
      <c r="B533" s="15">
        <v>750</v>
      </c>
      <c r="C533" s="55" t="s">
        <v>332</v>
      </c>
      <c r="D533" s="36">
        <v>8</v>
      </c>
      <c r="E533" s="34">
        <v>1</v>
      </c>
      <c r="F533" s="56">
        <v>29</v>
      </c>
      <c r="G533" s="17">
        <f t="shared" si="34"/>
        <v>0.31034482758620691</v>
      </c>
    </row>
    <row r="534" spans="1:7" x14ac:dyDescent="0.3">
      <c r="A534" s="14">
        <v>19</v>
      </c>
      <c r="B534" s="15">
        <v>420</v>
      </c>
      <c r="C534" s="16" t="s">
        <v>627</v>
      </c>
      <c r="D534" s="36">
        <v>265</v>
      </c>
      <c r="E534" s="34">
        <v>105</v>
      </c>
      <c r="F534" s="34">
        <v>1206</v>
      </c>
      <c r="G534" s="17">
        <f t="shared" si="34"/>
        <v>0.30679933665008291</v>
      </c>
    </row>
    <row r="535" spans="1:7" x14ac:dyDescent="0.3">
      <c r="A535" s="14">
        <v>19</v>
      </c>
      <c r="B535" s="15">
        <v>169</v>
      </c>
      <c r="C535" s="16" t="s">
        <v>883</v>
      </c>
      <c r="D535" s="36">
        <v>99</v>
      </c>
      <c r="E535" s="34">
        <v>54</v>
      </c>
      <c r="F535" s="34">
        <v>541</v>
      </c>
      <c r="G535" s="17">
        <f t="shared" si="34"/>
        <v>0.28280961182994457</v>
      </c>
    </row>
    <row r="536" spans="1:7" x14ac:dyDescent="0.3">
      <c r="A536" s="14">
        <v>19</v>
      </c>
      <c r="B536" s="15">
        <v>720</v>
      </c>
      <c r="C536" s="16" t="s">
        <v>114</v>
      </c>
      <c r="D536" s="36">
        <v>59</v>
      </c>
      <c r="E536" s="34">
        <v>16</v>
      </c>
      <c r="F536" s="34">
        <v>268</v>
      </c>
      <c r="G536" s="17">
        <f t="shared" si="34"/>
        <v>0.27985074626865669</v>
      </c>
    </row>
    <row r="537" spans="1:7" x14ac:dyDescent="0.3">
      <c r="A537" s="14">
        <v>19</v>
      </c>
      <c r="B537" s="15">
        <v>118</v>
      </c>
      <c r="C537" s="16" t="s">
        <v>612</v>
      </c>
      <c r="D537" s="36">
        <v>125</v>
      </c>
      <c r="E537" s="34">
        <v>55</v>
      </c>
      <c r="F537" s="34">
        <v>654</v>
      </c>
      <c r="G537" s="17">
        <f t="shared" si="34"/>
        <v>0.27522935779816515</v>
      </c>
    </row>
    <row r="538" spans="1:7" x14ac:dyDescent="0.3">
      <c r="A538" s="14">
        <v>19</v>
      </c>
      <c r="B538" s="15">
        <v>404</v>
      </c>
      <c r="C538" s="16" t="s">
        <v>243</v>
      </c>
      <c r="D538" s="36">
        <v>241</v>
      </c>
      <c r="E538" s="34">
        <v>95</v>
      </c>
      <c r="F538" s="34">
        <v>1226</v>
      </c>
      <c r="G538" s="17">
        <f t="shared" si="34"/>
        <v>0.27406199021207178</v>
      </c>
    </row>
    <row r="539" spans="1:7" x14ac:dyDescent="0.3">
      <c r="A539" s="14">
        <v>19</v>
      </c>
      <c r="B539" s="15">
        <v>712</v>
      </c>
      <c r="C539" s="16" t="s">
        <v>234</v>
      </c>
      <c r="D539" s="36">
        <v>238</v>
      </c>
      <c r="E539" s="34">
        <v>100</v>
      </c>
      <c r="F539" s="34">
        <v>1239</v>
      </c>
      <c r="G539" s="17">
        <f t="shared" si="34"/>
        <v>0.27280064568200163</v>
      </c>
    </row>
    <row r="540" spans="1:7" x14ac:dyDescent="0.3">
      <c r="A540" s="14">
        <v>19</v>
      </c>
      <c r="B540" s="15">
        <v>708</v>
      </c>
      <c r="C540" s="16" t="s">
        <v>233</v>
      </c>
      <c r="D540" s="36">
        <v>188</v>
      </c>
      <c r="E540" s="34">
        <v>78</v>
      </c>
      <c r="F540" s="34">
        <v>1057</v>
      </c>
      <c r="G540" s="17">
        <f t="shared" si="34"/>
        <v>0.25165562913907286</v>
      </c>
    </row>
    <row r="541" spans="1:7" x14ac:dyDescent="0.3">
      <c r="A541" s="14">
        <v>19</v>
      </c>
      <c r="B541" s="15">
        <v>119</v>
      </c>
      <c r="C541" s="16" t="s">
        <v>580</v>
      </c>
      <c r="D541" s="36">
        <v>90</v>
      </c>
      <c r="E541" s="34">
        <v>49</v>
      </c>
      <c r="F541" s="34">
        <v>565</v>
      </c>
      <c r="G541" s="17">
        <f t="shared" si="34"/>
        <v>0.24601769911504426</v>
      </c>
    </row>
    <row r="542" spans="1:7" x14ac:dyDescent="0.3">
      <c r="A542" s="14">
        <v>19</v>
      </c>
      <c r="B542" s="15">
        <v>116</v>
      </c>
      <c r="C542" s="16" t="s">
        <v>369</v>
      </c>
      <c r="D542" s="36">
        <v>88</v>
      </c>
      <c r="E542" s="34">
        <v>51</v>
      </c>
      <c r="F542" s="34">
        <v>596</v>
      </c>
      <c r="G542" s="17">
        <f t="shared" si="34"/>
        <v>0.23322147651006711</v>
      </c>
    </row>
    <row r="543" spans="1:7" x14ac:dyDescent="0.3">
      <c r="A543" s="14">
        <v>19</v>
      </c>
      <c r="B543" s="15">
        <v>142</v>
      </c>
      <c r="C543" s="16" t="s">
        <v>618</v>
      </c>
      <c r="D543" s="36">
        <v>72</v>
      </c>
      <c r="E543" s="34">
        <v>17</v>
      </c>
      <c r="F543" s="34">
        <v>382</v>
      </c>
      <c r="G543" s="17">
        <f t="shared" si="34"/>
        <v>0.23298429319371727</v>
      </c>
    </row>
    <row r="544" spans="1:7" x14ac:dyDescent="0.3">
      <c r="A544" s="14">
        <v>19</v>
      </c>
      <c r="B544" s="15">
        <v>140</v>
      </c>
      <c r="C544" s="16" t="s">
        <v>617</v>
      </c>
      <c r="D544" s="36">
        <v>87</v>
      </c>
      <c r="E544" s="34">
        <v>39</v>
      </c>
      <c r="F544" s="34">
        <v>627</v>
      </c>
      <c r="G544" s="17">
        <f t="shared" si="34"/>
        <v>0.20095693779904306</v>
      </c>
    </row>
    <row r="545" spans="1:7" x14ac:dyDescent="0.3">
      <c r="A545" s="14">
        <v>19</v>
      </c>
      <c r="B545" s="15">
        <v>130</v>
      </c>
      <c r="C545" s="16" t="s">
        <v>614</v>
      </c>
      <c r="D545" s="36">
        <v>80</v>
      </c>
      <c r="E545" s="34">
        <v>39</v>
      </c>
      <c r="F545" s="34">
        <v>595</v>
      </c>
      <c r="G545" s="17">
        <f t="shared" si="34"/>
        <v>0.2</v>
      </c>
    </row>
    <row r="546" spans="1:7" x14ac:dyDescent="0.3">
      <c r="A546" s="14">
        <v>19</v>
      </c>
      <c r="B546" s="15">
        <v>706</v>
      </c>
      <c r="C546" s="16" t="s">
        <v>626</v>
      </c>
      <c r="D546" s="36">
        <v>133</v>
      </c>
      <c r="E546" s="34">
        <v>85</v>
      </c>
      <c r="F546" s="34">
        <v>1127</v>
      </c>
      <c r="G546" s="17">
        <f t="shared" si="34"/>
        <v>0.19343389529724933</v>
      </c>
    </row>
    <row r="547" spans="1:7" ht="21" thickBot="1" x14ac:dyDescent="0.35">
      <c r="A547" s="24">
        <v>19</v>
      </c>
      <c r="B547" s="37">
        <v>702</v>
      </c>
      <c r="C547" s="26" t="s">
        <v>616</v>
      </c>
      <c r="D547" s="36">
        <v>135</v>
      </c>
      <c r="E547" s="34">
        <v>86</v>
      </c>
      <c r="F547" s="34">
        <v>1236</v>
      </c>
      <c r="G547" s="29">
        <f t="shared" si="34"/>
        <v>0.17880258899676377</v>
      </c>
    </row>
    <row r="548" spans="1:7" ht="21" thickBot="1" x14ac:dyDescent="0.35">
      <c r="A548" s="18"/>
      <c r="B548" s="19">
        <f>COUNTA(B507:B547)</f>
        <v>41</v>
      </c>
      <c r="C548" s="20" t="s">
        <v>16</v>
      </c>
      <c r="D548" s="21">
        <f>SUM(D507:D547)</f>
        <v>7072</v>
      </c>
      <c r="E548" s="35">
        <f>SUM(E507:E547)</f>
        <v>2807</v>
      </c>
      <c r="F548" s="35">
        <f>SUM(F507:F547)</f>
        <v>27179</v>
      </c>
      <c r="G548" s="22">
        <f t="shared" ref="G548" si="35">+(D548+E548)/F548</f>
        <v>0.36347915670186542</v>
      </c>
    </row>
    <row r="549" spans="1:7" x14ac:dyDescent="0.3">
      <c r="A549" s="24"/>
      <c r="B549" s="25"/>
      <c r="C549" s="26"/>
      <c r="D549" s="31"/>
      <c r="E549" s="28"/>
      <c r="F549" s="28"/>
      <c r="G549" s="29"/>
    </row>
    <row r="550" spans="1:7" x14ac:dyDescent="0.3">
      <c r="A550" s="24"/>
      <c r="B550" s="25"/>
      <c r="C550" s="30" t="s">
        <v>115</v>
      </c>
      <c r="D550" s="57"/>
      <c r="E550" s="58"/>
      <c r="F550" s="28"/>
      <c r="G550" s="29"/>
    </row>
    <row r="551" spans="1:7" x14ac:dyDescent="0.3">
      <c r="A551" s="14">
        <v>20</v>
      </c>
      <c r="B551" s="15">
        <v>116</v>
      </c>
      <c r="C551" s="16" t="s">
        <v>635</v>
      </c>
      <c r="D551" s="36">
        <v>135</v>
      </c>
      <c r="E551" s="34">
        <v>40</v>
      </c>
      <c r="F551" s="34">
        <v>279</v>
      </c>
      <c r="G551" s="17">
        <f t="shared" ref="G551:G558" si="36">+(D551+E551)/F551</f>
        <v>0.62724014336917566</v>
      </c>
    </row>
    <row r="552" spans="1:7" x14ac:dyDescent="0.3">
      <c r="A552" s="14">
        <v>20</v>
      </c>
      <c r="B552" s="15">
        <v>404</v>
      </c>
      <c r="C552" s="16" t="s">
        <v>202</v>
      </c>
      <c r="D552" s="36">
        <v>153</v>
      </c>
      <c r="E552" s="34">
        <v>53</v>
      </c>
      <c r="F552" s="34">
        <v>354</v>
      </c>
      <c r="G552" s="17">
        <f t="shared" si="36"/>
        <v>0.58192090395480223</v>
      </c>
    </row>
    <row r="553" spans="1:7" x14ac:dyDescent="0.3">
      <c r="A553" s="14">
        <v>20</v>
      </c>
      <c r="B553" s="15">
        <v>112</v>
      </c>
      <c r="C553" s="16" t="s">
        <v>636</v>
      </c>
      <c r="D553" s="36">
        <v>151</v>
      </c>
      <c r="E553" s="34">
        <v>55</v>
      </c>
      <c r="F553" s="34">
        <v>360</v>
      </c>
      <c r="G553" s="17">
        <f t="shared" si="36"/>
        <v>0.57222222222222219</v>
      </c>
    </row>
    <row r="554" spans="1:7" x14ac:dyDescent="0.3">
      <c r="A554" s="14">
        <v>20</v>
      </c>
      <c r="B554" s="15">
        <v>120</v>
      </c>
      <c r="C554" s="16" t="s">
        <v>637</v>
      </c>
      <c r="D554" s="36">
        <v>74</v>
      </c>
      <c r="E554" s="34">
        <v>11</v>
      </c>
      <c r="F554" s="34">
        <v>149</v>
      </c>
      <c r="G554" s="17">
        <f t="shared" si="36"/>
        <v>0.57046979865771807</v>
      </c>
    </row>
    <row r="555" spans="1:7" x14ac:dyDescent="0.3">
      <c r="A555" s="14">
        <v>20</v>
      </c>
      <c r="B555" s="15">
        <v>104</v>
      </c>
      <c r="C555" s="16" t="s">
        <v>633</v>
      </c>
      <c r="D555" s="36">
        <v>92</v>
      </c>
      <c r="E555" s="34">
        <v>34</v>
      </c>
      <c r="F555" s="34">
        <v>231</v>
      </c>
      <c r="G555" s="17">
        <f t="shared" si="36"/>
        <v>0.54545454545454541</v>
      </c>
    </row>
    <row r="556" spans="1:7" x14ac:dyDescent="0.3">
      <c r="A556" s="14">
        <v>20</v>
      </c>
      <c r="B556" s="15">
        <v>108</v>
      </c>
      <c r="C556" s="16" t="s">
        <v>634</v>
      </c>
      <c r="D556" s="36">
        <v>48</v>
      </c>
      <c r="E556" s="34">
        <v>17</v>
      </c>
      <c r="F556" s="34">
        <v>129</v>
      </c>
      <c r="G556" s="17">
        <f t="shared" si="36"/>
        <v>0.50387596899224807</v>
      </c>
    </row>
    <row r="557" spans="1:7" ht="21" thickBot="1" x14ac:dyDescent="0.35">
      <c r="A557" s="14">
        <v>20</v>
      </c>
      <c r="B557" s="15">
        <v>704</v>
      </c>
      <c r="C557" s="16" t="s">
        <v>116</v>
      </c>
      <c r="D557" s="36">
        <v>185</v>
      </c>
      <c r="E557" s="34">
        <v>93</v>
      </c>
      <c r="F557" s="34">
        <v>715</v>
      </c>
      <c r="G557" s="17">
        <f t="shared" si="36"/>
        <v>0.38881118881118881</v>
      </c>
    </row>
    <row r="558" spans="1:7" ht="21" thickBot="1" x14ac:dyDescent="0.35">
      <c r="A558" s="18"/>
      <c r="B558" s="19">
        <f>COUNTA(B551:B557)</f>
        <v>7</v>
      </c>
      <c r="C558" s="20" t="s">
        <v>16</v>
      </c>
      <c r="D558" s="21">
        <f>SUM(D551:D557)</f>
        <v>838</v>
      </c>
      <c r="E558" s="21">
        <f>SUM(E551:E557)</f>
        <v>303</v>
      </c>
      <c r="F558" s="21">
        <f>SUM(F551:F557)</f>
        <v>2217</v>
      </c>
      <c r="G558" s="22">
        <f t="shared" si="36"/>
        <v>0.51465944970681099</v>
      </c>
    </row>
    <row r="559" spans="1:7" x14ac:dyDescent="0.3">
      <c r="A559" s="24"/>
      <c r="B559" s="25"/>
      <c r="C559" s="26"/>
      <c r="D559" s="31"/>
      <c r="E559" s="28"/>
      <c r="F559" s="28"/>
      <c r="G559" s="29"/>
    </row>
    <row r="560" spans="1:7" x14ac:dyDescent="0.3">
      <c r="A560" s="24"/>
      <c r="B560" s="25"/>
      <c r="C560" s="30" t="s">
        <v>117</v>
      </c>
      <c r="D560" s="31"/>
      <c r="E560" s="28"/>
      <c r="F560" s="28"/>
      <c r="G560" s="29"/>
    </row>
    <row r="561" spans="1:7" x14ac:dyDescent="0.3">
      <c r="A561" s="14">
        <v>21</v>
      </c>
      <c r="B561" s="15">
        <v>304</v>
      </c>
      <c r="C561" s="16" t="s">
        <v>119</v>
      </c>
      <c r="D561" s="36">
        <v>93</v>
      </c>
      <c r="E561" s="34">
        <v>28</v>
      </c>
      <c r="F561" s="34">
        <v>303</v>
      </c>
      <c r="G561" s="17">
        <f>+(D561+E561)/F561</f>
        <v>0.39933993399339934</v>
      </c>
    </row>
    <row r="562" spans="1:7" x14ac:dyDescent="0.3">
      <c r="A562" s="14">
        <v>21</v>
      </c>
      <c r="B562" s="15">
        <v>110</v>
      </c>
      <c r="C562" s="16" t="s">
        <v>118</v>
      </c>
      <c r="D562" s="36">
        <v>91</v>
      </c>
      <c r="E562" s="34">
        <v>35</v>
      </c>
      <c r="F562" s="34">
        <v>325</v>
      </c>
      <c r="G562" s="17">
        <f>+(D562+E562)/F562</f>
        <v>0.38769230769230767</v>
      </c>
    </row>
    <row r="563" spans="1:7" ht="21" thickBot="1" x14ac:dyDescent="0.35">
      <c r="A563" s="24">
        <v>21</v>
      </c>
      <c r="B563" s="25">
        <v>704</v>
      </c>
      <c r="C563" s="26" t="s">
        <v>120</v>
      </c>
      <c r="D563" s="36">
        <v>58</v>
      </c>
      <c r="E563" s="34">
        <v>23</v>
      </c>
      <c r="F563" s="34">
        <v>280</v>
      </c>
      <c r="G563" s="29">
        <f>+(D563+E563)/F563</f>
        <v>0.28928571428571431</v>
      </c>
    </row>
    <row r="564" spans="1:7" ht="21" thickBot="1" x14ac:dyDescent="0.35">
      <c r="A564" s="18"/>
      <c r="B564" s="19">
        <f>COUNTA(B561:B563)</f>
        <v>3</v>
      </c>
      <c r="C564" s="20" t="s">
        <v>16</v>
      </c>
      <c r="D564" s="21">
        <f>SUM(D561:D563)</f>
        <v>242</v>
      </c>
      <c r="E564" s="35">
        <f>SUM(E561:E563)</f>
        <v>86</v>
      </c>
      <c r="F564" s="35">
        <f>SUM(F561:F563)</f>
        <v>908</v>
      </c>
      <c r="G564" s="22">
        <f>+(D564+E564)/F564</f>
        <v>0.36123348017621143</v>
      </c>
    </row>
    <row r="565" spans="1:7" x14ac:dyDescent="0.3">
      <c r="A565" s="24"/>
      <c r="B565" s="25"/>
      <c r="C565" s="26"/>
      <c r="D565" s="31"/>
      <c r="E565" s="28"/>
      <c r="F565" s="28"/>
      <c r="G565" s="29"/>
    </row>
    <row r="566" spans="1:7" x14ac:dyDescent="0.3">
      <c r="A566" s="24"/>
      <c r="B566" s="25"/>
      <c r="C566" s="30" t="s">
        <v>121</v>
      </c>
      <c r="D566" s="31"/>
      <c r="E566" s="28"/>
      <c r="F566" s="28"/>
      <c r="G566" s="29"/>
    </row>
    <row r="567" spans="1:7" x14ac:dyDescent="0.3">
      <c r="A567" s="14">
        <v>22</v>
      </c>
      <c r="B567" s="15">
        <v>108</v>
      </c>
      <c r="C567" s="16" t="s">
        <v>639</v>
      </c>
      <c r="D567" s="36">
        <v>143</v>
      </c>
      <c r="E567" s="34">
        <v>13</v>
      </c>
      <c r="F567" s="34">
        <v>280</v>
      </c>
      <c r="G567" s="17">
        <f t="shared" ref="G567:G574" si="37">+(D567+E567)/F567</f>
        <v>0.55714285714285716</v>
      </c>
    </row>
    <row r="568" spans="1:7" x14ac:dyDescent="0.3">
      <c r="A568" s="14">
        <v>22</v>
      </c>
      <c r="B568" s="15">
        <v>104</v>
      </c>
      <c r="C568" s="16" t="s">
        <v>641</v>
      </c>
      <c r="D568" s="36">
        <v>105</v>
      </c>
      <c r="E568" s="34">
        <v>12</v>
      </c>
      <c r="F568" s="34">
        <v>483</v>
      </c>
      <c r="G568" s="17">
        <f t="shared" si="37"/>
        <v>0.24223602484472051</v>
      </c>
    </row>
    <row r="569" spans="1:7" x14ac:dyDescent="0.3">
      <c r="A569" s="14">
        <v>22</v>
      </c>
      <c r="B569" s="15">
        <v>116</v>
      </c>
      <c r="C569" s="16" t="s">
        <v>642</v>
      </c>
      <c r="D569" s="36">
        <v>66</v>
      </c>
      <c r="E569" s="34">
        <v>15</v>
      </c>
      <c r="F569" s="34">
        <v>406</v>
      </c>
      <c r="G569" s="17">
        <f t="shared" si="37"/>
        <v>0.19950738916256158</v>
      </c>
    </row>
    <row r="570" spans="1:7" x14ac:dyDescent="0.3">
      <c r="A570" s="14">
        <v>22</v>
      </c>
      <c r="B570" s="15">
        <v>308</v>
      </c>
      <c r="C570" s="16" t="s">
        <v>123</v>
      </c>
      <c r="D570" s="36">
        <v>123</v>
      </c>
      <c r="E570" s="34">
        <v>13</v>
      </c>
      <c r="F570" s="34">
        <v>723</v>
      </c>
      <c r="G570" s="17">
        <f t="shared" si="37"/>
        <v>0.18810511756569848</v>
      </c>
    </row>
    <row r="571" spans="1:7" x14ac:dyDescent="0.3">
      <c r="A571" s="14">
        <v>22</v>
      </c>
      <c r="B571" s="15">
        <v>112</v>
      </c>
      <c r="C571" s="16" t="s">
        <v>638</v>
      </c>
      <c r="D571" s="36">
        <v>70</v>
      </c>
      <c r="E571" s="34">
        <v>5</v>
      </c>
      <c r="F571" s="34">
        <v>437</v>
      </c>
      <c r="G571" s="17">
        <f t="shared" si="37"/>
        <v>0.17162471395881007</v>
      </c>
    </row>
    <row r="572" spans="1:7" x14ac:dyDescent="0.3">
      <c r="A572" s="59">
        <v>22</v>
      </c>
      <c r="B572" s="59">
        <v>304</v>
      </c>
      <c r="C572" s="60" t="s">
        <v>122</v>
      </c>
      <c r="D572" s="36">
        <v>102</v>
      </c>
      <c r="E572" s="34">
        <v>8</v>
      </c>
      <c r="F572" s="34">
        <v>719</v>
      </c>
      <c r="G572" s="29">
        <f t="shared" si="37"/>
        <v>0.15299026425591097</v>
      </c>
    </row>
    <row r="573" spans="1:7" ht="21" thickBot="1" x14ac:dyDescent="0.35">
      <c r="A573" s="61">
        <v>22</v>
      </c>
      <c r="B573" s="62">
        <v>704</v>
      </c>
      <c r="C573" s="63" t="s">
        <v>640</v>
      </c>
      <c r="D573" s="36">
        <v>91</v>
      </c>
      <c r="E573" s="34">
        <v>24</v>
      </c>
      <c r="F573" s="34">
        <v>1012</v>
      </c>
      <c r="G573" s="64">
        <f t="shared" si="37"/>
        <v>0.11363636363636363</v>
      </c>
    </row>
    <row r="574" spans="1:7" ht="21" thickBot="1" x14ac:dyDescent="0.35">
      <c r="A574" s="18"/>
      <c r="B574" s="19">
        <f>COUNTA(B567:B573)</f>
        <v>7</v>
      </c>
      <c r="C574" s="20" t="s">
        <v>16</v>
      </c>
      <c r="D574" s="21">
        <f>SUM(D567:D573)</f>
        <v>700</v>
      </c>
      <c r="E574" s="35">
        <f>SUM(E567:E573)</f>
        <v>90</v>
      </c>
      <c r="F574" s="35">
        <f>SUM(F567:F573)</f>
        <v>4060</v>
      </c>
      <c r="G574" s="22">
        <f t="shared" si="37"/>
        <v>0.19458128078817735</v>
      </c>
    </row>
    <row r="575" spans="1:7" x14ac:dyDescent="0.3">
      <c r="A575" s="24"/>
      <c r="B575" s="25"/>
      <c r="C575" s="26"/>
      <c r="D575" s="31"/>
      <c r="E575" s="28"/>
      <c r="F575" s="28"/>
      <c r="G575" s="29"/>
    </row>
    <row r="576" spans="1:7" x14ac:dyDescent="0.3">
      <c r="A576" s="24"/>
      <c r="B576" s="25"/>
      <c r="C576" s="30" t="s">
        <v>124</v>
      </c>
      <c r="D576" s="31"/>
      <c r="E576" s="28"/>
      <c r="F576" s="28"/>
      <c r="G576" s="29"/>
    </row>
    <row r="577" spans="1:7" x14ac:dyDescent="0.3">
      <c r="A577" s="14">
        <v>23</v>
      </c>
      <c r="B577" s="15">
        <v>112</v>
      </c>
      <c r="C577" s="16" t="s">
        <v>644</v>
      </c>
      <c r="D577" s="36">
        <v>14</v>
      </c>
      <c r="E577" s="34">
        <v>10</v>
      </c>
      <c r="F577" s="34">
        <v>28</v>
      </c>
      <c r="G577" s="17">
        <f>+(D577+E577)/F577</f>
        <v>0.8571428571428571</v>
      </c>
    </row>
    <row r="578" spans="1:7" x14ac:dyDescent="0.3">
      <c r="A578" s="14">
        <v>23</v>
      </c>
      <c r="B578" s="15">
        <v>104</v>
      </c>
      <c r="C578" s="16" t="s">
        <v>643</v>
      </c>
      <c r="D578" s="36">
        <v>68</v>
      </c>
      <c r="E578" s="34">
        <v>8</v>
      </c>
      <c r="F578" s="34">
        <v>99</v>
      </c>
      <c r="G578" s="17">
        <f>+(D578+E578)/F578</f>
        <v>0.76767676767676762</v>
      </c>
    </row>
    <row r="579" spans="1:7" ht="21" thickBot="1" x14ac:dyDescent="0.35">
      <c r="A579" s="24">
        <v>23</v>
      </c>
      <c r="B579" s="25">
        <v>708</v>
      </c>
      <c r="C579" s="26" t="s">
        <v>125</v>
      </c>
      <c r="D579" s="36">
        <v>61</v>
      </c>
      <c r="E579" s="34">
        <v>25</v>
      </c>
      <c r="F579" s="34">
        <v>166</v>
      </c>
      <c r="G579" s="29">
        <f>+(D579+E579)/F579</f>
        <v>0.51807228915662651</v>
      </c>
    </row>
    <row r="580" spans="1:7" ht="21" thickBot="1" x14ac:dyDescent="0.35">
      <c r="A580" s="18"/>
      <c r="B580" s="19">
        <f>COUNTA(B577:B579)</f>
        <v>3</v>
      </c>
      <c r="C580" s="20" t="s">
        <v>16</v>
      </c>
      <c r="D580" s="21">
        <f>SUM(D577:D579)</f>
        <v>143</v>
      </c>
      <c r="E580" s="35">
        <f>SUM(E577:E579)</f>
        <v>43</v>
      </c>
      <c r="F580" s="35">
        <f>SUM(F577:F579)</f>
        <v>293</v>
      </c>
      <c r="G580" s="22">
        <f>+(D580+E580)/F580</f>
        <v>0.6348122866894198</v>
      </c>
    </row>
    <row r="581" spans="1:7" x14ac:dyDescent="0.3">
      <c r="A581" s="24"/>
      <c r="B581" s="25"/>
      <c r="C581" s="26"/>
      <c r="D581" s="31"/>
      <c r="E581" s="28"/>
      <c r="F581" s="28"/>
      <c r="G581" s="29"/>
    </row>
    <row r="582" spans="1:7" x14ac:dyDescent="0.3">
      <c r="A582" s="24"/>
      <c r="B582" s="25"/>
      <c r="C582" s="30" t="s">
        <v>126</v>
      </c>
      <c r="D582" s="31"/>
      <c r="E582" s="28"/>
      <c r="F582" s="28"/>
      <c r="G582" s="29"/>
    </row>
    <row r="583" spans="1:7" x14ac:dyDescent="0.3">
      <c r="A583" s="14">
        <v>24</v>
      </c>
      <c r="B583" s="15">
        <v>112</v>
      </c>
      <c r="C583" s="16" t="s">
        <v>198</v>
      </c>
      <c r="D583" s="36">
        <v>65</v>
      </c>
      <c r="E583" s="34">
        <v>9</v>
      </c>
      <c r="F583" s="34">
        <v>111</v>
      </c>
      <c r="G583" s="17">
        <f>+(D583+E583)/F583</f>
        <v>0.66666666666666663</v>
      </c>
    </row>
    <row r="584" spans="1:7" x14ac:dyDescent="0.3">
      <c r="A584" s="14">
        <v>24</v>
      </c>
      <c r="B584" s="15">
        <v>110</v>
      </c>
      <c r="C584" s="16" t="s">
        <v>197</v>
      </c>
      <c r="D584" s="36">
        <v>47</v>
      </c>
      <c r="E584" s="34">
        <v>3</v>
      </c>
      <c r="F584" s="34">
        <v>99</v>
      </c>
      <c r="G584" s="17">
        <f>+(D584+E584)/F584</f>
        <v>0.50505050505050508</v>
      </c>
    </row>
    <row r="585" spans="1:7" x14ac:dyDescent="0.3">
      <c r="A585" s="14">
        <v>24</v>
      </c>
      <c r="B585" s="15">
        <v>708</v>
      </c>
      <c r="C585" s="39" t="s">
        <v>200</v>
      </c>
      <c r="D585" s="36">
        <v>53</v>
      </c>
      <c r="E585" s="34">
        <v>2</v>
      </c>
      <c r="F585" s="34">
        <v>131</v>
      </c>
      <c r="G585" s="17">
        <f>+(D585+E585)/F585</f>
        <v>0.41984732824427479</v>
      </c>
    </row>
    <row r="586" spans="1:7" ht="21" thickBot="1" x14ac:dyDescent="0.35">
      <c r="A586" s="24">
        <v>24</v>
      </c>
      <c r="B586" s="37">
        <v>304</v>
      </c>
      <c r="C586" s="65" t="s">
        <v>199</v>
      </c>
      <c r="D586" s="36">
        <v>50</v>
      </c>
      <c r="E586" s="34">
        <v>4</v>
      </c>
      <c r="F586" s="34">
        <v>131</v>
      </c>
      <c r="G586" s="29">
        <f>+(D586+E586)/F586</f>
        <v>0.41221374045801529</v>
      </c>
    </row>
    <row r="587" spans="1:7" ht="21" thickBot="1" x14ac:dyDescent="0.35">
      <c r="A587" s="18"/>
      <c r="B587" s="19">
        <f>COUNTA(B583:B586)</f>
        <v>4</v>
      </c>
      <c r="C587" s="20" t="s">
        <v>16</v>
      </c>
      <c r="D587" s="21">
        <f>SUM(D583:D586)</f>
        <v>215</v>
      </c>
      <c r="E587" s="35">
        <f>SUM(E583:E586)</f>
        <v>18</v>
      </c>
      <c r="F587" s="35">
        <f>SUM(F583:F586)</f>
        <v>472</v>
      </c>
      <c r="G587" s="22">
        <f>+(D587+E587)/F587</f>
        <v>0.49364406779661019</v>
      </c>
    </row>
    <row r="588" spans="1:7" x14ac:dyDescent="0.3">
      <c r="A588" s="24"/>
      <c r="B588" s="25"/>
      <c r="C588" s="26"/>
      <c r="D588" s="31"/>
      <c r="E588" s="28"/>
      <c r="F588" s="28"/>
      <c r="G588" s="29"/>
    </row>
    <row r="589" spans="1:7" x14ac:dyDescent="0.3">
      <c r="A589" s="24"/>
      <c r="B589" s="25"/>
      <c r="C589" s="30" t="s">
        <v>127</v>
      </c>
      <c r="D589" s="31"/>
      <c r="E589" s="28"/>
      <c r="F589" s="28"/>
      <c r="G589" s="29"/>
    </row>
    <row r="590" spans="1:7" x14ac:dyDescent="0.3">
      <c r="A590" s="14">
        <v>25</v>
      </c>
      <c r="B590" s="15">
        <v>148</v>
      </c>
      <c r="C590" s="16" t="s">
        <v>890</v>
      </c>
      <c r="D590" s="36">
        <v>211</v>
      </c>
      <c r="E590" s="34">
        <v>13</v>
      </c>
      <c r="F590" s="34">
        <v>228</v>
      </c>
      <c r="G590" s="17">
        <f t="shared" ref="G590:G601" si="38">+(D590+E590)/F590</f>
        <v>0.98245614035087714</v>
      </c>
    </row>
    <row r="591" spans="1:7" x14ac:dyDescent="0.3">
      <c r="A591" s="14">
        <v>25</v>
      </c>
      <c r="B591" s="15">
        <v>124</v>
      </c>
      <c r="C591" s="16" t="s">
        <v>648</v>
      </c>
      <c r="D591" s="36">
        <v>4</v>
      </c>
      <c r="E591" s="34">
        <v>6</v>
      </c>
      <c r="F591" s="34">
        <v>11</v>
      </c>
      <c r="G591" s="17">
        <f t="shared" si="38"/>
        <v>0.90909090909090906</v>
      </c>
    </row>
    <row r="592" spans="1:7" x14ac:dyDescent="0.3">
      <c r="A592" s="14">
        <v>25</v>
      </c>
      <c r="B592" s="15">
        <v>108</v>
      </c>
      <c r="C592" s="16" t="s">
        <v>647</v>
      </c>
      <c r="D592" s="36">
        <v>64</v>
      </c>
      <c r="E592" s="34">
        <v>2</v>
      </c>
      <c r="F592" s="34">
        <v>75</v>
      </c>
      <c r="G592" s="17">
        <f t="shared" si="38"/>
        <v>0.88</v>
      </c>
    </row>
    <row r="593" spans="1:7" x14ac:dyDescent="0.3">
      <c r="A593" s="14">
        <v>25</v>
      </c>
      <c r="B593" s="15">
        <v>136</v>
      </c>
      <c r="C593" s="16" t="s">
        <v>128</v>
      </c>
      <c r="D593" s="36">
        <v>112</v>
      </c>
      <c r="E593" s="34">
        <v>14</v>
      </c>
      <c r="F593" s="34">
        <v>144</v>
      </c>
      <c r="G593" s="17">
        <f t="shared" si="38"/>
        <v>0.875</v>
      </c>
    </row>
    <row r="594" spans="1:7" x14ac:dyDescent="0.3">
      <c r="A594" s="14">
        <v>25</v>
      </c>
      <c r="B594" s="15">
        <v>712</v>
      </c>
      <c r="C594" s="16" t="s">
        <v>133</v>
      </c>
      <c r="D594" s="36">
        <v>17</v>
      </c>
      <c r="E594" s="34">
        <v>8</v>
      </c>
      <c r="F594" s="34">
        <v>32</v>
      </c>
      <c r="G594" s="17">
        <f t="shared" si="38"/>
        <v>0.78125</v>
      </c>
    </row>
    <row r="595" spans="1:7" x14ac:dyDescent="0.3">
      <c r="A595" s="14">
        <v>25</v>
      </c>
      <c r="B595" s="15">
        <v>710</v>
      </c>
      <c r="C595" s="16" t="s">
        <v>132</v>
      </c>
      <c r="D595" s="36">
        <v>174</v>
      </c>
      <c r="E595" s="34">
        <v>15</v>
      </c>
      <c r="F595" s="34">
        <v>263</v>
      </c>
      <c r="G595" s="17">
        <f t="shared" si="38"/>
        <v>0.71863117870722437</v>
      </c>
    </row>
    <row r="596" spans="1:7" x14ac:dyDescent="0.3">
      <c r="A596" s="14">
        <v>25</v>
      </c>
      <c r="B596" s="15">
        <v>706</v>
      </c>
      <c r="C596" s="16" t="s">
        <v>130</v>
      </c>
      <c r="D596" s="36">
        <v>149</v>
      </c>
      <c r="E596" s="34">
        <v>13</v>
      </c>
      <c r="F596" s="34">
        <v>227</v>
      </c>
      <c r="G596" s="17">
        <f t="shared" si="38"/>
        <v>0.71365638766519823</v>
      </c>
    </row>
    <row r="597" spans="1:7" x14ac:dyDescent="0.3">
      <c r="A597" s="14">
        <v>25</v>
      </c>
      <c r="B597" s="15">
        <v>104</v>
      </c>
      <c r="C597" s="16" t="s">
        <v>646</v>
      </c>
      <c r="D597" s="36">
        <v>238</v>
      </c>
      <c r="E597" s="34">
        <v>67</v>
      </c>
      <c r="F597" s="34">
        <v>455</v>
      </c>
      <c r="G597" s="17">
        <f t="shared" si="38"/>
        <v>0.67032967032967028</v>
      </c>
    </row>
    <row r="598" spans="1:7" x14ac:dyDescent="0.3">
      <c r="A598" s="14">
        <v>25</v>
      </c>
      <c r="B598" s="15">
        <v>308</v>
      </c>
      <c r="C598" s="16" t="s">
        <v>645</v>
      </c>
      <c r="D598" s="36">
        <v>147</v>
      </c>
      <c r="E598" s="34">
        <v>36</v>
      </c>
      <c r="F598" s="34">
        <v>307</v>
      </c>
      <c r="G598" s="17">
        <f t="shared" si="38"/>
        <v>0.59609120521172643</v>
      </c>
    </row>
    <row r="599" spans="1:7" x14ac:dyDescent="0.3">
      <c r="A599" s="14">
        <v>25</v>
      </c>
      <c r="B599" s="15">
        <v>140</v>
      </c>
      <c r="C599" s="16" t="s">
        <v>649</v>
      </c>
      <c r="D599" s="36">
        <v>89</v>
      </c>
      <c r="E599" s="34">
        <v>40</v>
      </c>
      <c r="F599" s="34">
        <v>274</v>
      </c>
      <c r="G599" s="17">
        <f t="shared" si="38"/>
        <v>0.47080291970802918</v>
      </c>
    </row>
    <row r="600" spans="1:7" x14ac:dyDescent="0.3">
      <c r="A600" s="14">
        <v>25</v>
      </c>
      <c r="B600" s="15">
        <v>708</v>
      </c>
      <c r="C600" s="16" t="s">
        <v>131</v>
      </c>
      <c r="D600" s="36">
        <v>146</v>
      </c>
      <c r="E600" s="34">
        <v>32</v>
      </c>
      <c r="F600" s="34">
        <v>398</v>
      </c>
      <c r="G600" s="17">
        <f t="shared" si="38"/>
        <v>0.44723618090452261</v>
      </c>
    </row>
    <row r="601" spans="1:7" ht="21" thickBot="1" x14ac:dyDescent="0.35">
      <c r="A601" s="14">
        <v>25</v>
      </c>
      <c r="B601" s="15">
        <v>704</v>
      </c>
      <c r="C601" s="16" t="s">
        <v>129</v>
      </c>
      <c r="D601" s="36">
        <v>62</v>
      </c>
      <c r="E601" s="34">
        <v>27</v>
      </c>
      <c r="F601" s="34">
        <v>285</v>
      </c>
      <c r="G601" s="17">
        <f t="shared" si="38"/>
        <v>0.31228070175438599</v>
      </c>
    </row>
    <row r="602" spans="1:7" ht="21" thickBot="1" x14ac:dyDescent="0.35">
      <c r="A602" s="18"/>
      <c r="B602" s="19">
        <f>COUNTA(B590:B601)</f>
        <v>12</v>
      </c>
      <c r="C602" s="20" t="s">
        <v>16</v>
      </c>
      <c r="D602" s="21">
        <f>SUM(D590:D601)</f>
        <v>1413</v>
      </c>
      <c r="E602" s="35">
        <f>SUM(E590:E601)</f>
        <v>273</v>
      </c>
      <c r="F602" s="35">
        <f>SUM(F590:F601)</f>
        <v>2699</v>
      </c>
      <c r="G602" s="22">
        <f t="shared" ref="G602" si="39">+(D602+E602)/F602</f>
        <v>0.62467580585402005</v>
      </c>
    </row>
    <row r="603" spans="1:7" x14ac:dyDescent="0.3">
      <c r="A603" s="24"/>
      <c r="B603" s="25"/>
      <c r="C603" s="26"/>
      <c r="D603" s="31"/>
      <c r="E603" s="28"/>
      <c r="F603" s="28"/>
      <c r="G603" s="29"/>
    </row>
    <row r="604" spans="1:7" x14ac:dyDescent="0.3">
      <c r="A604" s="24"/>
      <c r="B604" s="25"/>
      <c r="C604" s="30" t="s">
        <v>134</v>
      </c>
      <c r="D604" s="31"/>
      <c r="E604" s="28"/>
      <c r="F604" s="28"/>
      <c r="G604" s="29"/>
    </row>
    <row r="605" spans="1:7" x14ac:dyDescent="0.3">
      <c r="A605" s="14">
        <v>26</v>
      </c>
      <c r="B605" s="15">
        <v>116</v>
      </c>
      <c r="C605" s="16" t="s">
        <v>651</v>
      </c>
      <c r="D605" s="36">
        <v>9</v>
      </c>
      <c r="E605" s="34">
        <v>11</v>
      </c>
      <c r="F605" s="34">
        <v>31</v>
      </c>
      <c r="G605" s="17">
        <f t="shared" ref="G605:G617" si="40">+(D605+E605)/F605</f>
        <v>0.64516129032258063</v>
      </c>
    </row>
    <row r="606" spans="1:7" x14ac:dyDescent="0.3">
      <c r="A606" s="14">
        <v>26</v>
      </c>
      <c r="B606" s="15">
        <v>104</v>
      </c>
      <c r="C606" s="16" t="s">
        <v>650</v>
      </c>
      <c r="D606" s="36">
        <v>156</v>
      </c>
      <c r="E606" s="34">
        <v>43</v>
      </c>
      <c r="F606" s="34">
        <v>335</v>
      </c>
      <c r="G606" s="17">
        <f t="shared" si="40"/>
        <v>0.59402985074626868</v>
      </c>
    </row>
    <row r="607" spans="1:7" x14ac:dyDescent="0.3">
      <c r="A607" s="14">
        <v>26</v>
      </c>
      <c r="B607" s="15">
        <v>120</v>
      </c>
      <c r="C607" s="16" t="s">
        <v>523</v>
      </c>
      <c r="D607" s="36">
        <v>193</v>
      </c>
      <c r="E607" s="34">
        <v>89</v>
      </c>
      <c r="F607" s="34">
        <v>542</v>
      </c>
      <c r="G607" s="17">
        <f t="shared" si="40"/>
        <v>0.52029520295202947</v>
      </c>
    </row>
    <row r="608" spans="1:7" x14ac:dyDescent="0.3">
      <c r="A608" s="14">
        <v>26</v>
      </c>
      <c r="B608" s="15">
        <v>124</v>
      </c>
      <c r="C608" s="16" t="s">
        <v>653</v>
      </c>
      <c r="D608" s="36">
        <v>172</v>
      </c>
      <c r="E608" s="34">
        <v>65</v>
      </c>
      <c r="F608" s="34">
        <v>466</v>
      </c>
      <c r="G608" s="17">
        <f t="shared" si="40"/>
        <v>0.50858369098712441</v>
      </c>
    </row>
    <row r="609" spans="1:7" x14ac:dyDescent="0.3">
      <c r="A609" s="14">
        <v>26</v>
      </c>
      <c r="B609" s="15">
        <v>320</v>
      </c>
      <c r="C609" s="16" t="s">
        <v>136</v>
      </c>
      <c r="D609" s="36">
        <v>116</v>
      </c>
      <c r="E609" s="34">
        <v>40</v>
      </c>
      <c r="F609" s="34">
        <v>309</v>
      </c>
      <c r="G609" s="17">
        <f t="shared" si="40"/>
        <v>0.50485436893203883</v>
      </c>
    </row>
    <row r="610" spans="1:7" x14ac:dyDescent="0.3">
      <c r="A610" s="14">
        <v>26</v>
      </c>
      <c r="B610" s="15">
        <v>132</v>
      </c>
      <c r="C610" s="16" t="s">
        <v>654</v>
      </c>
      <c r="D610" s="36">
        <v>155</v>
      </c>
      <c r="E610" s="34">
        <v>67</v>
      </c>
      <c r="F610" s="34">
        <v>443</v>
      </c>
      <c r="G610" s="17">
        <f t="shared" si="40"/>
        <v>0.50112866817155755</v>
      </c>
    </row>
    <row r="611" spans="1:7" x14ac:dyDescent="0.3">
      <c r="A611" s="14">
        <v>26</v>
      </c>
      <c r="B611" s="15">
        <v>330</v>
      </c>
      <c r="C611" s="16" t="s">
        <v>137</v>
      </c>
      <c r="D611" s="36">
        <v>162</v>
      </c>
      <c r="E611" s="34">
        <v>60</v>
      </c>
      <c r="F611" s="34">
        <v>461</v>
      </c>
      <c r="G611" s="17">
        <f t="shared" si="40"/>
        <v>0.48156182212581344</v>
      </c>
    </row>
    <row r="612" spans="1:7" x14ac:dyDescent="0.3">
      <c r="A612" s="14">
        <v>26</v>
      </c>
      <c r="B612" s="15">
        <v>310</v>
      </c>
      <c r="C612" s="16" t="s">
        <v>135</v>
      </c>
      <c r="D612" s="36">
        <v>90</v>
      </c>
      <c r="E612" s="34">
        <v>28</v>
      </c>
      <c r="F612" s="34">
        <v>247</v>
      </c>
      <c r="G612" s="17">
        <f t="shared" si="40"/>
        <v>0.47773279352226722</v>
      </c>
    </row>
    <row r="613" spans="1:7" x14ac:dyDescent="0.3">
      <c r="A613" s="14">
        <v>26</v>
      </c>
      <c r="B613" s="15">
        <v>708</v>
      </c>
      <c r="C613" s="16" t="s">
        <v>138</v>
      </c>
      <c r="D613" s="36">
        <v>179</v>
      </c>
      <c r="E613" s="34">
        <v>56</v>
      </c>
      <c r="F613" s="34">
        <v>592</v>
      </c>
      <c r="G613" s="17">
        <f t="shared" si="40"/>
        <v>0.39695945945945948</v>
      </c>
    </row>
    <row r="614" spans="1:7" x14ac:dyDescent="0.3">
      <c r="A614" s="14">
        <v>26</v>
      </c>
      <c r="B614" s="15">
        <v>712</v>
      </c>
      <c r="C614" s="16" t="s">
        <v>139</v>
      </c>
      <c r="D614" s="36">
        <v>118</v>
      </c>
      <c r="E614" s="34">
        <v>33</v>
      </c>
      <c r="F614" s="34">
        <v>382</v>
      </c>
      <c r="G614" s="17">
        <f t="shared" si="40"/>
        <v>0.39528795811518325</v>
      </c>
    </row>
    <row r="615" spans="1:7" x14ac:dyDescent="0.3">
      <c r="A615" s="14">
        <v>26</v>
      </c>
      <c r="B615" s="15">
        <v>704</v>
      </c>
      <c r="C615" s="16" t="s">
        <v>652</v>
      </c>
      <c r="D615" s="36">
        <v>54</v>
      </c>
      <c r="E615" s="34">
        <v>25</v>
      </c>
      <c r="F615" s="34">
        <v>268</v>
      </c>
      <c r="G615" s="17">
        <f t="shared" si="40"/>
        <v>0.29477611940298509</v>
      </c>
    </row>
    <row r="616" spans="1:7" ht="21" thickBot="1" x14ac:dyDescent="0.35">
      <c r="A616" s="24">
        <v>26</v>
      </c>
      <c r="B616" s="25">
        <v>716</v>
      </c>
      <c r="C616" s="26" t="s">
        <v>140</v>
      </c>
      <c r="D616" s="36">
        <v>8</v>
      </c>
      <c r="E616" s="34">
        <v>2</v>
      </c>
      <c r="F616" s="34">
        <v>85</v>
      </c>
      <c r="G616" s="29">
        <f t="shared" si="40"/>
        <v>0.11764705882352941</v>
      </c>
    </row>
    <row r="617" spans="1:7" ht="21" thickBot="1" x14ac:dyDescent="0.35">
      <c r="A617" s="18"/>
      <c r="B617" s="19">
        <f>COUNTA(B605:B616)</f>
        <v>12</v>
      </c>
      <c r="C617" s="20" t="s">
        <v>16</v>
      </c>
      <c r="D617" s="21">
        <f>SUM(D605:D616)</f>
        <v>1412</v>
      </c>
      <c r="E617" s="35">
        <f>SUM(E605:E616)</f>
        <v>519</v>
      </c>
      <c r="F617" s="35">
        <f>SUM(F605:F616)</f>
        <v>4161</v>
      </c>
      <c r="G617" s="22">
        <f t="shared" si="40"/>
        <v>0.4640711367459745</v>
      </c>
    </row>
    <row r="618" spans="1:7" x14ac:dyDescent="0.3">
      <c r="A618" s="24"/>
      <c r="B618" s="25"/>
      <c r="C618" s="26"/>
      <c r="D618" s="31"/>
      <c r="E618" s="28"/>
      <c r="F618" s="28"/>
      <c r="G618" s="29"/>
    </row>
    <row r="619" spans="1:7" x14ac:dyDescent="0.3">
      <c r="A619" s="24"/>
      <c r="B619" s="25"/>
      <c r="C619" s="30" t="s">
        <v>141</v>
      </c>
      <c r="D619" s="31"/>
      <c r="E619" s="28"/>
      <c r="F619" s="28"/>
      <c r="G619" s="29"/>
    </row>
    <row r="620" spans="1:7" x14ac:dyDescent="0.3">
      <c r="A620" s="14">
        <v>27</v>
      </c>
      <c r="B620" s="15">
        <v>112</v>
      </c>
      <c r="C620" s="16" t="s">
        <v>343</v>
      </c>
      <c r="D620" s="36">
        <v>177</v>
      </c>
      <c r="E620" s="34">
        <v>86</v>
      </c>
      <c r="F620" s="34">
        <v>420</v>
      </c>
      <c r="G620" s="17">
        <f t="shared" ref="G620:G627" si="41">+(D620+E620)/F620</f>
        <v>0.62619047619047619</v>
      </c>
    </row>
    <row r="621" spans="1:7" x14ac:dyDescent="0.3">
      <c r="A621" s="14">
        <v>27</v>
      </c>
      <c r="B621" s="15">
        <v>116</v>
      </c>
      <c r="C621" s="16" t="s">
        <v>656</v>
      </c>
      <c r="D621" s="11">
        <v>123</v>
      </c>
      <c r="E621" s="12">
        <v>76</v>
      </c>
      <c r="F621" s="34">
        <v>337</v>
      </c>
      <c r="G621" s="17">
        <f t="shared" si="41"/>
        <v>0.59050445103857563</v>
      </c>
    </row>
    <row r="622" spans="1:7" x14ac:dyDescent="0.3">
      <c r="A622" s="14">
        <v>27</v>
      </c>
      <c r="B622" s="15">
        <v>108</v>
      </c>
      <c r="C622" s="16" t="s">
        <v>655</v>
      </c>
      <c r="D622" s="11">
        <v>184</v>
      </c>
      <c r="E622" s="12">
        <v>86</v>
      </c>
      <c r="F622" s="34">
        <v>460</v>
      </c>
      <c r="G622" s="17">
        <f t="shared" si="41"/>
        <v>0.58695652173913049</v>
      </c>
    </row>
    <row r="623" spans="1:7" x14ac:dyDescent="0.3">
      <c r="A623" s="14">
        <v>27</v>
      </c>
      <c r="B623" s="15">
        <v>304</v>
      </c>
      <c r="C623" s="16" t="s">
        <v>143</v>
      </c>
      <c r="D623" s="11">
        <v>168</v>
      </c>
      <c r="E623" s="12">
        <v>84</v>
      </c>
      <c r="F623" s="34">
        <v>443</v>
      </c>
      <c r="G623" s="17">
        <f t="shared" si="41"/>
        <v>0.56884875846501126</v>
      </c>
    </row>
    <row r="624" spans="1:7" x14ac:dyDescent="0.3">
      <c r="A624" s="14">
        <v>27</v>
      </c>
      <c r="B624" s="15">
        <v>302</v>
      </c>
      <c r="C624" s="16" t="s">
        <v>142</v>
      </c>
      <c r="D624" s="11">
        <v>101</v>
      </c>
      <c r="E624" s="12">
        <v>49</v>
      </c>
      <c r="F624" s="34">
        <v>275</v>
      </c>
      <c r="G624" s="17">
        <f t="shared" si="41"/>
        <v>0.54545454545454541</v>
      </c>
    </row>
    <row r="625" spans="1:7" x14ac:dyDescent="0.3">
      <c r="A625" s="14">
        <v>27</v>
      </c>
      <c r="B625" s="15">
        <v>704</v>
      </c>
      <c r="C625" s="16" t="s">
        <v>144</v>
      </c>
      <c r="D625" s="11">
        <v>84</v>
      </c>
      <c r="E625" s="12">
        <v>60</v>
      </c>
      <c r="F625" s="34">
        <v>325</v>
      </c>
      <c r="G625" s="17">
        <f t="shared" si="41"/>
        <v>0.44307692307692309</v>
      </c>
    </row>
    <row r="626" spans="1:7" ht="21" thickBot="1" x14ac:dyDescent="0.35">
      <c r="A626" s="24">
        <v>27</v>
      </c>
      <c r="B626" s="25">
        <v>708</v>
      </c>
      <c r="C626" s="26" t="s">
        <v>145</v>
      </c>
      <c r="D626" s="11">
        <v>125</v>
      </c>
      <c r="E626" s="12">
        <v>83</v>
      </c>
      <c r="F626" s="34">
        <v>560</v>
      </c>
      <c r="G626" s="29">
        <f t="shared" si="41"/>
        <v>0.37142857142857144</v>
      </c>
    </row>
    <row r="627" spans="1:7" ht="21" thickBot="1" x14ac:dyDescent="0.35">
      <c r="A627" s="18"/>
      <c r="B627" s="19">
        <f>COUNTA(B620:B626)</f>
        <v>7</v>
      </c>
      <c r="C627" s="20" t="s">
        <v>16</v>
      </c>
      <c r="D627" s="21">
        <f>SUM(D620:D626)</f>
        <v>962</v>
      </c>
      <c r="E627" s="35">
        <f>SUM(E620:E626)</f>
        <v>524</v>
      </c>
      <c r="F627" s="35">
        <f>SUM(F620:F626)</f>
        <v>2820</v>
      </c>
      <c r="G627" s="22">
        <f t="shared" si="41"/>
        <v>0.52695035460992912</v>
      </c>
    </row>
    <row r="628" spans="1:7" x14ac:dyDescent="0.3">
      <c r="A628" s="24"/>
      <c r="B628" s="25"/>
      <c r="C628" s="26"/>
      <c r="D628" s="31"/>
      <c r="E628" s="28"/>
      <c r="F628" s="28"/>
      <c r="G628" s="29"/>
    </row>
    <row r="629" spans="1:7" x14ac:dyDescent="0.3">
      <c r="A629" s="24"/>
      <c r="B629" s="25"/>
      <c r="C629" s="30" t="s">
        <v>146</v>
      </c>
      <c r="D629" s="31"/>
      <c r="E629" s="28"/>
      <c r="F629" s="28"/>
      <c r="G629" s="29"/>
    </row>
    <row r="630" spans="1:7" x14ac:dyDescent="0.3">
      <c r="A630" s="14">
        <v>28</v>
      </c>
      <c r="B630" s="15">
        <v>104</v>
      </c>
      <c r="C630" s="16" t="s">
        <v>147</v>
      </c>
      <c r="D630" s="36">
        <v>101</v>
      </c>
      <c r="E630" s="34">
        <v>35</v>
      </c>
      <c r="F630" s="34">
        <v>478</v>
      </c>
      <c r="G630" s="17">
        <f>+(D630+E630)/F630</f>
        <v>0.28451882845188287</v>
      </c>
    </row>
    <row r="631" spans="1:7" x14ac:dyDescent="0.3">
      <c r="A631" s="14">
        <v>28</v>
      </c>
      <c r="B631" s="15">
        <v>304</v>
      </c>
      <c r="C631" s="16" t="s">
        <v>148</v>
      </c>
      <c r="D631" s="36">
        <v>81</v>
      </c>
      <c r="E631" s="34">
        <v>36</v>
      </c>
      <c r="F631" s="34">
        <v>434</v>
      </c>
      <c r="G631" s="17">
        <f>+(D631+E631)/F631</f>
        <v>0.2695852534562212</v>
      </c>
    </row>
    <row r="632" spans="1:7" ht="21" thickBot="1" x14ac:dyDescent="0.35">
      <c r="A632" s="24">
        <v>28</v>
      </c>
      <c r="B632" s="25">
        <v>704</v>
      </c>
      <c r="C632" s="26" t="s">
        <v>149</v>
      </c>
      <c r="D632" s="36">
        <v>34</v>
      </c>
      <c r="E632" s="34">
        <v>19</v>
      </c>
      <c r="F632" s="34">
        <v>420</v>
      </c>
      <c r="G632" s="29">
        <f>+(D632+E632)/F632</f>
        <v>0.12619047619047619</v>
      </c>
    </row>
    <row r="633" spans="1:7" ht="21" thickBot="1" x14ac:dyDescent="0.35">
      <c r="A633" s="18"/>
      <c r="B633" s="19">
        <f>COUNTA(B630:B632)</f>
        <v>3</v>
      </c>
      <c r="C633" s="20" t="s">
        <v>16</v>
      </c>
      <c r="D633" s="21">
        <f>SUM(D630:D632)</f>
        <v>216</v>
      </c>
      <c r="E633" s="35">
        <f>SUM(E630:E632)</f>
        <v>90</v>
      </c>
      <c r="F633" s="35">
        <f>SUM(F630:F632)</f>
        <v>1332</v>
      </c>
      <c r="G633" s="22">
        <f>+(D633+E633)/F633</f>
        <v>0.22972972972972974</v>
      </c>
    </row>
    <row r="634" spans="1:7" x14ac:dyDescent="0.3">
      <c r="A634" s="24"/>
      <c r="B634" s="25"/>
      <c r="C634" s="26"/>
      <c r="D634" s="31"/>
      <c r="E634" s="28"/>
      <c r="F634" s="28"/>
      <c r="G634" s="29"/>
    </row>
    <row r="635" spans="1:7" x14ac:dyDescent="0.3">
      <c r="A635" s="24"/>
      <c r="B635" s="25"/>
      <c r="C635" s="30" t="s">
        <v>150</v>
      </c>
      <c r="D635" s="31"/>
      <c r="E635" s="28"/>
      <c r="F635" s="28"/>
      <c r="G635" s="29"/>
    </row>
    <row r="636" spans="1:7" ht="21" thickBot="1" x14ac:dyDescent="0.35">
      <c r="A636" s="14">
        <v>29</v>
      </c>
      <c r="B636" s="15" t="s">
        <v>902</v>
      </c>
      <c r="C636" s="16" t="s">
        <v>201</v>
      </c>
      <c r="D636" s="36">
        <v>57</v>
      </c>
      <c r="E636" s="34">
        <v>22</v>
      </c>
      <c r="F636" s="34">
        <v>176</v>
      </c>
      <c r="G636" s="17">
        <f>+(D636+E636)/F636</f>
        <v>0.44886363636363635</v>
      </c>
    </row>
    <row r="637" spans="1:7" ht="21" thickBot="1" x14ac:dyDescent="0.35">
      <c r="A637" s="18"/>
      <c r="B637" s="19">
        <f>COUNTA(B636:B636)</f>
        <v>1</v>
      </c>
      <c r="C637" s="20" t="s">
        <v>16</v>
      </c>
      <c r="D637" s="21">
        <f>SUM(D636:D636)</f>
        <v>57</v>
      </c>
      <c r="E637" s="35">
        <f>SUM(E636:E636)</f>
        <v>22</v>
      </c>
      <c r="F637" s="35">
        <v>176</v>
      </c>
      <c r="G637" s="22">
        <f>+(D637+E637)/F637</f>
        <v>0.44886363636363635</v>
      </c>
    </row>
    <row r="638" spans="1:7" x14ac:dyDescent="0.3">
      <c r="A638" s="24"/>
      <c r="B638" s="25"/>
      <c r="C638" s="26"/>
      <c r="D638" s="31"/>
      <c r="E638" s="28"/>
      <c r="F638" s="28"/>
      <c r="G638" s="29"/>
    </row>
    <row r="639" spans="1:7" x14ac:dyDescent="0.3">
      <c r="A639" s="24"/>
      <c r="B639" s="25"/>
      <c r="C639" s="30" t="s">
        <v>151</v>
      </c>
      <c r="D639" s="31"/>
      <c r="E639" s="28"/>
      <c r="F639" s="28"/>
      <c r="G639" s="29"/>
    </row>
    <row r="640" spans="1:7" x14ac:dyDescent="0.3">
      <c r="A640" s="14">
        <v>30</v>
      </c>
      <c r="B640" s="15">
        <v>116</v>
      </c>
      <c r="C640" s="16" t="s">
        <v>661</v>
      </c>
      <c r="D640" s="36">
        <v>8</v>
      </c>
      <c r="E640" s="34">
        <v>4</v>
      </c>
      <c r="F640" s="34">
        <v>12</v>
      </c>
      <c r="G640" s="17">
        <f t="shared" ref="G640:G664" si="42">+(D640+E640)/F640</f>
        <v>1</v>
      </c>
    </row>
    <row r="641" spans="1:7" x14ac:dyDescent="0.3">
      <c r="A641" s="14">
        <v>30</v>
      </c>
      <c r="B641" s="15">
        <v>140</v>
      </c>
      <c r="C641" s="16" t="s">
        <v>657</v>
      </c>
      <c r="D641" s="36">
        <v>190</v>
      </c>
      <c r="E641" s="34">
        <v>18</v>
      </c>
      <c r="F641" s="34">
        <v>224</v>
      </c>
      <c r="G641" s="17">
        <f t="shared" si="42"/>
        <v>0.9285714285714286</v>
      </c>
    </row>
    <row r="642" spans="1:7" x14ac:dyDescent="0.3">
      <c r="A642" s="14">
        <v>30</v>
      </c>
      <c r="B642" s="15">
        <v>714</v>
      </c>
      <c r="C642" s="16" t="s">
        <v>154</v>
      </c>
      <c r="D642" s="36">
        <v>136</v>
      </c>
      <c r="E642" s="34">
        <v>20</v>
      </c>
      <c r="F642" s="34">
        <v>194</v>
      </c>
      <c r="G642" s="17">
        <f t="shared" si="42"/>
        <v>0.80412371134020622</v>
      </c>
    </row>
    <row r="643" spans="1:7" x14ac:dyDescent="0.3">
      <c r="A643" s="14">
        <v>30</v>
      </c>
      <c r="B643" s="15">
        <v>112</v>
      </c>
      <c r="C643" s="16" t="s">
        <v>660</v>
      </c>
      <c r="D643" s="36">
        <v>184</v>
      </c>
      <c r="E643" s="34">
        <v>78</v>
      </c>
      <c r="F643" s="34">
        <v>380</v>
      </c>
      <c r="G643" s="17">
        <f t="shared" si="42"/>
        <v>0.68947368421052635</v>
      </c>
    </row>
    <row r="644" spans="1:7" x14ac:dyDescent="0.3">
      <c r="A644" s="14">
        <v>30</v>
      </c>
      <c r="B644" s="15">
        <v>132</v>
      </c>
      <c r="C644" s="16" t="s">
        <v>663</v>
      </c>
      <c r="D644" s="36">
        <v>221</v>
      </c>
      <c r="E644" s="34">
        <v>63</v>
      </c>
      <c r="F644" s="34">
        <v>442</v>
      </c>
      <c r="G644" s="17">
        <f t="shared" si="42"/>
        <v>0.64253393665158376</v>
      </c>
    </row>
    <row r="645" spans="1:7" x14ac:dyDescent="0.3">
      <c r="A645" s="14">
        <v>30</v>
      </c>
      <c r="B645" s="15">
        <v>138</v>
      </c>
      <c r="C645" s="16" t="s">
        <v>666</v>
      </c>
      <c r="D645" s="36">
        <v>175</v>
      </c>
      <c r="E645" s="34">
        <v>94</v>
      </c>
      <c r="F645" s="34">
        <v>560</v>
      </c>
      <c r="G645" s="17">
        <f t="shared" si="42"/>
        <v>0.48035714285714287</v>
      </c>
    </row>
    <row r="646" spans="1:7" x14ac:dyDescent="0.3">
      <c r="A646" s="14">
        <v>30</v>
      </c>
      <c r="B646" s="15">
        <v>142</v>
      </c>
      <c r="C646" s="16" t="s">
        <v>670</v>
      </c>
      <c r="D646" s="36">
        <v>117</v>
      </c>
      <c r="E646" s="34">
        <v>44</v>
      </c>
      <c r="F646" s="34">
        <v>337</v>
      </c>
      <c r="G646" s="17">
        <f t="shared" si="42"/>
        <v>0.47774480712166173</v>
      </c>
    </row>
    <row r="647" spans="1:7" x14ac:dyDescent="0.3">
      <c r="A647" s="14">
        <v>30</v>
      </c>
      <c r="B647" s="15">
        <v>404</v>
      </c>
      <c r="C647" s="16" t="s">
        <v>668</v>
      </c>
      <c r="D647" s="36">
        <v>258</v>
      </c>
      <c r="E647" s="34">
        <v>106</v>
      </c>
      <c r="F647" s="34">
        <v>822</v>
      </c>
      <c r="G647" s="17">
        <f t="shared" si="42"/>
        <v>0.44282238442822386</v>
      </c>
    </row>
    <row r="648" spans="1:7" x14ac:dyDescent="0.3">
      <c r="A648" s="14">
        <v>30</v>
      </c>
      <c r="B648" s="15">
        <v>106</v>
      </c>
      <c r="C648" s="16" t="s">
        <v>469</v>
      </c>
      <c r="D648" s="36">
        <v>151</v>
      </c>
      <c r="E648" s="34">
        <v>39</v>
      </c>
      <c r="F648" s="34">
        <v>431</v>
      </c>
      <c r="G648" s="17">
        <f t="shared" si="42"/>
        <v>0.44083526682134572</v>
      </c>
    </row>
    <row r="649" spans="1:7" x14ac:dyDescent="0.3">
      <c r="A649" s="14">
        <v>30</v>
      </c>
      <c r="B649" s="15">
        <v>136</v>
      </c>
      <c r="C649" s="16" t="s">
        <v>669</v>
      </c>
      <c r="D649" s="36">
        <v>8</v>
      </c>
      <c r="E649" s="34">
        <v>6</v>
      </c>
      <c r="F649" s="34">
        <v>32</v>
      </c>
      <c r="G649" s="17">
        <f t="shared" si="42"/>
        <v>0.4375</v>
      </c>
    </row>
    <row r="650" spans="1:7" x14ac:dyDescent="0.3">
      <c r="A650" s="14">
        <v>30</v>
      </c>
      <c r="B650" s="15">
        <v>102</v>
      </c>
      <c r="C650" s="16" t="s">
        <v>573</v>
      </c>
      <c r="D650" s="36">
        <v>144</v>
      </c>
      <c r="E650" s="34">
        <v>81</v>
      </c>
      <c r="F650" s="34">
        <v>541</v>
      </c>
      <c r="G650" s="17">
        <f t="shared" si="42"/>
        <v>0.41589648798521256</v>
      </c>
    </row>
    <row r="651" spans="1:7" x14ac:dyDescent="0.3">
      <c r="A651" s="14">
        <v>30</v>
      </c>
      <c r="B651" s="15">
        <v>108</v>
      </c>
      <c r="C651" s="16" t="s">
        <v>891</v>
      </c>
      <c r="D651" s="36">
        <v>214</v>
      </c>
      <c r="E651" s="34">
        <v>68</v>
      </c>
      <c r="F651" s="34">
        <v>685</v>
      </c>
      <c r="G651" s="17">
        <f t="shared" si="42"/>
        <v>0.4116788321167883</v>
      </c>
    </row>
    <row r="652" spans="1:7" x14ac:dyDescent="0.3">
      <c r="A652" s="14">
        <v>30</v>
      </c>
      <c r="B652" s="15">
        <v>104</v>
      </c>
      <c r="C652" s="16" t="s">
        <v>659</v>
      </c>
      <c r="D652" s="36">
        <v>26</v>
      </c>
      <c r="E652" s="34">
        <v>7</v>
      </c>
      <c r="F652" s="34">
        <v>84</v>
      </c>
      <c r="G652" s="17">
        <f t="shared" si="42"/>
        <v>0.39285714285714285</v>
      </c>
    </row>
    <row r="653" spans="1:7" x14ac:dyDescent="0.3">
      <c r="A653" s="14">
        <v>30</v>
      </c>
      <c r="B653" s="15">
        <v>128</v>
      </c>
      <c r="C653" s="16" t="s">
        <v>662</v>
      </c>
      <c r="D653" s="36">
        <v>107</v>
      </c>
      <c r="E653" s="34">
        <v>56</v>
      </c>
      <c r="F653" s="34">
        <v>431</v>
      </c>
      <c r="G653" s="17">
        <f t="shared" si="42"/>
        <v>0.37819025522041766</v>
      </c>
    </row>
    <row r="654" spans="1:7" x14ac:dyDescent="0.3">
      <c r="A654" s="14">
        <v>30</v>
      </c>
      <c r="B654" s="15">
        <v>712</v>
      </c>
      <c r="C654" s="16" t="s">
        <v>153</v>
      </c>
      <c r="D654" s="36">
        <v>326</v>
      </c>
      <c r="E654" s="34">
        <v>124</v>
      </c>
      <c r="F654" s="34">
        <v>1408</v>
      </c>
      <c r="G654" s="17">
        <f t="shared" si="42"/>
        <v>0.31960227272727271</v>
      </c>
    </row>
    <row r="655" spans="1:7" x14ac:dyDescent="0.3">
      <c r="A655" s="14">
        <v>30</v>
      </c>
      <c r="B655" s="15">
        <v>740</v>
      </c>
      <c r="C655" s="16" t="s">
        <v>863</v>
      </c>
      <c r="D655" s="36">
        <v>22</v>
      </c>
      <c r="E655" s="34">
        <v>9</v>
      </c>
      <c r="F655" s="34">
        <v>97</v>
      </c>
      <c r="G655" s="17">
        <f t="shared" si="42"/>
        <v>0.31958762886597936</v>
      </c>
    </row>
    <row r="656" spans="1:7" x14ac:dyDescent="0.3">
      <c r="A656" s="14">
        <v>30</v>
      </c>
      <c r="B656" s="15">
        <v>308</v>
      </c>
      <c r="C656" s="16" t="s">
        <v>346</v>
      </c>
      <c r="D656" s="36">
        <v>83</v>
      </c>
      <c r="E656" s="34">
        <v>32</v>
      </c>
      <c r="F656" s="34">
        <v>363</v>
      </c>
      <c r="G656" s="17">
        <f t="shared" si="42"/>
        <v>0.3168044077134986</v>
      </c>
    </row>
    <row r="657" spans="1:7" x14ac:dyDescent="0.3">
      <c r="A657" s="14">
        <v>30</v>
      </c>
      <c r="B657" s="15">
        <v>146</v>
      </c>
      <c r="C657" s="16" t="s">
        <v>671</v>
      </c>
      <c r="D657" s="36">
        <v>111</v>
      </c>
      <c r="E657" s="34">
        <v>60</v>
      </c>
      <c r="F657" s="34">
        <v>557</v>
      </c>
      <c r="G657" s="17">
        <f t="shared" si="42"/>
        <v>0.30700179533213645</v>
      </c>
    </row>
    <row r="658" spans="1:7" x14ac:dyDescent="0.3">
      <c r="A658" s="14">
        <v>30</v>
      </c>
      <c r="B658" s="15">
        <v>134</v>
      </c>
      <c r="C658" s="16" t="s">
        <v>664</v>
      </c>
      <c r="D658" s="36">
        <v>107</v>
      </c>
      <c r="E658" s="34">
        <v>41</v>
      </c>
      <c r="F658" s="34">
        <v>486</v>
      </c>
      <c r="G658" s="17">
        <f t="shared" si="42"/>
        <v>0.30452674897119342</v>
      </c>
    </row>
    <row r="659" spans="1:7" x14ac:dyDescent="0.3">
      <c r="A659" s="14">
        <v>30</v>
      </c>
      <c r="B659" s="15">
        <v>120</v>
      </c>
      <c r="C659" s="16" t="s">
        <v>903</v>
      </c>
      <c r="D659" s="36">
        <v>144</v>
      </c>
      <c r="E659" s="34">
        <v>31</v>
      </c>
      <c r="F659" s="34">
        <v>645</v>
      </c>
      <c r="G659" s="17">
        <f t="shared" si="42"/>
        <v>0.27131782945736432</v>
      </c>
    </row>
    <row r="660" spans="1:7" x14ac:dyDescent="0.3">
      <c r="A660" s="14">
        <v>30</v>
      </c>
      <c r="B660" s="15">
        <v>412</v>
      </c>
      <c r="C660" s="16" t="s">
        <v>658</v>
      </c>
      <c r="D660" s="36">
        <v>160</v>
      </c>
      <c r="E660" s="34">
        <v>50</v>
      </c>
      <c r="F660" s="34">
        <v>784</v>
      </c>
      <c r="G660" s="17">
        <f t="shared" si="42"/>
        <v>0.26785714285714285</v>
      </c>
    </row>
    <row r="661" spans="1:7" x14ac:dyDescent="0.3">
      <c r="A661" s="14">
        <v>30</v>
      </c>
      <c r="B661" s="15">
        <v>124</v>
      </c>
      <c r="C661" s="16" t="s">
        <v>665</v>
      </c>
      <c r="D661" s="36">
        <v>123</v>
      </c>
      <c r="E661" s="34">
        <v>42</v>
      </c>
      <c r="F661" s="34">
        <v>721</v>
      </c>
      <c r="G661" s="17">
        <f t="shared" si="42"/>
        <v>0.2288488210818308</v>
      </c>
    </row>
    <row r="662" spans="1:7" x14ac:dyDescent="0.3">
      <c r="A662" s="14">
        <v>30</v>
      </c>
      <c r="B662" s="15">
        <v>720</v>
      </c>
      <c r="C662" s="16" t="s">
        <v>667</v>
      </c>
      <c r="D662" s="36">
        <v>228</v>
      </c>
      <c r="E662" s="34">
        <v>87</v>
      </c>
      <c r="F662" s="34">
        <v>1482</v>
      </c>
      <c r="G662" s="17">
        <f t="shared" si="42"/>
        <v>0.2125506072874494</v>
      </c>
    </row>
    <row r="663" spans="1:7" ht="21" thickBot="1" x14ac:dyDescent="0.35">
      <c r="A663" s="24">
        <v>30</v>
      </c>
      <c r="B663" s="37">
        <v>708</v>
      </c>
      <c r="C663" s="26" t="s">
        <v>152</v>
      </c>
      <c r="D663" s="36">
        <v>105</v>
      </c>
      <c r="E663" s="34">
        <v>40</v>
      </c>
      <c r="F663" s="34">
        <v>726</v>
      </c>
      <c r="G663" s="29">
        <f t="shared" si="42"/>
        <v>0.19972451790633608</v>
      </c>
    </row>
    <row r="664" spans="1:7" ht="21" thickBot="1" x14ac:dyDescent="0.35">
      <c r="A664" s="18"/>
      <c r="B664" s="19">
        <f>COUNTA(B640:B663)</f>
        <v>24</v>
      </c>
      <c r="C664" s="20" t="s">
        <v>16</v>
      </c>
      <c r="D664" s="21">
        <f>SUM(D640:D663)</f>
        <v>3348</v>
      </c>
      <c r="E664" s="35">
        <f>SUM(E640:E663)</f>
        <v>1200</v>
      </c>
      <c r="F664" s="35">
        <f>SUM(F640:F663)</f>
        <v>12444</v>
      </c>
      <c r="G664" s="22">
        <f t="shared" si="42"/>
        <v>0.36547733847637415</v>
      </c>
    </row>
    <row r="665" spans="1:7" x14ac:dyDescent="0.3">
      <c r="A665" s="24"/>
      <c r="B665" s="25"/>
      <c r="C665" s="26"/>
      <c r="D665" s="31"/>
      <c r="E665" s="28"/>
      <c r="F665" s="28"/>
      <c r="G665" s="29"/>
    </row>
    <row r="666" spans="1:7" x14ac:dyDescent="0.3">
      <c r="A666" s="24"/>
      <c r="B666" s="25"/>
      <c r="C666" s="30" t="s">
        <v>155</v>
      </c>
      <c r="D666" s="57"/>
      <c r="E666" s="58"/>
      <c r="F666" s="28"/>
      <c r="G666" s="29"/>
    </row>
    <row r="667" spans="1:7" x14ac:dyDescent="0.3">
      <c r="A667" s="14">
        <v>31</v>
      </c>
      <c r="B667" s="15">
        <v>128</v>
      </c>
      <c r="C667" s="16" t="s">
        <v>261</v>
      </c>
      <c r="D667" s="36">
        <v>286</v>
      </c>
      <c r="E667" s="34">
        <v>38</v>
      </c>
      <c r="F667" s="34">
        <v>436</v>
      </c>
      <c r="G667" s="17">
        <f t="shared" ref="G667:G678" si="43">+(D667+E667)/F667</f>
        <v>0.74311926605504586</v>
      </c>
    </row>
    <row r="668" spans="1:7" x14ac:dyDescent="0.3">
      <c r="A668" s="14">
        <v>31</v>
      </c>
      <c r="B668" s="15">
        <v>116</v>
      </c>
      <c r="C668" s="16" t="s">
        <v>675</v>
      </c>
      <c r="D668" s="36">
        <v>87</v>
      </c>
      <c r="E668" s="34">
        <v>31</v>
      </c>
      <c r="F668" s="34">
        <v>218</v>
      </c>
      <c r="G668" s="17">
        <f t="shared" si="43"/>
        <v>0.54128440366972475</v>
      </c>
    </row>
    <row r="669" spans="1:7" x14ac:dyDescent="0.3">
      <c r="A669" s="14">
        <v>31</v>
      </c>
      <c r="B669" s="15">
        <v>124</v>
      </c>
      <c r="C669" s="16" t="s">
        <v>677</v>
      </c>
      <c r="D669" s="36">
        <v>151</v>
      </c>
      <c r="E669" s="34">
        <v>79</v>
      </c>
      <c r="F669" s="34">
        <v>494</v>
      </c>
      <c r="G669" s="17">
        <f t="shared" si="43"/>
        <v>0.46558704453441296</v>
      </c>
    </row>
    <row r="670" spans="1:7" x14ac:dyDescent="0.3">
      <c r="A670" s="14">
        <v>31</v>
      </c>
      <c r="B670" s="15">
        <v>100</v>
      </c>
      <c r="C670" s="16" t="s">
        <v>672</v>
      </c>
      <c r="D670" s="36">
        <v>175</v>
      </c>
      <c r="E670" s="34">
        <v>65</v>
      </c>
      <c r="F670" s="34">
        <v>530</v>
      </c>
      <c r="G670" s="17">
        <f t="shared" si="43"/>
        <v>0.45283018867924529</v>
      </c>
    </row>
    <row r="671" spans="1:7" x14ac:dyDescent="0.3">
      <c r="A671" s="14">
        <v>31</v>
      </c>
      <c r="B671" s="15">
        <v>110</v>
      </c>
      <c r="C671" s="16" t="s">
        <v>674</v>
      </c>
      <c r="D671" s="36">
        <v>149</v>
      </c>
      <c r="E671" s="34">
        <v>56</v>
      </c>
      <c r="F671" s="34">
        <v>474</v>
      </c>
      <c r="G671" s="17">
        <f t="shared" si="43"/>
        <v>0.43248945147679324</v>
      </c>
    </row>
    <row r="672" spans="1:7" x14ac:dyDescent="0.3">
      <c r="A672" s="14">
        <v>31</v>
      </c>
      <c r="B672" s="15">
        <v>310</v>
      </c>
      <c r="C672" s="16" t="s">
        <v>156</v>
      </c>
      <c r="D672" s="36">
        <v>232</v>
      </c>
      <c r="E672" s="34">
        <v>120</v>
      </c>
      <c r="F672" s="34">
        <v>928</v>
      </c>
      <c r="G672" s="17">
        <f t="shared" si="43"/>
        <v>0.37931034482758619</v>
      </c>
    </row>
    <row r="673" spans="1:7" x14ac:dyDescent="0.3">
      <c r="A673" s="14">
        <v>31</v>
      </c>
      <c r="B673" s="15">
        <v>408</v>
      </c>
      <c r="C673" s="16" t="s">
        <v>157</v>
      </c>
      <c r="D673" s="36">
        <v>203</v>
      </c>
      <c r="E673" s="34">
        <v>102</v>
      </c>
      <c r="F673" s="34">
        <v>870</v>
      </c>
      <c r="G673" s="17">
        <f t="shared" si="43"/>
        <v>0.35057471264367818</v>
      </c>
    </row>
    <row r="674" spans="1:7" x14ac:dyDescent="0.3">
      <c r="A674" s="14">
        <v>31</v>
      </c>
      <c r="B674" s="15">
        <v>250</v>
      </c>
      <c r="C674" s="16" t="s">
        <v>673</v>
      </c>
      <c r="D674" s="36">
        <v>24</v>
      </c>
      <c r="E674" s="34">
        <v>9</v>
      </c>
      <c r="F674" s="34">
        <v>103</v>
      </c>
      <c r="G674" s="17">
        <f t="shared" si="43"/>
        <v>0.32038834951456313</v>
      </c>
    </row>
    <row r="675" spans="1:7" x14ac:dyDescent="0.3">
      <c r="A675" s="14">
        <v>31</v>
      </c>
      <c r="B675" s="15">
        <v>114</v>
      </c>
      <c r="C675" s="16" t="s">
        <v>358</v>
      </c>
      <c r="D675" s="36">
        <v>79</v>
      </c>
      <c r="E675" s="34">
        <v>55</v>
      </c>
      <c r="F675" s="34">
        <v>457</v>
      </c>
      <c r="G675" s="17">
        <f t="shared" si="43"/>
        <v>0.29321663019693656</v>
      </c>
    </row>
    <row r="676" spans="1:7" x14ac:dyDescent="0.3">
      <c r="A676" s="14">
        <v>31</v>
      </c>
      <c r="B676" s="15">
        <v>120</v>
      </c>
      <c r="C676" s="16" t="s">
        <v>676</v>
      </c>
      <c r="D676" s="36">
        <v>93</v>
      </c>
      <c r="E676" s="34">
        <v>65</v>
      </c>
      <c r="F676" s="34">
        <v>548</v>
      </c>
      <c r="G676" s="17">
        <f t="shared" si="43"/>
        <v>0.28832116788321166</v>
      </c>
    </row>
    <row r="677" spans="1:7" ht="21" thickBot="1" x14ac:dyDescent="0.35">
      <c r="A677" s="14">
        <v>31</v>
      </c>
      <c r="B677" s="15">
        <v>704</v>
      </c>
      <c r="C677" s="16" t="s">
        <v>158</v>
      </c>
      <c r="D677" s="36">
        <v>137</v>
      </c>
      <c r="E677" s="34">
        <v>97</v>
      </c>
      <c r="F677" s="34">
        <v>1133</v>
      </c>
      <c r="G677" s="17">
        <f t="shared" si="43"/>
        <v>0.20653133274492497</v>
      </c>
    </row>
    <row r="678" spans="1:7" ht="21" thickBot="1" x14ac:dyDescent="0.35">
      <c r="A678" s="18"/>
      <c r="B678" s="19">
        <f>COUNTA(B667:B677)</f>
        <v>11</v>
      </c>
      <c r="C678" s="20" t="s">
        <v>16</v>
      </c>
      <c r="D678" s="21">
        <f>SUM(D667:D677)</f>
        <v>1616</v>
      </c>
      <c r="E678" s="35">
        <f>SUM(E667:E677)</f>
        <v>717</v>
      </c>
      <c r="F678" s="35">
        <f>SUM(D678:E678)</f>
        <v>2333</v>
      </c>
      <c r="G678" s="22">
        <f t="shared" si="43"/>
        <v>1</v>
      </c>
    </row>
    <row r="679" spans="1:7" x14ac:dyDescent="0.3">
      <c r="A679" s="24"/>
      <c r="B679" s="25"/>
      <c r="C679" s="26"/>
      <c r="D679" s="31"/>
      <c r="E679" s="28"/>
      <c r="F679" s="28"/>
      <c r="G679" s="29"/>
    </row>
    <row r="680" spans="1:7" x14ac:dyDescent="0.3">
      <c r="A680" s="24"/>
      <c r="B680" s="25"/>
      <c r="C680" s="30" t="s">
        <v>39</v>
      </c>
      <c r="D680" s="31"/>
      <c r="E680" s="28"/>
      <c r="F680" s="28"/>
      <c r="G680" s="29"/>
    </row>
    <row r="681" spans="1:7" x14ac:dyDescent="0.3">
      <c r="A681" s="14">
        <v>32</v>
      </c>
      <c r="B681" s="15">
        <v>106</v>
      </c>
      <c r="C681" s="16" t="s">
        <v>678</v>
      </c>
      <c r="D681" s="36">
        <v>177</v>
      </c>
      <c r="E681" s="34">
        <v>58</v>
      </c>
      <c r="F681" s="34">
        <v>452</v>
      </c>
      <c r="G681" s="17">
        <f t="shared" ref="G681:G688" si="44">+(D681+E681)/F681</f>
        <v>0.51991150442477874</v>
      </c>
    </row>
    <row r="682" spans="1:7" x14ac:dyDescent="0.3">
      <c r="A682" s="14">
        <v>32</v>
      </c>
      <c r="B682" s="15">
        <v>212</v>
      </c>
      <c r="C682" s="16" t="s">
        <v>683</v>
      </c>
      <c r="D682" s="36">
        <v>250</v>
      </c>
      <c r="E682" s="34">
        <v>80</v>
      </c>
      <c r="F682" s="34">
        <v>812</v>
      </c>
      <c r="G682" s="17">
        <f t="shared" si="44"/>
        <v>0.40640394088669951</v>
      </c>
    </row>
    <row r="683" spans="1:7" x14ac:dyDescent="0.3">
      <c r="A683" s="14">
        <v>32</v>
      </c>
      <c r="B683" s="15">
        <v>110</v>
      </c>
      <c r="C683" s="16" t="s">
        <v>679</v>
      </c>
      <c r="D683" s="36">
        <v>103</v>
      </c>
      <c r="E683" s="34">
        <v>42</v>
      </c>
      <c r="F683" s="34">
        <v>369</v>
      </c>
      <c r="G683" s="17">
        <f t="shared" si="44"/>
        <v>0.39295392953929537</v>
      </c>
    </row>
    <row r="684" spans="1:7" x14ac:dyDescent="0.3">
      <c r="A684" s="14">
        <v>32</v>
      </c>
      <c r="B684" s="15">
        <v>312</v>
      </c>
      <c r="C684" s="16" t="s">
        <v>682</v>
      </c>
      <c r="D684" s="36">
        <v>239</v>
      </c>
      <c r="E684" s="34">
        <v>67</v>
      </c>
      <c r="F684" s="34">
        <v>816</v>
      </c>
      <c r="G684" s="17">
        <f t="shared" si="44"/>
        <v>0.375</v>
      </c>
    </row>
    <row r="685" spans="1:7" x14ac:dyDescent="0.3">
      <c r="A685" s="14">
        <v>32</v>
      </c>
      <c r="B685" s="15">
        <v>108</v>
      </c>
      <c r="C685" s="16" t="s">
        <v>680</v>
      </c>
      <c r="D685" s="36">
        <v>134</v>
      </c>
      <c r="E685" s="34">
        <v>17</v>
      </c>
      <c r="F685" s="34">
        <v>407</v>
      </c>
      <c r="G685" s="17">
        <f t="shared" si="44"/>
        <v>0.37100737100737102</v>
      </c>
    </row>
    <row r="686" spans="1:7" x14ac:dyDescent="0.3">
      <c r="A686" s="14">
        <v>32</v>
      </c>
      <c r="B686" s="15">
        <v>114</v>
      </c>
      <c r="C686" s="16" t="s">
        <v>681</v>
      </c>
      <c r="D686" s="36">
        <v>104</v>
      </c>
      <c r="E686" s="34">
        <v>24</v>
      </c>
      <c r="F686" s="34">
        <v>479</v>
      </c>
      <c r="G686" s="17">
        <f t="shared" si="44"/>
        <v>0.26722338204592899</v>
      </c>
    </row>
    <row r="687" spans="1:7" ht="21" thickBot="1" x14ac:dyDescent="0.35">
      <c r="A687" s="24">
        <v>32</v>
      </c>
      <c r="B687" s="25">
        <v>704</v>
      </c>
      <c r="C687" s="26" t="s">
        <v>159</v>
      </c>
      <c r="D687" s="36">
        <v>279</v>
      </c>
      <c r="E687" s="34">
        <v>99</v>
      </c>
      <c r="F687" s="34">
        <v>1526</v>
      </c>
      <c r="G687" s="29">
        <f t="shared" si="44"/>
        <v>0.24770642201834864</v>
      </c>
    </row>
    <row r="688" spans="1:7" ht="21" thickBot="1" x14ac:dyDescent="0.35">
      <c r="A688" s="18"/>
      <c r="B688" s="19">
        <f>COUNTA(B681:B687)</f>
        <v>7</v>
      </c>
      <c r="C688" s="20" t="s">
        <v>16</v>
      </c>
      <c r="D688" s="21">
        <f>SUM(D681:D687)</f>
        <v>1286</v>
      </c>
      <c r="E688" s="35">
        <f>SUM(E681:E687)</f>
        <v>387</v>
      </c>
      <c r="F688" s="35">
        <f>SUM(F681:F687)</f>
        <v>4861</v>
      </c>
      <c r="G688" s="22">
        <f t="shared" si="44"/>
        <v>0.34416786669409588</v>
      </c>
    </row>
    <row r="689" spans="1:7" x14ac:dyDescent="0.3">
      <c r="A689" s="24"/>
      <c r="B689" s="25"/>
      <c r="C689" s="26"/>
      <c r="D689" s="31"/>
      <c r="E689" s="28"/>
      <c r="F689" s="28"/>
      <c r="G689" s="29"/>
    </row>
    <row r="690" spans="1:7" x14ac:dyDescent="0.3">
      <c r="A690" s="24"/>
      <c r="B690" s="25"/>
      <c r="C690" s="30" t="s">
        <v>40</v>
      </c>
      <c r="D690" s="31"/>
      <c r="E690" s="28"/>
      <c r="F690" s="28"/>
      <c r="G690" s="29"/>
    </row>
    <row r="691" spans="1:7" x14ac:dyDescent="0.3">
      <c r="A691" s="14">
        <v>33</v>
      </c>
      <c r="B691" s="15">
        <v>103</v>
      </c>
      <c r="C691" s="16" t="s">
        <v>690</v>
      </c>
      <c r="D691" s="36">
        <v>328</v>
      </c>
      <c r="E691" s="34">
        <v>52</v>
      </c>
      <c r="F691" s="34">
        <v>424</v>
      </c>
      <c r="G691" s="17">
        <f t="shared" ref="G691:G730" si="45">+(D691+E691)/F691</f>
        <v>0.89622641509433965</v>
      </c>
    </row>
    <row r="692" spans="1:7" x14ac:dyDescent="0.3">
      <c r="A692" s="14">
        <v>33</v>
      </c>
      <c r="B692" s="15">
        <v>120</v>
      </c>
      <c r="C692" s="16" t="s">
        <v>418</v>
      </c>
      <c r="D692" s="36">
        <v>301</v>
      </c>
      <c r="E692" s="34">
        <v>63</v>
      </c>
      <c r="F692" s="34">
        <v>474</v>
      </c>
      <c r="G692" s="17">
        <f t="shared" si="45"/>
        <v>0.76793248945147674</v>
      </c>
    </row>
    <row r="693" spans="1:7" x14ac:dyDescent="0.3">
      <c r="A693" s="14">
        <v>33</v>
      </c>
      <c r="B693" s="15">
        <v>116</v>
      </c>
      <c r="C693" s="16" t="s">
        <v>469</v>
      </c>
      <c r="D693" s="36">
        <v>303</v>
      </c>
      <c r="E693" s="34">
        <v>34</v>
      </c>
      <c r="F693" s="34">
        <v>442</v>
      </c>
      <c r="G693" s="17">
        <f t="shared" si="45"/>
        <v>0.76244343891402711</v>
      </c>
    </row>
    <row r="694" spans="1:7" x14ac:dyDescent="0.3">
      <c r="A694" s="14">
        <v>33</v>
      </c>
      <c r="B694" s="15">
        <v>112</v>
      </c>
      <c r="C694" s="16" t="s">
        <v>694</v>
      </c>
      <c r="D694" s="36">
        <v>281</v>
      </c>
      <c r="E694" s="34">
        <v>101</v>
      </c>
      <c r="F694" s="34">
        <v>514</v>
      </c>
      <c r="G694" s="17">
        <f t="shared" si="45"/>
        <v>0.74319066147859925</v>
      </c>
    </row>
    <row r="695" spans="1:7" x14ac:dyDescent="0.3">
      <c r="A695" s="14">
        <v>33</v>
      </c>
      <c r="B695" s="15">
        <v>718</v>
      </c>
      <c r="C695" s="16" t="s">
        <v>221</v>
      </c>
      <c r="D695" s="36">
        <v>130</v>
      </c>
      <c r="E695" s="34">
        <v>20</v>
      </c>
      <c r="F695" s="34">
        <v>202</v>
      </c>
      <c r="G695" s="17">
        <f t="shared" si="45"/>
        <v>0.74257425742574257</v>
      </c>
    </row>
    <row r="696" spans="1:7" x14ac:dyDescent="0.3">
      <c r="A696" s="14">
        <v>33</v>
      </c>
      <c r="B696" s="15">
        <v>122</v>
      </c>
      <c r="C696" s="16" t="s">
        <v>699</v>
      </c>
      <c r="D696" s="36">
        <v>290</v>
      </c>
      <c r="E696" s="34">
        <v>70</v>
      </c>
      <c r="F696" s="34">
        <v>485</v>
      </c>
      <c r="G696" s="17">
        <f t="shared" si="45"/>
        <v>0.74226804123711343</v>
      </c>
    </row>
    <row r="697" spans="1:7" x14ac:dyDescent="0.3">
      <c r="A697" s="14">
        <v>33</v>
      </c>
      <c r="B697" s="15">
        <v>114</v>
      </c>
      <c r="C697" s="16" t="s">
        <v>695</v>
      </c>
      <c r="D697" s="36">
        <v>226</v>
      </c>
      <c r="E697" s="34">
        <v>107</v>
      </c>
      <c r="F697" s="34">
        <v>449</v>
      </c>
      <c r="G697" s="17">
        <f t="shared" si="45"/>
        <v>0.74164810690423166</v>
      </c>
    </row>
    <row r="698" spans="1:7" x14ac:dyDescent="0.3">
      <c r="A698" s="14">
        <v>33</v>
      </c>
      <c r="B698" s="15">
        <v>110</v>
      </c>
      <c r="C698" s="16" t="s">
        <v>688</v>
      </c>
      <c r="D698" s="36">
        <v>270</v>
      </c>
      <c r="E698" s="34">
        <v>118</v>
      </c>
      <c r="F698" s="34">
        <v>543</v>
      </c>
      <c r="G698" s="17">
        <f t="shared" si="45"/>
        <v>0.71454880294659295</v>
      </c>
    </row>
    <row r="699" spans="1:7" x14ac:dyDescent="0.3">
      <c r="A699" s="14">
        <v>33</v>
      </c>
      <c r="B699" s="15">
        <v>130</v>
      </c>
      <c r="C699" s="16" t="s">
        <v>448</v>
      </c>
      <c r="D699" s="36">
        <v>268</v>
      </c>
      <c r="E699" s="34">
        <v>52</v>
      </c>
      <c r="F699" s="34">
        <v>454</v>
      </c>
      <c r="G699" s="17">
        <f t="shared" si="45"/>
        <v>0.70484581497797361</v>
      </c>
    </row>
    <row r="700" spans="1:7" x14ac:dyDescent="0.3">
      <c r="A700" s="14">
        <v>33</v>
      </c>
      <c r="B700" s="15">
        <v>140</v>
      </c>
      <c r="C700" s="16" t="s">
        <v>461</v>
      </c>
      <c r="D700" s="36">
        <v>209</v>
      </c>
      <c r="E700" s="34">
        <v>52</v>
      </c>
      <c r="F700" s="34">
        <v>386</v>
      </c>
      <c r="G700" s="17">
        <f t="shared" si="45"/>
        <v>0.67616580310880825</v>
      </c>
    </row>
    <row r="701" spans="1:7" x14ac:dyDescent="0.3">
      <c r="A701" s="14">
        <v>33</v>
      </c>
      <c r="B701" s="15">
        <v>123</v>
      </c>
      <c r="C701" s="16" t="s">
        <v>698</v>
      </c>
      <c r="D701" s="36">
        <v>156</v>
      </c>
      <c r="E701" s="34">
        <v>67</v>
      </c>
      <c r="F701" s="34">
        <v>334</v>
      </c>
      <c r="G701" s="17">
        <f t="shared" si="45"/>
        <v>0.66766467065868262</v>
      </c>
    </row>
    <row r="702" spans="1:7" x14ac:dyDescent="0.3">
      <c r="A702" s="14">
        <v>33</v>
      </c>
      <c r="B702" s="15">
        <v>107</v>
      </c>
      <c r="C702" s="16" t="s">
        <v>687</v>
      </c>
      <c r="D702" s="36">
        <v>250</v>
      </c>
      <c r="E702" s="34">
        <v>73</v>
      </c>
      <c r="F702" s="34">
        <v>502</v>
      </c>
      <c r="G702" s="17">
        <f t="shared" si="45"/>
        <v>0.64342629482071712</v>
      </c>
    </row>
    <row r="703" spans="1:7" x14ac:dyDescent="0.3">
      <c r="A703" s="14">
        <v>33</v>
      </c>
      <c r="B703" s="15">
        <v>128</v>
      </c>
      <c r="C703" s="16" t="s">
        <v>701</v>
      </c>
      <c r="D703" s="36">
        <v>20</v>
      </c>
      <c r="E703" s="34">
        <v>1</v>
      </c>
      <c r="F703" s="34">
        <v>33</v>
      </c>
      <c r="G703" s="17">
        <f t="shared" si="45"/>
        <v>0.63636363636363635</v>
      </c>
    </row>
    <row r="704" spans="1:7" x14ac:dyDescent="0.3">
      <c r="A704" s="14">
        <v>33</v>
      </c>
      <c r="B704" s="15">
        <v>308</v>
      </c>
      <c r="C704" s="16" t="s">
        <v>350</v>
      </c>
      <c r="D704" s="36">
        <v>281</v>
      </c>
      <c r="E704" s="34">
        <v>113</v>
      </c>
      <c r="F704" s="34">
        <v>655</v>
      </c>
      <c r="G704" s="17">
        <f t="shared" si="45"/>
        <v>0.60152671755725196</v>
      </c>
    </row>
    <row r="705" spans="1:7" x14ac:dyDescent="0.3">
      <c r="A705" s="14">
        <v>33</v>
      </c>
      <c r="B705" s="15">
        <v>134</v>
      </c>
      <c r="C705" s="16" t="s">
        <v>703</v>
      </c>
      <c r="D705" s="36">
        <v>212</v>
      </c>
      <c r="E705" s="34">
        <v>103</v>
      </c>
      <c r="F705" s="34">
        <v>537</v>
      </c>
      <c r="G705" s="17">
        <f t="shared" si="45"/>
        <v>0.58659217877094971</v>
      </c>
    </row>
    <row r="706" spans="1:7" x14ac:dyDescent="0.3">
      <c r="A706" s="14">
        <v>33</v>
      </c>
      <c r="B706" s="15">
        <v>305</v>
      </c>
      <c r="C706" s="16" t="s">
        <v>349</v>
      </c>
      <c r="D706" s="36">
        <v>298</v>
      </c>
      <c r="E706" s="34">
        <v>76</v>
      </c>
      <c r="F706" s="34">
        <v>668</v>
      </c>
      <c r="G706" s="17">
        <f t="shared" si="45"/>
        <v>0.55988023952095811</v>
      </c>
    </row>
    <row r="707" spans="1:7" x14ac:dyDescent="0.3">
      <c r="A707" s="14">
        <v>33</v>
      </c>
      <c r="B707" s="15">
        <v>408</v>
      </c>
      <c r="C707" s="16" t="s">
        <v>161</v>
      </c>
      <c r="D707" s="36">
        <v>230</v>
      </c>
      <c r="E707" s="34">
        <v>97</v>
      </c>
      <c r="F707" s="34">
        <v>585</v>
      </c>
      <c r="G707" s="17">
        <f t="shared" si="45"/>
        <v>0.55897435897435899</v>
      </c>
    </row>
    <row r="708" spans="1:7" x14ac:dyDescent="0.3">
      <c r="A708" s="14">
        <v>33</v>
      </c>
      <c r="B708" s="15">
        <v>121</v>
      </c>
      <c r="C708" s="16" t="s">
        <v>697</v>
      </c>
      <c r="D708" s="36">
        <v>141</v>
      </c>
      <c r="E708" s="34">
        <v>61</v>
      </c>
      <c r="F708" s="34">
        <v>363</v>
      </c>
      <c r="G708" s="17">
        <f t="shared" si="45"/>
        <v>0.55647382920110189</v>
      </c>
    </row>
    <row r="709" spans="1:7" x14ac:dyDescent="0.3">
      <c r="A709" s="14">
        <v>33</v>
      </c>
      <c r="B709" s="15">
        <v>104</v>
      </c>
      <c r="C709" s="16" t="s">
        <v>691</v>
      </c>
      <c r="D709" s="36">
        <v>111</v>
      </c>
      <c r="E709" s="34">
        <v>64</v>
      </c>
      <c r="F709" s="34">
        <v>329</v>
      </c>
      <c r="G709" s="17">
        <f t="shared" si="45"/>
        <v>0.53191489361702127</v>
      </c>
    </row>
    <row r="710" spans="1:7" x14ac:dyDescent="0.3">
      <c r="A710" s="14">
        <v>33</v>
      </c>
      <c r="B710" s="15">
        <v>325</v>
      </c>
      <c r="C710" s="16" t="s">
        <v>348</v>
      </c>
      <c r="D710" s="36">
        <v>340</v>
      </c>
      <c r="E710" s="34">
        <v>114</v>
      </c>
      <c r="F710" s="34">
        <v>864</v>
      </c>
      <c r="G710" s="17">
        <f t="shared" si="45"/>
        <v>0.52546296296296291</v>
      </c>
    </row>
    <row r="711" spans="1:7" x14ac:dyDescent="0.3">
      <c r="A711" s="14">
        <v>33</v>
      </c>
      <c r="B711" s="15">
        <v>420</v>
      </c>
      <c r="C711" s="16" t="s">
        <v>162</v>
      </c>
      <c r="D711" s="36">
        <v>323</v>
      </c>
      <c r="E711" s="34">
        <v>84</v>
      </c>
      <c r="F711" s="34">
        <v>778</v>
      </c>
      <c r="G711" s="17">
        <f t="shared" si="45"/>
        <v>0.5231362467866324</v>
      </c>
    </row>
    <row r="712" spans="1:7" x14ac:dyDescent="0.3">
      <c r="A712" s="14">
        <v>33</v>
      </c>
      <c r="B712" s="15">
        <v>320</v>
      </c>
      <c r="C712" s="16" t="s">
        <v>692</v>
      </c>
      <c r="D712" s="36">
        <v>338</v>
      </c>
      <c r="E712" s="34">
        <v>90</v>
      </c>
      <c r="F712" s="34">
        <v>845</v>
      </c>
      <c r="G712" s="17">
        <f t="shared" si="45"/>
        <v>0.50650887573964498</v>
      </c>
    </row>
    <row r="713" spans="1:7" x14ac:dyDescent="0.3">
      <c r="A713" s="14">
        <v>33</v>
      </c>
      <c r="B713" s="15">
        <v>105</v>
      </c>
      <c r="C713" s="16" t="s">
        <v>686</v>
      </c>
      <c r="D713" s="36">
        <v>178</v>
      </c>
      <c r="E713" s="34">
        <v>53</v>
      </c>
      <c r="F713" s="34">
        <v>466</v>
      </c>
      <c r="G713" s="17">
        <f t="shared" si="45"/>
        <v>0.49570815450643779</v>
      </c>
    </row>
    <row r="714" spans="1:7" x14ac:dyDescent="0.3">
      <c r="A714" s="14">
        <v>33</v>
      </c>
      <c r="B714" s="15">
        <v>404</v>
      </c>
      <c r="C714" s="16" t="s">
        <v>160</v>
      </c>
      <c r="D714" s="36">
        <v>290</v>
      </c>
      <c r="E714" s="34">
        <v>63</v>
      </c>
      <c r="F714" s="34">
        <v>729</v>
      </c>
      <c r="G714" s="17">
        <f t="shared" si="45"/>
        <v>0.48422496570644719</v>
      </c>
    </row>
    <row r="715" spans="1:7" x14ac:dyDescent="0.3">
      <c r="A715" s="14">
        <v>33</v>
      </c>
      <c r="B715" s="15">
        <v>425</v>
      </c>
      <c r="C715" s="16" t="s">
        <v>163</v>
      </c>
      <c r="D715" s="36">
        <v>309</v>
      </c>
      <c r="E715" s="34">
        <v>102</v>
      </c>
      <c r="F715" s="34">
        <v>865</v>
      </c>
      <c r="G715" s="17">
        <f t="shared" si="45"/>
        <v>0.47514450867052022</v>
      </c>
    </row>
    <row r="716" spans="1:7" x14ac:dyDescent="0.3">
      <c r="A716" s="14">
        <v>33</v>
      </c>
      <c r="B716" s="15">
        <v>712</v>
      </c>
      <c r="C716" s="16" t="s">
        <v>165</v>
      </c>
      <c r="D716" s="36">
        <v>145</v>
      </c>
      <c r="E716" s="34">
        <v>43</v>
      </c>
      <c r="F716" s="34">
        <v>404</v>
      </c>
      <c r="G716" s="17">
        <f t="shared" si="45"/>
        <v>0.46534653465346537</v>
      </c>
    </row>
    <row r="717" spans="1:7" x14ac:dyDescent="0.3">
      <c r="A717" s="14">
        <v>33</v>
      </c>
      <c r="B717" s="15">
        <v>716</v>
      </c>
      <c r="C717" s="16" t="s">
        <v>203</v>
      </c>
      <c r="D717" s="36">
        <v>265</v>
      </c>
      <c r="E717" s="34">
        <v>104</v>
      </c>
      <c r="F717" s="34">
        <v>832</v>
      </c>
      <c r="G717" s="17">
        <f t="shared" si="45"/>
        <v>0.44350961538461536</v>
      </c>
    </row>
    <row r="718" spans="1:7" x14ac:dyDescent="0.3">
      <c r="A718" s="14">
        <v>33</v>
      </c>
      <c r="B718" s="15">
        <v>720</v>
      </c>
      <c r="C718" s="16" t="s">
        <v>862</v>
      </c>
      <c r="D718" s="36">
        <v>303</v>
      </c>
      <c r="E718" s="34">
        <v>78</v>
      </c>
      <c r="F718" s="34">
        <v>975</v>
      </c>
      <c r="G718" s="17">
        <f t="shared" si="45"/>
        <v>0.39076923076923076</v>
      </c>
    </row>
    <row r="719" spans="1:7" x14ac:dyDescent="0.3">
      <c r="A719" s="14">
        <v>33</v>
      </c>
      <c r="B719" s="15">
        <v>111</v>
      </c>
      <c r="C719" s="16" t="s">
        <v>684</v>
      </c>
      <c r="D719" s="36">
        <v>134</v>
      </c>
      <c r="E719" s="34">
        <v>53</v>
      </c>
      <c r="F719" s="34">
        <v>482</v>
      </c>
      <c r="G719" s="17">
        <f t="shared" si="45"/>
        <v>0.38796680497925312</v>
      </c>
    </row>
    <row r="720" spans="1:7" x14ac:dyDescent="0.3">
      <c r="A720" s="14">
        <v>33</v>
      </c>
      <c r="B720" s="15">
        <v>704</v>
      </c>
      <c r="C720" s="16" t="s">
        <v>164</v>
      </c>
      <c r="D720" s="36">
        <v>330</v>
      </c>
      <c r="E720" s="34">
        <v>65</v>
      </c>
      <c r="F720" s="34">
        <v>1034</v>
      </c>
      <c r="G720" s="17">
        <f t="shared" si="45"/>
        <v>0.38201160541586071</v>
      </c>
    </row>
    <row r="721" spans="1:11" x14ac:dyDescent="0.3">
      <c r="A721" s="14">
        <v>33</v>
      </c>
      <c r="B721" s="15">
        <v>102</v>
      </c>
      <c r="C721" s="16" t="s">
        <v>685</v>
      </c>
      <c r="D721" s="36">
        <v>116</v>
      </c>
      <c r="E721" s="34">
        <v>59</v>
      </c>
      <c r="F721" s="34">
        <v>461</v>
      </c>
      <c r="G721" s="17">
        <f t="shared" si="45"/>
        <v>0.37960954446854661</v>
      </c>
    </row>
    <row r="722" spans="1:11" x14ac:dyDescent="0.3">
      <c r="A722" s="14">
        <v>33</v>
      </c>
      <c r="B722" s="15">
        <v>124</v>
      </c>
      <c r="C722" s="16" t="s">
        <v>700</v>
      </c>
      <c r="D722" s="36">
        <v>97</v>
      </c>
      <c r="E722" s="34">
        <v>39</v>
      </c>
      <c r="F722" s="34">
        <v>360</v>
      </c>
      <c r="G722" s="17">
        <f t="shared" si="45"/>
        <v>0.37777777777777777</v>
      </c>
    </row>
    <row r="723" spans="1:11" x14ac:dyDescent="0.3">
      <c r="A723" s="14">
        <v>33</v>
      </c>
      <c r="B723" s="15">
        <v>145</v>
      </c>
      <c r="C723" s="16" t="s">
        <v>693</v>
      </c>
      <c r="D723" s="36">
        <v>133</v>
      </c>
      <c r="E723" s="34">
        <v>54</v>
      </c>
      <c r="F723" s="34">
        <v>509</v>
      </c>
      <c r="G723" s="17">
        <f t="shared" si="45"/>
        <v>0.36738703339882123</v>
      </c>
    </row>
    <row r="724" spans="1:11" x14ac:dyDescent="0.3">
      <c r="A724" s="14">
        <v>33</v>
      </c>
      <c r="B724" s="15">
        <v>144</v>
      </c>
      <c r="C724" s="16" t="s">
        <v>594</v>
      </c>
      <c r="D724" s="36">
        <v>128</v>
      </c>
      <c r="E724" s="34">
        <v>68</v>
      </c>
      <c r="F724" s="34">
        <v>536</v>
      </c>
      <c r="G724" s="17">
        <f t="shared" si="45"/>
        <v>0.36567164179104478</v>
      </c>
    </row>
    <row r="725" spans="1:11" x14ac:dyDescent="0.3">
      <c r="A725" s="14">
        <v>33</v>
      </c>
      <c r="B725" s="15">
        <v>725</v>
      </c>
      <c r="C725" s="16" t="s">
        <v>892</v>
      </c>
      <c r="D725" s="36">
        <v>284</v>
      </c>
      <c r="E725" s="34">
        <v>79</v>
      </c>
      <c r="F725" s="34">
        <v>1037</v>
      </c>
      <c r="G725" s="17">
        <f t="shared" si="45"/>
        <v>0.35004821600771457</v>
      </c>
    </row>
    <row r="726" spans="1:11" x14ac:dyDescent="0.3">
      <c r="A726" s="14">
        <v>33</v>
      </c>
      <c r="B726" s="15">
        <v>303</v>
      </c>
      <c r="C726" s="16" t="s">
        <v>702</v>
      </c>
      <c r="D726" s="36">
        <v>184</v>
      </c>
      <c r="E726" s="34">
        <v>69</v>
      </c>
      <c r="F726" s="34">
        <v>756</v>
      </c>
      <c r="G726" s="17">
        <f t="shared" si="45"/>
        <v>0.33465608465608465</v>
      </c>
    </row>
    <row r="727" spans="1:11" x14ac:dyDescent="0.3">
      <c r="A727" s="14">
        <v>33</v>
      </c>
      <c r="B727" s="15">
        <v>108</v>
      </c>
      <c r="C727" s="16" t="s">
        <v>689</v>
      </c>
      <c r="D727" s="36">
        <v>51</v>
      </c>
      <c r="E727" s="34">
        <v>23</v>
      </c>
      <c r="F727" s="34">
        <v>233</v>
      </c>
      <c r="G727" s="17">
        <f t="shared" si="45"/>
        <v>0.31759656652360513</v>
      </c>
    </row>
    <row r="728" spans="1:11" x14ac:dyDescent="0.3">
      <c r="A728" s="14">
        <v>33</v>
      </c>
      <c r="B728" s="15">
        <v>403</v>
      </c>
      <c r="C728" s="16" t="s">
        <v>257</v>
      </c>
      <c r="D728" s="36">
        <v>153</v>
      </c>
      <c r="E728" s="34">
        <v>57</v>
      </c>
      <c r="F728" s="34">
        <v>782</v>
      </c>
      <c r="G728" s="17">
        <f t="shared" si="45"/>
        <v>0.26854219948849106</v>
      </c>
    </row>
    <row r="729" spans="1:11" x14ac:dyDescent="0.3">
      <c r="A729" s="14">
        <v>33</v>
      </c>
      <c r="B729" s="15">
        <v>703</v>
      </c>
      <c r="C729" s="16" t="s">
        <v>347</v>
      </c>
      <c r="D729" s="36">
        <v>164</v>
      </c>
      <c r="E729" s="34">
        <v>66</v>
      </c>
      <c r="F729" s="34">
        <v>953</v>
      </c>
      <c r="G729" s="17">
        <f t="shared" si="45"/>
        <v>0.24134312696747115</v>
      </c>
    </row>
    <row r="730" spans="1:11" ht="21" thickBot="1" x14ac:dyDescent="0.35">
      <c r="A730" s="14">
        <v>33</v>
      </c>
      <c r="B730" s="15">
        <v>146</v>
      </c>
      <c r="C730" s="16" t="s">
        <v>696</v>
      </c>
      <c r="D730" s="36">
        <v>71</v>
      </c>
      <c r="E730" s="34">
        <v>25</v>
      </c>
      <c r="F730" s="34">
        <v>554</v>
      </c>
      <c r="G730" s="17">
        <f t="shared" si="45"/>
        <v>0.17328519855595667</v>
      </c>
    </row>
    <row r="731" spans="1:11" ht="21" thickBot="1" x14ac:dyDescent="0.35">
      <c r="A731" s="18"/>
      <c r="B731" s="19">
        <f>COUNTA(B691:B730)</f>
        <v>40</v>
      </c>
      <c r="C731" s="20" t="s">
        <v>16</v>
      </c>
      <c r="D731" s="21">
        <f>SUM(D691:D730)</f>
        <v>8641</v>
      </c>
      <c r="E731" s="35">
        <f>SUM(E691:E730)</f>
        <v>2712</v>
      </c>
      <c r="F731" s="35">
        <f>SUM(F691:F730)</f>
        <v>22834</v>
      </c>
      <c r="G731" s="22">
        <f t="shared" ref="G731" si="46">+(D731+E731)/F731</f>
        <v>0.49719716212665321</v>
      </c>
      <c r="K731" s="23" t="s">
        <v>919</v>
      </c>
    </row>
    <row r="732" spans="1:11" x14ac:dyDescent="0.3">
      <c r="A732" s="24"/>
      <c r="B732" s="25"/>
      <c r="C732" s="26"/>
      <c r="D732" s="31"/>
      <c r="E732" s="28"/>
      <c r="F732" s="28"/>
      <c r="G732" s="29"/>
    </row>
    <row r="733" spans="1:11" x14ac:dyDescent="0.3">
      <c r="A733" s="24"/>
      <c r="B733" s="25"/>
      <c r="C733" s="30" t="s">
        <v>166</v>
      </c>
      <c r="D733" s="31"/>
      <c r="E733" s="28"/>
      <c r="F733" s="28"/>
      <c r="G733" s="29"/>
    </row>
    <row r="734" spans="1:11" x14ac:dyDescent="0.3">
      <c r="A734" s="14">
        <v>34</v>
      </c>
      <c r="B734" s="15">
        <v>108</v>
      </c>
      <c r="C734" s="16" t="s">
        <v>704</v>
      </c>
      <c r="D734" s="36">
        <v>11</v>
      </c>
      <c r="E734" s="34">
        <v>10</v>
      </c>
      <c r="F734" s="34">
        <v>27</v>
      </c>
      <c r="G734" s="17">
        <f>+(D734+E734)/F734</f>
        <v>0.77777777777777779</v>
      </c>
    </row>
    <row r="735" spans="1:11" x14ac:dyDescent="0.3">
      <c r="A735" s="14">
        <v>34</v>
      </c>
      <c r="B735" s="15">
        <v>302</v>
      </c>
      <c r="C735" s="16" t="s">
        <v>167</v>
      </c>
      <c r="D735" s="36">
        <v>49</v>
      </c>
      <c r="E735" s="34">
        <v>30</v>
      </c>
      <c r="F735" s="34">
        <v>131</v>
      </c>
      <c r="G735" s="17">
        <f>+(D735+E735)/F735</f>
        <v>0.60305343511450382</v>
      </c>
    </row>
    <row r="736" spans="1:11" x14ac:dyDescent="0.3">
      <c r="A736" s="14">
        <v>34</v>
      </c>
      <c r="B736" s="15">
        <v>112</v>
      </c>
      <c r="C736" s="16" t="s">
        <v>705</v>
      </c>
      <c r="D736" s="36">
        <v>70</v>
      </c>
      <c r="E736" s="34">
        <v>29</v>
      </c>
      <c r="F736" s="34">
        <v>193</v>
      </c>
      <c r="G736" s="17">
        <f>+(D736+E736)/F736</f>
        <v>0.51295336787564771</v>
      </c>
    </row>
    <row r="737" spans="1:7" ht="21" thickBot="1" x14ac:dyDescent="0.35">
      <c r="A737" s="24">
        <v>34</v>
      </c>
      <c r="B737" s="25">
        <v>704</v>
      </c>
      <c r="C737" s="26" t="s">
        <v>168</v>
      </c>
      <c r="D737" s="36">
        <v>28</v>
      </c>
      <c r="E737" s="34">
        <v>35</v>
      </c>
      <c r="F737" s="34">
        <v>151</v>
      </c>
      <c r="G737" s="29">
        <f>+(D737+E737)/F737</f>
        <v>0.41721854304635764</v>
      </c>
    </row>
    <row r="738" spans="1:7" ht="21" thickBot="1" x14ac:dyDescent="0.35">
      <c r="A738" s="18"/>
      <c r="B738" s="19">
        <f>COUNTA(B734:B737)</f>
        <v>4</v>
      </c>
      <c r="C738" s="20" t="s">
        <v>16</v>
      </c>
      <c r="D738" s="21">
        <f>SUM(D734:D737)</f>
        <v>158</v>
      </c>
      <c r="E738" s="35">
        <f>SUM(E734:E737)</f>
        <v>104</v>
      </c>
      <c r="F738" s="35">
        <f>SUM(F734:F737)</f>
        <v>502</v>
      </c>
      <c r="G738" s="22">
        <f>+(D738+E738)/F738</f>
        <v>0.52191235059760954</v>
      </c>
    </row>
    <row r="739" spans="1:7" x14ac:dyDescent="0.3">
      <c r="A739" s="24"/>
      <c r="B739" s="25"/>
      <c r="C739" s="26"/>
      <c r="D739" s="31"/>
      <c r="E739" s="28"/>
      <c r="F739" s="28"/>
      <c r="G739" s="29"/>
    </row>
    <row r="740" spans="1:7" x14ac:dyDescent="0.3">
      <c r="A740" s="24"/>
      <c r="B740" s="25"/>
      <c r="C740" s="30" t="s">
        <v>169</v>
      </c>
      <c r="D740" s="31"/>
      <c r="E740" s="28"/>
      <c r="F740" s="28"/>
      <c r="G740" s="29"/>
    </row>
    <row r="741" spans="1:7" x14ac:dyDescent="0.3">
      <c r="A741" s="14">
        <v>35</v>
      </c>
      <c r="B741" s="15">
        <v>108</v>
      </c>
      <c r="C741" s="16" t="s">
        <v>707</v>
      </c>
      <c r="D741" s="36">
        <v>194</v>
      </c>
      <c r="E741" s="34">
        <v>59</v>
      </c>
      <c r="F741" s="34">
        <v>304</v>
      </c>
      <c r="G741" s="17">
        <f t="shared" ref="G741:G784" si="47">+(D741+E741)/F741</f>
        <v>0.83223684210526316</v>
      </c>
    </row>
    <row r="742" spans="1:7" x14ac:dyDescent="0.3">
      <c r="A742" s="14">
        <v>35</v>
      </c>
      <c r="B742" s="15">
        <v>132</v>
      </c>
      <c r="C742" s="16" t="s">
        <v>366</v>
      </c>
      <c r="D742" s="36">
        <v>151</v>
      </c>
      <c r="E742" s="34">
        <v>55</v>
      </c>
      <c r="F742" s="34">
        <v>294</v>
      </c>
      <c r="G742" s="17">
        <f t="shared" si="47"/>
        <v>0.70068027210884354</v>
      </c>
    </row>
    <row r="743" spans="1:7" x14ac:dyDescent="0.3">
      <c r="A743" s="14">
        <v>35</v>
      </c>
      <c r="B743" s="15">
        <v>160</v>
      </c>
      <c r="C743" s="16" t="s">
        <v>733</v>
      </c>
      <c r="D743" s="36">
        <v>227</v>
      </c>
      <c r="E743" s="34">
        <v>77</v>
      </c>
      <c r="F743" s="34">
        <v>455</v>
      </c>
      <c r="G743" s="17">
        <f t="shared" si="47"/>
        <v>0.66813186813186809</v>
      </c>
    </row>
    <row r="744" spans="1:7" x14ac:dyDescent="0.3">
      <c r="A744" s="14">
        <v>35</v>
      </c>
      <c r="B744" s="15">
        <v>116</v>
      </c>
      <c r="C744" s="16" t="s">
        <v>714</v>
      </c>
      <c r="D744" s="36">
        <v>194</v>
      </c>
      <c r="E744" s="34">
        <v>51</v>
      </c>
      <c r="F744" s="34">
        <v>395</v>
      </c>
      <c r="G744" s="17">
        <f t="shared" si="47"/>
        <v>0.620253164556962</v>
      </c>
    </row>
    <row r="745" spans="1:7" x14ac:dyDescent="0.3">
      <c r="A745" s="14">
        <v>35</v>
      </c>
      <c r="B745" s="15">
        <v>152</v>
      </c>
      <c r="C745" s="16" t="s">
        <v>725</v>
      </c>
      <c r="D745" s="36">
        <v>190</v>
      </c>
      <c r="E745" s="34">
        <v>92</v>
      </c>
      <c r="F745" s="34">
        <v>471</v>
      </c>
      <c r="G745" s="17">
        <f t="shared" si="47"/>
        <v>0.59872611464968151</v>
      </c>
    </row>
    <row r="746" spans="1:7" x14ac:dyDescent="0.3">
      <c r="A746" s="14">
        <v>35</v>
      </c>
      <c r="B746" s="15">
        <v>148</v>
      </c>
      <c r="C746" s="16" t="s">
        <v>536</v>
      </c>
      <c r="D746" s="36">
        <v>231</v>
      </c>
      <c r="E746" s="34">
        <v>40</v>
      </c>
      <c r="F746" s="34">
        <v>457</v>
      </c>
      <c r="G746" s="17">
        <f t="shared" si="47"/>
        <v>0.5929978118161926</v>
      </c>
    </row>
    <row r="747" spans="1:7" x14ac:dyDescent="0.3">
      <c r="A747" s="14">
        <v>35</v>
      </c>
      <c r="B747" s="15">
        <v>158</v>
      </c>
      <c r="C747" s="16" t="s">
        <v>312</v>
      </c>
      <c r="D747" s="36">
        <v>165</v>
      </c>
      <c r="E747" s="34">
        <v>83</v>
      </c>
      <c r="F747" s="34">
        <v>425</v>
      </c>
      <c r="G747" s="17">
        <f t="shared" si="47"/>
        <v>0.58352941176470585</v>
      </c>
    </row>
    <row r="748" spans="1:7" x14ac:dyDescent="0.3">
      <c r="A748" s="14">
        <v>35</v>
      </c>
      <c r="B748" s="15">
        <v>124</v>
      </c>
      <c r="C748" s="16" t="s">
        <v>718</v>
      </c>
      <c r="D748" s="36">
        <v>129</v>
      </c>
      <c r="E748" s="34">
        <v>55</v>
      </c>
      <c r="F748" s="34">
        <v>363</v>
      </c>
      <c r="G748" s="17">
        <f t="shared" si="47"/>
        <v>0.50688705234159781</v>
      </c>
    </row>
    <row r="749" spans="1:7" x14ac:dyDescent="0.3">
      <c r="A749" s="14">
        <v>35</v>
      </c>
      <c r="B749" s="15">
        <v>410</v>
      </c>
      <c r="C749" s="16" t="s">
        <v>730</v>
      </c>
      <c r="D749" s="36">
        <v>252</v>
      </c>
      <c r="E749" s="34">
        <v>74</v>
      </c>
      <c r="F749" s="34">
        <v>656</v>
      </c>
      <c r="G749" s="17">
        <f t="shared" si="47"/>
        <v>0.49695121951219512</v>
      </c>
    </row>
    <row r="750" spans="1:7" x14ac:dyDescent="0.3">
      <c r="A750" s="14">
        <v>35</v>
      </c>
      <c r="B750" s="15">
        <v>144</v>
      </c>
      <c r="C750" s="16" t="s">
        <v>723</v>
      </c>
      <c r="D750" s="36">
        <v>160</v>
      </c>
      <c r="E750" s="34">
        <v>70</v>
      </c>
      <c r="F750" s="34">
        <v>464</v>
      </c>
      <c r="G750" s="17">
        <f t="shared" si="47"/>
        <v>0.49568965517241381</v>
      </c>
    </row>
    <row r="751" spans="1:7" x14ac:dyDescent="0.3">
      <c r="A751" s="14">
        <v>35</v>
      </c>
      <c r="B751" s="15">
        <v>122</v>
      </c>
      <c r="C751" s="16" t="s">
        <v>716</v>
      </c>
      <c r="D751" s="36">
        <v>119</v>
      </c>
      <c r="E751" s="34">
        <v>27</v>
      </c>
      <c r="F751" s="34">
        <v>304</v>
      </c>
      <c r="G751" s="17">
        <f t="shared" si="47"/>
        <v>0.48026315789473684</v>
      </c>
    </row>
    <row r="752" spans="1:7" x14ac:dyDescent="0.3">
      <c r="A752" s="14">
        <v>35</v>
      </c>
      <c r="B752" s="15">
        <v>404</v>
      </c>
      <c r="C752" s="16" t="s">
        <v>726</v>
      </c>
      <c r="D752" s="36">
        <v>302</v>
      </c>
      <c r="E752" s="34">
        <v>113</v>
      </c>
      <c r="F752" s="34">
        <v>927</v>
      </c>
      <c r="G752" s="17">
        <f t="shared" si="47"/>
        <v>0.44768069039913699</v>
      </c>
    </row>
    <row r="753" spans="1:7" x14ac:dyDescent="0.3">
      <c r="A753" s="14">
        <v>35</v>
      </c>
      <c r="B753" s="15">
        <v>406</v>
      </c>
      <c r="C753" s="16" t="s">
        <v>727</v>
      </c>
      <c r="D753" s="36">
        <v>247</v>
      </c>
      <c r="E753" s="34">
        <v>116</v>
      </c>
      <c r="F753" s="34">
        <v>831</v>
      </c>
      <c r="G753" s="17">
        <f t="shared" si="47"/>
        <v>0.43682310469314078</v>
      </c>
    </row>
    <row r="754" spans="1:7" x14ac:dyDescent="0.3">
      <c r="A754" s="14">
        <v>35</v>
      </c>
      <c r="B754" s="15">
        <v>128</v>
      </c>
      <c r="C754" s="16" t="s">
        <v>719</v>
      </c>
      <c r="D754" s="36">
        <v>168</v>
      </c>
      <c r="E754" s="34">
        <v>76</v>
      </c>
      <c r="F754" s="34">
        <v>572</v>
      </c>
      <c r="G754" s="17">
        <f t="shared" si="47"/>
        <v>0.42657342657342656</v>
      </c>
    </row>
    <row r="755" spans="1:7" x14ac:dyDescent="0.3">
      <c r="A755" s="14">
        <v>35</v>
      </c>
      <c r="B755" s="15">
        <v>111</v>
      </c>
      <c r="C755" s="16" t="s">
        <v>710</v>
      </c>
      <c r="D755" s="36">
        <v>113</v>
      </c>
      <c r="E755" s="34">
        <v>66</v>
      </c>
      <c r="F755" s="34">
        <v>425</v>
      </c>
      <c r="G755" s="17">
        <f t="shared" si="47"/>
        <v>0.42117647058823532</v>
      </c>
    </row>
    <row r="756" spans="1:7" x14ac:dyDescent="0.3">
      <c r="A756" s="14">
        <v>35</v>
      </c>
      <c r="B756" s="15">
        <v>123</v>
      </c>
      <c r="C756" s="16" t="s">
        <v>717</v>
      </c>
      <c r="D756" s="36">
        <v>166</v>
      </c>
      <c r="E756" s="34">
        <v>87</v>
      </c>
      <c r="F756" s="34">
        <v>614</v>
      </c>
      <c r="G756" s="17">
        <f t="shared" si="47"/>
        <v>0.41205211726384366</v>
      </c>
    </row>
    <row r="757" spans="1:7" x14ac:dyDescent="0.3">
      <c r="A757" s="14">
        <v>35</v>
      </c>
      <c r="B757" s="15">
        <v>138</v>
      </c>
      <c r="C757" s="16" t="s">
        <v>530</v>
      </c>
      <c r="D757" s="36">
        <v>114</v>
      </c>
      <c r="E757" s="34">
        <v>53</v>
      </c>
      <c r="F757" s="34">
        <v>434</v>
      </c>
      <c r="G757" s="17">
        <f t="shared" si="47"/>
        <v>0.3847926267281106</v>
      </c>
    </row>
    <row r="758" spans="1:7" x14ac:dyDescent="0.3">
      <c r="A758" s="14">
        <v>35</v>
      </c>
      <c r="B758" s="15">
        <v>162</v>
      </c>
      <c r="C758" s="16" t="s">
        <v>734</v>
      </c>
      <c r="D758" s="36">
        <v>143</v>
      </c>
      <c r="E758" s="34">
        <v>81</v>
      </c>
      <c r="F758" s="34">
        <v>609</v>
      </c>
      <c r="G758" s="17">
        <f t="shared" si="47"/>
        <v>0.36781609195402298</v>
      </c>
    </row>
    <row r="759" spans="1:7" x14ac:dyDescent="0.3">
      <c r="A759" s="14">
        <v>35</v>
      </c>
      <c r="B759" s="15">
        <v>110</v>
      </c>
      <c r="C759" s="16" t="s">
        <v>711</v>
      </c>
      <c r="D759" s="36">
        <v>94</v>
      </c>
      <c r="E759" s="34">
        <v>50</v>
      </c>
      <c r="F759" s="34">
        <v>416</v>
      </c>
      <c r="G759" s="17">
        <f t="shared" si="47"/>
        <v>0.34615384615384615</v>
      </c>
    </row>
    <row r="760" spans="1:7" x14ac:dyDescent="0.3">
      <c r="A760" s="14">
        <v>35</v>
      </c>
      <c r="B760" s="15">
        <v>121</v>
      </c>
      <c r="C760" s="16" t="s">
        <v>588</v>
      </c>
      <c r="D760" s="36">
        <v>132</v>
      </c>
      <c r="E760" s="34">
        <v>99</v>
      </c>
      <c r="F760" s="34">
        <v>671</v>
      </c>
      <c r="G760" s="17">
        <f t="shared" si="47"/>
        <v>0.34426229508196721</v>
      </c>
    </row>
    <row r="761" spans="1:7" x14ac:dyDescent="0.3">
      <c r="A761" s="14">
        <v>35</v>
      </c>
      <c r="B761" s="15">
        <v>408</v>
      </c>
      <c r="C761" s="16" t="s">
        <v>729</v>
      </c>
      <c r="D761" s="36">
        <v>207</v>
      </c>
      <c r="E761" s="34">
        <v>73</v>
      </c>
      <c r="F761" s="34">
        <v>822</v>
      </c>
      <c r="G761" s="17">
        <f t="shared" si="47"/>
        <v>0.34063260340632601</v>
      </c>
    </row>
    <row r="762" spans="1:7" x14ac:dyDescent="0.3">
      <c r="A762" s="14">
        <v>35</v>
      </c>
      <c r="B762" s="15">
        <v>164</v>
      </c>
      <c r="C762" s="16" t="s">
        <v>735</v>
      </c>
      <c r="D762" s="36">
        <v>84</v>
      </c>
      <c r="E762" s="34">
        <v>48</v>
      </c>
      <c r="F762" s="34">
        <v>401</v>
      </c>
      <c r="G762" s="17">
        <f t="shared" si="47"/>
        <v>0.32917705735660846</v>
      </c>
    </row>
    <row r="763" spans="1:7" x14ac:dyDescent="0.3">
      <c r="A763" s="14">
        <v>35</v>
      </c>
      <c r="B763" s="15">
        <v>115</v>
      </c>
      <c r="C763" s="16" t="s">
        <v>286</v>
      </c>
      <c r="D763" s="36">
        <v>130</v>
      </c>
      <c r="E763" s="34">
        <v>79</v>
      </c>
      <c r="F763" s="34">
        <v>642</v>
      </c>
      <c r="G763" s="17">
        <f t="shared" si="47"/>
        <v>0.32554517133956384</v>
      </c>
    </row>
    <row r="764" spans="1:7" x14ac:dyDescent="0.3">
      <c r="A764" s="14">
        <v>35</v>
      </c>
      <c r="B764" s="15">
        <v>109</v>
      </c>
      <c r="C764" s="16" t="s">
        <v>708</v>
      </c>
      <c r="D764" s="36">
        <v>104</v>
      </c>
      <c r="E764" s="34">
        <v>46</v>
      </c>
      <c r="F764" s="34">
        <v>484</v>
      </c>
      <c r="G764" s="17">
        <f t="shared" si="47"/>
        <v>0.30991735537190085</v>
      </c>
    </row>
    <row r="765" spans="1:7" x14ac:dyDescent="0.3">
      <c r="A765" s="14">
        <v>35</v>
      </c>
      <c r="B765" s="15">
        <v>708</v>
      </c>
      <c r="C765" s="16" t="s">
        <v>173</v>
      </c>
      <c r="D765" s="36">
        <v>296</v>
      </c>
      <c r="E765" s="34">
        <v>147</v>
      </c>
      <c r="F765" s="34">
        <v>1547</v>
      </c>
      <c r="G765" s="17">
        <f t="shared" si="47"/>
        <v>0.28636069812540399</v>
      </c>
    </row>
    <row r="766" spans="1:7" x14ac:dyDescent="0.3">
      <c r="A766" s="14">
        <v>35</v>
      </c>
      <c r="B766" s="15">
        <v>405</v>
      </c>
      <c r="C766" s="16" t="s">
        <v>721</v>
      </c>
      <c r="D766" s="36">
        <v>169</v>
      </c>
      <c r="E766" s="34">
        <v>100</v>
      </c>
      <c r="F766" s="34">
        <v>955</v>
      </c>
      <c r="G766" s="17">
        <f t="shared" si="47"/>
        <v>0.28167539267015707</v>
      </c>
    </row>
    <row r="767" spans="1:7" x14ac:dyDescent="0.3">
      <c r="A767" s="14">
        <v>35</v>
      </c>
      <c r="B767" s="15">
        <v>416</v>
      </c>
      <c r="C767" s="16" t="s">
        <v>732</v>
      </c>
      <c r="D767" s="36">
        <v>172</v>
      </c>
      <c r="E767" s="34">
        <v>106</v>
      </c>
      <c r="F767" s="34">
        <v>999</v>
      </c>
      <c r="G767" s="17">
        <f t="shared" si="47"/>
        <v>0.27827827827827828</v>
      </c>
    </row>
    <row r="768" spans="1:7" x14ac:dyDescent="0.3">
      <c r="A768" s="14">
        <v>35</v>
      </c>
      <c r="B768" s="15">
        <v>701</v>
      </c>
      <c r="C768" s="16" t="s">
        <v>170</v>
      </c>
      <c r="D768" s="36">
        <v>256</v>
      </c>
      <c r="E768" s="34">
        <v>110</v>
      </c>
      <c r="F768" s="34">
        <v>1345</v>
      </c>
      <c r="G768" s="17">
        <f t="shared" si="47"/>
        <v>0.2721189591078067</v>
      </c>
    </row>
    <row r="769" spans="1:7" x14ac:dyDescent="0.3">
      <c r="A769" s="14">
        <v>35</v>
      </c>
      <c r="B769" s="15">
        <v>154</v>
      </c>
      <c r="C769" s="16" t="s">
        <v>731</v>
      </c>
      <c r="D769" s="36">
        <v>108</v>
      </c>
      <c r="E769" s="34">
        <v>53</v>
      </c>
      <c r="F769" s="34">
        <v>596</v>
      </c>
      <c r="G769" s="17">
        <f t="shared" si="47"/>
        <v>0.27013422818791949</v>
      </c>
    </row>
    <row r="770" spans="1:7" x14ac:dyDescent="0.3">
      <c r="A770" s="14">
        <v>35</v>
      </c>
      <c r="B770" s="15">
        <v>112</v>
      </c>
      <c r="C770" s="16" t="s">
        <v>712</v>
      </c>
      <c r="D770" s="36">
        <v>74</v>
      </c>
      <c r="E770" s="34">
        <v>76</v>
      </c>
      <c r="F770" s="34">
        <v>569</v>
      </c>
      <c r="G770" s="17">
        <f t="shared" si="47"/>
        <v>0.26362038664323373</v>
      </c>
    </row>
    <row r="771" spans="1:7" x14ac:dyDescent="0.3">
      <c r="A771" s="14">
        <v>35</v>
      </c>
      <c r="B771" s="15">
        <v>113</v>
      </c>
      <c r="C771" s="16" t="s">
        <v>709</v>
      </c>
      <c r="D771" s="36">
        <v>120</v>
      </c>
      <c r="E771" s="34">
        <v>66</v>
      </c>
      <c r="F771" s="34">
        <v>711</v>
      </c>
      <c r="G771" s="17">
        <f t="shared" si="47"/>
        <v>0.26160337552742619</v>
      </c>
    </row>
    <row r="772" spans="1:7" x14ac:dyDescent="0.3">
      <c r="A772" s="14">
        <v>35</v>
      </c>
      <c r="B772" s="15">
        <v>403</v>
      </c>
      <c r="C772" s="16" t="s">
        <v>724</v>
      </c>
      <c r="D772" s="36">
        <v>157</v>
      </c>
      <c r="E772" s="34">
        <v>111</v>
      </c>
      <c r="F772" s="34">
        <v>1040</v>
      </c>
      <c r="G772" s="17">
        <f t="shared" si="47"/>
        <v>0.25769230769230766</v>
      </c>
    </row>
    <row r="773" spans="1:7" x14ac:dyDescent="0.3">
      <c r="A773" s="14">
        <v>35</v>
      </c>
      <c r="B773" s="15">
        <v>114</v>
      </c>
      <c r="C773" s="16" t="s">
        <v>713</v>
      </c>
      <c r="D773" s="36">
        <v>107</v>
      </c>
      <c r="E773" s="34">
        <v>55</v>
      </c>
      <c r="F773" s="34">
        <v>650</v>
      </c>
      <c r="G773" s="17">
        <f t="shared" si="47"/>
        <v>0.24923076923076923</v>
      </c>
    </row>
    <row r="774" spans="1:7" x14ac:dyDescent="0.3">
      <c r="A774" s="14">
        <v>35</v>
      </c>
      <c r="B774" s="15">
        <v>140</v>
      </c>
      <c r="C774" s="16" t="s">
        <v>722</v>
      </c>
      <c r="D774" s="36">
        <v>81</v>
      </c>
      <c r="E774" s="34">
        <v>74</v>
      </c>
      <c r="F774" s="34">
        <v>623</v>
      </c>
      <c r="G774" s="17">
        <f t="shared" si="47"/>
        <v>0.24879614767255218</v>
      </c>
    </row>
    <row r="775" spans="1:7" x14ac:dyDescent="0.3">
      <c r="A775" s="14">
        <v>35</v>
      </c>
      <c r="B775" s="15">
        <v>402</v>
      </c>
      <c r="C775" s="16" t="s">
        <v>720</v>
      </c>
      <c r="D775" s="36">
        <v>122</v>
      </c>
      <c r="E775" s="34">
        <v>47</v>
      </c>
      <c r="F775" s="34">
        <v>682</v>
      </c>
      <c r="G775" s="17">
        <f t="shared" si="47"/>
        <v>0.24780058651026393</v>
      </c>
    </row>
    <row r="776" spans="1:7" x14ac:dyDescent="0.3">
      <c r="A776" s="14">
        <v>35</v>
      </c>
      <c r="B776" s="15">
        <v>156</v>
      </c>
      <c r="C776" s="16" t="s">
        <v>101</v>
      </c>
      <c r="D776" s="36">
        <v>91</v>
      </c>
      <c r="E776" s="34">
        <v>39</v>
      </c>
      <c r="F776" s="34">
        <v>544</v>
      </c>
      <c r="G776" s="17">
        <f t="shared" si="47"/>
        <v>0.23897058823529413</v>
      </c>
    </row>
    <row r="777" spans="1:7" x14ac:dyDescent="0.3">
      <c r="A777" s="14">
        <v>35</v>
      </c>
      <c r="B777" s="15">
        <v>810</v>
      </c>
      <c r="C777" s="16" t="s">
        <v>174</v>
      </c>
      <c r="D777" s="36">
        <v>23</v>
      </c>
      <c r="E777" s="34">
        <v>15</v>
      </c>
      <c r="F777" s="34">
        <v>167</v>
      </c>
      <c r="G777" s="17">
        <f t="shared" si="47"/>
        <v>0.22754491017964071</v>
      </c>
    </row>
    <row r="778" spans="1:7" x14ac:dyDescent="0.3">
      <c r="A778" s="14">
        <v>35</v>
      </c>
      <c r="B778" s="15">
        <v>730</v>
      </c>
      <c r="C778" s="16" t="s">
        <v>222</v>
      </c>
      <c r="D778" s="36">
        <v>21</v>
      </c>
      <c r="E778" s="34">
        <v>14</v>
      </c>
      <c r="F778" s="34">
        <v>171</v>
      </c>
      <c r="G778" s="17">
        <f t="shared" si="47"/>
        <v>0.2046783625730994</v>
      </c>
    </row>
    <row r="779" spans="1:7" x14ac:dyDescent="0.3">
      <c r="A779" s="14">
        <v>35</v>
      </c>
      <c r="B779" s="15">
        <v>100</v>
      </c>
      <c r="C779" s="16" t="s">
        <v>706</v>
      </c>
      <c r="D779" s="36">
        <v>72</v>
      </c>
      <c r="E779" s="34">
        <v>35</v>
      </c>
      <c r="F779" s="34">
        <v>568</v>
      </c>
      <c r="G779" s="17">
        <f t="shared" si="47"/>
        <v>0.18838028169014084</v>
      </c>
    </row>
    <row r="780" spans="1:7" x14ac:dyDescent="0.3">
      <c r="A780" s="14">
        <v>35</v>
      </c>
      <c r="B780" s="15">
        <v>706</v>
      </c>
      <c r="C780" s="16" t="s">
        <v>172</v>
      </c>
      <c r="D780" s="36">
        <v>158</v>
      </c>
      <c r="E780" s="34">
        <v>141</v>
      </c>
      <c r="F780" s="34">
        <v>1763</v>
      </c>
      <c r="G780" s="17">
        <f t="shared" si="47"/>
        <v>0.16959727736812252</v>
      </c>
    </row>
    <row r="781" spans="1:7" x14ac:dyDescent="0.3">
      <c r="A781" s="14">
        <v>35</v>
      </c>
      <c r="B781" s="15">
        <v>120</v>
      </c>
      <c r="C781" s="16" t="s">
        <v>715</v>
      </c>
      <c r="D781" s="36">
        <v>49</v>
      </c>
      <c r="E781" s="34">
        <v>32</v>
      </c>
      <c r="F781" s="34">
        <v>527</v>
      </c>
      <c r="G781" s="17">
        <f t="shared" si="47"/>
        <v>0.15370018975332067</v>
      </c>
    </row>
    <row r="782" spans="1:7" x14ac:dyDescent="0.3">
      <c r="A782" s="14">
        <v>35</v>
      </c>
      <c r="B782" s="15">
        <v>704</v>
      </c>
      <c r="C782" s="16" t="s">
        <v>171</v>
      </c>
      <c r="D782" s="36">
        <v>142</v>
      </c>
      <c r="E782" s="34">
        <v>125</v>
      </c>
      <c r="F782" s="34">
        <v>1783</v>
      </c>
      <c r="G782" s="17">
        <f t="shared" si="47"/>
        <v>0.14974761637689288</v>
      </c>
    </row>
    <row r="783" spans="1:7" ht="21" thickBot="1" x14ac:dyDescent="0.35">
      <c r="A783" s="24">
        <v>35</v>
      </c>
      <c r="B783" s="37">
        <v>412</v>
      </c>
      <c r="C783" s="26" t="s">
        <v>728</v>
      </c>
      <c r="D783" s="36">
        <v>34</v>
      </c>
      <c r="E783" s="34">
        <v>14</v>
      </c>
      <c r="F783" s="34">
        <v>337</v>
      </c>
      <c r="G783" s="29">
        <f t="shared" si="47"/>
        <v>0.14243323442136499</v>
      </c>
    </row>
    <row r="784" spans="1:7" ht="21" thickBot="1" x14ac:dyDescent="0.35">
      <c r="A784" s="18"/>
      <c r="B784" s="19">
        <f>COUNTA(B741:B783)</f>
        <v>43</v>
      </c>
      <c r="C784" s="20" t="s">
        <v>16</v>
      </c>
      <c r="D784" s="21">
        <f>SUM(D741:D783)</f>
        <v>6268</v>
      </c>
      <c r="E784" s="35">
        <f>SUM(E741:E783)</f>
        <v>3030</v>
      </c>
      <c r="F784" s="35">
        <f>SUM(F741:F783)</f>
        <v>28013</v>
      </c>
      <c r="G784" s="22">
        <f t="shared" si="47"/>
        <v>0.33191732409952523</v>
      </c>
    </row>
    <row r="785" spans="1:7" x14ac:dyDescent="0.3">
      <c r="A785" s="24"/>
      <c r="B785" s="25"/>
      <c r="C785" s="26"/>
      <c r="D785" s="31"/>
      <c r="E785" s="28"/>
      <c r="F785" s="28"/>
      <c r="G785" s="29"/>
    </row>
    <row r="786" spans="1:7" x14ac:dyDescent="0.3">
      <c r="A786" s="24"/>
      <c r="B786" s="25"/>
      <c r="C786" s="30" t="s">
        <v>175</v>
      </c>
      <c r="D786" s="31"/>
      <c r="E786" s="28"/>
      <c r="F786" s="28"/>
      <c r="G786" s="29"/>
    </row>
    <row r="787" spans="1:7" x14ac:dyDescent="0.3">
      <c r="A787" s="14">
        <v>36</v>
      </c>
      <c r="B787" s="15">
        <v>216</v>
      </c>
      <c r="C787" s="16" t="s">
        <v>756</v>
      </c>
      <c r="D787" s="36">
        <v>391</v>
      </c>
      <c r="E787" s="34">
        <v>40</v>
      </c>
      <c r="F787" s="34">
        <v>440</v>
      </c>
      <c r="G787" s="17">
        <f t="shared" ref="G787:G824" si="48">+(D787+E787)/F787</f>
        <v>0.9795454545454545</v>
      </c>
    </row>
    <row r="788" spans="1:7" x14ac:dyDescent="0.3">
      <c r="A788" s="14">
        <v>36</v>
      </c>
      <c r="B788" s="15">
        <v>148</v>
      </c>
      <c r="C788" s="16" t="s">
        <v>750</v>
      </c>
      <c r="D788" s="36">
        <v>394</v>
      </c>
      <c r="E788" s="34">
        <v>48</v>
      </c>
      <c r="F788" s="34">
        <v>462</v>
      </c>
      <c r="G788" s="17">
        <f t="shared" si="48"/>
        <v>0.95670995670995673</v>
      </c>
    </row>
    <row r="789" spans="1:7" x14ac:dyDescent="0.3">
      <c r="A789" s="14">
        <v>36</v>
      </c>
      <c r="B789" s="15">
        <v>412</v>
      </c>
      <c r="C789" s="16" t="s">
        <v>338</v>
      </c>
      <c r="D789" s="36">
        <v>662</v>
      </c>
      <c r="E789" s="34">
        <v>84</v>
      </c>
      <c r="F789" s="34">
        <v>786</v>
      </c>
      <c r="G789" s="17">
        <f t="shared" si="48"/>
        <v>0.94910941475826971</v>
      </c>
    </row>
    <row r="790" spans="1:7" x14ac:dyDescent="0.3">
      <c r="A790" s="14">
        <v>36</v>
      </c>
      <c r="B790" s="15">
        <v>196</v>
      </c>
      <c r="C790" s="16" t="s">
        <v>372</v>
      </c>
      <c r="D790" s="36">
        <v>378</v>
      </c>
      <c r="E790" s="34">
        <v>38</v>
      </c>
      <c r="F790" s="34">
        <v>441</v>
      </c>
      <c r="G790" s="17">
        <f t="shared" si="48"/>
        <v>0.94331065759637189</v>
      </c>
    </row>
    <row r="791" spans="1:7" x14ac:dyDescent="0.3">
      <c r="A791" s="14">
        <v>36</v>
      </c>
      <c r="B791" s="15">
        <v>132</v>
      </c>
      <c r="C791" s="16" t="s">
        <v>747</v>
      </c>
      <c r="D791" s="36">
        <v>394</v>
      </c>
      <c r="E791" s="34">
        <v>43</v>
      </c>
      <c r="F791" s="34">
        <v>466</v>
      </c>
      <c r="G791" s="17">
        <f t="shared" si="48"/>
        <v>0.9377682403433476</v>
      </c>
    </row>
    <row r="792" spans="1:7" x14ac:dyDescent="0.3">
      <c r="A792" s="14">
        <v>36</v>
      </c>
      <c r="B792" s="15">
        <v>104</v>
      </c>
      <c r="C792" s="16" t="s">
        <v>743</v>
      </c>
      <c r="D792" s="36">
        <v>423</v>
      </c>
      <c r="E792" s="34">
        <v>29</v>
      </c>
      <c r="F792" s="34">
        <v>487</v>
      </c>
      <c r="G792" s="17">
        <f t="shared" si="48"/>
        <v>0.92813141683778233</v>
      </c>
    </row>
    <row r="793" spans="1:7" x14ac:dyDescent="0.3">
      <c r="A793" s="14">
        <v>36</v>
      </c>
      <c r="B793" s="15">
        <v>160</v>
      </c>
      <c r="C793" s="16" t="s">
        <v>433</v>
      </c>
      <c r="D793" s="36">
        <v>434</v>
      </c>
      <c r="E793" s="34">
        <v>52</v>
      </c>
      <c r="F793" s="34">
        <v>532</v>
      </c>
      <c r="G793" s="17">
        <f t="shared" si="48"/>
        <v>0.9135338345864662</v>
      </c>
    </row>
    <row r="794" spans="1:7" x14ac:dyDescent="0.3">
      <c r="A794" s="14">
        <v>36</v>
      </c>
      <c r="B794" s="15">
        <v>244</v>
      </c>
      <c r="C794" s="16" t="s">
        <v>760</v>
      </c>
      <c r="D794" s="36">
        <v>254</v>
      </c>
      <c r="E794" s="34">
        <v>48</v>
      </c>
      <c r="F794" s="34">
        <v>338</v>
      </c>
      <c r="G794" s="17">
        <f t="shared" si="48"/>
        <v>0.89349112426035504</v>
      </c>
    </row>
    <row r="795" spans="1:7" x14ac:dyDescent="0.3">
      <c r="A795" s="14">
        <v>36</v>
      </c>
      <c r="B795" s="15">
        <v>242</v>
      </c>
      <c r="C795" s="16" t="s">
        <v>620</v>
      </c>
      <c r="D795" s="36">
        <v>259</v>
      </c>
      <c r="E795" s="34">
        <v>31</v>
      </c>
      <c r="F795" s="34">
        <v>325</v>
      </c>
      <c r="G795" s="17">
        <f t="shared" si="48"/>
        <v>0.89230769230769236</v>
      </c>
    </row>
    <row r="796" spans="1:7" x14ac:dyDescent="0.3">
      <c r="A796" s="14">
        <v>36</v>
      </c>
      <c r="B796" s="15">
        <v>188</v>
      </c>
      <c r="C796" s="16" t="s">
        <v>754</v>
      </c>
      <c r="D796" s="36">
        <v>345</v>
      </c>
      <c r="E796" s="34">
        <v>39</v>
      </c>
      <c r="F796" s="34">
        <v>431</v>
      </c>
      <c r="G796" s="17">
        <f t="shared" si="48"/>
        <v>0.89095127610208813</v>
      </c>
    </row>
    <row r="797" spans="1:7" x14ac:dyDescent="0.3">
      <c r="A797" s="14">
        <v>36</v>
      </c>
      <c r="B797" s="15">
        <v>252</v>
      </c>
      <c r="C797" s="16" t="s">
        <v>761</v>
      </c>
      <c r="D797" s="36">
        <v>305</v>
      </c>
      <c r="E797" s="34">
        <v>48</v>
      </c>
      <c r="F797" s="34">
        <v>397</v>
      </c>
      <c r="G797" s="17">
        <f t="shared" si="48"/>
        <v>0.88916876574307302</v>
      </c>
    </row>
    <row r="798" spans="1:7" x14ac:dyDescent="0.3">
      <c r="A798" s="14">
        <v>36</v>
      </c>
      <c r="B798" s="15">
        <v>440</v>
      </c>
      <c r="C798" s="16" t="s">
        <v>341</v>
      </c>
      <c r="D798" s="36">
        <v>564</v>
      </c>
      <c r="E798" s="34">
        <v>77</v>
      </c>
      <c r="F798" s="34">
        <v>728</v>
      </c>
      <c r="G798" s="17">
        <f t="shared" si="48"/>
        <v>0.88049450549450547</v>
      </c>
    </row>
    <row r="799" spans="1:7" x14ac:dyDescent="0.3">
      <c r="A799" s="14">
        <v>36</v>
      </c>
      <c r="B799" s="15">
        <v>204</v>
      </c>
      <c r="C799" s="16" t="s">
        <v>755</v>
      </c>
      <c r="D799" s="36">
        <v>177</v>
      </c>
      <c r="E799" s="34">
        <v>26</v>
      </c>
      <c r="F799" s="34">
        <v>232</v>
      </c>
      <c r="G799" s="17">
        <f t="shared" si="48"/>
        <v>0.875</v>
      </c>
    </row>
    <row r="800" spans="1:7" x14ac:dyDescent="0.3">
      <c r="A800" s="14">
        <v>36</v>
      </c>
      <c r="B800" s="15">
        <v>140</v>
      </c>
      <c r="C800" s="16" t="s">
        <v>759</v>
      </c>
      <c r="D800" s="36">
        <v>426</v>
      </c>
      <c r="E800" s="34">
        <v>86</v>
      </c>
      <c r="F800" s="34">
        <v>616</v>
      </c>
      <c r="G800" s="17">
        <f t="shared" si="48"/>
        <v>0.83116883116883122</v>
      </c>
    </row>
    <row r="801" spans="1:7" x14ac:dyDescent="0.3">
      <c r="A801" s="14">
        <v>36</v>
      </c>
      <c r="B801" s="15">
        <v>262</v>
      </c>
      <c r="C801" s="16" t="s">
        <v>483</v>
      </c>
      <c r="D801" s="36">
        <v>348</v>
      </c>
      <c r="E801" s="34">
        <v>57</v>
      </c>
      <c r="F801" s="34">
        <v>491</v>
      </c>
      <c r="G801" s="17">
        <f t="shared" si="48"/>
        <v>0.82484725050916496</v>
      </c>
    </row>
    <row r="802" spans="1:7" x14ac:dyDescent="0.3">
      <c r="A802" s="14">
        <v>36</v>
      </c>
      <c r="B802" s="15">
        <v>276</v>
      </c>
      <c r="C802" s="16" t="s">
        <v>461</v>
      </c>
      <c r="D802" s="36">
        <v>212</v>
      </c>
      <c r="E802" s="34">
        <v>34</v>
      </c>
      <c r="F802" s="34">
        <v>302</v>
      </c>
      <c r="G802" s="17">
        <f t="shared" si="48"/>
        <v>0.81456953642384111</v>
      </c>
    </row>
    <row r="803" spans="1:7" x14ac:dyDescent="0.3">
      <c r="A803" s="14">
        <v>36</v>
      </c>
      <c r="B803" s="15">
        <v>220</v>
      </c>
      <c r="C803" s="16" t="s">
        <v>757</v>
      </c>
      <c r="D803" s="36">
        <v>269</v>
      </c>
      <c r="E803" s="34">
        <v>59</v>
      </c>
      <c r="F803" s="34">
        <v>413</v>
      </c>
      <c r="G803" s="17">
        <f t="shared" si="48"/>
        <v>0.79418886198547212</v>
      </c>
    </row>
    <row r="804" spans="1:7" x14ac:dyDescent="0.3">
      <c r="A804" s="14">
        <v>36</v>
      </c>
      <c r="B804" s="15">
        <v>404</v>
      </c>
      <c r="C804" s="16" t="s">
        <v>745</v>
      </c>
      <c r="D804" s="36">
        <v>355</v>
      </c>
      <c r="E804" s="34">
        <v>54</v>
      </c>
      <c r="F804" s="34">
        <v>541</v>
      </c>
      <c r="G804" s="17">
        <f t="shared" si="48"/>
        <v>0.75600739371534198</v>
      </c>
    </row>
    <row r="805" spans="1:7" x14ac:dyDescent="0.3">
      <c r="A805" s="14">
        <v>36</v>
      </c>
      <c r="B805" s="15">
        <v>288</v>
      </c>
      <c r="C805" s="16" t="s">
        <v>555</v>
      </c>
      <c r="D805" s="36">
        <v>305</v>
      </c>
      <c r="E805" s="34">
        <v>54</v>
      </c>
      <c r="F805" s="34">
        <v>540</v>
      </c>
      <c r="G805" s="17">
        <f t="shared" si="48"/>
        <v>0.66481481481481486</v>
      </c>
    </row>
    <row r="806" spans="1:7" x14ac:dyDescent="0.3">
      <c r="A806" s="14">
        <v>36</v>
      </c>
      <c r="B806" s="15">
        <v>750</v>
      </c>
      <c r="C806" s="16" t="s">
        <v>208</v>
      </c>
      <c r="D806" s="36">
        <v>268</v>
      </c>
      <c r="E806" s="34">
        <v>91</v>
      </c>
      <c r="F806" s="34">
        <v>550</v>
      </c>
      <c r="G806" s="17">
        <f t="shared" si="48"/>
        <v>0.65272727272727271</v>
      </c>
    </row>
    <row r="807" spans="1:7" x14ac:dyDescent="0.3">
      <c r="A807" s="14">
        <v>36</v>
      </c>
      <c r="B807" s="15">
        <v>224</v>
      </c>
      <c r="C807" s="16" t="s">
        <v>758</v>
      </c>
      <c r="D807" s="36">
        <v>249</v>
      </c>
      <c r="E807" s="34">
        <v>58</v>
      </c>
      <c r="F807" s="34">
        <v>495</v>
      </c>
      <c r="G807" s="17">
        <f t="shared" si="48"/>
        <v>0.6202020202020202</v>
      </c>
    </row>
    <row r="808" spans="1:7" x14ac:dyDescent="0.3">
      <c r="A808" s="52" t="s">
        <v>335</v>
      </c>
      <c r="B808" s="15">
        <v>300</v>
      </c>
      <c r="C808" s="16" t="s">
        <v>889</v>
      </c>
      <c r="D808" s="36">
        <v>133</v>
      </c>
      <c r="E808" s="34">
        <v>33</v>
      </c>
      <c r="F808" s="34">
        <v>335</v>
      </c>
      <c r="G808" s="17">
        <f t="shared" si="48"/>
        <v>0.4955223880597015</v>
      </c>
    </row>
    <row r="809" spans="1:7" x14ac:dyDescent="0.3">
      <c r="A809" s="14">
        <v>36</v>
      </c>
      <c r="B809" s="15">
        <v>716</v>
      </c>
      <c r="C809" s="16" t="s">
        <v>210</v>
      </c>
      <c r="D809" s="36">
        <v>941</v>
      </c>
      <c r="E809" s="34">
        <v>230</v>
      </c>
      <c r="F809" s="34">
        <v>2525</v>
      </c>
      <c r="G809" s="17">
        <f t="shared" si="48"/>
        <v>0.46376237623762379</v>
      </c>
    </row>
    <row r="810" spans="1:7" x14ac:dyDescent="0.3">
      <c r="A810" s="14">
        <v>36</v>
      </c>
      <c r="B810" s="15">
        <v>704</v>
      </c>
      <c r="C810" s="39" t="s">
        <v>337</v>
      </c>
      <c r="D810" s="36">
        <v>798</v>
      </c>
      <c r="E810" s="34">
        <v>134</v>
      </c>
      <c r="F810" s="34">
        <v>2042</v>
      </c>
      <c r="G810" s="17">
        <f t="shared" si="48"/>
        <v>0.45641527913809993</v>
      </c>
    </row>
    <row r="811" spans="1:7" x14ac:dyDescent="0.3">
      <c r="A811" s="14">
        <v>36</v>
      </c>
      <c r="B811" s="15">
        <v>136</v>
      </c>
      <c r="C811" s="16" t="s">
        <v>748</v>
      </c>
      <c r="D811" s="36">
        <v>147</v>
      </c>
      <c r="E811" s="34">
        <v>41</v>
      </c>
      <c r="F811" s="34">
        <v>448</v>
      </c>
      <c r="G811" s="17">
        <f t="shared" si="48"/>
        <v>0.41964285714285715</v>
      </c>
    </row>
    <row r="812" spans="1:7" x14ac:dyDescent="0.3">
      <c r="A812" s="14">
        <v>36</v>
      </c>
      <c r="B812" s="15">
        <v>416</v>
      </c>
      <c r="C812" s="16" t="s">
        <v>340</v>
      </c>
      <c r="D812" s="36">
        <v>170</v>
      </c>
      <c r="E812" s="34">
        <v>26</v>
      </c>
      <c r="F812" s="34">
        <v>518</v>
      </c>
      <c r="G812" s="17">
        <f t="shared" si="48"/>
        <v>0.3783783783783784</v>
      </c>
    </row>
    <row r="813" spans="1:7" x14ac:dyDescent="0.3">
      <c r="A813" s="14">
        <v>36</v>
      </c>
      <c r="B813" s="15">
        <v>708</v>
      </c>
      <c r="C813" s="16" t="s">
        <v>339</v>
      </c>
      <c r="D813" s="36">
        <v>473</v>
      </c>
      <c r="E813" s="34">
        <v>81</v>
      </c>
      <c r="F813" s="34">
        <v>1568</v>
      </c>
      <c r="G813" s="17">
        <f t="shared" si="48"/>
        <v>0.35331632653061223</v>
      </c>
    </row>
    <row r="814" spans="1:7" x14ac:dyDescent="0.3">
      <c r="A814" s="14">
        <v>36</v>
      </c>
      <c r="B814" s="15">
        <v>176</v>
      </c>
      <c r="C814" s="16" t="s">
        <v>751</v>
      </c>
      <c r="D814" s="36">
        <v>120</v>
      </c>
      <c r="E814" s="34">
        <v>24</v>
      </c>
      <c r="F814" s="34">
        <v>416</v>
      </c>
      <c r="G814" s="17">
        <f t="shared" si="48"/>
        <v>0.34615384615384615</v>
      </c>
    </row>
    <row r="815" spans="1:7" x14ac:dyDescent="0.3">
      <c r="A815" s="14">
        <v>36</v>
      </c>
      <c r="B815" s="15">
        <v>408</v>
      </c>
      <c r="C815" s="16" t="s">
        <v>336</v>
      </c>
      <c r="D815" s="36">
        <v>190</v>
      </c>
      <c r="E815" s="34">
        <v>23</v>
      </c>
      <c r="F815" s="34">
        <v>640</v>
      </c>
      <c r="G815" s="17">
        <f t="shared" si="48"/>
        <v>0.33281250000000001</v>
      </c>
    </row>
    <row r="816" spans="1:7" x14ac:dyDescent="0.3">
      <c r="A816" s="14">
        <v>36</v>
      </c>
      <c r="B816" s="15">
        <v>180</v>
      </c>
      <c r="C816" s="16" t="s">
        <v>752</v>
      </c>
      <c r="D816" s="36">
        <v>114</v>
      </c>
      <c r="E816" s="34">
        <v>33</v>
      </c>
      <c r="F816" s="34">
        <v>545</v>
      </c>
      <c r="G816" s="17">
        <f t="shared" si="48"/>
        <v>0.26972477064220185</v>
      </c>
    </row>
    <row r="817" spans="1:7" x14ac:dyDescent="0.3">
      <c r="A817" s="14">
        <v>36</v>
      </c>
      <c r="B817" s="15">
        <v>108</v>
      </c>
      <c r="C817" s="16" t="s">
        <v>744</v>
      </c>
      <c r="D817" s="36">
        <v>78</v>
      </c>
      <c r="E817" s="34">
        <v>21</v>
      </c>
      <c r="F817" s="34">
        <v>418</v>
      </c>
      <c r="G817" s="17">
        <f t="shared" si="48"/>
        <v>0.23684210526315788</v>
      </c>
    </row>
    <row r="818" spans="1:7" x14ac:dyDescent="0.3">
      <c r="A818" s="14">
        <v>36</v>
      </c>
      <c r="B818" s="15">
        <v>272</v>
      </c>
      <c r="C818" s="16" t="s">
        <v>462</v>
      </c>
      <c r="D818" s="36">
        <v>84</v>
      </c>
      <c r="E818" s="34">
        <v>12</v>
      </c>
      <c r="F818" s="34">
        <v>424</v>
      </c>
      <c r="G818" s="17">
        <f t="shared" si="48"/>
        <v>0.22641509433962265</v>
      </c>
    </row>
    <row r="819" spans="1:7" x14ac:dyDescent="0.3">
      <c r="A819" s="14">
        <v>36</v>
      </c>
      <c r="B819" s="15">
        <v>184</v>
      </c>
      <c r="C819" s="16" t="s">
        <v>753</v>
      </c>
      <c r="D819" s="36">
        <v>68</v>
      </c>
      <c r="E819" s="34">
        <v>17</v>
      </c>
      <c r="F819" s="34">
        <v>389</v>
      </c>
      <c r="G819" s="17">
        <f t="shared" si="48"/>
        <v>0.21850899742930591</v>
      </c>
    </row>
    <row r="820" spans="1:7" x14ac:dyDescent="0.3">
      <c r="A820" s="14">
        <v>36</v>
      </c>
      <c r="B820" s="15">
        <v>144</v>
      </c>
      <c r="C820" s="16" t="s">
        <v>749</v>
      </c>
      <c r="D820" s="36">
        <v>52</v>
      </c>
      <c r="E820" s="34">
        <v>5</v>
      </c>
      <c r="F820" s="34">
        <v>301</v>
      </c>
      <c r="G820" s="17">
        <f t="shared" si="48"/>
        <v>0.18936877076411959</v>
      </c>
    </row>
    <row r="821" spans="1:7" x14ac:dyDescent="0.3">
      <c r="A821" s="14">
        <v>36</v>
      </c>
      <c r="B821" s="15">
        <v>124</v>
      </c>
      <c r="C821" s="16" t="s">
        <v>746</v>
      </c>
      <c r="D821" s="36">
        <v>71</v>
      </c>
      <c r="E821" s="34">
        <v>19</v>
      </c>
      <c r="F821" s="34">
        <v>488</v>
      </c>
      <c r="G821" s="17">
        <f t="shared" si="48"/>
        <v>0.18442622950819673</v>
      </c>
    </row>
    <row r="822" spans="1:7" x14ac:dyDescent="0.3">
      <c r="A822" s="14">
        <v>36</v>
      </c>
      <c r="B822" s="15">
        <v>268</v>
      </c>
      <c r="C822" s="16" t="s">
        <v>731</v>
      </c>
      <c r="D822" s="36">
        <v>44</v>
      </c>
      <c r="E822" s="34">
        <v>10</v>
      </c>
      <c r="F822" s="34">
        <v>468</v>
      </c>
      <c r="G822" s="17">
        <f t="shared" si="48"/>
        <v>0.11538461538461539</v>
      </c>
    </row>
    <row r="823" spans="1:7" x14ac:dyDescent="0.3">
      <c r="A823" s="14">
        <v>36</v>
      </c>
      <c r="B823" s="15">
        <v>112</v>
      </c>
      <c r="C823" s="16" t="s">
        <v>295</v>
      </c>
      <c r="D823" s="36">
        <v>39</v>
      </c>
      <c r="E823" s="34">
        <v>6</v>
      </c>
      <c r="F823" s="34">
        <v>453</v>
      </c>
      <c r="G823" s="17">
        <f t="shared" si="48"/>
        <v>9.9337748344370855E-2</v>
      </c>
    </row>
    <row r="824" spans="1:7" x14ac:dyDescent="0.3">
      <c r="A824" s="24">
        <v>36</v>
      </c>
      <c r="B824" s="37">
        <v>821</v>
      </c>
      <c r="C824" s="26" t="s">
        <v>204</v>
      </c>
      <c r="D824" s="66">
        <v>0</v>
      </c>
      <c r="E824" s="67">
        <v>2</v>
      </c>
      <c r="F824" s="67">
        <v>32</v>
      </c>
      <c r="G824" s="29">
        <f t="shared" si="48"/>
        <v>6.25E-2</v>
      </c>
    </row>
    <row r="825" spans="1:7" ht="21" thickBot="1" x14ac:dyDescent="0.35">
      <c r="A825" s="61">
        <v>36</v>
      </c>
      <c r="B825" s="61">
        <v>997</v>
      </c>
      <c r="C825" s="63" t="s">
        <v>342</v>
      </c>
      <c r="D825" s="68">
        <v>0</v>
      </c>
      <c r="E825" s="68">
        <v>0</v>
      </c>
      <c r="F825" s="68">
        <v>0</v>
      </c>
      <c r="G825" s="64">
        <v>0</v>
      </c>
    </row>
    <row r="826" spans="1:7" ht="21" thickBot="1" x14ac:dyDescent="0.35">
      <c r="A826" s="18"/>
      <c r="B826" s="19">
        <f>COUNTA(B787:B825)</f>
        <v>39</v>
      </c>
      <c r="C826" s="20" t="s">
        <v>16</v>
      </c>
      <c r="D826" s="21">
        <f>SUM(D787:D825)</f>
        <v>10934</v>
      </c>
      <c r="E826" s="35">
        <f>SUM(E787:E825)</f>
        <v>1813</v>
      </c>
      <c r="F826" s="35">
        <f>SUM(F787:F825)</f>
        <v>22023</v>
      </c>
      <c r="G826" s="22">
        <f t="shared" ref="G826" si="49">+(D826+E826)/F826</f>
        <v>0.57880397765971936</v>
      </c>
    </row>
    <row r="827" spans="1:7" x14ac:dyDescent="0.3">
      <c r="A827" s="24"/>
      <c r="B827" s="25"/>
      <c r="C827" s="26"/>
      <c r="D827" s="31"/>
      <c r="E827" s="28"/>
      <c r="F827" s="28"/>
      <c r="G827" s="29"/>
    </row>
    <row r="828" spans="1:7" x14ac:dyDescent="0.3">
      <c r="A828" s="24"/>
      <c r="B828" s="25"/>
      <c r="C828" s="30" t="s">
        <v>176</v>
      </c>
      <c r="D828" s="31"/>
      <c r="E828" s="28"/>
      <c r="F828" s="28"/>
      <c r="G828" s="29"/>
    </row>
    <row r="829" spans="1:7" x14ac:dyDescent="0.3">
      <c r="A829" s="14">
        <v>37</v>
      </c>
      <c r="B829" s="15">
        <v>151</v>
      </c>
      <c r="C829" s="16" t="s">
        <v>766</v>
      </c>
      <c r="D829" s="36">
        <v>467</v>
      </c>
      <c r="E829" s="34">
        <v>22</v>
      </c>
      <c r="F829" s="34">
        <v>510</v>
      </c>
      <c r="G829" s="17">
        <f t="shared" ref="G829:G848" si="50">+(D829+E829)/F829</f>
        <v>0.95882352941176474</v>
      </c>
    </row>
    <row r="830" spans="1:7" x14ac:dyDescent="0.3">
      <c r="A830" s="14">
        <v>37</v>
      </c>
      <c r="B830" s="15">
        <v>107</v>
      </c>
      <c r="C830" s="16" t="s">
        <v>762</v>
      </c>
      <c r="D830" s="36">
        <v>315</v>
      </c>
      <c r="E830" s="34">
        <v>26</v>
      </c>
      <c r="F830" s="34">
        <v>357</v>
      </c>
      <c r="G830" s="17">
        <f t="shared" si="50"/>
        <v>0.9551820728291317</v>
      </c>
    </row>
    <row r="831" spans="1:7" x14ac:dyDescent="0.3">
      <c r="A831" s="14">
        <v>37</v>
      </c>
      <c r="B831" s="15">
        <v>163</v>
      </c>
      <c r="C831" s="16" t="s">
        <v>769</v>
      </c>
      <c r="D831" s="36">
        <v>462</v>
      </c>
      <c r="E831" s="34">
        <v>36</v>
      </c>
      <c r="F831" s="34">
        <v>528</v>
      </c>
      <c r="G831" s="17">
        <f t="shared" si="50"/>
        <v>0.94318181818181823</v>
      </c>
    </row>
    <row r="832" spans="1:7" x14ac:dyDescent="0.3">
      <c r="A832" s="14">
        <v>37</v>
      </c>
      <c r="B832" s="15">
        <v>179</v>
      </c>
      <c r="C832" s="16" t="s">
        <v>771</v>
      </c>
      <c r="D832" s="36">
        <v>404</v>
      </c>
      <c r="E832" s="34">
        <v>39</v>
      </c>
      <c r="F832" s="34">
        <v>480</v>
      </c>
      <c r="G832" s="17">
        <f t="shared" si="50"/>
        <v>0.92291666666666672</v>
      </c>
    </row>
    <row r="833" spans="1:7" x14ac:dyDescent="0.3">
      <c r="A833" s="14">
        <v>37</v>
      </c>
      <c r="B833" s="15">
        <v>411</v>
      </c>
      <c r="C833" s="16" t="s">
        <v>767</v>
      </c>
      <c r="D833" s="36">
        <v>635</v>
      </c>
      <c r="E833" s="34">
        <v>50</v>
      </c>
      <c r="F833" s="34">
        <v>771</v>
      </c>
      <c r="G833" s="17">
        <f t="shared" si="50"/>
        <v>0.88845654993514911</v>
      </c>
    </row>
    <row r="834" spans="1:7" x14ac:dyDescent="0.3">
      <c r="A834" s="14">
        <v>37</v>
      </c>
      <c r="B834" s="15">
        <v>111</v>
      </c>
      <c r="C834" s="16" t="s">
        <v>763</v>
      </c>
      <c r="D834" s="36">
        <v>328</v>
      </c>
      <c r="E834" s="34">
        <v>22</v>
      </c>
      <c r="F834" s="34">
        <v>415</v>
      </c>
      <c r="G834" s="17">
        <f t="shared" si="50"/>
        <v>0.84337349397590367</v>
      </c>
    </row>
    <row r="835" spans="1:7" x14ac:dyDescent="0.3">
      <c r="A835" s="14">
        <v>37</v>
      </c>
      <c r="B835" s="15">
        <v>103</v>
      </c>
      <c r="C835" s="16" t="s">
        <v>295</v>
      </c>
      <c r="D835" s="36">
        <v>297</v>
      </c>
      <c r="E835" s="34">
        <v>46</v>
      </c>
      <c r="F835" s="34">
        <v>408</v>
      </c>
      <c r="G835" s="17">
        <f t="shared" si="50"/>
        <v>0.84068627450980393</v>
      </c>
    </row>
    <row r="836" spans="1:7" x14ac:dyDescent="0.3">
      <c r="A836" s="14">
        <v>37</v>
      </c>
      <c r="B836" s="15">
        <v>139</v>
      </c>
      <c r="C836" s="16" t="s">
        <v>372</v>
      </c>
      <c r="D836" s="36">
        <v>326</v>
      </c>
      <c r="E836" s="34">
        <v>56</v>
      </c>
      <c r="F836" s="34">
        <v>470</v>
      </c>
      <c r="G836" s="17">
        <f t="shared" si="50"/>
        <v>0.81276595744680846</v>
      </c>
    </row>
    <row r="837" spans="1:7" x14ac:dyDescent="0.3">
      <c r="A837" s="14">
        <v>37</v>
      </c>
      <c r="B837" s="15">
        <v>119</v>
      </c>
      <c r="C837" s="16" t="s">
        <v>764</v>
      </c>
      <c r="D837" s="36">
        <v>434</v>
      </c>
      <c r="E837" s="34">
        <v>64</v>
      </c>
      <c r="F837" s="34">
        <v>618</v>
      </c>
      <c r="G837" s="17">
        <f t="shared" si="50"/>
        <v>0.80582524271844658</v>
      </c>
    </row>
    <row r="838" spans="1:7" x14ac:dyDescent="0.3">
      <c r="A838" s="14">
        <v>37</v>
      </c>
      <c r="B838" s="15">
        <v>409</v>
      </c>
      <c r="C838" s="16" t="s">
        <v>334</v>
      </c>
      <c r="D838" s="36">
        <v>633</v>
      </c>
      <c r="E838" s="34">
        <v>106</v>
      </c>
      <c r="F838" s="34">
        <v>926</v>
      </c>
      <c r="G838" s="17">
        <f t="shared" si="50"/>
        <v>0.79805615550755937</v>
      </c>
    </row>
    <row r="839" spans="1:7" x14ac:dyDescent="0.3">
      <c r="A839" s="14">
        <v>37</v>
      </c>
      <c r="B839" s="15">
        <v>123</v>
      </c>
      <c r="C839" s="16" t="s">
        <v>275</v>
      </c>
      <c r="D839" s="36">
        <v>237</v>
      </c>
      <c r="E839" s="34">
        <v>42</v>
      </c>
      <c r="F839" s="34">
        <v>376</v>
      </c>
      <c r="G839" s="17">
        <f t="shared" si="50"/>
        <v>0.74202127659574468</v>
      </c>
    </row>
    <row r="840" spans="1:7" x14ac:dyDescent="0.3">
      <c r="A840" s="14">
        <v>37</v>
      </c>
      <c r="B840" s="15">
        <v>131</v>
      </c>
      <c r="C840" s="16" t="s">
        <v>765</v>
      </c>
      <c r="D840" s="36">
        <v>233</v>
      </c>
      <c r="E840" s="34">
        <v>43</v>
      </c>
      <c r="F840" s="34">
        <v>396</v>
      </c>
      <c r="G840" s="17">
        <f t="shared" si="50"/>
        <v>0.69696969696969702</v>
      </c>
    </row>
    <row r="841" spans="1:7" x14ac:dyDescent="0.3">
      <c r="A841" s="14">
        <v>37</v>
      </c>
      <c r="B841" s="15">
        <v>167</v>
      </c>
      <c r="C841" s="16" t="s">
        <v>770</v>
      </c>
      <c r="D841" s="36">
        <v>245</v>
      </c>
      <c r="E841" s="34">
        <v>27</v>
      </c>
      <c r="F841" s="34">
        <v>421</v>
      </c>
      <c r="G841" s="17">
        <f t="shared" si="50"/>
        <v>0.64608076009501192</v>
      </c>
    </row>
    <row r="842" spans="1:7" x14ac:dyDescent="0.3">
      <c r="A842" s="14">
        <v>37</v>
      </c>
      <c r="B842" s="15">
        <v>415</v>
      </c>
      <c r="C842" s="16" t="s">
        <v>768</v>
      </c>
      <c r="D842" s="36">
        <v>516</v>
      </c>
      <c r="E842" s="34">
        <v>68</v>
      </c>
      <c r="F842" s="34">
        <v>932</v>
      </c>
      <c r="G842" s="17">
        <f t="shared" si="50"/>
        <v>0.62660944206008584</v>
      </c>
    </row>
    <row r="843" spans="1:7" x14ac:dyDescent="0.3">
      <c r="A843" s="14">
        <v>37</v>
      </c>
      <c r="B843" s="15">
        <v>176</v>
      </c>
      <c r="C843" s="16" t="s">
        <v>851</v>
      </c>
      <c r="D843" s="36">
        <v>194</v>
      </c>
      <c r="E843" s="34">
        <v>35</v>
      </c>
      <c r="F843" s="34">
        <v>394</v>
      </c>
      <c r="G843" s="17">
        <f t="shared" si="50"/>
        <v>0.58121827411167515</v>
      </c>
    </row>
    <row r="844" spans="1:7" x14ac:dyDescent="0.3">
      <c r="A844" s="14">
        <v>37</v>
      </c>
      <c r="B844" s="15">
        <v>183</v>
      </c>
      <c r="C844" s="16" t="s">
        <v>462</v>
      </c>
      <c r="D844" s="36">
        <v>176</v>
      </c>
      <c r="E844" s="34">
        <v>26</v>
      </c>
      <c r="F844" s="34">
        <v>362</v>
      </c>
      <c r="G844" s="17">
        <f t="shared" si="50"/>
        <v>0.55801104972375692</v>
      </c>
    </row>
    <row r="845" spans="1:7" x14ac:dyDescent="0.3">
      <c r="A845" s="14">
        <v>37</v>
      </c>
      <c r="B845" s="15">
        <v>729</v>
      </c>
      <c r="C845" s="16" t="s">
        <v>179</v>
      </c>
      <c r="D845" s="36">
        <v>161</v>
      </c>
      <c r="E845" s="34">
        <v>12</v>
      </c>
      <c r="F845" s="34">
        <v>314</v>
      </c>
      <c r="G845" s="17">
        <f t="shared" si="50"/>
        <v>0.55095541401273884</v>
      </c>
    </row>
    <row r="846" spans="1:7" x14ac:dyDescent="0.3">
      <c r="A846" s="14">
        <v>37</v>
      </c>
      <c r="B846" s="15">
        <v>703</v>
      </c>
      <c r="C846" s="16" t="s">
        <v>177</v>
      </c>
      <c r="D846" s="36">
        <v>469</v>
      </c>
      <c r="E846" s="34">
        <v>111</v>
      </c>
      <c r="F846" s="34">
        <v>1067</v>
      </c>
      <c r="G846" s="17">
        <f t="shared" si="50"/>
        <v>0.54358013120899717</v>
      </c>
    </row>
    <row r="847" spans="1:7" x14ac:dyDescent="0.3">
      <c r="A847" s="14">
        <v>37</v>
      </c>
      <c r="B847" s="15">
        <v>707</v>
      </c>
      <c r="C847" s="16" t="s">
        <v>178</v>
      </c>
      <c r="D847" s="36">
        <v>454</v>
      </c>
      <c r="E847" s="34">
        <v>58</v>
      </c>
      <c r="F847" s="34">
        <v>1167</v>
      </c>
      <c r="G847" s="17">
        <f t="shared" si="50"/>
        <v>0.43873179091688091</v>
      </c>
    </row>
    <row r="848" spans="1:7" ht="21" thickBot="1" x14ac:dyDescent="0.35">
      <c r="A848" s="14">
        <v>37</v>
      </c>
      <c r="B848" s="15">
        <v>174</v>
      </c>
      <c r="C848" s="16" t="s">
        <v>772</v>
      </c>
      <c r="D848" s="36">
        <v>136</v>
      </c>
      <c r="E848" s="34">
        <v>23</v>
      </c>
      <c r="F848" s="34">
        <v>540</v>
      </c>
      <c r="G848" s="17">
        <f t="shared" si="50"/>
        <v>0.29444444444444445</v>
      </c>
    </row>
    <row r="849" spans="1:7" ht="21" thickBot="1" x14ac:dyDescent="0.35">
      <c r="A849" s="18"/>
      <c r="B849" s="19">
        <f>COUNTA(B829:B848)</f>
        <v>20</v>
      </c>
      <c r="C849" s="20" t="s">
        <v>16</v>
      </c>
      <c r="D849" s="21">
        <f>SUM(D829:D848)</f>
        <v>7122</v>
      </c>
      <c r="E849" s="35">
        <f>SUM(E829:E848)</f>
        <v>912</v>
      </c>
      <c r="F849" s="35">
        <f>SUM(F829:F848)</f>
        <v>11452</v>
      </c>
      <c r="G849" s="22">
        <f t="shared" ref="G849" si="51">+(D849+E849)/F849</f>
        <v>0.70153684945860983</v>
      </c>
    </row>
    <row r="850" spans="1:7" x14ac:dyDescent="0.3">
      <c r="A850" s="24"/>
      <c r="B850" s="25"/>
      <c r="C850" s="26"/>
      <c r="D850" s="31"/>
      <c r="E850" s="28"/>
      <c r="F850" s="28"/>
      <c r="G850" s="29"/>
    </row>
    <row r="851" spans="1:7" x14ac:dyDescent="0.3">
      <c r="A851" s="24"/>
      <c r="B851" s="25"/>
      <c r="C851" s="30" t="s">
        <v>180</v>
      </c>
      <c r="D851" s="31"/>
      <c r="E851" s="28"/>
      <c r="F851" s="28"/>
      <c r="G851" s="29"/>
    </row>
    <row r="852" spans="1:7" x14ac:dyDescent="0.3">
      <c r="A852" s="14">
        <v>38</v>
      </c>
      <c r="B852" s="15">
        <v>103</v>
      </c>
      <c r="C852" s="16" t="s">
        <v>886</v>
      </c>
      <c r="D852" s="36">
        <v>301</v>
      </c>
      <c r="E852" s="34">
        <v>35</v>
      </c>
      <c r="F852" s="34">
        <v>373</v>
      </c>
      <c r="G852" s="17">
        <f t="shared" ref="G852:G870" si="52">+(D852+E852)/F852</f>
        <v>0.90080428954423597</v>
      </c>
    </row>
    <row r="853" spans="1:7" x14ac:dyDescent="0.3">
      <c r="A853" s="14">
        <v>38</v>
      </c>
      <c r="B853" s="15">
        <v>104</v>
      </c>
      <c r="C853" s="16" t="s">
        <v>750</v>
      </c>
      <c r="D853" s="36">
        <v>311</v>
      </c>
      <c r="E853" s="34">
        <v>44</v>
      </c>
      <c r="F853" s="34">
        <v>433</v>
      </c>
      <c r="G853" s="17">
        <f t="shared" si="52"/>
        <v>0.81986143187066973</v>
      </c>
    </row>
    <row r="854" spans="1:7" x14ac:dyDescent="0.3">
      <c r="A854" s="14">
        <v>38</v>
      </c>
      <c r="B854" s="15">
        <v>128</v>
      </c>
      <c r="C854" s="16" t="s">
        <v>780</v>
      </c>
      <c r="D854" s="36">
        <v>358</v>
      </c>
      <c r="E854" s="34">
        <v>61</v>
      </c>
      <c r="F854" s="34">
        <v>514</v>
      </c>
      <c r="G854" s="17">
        <f t="shared" si="52"/>
        <v>0.81517509727626458</v>
      </c>
    </row>
    <row r="855" spans="1:7" x14ac:dyDescent="0.3">
      <c r="A855" s="14">
        <v>38</v>
      </c>
      <c r="B855" s="15">
        <v>123</v>
      </c>
      <c r="C855" s="16" t="s">
        <v>778</v>
      </c>
      <c r="D855" s="36">
        <v>325</v>
      </c>
      <c r="E855" s="34">
        <v>52</v>
      </c>
      <c r="F855" s="34">
        <v>483</v>
      </c>
      <c r="G855" s="17">
        <f t="shared" si="52"/>
        <v>0.78053830227743271</v>
      </c>
    </row>
    <row r="856" spans="1:7" x14ac:dyDescent="0.3">
      <c r="A856" s="14">
        <v>38</v>
      </c>
      <c r="B856" s="15">
        <v>100</v>
      </c>
      <c r="C856" s="16" t="s">
        <v>773</v>
      </c>
      <c r="D856" s="36">
        <v>220</v>
      </c>
      <c r="E856" s="34">
        <v>80</v>
      </c>
      <c r="F856" s="34">
        <v>479</v>
      </c>
      <c r="G856" s="17">
        <f t="shared" si="52"/>
        <v>0.62630480167014613</v>
      </c>
    </row>
    <row r="857" spans="1:7" x14ac:dyDescent="0.3">
      <c r="A857" s="14">
        <v>38</v>
      </c>
      <c r="B857" s="15">
        <v>124</v>
      </c>
      <c r="C857" s="16" t="s">
        <v>779</v>
      </c>
      <c r="D857" s="36">
        <v>214</v>
      </c>
      <c r="E857" s="34">
        <v>62</v>
      </c>
      <c r="F857" s="34">
        <v>442</v>
      </c>
      <c r="G857" s="17">
        <f t="shared" si="52"/>
        <v>0.6244343891402715</v>
      </c>
    </row>
    <row r="858" spans="1:7" x14ac:dyDescent="0.3">
      <c r="A858" s="14">
        <v>38</v>
      </c>
      <c r="B858" s="15">
        <v>120</v>
      </c>
      <c r="C858" s="16" t="s">
        <v>776</v>
      </c>
      <c r="D858" s="36">
        <v>191</v>
      </c>
      <c r="E858" s="34">
        <v>37</v>
      </c>
      <c r="F858" s="34">
        <v>376</v>
      </c>
      <c r="G858" s="17">
        <f t="shared" si="52"/>
        <v>0.6063829787234043</v>
      </c>
    </row>
    <row r="859" spans="1:7" x14ac:dyDescent="0.3">
      <c r="A859" s="14">
        <v>38</v>
      </c>
      <c r="B859" s="15">
        <v>408</v>
      </c>
      <c r="C859" s="16" t="s">
        <v>182</v>
      </c>
      <c r="D859" s="36">
        <v>385</v>
      </c>
      <c r="E859" s="34">
        <v>92</v>
      </c>
      <c r="F859" s="34">
        <v>835</v>
      </c>
      <c r="G859" s="17">
        <f t="shared" si="52"/>
        <v>0.57125748502994012</v>
      </c>
    </row>
    <row r="860" spans="1:7" x14ac:dyDescent="0.3">
      <c r="A860" s="14">
        <v>38</v>
      </c>
      <c r="B860" s="15">
        <v>118</v>
      </c>
      <c r="C860" s="16" t="s">
        <v>714</v>
      </c>
      <c r="D860" s="36">
        <v>197</v>
      </c>
      <c r="E860" s="34">
        <v>74</v>
      </c>
      <c r="F860" s="34">
        <v>581</v>
      </c>
      <c r="G860" s="17">
        <f t="shared" si="52"/>
        <v>0.46643717728055079</v>
      </c>
    </row>
    <row r="861" spans="1:7" x14ac:dyDescent="0.3">
      <c r="A861" s="14">
        <v>38</v>
      </c>
      <c r="B861" s="15">
        <v>404</v>
      </c>
      <c r="C861" s="16" t="s">
        <v>181</v>
      </c>
      <c r="D861" s="36">
        <v>368</v>
      </c>
      <c r="E861" s="34">
        <v>67</v>
      </c>
      <c r="F861" s="34">
        <v>996</v>
      </c>
      <c r="G861" s="17">
        <f t="shared" si="52"/>
        <v>0.43674698795180722</v>
      </c>
    </row>
    <row r="862" spans="1:7" x14ac:dyDescent="0.3">
      <c r="A862" s="14">
        <v>38</v>
      </c>
      <c r="B862" s="15">
        <v>730</v>
      </c>
      <c r="C862" s="16" t="s">
        <v>185</v>
      </c>
      <c r="D862" s="36">
        <v>135</v>
      </c>
      <c r="E862" s="34">
        <v>21</v>
      </c>
      <c r="F862" s="34">
        <v>328</v>
      </c>
      <c r="G862" s="17">
        <v>0.48670000000000002</v>
      </c>
    </row>
    <row r="863" spans="1:7" x14ac:dyDescent="0.3">
      <c r="A863" s="14">
        <v>38</v>
      </c>
      <c r="B863" s="15">
        <v>134</v>
      </c>
      <c r="C863" s="16" t="s">
        <v>781</v>
      </c>
      <c r="D863" s="36">
        <v>217</v>
      </c>
      <c r="E863" s="34">
        <v>69</v>
      </c>
      <c r="F863" s="34">
        <v>737</v>
      </c>
      <c r="G863" s="17">
        <f t="shared" si="52"/>
        <v>0.38805970149253732</v>
      </c>
    </row>
    <row r="864" spans="1:7" x14ac:dyDescent="0.3">
      <c r="A864" s="14">
        <v>38</v>
      </c>
      <c r="B864" s="15">
        <v>122</v>
      </c>
      <c r="C864" s="16" t="s">
        <v>777</v>
      </c>
      <c r="D864" s="36">
        <v>155</v>
      </c>
      <c r="E864" s="34">
        <v>46</v>
      </c>
      <c r="F864" s="34">
        <v>529</v>
      </c>
      <c r="G864" s="17">
        <f t="shared" si="52"/>
        <v>0.37996219281663518</v>
      </c>
    </row>
    <row r="865" spans="1:10" x14ac:dyDescent="0.3">
      <c r="A865" s="14">
        <v>38</v>
      </c>
      <c r="B865" s="15">
        <v>704</v>
      </c>
      <c r="C865" s="16" t="s">
        <v>183</v>
      </c>
      <c r="D865" s="36">
        <v>441</v>
      </c>
      <c r="E865" s="34">
        <v>173</v>
      </c>
      <c r="F865" s="34">
        <v>1682</v>
      </c>
      <c r="G865" s="17">
        <f t="shared" si="52"/>
        <v>0.36504161712247324</v>
      </c>
    </row>
    <row r="866" spans="1:10" x14ac:dyDescent="0.3">
      <c r="A866" s="14">
        <v>38</v>
      </c>
      <c r="B866" s="15">
        <v>102</v>
      </c>
      <c r="C866" s="16" t="s">
        <v>775</v>
      </c>
      <c r="D866" s="36">
        <v>138</v>
      </c>
      <c r="E866" s="34">
        <v>27</v>
      </c>
      <c r="F866" s="34">
        <v>493</v>
      </c>
      <c r="G866" s="17">
        <f t="shared" si="52"/>
        <v>0.33468559837728196</v>
      </c>
      <c r="J866" s="23" t="s">
        <v>918</v>
      </c>
    </row>
    <row r="867" spans="1:10" x14ac:dyDescent="0.3">
      <c r="A867" s="14">
        <v>38</v>
      </c>
      <c r="B867" s="15">
        <v>132</v>
      </c>
      <c r="C867" s="16" t="s">
        <v>462</v>
      </c>
      <c r="D867" s="36">
        <v>175</v>
      </c>
      <c r="E867" s="34">
        <v>57</v>
      </c>
      <c r="F867" s="34">
        <v>720</v>
      </c>
      <c r="G867" s="17">
        <f t="shared" si="52"/>
        <v>0.32222222222222224</v>
      </c>
    </row>
    <row r="868" spans="1:10" x14ac:dyDescent="0.3">
      <c r="A868" s="14">
        <v>38</v>
      </c>
      <c r="B868" s="15">
        <v>712</v>
      </c>
      <c r="C868" s="16" t="s">
        <v>184</v>
      </c>
      <c r="D868" s="36">
        <v>400</v>
      </c>
      <c r="E868" s="34">
        <v>131</v>
      </c>
      <c r="F868" s="34">
        <v>1936</v>
      </c>
      <c r="G868" s="17">
        <f t="shared" si="52"/>
        <v>0.27427685950413222</v>
      </c>
    </row>
    <row r="869" spans="1:10" ht="21" thickBot="1" x14ac:dyDescent="0.35">
      <c r="A869" s="14">
        <v>38</v>
      </c>
      <c r="B869" s="15">
        <v>101</v>
      </c>
      <c r="C869" s="16" t="s">
        <v>774</v>
      </c>
      <c r="D869" s="36">
        <v>60</v>
      </c>
      <c r="E869" s="34">
        <v>20</v>
      </c>
      <c r="F869" s="34">
        <v>421</v>
      </c>
      <c r="G869" s="17">
        <f t="shared" si="52"/>
        <v>0.19002375296912113</v>
      </c>
    </row>
    <row r="870" spans="1:10" ht="21" thickBot="1" x14ac:dyDescent="0.35">
      <c r="A870" s="18"/>
      <c r="B870" s="19">
        <f>COUNTA(B852:B869)</f>
        <v>18</v>
      </c>
      <c r="C870" s="20" t="s">
        <v>16</v>
      </c>
      <c r="D870" s="21">
        <f>SUM(D852:D869)</f>
        <v>4591</v>
      </c>
      <c r="E870" s="35">
        <f>SUM(E852:E869)</f>
        <v>1148</v>
      </c>
      <c r="F870" s="35">
        <f>SUM(F852:F869)</f>
        <v>12358</v>
      </c>
      <c r="G870" s="22">
        <f t="shared" si="52"/>
        <v>0.46439553325780869</v>
      </c>
    </row>
    <row r="871" spans="1:10" x14ac:dyDescent="0.3">
      <c r="A871" s="24"/>
      <c r="B871" s="25"/>
      <c r="C871" s="26"/>
      <c r="D871" s="31"/>
      <c r="E871" s="28"/>
      <c r="F871" s="28"/>
      <c r="G871" s="29"/>
    </row>
    <row r="872" spans="1:10" x14ac:dyDescent="0.3">
      <c r="A872" s="24"/>
      <c r="B872" s="25"/>
      <c r="C872" s="30" t="s">
        <v>186</v>
      </c>
      <c r="D872" s="31"/>
      <c r="E872" s="28"/>
      <c r="F872" s="28"/>
      <c r="G872" s="29"/>
    </row>
    <row r="873" spans="1:10" x14ac:dyDescent="0.3">
      <c r="A873" s="14">
        <v>39</v>
      </c>
      <c r="B873" s="15">
        <v>110</v>
      </c>
      <c r="C873" s="16" t="s">
        <v>782</v>
      </c>
      <c r="D873" s="36">
        <v>293</v>
      </c>
      <c r="E873" s="34">
        <v>64</v>
      </c>
      <c r="F873" s="34">
        <v>445</v>
      </c>
      <c r="G873" s="17">
        <f t="shared" ref="G873:G880" si="53">+(D873+E873)/F873</f>
        <v>0.80224719101123598</v>
      </c>
    </row>
    <row r="874" spans="1:10" x14ac:dyDescent="0.3">
      <c r="A874" s="14">
        <v>39</v>
      </c>
      <c r="B874" s="15">
        <v>104</v>
      </c>
      <c r="C874" s="16" t="s">
        <v>389</v>
      </c>
      <c r="D874" s="36">
        <v>214</v>
      </c>
      <c r="E874" s="34">
        <v>38</v>
      </c>
      <c r="F874" s="34">
        <v>325</v>
      </c>
      <c r="G874" s="17">
        <f t="shared" si="53"/>
        <v>0.77538461538461534</v>
      </c>
    </row>
    <row r="875" spans="1:10" x14ac:dyDescent="0.3">
      <c r="A875" s="14">
        <v>39</v>
      </c>
      <c r="B875" s="15">
        <v>112</v>
      </c>
      <c r="C875" s="16" t="s">
        <v>783</v>
      </c>
      <c r="D875" s="36">
        <v>171</v>
      </c>
      <c r="E875" s="34">
        <v>64</v>
      </c>
      <c r="F875" s="34">
        <v>313</v>
      </c>
      <c r="G875" s="17">
        <f t="shared" si="53"/>
        <v>0.75079872204472842</v>
      </c>
    </row>
    <row r="876" spans="1:10" x14ac:dyDescent="0.3">
      <c r="A876" s="14">
        <v>39</v>
      </c>
      <c r="B876" s="15">
        <v>120</v>
      </c>
      <c r="C876" s="16" t="s">
        <v>784</v>
      </c>
      <c r="D876" s="36">
        <v>285</v>
      </c>
      <c r="E876" s="34">
        <v>96</v>
      </c>
      <c r="F876" s="34">
        <v>573</v>
      </c>
      <c r="G876" s="17">
        <f t="shared" si="53"/>
        <v>0.66492146596858637</v>
      </c>
    </row>
    <row r="877" spans="1:10" x14ac:dyDescent="0.3">
      <c r="A877" s="14">
        <v>39</v>
      </c>
      <c r="B877" s="15">
        <v>404</v>
      </c>
      <c r="C877" s="16" t="s">
        <v>187</v>
      </c>
      <c r="D877" s="36">
        <v>557</v>
      </c>
      <c r="E877" s="34">
        <v>168</v>
      </c>
      <c r="F877" s="34">
        <v>1314</v>
      </c>
      <c r="G877" s="17">
        <f t="shared" si="53"/>
        <v>0.5517503805175038</v>
      </c>
    </row>
    <row r="878" spans="1:10" x14ac:dyDescent="0.3">
      <c r="A878" s="14">
        <v>39</v>
      </c>
      <c r="B878" s="15">
        <v>124</v>
      </c>
      <c r="C878" s="16" t="s">
        <v>275</v>
      </c>
      <c r="D878" s="36">
        <v>165</v>
      </c>
      <c r="E878" s="34">
        <v>40</v>
      </c>
      <c r="F878" s="34">
        <v>375</v>
      </c>
      <c r="G878" s="17">
        <f t="shared" si="53"/>
        <v>0.54666666666666663</v>
      </c>
    </row>
    <row r="879" spans="1:10" x14ac:dyDescent="0.3">
      <c r="A879" s="14">
        <v>39</v>
      </c>
      <c r="B879" s="15">
        <v>116</v>
      </c>
      <c r="C879" s="16" t="s">
        <v>632</v>
      </c>
      <c r="D879" s="36">
        <v>137</v>
      </c>
      <c r="E879" s="34">
        <v>50</v>
      </c>
      <c r="F879" s="34">
        <v>428</v>
      </c>
      <c r="G879" s="17">
        <f t="shared" si="53"/>
        <v>0.43691588785046731</v>
      </c>
    </row>
    <row r="880" spans="1:10" ht="21" thickBot="1" x14ac:dyDescent="0.35">
      <c r="A880" s="24">
        <v>39</v>
      </c>
      <c r="B880" s="37">
        <v>704</v>
      </c>
      <c r="C880" s="26" t="s">
        <v>188</v>
      </c>
      <c r="D880" s="36">
        <v>443</v>
      </c>
      <c r="E880" s="34">
        <v>152</v>
      </c>
      <c r="F880" s="34">
        <v>1721</v>
      </c>
      <c r="G880" s="29">
        <f t="shared" si="53"/>
        <v>0.34572922719349214</v>
      </c>
    </row>
    <row r="881" spans="1:7" ht="21" thickBot="1" x14ac:dyDescent="0.35">
      <c r="A881" s="18"/>
      <c r="B881" s="19">
        <f>COUNTA(B873:B880)</f>
        <v>8</v>
      </c>
      <c r="C881" s="20" t="s">
        <v>16</v>
      </c>
      <c r="D881" s="21">
        <f>SUM(D873:D880)</f>
        <v>2265</v>
      </c>
      <c r="E881" s="35">
        <f>SUM(E873:E880)</f>
        <v>672</v>
      </c>
      <c r="F881" s="35">
        <f>SUM(F873:F880)</f>
        <v>5494</v>
      </c>
      <c r="G881" s="22">
        <f t="shared" ref="G881" si="54">+(D881+E881)/F881</f>
        <v>0.53458318165271201</v>
      </c>
    </row>
    <row r="882" spans="1:7" x14ac:dyDescent="0.3">
      <c r="A882" s="24"/>
      <c r="B882" s="25"/>
      <c r="C882" s="26"/>
      <c r="D882" s="31"/>
      <c r="E882" s="28"/>
      <c r="F882" s="28"/>
      <c r="G882" s="29"/>
    </row>
    <row r="883" spans="1:7" x14ac:dyDescent="0.3">
      <c r="A883" s="24"/>
      <c r="B883" s="25"/>
      <c r="C883" s="30" t="s">
        <v>189</v>
      </c>
      <c r="D883" s="31"/>
      <c r="E883" s="28"/>
      <c r="F883" s="28"/>
      <c r="G883" s="29"/>
    </row>
    <row r="884" spans="1:7" x14ac:dyDescent="0.3">
      <c r="A884" s="14">
        <v>40</v>
      </c>
      <c r="B884" s="15">
        <v>116</v>
      </c>
      <c r="C884" s="16" t="s">
        <v>693</v>
      </c>
      <c r="D884" s="36">
        <v>227</v>
      </c>
      <c r="E884" s="34">
        <v>48</v>
      </c>
      <c r="F884" s="34">
        <v>498</v>
      </c>
      <c r="G884" s="17">
        <f t="shared" ref="G884:G893" si="55">+(D884+E884)/F884</f>
        <v>0.55220883534136544</v>
      </c>
    </row>
    <row r="885" spans="1:7" x14ac:dyDescent="0.3">
      <c r="A885" s="14">
        <v>40</v>
      </c>
      <c r="B885" s="15">
        <v>129</v>
      </c>
      <c r="C885" s="16" t="s">
        <v>440</v>
      </c>
      <c r="D885" s="36">
        <v>207</v>
      </c>
      <c r="E885" s="34">
        <v>30</v>
      </c>
      <c r="F885" s="34">
        <v>457</v>
      </c>
      <c r="G885" s="17">
        <f t="shared" si="55"/>
        <v>0.51859956236323856</v>
      </c>
    </row>
    <row r="886" spans="1:7" x14ac:dyDescent="0.3">
      <c r="A886" s="14">
        <v>40</v>
      </c>
      <c r="B886" s="15">
        <v>120</v>
      </c>
      <c r="C886" s="16" t="s">
        <v>738</v>
      </c>
      <c r="D886" s="36">
        <v>98</v>
      </c>
      <c r="E886" s="34">
        <v>38</v>
      </c>
      <c r="F886" s="34">
        <v>328</v>
      </c>
      <c r="G886" s="17">
        <f t="shared" si="55"/>
        <v>0.41463414634146339</v>
      </c>
    </row>
    <row r="887" spans="1:7" x14ac:dyDescent="0.3">
      <c r="A887" s="14">
        <v>40</v>
      </c>
      <c r="B887" s="15">
        <v>404</v>
      </c>
      <c r="C887" s="16" t="s">
        <v>737</v>
      </c>
      <c r="D887" s="36">
        <v>232</v>
      </c>
      <c r="E887" s="34">
        <v>68</v>
      </c>
      <c r="F887" s="34">
        <v>751</v>
      </c>
      <c r="G887" s="17">
        <f t="shared" si="55"/>
        <v>0.39946737683089212</v>
      </c>
    </row>
    <row r="888" spans="1:7" x14ac:dyDescent="0.3">
      <c r="A888" s="14">
        <v>40</v>
      </c>
      <c r="B888" s="15">
        <v>124</v>
      </c>
      <c r="C888" s="16" t="s">
        <v>740</v>
      </c>
      <c r="D888" s="36">
        <v>116</v>
      </c>
      <c r="E888" s="34">
        <v>29</v>
      </c>
      <c r="F888" s="34">
        <v>406</v>
      </c>
      <c r="G888" s="17">
        <f t="shared" si="55"/>
        <v>0.35714285714285715</v>
      </c>
    </row>
    <row r="889" spans="1:7" x14ac:dyDescent="0.3">
      <c r="A889" s="14">
        <v>40</v>
      </c>
      <c r="B889" s="15">
        <v>128</v>
      </c>
      <c r="C889" s="16" t="s">
        <v>739</v>
      </c>
      <c r="D889" s="36">
        <v>73</v>
      </c>
      <c r="E889" s="34">
        <v>42</v>
      </c>
      <c r="F889" s="34">
        <v>358</v>
      </c>
      <c r="G889" s="17">
        <f t="shared" si="55"/>
        <v>0.32122905027932963</v>
      </c>
    </row>
    <row r="890" spans="1:7" x14ac:dyDescent="0.3">
      <c r="A890" s="14">
        <v>40</v>
      </c>
      <c r="B890" s="15">
        <v>130</v>
      </c>
      <c r="C890" s="16" t="s">
        <v>742</v>
      </c>
      <c r="D890" s="36">
        <v>98</v>
      </c>
      <c r="E890" s="34">
        <v>38</v>
      </c>
      <c r="F890" s="34">
        <v>451</v>
      </c>
      <c r="G890" s="17">
        <f t="shared" si="55"/>
        <v>0.30155210643015523</v>
      </c>
    </row>
    <row r="891" spans="1:7" x14ac:dyDescent="0.3">
      <c r="A891" s="24">
        <v>40</v>
      </c>
      <c r="B891" s="37">
        <v>112</v>
      </c>
      <c r="C891" s="26" t="s">
        <v>736</v>
      </c>
      <c r="D891" s="66">
        <v>91</v>
      </c>
      <c r="E891" s="67">
        <v>25</v>
      </c>
      <c r="F891" s="67">
        <v>397</v>
      </c>
      <c r="G891" s="29">
        <f t="shared" si="55"/>
        <v>0.29219143576826195</v>
      </c>
    </row>
    <row r="892" spans="1:7" x14ac:dyDescent="0.3">
      <c r="A892" s="59">
        <v>40</v>
      </c>
      <c r="B892" s="69">
        <v>412</v>
      </c>
      <c r="C892" s="60" t="s">
        <v>741</v>
      </c>
      <c r="D892" s="66">
        <v>163</v>
      </c>
      <c r="E892" s="67">
        <v>44</v>
      </c>
      <c r="F892" s="67">
        <v>741</v>
      </c>
      <c r="G892" s="71">
        <f t="shared" si="55"/>
        <v>0.2793522267206478</v>
      </c>
    </row>
    <row r="893" spans="1:7" ht="21" thickBot="1" x14ac:dyDescent="0.35">
      <c r="A893" s="59">
        <v>40</v>
      </c>
      <c r="B893" s="69">
        <v>704</v>
      </c>
      <c r="C893" s="60" t="s">
        <v>190</v>
      </c>
      <c r="D893" s="66">
        <v>205</v>
      </c>
      <c r="E893" s="67">
        <v>78</v>
      </c>
      <c r="F893" s="67">
        <v>1493</v>
      </c>
      <c r="G893" s="71">
        <f t="shared" si="55"/>
        <v>0.18955123911587407</v>
      </c>
    </row>
    <row r="894" spans="1:7" ht="21" thickBot="1" x14ac:dyDescent="0.35">
      <c r="A894" s="18"/>
      <c r="B894" s="19">
        <f>COUNTA(B884:B893)</f>
        <v>10</v>
      </c>
      <c r="C894" s="20" t="s">
        <v>16</v>
      </c>
      <c r="D894" s="21">
        <f>SUM(D884:D893)</f>
        <v>1510</v>
      </c>
      <c r="E894" s="21">
        <f>SUM(E884:E893)</f>
        <v>440</v>
      </c>
      <c r="F894" s="35">
        <f>SUM(F884:F893)</f>
        <v>5880</v>
      </c>
      <c r="G894" s="22">
        <f t="shared" ref="G894" si="56">+(D894+E894)/F894</f>
        <v>0.33163265306122447</v>
      </c>
    </row>
    <row r="895" spans="1:7" x14ac:dyDescent="0.3">
      <c r="A895" s="24"/>
      <c r="B895" s="25"/>
      <c r="C895" s="26"/>
      <c r="D895" s="31"/>
      <c r="E895" s="28"/>
      <c r="F895" s="28"/>
      <c r="G895" s="29"/>
    </row>
    <row r="896" spans="1:7" x14ac:dyDescent="0.3">
      <c r="A896" s="24"/>
      <c r="B896" s="25"/>
      <c r="C896" s="72" t="s">
        <v>356</v>
      </c>
      <c r="D896" s="31"/>
      <c r="E896" s="28"/>
      <c r="F896" s="28"/>
      <c r="G896" s="29"/>
    </row>
    <row r="897" spans="1:7" x14ac:dyDescent="0.3">
      <c r="A897" s="14">
        <v>42</v>
      </c>
      <c r="B897" s="15">
        <v>140</v>
      </c>
      <c r="C897" s="16" t="s">
        <v>797</v>
      </c>
      <c r="D897" s="36">
        <v>542</v>
      </c>
      <c r="E897" s="34">
        <v>24</v>
      </c>
      <c r="F897" s="34">
        <v>604</v>
      </c>
      <c r="G897" s="17">
        <f t="shared" ref="G897:G939" si="57">+(D897+E897)/F897</f>
        <v>0.9370860927152318</v>
      </c>
    </row>
    <row r="898" spans="1:7" x14ac:dyDescent="0.3">
      <c r="A898" s="14">
        <v>42</v>
      </c>
      <c r="B898" s="15">
        <v>112</v>
      </c>
      <c r="C898" s="16" t="s">
        <v>574</v>
      </c>
      <c r="D898" s="36">
        <v>411</v>
      </c>
      <c r="E898" s="34">
        <v>39</v>
      </c>
      <c r="F898" s="34">
        <v>488</v>
      </c>
      <c r="G898" s="17">
        <f t="shared" si="57"/>
        <v>0.92213114754098358</v>
      </c>
    </row>
    <row r="899" spans="1:7" x14ac:dyDescent="0.3">
      <c r="A899" s="14">
        <v>42</v>
      </c>
      <c r="B899" s="15">
        <v>122</v>
      </c>
      <c r="C899" s="16" t="s">
        <v>792</v>
      </c>
      <c r="D899" s="36">
        <v>436</v>
      </c>
      <c r="E899" s="34">
        <v>45</v>
      </c>
      <c r="F899" s="34">
        <v>600</v>
      </c>
      <c r="G899" s="17">
        <f t="shared" si="57"/>
        <v>0.80166666666666664</v>
      </c>
    </row>
    <row r="900" spans="1:7" x14ac:dyDescent="0.3">
      <c r="A900" s="14">
        <v>42</v>
      </c>
      <c r="B900" s="15">
        <v>156</v>
      </c>
      <c r="C900" s="16" t="s">
        <v>805</v>
      </c>
      <c r="D900" s="36">
        <v>381</v>
      </c>
      <c r="E900" s="34">
        <v>61</v>
      </c>
      <c r="F900" s="34">
        <v>606</v>
      </c>
      <c r="G900" s="17">
        <f t="shared" si="57"/>
        <v>0.72937293729372932</v>
      </c>
    </row>
    <row r="901" spans="1:7" x14ac:dyDescent="0.3">
      <c r="A901" s="14">
        <v>42</v>
      </c>
      <c r="B901" s="15">
        <v>404</v>
      </c>
      <c r="C901" s="16" t="s">
        <v>78</v>
      </c>
      <c r="D901" s="36">
        <v>475</v>
      </c>
      <c r="E901" s="34">
        <v>50</v>
      </c>
      <c r="F901" s="34">
        <v>799</v>
      </c>
      <c r="G901" s="17">
        <f t="shared" si="57"/>
        <v>0.65707133917396743</v>
      </c>
    </row>
    <row r="902" spans="1:7" x14ac:dyDescent="0.3">
      <c r="A902" s="14">
        <v>42</v>
      </c>
      <c r="B902" s="15">
        <v>124</v>
      </c>
      <c r="C902" s="16" t="s">
        <v>775</v>
      </c>
      <c r="D902" s="36">
        <v>216</v>
      </c>
      <c r="E902" s="34">
        <v>68</v>
      </c>
      <c r="F902" s="34">
        <v>462</v>
      </c>
      <c r="G902" s="17">
        <f t="shared" si="57"/>
        <v>0.61471861471861466</v>
      </c>
    </row>
    <row r="903" spans="1:7" x14ac:dyDescent="0.3">
      <c r="A903" s="14">
        <v>42</v>
      </c>
      <c r="B903" s="15">
        <v>144</v>
      </c>
      <c r="C903" s="16" t="s">
        <v>798</v>
      </c>
      <c r="D903" s="36">
        <v>236</v>
      </c>
      <c r="E903" s="34">
        <v>48</v>
      </c>
      <c r="F903" s="34">
        <v>506</v>
      </c>
      <c r="G903" s="17">
        <f t="shared" si="57"/>
        <v>0.56126482213438733</v>
      </c>
    </row>
    <row r="904" spans="1:7" x14ac:dyDescent="0.3">
      <c r="A904" s="14">
        <v>42</v>
      </c>
      <c r="B904" s="15">
        <v>408</v>
      </c>
      <c r="C904" s="16" t="s">
        <v>217</v>
      </c>
      <c r="D904" s="36">
        <v>271</v>
      </c>
      <c r="E904" s="34">
        <v>61</v>
      </c>
      <c r="F904" s="34">
        <v>635</v>
      </c>
      <c r="G904" s="17">
        <f t="shared" si="57"/>
        <v>0.52283464566929139</v>
      </c>
    </row>
    <row r="905" spans="1:7" x14ac:dyDescent="0.3">
      <c r="A905" s="14">
        <v>42</v>
      </c>
      <c r="B905" s="15">
        <v>410</v>
      </c>
      <c r="C905" s="16" t="s">
        <v>82</v>
      </c>
      <c r="D905" s="36">
        <v>341</v>
      </c>
      <c r="E905" s="34">
        <v>66</v>
      </c>
      <c r="F905" s="34">
        <v>870</v>
      </c>
      <c r="G905" s="17">
        <f t="shared" si="57"/>
        <v>0.46781609195402296</v>
      </c>
    </row>
    <row r="906" spans="1:7" x14ac:dyDescent="0.3">
      <c r="A906" s="14">
        <v>42</v>
      </c>
      <c r="B906" s="15">
        <v>105</v>
      </c>
      <c r="C906" s="16" t="s">
        <v>786</v>
      </c>
      <c r="D906" s="36">
        <v>135</v>
      </c>
      <c r="E906" s="34">
        <v>43</v>
      </c>
      <c r="F906" s="34">
        <v>399</v>
      </c>
      <c r="G906" s="17">
        <f t="shared" si="57"/>
        <v>0.44611528822055135</v>
      </c>
    </row>
    <row r="907" spans="1:7" x14ac:dyDescent="0.3">
      <c r="A907" s="14">
        <v>42</v>
      </c>
      <c r="B907" s="15">
        <v>106</v>
      </c>
      <c r="C907" s="16" t="s">
        <v>787</v>
      </c>
      <c r="D907" s="36">
        <v>125</v>
      </c>
      <c r="E907" s="34">
        <v>50</v>
      </c>
      <c r="F907" s="34">
        <v>460</v>
      </c>
      <c r="G907" s="17">
        <f t="shared" si="57"/>
        <v>0.38043478260869568</v>
      </c>
    </row>
    <row r="908" spans="1:7" x14ac:dyDescent="0.3">
      <c r="A908" s="14">
        <v>42</v>
      </c>
      <c r="B908" s="15">
        <v>123</v>
      </c>
      <c r="C908" s="16" t="s">
        <v>793</v>
      </c>
      <c r="D908" s="36">
        <v>161</v>
      </c>
      <c r="E908" s="34">
        <v>38</v>
      </c>
      <c r="F908" s="34">
        <v>581</v>
      </c>
      <c r="G908" s="17">
        <f t="shared" si="57"/>
        <v>0.34251290877796903</v>
      </c>
    </row>
    <row r="909" spans="1:7" x14ac:dyDescent="0.3">
      <c r="A909" s="14">
        <v>42</v>
      </c>
      <c r="B909" s="15">
        <v>149</v>
      </c>
      <c r="C909" s="16" t="s">
        <v>800</v>
      </c>
      <c r="D909" s="36">
        <v>106</v>
      </c>
      <c r="E909" s="34">
        <v>43</v>
      </c>
      <c r="F909" s="34">
        <v>452</v>
      </c>
      <c r="G909" s="17">
        <f t="shared" si="57"/>
        <v>0.32964601769911506</v>
      </c>
    </row>
    <row r="910" spans="1:7" x14ac:dyDescent="0.3">
      <c r="A910" s="14">
        <v>42</v>
      </c>
      <c r="B910" s="15">
        <v>158</v>
      </c>
      <c r="C910" s="16" t="s">
        <v>806</v>
      </c>
      <c r="D910" s="36">
        <v>129</v>
      </c>
      <c r="E910" s="34">
        <v>24</v>
      </c>
      <c r="F910" s="34">
        <v>465</v>
      </c>
      <c r="G910" s="17">
        <f t="shared" si="57"/>
        <v>0.32903225806451614</v>
      </c>
    </row>
    <row r="911" spans="1:7" x14ac:dyDescent="0.3">
      <c r="A911" s="14">
        <v>42</v>
      </c>
      <c r="B911" s="15">
        <v>116</v>
      </c>
      <c r="C911" s="16" t="s">
        <v>575</v>
      </c>
      <c r="D911" s="36">
        <v>151</v>
      </c>
      <c r="E911" s="34">
        <v>35</v>
      </c>
      <c r="F911" s="34">
        <v>570</v>
      </c>
      <c r="G911" s="17">
        <f t="shared" si="57"/>
        <v>0.32631578947368423</v>
      </c>
    </row>
    <row r="912" spans="1:7" x14ac:dyDescent="0.3">
      <c r="A912" s="14">
        <v>42</v>
      </c>
      <c r="B912" s="15">
        <v>403</v>
      </c>
      <c r="C912" s="16" t="s">
        <v>77</v>
      </c>
      <c r="D912" s="36">
        <v>216</v>
      </c>
      <c r="E912" s="34">
        <v>68</v>
      </c>
      <c r="F912" s="34">
        <v>906</v>
      </c>
      <c r="G912" s="17">
        <f t="shared" si="57"/>
        <v>0.31346578366445915</v>
      </c>
    </row>
    <row r="913" spans="1:7" x14ac:dyDescent="0.3">
      <c r="A913" s="14">
        <v>42</v>
      </c>
      <c r="B913" s="15">
        <v>151</v>
      </c>
      <c r="C913" s="16" t="s">
        <v>804</v>
      </c>
      <c r="D913" s="36">
        <v>123</v>
      </c>
      <c r="E913" s="34">
        <v>26</v>
      </c>
      <c r="F913" s="34">
        <v>484</v>
      </c>
      <c r="G913" s="17">
        <f t="shared" si="57"/>
        <v>0.30785123966942146</v>
      </c>
    </row>
    <row r="914" spans="1:7" x14ac:dyDescent="0.3">
      <c r="A914" s="14">
        <v>42</v>
      </c>
      <c r="B914" s="15">
        <v>104</v>
      </c>
      <c r="C914" s="16" t="s">
        <v>785</v>
      </c>
      <c r="D914" s="36">
        <v>92</v>
      </c>
      <c r="E914" s="34">
        <v>37</v>
      </c>
      <c r="F914" s="34">
        <v>425</v>
      </c>
      <c r="G914" s="17">
        <f t="shared" si="57"/>
        <v>0.30352941176470588</v>
      </c>
    </row>
    <row r="915" spans="1:7" x14ac:dyDescent="0.3">
      <c r="A915" s="14">
        <v>42</v>
      </c>
      <c r="B915" s="15">
        <v>706</v>
      </c>
      <c r="C915" s="16" t="s">
        <v>92</v>
      </c>
      <c r="D915" s="36">
        <v>383</v>
      </c>
      <c r="E915" s="34">
        <v>82</v>
      </c>
      <c r="F915" s="34">
        <v>1593</v>
      </c>
      <c r="G915" s="17">
        <f t="shared" si="57"/>
        <v>0.29190207156308851</v>
      </c>
    </row>
    <row r="916" spans="1:7" x14ac:dyDescent="0.3">
      <c r="A916" s="14">
        <v>42</v>
      </c>
      <c r="B916" s="15">
        <v>810</v>
      </c>
      <c r="C916" s="16" t="s">
        <v>795</v>
      </c>
      <c r="D916" s="36">
        <v>24</v>
      </c>
      <c r="E916" s="34">
        <v>5</v>
      </c>
      <c r="F916" s="34">
        <v>106</v>
      </c>
      <c r="G916" s="17">
        <f t="shared" si="57"/>
        <v>0.27358490566037735</v>
      </c>
    </row>
    <row r="917" spans="1:7" x14ac:dyDescent="0.3">
      <c r="A917" s="14">
        <v>42</v>
      </c>
      <c r="B917" s="15">
        <v>402</v>
      </c>
      <c r="C917" s="16" t="s">
        <v>76</v>
      </c>
      <c r="D917" s="36">
        <v>179</v>
      </c>
      <c r="E917" s="34">
        <v>51</v>
      </c>
      <c r="F917" s="34">
        <v>883</v>
      </c>
      <c r="G917" s="17">
        <f t="shared" si="57"/>
        <v>0.26047565118912797</v>
      </c>
    </row>
    <row r="918" spans="1:7" x14ac:dyDescent="0.3">
      <c r="A918" s="14">
        <v>42</v>
      </c>
      <c r="B918" s="15">
        <v>708</v>
      </c>
      <c r="C918" s="16" t="s">
        <v>93</v>
      </c>
      <c r="D918" s="36">
        <v>341</v>
      </c>
      <c r="E918" s="34">
        <v>95</v>
      </c>
      <c r="F918" s="34">
        <v>1730</v>
      </c>
      <c r="G918" s="17">
        <f t="shared" si="57"/>
        <v>0.25202312138728322</v>
      </c>
    </row>
    <row r="919" spans="1:7" x14ac:dyDescent="0.3">
      <c r="A919" s="14">
        <v>42</v>
      </c>
      <c r="B919" s="15">
        <v>103</v>
      </c>
      <c r="C919" s="16" t="s">
        <v>849</v>
      </c>
      <c r="D919" s="36">
        <v>103</v>
      </c>
      <c r="E919" s="34">
        <v>46</v>
      </c>
      <c r="F919" s="34">
        <v>631</v>
      </c>
      <c r="G919" s="17">
        <f t="shared" si="57"/>
        <v>0.23613312202852615</v>
      </c>
    </row>
    <row r="920" spans="1:7" x14ac:dyDescent="0.3">
      <c r="A920" s="14">
        <v>42</v>
      </c>
      <c r="B920" s="15">
        <v>174</v>
      </c>
      <c r="C920" s="16" t="s">
        <v>808</v>
      </c>
      <c r="D920" s="36">
        <v>82</v>
      </c>
      <c r="E920" s="34">
        <v>24</v>
      </c>
      <c r="F920" s="34">
        <v>454</v>
      </c>
      <c r="G920" s="17">
        <f t="shared" si="57"/>
        <v>0.23348017621145375</v>
      </c>
    </row>
    <row r="921" spans="1:7" x14ac:dyDescent="0.3">
      <c r="A921" s="14">
        <v>42</v>
      </c>
      <c r="B921" s="15">
        <v>164</v>
      </c>
      <c r="C921" s="16" t="s">
        <v>807</v>
      </c>
      <c r="D921" s="36">
        <v>136</v>
      </c>
      <c r="E921" s="34">
        <v>41</v>
      </c>
      <c r="F921" s="34">
        <v>759</v>
      </c>
      <c r="G921" s="17">
        <f t="shared" si="57"/>
        <v>0.233201581027668</v>
      </c>
    </row>
    <row r="922" spans="1:7" x14ac:dyDescent="0.3">
      <c r="A922" s="14">
        <v>42</v>
      </c>
      <c r="B922" s="15">
        <v>108</v>
      </c>
      <c r="C922" s="16" t="s">
        <v>789</v>
      </c>
      <c r="D922" s="36">
        <v>87</v>
      </c>
      <c r="E922" s="34">
        <v>11</v>
      </c>
      <c r="F922" s="34">
        <v>449</v>
      </c>
      <c r="G922" s="17">
        <f t="shared" si="57"/>
        <v>0.21826280623608019</v>
      </c>
    </row>
    <row r="923" spans="1:7" x14ac:dyDescent="0.3">
      <c r="A923" s="14">
        <v>42</v>
      </c>
      <c r="B923" s="15">
        <v>150</v>
      </c>
      <c r="C923" s="16" t="s">
        <v>802</v>
      </c>
      <c r="D923" s="36">
        <v>62</v>
      </c>
      <c r="E923" s="34">
        <v>28</v>
      </c>
      <c r="F923" s="34">
        <v>425</v>
      </c>
      <c r="G923" s="17">
        <f t="shared" si="57"/>
        <v>0.21176470588235294</v>
      </c>
    </row>
    <row r="924" spans="1:7" x14ac:dyDescent="0.3">
      <c r="A924" s="14">
        <v>42</v>
      </c>
      <c r="B924" s="15">
        <v>407</v>
      </c>
      <c r="C924" s="16" t="s">
        <v>80</v>
      </c>
      <c r="D924" s="36">
        <v>226</v>
      </c>
      <c r="E924" s="34">
        <v>56</v>
      </c>
      <c r="F924" s="34">
        <v>1417</v>
      </c>
      <c r="G924" s="17">
        <f t="shared" si="57"/>
        <v>0.1990119971771348</v>
      </c>
    </row>
    <row r="925" spans="1:7" x14ac:dyDescent="0.3">
      <c r="A925" s="14">
        <v>42</v>
      </c>
      <c r="B925" s="15">
        <v>159</v>
      </c>
      <c r="C925" s="16" t="s">
        <v>380</v>
      </c>
      <c r="D925" s="36">
        <v>87</v>
      </c>
      <c r="E925" s="34">
        <v>24</v>
      </c>
      <c r="F925" s="34">
        <v>625</v>
      </c>
      <c r="G925" s="17">
        <f t="shared" si="57"/>
        <v>0.17760000000000001</v>
      </c>
    </row>
    <row r="926" spans="1:7" x14ac:dyDescent="0.3">
      <c r="A926" s="14">
        <v>42</v>
      </c>
      <c r="B926" s="15">
        <v>401</v>
      </c>
      <c r="C926" s="16" t="s">
        <v>75</v>
      </c>
      <c r="D926" s="36">
        <v>109</v>
      </c>
      <c r="E926" s="34">
        <v>32</v>
      </c>
      <c r="F926" s="34">
        <v>808</v>
      </c>
      <c r="G926" s="17">
        <f t="shared" si="57"/>
        <v>0.17450495049504949</v>
      </c>
    </row>
    <row r="927" spans="1:7" x14ac:dyDescent="0.3">
      <c r="A927" s="14">
        <v>42</v>
      </c>
      <c r="B927" s="15">
        <v>155</v>
      </c>
      <c r="C927" s="16" t="s">
        <v>801</v>
      </c>
      <c r="D927" s="36">
        <v>55</v>
      </c>
      <c r="E927" s="34">
        <v>22</v>
      </c>
      <c r="F927" s="34">
        <v>460</v>
      </c>
      <c r="G927" s="17">
        <f t="shared" si="57"/>
        <v>0.16739130434782609</v>
      </c>
    </row>
    <row r="928" spans="1:7" x14ac:dyDescent="0.3">
      <c r="A928" s="14">
        <v>42</v>
      </c>
      <c r="B928" s="15">
        <v>110</v>
      </c>
      <c r="C928" s="16" t="s">
        <v>790</v>
      </c>
      <c r="D928" s="36">
        <v>64</v>
      </c>
      <c r="E928" s="34">
        <v>20</v>
      </c>
      <c r="F928" s="34">
        <v>509</v>
      </c>
      <c r="G928" s="17">
        <f t="shared" si="57"/>
        <v>0.16502946954813361</v>
      </c>
    </row>
    <row r="929" spans="1:7" x14ac:dyDescent="0.3">
      <c r="A929" s="14">
        <v>42</v>
      </c>
      <c r="B929" s="15">
        <v>178</v>
      </c>
      <c r="C929" s="16" t="s">
        <v>809</v>
      </c>
      <c r="D929" s="36">
        <v>91</v>
      </c>
      <c r="E929" s="34">
        <v>29</v>
      </c>
      <c r="F929" s="34">
        <v>772</v>
      </c>
      <c r="G929" s="17">
        <f t="shared" si="57"/>
        <v>0.15544041450777202</v>
      </c>
    </row>
    <row r="930" spans="1:7" x14ac:dyDescent="0.3">
      <c r="A930" s="14">
        <v>42</v>
      </c>
      <c r="B930" s="15">
        <v>120</v>
      </c>
      <c r="C930" s="16" t="s">
        <v>791</v>
      </c>
      <c r="D930" s="36">
        <v>67</v>
      </c>
      <c r="E930" s="34">
        <v>22</v>
      </c>
      <c r="F930" s="34">
        <v>620</v>
      </c>
      <c r="G930" s="17">
        <f t="shared" si="57"/>
        <v>0.1435483870967742</v>
      </c>
    </row>
    <row r="931" spans="1:7" x14ac:dyDescent="0.3">
      <c r="A931" s="14">
        <v>42</v>
      </c>
      <c r="B931" s="15">
        <v>405</v>
      </c>
      <c r="C931" s="16" t="s">
        <v>79</v>
      </c>
      <c r="D931" s="36">
        <v>131</v>
      </c>
      <c r="E931" s="34">
        <v>29</v>
      </c>
      <c r="F931" s="34">
        <v>1121</v>
      </c>
      <c r="G931" s="17">
        <f t="shared" si="57"/>
        <v>0.14272970561998216</v>
      </c>
    </row>
    <row r="932" spans="1:7" x14ac:dyDescent="0.3">
      <c r="A932" s="14">
        <v>42</v>
      </c>
      <c r="B932" s="15">
        <v>143</v>
      </c>
      <c r="C932" s="16" t="s">
        <v>799</v>
      </c>
      <c r="D932" s="36">
        <v>85</v>
      </c>
      <c r="E932" s="34">
        <v>18</v>
      </c>
      <c r="F932" s="34">
        <v>723</v>
      </c>
      <c r="G932" s="17">
        <f t="shared" si="57"/>
        <v>0.14246196403872752</v>
      </c>
    </row>
    <row r="933" spans="1:7" x14ac:dyDescent="0.3">
      <c r="A933" s="14">
        <v>42</v>
      </c>
      <c r="B933" s="15">
        <v>130</v>
      </c>
      <c r="C933" s="16" t="s">
        <v>794</v>
      </c>
      <c r="D933" s="36">
        <v>53</v>
      </c>
      <c r="E933" s="34">
        <v>13</v>
      </c>
      <c r="F933" s="34">
        <v>473</v>
      </c>
      <c r="G933" s="17">
        <f t="shared" si="57"/>
        <v>0.13953488372093023</v>
      </c>
    </row>
    <row r="934" spans="1:7" x14ac:dyDescent="0.3">
      <c r="A934" s="14">
        <v>42</v>
      </c>
      <c r="B934" s="15">
        <v>154</v>
      </c>
      <c r="C934" s="16" t="s">
        <v>803</v>
      </c>
      <c r="D934" s="36">
        <v>49</v>
      </c>
      <c r="E934" s="34">
        <v>13</v>
      </c>
      <c r="F934" s="34">
        <v>469</v>
      </c>
      <c r="G934" s="17">
        <f t="shared" si="57"/>
        <v>0.13219616204690832</v>
      </c>
    </row>
    <row r="935" spans="1:7" x14ac:dyDescent="0.3">
      <c r="A935" s="14">
        <v>42</v>
      </c>
      <c r="B935" s="15">
        <v>107</v>
      </c>
      <c r="C935" s="16" t="s">
        <v>788</v>
      </c>
      <c r="D935" s="36">
        <v>45</v>
      </c>
      <c r="E935" s="34">
        <v>9</v>
      </c>
      <c r="F935" s="34">
        <v>489</v>
      </c>
      <c r="G935" s="17">
        <f t="shared" si="57"/>
        <v>0.11042944785276074</v>
      </c>
    </row>
    <row r="936" spans="1:7" x14ac:dyDescent="0.3">
      <c r="A936" s="14">
        <v>42</v>
      </c>
      <c r="B936" s="15">
        <v>705</v>
      </c>
      <c r="C936" s="16" t="s">
        <v>91</v>
      </c>
      <c r="D936" s="36">
        <v>137</v>
      </c>
      <c r="E936" s="34">
        <v>34</v>
      </c>
      <c r="F936" s="34">
        <v>1689</v>
      </c>
      <c r="G936" s="17">
        <f t="shared" si="57"/>
        <v>0.10124333925399645</v>
      </c>
    </row>
    <row r="937" spans="1:7" x14ac:dyDescent="0.3">
      <c r="A937" s="14">
        <v>42</v>
      </c>
      <c r="B937" s="15">
        <v>135</v>
      </c>
      <c r="C937" s="16" t="s">
        <v>796</v>
      </c>
      <c r="D937" s="36">
        <v>65</v>
      </c>
      <c r="E937" s="34">
        <v>8</v>
      </c>
      <c r="F937" s="34">
        <v>737</v>
      </c>
      <c r="G937" s="17">
        <f t="shared" si="57"/>
        <v>9.9050203527815461E-2</v>
      </c>
    </row>
    <row r="938" spans="1:7" ht="21" thickBot="1" x14ac:dyDescent="0.35">
      <c r="A938" s="14">
        <v>42</v>
      </c>
      <c r="B938" s="15">
        <v>702</v>
      </c>
      <c r="C938" s="16" t="s">
        <v>88</v>
      </c>
      <c r="D938" s="36">
        <v>170</v>
      </c>
      <c r="E938" s="34">
        <v>50</v>
      </c>
      <c r="F938" s="34">
        <v>2512</v>
      </c>
      <c r="G938" s="17">
        <f t="shared" si="57"/>
        <v>8.7579617834394899E-2</v>
      </c>
    </row>
    <row r="939" spans="1:7" ht="21" thickBot="1" x14ac:dyDescent="0.35">
      <c r="A939" s="18"/>
      <c r="B939" s="19">
        <f>COUNTA(B897:B938)</f>
        <v>42</v>
      </c>
      <c r="C939" s="20" t="s">
        <v>16</v>
      </c>
      <c r="D939" s="21">
        <f>SUM(D897:D938)</f>
        <v>7378</v>
      </c>
      <c r="E939" s="35">
        <f>SUM(E897:E938)</f>
        <v>1588</v>
      </c>
      <c r="F939" s="35">
        <f>SUM(F897:F938)</f>
        <v>30766</v>
      </c>
      <c r="G939" s="22">
        <f t="shared" si="57"/>
        <v>0.29142559968796722</v>
      </c>
    </row>
    <row r="940" spans="1:7" x14ac:dyDescent="0.3">
      <c r="A940" s="24"/>
      <c r="B940" s="25"/>
      <c r="C940" s="26"/>
      <c r="D940" s="31"/>
      <c r="E940" s="28"/>
      <c r="F940" s="28"/>
      <c r="G940" s="29"/>
    </row>
    <row r="941" spans="1:7" x14ac:dyDescent="0.3">
      <c r="A941" s="24"/>
      <c r="B941" s="25"/>
      <c r="C941" s="30" t="s">
        <v>214</v>
      </c>
      <c r="D941" s="31"/>
      <c r="E941" s="28"/>
      <c r="F941" s="28"/>
      <c r="G941" s="29"/>
    </row>
    <row r="942" spans="1:7" ht="21" thickBot="1" x14ac:dyDescent="0.35">
      <c r="A942" s="59">
        <v>68</v>
      </c>
      <c r="B942" s="69">
        <v>700</v>
      </c>
      <c r="C942" s="60" t="s">
        <v>904</v>
      </c>
      <c r="D942" s="36">
        <v>417</v>
      </c>
      <c r="E942" s="34">
        <v>116</v>
      </c>
      <c r="F942" s="34">
        <v>938</v>
      </c>
      <c r="G942" s="71">
        <f>+(D942+E942)/F942</f>
        <v>0.56823027718550112</v>
      </c>
    </row>
    <row r="943" spans="1:7" ht="21" thickBot="1" x14ac:dyDescent="0.35">
      <c r="A943" s="18"/>
      <c r="B943" s="19">
        <f>COUNT(B942:B942)</f>
        <v>1</v>
      </c>
      <c r="C943" s="20" t="s">
        <v>16</v>
      </c>
      <c r="D943" s="35">
        <f>SUM(D942:D942)</f>
        <v>417</v>
      </c>
      <c r="E943" s="35">
        <f>SUM(E942:E942)</f>
        <v>116</v>
      </c>
      <c r="F943" s="35">
        <v>938</v>
      </c>
      <c r="G943" s="22">
        <f>+(D943+E943)/F943</f>
        <v>0.56823027718550112</v>
      </c>
    </row>
    <row r="944" spans="1:7" x14ac:dyDescent="0.3">
      <c r="A944" s="24"/>
      <c r="B944" s="25"/>
      <c r="C944" s="26"/>
      <c r="D944" s="31"/>
      <c r="E944" s="28"/>
      <c r="F944" s="28"/>
      <c r="G944" s="29"/>
    </row>
    <row r="945" spans="1:7" x14ac:dyDescent="0.3">
      <c r="A945" s="24"/>
      <c r="B945" s="25"/>
      <c r="C945" s="30" t="s">
        <v>811</v>
      </c>
      <c r="D945" s="31"/>
      <c r="E945" s="28"/>
      <c r="F945" s="28"/>
      <c r="G945" s="29"/>
    </row>
    <row r="946" spans="1:7" x14ac:dyDescent="0.3">
      <c r="A946" s="73">
        <v>74</v>
      </c>
      <c r="B946" s="74">
        <v>101</v>
      </c>
      <c r="C946" s="70" t="s">
        <v>812</v>
      </c>
      <c r="D946" s="75">
        <v>322</v>
      </c>
      <c r="E946" s="56">
        <v>61</v>
      </c>
      <c r="F946" s="56">
        <v>669</v>
      </c>
      <c r="G946" s="76">
        <f>+(D946+E946)/F946</f>
        <v>0.57249626307922274</v>
      </c>
    </row>
    <row r="947" spans="1:7" x14ac:dyDescent="0.3">
      <c r="A947" s="73">
        <v>74</v>
      </c>
      <c r="B947" s="74">
        <v>102</v>
      </c>
      <c r="C947" s="70" t="s">
        <v>867</v>
      </c>
      <c r="D947" s="75">
        <v>383</v>
      </c>
      <c r="E947" s="56">
        <v>84</v>
      </c>
      <c r="F947" s="56">
        <v>515</v>
      </c>
      <c r="G947" s="76">
        <f>+(D947+E947)/F947</f>
        <v>0.90679611650485437</v>
      </c>
    </row>
    <row r="948" spans="1:7" ht="21" thickBot="1" x14ac:dyDescent="0.35">
      <c r="A948" s="77">
        <v>74</v>
      </c>
      <c r="B948" s="78">
        <v>100</v>
      </c>
      <c r="C948" s="79" t="s">
        <v>811</v>
      </c>
      <c r="D948" s="75">
        <v>0</v>
      </c>
      <c r="E948" s="56">
        <v>0</v>
      </c>
      <c r="F948" s="56">
        <v>0</v>
      </c>
      <c r="G948" s="80">
        <v>0</v>
      </c>
    </row>
    <row r="949" spans="1:7" ht="21" thickBot="1" x14ac:dyDescent="0.35">
      <c r="A949" s="18"/>
      <c r="B949" s="19">
        <f>COUNTA(B946:B948)</f>
        <v>3</v>
      </c>
      <c r="C949" s="20" t="s">
        <v>16</v>
      </c>
      <c r="D949" s="35">
        <f>SUM(D946:D948)</f>
        <v>705</v>
      </c>
      <c r="E949" s="35">
        <f>SUM(E946:E948)</f>
        <v>145</v>
      </c>
      <c r="F949" s="35">
        <f>SUM(F946:F948)</f>
        <v>1184</v>
      </c>
      <c r="G949" s="22">
        <f>+(D949+E949)/F949</f>
        <v>0.71790540540540537</v>
      </c>
    </row>
    <row r="950" spans="1:7" x14ac:dyDescent="0.3">
      <c r="A950" s="24"/>
      <c r="B950" s="25"/>
      <c r="C950" s="26"/>
      <c r="D950" s="31"/>
      <c r="E950" s="28"/>
      <c r="F950" s="28"/>
      <c r="G950" s="29"/>
    </row>
    <row r="951" spans="1:7" x14ac:dyDescent="0.3">
      <c r="A951" s="24"/>
      <c r="B951" s="25"/>
      <c r="C951" s="30" t="s">
        <v>212</v>
      </c>
      <c r="D951" s="31"/>
      <c r="E951" s="28"/>
      <c r="F951" s="28"/>
      <c r="G951" s="29"/>
    </row>
    <row r="952" spans="1:7" ht="21" thickBot="1" x14ac:dyDescent="0.35">
      <c r="A952" s="61">
        <v>82</v>
      </c>
      <c r="B952" s="62">
        <v>100</v>
      </c>
      <c r="C952" s="63" t="s">
        <v>212</v>
      </c>
      <c r="D952" s="36">
        <v>215</v>
      </c>
      <c r="E952" s="34">
        <v>86</v>
      </c>
      <c r="F952" s="34">
        <v>621</v>
      </c>
      <c r="G952" s="64">
        <f>+(D952+E952)/F952</f>
        <v>0.48470209339774556</v>
      </c>
    </row>
    <row r="953" spans="1:7" ht="21" thickBot="1" x14ac:dyDescent="0.35">
      <c r="A953" s="18"/>
      <c r="B953" s="19">
        <f>COUNTA(B952)</f>
        <v>1</v>
      </c>
      <c r="C953" s="20" t="s">
        <v>16</v>
      </c>
      <c r="D953" s="35">
        <f>SUM(D952)</f>
        <v>215</v>
      </c>
      <c r="E953" s="35">
        <f>SUM(E952)</f>
        <v>86</v>
      </c>
      <c r="F953" s="35">
        <v>621</v>
      </c>
      <c r="G953" s="22">
        <f>+(D953+E953)/F953</f>
        <v>0.48470209339774556</v>
      </c>
    </row>
    <row r="954" spans="1:7" x14ac:dyDescent="0.3">
      <c r="A954" s="24"/>
      <c r="B954" s="25"/>
      <c r="C954" s="26"/>
      <c r="D954" s="31"/>
      <c r="E954" s="28"/>
      <c r="F954" s="28"/>
      <c r="G954" s="29"/>
    </row>
    <row r="955" spans="1:7" x14ac:dyDescent="0.3">
      <c r="A955" s="24"/>
      <c r="B955" s="25"/>
      <c r="C955" s="30" t="s">
        <v>209</v>
      </c>
      <c r="D955" s="31"/>
      <c r="E955" s="28"/>
      <c r="F955" s="28"/>
      <c r="G955" s="29"/>
    </row>
    <row r="956" spans="1:7" ht="21" thickBot="1" x14ac:dyDescent="0.35">
      <c r="A956" s="61">
        <v>86</v>
      </c>
      <c r="B956" s="62">
        <v>100</v>
      </c>
      <c r="C956" s="63" t="s">
        <v>209</v>
      </c>
      <c r="D956" s="36">
        <v>198</v>
      </c>
      <c r="E956" s="34">
        <v>33</v>
      </c>
      <c r="F956" s="34">
        <v>489</v>
      </c>
      <c r="G956" s="64">
        <f>+(D956+E956)/F956</f>
        <v>0.47239263803680981</v>
      </c>
    </row>
    <row r="957" spans="1:7" ht="21" thickBot="1" x14ac:dyDescent="0.35">
      <c r="A957" s="18"/>
      <c r="B957" s="19">
        <f>COUNTA(B956)</f>
        <v>1</v>
      </c>
      <c r="C957" s="20" t="s">
        <v>16</v>
      </c>
      <c r="D957" s="35">
        <f>SUM(D956)</f>
        <v>198</v>
      </c>
      <c r="E957" s="35">
        <f>SUM(E956)</f>
        <v>33</v>
      </c>
      <c r="F957" s="35">
        <v>489</v>
      </c>
      <c r="G957" s="22">
        <f>+(D957+E957)/F957</f>
        <v>0.47239263803680981</v>
      </c>
    </row>
    <row r="958" spans="1:7" x14ac:dyDescent="0.3">
      <c r="A958" s="24"/>
      <c r="B958" s="25"/>
      <c r="C958" s="26"/>
      <c r="D958" s="31"/>
      <c r="E958" s="28"/>
      <c r="F958" s="28"/>
      <c r="G958" s="29"/>
    </row>
    <row r="959" spans="1:7" x14ac:dyDescent="0.3">
      <c r="A959" s="24"/>
      <c r="B959" s="25"/>
      <c r="C959" s="30" t="s">
        <v>215</v>
      </c>
      <c r="D959" s="31"/>
      <c r="E959" s="28"/>
      <c r="F959" s="28"/>
      <c r="G959" s="29"/>
    </row>
    <row r="960" spans="1:7" ht="21" thickBot="1" x14ac:dyDescent="0.35">
      <c r="A960" s="61">
        <v>87</v>
      </c>
      <c r="B960" s="62">
        <v>700</v>
      </c>
      <c r="C960" s="63" t="s">
        <v>215</v>
      </c>
      <c r="D960" s="36">
        <v>62</v>
      </c>
      <c r="E960" s="34">
        <v>10</v>
      </c>
      <c r="F960" s="34">
        <v>207</v>
      </c>
      <c r="G960" s="64">
        <f>+(D960+E960)/F960</f>
        <v>0.34782608695652173</v>
      </c>
    </row>
    <row r="961" spans="1:7" ht="21" thickBot="1" x14ac:dyDescent="0.35">
      <c r="A961" s="18"/>
      <c r="B961" s="19">
        <f>COUNTA(B960)</f>
        <v>1</v>
      </c>
      <c r="C961" s="20" t="s">
        <v>16</v>
      </c>
      <c r="D961" s="35">
        <f>SUM(D960)</f>
        <v>62</v>
      </c>
      <c r="E961" s="35">
        <f>SUM(E960)</f>
        <v>10</v>
      </c>
      <c r="F961" s="35">
        <v>207</v>
      </c>
      <c r="G961" s="22">
        <f>+(D961+E961)/F961</f>
        <v>0.34782608695652173</v>
      </c>
    </row>
    <row r="962" spans="1:7" x14ac:dyDescent="0.3">
      <c r="A962" s="24"/>
      <c r="B962" s="25"/>
      <c r="C962" s="26"/>
      <c r="D962" s="31"/>
      <c r="E962" s="28"/>
      <c r="F962" s="28"/>
      <c r="G962" s="29"/>
    </row>
    <row r="963" spans="1:7" x14ac:dyDescent="0.3">
      <c r="A963" s="24"/>
      <c r="B963" s="25"/>
      <c r="C963" s="30" t="s">
        <v>845</v>
      </c>
      <c r="D963" s="31"/>
      <c r="E963" s="28"/>
      <c r="F963" s="28"/>
      <c r="G963" s="29"/>
    </row>
    <row r="964" spans="1:7" ht="21" thickBot="1" x14ac:dyDescent="0.35">
      <c r="A964" s="61">
        <v>98</v>
      </c>
      <c r="B964" s="62">
        <v>700</v>
      </c>
      <c r="C964" s="63" t="s">
        <v>845</v>
      </c>
      <c r="D964" s="36">
        <v>79</v>
      </c>
      <c r="E964" s="34">
        <v>17</v>
      </c>
      <c r="F964" s="34">
        <v>220</v>
      </c>
      <c r="G964" s="64">
        <f>+(D964+E964)/F964</f>
        <v>0.43636363636363634</v>
      </c>
    </row>
    <row r="965" spans="1:7" ht="21" thickBot="1" x14ac:dyDescent="0.35">
      <c r="A965" s="18"/>
      <c r="B965" s="19">
        <f>COUNTA(B964)</f>
        <v>1</v>
      </c>
      <c r="C965" s="20" t="s">
        <v>16</v>
      </c>
      <c r="D965" s="35">
        <f>SUM(D964)</f>
        <v>79</v>
      </c>
      <c r="E965" s="35">
        <f>SUM(E964)</f>
        <v>17</v>
      </c>
      <c r="F965" s="35">
        <v>220</v>
      </c>
      <c r="G965" s="22">
        <f>+(D965+E965)/F965</f>
        <v>0.43636363636363634</v>
      </c>
    </row>
    <row r="966" spans="1:7" x14ac:dyDescent="0.3">
      <c r="A966" s="24"/>
      <c r="B966" s="25"/>
      <c r="C966" s="26"/>
      <c r="D966" s="31"/>
      <c r="E966" s="28"/>
      <c r="F966" s="28"/>
      <c r="G966" s="29"/>
    </row>
    <row r="967" spans="1:7" x14ac:dyDescent="0.3">
      <c r="A967" s="24"/>
      <c r="B967" s="25"/>
      <c r="C967" s="30" t="s">
        <v>224</v>
      </c>
      <c r="D967" s="31"/>
      <c r="E967" s="28"/>
      <c r="F967" s="28"/>
      <c r="G967" s="29"/>
    </row>
    <row r="968" spans="1:7" ht="21" thickBot="1" x14ac:dyDescent="0.35">
      <c r="A968" s="81" t="s">
        <v>223</v>
      </c>
      <c r="B968" s="62">
        <v>100</v>
      </c>
      <c r="C968" s="63" t="s">
        <v>224</v>
      </c>
      <c r="D968" s="36">
        <v>40</v>
      </c>
      <c r="E968" s="34">
        <v>22</v>
      </c>
      <c r="F968" s="34">
        <v>388</v>
      </c>
      <c r="G968" s="64">
        <f>+(D968+E968)/F968</f>
        <v>0.15979381443298968</v>
      </c>
    </row>
    <row r="969" spans="1:7" ht="21" thickBot="1" x14ac:dyDescent="0.35">
      <c r="A969" s="18"/>
      <c r="B969" s="19">
        <f>COUNTA(B968)</f>
        <v>1</v>
      </c>
      <c r="C969" s="20" t="s">
        <v>16</v>
      </c>
      <c r="D969" s="35">
        <f>SUM(D968)</f>
        <v>40</v>
      </c>
      <c r="E969" s="35">
        <f>SUM(E968)</f>
        <v>22</v>
      </c>
      <c r="F969" s="35">
        <v>388</v>
      </c>
      <c r="G969" s="22">
        <f>+(D969+E969)/F969</f>
        <v>0.15979381443298968</v>
      </c>
    </row>
    <row r="970" spans="1:7" x14ac:dyDescent="0.3">
      <c r="A970" s="24"/>
      <c r="B970" s="25"/>
      <c r="C970" s="26"/>
      <c r="D970" s="31"/>
      <c r="E970" s="28"/>
      <c r="F970" s="28"/>
      <c r="G970" s="29"/>
    </row>
    <row r="971" spans="1:7" x14ac:dyDescent="0.3">
      <c r="A971" s="24"/>
      <c r="B971" s="25"/>
      <c r="C971" s="30" t="s">
        <v>831</v>
      </c>
      <c r="D971" s="31"/>
      <c r="E971" s="28"/>
      <c r="F971" s="28"/>
      <c r="G971" s="29"/>
    </row>
    <row r="972" spans="1:7" ht="21" thickBot="1" x14ac:dyDescent="0.35">
      <c r="A972" s="82" t="s">
        <v>830</v>
      </c>
      <c r="B972" s="62">
        <v>100</v>
      </c>
      <c r="C972" s="63" t="s">
        <v>831</v>
      </c>
      <c r="D972" s="36">
        <v>76</v>
      </c>
      <c r="E972" s="34">
        <v>27</v>
      </c>
      <c r="F972" s="34">
        <v>416</v>
      </c>
      <c r="G972" s="64">
        <f>+(D972+E972)/F972</f>
        <v>0.24759615384615385</v>
      </c>
    </row>
    <row r="973" spans="1:7" ht="21" thickBot="1" x14ac:dyDescent="0.35">
      <c r="A973" s="18"/>
      <c r="B973" s="19">
        <f>COUNTA(B972)</f>
        <v>1</v>
      </c>
      <c r="C973" s="20" t="s">
        <v>16</v>
      </c>
      <c r="D973" s="35">
        <f>SUM(D972)</f>
        <v>76</v>
      </c>
      <c r="E973" s="35">
        <f>SUM(E972)</f>
        <v>27</v>
      </c>
      <c r="F973" s="35">
        <v>416</v>
      </c>
      <c r="G973" s="22">
        <f>+(D973+E973)/F973</f>
        <v>0.24759615384615385</v>
      </c>
    </row>
    <row r="974" spans="1:7" x14ac:dyDescent="0.3">
      <c r="A974" s="24"/>
      <c r="B974" s="25"/>
      <c r="C974" s="26"/>
      <c r="D974" s="31"/>
      <c r="E974" s="28"/>
      <c r="F974" s="28"/>
      <c r="G974" s="29"/>
    </row>
    <row r="975" spans="1:7" x14ac:dyDescent="0.3">
      <c r="A975" s="24"/>
      <c r="B975" s="25"/>
      <c r="C975" s="30" t="s">
        <v>888</v>
      </c>
      <c r="D975" s="31"/>
      <c r="E975" s="28"/>
      <c r="F975" s="28"/>
      <c r="G975" s="29"/>
    </row>
    <row r="976" spans="1:7" ht="21" thickBot="1" x14ac:dyDescent="0.35">
      <c r="A976" s="82" t="s">
        <v>887</v>
      </c>
      <c r="B976" s="62">
        <v>100</v>
      </c>
      <c r="C976" s="63" t="s">
        <v>888</v>
      </c>
      <c r="D976" s="36">
        <v>66</v>
      </c>
      <c r="E976" s="34">
        <v>19</v>
      </c>
      <c r="F976" s="34">
        <v>579</v>
      </c>
      <c r="G976" s="64">
        <f>+(D976+E976)/F976</f>
        <v>0.14680483592400692</v>
      </c>
    </row>
    <row r="977" spans="1:7" ht="21" thickBot="1" x14ac:dyDescent="0.35">
      <c r="A977" s="18"/>
      <c r="B977" s="19">
        <f>COUNTA(B976)</f>
        <v>1</v>
      </c>
      <c r="C977" s="20" t="s">
        <v>16</v>
      </c>
      <c r="D977" s="35">
        <f>SUM(D976)</f>
        <v>66</v>
      </c>
      <c r="E977" s="35">
        <f>SUM(E976)</f>
        <v>19</v>
      </c>
      <c r="F977" s="35">
        <v>579</v>
      </c>
      <c r="G977" s="22">
        <f>+(D977+E977)/F977</f>
        <v>0.14680483592400692</v>
      </c>
    </row>
    <row r="978" spans="1:7" x14ac:dyDescent="0.3">
      <c r="A978" s="24"/>
      <c r="B978" s="25"/>
      <c r="C978" s="26"/>
      <c r="D978" s="31"/>
      <c r="E978" s="28"/>
      <c r="F978" s="28"/>
      <c r="G978" s="29"/>
    </row>
    <row r="979" spans="1:7" x14ac:dyDescent="0.3">
      <c r="A979" s="24"/>
      <c r="B979" s="25"/>
      <c r="C979" s="30" t="s">
        <v>205</v>
      </c>
      <c r="D979" s="31"/>
      <c r="E979" s="28"/>
      <c r="F979" s="28"/>
      <c r="G979" s="29"/>
    </row>
    <row r="980" spans="1:7" ht="21" thickBot="1" x14ac:dyDescent="0.35">
      <c r="A980" s="82" t="s">
        <v>244</v>
      </c>
      <c r="B980" s="83" t="s">
        <v>245</v>
      </c>
      <c r="C980" s="63" t="s">
        <v>205</v>
      </c>
      <c r="D980" s="36">
        <v>92</v>
      </c>
      <c r="E980" s="34">
        <v>6</v>
      </c>
      <c r="F980" s="34">
        <v>100</v>
      </c>
      <c r="G980" s="64">
        <f>+(D980+E980)/F980</f>
        <v>0.98</v>
      </c>
    </row>
    <row r="981" spans="1:7" ht="21" thickBot="1" x14ac:dyDescent="0.35">
      <c r="A981" s="18"/>
      <c r="B981" s="19">
        <f>COUNTA(B980)</f>
        <v>1</v>
      </c>
      <c r="C981" s="20" t="s">
        <v>16</v>
      </c>
      <c r="D981" s="35">
        <f>SUM(D980)</f>
        <v>92</v>
      </c>
      <c r="E981" s="35">
        <f>SUM(E980)</f>
        <v>6</v>
      </c>
      <c r="F981" s="35">
        <v>100</v>
      </c>
      <c r="G981" s="22">
        <f>+(D981+E981)/F981</f>
        <v>0.98</v>
      </c>
    </row>
    <row r="982" spans="1:7" x14ac:dyDescent="0.3">
      <c r="A982" s="24"/>
      <c r="B982" s="25"/>
      <c r="C982" s="26"/>
      <c r="D982" s="31"/>
      <c r="E982" s="28"/>
      <c r="F982" s="28"/>
      <c r="G982" s="29"/>
    </row>
    <row r="983" spans="1:7" x14ac:dyDescent="0.3">
      <c r="A983" s="24"/>
      <c r="B983" s="25"/>
      <c r="C983" s="30" t="s">
        <v>824</v>
      </c>
      <c r="D983" s="31"/>
      <c r="E983" s="28"/>
      <c r="F983" s="28"/>
      <c r="G983" s="29"/>
    </row>
    <row r="984" spans="1:7" ht="21" thickBot="1" x14ac:dyDescent="0.35">
      <c r="A984" s="82" t="s">
        <v>825</v>
      </c>
      <c r="B984" s="62">
        <v>100</v>
      </c>
      <c r="C984" s="63" t="s">
        <v>824</v>
      </c>
      <c r="D984" s="36">
        <v>123</v>
      </c>
      <c r="E984" s="34">
        <v>58</v>
      </c>
      <c r="F984" s="34">
        <v>649</v>
      </c>
      <c r="G984" s="64">
        <f>+(D984+E984)/F984</f>
        <v>0.27889060092449924</v>
      </c>
    </row>
    <row r="985" spans="1:7" ht="21" thickBot="1" x14ac:dyDescent="0.35">
      <c r="A985" s="18"/>
      <c r="B985" s="19">
        <f>COUNTA(B984)</f>
        <v>1</v>
      </c>
      <c r="C985" s="20" t="s">
        <v>16</v>
      </c>
      <c r="D985" s="35">
        <f>SUM(D984)</f>
        <v>123</v>
      </c>
      <c r="E985" s="35">
        <f>SUM(E984)</f>
        <v>58</v>
      </c>
      <c r="F985" s="35">
        <v>649</v>
      </c>
      <c r="G985" s="22">
        <f>+(D985+E985)/F985</f>
        <v>0.27889060092449924</v>
      </c>
    </row>
    <row r="986" spans="1:7" x14ac:dyDescent="0.3">
      <c r="A986" s="24"/>
      <c r="B986" s="25"/>
      <c r="C986" s="26"/>
      <c r="D986" s="31"/>
      <c r="E986" s="28"/>
      <c r="F986" s="28"/>
      <c r="G986" s="29"/>
    </row>
    <row r="987" spans="1:7" x14ac:dyDescent="0.3">
      <c r="A987" s="24"/>
      <c r="B987" s="25"/>
      <c r="C987" s="30" t="s">
        <v>881</v>
      </c>
      <c r="D987" s="31"/>
      <c r="E987" s="28"/>
      <c r="F987" s="28"/>
      <c r="G987" s="29"/>
    </row>
    <row r="988" spans="1:7" ht="21" thickBot="1" x14ac:dyDescent="0.35">
      <c r="A988" s="82" t="s">
        <v>880</v>
      </c>
      <c r="B988" s="62">
        <v>100</v>
      </c>
      <c r="C988" s="63" t="s">
        <v>881</v>
      </c>
      <c r="D988" s="36">
        <v>80</v>
      </c>
      <c r="E988" s="34">
        <v>33</v>
      </c>
      <c r="F988" s="34">
        <v>597</v>
      </c>
      <c r="G988" s="64">
        <f>+(D988+E988)/F988</f>
        <v>0.18927973199329984</v>
      </c>
    </row>
    <row r="989" spans="1:7" ht="21" thickBot="1" x14ac:dyDescent="0.35">
      <c r="A989" s="18"/>
      <c r="B989" s="19">
        <f>COUNTA(B988)</f>
        <v>1</v>
      </c>
      <c r="C989" s="20" t="s">
        <v>16</v>
      </c>
      <c r="D989" s="35">
        <f>SUM(D988)</f>
        <v>80</v>
      </c>
      <c r="E989" s="35">
        <f>SUM(E988)</f>
        <v>33</v>
      </c>
      <c r="F989" s="35">
        <v>597</v>
      </c>
      <c r="G989" s="22">
        <f>+(D989+E989)/F989</f>
        <v>0.18927973199329984</v>
      </c>
    </row>
    <row r="990" spans="1:7" x14ac:dyDescent="0.3">
      <c r="A990" s="24"/>
      <c r="B990" s="25"/>
      <c r="C990" s="26"/>
      <c r="D990" s="31"/>
      <c r="E990" s="28"/>
      <c r="F990" s="28"/>
      <c r="G990" s="29"/>
    </row>
    <row r="991" spans="1:7" x14ac:dyDescent="0.3">
      <c r="A991" s="24"/>
      <c r="B991" s="25"/>
      <c r="C991" s="30" t="s">
        <v>236</v>
      </c>
      <c r="D991" s="31"/>
      <c r="E991" s="28"/>
      <c r="F991" s="28"/>
      <c r="G991" s="29"/>
    </row>
    <row r="992" spans="1:7" ht="21" thickBot="1" x14ac:dyDescent="0.35">
      <c r="A992" s="82" t="s">
        <v>235</v>
      </c>
      <c r="B992" s="62">
        <v>100</v>
      </c>
      <c r="C992" s="63" t="s">
        <v>236</v>
      </c>
      <c r="D992" s="36">
        <v>40</v>
      </c>
      <c r="E992" s="34">
        <v>11</v>
      </c>
      <c r="F992" s="34">
        <v>161</v>
      </c>
      <c r="G992" s="64">
        <f>+(D992+E992)/F992</f>
        <v>0.31677018633540371</v>
      </c>
    </row>
    <row r="993" spans="1:8" ht="21" thickBot="1" x14ac:dyDescent="0.35">
      <c r="A993" s="18"/>
      <c r="B993" s="19">
        <f>COUNTA(B992)</f>
        <v>1</v>
      </c>
      <c r="C993" s="20" t="s">
        <v>16</v>
      </c>
      <c r="D993" s="35">
        <f>SUM(D992)</f>
        <v>40</v>
      </c>
      <c r="E993" s="35">
        <f>SUM(E992)</f>
        <v>11</v>
      </c>
      <c r="F993" s="34">
        <v>161</v>
      </c>
      <c r="G993" s="22">
        <f>+(D993+E993)/F993</f>
        <v>0.31677018633540371</v>
      </c>
    </row>
    <row r="994" spans="1:8" x14ac:dyDescent="0.3">
      <c r="A994" s="24"/>
      <c r="B994" s="25"/>
      <c r="C994" s="26"/>
      <c r="D994" s="31"/>
      <c r="E994" s="28"/>
      <c r="F994" s="28"/>
      <c r="G994" s="29"/>
    </row>
    <row r="995" spans="1:8" x14ac:dyDescent="0.3">
      <c r="A995" s="24"/>
      <c r="B995" s="25"/>
      <c r="C995" s="30" t="s">
        <v>252</v>
      </c>
      <c r="D995" s="31"/>
      <c r="E995" s="28"/>
      <c r="F995" s="28"/>
      <c r="G995" s="29"/>
    </row>
    <row r="996" spans="1:8" ht="21" thickBot="1" x14ac:dyDescent="0.35">
      <c r="A996" s="82" t="s">
        <v>251</v>
      </c>
      <c r="B996" s="62">
        <v>100</v>
      </c>
      <c r="C996" s="63" t="s">
        <v>252</v>
      </c>
      <c r="D996" s="36">
        <v>66</v>
      </c>
      <c r="E996" s="34">
        <v>35</v>
      </c>
      <c r="F996" s="34">
        <v>591</v>
      </c>
      <c r="G996" s="64">
        <f>+(D996+E996)/F996</f>
        <v>0.17089678510998307</v>
      </c>
    </row>
    <row r="997" spans="1:8" ht="21" thickBot="1" x14ac:dyDescent="0.35">
      <c r="A997" s="18"/>
      <c r="B997" s="19">
        <f>COUNTA(B996)</f>
        <v>1</v>
      </c>
      <c r="C997" s="20" t="s">
        <v>16</v>
      </c>
      <c r="D997" s="35">
        <f>SUM(D996)</f>
        <v>66</v>
      </c>
      <c r="E997" s="35">
        <f>SUM(E996)</f>
        <v>35</v>
      </c>
      <c r="F997" s="34">
        <v>591</v>
      </c>
      <c r="G997" s="22">
        <f>+(D997+E997)/F997</f>
        <v>0.17089678510998307</v>
      </c>
    </row>
    <row r="998" spans="1:8" x14ac:dyDescent="0.3">
      <c r="A998" s="24"/>
      <c r="B998" s="25"/>
      <c r="C998" s="26"/>
      <c r="D998" s="31"/>
      <c r="E998" s="28"/>
      <c r="F998" s="28"/>
      <c r="G998" s="29"/>
    </row>
    <row r="999" spans="1:8" x14ac:dyDescent="0.3">
      <c r="A999" s="24"/>
      <c r="B999" s="25"/>
      <c r="C999" s="30" t="s">
        <v>898</v>
      </c>
      <c r="D999" s="31"/>
      <c r="E999" s="28"/>
      <c r="F999" s="28"/>
      <c r="G999" s="29"/>
    </row>
    <row r="1000" spans="1:8" ht="21" thickBot="1" x14ac:dyDescent="0.35">
      <c r="A1000" s="82" t="s">
        <v>897</v>
      </c>
      <c r="B1000" s="62">
        <v>700</v>
      </c>
      <c r="C1000" s="63" t="s">
        <v>898</v>
      </c>
      <c r="D1000" s="36">
        <v>83</v>
      </c>
      <c r="E1000" s="34">
        <v>0</v>
      </c>
      <c r="F1000" s="34">
        <v>594</v>
      </c>
      <c r="G1000" s="64">
        <f>+(D1000+E1000)/F1000</f>
        <v>0.13973063973063973</v>
      </c>
      <c r="H1000" s="23" t="s">
        <v>920</v>
      </c>
    </row>
    <row r="1001" spans="1:8" ht="21" thickBot="1" x14ac:dyDescent="0.35">
      <c r="A1001" s="18"/>
      <c r="B1001" s="19">
        <f>COUNTA(B1000)</f>
        <v>1</v>
      </c>
      <c r="C1001" s="20" t="s">
        <v>16</v>
      </c>
      <c r="D1001" s="35">
        <f>SUM(D1000)</f>
        <v>83</v>
      </c>
      <c r="E1001" s="35">
        <f>SUM(E1000)</f>
        <v>0</v>
      </c>
      <c r="F1001" s="35">
        <v>594</v>
      </c>
      <c r="G1001" s="22">
        <f>+(D1001+E1001)/F1001</f>
        <v>0.13973063973063973</v>
      </c>
    </row>
    <row r="1002" spans="1:8" x14ac:dyDescent="0.3">
      <c r="A1002" s="24"/>
      <c r="B1002" s="25"/>
      <c r="C1002" s="26"/>
      <c r="D1002" s="31"/>
      <c r="E1002" s="28"/>
      <c r="F1002" s="28"/>
      <c r="G1002" s="29"/>
    </row>
    <row r="1003" spans="1:8" x14ac:dyDescent="0.3">
      <c r="A1003" s="24"/>
      <c r="B1003" s="25"/>
      <c r="C1003" s="30" t="s">
        <v>241</v>
      </c>
      <c r="D1003" s="31"/>
      <c r="E1003" s="28"/>
      <c r="F1003" s="28"/>
      <c r="G1003" s="29"/>
    </row>
    <row r="1004" spans="1:8" ht="21" thickBot="1" x14ac:dyDescent="0.35">
      <c r="A1004" s="82" t="s">
        <v>240</v>
      </c>
      <c r="B1004" s="62">
        <v>100</v>
      </c>
      <c r="C1004" s="63" t="s">
        <v>241</v>
      </c>
      <c r="D1004" s="36">
        <v>128</v>
      </c>
      <c r="E1004" s="34">
        <v>79</v>
      </c>
      <c r="F1004" s="34">
        <v>471</v>
      </c>
      <c r="G1004" s="64">
        <f>+(D1004+E1004)/F1004</f>
        <v>0.43949044585987262</v>
      </c>
    </row>
    <row r="1005" spans="1:8" ht="21" thickBot="1" x14ac:dyDescent="0.35">
      <c r="A1005" s="18"/>
      <c r="B1005" s="19">
        <f>COUNTA(B1004)</f>
        <v>1</v>
      </c>
      <c r="C1005" s="20" t="s">
        <v>16</v>
      </c>
      <c r="D1005" s="35">
        <f>SUM(D1004)</f>
        <v>128</v>
      </c>
      <c r="E1005" s="35">
        <f>SUM(E1004)</f>
        <v>79</v>
      </c>
      <c r="F1005" s="34">
        <v>471</v>
      </c>
      <c r="G1005" s="22">
        <f>+(D1005+E1005)/F1005</f>
        <v>0.43949044585987262</v>
      </c>
    </row>
    <row r="1006" spans="1:8" x14ac:dyDescent="0.3">
      <c r="A1006" s="24"/>
      <c r="B1006" s="25"/>
      <c r="C1006" s="26"/>
      <c r="D1006" s="31"/>
      <c r="E1006" s="28"/>
      <c r="F1006" s="28"/>
      <c r="G1006" s="29"/>
    </row>
    <row r="1007" spans="1:8" x14ac:dyDescent="0.3">
      <c r="A1007" s="24"/>
      <c r="B1007" s="25"/>
      <c r="C1007" s="30" t="s">
        <v>857</v>
      </c>
      <c r="D1007" s="31"/>
      <c r="E1007" s="28"/>
      <c r="F1007" s="28"/>
      <c r="G1007" s="29"/>
    </row>
    <row r="1008" spans="1:8" ht="21" thickBot="1" x14ac:dyDescent="0.35">
      <c r="A1008" s="84" t="s">
        <v>855</v>
      </c>
      <c r="B1008" s="69">
        <v>700</v>
      </c>
      <c r="C1008" s="70" t="s">
        <v>856</v>
      </c>
      <c r="D1008" s="36">
        <v>61</v>
      </c>
      <c r="E1008" s="34">
        <v>26</v>
      </c>
      <c r="F1008" s="34">
        <v>362</v>
      </c>
      <c r="G1008" s="71">
        <f>+(D1008+E1008)/F1008</f>
        <v>0.24033149171270718</v>
      </c>
    </row>
    <row r="1009" spans="1:7" ht="21" thickBot="1" x14ac:dyDescent="0.35">
      <c r="A1009" s="18"/>
      <c r="B1009" s="19">
        <f>COUNTA(B1008:B1008)</f>
        <v>1</v>
      </c>
      <c r="C1009" s="20" t="s">
        <v>16</v>
      </c>
      <c r="D1009" s="35">
        <f>SUM(D1008:D1008)</f>
        <v>61</v>
      </c>
      <c r="E1009" s="35">
        <f>SUM(E1008:E1008)</f>
        <v>26</v>
      </c>
      <c r="F1009" s="34">
        <v>362</v>
      </c>
      <c r="G1009" s="22">
        <f>+(D1009+E1009)/F1009</f>
        <v>0.24033149171270718</v>
      </c>
    </row>
    <row r="1010" spans="1:7" x14ac:dyDescent="0.3">
      <c r="A1010" s="24"/>
      <c r="B1010" s="25"/>
      <c r="C1010" s="26"/>
      <c r="D1010" s="31"/>
      <c r="E1010" s="28"/>
      <c r="F1010" s="28"/>
      <c r="G1010" s="29"/>
    </row>
    <row r="1011" spans="1:7" x14ac:dyDescent="0.3">
      <c r="A1011" s="24"/>
      <c r="B1011" s="25"/>
      <c r="C1011" s="30" t="s">
        <v>841</v>
      </c>
      <c r="D1011" s="31"/>
      <c r="E1011" s="28"/>
      <c r="F1011" s="28"/>
      <c r="G1011" s="29"/>
    </row>
    <row r="1012" spans="1:7" ht="21" thickBot="1" x14ac:dyDescent="0.35">
      <c r="A1012" s="82" t="s">
        <v>840</v>
      </c>
      <c r="B1012" s="62">
        <v>100</v>
      </c>
      <c r="C1012" s="63" t="s">
        <v>841</v>
      </c>
      <c r="D1012" s="36">
        <v>88</v>
      </c>
      <c r="E1012" s="34">
        <v>38</v>
      </c>
      <c r="F1012" s="34">
        <v>403</v>
      </c>
      <c r="G1012" s="64">
        <f>+(D1012+E1012)/F1012</f>
        <v>0.31265508684863524</v>
      </c>
    </row>
    <row r="1013" spans="1:7" ht="21" thickBot="1" x14ac:dyDescent="0.35">
      <c r="A1013" s="18"/>
      <c r="B1013" s="19">
        <f>COUNTA(B1012)</f>
        <v>1</v>
      </c>
      <c r="C1013" s="20" t="s">
        <v>16</v>
      </c>
      <c r="D1013" s="35">
        <f>SUM(D1012)</f>
        <v>88</v>
      </c>
      <c r="E1013" s="35">
        <f>SUM(E1012)</f>
        <v>38</v>
      </c>
      <c r="F1013" s="35">
        <v>403</v>
      </c>
      <c r="G1013" s="22">
        <f>+(D1013+E1013)/F1013</f>
        <v>0.31265508684863524</v>
      </c>
    </row>
    <row r="1014" spans="1:7" x14ac:dyDescent="0.3">
      <c r="A1014" s="24"/>
      <c r="B1014" s="25"/>
      <c r="C1014" s="26"/>
      <c r="D1014" s="31"/>
      <c r="E1014" s="28"/>
      <c r="F1014" s="28"/>
      <c r="G1014" s="29"/>
    </row>
    <row r="1015" spans="1:7" x14ac:dyDescent="0.3">
      <c r="A1015" s="24"/>
      <c r="B1015" s="25"/>
      <c r="C1015" s="30" t="s">
        <v>821</v>
      </c>
      <c r="D1015" s="31"/>
      <c r="E1015" s="28"/>
      <c r="F1015" s="28"/>
      <c r="G1015" s="29"/>
    </row>
    <row r="1016" spans="1:7" ht="21" thickBot="1" x14ac:dyDescent="0.35">
      <c r="A1016" s="82" t="s">
        <v>820</v>
      </c>
      <c r="B1016" s="62">
        <v>100</v>
      </c>
      <c r="C1016" s="63" t="s">
        <v>821</v>
      </c>
      <c r="D1016" s="36">
        <v>79</v>
      </c>
      <c r="E1016" s="34">
        <v>63</v>
      </c>
      <c r="F1016" s="34">
        <v>438</v>
      </c>
      <c r="G1016" s="64">
        <f>+(D1016+E1016)/F1016</f>
        <v>0.32420091324200911</v>
      </c>
    </row>
    <row r="1017" spans="1:7" ht="21" thickBot="1" x14ac:dyDescent="0.35">
      <c r="A1017" s="18"/>
      <c r="B1017" s="19">
        <f>COUNTA(B1016)</f>
        <v>1</v>
      </c>
      <c r="C1017" s="20" t="s">
        <v>16</v>
      </c>
      <c r="D1017" s="35">
        <f>SUM(D1016)</f>
        <v>79</v>
      </c>
      <c r="E1017" s="35">
        <f>SUM(E1016)</f>
        <v>63</v>
      </c>
      <c r="F1017" s="35">
        <v>438</v>
      </c>
      <c r="G1017" s="22">
        <f>+(D1017+E1017)/F1017</f>
        <v>0.32420091324200911</v>
      </c>
    </row>
    <row r="1018" spans="1:7" x14ac:dyDescent="0.3">
      <c r="A1018" s="24"/>
      <c r="B1018" s="25"/>
      <c r="C1018" s="26"/>
      <c r="D1018" s="31"/>
      <c r="E1018" s="28"/>
      <c r="F1018" s="28"/>
      <c r="G1018" s="29"/>
    </row>
    <row r="1019" spans="1:7" x14ac:dyDescent="0.3">
      <c r="A1019" s="24"/>
      <c r="B1019" s="25"/>
      <c r="C1019" s="30" t="s">
        <v>225</v>
      </c>
      <c r="D1019" s="31"/>
      <c r="E1019" s="28"/>
      <c r="F1019" s="28"/>
      <c r="G1019" s="29"/>
    </row>
    <row r="1020" spans="1:7" ht="21" thickBot="1" x14ac:dyDescent="0.35">
      <c r="A1020" s="82" t="s">
        <v>226</v>
      </c>
      <c r="B1020" s="85" t="s">
        <v>819</v>
      </c>
      <c r="C1020" s="63" t="s">
        <v>225</v>
      </c>
      <c r="D1020" s="36">
        <v>70</v>
      </c>
      <c r="E1020" s="34">
        <v>26</v>
      </c>
      <c r="F1020" s="34">
        <v>324</v>
      </c>
      <c r="G1020" s="64">
        <f>+(D1020+E1020)/F1020</f>
        <v>0.29629629629629628</v>
      </c>
    </row>
    <row r="1021" spans="1:7" ht="21" thickBot="1" x14ac:dyDescent="0.35">
      <c r="A1021" s="18"/>
      <c r="B1021" s="19">
        <f>COUNTA(B1020)</f>
        <v>1</v>
      </c>
      <c r="C1021" s="20" t="s">
        <v>16</v>
      </c>
      <c r="D1021" s="35">
        <f>SUM(D1020)</f>
        <v>70</v>
      </c>
      <c r="E1021" s="35">
        <f>SUM(E1020)</f>
        <v>26</v>
      </c>
      <c r="F1021" s="35">
        <v>324</v>
      </c>
      <c r="G1021" s="22">
        <f>+(D1021+E1021)/F1021</f>
        <v>0.29629629629629628</v>
      </c>
    </row>
    <row r="1022" spans="1:7" x14ac:dyDescent="0.3">
      <c r="A1022" s="24"/>
      <c r="B1022" s="25"/>
      <c r="C1022" s="26"/>
      <c r="D1022" s="31"/>
      <c r="E1022" s="28"/>
      <c r="F1022" s="28"/>
      <c r="G1022" s="29"/>
    </row>
    <row r="1023" spans="1:7" x14ac:dyDescent="0.3">
      <c r="A1023" s="24"/>
      <c r="B1023" s="25"/>
      <c r="C1023" s="30" t="s">
        <v>248</v>
      </c>
      <c r="D1023" s="31"/>
      <c r="E1023" s="28"/>
      <c r="F1023" s="28"/>
      <c r="G1023" s="29"/>
    </row>
    <row r="1024" spans="1:7" ht="21" thickBot="1" x14ac:dyDescent="0.35">
      <c r="A1024" s="82" t="s">
        <v>247</v>
      </c>
      <c r="B1024" s="62">
        <v>100</v>
      </c>
      <c r="C1024" s="86" t="s">
        <v>248</v>
      </c>
      <c r="D1024" s="36">
        <v>76</v>
      </c>
      <c r="E1024" s="34">
        <v>71</v>
      </c>
      <c r="F1024" s="34">
        <v>653</v>
      </c>
      <c r="G1024" s="64">
        <f>+(D1024+E1024)/F1024</f>
        <v>0.22511485451761101</v>
      </c>
    </row>
    <row r="1025" spans="1:7" ht="21" thickBot="1" x14ac:dyDescent="0.35">
      <c r="A1025" s="18"/>
      <c r="B1025" s="19">
        <f>COUNTA(B1024)</f>
        <v>1</v>
      </c>
      <c r="C1025" s="20" t="s">
        <v>16</v>
      </c>
      <c r="D1025" s="35">
        <f>SUM(D1024)</f>
        <v>76</v>
      </c>
      <c r="E1025" s="35">
        <f>SUM(E1024)</f>
        <v>71</v>
      </c>
      <c r="F1025" s="35">
        <v>652</v>
      </c>
      <c r="G1025" s="22">
        <f>+(D1025+E1025)/F1025</f>
        <v>0.22546012269938651</v>
      </c>
    </row>
    <row r="1026" spans="1:7" x14ac:dyDescent="0.3">
      <c r="A1026" s="24"/>
      <c r="B1026" s="25"/>
      <c r="C1026" s="26"/>
      <c r="D1026" s="31"/>
      <c r="E1026" s="28"/>
      <c r="F1026" s="28"/>
      <c r="G1026" s="29"/>
    </row>
    <row r="1027" spans="1:7" x14ac:dyDescent="0.3">
      <c r="A1027" s="24"/>
      <c r="B1027" s="25"/>
      <c r="C1027" s="30" t="s">
        <v>822</v>
      </c>
      <c r="D1027" s="31"/>
      <c r="E1027" s="28"/>
      <c r="F1027" s="28"/>
      <c r="G1027" s="29"/>
    </row>
    <row r="1028" spans="1:7" ht="21" thickBot="1" x14ac:dyDescent="0.35">
      <c r="A1028" s="82" t="s">
        <v>242</v>
      </c>
      <c r="B1028" s="87" t="s">
        <v>823</v>
      </c>
      <c r="C1028" s="63" t="s">
        <v>822</v>
      </c>
      <c r="D1028" s="36">
        <v>141</v>
      </c>
      <c r="E1028" s="34">
        <v>68</v>
      </c>
      <c r="F1028" s="34">
        <v>909</v>
      </c>
      <c r="G1028" s="64">
        <f>+(D1028+E1028)/F1028</f>
        <v>0.22992299229922991</v>
      </c>
    </row>
    <row r="1029" spans="1:7" ht="21" thickBot="1" x14ac:dyDescent="0.35">
      <c r="A1029" s="18"/>
      <c r="B1029" s="19">
        <f>COUNTA(B1028)</f>
        <v>1</v>
      </c>
      <c r="C1029" s="20" t="s">
        <v>16</v>
      </c>
      <c r="D1029" s="35">
        <f>SUM(D1028)</f>
        <v>141</v>
      </c>
      <c r="E1029" s="35">
        <f>SUM(E1028)</f>
        <v>68</v>
      </c>
      <c r="F1029" s="35">
        <v>909</v>
      </c>
      <c r="G1029" s="22">
        <f>+(D1029+E1029)/F1029</f>
        <v>0.22992299229922991</v>
      </c>
    </row>
    <row r="1030" spans="1:7" x14ac:dyDescent="0.3">
      <c r="A1030" s="24"/>
      <c r="B1030" s="25"/>
      <c r="C1030" s="26"/>
      <c r="D1030" s="31"/>
      <c r="E1030" s="28"/>
      <c r="F1030" s="28"/>
      <c r="G1030" s="29"/>
    </row>
    <row r="1031" spans="1:7" x14ac:dyDescent="0.3">
      <c r="A1031" s="24"/>
      <c r="B1031" s="25"/>
      <c r="C1031" s="30" t="s">
        <v>254</v>
      </c>
      <c r="D1031" s="31"/>
      <c r="E1031" s="28"/>
      <c r="F1031" s="28"/>
      <c r="G1031" s="29"/>
    </row>
    <row r="1032" spans="1:7" ht="21" thickBot="1" x14ac:dyDescent="0.35">
      <c r="A1032" s="82" t="s">
        <v>253</v>
      </c>
      <c r="B1032" s="62">
        <v>100</v>
      </c>
      <c r="C1032" s="63" t="s">
        <v>254</v>
      </c>
      <c r="D1032" s="36">
        <v>223</v>
      </c>
      <c r="E1032" s="34">
        <v>40</v>
      </c>
      <c r="F1032" s="34">
        <v>337</v>
      </c>
      <c r="G1032" s="64">
        <f>+(D1032+E1032)/F1032</f>
        <v>0.78041543026706228</v>
      </c>
    </row>
    <row r="1033" spans="1:7" ht="21" thickBot="1" x14ac:dyDescent="0.35">
      <c r="A1033" s="18"/>
      <c r="B1033" s="19">
        <f>COUNTA(B1032)</f>
        <v>1</v>
      </c>
      <c r="C1033" s="20" t="s">
        <v>16</v>
      </c>
      <c r="D1033" s="35">
        <f>SUM(D1032)</f>
        <v>223</v>
      </c>
      <c r="E1033" s="35">
        <f>SUM(E1032)</f>
        <v>40</v>
      </c>
      <c r="F1033" s="35">
        <v>337</v>
      </c>
      <c r="G1033" s="22">
        <f>+(D1033+E1033)/F1033</f>
        <v>0.78041543026706228</v>
      </c>
    </row>
    <row r="1034" spans="1:7" x14ac:dyDescent="0.3">
      <c r="A1034" s="24"/>
      <c r="B1034" s="25"/>
      <c r="C1034" s="26"/>
      <c r="D1034" s="31"/>
      <c r="E1034" s="28"/>
      <c r="F1034" s="28"/>
      <c r="G1034" s="29"/>
    </row>
    <row r="1035" spans="1:7" x14ac:dyDescent="0.3">
      <c r="A1035" s="24"/>
      <c r="B1035" s="25"/>
      <c r="C1035" s="30" t="s">
        <v>238</v>
      </c>
      <c r="D1035" s="31"/>
      <c r="E1035" s="28"/>
      <c r="F1035" s="28"/>
      <c r="G1035" s="29"/>
    </row>
    <row r="1036" spans="1:7" ht="21" thickBot="1" x14ac:dyDescent="0.35">
      <c r="A1036" s="82" t="s">
        <v>237</v>
      </c>
      <c r="B1036" s="62">
        <v>100</v>
      </c>
      <c r="C1036" s="63" t="s">
        <v>238</v>
      </c>
      <c r="D1036" s="36">
        <v>43</v>
      </c>
      <c r="E1036" s="34">
        <v>29</v>
      </c>
      <c r="F1036" s="34">
        <v>458</v>
      </c>
      <c r="G1036" s="64">
        <f>+(D1036+E1036)/F1036</f>
        <v>0.15720524017467249</v>
      </c>
    </row>
    <row r="1037" spans="1:7" ht="21" thickBot="1" x14ac:dyDescent="0.35">
      <c r="A1037" s="18"/>
      <c r="B1037" s="19">
        <f>COUNTA(B1036)</f>
        <v>1</v>
      </c>
      <c r="C1037" s="20" t="s">
        <v>16</v>
      </c>
      <c r="D1037" s="35">
        <f>SUM(D1036)</f>
        <v>43</v>
      </c>
      <c r="E1037" s="35">
        <f>SUM(E1036)</f>
        <v>29</v>
      </c>
      <c r="F1037" s="35">
        <v>458</v>
      </c>
      <c r="G1037" s="22">
        <f>+(D1037+E1037)/F1037</f>
        <v>0.15720524017467249</v>
      </c>
    </row>
    <row r="1038" spans="1:7" x14ac:dyDescent="0.3">
      <c r="A1038" s="24"/>
      <c r="B1038" s="25"/>
      <c r="C1038" s="26"/>
      <c r="D1038" s="31"/>
      <c r="E1038" s="28"/>
      <c r="F1038" s="28"/>
      <c r="G1038" s="29"/>
    </row>
    <row r="1039" spans="1:7" x14ac:dyDescent="0.3">
      <c r="A1039" s="24"/>
      <c r="B1039" s="25"/>
      <c r="C1039" s="30" t="s">
        <v>875</v>
      </c>
      <c r="D1039" s="31"/>
      <c r="E1039" s="28"/>
      <c r="F1039" s="28"/>
      <c r="G1039" s="29"/>
    </row>
    <row r="1040" spans="1:7" ht="21" thickBot="1" x14ac:dyDescent="0.35">
      <c r="A1040" s="84" t="s">
        <v>876</v>
      </c>
      <c r="B1040" s="69">
        <v>100</v>
      </c>
      <c r="C1040" s="60" t="s">
        <v>877</v>
      </c>
      <c r="D1040" s="36">
        <v>61</v>
      </c>
      <c r="E1040" s="34">
        <v>44</v>
      </c>
      <c r="F1040" s="34">
        <v>885</v>
      </c>
      <c r="G1040" s="71">
        <f>+(D1040+E1040)/F1040</f>
        <v>0.11864406779661017</v>
      </c>
    </row>
    <row r="1041" spans="1:7" ht="21" thickBot="1" x14ac:dyDescent="0.35">
      <c r="A1041" s="18"/>
      <c r="B1041" s="19">
        <f>COUNTA(B1040:B1040)</f>
        <v>1</v>
      </c>
      <c r="C1041" s="20" t="s">
        <v>16</v>
      </c>
      <c r="D1041" s="35">
        <f>SUM(D1040:D1040)</f>
        <v>61</v>
      </c>
      <c r="E1041" s="35">
        <f>SUM(E1040:E1040)</f>
        <v>44</v>
      </c>
      <c r="F1041" s="35">
        <v>885</v>
      </c>
      <c r="G1041" s="22">
        <f>+(D1041+E1041)/F1041</f>
        <v>0.11864406779661017</v>
      </c>
    </row>
    <row r="1042" spans="1:7" x14ac:dyDescent="0.3">
      <c r="A1042" s="24"/>
      <c r="B1042" s="25"/>
      <c r="C1042" s="26"/>
      <c r="D1042" s="31"/>
      <c r="E1042" s="28"/>
      <c r="F1042" s="28"/>
      <c r="G1042" s="29"/>
    </row>
    <row r="1043" spans="1:7" x14ac:dyDescent="0.3">
      <c r="A1043" s="24"/>
      <c r="B1043" s="25"/>
      <c r="C1043" s="30" t="s">
        <v>191</v>
      </c>
      <c r="D1043" s="31"/>
      <c r="E1043" s="28"/>
      <c r="F1043" s="28"/>
      <c r="G1043" s="29"/>
    </row>
    <row r="1044" spans="1:7" ht="21" thickBot="1" x14ac:dyDescent="0.35">
      <c r="A1044" s="82" t="s">
        <v>810</v>
      </c>
      <c r="B1044" s="62">
        <v>108</v>
      </c>
      <c r="C1044" s="63" t="s">
        <v>191</v>
      </c>
      <c r="D1044" s="36">
        <v>51</v>
      </c>
      <c r="E1044" s="34">
        <v>24</v>
      </c>
      <c r="F1044" s="34">
        <v>252</v>
      </c>
      <c r="G1044" s="64">
        <f>+(D1044+E1044)/F1044</f>
        <v>0.29761904761904762</v>
      </c>
    </row>
    <row r="1045" spans="1:7" ht="21" thickBot="1" x14ac:dyDescent="0.35">
      <c r="A1045" s="18"/>
      <c r="B1045" s="19">
        <f>COUNTA(B1044)</f>
        <v>1</v>
      </c>
      <c r="C1045" s="20" t="s">
        <v>16</v>
      </c>
      <c r="D1045" s="35">
        <f>SUM(D1044)</f>
        <v>51</v>
      </c>
      <c r="E1045" s="35">
        <f>SUM(E1044)</f>
        <v>24</v>
      </c>
      <c r="F1045" s="35">
        <v>252</v>
      </c>
      <c r="G1045" s="22">
        <f>+(D1045+E1045)/F1045</f>
        <v>0.29761904761904762</v>
      </c>
    </row>
    <row r="1046" spans="1:7" x14ac:dyDescent="0.3">
      <c r="A1046" s="24"/>
      <c r="B1046" s="37"/>
      <c r="C1046" s="104"/>
      <c r="D1046" s="27"/>
      <c r="E1046" s="28"/>
      <c r="F1046" s="28"/>
      <c r="G1046" s="29"/>
    </row>
    <row r="1047" spans="1:7" x14ac:dyDescent="0.3">
      <c r="A1047" s="24"/>
      <c r="B1047" s="25"/>
      <c r="C1047" s="30" t="s">
        <v>912</v>
      </c>
      <c r="D1047" s="31"/>
      <c r="E1047" s="28"/>
      <c r="F1047" s="28"/>
      <c r="G1047" s="29"/>
    </row>
    <row r="1048" spans="1:7" ht="21" thickBot="1" x14ac:dyDescent="0.35">
      <c r="A1048" s="82" t="s">
        <v>913</v>
      </c>
      <c r="B1048" s="62">
        <v>700</v>
      </c>
      <c r="C1048" s="63" t="s">
        <v>912</v>
      </c>
      <c r="D1048" s="36">
        <v>756</v>
      </c>
      <c r="E1048" s="34">
        <v>243</v>
      </c>
      <c r="F1048" s="34">
        <v>1906</v>
      </c>
      <c r="G1048" s="64">
        <f>+(D1048+E1048)/F1048</f>
        <v>0.52413431269674715</v>
      </c>
    </row>
    <row r="1049" spans="1:7" ht="21" thickBot="1" x14ac:dyDescent="0.35">
      <c r="A1049" s="18"/>
      <c r="B1049" s="19">
        <f>COUNTA(B1048)</f>
        <v>1</v>
      </c>
      <c r="C1049" s="20" t="s">
        <v>16</v>
      </c>
      <c r="D1049" s="35">
        <f>SUM(D1048)</f>
        <v>756</v>
      </c>
      <c r="E1049" s="35">
        <f>SUM(E1048)</f>
        <v>243</v>
      </c>
      <c r="F1049" s="34">
        <v>1906</v>
      </c>
      <c r="G1049" s="22">
        <f>+(D1049+E1049)/F1049</f>
        <v>0.52413431269674715</v>
      </c>
    </row>
    <row r="1050" spans="1:7" x14ac:dyDescent="0.3">
      <c r="A1050" s="24"/>
      <c r="B1050" s="37"/>
      <c r="C1050" s="104"/>
      <c r="D1050" s="27"/>
      <c r="E1050" s="28"/>
      <c r="F1050" s="28"/>
      <c r="G1050" s="29"/>
    </row>
    <row r="1051" spans="1:7" x14ac:dyDescent="0.3">
      <c r="A1051" s="24"/>
      <c r="B1051" s="25"/>
      <c r="C1051" s="30" t="s">
        <v>854</v>
      </c>
      <c r="D1051" s="31"/>
      <c r="E1051" s="28"/>
      <c r="F1051" s="28"/>
      <c r="G1051" s="29"/>
    </row>
    <row r="1052" spans="1:7" ht="21" thickBot="1" x14ac:dyDescent="0.35">
      <c r="A1052" s="82" t="s">
        <v>852</v>
      </c>
      <c r="B1052" s="62">
        <v>100</v>
      </c>
      <c r="C1052" s="63" t="s">
        <v>853</v>
      </c>
      <c r="D1052" s="36">
        <v>168</v>
      </c>
      <c r="E1052" s="34">
        <v>55</v>
      </c>
      <c r="F1052" s="34">
        <v>463</v>
      </c>
      <c r="G1052" s="64">
        <f>+(D1052+E1052)/F1052</f>
        <v>0.4816414686825054</v>
      </c>
    </row>
    <row r="1053" spans="1:7" ht="21" thickBot="1" x14ac:dyDescent="0.35">
      <c r="A1053" s="18"/>
      <c r="B1053" s="19">
        <f>COUNTA(B1052)</f>
        <v>1</v>
      </c>
      <c r="C1053" s="20" t="s">
        <v>16</v>
      </c>
      <c r="D1053" s="35">
        <f>SUM(D1052)</f>
        <v>168</v>
      </c>
      <c r="E1053" s="35">
        <f>SUM(E1052)</f>
        <v>55</v>
      </c>
      <c r="F1053" s="35">
        <v>463</v>
      </c>
      <c r="G1053" s="22">
        <f>+(D1053+E1053)/F1053</f>
        <v>0.4816414686825054</v>
      </c>
    </row>
    <row r="1054" spans="1:7" x14ac:dyDescent="0.3">
      <c r="A1054" s="24"/>
      <c r="B1054" s="25"/>
      <c r="C1054" s="26"/>
      <c r="D1054" s="31"/>
      <c r="E1054" s="28"/>
      <c r="F1054" s="28"/>
      <c r="G1054" s="29"/>
    </row>
    <row r="1055" spans="1:7" x14ac:dyDescent="0.3">
      <c r="A1055" s="24"/>
      <c r="B1055" s="25"/>
      <c r="C1055" s="30" t="s">
        <v>879</v>
      </c>
      <c r="D1055" s="31"/>
      <c r="E1055" s="28"/>
      <c r="F1055" s="28"/>
      <c r="G1055" s="29"/>
    </row>
    <row r="1056" spans="1:7" ht="21" thickBot="1" x14ac:dyDescent="0.35">
      <c r="A1056" s="82" t="s">
        <v>878</v>
      </c>
      <c r="B1056" s="62">
        <v>100</v>
      </c>
      <c r="C1056" s="63" t="s">
        <v>879</v>
      </c>
      <c r="D1056" s="36">
        <v>68</v>
      </c>
      <c r="E1056" s="34">
        <v>30</v>
      </c>
      <c r="F1056" s="34">
        <v>388</v>
      </c>
      <c r="G1056" s="64">
        <f>+(D1056+E1056)/F1056</f>
        <v>0.25257731958762886</v>
      </c>
    </row>
    <row r="1057" spans="1:7" ht="21" thickBot="1" x14ac:dyDescent="0.35">
      <c r="A1057" s="18"/>
      <c r="B1057" s="19">
        <f>COUNTA(B1056)</f>
        <v>1</v>
      </c>
      <c r="C1057" s="20" t="s">
        <v>16</v>
      </c>
      <c r="D1057" s="35">
        <f>SUM(D1056)</f>
        <v>68</v>
      </c>
      <c r="E1057" s="35">
        <f>SUM(E1056)</f>
        <v>30</v>
      </c>
      <c r="F1057" s="35">
        <v>388</v>
      </c>
      <c r="G1057" s="22">
        <f>+(D1057+E1057)/F1057</f>
        <v>0.25257731958762886</v>
      </c>
    </row>
    <row r="1058" spans="1:7" x14ac:dyDescent="0.3">
      <c r="A1058" s="24"/>
      <c r="B1058" s="25"/>
      <c r="C1058" s="26"/>
      <c r="D1058" s="31"/>
      <c r="E1058" s="28"/>
      <c r="F1058" s="28"/>
      <c r="G1058" s="29"/>
    </row>
    <row r="1059" spans="1:7" x14ac:dyDescent="0.3">
      <c r="A1059" s="24"/>
      <c r="B1059" s="25"/>
      <c r="C1059" s="30" t="s">
        <v>829</v>
      </c>
      <c r="D1059" s="31"/>
      <c r="E1059" s="28"/>
      <c r="F1059" s="28"/>
      <c r="G1059" s="29"/>
    </row>
    <row r="1060" spans="1:7" ht="21" thickBot="1" x14ac:dyDescent="0.35">
      <c r="A1060" s="82" t="s">
        <v>828</v>
      </c>
      <c r="B1060" s="62">
        <v>100</v>
      </c>
      <c r="C1060" s="63" t="s">
        <v>829</v>
      </c>
      <c r="D1060" s="36">
        <v>128</v>
      </c>
      <c r="E1060" s="34">
        <v>33</v>
      </c>
      <c r="F1060" s="34">
        <v>496</v>
      </c>
      <c r="G1060" s="64">
        <f>+(D1060+E1060)/F1060</f>
        <v>0.32459677419354838</v>
      </c>
    </row>
    <row r="1061" spans="1:7" ht="21" thickBot="1" x14ac:dyDescent="0.35">
      <c r="A1061" s="18"/>
      <c r="B1061" s="19">
        <f>COUNTA(B1060)</f>
        <v>1</v>
      </c>
      <c r="C1061" s="20" t="s">
        <v>16</v>
      </c>
      <c r="D1061" s="35">
        <f>SUM(D1060)</f>
        <v>128</v>
      </c>
      <c r="E1061" s="35">
        <f>SUM(E1060)</f>
        <v>33</v>
      </c>
      <c r="F1061" s="35">
        <v>501</v>
      </c>
      <c r="G1061" s="22">
        <f>+(D1061+E1061)/F1061</f>
        <v>0.32135728542914171</v>
      </c>
    </row>
    <row r="1062" spans="1:7" x14ac:dyDescent="0.3">
      <c r="A1062" s="24"/>
      <c r="B1062" s="25"/>
      <c r="C1062" s="26"/>
      <c r="D1062" s="31"/>
      <c r="E1062" s="28"/>
      <c r="F1062" s="28"/>
      <c r="G1062" s="29"/>
    </row>
    <row r="1063" spans="1:7" x14ac:dyDescent="0.3">
      <c r="A1063" s="24"/>
      <c r="B1063" s="25"/>
      <c r="C1063" s="30" t="s">
        <v>870</v>
      </c>
      <c r="D1063" s="31"/>
      <c r="E1063" s="28"/>
      <c r="F1063" s="28"/>
      <c r="G1063" s="29"/>
    </row>
    <row r="1064" spans="1:7" ht="21" thickBot="1" x14ac:dyDescent="0.35">
      <c r="A1064" s="82" t="s">
        <v>895</v>
      </c>
      <c r="B1064" s="62">
        <v>300</v>
      </c>
      <c r="C1064" s="63" t="s">
        <v>870</v>
      </c>
      <c r="D1064" s="36">
        <v>38</v>
      </c>
      <c r="E1064" s="34">
        <v>25</v>
      </c>
      <c r="F1064" s="34">
        <v>679</v>
      </c>
      <c r="G1064" s="64">
        <f>+(D1064+E1064)/F1064</f>
        <v>9.2783505154639179E-2</v>
      </c>
    </row>
    <row r="1065" spans="1:7" ht="21" thickBot="1" x14ac:dyDescent="0.35">
      <c r="A1065" s="18"/>
      <c r="B1065" s="19">
        <f>COUNTA(B1064)</f>
        <v>1</v>
      </c>
      <c r="C1065" s="20" t="s">
        <v>16</v>
      </c>
      <c r="D1065" s="35">
        <f>SUM(D1064)</f>
        <v>38</v>
      </c>
      <c r="E1065" s="35">
        <f>SUM(E1064)</f>
        <v>25</v>
      </c>
      <c r="F1065" s="35">
        <v>679</v>
      </c>
      <c r="G1065" s="22">
        <f>+(D1065+E1065)/F1065</f>
        <v>9.2783505154639179E-2</v>
      </c>
    </row>
    <row r="1066" spans="1:7" x14ac:dyDescent="0.3">
      <c r="A1066" s="24"/>
      <c r="B1066" s="25"/>
      <c r="C1066" s="26"/>
      <c r="D1066" s="31"/>
      <c r="E1066" s="28"/>
      <c r="F1066" s="28"/>
      <c r="G1066" s="29"/>
    </row>
    <row r="1067" spans="1:7" x14ac:dyDescent="0.3">
      <c r="A1067" s="24"/>
      <c r="B1067" s="25"/>
      <c r="C1067" s="30" t="s">
        <v>227</v>
      </c>
      <c r="D1067" s="31"/>
      <c r="E1067" s="28"/>
      <c r="F1067" s="28"/>
      <c r="G1067" s="29"/>
    </row>
    <row r="1068" spans="1:7" ht="21" thickBot="1" x14ac:dyDescent="0.35">
      <c r="A1068" s="82" t="s">
        <v>228</v>
      </c>
      <c r="B1068" s="62">
        <v>100</v>
      </c>
      <c r="C1068" s="63" t="s">
        <v>227</v>
      </c>
      <c r="D1068" s="36">
        <v>145</v>
      </c>
      <c r="E1068" s="34">
        <v>75</v>
      </c>
      <c r="F1068" s="34">
        <v>595</v>
      </c>
      <c r="G1068" s="64">
        <f>+(D1068+E1068)/F1068</f>
        <v>0.36974789915966388</v>
      </c>
    </row>
    <row r="1069" spans="1:7" ht="21" thickBot="1" x14ac:dyDescent="0.35">
      <c r="A1069" s="18"/>
      <c r="B1069" s="19">
        <f>COUNTA(B1068)</f>
        <v>1</v>
      </c>
      <c r="C1069" s="20" t="s">
        <v>16</v>
      </c>
      <c r="D1069" s="35">
        <f>SUM(D1068)</f>
        <v>145</v>
      </c>
      <c r="E1069" s="35">
        <f>SUM(E1068)</f>
        <v>75</v>
      </c>
      <c r="F1069" s="35">
        <v>595</v>
      </c>
      <c r="G1069" s="22">
        <f>+(D1069+E1069)/F1069</f>
        <v>0.36974789915966388</v>
      </c>
    </row>
    <row r="1070" spans="1:7" x14ac:dyDescent="0.3">
      <c r="A1070" s="24"/>
      <c r="B1070" s="25"/>
      <c r="C1070" s="26"/>
      <c r="D1070" s="31"/>
      <c r="E1070" s="28"/>
      <c r="F1070" s="28"/>
      <c r="G1070" s="29"/>
    </row>
    <row r="1071" spans="1:7" x14ac:dyDescent="0.3">
      <c r="A1071" s="24"/>
      <c r="B1071" s="25"/>
      <c r="C1071" s="30" t="s">
        <v>330</v>
      </c>
      <c r="D1071" s="31"/>
      <c r="E1071" s="28"/>
      <c r="F1071" s="28"/>
      <c r="G1071" s="29"/>
    </row>
    <row r="1072" spans="1:7" ht="21" thickBot="1" x14ac:dyDescent="0.35">
      <c r="A1072" s="82" t="s">
        <v>329</v>
      </c>
      <c r="B1072" s="62">
        <v>100</v>
      </c>
      <c r="C1072" s="63" t="s">
        <v>330</v>
      </c>
      <c r="D1072" s="36">
        <v>151</v>
      </c>
      <c r="E1072" s="34">
        <v>65</v>
      </c>
      <c r="F1072" s="34">
        <v>666</v>
      </c>
      <c r="G1072" s="64">
        <f>+(D1072+E1072)/F1072</f>
        <v>0.32432432432432434</v>
      </c>
    </row>
    <row r="1073" spans="1:7" ht="21" thickBot="1" x14ac:dyDescent="0.35">
      <c r="A1073" s="18"/>
      <c r="B1073" s="19">
        <f>COUNTA(B1072)</f>
        <v>1</v>
      </c>
      <c r="C1073" s="20" t="s">
        <v>16</v>
      </c>
      <c r="D1073" s="35">
        <f>SUM(D1072)</f>
        <v>151</v>
      </c>
      <c r="E1073" s="35">
        <f>SUM(E1072)</f>
        <v>65</v>
      </c>
      <c r="F1073" s="35">
        <v>666</v>
      </c>
      <c r="G1073" s="22">
        <f>+(D1073+E1073)/F1073</f>
        <v>0.32432432432432434</v>
      </c>
    </row>
    <row r="1074" spans="1:7" x14ac:dyDescent="0.3">
      <c r="A1074" s="24"/>
      <c r="B1074" s="25"/>
      <c r="C1074" s="26"/>
      <c r="D1074" s="31"/>
      <c r="E1074" s="28"/>
      <c r="F1074" s="28"/>
      <c r="G1074" s="29"/>
    </row>
    <row r="1075" spans="1:7" x14ac:dyDescent="0.3">
      <c r="A1075" s="24"/>
      <c r="B1075" s="25"/>
      <c r="C1075" s="30" t="s">
        <v>815</v>
      </c>
      <c r="D1075" s="31"/>
      <c r="E1075" s="28"/>
      <c r="F1075" s="28"/>
      <c r="G1075" s="29"/>
    </row>
    <row r="1076" spans="1:7" ht="21" thickBot="1" x14ac:dyDescent="0.35">
      <c r="A1076" s="82" t="s">
        <v>814</v>
      </c>
      <c r="B1076" s="62">
        <v>100</v>
      </c>
      <c r="C1076" s="63" t="s">
        <v>815</v>
      </c>
      <c r="D1076" s="36">
        <v>88</v>
      </c>
      <c r="E1076" s="34">
        <v>94</v>
      </c>
      <c r="F1076" s="34">
        <v>605</v>
      </c>
      <c r="G1076" s="64">
        <f>+(D1076+E1076)/F1076</f>
        <v>0.30082644628099175</v>
      </c>
    </row>
    <row r="1077" spans="1:7" ht="21" thickBot="1" x14ac:dyDescent="0.35">
      <c r="A1077" s="18"/>
      <c r="B1077" s="19">
        <f>COUNTA(B1076)</f>
        <v>1</v>
      </c>
      <c r="C1077" s="20" t="s">
        <v>16</v>
      </c>
      <c r="D1077" s="35">
        <f>SUM(D1076)</f>
        <v>88</v>
      </c>
      <c r="E1077" s="35">
        <f>SUM(E1076)</f>
        <v>94</v>
      </c>
      <c r="F1077" s="35">
        <v>605</v>
      </c>
      <c r="G1077" s="22">
        <f>+(D1077+E1077)/F1077</f>
        <v>0.30082644628099175</v>
      </c>
    </row>
    <row r="1078" spans="1:7" x14ac:dyDescent="0.3">
      <c r="A1078" s="24"/>
      <c r="B1078" s="25"/>
      <c r="C1078" s="26"/>
      <c r="D1078" s="31"/>
      <c r="E1078" s="28"/>
      <c r="F1078" s="28"/>
      <c r="G1078" s="29"/>
    </row>
    <row r="1079" spans="1:7" x14ac:dyDescent="0.3">
      <c r="A1079" s="24"/>
      <c r="B1079" s="25"/>
      <c r="C1079" s="30" t="s">
        <v>859</v>
      </c>
      <c r="D1079" s="31"/>
      <c r="E1079" s="28"/>
      <c r="F1079" s="28"/>
      <c r="G1079" s="29"/>
    </row>
    <row r="1080" spans="1:7" ht="21" thickBot="1" x14ac:dyDescent="0.35">
      <c r="A1080" s="82" t="s">
        <v>858</v>
      </c>
      <c r="B1080" s="62">
        <v>700</v>
      </c>
      <c r="C1080" s="63" t="s">
        <v>859</v>
      </c>
      <c r="D1080" s="36">
        <v>28</v>
      </c>
      <c r="E1080" s="34">
        <v>15</v>
      </c>
      <c r="F1080" s="34">
        <v>284</v>
      </c>
      <c r="G1080" s="64">
        <f>+(D1080+E1080)/F1080</f>
        <v>0.15140845070422534</v>
      </c>
    </row>
    <row r="1081" spans="1:7" ht="21" thickBot="1" x14ac:dyDescent="0.35">
      <c r="A1081" s="18"/>
      <c r="B1081" s="19">
        <f>COUNTA(B1080)</f>
        <v>1</v>
      </c>
      <c r="C1081" s="20" t="s">
        <v>16</v>
      </c>
      <c r="D1081" s="35">
        <f>SUM(D1080)</f>
        <v>28</v>
      </c>
      <c r="E1081" s="35">
        <f>SUM(E1080)</f>
        <v>15</v>
      </c>
      <c r="F1081" s="35">
        <v>284</v>
      </c>
      <c r="G1081" s="22">
        <f>+(D1081+E1081)/F1081</f>
        <v>0.15140845070422534</v>
      </c>
    </row>
    <row r="1082" spans="1:7" x14ac:dyDescent="0.3">
      <c r="A1082" s="24"/>
      <c r="B1082" s="25"/>
      <c r="C1082" s="26"/>
      <c r="D1082" s="31"/>
      <c r="E1082" s="28"/>
      <c r="F1082" s="28"/>
      <c r="G1082" s="29"/>
    </row>
    <row r="1083" spans="1:7" x14ac:dyDescent="0.3">
      <c r="A1083" s="24"/>
      <c r="B1083" s="25"/>
      <c r="C1083" s="30" t="s">
        <v>832</v>
      </c>
      <c r="D1083" s="31"/>
      <c r="E1083" s="28"/>
      <c r="F1083" s="28"/>
      <c r="G1083" s="29"/>
    </row>
    <row r="1084" spans="1:7" ht="21" thickBot="1" x14ac:dyDescent="0.35">
      <c r="A1084" s="82" t="s">
        <v>239</v>
      </c>
      <c r="B1084" s="87">
        <v>100</v>
      </c>
      <c r="C1084" s="63" t="s">
        <v>832</v>
      </c>
      <c r="D1084" s="36">
        <v>314</v>
      </c>
      <c r="E1084" s="34">
        <v>126</v>
      </c>
      <c r="F1084" s="34">
        <v>1428</v>
      </c>
      <c r="G1084" s="64">
        <f>+(D1084+E1084)/F1084</f>
        <v>0.3081232492997199</v>
      </c>
    </row>
    <row r="1085" spans="1:7" ht="21" thickBot="1" x14ac:dyDescent="0.35">
      <c r="A1085" s="18"/>
      <c r="B1085" s="19">
        <f>COUNTA(B1084)</f>
        <v>1</v>
      </c>
      <c r="C1085" s="20" t="s">
        <v>16</v>
      </c>
      <c r="D1085" s="35">
        <f>SUM(D1084)</f>
        <v>314</v>
      </c>
      <c r="E1085" s="35">
        <f>SUM(E1084)</f>
        <v>126</v>
      </c>
      <c r="F1085" s="35">
        <v>1428</v>
      </c>
      <c r="G1085" s="22">
        <f>+(D1085+E1085)/F1085</f>
        <v>0.3081232492997199</v>
      </c>
    </row>
    <row r="1086" spans="1:7" x14ac:dyDescent="0.3">
      <c r="A1086" s="24"/>
      <c r="B1086" s="25"/>
      <c r="C1086" s="26"/>
      <c r="D1086" s="31"/>
      <c r="E1086" s="28"/>
      <c r="F1086" s="28"/>
      <c r="G1086" s="29"/>
    </row>
    <row r="1087" spans="1:7" x14ac:dyDescent="0.3">
      <c r="A1087" s="24"/>
      <c r="B1087" s="25"/>
      <c r="C1087" s="30" t="s">
        <v>827</v>
      </c>
      <c r="D1087" s="31"/>
      <c r="E1087" s="28"/>
      <c r="F1087" s="28"/>
      <c r="G1087" s="29"/>
    </row>
    <row r="1088" spans="1:7" ht="21" thickBot="1" x14ac:dyDescent="0.35">
      <c r="A1088" s="82" t="s">
        <v>826</v>
      </c>
      <c r="B1088" s="62">
        <v>240</v>
      </c>
      <c r="C1088" s="63" t="s">
        <v>827</v>
      </c>
      <c r="D1088" s="36">
        <v>71</v>
      </c>
      <c r="E1088" s="34">
        <v>33</v>
      </c>
      <c r="F1088" s="34">
        <v>334</v>
      </c>
      <c r="G1088" s="64">
        <f>+(D1088+E1088)/F1088</f>
        <v>0.31137724550898205</v>
      </c>
    </row>
    <row r="1089" spans="1:7" ht="21" thickBot="1" x14ac:dyDescent="0.35">
      <c r="A1089" s="18"/>
      <c r="B1089" s="19">
        <f>COUNTA(B1088)</f>
        <v>1</v>
      </c>
      <c r="C1089" s="20" t="s">
        <v>16</v>
      </c>
      <c r="D1089" s="35">
        <f>SUM(D1088)</f>
        <v>71</v>
      </c>
      <c r="E1089" s="35">
        <f>SUM(E1088)</f>
        <v>33</v>
      </c>
      <c r="F1089" s="35">
        <v>334</v>
      </c>
      <c r="G1089" s="22">
        <f>+(D1089+E1089)/F1089</f>
        <v>0.31137724550898205</v>
      </c>
    </row>
    <row r="1090" spans="1:7" x14ac:dyDescent="0.3">
      <c r="A1090" s="24"/>
      <c r="B1090" s="25"/>
      <c r="C1090" s="26"/>
      <c r="D1090" s="31"/>
      <c r="E1090" s="28"/>
      <c r="F1090" s="28"/>
      <c r="G1090" s="29"/>
    </row>
    <row r="1091" spans="1:7" x14ac:dyDescent="0.3">
      <c r="A1091" s="24"/>
      <c r="B1091" s="25"/>
      <c r="C1091" s="30" t="s">
        <v>818</v>
      </c>
      <c r="D1091" s="31"/>
      <c r="E1091" s="28"/>
      <c r="F1091" s="28"/>
      <c r="G1091" s="29"/>
    </row>
    <row r="1092" spans="1:7" ht="21" thickBot="1" x14ac:dyDescent="0.35">
      <c r="A1092" s="82" t="s">
        <v>817</v>
      </c>
      <c r="B1092" s="62">
        <v>700</v>
      </c>
      <c r="C1092" s="63" t="s">
        <v>818</v>
      </c>
      <c r="D1092" s="36">
        <v>119</v>
      </c>
      <c r="E1092" s="34">
        <v>51</v>
      </c>
      <c r="F1092" s="34">
        <v>601</v>
      </c>
      <c r="G1092" s="64">
        <f>+(D1092+E1092)/F1092</f>
        <v>0.28286189683860236</v>
      </c>
    </row>
    <row r="1093" spans="1:7" ht="21" thickBot="1" x14ac:dyDescent="0.35">
      <c r="A1093" s="18"/>
      <c r="B1093" s="19">
        <f>COUNTA(B1092)</f>
        <v>1</v>
      </c>
      <c r="C1093" s="20" t="s">
        <v>16</v>
      </c>
      <c r="D1093" s="35">
        <f>SUM(D1092)</f>
        <v>119</v>
      </c>
      <c r="E1093" s="35">
        <f>SUM(E1092)</f>
        <v>51</v>
      </c>
      <c r="F1093" s="35">
        <v>601</v>
      </c>
      <c r="G1093" s="22">
        <f>+(D1093+E1093)/F1093</f>
        <v>0.28286189683860236</v>
      </c>
    </row>
    <row r="1094" spans="1:7" x14ac:dyDescent="0.3">
      <c r="A1094" s="24"/>
      <c r="B1094" s="25"/>
      <c r="C1094" s="26"/>
      <c r="D1094" s="31"/>
      <c r="E1094" s="28"/>
      <c r="F1094" s="28"/>
      <c r="G1094" s="29"/>
    </row>
    <row r="1095" spans="1:7" x14ac:dyDescent="0.3">
      <c r="A1095" s="24"/>
      <c r="B1095" s="25"/>
      <c r="C1095" s="30" t="s">
        <v>847</v>
      </c>
      <c r="D1095" s="31"/>
      <c r="E1095" s="28"/>
      <c r="F1095" s="28"/>
      <c r="G1095" s="29"/>
    </row>
    <row r="1096" spans="1:7" ht="21" thickBot="1" x14ac:dyDescent="0.35">
      <c r="A1096" s="82" t="s">
        <v>846</v>
      </c>
      <c r="B1096" s="62">
        <v>700</v>
      </c>
      <c r="C1096" s="63" t="s">
        <v>847</v>
      </c>
      <c r="D1096" s="36">
        <v>56</v>
      </c>
      <c r="E1096" s="34">
        <v>20</v>
      </c>
      <c r="F1096" s="34">
        <v>342</v>
      </c>
      <c r="G1096" s="64">
        <f>+(D1096+E1096)/F1096</f>
        <v>0.22222222222222221</v>
      </c>
    </row>
    <row r="1097" spans="1:7" ht="21" thickBot="1" x14ac:dyDescent="0.35">
      <c r="A1097" s="18"/>
      <c r="B1097" s="19">
        <f>COUNTA(B1096)</f>
        <v>1</v>
      </c>
      <c r="C1097" s="20" t="s">
        <v>16</v>
      </c>
      <c r="D1097" s="35">
        <f>SUM(D1096)</f>
        <v>56</v>
      </c>
      <c r="E1097" s="35">
        <f>SUM(E1096)</f>
        <v>20</v>
      </c>
      <c r="F1097" s="35">
        <v>342</v>
      </c>
      <c r="G1097" s="22">
        <f>+(D1097+E1097)/F1097</f>
        <v>0.22222222222222221</v>
      </c>
    </row>
    <row r="1098" spans="1:7" x14ac:dyDescent="0.3">
      <c r="A1098" s="24"/>
      <c r="B1098" s="25"/>
      <c r="C1098" s="26"/>
      <c r="D1098" s="31"/>
      <c r="E1098" s="28"/>
      <c r="F1098" s="28"/>
      <c r="G1098" s="29"/>
    </row>
    <row r="1099" spans="1:7" x14ac:dyDescent="0.3">
      <c r="A1099" s="24"/>
      <c r="B1099" s="25"/>
      <c r="C1099" s="30" t="s">
        <v>256</v>
      </c>
      <c r="D1099" s="31"/>
      <c r="E1099" s="28"/>
      <c r="F1099" s="28"/>
      <c r="G1099" s="29"/>
    </row>
    <row r="1100" spans="1:7" ht="21" thickBot="1" x14ac:dyDescent="0.35">
      <c r="A1100" s="82" t="s">
        <v>255</v>
      </c>
      <c r="B1100" s="62" t="s">
        <v>813</v>
      </c>
      <c r="C1100" s="63" t="s">
        <v>256</v>
      </c>
      <c r="D1100" s="36">
        <v>57</v>
      </c>
      <c r="E1100" s="34">
        <v>33</v>
      </c>
      <c r="F1100" s="34">
        <v>451</v>
      </c>
      <c r="G1100" s="64">
        <f>+(D1100+E1100)/F1100</f>
        <v>0.19955654101995565</v>
      </c>
    </row>
    <row r="1101" spans="1:7" ht="21" thickBot="1" x14ac:dyDescent="0.35">
      <c r="A1101" s="18"/>
      <c r="B1101" s="19">
        <f>COUNTA(B1100)</f>
        <v>1</v>
      </c>
      <c r="C1101" s="20" t="s">
        <v>16</v>
      </c>
      <c r="D1101" s="35">
        <f>SUM(D1100)</f>
        <v>57</v>
      </c>
      <c r="E1101" s="35">
        <f>SUM(E1100)</f>
        <v>33</v>
      </c>
      <c r="F1101" s="35">
        <v>451</v>
      </c>
      <c r="G1101" s="22">
        <f>+(D1101+E1101)/F1101</f>
        <v>0.19955654101995565</v>
      </c>
    </row>
    <row r="1102" spans="1:7" x14ac:dyDescent="0.3">
      <c r="A1102" s="24"/>
      <c r="B1102" s="25"/>
      <c r="C1102" s="26"/>
      <c r="D1102" s="31"/>
      <c r="E1102" s="28"/>
      <c r="F1102" s="28"/>
      <c r="G1102" s="29"/>
    </row>
    <row r="1103" spans="1:7" x14ac:dyDescent="0.3">
      <c r="A1103" s="24"/>
      <c r="B1103" s="25"/>
      <c r="C1103" s="30" t="s">
        <v>884</v>
      </c>
      <c r="D1103" s="31"/>
      <c r="E1103" s="28"/>
      <c r="F1103" s="28"/>
      <c r="G1103" s="29"/>
    </row>
    <row r="1104" spans="1:7" ht="21" thickBot="1" x14ac:dyDescent="0.35">
      <c r="A1104" s="84" t="s">
        <v>885</v>
      </c>
      <c r="B1104" s="69">
        <v>100</v>
      </c>
      <c r="C1104" s="60" t="s">
        <v>884</v>
      </c>
      <c r="D1104" s="66">
        <v>111</v>
      </c>
      <c r="E1104" s="67">
        <v>73</v>
      </c>
      <c r="F1104" s="67">
        <v>1291</v>
      </c>
      <c r="G1104" s="71">
        <f>+(D1104+E1104)/F1104</f>
        <v>0.14252517428350117</v>
      </c>
    </row>
    <row r="1105" spans="1:7" ht="21" thickBot="1" x14ac:dyDescent="0.35">
      <c r="A1105" s="18"/>
      <c r="B1105" s="19">
        <f>COUNTA(B1104:B1104)</f>
        <v>1</v>
      </c>
      <c r="C1105" s="88" t="s">
        <v>16</v>
      </c>
      <c r="D1105" s="35">
        <f>SUM(D1104:D1104)</f>
        <v>111</v>
      </c>
      <c r="E1105" s="35">
        <f>SUM(E1104:E1104)</f>
        <v>73</v>
      </c>
      <c r="F1105" s="35">
        <v>1291</v>
      </c>
      <c r="G1105" s="22">
        <f>+(D1105+E1105)/F1105</f>
        <v>0.14252517428350117</v>
      </c>
    </row>
    <row r="1106" spans="1:7" x14ac:dyDescent="0.3">
      <c r="A1106" s="24"/>
      <c r="B1106" s="25"/>
      <c r="C1106" s="26"/>
      <c r="D1106" s="31"/>
      <c r="E1106" s="28"/>
      <c r="F1106" s="28"/>
      <c r="G1106" s="29"/>
    </row>
    <row r="1107" spans="1:7" x14ac:dyDescent="0.3">
      <c r="A1107" s="24"/>
      <c r="B1107" s="25"/>
      <c r="C1107" s="30" t="s">
        <v>866</v>
      </c>
      <c r="D1107" s="31"/>
      <c r="E1107" s="28"/>
      <c r="F1107" s="28"/>
      <c r="G1107" s="29"/>
    </row>
    <row r="1108" spans="1:7" ht="21" thickBot="1" x14ac:dyDescent="0.35">
      <c r="A1108" s="84" t="s">
        <v>865</v>
      </c>
      <c r="B1108" s="69">
        <v>100</v>
      </c>
      <c r="C1108" s="60" t="s">
        <v>866</v>
      </c>
      <c r="D1108" s="66">
        <v>194</v>
      </c>
      <c r="E1108" s="67">
        <v>50</v>
      </c>
      <c r="F1108" s="67">
        <v>428</v>
      </c>
      <c r="G1108" s="71">
        <f>+(D1108+E1108)/F1108</f>
        <v>0.57009345794392519</v>
      </c>
    </row>
    <row r="1109" spans="1:7" ht="21" thickBot="1" x14ac:dyDescent="0.35">
      <c r="A1109" s="18"/>
      <c r="B1109" s="19">
        <f>COUNTA(B1108:B1108)</f>
        <v>1</v>
      </c>
      <c r="C1109" s="88" t="s">
        <v>16</v>
      </c>
      <c r="D1109" s="35">
        <f>SUM(D1108:D1108)</f>
        <v>194</v>
      </c>
      <c r="E1109" s="35">
        <f>SUM(E1108:E1108)</f>
        <v>50</v>
      </c>
      <c r="F1109" s="35">
        <v>428</v>
      </c>
      <c r="G1109" s="22">
        <f>+(D1109+E1109)/F1109</f>
        <v>0.57009345794392519</v>
      </c>
    </row>
    <row r="1110" spans="1:7" x14ac:dyDescent="0.3">
      <c r="A1110" s="24"/>
      <c r="B1110" s="25"/>
      <c r="C1110" s="26"/>
      <c r="D1110" s="31"/>
      <c r="E1110" s="28"/>
      <c r="F1110" s="28"/>
      <c r="G1110" s="29"/>
    </row>
    <row r="1111" spans="1:7" x14ac:dyDescent="0.3">
      <c r="A1111" s="24"/>
      <c r="B1111" s="25"/>
      <c r="C1111" s="30" t="s">
        <v>861</v>
      </c>
      <c r="D1111" s="31"/>
      <c r="E1111" s="28"/>
      <c r="F1111" s="28"/>
      <c r="G1111" s="29"/>
    </row>
    <row r="1112" spans="1:7" ht="21" thickBot="1" x14ac:dyDescent="0.35">
      <c r="A1112" s="82" t="s">
        <v>860</v>
      </c>
      <c r="B1112" s="62">
        <v>100</v>
      </c>
      <c r="C1112" s="63" t="s">
        <v>861</v>
      </c>
      <c r="D1112" s="36">
        <v>48</v>
      </c>
      <c r="E1112" s="34">
        <v>22</v>
      </c>
      <c r="F1112" s="34">
        <v>310</v>
      </c>
      <c r="G1112" s="64">
        <f>+(D1112+E1112)/F1112</f>
        <v>0.22580645161290322</v>
      </c>
    </row>
    <row r="1113" spans="1:7" ht="21" thickBot="1" x14ac:dyDescent="0.35">
      <c r="A1113" s="18"/>
      <c r="B1113" s="19">
        <f>COUNTA(B1112)</f>
        <v>1</v>
      </c>
      <c r="C1113" s="20" t="s">
        <v>16</v>
      </c>
      <c r="D1113" s="35">
        <f>SUM(D1112)</f>
        <v>48</v>
      </c>
      <c r="E1113" s="35">
        <f>SUM(E1112)</f>
        <v>22</v>
      </c>
      <c r="F1113" s="35">
        <v>310</v>
      </c>
      <c r="G1113" s="22">
        <f>+(D1113+E1113)/F1113</f>
        <v>0.22580645161290322</v>
      </c>
    </row>
    <row r="1114" spans="1:7" x14ac:dyDescent="0.3">
      <c r="A1114" s="24"/>
      <c r="B1114" s="25"/>
      <c r="C1114" s="26"/>
      <c r="D1114" s="31"/>
      <c r="E1114" s="28"/>
      <c r="F1114" s="28"/>
      <c r="G1114" s="29"/>
    </row>
    <row r="1115" spans="1:7" x14ac:dyDescent="0.3">
      <c r="A1115" s="24"/>
      <c r="B1115" s="25"/>
      <c r="C1115" s="30" t="s">
        <v>213</v>
      </c>
      <c r="D1115" s="31"/>
      <c r="E1115" s="28"/>
      <c r="F1115" s="28"/>
      <c r="G1115" s="29"/>
    </row>
    <row r="1116" spans="1:7" ht="21" thickBot="1" x14ac:dyDescent="0.35">
      <c r="A1116" s="82" t="s">
        <v>206</v>
      </c>
      <c r="B1116" s="62">
        <v>700</v>
      </c>
      <c r="C1116" s="63" t="s">
        <v>213</v>
      </c>
      <c r="D1116" s="36">
        <v>191</v>
      </c>
      <c r="E1116" s="34">
        <v>35</v>
      </c>
      <c r="F1116" s="34">
        <v>935</v>
      </c>
      <c r="G1116" s="64">
        <f>+(D1116+E1116)/F1116</f>
        <v>0.24171122994652405</v>
      </c>
    </row>
    <row r="1117" spans="1:7" ht="21" thickBot="1" x14ac:dyDescent="0.35">
      <c r="A1117" s="18"/>
      <c r="B1117" s="19">
        <f>COUNTA(B1116)</f>
        <v>1</v>
      </c>
      <c r="C1117" s="20" t="s">
        <v>16</v>
      </c>
      <c r="D1117" s="35">
        <f>SUM(D1116)</f>
        <v>191</v>
      </c>
      <c r="E1117" s="35">
        <f>SUM(E1116)</f>
        <v>35</v>
      </c>
      <c r="F1117" s="35">
        <v>935</v>
      </c>
      <c r="G1117" s="22">
        <f>+(D1117+E1117)/F1117</f>
        <v>0.24171122994652405</v>
      </c>
    </row>
    <row r="1118" spans="1:7" x14ac:dyDescent="0.3">
      <c r="A1118" s="24"/>
      <c r="B1118" s="25"/>
      <c r="C1118" s="26"/>
      <c r="D1118" s="31"/>
      <c r="E1118" s="28"/>
      <c r="F1118" s="28"/>
      <c r="G1118" s="29"/>
    </row>
    <row r="1119" spans="1:7" x14ac:dyDescent="0.3">
      <c r="A1119" s="24"/>
      <c r="B1119" s="25"/>
      <c r="C1119" s="30" t="s">
        <v>345</v>
      </c>
      <c r="D1119" s="31"/>
      <c r="E1119" s="28"/>
      <c r="F1119" s="28"/>
      <c r="G1119" s="29"/>
    </row>
    <row r="1120" spans="1:7" ht="21" thickBot="1" x14ac:dyDescent="0.35">
      <c r="A1120" s="82" t="s">
        <v>344</v>
      </c>
      <c r="B1120" s="62">
        <v>100</v>
      </c>
      <c r="C1120" s="63" t="s">
        <v>345</v>
      </c>
      <c r="D1120" s="36">
        <v>49</v>
      </c>
      <c r="E1120" s="34">
        <v>25</v>
      </c>
      <c r="F1120" s="34">
        <v>906</v>
      </c>
      <c r="G1120" s="64">
        <f>+(D1120+E1120)/F1120</f>
        <v>8.1677704194260486E-2</v>
      </c>
    </row>
    <row r="1121" spans="1:7" ht="21" thickBot="1" x14ac:dyDescent="0.35">
      <c r="A1121" s="18"/>
      <c r="B1121" s="19">
        <f>COUNTA(B1120)</f>
        <v>1</v>
      </c>
      <c r="C1121" s="20" t="s">
        <v>16</v>
      </c>
      <c r="D1121" s="35">
        <f>SUM(D1120)</f>
        <v>49</v>
      </c>
      <c r="E1121" s="35">
        <f>SUM(E1120)</f>
        <v>25</v>
      </c>
      <c r="F1121" s="35">
        <v>906</v>
      </c>
      <c r="G1121" s="22">
        <f>+(D1121+E1121)/F1121</f>
        <v>8.1677704194260486E-2</v>
      </c>
    </row>
    <row r="1122" spans="1:7" x14ac:dyDescent="0.3">
      <c r="A1122" s="24"/>
      <c r="B1122" s="25"/>
      <c r="C1122" s="26"/>
      <c r="D1122" s="31"/>
      <c r="E1122" s="28"/>
      <c r="F1122" s="28"/>
      <c r="G1122" s="29"/>
    </row>
    <row r="1123" spans="1:7" x14ac:dyDescent="0.3">
      <c r="A1123" s="24"/>
      <c r="B1123" s="25"/>
      <c r="C1123" s="30" t="s">
        <v>328</v>
      </c>
      <c r="D1123" s="31"/>
      <c r="E1123" s="28"/>
      <c r="F1123" s="28"/>
      <c r="G1123" s="29"/>
    </row>
    <row r="1124" spans="1:7" ht="21" thickBot="1" x14ac:dyDescent="0.35">
      <c r="A1124" s="82" t="s">
        <v>327</v>
      </c>
      <c r="B1124" s="62">
        <v>100</v>
      </c>
      <c r="C1124" s="63" t="s">
        <v>328</v>
      </c>
      <c r="D1124" s="36">
        <v>12</v>
      </c>
      <c r="E1124" s="34">
        <v>4</v>
      </c>
      <c r="F1124" s="34">
        <v>61</v>
      </c>
      <c r="G1124" s="64">
        <f>+(D1124+E1124)/F1124</f>
        <v>0.26229508196721313</v>
      </c>
    </row>
    <row r="1125" spans="1:7" ht="21" thickBot="1" x14ac:dyDescent="0.35">
      <c r="A1125" s="18"/>
      <c r="B1125" s="19">
        <f>COUNTA(B1124)</f>
        <v>1</v>
      </c>
      <c r="C1125" s="20" t="s">
        <v>16</v>
      </c>
      <c r="D1125" s="35">
        <f>SUM(D1124)</f>
        <v>12</v>
      </c>
      <c r="E1125" s="35">
        <f>SUM(E1124)</f>
        <v>4</v>
      </c>
      <c r="F1125" s="35">
        <v>61</v>
      </c>
      <c r="G1125" s="22">
        <f>+(D1125+E1125)/F1125</f>
        <v>0.26229508196721313</v>
      </c>
    </row>
    <row r="1126" spans="1:7" x14ac:dyDescent="0.3">
      <c r="A1126" s="24"/>
      <c r="B1126" s="25"/>
      <c r="C1126" s="26"/>
      <c r="D1126" s="31"/>
      <c r="E1126" s="28"/>
      <c r="F1126" s="28"/>
      <c r="G1126" s="29"/>
    </row>
    <row r="1127" spans="1:7" x14ac:dyDescent="0.3">
      <c r="A1127" s="24"/>
      <c r="B1127" s="25"/>
      <c r="C1127" s="30" t="s">
        <v>914</v>
      </c>
      <c r="D1127" s="31"/>
      <c r="E1127" s="28"/>
      <c r="F1127" s="28"/>
      <c r="G1127" s="29"/>
    </row>
    <row r="1128" spans="1:7" ht="21" thickBot="1" x14ac:dyDescent="0.35">
      <c r="A1128" s="82" t="s">
        <v>915</v>
      </c>
      <c r="B1128" s="62">
        <v>101</v>
      </c>
      <c r="C1128" s="63" t="s">
        <v>916</v>
      </c>
      <c r="D1128" s="36">
        <v>84</v>
      </c>
      <c r="E1128" s="34">
        <v>38</v>
      </c>
      <c r="F1128" s="34">
        <v>268</v>
      </c>
      <c r="G1128" s="64">
        <f>+(D1128+E1128)/F1128</f>
        <v>0.45522388059701491</v>
      </c>
    </row>
    <row r="1129" spans="1:7" ht="21" thickBot="1" x14ac:dyDescent="0.35">
      <c r="A1129" s="18"/>
      <c r="B1129" s="19">
        <f>COUNTA(B1128)</f>
        <v>1</v>
      </c>
      <c r="C1129" s="20" t="s">
        <v>16</v>
      </c>
      <c r="D1129" s="35">
        <f>SUM(D1128)</f>
        <v>84</v>
      </c>
      <c r="E1129" s="35">
        <f>SUM(E1128)</f>
        <v>38</v>
      </c>
      <c r="F1129" s="35">
        <v>268</v>
      </c>
      <c r="G1129" s="22">
        <f>+(D1129+E1129)/F1129</f>
        <v>0.45522388059701491</v>
      </c>
    </row>
  </sheetData>
  <sortState ref="A307:G396">
    <sortCondition descending="1" ref="G307:G396"/>
  </sortState>
  <mergeCells count="4">
    <mergeCell ref="A1:G1"/>
    <mergeCell ref="A2:G2"/>
    <mergeCell ref="A3:G3"/>
    <mergeCell ref="A4:G4"/>
  </mergeCells>
  <phoneticPr fontId="0" type="noConversion"/>
  <printOptions horizontalCentered="1" gridLines="1"/>
  <pageMargins left="0.7" right="0.7" top="0.75" bottom="0.75" header="0.3" footer="0.3"/>
  <pageSetup scale="65" orientation="portrait" r:id="rId1"/>
  <headerFooter alignWithMargins="0"/>
  <rowBreaks count="85" manualBreakCount="85">
    <brk id="85" max="16383" man="1"/>
    <brk id="94" max="16383" man="1"/>
    <brk id="119" max="16383" man="1"/>
    <brk id="147" max="16383" man="1"/>
    <brk id="160" max="16383" man="1"/>
    <brk id="165" max="16383" man="1"/>
    <brk id="256" max="16383" man="1"/>
    <brk id="273" max="16383" man="1"/>
    <brk id="286" max="16383" man="1"/>
    <brk id="298" max="16383" man="1"/>
    <brk id="304" max="16383" man="1"/>
    <brk id="397" max="16383" man="1"/>
    <brk id="415" max="16383" man="1"/>
    <brk id="469" max="16383" man="1"/>
    <brk id="477" max="16383" man="1"/>
    <brk id="488" max="16383" man="1"/>
    <brk id="497" max="16383" man="1"/>
    <brk id="504" max="16383" man="1"/>
    <brk id="548" max="16383" man="1"/>
    <brk id="558" max="16383" man="1"/>
    <brk id="564" max="16383" man="1"/>
    <brk id="574" max="16383" man="1"/>
    <brk id="580" max="16383" man="1"/>
    <brk id="587" max="16383" man="1"/>
    <brk id="602" max="16383" man="1"/>
    <brk id="617" max="16383" man="1"/>
    <brk id="627" max="16383" man="1"/>
    <brk id="633" max="16383" man="1"/>
    <brk id="637" max="16383" man="1"/>
    <brk id="664" max="16383" man="1"/>
    <brk id="678" max="16383" man="1"/>
    <brk id="688" max="16383" man="1"/>
    <brk id="731" max="16383" man="1"/>
    <brk id="738" max="16383" man="1"/>
    <brk id="784" max="16383" man="1"/>
    <brk id="826" max="16383" man="1"/>
    <brk id="849" max="16383" man="1"/>
    <brk id="870" max="16383" man="1"/>
    <brk id="881" max="16383" man="1"/>
    <brk id="894" max="16383" man="1"/>
    <brk id="939" max="16383" man="1"/>
    <brk id="943" max="16383" man="1"/>
    <brk id="949" max="16383" man="1"/>
    <brk id="953" max="16383" man="1"/>
    <brk id="957" max="16383" man="1"/>
    <brk id="961" max="16383" man="1"/>
    <brk id="965" max="16383" man="1"/>
    <brk id="969" max="16383" man="1"/>
    <brk id="973" max="16383" man="1"/>
    <brk id="977" max="16383" man="1"/>
    <brk id="981" max="16383" man="1"/>
    <brk id="985" max="16383" man="1"/>
    <brk id="989" max="16383" man="1"/>
    <brk id="993" max="16383" man="1"/>
    <brk id="997" max="16383" man="1"/>
    <brk id="1001" max="16383" man="1"/>
    <brk id="1005" max="16383" man="1"/>
    <brk id="1009" max="16383" man="1"/>
    <brk id="1013" max="16383" man="1"/>
    <brk id="1017" max="16383" man="1"/>
    <brk id="1021" max="16383" man="1"/>
    <brk id="1025" max="16383" man="1"/>
    <brk id="1029" max="16383" man="1"/>
    <brk id="1037" max="16383" man="1"/>
    <brk id="1041" max="16383" man="1"/>
    <brk id="1048" max="16383" man="1"/>
    <brk id="1053" max="16383" man="1"/>
    <brk id="1057" max="16383" man="1"/>
    <brk id="1061" max="16383" man="1"/>
    <brk id="1065" max="16383" man="1"/>
    <brk id="1069" max="16383" man="1"/>
    <brk id="1073" max="16383" man="1"/>
    <brk id="1077" max="16383" man="1"/>
    <brk id="1081" max="16383" man="1"/>
    <brk id="1085" max="16383" man="1"/>
    <brk id="1089" max="16383" man="1"/>
    <brk id="1093" max="16383" man="1"/>
    <brk id="1097" max="16383" man="1"/>
    <brk id="1101" max="16383" man="1"/>
    <brk id="1105" max="16383" man="1"/>
    <brk id="1109" max="16383" man="1"/>
    <brk id="1113" max="16383" man="1"/>
    <brk id="1117" max="16383" man="1"/>
    <brk id="1121" max="16383" man="1"/>
    <brk id="1125" max="16383" man="1"/>
  </rowBreaks>
  <ignoredErrors>
    <ignoredError sqref="B9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</vt:lpstr>
      <vt:lpstr>'2011'!Print_Titles</vt:lpstr>
    </vt:vector>
  </TitlesOfParts>
  <Company>Micron Electronics,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Moore, Sarah</cp:lastModifiedBy>
  <cp:lastPrinted>2012-08-03T13:04:59Z</cp:lastPrinted>
  <dcterms:created xsi:type="dcterms:W3CDTF">2000-12-04T22:24:04Z</dcterms:created>
  <dcterms:modified xsi:type="dcterms:W3CDTF">2012-10-10T03:48:38Z</dcterms:modified>
</cp:coreProperties>
</file>