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O45"/>
  <c r="N45"/>
  <c r="M45"/>
  <c r="L45"/>
  <c r="K45"/>
  <c r="J45"/>
  <c r="I45"/>
  <c r="H45"/>
  <c r="G45"/>
  <c r="F45"/>
  <c r="E45"/>
  <c r="S39"/>
  <c r="Q39"/>
  <c r="P39"/>
  <c r="O39"/>
  <c r="N39"/>
  <c r="M39"/>
  <c r="L39"/>
  <c r="K39"/>
  <c r="J39"/>
  <c r="I39"/>
  <c r="H39"/>
  <c r="G39"/>
  <c r="F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l="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<sst xmlns="http://schemas.openxmlformats.org/spreadsheetml/2006/main" count="523" uniqueCount="399">
  <si>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</si>
  <si>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</si>
  <si>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</si>
  <si>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</si>
  <si>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</si>
  <si>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</si>
  <si>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</si>
  <si>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</si>
  <si>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</si>
  <si>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</si>
  <si>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</si>
  <si>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</si>
  <si>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</si>
  <si>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</si>
  <si>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</si>
  <si>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</si>
  <si>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</si>
  <si>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</si>
  <si>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</si>
  <si>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</si>
  <si>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</si>
  <si>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</si>
  <si>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</si>
  <si>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</si>
  <si>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</si>
  <si>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</si>
  <si>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</si>
  <si>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</si>
  <si>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</si>
  <si>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</si>
  <si>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</si>
  <si>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</si>
  <si>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</si>
  <si>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</si>
  <si>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</si>
  <si>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</si>
  <si>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</si>
  <si>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</si>
  <si>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</si>
  <si>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</si>
  <si>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</si>
  <si>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</si>
  <si>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</si>
  <si>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</si>
  <si>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</si>
  <si>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</si>
  <si>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</si>
  <si>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</si>
  <si>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</si>
  <si>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</si>
  <si>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</si>
  <si>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</si>
  <si>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</si>
  <si>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</si>
  <si>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</si>
  <si>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</si>
  <si>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</si>
  <si>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</si>
  <si>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</si>
  <si>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</si>
  <si>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</si>
  <si>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</si>
  <si>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</si>
  <si>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</si>
  <si>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</si>
  <si>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</si>
  <si>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</si>
  <si>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</si>
  <si>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</si>
  <si>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</si>
  <si>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</si>
  <si>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</si>
  <si>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</si>
  <si>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</si>
  <si>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</si>
  <si>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</si>
  <si>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</si>
  <si>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</si>
  <si>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</si>
  <si>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</si>
  <si>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</si>
  <si>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</si>
  <si>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</si>
  <si>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</si>
  <si>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</si>
  <si>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</si>
  <si>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</si>
  <si>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</si>
  <si>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</si>
  <si>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</si>
  <si>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</si>
  <si>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</si>
  <si>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</si>
  <si>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</si>
  <si>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</si>
  <si>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</si>
  <si>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</si>
  <si>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</si>
  <si>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</si>
  <si>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</si>
  <si>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</si>
  <si>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</si>
  <si>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</si>
  <si>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</si>
  <si>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</si>
  <si>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</si>
  <si>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</si>
  <si>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</si>
  <si>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</si>
  <si>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</si>
  <si>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</si>
  <si>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</si>
  <si>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</si>
  <si>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</si>
  <si>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</si>
  <si>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</si>
  <si>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</si>
  <si>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</si>
  <si>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</si>
  <si>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</si>
  <si>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</si>
  <si>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</si>
  <si>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</si>
  <si>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</si>
  <si>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</si>
  <si>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</si>
  <si>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</si>
  <si>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</si>
  <si>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</si>
  <si>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</si>
  <si>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</si>
  <si>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</si>
  <si>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</si>
  <si>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</si>
  <si>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</si>
  <si>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</si>
  <si>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</si>
  <si>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</si>
  <si>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</si>
  <si>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</si>
  <si>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</si>
  <si>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</si>
  <si>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</si>
  <si>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</si>
  <si>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</si>
  <si>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</si>
  <si>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</si>
  <si>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</si>
  <si>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</si>
  <si>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</si>
  <si>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</si>
  <si>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</si>
  <si>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</si>
  <si>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</si>
  <si>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</si>
  <si>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</si>
  <si>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</si>
  <si>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</si>
  <si>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</si>
  <si>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</si>
  <si>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</si>
  <si>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</si>
  <si>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</si>
  <si>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</si>
  <si>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</si>
  <si>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</si>
  <si>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</si>
  <si>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</si>
  <si>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</si>
  <si>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</si>
  <si>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</si>
  <si>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</si>
  <si>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</si>
  <si>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</si>
  <si>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</si>
  <si>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</si>
  <si>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</si>
  <si>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</si>
  <si>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</si>
  <si>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</si>
  <si>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</si>
  <si>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</si>
  <si>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</si>
  <si>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</si>
  <si>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</si>
  <si>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</si>
  <si>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</si>
  <si>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</si>
  <si>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</si>
  <si>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</si>
  <si>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</si>
  <si>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</si>
  <si>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</si>
  <si>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</si>
  <si>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</si>
  <si>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</si>
  <si>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</si>
  <si>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</si>
  <si>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</si>
  <si>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</si>
  <si>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</si>
  <si>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</si>
  <si>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</si>
  <si>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</si>
  <si>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</si>
  <si>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</si>
  <si>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</si>
  <si>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</si>
  <si>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</si>
  <si>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</si>
  <si>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</si>
  <si>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</si>
  <si>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</si>
  <si>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</si>
  <si>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</si>
  <si>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</si>
  <si>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</si>
  <si>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</si>
  <si>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</si>
  <si>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</si>
  <si>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</si>
  <si>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</si>
  <si>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</si>
  <si>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</si>
  <si>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</si>
  <si>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</si>
  <si>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</si>
  <si>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</si>
  <si>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</si>
  <si>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</si>
  <si>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</si>
  <si>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</si>
  <si>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</si>
  <si>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</si>
  <si>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</si>
  <si>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</si>
  <si>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</si>
  <si>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</si>
  <si>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</si>
  <si>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</si>
  <si>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</si>
  <si>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</si>
  <si>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</si>
  <si>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</si>
  <si>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</si>
  <si>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</si>
  <si>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</si>
  <si>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</si>
  <si>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</si>
  <si>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</si>
  <si>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</si>
  <si>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</si>
  <si>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</si>
  <si>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</si>
  <si>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</si>
  <si>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</si>
  <si>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</si>
  <si>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</si>
  <si>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</si>
  <si>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</si>
  <si>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</si>
  <si>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</si>
  <si>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</si>
  <si>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</si>
  <si>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</si>
  <si>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</si>
  <si>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</si>
  <si>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</si>
  <si>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</si>
  <si>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</si>
  <si>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</si>
  <si>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</si>
  <si>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</si>
  <si>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</si>
  <si>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</si>
  <si>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</si>
  <si>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</si>
  <si>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</si>
  <si>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</si>
  <si>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</si>
  <si>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</si>
  <si>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</si>
  <si>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</si>
  <si>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</si>
  <si>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</si>
  <si>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</si>
  <si>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</si>
  <si>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</si>
  <si>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</si>
  <si>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</si>
  <si>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</si>
  <si>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</si>
  <si>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</si>
  <si>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</si>
  <si>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</si>
  <si>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</si>
  <si>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</si>
  <si>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</si>
  <si>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</si>
  <si>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</si>
  <si>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</si>
  <si>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</si>
  <si>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</si>
  <si>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</si>
  <si>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</si>
  <si>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</si>
  <si>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</si>
  <si>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</si>
  <si>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</si>
  <si>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</si>
  <si>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</si>
  <si>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</si>
  <si>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</si>
  <si>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</si>
  <si>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</si>
  <si>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</si>
  <si>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</si>
  <si>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</si>
  <si>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</si>
  <si>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</si>
  <si>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</si>
  <si>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</si>
  <si>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</si>
  <si>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</si>
  <si>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</si>
  <si>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</si>
  <si>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</si>
  <si>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</si>
  <si>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</si>
  <si>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</si>
  <si>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</si>
  <si>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</si>
  <si>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</si>
  <si>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</si>
  <si>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</si>
  <si>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</si>
  <si>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</si>
  <si>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</si>
  <si>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</si>
  <si>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</si>
  <si>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</si>
  <si>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</si>
  <si>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</si>
  <si>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</si>
  <si>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</si>
  <si>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</si>
  <si>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</si>
  <si>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</si>
  <si>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</si>
  <si>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</si>
  <si>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</si>
  <si>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</si>
  <si>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</si>
  <si>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</si>
  <si>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</si>
  <si>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</si>
  <si>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</si>
  <si>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</si>
  <si>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</si>
  <si>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</si>
  <si>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</si>
  <si>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</si>
  <si>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</si>
  <si>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</si>
  <si>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</si>
  <si>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</si>
  <si>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</si>
  <si>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</si>
  <si>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</si>
  <si>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</si>
  <si>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</si>
  <si>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</si>
  <si>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</si>
  <si>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</si>
  <si>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</si>
  <si>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</si>
  <si>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</si>
  <si>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</si>
  <si>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</si>
  <si>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</si>
  <si>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</si>
  <si>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</si>
  <si>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</si>
  <si>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</si>
  <si>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</si>
  <si>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</si>
  <si>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</si>
  <si>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</si>
  <si>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</si>
  <si>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</si>
  <si>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</si>
  <si>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</si>
  <si>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</si>
  <si>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</si>
  <si>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</si>
  <si>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WQ0012690</t>
  </si>
  <si>
    <t>Mt. Mitchell State Park</t>
  </si>
  <si>
    <t>Monthly</t>
  </si>
  <si>
    <t>2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</si>
</sst>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bottom style="medium">
        <color indexed="64"/>
      </bottom>
      <diagonal/>
    </border>
  </borders>
  <cellStyleXfs count="1">
    <xf numFmtId="0" fontId="0" fillId="0" borderId="0"/>
  </cellStyleXfs>
  <cellXfs count="201">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164" fontId="4" fillId="4" borderId="4" xfId="0" applyNumberFormat="1" applyFont="1" applyFill="1" applyBorder="1" applyAlignment="1" applyProtection="1">
      <alignment horizontal="center" vertical="center" textRotation="90" wrapText="1"/>
    </xf>
    <xf numFmtId="164" fontId="4" fillId="4" borderId="64" xfId="0" applyNumberFormat="1"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186</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379</v>
      </c>
      <c r="C4" s="16" t="s">
        <v>380</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368</v>
      </c>
      <c r="E40" s="61"/>
      <c r="F40" s="60"/>
      <c r="G40" s="61"/>
      <c r="H40" s="60"/>
      <c r="I40" s="61"/>
      <c r="J40" s="60"/>
      <c r="K40" s="61"/>
      <c r="L40" s="60"/>
      <c r="M40" s="61"/>
      <c r="N40" s="60"/>
      <c r="O40" s="61"/>
      <c r="P40" s="60"/>
      <c r="Q40" s="61"/>
      <c r="R40" s="60"/>
      <c r="S40" s="62"/>
    </row>
    <row r="41" spans="1:19" ht="15" customHeight="1">
      <c r="A41" s="100" t="s">
        <v>373</v>
      </c>
      <c r="B41" s="101"/>
      <c r="C41" s="102"/>
      <c r="D41" s="65">
        <v>1800</v>
      </c>
      <c r="E41" s="6"/>
      <c r="F41" s="63"/>
      <c r="G41" s="6"/>
      <c r="H41" s="63"/>
      <c r="I41" s="6"/>
      <c r="J41" s="63"/>
      <c r="K41" s="6"/>
      <c r="L41" s="63"/>
      <c r="M41" s="6"/>
      <c r="N41" s="63"/>
      <c r="O41" s="6"/>
      <c r="P41" s="63"/>
      <c r="Q41" s="6"/>
      <c r="R41" s="63"/>
      <c r="S41" s="54"/>
    </row>
    <row r="42" spans="1:19" ht="15" customHeight="1">
      <c r="A42" s="80" t="s">
        <v>374</v>
      </c>
      <c r="B42" s="83"/>
      <c r="C42" s="84"/>
      <c r="D42" s="65"/>
      <c r="E42" s="6"/>
      <c r="F42" s="63"/>
      <c r="G42" s="6"/>
      <c r="H42" s="63"/>
      <c r="I42" s="6"/>
      <c r="J42" s="63"/>
      <c r="K42" s="6"/>
      <c r="L42" s="63"/>
      <c r="M42" s="6"/>
      <c r="N42" s="63"/>
      <c r="O42" s="6"/>
      <c r="P42" s="63"/>
      <c r="Q42" s="6"/>
      <c r="R42" s="63"/>
      <c r="S42" s="54"/>
    </row>
    <row r="43" spans="1:19" ht="15" customHeight="1">
      <c r="A43" s="80" t="s">
        <v>375</v>
      </c>
      <c r="B43" s="81"/>
      <c r="C43" s="82"/>
      <c r="D43" s="66" t="s">
        <v>397</v>
      </c>
      <c r="E43" s="67"/>
      <c r="F43" s="68"/>
      <c r="G43" s="67"/>
      <c r="H43" s="68"/>
      <c r="I43" s="67"/>
      <c r="J43" s="68"/>
      <c r="K43" s="67"/>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186</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46" t="s">
        <v>16</v>
      </c>
      <c r="E3" s="18" t="s">
        <v>27</v>
      </c>
      <c r="F3" s="46" t="s">
        <v>48</v>
      </c>
      <c r="G3" s="18" t="s">
        <v>33</v>
      </c>
      <c r="H3" s="46" t="s">
        <v>45</v>
      </c>
      <c r="I3" s="18"/>
      <c r="J3" s="46"/>
      <c r="K3" s="18"/>
      <c r="L3" s="46"/>
      <c r="M3" s="18"/>
      <c r="N3" s="46"/>
      <c r="O3" s="18"/>
      <c r="P3" s="46"/>
      <c r="Q3" s="18"/>
      <c r="R3" s="46"/>
      <c r="S3" s="28"/>
    </row>
    <row r="4" spans="1:20" ht="71.25" customHeight="1">
      <c r="A4" s="98" t="s">
        <v>69</v>
      </c>
      <c r="B4" s="15" t="s">
        <v>379</v>
      </c>
      <c r="C4" s="16" t="s">
        <v>380</v>
      </c>
      <c r="D4" s="195" t="str">
        <f>IF(ISBLANK(D$3), " ", VLOOKUP(D$3,'PCS Parameter Codes'!$A$1:$D$76,2,FALSE))</f>
        <v>BOD5</v>
      </c>
      <c r="E4" s="47" t="str">
        <f>IF(ISBLANK(E$3), " ", VLOOKUP(E$3,'PCS Parameter Codes'!$A$1:$D$76,2,FALSE))</f>
        <v>Fecal Coliform</v>
      </c>
      <c r="F4" s="48" t="str">
        <f>IF(ISBLANK(F$3), " ", VLOOKUP(F$3,'PCS Parameter Codes'!$A$1:$D$76,2,FALSE))</f>
        <v>Ammonia</v>
      </c>
      <c r="G4" s="47" t="str">
        <f>IF(ISBLANK(G$3), " ", VLOOKUP(G$3,'PCS Parameter Codes'!$A$1:$D$76,2,FALSE))</f>
        <v>pH</v>
      </c>
      <c r="H4" s="48" t="str">
        <f>IF(ISBLANK(H$3), " ", VLOOKUP(H$3,'PCS Parameter Codes'!$A$1:$D$76,2,FALSE))</f>
        <v>Total Suspended Solids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196" t="str">
        <f>IF(ISBLANK(D$3), " ", VLOOKUP(D$3,'PCS Parameter Codes'!$A$1:$D$76,4,FALSE))</f>
        <v>mg/L</v>
      </c>
      <c r="E5" s="34" t="str">
        <f>IF(ISBLANK(E$3), " ", VLOOKUP(E$3,'PCS Parameter Codes'!$A$1:$D$76,4,FALSE))</f>
        <v>#/100 mL</v>
      </c>
      <c r="F5" s="37" t="str">
        <f>IF(ISBLANK(F$3), " ", VLOOKUP(F$3,'PCS Parameter Codes'!$A$1:$D$76,4,FALSE))</f>
        <v>mg/L</v>
      </c>
      <c r="G5" s="34" t="str">
        <f>IF(ISBLANK(G$3), " ", VLOOKUP(G$3,'PCS Parameter Codes'!$A$1:$D$76,4,FALSE))</f>
        <v>su</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7"/>
      <c r="D6" s="198"/>
      <c r="E6" s="50"/>
      <c r="F6" s="51"/>
      <c r="G6" s="50"/>
      <c r="H6" s="51"/>
      <c r="I6" s="50"/>
      <c r="J6" s="51"/>
      <c r="K6" s="50"/>
      <c r="L6" s="51"/>
      <c r="M6" s="50"/>
      <c r="N6" s="51"/>
      <c r="O6" s="50"/>
      <c r="P6" s="51"/>
      <c r="Q6" s="50"/>
      <c r="R6" s="51"/>
      <c r="S6" s="52"/>
    </row>
    <row r="7" spans="1:20" ht="15" customHeight="1">
      <c r="A7" s="19">
        <v>2</v>
      </c>
      <c r="B7" s="5"/>
      <c r="C7" s="197"/>
      <c r="D7" s="199"/>
      <c r="E7" s="6"/>
      <c r="F7" s="53"/>
      <c r="G7" s="6"/>
      <c r="H7" s="53"/>
      <c r="I7" s="6"/>
      <c r="J7" s="53"/>
      <c r="K7" s="6"/>
      <c r="L7" s="53"/>
      <c r="M7" s="6"/>
      <c r="N7" s="53"/>
      <c r="O7" s="6"/>
      <c r="P7" s="53"/>
      <c r="Q7" s="6"/>
      <c r="R7" s="53"/>
      <c r="S7" s="54"/>
    </row>
    <row r="8" spans="1:20" ht="15" customHeight="1">
      <c r="A8" s="19">
        <v>3</v>
      </c>
      <c r="B8" s="5"/>
      <c r="C8" s="197"/>
      <c r="D8" s="199"/>
      <c r="E8" s="6"/>
      <c r="F8" s="53"/>
      <c r="G8" s="6"/>
      <c r="H8" s="53"/>
      <c r="I8" s="6"/>
      <c r="J8" s="53"/>
      <c r="K8" s="6"/>
      <c r="L8" s="53"/>
      <c r="M8" s="6"/>
      <c r="N8" s="53"/>
      <c r="O8" s="6"/>
      <c r="P8" s="53"/>
      <c r="Q8" s="6"/>
      <c r="R8" s="53"/>
      <c r="S8" s="54"/>
    </row>
    <row r="9" spans="1:20" ht="15" customHeight="1">
      <c r="A9" s="19">
        <v>4</v>
      </c>
      <c r="B9" s="5"/>
      <c r="C9" s="197"/>
      <c r="D9" s="199"/>
      <c r="E9" s="6"/>
      <c r="F9" s="53"/>
      <c r="G9" s="6"/>
      <c r="H9" s="53"/>
      <c r="I9" s="6"/>
      <c r="J9" s="53"/>
      <c r="K9" s="6"/>
      <c r="L9" s="53"/>
      <c r="M9" s="6"/>
      <c r="N9" s="53"/>
      <c r="O9" s="6"/>
      <c r="P9" s="53"/>
      <c r="Q9" s="6"/>
      <c r="R9" s="53"/>
      <c r="S9" s="54"/>
    </row>
    <row r="10" spans="1:20" ht="15" customHeight="1">
      <c r="A10" s="19">
        <v>5</v>
      </c>
      <c r="B10" s="5"/>
      <c r="C10" s="197"/>
      <c r="D10" s="199"/>
      <c r="E10" s="6"/>
      <c r="F10" s="53"/>
      <c r="G10" s="6"/>
      <c r="H10" s="53"/>
      <c r="I10" s="6"/>
      <c r="J10" s="53"/>
      <c r="K10" s="6"/>
      <c r="L10" s="53"/>
      <c r="M10" s="6"/>
      <c r="N10" s="53"/>
      <c r="O10" s="6"/>
      <c r="P10" s="53"/>
      <c r="Q10" s="6"/>
      <c r="R10" s="53"/>
      <c r="S10" s="54"/>
    </row>
    <row r="11" spans="1:20" ht="15" customHeight="1">
      <c r="A11" s="19">
        <v>6</v>
      </c>
      <c r="B11" s="5"/>
      <c r="C11" s="197"/>
      <c r="D11" s="199"/>
      <c r="E11" s="6"/>
      <c r="F11" s="53"/>
      <c r="G11" s="6"/>
      <c r="H11" s="53"/>
      <c r="I11" s="6"/>
      <c r="J11" s="53"/>
      <c r="K11" s="6"/>
      <c r="L11" s="53"/>
      <c r="M11" s="6"/>
      <c r="N11" s="53"/>
      <c r="O11" s="6"/>
      <c r="P11" s="53"/>
      <c r="Q11" s="6"/>
      <c r="R11" s="53"/>
      <c r="S11" s="54"/>
    </row>
    <row r="12" spans="1:20" ht="15" customHeight="1">
      <c r="A12" s="19">
        <v>7</v>
      </c>
      <c r="B12" s="5"/>
      <c r="C12" s="197"/>
      <c r="D12" s="199"/>
      <c r="E12" s="6"/>
      <c r="F12" s="53"/>
      <c r="G12" s="6"/>
      <c r="H12" s="53"/>
      <c r="I12" s="6"/>
      <c r="J12" s="53"/>
      <c r="K12" s="6"/>
      <c r="L12" s="53"/>
      <c r="M12" s="6"/>
      <c r="N12" s="53"/>
      <c r="O12" s="6"/>
      <c r="P12" s="53"/>
      <c r="Q12" s="6"/>
      <c r="R12" s="53"/>
      <c r="S12" s="54"/>
    </row>
    <row r="13" spans="1:20" ht="15" customHeight="1">
      <c r="A13" s="19">
        <v>8</v>
      </c>
      <c r="B13" s="5"/>
      <c r="C13" s="197"/>
      <c r="D13" s="199"/>
      <c r="E13" s="6"/>
      <c r="F13" s="53"/>
      <c r="G13" s="6"/>
      <c r="H13" s="53"/>
      <c r="I13" s="6"/>
      <c r="J13" s="53"/>
      <c r="K13" s="6"/>
      <c r="L13" s="53"/>
      <c r="M13" s="6"/>
      <c r="N13" s="53"/>
      <c r="O13" s="6"/>
      <c r="P13" s="53"/>
      <c r="Q13" s="6"/>
      <c r="R13" s="53"/>
      <c r="S13" s="54"/>
    </row>
    <row r="14" spans="1:20" ht="15" customHeight="1">
      <c r="A14" s="19">
        <v>9</v>
      </c>
      <c r="B14" s="5"/>
      <c r="C14" s="197"/>
      <c r="D14" s="199"/>
      <c r="E14" s="6"/>
      <c r="F14" s="53"/>
      <c r="G14" s="6"/>
      <c r="H14" s="53"/>
      <c r="I14" s="6"/>
      <c r="J14" s="53"/>
      <c r="K14" s="6"/>
      <c r="L14" s="53"/>
      <c r="M14" s="6"/>
      <c r="N14" s="53"/>
      <c r="O14" s="6"/>
      <c r="P14" s="53"/>
      <c r="Q14" s="6"/>
      <c r="R14" s="53"/>
      <c r="S14" s="54"/>
    </row>
    <row r="15" spans="1:20" ht="15" customHeight="1">
      <c r="A15" s="19">
        <v>10</v>
      </c>
      <c r="B15" s="5"/>
      <c r="C15" s="197"/>
      <c r="D15" s="199"/>
      <c r="E15" s="6"/>
      <c r="F15" s="53"/>
      <c r="G15" s="6"/>
      <c r="H15" s="53"/>
      <c r="I15" s="6"/>
      <c r="J15" s="53"/>
      <c r="K15" s="6"/>
      <c r="L15" s="53"/>
      <c r="M15" s="6"/>
      <c r="N15" s="53"/>
      <c r="O15" s="6"/>
      <c r="P15" s="53"/>
      <c r="Q15" s="6"/>
      <c r="R15" s="53"/>
      <c r="S15" s="54"/>
    </row>
    <row r="16" spans="1:20" ht="15" customHeight="1">
      <c r="A16" s="19">
        <v>11</v>
      </c>
      <c r="B16" s="5"/>
      <c r="C16" s="197"/>
      <c r="D16" s="199"/>
      <c r="E16" s="6"/>
      <c r="F16" s="53"/>
      <c r="G16" s="6"/>
      <c r="H16" s="53"/>
      <c r="I16" s="6"/>
      <c r="J16" s="53"/>
      <c r="K16" s="6"/>
      <c r="L16" s="53"/>
      <c r="M16" s="6"/>
      <c r="N16" s="53"/>
      <c r="O16" s="6"/>
      <c r="P16" s="53"/>
      <c r="Q16" s="6"/>
      <c r="R16" s="53"/>
      <c r="S16" s="54"/>
    </row>
    <row r="17" spans="1:19" ht="15" customHeight="1">
      <c r="A17" s="19">
        <v>12</v>
      </c>
      <c r="B17" s="5"/>
      <c r="C17" s="197"/>
      <c r="D17" s="199"/>
      <c r="E17" s="6"/>
      <c r="F17" s="53"/>
      <c r="G17" s="6"/>
      <c r="H17" s="53"/>
      <c r="I17" s="6"/>
      <c r="J17" s="53"/>
      <c r="K17" s="6"/>
      <c r="L17" s="53"/>
      <c r="M17" s="6"/>
      <c r="N17" s="53"/>
      <c r="O17" s="6"/>
      <c r="P17" s="53"/>
      <c r="Q17" s="6"/>
      <c r="R17" s="53"/>
      <c r="S17" s="54"/>
    </row>
    <row r="18" spans="1:19" ht="15" customHeight="1">
      <c r="A18" s="19">
        <v>13</v>
      </c>
      <c r="B18" s="5"/>
      <c r="C18" s="197"/>
      <c r="D18" s="199"/>
      <c r="E18" s="6"/>
      <c r="F18" s="53"/>
      <c r="G18" s="6"/>
      <c r="H18" s="53"/>
      <c r="I18" s="6"/>
      <c r="J18" s="53"/>
      <c r="K18" s="6"/>
      <c r="L18" s="53"/>
      <c r="M18" s="6"/>
      <c r="N18" s="53"/>
      <c r="O18" s="6"/>
      <c r="P18" s="53"/>
      <c r="Q18" s="6"/>
      <c r="R18" s="53"/>
      <c r="S18" s="54"/>
    </row>
    <row r="19" spans="1:19" ht="15" customHeight="1">
      <c r="A19" s="19">
        <v>14</v>
      </c>
      <c r="B19" s="5"/>
      <c r="C19" s="197"/>
      <c r="D19" s="199"/>
      <c r="E19" s="6"/>
      <c r="F19" s="53"/>
      <c r="G19" s="6"/>
      <c r="H19" s="53"/>
      <c r="I19" s="6"/>
      <c r="J19" s="53"/>
      <c r="K19" s="6"/>
      <c r="L19" s="53"/>
      <c r="M19" s="6"/>
      <c r="N19" s="53"/>
      <c r="O19" s="6"/>
      <c r="P19" s="53"/>
      <c r="Q19" s="6"/>
      <c r="R19" s="53"/>
      <c r="S19" s="54"/>
    </row>
    <row r="20" spans="1:19" ht="15" customHeight="1">
      <c r="A20" s="19">
        <v>15</v>
      </c>
      <c r="B20" s="5"/>
      <c r="C20" s="197"/>
      <c r="D20" s="199"/>
      <c r="E20" s="6"/>
      <c r="F20" s="53"/>
      <c r="G20" s="6"/>
      <c r="H20" s="53"/>
      <c r="I20" s="6"/>
      <c r="J20" s="53"/>
      <c r="K20" s="6"/>
      <c r="L20" s="53"/>
      <c r="M20" s="6"/>
      <c r="N20" s="53"/>
      <c r="O20" s="6"/>
      <c r="P20" s="53"/>
      <c r="Q20" s="6"/>
      <c r="R20" s="53"/>
      <c r="S20" s="54"/>
    </row>
    <row r="21" spans="1:19" ht="15" customHeight="1">
      <c r="A21" s="19">
        <v>16</v>
      </c>
      <c r="B21" s="5"/>
      <c r="C21" s="197"/>
      <c r="D21" s="199"/>
      <c r="E21" s="6"/>
      <c r="F21" s="53"/>
      <c r="G21" s="6"/>
      <c r="H21" s="53"/>
      <c r="I21" s="6"/>
      <c r="J21" s="53"/>
      <c r="K21" s="6"/>
      <c r="L21" s="53"/>
      <c r="M21" s="6"/>
      <c r="N21" s="53"/>
      <c r="O21" s="6"/>
      <c r="P21" s="53"/>
      <c r="Q21" s="6"/>
      <c r="R21" s="53"/>
      <c r="S21" s="54"/>
    </row>
    <row r="22" spans="1:19" ht="15" customHeight="1">
      <c r="A22" s="19">
        <v>17</v>
      </c>
      <c r="B22" s="5"/>
      <c r="C22" s="197"/>
      <c r="D22" s="199"/>
      <c r="E22" s="6"/>
      <c r="F22" s="53"/>
      <c r="G22" s="6"/>
      <c r="H22" s="53"/>
      <c r="I22" s="6"/>
      <c r="J22" s="53"/>
      <c r="K22" s="6"/>
      <c r="L22" s="53"/>
      <c r="M22" s="6"/>
      <c r="N22" s="53"/>
      <c r="O22" s="6"/>
      <c r="P22" s="53"/>
      <c r="Q22" s="6"/>
      <c r="R22" s="53"/>
      <c r="S22" s="54"/>
    </row>
    <row r="23" spans="1:19" ht="15" customHeight="1">
      <c r="A23" s="19">
        <v>18</v>
      </c>
      <c r="B23" s="5"/>
      <c r="C23" s="197"/>
      <c r="D23" s="199"/>
      <c r="E23" s="6"/>
      <c r="F23" s="53"/>
      <c r="G23" s="6"/>
      <c r="H23" s="53"/>
      <c r="I23" s="6"/>
      <c r="J23" s="53"/>
      <c r="K23" s="6"/>
      <c r="L23" s="53"/>
      <c r="M23" s="6"/>
      <c r="N23" s="53"/>
      <c r="O23" s="6"/>
      <c r="P23" s="53"/>
      <c r="Q23" s="6"/>
      <c r="R23" s="53"/>
      <c r="S23" s="54"/>
    </row>
    <row r="24" spans="1:19" ht="15" customHeight="1">
      <c r="A24" s="19">
        <v>19</v>
      </c>
      <c r="B24" s="5"/>
      <c r="C24" s="197"/>
      <c r="D24" s="199"/>
      <c r="E24" s="6"/>
      <c r="F24" s="53"/>
      <c r="G24" s="6"/>
      <c r="H24" s="53"/>
      <c r="I24" s="6"/>
      <c r="J24" s="53"/>
      <c r="K24" s="6"/>
      <c r="L24" s="53"/>
      <c r="M24" s="6"/>
      <c r="N24" s="53"/>
      <c r="O24" s="6"/>
      <c r="P24" s="53"/>
      <c r="Q24" s="6"/>
      <c r="R24" s="53"/>
      <c r="S24" s="54"/>
    </row>
    <row r="25" spans="1:19" ht="15" customHeight="1">
      <c r="A25" s="19">
        <v>20</v>
      </c>
      <c r="B25" s="5"/>
      <c r="C25" s="197"/>
      <c r="D25" s="199"/>
      <c r="E25" s="6"/>
      <c r="F25" s="53"/>
      <c r="G25" s="6"/>
      <c r="H25" s="53"/>
      <c r="I25" s="6"/>
      <c r="J25" s="53"/>
      <c r="K25" s="6"/>
      <c r="L25" s="53"/>
      <c r="M25" s="6"/>
      <c r="N25" s="53"/>
      <c r="O25" s="6"/>
      <c r="P25" s="53"/>
      <c r="Q25" s="6"/>
      <c r="R25" s="53"/>
      <c r="S25" s="54"/>
    </row>
    <row r="26" spans="1:19" ht="15" customHeight="1">
      <c r="A26" s="19">
        <v>21</v>
      </c>
      <c r="B26" s="5"/>
      <c r="C26" s="197"/>
      <c r="D26" s="199"/>
      <c r="E26" s="6"/>
      <c r="F26" s="53"/>
      <c r="G26" s="6"/>
      <c r="H26" s="53"/>
      <c r="I26" s="6"/>
      <c r="J26" s="53"/>
      <c r="K26" s="6"/>
      <c r="L26" s="53"/>
      <c r="M26" s="6"/>
      <c r="N26" s="53"/>
      <c r="O26" s="6"/>
      <c r="P26" s="53"/>
      <c r="Q26" s="6"/>
      <c r="R26" s="53"/>
      <c r="S26" s="54"/>
    </row>
    <row r="27" spans="1:19" ht="15" customHeight="1">
      <c r="A27" s="19">
        <v>22</v>
      </c>
      <c r="B27" s="5"/>
      <c r="C27" s="197"/>
      <c r="D27" s="199"/>
      <c r="E27" s="6"/>
      <c r="F27" s="53"/>
      <c r="G27" s="6"/>
      <c r="H27" s="53"/>
      <c r="I27" s="6"/>
      <c r="J27" s="53"/>
      <c r="K27" s="6"/>
      <c r="L27" s="53"/>
      <c r="M27" s="6"/>
      <c r="N27" s="53"/>
      <c r="O27" s="6"/>
      <c r="P27" s="53"/>
      <c r="Q27" s="6"/>
      <c r="R27" s="53"/>
      <c r="S27" s="54"/>
    </row>
    <row r="28" spans="1:19" ht="15" customHeight="1">
      <c r="A28" s="19">
        <v>23</v>
      </c>
      <c r="B28" s="5"/>
      <c r="C28" s="197"/>
      <c r="D28" s="199"/>
      <c r="E28" s="6"/>
      <c r="F28" s="53"/>
      <c r="G28" s="6"/>
      <c r="H28" s="53"/>
      <c r="I28" s="6"/>
      <c r="J28" s="53"/>
      <c r="K28" s="6"/>
      <c r="L28" s="53"/>
      <c r="M28" s="6"/>
      <c r="N28" s="53"/>
      <c r="O28" s="6"/>
      <c r="P28" s="53"/>
      <c r="Q28" s="6"/>
      <c r="R28" s="53"/>
      <c r="S28" s="54"/>
    </row>
    <row r="29" spans="1:19" ht="15" customHeight="1">
      <c r="A29" s="19">
        <v>24</v>
      </c>
      <c r="B29" s="5"/>
      <c r="C29" s="197"/>
      <c r="D29" s="199"/>
      <c r="E29" s="6"/>
      <c r="F29" s="53"/>
      <c r="G29" s="6"/>
      <c r="H29" s="53"/>
      <c r="I29" s="6"/>
      <c r="J29" s="53"/>
      <c r="K29" s="6"/>
      <c r="L29" s="53"/>
      <c r="M29" s="6"/>
      <c r="N29" s="53"/>
      <c r="O29" s="6"/>
      <c r="P29" s="53"/>
      <c r="Q29" s="6"/>
      <c r="R29" s="53"/>
      <c r="S29" s="54"/>
    </row>
    <row r="30" spans="1:19" ht="15" customHeight="1">
      <c r="A30" s="19">
        <v>25</v>
      </c>
      <c r="B30" s="5"/>
      <c r="C30" s="197"/>
      <c r="D30" s="199"/>
      <c r="E30" s="6"/>
      <c r="F30" s="53"/>
      <c r="G30" s="6"/>
      <c r="H30" s="53"/>
      <c r="I30" s="6"/>
      <c r="J30" s="53"/>
      <c r="K30" s="6"/>
      <c r="L30" s="53"/>
      <c r="M30" s="6"/>
      <c r="N30" s="53"/>
      <c r="O30" s="6"/>
      <c r="P30" s="53"/>
      <c r="Q30" s="6"/>
      <c r="R30" s="53"/>
      <c r="S30" s="54"/>
    </row>
    <row r="31" spans="1:19" ht="15" customHeight="1">
      <c r="A31" s="19">
        <v>26</v>
      </c>
      <c r="B31" s="5"/>
      <c r="C31" s="197"/>
      <c r="D31" s="199"/>
      <c r="E31" s="6"/>
      <c r="F31" s="53"/>
      <c r="G31" s="6"/>
      <c r="H31" s="53"/>
      <c r="I31" s="6"/>
      <c r="J31" s="53"/>
      <c r="K31" s="6"/>
      <c r="L31" s="53"/>
      <c r="M31" s="6"/>
      <c r="N31" s="53"/>
      <c r="O31" s="6"/>
      <c r="P31" s="53"/>
      <c r="Q31" s="6"/>
      <c r="R31" s="53"/>
      <c r="S31" s="54"/>
    </row>
    <row r="32" spans="1:19" ht="15" customHeight="1">
      <c r="A32" s="19">
        <v>27</v>
      </c>
      <c r="B32" s="5"/>
      <c r="C32" s="197"/>
      <c r="D32" s="199"/>
      <c r="E32" s="6"/>
      <c r="F32" s="53"/>
      <c r="G32" s="6"/>
      <c r="H32" s="53"/>
      <c r="I32" s="6"/>
      <c r="J32" s="53"/>
      <c r="K32" s="6"/>
      <c r="L32" s="53"/>
      <c r="M32" s="6"/>
      <c r="N32" s="53"/>
      <c r="O32" s="6"/>
      <c r="P32" s="53"/>
      <c r="Q32" s="6"/>
      <c r="R32" s="53"/>
      <c r="S32" s="54"/>
    </row>
    <row r="33" spans="1:19" ht="15" customHeight="1">
      <c r="A33" s="19">
        <v>28</v>
      </c>
      <c r="B33" s="5"/>
      <c r="C33" s="197"/>
      <c r="D33" s="199"/>
      <c r="E33" s="6"/>
      <c r="F33" s="53"/>
      <c r="G33" s="6"/>
      <c r="H33" s="53"/>
      <c r="I33" s="6"/>
      <c r="J33" s="53"/>
      <c r="K33" s="6"/>
      <c r="L33" s="53"/>
      <c r="M33" s="6"/>
      <c r="N33" s="53"/>
      <c r="O33" s="6"/>
      <c r="P33" s="53"/>
      <c r="Q33" s="6"/>
      <c r="R33" s="53"/>
      <c r="S33" s="54"/>
    </row>
    <row r="34" spans="1:19" ht="15" customHeight="1">
      <c r="A34" s="19">
        <v>29</v>
      </c>
      <c r="B34" s="5"/>
      <c r="C34" s="197"/>
      <c r="D34" s="199"/>
      <c r="E34" s="6"/>
      <c r="F34" s="53"/>
      <c r="G34" s="6"/>
      <c r="H34" s="53"/>
      <c r="I34" s="6"/>
      <c r="J34" s="53"/>
      <c r="K34" s="6"/>
      <c r="L34" s="53"/>
      <c r="M34" s="6"/>
      <c r="N34" s="53"/>
      <c r="O34" s="6"/>
      <c r="P34" s="53"/>
      <c r="Q34" s="6"/>
      <c r="R34" s="53"/>
      <c r="S34" s="54"/>
    </row>
    <row r="35" spans="1:19" ht="15" customHeight="1">
      <c r="A35" s="19">
        <v>30</v>
      </c>
      <c r="B35" s="5"/>
      <c r="C35" s="197"/>
      <c r="D35" s="199"/>
      <c r="E35" s="6"/>
      <c r="F35" s="53"/>
      <c r="G35" s="6"/>
      <c r="H35" s="53"/>
      <c r="I35" s="6"/>
      <c r="J35" s="53"/>
      <c r="K35" s="6"/>
      <c r="L35" s="53"/>
      <c r="M35" s="6"/>
      <c r="N35" s="53"/>
      <c r="O35" s="6"/>
      <c r="P35" s="53"/>
      <c r="Q35" s="6"/>
      <c r="R35" s="53"/>
      <c r="S35" s="54"/>
    </row>
    <row r="36" spans="1:19" ht="15" customHeight="1" thickBot="1">
      <c r="A36" s="19">
        <v>31</v>
      </c>
      <c r="B36" s="5"/>
      <c r="C36" s="197"/>
      <c r="D36" s="200"/>
      <c r="E36" s="55"/>
      <c r="F36" s="56"/>
      <c r="G36" s="55"/>
      <c r="H36" s="56"/>
      <c r="I36" s="55"/>
      <c r="J36" s="56"/>
      <c r="K36" s="55"/>
      <c r="L36" s="56"/>
      <c r="M36" s="55"/>
      <c r="N36" s="56"/>
      <c r="O36" s="55"/>
      <c r="P36" s="56"/>
      <c r="Q36" s="55"/>
      <c r="R36" s="56"/>
      <c r="S36" s="57"/>
    </row>
    <row r="37" spans="1:19" ht="15" customHeight="1">
      <c r="A37" s="95" t="s">
        <v>71</v>
      </c>
      <c r="B37" s="96"/>
      <c r="C37" s="97"/>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100" t="s">
        <v>373</v>
      </c>
      <c r="B41" s="101"/>
      <c r="C41" s="102"/>
      <c r="D41" s="63"/>
      <c r="E41" s="6"/>
      <c r="F41" s="63"/>
      <c r="G41" s="6"/>
      <c r="H41" s="63"/>
      <c r="I41" s="6"/>
      <c r="J41" s="63"/>
      <c r="K41" s="6"/>
      <c r="L41" s="63"/>
      <c r="M41" s="6"/>
      <c r="N41" s="63"/>
      <c r="O41" s="6"/>
      <c r="P41" s="63"/>
      <c r="Q41" s="6"/>
      <c r="R41" s="63"/>
      <c r="S41" s="54"/>
    </row>
    <row r="42" spans="1:19" ht="15" customHeight="1">
      <c r="A42" s="80" t="s">
        <v>374</v>
      </c>
      <c r="B42" s="83"/>
      <c r="C42" s="84"/>
      <c r="D42" s="63"/>
      <c r="E42" s="6"/>
      <c r="F42" s="63"/>
      <c r="G42" s="6"/>
      <c r="H42" s="63"/>
      <c r="I42" s="6"/>
      <c r="J42" s="63"/>
      <c r="K42" s="6"/>
      <c r="L42" s="63"/>
      <c r="M42" s="6"/>
      <c r="N42" s="63"/>
      <c r="O42" s="6"/>
      <c r="P42" s="63"/>
      <c r="Q42" s="6"/>
      <c r="R42" s="63"/>
      <c r="S42" s="54"/>
    </row>
    <row r="43" spans="1:19" ht="15" customHeight="1">
      <c r="A43" s="80" t="s">
        <v>375</v>
      </c>
      <c r="B43" s="81"/>
      <c r="C43" s="82"/>
      <c r="D43" s="68" t="s">
        <v>398</v>
      </c>
      <c r="E43" s="67" t="s">
        <v>398</v>
      </c>
      <c r="F43" s="68" t="s">
        <v>398</v>
      </c>
      <c r="G43" s="67" t="s">
        <v>398</v>
      </c>
      <c r="H43" s="68" t="s">
        <v>398</v>
      </c>
      <c r="I43" s="67"/>
      <c r="J43" s="68"/>
      <c r="K43" s="67"/>
      <c r="L43" s="68"/>
      <c r="M43" s="67"/>
      <c r="N43" s="68"/>
      <c r="O43" s="67"/>
      <c r="P43" s="68"/>
      <c r="Q43" s="67"/>
      <c r="R43" s="68"/>
      <c r="S43" s="69"/>
    </row>
    <row r="45" spans="1:19" hidden="1">
      <c r="C45" s="1" t="s">
        <v>392</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393</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394</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2" t="s">
        <v>78</v>
      </c>
      <c r="F11" s="158"/>
      <c r="G11" s="134"/>
      <c r="H11" s="137"/>
      <c r="I11" s="137"/>
      <c r="J11" s="159"/>
      <c r="K11" s="160" t="s">
        <v>217</v>
      </c>
      <c r="L11" s="158"/>
      <c r="M11" s="158"/>
      <c r="N11" s="161"/>
      <c r="O11" s="137"/>
      <c r="P11" s="137"/>
      <c r="Q11" s="137"/>
      <c r="R11" s="137"/>
      <c r="S11" s="138"/>
    </row>
    <row r="12" spans="1:20" ht="30.75" customHeight="1">
      <c r="A12" s="163" t="s">
        <v>222</v>
      </c>
      <c r="B12" s="164"/>
      <c r="C12" s="164"/>
      <c r="D12" s="164"/>
      <c r="E12" s="164"/>
      <c r="F12" s="164"/>
      <c r="G12" s="164"/>
      <c r="H12" s="164"/>
      <c r="I12" s="164"/>
      <c r="J12" s="165"/>
      <c r="K12" s="160" t="s">
        <v>218</v>
      </c>
      <c r="L12" s="158"/>
      <c r="M12" s="134"/>
      <c r="N12" s="137"/>
      <c r="O12" s="137"/>
      <c r="P12" s="166" t="s">
        <v>361</v>
      </c>
      <c r="Q12" s="158"/>
      <c r="R12" s="167"/>
      <c r="S12" s="168"/>
    </row>
    <row r="13" spans="1:20" ht="22.5" customHeight="1">
      <c r="A13" s="187"/>
      <c r="B13" s="188"/>
      <c r="C13" s="188"/>
      <c r="D13" s="188"/>
      <c r="E13" s="188"/>
      <c r="F13" s="188"/>
      <c r="G13" s="188"/>
      <c r="H13" s="191"/>
      <c r="I13" s="171"/>
      <c r="J13" s="193"/>
      <c r="K13" s="191"/>
      <c r="L13" s="188"/>
      <c r="M13" s="188"/>
      <c r="N13" s="188"/>
      <c r="O13" s="188"/>
      <c r="P13" s="188"/>
      <c r="Q13" s="191"/>
      <c r="R13" s="171"/>
      <c r="S13" s="172"/>
    </row>
    <row r="14" spans="1:20" ht="22.5" customHeight="1">
      <c r="A14" s="189"/>
      <c r="B14" s="190"/>
      <c r="C14" s="190"/>
      <c r="D14" s="190"/>
      <c r="E14" s="190"/>
      <c r="F14" s="190"/>
      <c r="G14" s="190"/>
      <c r="H14" s="191"/>
      <c r="I14" s="173"/>
      <c r="J14" s="194"/>
      <c r="K14" s="190"/>
      <c r="L14" s="190"/>
      <c r="M14" s="190"/>
      <c r="N14" s="190"/>
      <c r="O14" s="190"/>
      <c r="P14" s="190"/>
      <c r="Q14" s="191"/>
      <c r="R14" s="173"/>
      <c r="S14" s="174"/>
    </row>
    <row r="15" spans="1:20" ht="30" customHeight="1">
      <c r="A15" s="175" t="s">
        <v>79</v>
      </c>
      <c r="B15" s="176"/>
      <c r="C15" s="176"/>
      <c r="D15" s="176"/>
      <c r="E15" s="176"/>
      <c r="F15" s="176"/>
      <c r="G15" s="176"/>
      <c r="H15" s="192"/>
      <c r="I15" s="177" t="s">
        <v>2</v>
      </c>
      <c r="J15" s="178"/>
      <c r="K15" s="179" t="s">
        <v>79</v>
      </c>
      <c r="L15" s="180"/>
      <c r="M15" s="180"/>
      <c r="N15" s="180"/>
      <c r="O15" s="180"/>
      <c r="P15" s="180"/>
      <c r="Q15" s="192"/>
      <c r="R15" s="179" t="s">
        <v>2</v>
      </c>
      <c r="S15" s="181"/>
    </row>
    <row r="16" spans="1:20" ht="68.25" customHeight="1" thickBot="1">
      <c r="A16" s="182" t="s">
        <v>80</v>
      </c>
      <c r="B16" s="183"/>
      <c r="C16" s="183"/>
      <c r="D16" s="183"/>
      <c r="E16" s="183"/>
      <c r="F16" s="183"/>
      <c r="G16" s="183"/>
      <c r="H16" s="183"/>
      <c r="I16" s="183"/>
      <c r="J16" s="184"/>
      <c r="K16" s="185" t="s">
        <v>81</v>
      </c>
      <c r="L16" s="183"/>
      <c r="M16" s="183"/>
      <c r="N16" s="183"/>
      <c r="O16" s="183"/>
      <c r="P16" s="183"/>
      <c r="Q16" s="183"/>
      <c r="R16" s="183"/>
      <c r="S16" s="186"/>
    </row>
    <row r="17" spans="1:19" ht="15" customHeight="1">
      <c r="A17" s="169"/>
      <c r="B17" s="170"/>
      <c r="C17" s="170"/>
      <c r="D17" s="170"/>
      <c r="E17" s="170"/>
      <c r="F17" s="170"/>
      <c r="G17" s="170"/>
      <c r="H17" s="170"/>
      <c r="I17" s="170"/>
      <c r="J17" s="170"/>
      <c r="K17" s="170"/>
      <c r="L17" s="170"/>
      <c r="M17" s="170"/>
      <c r="N17" s="170"/>
      <c r="O17" s="170"/>
      <c r="P17" s="170"/>
      <c r="Q17" s="170"/>
      <c r="R17" s="170"/>
      <c r="S17" s="170"/>
    </row>
    <row r="18" spans="1:19" ht="15" customHeight="1">
      <c r="A18" s="169" t="s">
        <v>85</v>
      </c>
      <c r="B18" s="170"/>
      <c r="C18" s="170"/>
      <c r="D18" s="170"/>
      <c r="E18" s="170"/>
      <c r="F18" s="170"/>
      <c r="G18" s="170"/>
      <c r="H18" s="170"/>
      <c r="I18" s="170"/>
      <c r="J18" s="170"/>
      <c r="K18" s="170"/>
      <c r="L18" s="170"/>
      <c r="M18" s="170"/>
      <c r="N18" s="170"/>
      <c r="O18" s="170"/>
      <c r="P18" s="170"/>
      <c r="Q18" s="170"/>
      <c r="R18" s="170"/>
      <c r="S18" s="170"/>
    </row>
    <row r="19" spans="1:19" ht="15" customHeight="1">
      <c r="A19" s="169" t="s">
        <v>55</v>
      </c>
      <c r="B19" s="170"/>
      <c r="C19" s="170"/>
      <c r="D19" s="170"/>
      <c r="E19" s="170"/>
      <c r="F19" s="170"/>
      <c r="G19" s="170"/>
      <c r="H19" s="170"/>
      <c r="I19" s="170"/>
      <c r="J19" s="170"/>
      <c r="K19" s="170"/>
      <c r="L19" s="170"/>
      <c r="M19" s="170"/>
      <c r="N19" s="170"/>
      <c r="O19" s="170"/>
      <c r="P19" s="170"/>
      <c r="Q19" s="170"/>
      <c r="R19" s="170"/>
      <c r="S19" s="170"/>
    </row>
    <row r="20" spans="1:19" ht="15" customHeight="1">
      <c r="A20" s="169" t="s">
        <v>68</v>
      </c>
      <c r="B20" s="170"/>
      <c r="C20" s="170"/>
      <c r="D20" s="170"/>
      <c r="E20" s="170"/>
      <c r="F20" s="170"/>
      <c r="G20" s="170"/>
      <c r="H20" s="170"/>
      <c r="I20" s="170"/>
      <c r="J20" s="170"/>
      <c r="K20" s="170"/>
      <c r="L20" s="170"/>
      <c r="M20" s="170"/>
      <c r="N20" s="170"/>
      <c r="O20" s="170"/>
      <c r="P20" s="170"/>
      <c r="Q20" s="170"/>
      <c r="R20" s="170"/>
      <c r="S20" s="170"/>
    </row>
    <row r="21" spans="1:19" ht="15" customHeight="1">
      <c r="A21" s="169" t="s">
        <v>1</v>
      </c>
      <c r="B21" s="170"/>
      <c r="C21" s="170"/>
      <c r="D21" s="170"/>
      <c r="E21" s="170"/>
      <c r="F21" s="170"/>
      <c r="G21" s="170"/>
      <c r="H21" s="170"/>
      <c r="I21" s="170"/>
      <c r="J21" s="170"/>
      <c r="K21" s="170"/>
      <c r="L21" s="170"/>
      <c r="M21" s="170"/>
      <c r="N21" s="170"/>
      <c r="O21" s="170"/>
      <c r="P21" s="170"/>
      <c r="Q21" s="170"/>
      <c r="R21" s="170"/>
      <c r="S21" s="170"/>
    </row>
    <row r="22" spans="1:19" ht="15" customHeight="1">
      <c r="A22" s="169" t="s">
        <v>84</v>
      </c>
      <c r="B22" s="170"/>
      <c r="C22" s="170"/>
      <c r="D22" s="170"/>
      <c r="E22" s="170"/>
      <c r="F22" s="170"/>
      <c r="G22" s="170"/>
      <c r="H22" s="170"/>
      <c r="I22" s="170"/>
      <c r="J22" s="170"/>
      <c r="K22" s="170"/>
      <c r="L22" s="170"/>
      <c r="M22" s="170"/>
      <c r="N22" s="170"/>
      <c r="O22" s="170"/>
      <c r="P22" s="170"/>
      <c r="Q22" s="170"/>
      <c r="R22" s="170"/>
      <c r="S22" s="170"/>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2012-10-26T19:24:53Z</dcterms:modified>
</cp:coreProperties>
</file>