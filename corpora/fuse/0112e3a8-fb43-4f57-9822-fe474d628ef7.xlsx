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3955" windowHeight="11055" tabRatio="165"/>
  </bookViews>
  <sheets>
    <sheet name="Totals" sheetId="1" r:id="rId1"/>
  </sheets>
  <externalReferences>
    <externalReference r:id="rId2"/>
  </externalReferences>
  <calcPr calcId="145621"/>
</workbook>
</file>

<file path=xl/calcChain.xml><?xml version="1.0" encoding="utf-8"?>
<calcChain xmlns="http://schemas.openxmlformats.org/spreadsheetml/2006/main">
  <c r="U14" i="1" l="1"/>
  <c r="T14" i="1"/>
  <c r="S14" i="1"/>
  <c r="R14" i="1"/>
  <c r="Q14" i="1"/>
  <c r="O5" i="1" l="1"/>
  <c r="P5" i="1"/>
  <c r="O6" i="1"/>
  <c r="P6" i="1"/>
  <c r="O7" i="1"/>
  <c r="P7" i="1"/>
  <c r="O8" i="1"/>
  <c r="P8" i="1"/>
  <c r="O9" i="1"/>
  <c r="P9" i="1"/>
  <c r="O10" i="1"/>
  <c r="P10" i="1"/>
  <c r="O11" i="1"/>
  <c r="P11" i="1"/>
  <c r="O12" i="1"/>
  <c r="P12" i="1"/>
  <c r="O13" i="1"/>
  <c r="P13" i="1"/>
  <c r="O14" i="1"/>
  <c r="P14" i="1"/>
  <c r="P29" i="1" l="1"/>
  <c r="P28" i="1"/>
  <c r="P27" i="1"/>
  <c r="P26" i="1"/>
  <c r="P25" i="1"/>
  <c r="P24" i="1"/>
  <c r="P23" i="1"/>
  <c r="P22" i="1"/>
  <c r="P21" i="1"/>
  <c r="O29" i="1"/>
  <c r="O28" i="1"/>
  <c r="O27" i="1"/>
  <c r="O26" i="1"/>
  <c r="O25" i="1"/>
  <c r="O24" i="1"/>
  <c r="O23" i="1"/>
  <c r="O22" i="1"/>
  <c r="O21" i="1"/>
  <c r="N14" i="1" l="1"/>
  <c r="M14" i="1"/>
  <c r="L14" i="1"/>
  <c r="K14" i="1"/>
  <c r="J14" i="1"/>
  <c r="I14" i="1"/>
  <c r="H14" i="1"/>
  <c r="G14" i="1"/>
  <c r="F14" i="1"/>
  <c r="E14" i="1"/>
  <c r="D14" i="1"/>
  <c r="C14" i="1"/>
  <c r="B14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N9" i="1"/>
  <c r="M9" i="1"/>
  <c r="L9" i="1"/>
  <c r="K9" i="1"/>
  <c r="J9" i="1"/>
  <c r="I9" i="1"/>
  <c r="H9" i="1"/>
  <c r="G9" i="1"/>
  <c r="F9" i="1"/>
  <c r="E9" i="1"/>
  <c r="D9" i="1"/>
  <c r="C9" i="1"/>
  <c r="B9" i="1"/>
  <c r="N8" i="1"/>
  <c r="M8" i="1"/>
  <c r="L8" i="1"/>
  <c r="K8" i="1"/>
  <c r="J8" i="1"/>
  <c r="I8" i="1"/>
  <c r="H8" i="1"/>
  <c r="G8" i="1"/>
  <c r="F8" i="1"/>
  <c r="E8" i="1"/>
  <c r="D8" i="1"/>
  <c r="C8" i="1"/>
  <c r="B8" i="1"/>
  <c r="N7" i="1"/>
  <c r="M7" i="1"/>
  <c r="L7" i="1"/>
  <c r="K7" i="1"/>
  <c r="J7" i="1"/>
  <c r="I7" i="1"/>
  <c r="H7" i="1"/>
  <c r="G7" i="1"/>
  <c r="F7" i="1"/>
  <c r="E7" i="1"/>
  <c r="D7" i="1"/>
  <c r="C7" i="1"/>
  <c r="B7" i="1"/>
  <c r="N6" i="1"/>
  <c r="M6" i="1"/>
  <c r="L6" i="1"/>
  <c r="K6" i="1"/>
  <c r="J6" i="1"/>
  <c r="I6" i="1"/>
  <c r="H6" i="1"/>
  <c r="G6" i="1"/>
  <c r="F6" i="1"/>
  <c r="E6" i="1"/>
  <c r="D6" i="1"/>
  <c r="C6" i="1"/>
  <c r="B6" i="1"/>
  <c r="N5" i="1"/>
  <c r="M5" i="1"/>
  <c r="L5" i="1"/>
  <c r="K5" i="1"/>
  <c r="J5" i="1"/>
  <c r="I5" i="1"/>
  <c r="H5" i="1"/>
  <c r="G5" i="1"/>
  <c r="F5" i="1"/>
  <c r="E5" i="1"/>
  <c r="D5" i="1"/>
  <c r="C5" i="1"/>
  <c r="B5" i="1"/>
  <c r="B21" i="1" l="1"/>
  <c r="M21" i="1" l="1"/>
  <c r="K21" i="1"/>
  <c r="I21" i="1"/>
  <c r="G21" i="1"/>
  <c r="E21" i="1"/>
  <c r="C21" i="1"/>
  <c r="N21" i="1"/>
  <c r="L21" i="1"/>
  <c r="J21" i="1"/>
  <c r="H21" i="1"/>
  <c r="F21" i="1"/>
  <c r="D21" i="1"/>
  <c r="M29" i="1"/>
  <c r="K29" i="1"/>
  <c r="I29" i="1"/>
  <c r="G29" i="1"/>
  <c r="E29" i="1"/>
  <c r="C29" i="1"/>
  <c r="M28" i="1"/>
  <c r="K28" i="1"/>
  <c r="I28" i="1"/>
  <c r="G28" i="1"/>
  <c r="E28" i="1"/>
  <c r="C28" i="1"/>
  <c r="M27" i="1"/>
  <c r="K27" i="1"/>
  <c r="I27" i="1"/>
  <c r="G27" i="1"/>
  <c r="E27" i="1"/>
  <c r="C27" i="1"/>
  <c r="M26" i="1"/>
  <c r="K26" i="1"/>
  <c r="I26" i="1"/>
  <c r="G26" i="1"/>
  <c r="E26" i="1"/>
  <c r="C26" i="1"/>
  <c r="M25" i="1"/>
  <c r="K25" i="1"/>
  <c r="I25" i="1"/>
  <c r="G25" i="1"/>
  <c r="E25" i="1"/>
  <c r="C25" i="1"/>
  <c r="M24" i="1"/>
  <c r="K24" i="1"/>
  <c r="I24" i="1"/>
  <c r="G24" i="1"/>
  <c r="E24" i="1"/>
  <c r="C24" i="1"/>
  <c r="M23" i="1"/>
  <c r="K23" i="1"/>
  <c r="I23" i="1"/>
  <c r="G23" i="1"/>
  <c r="E23" i="1"/>
  <c r="C23" i="1"/>
  <c r="M22" i="1"/>
  <c r="K22" i="1"/>
  <c r="I22" i="1"/>
  <c r="G22" i="1"/>
  <c r="E22" i="1"/>
  <c r="C22" i="1"/>
  <c r="N29" i="1"/>
  <c r="L29" i="1"/>
  <c r="J29" i="1"/>
  <c r="H29" i="1"/>
  <c r="F29" i="1"/>
  <c r="D29" i="1"/>
  <c r="B29" i="1"/>
  <c r="N28" i="1"/>
  <c r="L28" i="1"/>
  <c r="J28" i="1"/>
  <c r="H28" i="1"/>
  <c r="F28" i="1"/>
  <c r="D28" i="1"/>
  <c r="B28" i="1"/>
  <c r="N27" i="1"/>
  <c r="L27" i="1"/>
  <c r="J27" i="1"/>
  <c r="H27" i="1"/>
  <c r="F27" i="1"/>
  <c r="D27" i="1"/>
  <c r="B27" i="1"/>
  <c r="N26" i="1"/>
  <c r="L26" i="1"/>
  <c r="J26" i="1"/>
  <c r="H26" i="1"/>
  <c r="F26" i="1"/>
  <c r="D26" i="1"/>
  <c r="B26" i="1"/>
  <c r="N25" i="1"/>
  <c r="L25" i="1"/>
  <c r="J25" i="1"/>
  <c r="H25" i="1"/>
  <c r="F25" i="1"/>
  <c r="D25" i="1"/>
  <c r="B25" i="1"/>
  <c r="N24" i="1"/>
  <c r="L24" i="1"/>
  <c r="J24" i="1"/>
  <c r="H24" i="1"/>
  <c r="F24" i="1"/>
  <c r="D24" i="1"/>
  <c r="B24" i="1"/>
  <c r="N23" i="1"/>
  <c r="L23" i="1"/>
  <c r="J23" i="1"/>
  <c r="H23" i="1"/>
  <c r="F23" i="1"/>
  <c r="D23" i="1"/>
  <c r="B23" i="1"/>
  <c r="N22" i="1"/>
  <c r="L22" i="1"/>
  <c r="J22" i="1"/>
  <c r="H22" i="1"/>
  <c r="F22" i="1"/>
  <c r="D22" i="1"/>
  <c r="B22" i="1"/>
</calcChain>
</file>

<file path=xl/sharedStrings.xml><?xml version="1.0" encoding="utf-8"?>
<sst xmlns="http://schemas.openxmlformats.org/spreadsheetml/2006/main" count="127" uniqueCount="49">
  <si>
    <t>AY07-08</t>
  </si>
  <si>
    <t>AY08-09</t>
  </si>
  <si>
    <t>AY09-10</t>
  </si>
  <si>
    <t>AY10-11</t>
  </si>
  <si>
    <t>AY11-12</t>
  </si>
  <si>
    <t>Academic Year</t>
  </si>
  <si>
    <t>SU07</t>
  </si>
  <si>
    <t>FA07</t>
  </si>
  <si>
    <t>SP08</t>
  </si>
  <si>
    <t>SU08</t>
  </si>
  <si>
    <t>FA08</t>
  </si>
  <si>
    <t>SP09</t>
  </si>
  <si>
    <t>SU09</t>
  </si>
  <si>
    <t>FA09</t>
  </si>
  <si>
    <t>SP10</t>
  </si>
  <si>
    <t>SU10</t>
  </si>
  <si>
    <t>FA10</t>
  </si>
  <si>
    <t>SP11</t>
  </si>
  <si>
    <t>SU11</t>
  </si>
  <si>
    <t>FA11</t>
  </si>
  <si>
    <t>SP12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</si>
  <si>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</si>
  <si>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</si>
  <si>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</si>
  <si>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</si>
  <si>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</si>
  <si>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</si>
  <si>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</si>
  <si>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</si>
  <si>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>Unknown</t>
  </si>
  <si>
    <t>Term Total</t>
  </si>
  <si>
    <t>% of Total</t>
  </si>
  <si>
    <t>Credit Headcount % of Total</t>
  </si>
  <si>
    <t>Success Rate</t>
  </si>
  <si>
    <t>Term Average</t>
  </si>
  <si>
    <t>Headcount Of Credit Graded Students</t>
  </si>
  <si>
    <r>
      <t xml:space="preserve">Success rate </t>
    </r>
    <r>
      <rPr>
        <sz val="9"/>
        <color rgb="FF000000"/>
        <rFont val="Calibri"/>
        <family val="2"/>
      </rPr>
      <t xml:space="preserve">= # of “A, B, C, CR &amp; P” grades divided by (the # of all grades) “A, B, C, CR, P, D, F, NC, NP, I and W” </t>
    </r>
  </si>
  <si>
    <r>
      <rPr>
        <b/>
        <sz val="11"/>
        <color rgb="FFC00000"/>
        <rFont val="Calibri"/>
        <family val="2"/>
        <scheme val="minor"/>
      </rPr>
      <t xml:space="preserve">Ethnic </t>
    </r>
    <r>
      <rPr>
        <b/>
        <sz val="11"/>
        <color theme="1"/>
        <rFont val="Calibri"/>
        <family val="2"/>
        <scheme val="minor"/>
      </rPr>
      <t>Groups</t>
    </r>
  </si>
  <si>
    <r>
      <rPr>
        <b/>
        <sz val="11"/>
        <color rgb="FFC00000"/>
        <rFont val="Calibri"/>
        <family val="2"/>
        <scheme val="minor"/>
      </rPr>
      <t>Ethnic</t>
    </r>
    <r>
      <rPr>
        <b/>
        <sz val="11"/>
        <color theme="1"/>
        <rFont val="Calibri"/>
        <family val="2"/>
        <scheme val="minor"/>
      </rPr>
      <t xml:space="preserve"> Groups</t>
    </r>
  </si>
  <si>
    <r>
      <rPr>
        <b/>
        <sz val="9"/>
        <color theme="1"/>
        <rFont val="Calibri"/>
        <family val="2"/>
        <scheme val="minor"/>
      </rPr>
      <t>Note</t>
    </r>
    <r>
      <rPr>
        <sz val="9"/>
        <color theme="1"/>
        <rFont val="Calibri"/>
        <family val="2"/>
        <scheme val="minor"/>
      </rPr>
      <t>: district totals exclude dual enrollment data</t>
    </r>
  </si>
  <si>
    <r>
      <rPr>
        <b/>
        <sz val="12"/>
        <rFont val="Calibri"/>
        <family val="2"/>
        <scheme val="minor"/>
      </rPr>
      <t>MSJC SJC Total</t>
    </r>
    <r>
      <rPr>
        <b/>
        <sz val="12"/>
        <color theme="5" tint="-0.249977111117893"/>
        <rFont val="Calibri"/>
        <family val="2"/>
        <scheme val="minor"/>
      </rPr>
      <t xml:space="preserve"> by Ethnic Groups</t>
    </r>
  </si>
  <si>
    <t>AY12-13</t>
  </si>
  <si>
    <t>AY13-14</t>
  </si>
  <si>
    <t>SU12</t>
  </si>
  <si>
    <t>FA12</t>
  </si>
  <si>
    <t>SP13</t>
  </si>
  <si>
    <t>SU13</t>
  </si>
  <si>
    <t>FA13</t>
  </si>
  <si>
    <t>SP14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</si>
</sst>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9.9"/>
      <name val="Calibri"/>
      <family val="2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11"/>
      <color rgb="FFC00000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6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1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0" fillId="0" borderId="0" xfId="0"/>
    <xf numFmtId="0" fontId="17" fillId="0" borderId="24" xfId="45" applyFont="1" applyBorder="1" applyAlignment="1">
      <alignment horizontal="center" vertical="center"/>
    </xf>
    <xf numFmtId="164" fontId="24" fillId="0" borderId="22" xfId="1" applyNumberFormat="1" applyFont="1" applyBorder="1" applyAlignment="1" applyProtection="1">
      <alignment horizontal="center" vertical="center"/>
    </xf>
    <xf numFmtId="165" fontId="24" fillId="0" borderId="17" xfId="1" applyNumberFormat="1" applyFont="1" applyBorder="1" applyAlignment="1" applyProtection="1">
      <alignment horizontal="center" vertical="center"/>
    </xf>
    <xf numFmtId="165" fontId="24" fillId="0" borderId="16" xfId="1" applyNumberFormat="1" applyFont="1" applyBorder="1" applyAlignment="1" applyProtection="1">
      <alignment horizontal="center" vertical="center"/>
    </xf>
    <xf numFmtId="165" fontId="24" fillId="0" borderId="22" xfId="1" applyNumberFormat="1" applyFont="1" applyBorder="1" applyAlignment="1" applyProtection="1">
      <alignment horizontal="center" vertical="center"/>
    </xf>
    <xf numFmtId="0" fontId="17" fillId="0" borderId="27" xfId="45" applyFont="1" applyBorder="1" applyAlignment="1">
      <alignment horizontal="center" vertical="center"/>
    </xf>
    <xf numFmtId="3" fontId="0" fillId="0" borderId="0" xfId="0" applyNumberFormat="1"/>
    <xf numFmtId="10" fontId="0" fillId="0" borderId="0" xfId="2" applyNumberFormat="1" applyFont="1"/>
    <xf numFmtId="164" fontId="0" fillId="0" borderId="0" xfId="0" applyNumberFormat="1"/>
    <xf numFmtId="0" fontId="26" fillId="0" borderId="25" xfId="47" applyFont="1" applyBorder="1" applyAlignment="1" applyProtection="1"/>
    <xf numFmtId="0" fontId="26" fillId="0" borderId="26" xfId="47" applyFont="1" applyBorder="1" applyAlignment="1" applyProtection="1"/>
    <xf numFmtId="0" fontId="26" fillId="0" borderId="29" xfId="47" applyFont="1" applyBorder="1" applyAlignment="1" applyProtection="1"/>
    <xf numFmtId="0" fontId="26" fillId="0" borderId="12" xfId="47" applyFont="1" applyFill="1" applyBorder="1" applyAlignment="1" applyProtection="1"/>
    <xf numFmtId="9" fontId="24" fillId="0" borderId="21" xfId="1" applyNumberFormat="1" applyFont="1" applyBorder="1" applyAlignment="1" applyProtection="1">
      <alignment horizontal="center" vertical="center"/>
    </xf>
    <xf numFmtId="0" fontId="28" fillId="0" borderId="0" xfId="0" applyFont="1" applyAlignment="1">
      <alignment vertical="center"/>
    </xf>
    <xf numFmtId="0" fontId="26" fillId="0" borderId="33" xfId="47" applyFont="1" applyBorder="1" applyAlignment="1" applyProtection="1"/>
    <xf numFmtId="0" fontId="26" fillId="0" borderId="24" xfId="47" applyFont="1" applyBorder="1" applyAlignment="1" applyProtection="1"/>
    <xf numFmtId="0" fontId="30" fillId="0" borderId="24" xfId="47" applyFont="1" applyBorder="1" applyAlignment="1" applyProtection="1">
      <alignment horizontal="center" vertical="center"/>
    </xf>
    <xf numFmtId="164" fontId="24" fillId="0" borderId="32" xfId="1" applyNumberFormat="1" applyFont="1" applyBorder="1" applyAlignment="1" applyProtection="1">
      <alignment horizontal="center" vertical="center"/>
    </xf>
    <xf numFmtId="164" fontId="24" fillId="0" borderId="21" xfId="1" applyNumberFormat="1" applyFont="1" applyBorder="1" applyAlignment="1" applyProtection="1">
      <alignment horizontal="center" vertical="center"/>
    </xf>
    <xf numFmtId="165" fontId="24" fillId="0" borderId="15" xfId="1" applyNumberFormat="1" applyFont="1" applyBorder="1" applyAlignment="1" applyProtection="1">
      <alignment horizontal="center" vertical="center"/>
    </xf>
    <xf numFmtId="165" fontId="24" fillId="0" borderId="32" xfId="1" applyNumberFormat="1" applyFont="1" applyBorder="1" applyAlignment="1" applyProtection="1">
      <alignment horizontal="center" vertical="center"/>
    </xf>
    <xf numFmtId="165" fontId="24" fillId="0" borderId="19" xfId="1" applyNumberFormat="1" applyFont="1" applyBorder="1" applyAlignment="1" applyProtection="1">
      <alignment horizontal="center" vertical="center"/>
    </xf>
    <xf numFmtId="165" fontId="24" fillId="0" borderId="18" xfId="1" applyNumberFormat="1" applyFont="1" applyBorder="1" applyAlignment="1" applyProtection="1">
      <alignment horizontal="center" vertical="center"/>
    </xf>
    <xf numFmtId="0" fontId="31" fillId="0" borderId="0" xfId="58" applyFont="1"/>
    <xf numFmtId="165" fontId="24" fillId="0" borderId="34" xfId="1" applyNumberFormat="1" applyFont="1" applyBorder="1" applyAlignment="1" applyProtection="1">
      <alignment horizontal="center" vertical="center"/>
    </xf>
    <xf numFmtId="165" fontId="24" fillId="0" borderId="21" xfId="1" applyNumberFormat="1" applyFont="1" applyBorder="1" applyAlignment="1" applyProtection="1">
      <alignment horizontal="center" vertical="center"/>
    </xf>
    <xf numFmtId="165" fontId="24" fillId="0" borderId="20" xfId="1" applyNumberFormat="1" applyFont="1" applyBorder="1" applyAlignment="1" applyProtection="1">
      <alignment horizontal="center" vertical="center"/>
    </xf>
    <xf numFmtId="165" fontId="24" fillId="0" borderId="35" xfId="1" applyNumberFormat="1" applyFont="1" applyBorder="1" applyAlignment="1" applyProtection="1">
      <alignment horizontal="center" vertical="center"/>
    </xf>
    <xf numFmtId="165" fontId="24" fillId="0" borderId="36" xfId="1" applyNumberFormat="1" applyFont="1" applyBorder="1" applyAlignment="1" applyProtection="1">
      <alignment horizontal="center" vertical="center"/>
    </xf>
    <xf numFmtId="165" fontId="24" fillId="0" borderId="14" xfId="1" applyNumberFormat="1" applyFont="1" applyBorder="1" applyAlignment="1" applyProtection="1">
      <alignment horizontal="center" vertical="center"/>
    </xf>
    <xf numFmtId="165" fontId="24" fillId="0" borderId="37" xfId="1" applyNumberFormat="1" applyFont="1" applyBorder="1" applyAlignment="1" applyProtection="1">
      <alignment horizontal="center" vertical="center"/>
    </xf>
    <xf numFmtId="165" fontId="24" fillId="0" borderId="38" xfId="1" applyNumberFormat="1" applyFont="1" applyBorder="1" applyAlignment="1" applyProtection="1">
      <alignment horizontal="center" vertical="center"/>
    </xf>
    <xf numFmtId="9" fontId="26" fillId="0" borderId="39" xfId="1" applyNumberFormat="1" applyFont="1" applyBorder="1" applyAlignment="1" applyProtection="1">
      <alignment horizontal="center" vertical="center"/>
    </xf>
    <xf numFmtId="9" fontId="24" fillId="0" borderId="45" xfId="1" applyNumberFormat="1" applyFont="1" applyBorder="1" applyAlignment="1" applyProtection="1">
      <alignment horizontal="center" vertical="center"/>
    </xf>
    <xf numFmtId="164" fontId="24" fillId="0" borderId="18" xfId="1" applyNumberFormat="1" applyFont="1" applyBorder="1" applyAlignment="1" applyProtection="1">
      <alignment horizontal="center" vertical="center"/>
    </xf>
    <xf numFmtId="164" fontId="24" fillId="0" borderId="34" xfId="1" applyNumberFormat="1" applyFont="1" applyBorder="1" applyAlignment="1" applyProtection="1">
      <alignment horizontal="center" vertical="center"/>
    </xf>
    <xf numFmtId="164" fontId="24" fillId="0" borderId="19" xfId="1" applyNumberFormat="1" applyFont="1" applyBorder="1" applyAlignment="1" applyProtection="1">
      <alignment horizontal="center" vertical="center"/>
    </xf>
    <xf numFmtId="0" fontId="23" fillId="35" borderId="31" xfId="45" applyFont="1" applyFill="1" applyBorder="1" applyAlignment="1">
      <alignment horizontal="center" vertical="center"/>
    </xf>
    <xf numFmtId="0" fontId="23" fillId="35" borderId="43" xfId="45" applyFont="1" applyFill="1" applyBorder="1" applyAlignment="1">
      <alignment horizontal="center" vertical="center"/>
    </xf>
    <xf numFmtId="0" fontId="23" fillId="35" borderId="30" xfId="45" applyFont="1" applyFill="1" applyBorder="1" applyAlignment="1">
      <alignment horizontal="center" vertical="center"/>
    </xf>
    <xf numFmtId="0" fontId="23" fillId="0" borderId="31" xfId="45" applyFont="1" applyFill="1" applyBorder="1" applyAlignment="1">
      <alignment horizontal="center" vertical="center"/>
    </xf>
    <xf numFmtId="0" fontId="23" fillId="0" borderId="43" xfId="45" applyFont="1" applyFill="1" applyBorder="1" applyAlignment="1">
      <alignment horizontal="center" vertical="center"/>
    </xf>
    <xf numFmtId="0" fontId="23" fillId="0" borderId="30" xfId="45" applyFont="1" applyFill="1" applyBorder="1" applyAlignment="1">
      <alignment horizontal="center" vertical="center"/>
    </xf>
    <xf numFmtId="0" fontId="23" fillId="35" borderId="44" xfId="45" applyFont="1" applyFill="1" applyBorder="1" applyAlignment="1">
      <alignment horizontal="center" vertical="center"/>
    </xf>
    <xf numFmtId="164" fontId="24" fillId="0" borderId="17" xfId="1" applyNumberFormat="1" applyFont="1" applyBorder="1" applyAlignment="1" applyProtection="1">
      <alignment horizontal="center" vertical="center"/>
    </xf>
    <xf numFmtId="164" fontId="24" fillId="0" borderId="15" xfId="1" applyNumberFormat="1" applyFont="1" applyBorder="1" applyAlignment="1" applyProtection="1">
      <alignment horizontal="center" vertical="center"/>
    </xf>
    <xf numFmtId="164" fontId="24" fillId="0" borderId="20" xfId="1" applyNumberFormat="1" applyFont="1" applyBorder="1" applyAlignment="1" applyProtection="1">
      <alignment horizontal="center" vertical="center"/>
    </xf>
    <xf numFmtId="164" fontId="24" fillId="0" borderId="16" xfId="1" applyNumberFormat="1" applyFont="1" applyBorder="1" applyAlignment="1" applyProtection="1">
      <alignment horizontal="center" vertical="center"/>
    </xf>
    <xf numFmtId="164" fontId="24" fillId="0" borderId="14" xfId="1" applyNumberFormat="1" applyFont="1" applyBorder="1" applyAlignment="1" applyProtection="1">
      <alignment horizontal="center" vertical="center"/>
    </xf>
    <xf numFmtId="164" fontId="24" fillId="0" borderId="48" xfId="1" applyNumberFormat="1" applyFont="1" applyBorder="1" applyAlignment="1" applyProtection="1">
      <alignment horizontal="center" vertical="center"/>
    </xf>
    <xf numFmtId="164" fontId="24" fillId="0" borderId="49" xfId="1" applyNumberFormat="1" applyFont="1" applyBorder="1" applyAlignment="1" applyProtection="1">
      <alignment horizontal="center" vertical="center"/>
    </xf>
    <xf numFmtId="164" fontId="24" fillId="0" borderId="35" xfId="1" applyNumberFormat="1" applyFont="1" applyBorder="1" applyAlignment="1" applyProtection="1">
      <alignment horizontal="center" vertical="center"/>
    </xf>
    <xf numFmtId="164" fontId="24" fillId="0" borderId="37" xfId="1" applyNumberFormat="1" applyFont="1" applyBorder="1" applyAlignment="1" applyProtection="1">
      <alignment horizontal="center" vertical="center"/>
    </xf>
    <xf numFmtId="164" fontId="24" fillId="0" borderId="50" xfId="1" applyNumberFormat="1" applyFont="1" applyBorder="1" applyAlignment="1" applyProtection="1">
      <alignment horizontal="center" vertical="center"/>
    </xf>
    <xf numFmtId="164" fontId="24" fillId="0" borderId="51" xfId="1" applyNumberFormat="1" applyFont="1" applyBorder="1" applyAlignment="1" applyProtection="1">
      <alignment horizontal="center" vertical="center"/>
    </xf>
    <xf numFmtId="164" fontId="24" fillId="0" borderId="52" xfId="1" applyNumberFormat="1" applyFont="1" applyBorder="1" applyAlignment="1" applyProtection="1">
      <alignment horizontal="center" vertical="center"/>
    </xf>
    <xf numFmtId="164" fontId="24" fillId="0" borderId="53" xfId="1" applyNumberFormat="1" applyFont="1" applyBorder="1" applyAlignment="1" applyProtection="1">
      <alignment horizontal="center" vertical="center"/>
    </xf>
    <xf numFmtId="164" fontId="24" fillId="0" borderId="54" xfId="1" applyNumberFormat="1" applyFont="1" applyBorder="1" applyAlignment="1" applyProtection="1">
      <alignment horizontal="center" vertical="center"/>
    </xf>
    <xf numFmtId="164" fontId="26" fillId="0" borderId="55" xfId="1" applyNumberFormat="1" applyFont="1" applyBorder="1" applyAlignment="1" applyProtection="1">
      <alignment horizontal="center" vertical="center"/>
    </xf>
    <xf numFmtId="164" fontId="26" fillId="0" borderId="56" xfId="1" applyNumberFormat="1" applyFont="1" applyBorder="1" applyAlignment="1" applyProtection="1">
      <alignment horizontal="center" vertical="center"/>
    </xf>
    <xf numFmtId="164" fontId="26" fillId="0" borderId="57" xfId="1" applyNumberFormat="1" applyFont="1" applyBorder="1" applyAlignment="1" applyProtection="1">
      <alignment horizontal="center" vertical="center"/>
    </xf>
    <xf numFmtId="164" fontId="26" fillId="0" borderId="58" xfId="1" applyNumberFormat="1" applyFont="1" applyBorder="1" applyAlignment="1" applyProtection="1">
      <alignment horizontal="center" vertical="center"/>
    </xf>
    <xf numFmtId="164" fontId="26" fillId="0" borderId="59" xfId="1" applyNumberFormat="1" applyFont="1" applyBorder="1" applyAlignment="1" applyProtection="1">
      <alignment horizontal="center" vertical="center"/>
    </xf>
    <xf numFmtId="164" fontId="24" fillId="0" borderId="60" xfId="1" applyNumberFormat="1" applyFont="1" applyBorder="1" applyAlignment="1" applyProtection="1">
      <alignment horizontal="center" vertical="center"/>
    </xf>
    <xf numFmtId="165" fontId="24" fillId="0" borderId="48" xfId="1" applyNumberFormat="1" applyFont="1" applyBorder="1" applyAlignment="1" applyProtection="1">
      <alignment horizontal="center" vertical="center"/>
    </xf>
    <xf numFmtId="165" fontId="24" fillId="0" borderId="49" xfId="1" applyNumberFormat="1" applyFont="1" applyBorder="1" applyAlignment="1" applyProtection="1">
      <alignment horizontal="center" vertical="center"/>
    </xf>
    <xf numFmtId="9" fontId="24" fillId="0" borderId="33" xfId="1" applyNumberFormat="1" applyFont="1" applyBorder="1" applyAlignment="1" applyProtection="1">
      <alignment horizontal="center" vertical="center"/>
    </xf>
    <xf numFmtId="9" fontId="24" fillId="0" borderId="61" xfId="1" applyNumberFormat="1" applyFont="1" applyBorder="1" applyAlignment="1" applyProtection="1">
      <alignment horizontal="center" vertical="center"/>
    </xf>
    <xf numFmtId="9" fontId="24" fillId="0" borderId="62" xfId="1" applyNumberFormat="1" applyFont="1" applyBorder="1" applyAlignment="1" applyProtection="1">
      <alignment horizontal="center" vertical="center"/>
    </xf>
    <xf numFmtId="9" fontId="24" fillId="0" borderId="26" xfId="1" applyNumberFormat="1" applyFont="1" applyBorder="1" applyAlignment="1" applyProtection="1">
      <alignment horizontal="center" vertical="center"/>
    </xf>
    <xf numFmtId="9" fontId="24" fillId="0" borderId="63" xfId="1" applyNumberFormat="1" applyFont="1" applyBorder="1" applyAlignment="1" applyProtection="1">
      <alignment horizontal="center" vertical="center"/>
    </xf>
    <xf numFmtId="9" fontId="24" fillId="0" borderId="64" xfId="1" applyNumberFormat="1" applyFont="1" applyBorder="1" applyAlignment="1" applyProtection="1">
      <alignment horizontal="center" vertical="center"/>
    </xf>
    <xf numFmtId="9" fontId="24" fillId="0" borderId="65" xfId="1" applyNumberFormat="1" applyFont="1" applyBorder="1" applyAlignment="1" applyProtection="1">
      <alignment horizontal="center" vertical="center"/>
    </xf>
    <xf numFmtId="9" fontId="24" fillId="0" borderId="66" xfId="1" applyNumberFormat="1" applyFont="1" applyBorder="1" applyAlignment="1" applyProtection="1">
      <alignment horizontal="center" vertical="center"/>
    </xf>
    <xf numFmtId="9" fontId="24" fillId="0" borderId="67" xfId="1" applyNumberFormat="1" applyFont="1" applyBorder="1" applyAlignment="1" applyProtection="1">
      <alignment horizontal="center" vertical="center"/>
    </xf>
    <xf numFmtId="164" fontId="24" fillId="0" borderId="31" xfId="1" applyNumberFormat="1" applyFont="1" applyBorder="1" applyAlignment="1" applyProtection="1">
      <alignment horizontal="center" vertical="center"/>
    </xf>
    <xf numFmtId="164" fontId="24" fillId="0" borderId="27" xfId="1" applyNumberFormat="1" applyFont="1" applyBorder="1" applyAlignment="1" applyProtection="1">
      <alignment horizontal="center" vertical="center"/>
    </xf>
    <xf numFmtId="9" fontId="24" fillId="0" borderId="21" xfId="1" applyNumberFormat="1" applyFont="1" applyBorder="1" applyAlignment="1" applyProtection="1">
      <alignment horizontal="center" vertical="center"/>
    </xf>
    <xf numFmtId="0" fontId="27" fillId="33" borderId="10" xfId="10" applyFont="1" applyFill="1" applyBorder="1" applyAlignment="1">
      <alignment horizontal="center" vertical="center" wrapText="1"/>
    </xf>
    <xf numFmtId="0" fontId="27" fillId="33" borderId="11" xfId="10" applyFont="1" applyFill="1" applyBorder="1" applyAlignment="1">
      <alignment horizontal="center" vertical="center" wrapText="1"/>
    </xf>
    <xf numFmtId="0" fontId="27" fillId="33" borderId="12" xfId="10" applyFont="1" applyFill="1" applyBorder="1" applyAlignment="1">
      <alignment horizontal="center" vertical="center" wrapText="1"/>
    </xf>
    <xf numFmtId="0" fontId="23" fillId="35" borderId="46" xfId="45" applyFont="1" applyFill="1" applyBorder="1" applyAlignment="1">
      <alignment horizontal="center" vertical="center"/>
    </xf>
    <xf numFmtId="0" fontId="23" fillId="35" borderId="47" xfId="45" applyFont="1" applyFill="1" applyBorder="1" applyAlignment="1">
      <alignment horizontal="center" vertical="center"/>
    </xf>
    <xf numFmtId="0" fontId="23" fillId="35" borderId="48" xfId="45" applyFont="1" applyFill="1" applyBorder="1" applyAlignment="1">
      <alignment horizontal="center" vertical="center"/>
    </xf>
    <xf numFmtId="0" fontId="23" fillId="0" borderId="46" xfId="45" applyFont="1" applyFill="1" applyBorder="1" applyAlignment="1">
      <alignment horizontal="center" vertical="center"/>
    </xf>
    <xf numFmtId="0" fontId="23" fillId="0" borderId="47" xfId="45" applyFont="1" applyFill="1" applyBorder="1" applyAlignment="1">
      <alignment horizontal="center" vertical="center"/>
    </xf>
    <xf numFmtId="0" fontId="23" fillId="0" borderId="49" xfId="45" applyFont="1" applyFill="1" applyBorder="1" applyAlignment="1">
      <alignment horizontal="center" vertical="center"/>
    </xf>
    <xf numFmtId="0" fontId="23" fillId="33" borderId="10" xfId="10" applyFont="1" applyFill="1" applyBorder="1" applyAlignment="1">
      <alignment horizontal="center" vertical="center" wrapText="1"/>
    </xf>
    <xf numFmtId="0" fontId="23" fillId="33" borderId="11" xfId="10" applyFont="1" applyFill="1" applyBorder="1" applyAlignment="1">
      <alignment horizontal="center" vertical="center" wrapText="1"/>
    </xf>
    <xf numFmtId="0" fontId="23" fillId="33" borderId="12" xfId="10" applyFont="1" applyFill="1" applyBorder="1" applyAlignment="1">
      <alignment horizontal="center" vertical="center" wrapText="1"/>
    </xf>
    <xf numFmtId="0" fontId="20" fillId="34" borderId="23" xfId="45" applyFont="1" applyFill="1" applyBorder="1" applyAlignment="1">
      <alignment horizontal="center"/>
    </xf>
    <xf numFmtId="0" fontId="20" fillId="34" borderId="0" xfId="45" applyFont="1" applyFill="1" applyBorder="1" applyAlignment="1">
      <alignment horizontal="center"/>
    </xf>
    <xf numFmtId="0" fontId="20" fillId="34" borderId="12" xfId="45" applyFont="1" applyFill="1" applyBorder="1" applyAlignment="1">
      <alignment horizontal="center"/>
    </xf>
    <xf numFmtId="0" fontId="20" fillId="34" borderId="13" xfId="45" applyFont="1" applyFill="1" applyBorder="1" applyAlignment="1">
      <alignment horizontal="center"/>
    </xf>
    <xf numFmtId="3" fontId="30" fillId="0" borderId="39" xfId="1" applyNumberFormat="1" applyFont="1" applyFill="1" applyBorder="1" applyAlignment="1" applyProtection="1">
      <alignment horizontal="center" vertical="center"/>
    </xf>
    <xf numFmtId="3" fontId="30" fillId="0" borderId="40" xfId="1" applyNumberFormat="1" applyFont="1" applyFill="1" applyBorder="1" applyAlignment="1" applyProtection="1">
      <alignment horizontal="center" vertical="center"/>
    </xf>
    <xf numFmtId="3" fontId="30" fillId="0" borderId="28" xfId="1" applyNumberFormat="1" applyFont="1" applyFill="1" applyBorder="1" applyAlignment="1" applyProtection="1">
      <alignment horizontal="center" vertical="center"/>
    </xf>
    <xf numFmtId="3" fontId="30" fillId="0" borderId="41" xfId="1" applyNumberFormat="1" applyFont="1" applyFill="1" applyBorder="1" applyAlignment="1" applyProtection="1">
      <alignment horizontal="center" vertical="center"/>
    </xf>
    <xf numFmtId="3" fontId="30" fillId="0" borderId="42" xfId="1" applyNumberFormat="1" applyFont="1" applyFill="1" applyBorder="1" applyAlignment="1" applyProtection="1">
      <alignment horizontal="center" vertical="center"/>
    </xf>
    <xf numFmtId="9" fontId="33" fillId="0" borderId="68" xfId="1" applyNumberFormat="1" applyFont="1" applyFill="1" applyBorder="1" applyAlignment="1" applyProtection="1">
      <alignment horizontal="center" vertical="center"/>
    </xf>
  </cellXfs>
  <cellStyles count="115">
    <cellStyle name="20% - Accent1" xfId="21" builtinId="30" customBuiltin="1"/>
    <cellStyle name="20% - Accent1 2" xfId="76"/>
    <cellStyle name="20% - Accent2" xfId="25" builtinId="34" customBuiltin="1"/>
    <cellStyle name="20% - Accent2 2" xfId="80"/>
    <cellStyle name="20% - Accent3" xfId="29" builtinId="38" customBuiltin="1"/>
    <cellStyle name="20% - Accent3 2" xfId="84"/>
    <cellStyle name="20% - Accent4" xfId="33" builtinId="42" customBuiltin="1"/>
    <cellStyle name="20% - Accent4 2" xfId="88"/>
    <cellStyle name="20% - Accent5" xfId="37" builtinId="46" customBuiltin="1"/>
    <cellStyle name="20% - Accent5 2" xfId="92"/>
    <cellStyle name="20% - Accent6" xfId="41" builtinId="50" customBuiltin="1"/>
    <cellStyle name="20% - Accent6 2" xfId="96"/>
    <cellStyle name="40% - Accent1" xfId="22" builtinId="31" customBuiltin="1"/>
    <cellStyle name="40% - Accent1 2" xfId="77"/>
    <cellStyle name="40% - Accent2" xfId="26" builtinId="35" customBuiltin="1"/>
    <cellStyle name="40% - Accent2 2" xfId="81"/>
    <cellStyle name="40% - Accent3" xfId="30" builtinId="39" customBuiltin="1"/>
    <cellStyle name="40% - Accent3 2" xfId="85"/>
    <cellStyle name="40% - Accent4" xfId="34" builtinId="43" customBuiltin="1"/>
    <cellStyle name="40% - Accent4 2" xfId="89"/>
    <cellStyle name="40% - Accent5" xfId="38" builtinId="47" customBuiltin="1"/>
    <cellStyle name="40% - Accent5 2" xfId="93"/>
    <cellStyle name="40% - Accent6" xfId="42" builtinId="51" customBuiltin="1"/>
    <cellStyle name="40% - Accent6 2" xfId="97"/>
    <cellStyle name="60% - Accent1" xfId="23" builtinId="32" customBuiltin="1"/>
    <cellStyle name="60% - Accent1 2" xfId="78"/>
    <cellStyle name="60% - Accent2" xfId="27" builtinId="36" customBuiltin="1"/>
    <cellStyle name="60% - Accent2 2" xfId="82"/>
    <cellStyle name="60% - Accent3" xfId="31" builtinId="40" customBuiltin="1"/>
    <cellStyle name="60% - Accent3 2" xfId="86"/>
    <cellStyle name="60% - Accent4" xfId="35" builtinId="44" customBuiltin="1"/>
    <cellStyle name="60% - Accent4 2" xfId="90"/>
    <cellStyle name="60% - Accent5" xfId="39" builtinId="48" customBuiltin="1"/>
    <cellStyle name="60% - Accent5 2" xfId="94"/>
    <cellStyle name="60% - Accent6" xfId="43" builtinId="52" customBuiltin="1"/>
    <cellStyle name="60% - Accent6 2" xfId="98"/>
    <cellStyle name="Accent1" xfId="20" builtinId="29" customBuiltin="1"/>
    <cellStyle name="Accent1 2" xfId="75"/>
    <cellStyle name="Accent2" xfId="24" builtinId="33" customBuiltin="1"/>
    <cellStyle name="Accent2 2" xfId="79"/>
    <cellStyle name="Accent3" xfId="28" builtinId="37" customBuiltin="1"/>
    <cellStyle name="Accent3 2" xfId="83"/>
    <cellStyle name="Accent4" xfId="32" builtinId="41" customBuiltin="1"/>
    <cellStyle name="Accent4 2" xfId="87"/>
    <cellStyle name="Accent5" xfId="36" builtinId="45" customBuiltin="1"/>
    <cellStyle name="Accent5 2" xfId="91"/>
    <cellStyle name="Accent6" xfId="40" builtinId="49" customBuiltin="1"/>
    <cellStyle name="Accent6 2" xfId="95"/>
    <cellStyle name="Bad" xfId="9" builtinId="27" customBuiltin="1"/>
    <cellStyle name="Bad 2" xfId="64"/>
    <cellStyle name="Calculation" xfId="13" builtinId="22" customBuiltin="1"/>
    <cellStyle name="Calculation 2" xfId="68"/>
    <cellStyle name="Check Cell" xfId="15" builtinId="23" customBuiltin="1"/>
    <cellStyle name="Check Cell 2" xfId="70"/>
    <cellStyle name="Comma" xfId="1" builtinId="3"/>
    <cellStyle name="Comma 2" xfId="50"/>
    <cellStyle name="Comma 2 2" xfId="53"/>
    <cellStyle name="Comma 3" xfId="99"/>
    <cellStyle name="Explanatory Text" xfId="18" builtinId="53" customBuiltin="1"/>
    <cellStyle name="Explanatory Text 2" xfId="73"/>
    <cellStyle name="Good" xfId="8" builtinId="26" customBuiltin="1"/>
    <cellStyle name="Good 2" xfId="63"/>
    <cellStyle name="Heading 1" xfId="4" builtinId="16" customBuiltin="1"/>
    <cellStyle name="Heading 1 2" xfId="59"/>
    <cellStyle name="Heading 2" xfId="5" builtinId="17" customBuiltin="1"/>
    <cellStyle name="Heading 2 2" xfId="60"/>
    <cellStyle name="Heading 3" xfId="6" builtinId="18" customBuiltin="1"/>
    <cellStyle name="Heading 3 2" xfId="61"/>
    <cellStyle name="Heading 4" xfId="7" builtinId="19" customBuiltin="1"/>
    <cellStyle name="Heading 4 2" xfId="62"/>
    <cellStyle name="Hyperlink" xfId="47" builtinId="8"/>
    <cellStyle name="Hyperlink 2" xfId="51"/>
    <cellStyle name="Input" xfId="11" builtinId="20" customBuiltin="1"/>
    <cellStyle name="Input 2" xfId="66"/>
    <cellStyle name="Linked Cell" xfId="14" builtinId="24" customBuiltin="1"/>
    <cellStyle name="Linked Cell 2" xfId="69"/>
    <cellStyle name="Neutral" xfId="10" builtinId="28" customBuiltin="1"/>
    <cellStyle name="Neutral 2" xfId="54"/>
    <cellStyle name="Neutral 3" xfId="65"/>
    <cellStyle name="Normal" xfId="0" builtinId="0"/>
    <cellStyle name="Normal 2" xfId="45"/>
    <cellStyle name="Normal 2 2" xfId="49"/>
    <cellStyle name="Normal 2 2 2" xfId="52"/>
    <cellStyle name="Normal 3" xfId="44"/>
    <cellStyle name="Normal 3 2" xfId="55"/>
    <cellStyle name="Normal 3 2 2" xfId="105"/>
    <cellStyle name="Normal 3 3" xfId="107"/>
    <cellStyle name="Normal 3 4" xfId="113"/>
    <cellStyle name="Normal 3 5" xfId="109"/>
    <cellStyle name="Normal 3 6" xfId="100"/>
    <cellStyle name="Normal 4" xfId="58"/>
    <cellStyle name="Normal 5" xfId="103"/>
    <cellStyle name="Normal 6" xfId="104"/>
    <cellStyle name="Normal 7" xfId="110"/>
    <cellStyle name="Normal 8" xfId="112"/>
    <cellStyle name="Normal 9" xfId="57"/>
    <cellStyle name="Note" xfId="17" builtinId="10" customBuiltin="1"/>
    <cellStyle name="Note 2" xfId="46"/>
    <cellStyle name="Note 3" xfId="72"/>
    <cellStyle name="Output" xfId="12" builtinId="21" customBuiltin="1"/>
    <cellStyle name="Output 2" xfId="67"/>
    <cellStyle name="Percent" xfId="2" builtinId="5"/>
    <cellStyle name="Percent 2" xfId="48"/>
    <cellStyle name="Percent 2 2" xfId="56"/>
    <cellStyle name="Percent 2 2 2" xfId="106"/>
    <cellStyle name="Percent 2 3" xfId="108"/>
    <cellStyle name="Percent 2 4" xfId="114"/>
    <cellStyle name="Percent 2 5" xfId="111"/>
    <cellStyle name="Percent 2 6" xfId="101"/>
    <cellStyle name="Percent 3" xfId="102"/>
    <cellStyle name="Title" xfId="3" builtinId="15" customBuiltin="1"/>
    <cellStyle name="Total" xfId="19" builtinId="25" customBuiltin="1"/>
    <cellStyle name="Total 2" xfId="74"/>
    <cellStyle name="Warning Text" xfId="16" builtinId="11" customBuiltin="1"/>
    <cellStyle name="Warning Text 2" xfId="7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k%20Mesaris\_Master%20Data%20Program\SJC%20Service%20Area\Demographics\All%20Students\Unduplicated%20Headcount\edit\sort.ethnic.headcount.demographi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ethnic graded seats"/>
      <sheetName val="non-credit graded seats"/>
      <sheetName val="Sheet3"/>
      <sheetName val="sort.ethnic.headcount"/>
    </sheetNames>
    <sheetDataSet>
      <sheetData sheetId="0">
        <row r="1">
          <cell r="A1" t="str">
            <v>Ethnic Groups</v>
          </cell>
          <cell r="B1" t="str">
            <v>SU07</v>
          </cell>
          <cell r="C1" t="str">
            <v>FA07</v>
          </cell>
          <cell r="D1" t="str">
            <v>SP08</v>
          </cell>
          <cell r="E1" t="str">
            <v>SU08</v>
          </cell>
          <cell r="F1" t="str">
            <v>FA08</v>
          </cell>
          <cell r="G1" t="str">
            <v>SP09</v>
          </cell>
          <cell r="H1" t="str">
            <v>SU09</v>
          </cell>
          <cell r="I1" t="str">
            <v>FA09</v>
          </cell>
          <cell r="J1" t="str">
            <v>SP10</v>
          </cell>
          <cell r="K1" t="str">
            <v>SU10</v>
          </cell>
          <cell r="L1" t="str">
            <v>FA10</v>
          </cell>
          <cell r="M1" t="str">
            <v>SP11</v>
          </cell>
          <cell r="N1" t="str">
            <v>SU11</v>
          </cell>
          <cell r="O1" t="str">
            <v>FA11</v>
          </cell>
          <cell r="P1" t="str">
            <v>SP12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</row>
        <row r="3">
          <cell r="A3" t="str">
            <v>Ethnic Groups</v>
          </cell>
          <cell r="B3" t="str">
            <v>SU07</v>
          </cell>
          <cell r="C3" t="str">
            <v>FA07</v>
          </cell>
          <cell r="D3" t="str">
            <v>SP08</v>
          </cell>
          <cell r="E3" t="str">
            <v>SU08</v>
          </cell>
          <cell r="F3" t="str">
            <v>FA08</v>
          </cell>
          <cell r="G3" t="str">
            <v>SP09</v>
          </cell>
          <cell r="H3" t="str">
            <v>SU09</v>
          </cell>
          <cell r="I3" t="str">
            <v>FA09</v>
          </cell>
          <cell r="J3" t="str">
            <v>SP10</v>
          </cell>
          <cell r="K3" t="str">
            <v>SU10</v>
          </cell>
          <cell r="L3" t="str">
            <v>FA10</v>
          </cell>
          <cell r="M3" t="str">
            <v>SP11</v>
          </cell>
          <cell r="N3" t="str">
            <v>SU11</v>
          </cell>
          <cell r="O3" t="str">
            <v>FA11</v>
          </cell>
          <cell r="P3" t="str">
            <v>SP12</v>
          </cell>
        </row>
        <row r="4">
          <cell r="A4" t="str">
            <v>White</v>
          </cell>
          <cell r="B4">
            <v>476</v>
          </cell>
          <cell r="C4">
            <v>2194</v>
          </cell>
          <cell r="D4">
            <v>2059</v>
          </cell>
          <cell r="E4">
            <v>531</v>
          </cell>
          <cell r="F4">
            <v>2150</v>
          </cell>
          <cell r="G4">
            <v>2359</v>
          </cell>
          <cell r="H4">
            <v>379</v>
          </cell>
          <cell r="I4">
            <v>2430</v>
          </cell>
          <cell r="J4">
            <v>2429</v>
          </cell>
          <cell r="K4">
            <v>232</v>
          </cell>
          <cell r="L4">
            <v>2114</v>
          </cell>
          <cell r="M4">
            <v>2039</v>
          </cell>
          <cell r="N4">
            <v>44</v>
          </cell>
          <cell r="O4">
            <v>1923</v>
          </cell>
          <cell r="P4">
            <v>1904</v>
          </cell>
        </row>
        <row r="5">
          <cell r="A5" t="str">
            <v>Hispanic</v>
          </cell>
          <cell r="B5">
            <v>456</v>
          </cell>
          <cell r="C5">
            <v>1703</v>
          </cell>
          <cell r="D5">
            <v>1685</v>
          </cell>
          <cell r="E5">
            <v>589</v>
          </cell>
          <cell r="F5">
            <v>1932</v>
          </cell>
          <cell r="G5">
            <v>2201</v>
          </cell>
          <cell r="H5">
            <v>448</v>
          </cell>
          <cell r="I5">
            <v>2378</v>
          </cell>
          <cell r="J5">
            <v>2373</v>
          </cell>
          <cell r="K5">
            <v>283</v>
          </cell>
          <cell r="L5">
            <v>2229</v>
          </cell>
          <cell r="M5">
            <v>2194</v>
          </cell>
          <cell r="N5">
            <v>46</v>
          </cell>
          <cell r="O5">
            <v>2235</v>
          </cell>
          <cell r="P5">
            <v>2414</v>
          </cell>
        </row>
        <row r="6">
          <cell r="A6" t="str">
            <v>African American</v>
          </cell>
          <cell r="B6">
            <v>160</v>
          </cell>
          <cell r="C6">
            <v>485</v>
          </cell>
          <cell r="D6">
            <v>469</v>
          </cell>
          <cell r="E6">
            <v>222</v>
          </cell>
          <cell r="F6">
            <v>546</v>
          </cell>
          <cell r="G6">
            <v>615</v>
          </cell>
          <cell r="H6">
            <v>183</v>
          </cell>
          <cell r="I6">
            <v>665</v>
          </cell>
          <cell r="J6">
            <v>686</v>
          </cell>
          <cell r="K6">
            <v>127</v>
          </cell>
          <cell r="L6">
            <v>503</v>
          </cell>
          <cell r="M6">
            <v>554</v>
          </cell>
          <cell r="N6">
            <v>73</v>
          </cell>
          <cell r="O6">
            <v>512</v>
          </cell>
          <cell r="P6">
            <v>545</v>
          </cell>
        </row>
        <row r="7">
          <cell r="A7" t="str">
            <v>Asian</v>
          </cell>
          <cell r="B7">
            <v>27</v>
          </cell>
          <cell r="C7">
            <v>104</v>
          </cell>
          <cell r="D7">
            <v>94</v>
          </cell>
          <cell r="E7">
            <v>35</v>
          </cell>
          <cell r="F7">
            <v>118</v>
          </cell>
          <cell r="G7">
            <v>135</v>
          </cell>
          <cell r="H7">
            <v>34</v>
          </cell>
          <cell r="I7">
            <v>131</v>
          </cell>
          <cell r="J7">
            <v>130</v>
          </cell>
          <cell r="K7">
            <v>16</v>
          </cell>
          <cell r="L7">
            <v>103</v>
          </cell>
          <cell r="M7">
            <v>102</v>
          </cell>
          <cell r="N7">
            <v>2</v>
          </cell>
          <cell r="O7">
            <v>97</v>
          </cell>
          <cell r="P7">
            <v>88</v>
          </cell>
        </row>
        <row r="8">
          <cell r="A8" t="str">
            <v>Native American</v>
          </cell>
          <cell r="B8">
            <v>18</v>
          </cell>
          <cell r="C8">
            <v>68</v>
          </cell>
          <cell r="D8">
            <v>76</v>
          </cell>
          <cell r="E8">
            <v>23</v>
          </cell>
          <cell r="F8">
            <v>99</v>
          </cell>
          <cell r="G8">
            <v>106</v>
          </cell>
          <cell r="H8">
            <v>16</v>
          </cell>
          <cell r="I8">
            <v>100</v>
          </cell>
          <cell r="J8">
            <v>92</v>
          </cell>
          <cell r="K8">
            <v>9</v>
          </cell>
          <cell r="L8">
            <v>74</v>
          </cell>
          <cell r="M8">
            <v>67</v>
          </cell>
          <cell r="N8">
            <v>3</v>
          </cell>
          <cell r="O8">
            <v>56</v>
          </cell>
          <cell r="P8">
            <v>42</v>
          </cell>
        </row>
        <row r="9">
          <cell r="A9" t="str">
            <v>Filipino</v>
          </cell>
          <cell r="B9">
            <v>37</v>
          </cell>
          <cell r="C9">
            <v>137</v>
          </cell>
          <cell r="D9">
            <v>114</v>
          </cell>
          <cell r="E9">
            <v>41</v>
          </cell>
          <cell r="F9">
            <v>128</v>
          </cell>
          <cell r="G9">
            <v>107</v>
          </cell>
          <cell r="H9">
            <v>25</v>
          </cell>
          <cell r="I9">
            <v>131</v>
          </cell>
          <cell r="J9">
            <v>135</v>
          </cell>
          <cell r="K9">
            <v>20</v>
          </cell>
          <cell r="L9">
            <v>125</v>
          </cell>
          <cell r="M9">
            <v>109</v>
          </cell>
          <cell r="N9">
            <v>1</v>
          </cell>
          <cell r="O9">
            <v>103</v>
          </cell>
          <cell r="P9">
            <v>89</v>
          </cell>
        </row>
        <row r="10">
          <cell r="A10" t="str">
            <v>Pacific Islander</v>
          </cell>
          <cell r="B10">
            <v>12</v>
          </cell>
          <cell r="C10">
            <v>25</v>
          </cell>
          <cell r="D10">
            <v>39</v>
          </cell>
          <cell r="E10">
            <v>16</v>
          </cell>
          <cell r="F10">
            <v>56</v>
          </cell>
          <cell r="G10">
            <v>60</v>
          </cell>
          <cell r="H10">
            <v>10</v>
          </cell>
          <cell r="I10">
            <v>55</v>
          </cell>
          <cell r="J10">
            <v>45</v>
          </cell>
          <cell r="K10">
            <v>9</v>
          </cell>
          <cell r="L10">
            <v>41</v>
          </cell>
          <cell r="M10">
            <v>33</v>
          </cell>
          <cell r="N10">
            <v>5</v>
          </cell>
          <cell r="O10">
            <v>29</v>
          </cell>
          <cell r="P10">
            <v>27</v>
          </cell>
        </row>
        <row r="11">
          <cell r="A11" t="str">
            <v>Multi-Race</v>
          </cell>
          <cell r="B11">
            <v>16</v>
          </cell>
          <cell r="C11">
            <v>80</v>
          </cell>
          <cell r="D11">
            <v>61</v>
          </cell>
          <cell r="E11">
            <v>32</v>
          </cell>
          <cell r="F11">
            <v>87</v>
          </cell>
          <cell r="G11">
            <v>100</v>
          </cell>
          <cell r="H11">
            <v>19</v>
          </cell>
          <cell r="I11">
            <v>123</v>
          </cell>
          <cell r="J11">
            <v>168</v>
          </cell>
          <cell r="K11">
            <v>29</v>
          </cell>
          <cell r="L11">
            <v>193</v>
          </cell>
          <cell r="M11">
            <v>182</v>
          </cell>
          <cell r="N11">
            <v>10</v>
          </cell>
          <cell r="O11">
            <v>213</v>
          </cell>
          <cell r="P11">
            <v>244</v>
          </cell>
        </row>
        <row r="12">
          <cell r="A12" t="str">
            <v>Unknown</v>
          </cell>
          <cell r="B12">
            <v>74</v>
          </cell>
          <cell r="C12">
            <v>356</v>
          </cell>
          <cell r="D12">
            <v>385</v>
          </cell>
          <cell r="E12">
            <v>121</v>
          </cell>
          <cell r="F12">
            <v>469</v>
          </cell>
          <cell r="G12">
            <v>488</v>
          </cell>
          <cell r="H12">
            <v>102</v>
          </cell>
          <cell r="I12">
            <v>551</v>
          </cell>
          <cell r="J12">
            <v>468</v>
          </cell>
          <cell r="K12">
            <v>61</v>
          </cell>
          <cell r="L12">
            <v>344</v>
          </cell>
          <cell r="M12">
            <v>302</v>
          </cell>
          <cell r="N12">
            <v>4</v>
          </cell>
          <cell r="O12">
            <v>226</v>
          </cell>
          <cell r="P12">
            <v>193</v>
          </cell>
        </row>
        <row r="13">
          <cell r="A13" t="str">
            <v>Term Total</v>
          </cell>
          <cell r="B13">
            <v>1276</v>
          </cell>
          <cell r="C13">
            <v>5152</v>
          </cell>
          <cell r="D13">
            <v>4982</v>
          </cell>
          <cell r="E13">
            <v>1610</v>
          </cell>
          <cell r="F13">
            <v>5585</v>
          </cell>
          <cell r="G13">
            <v>6171</v>
          </cell>
          <cell r="H13">
            <v>1216</v>
          </cell>
          <cell r="I13">
            <v>6564</v>
          </cell>
          <cell r="J13">
            <v>6526</v>
          </cell>
          <cell r="K13">
            <v>786</v>
          </cell>
          <cell r="L13">
            <v>5726</v>
          </cell>
          <cell r="M13">
            <v>5582</v>
          </cell>
          <cell r="N13">
            <v>188</v>
          </cell>
          <cell r="O13">
            <v>5394</v>
          </cell>
          <cell r="P13">
            <v>5546</v>
          </cell>
        </row>
      </sheetData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7"/>
  <sheetViews>
    <sheetView tabSelected="1" zoomScaleNormal="100" workbookViewId="0">
      <selection sqref="A1:A3"/>
    </sheetView>
  </sheetViews>
  <sheetFormatPr defaultRowHeight="15" x14ac:dyDescent="0.25"/>
  <cols>
    <col min="1" max="1" width="16.42578125" customWidth="1"/>
    <col min="2" max="2" width="6.5703125" bestFit="1" customWidth="1"/>
    <col min="3" max="4" width="7.5703125" bestFit="1" customWidth="1"/>
    <col min="5" max="5" width="6.5703125" bestFit="1" customWidth="1"/>
    <col min="6" max="7" width="7.5703125" bestFit="1" customWidth="1"/>
    <col min="8" max="8" width="6.5703125" bestFit="1" customWidth="1"/>
    <col min="9" max="10" width="7.5703125" bestFit="1" customWidth="1"/>
    <col min="11" max="11" width="6.5703125" bestFit="1" customWidth="1"/>
    <col min="12" max="13" width="7.5703125" bestFit="1" customWidth="1"/>
    <col min="14" max="14" width="5.7109375" bestFit="1" customWidth="1"/>
    <col min="15" max="15" width="7.5703125" bestFit="1" customWidth="1"/>
    <col min="16" max="16" width="6.5703125" bestFit="1" customWidth="1"/>
  </cols>
  <sheetData>
    <row r="1" spans="1:22" ht="15.75" x14ac:dyDescent="0.25">
      <c r="A1" s="90"/>
      <c r="B1" s="93" t="s">
        <v>35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</row>
    <row r="2" spans="1:22" ht="16.5" thickBot="1" x14ac:dyDescent="0.3">
      <c r="A2" s="91"/>
      <c r="B2" s="95" t="s">
        <v>40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2" ht="15.75" thickBot="1" x14ac:dyDescent="0.3">
      <c r="A3" s="92"/>
      <c r="B3" s="84" t="s">
        <v>0</v>
      </c>
      <c r="C3" s="85"/>
      <c r="D3" s="86"/>
      <c r="E3" s="87" t="s">
        <v>1</v>
      </c>
      <c r="F3" s="88"/>
      <c r="G3" s="89"/>
      <c r="H3" s="84" t="s">
        <v>2</v>
      </c>
      <c r="I3" s="85"/>
      <c r="J3" s="86"/>
      <c r="K3" s="87" t="s">
        <v>3</v>
      </c>
      <c r="L3" s="88"/>
      <c r="M3" s="89"/>
      <c r="N3" s="84" t="s">
        <v>4</v>
      </c>
      <c r="O3" s="85"/>
      <c r="P3" s="86"/>
      <c r="Q3" s="87" t="s">
        <v>41</v>
      </c>
      <c r="R3" s="88"/>
      <c r="S3" s="89"/>
      <c r="T3" s="84" t="s">
        <v>42</v>
      </c>
      <c r="U3" s="85"/>
      <c r="V3" s="86"/>
    </row>
    <row r="4" spans="1:22" ht="15.75" thickBot="1" x14ac:dyDescent="0.3">
      <c r="A4" s="7" t="s">
        <v>37</v>
      </c>
      <c r="B4" s="40" t="s">
        <v>6</v>
      </c>
      <c r="C4" s="41" t="s">
        <v>7</v>
      </c>
      <c r="D4" s="42" t="s">
        <v>8</v>
      </c>
      <c r="E4" s="43" t="s">
        <v>9</v>
      </c>
      <c r="F4" s="44" t="s">
        <v>10</v>
      </c>
      <c r="G4" s="45" t="s">
        <v>11</v>
      </c>
      <c r="H4" s="40" t="s">
        <v>12</v>
      </c>
      <c r="I4" s="41" t="s">
        <v>13</v>
      </c>
      <c r="J4" s="42" t="s">
        <v>14</v>
      </c>
      <c r="K4" s="43" t="s">
        <v>15</v>
      </c>
      <c r="L4" s="44" t="s">
        <v>16</v>
      </c>
      <c r="M4" s="45" t="s">
        <v>17</v>
      </c>
      <c r="N4" s="40" t="s">
        <v>18</v>
      </c>
      <c r="O4" s="41" t="s">
        <v>19</v>
      </c>
      <c r="P4" s="46" t="s">
        <v>20</v>
      </c>
      <c r="Q4" s="43" t="s">
        <v>43</v>
      </c>
      <c r="R4" s="44" t="s">
        <v>44</v>
      </c>
      <c r="S4" s="45" t="s">
        <v>45</v>
      </c>
      <c r="T4" s="40" t="s">
        <v>46</v>
      </c>
      <c r="U4" s="41" t="s">
        <v>47</v>
      </c>
      <c r="V4" s="46" t="s">
        <v>48</v>
      </c>
    </row>
    <row r="5" spans="1:22" x14ac:dyDescent="0.25">
      <c r="A5" s="17" t="s">
        <v>21</v>
      </c>
      <c r="B5" s="47">
        <f>VLOOKUP($A5,'[1]credit ethnic graded seats'!$A:$P,HLOOKUP(B$4,'[1]credit ethnic graded seats'!$1:$2,2,FALSE),FALSE)</f>
        <v>476</v>
      </c>
      <c r="C5" s="48">
        <f>VLOOKUP($A5,'[1]credit ethnic graded seats'!$A:$P,HLOOKUP(C$4,'[1]credit ethnic graded seats'!$1:$2,2,FALSE),FALSE)</f>
        <v>2194</v>
      </c>
      <c r="D5" s="49">
        <f>VLOOKUP($A5,'[1]credit ethnic graded seats'!$A:$P,HLOOKUP(D$4,'[1]credit ethnic graded seats'!$1:$2,2,FALSE),FALSE)</f>
        <v>2059</v>
      </c>
      <c r="E5" s="47">
        <f>VLOOKUP($A5,'[1]credit ethnic graded seats'!$A:$P,HLOOKUP(E$4,'[1]credit ethnic graded seats'!$1:$2,2,FALSE),FALSE)</f>
        <v>531</v>
      </c>
      <c r="F5" s="48">
        <f>VLOOKUP($A5,'[1]credit ethnic graded seats'!$A:$P,HLOOKUP(F$4,'[1]credit ethnic graded seats'!$1:$2,2,FALSE),FALSE)</f>
        <v>2150</v>
      </c>
      <c r="G5" s="48">
        <f>VLOOKUP($A5,'[1]credit ethnic graded seats'!$A:$P,HLOOKUP(G$4,'[1]credit ethnic graded seats'!$1:$2,2,FALSE),FALSE)</f>
        <v>2359</v>
      </c>
      <c r="H5" s="48">
        <f>VLOOKUP($A5,'[1]credit ethnic graded seats'!$A:$P,HLOOKUP(H$4,'[1]credit ethnic graded seats'!$1:$2,2,FALSE),FALSE)</f>
        <v>379</v>
      </c>
      <c r="I5" s="48">
        <f>VLOOKUP($A5,'[1]credit ethnic graded seats'!$A:$P,HLOOKUP(I$4,'[1]credit ethnic graded seats'!$1:$2,2,FALSE),FALSE)</f>
        <v>2430</v>
      </c>
      <c r="J5" s="50">
        <f>VLOOKUP($A5,'[1]credit ethnic graded seats'!$A:$P,HLOOKUP(J$4,'[1]credit ethnic graded seats'!$1:$2,2,FALSE),FALSE)</f>
        <v>2429</v>
      </c>
      <c r="K5" s="47">
        <f>VLOOKUP($A5,'[1]credit ethnic graded seats'!$A:$P,HLOOKUP(K$4,'[1]credit ethnic graded seats'!$1:$2,2,FALSE),FALSE)</f>
        <v>232</v>
      </c>
      <c r="L5" s="48">
        <f>VLOOKUP($A5,'[1]credit ethnic graded seats'!$A:$P,HLOOKUP(L$4,'[1]credit ethnic graded seats'!$1:$2,2,FALSE),FALSE)</f>
        <v>2114</v>
      </c>
      <c r="M5" s="50">
        <f>VLOOKUP($A5,'[1]credit ethnic graded seats'!$A:$P,HLOOKUP(M$4,'[1]credit ethnic graded seats'!$1:$2,2,FALSE),FALSE)</f>
        <v>2039</v>
      </c>
      <c r="N5" s="51">
        <f>VLOOKUP($A5,'[1]credit ethnic graded seats'!$A:$P,HLOOKUP(N$4,'[1]credit ethnic graded seats'!$1:$2,2,FALSE),FALSE)</f>
        <v>44</v>
      </c>
      <c r="O5" s="48">
        <f>VLOOKUP($A5,'[1]credit ethnic graded seats'!$A:$P,HLOOKUP(O$4,'[1]credit ethnic graded seats'!$1:$2,2,FALSE),FALSE)</f>
        <v>1923</v>
      </c>
      <c r="P5" s="52">
        <f>VLOOKUP($A5,'[1]credit ethnic graded seats'!$A:$P,HLOOKUP(P$4,'[1]credit ethnic graded seats'!$1:$2,2,FALSE),FALSE)</f>
        <v>1904</v>
      </c>
      <c r="Q5" s="47">
        <v>172</v>
      </c>
      <c r="R5" s="48">
        <v>1534</v>
      </c>
      <c r="S5" s="53">
        <v>1532</v>
      </c>
      <c r="T5" s="47">
        <v>32</v>
      </c>
      <c r="U5" s="48">
        <v>1463</v>
      </c>
      <c r="V5" s="53">
        <v>1516</v>
      </c>
    </row>
    <row r="6" spans="1:22" x14ac:dyDescent="0.25">
      <c r="A6" s="12" t="s">
        <v>22</v>
      </c>
      <c r="B6" s="21">
        <f>VLOOKUP($A6,'[1]credit ethnic graded seats'!$A:$P,HLOOKUP(B$4,'[1]credit ethnic graded seats'!$1:$2,2,FALSE),FALSE)</f>
        <v>456</v>
      </c>
      <c r="C6" s="20">
        <f>VLOOKUP($A6,'[1]credit ethnic graded seats'!$A:$P,HLOOKUP(C$4,'[1]credit ethnic graded seats'!$1:$2,2,FALSE),FALSE)</f>
        <v>1703</v>
      </c>
      <c r="D6" s="54">
        <f>VLOOKUP($A6,'[1]credit ethnic graded seats'!$A:$P,HLOOKUP(D$4,'[1]credit ethnic graded seats'!$1:$2,2,FALSE),FALSE)</f>
        <v>1685</v>
      </c>
      <c r="E6" s="21">
        <f>VLOOKUP($A6,'[1]credit ethnic graded seats'!$A:$P,HLOOKUP(E$4,'[1]credit ethnic graded seats'!$1:$2,2,FALSE),FALSE)</f>
        <v>589</v>
      </c>
      <c r="F6" s="20">
        <f>VLOOKUP($A6,'[1]credit ethnic graded seats'!$A:$P,HLOOKUP(F$4,'[1]credit ethnic graded seats'!$1:$2,2,FALSE),FALSE)</f>
        <v>1932</v>
      </c>
      <c r="G6" s="20">
        <f>VLOOKUP($A6,'[1]credit ethnic graded seats'!$A:$P,HLOOKUP(G$4,'[1]credit ethnic graded seats'!$1:$2,2,FALSE),FALSE)</f>
        <v>2201</v>
      </c>
      <c r="H6" s="20">
        <f>VLOOKUP($A6,'[1]credit ethnic graded seats'!$A:$P,HLOOKUP(H$4,'[1]credit ethnic graded seats'!$1:$2,2,FALSE),FALSE)</f>
        <v>448</v>
      </c>
      <c r="I6" s="20">
        <f>VLOOKUP($A6,'[1]credit ethnic graded seats'!$A:$P,HLOOKUP(I$4,'[1]credit ethnic graded seats'!$1:$2,2,FALSE),FALSE)</f>
        <v>2378</v>
      </c>
      <c r="J6" s="3">
        <f>VLOOKUP($A6,'[1]credit ethnic graded seats'!$A:$P,HLOOKUP(J$4,'[1]credit ethnic graded seats'!$1:$2,2,FALSE),FALSE)</f>
        <v>2373</v>
      </c>
      <c r="K6" s="21">
        <f>VLOOKUP($A6,'[1]credit ethnic graded seats'!$A:$P,HLOOKUP(K$4,'[1]credit ethnic graded seats'!$1:$2,2,FALSE),FALSE)</f>
        <v>283</v>
      </c>
      <c r="L6" s="20">
        <f>VLOOKUP($A6,'[1]credit ethnic graded seats'!$A:$P,HLOOKUP(L$4,'[1]credit ethnic graded seats'!$1:$2,2,FALSE),FALSE)</f>
        <v>2229</v>
      </c>
      <c r="M6" s="3">
        <f>VLOOKUP($A6,'[1]credit ethnic graded seats'!$A:$P,HLOOKUP(M$4,'[1]credit ethnic graded seats'!$1:$2,2,FALSE),FALSE)</f>
        <v>2194</v>
      </c>
      <c r="N6" s="55">
        <f>VLOOKUP($A6,'[1]credit ethnic graded seats'!$A:$P,HLOOKUP(N$4,'[1]credit ethnic graded seats'!$1:$2,2,FALSE),FALSE)</f>
        <v>46</v>
      </c>
      <c r="O6" s="20">
        <f>VLOOKUP($A6,'[1]credit ethnic graded seats'!$A:$P,HLOOKUP(O$4,'[1]credit ethnic graded seats'!$1:$2,2,FALSE),FALSE)</f>
        <v>2235</v>
      </c>
      <c r="P6" s="54">
        <f>VLOOKUP($A6,'[1]credit ethnic graded seats'!$A:$P,HLOOKUP(P$4,'[1]credit ethnic graded seats'!$1:$2,2,FALSE),FALSE)</f>
        <v>2414</v>
      </c>
      <c r="Q6" s="21">
        <v>279</v>
      </c>
      <c r="R6" s="20">
        <v>2283</v>
      </c>
      <c r="S6" s="3">
        <v>2326</v>
      </c>
      <c r="T6" s="21">
        <v>69</v>
      </c>
      <c r="U6" s="20">
        <v>2534</v>
      </c>
      <c r="V6" s="3">
        <v>2550</v>
      </c>
    </row>
    <row r="7" spans="1:22" x14ac:dyDescent="0.25">
      <c r="A7" s="12" t="s">
        <v>23</v>
      </c>
      <c r="B7" s="21">
        <f>VLOOKUP($A7,'[1]credit ethnic graded seats'!$A:$P,HLOOKUP(B$4,'[1]credit ethnic graded seats'!$1:$2,2,FALSE),FALSE)</f>
        <v>160</v>
      </c>
      <c r="C7" s="20">
        <f>VLOOKUP($A7,'[1]credit ethnic graded seats'!$A:$P,HLOOKUP(C$4,'[1]credit ethnic graded seats'!$1:$2,2,FALSE),FALSE)</f>
        <v>485</v>
      </c>
      <c r="D7" s="54">
        <f>VLOOKUP($A7,'[1]credit ethnic graded seats'!$A:$P,HLOOKUP(D$4,'[1]credit ethnic graded seats'!$1:$2,2,FALSE),FALSE)</f>
        <v>469</v>
      </c>
      <c r="E7" s="21">
        <f>VLOOKUP($A7,'[1]credit ethnic graded seats'!$A:$P,HLOOKUP(E$4,'[1]credit ethnic graded seats'!$1:$2,2,FALSE),FALSE)</f>
        <v>222</v>
      </c>
      <c r="F7" s="20">
        <f>VLOOKUP($A7,'[1]credit ethnic graded seats'!$A:$P,HLOOKUP(F$4,'[1]credit ethnic graded seats'!$1:$2,2,FALSE),FALSE)</f>
        <v>546</v>
      </c>
      <c r="G7" s="20">
        <f>VLOOKUP($A7,'[1]credit ethnic graded seats'!$A:$P,HLOOKUP(G$4,'[1]credit ethnic graded seats'!$1:$2,2,FALSE),FALSE)</f>
        <v>615</v>
      </c>
      <c r="H7" s="20">
        <f>VLOOKUP($A7,'[1]credit ethnic graded seats'!$A:$P,HLOOKUP(H$4,'[1]credit ethnic graded seats'!$1:$2,2,FALSE),FALSE)</f>
        <v>183</v>
      </c>
      <c r="I7" s="20">
        <f>VLOOKUP($A7,'[1]credit ethnic graded seats'!$A:$P,HLOOKUP(I$4,'[1]credit ethnic graded seats'!$1:$2,2,FALSE),FALSE)</f>
        <v>665</v>
      </c>
      <c r="J7" s="3">
        <f>VLOOKUP($A7,'[1]credit ethnic graded seats'!$A:$P,HLOOKUP(J$4,'[1]credit ethnic graded seats'!$1:$2,2,FALSE),FALSE)</f>
        <v>686</v>
      </c>
      <c r="K7" s="21">
        <f>VLOOKUP($A7,'[1]credit ethnic graded seats'!$A:$P,HLOOKUP(K$4,'[1]credit ethnic graded seats'!$1:$2,2,FALSE),FALSE)</f>
        <v>127</v>
      </c>
      <c r="L7" s="20">
        <f>VLOOKUP($A7,'[1]credit ethnic graded seats'!$A:$P,HLOOKUP(L$4,'[1]credit ethnic graded seats'!$1:$2,2,FALSE),FALSE)</f>
        <v>503</v>
      </c>
      <c r="M7" s="3">
        <f>VLOOKUP($A7,'[1]credit ethnic graded seats'!$A:$P,HLOOKUP(M$4,'[1]credit ethnic graded seats'!$1:$2,2,FALSE),FALSE)</f>
        <v>554</v>
      </c>
      <c r="N7" s="55">
        <f>VLOOKUP($A7,'[1]credit ethnic graded seats'!$A:$P,HLOOKUP(N$4,'[1]credit ethnic graded seats'!$1:$2,2,FALSE),FALSE)</f>
        <v>73</v>
      </c>
      <c r="O7" s="20">
        <f>VLOOKUP($A7,'[1]credit ethnic graded seats'!$A:$P,HLOOKUP(O$4,'[1]credit ethnic graded seats'!$1:$2,2,FALSE),FALSE)</f>
        <v>512</v>
      </c>
      <c r="P7" s="54">
        <f>VLOOKUP($A7,'[1]credit ethnic graded seats'!$A:$P,HLOOKUP(P$4,'[1]credit ethnic graded seats'!$1:$2,2,FALSE),FALSE)</f>
        <v>545</v>
      </c>
      <c r="Q7" s="21">
        <v>105</v>
      </c>
      <c r="R7" s="20">
        <v>471</v>
      </c>
      <c r="S7" s="3">
        <v>465</v>
      </c>
      <c r="T7" s="21">
        <v>41</v>
      </c>
      <c r="U7" s="20">
        <v>526</v>
      </c>
      <c r="V7" s="3">
        <v>494</v>
      </c>
    </row>
    <row r="8" spans="1:22" x14ac:dyDescent="0.25">
      <c r="A8" s="12" t="s">
        <v>24</v>
      </c>
      <c r="B8" s="21">
        <f>VLOOKUP($A8,'[1]credit ethnic graded seats'!$A:$P,HLOOKUP(B$4,'[1]credit ethnic graded seats'!$1:$2,2,FALSE),FALSE)</f>
        <v>27</v>
      </c>
      <c r="C8" s="20">
        <f>VLOOKUP($A8,'[1]credit ethnic graded seats'!$A:$P,HLOOKUP(C$4,'[1]credit ethnic graded seats'!$1:$2,2,FALSE),FALSE)</f>
        <v>104</v>
      </c>
      <c r="D8" s="54">
        <f>VLOOKUP($A8,'[1]credit ethnic graded seats'!$A:$P,HLOOKUP(D$4,'[1]credit ethnic graded seats'!$1:$2,2,FALSE),FALSE)</f>
        <v>94</v>
      </c>
      <c r="E8" s="21">
        <f>VLOOKUP($A8,'[1]credit ethnic graded seats'!$A:$P,HLOOKUP(E$4,'[1]credit ethnic graded seats'!$1:$2,2,FALSE),FALSE)</f>
        <v>35</v>
      </c>
      <c r="F8" s="20">
        <f>VLOOKUP($A8,'[1]credit ethnic graded seats'!$A:$P,HLOOKUP(F$4,'[1]credit ethnic graded seats'!$1:$2,2,FALSE),FALSE)</f>
        <v>118</v>
      </c>
      <c r="G8" s="20">
        <f>VLOOKUP($A8,'[1]credit ethnic graded seats'!$A:$P,HLOOKUP(G$4,'[1]credit ethnic graded seats'!$1:$2,2,FALSE),FALSE)</f>
        <v>135</v>
      </c>
      <c r="H8" s="20">
        <f>VLOOKUP($A8,'[1]credit ethnic graded seats'!$A:$P,HLOOKUP(H$4,'[1]credit ethnic graded seats'!$1:$2,2,FALSE),FALSE)</f>
        <v>34</v>
      </c>
      <c r="I8" s="20">
        <f>VLOOKUP($A8,'[1]credit ethnic graded seats'!$A:$P,HLOOKUP(I$4,'[1]credit ethnic graded seats'!$1:$2,2,FALSE),FALSE)</f>
        <v>131</v>
      </c>
      <c r="J8" s="3">
        <f>VLOOKUP($A8,'[1]credit ethnic graded seats'!$A:$P,HLOOKUP(J$4,'[1]credit ethnic graded seats'!$1:$2,2,FALSE),FALSE)</f>
        <v>130</v>
      </c>
      <c r="K8" s="21">
        <f>VLOOKUP($A8,'[1]credit ethnic graded seats'!$A:$P,HLOOKUP(K$4,'[1]credit ethnic graded seats'!$1:$2,2,FALSE),FALSE)</f>
        <v>16</v>
      </c>
      <c r="L8" s="20">
        <f>VLOOKUP($A8,'[1]credit ethnic graded seats'!$A:$P,HLOOKUP(L$4,'[1]credit ethnic graded seats'!$1:$2,2,FALSE),FALSE)</f>
        <v>103</v>
      </c>
      <c r="M8" s="3">
        <f>VLOOKUP($A8,'[1]credit ethnic graded seats'!$A:$P,HLOOKUP(M$4,'[1]credit ethnic graded seats'!$1:$2,2,FALSE),FALSE)</f>
        <v>102</v>
      </c>
      <c r="N8" s="55">
        <f>VLOOKUP($A8,'[1]credit ethnic graded seats'!$A:$P,HLOOKUP(N$4,'[1]credit ethnic graded seats'!$1:$2,2,FALSE),FALSE)</f>
        <v>2</v>
      </c>
      <c r="O8" s="20">
        <f>VLOOKUP($A8,'[1]credit ethnic graded seats'!$A:$P,HLOOKUP(O$4,'[1]credit ethnic graded seats'!$1:$2,2,FALSE),FALSE)</f>
        <v>97</v>
      </c>
      <c r="P8" s="54">
        <f>VLOOKUP($A8,'[1]credit ethnic graded seats'!$A:$P,HLOOKUP(P$4,'[1]credit ethnic graded seats'!$1:$2,2,FALSE),FALSE)</f>
        <v>88</v>
      </c>
      <c r="Q8" s="21">
        <v>10</v>
      </c>
      <c r="R8" s="20">
        <v>80</v>
      </c>
      <c r="S8" s="3">
        <v>86</v>
      </c>
      <c r="T8" s="21">
        <v>0</v>
      </c>
      <c r="U8" s="20">
        <v>76</v>
      </c>
      <c r="V8" s="3">
        <v>85</v>
      </c>
    </row>
    <row r="9" spans="1:22" x14ac:dyDescent="0.25">
      <c r="A9" s="12" t="s">
        <v>25</v>
      </c>
      <c r="B9" s="21">
        <f>VLOOKUP($A9,'[1]credit ethnic graded seats'!$A:$P,HLOOKUP(B$4,'[1]credit ethnic graded seats'!$1:$2,2,FALSE),FALSE)</f>
        <v>18</v>
      </c>
      <c r="C9" s="20">
        <f>VLOOKUP($A9,'[1]credit ethnic graded seats'!$A:$P,HLOOKUP(C$4,'[1]credit ethnic graded seats'!$1:$2,2,FALSE),FALSE)</f>
        <v>68</v>
      </c>
      <c r="D9" s="54">
        <f>VLOOKUP($A9,'[1]credit ethnic graded seats'!$A:$P,HLOOKUP(D$4,'[1]credit ethnic graded seats'!$1:$2,2,FALSE),FALSE)</f>
        <v>76</v>
      </c>
      <c r="E9" s="21">
        <f>VLOOKUP($A9,'[1]credit ethnic graded seats'!$A:$P,HLOOKUP(E$4,'[1]credit ethnic graded seats'!$1:$2,2,FALSE),FALSE)</f>
        <v>23</v>
      </c>
      <c r="F9" s="20">
        <f>VLOOKUP($A9,'[1]credit ethnic graded seats'!$A:$P,HLOOKUP(F$4,'[1]credit ethnic graded seats'!$1:$2,2,FALSE),FALSE)</f>
        <v>99</v>
      </c>
      <c r="G9" s="20">
        <f>VLOOKUP($A9,'[1]credit ethnic graded seats'!$A:$P,HLOOKUP(G$4,'[1]credit ethnic graded seats'!$1:$2,2,FALSE),FALSE)</f>
        <v>106</v>
      </c>
      <c r="H9" s="20">
        <f>VLOOKUP($A9,'[1]credit ethnic graded seats'!$A:$P,HLOOKUP(H$4,'[1]credit ethnic graded seats'!$1:$2,2,FALSE),FALSE)</f>
        <v>16</v>
      </c>
      <c r="I9" s="20">
        <f>VLOOKUP($A9,'[1]credit ethnic graded seats'!$A:$P,HLOOKUP(I$4,'[1]credit ethnic graded seats'!$1:$2,2,FALSE),FALSE)</f>
        <v>100</v>
      </c>
      <c r="J9" s="3">
        <f>VLOOKUP($A9,'[1]credit ethnic graded seats'!$A:$P,HLOOKUP(J$4,'[1]credit ethnic graded seats'!$1:$2,2,FALSE),FALSE)</f>
        <v>92</v>
      </c>
      <c r="K9" s="21">
        <f>VLOOKUP($A9,'[1]credit ethnic graded seats'!$A:$P,HLOOKUP(K$4,'[1]credit ethnic graded seats'!$1:$2,2,FALSE),FALSE)</f>
        <v>9</v>
      </c>
      <c r="L9" s="20">
        <f>VLOOKUP($A9,'[1]credit ethnic graded seats'!$A:$P,HLOOKUP(L$4,'[1]credit ethnic graded seats'!$1:$2,2,FALSE),FALSE)</f>
        <v>74</v>
      </c>
      <c r="M9" s="3">
        <f>VLOOKUP($A9,'[1]credit ethnic graded seats'!$A:$P,HLOOKUP(M$4,'[1]credit ethnic graded seats'!$1:$2,2,FALSE),FALSE)</f>
        <v>67</v>
      </c>
      <c r="N9" s="55">
        <f>VLOOKUP($A9,'[1]credit ethnic graded seats'!$A:$P,HLOOKUP(N$4,'[1]credit ethnic graded seats'!$1:$2,2,FALSE),FALSE)</f>
        <v>3</v>
      </c>
      <c r="O9" s="20">
        <f>VLOOKUP($A9,'[1]credit ethnic graded seats'!$A:$P,HLOOKUP(O$4,'[1]credit ethnic graded seats'!$1:$2,2,FALSE),FALSE)</f>
        <v>56</v>
      </c>
      <c r="P9" s="54">
        <f>VLOOKUP($A9,'[1]credit ethnic graded seats'!$A:$P,HLOOKUP(P$4,'[1]credit ethnic graded seats'!$1:$2,2,FALSE),FALSE)</f>
        <v>42</v>
      </c>
      <c r="Q9" s="21">
        <v>3</v>
      </c>
      <c r="R9" s="20">
        <v>33</v>
      </c>
      <c r="S9" s="3">
        <v>26</v>
      </c>
      <c r="T9" s="21">
        <v>0</v>
      </c>
      <c r="U9" s="20">
        <v>25</v>
      </c>
      <c r="V9" s="3">
        <v>22</v>
      </c>
    </row>
    <row r="10" spans="1:22" x14ac:dyDescent="0.25">
      <c r="A10" s="12" t="s">
        <v>26</v>
      </c>
      <c r="B10" s="21">
        <f>VLOOKUP($A10,'[1]credit ethnic graded seats'!$A:$P,HLOOKUP(B$4,'[1]credit ethnic graded seats'!$1:$2,2,FALSE),FALSE)</f>
        <v>37</v>
      </c>
      <c r="C10" s="20">
        <f>VLOOKUP($A10,'[1]credit ethnic graded seats'!$A:$P,HLOOKUP(C$4,'[1]credit ethnic graded seats'!$1:$2,2,FALSE),FALSE)</f>
        <v>137</v>
      </c>
      <c r="D10" s="54">
        <f>VLOOKUP($A10,'[1]credit ethnic graded seats'!$A:$P,HLOOKUP(D$4,'[1]credit ethnic graded seats'!$1:$2,2,FALSE),FALSE)</f>
        <v>114</v>
      </c>
      <c r="E10" s="21">
        <f>VLOOKUP($A10,'[1]credit ethnic graded seats'!$A:$P,HLOOKUP(E$4,'[1]credit ethnic graded seats'!$1:$2,2,FALSE),FALSE)</f>
        <v>41</v>
      </c>
      <c r="F10" s="20">
        <f>VLOOKUP($A10,'[1]credit ethnic graded seats'!$A:$P,HLOOKUP(F$4,'[1]credit ethnic graded seats'!$1:$2,2,FALSE),FALSE)</f>
        <v>128</v>
      </c>
      <c r="G10" s="20">
        <f>VLOOKUP($A10,'[1]credit ethnic graded seats'!$A:$P,HLOOKUP(G$4,'[1]credit ethnic graded seats'!$1:$2,2,FALSE),FALSE)</f>
        <v>107</v>
      </c>
      <c r="H10" s="20">
        <f>VLOOKUP($A10,'[1]credit ethnic graded seats'!$A:$P,HLOOKUP(H$4,'[1]credit ethnic graded seats'!$1:$2,2,FALSE),FALSE)</f>
        <v>25</v>
      </c>
      <c r="I10" s="20">
        <f>VLOOKUP($A10,'[1]credit ethnic graded seats'!$A:$P,HLOOKUP(I$4,'[1]credit ethnic graded seats'!$1:$2,2,FALSE),FALSE)</f>
        <v>131</v>
      </c>
      <c r="J10" s="3">
        <f>VLOOKUP($A10,'[1]credit ethnic graded seats'!$A:$P,HLOOKUP(J$4,'[1]credit ethnic graded seats'!$1:$2,2,FALSE),FALSE)</f>
        <v>135</v>
      </c>
      <c r="K10" s="21">
        <f>VLOOKUP($A10,'[1]credit ethnic graded seats'!$A:$P,HLOOKUP(K$4,'[1]credit ethnic graded seats'!$1:$2,2,FALSE),FALSE)</f>
        <v>20</v>
      </c>
      <c r="L10" s="20">
        <f>VLOOKUP($A10,'[1]credit ethnic graded seats'!$A:$P,HLOOKUP(L$4,'[1]credit ethnic graded seats'!$1:$2,2,FALSE),FALSE)</f>
        <v>125</v>
      </c>
      <c r="M10" s="3">
        <f>VLOOKUP($A10,'[1]credit ethnic graded seats'!$A:$P,HLOOKUP(M$4,'[1]credit ethnic graded seats'!$1:$2,2,FALSE),FALSE)</f>
        <v>109</v>
      </c>
      <c r="N10" s="55">
        <f>VLOOKUP($A10,'[1]credit ethnic graded seats'!$A:$P,HLOOKUP(N$4,'[1]credit ethnic graded seats'!$1:$2,2,FALSE),FALSE)</f>
        <v>1</v>
      </c>
      <c r="O10" s="20">
        <f>VLOOKUP($A10,'[1]credit ethnic graded seats'!$A:$P,HLOOKUP(O$4,'[1]credit ethnic graded seats'!$1:$2,2,FALSE),FALSE)</f>
        <v>103</v>
      </c>
      <c r="P10" s="54">
        <f>VLOOKUP($A10,'[1]credit ethnic graded seats'!$A:$P,HLOOKUP(P$4,'[1]credit ethnic graded seats'!$1:$2,2,FALSE),FALSE)</f>
        <v>89</v>
      </c>
      <c r="Q10" s="21">
        <v>19</v>
      </c>
      <c r="R10" s="20">
        <v>97</v>
      </c>
      <c r="S10" s="3">
        <v>76</v>
      </c>
      <c r="T10" s="21">
        <v>1</v>
      </c>
      <c r="U10" s="20">
        <v>82</v>
      </c>
      <c r="V10" s="3">
        <v>81</v>
      </c>
    </row>
    <row r="11" spans="1:22" x14ac:dyDescent="0.25">
      <c r="A11" s="12" t="s">
        <v>27</v>
      </c>
      <c r="B11" s="21">
        <f>VLOOKUP($A11,'[1]credit ethnic graded seats'!$A:$P,HLOOKUP(B$4,'[1]credit ethnic graded seats'!$1:$2,2,FALSE),FALSE)</f>
        <v>12</v>
      </c>
      <c r="C11" s="20">
        <f>VLOOKUP($A11,'[1]credit ethnic graded seats'!$A:$P,HLOOKUP(C$4,'[1]credit ethnic graded seats'!$1:$2,2,FALSE),FALSE)</f>
        <v>25</v>
      </c>
      <c r="D11" s="54">
        <f>VLOOKUP($A11,'[1]credit ethnic graded seats'!$A:$P,HLOOKUP(D$4,'[1]credit ethnic graded seats'!$1:$2,2,FALSE),FALSE)</f>
        <v>39</v>
      </c>
      <c r="E11" s="21">
        <f>VLOOKUP($A11,'[1]credit ethnic graded seats'!$A:$P,HLOOKUP(E$4,'[1]credit ethnic graded seats'!$1:$2,2,FALSE),FALSE)</f>
        <v>16</v>
      </c>
      <c r="F11" s="20">
        <f>VLOOKUP($A11,'[1]credit ethnic graded seats'!$A:$P,HLOOKUP(F$4,'[1]credit ethnic graded seats'!$1:$2,2,FALSE),FALSE)</f>
        <v>56</v>
      </c>
      <c r="G11" s="20">
        <f>VLOOKUP($A11,'[1]credit ethnic graded seats'!$A:$P,HLOOKUP(G$4,'[1]credit ethnic graded seats'!$1:$2,2,FALSE),FALSE)</f>
        <v>60</v>
      </c>
      <c r="H11" s="20">
        <f>VLOOKUP($A11,'[1]credit ethnic graded seats'!$A:$P,HLOOKUP(H$4,'[1]credit ethnic graded seats'!$1:$2,2,FALSE),FALSE)</f>
        <v>10</v>
      </c>
      <c r="I11" s="20">
        <f>VLOOKUP($A11,'[1]credit ethnic graded seats'!$A:$P,HLOOKUP(I$4,'[1]credit ethnic graded seats'!$1:$2,2,FALSE),FALSE)</f>
        <v>55</v>
      </c>
      <c r="J11" s="3">
        <f>VLOOKUP($A11,'[1]credit ethnic graded seats'!$A:$P,HLOOKUP(J$4,'[1]credit ethnic graded seats'!$1:$2,2,FALSE),FALSE)</f>
        <v>45</v>
      </c>
      <c r="K11" s="21">
        <f>VLOOKUP($A11,'[1]credit ethnic graded seats'!$A:$P,HLOOKUP(K$4,'[1]credit ethnic graded seats'!$1:$2,2,FALSE),FALSE)</f>
        <v>9</v>
      </c>
      <c r="L11" s="20">
        <f>VLOOKUP($A11,'[1]credit ethnic graded seats'!$A:$P,HLOOKUP(L$4,'[1]credit ethnic graded seats'!$1:$2,2,FALSE),FALSE)</f>
        <v>41</v>
      </c>
      <c r="M11" s="3">
        <f>VLOOKUP($A11,'[1]credit ethnic graded seats'!$A:$P,HLOOKUP(M$4,'[1]credit ethnic graded seats'!$1:$2,2,FALSE),FALSE)</f>
        <v>33</v>
      </c>
      <c r="N11" s="55">
        <f>VLOOKUP($A11,'[1]credit ethnic graded seats'!$A:$P,HLOOKUP(N$4,'[1]credit ethnic graded seats'!$1:$2,2,FALSE),FALSE)</f>
        <v>5</v>
      </c>
      <c r="O11" s="20">
        <f>VLOOKUP($A11,'[1]credit ethnic graded seats'!$A:$P,HLOOKUP(O$4,'[1]credit ethnic graded seats'!$1:$2,2,FALSE),FALSE)</f>
        <v>29</v>
      </c>
      <c r="P11" s="54">
        <f>VLOOKUP($A11,'[1]credit ethnic graded seats'!$A:$P,HLOOKUP(P$4,'[1]credit ethnic graded seats'!$1:$2,2,FALSE),FALSE)</f>
        <v>27</v>
      </c>
      <c r="Q11" s="21">
        <v>1</v>
      </c>
      <c r="R11" s="20">
        <v>31</v>
      </c>
      <c r="S11" s="3">
        <v>17</v>
      </c>
      <c r="T11" s="21">
        <v>1</v>
      </c>
      <c r="U11" s="20">
        <v>25</v>
      </c>
      <c r="V11" s="3">
        <v>32</v>
      </c>
    </row>
    <row r="12" spans="1:22" x14ac:dyDescent="0.25">
      <c r="A12" s="12" t="s">
        <v>28</v>
      </c>
      <c r="B12" s="21">
        <f>VLOOKUP($A12,'[1]credit ethnic graded seats'!$A:$P,HLOOKUP(B$4,'[1]credit ethnic graded seats'!$1:$2,2,FALSE),FALSE)</f>
        <v>16</v>
      </c>
      <c r="C12" s="20">
        <f>VLOOKUP($A12,'[1]credit ethnic graded seats'!$A:$P,HLOOKUP(C$4,'[1]credit ethnic graded seats'!$1:$2,2,FALSE),FALSE)</f>
        <v>80</v>
      </c>
      <c r="D12" s="54">
        <f>VLOOKUP($A12,'[1]credit ethnic graded seats'!$A:$P,HLOOKUP(D$4,'[1]credit ethnic graded seats'!$1:$2,2,FALSE),FALSE)</f>
        <v>61</v>
      </c>
      <c r="E12" s="21">
        <f>VLOOKUP($A12,'[1]credit ethnic graded seats'!$A:$P,HLOOKUP(E$4,'[1]credit ethnic graded seats'!$1:$2,2,FALSE),FALSE)</f>
        <v>32</v>
      </c>
      <c r="F12" s="20">
        <f>VLOOKUP($A12,'[1]credit ethnic graded seats'!$A:$P,HLOOKUP(F$4,'[1]credit ethnic graded seats'!$1:$2,2,FALSE),FALSE)</f>
        <v>87</v>
      </c>
      <c r="G12" s="20">
        <f>VLOOKUP($A12,'[1]credit ethnic graded seats'!$A:$P,HLOOKUP(G$4,'[1]credit ethnic graded seats'!$1:$2,2,FALSE),FALSE)</f>
        <v>100</v>
      </c>
      <c r="H12" s="20">
        <f>VLOOKUP($A12,'[1]credit ethnic graded seats'!$A:$P,HLOOKUP(H$4,'[1]credit ethnic graded seats'!$1:$2,2,FALSE),FALSE)</f>
        <v>19</v>
      </c>
      <c r="I12" s="20">
        <f>VLOOKUP($A12,'[1]credit ethnic graded seats'!$A:$P,HLOOKUP(I$4,'[1]credit ethnic graded seats'!$1:$2,2,FALSE),FALSE)</f>
        <v>123</v>
      </c>
      <c r="J12" s="3">
        <f>VLOOKUP($A12,'[1]credit ethnic graded seats'!$A:$P,HLOOKUP(J$4,'[1]credit ethnic graded seats'!$1:$2,2,FALSE),FALSE)</f>
        <v>168</v>
      </c>
      <c r="K12" s="21">
        <f>VLOOKUP($A12,'[1]credit ethnic graded seats'!$A:$P,HLOOKUP(K$4,'[1]credit ethnic graded seats'!$1:$2,2,FALSE),FALSE)</f>
        <v>29</v>
      </c>
      <c r="L12" s="20">
        <f>VLOOKUP($A12,'[1]credit ethnic graded seats'!$A:$P,HLOOKUP(L$4,'[1]credit ethnic graded seats'!$1:$2,2,FALSE),FALSE)</f>
        <v>193</v>
      </c>
      <c r="M12" s="3">
        <f>VLOOKUP($A12,'[1]credit ethnic graded seats'!$A:$P,HLOOKUP(M$4,'[1]credit ethnic graded seats'!$1:$2,2,FALSE),FALSE)</f>
        <v>182</v>
      </c>
      <c r="N12" s="55">
        <f>VLOOKUP($A12,'[1]credit ethnic graded seats'!$A:$P,HLOOKUP(N$4,'[1]credit ethnic graded seats'!$1:$2,2,FALSE),FALSE)</f>
        <v>10</v>
      </c>
      <c r="O12" s="20">
        <f>VLOOKUP($A12,'[1]credit ethnic graded seats'!$A:$P,HLOOKUP(O$4,'[1]credit ethnic graded seats'!$1:$2,2,FALSE),FALSE)</f>
        <v>213</v>
      </c>
      <c r="P12" s="54">
        <f>VLOOKUP($A12,'[1]credit ethnic graded seats'!$A:$P,HLOOKUP(P$4,'[1]credit ethnic graded seats'!$1:$2,2,FALSE),FALSE)</f>
        <v>244</v>
      </c>
      <c r="Q12" s="21">
        <v>39</v>
      </c>
      <c r="R12" s="20">
        <v>196</v>
      </c>
      <c r="S12" s="3">
        <v>233</v>
      </c>
      <c r="T12" s="21">
        <v>18</v>
      </c>
      <c r="U12" s="20">
        <v>276</v>
      </c>
      <c r="V12" s="3">
        <v>287</v>
      </c>
    </row>
    <row r="13" spans="1:22" ht="15.75" thickBot="1" x14ac:dyDescent="0.3">
      <c r="A13" s="13" t="s">
        <v>29</v>
      </c>
      <c r="B13" s="56">
        <f>VLOOKUP($A13,'[1]credit ethnic graded seats'!$A:$P,HLOOKUP(B$4,'[1]credit ethnic graded seats'!$1:$2,2,FALSE),FALSE)</f>
        <v>74</v>
      </c>
      <c r="C13" s="57">
        <f>VLOOKUP($A13,'[1]credit ethnic graded seats'!$A:$P,HLOOKUP(C$4,'[1]credit ethnic graded seats'!$1:$2,2,FALSE),FALSE)</f>
        <v>356</v>
      </c>
      <c r="D13" s="58">
        <f>VLOOKUP($A13,'[1]credit ethnic graded seats'!$A:$P,HLOOKUP(D$4,'[1]credit ethnic graded seats'!$1:$2,2,FALSE),FALSE)</f>
        <v>385</v>
      </c>
      <c r="E13" s="56">
        <f>VLOOKUP($A13,'[1]credit ethnic graded seats'!$A:$P,HLOOKUP(E$4,'[1]credit ethnic graded seats'!$1:$2,2,FALSE),FALSE)</f>
        <v>121</v>
      </c>
      <c r="F13" s="57">
        <f>VLOOKUP($A13,'[1]credit ethnic graded seats'!$A:$P,HLOOKUP(F$4,'[1]credit ethnic graded seats'!$1:$2,2,FALSE),FALSE)</f>
        <v>469</v>
      </c>
      <c r="G13" s="57">
        <f>VLOOKUP($A13,'[1]credit ethnic graded seats'!$A:$P,HLOOKUP(G$4,'[1]credit ethnic graded seats'!$1:$2,2,FALSE),FALSE)</f>
        <v>488</v>
      </c>
      <c r="H13" s="57">
        <f>VLOOKUP($A13,'[1]credit ethnic graded seats'!$A:$P,HLOOKUP(H$4,'[1]credit ethnic graded seats'!$1:$2,2,FALSE),FALSE)</f>
        <v>102</v>
      </c>
      <c r="I13" s="57">
        <f>VLOOKUP($A13,'[1]credit ethnic graded seats'!$A:$P,HLOOKUP(I$4,'[1]credit ethnic graded seats'!$1:$2,2,FALSE),FALSE)</f>
        <v>551</v>
      </c>
      <c r="J13" s="59">
        <f>VLOOKUP($A13,'[1]credit ethnic graded seats'!$A:$P,HLOOKUP(J$4,'[1]credit ethnic graded seats'!$1:$2,2,FALSE),FALSE)</f>
        <v>468</v>
      </c>
      <c r="K13" s="56">
        <f>VLOOKUP($A13,'[1]credit ethnic graded seats'!$A:$P,HLOOKUP(K$4,'[1]credit ethnic graded seats'!$1:$2,2,FALSE),FALSE)</f>
        <v>61</v>
      </c>
      <c r="L13" s="57">
        <f>VLOOKUP($A13,'[1]credit ethnic graded seats'!$A:$P,HLOOKUP(L$4,'[1]credit ethnic graded seats'!$1:$2,2,FALSE),FALSE)</f>
        <v>344</v>
      </c>
      <c r="M13" s="59">
        <f>VLOOKUP($A13,'[1]credit ethnic graded seats'!$A:$P,HLOOKUP(M$4,'[1]credit ethnic graded seats'!$1:$2,2,FALSE),FALSE)</f>
        <v>302</v>
      </c>
      <c r="N13" s="60">
        <f>VLOOKUP($A13,'[1]credit ethnic graded seats'!$A:$P,HLOOKUP(N$4,'[1]credit ethnic graded seats'!$1:$2,2,FALSE),FALSE)</f>
        <v>4</v>
      </c>
      <c r="O13" s="57">
        <f>VLOOKUP($A13,'[1]credit ethnic graded seats'!$A:$P,HLOOKUP(O$4,'[1]credit ethnic graded seats'!$1:$2,2,FALSE),FALSE)</f>
        <v>226</v>
      </c>
      <c r="P13" s="54">
        <f>VLOOKUP($A13,'[1]credit ethnic graded seats'!$A:$P,HLOOKUP(P$4,'[1]credit ethnic graded seats'!$1:$2,2,FALSE),FALSE)</f>
        <v>193</v>
      </c>
      <c r="Q13" s="37">
        <v>17</v>
      </c>
      <c r="R13" s="38">
        <v>129</v>
      </c>
      <c r="S13" s="39">
        <v>116</v>
      </c>
      <c r="T13" s="37">
        <v>3</v>
      </c>
      <c r="U13" s="38">
        <v>64</v>
      </c>
      <c r="V13" s="39">
        <v>66</v>
      </c>
    </row>
    <row r="14" spans="1:22" ht="15.75" thickBot="1" x14ac:dyDescent="0.3">
      <c r="A14" s="18" t="s">
        <v>30</v>
      </c>
      <c r="B14" s="61">
        <f>VLOOKUP($A14,'[1]credit ethnic graded seats'!$A:$P,HLOOKUP(B$4,'[1]credit ethnic graded seats'!$1:$2,2,FALSE),FALSE)</f>
        <v>1276</v>
      </c>
      <c r="C14" s="62">
        <f>VLOOKUP($A14,'[1]credit ethnic graded seats'!$A:$P,HLOOKUP(C$4,'[1]credit ethnic graded seats'!$1:$2,2,FALSE),FALSE)</f>
        <v>5152</v>
      </c>
      <c r="D14" s="63">
        <f>VLOOKUP($A14,'[1]credit ethnic graded seats'!$A:$P,HLOOKUP(D$4,'[1]credit ethnic graded seats'!$1:$2,2,FALSE),FALSE)</f>
        <v>4982</v>
      </c>
      <c r="E14" s="61">
        <f>VLOOKUP($A14,'[1]credit ethnic graded seats'!$A:$P,HLOOKUP(E$4,'[1]credit ethnic graded seats'!$1:$2,2,FALSE),FALSE)</f>
        <v>1610</v>
      </c>
      <c r="F14" s="62">
        <f>VLOOKUP($A14,'[1]credit ethnic graded seats'!$A:$P,HLOOKUP(F$4,'[1]credit ethnic graded seats'!$1:$2,2,FALSE),FALSE)</f>
        <v>5585</v>
      </c>
      <c r="G14" s="62">
        <f>VLOOKUP($A14,'[1]credit ethnic graded seats'!$A:$P,HLOOKUP(G$4,'[1]credit ethnic graded seats'!$1:$2,2,FALSE),FALSE)</f>
        <v>6171</v>
      </c>
      <c r="H14" s="62">
        <f>VLOOKUP($A14,'[1]credit ethnic graded seats'!$A:$P,HLOOKUP(H$4,'[1]credit ethnic graded seats'!$1:$2,2,FALSE),FALSE)</f>
        <v>1216</v>
      </c>
      <c r="I14" s="62">
        <f>VLOOKUP($A14,'[1]credit ethnic graded seats'!$A:$P,HLOOKUP(I$4,'[1]credit ethnic graded seats'!$1:$2,2,FALSE),FALSE)</f>
        <v>6564</v>
      </c>
      <c r="J14" s="64">
        <f>VLOOKUP($A14,'[1]credit ethnic graded seats'!$A:$P,HLOOKUP(J$4,'[1]credit ethnic graded seats'!$1:$2,2,FALSE),FALSE)</f>
        <v>6526</v>
      </c>
      <c r="K14" s="61">
        <f>VLOOKUP($A14,'[1]credit ethnic graded seats'!$A:$P,HLOOKUP(K$4,'[1]credit ethnic graded seats'!$1:$2,2,FALSE),FALSE)</f>
        <v>786</v>
      </c>
      <c r="L14" s="62">
        <f>VLOOKUP($A14,'[1]credit ethnic graded seats'!$A:$P,HLOOKUP(L$4,'[1]credit ethnic graded seats'!$1:$2,2,FALSE),FALSE)</f>
        <v>5726</v>
      </c>
      <c r="M14" s="64">
        <f>VLOOKUP($A14,'[1]credit ethnic graded seats'!$A:$P,HLOOKUP(M$4,'[1]credit ethnic graded seats'!$1:$2,2,FALSE),FALSE)</f>
        <v>5582</v>
      </c>
      <c r="N14" s="65">
        <f>VLOOKUP($A14,'[1]credit ethnic graded seats'!$A:$P,HLOOKUP(N$4,'[1]credit ethnic graded seats'!$1:$2,2,FALSE),FALSE)</f>
        <v>188</v>
      </c>
      <c r="O14" s="62">
        <f>VLOOKUP($A14,'[1]credit ethnic graded seats'!$A:$P,HLOOKUP(O$4,'[1]credit ethnic graded seats'!$1:$2,2,FALSE),FALSE)</f>
        <v>5394</v>
      </c>
      <c r="P14" s="63">
        <f>VLOOKUP($A14,'[1]credit ethnic graded seats'!$A:$P,HLOOKUP(P$4,'[1]credit ethnic graded seats'!$1:$2,2,FALSE),FALSE)</f>
        <v>5546</v>
      </c>
      <c r="Q14" s="66">
        <f>SUM(Q5:Q13)</f>
        <v>645</v>
      </c>
      <c r="R14" s="66">
        <f>SUM(R5:R13)</f>
        <v>4854</v>
      </c>
      <c r="S14" s="66">
        <f>SUM(S5:S13)</f>
        <v>4877</v>
      </c>
      <c r="T14" s="78">
        <f>SUM(T5:T13)</f>
        <v>165</v>
      </c>
      <c r="U14" s="78">
        <f t="shared" ref="U14" si="0">SUM(U5:U13)</f>
        <v>5071</v>
      </c>
      <c r="V14" s="79">
        <v>5133</v>
      </c>
    </row>
    <row r="15" spans="1:22" ht="15.75" thickBot="1" x14ac:dyDescent="0.3">
      <c r="A15" s="19" t="s">
        <v>5</v>
      </c>
      <c r="B15" s="97">
        <v>7858</v>
      </c>
      <c r="C15" s="98"/>
      <c r="D15" s="99"/>
      <c r="E15" s="101">
        <v>9192</v>
      </c>
      <c r="F15" s="98"/>
      <c r="G15" s="100"/>
      <c r="H15" s="97">
        <v>9871</v>
      </c>
      <c r="I15" s="98"/>
      <c r="J15" s="99"/>
      <c r="K15" s="101">
        <v>8204</v>
      </c>
      <c r="L15" s="98"/>
      <c r="M15" s="100"/>
      <c r="N15" s="97">
        <v>7485</v>
      </c>
      <c r="O15" s="98"/>
      <c r="P15" s="100"/>
      <c r="Q15" s="97">
        <v>7031</v>
      </c>
      <c r="R15" s="98"/>
      <c r="S15" s="99"/>
      <c r="T15" s="97">
        <v>7213</v>
      </c>
      <c r="U15" s="98"/>
      <c r="V15" s="100"/>
    </row>
    <row r="16" spans="1:22" ht="15.75" thickBot="1" x14ac:dyDescent="0.3">
      <c r="A16" s="1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1:22" ht="15.75" x14ac:dyDescent="0.25">
      <c r="A17" s="81" t="s">
        <v>31</v>
      </c>
      <c r="B17" s="93" t="s">
        <v>32</v>
      </c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</row>
    <row r="18" spans="1:22" ht="16.5" thickBot="1" x14ac:dyDescent="0.3">
      <c r="A18" s="82"/>
      <c r="B18" s="95" t="s">
        <v>40</v>
      </c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</row>
    <row r="19" spans="1:22" ht="15.75" thickBot="1" x14ac:dyDescent="0.3">
      <c r="A19" s="83"/>
      <c r="B19" s="84" t="s">
        <v>0</v>
      </c>
      <c r="C19" s="85"/>
      <c r="D19" s="86"/>
      <c r="E19" s="87" t="s">
        <v>1</v>
      </c>
      <c r="F19" s="88"/>
      <c r="G19" s="89"/>
      <c r="H19" s="84" t="s">
        <v>2</v>
      </c>
      <c r="I19" s="85"/>
      <c r="J19" s="86"/>
      <c r="K19" s="87" t="s">
        <v>3</v>
      </c>
      <c r="L19" s="88"/>
      <c r="M19" s="89"/>
      <c r="N19" s="84" t="s">
        <v>4</v>
      </c>
      <c r="O19" s="85"/>
      <c r="P19" s="86"/>
      <c r="Q19" s="87" t="s">
        <v>41</v>
      </c>
      <c r="R19" s="88"/>
      <c r="S19" s="89"/>
      <c r="T19" s="84" t="s">
        <v>42</v>
      </c>
      <c r="U19" s="85"/>
      <c r="V19" s="86"/>
    </row>
    <row r="20" spans="1:22" ht="15.75" thickBot="1" x14ac:dyDescent="0.3">
      <c r="A20" s="7" t="s">
        <v>38</v>
      </c>
      <c r="B20" s="40" t="s">
        <v>6</v>
      </c>
      <c r="C20" s="41" t="s">
        <v>7</v>
      </c>
      <c r="D20" s="42" t="s">
        <v>8</v>
      </c>
      <c r="E20" s="43" t="s">
        <v>9</v>
      </c>
      <c r="F20" s="44" t="s">
        <v>10</v>
      </c>
      <c r="G20" s="45" t="s">
        <v>11</v>
      </c>
      <c r="H20" s="40" t="s">
        <v>12</v>
      </c>
      <c r="I20" s="41" t="s">
        <v>13</v>
      </c>
      <c r="J20" s="42" t="s">
        <v>14</v>
      </c>
      <c r="K20" s="43" t="s">
        <v>15</v>
      </c>
      <c r="L20" s="44" t="s">
        <v>16</v>
      </c>
      <c r="M20" s="45" t="s">
        <v>17</v>
      </c>
      <c r="N20" s="40" t="s">
        <v>18</v>
      </c>
      <c r="O20" s="41" t="s">
        <v>19</v>
      </c>
      <c r="P20" s="42" t="s">
        <v>20</v>
      </c>
      <c r="Q20" s="43" t="s">
        <v>43</v>
      </c>
      <c r="R20" s="44" t="s">
        <v>44</v>
      </c>
      <c r="S20" s="45" t="s">
        <v>45</v>
      </c>
      <c r="T20" s="40" t="s">
        <v>46</v>
      </c>
      <c r="U20" s="41" t="s">
        <v>47</v>
      </c>
      <c r="V20" s="46" t="s">
        <v>48</v>
      </c>
    </row>
    <row r="21" spans="1:22" x14ac:dyDescent="0.25">
      <c r="A21" s="11" t="s">
        <v>21</v>
      </c>
      <c r="B21" s="4">
        <f>B5/B$14</f>
        <v>0.37304075235109718</v>
      </c>
      <c r="C21" s="22">
        <f t="shared" ref="C21:N21" si="1">C5/C$14</f>
        <v>0.42585403726708076</v>
      </c>
      <c r="D21" s="29">
        <f t="shared" si="1"/>
        <v>0.41328783621035731</v>
      </c>
      <c r="E21" s="4">
        <f t="shared" si="1"/>
        <v>0.32981366459627331</v>
      </c>
      <c r="F21" s="22">
        <f t="shared" si="1"/>
        <v>0.38495971351835273</v>
      </c>
      <c r="G21" s="5">
        <f t="shared" si="1"/>
        <v>0.38227191703127533</v>
      </c>
      <c r="H21" s="32">
        <f t="shared" si="1"/>
        <v>0.31167763157894735</v>
      </c>
      <c r="I21" s="22">
        <f t="shared" si="1"/>
        <v>0.37020109689213893</v>
      </c>
      <c r="J21" s="29">
        <f t="shared" si="1"/>
        <v>0.37220349371743794</v>
      </c>
      <c r="K21" s="4">
        <f t="shared" si="1"/>
        <v>0.2951653944020356</v>
      </c>
      <c r="L21" s="22">
        <f t="shared" si="1"/>
        <v>0.36919315403422981</v>
      </c>
      <c r="M21" s="5">
        <f t="shared" si="1"/>
        <v>0.36528126119670368</v>
      </c>
      <c r="N21" s="32">
        <f t="shared" si="1"/>
        <v>0.23404255319148937</v>
      </c>
      <c r="O21" s="22">
        <f t="shared" ref="O21:P21" si="2">O5/O$14</f>
        <v>0.3565072302558398</v>
      </c>
      <c r="P21" s="67">
        <f t="shared" si="2"/>
        <v>0.3433104940497656</v>
      </c>
      <c r="Q21" s="4">
        <v>0.26779999999999998</v>
      </c>
      <c r="R21" s="22">
        <v>0.31669999999999998</v>
      </c>
      <c r="S21" s="68">
        <v>0.31390000000000001</v>
      </c>
      <c r="T21" s="4">
        <v>0.1953</v>
      </c>
      <c r="U21" s="22">
        <v>0.28889999999999999</v>
      </c>
      <c r="V21" s="68">
        <v>0.29530000000000001</v>
      </c>
    </row>
    <row r="22" spans="1:22" x14ac:dyDescent="0.25">
      <c r="A22" s="12" t="s">
        <v>22</v>
      </c>
      <c r="B22" s="28">
        <f t="shared" ref="B22:N22" si="3">B6/B$14</f>
        <v>0.35736677115987459</v>
      </c>
      <c r="C22" s="23">
        <f t="shared" si="3"/>
        <v>0.33055124223602483</v>
      </c>
      <c r="D22" s="30">
        <f t="shared" si="3"/>
        <v>0.33821758329987955</v>
      </c>
      <c r="E22" s="28">
        <f t="shared" si="3"/>
        <v>0.3658385093167702</v>
      </c>
      <c r="F22" s="23">
        <f t="shared" si="3"/>
        <v>0.3459265890778872</v>
      </c>
      <c r="G22" s="6">
        <f t="shared" si="3"/>
        <v>0.35666828714957055</v>
      </c>
      <c r="H22" s="33">
        <f t="shared" si="3"/>
        <v>0.36842105263157893</v>
      </c>
      <c r="I22" s="23">
        <f t="shared" si="3"/>
        <v>0.36227909811090797</v>
      </c>
      <c r="J22" s="30">
        <f t="shared" si="3"/>
        <v>0.36362243334354888</v>
      </c>
      <c r="K22" s="28">
        <f t="shared" si="3"/>
        <v>0.36005089058524176</v>
      </c>
      <c r="L22" s="23">
        <f t="shared" si="3"/>
        <v>0.38927698218651763</v>
      </c>
      <c r="M22" s="6">
        <f t="shared" si="3"/>
        <v>0.39304908634897884</v>
      </c>
      <c r="N22" s="33">
        <f t="shared" si="3"/>
        <v>0.24468085106382978</v>
      </c>
      <c r="O22" s="23">
        <f t="shared" ref="O22:P22" si="4">O6/O$14</f>
        <v>0.41434927697441604</v>
      </c>
      <c r="P22" s="30">
        <f t="shared" si="4"/>
        <v>0.43526866209880993</v>
      </c>
      <c r="Q22" s="28">
        <v>0.43190000000000001</v>
      </c>
      <c r="R22" s="23">
        <v>0.47010000000000002</v>
      </c>
      <c r="S22" s="6">
        <v>0.47720000000000001</v>
      </c>
      <c r="T22" s="28">
        <v>0.42599999999999999</v>
      </c>
      <c r="U22" s="23">
        <v>0.49940000000000001</v>
      </c>
      <c r="V22" s="6">
        <v>0.49680000000000002</v>
      </c>
    </row>
    <row r="23" spans="1:22" x14ac:dyDescent="0.25">
      <c r="A23" s="12" t="s">
        <v>23</v>
      </c>
      <c r="B23" s="28">
        <f t="shared" ref="B23:N23" si="5">B7/B$14</f>
        <v>0.12539184952978055</v>
      </c>
      <c r="C23" s="23">
        <f t="shared" si="5"/>
        <v>9.4138198757763969E-2</v>
      </c>
      <c r="D23" s="30">
        <f t="shared" si="5"/>
        <v>9.4138900040144524E-2</v>
      </c>
      <c r="E23" s="28">
        <f t="shared" si="5"/>
        <v>0.13788819875776398</v>
      </c>
      <c r="F23" s="23">
        <f t="shared" si="5"/>
        <v>9.7761862130707256E-2</v>
      </c>
      <c r="G23" s="6">
        <f t="shared" si="5"/>
        <v>9.9659698590179868E-2</v>
      </c>
      <c r="H23" s="33">
        <f t="shared" si="5"/>
        <v>0.15049342105263158</v>
      </c>
      <c r="I23" s="23">
        <f t="shared" si="5"/>
        <v>0.10131017672151127</v>
      </c>
      <c r="J23" s="30">
        <f t="shared" si="5"/>
        <v>0.10511798958014097</v>
      </c>
      <c r="K23" s="28">
        <f t="shared" si="5"/>
        <v>0.16157760814249364</v>
      </c>
      <c r="L23" s="23">
        <f t="shared" si="5"/>
        <v>8.7844917918267554E-2</v>
      </c>
      <c r="M23" s="6">
        <f t="shared" si="5"/>
        <v>9.9247581512002872E-2</v>
      </c>
      <c r="N23" s="33">
        <f t="shared" si="5"/>
        <v>0.38829787234042551</v>
      </c>
      <c r="O23" s="23">
        <f t="shared" ref="O23:P23" si="6">O7/O$14</f>
        <v>9.4920281794586572E-2</v>
      </c>
      <c r="P23" s="30">
        <f t="shared" si="6"/>
        <v>9.826902271907681E-2</v>
      </c>
      <c r="Q23" s="28">
        <v>0.16250000000000001</v>
      </c>
      <c r="R23" s="23">
        <v>9.7100000000000006E-2</v>
      </c>
      <c r="S23" s="6">
        <v>9.5399999999999999E-2</v>
      </c>
      <c r="T23" s="28">
        <v>0.24260000000000001</v>
      </c>
      <c r="U23" s="23">
        <v>0.1037</v>
      </c>
      <c r="V23" s="6">
        <v>9.6199999999999994E-2</v>
      </c>
    </row>
    <row r="24" spans="1:22" x14ac:dyDescent="0.25">
      <c r="A24" s="12" t="s">
        <v>24</v>
      </c>
      <c r="B24" s="28">
        <f t="shared" ref="B24:N24" si="7">B8/B$14</f>
        <v>2.115987460815047E-2</v>
      </c>
      <c r="C24" s="23">
        <f t="shared" si="7"/>
        <v>2.0186335403726708E-2</v>
      </c>
      <c r="D24" s="30">
        <f t="shared" si="7"/>
        <v>1.8867924528301886E-2</v>
      </c>
      <c r="E24" s="28">
        <f t="shared" si="7"/>
        <v>2.1739130434782608E-2</v>
      </c>
      <c r="F24" s="23">
        <f t="shared" si="7"/>
        <v>2.1128021486123544E-2</v>
      </c>
      <c r="G24" s="6">
        <f t="shared" si="7"/>
        <v>2.1876519202722412E-2</v>
      </c>
      <c r="H24" s="33">
        <f t="shared" si="7"/>
        <v>2.7960526315789474E-2</v>
      </c>
      <c r="I24" s="23">
        <f t="shared" si="7"/>
        <v>1.9957343083485679E-2</v>
      </c>
      <c r="J24" s="30">
        <f t="shared" si="7"/>
        <v>1.9920318725099601E-2</v>
      </c>
      <c r="K24" s="28">
        <f t="shared" si="7"/>
        <v>2.0356234096692113E-2</v>
      </c>
      <c r="L24" s="23">
        <f t="shared" si="7"/>
        <v>1.798812434509256E-2</v>
      </c>
      <c r="M24" s="6">
        <f t="shared" si="7"/>
        <v>1.8273020422787532E-2</v>
      </c>
      <c r="N24" s="33">
        <f t="shared" si="7"/>
        <v>1.0638297872340425E-2</v>
      </c>
      <c r="O24" s="23">
        <f t="shared" ref="O24:P24" si="8">O8/O$14</f>
        <v>1.7982944011865034E-2</v>
      </c>
      <c r="P24" s="30">
        <f t="shared" si="8"/>
        <v>1.5867291741795887E-2</v>
      </c>
      <c r="Q24" s="28">
        <v>1.55E-2</v>
      </c>
      <c r="R24" s="23">
        <v>1.6400000000000001E-2</v>
      </c>
      <c r="S24" s="6">
        <v>1.7600000000000001E-2</v>
      </c>
      <c r="T24" s="28">
        <v>0</v>
      </c>
      <c r="U24" s="23">
        <v>1.5100000000000001E-2</v>
      </c>
      <c r="V24" s="6">
        <v>1.66E-2</v>
      </c>
    </row>
    <row r="25" spans="1:22" x14ac:dyDescent="0.25">
      <c r="A25" s="12" t="s">
        <v>25</v>
      </c>
      <c r="B25" s="28">
        <f t="shared" ref="B25:N25" si="9">B9/B$14</f>
        <v>1.4106583072100314E-2</v>
      </c>
      <c r="C25" s="23">
        <f t="shared" si="9"/>
        <v>1.3198757763975156E-2</v>
      </c>
      <c r="D25" s="30">
        <f t="shared" si="9"/>
        <v>1.5254917703733441E-2</v>
      </c>
      <c r="E25" s="28">
        <f t="shared" si="9"/>
        <v>1.4285714285714285E-2</v>
      </c>
      <c r="F25" s="23">
        <f t="shared" si="9"/>
        <v>1.7726051924798567E-2</v>
      </c>
      <c r="G25" s="6">
        <f t="shared" si="9"/>
        <v>1.7177118781396855E-2</v>
      </c>
      <c r="H25" s="33">
        <f t="shared" si="9"/>
        <v>1.3157894736842105E-2</v>
      </c>
      <c r="I25" s="23">
        <f t="shared" si="9"/>
        <v>1.5234613040828763E-2</v>
      </c>
      <c r="J25" s="30">
        <f t="shared" si="9"/>
        <v>1.4097456328532026E-2</v>
      </c>
      <c r="K25" s="28">
        <f t="shared" si="9"/>
        <v>1.1450381679389313E-2</v>
      </c>
      <c r="L25" s="23">
        <f t="shared" si="9"/>
        <v>1.2923506811037374E-2</v>
      </c>
      <c r="M25" s="6">
        <f t="shared" si="9"/>
        <v>1.2002866356144752E-2</v>
      </c>
      <c r="N25" s="33">
        <f t="shared" si="9"/>
        <v>1.5957446808510637E-2</v>
      </c>
      <c r="O25" s="23">
        <f t="shared" ref="O25:P25" si="10">O9/O$14</f>
        <v>1.0381905821282907E-2</v>
      </c>
      <c r="P25" s="30">
        <f t="shared" si="10"/>
        <v>7.5730256040389471E-3</v>
      </c>
      <c r="Q25" s="28">
        <v>4.5999999999999999E-3</v>
      </c>
      <c r="R25" s="23">
        <v>6.7999999999999996E-3</v>
      </c>
      <c r="S25" s="6">
        <v>5.3E-3</v>
      </c>
      <c r="T25" s="28">
        <v>0</v>
      </c>
      <c r="U25" s="23">
        <v>4.8999999999999998E-3</v>
      </c>
      <c r="V25" s="6">
        <v>4.3E-3</v>
      </c>
    </row>
    <row r="26" spans="1:22" x14ac:dyDescent="0.25">
      <c r="A26" s="12" t="s">
        <v>26</v>
      </c>
      <c r="B26" s="28">
        <f t="shared" ref="B26:N26" si="11">B10/B$14</f>
        <v>2.8996865203761754E-2</v>
      </c>
      <c r="C26" s="23">
        <f t="shared" si="11"/>
        <v>2.65916149068323E-2</v>
      </c>
      <c r="D26" s="30">
        <f t="shared" si="11"/>
        <v>2.2882376555600159E-2</v>
      </c>
      <c r="E26" s="28">
        <f t="shared" si="11"/>
        <v>2.546583850931677E-2</v>
      </c>
      <c r="F26" s="23">
        <f t="shared" si="11"/>
        <v>2.2918531781557745E-2</v>
      </c>
      <c r="G26" s="6">
        <f t="shared" si="11"/>
        <v>1.7339167071787391E-2</v>
      </c>
      <c r="H26" s="33">
        <f t="shared" si="11"/>
        <v>2.0559210526315791E-2</v>
      </c>
      <c r="I26" s="23">
        <f t="shared" si="11"/>
        <v>1.9957343083485679E-2</v>
      </c>
      <c r="J26" s="30">
        <f t="shared" si="11"/>
        <v>2.0686484829911124E-2</v>
      </c>
      <c r="K26" s="28">
        <f t="shared" si="11"/>
        <v>2.5445292620865138E-2</v>
      </c>
      <c r="L26" s="23">
        <f t="shared" si="11"/>
        <v>2.1830247991617185E-2</v>
      </c>
      <c r="M26" s="6">
        <f t="shared" si="11"/>
        <v>1.9527051236116089E-2</v>
      </c>
      <c r="N26" s="33">
        <f t="shared" si="11"/>
        <v>5.3191489361702126E-3</v>
      </c>
      <c r="O26" s="23">
        <f t="shared" ref="O26:P26" si="12">O10/O$14</f>
        <v>1.9095291064145346E-2</v>
      </c>
      <c r="P26" s="30">
        <f t="shared" si="12"/>
        <v>1.6047601875225387E-2</v>
      </c>
      <c r="Q26" s="28">
        <v>2.9399999999999999E-2</v>
      </c>
      <c r="R26" s="23">
        <v>1.9900000000000001E-2</v>
      </c>
      <c r="S26" s="6">
        <v>1.55E-2</v>
      </c>
      <c r="T26" s="28">
        <v>5.8999999999999999E-3</v>
      </c>
      <c r="U26" s="23">
        <v>1.61E-2</v>
      </c>
      <c r="V26" s="6">
        <v>1.5800000000000002E-2</v>
      </c>
    </row>
    <row r="27" spans="1:22" x14ac:dyDescent="0.25">
      <c r="A27" s="12" t="s">
        <v>27</v>
      </c>
      <c r="B27" s="28">
        <f t="shared" ref="B27:N27" si="13">B11/B$14</f>
        <v>9.4043887147335428E-3</v>
      </c>
      <c r="C27" s="23">
        <f t="shared" si="13"/>
        <v>4.8524844720496891E-3</v>
      </c>
      <c r="D27" s="30">
        <f t="shared" si="13"/>
        <v>7.8281814532316345E-3</v>
      </c>
      <c r="E27" s="28">
        <f t="shared" si="13"/>
        <v>9.9378881987577643E-3</v>
      </c>
      <c r="F27" s="23">
        <f t="shared" si="13"/>
        <v>1.0026857654431513E-2</v>
      </c>
      <c r="G27" s="6">
        <f t="shared" si="13"/>
        <v>9.7228974234321829E-3</v>
      </c>
      <c r="H27" s="33">
        <f t="shared" si="13"/>
        <v>8.2236842105263153E-3</v>
      </c>
      <c r="I27" s="23">
        <f t="shared" si="13"/>
        <v>8.3790371724558194E-3</v>
      </c>
      <c r="J27" s="30">
        <f t="shared" si="13"/>
        <v>6.895494943303708E-3</v>
      </c>
      <c r="K27" s="28">
        <f t="shared" si="13"/>
        <v>1.1450381679389313E-2</v>
      </c>
      <c r="L27" s="23">
        <f t="shared" si="13"/>
        <v>7.1603213412504366E-3</v>
      </c>
      <c r="M27" s="6">
        <f t="shared" si="13"/>
        <v>5.911859548548907E-3</v>
      </c>
      <c r="N27" s="33">
        <f t="shared" si="13"/>
        <v>2.6595744680851064E-2</v>
      </c>
      <c r="O27" s="23">
        <f t="shared" ref="O27:P27" si="14">O11/O$14</f>
        <v>5.3763440860215058E-3</v>
      </c>
      <c r="P27" s="30">
        <f t="shared" si="14"/>
        <v>4.8683736025964663E-3</v>
      </c>
      <c r="Q27" s="28">
        <v>1.5E-3</v>
      </c>
      <c r="R27" s="23">
        <v>6.3E-3</v>
      </c>
      <c r="S27" s="6">
        <v>3.5000000000000001E-3</v>
      </c>
      <c r="T27" s="28">
        <v>5.8999999999999999E-3</v>
      </c>
      <c r="U27" s="23">
        <v>4.8999999999999998E-3</v>
      </c>
      <c r="V27" s="6">
        <v>6.1999999999999998E-3</v>
      </c>
    </row>
    <row r="28" spans="1:22" x14ac:dyDescent="0.25">
      <c r="A28" s="12" t="s">
        <v>28</v>
      </c>
      <c r="B28" s="28">
        <f t="shared" ref="B28:N28" si="15">B12/B$14</f>
        <v>1.2539184952978056E-2</v>
      </c>
      <c r="C28" s="23">
        <f t="shared" si="15"/>
        <v>1.5527950310559006E-2</v>
      </c>
      <c r="D28" s="30">
        <f t="shared" si="15"/>
        <v>1.2244078683259736E-2</v>
      </c>
      <c r="E28" s="28">
        <f t="shared" si="15"/>
        <v>1.9875776397515529E-2</v>
      </c>
      <c r="F28" s="23">
        <f t="shared" si="15"/>
        <v>1.5577439570277529E-2</v>
      </c>
      <c r="G28" s="6">
        <f t="shared" si="15"/>
        <v>1.6204829039053639E-2</v>
      </c>
      <c r="H28" s="33">
        <f t="shared" si="15"/>
        <v>1.5625E-2</v>
      </c>
      <c r="I28" s="23">
        <f t="shared" si="15"/>
        <v>1.8738574040219377E-2</v>
      </c>
      <c r="J28" s="30">
        <f t="shared" si="15"/>
        <v>2.5743181121667177E-2</v>
      </c>
      <c r="K28" s="28">
        <f t="shared" si="15"/>
        <v>3.689567430025445E-2</v>
      </c>
      <c r="L28" s="23">
        <f t="shared" si="15"/>
        <v>3.3705902899056936E-2</v>
      </c>
      <c r="M28" s="6">
        <f t="shared" si="15"/>
        <v>3.2604801146542454E-2</v>
      </c>
      <c r="N28" s="33">
        <f t="shared" si="15"/>
        <v>5.3191489361702128E-2</v>
      </c>
      <c r="O28" s="23">
        <f t="shared" ref="O28:P28" si="16">O12/O$14</f>
        <v>3.9488320355951054E-2</v>
      </c>
      <c r="P28" s="30">
        <f t="shared" si="16"/>
        <v>4.3995672556797691E-2</v>
      </c>
      <c r="Q28" s="28">
        <v>6.0400000000000002E-2</v>
      </c>
      <c r="R28" s="23">
        <v>4.0099999999999997E-2</v>
      </c>
      <c r="S28" s="6">
        <v>4.7600000000000003E-2</v>
      </c>
      <c r="T28" s="28">
        <v>0.1065</v>
      </c>
      <c r="U28" s="23">
        <v>5.4199999999999998E-2</v>
      </c>
      <c r="V28" s="6">
        <v>5.5899999999999998E-2</v>
      </c>
    </row>
    <row r="29" spans="1:22" ht="15.75" thickBot="1" x14ac:dyDescent="0.3">
      <c r="A29" s="13" t="s">
        <v>29</v>
      </c>
      <c r="B29" s="25">
        <f t="shared" ref="B29:N29" si="17">B13/B$14</f>
        <v>5.7993730407523508E-2</v>
      </c>
      <c r="C29" s="27">
        <f t="shared" si="17"/>
        <v>6.9099378881987583E-2</v>
      </c>
      <c r="D29" s="31">
        <f t="shared" si="17"/>
        <v>7.7278201525491766E-2</v>
      </c>
      <c r="E29" s="25">
        <f t="shared" si="17"/>
        <v>7.515527950310559E-2</v>
      </c>
      <c r="F29" s="27">
        <f t="shared" si="17"/>
        <v>8.3974932855863924E-2</v>
      </c>
      <c r="G29" s="24">
        <f t="shared" si="17"/>
        <v>7.9079565710581751E-2</v>
      </c>
      <c r="H29" s="34">
        <f t="shared" si="17"/>
        <v>8.3881578947368418E-2</v>
      </c>
      <c r="I29" s="27">
        <f t="shared" si="17"/>
        <v>8.3942717854966487E-2</v>
      </c>
      <c r="J29" s="31">
        <f t="shared" si="17"/>
        <v>7.1713147410358571E-2</v>
      </c>
      <c r="K29" s="25">
        <f t="shared" si="17"/>
        <v>7.7608142493638677E-2</v>
      </c>
      <c r="L29" s="27">
        <f t="shared" si="17"/>
        <v>6.0076842472930492E-2</v>
      </c>
      <c r="M29" s="24">
        <f t="shared" si="17"/>
        <v>5.4102472232174847E-2</v>
      </c>
      <c r="N29" s="34">
        <f t="shared" si="17"/>
        <v>2.1276595744680851E-2</v>
      </c>
      <c r="O29" s="27">
        <f t="shared" ref="O29:P29" si="18">O13/O$14</f>
        <v>4.1898405635891735E-2</v>
      </c>
      <c r="P29" s="31">
        <f t="shared" si="18"/>
        <v>3.4799855751893254E-2</v>
      </c>
      <c r="Q29" s="25">
        <v>2.63E-2</v>
      </c>
      <c r="R29" s="27">
        <v>2.6599999999999999E-2</v>
      </c>
      <c r="S29" s="24">
        <v>2.3900000000000001E-2</v>
      </c>
      <c r="T29" s="25">
        <v>1.78E-2</v>
      </c>
      <c r="U29" s="27">
        <v>1.2800000000000001E-2</v>
      </c>
      <c r="V29" s="24">
        <v>1.29E-2</v>
      </c>
    </row>
    <row r="30" spans="1:22" ht="15.75" thickBo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22" ht="15.75" x14ac:dyDescent="0.25">
      <c r="A31" s="81" t="s">
        <v>33</v>
      </c>
      <c r="B31" s="93" t="s">
        <v>33</v>
      </c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</row>
    <row r="32" spans="1:22" ht="16.5" thickBot="1" x14ac:dyDescent="0.3">
      <c r="A32" s="82"/>
      <c r="B32" s="95" t="s">
        <v>40</v>
      </c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</row>
    <row r="33" spans="1:22" ht="15.75" thickBot="1" x14ac:dyDescent="0.3">
      <c r="A33" s="83"/>
      <c r="B33" s="84" t="s">
        <v>0</v>
      </c>
      <c r="C33" s="85"/>
      <c r="D33" s="86"/>
      <c r="E33" s="87" t="s">
        <v>1</v>
      </c>
      <c r="F33" s="88"/>
      <c r="G33" s="89"/>
      <c r="H33" s="84" t="s">
        <v>2</v>
      </c>
      <c r="I33" s="85"/>
      <c r="J33" s="86"/>
      <c r="K33" s="87" t="s">
        <v>3</v>
      </c>
      <c r="L33" s="88"/>
      <c r="M33" s="89"/>
      <c r="N33" s="84" t="s">
        <v>4</v>
      </c>
      <c r="O33" s="85"/>
      <c r="P33" s="86"/>
      <c r="Q33" s="87" t="s">
        <v>41</v>
      </c>
      <c r="R33" s="88"/>
      <c r="S33" s="89"/>
      <c r="T33" s="84" t="s">
        <v>42</v>
      </c>
      <c r="U33" s="85"/>
      <c r="V33" s="86"/>
    </row>
    <row r="34" spans="1:22" ht="15.75" thickBot="1" x14ac:dyDescent="0.3">
      <c r="A34" s="2" t="s">
        <v>37</v>
      </c>
      <c r="B34" s="40" t="s">
        <v>6</v>
      </c>
      <c r="C34" s="41" t="s">
        <v>7</v>
      </c>
      <c r="D34" s="42" t="s">
        <v>8</v>
      </c>
      <c r="E34" s="43" t="s">
        <v>9</v>
      </c>
      <c r="F34" s="44" t="s">
        <v>10</v>
      </c>
      <c r="G34" s="45" t="s">
        <v>11</v>
      </c>
      <c r="H34" s="40" t="s">
        <v>12</v>
      </c>
      <c r="I34" s="41" t="s">
        <v>13</v>
      </c>
      <c r="J34" s="42" t="s">
        <v>14</v>
      </c>
      <c r="K34" s="43" t="s">
        <v>15</v>
      </c>
      <c r="L34" s="44" t="s">
        <v>16</v>
      </c>
      <c r="M34" s="45" t="s">
        <v>17</v>
      </c>
      <c r="N34" s="40" t="s">
        <v>18</v>
      </c>
      <c r="O34" s="41" t="s">
        <v>19</v>
      </c>
      <c r="P34" s="42" t="s">
        <v>20</v>
      </c>
      <c r="Q34" s="43" t="s">
        <v>43</v>
      </c>
      <c r="R34" s="44" t="s">
        <v>44</v>
      </c>
      <c r="S34" s="45" t="s">
        <v>45</v>
      </c>
      <c r="T34" s="40" t="s">
        <v>46</v>
      </c>
      <c r="U34" s="41" t="s">
        <v>47</v>
      </c>
      <c r="V34" s="46" t="s">
        <v>48</v>
      </c>
    </row>
    <row r="35" spans="1:22" x14ac:dyDescent="0.25">
      <c r="A35" s="11" t="s">
        <v>21</v>
      </c>
      <c r="B35" s="80">
        <v>0.86</v>
      </c>
      <c r="C35" s="80">
        <v>0.68</v>
      </c>
      <c r="D35" s="80">
        <v>0.71</v>
      </c>
      <c r="E35" s="80">
        <v>0.86</v>
      </c>
      <c r="F35" s="80">
        <v>0.7</v>
      </c>
      <c r="G35" s="80">
        <v>0.71</v>
      </c>
      <c r="H35" s="80">
        <v>0.87</v>
      </c>
      <c r="I35" s="80">
        <v>0.73</v>
      </c>
      <c r="J35" s="80">
        <v>0.73</v>
      </c>
      <c r="K35" s="80">
        <v>0.85</v>
      </c>
      <c r="L35" s="80">
        <v>0.74</v>
      </c>
      <c r="M35" s="80">
        <v>0.74</v>
      </c>
      <c r="N35" s="80">
        <v>1</v>
      </c>
      <c r="O35" s="80">
        <v>0.76</v>
      </c>
      <c r="P35" s="80">
        <v>0.74</v>
      </c>
      <c r="Q35" s="15">
        <v>0.83</v>
      </c>
      <c r="R35" s="15">
        <v>0.73</v>
      </c>
      <c r="S35" s="69">
        <v>0.71</v>
      </c>
      <c r="T35" s="70">
        <v>1</v>
      </c>
      <c r="U35" s="70">
        <v>0.7</v>
      </c>
      <c r="V35" s="71">
        <v>0.68</v>
      </c>
    </row>
    <row r="36" spans="1:22" x14ac:dyDescent="0.25">
      <c r="A36" s="12" t="s">
        <v>22</v>
      </c>
      <c r="B36" s="80">
        <v>0.81</v>
      </c>
      <c r="C36" s="80">
        <v>0.61</v>
      </c>
      <c r="D36" s="80">
        <v>0.64</v>
      </c>
      <c r="E36" s="80">
        <v>0.8</v>
      </c>
      <c r="F36" s="80">
        <v>0.64</v>
      </c>
      <c r="G36" s="80">
        <v>0.64</v>
      </c>
      <c r="H36" s="80">
        <v>0.8</v>
      </c>
      <c r="I36" s="80">
        <v>0.67</v>
      </c>
      <c r="J36" s="80">
        <v>0.66</v>
      </c>
      <c r="K36" s="80">
        <v>0.81</v>
      </c>
      <c r="L36" s="80">
        <v>0.69</v>
      </c>
      <c r="M36" s="80">
        <v>0.68</v>
      </c>
      <c r="N36" s="80">
        <v>1</v>
      </c>
      <c r="O36" s="80">
        <v>0.7</v>
      </c>
      <c r="P36" s="80">
        <v>0.67</v>
      </c>
      <c r="Q36" s="15">
        <v>0.87</v>
      </c>
      <c r="R36" s="15">
        <v>0.69</v>
      </c>
      <c r="S36" s="72">
        <v>0.66</v>
      </c>
      <c r="T36" s="73">
        <v>0.94</v>
      </c>
      <c r="U36" s="73">
        <v>0.66</v>
      </c>
      <c r="V36" s="74">
        <v>0.63</v>
      </c>
    </row>
    <row r="37" spans="1:22" x14ac:dyDescent="0.25">
      <c r="A37" s="12" t="s">
        <v>23</v>
      </c>
      <c r="B37" s="80">
        <v>0.75</v>
      </c>
      <c r="C37" s="80">
        <v>0.53</v>
      </c>
      <c r="D37" s="80">
        <v>0.56000000000000005</v>
      </c>
      <c r="E37" s="80">
        <v>0.7</v>
      </c>
      <c r="F37" s="80">
        <v>0.54</v>
      </c>
      <c r="G37" s="80">
        <v>0.57999999999999996</v>
      </c>
      <c r="H37" s="80">
        <v>0.76</v>
      </c>
      <c r="I37" s="80">
        <v>0.6</v>
      </c>
      <c r="J37" s="80">
        <v>0.56999999999999995</v>
      </c>
      <c r="K37" s="80">
        <v>0.71</v>
      </c>
      <c r="L37" s="80">
        <v>0.65</v>
      </c>
      <c r="M37" s="80">
        <v>0.6</v>
      </c>
      <c r="N37" s="80">
        <v>1</v>
      </c>
      <c r="O37" s="80">
        <v>0.65</v>
      </c>
      <c r="P37" s="80">
        <v>0.62</v>
      </c>
      <c r="Q37" s="15">
        <v>0.81</v>
      </c>
      <c r="R37" s="15">
        <v>0.64</v>
      </c>
      <c r="S37" s="72">
        <v>0.55000000000000004</v>
      </c>
      <c r="T37" s="73">
        <v>0.98</v>
      </c>
      <c r="U37" s="73">
        <v>0.53</v>
      </c>
      <c r="V37" s="74">
        <v>0.52</v>
      </c>
    </row>
    <row r="38" spans="1:22" x14ac:dyDescent="0.25">
      <c r="A38" s="12" t="s">
        <v>24</v>
      </c>
      <c r="B38" s="80">
        <v>0.81</v>
      </c>
      <c r="C38" s="80">
        <v>0.74</v>
      </c>
      <c r="D38" s="80">
        <v>0.72</v>
      </c>
      <c r="E38" s="80">
        <v>0.87</v>
      </c>
      <c r="F38" s="80">
        <v>0.75</v>
      </c>
      <c r="G38" s="80">
        <v>0.73</v>
      </c>
      <c r="H38" s="80">
        <v>0.89</v>
      </c>
      <c r="I38" s="80">
        <v>0.75</v>
      </c>
      <c r="J38" s="80">
        <v>0.73</v>
      </c>
      <c r="K38" s="80">
        <v>0.91</v>
      </c>
      <c r="L38" s="80">
        <v>0.79</v>
      </c>
      <c r="M38" s="80">
        <v>0.78</v>
      </c>
      <c r="N38" s="80">
        <v>1</v>
      </c>
      <c r="O38" s="80">
        <v>0.8</v>
      </c>
      <c r="P38" s="80">
        <v>0.8</v>
      </c>
      <c r="Q38" s="15">
        <v>0.8</v>
      </c>
      <c r="R38" s="15">
        <v>0.75</v>
      </c>
      <c r="S38" s="72">
        <v>0.8</v>
      </c>
      <c r="T38" s="73"/>
      <c r="U38" s="73">
        <v>0.76</v>
      </c>
      <c r="V38" s="74">
        <v>0.78</v>
      </c>
    </row>
    <row r="39" spans="1:22" x14ac:dyDescent="0.25">
      <c r="A39" s="12" t="s">
        <v>25</v>
      </c>
      <c r="B39" s="80">
        <v>0.77</v>
      </c>
      <c r="C39" s="80">
        <v>0.56999999999999995</v>
      </c>
      <c r="D39" s="80">
        <v>0.59</v>
      </c>
      <c r="E39" s="80">
        <v>0.8</v>
      </c>
      <c r="F39" s="80">
        <v>0.61</v>
      </c>
      <c r="G39" s="80">
        <v>0.62</v>
      </c>
      <c r="H39" s="80">
        <v>0.68</v>
      </c>
      <c r="I39" s="80">
        <v>0.64</v>
      </c>
      <c r="J39" s="80">
        <v>0.67</v>
      </c>
      <c r="K39" s="80">
        <v>1</v>
      </c>
      <c r="L39" s="80">
        <v>0.65</v>
      </c>
      <c r="M39" s="80">
        <v>0.71</v>
      </c>
      <c r="N39" s="80"/>
      <c r="O39" s="80">
        <v>0.73</v>
      </c>
      <c r="P39" s="80">
        <v>0.64</v>
      </c>
      <c r="Q39" s="15">
        <v>0.67</v>
      </c>
      <c r="R39" s="15">
        <v>0.6</v>
      </c>
      <c r="S39" s="72">
        <v>0.67</v>
      </c>
      <c r="T39" s="73"/>
      <c r="U39" s="73">
        <v>0.61</v>
      </c>
      <c r="V39" s="74">
        <v>0.55000000000000004</v>
      </c>
    </row>
    <row r="40" spans="1:22" x14ac:dyDescent="0.25">
      <c r="A40" s="12" t="s">
        <v>26</v>
      </c>
      <c r="B40" s="80">
        <v>0.85</v>
      </c>
      <c r="C40" s="80">
        <v>0.69</v>
      </c>
      <c r="D40" s="80">
        <v>0.7</v>
      </c>
      <c r="E40" s="80">
        <v>0.86</v>
      </c>
      <c r="F40" s="80">
        <v>0.72</v>
      </c>
      <c r="G40" s="80">
        <v>0.74</v>
      </c>
      <c r="H40" s="80">
        <v>0.87</v>
      </c>
      <c r="I40" s="80">
        <v>0.73</v>
      </c>
      <c r="J40" s="80">
        <v>0.69</v>
      </c>
      <c r="K40" s="80">
        <v>0.9</v>
      </c>
      <c r="L40" s="80">
        <v>0.77</v>
      </c>
      <c r="M40" s="80">
        <v>0.77</v>
      </c>
      <c r="N40" s="80"/>
      <c r="O40" s="80">
        <v>0.79</v>
      </c>
      <c r="P40" s="80">
        <v>0.79</v>
      </c>
      <c r="Q40" s="15">
        <v>0.95</v>
      </c>
      <c r="R40" s="15">
        <v>0.8</v>
      </c>
      <c r="S40" s="72">
        <v>0.7</v>
      </c>
      <c r="T40" s="73">
        <v>1</v>
      </c>
      <c r="U40" s="73">
        <v>0.77</v>
      </c>
      <c r="V40" s="74">
        <v>0.81</v>
      </c>
    </row>
    <row r="41" spans="1:22" x14ac:dyDescent="0.25">
      <c r="A41" s="12" t="s">
        <v>27</v>
      </c>
      <c r="B41" s="80">
        <v>0.73</v>
      </c>
      <c r="C41" s="80">
        <v>0.66</v>
      </c>
      <c r="D41" s="80">
        <v>0.66</v>
      </c>
      <c r="E41" s="80">
        <v>0.79</v>
      </c>
      <c r="F41" s="80">
        <v>0.63</v>
      </c>
      <c r="G41" s="80">
        <v>0.64</v>
      </c>
      <c r="H41" s="80">
        <v>1</v>
      </c>
      <c r="I41" s="80">
        <v>0.63</v>
      </c>
      <c r="J41" s="80">
        <v>0.74</v>
      </c>
      <c r="K41" s="80">
        <v>0.71</v>
      </c>
      <c r="L41" s="80">
        <v>0.67</v>
      </c>
      <c r="M41" s="80">
        <v>0.71</v>
      </c>
      <c r="N41" s="80"/>
      <c r="O41" s="80">
        <v>0.59</v>
      </c>
      <c r="P41" s="80">
        <v>0.64</v>
      </c>
      <c r="Q41" s="15">
        <v>1</v>
      </c>
      <c r="R41" s="15">
        <v>0.6</v>
      </c>
      <c r="S41" s="72">
        <v>0.77</v>
      </c>
      <c r="T41" s="73">
        <v>1</v>
      </c>
      <c r="U41" s="73">
        <v>0.6</v>
      </c>
      <c r="V41" s="74">
        <v>0.65</v>
      </c>
    </row>
    <row r="42" spans="1:22" x14ac:dyDescent="0.25">
      <c r="A42" s="12" t="s">
        <v>28</v>
      </c>
      <c r="B42" s="80">
        <v>0.68</v>
      </c>
      <c r="C42" s="80">
        <v>0.55000000000000004</v>
      </c>
      <c r="D42" s="80">
        <v>0.65</v>
      </c>
      <c r="E42" s="80">
        <v>0.69</v>
      </c>
      <c r="F42" s="80">
        <v>0.49</v>
      </c>
      <c r="G42" s="80">
        <v>0.53</v>
      </c>
      <c r="H42" s="80">
        <v>0.87</v>
      </c>
      <c r="I42" s="80">
        <v>0.66</v>
      </c>
      <c r="J42" s="80">
        <v>0.65</v>
      </c>
      <c r="K42" s="80">
        <v>0.94</v>
      </c>
      <c r="L42" s="80">
        <v>0.7</v>
      </c>
      <c r="M42" s="80">
        <v>0.7</v>
      </c>
      <c r="N42" s="80">
        <v>1</v>
      </c>
      <c r="O42" s="80">
        <v>0.71</v>
      </c>
      <c r="P42" s="80">
        <v>0.66</v>
      </c>
      <c r="Q42" s="15">
        <v>0.93</v>
      </c>
      <c r="R42" s="15">
        <v>0.66</v>
      </c>
      <c r="S42" s="72">
        <v>0.6</v>
      </c>
      <c r="T42" s="73">
        <v>1</v>
      </c>
      <c r="U42" s="73">
        <v>0.66</v>
      </c>
      <c r="V42" s="74">
        <v>0.63</v>
      </c>
    </row>
    <row r="43" spans="1:22" ht="15.75" thickBot="1" x14ac:dyDescent="0.3">
      <c r="A43" s="13" t="s">
        <v>29</v>
      </c>
      <c r="B43" s="36">
        <v>0.83</v>
      </c>
      <c r="C43" s="36">
        <v>0.67</v>
      </c>
      <c r="D43" s="36">
        <v>0.71</v>
      </c>
      <c r="E43" s="36">
        <v>0.86</v>
      </c>
      <c r="F43" s="36">
        <v>0.7</v>
      </c>
      <c r="G43" s="36">
        <v>0.71</v>
      </c>
      <c r="H43" s="36">
        <v>0.86</v>
      </c>
      <c r="I43" s="36">
        <v>0.72</v>
      </c>
      <c r="J43" s="36">
        <v>0.71</v>
      </c>
      <c r="K43" s="36">
        <v>0.79</v>
      </c>
      <c r="L43" s="36">
        <v>0.73</v>
      </c>
      <c r="M43" s="36">
        <v>0.76</v>
      </c>
      <c r="N43" s="36">
        <v>1</v>
      </c>
      <c r="O43" s="36">
        <v>0.76</v>
      </c>
      <c r="P43" s="36">
        <v>0.77</v>
      </c>
      <c r="Q43" s="36">
        <v>0.76</v>
      </c>
      <c r="R43" s="36">
        <v>0.72</v>
      </c>
      <c r="S43" s="75">
        <v>0.69</v>
      </c>
      <c r="T43" s="76">
        <v>1</v>
      </c>
      <c r="U43" s="76">
        <v>0.67</v>
      </c>
      <c r="V43" s="77">
        <v>0.6</v>
      </c>
    </row>
    <row r="44" spans="1:22" ht="15.75" thickBot="1" x14ac:dyDescent="0.3">
      <c r="A44" s="14" t="s">
        <v>34</v>
      </c>
      <c r="B44" s="35">
        <v>0.83</v>
      </c>
      <c r="C44" s="35">
        <v>0.65</v>
      </c>
      <c r="D44" s="35">
        <v>0.68</v>
      </c>
      <c r="E44" s="35">
        <v>0.83</v>
      </c>
      <c r="F44" s="35">
        <v>0.68</v>
      </c>
      <c r="G44" s="35">
        <v>0.68</v>
      </c>
      <c r="H44" s="35">
        <v>0.84</v>
      </c>
      <c r="I44" s="35">
        <v>0.7</v>
      </c>
      <c r="J44" s="35">
        <v>0.69</v>
      </c>
      <c r="K44" s="35">
        <v>0.83</v>
      </c>
      <c r="L44" s="35">
        <v>0.72</v>
      </c>
      <c r="M44" s="35">
        <v>0.71</v>
      </c>
      <c r="N44" s="35">
        <v>1</v>
      </c>
      <c r="O44" s="35">
        <v>0.73</v>
      </c>
      <c r="P44" s="35">
        <v>0.71</v>
      </c>
      <c r="Q44" s="35">
        <v>0.85</v>
      </c>
      <c r="R44" s="35">
        <v>0.7</v>
      </c>
      <c r="S44" s="35">
        <v>0.67</v>
      </c>
      <c r="T44" s="35">
        <v>0.97</v>
      </c>
      <c r="U44" s="35">
        <v>0.66</v>
      </c>
      <c r="V44" s="102">
        <v>0.64</v>
      </c>
    </row>
    <row r="45" spans="1:22" x14ac:dyDescent="0.25">
      <c r="A45" s="16" t="s">
        <v>36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22" x14ac:dyDescent="0.25">
      <c r="A46" s="26" t="s">
        <v>39</v>
      </c>
    </row>
    <row r="52" spans="1:16" x14ac:dyDescent="0.25">
      <c r="A52" s="1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1"/>
      <c r="O52" s="8"/>
      <c r="P52" s="1"/>
    </row>
    <row r="53" spans="1:16" x14ac:dyDescent="0.25">
      <c r="A53" s="1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 spans="1:16" x14ac:dyDescent="0.25">
      <c r="A54" s="1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1"/>
    </row>
    <row r="56" spans="1:16" x14ac:dyDescent="0.25">
      <c r="A56" s="1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"/>
    </row>
    <row r="57" spans="1:16" x14ac:dyDescent="0.25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1"/>
    </row>
  </sheetData>
  <mergeCells count="37">
    <mergeCell ref="Q33:S33"/>
    <mergeCell ref="T33:V33"/>
    <mergeCell ref="B31:V31"/>
    <mergeCell ref="B32:V32"/>
    <mergeCell ref="B18:V18"/>
    <mergeCell ref="N33:P33"/>
    <mergeCell ref="Q15:S15"/>
    <mergeCell ref="T3:V3"/>
    <mergeCell ref="T15:V15"/>
    <mergeCell ref="Q19:S19"/>
    <mergeCell ref="T19:V19"/>
    <mergeCell ref="B17:V17"/>
    <mergeCell ref="B3:D3"/>
    <mergeCell ref="N3:P3"/>
    <mergeCell ref="N19:P19"/>
    <mergeCell ref="B15:D15"/>
    <mergeCell ref="E15:G15"/>
    <mergeCell ref="H15:J15"/>
    <mergeCell ref="K15:M15"/>
    <mergeCell ref="N15:P15"/>
    <mergeCell ref="A1:A3"/>
    <mergeCell ref="K3:M3"/>
    <mergeCell ref="E3:G3"/>
    <mergeCell ref="H3:J3"/>
    <mergeCell ref="B1:V1"/>
    <mergeCell ref="B2:V2"/>
    <mergeCell ref="Q3:S3"/>
    <mergeCell ref="A17:A19"/>
    <mergeCell ref="B19:D19"/>
    <mergeCell ref="E19:G19"/>
    <mergeCell ref="H19:J19"/>
    <mergeCell ref="K19:M19"/>
    <mergeCell ref="A31:A33"/>
    <mergeCell ref="B33:D33"/>
    <mergeCell ref="E33:G33"/>
    <mergeCell ref="H33:J33"/>
    <mergeCell ref="K33:M3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1107DE-649F-42BB-9A23-CA5ED35423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BB7456-7ABF-4BF1-A246-CF72BB67326C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sharepoint/v3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E477DBF-5A68-43C1-A431-4708EA7398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Totals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LIVE.sjc.ethnicity</dc:title>
  <dc:creator>nmesaris</dc:creator>
  <cp:lastModifiedBy>Wesley Klein</cp:lastModifiedBy>
  <dcterms:created xsi:type="dcterms:W3CDTF">2012-03-22T20:23:25Z</dcterms:created>
  <dcterms:modified xsi:type="dcterms:W3CDTF">2014-07-22T16:55:27Z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