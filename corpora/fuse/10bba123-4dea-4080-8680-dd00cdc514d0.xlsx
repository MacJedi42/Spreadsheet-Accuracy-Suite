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105" yWindow="870" windowWidth="15930" windowHeight="8925"/>
  </bookViews>
  <sheets>
    <sheet name="State Enrollment" sheetId="1" r:id="rId1"/>
  </sheets>
  <definedNames>
    <definedName name="_xlnm.Print_Area" localSheetId="0">'State Enrollment'!$A$1:$M$63</definedName>
  </definedNames>
  <calcPr calcId="145621"/>
</workbook>
</file>

<file path=xl/calcChain.xml><?xml version="1.0" encoding="utf-8"?>
<calcChain xmlns="http://schemas.openxmlformats.org/spreadsheetml/2006/main">
  <c r="F44" i="1" l="1"/>
  <c r="E44" i="1"/>
  <c r="J45" i="1"/>
  <c r="L44" i="1"/>
  <c r="L42" i="1"/>
  <c r="I44" i="1"/>
  <c r="J44" i="1" s="1"/>
  <c r="I42" i="1"/>
  <c r="J42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45" i="1"/>
  <c r="F42" i="1"/>
  <c r="L41" i="1"/>
  <c r="I41" i="1"/>
  <c r="J41" i="1" s="1"/>
  <c r="E41" i="1"/>
  <c r="F41" i="1" s="1"/>
  <c r="L40" i="1"/>
  <c r="E40" i="1"/>
  <c r="F40" i="1"/>
  <c r="E39" i="1"/>
  <c r="F39" i="1"/>
  <c r="L39" i="1"/>
  <c r="L38" i="1"/>
  <c r="D45" i="1"/>
  <c r="D46" i="1" s="1"/>
  <c r="E46" i="1" s="1"/>
  <c r="D47" i="1" l="1"/>
  <c r="L46" i="1"/>
  <c r="L45" i="1"/>
  <c r="E45" i="1"/>
  <c r="D48" i="1" l="1"/>
  <c r="E47" i="1"/>
  <c r="L47" i="1"/>
  <c r="E48" i="1" l="1"/>
  <c r="D49" i="1"/>
  <c r="L48" i="1"/>
  <c r="D50" i="1" l="1"/>
  <c r="E49" i="1"/>
  <c r="L49" i="1"/>
  <c r="E50" i="1" l="1"/>
  <c r="D51" i="1"/>
  <c r="L50" i="1"/>
  <c r="D52" i="1" l="1"/>
  <c r="E51" i="1"/>
  <c r="L51" i="1"/>
  <c r="E52" i="1" l="1"/>
  <c r="D53" i="1"/>
  <c r="E53" i="1" s="1"/>
  <c r="L52" i="1"/>
  <c r="L53" i="1" l="1"/>
</calcChain>
</file>

<file path=xl/sharedStrings.xml><?xml version="1.0" encoding="utf-8"?>
<sst xmlns="http://schemas.openxmlformats.org/spreadsheetml/2006/main" count="80" uniqueCount="32">
  <si>
    <t>Utah</t>
  </si>
  <si>
    <t>October 1</t>
  </si>
  <si>
    <t>Annual</t>
  </si>
  <si>
    <t>Percent</t>
  </si>
  <si>
    <t>July 1</t>
  </si>
  <si>
    <t>Enrollment/</t>
  </si>
  <si>
    <t>Source</t>
  </si>
  <si>
    <t>Year</t>
  </si>
  <si>
    <t>Enrollment</t>
  </si>
  <si>
    <t>Change</t>
  </si>
  <si>
    <t>State Pop</t>
  </si>
  <si>
    <t>Population</t>
  </si>
  <si>
    <t>Projected</t>
  </si>
  <si>
    <t>[1]</t>
  </si>
  <si>
    <t>[2]</t>
  </si>
  <si>
    <t>[3]</t>
  </si>
  <si>
    <t>[4]</t>
  </si>
  <si>
    <t>[5]</t>
  </si>
  <si>
    <t>State Public School Enrollment and Population</t>
  </si>
  <si>
    <t xml:space="preserve">Implied school age (5-17) growth rates @ http://governor.utah.gov/dea/ERG/ERG2008/Selected%20Age.xls (Row 1217) </t>
  </si>
  <si>
    <t>1,2</t>
  </si>
  <si>
    <t>3,5</t>
  </si>
  <si>
    <t>4,5</t>
  </si>
  <si>
    <t>PROJECTIONS</t>
  </si>
  <si>
    <t>GOPB @ http://governor.utah.gov/dea/ERG/ERG2008/Population%20by%20Area%20and%20Component.xls (tab "Population" row 42),</t>
  </si>
  <si>
    <t>SOURCES</t>
  </si>
  <si>
    <t>Utah State Office of Education, October 2011 Clearinghouse student unit record collection</t>
  </si>
  <si>
    <t>1976-2011 and Projected 2012-2021</t>
  </si>
  <si>
    <t>Common Data Committee (county-level single-year enrollment projections model), Nov 1 2011</t>
  </si>
  <si>
    <t>Governor's Office of Planning and Budget (GOPB), January 2008, retrieved Nov 5 2011:</t>
  </si>
  <si>
    <t>retrieved Nov 17 2011</t>
  </si>
  <si>
    <t>Utah Population Estimates Committee @ http://governor.utah.gov/dea/projections.html/PopulationbyAreaandComponent.xls, retrieved Nov 15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</si>
</sst>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9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165" fontId="4" fillId="0" borderId="0" xfId="1" applyNumberFormat="1" applyFont="1" applyFill="1" applyBorder="1"/>
    <xf numFmtId="0" fontId="4" fillId="0" borderId="0" xfId="3" applyFont="1" applyFill="1" applyBorder="1"/>
    <xf numFmtId="164" fontId="4" fillId="0" borderId="0" xfId="5" applyNumberFormat="1" applyFont="1" applyFill="1" applyBorder="1"/>
    <xf numFmtId="49" fontId="4" fillId="0" borderId="0" xfId="3" applyNumberFormat="1" applyFont="1" applyFill="1" applyBorder="1" applyAlignment="1">
      <alignment horizontal="center"/>
    </xf>
    <xf numFmtId="0" fontId="7" fillId="0" borderId="0" xfId="3" applyFont="1" applyFill="1" applyBorder="1"/>
    <xf numFmtId="0" fontId="5" fillId="0" borderId="0" xfId="3" applyFont="1" applyFill="1" applyBorder="1"/>
    <xf numFmtId="0" fontId="5" fillId="0" borderId="0" xfId="3" applyFont="1" applyFill="1" applyBorder="1" applyAlignment="1">
      <alignment horizontal="center"/>
    </xf>
    <xf numFmtId="49" fontId="5" fillId="0" borderId="0" xfId="3" applyNumberFormat="1" applyFont="1" applyFill="1" applyBorder="1" applyAlignment="1">
      <alignment horizontal="center"/>
    </xf>
    <xf numFmtId="0" fontId="4" fillId="0" borderId="0" xfId="3" applyFont="1" applyFill="1" applyBorder="1" applyAlignment="1">
      <alignment horizontal="center"/>
    </xf>
    <xf numFmtId="0" fontId="5" fillId="0" borderId="0" xfId="3" applyFont="1" applyFill="1" applyBorder="1" applyAlignment="1">
      <alignment horizontal="centerContinuous"/>
    </xf>
    <xf numFmtId="164" fontId="4" fillId="0" borderId="0" xfId="3" applyNumberFormat="1" applyFont="1" applyFill="1" applyBorder="1"/>
    <xf numFmtId="37" fontId="4" fillId="0" borderId="0" xfId="1" applyNumberFormat="1" applyFont="1" applyFill="1" applyBorder="1"/>
    <xf numFmtId="0" fontId="3" fillId="0" borderId="0" xfId="3" applyFont="1" applyFill="1" applyBorder="1" applyAlignment="1">
      <alignment horizontal="centerContinuous" wrapText="1"/>
    </xf>
    <xf numFmtId="0" fontId="4" fillId="0" borderId="0" xfId="3" applyFont="1" applyFill="1" applyBorder="1" applyAlignment="1">
      <alignment horizontal="centerContinuous" vertical="center" wrapText="1"/>
    </xf>
    <xf numFmtId="0" fontId="3" fillId="0" borderId="0" xfId="3" applyFont="1" applyFill="1" applyBorder="1" applyAlignment="1">
      <alignment horizontal="centerContinuous"/>
    </xf>
    <xf numFmtId="49" fontId="5" fillId="0" borderId="0" xfId="3" applyNumberFormat="1" applyFont="1" applyFill="1" applyBorder="1" applyAlignment="1">
      <alignment horizontal="centerContinuous"/>
    </xf>
    <xf numFmtId="164" fontId="4" fillId="0" borderId="0" xfId="0" applyNumberFormat="1" applyFont="1" applyFill="1" applyBorder="1"/>
    <xf numFmtId="164" fontId="0" fillId="0" borderId="0" xfId="0" applyNumberFormat="1" applyBorder="1"/>
    <xf numFmtId="0" fontId="8" fillId="0" borderId="0" xfId="3" applyFont="1" applyFill="1" applyBorder="1" applyAlignment="1">
      <alignment horizontal="center"/>
    </xf>
    <xf numFmtId="0" fontId="8" fillId="0" borderId="0" xfId="3" applyFont="1" applyFill="1" applyBorder="1"/>
    <xf numFmtId="0" fontId="4" fillId="0" borderId="1" xfId="3" applyFont="1" applyFill="1" applyBorder="1" applyAlignment="1">
      <alignment horizontal="center"/>
    </xf>
    <xf numFmtId="49" fontId="5" fillId="0" borderId="1" xfId="3" applyNumberFormat="1" applyFont="1" applyFill="1" applyBorder="1" applyAlignment="1">
      <alignment horizontal="center"/>
    </xf>
    <xf numFmtId="165" fontId="4" fillId="0" borderId="1" xfId="1" applyNumberFormat="1" applyFont="1" applyFill="1" applyBorder="1"/>
    <xf numFmtId="165" fontId="4" fillId="0" borderId="1" xfId="1" applyNumberFormat="1" applyFont="1" applyFill="1" applyBorder="1" applyAlignment="1">
      <alignment horizontal="right"/>
    </xf>
    <xf numFmtId="164" fontId="4" fillId="0" borderId="1" xfId="5" applyNumberFormat="1" applyFont="1" applyFill="1" applyBorder="1" applyAlignment="1">
      <alignment horizontal="right"/>
    </xf>
    <xf numFmtId="164" fontId="4" fillId="0" borderId="1" xfId="5" applyNumberFormat="1" applyFont="1" applyFill="1" applyBorder="1"/>
    <xf numFmtId="164" fontId="4" fillId="0" borderId="1" xfId="3" applyNumberFormat="1" applyFont="1" applyFill="1" applyBorder="1" applyAlignment="1">
      <alignment horizontal="right"/>
    </xf>
    <xf numFmtId="0" fontId="0" fillId="0" borderId="0" xfId="0" quotePrefix="1" applyNumberFormat="1"/>
    <xf numFmtId="0" fontId="2" fillId="0" borderId="0" xfId="3" applyFont="1" applyFill="1" applyBorder="1"/>
    <xf numFmtId="0" fontId="2" fillId="0" borderId="0" xfId="3" applyFont="1" applyFill="1" applyBorder="1" applyAlignment="1">
      <alignment horizontal="centerContinuous"/>
    </xf>
    <xf numFmtId="0" fontId="0" fillId="0" borderId="0" xfId="0" quotePrefix="1" applyNumberFormat="1" applyFill="1"/>
    <xf numFmtId="3" fontId="4" fillId="0" borderId="0" xfId="4" quotePrefix="1" applyNumberFormat="1" applyFont="1" applyFill="1" applyBorder="1"/>
    <xf numFmtId="3" fontId="0" fillId="0" borderId="0" xfId="0" quotePrefix="1" applyNumberFormat="1" applyFill="1"/>
    <xf numFmtId="3" fontId="4" fillId="0" borderId="0" xfId="1" applyNumberFormat="1" applyFont="1" applyFill="1" applyBorder="1"/>
    <xf numFmtId="0" fontId="5" fillId="0" borderId="0" xfId="3" applyNumberFormat="1" applyFont="1" applyFill="1" applyBorder="1" applyAlignment="1">
      <alignment horizontal="center"/>
    </xf>
    <xf numFmtId="0" fontId="6" fillId="0" borderId="0" xfId="3" applyFont="1" applyFill="1" applyBorder="1" applyAlignment="1">
      <alignment horizontal="left" indent="1"/>
    </xf>
  </cellXfs>
  <cellStyles count="6">
    <cellStyle name="Comma_2006 Charts_6" xfId="1"/>
    <cellStyle name="Fixed" xfId="2"/>
    <cellStyle name="Normal" xfId="0" builtinId="0"/>
    <cellStyle name="Normal_2006 Charts_6" xfId="3"/>
    <cellStyle name="Normal_School Age Pop" xfId="4"/>
    <cellStyle name="Percent_2006 Charts_6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B69"/>
  <sheetViews>
    <sheetView tabSelected="1" zoomScaleNormal="100" workbookViewId="0">
      <pane ySplit="6" topLeftCell="A7" activePane="bottomLeft" state="frozen"/>
      <selection pane="bottomLeft" activeCell="C57" sqref="C57"/>
    </sheetView>
  </sheetViews>
  <sheetFormatPr defaultRowHeight="12.75" x14ac:dyDescent="0.2"/>
  <cols>
    <col min="1" max="1" width="9.140625" style="2"/>
    <col min="2" max="2" width="7" style="2" customWidth="1"/>
    <col min="3" max="3" width="9.42578125" style="2" customWidth="1"/>
    <col min="4" max="4" width="11.28515625" style="2" bestFit="1" customWidth="1"/>
    <col min="5" max="5" width="11.28515625" style="2" customWidth="1"/>
    <col min="6" max="6" width="9.140625" style="2"/>
    <col min="7" max="7" width="1.7109375" style="2" customWidth="1"/>
    <col min="8" max="8" width="12.85546875" style="2" bestFit="1" customWidth="1"/>
    <col min="9" max="9" width="11.28515625" style="2" customWidth="1"/>
    <col min="10" max="10" width="9.140625" style="2"/>
    <col min="11" max="11" width="1.7109375" style="2" customWidth="1"/>
    <col min="12" max="12" width="11.140625" style="2" customWidth="1"/>
    <col min="13" max="16384" width="9.140625" style="2"/>
  </cols>
  <sheetData>
    <row r="1" spans="2:13" ht="15.75" x14ac:dyDescent="0.25">
      <c r="B1" s="13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3" ht="15.75" x14ac:dyDescent="0.25">
      <c r="B2" s="15" t="s">
        <v>18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2:13" ht="15.75" x14ac:dyDescent="0.25">
      <c r="B3" s="15" t="s">
        <v>27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2:13" ht="15.75" x14ac:dyDescent="0.25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2:13" x14ac:dyDescent="0.2">
      <c r="B5" s="6"/>
      <c r="C5" s="7"/>
      <c r="D5" s="8" t="s">
        <v>1</v>
      </c>
      <c r="E5" s="7" t="s">
        <v>2</v>
      </c>
      <c r="F5" s="7" t="s">
        <v>3</v>
      </c>
      <c r="G5" s="7"/>
      <c r="H5" s="7" t="s">
        <v>4</v>
      </c>
      <c r="I5" s="7" t="s">
        <v>2</v>
      </c>
      <c r="J5" s="7" t="s">
        <v>3</v>
      </c>
      <c r="K5" s="7"/>
      <c r="L5" s="7" t="s">
        <v>5</v>
      </c>
      <c r="M5" s="9"/>
    </row>
    <row r="6" spans="2:13" x14ac:dyDescent="0.2">
      <c r="B6" s="7" t="s">
        <v>6</v>
      </c>
      <c r="C6" s="8" t="s">
        <v>7</v>
      </c>
      <c r="D6" s="7" t="s">
        <v>8</v>
      </c>
      <c r="E6" s="7" t="s">
        <v>9</v>
      </c>
      <c r="F6" s="7" t="s">
        <v>9</v>
      </c>
      <c r="G6" s="7"/>
      <c r="H6" s="7" t="s">
        <v>10</v>
      </c>
      <c r="I6" s="7" t="s">
        <v>9</v>
      </c>
      <c r="J6" s="7" t="s">
        <v>9</v>
      </c>
      <c r="K6" s="7"/>
      <c r="L6" s="7" t="s">
        <v>11</v>
      </c>
      <c r="M6" s="9"/>
    </row>
    <row r="7" spans="2:13" x14ac:dyDescent="0.2">
      <c r="B7" s="21" t="s">
        <v>20</v>
      </c>
      <c r="C7" s="22">
        <v>1976</v>
      </c>
      <c r="D7" s="23">
        <v>314471</v>
      </c>
      <c r="E7" s="24"/>
      <c r="F7" s="25"/>
      <c r="G7" s="26"/>
      <c r="H7" s="23">
        <v>1272050</v>
      </c>
      <c r="I7" s="24"/>
      <c r="J7" s="27"/>
      <c r="K7" s="27"/>
      <c r="L7" s="26">
        <v>0.24721591132424039</v>
      </c>
    </row>
    <row r="8" spans="2:13" x14ac:dyDescent="0.2">
      <c r="B8" s="9" t="s">
        <v>20</v>
      </c>
      <c r="C8" s="8">
        <v>1977</v>
      </c>
      <c r="D8" s="1">
        <v>317308</v>
      </c>
      <c r="E8" s="1">
        <v>2837</v>
      </c>
      <c r="F8" s="3">
        <v>9.021499597737152E-3</v>
      </c>
      <c r="G8" s="3"/>
      <c r="H8" s="1">
        <v>1315950</v>
      </c>
      <c r="I8" s="1">
        <v>43900</v>
      </c>
      <c r="J8" s="3">
        <v>3.4511222043158679E-2</v>
      </c>
      <c r="K8" s="11"/>
      <c r="L8" s="3">
        <v>0.24112466279113948</v>
      </c>
    </row>
    <row r="9" spans="2:13" x14ac:dyDescent="0.2">
      <c r="B9" s="9" t="s">
        <v>20</v>
      </c>
      <c r="C9" s="8">
        <v>1978</v>
      </c>
      <c r="D9" s="1">
        <v>324468</v>
      </c>
      <c r="E9" s="1">
        <v>7160</v>
      </c>
      <c r="F9" s="3">
        <v>2.2564826603804506E-2</v>
      </c>
      <c r="G9" s="3"/>
      <c r="H9" s="1">
        <v>1363750</v>
      </c>
      <c r="I9" s="1">
        <v>47800</v>
      </c>
      <c r="J9" s="3">
        <v>3.6323568524639992E-2</v>
      </c>
      <c r="K9" s="11"/>
      <c r="L9" s="3">
        <v>0.23792337305224565</v>
      </c>
    </row>
    <row r="10" spans="2:13" x14ac:dyDescent="0.2">
      <c r="B10" s="9" t="s">
        <v>20</v>
      </c>
      <c r="C10" s="8">
        <v>1979</v>
      </c>
      <c r="D10" s="1">
        <v>332575</v>
      </c>
      <c r="E10" s="1">
        <v>8107</v>
      </c>
      <c r="F10" s="3">
        <v>2.4985514750298952E-2</v>
      </c>
      <c r="G10" s="3"/>
      <c r="H10" s="1">
        <v>1415950</v>
      </c>
      <c r="I10" s="1">
        <v>52200</v>
      </c>
      <c r="J10" s="3">
        <v>3.827681026581118E-2</v>
      </c>
      <c r="K10" s="11"/>
      <c r="L10" s="3">
        <v>0.23487764398460398</v>
      </c>
    </row>
    <row r="11" spans="2:13" x14ac:dyDescent="0.2">
      <c r="B11" s="9" t="s">
        <v>20</v>
      </c>
      <c r="C11" s="8">
        <v>1980</v>
      </c>
      <c r="D11" s="1">
        <v>342885</v>
      </c>
      <c r="E11" s="1">
        <v>10310</v>
      </c>
      <c r="F11" s="3">
        <v>3.1000526197098401E-2</v>
      </c>
      <c r="G11" s="3"/>
      <c r="H11" s="1">
        <v>1474000</v>
      </c>
      <c r="I11" s="1">
        <v>58050</v>
      </c>
      <c r="J11" s="3">
        <v>4.0997210353472931E-2</v>
      </c>
      <c r="K11" s="11"/>
      <c r="L11" s="3">
        <v>0.23262211668928087</v>
      </c>
    </row>
    <row r="12" spans="2:13" x14ac:dyDescent="0.2">
      <c r="B12" s="9" t="s">
        <v>20</v>
      </c>
      <c r="C12" s="8">
        <v>1981</v>
      </c>
      <c r="D12" s="1">
        <v>354540</v>
      </c>
      <c r="E12" s="1">
        <v>11655</v>
      </c>
      <c r="F12" s="3">
        <v>3.3990988232206136E-2</v>
      </c>
      <c r="G12" s="3"/>
      <c r="H12" s="1">
        <v>1515000</v>
      </c>
      <c r="I12" s="1">
        <v>41000</v>
      </c>
      <c r="J12" s="3">
        <v>2.7815468113975575E-2</v>
      </c>
      <c r="K12" s="11"/>
      <c r="L12" s="3">
        <v>0.23401980198019803</v>
      </c>
    </row>
    <row r="13" spans="2:13" x14ac:dyDescent="0.2">
      <c r="B13" s="9" t="s">
        <v>20</v>
      </c>
      <c r="C13" s="8">
        <v>1982</v>
      </c>
      <c r="D13" s="1">
        <v>369338</v>
      </c>
      <c r="E13" s="1">
        <v>14798</v>
      </c>
      <c r="F13" s="3">
        <v>4.1738590850115644E-2</v>
      </c>
      <c r="G13" s="3"/>
      <c r="H13" s="1">
        <v>1558000</v>
      </c>
      <c r="I13" s="1">
        <v>43000</v>
      </c>
      <c r="J13" s="3">
        <v>2.8382838283828381E-2</v>
      </c>
      <c r="K13" s="11"/>
      <c r="L13" s="3">
        <v>0.23705905006418485</v>
      </c>
    </row>
    <row r="14" spans="2:13" x14ac:dyDescent="0.2">
      <c r="B14" s="9" t="s">
        <v>20</v>
      </c>
      <c r="C14" s="8">
        <v>1983</v>
      </c>
      <c r="D14" s="1">
        <v>378208</v>
      </c>
      <c r="E14" s="1">
        <v>8870</v>
      </c>
      <c r="F14" s="3">
        <v>2.4015942036833469E-2</v>
      </c>
      <c r="G14" s="3"/>
      <c r="H14" s="1">
        <v>1595000</v>
      </c>
      <c r="I14" s="1">
        <v>37000</v>
      </c>
      <c r="J14" s="3">
        <v>2.3748395378690629E-2</v>
      </c>
      <c r="K14" s="11"/>
      <c r="L14" s="3">
        <v>0.23712100313479623</v>
      </c>
    </row>
    <row r="15" spans="2:13" x14ac:dyDescent="0.2">
      <c r="B15" s="9" t="s">
        <v>20</v>
      </c>
      <c r="C15" s="8">
        <v>1984</v>
      </c>
      <c r="D15" s="1">
        <v>390141</v>
      </c>
      <c r="E15" s="1">
        <v>11933</v>
      </c>
      <c r="F15" s="3">
        <v>3.1551421440054149E-2</v>
      </c>
      <c r="G15" s="3"/>
      <c r="H15" s="1">
        <v>1622000</v>
      </c>
      <c r="I15" s="1">
        <v>27000</v>
      </c>
      <c r="J15" s="3">
        <v>1.6927899686520375E-2</v>
      </c>
      <c r="K15" s="11"/>
      <c r="L15" s="3">
        <v>0.2405308261405672</v>
      </c>
    </row>
    <row r="16" spans="2:13" x14ac:dyDescent="0.2">
      <c r="B16" s="9" t="s">
        <v>20</v>
      </c>
      <c r="C16" s="8">
        <v>1985</v>
      </c>
      <c r="D16" s="1">
        <v>403305</v>
      </c>
      <c r="E16" s="1">
        <v>13164</v>
      </c>
      <c r="F16" s="3">
        <v>3.3741647250609394E-2</v>
      </c>
      <c r="G16" s="3"/>
      <c r="H16" s="1">
        <v>1643000</v>
      </c>
      <c r="I16" s="1">
        <v>21000</v>
      </c>
      <c r="J16" s="3">
        <v>1.2946979038224414E-2</v>
      </c>
      <c r="K16" s="11"/>
      <c r="L16" s="3">
        <v>0.24546865489957395</v>
      </c>
    </row>
    <row r="17" spans="2:12" x14ac:dyDescent="0.2">
      <c r="B17" s="9" t="s">
        <v>20</v>
      </c>
      <c r="C17" s="8">
        <v>1986</v>
      </c>
      <c r="D17" s="1">
        <v>415994</v>
      </c>
      <c r="E17" s="1">
        <v>12689</v>
      </c>
      <c r="F17" s="3">
        <v>3.1462540756995325E-2</v>
      </c>
      <c r="G17" s="3"/>
      <c r="H17" s="1">
        <v>1663000</v>
      </c>
      <c r="I17" s="1">
        <v>20000</v>
      </c>
      <c r="J17" s="3">
        <v>1.2172854534388313E-2</v>
      </c>
      <c r="K17" s="11"/>
      <c r="L17" s="3">
        <v>0.25014672279013833</v>
      </c>
    </row>
    <row r="18" spans="2:12" x14ac:dyDescent="0.2">
      <c r="B18" s="9" t="s">
        <v>20</v>
      </c>
      <c r="C18" s="8">
        <v>1987</v>
      </c>
      <c r="D18" s="1">
        <v>423386</v>
      </c>
      <c r="E18" s="1">
        <v>7392</v>
      </c>
      <c r="F18" s="3">
        <v>1.7769487059909519E-2</v>
      </c>
      <c r="G18" s="3"/>
      <c r="H18" s="1">
        <v>1678000</v>
      </c>
      <c r="I18" s="1">
        <v>15000</v>
      </c>
      <c r="J18" s="3">
        <v>9.0198436560432957E-3</v>
      </c>
      <c r="K18" s="11"/>
      <c r="L18" s="3">
        <v>0.25231585220500596</v>
      </c>
    </row>
    <row r="19" spans="2:12" x14ac:dyDescent="0.2">
      <c r="B19" s="9" t="s">
        <v>20</v>
      </c>
      <c r="C19" s="8">
        <v>1988</v>
      </c>
      <c r="D19" s="1">
        <v>429551</v>
      </c>
      <c r="E19" s="1">
        <v>6165</v>
      </c>
      <c r="F19" s="3">
        <v>1.4561180577534449E-2</v>
      </c>
      <c r="G19" s="3"/>
      <c r="H19" s="1">
        <v>1690000</v>
      </c>
      <c r="I19" s="1">
        <v>12000</v>
      </c>
      <c r="J19" s="3">
        <v>7.1513706793802142E-3</v>
      </c>
      <c r="K19" s="11"/>
      <c r="L19" s="3">
        <v>0.2541721893491124</v>
      </c>
    </row>
    <row r="20" spans="2:12" x14ac:dyDescent="0.2">
      <c r="B20" s="9" t="s">
        <v>20</v>
      </c>
      <c r="C20" s="8">
        <v>1989</v>
      </c>
      <c r="D20" s="1">
        <v>435762</v>
      </c>
      <c r="E20" s="1">
        <v>6211</v>
      </c>
      <c r="F20" s="3">
        <v>1.4459284229346458E-2</v>
      </c>
      <c r="G20" s="3"/>
      <c r="H20" s="1">
        <v>1706000</v>
      </c>
      <c r="I20" s="1">
        <v>16000</v>
      </c>
      <c r="J20" s="3">
        <v>9.4674556213017753E-3</v>
      </c>
      <c r="K20" s="11"/>
      <c r="L20" s="3">
        <v>0.25542907385697539</v>
      </c>
    </row>
    <row r="21" spans="2:12" x14ac:dyDescent="0.2">
      <c r="B21" s="9" t="s">
        <v>20</v>
      </c>
      <c r="C21" s="8">
        <v>1990</v>
      </c>
      <c r="D21" s="1">
        <v>444732</v>
      </c>
      <c r="E21" s="1">
        <v>8970</v>
      </c>
      <c r="F21" s="3">
        <v>2.0584631060074077E-2</v>
      </c>
      <c r="G21" s="3"/>
      <c r="H21" s="1">
        <v>1729227</v>
      </c>
      <c r="I21" s="1">
        <v>23227</v>
      </c>
      <c r="J21" s="3">
        <v>1.3614888628370457E-2</v>
      </c>
      <c r="K21" s="11"/>
      <c r="L21" s="3">
        <v>0.25718543603587035</v>
      </c>
    </row>
    <row r="22" spans="2:12" x14ac:dyDescent="0.2">
      <c r="B22" s="9" t="s">
        <v>20</v>
      </c>
      <c r="C22" s="8">
        <v>1991</v>
      </c>
      <c r="D22" s="1">
        <v>454218</v>
      </c>
      <c r="E22" s="1">
        <v>9486</v>
      </c>
      <c r="F22" s="3">
        <v>2.1329699684304256E-2</v>
      </c>
      <c r="G22" s="3"/>
      <c r="H22" s="1">
        <v>1780870</v>
      </c>
      <c r="I22" s="1">
        <v>51643</v>
      </c>
      <c r="J22" s="3">
        <v>2.9864789296026491E-2</v>
      </c>
      <c r="K22" s="11"/>
      <c r="L22" s="3">
        <v>0.25505399046533433</v>
      </c>
    </row>
    <row r="23" spans="2:12" x14ac:dyDescent="0.2">
      <c r="B23" s="9" t="s">
        <v>20</v>
      </c>
      <c r="C23" s="8">
        <v>1992</v>
      </c>
      <c r="D23" s="1">
        <v>461259</v>
      </c>
      <c r="E23" s="1">
        <v>7041</v>
      </c>
      <c r="F23" s="3">
        <v>1.5501367184920017E-2</v>
      </c>
      <c r="G23" s="3"/>
      <c r="H23" s="1">
        <v>1838149</v>
      </c>
      <c r="I23" s="1">
        <v>57279</v>
      </c>
      <c r="J23" s="3">
        <v>3.2163493124147187E-2</v>
      </c>
      <c r="K23" s="11"/>
      <c r="L23" s="3">
        <v>0.2509366759713168</v>
      </c>
    </row>
    <row r="24" spans="2:12" x14ac:dyDescent="0.2">
      <c r="B24" s="9" t="s">
        <v>20</v>
      </c>
      <c r="C24" s="8">
        <v>1993</v>
      </c>
      <c r="D24" s="1">
        <v>468675</v>
      </c>
      <c r="E24" s="1">
        <v>7416</v>
      </c>
      <c r="F24" s="3">
        <v>1.6077735068584027E-2</v>
      </c>
      <c r="G24" s="3"/>
      <c r="H24" s="1">
        <v>1889393</v>
      </c>
      <c r="I24" s="1">
        <v>51244</v>
      </c>
      <c r="J24" s="3">
        <v>2.7878044706930723E-2</v>
      </c>
      <c r="K24" s="11"/>
      <c r="L24" s="3">
        <v>0.24805585709272768</v>
      </c>
    </row>
    <row r="25" spans="2:12" x14ac:dyDescent="0.2">
      <c r="B25" s="9" t="s">
        <v>20</v>
      </c>
      <c r="C25" s="8">
        <v>1994</v>
      </c>
      <c r="D25" s="1">
        <v>471402</v>
      </c>
      <c r="E25" s="1">
        <v>2727</v>
      </c>
      <c r="F25" s="3">
        <v>5.818530964954393E-3</v>
      </c>
      <c r="G25" s="3"/>
      <c r="H25" s="1">
        <v>1946721</v>
      </c>
      <c r="I25" s="1">
        <v>57328</v>
      </c>
      <c r="J25" s="3">
        <v>3.0342019897395617E-2</v>
      </c>
      <c r="K25" s="11"/>
      <c r="L25" s="3">
        <v>0.24215180295481478</v>
      </c>
    </row>
    <row r="26" spans="2:12" x14ac:dyDescent="0.2">
      <c r="B26" s="9" t="s">
        <v>20</v>
      </c>
      <c r="C26" s="8">
        <v>1995</v>
      </c>
      <c r="D26" s="1">
        <v>473666</v>
      </c>
      <c r="E26" s="1">
        <v>2264</v>
      </c>
      <c r="F26" s="3">
        <v>4.8026949397753935E-3</v>
      </c>
      <c r="G26" s="3"/>
      <c r="H26" s="1">
        <v>1995228</v>
      </c>
      <c r="I26" s="1">
        <v>48507</v>
      </c>
      <c r="J26" s="3">
        <v>2.4917283986765439E-2</v>
      </c>
      <c r="K26" s="11"/>
      <c r="L26" s="3">
        <v>0.23739943505203415</v>
      </c>
    </row>
    <row r="27" spans="2:12" x14ac:dyDescent="0.2">
      <c r="B27" s="9" t="s">
        <v>20</v>
      </c>
      <c r="C27" s="8">
        <v>1996</v>
      </c>
      <c r="D27" s="1">
        <v>478028</v>
      </c>
      <c r="E27" s="1">
        <v>4362</v>
      </c>
      <c r="F27" s="3">
        <v>9.2090207023514462E-3</v>
      </c>
      <c r="G27" s="3"/>
      <c r="H27" s="1">
        <v>2042893</v>
      </c>
      <c r="I27" s="1">
        <v>47665</v>
      </c>
      <c r="J27" s="3">
        <v>2.3889500347829922E-2</v>
      </c>
      <c r="K27" s="11"/>
      <c r="L27" s="3">
        <v>0.23399561308399411</v>
      </c>
    </row>
    <row r="28" spans="2:12" x14ac:dyDescent="0.2">
      <c r="B28" s="9" t="s">
        <v>20</v>
      </c>
      <c r="C28" s="8">
        <v>1997</v>
      </c>
      <c r="D28" s="1">
        <v>479151</v>
      </c>
      <c r="E28" s="1">
        <v>1123</v>
      </c>
      <c r="F28" s="3">
        <v>2.3492347728584937E-3</v>
      </c>
      <c r="G28" s="3"/>
      <c r="H28" s="1">
        <v>2099409</v>
      </c>
      <c r="I28" s="1">
        <v>56516</v>
      </c>
      <c r="J28" s="3">
        <v>2.7664689242167848E-2</v>
      </c>
      <c r="K28" s="11"/>
      <c r="L28" s="3">
        <v>0.22823137368659466</v>
      </c>
    </row>
    <row r="29" spans="2:12" x14ac:dyDescent="0.2">
      <c r="B29" s="9" t="s">
        <v>20</v>
      </c>
      <c r="C29" s="8">
        <v>1998</v>
      </c>
      <c r="D29" s="1">
        <v>477061</v>
      </c>
      <c r="E29" s="1">
        <v>-2090</v>
      </c>
      <c r="F29" s="3">
        <v>-4.3618817450031414E-3</v>
      </c>
      <c r="G29" s="3"/>
      <c r="H29" s="1">
        <v>2141632</v>
      </c>
      <c r="I29" s="1">
        <v>42223</v>
      </c>
      <c r="J29" s="3">
        <v>2.0111850525552668E-2</v>
      </c>
      <c r="K29" s="11"/>
      <c r="L29" s="3">
        <v>0.22275582359621074</v>
      </c>
    </row>
    <row r="30" spans="2:12" x14ac:dyDescent="0.2">
      <c r="B30" s="9" t="s">
        <v>20</v>
      </c>
      <c r="C30" s="8">
        <v>1999</v>
      </c>
      <c r="D30" s="1">
        <v>475974</v>
      </c>
      <c r="E30" s="1">
        <v>-1087</v>
      </c>
      <c r="F30" s="3">
        <v>-2.2785346108778544E-3</v>
      </c>
      <c r="G30" s="3"/>
      <c r="H30" s="1">
        <v>2193014</v>
      </c>
      <c r="I30" s="1">
        <v>51382</v>
      </c>
      <c r="J30" s="3">
        <v>2.3991983683471298E-2</v>
      </c>
      <c r="K30" s="11"/>
      <c r="L30" s="3">
        <v>0.21704102208193837</v>
      </c>
    </row>
    <row r="31" spans="2:12" x14ac:dyDescent="0.2">
      <c r="B31" s="9" t="s">
        <v>20</v>
      </c>
      <c r="C31" s="8">
        <v>2000</v>
      </c>
      <c r="D31" s="1">
        <v>475269</v>
      </c>
      <c r="E31" s="1">
        <v>-705</v>
      </c>
      <c r="F31" s="3">
        <v>-1.4811733414010009E-3</v>
      </c>
      <c r="G31" s="3"/>
      <c r="H31" s="1">
        <v>2246553</v>
      </c>
      <c r="I31" s="1">
        <v>53539</v>
      </c>
      <c r="J31" s="3">
        <v>2.4413432837182069E-2</v>
      </c>
      <c r="K31" s="11"/>
      <c r="L31" s="3">
        <v>0.21155476857211916</v>
      </c>
    </row>
    <row r="32" spans="2:12" x14ac:dyDescent="0.2">
      <c r="B32" s="9" t="s">
        <v>20</v>
      </c>
      <c r="C32" s="8">
        <v>2001</v>
      </c>
      <c r="D32" s="1">
        <v>477801</v>
      </c>
      <c r="E32" s="1">
        <v>2532</v>
      </c>
      <c r="F32" s="3">
        <v>5.3275092631751703E-3</v>
      </c>
      <c r="G32" s="3"/>
      <c r="H32" s="1">
        <v>2305652</v>
      </c>
      <c r="I32" s="1">
        <v>59099</v>
      </c>
      <c r="J32" s="3">
        <v>2.6306523816709421E-2</v>
      </c>
      <c r="K32" s="11"/>
      <c r="L32" s="3">
        <v>0.20723031923291113</v>
      </c>
    </row>
    <row r="33" spans="2:28" x14ac:dyDescent="0.2">
      <c r="B33" s="9" t="s">
        <v>20</v>
      </c>
      <c r="C33" s="8">
        <v>2002</v>
      </c>
      <c r="D33" s="1">
        <v>481143</v>
      </c>
      <c r="E33" s="1">
        <v>3342</v>
      </c>
      <c r="F33" s="3">
        <v>6.9945437535710473E-3</v>
      </c>
      <c r="G33" s="3"/>
      <c r="H33" s="1">
        <v>2358330</v>
      </c>
      <c r="I33" s="1">
        <v>52678</v>
      </c>
      <c r="J33" s="3">
        <v>2.284733342238985E-2</v>
      </c>
      <c r="K33" s="11"/>
      <c r="L33" s="3">
        <v>0.20401852158094924</v>
      </c>
    </row>
    <row r="34" spans="2:28" x14ac:dyDescent="0.2">
      <c r="B34" s="9" t="s">
        <v>20</v>
      </c>
      <c r="C34" s="8">
        <v>2003</v>
      </c>
      <c r="D34" s="1">
        <v>486938</v>
      </c>
      <c r="E34" s="1">
        <v>5795</v>
      </c>
      <c r="F34" s="3">
        <v>1.2044236328908454E-2</v>
      </c>
      <c r="G34" s="3"/>
      <c r="H34" s="1">
        <v>2413618</v>
      </c>
      <c r="I34" s="1">
        <v>55288</v>
      </c>
      <c r="J34" s="3">
        <v>2.3443708047643882E-2</v>
      </c>
      <c r="K34" s="11"/>
      <c r="L34" s="3">
        <v>0.20174609238081587</v>
      </c>
    </row>
    <row r="35" spans="2:28" x14ac:dyDescent="0.2">
      <c r="B35" s="9" t="s">
        <v>20</v>
      </c>
      <c r="C35" s="8">
        <v>2004</v>
      </c>
      <c r="D35" s="1">
        <v>495682</v>
      </c>
      <c r="E35" s="1">
        <v>8744</v>
      </c>
      <c r="F35" s="3">
        <v>1.795711158299414E-2</v>
      </c>
      <c r="G35" s="3"/>
      <c r="H35" s="1">
        <v>2469230</v>
      </c>
      <c r="I35" s="1">
        <v>55612</v>
      </c>
      <c r="J35" s="3">
        <v>2.3040928597648842E-2</v>
      </c>
      <c r="K35" s="11"/>
      <c r="L35" s="3">
        <v>0.20074355163350519</v>
      </c>
    </row>
    <row r="36" spans="2:28" x14ac:dyDescent="0.2">
      <c r="B36" s="9" t="s">
        <v>20</v>
      </c>
      <c r="C36" s="8">
        <v>2005</v>
      </c>
      <c r="D36" s="1">
        <v>510012</v>
      </c>
      <c r="E36" s="1">
        <v>14330</v>
      </c>
      <c r="F36" s="3">
        <v>2.8909663857069653E-2</v>
      </c>
      <c r="G36" s="3"/>
      <c r="H36" s="1">
        <v>2547389</v>
      </c>
      <c r="I36" s="1">
        <v>78159</v>
      </c>
      <c r="J36" s="3">
        <v>3.165318743089951E-2</v>
      </c>
      <c r="K36" s="11"/>
      <c r="L36" s="3">
        <v>0.20020970491746648</v>
      </c>
    </row>
    <row r="37" spans="2:28" x14ac:dyDescent="0.2">
      <c r="B37" s="9" t="s">
        <v>20</v>
      </c>
      <c r="C37" s="8">
        <v>2006</v>
      </c>
      <c r="D37" s="1">
        <v>525660</v>
      </c>
      <c r="E37" s="1">
        <v>15648</v>
      </c>
      <c r="F37" s="3">
        <v>3.0681631020446579E-2</v>
      </c>
      <c r="G37" s="3"/>
      <c r="H37" s="1">
        <v>2615129</v>
      </c>
      <c r="I37" s="1">
        <v>67740</v>
      </c>
      <c r="J37" s="3">
        <v>2.6591933937062617E-2</v>
      </c>
      <c r="K37" s="11"/>
      <c r="L37" s="3">
        <v>0.20100729256568223</v>
      </c>
    </row>
    <row r="38" spans="2:28" x14ac:dyDescent="0.2">
      <c r="B38" s="9" t="s">
        <v>20</v>
      </c>
      <c r="C38" s="35">
        <v>2007</v>
      </c>
      <c r="D38" s="1">
        <v>537653</v>
      </c>
      <c r="E38" s="1">
        <v>13650</v>
      </c>
      <c r="F38" s="3">
        <v>2.5529810143438726E-2</v>
      </c>
      <c r="G38" s="3"/>
      <c r="H38" s="1">
        <v>2699554</v>
      </c>
      <c r="I38" s="1">
        <v>84425</v>
      </c>
      <c r="J38" s="3">
        <v>3.2000000000000001E-2</v>
      </c>
      <c r="K38" s="11"/>
      <c r="L38" s="3">
        <f>D38/H38</f>
        <v>0.19916363962343409</v>
      </c>
    </row>
    <row r="39" spans="2:28" x14ac:dyDescent="0.2">
      <c r="B39" s="9" t="s">
        <v>20</v>
      </c>
      <c r="C39" s="35">
        <v>2008</v>
      </c>
      <c r="D39" s="1">
        <v>551013</v>
      </c>
      <c r="E39" s="1">
        <f>D39-D38</f>
        <v>13360</v>
      </c>
      <c r="F39" s="3">
        <f>E39/D38</f>
        <v>2.4848740730545538E-2</v>
      </c>
      <c r="G39" s="3"/>
      <c r="H39" s="1">
        <v>2757779</v>
      </c>
      <c r="I39" s="1">
        <v>58225</v>
      </c>
      <c r="J39" s="3">
        <v>2.1999999999999999E-2</v>
      </c>
      <c r="K39" s="11"/>
      <c r="L39" s="3">
        <f>D39/H39</f>
        <v>0.19980317494621577</v>
      </c>
    </row>
    <row r="40" spans="2:28" x14ac:dyDescent="0.2">
      <c r="B40" s="9" t="s">
        <v>20</v>
      </c>
      <c r="C40" s="35">
        <v>2009</v>
      </c>
      <c r="D40" s="1">
        <v>563273</v>
      </c>
      <c r="E40" s="1">
        <f>D40-D39</f>
        <v>12260</v>
      </c>
      <c r="F40" s="3">
        <f>E40/D39</f>
        <v>2.2249928767560836E-2</v>
      </c>
      <c r="G40" s="3"/>
      <c r="H40" s="32">
        <v>2800089</v>
      </c>
      <c r="I40" s="1">
        <v>42310</v>
      </c>
      <c r="J40" s="3">
        <v>1.4999999999999999E-2</v>
      </c>
      <c r="K40" s="11"/>
      <c r="L40" s="3">
        <f>D40/H40</f>
        <v>0.20116253447658272</v>
      </c>
    </row>
    <row r="41" spans="2:28" x14ac:dyDescent="0.2">
      <c r="B41" s="9" t="s">
        <v>20</v>
      </c>
      <c r="C41" s="35">
        <v>2010</v>
      </c>
      <c r="D41" s="1">
        <v>576335</v>
      </c>
      <c r="E41" s="1">
        <f>D41-D40</f>
        <v>13062</v>
      </c>
      <c r="F41" s="3">
        <f>E41/D40</f>
        <v>2.3189465854035255E-2</v>
      </c>
      <c r="G41" s="3"/>
      <c r="H41" s="32">
        <v>2927643</v>
      </c>
      <c r="I41" s="1">
        <f>H41-H40</f>
        <v>127554</v>
      </c>
      <c r="J41" s="3">
        <f>I41/H41</f>
        <v>4.3568836774155864E-2</v>
      </c>
      <c r="K41" s="11"/>
      <c r="L41" s="3">
        <f>D41/H41</f>
        <v>0.19685972640789878</v>
      </c>
    </row>
    <row r="42" spans="2:28" x14ac:dyDescent="0.2">
      <c r="B42" s="9" t="s">
        <v>20</v>
      </c>
      <c r="C42" s="35">
        <v>2011</v>
      </c>
      <c r="D42" s="1">
        <v>587745</v>
      </c>
      <c r="E42" s="1">
        <v>11420</v>
      </c>
      <c r="F42" s="3">
        <f>E42/D41</f>
        <v>1.9814864618667962E-2</v>
      </c>
      <c r="G42" s="3"/>
      <c r="H42" s="33">
        <v>2999816</v>
      </c>
      <c r="I42" s="1">
        <f>H42-H41</f>
        <v>72173</v>
      </c>
      <c r="J42" s="3">
        <f>I42/H42</f>
        <v>2.4059142294060702E-2</v>
      </c>
      <c r="K42" s="11"/>
      <c r="L42" s="3">
        <f>D42/H42</f>
        <v>0.1959270168570339</v>
      </c>
    </row>
    <row r="43" spans="2:28" x14ac:dyDescent="0.2">
      <c r="B43" s="10" t="s">
        <v>12</v>
      </c>
      <c r="C43" s="16"/>
      <c r="D43" s="1"/>
      <c r="E43" s="1"/>
      <c r="F43" s="3"/>
      <c r="G43" s="3"/>
      <c r="H43" s="34"/>
      <c r="I43" s="1"/>
      <c r="J43" s="3"/>
      <c r="K43" s="11"/>
      <c r="L43" s="3"/>
      <c r="O43"/>
    </row>
    <row r="44" spans="2:28" x14ac:dyDescent="0.2">
      <c r="B44" s="9" t="s">
        <v>21</v>
      </c>
      <c r="C44" s="8">
        <v>2012</v>
      </c>
      <c r="D44" s="1">
        <v>600244</v>
      </c>
      <c r="E44" s="1">
        <f>D44-D42</f>
        <v>12499</v>
      </c>
      <c r="F44" s="3">
        <f>E44/D42</f>
        <v>2.1266025232030899E-2</v>
      </c>
      <c r="G44" s="3"/>
      <c r="H44" s="32">
        <v>3071748</v>
      </c>
      <c r="I44" s="1">
        <f>H44-H42</f>
        <v>71932</v>
      </c>
      <c r="J44" s="3">
        <f t="shared" ref="J44:J53" si="0">I44/H44</f>
        <v>2.3417285532537174E-2</v>
      </c>
      <c r="K44" s="11"/>
      <c r="L44" s="3">
        <f>D44/H44</f>
        <v>0.19540795664227664</v>
      </c>
      <c r="O44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2:28" x14ac:dyDescent="0.2">
      <c r="B45" s="9" t="s">
        <v>22</v>
      </c>
      <c r="C45" s="8">
        <v>2013</v>
      </c>
      <c r="D45" s="1">
        <f t="shared" ref="D45" si="1">D44*(1+F45)</f>
        <v>615850.34400000004</v>
      </c>
      <c r="E45" s="1">
        <f t="shared" ref="E45" si="2">D45-D44</f>
        <v>15606.344000000041</v>
      </c>
      <c r="F45" s="17">
        <v>2.5999999999999999E-2</v>
      </c>
      <c r="G45" s="3"/>
      <c r="H45" s="32">
        <v>3144044</v>
      </c>
      <c r="I45" s="12">
        <f>H45-H44</f>
        <v>72296</v>
      </c>
      <c r="J45" s="3">
        <f t="shared" si="0"/>
        <v>2.2994589134248757E-2</v>
      </c>
      <c r="K45" s="11"/>
      <c r="L45" s="3">
        <f>D45/H45</f>
        <v>0.19587841137083326</v>
      </c>
      <c r="O45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2:28" x14ac:dyDescent="0.2">
      <c r="B46" s="9" t="s">
        <v>22</v>
      </c>
      <c r="C46" s="8">
        <v>2014</v>
      </c>
      <c r="D46" s="1">
        <f t="shared" ref="D46:D53" si="3">D45*(1+F46)</f>
        <v>630814.4647770148</v>
      </c>
      <c r="E46" s="1">
        <f t="shared" ref="E46:E53" si="4">D46-D45</f>
        <v>14964.120777014759</v>
      </c>
      <c r="F46" s="17">
        <v>2.4298307085162098E-2</v>
      </c>
      <c r="G46" s="3"/>
      <c r="H46" s="32">
        <v>3216563</v>
      </c>
      <c r="I46" s="12">
        <f t="shared" ref="I46:I53" si="5">H46-H45</f>
        <v>72519</v>
      </c>
      <c r="J46" s="3">
        <f t="shared" si="0"/>
        <v>2.2545493435073401E-2</v>
      </c>
      <c r="K46" s="11"/>
      <c r="L46" s="3">
        <f t="shared" ref="L46:L53" si="6">D46/H46</f>
        <v>0.19611444413711618</v>
      </c>
      <c r="O46"/>
    </row>
    <row r="47" spans="2:28" x14ac:dyDescent="0.2">
      <c r="B47" s="9" t="s">
        <v>22</v>
      </c>
      <c r="C47" s="8">
        <v>2015</v>
      </c>
      <c r="D47" s="1">
        <f t="shared" si="3"/>
        <v>645663.19737317448</v>
      </c>
      <c r="E47" s="1">
        <f t="shared" si="4"/>
        <v>14848.73259615968</v>
      </c>
      <c r="F47" s="17">
        <v>2.3538985589698903E-2</v>
      </c>
      <c r="G47" s="3"/>
      <c r="H47" s="32">
        <v>3289506</v>
      </c>
      <c r="I47" s="12">
        <f t="shared" si="5"/>
        <v>72943</v>
      </c>
      <c r="J47" s="3">
        <f t="shared" si="0"/>
        <v>2.2174454158162351E-2</v>
      </c>
      <c r="K47" s="11"/>
      <c r="L47" s="3">
        <f t="shared" si="6"/>
        <v>0.19627968374983187</v>
      </c>
      <c r="O47"/>
    </row>
    <row r="48" spans="2:28" x14ac:dyDescent="0.2">
      <c r="B48" s="9" t="s">
        <v>22</v>
      </c>
      <c r="C48" s="35">
        <v>2016</v>
      </c>
      <c r="D48" s="1">
        <f t="shared" si="3"/>
        <v>659767.81248807278</v>
      </c>
      <c r="E48" s="1">
        <f t="shared" si="4"/>
        <v>14104.615114898304</v>
      </c>
      <c r="F48" s="17">
        <v>2.1845158857252217E-2</v>
      </c>
      <c r="G48" s="3"/>
      <c r="H48" s="32">
        <v>3362344</v>
      </c>
      <c r="I48" s="12">
        <f t="shared" si="5"/>
        <v>72838</v>
      </c>
      <c r="J48" s="3">
        <f t="shared" si="0"/>
        <v>2.1662863764088387E-2</v>
      </c>
      <c r="K48" s="11"/>
      <c r="L48" s="3">
        <f t="shared" si="6"/>
        <v>0.19622257939344481</v>
      </c>
      <c r="O48"/>
    </row>
    <row r="49" spans="2:15" x14ac:dyDescent="0.2">
      <c r="B49" s="9" t="s">
        <v>22</v>
      </c>
      <c r="C49" s="35">
        <v>2017</v>
      </c>
      <c r="D49" s="1">
        <f t="shared" si="3"/>
        <v>672240.63884064462</v>
      </c>
      <c r="E49" s="1">
        <f t="shared" si="4"/>
        <v>12472.826352571836</v>
      </c>
      <c r="F49" s="17">
        <v>1.8904872466474425E-2</v>
      </c>
      <c r="G49" s="3"/>
      <c r="H49" s="32">
        <v>3434916</v>
      </c>
      <c r="I49" s="12">
        <f t="shared" si="5"/>
        <v>72572</v>
      </c>
      <c r="J49" s="3">
        <f t="shared" si="0"/>
        <v>2.1127736457019618E-2</v>
      </c>
      <c r="K49" s="11"/>
      <c r="L49" s="3">
        <f t="shared" si="6"/>
        <v>0.19570802862155715</v>
      </c>
      <c r="O49"/>
    </row>
    <row r="50" spans="2:15" x14ac:dyDescent="0.2">
      <c r="B50" s="9" t="s">
        <v>22</v>
      </c>
      <c r="C50" s="35">
        <v>2018</v>
      </c>
      <c r="D50" s="1">
        <f t="shared" si="3"/>
        <v>682901.77989695861</v>
      </c>
      <c r="E50" s="1">
        <f t="shared" si="4"/>
        <v>10661.141056313994</v>
      </c>
      <c r="F50" s="17">
        <v>1.5859114192650257E-2</v>
      </c>
      <c r="G50" s="3"/>
      <c r="H50" s="32">
        <v>3507503</v>
      </c>
      <c r="I50" s="12">
        <f t="shared" si="5"/>
        <v>72587</v>
      </c>
      <c r="J50" s="3">
        <f t="shared" si="0"/>
        <v>2.0694779163410552E-2</v>
      </c>
      <c r="K50" s="11"/>
      <c r="L50" s="3">
        <f t="shared" si="6"/>
        <v>0.19469741861858952</v>
      </c>
      <c r="O50"/>
    </row>
    <row r="51" spans="2:15" x14ac:dyDescent="0.2">
      <c r="B51" s="9" t="s">
        <v>22</v>
      </c>
      <c r="C51" s="7">
        <v>2019</v>
      </c>
      <c r="D51" s="1">
        <f t="shared" si="3"/>
        <v>692462.40481551609</v>
      </c>
      <c r="E51" s="1">
        <f t="shared" si="4"/>
        <v>9560.6249185574707</v>
      </c>
      <c r="F51" s="17">
        <v>1.4E-2</v>
      </c>
      <c r="G51" s="3"/>
      <c r="H51" s="33">
        <v>3580081</v>
      </c>
      <c r="I51" s="12">
        <f t="shared" si="5"/>
        <v>72578</v>
      </c>
      <c r="J51" s="3">
        <f t="shared" si="0"/>
        <v>2.0272725672966618E-2</v>
      </c>
      <c r="K51" s="11"/>
      <c r="L51" s="3">
        <f t="shared" si="6"/>
        <v>0.19342087645936393</v>
      </c>
      <c r="O51"/>
    </row>
    <row r="52" spans="2:15" x14ac:dyDescent="0.2">
      <c r="B52" s="9" t="s">
        <v>22</v>
      </c>
      <c r="C52" s="35">
        <v>2020</v>
      </c>
      <c r="D52" s="1">
        <f t="shared" si="3"/>
        <v>701464.41607811768</v>
      </c>
      <c r="E52" s="1">
        <f t="shared" si="4"/>
        <v>9002.0112626015907</v>
      </c>
      <c r="F52" s="18">
        <v>1.2999999999999999E-2</v>
      </c>
      <c r="G52" s="3"/>
      <c r="H52" s="33">
        <v>3652547</v>
      </c>
      <c r="I52" s="12">
        <f t="shared" si="5"/>
        <v>72466</v>
      </c>
      <c r="J52" s="3">
        <f t="shared" si="0"/>
        <v>1.9839854216797209E-2</v>
      </c>
      <c r="K52" s="11"/>
      <c r="L52" s="3">
        <f t="shared" si="6"/>
        <v>0.192048019116008</v>
      </c>
      <c r="O52"/>
    </row>
    <row r="53" spans="2:15" x14ac:dyDescent="0.2">
      <c r="B53" s="9" t="s">
        <v>22</v>
      </c>
      <c r="C53" s="7">
        <v>2021</v>
      </c>
      <c r="D53" s="1">
        <f t="shared" si="3"/>
        <v>709180.52465497691</v>
      </c>
      <c r="E53" s="1">
        <f t="shared" si="4"/>
        <v>7716.1085768592311</v>
      </c>
      <c r="F53" s="11">
        <v>1.0999999999999999E-2</v>
      </c>
      <c r="G53" s="3"/>
      <c r="H53" s="33">
        <v>3725094</v>
      </c>
      <c r="I53" s="12">
        <f t="shared" si="5"/>
        <v>72547</v>
      </c>
      <c r="J53" s="3">
        <f t="shared" si="0"/>
        <v>1.9475213242940985E-2</v>
      </c>
      <c r="L53" s="3">
        <f t="shared" si="6"/>
        <v>0.19037922926373854</v>
      </c>
      <c r="O53"/>
    </row>
    <row r="54" spans="2:15" x14ac:dyDescent="0.2">
      <c r="C54" s="4"/>
      <c r="D54" s="1"/>
      <c r="E54" s="1"/>
      <c r="F54" s="18"/>
      <c r="G54" s="3"/>
      <c r="H54" s="1"/>
      <c r="I54" s="1"/>
      <c r="L54" s="3"/>
    </row>
    <row r="55" spans="2:15" x14ac:dyDescent="0.2">
      <c r="B55" s="36" t="s">
        <v>25</v>
      </c>
      <c r="C55" s="5"/>
      <c r="D55" s="1"/>
      <c r="E55" s="1"/>
      <c r="F55" s="18"/>
      <c r="G55" s="5"/>
      <c r="H55" s="5"/>
      <c r="I55" s="5"/>
      <c r="J55" s="5"/>
      <c r="K55" s="5"/>
      <c r="L55" s="5"/>
    </row>
    <row r="56" spans="2:15" x14ac:dyDescent="0.2">
      <c r="B56" s="19" t="s">
        <v>13</v>
      </c>
      <c r="C56" s="29" t="s">
        <v>26</v>
      </c>
      <c r="D56" s="20"/>
      <c r="E56" s="5"/>
      <c r="F56" s="5"/>
      <c r="G56" s="5"/>
      <c r="H56" s="5"/>
      <c r="I56" s="5"/>
      <c r="J56" s="5"/>
      <c r="K56" s="5"/>
      <c r="L56" s="5"/>
    </row>
    <row r="57" spans="2:15" x14ac:dyDescent="0.2">
      <c r="B57" s="19" t="s">
        <v>14</v>
      </c>
      <c r="C57" s="29" t="s">
        <v>31</v>
      </c>
      <c r="D57" s="20"/>
      <c r="E57" s="5"/>
      <c r="F57" s="5"/>
      <c r="G57" s="5"/>
      <c r="H57" s="5"/>
      <c r="I57" s="5"/>
      <c r="J57" s="5"/>
      <c r="K57" s="5"/>
      <c r="L57" s="5"/>
    </row>
    <row r="58" spans="2:15" x14ac:dyDescent="0.2">
      <c r="B58" s="36" t="s">
        <v>23</v>
      </c>
      <c r="C58" s="30"/>
      <c r="D58" s="20"/>
      <c r="E58" s="5"/>
      <c r="F58" s="5"/>
      <c r="G58" s="5"/>
      <c r="H58" s="5"/>
      <c r="I58" s="5"/>
      <c r="J58" s="5"/>
      <c r="K58" s="5"/>
      <c r="L58" s="5"/>
    </row>
    <row r="59" spans="2:15" x14ac:dyDescent="0.2">
      <c r="B59" s="19" t="s">
        <v>15</v>
      </c>
      <c r="C59" s="29" t="s">
        <v>28</v>
      </c>
      <c r="D59" s="20"/>
      <c r="E59" s="5"/>
      <c r="F59" s="5"/>
      <c r="G59" s="5"/>
      <c r="H59" s="5"/>
      <c r="I59" s="5"/>
      <c r="J59" s="5"/>
      <c r="K59" s="5"/>
      <c r="L59" s="5"/>
    </row>
    <row r="60" spans="2:15" x14ac:dyDescent="0.2">
      <c r="B60" s="19" t="s">
        <v>16</v>
      </c>
      <c r="C60" s="29" t="s">
        <v>29</v>
      </c>
      <c r="D60" s="20"/>
      <c r="E60" s="5"/>
      <c r="F60" s="5"/>
      <c r="G60" s="5"/>
      <c r="H60" s="5"/>
      <c r="I60" s="5"/>
      <c r="J60" s="5"/>
      <c r="K60" s="5"/>
      <c r="L60" s="5"/>
    </row>
    <row r="61" spans="2:15" x14ac:dyDescent="0.2">
      <c r="C61" s="29" t="s">
        <v>19</v>
      </c>
    </row>
    <row r="62" spans="2:15" x14ac:dyDescent="0.2">
      <c r="B62" s="19" t="s">
        <v>17</v>
      </c>
      <c r="C62" s="29" t="s">
        <v>24</v>
      </c>
    </row>
    <row r="63" spans="2:15" x14ac:dyDescent="0.2">
      <c r="C63" s="29" t="s">
        <v>30</v>
      </c>
    </row>
    <row r="65" spans="12:23" x14ac:dyDescent="0.2">
      <c r="N65" s="28"/>
      <c r="O65" s="28"/>
      <c r="P65" s="28"/>
      <c r="Q65" s="28"/>
      <c r="R65" s="28"/>
      <c r="S65" s="28"/>
      <c r="T65" s="28"/>
      <c r="U65" s="28"/>
      <c r="V65" s="28"/>
      <c r="W65" s="28"/>
    </row>
    <row r="66" spans="12:23" x14ac:dyDescent="0.2">
      <c r="N66" s="28"/>
      <c r="O66" s="28"/>
      <c r="P66" s="28"/>
      <c r="Q66" s="28"/>
      <c r="R66" s="28"/>
      <c r="S66" s="28"/>
      <c r="T66" s="28"/>
      <c r="U66" s="28"/>
      <c r="V66" s="28"/>
      <c r="W66" s="28"/>
    </row>
    <row r="67" spans="12:23" x14ac:dyDescent="0.2"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</row>
    <row r="68" spans="12:23" x14ac:dyDescent="0.2"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2:23" x14ac:dyDescent="0.2">
      <c r="N69" s="28"/>
      <c r="O69" s="28"/>
      <c r="P69" s="28"/>
      <c r="Q69" s="28"/>
      <c r="R69" s="28"/>
      <c r="S69" s="28"/>
      <c r="T69" s="28"/>
      <c r="U69" s="28"/>
      <c r="V69" s="28"/>
      <c r="W69" s="28"/>
    </row>
  </sheetData>
  <phoneticPr fontId="2" type="noConversion"/>
  <printOptions horizontalCentered="1" verticalCentered="1"/>
  <pageMargins left="0.75" right="0.75" top="0.75" bottom="0.75" header="0.5" footer="0.5"/>
  <pageSetup scale="7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 Enrollment</vt:lpstr>
      <vt:lpstr>'State Enrollment'!Print_Area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sford</dc:creator>
  <cp:lastModifiedBy>Joey DeFilippis</cp:lastModifiedBy>
  <cp:lastPrinted>2011-12-06T17:43:49Z</cp:lastPrinted>
  <dcterms:created xsi:type="dcterms:W3CDTF">2007-12-06T21:22:09Z</dcterms:created>
  <dcterms:modified xsi:type="dcterms:W3CDTF">2011-12-07T21:58:53Z</dcterms:modified>
</cp:coreProperties>
</file>