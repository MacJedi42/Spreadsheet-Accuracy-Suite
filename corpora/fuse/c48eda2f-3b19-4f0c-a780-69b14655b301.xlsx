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autoCompressPictures="0" defaultThemeVersion="124226"/>
  <bookViews>
    <workbookView xWindow="2220" yWindow="1320" windowWidth="3600" windowHeight="5610" tabRatio="873"/>
  </bookViews>
  <sheets>
    <sheet name="Metadata_FluxData" sheetId="52" r:id="rId1"/>
    <sheet name="Flux data" sheetId="6" r:id="rId2"/>
    <sheet name="Sites(Do NOT Edit)" sheetId="53" r:id="rId3"/>
  </sheets>
  <definedNames>
    <definedName name="_xlnm._FilterDatabase" localSheetId="2" hidden="1">'Sites(Do NOT Edit)'!$A$2:$N$638</definedName>
    <definedName name="ABSTRACT" localSheetId="0">Metadata_FluxData!$A$6</definedName>
    <definedName name="ABSTRACT" localSheetId="2">Metadata_FluxData!$A$6</definedName>
    <definedName name="Address_line_2" localSheetId="0">Metadata_FluxData!$A$22</definedName>
    <definedName name="Address_line_2" localSheetId="2">Metadata_FluxData!$A$22</definedName>
    <definedName name="Address_line_3" localSheetId="0">Metadata_FluxData!$A$23</definedName>
    <definedName name="Address_line_3" localSheetId="2">Metadata_FluxData!$A$23</definedName>
    <definedName name="Availability_Status" localSheetId="0">Metadata_FluxData!$A$37</definedName>
    <definedName name="Availability_Status" localSheetId="2">Metadata_FluxData!$A$37</definedName>
    <definedName name="Beginning_Date" localSheetId="0">Metadata_FluxData!$A$33</definedName>
    <definedName name="Beginning_Date" localSheetId="2">Metadata_FluxData!$A$33</definedName>
    <definedName name="City" localSheetId="0">Metadata_FluxData!$A$24</definedName>
    <definedName name="City" localSheetId="2">Metadata_FluxData!$A$24</definedName>
    <definedName name="Code_Information" localSheetId="0">Metadata_FluxData!$F$190</definedName>
    <definedName name="Code_Information" localSheetId="2">Metadata_FluxData!$F$190</definedName>
    <definedName name="Country" localSheetId="0">Metadata_FluxData!$A$27</definedName>
    <definedName name="Country" localSheetId="2">Metadata_FluxData!$A$27</definedName>
    <definedName name="DATA_FILE_INFORMATION" localSheetId="0">Metadata_FluxData!$A$30</definedName>
    <definedName name="DATA_FILE_INFORMATION" localSheetId="2">Metadata_FluxData!$A$30</definedName>
    <definedName name="Data_File_Name" localSheetId="0">Metadata_FluxData!$A$32</definedName>
    <definedName name="Data_File_Name" localSheetId="2">Metadata_FluxData!$A$32</definedName>
    <definedName name="Data_File_URL" localSheetId="0">Metadata_FluxData!$A$31</definedName>
    <definedName name="Data_File_URL" localSheetId="2">Metadata_FluxData!$A$31</definedName>
    <definedName name="Data_Type" localSheetId="0">Metadata_FluxData!$C$190</definedName>
    <definedName name="Data_Type" localSheetId="2">Metadata_FluxData!$C$190</definedName>
    <definedName name="DATASET_ID" localSheetId="0">Metadata_FluxData!$A$14</definedName>
    <definedName name="DATASET_ID" localSheetId="2">Metadata_FluxData!$A$14</definedName>
    <definedName name="DATASET_TITLE" localSheetId="0">Metadata_FluxData!$A$5</definedName>
    <definedName name="DATASET_TITLE" localSheetId="2">Metadata_FluxData!$A$5</definedName>
    <definedName name="DateTime_Format" localSheetId="0">Metadata_FluxData!$E$190</definedName>
    <definedName name="DateTime_Format" localSheetId="2">Metadata_FluxData!$E$190</definedName>
    <definedName name="Distribution_URL_for_file" localSheetId="0">Metadata_FluxData!$A$4</definedName>
    <definedName name="Distribution_URL_for_file" localSheetId="2">Metadata_FluxData!$A$4</definedName>
    <definedName name="East_Bounding_Coordinate" localSheetId="0">Metadata_FluxData!$A$51</definedName>
    <definedName name="East_Bounding_Coordinate" localSheetId="2">Metadata_FluxData!$A$51</definedName>
    <definedName name="Elevation" localSheetId="0">Metadata_FluxData!$A$57</definedName>
    <definedName name="Elevation" localSheetId="2">Metadata_FluxData!$A$57</definedName>
    <definedName name="Email" localSheetId="0">Metadata_FluxData!$A$18</definedName>
    <definedName name="Email" localSheetId="2">Metadata_FluxData!$A$18</definedName>
    <definedName name="End_Date" localSheetId="0">Metadata_FluxData!$A$34</definedName>
    <definedName name="End_Date" localSheetId="2">Metadata_FluxData!$A$34</definedName>
    <definedName name="First_Name" localSheetId="0">Metadata_FluxData!$A$19</definedName>
    <definedName name="First_Name" localSheetId="2">Metadata_FluxData!$A$19</definedName>
    <definedName name="Geographic_Description" localSheetId="0">Metadata_FluxData!$A$48</definedName>
    <definedName name="Geographic_Description" localSheetId="2">Metadata_FluxData!$A$48</definedName>
    <definedName name="INVESTIGATOR_INFORMATION" localSheetId="0">Metadata_FluxData!$A$16</definedName>
    <definedName name="INVESTIGATOR_INFORMATION" localSheetId="2">Metadata_FluxData!$A$16</definedName>
    <definedName name="KEYWORD_INFORMATION" localSheetId="0">Metadata_FluxData!$A$63</definedName>
    <definedName name="KEYWORD_INFORMATION" localSheetId="2">Metadata_FluxData!$A$63</definedName>
    <definedName name="KEYWORDS" localSheetId="0">Metadata_FluxData!$A$64</definedName>
    <definedName name="KEYWORDS" localSheetId="2">Metadata_FluxData!$A$64</definedName>
    <definedName name="Last_Name" localSheetId="0">Metadata_FluxData!$A$20</definedName>
    <definedName name="Last_Name" localSheetId="2">Metadata_FluxData!$A$20</definedName>
    <definedName name="Latitude" localSheetId="0">Metadata_FluxData!$A$55</definedName>
    <definedName name="Latitude" localSheetId="2">Metadata_FluxData!$A$55</definedName>
    <definedName name="Link_to_Google_Map">Metadata_FluxData!$A$58</definedName>
    <definedName name="Location_Bounding_Box" localSheetId="0">Metadata_FluxData!$A$49</definedName>
    <definedName name="Location_Bounding_Box" localSheetId="2">Metadata_FluxData!$A$49</definedName>
    <definedName name="Location_Name" localSheetId="0">Metadata_FluxData!$A$47</definedName>
    <definedName name="Location_Name" localSheetId="2">Metadata_FluxData!$A$47</definedName>
    <definedName name="Log_of_Changes" localSheetId="0">Metadata_FluxData!$A$40</definedName>
    <definedName name="Log_of_Changes" localSheetId="2">Metadata_FluxData!$A$40</definedName>
    <definedName name="Longitude" localSheetId="0">Metadata_FluxData!$A$56</definedName>
    <definedName name="Longitude" localSheetId="2">Metadata_FluxData!$A$56</definedName>
    <definedName name="LTER_Sites_number">'Sites(Do NOT Edit)'!$A$2:$A$638</definedName>
    <definedName name="Maintenance_Description" localSheetId="0">Metadata_FluxData!$A$39</definedName>
    <definedName name="Maintenance_Description" localSheetId="2">Metadata_FluxData!$A$39</definedName>
    <definedName name="Metacat_Package_ID" localSheetId="0">Metadata_FluxData!$A$2</definedName>
    <definedName name="Metacat_Package_ID" localSheetId="2">Metadata_FluxData!$A$2</definedName>
    <definedName name="METHODS" localSheetId="0">Metadata_FluxData!$A$67</definedName>
    <definedName name="METHODS" localSheetId="2">Metadata_FluxData!$A$67</definedName>
    <definedName name="Missing_Value_Code" localSheetId="0">Metadata_FluxData!$G$190</definedName>
    <definedName name="Missing_Value_Code" localSheetId="2">Metadata_FluxData!$G$190</definedName>
    <definedName name="North_Bounding_Coordinate" localSheetId="0">Metadata_FluxData!$A$52</definedName>
    <definedName name="North_Bounding_Coordinate" localSheetId="2">Metadata_FluxData!$A$52</definedName>
    <definedName name="Number_of_Data_Records" localSheetId="0">Metadata_FluxData!$A$35</definedName>
    <definedName name="Number_of_Data_Records" localSheetId="2">Metadata_FluxData!$A$35</definedName>
    <definedName name="OR" localSheetId="0">Metadata_FluxData!$A$181</definedName>
    <definedName name="OR" localSheetId="2">Metadata_FluxData!$A$181</definedName>
    <definedName name="OR_if_single_point_location" localSheetId="0">Metadata_FluxData!$A$54</definedName>
    <definedName name="OR_if_single_point_location" localSheetId="2">Metadata_FluxData!$A$54</definedName>
    <definedName name="Organisms_studied" localSheetId="0">Metadata_FluxData!$A$61</definedName>
    <definedName name="Organisms_studied" localSheetId="2">Metadata_FluxData!$A$61</definedName>
    <definedName name="Organization" localSheetId="0">Metadata_FluxData!$A$21</definedName>
    <definedName name="Organization" localSheetId="2">Metadata_FluxData!$A$21</definedName>
    <definedName name="Other_Files_to_Reference" localSheetId="0">Metadata_FluxData!$A$36</definedName>
    <definedName name="Other_Files_to_Reference" localSheetId="2">Metadata_FluxData!$A$36</definedName>
    <definedName name="Protocol_Document" localSheetId="0">Metadata_FluxData!$A$182</definedName>
    <definedName name="Protocol_Document" localSheetId="2">Metadata_FluxData!$A$182</definedName>
    <definedName name="Protocol_Title" localSheetId="0">Metadata_FluxData!$A$179</definedName>
    <definedName name="Protocol_Title" localSheetId="2">Metadata_FluxData!$A$179</definedName>
    <definedName name="Quality_Control_Information" localSheetId="0">Metadata_FluxData!$A$38</definedName>
    <definedName name="Quality_Control_Information" localSheetId="2">Metadata_FluxData!$A$38</definedName>
    <definedName name="RESEARCH_LOCATION" localSheetId="0">Metadata_FluxData!$A$46</definedName>
    <definedName name="RESEARCH_LOCATION" localSheetId="2">Metadata_FluxData!$A$46</definedName>
    <definedName name="Role" localSheetId="0">Metadata_FluxData!$A$17</definedName>
    <definedName name="Role" localSheetId="2">Metadata_FluxData!$A$17</definedName>
    <definedName name="Sampling_and_or_Lab_Protocols" localSheetId="0">Metadata_FluxData!$A$178</definedName>
    <definedName name="Sampling_and_or_Lab_Protocols" localSheetId="2">Metadata_FluxData!$A$178</definedName>
    <definedName name="Site_name">'Sites(Do NOT Edit)'!$B$3:$B$638</definedName>
    <definedName name="Site_name_list">'Sites(Do NOT Edit)'!$B$2:$B$638</definedName>
    <definedName name="Sites">'Sites(Do NOT Edit)'!$A$3:$M$638</definedName>
    <definedName name="South_Bounding_Coordinate" localSheetId="0">Metadata_FluxData!$A$53</definedName>
    <definedName name="South_Bounding_Coordinate" localSheetId="2">Metadata_FluxData!$A$53</definedName>
    <definedName name="State" localSheetId="0">Metadata_FluxData!$A$25</definedName>
    <definedName name="State" localSheetId="2">Metadata_FluxData!$A$25</definedName>
    <definedName name="TAXONOMIC_COVERAGE" localSheetId="0">Metadata_FluxData!$A$60</definedName>
    <definedName name="TAXONOMIC_COVERAGE" localSheetId="2">Metadata_FluxData!$A$60</definedName>
    <definedName name="Units" localSheetId="0">Metadata_FluxData!$D$190</definedName>
    <definedName name="Units" localSheetId="2">Metadata_FluxData!$D$190</definedName>
    <definedName name="URL_of_online_Protocol" localSheetId="0">Metadata_FluxData!$A$180</definedName>
    <definedName name="URL_of_online_Protocol" localSheetId="2">Metadata_FluxData!$A$180</definedName>
    <definedName name="Variable_Description" localSheetId="0">Metadata_FluxData!$B$190</definedName>
    <definedName name="Variable_Description" localSheetId="2">Metadata_FluxData!$B$190</definedName>
    <definedName name="VARIABLE_DESCRIPTIONS" localSheetId="0">Metadata_FluxData!$A$189</definedName>
    <definedName name="VARIABLE_DESCRIPTIONS" localSheetId="2">Metadata_FluxData!$A$189</definedName>
    <definedName name="Variable_Name" localSheetId="0">Metadata_FluxData!$A$190</definedName>
    <definedName name="Variable_Name" localSheetId="2">Metadata_FluxData!$A$190</definedName>
    <definedName name="West_Bounding_Coordinate" localSheetId="0">Metadata_FluxData!$A$50</definedName>
    <definedName name="West_Bounding_Coordinate" localSheetId="2">Metadata_FluxData!$A$50</definedName>
    <definedName name="Year_Released_to_Public" localSheetId="0">Metadata_FluxData!$A$3</definedName>
    <definedName name="Year_Released_to_Public" localSheetId="2">Metadata_FluxData!$A$3</definedName>
    <definedName name="Zip_Code" localSheetId="0">Metadata_FluxData!$A$26</definedName>
    <definedName name="Zip_Code" localSheetId="2">Metadata_FluxData!$A$26</definedName>
  </definedNames>
  <calcPr calcId="125725"/>
  <extLst>
    <ext xmlns:mx="http://schemas.microsoft.com/office/mac/excel/2008/main" uri="http://schemas.microsoft.com/office/mac/excel/2008/main">
      <mx:ArchID Flags="2"/>
    </ext>
  </extLst>
</workbook>
</file>

<file path=xl/calcChain.xml><?xml version="1.0" encoding="utf-8"?>
<calcChain xmlns="http://schemas.openxmlformats.org/spreadsheetml/2006/main">
  <c r="M638" i="53"/>
  <c r="M637"/>
  <c r="M636"/>
  <c r="M635"/>
  <c r="M634"/>
  <c r="M633"/>
  <c r="M632"/>
  <c r="M631"/>
  <c r="M630"/>
  <c r="M629"/>
  <c r="M628"/>
  <c r="M627"/>
  <c r="M626"/>
  <c r="M625"/>
  <c r="M624"/>
  <c r="M623"/>
  <c r="M622"/>
  <c r="M621"/>
  <c r="M620"/>
  <c r="M619"/>
  <c r="M618"/>
  <c r="M617"/>
  <c r="M616"/>
  <c r="M615"/>
  <c r="M614"/>
  <c r="M613"/>
  <c r="M612"/>
  <c r="M611"/>
  <c r="M610"/>
  <c r="M609"/>
  <c r="M608"/>
  <c r="M607"/>
  <c r="M606"/>
  <c r="M605"/>
  <c r="M604"/>
  <c r="M603"/>
  <c r="M602"/>
  <c r="M601"/>
  <c r="M600"/>
  <c r="M599"/>
  <c r="M598"/>
  <c r="M597"/>
  <c r="M596"/>
  <c r="M595"/>
  <c r="M594"/>
  <c r="M593"/>
  <c r="M592"/>
  <c r="M591"/>
  <c r="M590"/>
  <c r="M589"/>
  <c r="M588"/>
  <c r="M587"/>
  <c r="M586"/>
  <c r="M585"/>
  <c r="M584"/>
  <c r="M583"/>
  <c r="M582"/>
  <c r="M581"/>
  <c r="M580"/>
  <c r="M579"/>
  <c r="M578"/>
  <c r="M577"/>
  <c r="M576"/>
  <c r="M575"/>
  <c r="M574"/>
  <c r="M573"/>
  <c r="M572"/>
  <c r="M571"/>
  <c r="M570"/>
  <c r="M569"/>
  <c r="M568"/>
  <c r="M567"/>
  <c r="M566"/>
  <c r="M565"/>
  <c r="M564"/>
  <c r="M563"/>
  <c r="M562"/>
  <c r="M561"/>
  <c r="M560"/>
  <c r="M559"/>
  <c r="M558"/>
  <c r="M557"/>
  <c r="M556"/>
  <c r="M555"/>
  <c r="M554"/>
  <c r="M553"/>
  <c r="M552"/>
  <c r="M551"/>
  <c r="M550"/>
  <c r="M549"/>
  <c r="M548"/>
  <c r="M547"/>
  <c r="M546"/>
  <c r="M545"/>
  <c r="M544"/>
  <c r="M543"/>
  <c r="M542"/>
  <c r="M541"/>
  <c r="M540"/>
  <c r="M539"/>
  <c r="M538"/>
  <c r="M537"/>
  <c r="M536"/>
  <c r="M535"/>
  <c r="M534"/>
  <c r="M533"/>
  <c r="M532"/>
  <c r="M531"/>
  <c r="M530"/>
  <c r="M529"/>
  <c r="M528"/>
  <c r="M527"/>
  <c r="M526"/>
  <c r="M525"/>
  <c r="M524"/>
  <c r="M523"/>
  <c r="M522"/>
  <c r="M521"/>
  <c r="M520"/>
  <c r="M519"/>
  <c r="M518"/>
  <c r="M517"/>
  <c r="M516"/>
  <c r="M515"/>
  <c r="M514"/>
  <c r="M513"/>
  <c r="M512"/>
  <c r="M511"/>
  <c r="M510"/>
  <c r="M509"/>
  <c r="M508"/>
  <c r="M507"/>
  <c r="M506"/>
  <c r="M505"/>
  <c r="M504"/>
  <c r="M503"/>
  <c r="M502"/>
  <c r="M501"/>
  <c r="M500"/>
  <c r="M499"/>
  <c r="M498"/>
  <c r="M497"/>
  <c r="M496"/>
  <c r="M495"/>
  <c r="M494"/>
  <c r="M493"/>
  <c r="M492"/>
  <c r="M491"/>
  <c r="M490"/>
  <c r="M489"/>
  <c r="M488"/>
  <c r="M487"/>
  <c r="M486"/>
  <c r="M485"/>
  <c r="M484"/>
  <c r="M483"/>
  <c r="M482"/>
  <c r="M481"/>
  <c r="M480"/>
  <c r="M479"/>
  <c r="M478"/>
  <c r="M477"/>
  <c r="M476"/>
  <c r="M475"/>
  <c r="M474"/>
  <c r="M473"/>
  <c r="M472"/>
  <c r="M471"/>
  <c r="M470"/>
  <c r="M469"/>
  <c r="M468"/>
  <c r="M467"/>
  <c r="M466"/>
  <c r="M465"/>
  <c r="M464"/>
  <c r="M463"/>
  <c r="M462"/>
  <c r="M461"/>
  <c r="M460"/>
  <c r="M459"/>
  <c r="M458"/>
  <c r="M457"/>
  <c r="M456"/>
  <c r="M455"/>
  <c r="M454"/>
  <c r="M453"/>
  <c r="M452"/>
  <c r="M451"/>
  <c r="M450"/>
  <c r="M449"/>
  <c r="M448"/>
  <c r="M447"/>
  <c r="M446"/>
  <c r="M445"/>
  <c r="M444"/>
  <c r="M443"/>
  <c r="M442"/>
  <c r="M441"/>
  <c r="M440"/>
  <c r="M439"/>
  <c r="M438"/>
  <c r="M437"/>
  <c r="M436"/>
  <c r="M435"/>
  <c r="N434"/>
  <c r="M434"/>
  <c r="N433"/>
  <c r="M433"/>
  <c r="N432"/>
  <c r="M432"/>
  <c r="N431"/>
  <c r="M431"/>
  <c r="N430"/>
  <c r="M430"/>
  <c r="N429"/>
  <c r="M429"/>
  <c r="N428"/>
  <c r="M428"/>
  <c r="N427"/>
  <c r="M427"/>
  <c r="N426"/>
  <c r="M426"/>
  <c r="N425"/>
  <c r="M425"/>
  <c r="N424"/>
  <c r="M424"/>
  <c r="N423"/>
  <c r="M423"/>
  <c r="N422"/>
  <c r="M422"/>
  <c r="N421"/>
  <c r="M421"/>
  <c r="N420"/>
  <c r="M420"/>
  <c r="N419"/>
  <c r="M419"/>
  <c r="N418"/>
  <c r="M418"/>
  <c r="N417"/>
  <c r="M417"/>
  <c r="N416"/>
  <c r="M416"/>
  <c r="N415"/>
  <c r="M415"/>
  <c r="N414"/>
  <c r="M414"/>
  <c r="N413"/>
  <c r="M413"/>
  <c r="N412"/>
  <c r="M412"/>
  <c r="N411"/>
  <c r="M411"/>
  <c r="N410"/>
  <c r="M410"/>
  <c r="N409"/>
  <c r="M409"/>
  <c r="N408"/>
  <c r="M408"/>
  <c r="N407"/>
  <c r="M407"/>
  <c r="N406"/>
  <c r="M406"/>
  <c r="N405"/>
  <c r="M405"/>
  <c r="N404"/>
  <c r="M404"/>
  <c r="N403"/>
  <c r="M403"/>
  <c r="N402"/>
  <c r="M402"/>
  <c r="N401"/>
  <c r="M401"/>
  <c r="N400"/>
  <c r="M400"/>
  <c r="N399"/>
  <c r="M399"/>
  <c r="N398"/>
  <c r="M398"/>
  <c r="N397"/>
  <c r="M397"/>
  <c r="N396"/>
  <c r="M396"/>
  <c r="N395"/>
  <c r="M395"/>
  <c r="N394"/>
  <c r="M394"/>
  <c r="N393"/>
  <c r="M393"/>
  <c r="N392"/>
  <c r="M392"/>
  <c r="N391"/>
  <c r="M391"/>
  <c r="N390"/>
  <c r="M390"/>
  <c r="N389"/>
  <c r="M389"/>
  <c r="N388"/>
  <c r="M388"/>
  <c r="N387"/>
  <c r="M387"/>
  <c r="N386"/>
  <c r="M386"/>
  <c r="N385"/>
  <c r="M385"/>
  <c r="N384"/>
  <c r="M384"/>
  <c r="N383"/>
  <c r="M383"/>
  <c r="N382"/>
  <c r="M382"/>
  <c r="N381"/>
  <c r="M381"/>
  <c r="N380"/>
  <c r="M380"/>
  <c r="N379"/>
  <c r="M379"/>
  <c r="N378"/>
  <c r="M378"/>
  <c r="N377"/>
  <c r="M377"/>
  <c r="N376"/>
  <c r="M376"/>
  <c r="N375"/>
  <c r="M375"/>
  <c r="N374"/>
  <c r="M374"/>
  <c r="N373"/>
  <c r="M373"/>
  <c r="N372"/>
  <c r="M372"/>
  <c r="N371"/>
  <c r="M371"/>
  <c r="N370"/>
  <c r="M370"/>
  <c r="N369"/>
  <c r="M369"/>
  <c r="N368"/>
  <c r="M368"/>
  <c r="N367"/>
  <c r="M367"/>
  <c r="N366"/>
  <c r="M366"/>
  <c r="N365"/>
  <c r="M365"/>
  <c r="N364"/>
  <c r="M364"/>
  <c r="N363"/>
  <c r="M363"/>
  <c r="N362"/>
  <c r="M362"/>
  <c r="N361"/>
  <c r="M361"/>
  <c r="N360"/>
  <c r="M360"/>
  <c r="N359"/>
  <c r="M359"/>
  <c r="N358"/>
  <c r="M358"/>
  <c r="N357"/>
  <c r="M357"/>
  <c r="N356"/>
  <c r="M356"/>
  <c r="M355"/>
  <c r="M354"/>
  <c r="M353"/>
  <c r="M352"/>
  <c r="M351"/>
  <c r="M350"/>
  <c r="M349"/>
  <c r="M348"/>
  <c r="M347"/>
  <c r="M346"/>
  <c r="M345"/>
  <c r="M344"/>
  <c r="M343"/>
  <c r="M342"/>
  <c r="M341"/>
  <c r="M340"/>
  <c r="M339"/>
  <c r="M338"/>
  <c r="M337"/>
  <c r="M336"/>
  <c r="M335"/>
  <c r="M334"/>
  <c r="M333"/>
  <c r="M332"/>
  <c r="M331"/>
  <c r="M330"/>
  <c r="M329"/>
  <c r="M328"/>
  <c r="M327"/>
  <c r="M326"/>
  <c r="M325"/>
  <c r="M324"/>
  <c r="M323"/>
  <c r="M322"/>
  <c r="M321"/>
  <c r="M320"/>
  <c r="M319"/>
  <c r="M318"/>
  <c r="M317"/>
  <c r="M316"/>
  <c r="M315"/>
  <c r="M314"/>
  <c r="M313"/>
  <c r="M312"/>
  <c r="M311"/>
  <c r="M310"/>
  <c r="M309"/>
  <c r="M308"/>
  <c r="M307"/>
  <c r="M306"/>
  <c r="M305"/>
  <c r="M304"/>
  <c r="M303"/>
  <c r="M302"/>
  <c r="M301"/>
  <c r="M300"/>
  <c r="M299"/>
  <c r="M298"/>
  <c r="M297"/>
  <c r="M296"/>
  <c r="M295"/>
  <c r="M294"/>
  <c r="M293"/>
  <c r="M292"/>
  <c r="M291"/>
  <c r="M290"/>
  <c r="M289"/>
  <c r="M288"/>
  <c r="M287"/>
  <c r="M286"/>
  <c r="M285"/>
  <c r="M284"/>
  <c r="M283"/>
  <c r="M282"/>
  <c r="M281"/>
  <c r="M280"/>
  <c r="M279"/>
  <c r="M278"/>
  <c r="M277"/>
  <c r="M276"/>
  <c r="M275"/>
  <c r="M274"/>
  <c r="M273"/>
  <c r="M272"/>
  <c r="M271"/>
  <c r="M270"/>
  <c r="M269"/>
  <c r="M268"/>
  <c r="M267"/>
  <c r="M266"/>
  <c r="M265"/>
  <c r="M264"/>
  <c r="M263"/>
  <c r="M262"/>
  <c r="M261"/>
  <c r="M260"/>
  <c r="M259"/>
  <c r="M258"/>
  <c r="M257"/>
  <c r="M256"/>
  <c r="M255"/>
  <c r="M254"/>
  <c r="M253"/>
  <c r="M252"/>
  <c r="M251"/>
  <c r="M250"/>
  <c r="M249"/>
  <c r="M248"/>
  <c r="M247"/>
  <c r="M246"/>
  <c r="M245"/>
  <c r="M244"/>
  <c r="M243"/>
  <c r="M242"/>
  <c r="M241"/>
  <c r="M240"/>
  <c r="M239"/>
  <c r="M238"/>
  <c r="M237"/>
  <c r="M236"/>
  <c r="M235"/>
  <c r="M234"/>
  <c r="M233"/>
  <c r="M232"/>
  <c r="M231"/>
  <c r="M230"/>
  <c r="M229"/>
  <c r="M228"/>
  <c r="M227"/>
  <c r="M226"/>
  <c r="M225"/>
  <c r="M224"/>
  <c r="M223"/>
  <c r="M222"/>
  <c r="M221"/>
  <c r="M220"/>
  <c r="M219"/>
  <c r="M218"/>
  <c r="M217"/>
  <c r="M216"/>
  <c r="M215"/>
  <c r="M214"/>
  <c r="M213"/>
  <c r="M212"/>
  <c r="M211"/>
  <c r="M210"/>
  <c r="M209"/>
  <c r="M208"/>
  <c r="M207"/>
  <c r="M206"/>
  <c r="M205"/>
  <c r="M204"/>
  <c r="M203"/>
  <c r="M202"/>
  <c r="M201"/>
  <c r="M200"/>
  <c r="N199"/>
  <c r="M199"/>
  <c r="N198"/>
  <c r="M198"/>
  <c r="N197"/>
  <c r="M197"/>
  <c r="N196"/>
  <c r="M196"/>
  <c r="N195"/>
  <c r="M195"/>
  <c r="N194"/>
  <c r="M194"/>
  <c r="N193"/>
  <c r="M193"/>
  <c r="N192"/>
  <c r="M192"/>
  <c r="N191"/>
  <c r="M191"/>
  <c r="N190"/>
  <c r="M190"/>
  <c r="N189"/>
  <c r="M189"/>
  <c r="N188"/>
  <c r="M188"/>
  <c r="N187"/>
  <c r="M187"/>
  <c r="N186"/>
  <c r="M186"/>
  <c r="N185"/>
  <c r="M185"/>
  <c r="N184"/>
  <c r="M184"/>
  <c r="N183"/>
  <c r="M183"/>
  <c r="N182"/>
  <c r="M182"/>
  <c r="N181"/>
  <c r="M181"/>
  <c r="N180"/>
  <c r="M180"/>
  <c r="N179"/>
  <c r="M179"/>
  <c r="N178"/>
  <c r="M178"/>
  <c r="N177"/>
  <c r="M177"/>
  <c r="N176"/>
  <c r="M176"/>
  <c r="N175"/>
  <c r="M175"/>
  <c r="N174"/>
  <c r="M174"/>
  <c r="N173"/>
  <c r="M173"/>
  <c r="N172"/>
  <c r="M172"/>
  <c r="N171"/>
  <c r="M171"/>
  <c r="N170"/>
  <c r="M170"/>
  <c r="N169"/>
  <c r="M169"/>
  <c r="N168"/>
  <c r="M168"/>
  <c r="N167"/>
  <c r="M167"/>
  <c r="M166"/>
  <c r="M165"/>
  <c r="M164"/>
  <c r="M163"/>
  <c r="M162"/>
  <c r="M161"/>
  <c r="M160"/>
  <c r="M159"/>
  <c r="M158"/>
  <c r="M157"/>
  <c r="M156"/>
  <c r="M155"/>
  <c r="M154"/>
  <c r="M153"/>
  <c r="M152"/>
  <c r="M151"/>
  <c r="M150"/>
  <c r="M149"/>
  <c r="M148"/>
  <c r="M147"/>
  <c r="M146"/>
  <c r="M145"/>
  <c r="M144"/>
  <c r="M143"/>
  <c r="M142"/>
  <c r="M141"/>
  <c r="M140"/>
  <c r="M139"/>
  <c r="M138"/>
  <c r="M137"/>
  <c r="M136"/>
  <c r="M135"/>
  <c r="M134"/>
  <c r="M133"/>
  <c r="M132"/>
  <c r="M131"/>
  <c r="M130"/>
  <c r="M129"/>
  <c r="M128"/>
  <c r="M127"/>
  <c r="M126"/>
  <c r="M125"/>
  <c r="M124"/>
  <c r="M123"/>
  <c r="M122"/>
  <c r="M121"/>
  <c r="M120"/>
  <c r="M119"/>
  <c r="M118"/>
  <c r="M117"/>
  <c r="M116"/>
  <c r="M115"/>
  <c r="M114"/>
  <c r="M113"/>
  <c r="M112"/>
  <c r="M111"/>
  <c r="M110"/>
  <c r="M109"/>
  <c r="M108"/>
  <c r="M107"/>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M12"/>
  <c r="M11"/>
  <c r="M10"/>
  <c r="M9"/>
  <c r="M8"/>
  <c r="M7"/>
  <c r="M6"/>
  <c r="M5"/>
  <c r="M4"/>
  <c r="M3"/>
  <c r="D48" i="52"/>
  <c r="E48"/>
  <c r="F48"/>
  <c r="G48"/>
  <c r="H48"/>
  <c r="I48"/>
  <c r="D55"/>
  <c r="D58" s="1"/>
  <c r="E55"/>
  <c r="E58" s="1"/>
  <c r="F55"/>
  <c r="F58" s="1"/>
  <c r="G55"/>
  <c r="G58" s="1"/>
  <c r="H55"/>
  <c r="H58" s="1"/>
  <c r="I55"/>
  <c r="I58" s="1"/>
  <c r="D56"/>
  <c r="E56"/>
  <c r="F56"/>
  <c r="G56"/>
  <c r="H56"/>
  <c r="I56"/>
  <c r="D57"/>
  <c r="E57"/>
  <c r="F57"/>
  <c r="G57"/>
  <c r="H57"/>
  <c r="I57"/>
  <c r="B58"/>
  <c r="C58"/>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6"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7"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7" authorId="1">
      <text>
        <r>
          <rPr>
            <b/>
            <sz val="9"/>
            <color indexed="81"/>
            <rFont val="Tahoma"/>
            <family val="2"/>
          </rPr>
          <t xml:space="preserve">The name of the sampling location or site number (from the official ARC LTER site list) see the "ARC LTER sites" worksheet Or enter a new site here.
</t>
        </r>
      </text>
    </comment>
    <comment ref="A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7"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8" authorId="1">
      <text>
        <r>
          <rPr>
            <b/>
            <sz val="9"/>
            <color indexed="81"/>
            <rFont val="Tahoma"/>
            <family val="2"/>
          </rPr>
          <t>This link is generated by a formula using the lat long.  It's a way oc checking the values entered.</t>
        </r>
      </text>
    </comment>
    <comment ref="A61"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1"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4"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4"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7"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79"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80" authorId="0">
      <text>
        <r>
          <rPr>
            <b/>
            <sz val="8"/>
            <color indexed="81"/>
            <rFont val="Tahoma"/>
            <family val="2"/>
          </rPr>
          <t>List the URL to an online protocol document.</t>
        </r>
      </text>
    </comment>
    <comment ref="A182" authorId="0">
      <text>
        <r>
          <rPr>
            <b/>
            <sz val="8"/>
            <color indexed="81"/>
            <rFont val="Tahoma"/>
            <family val="2"/>
          </rPr>
          <t>Describe the protocol used. Be as complete as possible.  Include any references and deviations used from references.</t>
        </r>
      </text>
    </comment>
    <comment ref="A189" authorId="3">
      <text>
        <r>
          <rPr>
            <b/>
            <sz val="8"/>
            <color indexed="81"/>
            <rFont val="Tahoma"/>
            <family val="2"/>
          </rPr>
          <t>This section describes the variables in the data set. Please be as complete as necessary.</t>
        </r>
      </text>
    </comment>
    <comment ref="A190"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90" authorId="3">
      <text>
        <r>
          <rPr>
            <b/>
            <sz val="8"/>
            <color indexed="81"/>
            <rFont val="Tahoma"/>
            <family val="2"/>
          </rPr>
          <t>Variable Description is an explanation of what the Variable represents. 
Include details about the units, e.g. microgram of NH4-N per gram of oven dried soil.</t>
        </r>
      </text>
    </comment>
    <comment ref="C190"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90"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90"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90"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90"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191"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91" authorId="3">
      <text>
        <r>
          <rPr>
            <b/>
            <sz val="8"/>
            <color indexed="81"/>
            <rFont val="Tahoma"/>
            <family val="2"/>
          </rPr>
          <t>Variable Description is an explanation of what the Variable represents. 
Include details about the units, e.g. microgram of NH4-N per gram of oven dried soil.</t>
        </r>
      </text>
    </comment>
    <comment ref="C191"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91"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91"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91"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91"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Verity</author>
    <author>jdrysdale</author>
    <author>Laura</author>
    <author>toolik</author>
  </authors>
  <commentList>
    <comment ref="T1" authorId="0">
      <text>
        <r>
          <rPr>
            <b/>
            <sz val="9"/>
            <color indexed="81"/>
            <rFont val="Tahoma"/>
            <family val="2"/>
          </rPr>
          <t>Laura:</t>
        </r>
        <r>
          <rPr>
            <sz val="9"/>
            <color indexed="81"/>
            <rFont val="Tahoma"/>
            <family val="2"/>
          </rPr>
          <t xml:space="preserve">
Measured Net Ecosystem Exchange
Fluxes are calculated from the slope of chamber CO2 (umol mol-1) or H2O (mmol mol-1) concentration over time:  
Fc  = rho x vol x dC/dt /SA            (eq. 1)    (eqn2)         rho = P_av x 1000/(R x T)
Where Fc = net CO2 flux (NEP) [umol m-2 s-1]  
         rho = air density [mol/m3] 
         P-av = pressure [kPa] 
         R =  ideal gas consant 8.314 [J mol-1 K-1]
         T = temperature [K] = Temp_av [°C] + 273.
         vol = chamber volume [m3]
         dC/dt = slope of chamber CO2 conc against time [umol mol-1 s-1]
         SA = chamber surface area [m2] = 0.95 * 0.95 = 0.89
</t>
        </r>
      </text>
    </comment>
    <comment ref="AA223" authorId="1">
      <text>
        <r>
          <rPr>
            <b/>
            <sz val="9"/>
            <color indexed="81"/>
            <rFont val="Tahoma"/>
            <family val="2"/>
          </rPr>
          <t>jdrysdale:</t>
        </r>
        <r>
          <rPr>
            <sz val="9"/>
            <color indexed="81"/>
            <rFont val="Tahoma"/>
            <family val="2"/>
          </rPr>
          <t xml:space="preserve">
File had two 1 min. scans under same file name. Since they both looked good they were run separately, very good flux values
</t>
        </r>
      </text>
    </comment>
    <comment ref="AB234" authorId="2">
      <text>
        <r>
          <rPr>
            <b/>
            <sz val="9"/>
            <color indexed="81"/>
            <rFont val="Tahoma"/>
            <family val="2"/>
          </rPr>
          <t>Laura:</t>
        </r>
        <r>
          <rPr>
            <sz val="9"/>
            <color indexed="81"/>
            <rFont val="Tahoma"/>
            <family val="2"/>
          </rPr>
          <t xml:space="preserve">
NO BF3 data available, though it is safe to assume tha this value would be similar to other diffuse light values as the diffuse light fraction did not change more than 0.05 all day.</t>
        </r>
      </text>
    </comment>
    <comment ref="AC234" authorId="2">
      <text>
        <r>
          <rPr>
            <b/>
            <sz val="9"/>
            <color indexed="81"/>
            <rFont val="Tahoma"/>
            <family val="2"/>
          </rPr>
          <t>Laura:</t>
        </r>
        <r>
          <rPr>
            <sz val="9"/>
            <color indexed="81"/>
            <rFont val="Tahoma"/>
            <family val="2"/>
          </rPr>
          <t xml:space="preserve">
NO BF3 data available, though it is safe to assume tha this value would be similar to other diffuse light values as the diffuse light fraction did not change more than 0.05 all day.</t>
        </r>
      </text>
    </comment>
    <comment ref="AD234" authorId="2">
      <text>
        <r>
          <rPr>
            <b/>
            <sz val="9"/>
            <color indexed="81"/>
            <rFont val="Tahoma"/>
            <family val="2"/>
          </rPr>
          <t>Laura:</t>
        </r>
        <r>
          <rPr>
            <sz val="9"/>
            <color indexed="81"/>
            <rFont val="Tahoma"/>
            <family val="2"/>
          </rPr>
          <t xml:space="preserve">
NO BF3 data available, though it is safe to assume tha this value would be similar to other diffuse light values as the diffuse light fraction did not change more than 0.05 all day.</t>
        </r>
      </text>
    </comment>
    <comment ref="AB235" authorId="2">
      <text>
        <r>
          <rPr>
            <b/>
            <sz val="9"/>
            <color indexed="81"/>
            <rFont val="Tahoma"/>
            <family val="2"/>
          </rPr>
          <t>Laura:</t>
        </r>
        <r>
          <rPr>
            <sz val="9"/>
            <color indexed="81"/>
            <rFont val="Tahoma"/>
            <family val="2"/>
          </rPr>
          <t xml:space="preserve">
NO BF3 data available, though it is safe to assume tha this value would be similar to other diffuse light values as the diffuse light fraction did not change more than 0.05 all day.</t>
        </r>
      </text>
    </comment>
    <comment ref="AC235" authorId="2">
      <text>
        <r>
          <rPr>
            <b/>
            <sz val="9"/>
            <color indexed="81"/>
            <rFont val="Tahoma"/>
            <family val="2"/>
          </rPr>
          <t>Laura:</t>
        </r>
        <r>
          <rPr>
            <sz val="9"/>
            <color indexed="81"/>
            <rFont val="Tahoma"/>
            <family val="2"/>
          </rPr>
          <t xml:space="preserve">
NO BF3 data available, though it is safe to assume tha this value would be similar to other diffuse light values as the diffuse light fraction did not change more than 0.05 all day.</t>
        </r>
      </text>
    </comment>
    <comment ref="AD235" authorId="2">
      <text>
        <r>
          <rPr>
            <b/>
            <sz val="9"/>
            <color indexed="81"/>
            <rFont val="Tahoma"/>
            <family val="2"/>
          </rPr>
          <t>Laura:</t>
        </r>
        <r>
          <rPr>
            <sz val="9"/>
            <color indexed="81"/>
            <rFont val="Tahoma"/>
            <family val="2"/>
          </rPr>
          <t xml:space="preserve">
NO BF3 data available, though it is safe to assume tha this value would be similar to other diffuse light values as the diffuse light fraction did not change more than 0.05 all day.</t>
        </r>
      </text>
    </comment>
    <comment ref="Z357" authorId="2">
      <text>
        <r>
          <rPr>
            <b/>
            <sz val="9"/>
            <color indexed="81"/>
            <rFont val="Tahoma"/>
            <family val="2"/>
          </rPr>
          <t>Laura:</t>
        </r>
        <r>
          <rPr>
            <sz val="9"/>
            <color indexed="81"/>
            <rFont val="Tahoma"/>
            <family val="2"/>
          </rPr>
          <t xml:space="preserve">
only one value?
</t>
        </r>
      </text>
    </comment>
    <comment ref="AA430" authorId="3">
      <text>
        <r>
          <rPr>
            <b/>
            <sz val="9"/>
            <color indexed="81"/>
            <rFont val="Tahoma"/>
            <family val="2"/>
          </rPr>
          <t>toolik:</t>
        </r>
        <r>
          <rPr>
            <sz val="9"/>
            <color indexed="81"/>
            <rFont val="Tahoma"/>
            <family val="2"/>
          </rPr>
          <t xml:space="preserve">
Original File name said "CH013" Changed after downloading the file from the Licor to minimize confusion. LV-26Jul12</t>
        </r>
      </text>
    </comment>
    <comment ref="AG477" authorId="2">
      <text>
        <r>
          <rPr>
            <b/>
            <sz val="9"/>
            <color indexed="81"/>
            <rFont val="Tahoma"/>
            <family val="2"/>
          </rPr>
          <t>Laura:</t>
        </r>
        <r>
          <rPr>
            <sz val="9"/>
            <color indexed="81"/>
            <rFont val="Tahoma"/>
            <family val="2"/>
          </rPr>
          <t xml:space="preserve">
On the edge of being a MIX...</t>
        </r>
      </text>
    </comment>
    <comment ref="AG479" authorId="2">
      <text>
        <r>
          <rPr>
            <b/>
            <sz val="9"/>
            <color indexed="81"/>
            <rFont val="Tahoma"/>
            <family val="2"/>
          </rPr>
          <t>Laura:</t>
        </r>
        <r>
          <rPr>
            <sz val="9"/>
            <color indexed="81"/>
            <rFont val="Tahoma"/>
            <family val="2"/>
          </rPr>
          <t xml:space="preserve">
Borderline - near direct
</t>
        </r>
      </text>
    </comment>
    <comment ref="AG486" authorId="2">
      <text>
        <r>
          <rPr>
            <b/>
            <sz val="9"/>
            <color indexed="81"/>
            <rFont val="Tahoma"/>
            <family val="2"/>
          </rPr>
          <t>Laura:</t>
        </r>
        <r>
          <rPr>
            <sz val="9"/>
            <color indexed="81"/>
            <rFont val="Tahoma"/>
            <family val="2"/>
          </rPr>
          <t xml:space="preserve">
Borderline - near direct
</t>
        </r>
      </text>
    </comment>
    <comment ref="AB487"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87"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D487"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488"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88"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D488"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489"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89"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D489"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490"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90"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D490"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491"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91"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492"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92"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495"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95"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497"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97"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498"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98"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499"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499"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G500" authorId="2">
      <text>
        <r>
          <rPr>
            <b/>
            <sz val="9"/>
            <color indexed="81"/>
            <rFont val="Tahoma"/>
            <family val="2"/>
          </rPr>
          <t>Laura:</t>
        </r>
        <r>
          <rPr>
            <sz val="9"/>
            <color indexed="81"/>
            <rFont val="Tahoma"/>
            <family val="2"/>
          </rPr>
          <t xml:space="preserve">
Borderline Diffuse fraction - almost MIX</t>
        </r>
      </text>
    </comment>
    <comment ref="AG501" authorId="2">
      <text>
        <r>
          <rPr>
            <b/>
            <sz val="9"/>
            <color indexed="81"/>
            <rFont val="Tahoma"/>
            <family val="2"/>
          </rPr>
          <t>Laura:</t>
        </r>
        <r>
          <rPr>
            <sz val="9"/>
            <color indexed="81"/>
            <rFont val="Tahoma"/>
            <family val="2"/>
          </rPr>
          <t xml:space="preserve">
Borderline Diffuse fraction - almost MIX</t>
        </r>
      </text>
    </comment>
    <comment ref="AB502"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02"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04"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04"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06"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06"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07"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07"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10"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10"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11"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11"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13"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13"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14"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14"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15"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15"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D515"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21"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21"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29"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29"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D529"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B530"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C530"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AD530" authorId="2">
      <text>
        <r>
          <rPr>
            <b/>
            <sz val="9"/>
            <color indexed="81"/>
            <rFont val="Tahoma"/>
            <family val="2"/>
          </rPr>
          <t>Laura:</t>
        </r>
        <r>
          <rPr>
            <sz val="9"/>
            <color indexed="81"/>
            <rFont val="Tahoma"/>
            <family val="2"/>
          </rPr>
          <t xml:space="preserve">
No BF3; these data were taken with the SunScan wand first taking a total irradiance/beam fraction measurement (by shading one segment of the wand), and then holding the wand above the chamber.  Values are the average of all scans taken (2-3)
</t>
        </r>
      </text>
    </comment>
    <comment ref="S531" authorId="2">
      <text>
        <r>
          <rPr>
            <b/>
            <sz val="9"/>
            <color indexed="81"/>
            <rFont val="Tahoma"/>
            <family val="2"/>
          </rPr>
          <t>Laura:</t>
        </r>
        <r>
          <rPr>
            <sz val="9"/>
            <color indexed="81"/>
            <rFont val="Tahoma"/>
            <family val="2"/>
          </rPr>
          <t xml:space="preserve">
Excluded three measurements as outliers</t>
        </r>
      </text>
    </comment>
    <comment ref="Z531" authorId="2">
      <text>
        <r>
          <rPr>
            <b/>
            <sz val="9"/>
            <color indexed="81"/>
            <rFont val="Tahoma"/>
            <family val="2"/>
          </rPr>
          <t>Laura:</t>
        </r>
        <r>
          <rPr>
            <sz val="9"/>
            <color indexed="81"/>
            <rFont val="Tahoma"/>
            <family val="2"/>
          </rPr>
          <t xml:space="preserve">
No BF3 sensor; measurements taken by taking incident light abv canopy, then shading end of wand to estimate BF</t>
        </r>
      </text>
    </comment>
    <comment ref="AB537" authorId="2">
      <text>
        <r>
          <rPr>
            <b/>
            <sz val="9"/>
            <color indexed="81"/>
            <rFont val="Tahoma"/>
            <family val="2"/>
          </rPr>
          <t>Laura:</t>
        </r>
        <r>
          <rPr>
            <sz val="9"/>
            <color indexed="81"/>
            <rFont val="Tahoma"/>
            <family val="2"/>
          </rPr>
          <t xml:space="preserve">
Tot Irrad from SunScan wand</t>
        </r>
      </text>
    </comment>
    <comment ref="AC537" authorId="2">
      <text>
        <r>
          <rPr>
            <b/>
            <sz val="9"/>
            <color indexed="81"/>
            <rFont val="Tahoma"/>
            <family val="2"/>
          </rPr>
          <t>Laura:</t>
        </r>
        <r>
          <rPr>
            <sz val="9"/>
            <color indexed="81"/>
            <rFont val="Tahoma"/>
            <family val="2"/>
          </rPr>
          <t xml:space="preserve">
Diffuse fraction estimated with BF on SunScan wand
</t>
        </r>
      </text>
    </comment>
    <comment ref="AD537"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B538" authorId="2">
      <text>
        <r>
          <rPr>
            <b/>
            <sz val="9"/>
            <color indexed="81"/>
            <rFont val="Tahoma"/>
            <family val="2"/>
          </rPr>
          <t>Laura:</t>
        </r>
        <r>
          <rPr>
            <sz val="9"/>
            <color indexed="81"/>
            <rFont val="Tahoma"/>
            <family val="2"/>
          </rPr>
          <t xml:space="preserve">
Tot Irrad from SunScan wand</t>
        </r>
      </text>
    </comment>
    <comment ref="AC538" authorId="2">
      <text>
        <r>
          <rPr>
            <b/>
            <sz val="9"/>
            <color indexed="81"/>
            <rFont val="Tahoma"/>
            <family val="2"/>
          </rPr>
          <t>Laura:</t>
        </r>
        <r>
          <rPr>
            <sz val="9"/>
            <color indexed="81"/>
            <rFont val="Tahoma"/>
            <family val="2"/>
          </rPr>
          <t xml:space="preserve">
Diffuse fraction estimated with BF on SunScan wand
</t>
        </r>
      </text>
    </comment>
    <comment ref="AD538"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B539" authorId="2">
      <text>
        <r>
          <rPr>
            <b/>
            <sz val="9"/>
            <color indexed="81"/>
            <rFont val="Tahoma"/>
            <family val="2"/>
          </rPr>
          <t>Laura:</t>
        </r>
        <r>
          <rPr>
            <sz val="9"/>
            <color indexed="81"/>
            <rFont val="Tahoma"/>
            <family val="2"/>
          </rPr>
          <t xml:space="preserve">
Tot Irrad from SunScan wand</t>
        </r>
      </text>
    </comment>
    <comment ref="AC539" authorId="2">
      <text>
        <r>
          <rPr>
            <b/>
            <sz val="9"/>
            <color indexed="81"/>
            <rFont val="Tahoma"/>
            <family val="2"/>
          </rPr>
          <t>Laura:</t>
        </r>
        <r>
          <rPr>
            <sz val="9"/>
            <color indexed="81"/>
            <rFont val="Tahoma"/>
            <family val="2"/>
          </rPr>
          <t xml:space="preserve">
Diffuse fraction estimated with BF on SunScan wand
</t>
        </r>
      </text>
    </comment>
    <comment ref="AD539"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42"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43"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45"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50"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51"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54"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55"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56"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60"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 ref="AD562" authorId="2">
      <text>
        <r>
          <rPr>
            <b/>
            <sz val="9"/>
            <color indexed="81"/>
            <rFont val="Tahoma"/>
            <family val="2"/>
          </rPr>
          <t>Laura:</t>
        </r>
        <r>
          <rPr>
            <sz val="9"/>
            <color indexed="81"/>
            <rFont val="Tahoma"/>
            <family val="2"/>
          </rPr>
          <t xml:space="preserve">
No BF3 sensor; using SunScan wand (shading one end) to approximate diffuse fraction.  BF is in terms of % direct light (rather than diffuse); therefor diffuse fraction is 1-BF.
</t>
        </r>
      </text>
    </comment>
  </commentList>
</comments>
</file>

<file path=xl/comments3.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<sst xmlns="http://schemas.openxmlformats.org/spreadsheetml/2006/main" count="14767" uniqueCount="3076">
  <si>
    <t>Diffuse-Cloud (&gt;70% diffuse)</t>
  </si>
  <si>
    <t>Diffuse-Difuser (&gt;70% diffuse)</t>
  </si>
  <si>
    <t>Mix (41-69% diffuse)</t>
  </si>
  <si>
    <t>Bright sun</t>
  </si>
  <si>
    <t>Dark Cloud</t>
  </si>
  <si>
    <t>Bright Cloud</t>
  </si>
  <si>
    <t>Upland</t>
  </si>
  <si>
    <t>Fert</t>
  </si>
  <si>
    <t>SAL-P</t>
  </si>
  <si>
    <t>CH003</t>
  </si>
  <si>
    <t>CH004</t>
  </si>
  <si>
    <t>CH005</t>
  </si>
  <si>
    <t>CH006</t>
  </si>
  <si>
    <t>CH007</t>
  </si>
  <si>
    <t>CH008</t>
  </si>
  <si>
    <t>CH009</t>
  </si>
  <si>
    <t>CH010</t>
  </si>
  <si>
    <t>CH011</t>
  </si>
  <si>
    <t>CH012</t>
  </si>
  <si>
    <t>CH013</t>
  </si>
  <si>
    <t>CH014</t>
  </si>
  <si>
    <t>CH015</t>
  </si>
  <si>
    <t>Toolik</t>
  </si>
  <si>
    <t>Outlet</t>
  </si>
  <si>
    <t>CH002</t>
  </si>
  <si>
    <t>None</t>
  </si>
  <si>
    <t>DD-MMM-YY</t>
  </si>
  <si>
    <t>BET</t>
  </si>
  <si>
    <t>2012jul0_up_ch003_spul_ambA_dif_</t>
  </si>
  <si>
    <t>2012jul0_up_ch003_spul_ambB_dif_</t>
  </si>
  <si>
    <t>2012jul0_up_ch003-spul_ambC</t>
  </si>
  <si>
    <t>2012jul0_up_ch003_spul_dif_whtA_</t>
  </si>
  <si>
    <t>2012jul0_up_ch003_spul_difdifA_</t>
  </si>
  <si>
    <t>2012jul0_up_ch003_spul_amb1A_</t>
  </si>
  <si>
    <t>2012jul0_up_ch003_spul_amb1B_</t>
  </si>
  <si>
    <t>2012jul0_up_ch003_spul_amb1C</t>
  </si>
  <si>
    <t>2012jul0_up_ch003_spul_dif_blkA</t>
  </si>
  <si>
    <t>2012jul0_up_ch003_spul_dif_blkB</t>
  </si>
  <si>
    <t>2012jul0_up_ch003_spul_dif_wht_reflectA</t>
  </si>
  <si>
    <t>2012jul0_up_ch003_spul_dif_wht_reflectB</t>
  </si>
  <si>
    <t>2012jul0_up_ch003_spul_dif_amb2B</t>
  </si>
  <si>
    <t>2012jul0_up_ch003_spul_dif_amb2C</t>
  </si>
  <si>
    <t>2012jul0_up_ch003_spul_dif_amb2D</t>
  </si>
  <si>
    <t>2012jul03_up_ch003_spul_dif-ambE</t>
  </si>
  <si>
    <t>2012jul03_up_ch003_spul_s1C</t>
  </si>
  <si>
    <t>2012jul03_up_ch003_spul_s1D_</t>
  </si>
  <si>
    <t>2012jul03_up_ch003_spul_s1E_amb_</t>
  </si>
  <si>
    <t>2012jul03_up_ch003_spul_s1F_amb_</t>
  </si>
  <si>
    <t>2012jul03_up_ch003_spul_s2_dif_</t>
  </si>
  <si>
    <t>2012jul03_up_ch003_spul_s2_ambA</t>
  </si>
  <si>
    <t>2012jul03_up_ch003_spul_s2_ambB</t>
  </si>
  <si>
    <t>2012jul03_up_ch003-s2A_</t>
  </si>
  <si>
    <t>2012jul03_up_ch003-dif_s3A_</t>
  </si>
  <si>
    <t>2012jul03_up_ch003-dif_s3B_</t>
  </si>
  <si>
    <t>2012jul03_up_ch003-respA</t>
  </si>
  <si>
    <t>2012jul03_up_ch003-respB</t>
  </si>
  <si>
    <t>2012jul03_up_ch003-respC</t>
  </si>
  <si>
    <t>02jul2012_uplands_SALP_ch003_difC_</t>
  </si>
  <si>
    <t>02jul2012_uplands_SALP_ch003_difE_</t>
  </si>
  <si>
    <t>02jul2012_uplands_SALP_dif_</t>
  </si>
  <si>
    <t>02jul2012_uplands_SALP_ch003_diffB_</t>
  </si>
  <si>
    <t>02jul2012_uplands_SALP_ch003_difD_</t>
  </si>
  <si>
    <t>02jul2012_uplands_SALP_ch003_amb2B_</t>
  </si>
  <si>
    <t>02jul2012_uplands_SALP_ch003_wht_blockA_</t>
  </si>
  <si>
    <t>02jul2012_uplands_SALP_ch003_amb2A_</t>
  </si>
  <si>
    <t>02jul2012_uplands_SALP_ch003_drkA_</t>
  </si>
  <si>
    <t>02jul2012_uplands_SALP_ch003_drkB_</t>
  </si>
  <si>
    <t>02jul2012_uplands_SALP_ch003_drkC_</t>
  </si>
  <si>
    <t>N/A</t>
  </si>
  <si>
    <t>Bright Sun</t>
  </si>
  <si>
    <t>Cloudy - Diffuse</t>
  </si>
  <si>
    <t>10:51:21</t>
  </si>
  <si>
    <t>10:36:36</t>
  </si>
  <si>
    <t>Sun &amp; Cloud Mix</t>
  </si>
  <si>
    <t>S1</t>
  </si>
  <si>
    <t>S2</t>
  </si>
  <si>
    <t>Cloudy</t>
  </si>
  <si>
    <t>S3</t>
  </si>
  <si>
    <t>dif_ambA</t>
  </si>
  <si>
    <t>dif_ambB</t>
  </si>
  <si>
    <t>dif_ambC</t>
  </si>
  <si>
    <t>dif_ambD</t>
  </si>
  <si>
    <t>ambJ</t>
  </si>
  <si>
    <t>shade1A</t>
  </si>
  <si>
    <t>shade1B</t>
  </si>
  <si>
    <t>shade1C</t>
  </si>
  <si>
    <t>shade2A</t>
  </si>
  <si>
    <t>shade2B</t>
  </si>
  <si>
    <t>shade2C_dif</t>
  </si>
  <si>
    <t>shade2D</t>
  </si>
  <si>
    <t>shade2E</t>
  </si>
  <si>
    <t>shade2F</t>
  </si>
  <si>
    <t>shade3A</t>
  </si>
  <si>
    <t>shade3-B</t>
  </si>
  <si>
    <t>Drk A</t>
  </si>
  <si>
    <t>Drk B</t>
  </si>
  <si>
    <t>Drk C</t>
  </si>
  <si>
    <t>shade1E</t>
  </si>
  <si>
    <t>Shade1-difA</t>
  </si>
  <si>
    <t>shade1-G</t>
  </si>
  <si>
    <t>shade1-H</t>
  </si>
  <si>
    <t>shade3D-dif</t>
  </si>
  <si>
    <t>dark1</t>
  </si>
  <si>
    <t>dark2</t>
  </si>
  <si>
    <t>ambE</t>
  </si>
  <si>
    <t>ambF</t>
  </si>
  <si>
    <t>Dif_ambG</t>
  </si>
  <si>
    <t>dif_dif_B</t>
  </si>
  <si>
    <t>dif_blkB</t>
  </si>
  <si>
    <t>dif_whitereflect</t>
  </si>
  <si>
    <t>dif_whitereflectB</t>
  </si>
  <si>
    <t>ambH</t>
  </si>
  <si>
    <t>ambI</t>
  </si>
  <si>
    <t>sun</t>
  </si>
  <si>
    <t>Diffuse - w/ diffuser</t>
  </si>
  <si>
    <t>sun?</t>
  </si>
  <si>
    <t>cloudy</t>
  </si>
  <si>
    <t>cloud diffuse</t>
  </si>
  <si>
    <t>diffuse?</t>
  </si>
  <si>
    <t>diffuse cloud</t>
  </si>
  <si>
    <t>dif_whtA</t>
  </si>
  <si>
    <t>dif_whtB</t>
  </si>
  <si>
    <t>dif_blkA</t>
  </si>
  <si>
    <t>cloudy?</t>
  </si>
  <si>
    <t>clouds</t>
  </si>
  <si>
    <t>dif_dif_A</t>
  </si>
  <si>
    <t>dif_ambH</t>
  </si>
  <si>
    <t>none</t>
  </si>
  <si>
    <t>dif-ambA</t>
  </si>
  <si>
    <t>Dark clouds</t>
  </si>
  <si>
    <t>dif-ambB</t>
  </si>
  <si>
    <t>dif-ambC</t>
  </si>
  <si>
    <t>dif-ambD</t>
  </si>
  <si>
    <t>dif-shd1A</t>
  </si>
  <si>
    <t>dif-shd1B</t>
  </si>
  <si>
    <t>dif-shd1C</t>
  </si>
  <si>
    <t>dif-shd1D</t>
  </si>
  <si>
    <t>dif-shd2A</t>
  </si>
  <si>
    <t>dif-shd2B</t>
  </si>
  <si>
    <t>dif-shd3A</t>
  </si>
  <si>
    <t>dif-shd3B</t>
  </si>
  <si>
    <t>drkA</t>
  </si>
  <si>
    <t>drkB</t>
  </si>
  <si>
    <t>drkC</t>
  </si>
  <si>
    <t>09jul2012_upland_ch005_ambA</t>
  </si>
  <si>
    <t>thin cloud</t>
  </si>
  <si>
    <t>09jul2012_upland_ch005_ambB</t>
  </si>
  <si>
    <t>09jul2012_upland_ch005_ambC</t>
  </si>
  <si>
    <t>09jul2012_upland_ch005_ambD</t>
  </si>
  <si>
    <t>09jul2012_upland_ch005_ambE</t>
  </si>
  <si>
    <t>09jul2012_upland_ch005_ambF</t>
  </si>
  <si>
    <t>09jul2012_upland_ch005_ambG</t>
  </si>
  <si>
    <t>09jul2012_upland_ch005_drkA</t>
  </si>
  <si>
    <t>09jul2012_upland_ch005_drkB</t>
  </si>
  <si>
    <t>09jul2012_upland_ch005_drkC</t>
  </si>
  <si>
    <t>09jul2012_upland_ch005_diffA</t>
  </si>
  <si>
    <t>09jul2012_upland_ch005_diffB</t>
  </si>
  <si>
    <t>09jul2012_upland_ch005_diffC</t>
  </si>
  <si>
    <t>09jul2012_upland_ch005_diffD_white</t>
  </si>
  <si>
    <t>09jul2012_upland_ch005_diffE</t>
  </si>
  <si>
    <t>09jul2012_upland_ch005_diffF_white</t>
  </si>
  <si>
    <t>09jul2012_upland_ch005_diffG_white</t>
  </si>
  <si>
    <t>09jul2012_upland_ch005_shd1B</t>
  </si>
  <si>
    <t>09jul2012_upland_ch005_shd1A_grey</t>
  </si>
  <si>
    <t>09jul2012_upland_ch005_shd1B_grey</t>
  </si>
  <si>
    <t>09jul2012_upland_ch005_shd2A</t>
  </si>
  <si>
    <t>09jul2012_upland_ch005_shd2B</t>
  </si>
  <si>
    <t>09jul2012_upland_ch005_shd3A</t>
  </si>
  <si>
    <t>09jul2012_upland_ch005_shd3B</t>
  </si>
  <si>
    <t>09jul2012_upland_ch005_shd4A</t>
  </si>
  <si>
    <t>bright sun</t>
  </si>
  <si>
    <t>rolling, bright clouds</t>
  </si>
  <si>
    <t>2012jul05-CH006_darkC</t>
  </si>
  <si>
    <t>2012jul05-CH006_darkA_</t>
  </si>
  <si>
    <t>2012jul05-CH006_darkB</t>
  </si>
  <si>
    <t>2012jul05-CH006_shade3_cloudA_</t>
  </si>
  <si>
    <t>bright clouds</t>
  </si>
  <si>
    <t>2012jul05-CH006_shade3_cloudB_</t>
  </si>
  <si>
    <t>2012jul05-CH006_shade3_cloudC_</t>
  </si>
  <si>
    <t>2012jul05-CH006_shade2_cloudD_</t>
  </si>
  <si>
    <t>2012jul05-CH006_shade2_cloudC_</t>
  </si>
  <si>
    <t>2012jul05-CH006_shade2_cloudB_</t>
  </si>
  <si>
    <t>2012jul05-CH006_shade2_cloudA_</t>
  </si>
  <si>
    <t>2012jul05-CH006_shade1_cloudC_</t>
  </si>
  <si>
    <t>2012jul05-CH006_shade1_cloudA_</t>
  </si>
  <si>
    <t>2012jul05-CH006_shade1_cloudB_</t>
  </si>
  <si>
    <t>2012jul05-CH006_amb_cloudF_end</t>
  </si>
  <si>
    <t>2012jul5-amb-cloudA</t>
  </si>
  <si>
    <t>2012jul05-CH006_amb-cloudB_</t>
  </si>
  <si>
    <t>2012jul05-CH006_amb-cloudE</t>
  </si>
  <si>
    <t>2012jul05-CH006_amb-cloudC_fit</t>
  </si>
  <si>
    <t>2012jul05-CH006_amb-cloudD_</t>
  </si>
  <si>
    <t>2012Jul09_up_Choo6_ambA_</t>
  </si>
  <si>
    <t>sunny</t>
  </si>
  <si>
    <t>2012Jul09_up_Choo6_ambB_</t>
  </si>
  <si>
    <t>2012Jul09_up_Choo6_ambC_</t>
  </si>
  <si>
    <t>2012Jul09_up_Choo6_amb-sunA_</t>
  </si>
  <si>
    <t>2012Jul09_up_Choo6_amb-sunB_</t>
  </si>
  <si>
    <t>2012Jul09_up_Choo6_amb-sunC</t>
  </si>
  <si>
    <t>2012Jul09_up_Choo6_amb-sunD_</t>
  </si>
  <si>
    <t>2012Jul09_up_Choo6_amb-sunE_</t>
  </si>
  <si>
    <t>2012Jul09_up_Choo6_diffuserA_</t>
  </si>
  <si>
    <t>2012Jul09_up_Choo6_diffuser-whtReflectA_</t>
  </si>
  <si>
    <t>2012Jul09_up_Choo6_diffuser-whtReflectB_</t>
  </si>
  <si>
    <t>2012Jul09_up_Choo6_diffuser-whtReflectC_</t>
  </si>
  <si>
    <t>2012Jul09_up_Choo6_direct_ambI_</t>
  </si>
  <si>
    <t>2012Jul09_up_Choo6_direct_ambJ_</t>
  </si>
  <si>
    <t>2012Jul09_up_Choo6_respA_</t>
  </si>
  <si>
    <t>2012Jul09_up_Choo6_respB_</t>
  </si>
  <si>
    <t>2012Jul09_up_Choo6_respC_</t>
  </si>
  <si>
    <t>2012Jul09_up_Choo6_shade1_directE_</t>
  </si>
  <si>
    <t>2012Jul09_up_Choo6_shade1_directG_</t>
  </si>
  <si>
    <t>2012Jul09_up_Choo6_shade1_directH_</t>
  </si>
  <si>
    <t>2012Jul09_up_Choo6_shade1-directA_</t>
  </si>
  <si>
    <t>2012Jul09_up_Choo6_shade1-directC_</t>
  </si>
  <si>
    <t>2012Jul09_up_Choo6_shade3_sunA_</t>
  </si>
  <si>
    <t>2012Jul09_up_Choo6_shade3_sunB_</t>
  </si>
  <si>
    <t>2012Jul09_up_Choo6_shade4_sunA_</t>
  </si>
  <si>
    <t>2012Jul09_up_Choo6_shade4_sunB_</t>
  </si>
  <si>
    <t>09jul2012_uplands_ch008_dif_whtrefA_</t>
  </si>
  <si>
    <t>09jul2012_uplands_ch008_difcloud_s3B_</t>
  </si>
  <si>
    <t>09jul2012_uplands_ch008_difcloud_s3C_</t>
  </si>
  <si>
    <t>09jul2012_uplands_ch008_difdifA_</t>
  </si>
  <si>
    <t>09jul2012_uplands_ch008_difdifB_</t>
  </si>
  <si>
    <t>09jul2012_uplands_ch008_difdifC_</t>
  </si>
  <si>
    <t>09jul2012_uplands_ch008_difdifD_</t>
  </si>
  <si>
    <t>09jul2012_uplands_ch008_difdifE_</t>
  </si>
  <si>
    <t>09jul2012_uplands_ch008_difs1A_</t>
  </si>
  <si>
    <t>09jul2012_uplands_ch008_difs1B_</t>
  </si>
  <si>
    <t>09jul2012_uplands_ch008_difs2A_</t>
  </si>
  <si>
    <t>09jul2012_uplands_ch008_difs2B_</t>
  </si>
  <si>
    <t>09jul2012_uplands_ch008_darkA_</t>
  </si>
  <si>
    <t>09jul2012_uplands_ch008_darkB_</t>
  </si>
  <si>
    <t>09jul2012_uplands_ch008_darkC_</t>
  </si>
  <si>
    <t>09jul2012_uplands_ch008_dir_s1A_</t>
  </si>
  <si>
    <t>09jul2012_uplands_ch008_dir_s1B_</t>
  </si>
  <si>
    <t>09jul2012_uplands_ch008_dir_s1C_</t>
  </si>
  <si>
    <t>09jul2012_uplands_ch008_dir_s1D_</t>
  </si>
  <si>
    <t>09jul2012_uplands_ch008_dir_s2A_</t>
  </si>
  <si>
    <t>09jul2012_uplands_ch008_dir_s2B_</t>
  </si>
  <si>
    <t>09jul2012_uplands_ch008_dir_s3A_</t>
  </si>
  <si>
    <t>09jul2012_uplands_ch008_direct_s3D_</t>
  </si>
  <si>
    <t>09jul2012_uplands_ch008_direct_s4A_</t>
  </si>
  <si>
    <t>09jul2012_uplands_ch008_direct_s4B_</t>
  </si>
  <si>
    <t>09jul2012_uplands_ch008_ambA_</t>
  </si>
  <si>
    <t>09jul2012_uplands_ch008_ambB_</t>
  </si>
  <si>
    <t>11jul2012_upland_ch009_ambA_</t>
  </si>
  <si>
    <t>11jul2012_upland_ch009_ambB_</t>
  </si>
  <si>
    <t>11jul2012_upland_ch009_shd1A_</t>
  </si>
  <si>
    <t>11jul2012_upland_ch009_shd1B_</t>
  </si>
  <si>
    <t>11jul2012_upland_ch009_shd2A_</t>
  </si>
  <si>
    <t>11jul2012_upland_ch009_shd2B_</t>
  </si>
  <si>
    <t>11jul2012_upland_ch009_shd3A_</t>
  </si>
  <si>
    <t>11jul2012_upland_ch009_shd3C_</t>
  </si>
  <si>
    <t>11jul2012_upland_ch009_shd4A_</t>
  </si>
  <si>
    <t>11jul2012_upland_ch009_shd4B_</t>
  </si>
  <si>
    <t>11jul2012_upland_ch009_ambC_</t>
  </si>
  <si>
    <t>11jul2012_upland_ch009_ambD_</t>
  </si>
  <si>
    <t>11jul2012_upland_ch009_ambE_</t>
  </si>
  <si>
    <t>11jul2012_upland_ch009_dif+whiteA_</t>
  </si>
  <si>
    <t>11jul2012_upland_ch009_dif+whiteB_</t>
  </si>
  <si>
    <t>11jul2012_upland_ch009_dif+whiteC_</t>
  </si>
  <si>
    <t>11jul2012_upland_ch009_dif+whiteD_</t>
  </si>
  <si>
    <t>11jul2012_upland_ch009_difA_</t>
  </si>
  <si>
    <t>11jul2012_upland_ch009_difB_</t>
  </si>
  <si>
    <t>11jul2012_upland_ch009_dif+whtE_</t>
  </si>
  <si>
    <t>11jul2012_upland_ch009_dif+whtF_</t>
  </si>
  <si>
    <t>11jul2012_upland_ch009_dif+shd1A_</t>
  </si>
  <si>
    <t>11jul2012_upland_ch009_dif+shd1B_</t>
  </si>
  <si>
    <t>11jul2012_upland_ch009_dif+shd2A_</t>
  </si>
  <si>
    <t>11jul2012_upland_ch009_dif+shd2B_</t>
  </si>
  <si>
    <t>11jul2012_upland_ch009_ambF_</t>
  </si>
  <si>
    <t>11jul2012_upland_ch009_ambG_</t>
  </si>
  <si>
    <t>11jul2012_upland_ch009_dif_whtE_</t>
  </si>
  <si>
    <t>11jul2012_upland_ch009_dif_whtG_</t>
  </si>
  <si>
    <t>11jul2012_upland_ch009_dif_whtH_</t>
  </si>
  <si>
    <t>11jul2012_upland_ch009_shd1C_</t>
  </si>
  <si>
    <t>11jul2012_upland_ch009_shd1D_</t>
  </si>
  <si>
    <t>11jul2012_upland_ch009_drkA_</t>
  </si>
  <si>
    <t>11jul2012_upland_ch009_drkB_</t>
  </si>
  <si>
    <t>11jul2012_upland_ch009_drkC_</t>
  </si>
  <si>
    <t>11jul2012_upland_ch009_difwhtI_</t>
  </si>
  <si>
    <t>cloud_dif_ambD</t>
  </si>
  <si>
    <t>cloud_dif_ambE</t>
  </si>
  <si>
    <t>cloud_dif_ambF</t>
  </si>
  <si>
    <t>cloud_dif_shd1A</t>
  </si>
  <si>
    <t>cloud_dif_shd1B</t>
  </si>
  <si>
    <t>cloud_dif_shd2A</t>
  </si>
  <si>
    <t>cloud_dif_shd2B</t>
  </si>
  <si>
    <t>cloud_dif_shd2C</t>
  </si>
  <si>
    <t>sunC</t>
  </si>
  <si>
    <t>sunD_diff</t>
  </si>
  <si>
    <t>sunE_diff</t>
  </si>
  <si>
    <t>sunE_white_diff</t>
  </si>
  <si>
    <t>sunF_amb</t>
  </si>
  <si>
    <t>dif_s3a</t>
  </si>
  <si>
    <t>dif_s3b</t>
  </si>
  <si>
    <t>darkA</t>
  </si>
  <si>
    <t>darkB</t>
  </si>
  <si>
    <t>darkC</t>
  </si>
  <si>
    <t>darkD</t>
  </si>
  <si>
    <t>sun_ambA</t>
  </si>
  <si>
    <t>sun_ambB</t>
  </si>
  <si>
    <t>shd1A</t>
  </si>
  <si>
    <t>shd1B</t>
  </si>
  <si>
    <t>sun_shd2A</t>
  </si>
  <si>
    <t>sun_shd2B</t>
  </si>
  <si>
    <t>sun_shd2C</t>
  </si>
  <si>
    <t>sun_shd3A</t>
  </si>
  <si>
    <t>sun_shd3B</t>
  </si>
  <si>
    <t>sun_shd3C</t>
  </si>
  <si>
    <t>sun_shd4A</t>
  </si>
  <si>
    <t>sun_shd4B</t>
  </si>
  <si>
    <t>sun_shd4C</t>
  </si>
  <si>
    <t>sun_ambD</t>
  </si>
  <si>
    <t>sun_ambE</t>
  </si>
  <si>
    <t>sun_ambF</t>
  </si>
  <si>
    <t>dif-difA</t>
  </si>
  <si>
    <t>dif_reflectorA</t>
  </si>
  <si>
    <t>dif_reflectorB</t>
  </si>
  <si>
    <t>dif_reflectorC</t>
  </si>
  <si>
    <t>sun_ambG</t>
  </si>
  <si>
    <t>sun_ambH</t>
  </si>
  <si>
    <t>sun_ambI</t>
  </si>
  <si>
    <t>respA</t>
  </si>
  <si>
    <t>respB</t>
  </si>
  <si>
    <t>respC</t>
  </si>
  <si>
    <t>sun + cirrus</t>
  </si>
  <si>
    <t>11:24:24</t>
  </si>
  <si>
    <t>outlet</t>
  </si>
  <si>
    <t>sun_ambC</t>
  </si>
  <si>
    <t>dif+wht.A</t>
  </si>
  <si>
    <t>diffuserA</t>
  </si>
  <si>
    <t>amb-cloudA</t>
  </si>
  <si>
    <t>amb-cloudB</t>
  </si>
  <si>
    <t>shade1-cloudA</t>
  </si>
  <si>
    <t>shade2-cloudA</t>
  </si>
  <si>
    <t>shade2-cloudB</t>
  </si>
  <si>
    <t>shade2-cloudC</t>
  </si>
  <si>
    <t>amb-cloudC</t>
  </si>
  <si>
    <t>shade3-cloudA</t>
  </si>
  <si>
    <t>ambdir-F</t>
  </si>
  <si>
    <t>amb-cloudE</t>
  </si>
  <si>
    <t>sun_s1B</t>
  </si>
  <si>
    <t>sun_s1C</t>
  </si>
  <si>
    <t>sun_s1D</t>
  </si>
  <si>
    <t>sun_s2A</t>
  </si>
  <si>
    <t>sun_s2B</t>
  </si>
  <si>
    <t>sun_s3A</t>
  </si>
  <si>
    <t>sun_s4A</t>
  </si>
  <si>
    <t>sun_s4B</t>
  </si>
  <si>
    <t>sun_s4C</t>
  </si>
  <si>
    <t>sun_s5A</t>
  </si>
  <si>
    <t>sun_s5B</t>
  </si>
  <si>
    <t>dif-reflectorA</t>
  </si>
  <si>
    <t>dif-reflectorB</t>
  </si>
  <si>
    <t>dif-reflectorC</t>
  </si>
  <si>
    <t>dif-reflectorD</t>
  </si>
  <si>
    <t>dif-reflectorE</t>
  </si>
  <si>
    <t>dif-reflectorF</t>
  </si>
  <si>
    <t>inter_ambF</t>
  </si>
  <si>
    <t>11:33:44</t>
  </si>
  <si>
    <t>13:12:45</t>
  </si>
  <si>
    <t>11:52:40</t>
  </si>
  <si>
    <t>25jul2012_outlet_Bnan_CH012_sun_ambA_</t>
  </si>
  <si>
    <t>25jul12_out_BET_CH012_RespA_</t>
  </si>
  <si>
    <t>25jul12_out_BET_CH012_dif-cloudA_</t>
  </si>
  <si>
    <t>25jul12_out_BET_CH012_RespB_</t>
  </si>
  <si>
    <t>25jul12_out_BET_CH012_dif-cloudB_</t>
  </si>
  <si>
    <t>25jul12_out_BET_CH012_dif-cloudC_</t>
  </si>
  <si>
    <t>25jul12_out_BET_CH012_dif-cloudD_</t>
  </si>
  <si>
    <t>25jul12_out_BET_CH012_dif-cloud-difA_</t>
  </si>
  <si>
    <t>25jul12_out_BET_CH012_dif-cloud-shd1A_</t>
  </si>
  <si>
    <t>25jul12_out_BET_CH012_dif-cloud-shd1B_</t>
  </si>
  <si>
    <t>25jul12_out_BET_CH012_dif-cloud-shd2A_</t>
  </si>
  <si>
    <t>25jul12_out_BET_CH012_dif-cloud-shd2B_</t>
  </si>
  <si>
    <t>25jul12_out_BET_CH012_dif-cloud-shd3A_</t>
  </si>
  <si>
    <t>25jul12_out_BET_CH012_dif-cloud-shd3B_</t>
  </si>
  <si>
    <t>25jul12_out_BET_CH012_dif-cloud-shd3C_</t>
  </si>
  <si>
    <t>25jul12_out_BET_CH012_dif-cloud-shd4A_</t>
  </si>
  <si>
    <t>25jul12_out_BET_CH012_dif-cloud-shd4B_</t>
  </si>
  <si>
    <t>25jul12_out_BET_C012_respA_</t>
  </si>
  <si>
    <t>25jul12_out_BET_C012_respC_</t>
  </si>
  <si>
    <t>25jul12_out_BET_C012_dif_cloudE_</t>
  </si>
  <si>
    <t>25jul12_out_BET_C012_dif_cloudF_</t>
  </si>
  <si>
    <t>26Jul12_out_CH012_inter_ambA_</t>
  </si>
  <si>
    <t>26Jul12_out_CH012_inter_ambB_</t>
  </si>
  <si>
    <t>26Jul12_out_CH012_inter_ambC_</t>
  </si>
  <si>
    <t>26Jul12_out_CH012_inter_ambD_</t>
  </si>
  <si>
    <t>26Jul12_out_CH012_inter_ambE_</t>
  </si>
  <si>
    <t>26Jul12_out_CH012_inter_ambF_</t>
  </si>
  <si>
    <t>26Jul12_out_CH012_inter_ambG_</t>
  </si>
  <si>
    <t>26Jul12_out_CH012_sun_ambA_</t>
  </si>
  <si>
    <t>26Jul12_out_CH012_sun_ambB_</t>
  </si>
  <si>
    <t>26Jul12_out_CH012_sun_s1A_</t>
  </si>
  <si>
    <t>26Jul12_out_CH012_sun_s1B_</t>
  </si>
  <si>
    <t>26Jul12_out_CH012_sun_s2A_</t>
  </si>
  <si>
    <t>26Jul12_out_CH012_sun_s2B_</t>
  </si>
  <si>
    <t>26Jul12_out_CH012_inter_s2C_</t>
  </si>
  <si>
    <t>26Jul12_out_CH012_inter_s3a_</t>
  </si>
  <si>
    <t>26Jul12_out_CH012_inter_s3b_</t>
  </si>
  <si>
    <t>26Jul12_out_CH012_inter_s4A_</t>
  </si>
  <si>
    <t>26Jul12_out_CH012_inter_s4B_</t>
  </si>
  <si>
    <t>26Jul12_out_CH012_RespA_</t>
  </si>
  <si>
    <t>Resp: Use for Both Curves</t>
  </si>
  <si>
    <t>sun_shd1A</t>
  </si>
  <si>
    <t>inter_shd1B</t>
  </si>
  <si>
    <t>inter_ambG</t>
  </si>
  <si>
    <t>inter_shd1C</t>
  </si>
  <si>
    <t>inter_shd1D</t>
  </si>
  <si>
    <t>inter_shd1E</t>
  </si>
  <si>
    <t>sun_dif+reflectorA</t>
  </si>
  <si>
    <t>sun_dif+reflectorB</t>
  </si>
  <si>
    <t>sun_dif+reflectorC</t>
  </si>
  <si>
    <t>sun_difA</t>
  </si>
  <si>
    <t>sun_difB</t>
  </si>
  <si>
    <t>05Aug12_out_CH015_NP_respA_</t>
  </si>
  <si>
    <t>05aug2012_ch014_ambA_</t>
  </si>
  <si>
    <t>05aug2012_ch014_ambB_</t>
  </si>
  <si>
    <t>05aug2012_ch014_ambC_</t>
  </si>
  <si>
    <t>05aug2012_ch014_shd1a_</t>
  </si>
  <si>
    <t>05aug2012_ch014_shd1b_</t>
  </si>
  <si>
    <t>05aug2012_ch014_shd1c_</t>
  </si>
  <si>
    <t>05aug2012_ch014_ambD_</t>
  </si>
  <si>
    <t>05aug2012_ch014_ambE_</t>
  </si>
  <si>
    <t>05aug2012_ch014_shd1d_</t>
  </si>
  <si>
    <t>05aug2012_ch014_shd2a_</t>
  </si>
  <si>
    <t>05aug2012_ch014_shd2b_</t>
  </si>
  <si>
    <t>05aug2012_ch014_shd2c_</t>
  </si>
  <si>
    <t>05aug2012_ch014_shd3a_</t>
  </si>
  <si>
    <t>05aug2012_ch014_shd3b_</t>
  </si>
  <si>
    <t>05aug2012_ch014_shd4a_</t>
  </si>
  <si>
    <t>05aug2012_ch014_ambF_</t>
  </si>
  <si>
    <t>05aug2012_ch014_ambG_</t>
  </si>
  <si>
    <t>05aug2012_ch014_ambI_</t>
  </si>
  <si>
    <t>05aug2012_ch014_diff-white-B_</t>
  </si>
  <si>
    <t>05aug2012_ch014_diff-white-D_</t>
  </si>
  <si>
    <t>05aug2012_ch014_ambJ_</t>
  </si>
  <si>
    <t>05aug2012_ch014_ambK_</t>
  </si>
  <si>
    <t>16:34:59</t>
  </si>
  <si>
    <t>05Aug12_out_CH015_NP_respC_</t>
  </si>
  <si>
    <t>16:41:35</t>
  </si>
  <si>
    <t>05Aug12_out_CH015_NP_respB_</t>
  </si>
  <si>
    <t>16:38:34</t>
  </si>
  <si>
    <t>08Aug12_out_CH015_respB_</t>
  </si>
  <si>
    <t>12:42:12</t>
  </si>
  <si>
    <t>08Aug12_out_CH015_respC_</t>
  </si>
  <si>
    <t>12:47:11</t>
  </si>
  <si>
    <t>08Aug12_out_CH015_respA_</t>
  </si>
  <si>
    <t>12:37:27</t>
  </si>
  <si>
    <t>08Aug12_out_CH015_dif_shd3A_</t>
  </si>
  <si>
    <t>12:27:26</t>
  </si>
  <si>
    <t>08Aug12_out_CH015_dif_shd3B_</t>
  </si>
  <si>
    <t>12:32:52</t>
  </si>
  <si>
    <t>08Aug12_out_CH015_dif_shd2B_</t>
  </si>
  <si>
    <t>12:22:21</t>
  </si>
  <si>
    <t>08Aug12_out_CH015_dif_shd2A_</t>
  </si>
  <si>
    <t>12:13:38</t>
  </si>
  <si>
    <t>08Aug12_out_CH015_dif_shd1A_</t>
  </si>
  <si>
    <t>11:24:45</t>
  </si>
  <si>
    <t>08Aug12_out_CH015_dif_shd1B_</t>
  </si>
  <si>
    <t>11:29:46</t>
  </si>
  <si>
    <t>08Aug12_out_CH015_dif_ambA_</t>
  </si>
  <si>
    <t>10:54:55</t>
  </si>
  <si>
    <t>08Aug12_out_CH015_dif_ambB_</t>
  </si>
  <si>
    <t>10:58:45</t>
  </si>
  <si>
    <t>08Aug12_out_CH015_dif_ambC_</t>
  </si>
  <si>
    <t>11:02:41</t>
  </si>
  <si>
    <t>08Aug12_out_CH015_dif_ambD_</t>
  </si>
  <si>
    <t>11:06:36</t>
  </si>
  <si>
    <t>08Aug12_out_CH015_dif_ambF_</t>
  </si>
  <si>
    <t>11:17:30</t>
  </si>
  <si>
    <t>08Aug12_out_CH015_dif_ambE_</t>
  </si>
  <si>
    <t>11:10:44</t>
  </si>
  <si>
    <t>16:27:27</t>
  </si>
  <si>
    <t>16:30:57</t>
  </si>
  <si>
    <t>16:23:12</t>
  </si>
  <si>
    <t>16:16:32</t>
  </si>
  <si>
    <t>16:20:03</t>
  </si>
  <si>
    <t>15:45:11</t>
  </si>
  <si>
    <t>15:41:43</t>
  </si>
  <si>
    <t>15:29:56</t>
  </si>
  <si>
    <t>08Aug12_out_CH015_dif_ambG_1</t>
  </si>
  <si>
    <t>11:37:14</t>
  </si>
  <si>
    <t>15:51:04</t>
  </si>
  <si>
    <t>08Aug12_out_CH015_dif_ambH_</t>
  </si>
  <si>
    <t>11:41:43</t>
  </si>
  <si>
    <t>15:33:14</t>
  </si>
  <si>
    <t>15:37:37</t>
  </si>
  <si>
    <t>16:06:06</t>
  </si>
  <si>
    <t>15:55:07</t>
  </si>
  <si>
    <t>15:59:30</t>
  </si>
  <si>
    <t>15:25:27</t>
  </si>
  <si>
    <t>15:20:43</t>
  </si>
  <si>
    <t>14:57:28</t>
  </si>
  <si>
    <t>15:00:12</t>
  </si>
  <si>
    <t>15:18:07</t>
  </si>
  <si>
    <t>15:15:49</t>
  </si>
  <si>
    <t>08Aug12_CH014_RespB_</t>
  </si>
  <si>
    <t>15:07:59</t>
  </si>
  <si>
    <t>08Aug12_CH014_RespA_</t>
  </si>
  <si>
    <t>15:02:26</t>
  </si>
  <si>
    <t>05aug2012_ch014_RespA_</t>
  </si>
  <si>
    <t>13:20:17</t>
  </si>
  <si>
    <t>05aug2012_ch014_RespB_</t>
  </si>
  <si>
    <t>13:23:30</t>
  </si>
  <si>
    <t>08Aug12_CH014_dif_shd3B_</t>
  </si>
  <si>
    <t>14:57:20</t>
  </si>
  <si>
    <t>08Aug12_CH014_dif_shd3A_</t>
  </si>
  <si>
    <t>14:53:23</t>
  </si>
  <si>
    <t>08Aug12_CH014_dif_shd2B_</t>
  </si>
  <si>
    <t>14:43:13</t>
  </si>
  <si>
    <t>08Aug12_CH014_dif_shd2A_</t>
  </si>
  <si>
    <t>14:38:45</t>
  </si>
  <si>
    <t>08Aug12_CH014_dif_shd1A_</t>
  </si>
  <si>
    <t>14:31:05</t>
  </si>
  <si>
    <t>08Aug12_CH014_dif_shd1B_</t>
  </si>
  <si>
    <t>14:34:30</t>
  </si>
  <si>
    <t>08Aug12_CH014_dif_ambG_</t>
  </si>
  <si>
    <t>14:49:43</t>
  </si>
  <si>
    <t>08Aug12_CH014_dif_ambF_</t>
  </si>
  <si>
    <t>14:46:13</t>
  </si>
  <si>
    <t>08Aug12_CH014_dif_ambH_</t>
  </si>
  <si>
    <t>15:11:58</t>
  </si>
  <si>
    <t>08Aug12_CH014_dif_ambI_</t>
  </si>
  <si>
    <t>15:16:28</t>
  </si>
  <si>
    <t>08Aug12_CH014_dif_ambE_</t>
  </si>
  <si>
    <t>14:27:15</t>
  </si>
  <si>
    <t>08Aug12_CH014_dif_ambA_</t>
  </si>
  <si>
    <t>13:50:28</t>
  </si>
  <si>
    <t>08Aug12_CH014_dif_difC_</t>
  </si>
  <si>
    <t>14:22:49</t>
  </si>
  <si>
    <t>08Aug12_CH014_dif_difB_</t>
  </si>
  <si>
    <t>14:19:45</t>
  </si>
  <si>
    <t>08Aug12_CH014_dif_ambC_</t>
  </si>
  <si>
    <t>14:15:58</t>
  </si>
  <si>
    <t>12:43:51</t>
  </si>
  <si>
    <t>12:51:35</t>
  </si>
  <si>
    <t>Bright sun/Hazy</t>
  </si>
  <si>
    <t>11:20:03</t>
  </si>
  <si>
    <t>11:23:50</t>
  </si>
  <si>
    <t>11:28:31</t>
  </si>
  <si>
    <t>11:40:47</t>
  </si>
  <si>
    <t>11:09:28</t>
  </si>
  <si>
    <t>11:12:15</t>
  </si>
  <si>
    <t>11:15:29</t>
  </si>
  <si>
    <t>08Aug12_CH014_dif_ambB_</t>
  </si>
  <si>
    <t>14:11:25</t>
  </si>
  <si>
    <t>11:35:46</t>
  </si>
  <si>
    <t>11:32:19</t>
  </si>
  <si>
    <t>05Aug2012_CH014_ambM_</t>
  </si>
  <si>
    <t>15:02:31</t>
  </si>
  <si>
    <t>05Aug2012_CH014_ambL_</t>
  </si>
  <si>
    <t>14:58:46</t>
  </si>
  <si>
    <t>12:11:31</t>
  </si>
  <si>
    <t>11:56:58</t>
  </si>
  <si>
    <t>12:01:19</t>
  </si>
  <si>
    <t>11:49:05</t>
  </si>
  <si>
    <t>11:45:07</t>
  </si>
  <si>
    <t>11:53:09</t>
  </si>
  <si>
    <t>12:17:50</t>
  </si>
  <si>
    <t>12:20:46</t>
  </si>
  <si>
    <t>12:35:54</t>
  </si>
  <si>
    <t>13:08:26</t>
  </si>
  <si>
    <t>13:11:49</t>
  </si>
  <si>
    <t>05Aug12_out_CH013_sun_ambA_</t>
  </si>
  <si>
    <t>05Aug12_out_CH013_sun_ambB_</t>
  </si>
  <si>
    <t>05Aug12_out_CH013_sun_ambC_</t>
  </si>
  <si>
    <t>05Aug12_out_CH013_sun_ambD_</t>
  </si>
  <si>
    <t>05Aug12_out_CH013_sun_shd1A_</t>
  </si>
  <si>
    <t>05Aug12_out_CH013_sun_shd1B_</t>
  </si>
  <si>
    <t>05Aug12_out_CH013_sun_shd2A_</t>
  </si>
  <si>
    <t>05Aug12_out_CH013_sun_shd2B_</t>
  </si>
  <si>
    <t>05Aug12_out_CH013_sun_shd3A_</t>
  </si>
  <si>
    <t>05Aug12_out_CH013_sun_shd3B_</t>
  </si>
  <si>
    <t>05Aug12_out_CH013_sun_shd4A_</t>
  </si>
  <si>
    <t>05Aug12_out_CH013_sun_shd4B_</t>
  </si>
  <si>
    <t>05Aug12_out_CH013_sun_ambE_</t>
  </si>
  <si>
    <t>05Aug12_out_CH013_sun_ambF_</t>
  </si>
  <si>
    <t>05Aug12_out_CH013_sun_ambG_</t>
  </si>
  <si>
    <t>05Aug12_out_CH013_sun_respA_</t>
  </si>
  <si>
    <t>05Aug12_out_CH013_sun_respB_</t>
  </si>
  <si>
    <t>05Aug12_out_CH013_sun_respC_</t>
  </si>
  <si>
    <t>05Aug12_out_CH013_sun_dif+reflectorA_</t>
  </si>
  <si>
    <t>05Aug12_out_CH013_sun_dif+reflectorB_</t>
  </si>
  <si>
    <t>05Aug12_out_CH013_sun_dif+reflectorC_</t>
  </si>
  <si>
    <t>05Aug12_out_CH013_sun_dif+reflectorD_</t>
  </si>
  <si>
    <t>05Aug12_out_CH013_sun_ambH_</t>
  </si>
  <si>
    <t>05Aug12_out_CH013_sun_ambI_</t>
  </si>
  <si>
    <t>05Aug12_out_CH013_sun_ambJ_</t>
  </si>
  <si>
    <t>05Aug12_out_CH013_sun_ambK_</t>
  </si>
  <si>
    <t>05Aug12_out_CH013_sun_ambL_</t>
  </si>
  <si>
    <t>26Jul12_out_CH013_SALP_inter_ambA_</t>
  </si>
  <si>
    <t>26Jul12_out_CH013_SALP_inter_ambC_</t>
  </si>
  <si>
    <t>26Jul12_out_CH013_SALP_inter_ambD_</t>
  </si>
  <si>
    <t>26Jul12_out_CH013_SALP_inter_s1A_</t>
  </si>
  <si>
    <t>26Jul12_out_CH013_SALP_inter_s1B_</t>
  </si>
  <si>
    <t>26Jul12_out_CH013_SALP_inter_s1C_</t>
  </si>
  <si>
    <t>26Jul12_out_CH013_SALP_inter_s2B_</t>
  </si>
  <si>
    <t>26Jul12_out_CH013_SALP_inter_s2C_</t>
  </si>
  <si>
    <t>26Jul12_out_CH013_SALP_inter_s3A_</t>
  </si>
  <si>
    <t>26Jul12_out_CH013_SALP_inter_s3B_</t>
  </si>
  <si>
    <t>26Jul12_out_CH013_SALP_inter_s4A_</t>
  </si>
  <si>
    <t>26Jul12_out_CH013_SALP_inter_s4</t>
  </si>
  <si>
    <t>26Jul12_out_CH013_SALP_inter_ambE_</t>
  </si>
  <si>
    <t>26Jul12_out_CH013_SALP_inter_ambF_</t>
  </si>
  <si>
    <t>26Jul12_out_CH013_SALP_inter_ambG_</t>
  </si>
  <si>
    <t>Both: Dark/Resp</t>
  </si>
  <si>
    <t>11:40:50</t>
  </si>
  <si>
    <t>11:45:03</t>
  </si>
  <si>
    <t>26Jul12_out_CH013_SALP_inter_RespA_</t>
  </si>
  <si>
    <t>16:37:50</t>
  </si>
  <si>
    <t>26Jul12_out_CH013_SALP_inter_RespB_</t>
  </si>
  <si>
    <t>16:41:08</t>
  </si>
  <si>
    <t>26Jul12_out_CH013_SALP_inter_RespC_</t>
  </si>
  <si>
    <t>16:43:48</t>
  </si>
  <si>
    <t>11:37:41</t>
  </si>
  <si>
    <t>16:23:48</t>
  </si>
  <si>
    <t>16:27:14</t>
  </si>
  <si>
    <t>16:19:33</t>
  </si>
  <si>
    <t>16:16:14</t>
  </si>
  <si>
    <t>16:01:34</t>
  </si>
  <si>
    <t>16:35:03</t>
  </si>
  <si>
    <t>11:50:58</t>
  </si>
  <si>
    <t>11:53:33</t>
  </si>
  <si>
    <t>12:01:01</t>
  </si>
  <si>
    <t>11:57:44</t>
  </si>
  <si>
    <t>11:24:27</t>
  </si>
  <si>
    <t>16:27:22</t>
  </si>
  <si>
    <t>11:11:56</t>
  </si>
  <si>
    <t>11:15:09</t>
  </si>
  <si>
    <t>11:05:25</t>
  </si>
  <si>
    <t>16:12:00</t>
  </si>
  <si>
    <t>16:08:47</t>
  </si>
  <si>
    <t>10:58:48</t>
  </si>
  <si>
    <t>11:02:02</t>
  </si>
  <si>
    <t>15:54:49</t>
  </si>
  <si>
    <t>15:58:49</t>
  </si>
  <si>
    <t>10:45:55</t>
  </si>
  <si>
    <t>10:48:07</t>
  </si>
  <si>
    <t>16:33:11</t>
  </si>
  <si>
    <t>10:42:49</t>
  </si>
  <si>
    <t>10:54:44</t>
  </si>
  <si>
    <t>16:30:23</t>
  </si>
  <si>
    <t>11:28:09</t>
  </si>
  <si>
    <t>Bright Sun &amp; Haze</t>
  </si>
  <si>
    <t>11:33:54</t>
  </si>
  <si>
    <t>15:51:39</t>
  </si>
  <si>
    <t>15:44:35</t>
  </si>
  <si>
    <t>15:48:34</t>
  </si>
  <si>
    <t>11:31:08</t>
  </si>
  <si>
    <t>12:03:40</t>
  </si>
  <si>
    <t>12:06:16</t>
  </si>
  <si>
    <t>12:31:06</t>
  </si>
  <si>
    <t>12:28:44</t>
  </si>
  <si>
    <t>12:27:03</t>
  </si>
  <si>
    <t>11Jul2012_up_bet_CH007_drkA_</t>
  </si>
  <si>
    <t>13:52:49</t>
  </si>
  <si>
    <t>11Jul2012_up_bet_CH007_drkB_</t>
  </si>
  <si>
    <t>13:55:36</t>
  </si>
  <si>
    <t>11Jul2012_up_bet_CH007_drkC_</t>
  </si>
  <si>
    <t>13:58:42</t>
  </si>
  <si>
    <t>11Jul2012_up_bet_CH007_dif_s3A_</t>
  </si>
  <si>
    <t>13:45:46</t>
  </si>
  <si>
    <t>11Jul2012_up_bet_CH007_dif_s3B_</t>
  </si>
  <si>
    <t>13:48:51</t>
  </si>
  <si>
    <t>11Jul2012_up_bet_CH007_dif_s2B_</t>
  </si>
  <si>
    <t>13:41:52</t>
  </si>
  <si>
    <t>11Jul2012_up_bet_CH007_dif_s2A_</t>
  </si>
  <si>
    <t>13:37:40</t>
  </si>
  <si>
    <t>11Jul2012_up_bet_CH007_dif_s1D_</t>
  </si>
  <si>
    <t>13:31:06</t>
  </si>
  <si>
    <t>11Jul2012_up_bet_CH007_dif_s1B_</t>
  </si>
  <si>
    <t>13:21:32</t>
  </si>
  <si>
    <t>11Jul2012_up_bet_CH007_dif_s1A_</t>
  </si>
  <si>
    <t>13:18:01</t>
  </si>
  <si>
    <t>11Jul2012_up_bet_CH007_dif_s1C_</t>
  </si>
  <si>
    <t>13:25:28</t>
  </si>
  <si>
    <t>11Jul2012_up_bet_CH007_diffuserA_</t>
  </si>
  <si>
    <t>12:05:13</t>
  </si>
  <si>
    <t>11Jul2012_up_bet_CH007_diffuserB_</t>
  </si>
  <si>
    <t>12:08:50</t>
  </si>
  <si>
    <t>11Jul2012_up_bet_CH007_diffuserC_</t>
  </si>
  <si>
    <t>12:12:49</t>
  </si>
  <si>
    <t>11Jul2012_up_bet_CH007_diffuser_reflectorA_</t>
  </si>
  <si>
    <t>12:16:15</t>
  </si>
  <si>
    <t>11Jul2012_up_bet_CH007_diffuser_reflectorB_A</t>
  </si>
  <si>
    <t>12:18:51</t>
  </si>
  <si>
    <t>11Jul2012_up_bet_CH007_diffuser_reflectorC_</t>
  </si>
  <si>
    <t>12:26:12</t>
  </si>
  <si>
    <t>11Jul2012_up_bet_CH007_diffuser_reflectorB_B</t>
  </si>
  <si>
    <t>12:23:14</t>
  </si>
  <si>
    <t>11Jul2012_up_bet_CH007_sun_s5A</t>
  </si>
  <si>
    <t>11:40:11</t>
  </si>
  <si>
    <t>11Jul2012_up_bet_CH007_sun_s4C</t>
  </si>
  <si>
    <t>11:33:57</t>
  </si>
  <si>
    <t>11Jul2012_up_bet_CH007_sun_s4A</t>
  </si>
  <si>
    <t>11:21:10</t>
  </si>
  <si>
    <t>11Jul2012_up_bet_CH007_sun_s5B</t>
  </si>
  <si>
    <t>11:48:11</t>
  </si>
  <si>
    <t>11Jul2012_up_bet_CH007_sun_s4B</t>
  </si>
  <si>
    <t>11:30:30</t>
  </si>
  <si>
    <t>11Jul2012_up_bet_CH007_sun_s3B</t>
  </si>
  <si>
    <t>11:12:11</t>
  </si>
  <si>
    <t>11Jul2012_up_bet_CH007_sun_s3C</t>
  </si>
  <si>
    <t>11:14:58</t>
  </si>
  <si>
    <t>11Jul2012_up_bet_CH007_sun_s3A</t>
  </si>
  <si>
    <t>11:08:28</t>
  </si>
  <si>
    <t>11Jul2012_up_bet_CH007_sun_s2C</t>
  </si>
  <si>
    <t>11:03:43</t>
  </si>
  <si>
    <t>11Jul2012_up_bet_CH007_sun_s2B</t>
  </si>
  <si>
    <t>11:00:22</t>
  </si>
  <si>
    <t>11Jul2012_up_bet_CH007_sun_s2A</t>
  </si>
  <si>
    <t>10:56:46</t>
  </si>
  <si>
    <t>11Jul2012_up_bet_CH007_shade1A_</t>
  </si>
  <si>
    <t>10:25:42</t>
  </si>
  <si>
    <t>11Jul2012_up_bet_CH007_shade1B_</t>
  </si>
  <si>
    <t>10:28:41</t>
  </si>
  <si>
    <t>11Jul2012_up_bet_CH007_shade1C_</t>
  </si>
  <si>
    <t>10:33:03</t>
  </si>
  <si>
    <t>11Jul2012_up_bet_CH007_sun_s1E</t>
  </si>
  <si>
    <t>10:49:32</t>
  </si>
  <si>
    <t>11Jul2012_up_bet_CH007_sun_s1F</t>
  </si>
  <si>
    <t>10:52:41</t>
  </si>
  <si>
    <t>11Jul2012_up_bet_CH007_sun_s1D</t>
  </si>
  <si>
    <t>10:46:50</t>
  </si>
  <si>
    <t>11Jul2012_up_bet_CH007_sun_ambH</t>
  </si>
  <si>
    <t>12:56:27</t>
  </si>
  <si>
    <t>11Jul2012_up_bet_CH007_sun_s1I</t>
  </si>
  <si>
    <t>13:01:28</t>
  </si>
  <si>
    <t>11Jul2012_up_bet_CH007_sun_s1J</t>
  </si>
  <si>
    <t>13:05:09</t>
  </si>
  <si>
    <t>11Jul2012_up_bet_CH007_sun_s1K</t>
  </si>
  <si>
    <t>13:08:34</t>
  </si>
  <si>
    <t>11Jul2012_up_bet_CH007_sun_s1L</t>
  </si>
  <si>
    <t>13:13:06</t>
  </si>
  <si>
    <t>11Jul2012_up_bet_CH007_sun_ambA</t>
  </si>
  <si>
    <t>10:10:18</t>
  </si>
  <si>
    <t>11Jul2012_up_bet_CH007_sun_ambB</t>
  </si>
  <si>
    <t>10:14:06</t>
  </si>
  <si>
    <t>11Jul2012_up_bet_CH007_sun_ambC</t>
  </si>
  <si>
    <t>10:22:24</t>
  </si>
  <si>
    <t>11Jul2012_up_bet_CH007_sun_ambD</t>
  </si>
  <si>
    <t>10:42:59</t>
  </si>
  <si>
    <t>11Jul2012_up_bet_CH007_sun_ambG</t>
  </si>
  <si>
    <t>12:02:03</t>
  </si>
  <si>
    <t>11Jul2012_up_bet_CH007_sun_ambF</t>
  </si>
  <si>
    <t>11:58:50</t>
  </si>
  <si>
    <t>11Jul2012_up_bet_CH007_sun_ambE</t>
  </si>
  <si>
    <t>11:56:02</t>
  </si>
  <si>
    <t>11:32:43</t>
  </si>
  <si>
    <t>14:08:06</t>
  </si>
  <si>
    <t>10:40:53</t>
  </si>
  <si>
    <t>10:49:04</t>
  </si>
  <si>
    <t>10:58:46</t>
  </si>
  <si>
    <t>15:13:55</t>
  </si>
  <si>
    <t>15:03:55</t>
  </si>
  <si>
    <t>14:59:02</t>
  </si>
  <si>
    <t>15:10:02</t>
  </si>
  <si>
    <t>2012Jul12_Out_CH011_SALP_amb-cloudD</t>
  </si>
  <si>
    <t>2012Jul12_Out_CH011_SALP_shade1-cloudC</t>
  </si>
  <si>
    <t>2012Jul12_Out_CH011_SALP_shade1-cloudB</t>
  </si>
  <si>
    <t>2012Jul12_Out_CH011_SALP_dif+wht.B</t>
  </si>
  <si>
    <t>13:23:51</t>
  </si>
  <si>
    <t>11:03:37</t>
  </si>
  <si>
    <t>10:30:24</t>
  </si>
  <si>
    <t>14:12:00</t>
  </si>
  <si>
    <t>12:30:07</t>
  </si>
  <si>
    <t>13:58:23</t>
  </si>
  <si>
    <t>13:54:21</t>
  </si>
  <si>
    <t>13:51:55</t>
  </si>
  <si>
    <t>14:02:20</t>
  </si>
  <si>
    <t>14:05:46</t>
  </si>
  <si>
    <t>12:38:13</t>
  </si>
  <si>
    <t>11:23:05</t>
  </si>
  <si>
    <t>2012Jun23_0ut_ch002_dark-b_</t>
  </si>
  <si>
    <t>2012Jun23_0ut_ch002_dark-c_</t>
  </si>
  <si>
    <t>2012Jun23_0ut_ch002_dark-a_</t>
  </si>
  <si>
    <t>2012Jun23_0ut_ch002_shd3-a_</t>
  </si>
  <si>
    <t>2012Jun23_0ut_ch002_shd3-b_</t>
  </si>
  <si>
    <t>12:47:40</t>
  </si>
  <si>
    <t>2012Jun23_0ut_ch002_shd2-b_</t>
  </si>
  <si>
    <t>2012Jun23_0ut_ch002_shd1_b_</t>
  </si>
  <si>
    <t>2012Jun23_0ut_ch002_shd2-a_</t>
  </si>
  <si>
    <t>2012Jun23_0ut_ch002_amb_b_</t>
  </si>
  <si>
    <t>2012Jun23_0ut_ch002_amb_a_</t>
  </si>
  <si>
    <t>2012Jun23_0ut_ch002_shd1_a_</t>
  </si>
  <si>
    <t>2012Jun23_0ut_ch002_amb_c_</t>
  </si>
  <si>
    <t>2012Jun23_0ut_ch002_dm-ambient-d_</t>
  </si>
  <si>
    <t>2012Jun23_0ut_ch002_dm-amb-diff-a_</t>
  </si>
  <si>
    <t>2012Jun23_0ut_ch002_dm-ambient-c_</t>
  </si>
  <si>
    <t>2012Jun23_0ut_ch002_dm-ambient-b_</t>
  </si>
  <si>
    <t>2012Jun23_0ut_ch002_shd2-diffc_</t>
  </si>
  <si>
    <t>2012Jun23_0ut_ch002_shd3-diff-c_</t>
  </si>
  <si>
    <t>2012Jun23_0ut_ch002_shd3-diff-a_</t>
  </si>
  <si>
    <t>2012Jun23_0ut_ch002_shd2-diffb_</t>
  </si>
  <si>
    <t>2012Jun23_0ut_ch002_shd2-diffa_</t>
  </si>
  <si>
    <t>2012Jun23_0ut_ch002_shd1_diff_b_</t>
  </si>
  <si>
    <t>2012Jun23_0ut_ch002_shd1_diff_a_</t>
  </si>
  <si>
    <t>2012Jun23_0ut_ch002_diff-diffb_</t>
  </si>
  <si>
    <t>2012Jun23_0ut_ch002_diff-diff_</t>
  </si>
  <si>
    <t>2012Jun23_0ut_ch002_dm-white-2_</t>
  </si>
  <si>
    <t>2012Jun23_0ut_ch002_dm-white-1_</t>
  </si>
  <si>
    <t>13:28:30</t>
  </si>
  <si>
    <t>12:35:52</t>
  </si>
  <si>
    <t>12:58:47</t>
  </si>
  <si>
    <t>Bright cloud</t>
  </si>
  <si>
    <t>11:03:24</t>
  </si>
  <si>
    <t>10:40:49</t>
  </si>
  <si>
    <t>10:36:00</t>
  </si>
  <si>
    <t>10:51:03</t>
  </si>
  <si>
    <t>11:33:35</t>
  </si>
  <si>
    <t>13:09:23</t>
  </si>
  <si>
    <t>13:06:40</t>
  </si>
  <si>
    <t>12:55:05</t>
  </si>
  <si>
    <t>13:02:59</t>
  </si>
  <si>
    <t>12:38:27</t>
  </si>
  <si>
    <t>13:19:34</t>
  </si>
  <si>
    <t>12:26:53</t>
  </si>
  <si>
    <t>12:41:49</t>
  </si>
  <si>
    <t>13:41:40</t>
  </si>
  <si>
    <t>12:46:51</t>
  </si>
  <si>
    <t>13:38:39</t>
  </si>
  <si>
    <t>11:53:40</t>
  </si>
  <si>
    <t>10:28:32</t>
  </si>
  <si>
    <t>10:47:01</t>
  </si>
  <si>
    <t>10:42:38</t>
  </si>
  <si>
    <t>11:01:41</t>
  </si>
  <si>
    <t>11:33:29</t>
  </si>
  <si>
    <t>11:30:43</t>
  </si>
  <si>
    <t>11:23:54</t>
  </si>
  <si>
    <t>11:27:05</t>
  </si>
  <si>
    <t>12:02:46</t>
  </si>
  <si>
    <t>12:13:00</t>
  </si>
  <si>
    <t>12:09:54</t>
  </si>
  <si>
    <t>10:31:12</t>
  </si>
  <si>
    <t>10:27:57</t>
  </si>
  <si>
    <t>10:19:38</t>
  </si>
  <si>
    <t>10:23:07</t>
  </si>
  <si>
    <t>11:25:45</t>
  </si>
  <si>
    <t>09:36:28</t>
  </si>
  <si>
    <t>15:13:37</t>
  </si>
  <si>
    <t>15:17:16</t>
  </si>
  <si>
    <t>16:26:30</t>
  </si>
  <si>
    <t>16:31:08</t>
  </si>
  <si>
    <t>16:21:11</t>
  </si>
  <si>
    <t>15:06:02</t>
  </si>
  <si>
    <t>16:13:58</t>
  </si>
  <si>
    <t>16:36:12</t>
  </si>
  <si>
    <t>16:10:58</t>
  </si>
  <si>
    <t>16:06:39</t>
  </si>
  <si>
    <t>10:56:44</t>
  </si>
  <si>
    <t>11:00:35</t>
  </si>
  <si>
    <t>10:39:44</t>
  </si>
  <si>
    <t>10:32:52</t>
  </si>
  <si>
    <t>10:44:56</t>
  </si>
  <si>
    <t>10:25:47</t>
  </si>
  <si>
    <t>10:53:22</t>
  </si>
  <si>
    <t>10:45:15</t>
  </si>
  <si>
    <t>10:32:33</t>
  </si>
  <si>
    <t>10:28:52</t>
  </si>
  <si>
    <t>13:48:36</t>
  </si>
  <si>
    <t>2012Jul12_Out_CH010_sunf_diff_white_</t>
  </si>
  <si>
    <t>11:25:48</t>
  </si>
  <si>
    <t>Sun: Diffuse fraction &lt;40%</t>
  </si>
  <si>
    <t>22Jul12_Out_SALP_CH011_sun_s3B_</t>
  </si>
  <si>
    <t>12:08:37</t>
  </si>
  <si>
    <t>11:56:11</t>
  </si>
  <si>
    <t>22Jul12_Out_SALP_CH011_sun_s1A_</t>
  </si>
  <si>
    <t>11:42:22</t>
  </si>
  <si>
    <t>Diffuse-Diffuser (DF&gt;70%)</t>
  </si>
  <si>
    <t>11:27:32</t>
  </si>
  <si>
    <t>2012Jul12_Out_CH011_SALP_shade1-cloudD_</t>
  </si>
  <si>
    <t>11:53:02</t>
  </si>
  <si>
    <t>11:48:13</t>
  </si>
  <si>
    <t>11:44:40</t>
  </si>
  <si>
    <t>12:11:04</t>
  </si>
  <si>
    <t>14:51:55</t>
  </si>
  <si>
    <t>14:54:42</t>
  </si>
  <si>
    <t>14:47:57</t>
  </si>
  <si>
    <t>14:43:18</t>
  </si>
  <si>
    <t>15:21:56</t>
  </si>
  <si>
    <t>15:26:52</t>
  </si>
  <si>
    <t>15:18:08</t>
  </si>
  <si>
    <t>11:08:39</t>
  </si>
  <si>
    <t>11:13:16</t>
  </si>
  <si>
    <t>10:53:16</t>
  </si>
  <si>
    <t>11:03:17</t>
  </si>
  <si>
    <t>10:45:38</t>
  </si>
  <si>
    <t>10:36:32</t>
  </si>
  <si>
    <t>10:32:57</t>
  </si>
  <si>
    <t>10:22:32</t>
  </si>
  <si>
    <t>10:18:37</t>
  </si>
  <si>
    <t>11:29:24</t>
  </si>
  <si>
    <t>10:11:44</t>
  </si>
  <si>
    <t>10:02:47</t>
  </si>
  <si>
    <t>13:58:49</t>
  </si>
  <si>
    <t>14:01:18</t>
  </si>
  <si>
    <t>14:16:30</t>
  </si>
  <si>
    <t>14:04:55</t>
  </si>
  <si>
    <t>14:12:05</t>
  </si>
  <si>
    <t>14:21:19</t>
  </si>
  <si>
    <t>NaN</t>
  </si>
  <si>
    <t>1m x 1m</t>
  </si>
  <si>
    <t>D</t>
  </si>
  <si>
    <t>S4</t>
  </si>
  <si>
    <t>S5</t>
  </si>
  <si>
    <t>DIF</t>
  </si>
  <si>
    <t>DIF + RFLCT</t>
  </si>
  <si>
    <t>L</t>
  </si>
  <si>
    <t>DIF + S2</t>
  </si>
  <si>
    <t>DIF + S3</t>
  </si>
  <si>
    <t>DIF + S1</t>
  </si>
  <si>
    <t>DIF + RFLCT-W</t>
  </si>
  <si>
    <t>RFLCT-B</t>
  </si>
  <si>
    <t>RFLCT-W</t>
  </si>
  <si>
    <t xml:space="preserve">3S </t>
  </si>
  <si>
    <t xml:space="preserve">2S </t>
  </si>
  <si>
    <t xml:space="preserve">DIF + S2 </t>
  </si>
  <si>
    <t>DIF + S4</t>
  </si>
  <si>
    <t>DOM VEG</t>
  </si>
  <si>
    <t>DIRECT LAI-5cm</t>
  </si>
  <si>
    <t>DIFFUSE LAI-5cm</t>
  </si>
  <si>
    <t>DIRECT:DIFFUSE LIGHT FRACTION</t>
  </si>
  <si>
    <t>NATURAL LIGHT CONDITION</t>
  </si>
  <si>
    <t xml:space="preserve"> </t>
  </si>
  <si>
    <t>Both - Both: Dark/Resp</t>
  </si>
  <si>
    <t>Both: Both: Dark/Resp</t>
  </si>
  <si>
    <t>Diffuse (&gt;70% Diff. Fraction)</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</si>
  <si>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</si>
  <si>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</si>
  <si>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</si>
  <si>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</si>
  <si>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</si>
  <si>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</si>
  <si>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</si>
  <si>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</si>
  <si>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</si>
  <si>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</si>
  <si>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</si>
  <si>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</si>
  <si>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</si>
  <si>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</si>
  <si>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</si>
  <si>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</si>
  <si>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</si>
  <si>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Email</t>
  </si>
  <si>
    <t xml:space="preserve">First Name  </t>
  </si>
  <si>
    <t xml:space="preserve">Last Name  </t>
  </si>
  <si>
    <t>Organization</t>
  </si>
  <si>
    <t>Address line 2</t>
  </si>
  <si>
    <t>Address line 3</t>
  </si>
  <si>
    <t xml:space="preserve"> City  </t>
  </si>
  <si>
    <t xml:space="preserve">State  </t>
  </si>
  <si>
    <t xml:space="preserve">Zip Code  </t>
  </si>
  <si>
    <t>Country</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</si>
  <si>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</si>
  <si>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</si>
  <si>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</si>
  <si>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</si>
  <si>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</si>
  <si>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</si>
  <si>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</si>
  <si>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</si>
  <si>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</si>
  <si>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</si>
  <si>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</si>
  <si>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</si>
  <si>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</si>
  <si>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</si>
  <si>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</si>
  <si>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</si>
  <si>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</si>
  <si>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</si>
  <si>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</si>
  <si>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</si>
  <si>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</si>
  <si>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</si>
  <si>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</si>
  <si>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</si>
  <si>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</si>
  <si>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</si>
  <si>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</si>
  <si>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</si>
  <si>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</si>
  <si>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</si>
  <si>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</si>
  <si>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</si>
  <si>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</si>
  <si>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</si>
  <si>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</si>
  <si>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</si>
  <si>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</si>
  <si>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</si>
  <si>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</si>
  <si>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</si>
  <si>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</si>
  <si>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</si>
  <si>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</si>
  <si>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</si>
  <si>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</si>
  <si>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</si>
  <si>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Owner </t>
  </si>
  <si>
    <t>datetime</t>
  </si>
  <si>
    <t>text</t>
  </si>
  <si>
    <t>ampere</t>
  </si>
  <si>
    <t xml:space="preserve">Associated Researcher </t>
  </si>
  <si>
    <t>interval</t>
  </si>
  <si>
    <t>number</t>
  </si>
  <si>
    <t>amperePerMeter</t>
  </si>
  <si>
    <t xml:space="preserve">Data Manager </t>
  </si>
  <si>
    <t>nominal</t>
  </si>
  <si>
    <t>amperePerMeterSquared</t>
  </si>
  <si>
    <t xml:space="preserve">Field Crew </t>
  </si>
  <si>
    <t>ordinal</t>
  </si>
  <si>
    <t>angstrom</t>
  </si>
  <si>
    <t xml:space="preserve">Lab Crew </t>
  </si>
  <si>
    <t>ratio</t>
  </si>
  <si>
    <t>atmosphere</t>
  </si>
  <si>
    <t>bar</t>
  </si>
  <si>
    <t>becquerel</t>
  </si>
  <si>
    <t>becquerelPerGram</t>
  </si>
  <si>
    <t>becquerelPerMilligram</t>
  </si>
  <si>
    <t>becquerelPerMilliliter</t>
  </si>
  <si>
    <t>calorie</t>
  </si>
  <si>
    <t>candela</t>
  </si>
  <si>
    <t>candelaPerMeterSquared</t>
  </si>
  <si>
    <t>celsius</t>
  </si>
  <si>
    <t>centigram</t>
  </si>
  <si>
    <t>centimeter</t>
  </si>
  <si>
    <t>centimeterCubedPerCentimeterCubed</t>
  </si>
  <si>
    <t>centimeterPerSecond</t>
  </si>
  <si>
    <t>centimeterPerYear</t>
  </si>
  <si>
    <t>centimeterSquared</t>
  </si>
  <si>
    <t>centimeterSquaredPerFourHundredthMeterSquared</t>
  </si>
  <si>
    <t>centimeterSquaredPerGram</t>
  </si>
  <si>
    <t>centimolePerKilogram</t>
  </si>
  <si>
    <t>centisecond</t>
  </si>
  <si>
    <t>decibar</t>
  </si>
  <si>
    <t>decigram</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</si>
  <si>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</si>
  <si>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</si>
  <si>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</si>
  <si>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</si>
  <si>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</si>
  <si>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</si>
  <si>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</si>
  <si>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</si>
  <si>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</si>
  <si>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</si>
  <si>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</si>
  <si>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</si>
  <si>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</si>
  <si>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</si>
  <si>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</si>
  <si>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</si>
  <si>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</si>
  <si>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</si>
  <si>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</si>
  <si>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</si>
  <si>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</si>
  <si>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</si>
  <si>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</si>
  <si>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</si>
  <si>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</si>
  <si>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</si>
  <si>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</si>
  <si>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</si>
  <si>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</si>
  <si>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</si>
  <si>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</si>
  <si>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</si>
  <si>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</si>
  <si>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</si>
  <si>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</si>
  <si>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</si>
  <si>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</si>
  <si>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</si>
  <si>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</si>
  <si>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</si>
  <si>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</si>
  <si>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</si>
  <si>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</si>
  <si>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</si>
  <si>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</si>
  <si>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</si>
  <si>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</si>
  <si>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</si>
  <si>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</si>
  <si>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kilowattPerMeterSquared</t>
  </si>
  <si>
    <t>liter</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</si>
  <si>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</si>
  <si>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</si>
  <si>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</si>
  <si>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</si>
  <si>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</si>
  <si>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</si>
  <si>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</si>
  <si>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</si>
  <si>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</si>
  <si>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</si>
  <si>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</si>
  <si>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</si>
  <si>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</si>
  <si>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</si>
  <si>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</si>
  <si>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</si>
  <si>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</si>
  <si>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</si>
  <si>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</si>
  <si>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</si>
  <si>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</si>
  <si>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</si>
  <si>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</si>
  <si>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</si>
  <si>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</si>
  <si>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</si>
  <si>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</si>
  <si>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</si>
  <si>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</si>
  <si>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</si>
  <si>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</si>
  <si>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</si>
  <si>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</si>
  <si>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</si>
  <si>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</si>
  <si>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</si>
  <si>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</si>
  <si>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</si>
  <si>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</si>
  <si>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</si>
  <si>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</si>
  <si>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</si>
  <si>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</si>
  <si>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</si>
  <si>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</si>
  <si>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</si>
  <si>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</si>
  <si>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</si>
  <si>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</si>
  <si>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</si>
  <si>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</si>
  <si>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</si>
  <si>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</si>
  <si>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</si>
  <si>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</si>
  <si>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</si>
  <si>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</si>
  <si>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</si>
  <si>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</si>
  <si>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</si>
  <si>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</si>
  <si>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</si>
  <si>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</si>
  <si>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</si>
  <si>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</si>
  <si>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</si>
  <si>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</si>
  <si>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</si>
  <si>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</si>
  <si>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</si>
  <si>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</si>
  <si>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</si>
  <si>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</si>
  <si>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</si>
  <si>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</si>
  <si>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</si>
  <si>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</si>
  <si>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</si>
  <si>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</si>
  <si>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</si>
  <si>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</si>
  <si>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</si>
  <si>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</si>
  <si>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</si>
  <si>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</si>
  <si>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</si>
  <si>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</si>
  <si>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</si>
  <si>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</si>
  <si>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</si>
  <si>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</si>
  <si>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</si>
  <si>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</si>
  <si>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</si>
  <si>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</si>
  <si>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</si>
  <si>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</si>
  <si>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</si>
  <si>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</si>
  <si>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</si>
  <si>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</si>
  <si>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</si>
  <si>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</si>
  <si>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</si>
  <si>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</si>
  <si>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</si>
  <si>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</si>
  <si>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</si>
  <si>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</si>
  <si>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</si>
  <si>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</si>
  <si>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</si>
  <si>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</si>
  <si>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</si>
  <si>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</si>
  <si>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</si>
  <si>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</si>
  <si>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</si>
  <si>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</si>
  <si>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</si>
  <si>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</si>
  <si>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</si>
  <si>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</si>
  <si>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gshaver@mbl.edu</t>
  </si>
  <si>
    <t>Gaius</t>
  </si>
  <si>
    <t>Shaver</t>
  </si>
  <si>
    <t>Ecosystems Center at the Marine Biological Laboratory</t>
  </si>
  <si>
    <t>7 MBL Street</t>
  </si>
  <si>
    <t>Woods Hole</t>
  </si>
  <si>
    <t>MA</t>
  </si>
  <si>
    <t>02543</t>
  </si>
  <si>
    <t>United States</t>
  </si>
  <si>
    <t>erastetter@mbl.edu</t>
  </si>
  <si>
    <t>Edward</t>
  </si>
  <si>
    <t>Rastetter</t>
  </si>
  <si>
    <t>mat.williams@ed.ac.uk</t>
  </si>
  <si>
    <t>Mathew</t>
  </si>
  <si>
    <t>Williams</t>
  </si>
  <si>
    <t>University of Edinburgh</t>
  </si>
  <si>
    <t>School of Geosciences</t>
  </si>
  <si>
    <t>Darwin Building</t>
  </si>
  <si>
    <t>Edinburgh</t>
  </si>
  <si>
    <t>EH9 EJU</t>
  </si>
  <si>
    <t>United Kingdom</t>
  </si>
  <si>
    <t>jlaundre@mbl.edu</t>
  </si>
  <si>
    <t>James</t>
  </si>
  <si>
    <t>Laundre</t>
  </si>
  <si>
    <t>lvanderpol@mbl.edu</t>
  </si>
  <si>
    <t>Laura</t>
  </si>
  <si>
    <t>van der Pol</t>
  </si>
  <si>
    <t>Betula nana; Salix pulchra; Salix glauca</t>
  </si>
  <si>
    <t/>
  </si>
  <si>
    <t>Flux: RECALC 10/1: Removed last 10 sec; improved r^2 and inc NEP by 0.2; Cdry linear</t>
  </si>
  <si>
    <t xml:space="preserve"> NDVI: Unispec Data collected on 13Aug12</t>
  </si>
  <si>
    <t>Flux: UNRELIABLE- only 30 second measurement, leaking??? NDVI: Unispec Data collected on 13Aug12</t>
  </si>
  <si>
    <t>Flux: Chamber base fans may not have been on during measurement NDVI: Unispec Data collected on 13Aug12</t>
  </si>
  <si>
    <t>Flux: UNRELIABLE - Fans not on during beginning of measurement NDVI: Unispec Data collected on 13Aug12</t>
  </si>
  <si>
    <t>Flux: RECALC 10/1: Short measurement? Unclear why; removed last 6 sec; improved r^2 -&gt; inc NEP by 3.0.  Use with caution! NDVI: Unispec Data collected on 13Aug12</t>
  </si>
  <si>
    <t>Flux: RECALC 10/2: Removed non-linear Cdry measurements; improved r^2; inc NEP by 0.1 NDVI: Unispec Data collected on 13Aug12</t>
  </si>
  <si>
    <t>Flux: RECALC 10/1: Removed measurements w/ PAR&lt;450; improved r^2; dec NEP by 0/7 NDVI: Unispec Data collected on 13Aug12</t>
  </si>
  <si>
    <t>Flux: RECALC 10/1; Removed measurements w/ 450&gt;PAR&lt;500; improved r^2 and dec NEP by 0.15 NDVI: Unispec Data collected on 13Aug12</t>
  </si>
  <si>
    <t>Flux: RECALC 10/1; Variable PAR &amp; Cdry; USE w/ caution; omitted all but a few measurements w/ steady PAR &amp; linear Cdry; improved r^2 and inc NEP by 3 NDVI: Unispec Data collected on 13Aug12</t>
  </si>
  <si>
    <t>Flux: Only used last 20sec of data as light was highly variable in first 40sec; RECALC 10/1: Inc # measurements, slighly improved r^2; dec NEP by 0.2 NDVI: Unispec Data collected on 13Aug12</t>
  </si>
  <si>
    <t>Flux: Highly variable light; PAR sensor was not covered during measurement -- may be possible to use BF3 for light data; RECALC 10/1; Removed measurements w/ PAR &gt;600; no change to r^2; NEP dec by 0.3 NDVI: Unispec Data collected on 13Aug12</t>
  </si>
  <si>
    <t>Flux: Removed first 30 sec of data as they were above 700 NDVI: Unispec Data collected on 13Aug12</t>
  </si>
  <si>
    <t>Flux: ommitted first 14 and last 12 seconds because PAR was above 700 NDVI: Unispec Data collected on 13Aug12</t>
  </si>
  <si>
    <t>Flux: Did not use first 15 or last 10 seconds as light level was &gt;50 from avg PAR value NDVI: Unispec Data collected on 13Aug12</t>
  </si>
  <si>
    <t>Flux: Did not use last 10 sec of data as light level rose above 670 NDVI: Unispec Data collected on 13Aug12</t>
  </si>
  <si>
    <t>Flux: RECALC 10/1; Removed central 16 sec w/ PAR&gt;700; improved r^2 and inc NEP by 1.1 NDVI: Unispec Data collected on 13Aug12</t>
  </si>
  <si>
    <t>Flux: light increased 140 over the course of the measurement; RECALC 10/1; removed measurements where 450&gt;PAR&gt;757 -&gt; GREATLY INC NEP! - USE W/ CAUTION NDVI: Unispec Data collected on 13Aug12</t>
  </si>
  <si>
    <t>Flux: Omitted the last 10 sec of data as the light level began to increase above 750 NDVI: Unispec Data collected on 13Aug12</t>
  </si>
  <si>
    <t>Flux: RECALC 10/1; Removed all measurements w/ PAR&lt;790; dec r^2 slighly; inc NEP 0.2 NDVI: Unispec Data collected on 13Aug12</t>
  </si>
  <si>
    <t>Flux: RECALC 10/2: Removed measurements where 800&gt;PAR&gt;850; no change to r^2 or NEP NDVI: Unispec Data collected on 13Aug12</t>
  </si>
  <si>
    <t>Flux: Did not use last 10sec of data as PAR was below 1000 NDVI: Unispec Data collected on 13Aug12</t>
  </si>
  <si>
    <t>Flux: RECALC 10/1; Removed measurements w/ PAR&lt;1130; minor change to NEP (0.5 inc) NDVI: Unispec Data collected on 13Aug12</t>
  </si>
  <si>
    <t>Flux: RECALC 9/28; Removed last 20sec w/ less linear Cdry - improved r^2; inc NEP by 2.3</t>
  </si>
  <si>
    <t>Flux: RECALC 9/28; Inc # measurements; improved r^2 &amp; inc NEP by 0.2</t>
  </si>
  <si>
    <t>Flux: RECALC 9/28; removed non-linear segments of Cdry (first 10, last 4 measurements); improved r^2; inc NEP by 0.3</t>
  </si>
  <si>
    <t>Flux: RECALC 9/28; Removed measurements w/ PAR &gt;275; improved r^2, inc NEP by 0.7 - Cdry slope may be too high due to higher light measurements at beginning of file, tho removing these causes r^2 to dec to 0.86</t>
  </si>
  <si>
    <t xml:space="preserve">Flux: **File named incorrectly and really there was only 1 shade cloth; RECALC 9/28; removed measurements w/ PAR&gt;300 - PAR was HIGHLY variable (range: 350+) and Cdry w/in detection limit??  Use with caution. </t>
  </si>
  <si>
    <t>Flux: RECALC 9/28; removed measurements w/ PAR&gt;&lt;250; improved r^2; inc NEP by 0.7</t>
  </si>
  <si>
    <t>Flux: RECALC 9/28; removed measurements w/ PAR&gt;300; w/in detection limit of LICOR? Non-linear Cdry w/ slight downward trend.</t>
  </si>
  <si>
    <t>Flux: RECALC 9/28; Slightly non-linear Cdry tho w/ clear trend; PAR erratic</t>
  </si>
  <si>
    <t>Flux: RECALC 9/28; Removed last 10 sec of measurement (Cdry flat); improved r^2; inc NEP by 0.1</t>
  </si>
  <si>
    <t>Flux: RECALC 9/28; removed measurements w/ PAR&lt;369; NO TREND (or change)  in Cdry - USE WITH CAUTION</t>
  </si>
  <si>
    <t>Flux: RECALC 9/28; Removed measurements where PAR &lt;390; dec r^2 &amp;NEP slightly; Cdry very unsteady throughout; use with caution</t>
  </si>
  <si>
    <t>Flux: RECALC 9/28; removed last 30 sec; improved r^2 and doubled NEP</t>
  </si>
  <si>
    <t>Flux: RECALC 9/28; Removed measurements w/ PAR &lt;450; improved r^2; inc NEP by 0.7 - Cdry unsteady - use w/ caution</t>
  </si>
  <si>
    <t>Flux: RECALC 9/28; terrible measurement - w/in detection limit of Licor?  HUGE flux in PAR - DO NOT USE</t>
  </si>
  <si>
    <t>Flux: RECALC 9/28: Removed measurements w/ PAR&lt;620 &amp; PAR&gt;670; slightly improved r^2, small inc in NEP</t>
  </si>
  <si>
    <t xml:space="preserve">Flux: RECALC 9/28; removed measurements were PAR&lt;600; </t>
  </si>
  <si>
    <t>Flux: RECALC 9/28; Removed measurements w/ PAR &gt;670 &amp; &lt;650; improved r^2; inc NEP by 0.4</t>
  </si>
  <si>
    <t>Flux: RECALC 9/28; removed measurements where PAR &lt;650; improved r^2 tho Cdry still very noisy; use with caution</t>
  </si>
  <si>
    <t>Flux: RECALC 9/28; Removed measurements w/ PAR&lt;800 or &gt;900; no change to r^2 or NEP</t>
  </si>
  <si>
    <t>Flux: RECALC 9/28: Removed measurements w/ PAR&gt;1100; improved r^2 &amp; inc NEP  by 0.8 - steady trend in Cdry</t>
  </si>
  <si>
    <t>Flux: RECALC 9/28; removed measurements w PAR&gt;1250; no sig change to r^2 or NEP; Cdry steady</t>
  </si>
  <si>
    <t>Flux: RECALC 9/27: removed first 8 sec as Cdry non-linear; Cdry unsteady but with clear trend</t>
  </si>
  <si>
    <t>Flux: Rrecalc 9/27: added  measurements; improved r^2; no change to NEP</t>
  </si>
  <si>
    <t>Flux: RECALC 9/27: Inc # measurements -&gt; improved r^2; no change to NEP</t>
  </si>
  <si>
    <t>Flux: RECALC 9/27:  Inc # measurements; no change to r^2; inc NEP by 0.2</t>
  </si>
  <si>
    <t>Flux: RECALC 9/27; Removed 4 sec at beginning $ end of measurement; improved r^2 &amp; inc NEP by 0.4</t>
  </si>
  <si>
    <t>Flux: RECALC 9/27; Inc # measurements - r^2 dec; Cdry unsteady. Tho w/ clear trend</t>
  </si>
  <si>
    <t>Flux: RECALC 9/27: removed 3 outlier Cdry values &amp; improved r^2 -&gt; Inc NEP by 0.3</t>
  </si>
  <si>
    <t>Flux: RECALC 9/27; removed 6 sec at beginning &amp; end; improved r^2 &amp; inc NEP by 0.2</t>
  </si>
  <si>
    <t>Flux: RECALC 9/27; inc ## measurements; inc NEP by 0.1 - Cdry steady</t>
  </si>
  <si>
    <t>Flux: RECALC 9/27; Inc # measurements - NEP inc by 0.1 - Cdry steady</t>
  </si>
  <si>
    <t>Flux: RECALC 9/27; removed measurements w/ 600&lt;PAR&lt;700; no change to r^2; inc NEP by 0.5</t>
  </si>
  <si>
    <t>Flux: RECALC 9.27; Removed first 30 &amp; last 10 sec of data; improved r^2 &amp; inc NEP; Cdry unsteady - use with caution</t>
  </si>
  <si>
    <t>Flux: RECALC 9/27; removed first 30 sec; improved r^2 -&gt; lg inc in NEP; tho Cdry unsteady - USE WITH CAUTION</t>
  </si>
  <si>
    <t>Flux: RECALC 9/27; improved r^2 by including more measurements -&gt; inc NEP; Cdry unsteady</t>
  </si>
  <si>
    <t>Flux: RECALC 9/27: terrible flux - DO NOT USE</t>
  </si>
  <si>
    <t>Flux: RECALC 9/27; removed measurements w/ PAR&lt;150; improved r^2 tho NO TREND IN Cdry! @LCP? Or just terrible flux.  Use w/ caution</t>
  </si>
  <si>
    <t>Flux: Ommitted first 30 seconds to account for changing PAR</t>
  </si>
  <si>
    <t>Flux: RECALC 9/27; improved r^2 by including more measurements -&gt; dec NEP by 4; Cdry unsteady but w/ clear trend</t>
  </si>
  <si>
    <t>Flux: * C-flux over 8 units!!!!!</t>
  </si>
  <si>
    <t>Flux: **big C-fluxes</t>
  </si>
  <si>
    <t xml:space="preserve"> NDVI: Unispec data collected on 9Jul12</t>
  </si>
  <si>
    <t>Flux: Cdry very unsteady &amp; non-linear.  Leak?? NDVI: Unispec data collected on 9Jul12</t>
  </si>
  <si>
    <t>Flux: Cdry unsteady - affected by gusts?  - used linear segment of Cdry in last 20 sec of measurement NDVI: Unispec data collected on 9Jul12</t>
  </si>
  <si>
    <t>Flux: Recalculated 9/24; removed nonlinear segment of Cdry (first 20 sec) NDVI: Unispec data collected on 9Jul12</t>
  </si>
  <si>
    <t>Flux: very little change in Cdry - near LCP?? NDVI: Unispec data collected on 9Jul12</t>
  </si>
  <si>
    <t>Flux: Cdry unsteady NDVI: Unispec data collected on 9Jul12</t>
  </si>
  <si>
    <t>Flux: Essentially no change in Cdry - at LCP?? NDVI: Unispec data collected on 9Jul12</t>
  </si>
  <si>
    <t>Flux: recalc 9/24; Cdry non-linear; used only linear segments; increased NEP by 0.6 NDVI: Unispec data collected on 9Jul12</t>
  </si>
  <si>
    <t>Flux: Cdry unsteady; use with caution - recalculated 9/24/12 NDVI: Unispec data collected on 9Jul12</t>
  </si>
  <si>
    <t>Flux: removed first and last 20sec; Cdry unsteady NDVI: Unispec data collected on 9Jul12</t>
  </si>
  <si>
    <t>Flux: recalculated 9/24 - all around horrible measurement - DO NOT USE NDVI: Unispec data collected on 9Jul12</t>
  </si>
  <si>
    <t>Flux: removed last 15 seconds as PAR increased by 20; did not affect slope/accuracy of Cdry NDVI: Unispec data collected on 9Jul12</t>
  </si>
  <si>
    <t>Flux: recalc 9/24; removed high PAR segments (first 20 sec) NDVI: Unispec data collected on 9Jul12</t>
  </si>
  <si>
    <t>Flux: Cdry unstable at beginning/end of measurement - use with caution NDVI: Unispec data collected on 9Jul12</t>
  </si>
  <si>
    <t>Flux: Cdry stopped changing last 10 sec of measurement; removed, though flux seems low NDVI: Unispec data collected on 9Jul12</t>
  </si>
  <si>
    <t>Flux: Cdry  has a few hiccup spots NDVI: Unispec data collected on 9Jul12</t>
  </si>
  <si>
    <t xml:space="preserve"> NDVI: Direct Light measurements from 13Aug12-senescence had begun and NO BF3 sensor</t>
  </si>
  <si>
    <t>Flux: delta C is not a great line NDVI: Direct Light measurements from 13Aug12-senescence had begun and NO BF3 sensor</t>
  </si>
  <si>
    <t>Flux: RECALC 9/27; removed 2 points w/ outlier PAR values; no change to r^2 or NEP; unsteady Cdry tho w/ clear trend NDVI: Direct Light measurements from 13Aug12-senescence had begun and NO BF3 sensor</t>
  </si>
  <si>
    <t>Flux: RECALC 9/27; inc # measurements; unsteady Cdry tho w/ clear trend NDVI: Direct Light measurements from 13Aug12-senescence had begun and NO BF3 sensor</t>
  </si>
  <si>
    <t>Flux: used 20-40 seconds because PAR fluctuated at the end NDVI: Direct Light measurements from 13Aug12-senescence had begun and NO BF3 sensor</t>
  </si>
  <si>
    <t>Flux: delta C is not a great line; RECALC 9/27: inc. # measurements &amp; removed low PAR data point; inc NEP by 0.1 and improved r^2; Cdry unsteady tho w/ clear trend NDVI: Direct Light measurements from 13Aug12-senescence had begun and NO BF3 sensor</t>
  </si>
  <si>
    <t>Flux: used 20-40 seconds because PAR fluctuated at the end; RECALC 9/27; slight inc in NEP when added additional measurements at beginning of flux NDVI: Direct Light measurements from 13Aug12-senescence had begun and NO BF3 sensor</t>
  </si>
  <si>
    <t>Flux: fluctuating PAR, cflux not perfectly constant NDVI: Direct Light measurements from 13Aug12-senescence had begun and NO BF3 sensor</t>
  </si>
  <si>
    <t>Flux: only used last 20 seconds- c flux was unstable at beginning of measurement NDVI: Direct Light measurements from 13Aug12-senescence had begun and NO BF3 sensor</t>
  </si>
  <si>
    <t>Flux: fluctuating PAR; RECALC 9/27: removed measuremens w/ PAR&lt;470 -&gt; improved r^2; Cdry unsteady tho w/ clear trend NDVI: Direct Light measurements from 13Aug12-senescence had begun and NO BF3 sensor</t>
  </si>
  <si>
    <t>Flux: RECALC 9/27; removed first 20 sec as PAR &amp; Cdry fluctuating; improved r^2 &amp; inc NEP; Cdry still unsteady tho w/ clear trend NDVI: Direct Light measurements from 13Aug12-senescence had begun and NO BF3 sensor</t>
  </si>
  <si>
    <t>Flux: PAR decreases by over 200; RECALC 9/27 - removed all measurements w/ PAR&gt;600. USE WITH CAUTION; Cdry unsteady NDVI: Direct Light measurements from 13Aug12-senescence had begun and NO BF3 sensor</t>
  </si>
  <si>
    <t>Flux: RECALC 9/27; removed values w/ PAR&lt;615; improved r^2; Cdry unsteady tho w/ clear trend NDVI: Direct Light measurements from 13Aug12-senescence had begun and NO BF3 sensor</t>
  </si>
  <si>
    <t>Flux: PAR fluctuating: RECALC 9/27 - removed measurements w/ PAR &gt;900 and last 15 sec as Cdry unsteady; use with caution NDVI: Direct Light measurements from 13Aug12-senescence had begun and NO BF3 sensor</t>
  </si>
  <si>
    <t>Flux: excluded last 10 seconds because par increased to 880 NDVI: Direct Light measurements from 13Aug12-senescence had begun and NO BF3 sensor</t>
  </si>
  <si>
    <t>Flux: RECALC 9/27; inc #measurements - improved r^2; removed two points w/ PAR&lt;1030 NDVI: Direct Light measurements from 13Aug12-senescence had begun and NO BF3 sensor</t>
  </si>
  <si>
    <t>Flux: DO NOT USE: chamber clearly leaking</t>
  </si>
  <si>
    <t>Flux: clear trend, but curve is erratic</t>
  </si>
  <si>
    <t>Flux: DO NOT USE: chamber maybe leaking?</t>
  </si>
  <si>
    <t>Flux: only used a middle section of 14 seconds, rest was unstable</t>
  </si>
  <si>
    <t>Flux: Leak? Jump in middle</t>
  </si>
  <si>
    <t>Flux: PAR decreases by 90 during measurement</t>
  </si>
  <si>
    <t>Flux: DO NOT USE: chamber leaking?</t>
  </si>
  <si>
    <t>Flux: low r^2 for H2O</t>
  </si>
  <si>
    <t>Flux: recalc 9/26; Cdry unsteady tho w/ clear trend</t>
  </si>
  <si>
    <t>Flux: recalc 9/26; added additional measurements; Cdry &amp; H2O unsteady tho w/ clear trend</t>
  </si>
  <si>
    <t>Flux: recalc 9/26: inc # measurements; no change to NEP tho inc r^2</t>
  </si>
  <si>
    <t>Flux: C flux dodgy, leak or LCP?; recalc 9/26; removed extreme points - improved r^2 tho Cdry still unsteady</t>
  </si>
  <si>
    <t>Flux: C flux seems ok here; recalc 9/26 - improved r^2 by removing high measurement; Cdry unsteady</t>
  </si>
  <si>
    <t>Flux: recalc 9/26; no change; unsteady Cdry</t>
  </si>
  <si>
    <t>Flux: do not use- co2 jumps around (chamber leaking??) - recalc 9/26 NO CHANGE IN Cdry</t>
  </si>
  <si>
    <t>Flux: C flux terrible - leak? Recalc 9/26 - DO NOT USE; Cdry erratic</t>
  </si>
  <si>
    <t>Flux: C flux  bit dodgy, - possible leak?; recalc 9/26 - removed last 30 sec - improved r^2 and doubled NEP</t>
  </si>
  <si>
    <t>Flux: recalc 9/26; Cdry &amp; H2O unsteady - possible leak?</t>
  </si>
  <si>
    <t>Flux: Marked as large C flux fluctuations in notebook; Recalc 9/26 - only minor change; unsteady Cdry</t>
  </si>
  <si>
    <t>Flux: recalc 9/26; removed last 10 sec; inc r^2 &amp; inc NEP</t>
  </si>
  <si>
    <t>Flux: Marked as large C flux fluctuations in notebook</t>
  </si>
  <si>
    <t>Flux: C flux not linear - may be at LCP or just be dodgy; recalc 9/26 - NO CHANGE IN Cdry; Use with caution</t>
  </si>
  <si>
    <t>Flux: C flux not  linear; recalc 9/26: removed last 10sec which improved r^2; Cdry unsteady throughout measurement</t>
  </si>
  <si>
    <t>Flux: recalc 9/26; removed last 8 sec and one mid-measurement to improve r^2</t>
  </si>
  <si>
    <t>Flux: recalc 9/26; removed last 30 sec of measurement; nearly doubled NEP</t>
  </si>
  <si>
    <t>Flux: Recalc 9/26; improved Cdry fit by removing non-linear segments</t>
  </si>
  <si>
    <t>Flux: recalc 9/26; inc # measurements included -&gt; improved r^2</t>
  </si>
  <si>
    <t>Flux: nearly at LCP? C flux weird; recalc 9/26 - no trend in Cdry! DO NOT USE</t>
  </si>
  <si>
    <t>Flux: recalc 9/26; removed last 14 sec of measurement; slightly improved r^2</t>
  </si>
  <si>
    <t>Flux: no chamber fans, flux seems OK</t>
  </si>
  <si>
    <t>Flux: some fluctuations in Cdry, but trend is clear</t>
  </si>
  <si>
    <t>Flux: recalc 9/25 with more measurements; slight inc in Cdry slope</t>
  </si>
  <si>
    <t>Flux: recalc 9/25; inc # measurments -&gt;improved r^2 of Cdry</t>
  </si>
  <si>
    <t>Flux: recal 9/25; improved r^2 though Cdry unsteady</t>
  </si>
  <si>
    <t>Flux: Recalc 9/25; improved r^2 by removed all but 20sec of data; use with caution.</t>
  </si>
  <si>
    <t>Flux: recalc 9/25; included more measurements - slightly improved r^2</t>
  </si>
  <si>
    <t>Flux: Recalc 9/25; reduced rate by 0.02 by removing first 30 sec of measurement -- changes in Tair were having sig effect on Cflux, though no noticeable trend on Cdry</t>
  </si>
  <si>
    <t>Flux: recalc 9/25; no change - still have unsteady Cdry w/ clear trend</t>
  </si>
  <si>
    <t>Flux: recalc 9/25; no change - still non-linear Cdry</t>
  </si>
  <si>
    <t>Flux: recalc 9/25; some fluctuations in Cdry, but trend is clear</t>
  </si>
  <si>
    <t>Flux: recalc 9/25; inc # measurements -&gt; slightly inc Cdry slope</t>
  </si>
  <si>
    <t>Flux: recalc 9/25; little change though Cdry is slightly unsteady (clear trend)</t>
  </si>
  <si>
    <t>Flux: recalc 9/25; removed some low PAR measures -&gt; dec Cdry slope slightly</t>
  </si>
  <si>
    <t xml:space="preserve">Flux: Recalc 9/25; removed 40 sec of data as PAR change &gt;200 </t>
  </si>
  <si>
    <t>Flux: recalc 9/25; large change in PAR - removed segments &lt;600 and &lt;400 PAR</t>
  </si>
  <si>
    <t>Flux: recalc 9/25; removed last 30 sec of data as Cdry unsteady -&gt; increased the slope of Cdry</t>
  </si>
  <si>
    <t>Flux: recalc 9/25; removed central 8 sec as PAR spiked; little change to Cdry slope</t>
  </si>
  <si>
    <t>Flux: recalc 9/25; inc # measurments in data - improved r^2</t>
  </si>
  <si>
    <t>Flux: recalc 9/25; removed last 14sec as PAR increased &gt;10</t>
  </si>
  <si>
    <t>Flux: recalc 9/25; removed last 18 sec data as Cdry had dip</t>
  </si>
  <si>
    <t>Flux: recalc 9/25; huge changes in PAR; removed middle 20sec of data as PAR &gt;1000</t>
  </si>
  <si>
    <t>Flux: recalc 9/25 to remove 500+ change in PAR</t>
  </si>
  <si>
    <t>Flux: HUGE changes in PAR (up then down) over measurement</t>
  </si>
  <si>
    <t>Flux: recalc 9/25; included more measurements - improved r^2</t>
  </si>
  <si>
    <t>Flux: recalc 9/25; included more measurements</t>
  </si>
  <si>
    <t>Flux: end of measurement unstable -- questionable curve</t>
  </si>
  <si>
    <t>Flux: Cflux unstable; removed last 30sec of measurement</t>
  </si>
  <si>
    <t>Flux: Recalculated; Cdry wobbly; Cflux varies strongly with small change in PAR - near LCP?</t>
  </si>
  <si>
    <t>Flux: removed last 14sec of measurement due to irregularity</t>
  </si>
  <si>
    <t>Flux: Cdry unstable during measurement - change under detection limit? Use with caution</t>
  </si>
  <si>
    <t>Flux: did not include last 1-sec of measurement as CO2dry was non-linear</t>
  </si>
  <si>
    <t>Flux: recalculated - improved curve, though Cdry wobbly</t>
  </si>
  <si>
    <t>Flux: removed first 24 seconds -- highly variable PAR</t>
  </si>
  <si>
    <t>Flux: Removed last 30 seconds of measurement - unstable?</t>
  </si>
  <si>
    <t>Flux: Removed last 30 seconds of measurement - water unstable</t>
  </si>
  <si>
    <t>Flux: low R^2</t>
  </si>
  <si>
    <t>Flux: removed last 10 sec of measurement - Tair changing</t>
  </si>
  <si>
    <t>Flux: Cflux wobbly - removed last 10sec of data</t>
  </si>
  <si>
    <t>Flux: Cdry unsteady - including more observations improved R^2</t>
  </si>
  <si>
    <t>Flux: Removed non-linear segment 32-45 sec in measurement; questionable flux!</t>
  </si>
  <si>
    <t>Flux: Cdry erratic - measurement inconsistent with others at similar light level.  Compensation point or leak???</t>
  </si>
  <si>
    <t>Flux: H2O and CO2 somewhat unsteady</t>
  </si>
  <si>
    <t>Flux: PAR sensor uncovered?? - removed last 20 sec of data - may have been affected by wind</t>
  </si>
  <si>
    <t>Flux: Large flux in PAR; used only measurements with similar PAR values</t>
  </si>
  <si>
    <t>Flux: re-calculated -- removed last 10 seconds of measurement; appeared to be affected by wind gust (change in air Temp)</t>
  </si>
  <si>
    <t>Flux: Unsteady measurement - do not use</t>
  </si>
  <si>
    <t>Flux: Cflux unsteady, tho kept more measurements in as aided R^2</t>
  </si>
  <si>
    <t>Flux: Cdry&amp;H2O somewhat wobbly; Cflux erratic</t>
  </si>
  <si>
    <t>Flux: Unsteady Cflux - though last 5 obs of measurement are stable and produced similar NEP value (7.73)</t>
  </si>
  <si>
    <t>Flux: Cflux erratic! Cdry not linear</t>
  </si>
  <si>
    <t>Flux: Unsteady Cflux, CO2, H2O</t>
  </si>
  <si>
    <t>Flux: C flux not good line - bad reading or near LCP?</t>
  </si>
  <si>
    <t>Flux: near LCP?</t>
  </si>
  <si>
    <t>Flux: Cflux strongly associated with variation in PAR - perhaps near compensation point? b/c small change in PAR</t>
  </si>
  <si>
    <t>Flux: LOOKS TERRIBLE ALL AROUND - DO NOT USE</t>
  </si>
  <si>
    <t xml:space="preserve">Flux: C flux not good line - bad reading or near LCP? </t>
  </si>
  <si>
    <t>Flux: PAR spikes but seems okay, tried removing those data but little effect on C flux?</t>
  </si>
  <si>
    <t>Flux: C flux not good line</t>
  </si>
  <si>
    <t>Flux: Unstable CO2; Cflux erratic</t>
  </si>
  <si>
    <t>Flux: Cflux variable</t>
  </si>
  <si>
    <t>Flux: C flux was not perfect line, notebook out in field -check later</t>
  </si>
  <si>
    <t xml:space="preserve">YEAR </t>
  </si>
  <si>
    <t xml:space="preserve"> year of measurement </t>
  </si>
  <si>
    <t xml:space="preserve">DATE </t>
  </si>
  <si>
    <t xml:space="preserve"> date of measurement </t>
  </si>
  <si>
    <t xml:space="preserve">SITE </t>
  </si>
  <si>
    <t xml:space="preserve">PLOT </t>
  </si>
  <si>
    <t xml:space="preserve"> Individual plot identifier </t>
  </si>
  <si>
    <t xml:space="preserve">TREAT </t>
  </si>
  <si>
    <t xml:space="preserve">PHASE </t>
  </si>
  <si>
    <t xml:space="preserve">PLOT SIZE </t>
  </si>
  <si>
    <t xml:space="preserve"> Dominant canopy vegetation</t>
  </si>
  <si>
    <t>YYYY</t>
  </si>
  <si>
    <t xml:space="preserve"> Toolik</t>
  </si>
  <si>
    <t xml:space="preserve">GROUP </t>
  </si>
  <si>
    <t xml:space="preserve"> none or fertilised annually (FERT) (with N and P) </t>
  </si>
  <si>
    <t xml:space="preserve"> 1m x 1m chamber size </t>
  </si>
  <si>
    <t xml:space="preserve">CURVE ID </t>
  </si>
  <si>
    <t xml:space="preserve">OBSNUM </t>
  </si>
  <si>
    <t xml:space="preserve"> Individual flux measurement identifier </t>
  </si>
  <si>
    <t xml:space="preserve">START TIME </t>
  </si>
  <si>
    <t xml:space="preserve">LIGHT TREATMENT </t>
  </si>
  <si>
    <t xml:space="preserve">PRESSURE </t>
  </si>
  <si>
    <t xml:space="preserve"> average barometric pressure </t>
  </si>
  <si>
    <t xml:space="preserve">CH_AIRTEMP </t>
  </si>
  <si>
    <t xml:space="preserve">CO2 </t>
  </si>
  <si>
    <t xml:space="preserve">H20 </t>
  </si>
  <si>
    <t xml:space="preserve">PAR </t>
  </si>
  <si>
    <t xml:space="preserve">PAR RANGE </t>
  </si>
  <si>
    <t xml:space="preserve">NDVI </t>
  </si>
  <si>
    <t xml:space="preserve"> normalised difference vegetation index </t>
  </si>
  <si>
    <t xml:space="preserve"> dimensionless </t>
  </si>
  <si>
    <t xml:space="preserve">NEP </t>
  </si>
  <si>
    <t xml:space="preserve">H2Oflux </t>
  </si>
  <si>
    <t xml:space="preserve">RE </t>
  </si>
  <si>
    <t xml:space="preserve">GEP </t>
  </si>
  <si>
    <t xml:space="preserve">uncorrected NEP </t>
  </si>
  <si>
    <t xml:space="preserve">COMMENTS </t>
  </si>
  <si>
    <t xml:space="preserve">LiCor FILE NAME </t>
  </si>
  <si>
    <t xml:space="preserve">BF3 TOT IRRAD </t>
  </si>
  <si>
    <t>BF3 DIFFUSE IRRAD</t>
  </si>
  <si>
    <t xml:space="preserve">Description of the ambient light condition during the flux measurement </t>
  </si>
  <si>
    <t xml:space="preserve">LIGHT CURVE </t>
  </si>
  <si>
    <t xml:space="preserve"> Light curve each flux measurement is associated with</t>
  </si>
  <si>
    <t xml:space="preserve">  Notes on flux and NDVI measurements </t>
  </si>
  <si>
    <t xml:space="preserve"> Measurement location in relation to Toolik Lake LTER Shrub plots; In vicinity of Block1 =Upland |  IVO Block 2 =Outlet</t>
  </si>
  <si>
    <t>Upland site; co-located in Block 1 of the Shrub LTER sites; IVO 68° 38'18.8" N,  149° 34' 07.2"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</si>
  <si>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Outlet site; co-located in Block 2 of the Shrub LTER sites; IVO 68° 38'008.1" N,  149° 35' 017.1"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</si>
  <si>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photosynthesis; shrub canopy, chamber flux measurement; direct light, diffuse light fraction</t>
  </si>
  <si>
    <t>2012_GS_ITEX_CHFluxData</t>
  </si>
  <si>
    <t xml:space="preserve">13:16:33
</t>
  </si>
  <si>
    <t xml:space="preserve">13:19:59
</t>
  </si>
  <si>
    <t xml:space="preserve">13:12:24
</t>
  </si>
  <si>
    <t xml:space="preserve">12:31:48
</t>
  </si>
  <si>
    <t xml:space="preserve">13:04:13
</t>
  </si>
  <si>
    <t xml:space="preserve">12:51:02
</t>
  </si>
  <si>
    <t xml:space="preserve">12:26:19
</t>
  </si>
  <si>
    <t xml:space="preserve">12:20:46
</t>
  </si>
  <si>
    <t xml:space="preserve">12:42:46
</t>
  </si>
  <si>
    <t xml:space="preserve">12:12:37
</t>
  </si>
  <si>
    <t xml:space="preserve">12:09:37
</t>
  </si>
  <si>
    <t xml:space="preserve">11:58:47
</t>
  </si>
  <si>
    <t xml:space="preserve">11:56:31
</t>
  </si>
  <si>
    <t xml:space="preserve">14:22:01
</t>
  </si>
  <si>
    <t xml:space="preserve">14:18:59
</t>
  </si>
  <si>
    <t xml:space="preserve">12:18:06
</t>
  </si>
  <si>
    <t xml:space="preserve">12:01:44
</t>
  </si>
  <si>
    <t xml:space="preserve">12:05:05
</t>
  </si>
  <si>
    <t xml:space="preserve">11:42:33
</t>
  </si>
  <si>
    <t xml:space="preserve">11:38:31
</t>
  </si>
  <si>
    <t xml:space="preserve">11:49:47
</t>
  </si>
  <si>
    <t xml:space="preserve">11:46:57
</t>
  </si>
  <si>
    <t xml:space="preserve">14:15:44
</t>
  </si>
  <si>
    <t xml:space="preserve">14:08:05
</t>
  </si>
  <si>
    <t xml:space="preserve">14:13:08
</t>
  </si>
  <si>
    <t xml:space="preserve">14:10:28
</t>
  </si>
  <si>
    <t xml:space="preserve">14:29:18
</t>
  </si>
  <si>
    <t xml:space="preserve">14:35:53
</t>
  </si>
  <si>
    <t xml:space="preserve">14:32:54
</t>
  </si>
  <si>
    <t xml:space="preserve">14:05:43
</t>
  </si>
  <si>
    <t xml:space="preserve">14:02:16
</t>
  </si>
  <si>
    <t xml:space="preserve">14:09:32
</t>
  </si>
  <si>
    <t xml:space="preserve">13:51:06
</t>
  </si>
  <si>
    <t xml:space="preserve">13:15:58
</t>
  </si>
  <si>
    <t xml:space="preserve">13:47:32
</t>
  </si>
  <si>
    <t xml:space="preserve">12:50:27
</t>
  </si>
  <si>
    <t xml:space="preserve">13:39:25
</t>
  </si>
  <si>
    <t xml:space="preserve">13:20:14
</t>
  </si>
  <si>
    <t xml:space="preserve">11:16:16
</t>
  </si>
  <si>
    <t xml:space="preserve">10:20:09
</t>
  </si>
  <si>
    <t xml:space="preserve">13:46:44
</t>
  </si>
  <si>
    <t xml:space="preserve">13:37:57
</t>
  </si>
  <si>
    <t xml:space="preserve">13:07:03
</t>
  </si>
  <si>
    <t xml:space="preserve">11:40:09
</t>
  </si>
  <si>
    <t xml:space="preserve">11:33:31
</t>
  </si>
  <si>
    <t xml:space="preserve">11:08:11
</t>
  </si>
  <si>
    <t xml:space="preserve">13:10:40
</t>
  </si>
  <si>
    <t xml:space="preserve">10:58:18
</t>
  </si>
  <si>
    <t xml:space="preserve">10:24:58
</t>
  </si>
  <si>
    <t xml:space="preserve">11:46:12
</t>
  </si>
  <si>
    <t xml:space="preserve">11:53:58
</t>
  </si>
  <si>
    <t xml:space="preserve">12:24:20
</t>
  </si>
  <si>
    <t xml:space="preserve">13:56:04
</t>
  </si>
  <si>
    <t xml:space="preserve">13:18:25
</t>
  </si>
  <si>
    <t xml:space="preserve">13:52:45
</t>
  </si>
  <si>
    <t xml:space="preserve">13:15:39
</t>
  </si>
  <si>
    <t xml:space="preserve">13:12:51
</t>
  </si>
  <si>
    <t xml:space="preserve">13:46:36
</t>
  </si>
  <si>
    <t xml:space="preserve">12:51:31
</t>
  </si>
  <si>
    <t xml:space="preserve">10:07:40
</t>
  </si>
  <si>
    <t xml:space="preserve">10:11:25
</t>
  </si>
  <si>
    <t xml:space="preserve">11:22:21
</t>
  </si>
  <si>
    <t xml:space="preserve">10:18:17
</t>
  </si>
  <si>
    <t xml:space="preserve">11:16:57
</t>
  </si>
  <si>
    <t xml:space="preserve">10:21:30
</t>
  </si>
  <si>
    <t xml:space="preserve">11:39:47
</t>
  </si>
  <si>
    <t xml:space="preserve">11:08:13
</t>
  </si>
  <si>
    <t xml:space="preserve">10:58:01
</t>
  </si>
  <si>
    <t xml:space="preserve">10:30:45
</t>
  </si>
  <si>
    <t xml:space="preserve">11:45:03
</t>
  </si>
  <si>
    <t xml:space="preserve">12:21:11
</t>
  </si>
  <si>
    <t xml:space="preserve">11:56:04
</t>
  </si>
  <si>
    <t xml:space="preserve">11:43:13
</t>
  </si>
  <si>
    <t xml:space="preserve">11:45:48
</t>
  </si>
  <si>
    <t xml:space="preserve">11:51:24
</t>
  </si>
  <si>
    <t xml:space="preserve">11:47:55
</t>
  </si>
  <si>
    <t xml:space="preserve">11:40:02
</t>
  </si>
  <si>
    <t xml:space="preserve">11:37:43
</t>
  </si>
  <si>
    <t xml:space="preserve">11:42:57
</t>
  </si>
  <si>
    <t xml:space="preserve">10:37:51
</t>
  </si>
  <si>
    <t xml:space="preserve">10:23:52
</t>
  </si>
  <si>
    <t xml:space="preserve">10:27:45
</t>
  </si>
  <si>
    <t xml:space="preserve">09:36:25
</t>
  </si>
  <si>
    <t xml:space="preserve">10:57:56
</t>
  </si>
  <si>
    <t xml:space="preserve">09:45:17
</t>
  </si>
  <si>
    <t xml:space="preserve">10:16:58
</t>
  </si>
  <si>
    <t xml:space="preserve">09:57:06
</t>
  </si>
  <si>
    <t xml:space="preserve">11:17:31
</t>
  </si>
  <si>
    <t xml:space="preserve">11:14:56
</t>
  </si>
  <si>
    <t xml:space="preserve">10:02:06
</t>
  </si>
  <si>
    <t xml:space="preserve">09:25:01
</t>
  </si>
  <si>
    <t xml:space="preserve">09:21:34
</t>
  </si>
  <si>
    <t xml:space="preserve">09:27:52
</t>
  </si>
  <si>
    <t xml:space="preserve">11:06:46
</t>
  </si>
  <si>
    <t xml:space="preserve">11:14:57
</t>
  </si>
  <si>
    <t xml:space="preserve">11:18:43
</t>
  </si>
  <si>
    <t xml:space="preserve">09:31:10
</t>
  </si>
  <si>
    <t xml:space="preserve">09:41:20
</t>
  </si>
  <si>
    <t xml:space="preserve">09:52:44
</t>
  </si>
  <si>
    <t xml:space="preserve">09:49:04
</t>
  </si>
  <si>
    <t xml:space="preserve">11:28:04
</t>
  </si>
  <si>
    <t xml:space="preserve">11:35:15
</t>
  </si>
  <si>
    <t xml:space="preserve">11:31:26
</t>
  </si>
  <si>
    <t xml:space="preserve">12:07:17
</t>
  </si>
  <si>
    <t xml:space="preserve">12:00:38
</t>
  </si>
  <si>
    <t xml:space="preserve">12:04:07
</t>
  </si>
  <si>
    <t xml:space="preserve">11:43:19
</t>
  </si>
  <si>
    <t xml:space="preserve">11:46:51
</t>
  </si>
  <si>
    <t xml:space="preserve">11:50:47
</t>
  </si>
  <si>
    <t xml:space="preserve">11:38:48
</t>
  </si>
  <si>
    <t xml:space="preserve">11:33:01
</t>
  </si>
  <si>
    <t xml:space="preserve">11:29:11
</t>
  </si>
  <si>
    <t xml:space="preserve">10:46:02
</t>
  </si>
  <si>
    <t xml:space="preserve">11:21:34
</t>
  </si>
  <si>
    <t xml:space="preserve">11:14:22
</t>
  </si>
  <si>
    <t xml:space="preserve">11:17:54
</t>
  </si>
  <si>
    <t xml:space="preserve">12:12:09
</t>
  </si>
  <si>
    <t xml:space="preserve">09:36:09
</t>
  </si>
  <si>
    <t xml:space="preserve">10:57:17
</t>
  </si>
  <si>
    <t xml:space="preserve">09:24:38
</t>
  </si>
  <si>
    <t xml:space="preserve">11:01:37
</t>
  </si>
  <si>
    <t xml:space="preserve">11:10:20
</t>
  </si>
  <si>
    <t xml:space="preserve">10:42:06
</t>
  </si>
  <si>
    <t xml:space="preserve">11:04:53
</t>
  </si>
  <si>
    <t xml:space="preserve">10:52:16
</t>
  </si>
  <si>
    <t xml:space="preserve">09:30:29
</t>
  </si>
  <si>
    <t xml:space="preserve">11:09:48
</t>
  </si>
  <si>
    <t xml:space="preserve">09:54:37
</t>
  </si>
  <si>
    <t xml:space="preserve">10:57:29
</t>
  </si>
  <si>
    <t xml:space="preserve">09:22:06
</t>
  </si>
  <si>
    <t xml:space="preserve">09:43:44
</t>
  </si>
  <si>
    <t xml:space="preserve">09:46:57
</t>
  </si>
  <si>
    <t xml:space="preserve">09:50:30
</t>
  </si>
  <si>
    <t xml:space="preserve">10:34:47
</t>
  </si>
  <si>
    <t xml:space="preserve">10:38:41
</t>
  </si>
  <si>
    <t xml:space="preserve">11:16:11
</t>
  </si>
  <si>
    <t xml:space="preserve">11:07:37
</t>
  </si>
  <si>
    <t xml:space="preserve">11:20:32
</t>
  </si>
  <si>
    <t xml:space="preserve">11:24:01
</t>
  </si>
  <si>
    <t xml:space="preserve">16:39:41
</t>
  </si>
  <si>
    <t xml:space="preserve">16:43:07
</t>
  </si>
  <si>
    <t xml:space="preserve">16:46:38
</t>
  </si>
  <si>
    <t xml:space="preserve">15:48:36
</t>
  </si>
  <si>
    <t xml:space="preserve">15:45:01
</t>
  </si>
  <si>
    <t xml:space="preserve">16:02:55
</t>
  </si>
  <si>
    <t xml:space="preserve">15:56:10
</t>
  </si>
  <si>
    <t xml:space="preserve">15:59:00
</t>
  </si>
  <si>
    <t xml:space="preserve">15:34:35
</t>
  </si>
  <si>
    <t xml:space="preserve">15:23:09
</t>
  </si>
  <si>
    <t xml:space="preserve">15:28:58
</t>
  </si>
  <si>
    <t xml:space="preserve">14:16:44
</t>
  </si>
  <si>
    <t xml:space="preserve">14:57:33
</t>
  </si>
  <si>
    <t xml:space="preserve">15:05:39
</t>
  </si>
  <si>
    <t xml:space="preserve">15:19:07
</t>
  </si>
  <si>
    <t xml:space="preserve">14:36:29
</t>
  </si>
  <si>
    <t xml:space="preserve">14:40:02
</t>
  </si>
  <si>
    <t xml:space="preserve">13:21:03
</t>
  </si>
  <si>
    <t xml:space="preserve">13:13:39
</t>
  </si>
  <si>
    <t xml:space="preserve">13:17:39
</t>
  </si>
  <si>
    <t xml:space="preserve">12:16:11
</t>
  </si>
  <si>
    <t xml:space="preserve">11:13:16
</t>
  </si>
  <si>
    <t xml:space="preserve">12:12:24
</t>
  </si>
  <si>
    <t xml:space="preserve">11:16:00
</t>
  </si>
  <si>
    <t xml:space="preserve">11:09:05
</t>
  </si>
  <si>
    <t xml:space="preserve">12:05:35
</t>
  </si>
  <si>
    <t xml:space="preserve">12:09:24
</t>
  </si>
  <si>
    <t xml:space="preserve">11:05:58
</t>
  </si>
  <si>
    <t xml:space="preserve">11:48:14
</t>
  </si>
  <si>
    <t xml:space="preserve">11:52:03
</t>
  </si>
  <si>
    <t xml:space="preserve">10:58:53
</t>
  </si>
  <si>
    <t xml:space="preserve">11:01:57
</t>
  </si>
  <si>
    <t xml:space="preserve">11:56:07
</t>
  </si>
  <si>
    <t xml:space="preserve">12:00:20
</t>
  </si>
  <si>
    <t xml:space="preserve">13:29:21
</t>
  </si>
  <si>
    <t xml:space="preserve">10:56:05
</t>
  </si>
  <si>
    <t xml:space="preserve">10:51:40
</t>
  </si>
  <si>
    <t xml:space="preserve">11:40:13
</t>
  </si>
  <si>
    <t xml:space="preserve">11:34:07
</t>
  </si>
  <si>
    <t xml:space="preserve">11:37:50
</t>
  </si>
  <si>
    <t xml:space="preserve">11:42:56
</t>
  </si>
  <si>
    <t xml:space="preserve">13:09:45
</t>
  </si>
  <si>
    <t xml:space="preserve">13:07:23
</t>
  </si>
  <si>
    <t xml:space="preserve">13:01:52
</t>
  </si>
  <si>
    <t xml:space="preserve">12:50:18
</t>
  </si>
  <si>
    <t xml:space="preserve">12:57:54
</t>
  </si>
  <si>
    <t xml:space="preserve">10:47:43
</t>
  </si>
  <si>
    <t xml:space="preserve">10:44:15
</t>
  </si>
  <si>
    <t xml:space="preserve">11:24:21
</t>
  </si>
  <si>
    <t xml:space="preserve">11:19:36
</t>
  </si>
  <si>
    <t xml:space="preserve">11:21:31
</t>
  </si>
  <si>
    <t xml:space="preserve">12:44:28
</t>
  </si>
  <si>
    <t xml:space="preserve">12:46:45
</t>
  </si>
  <si>
    <t xml:space="preserve">11:48:29
</t>
  </si>
  <si>
    <t xml:space="preserve">14:14:36
</t>
  </si>
  <si>
    <t xml:space="preserve">11:44:58
</t>
  </si>
  <si>
    <t xml:space="preserve">11:41:16
</t>
  </si>
  <si>
    <t xml:space="preserve">11:37:51
</t>
  </si>
  <si>
    <t xml:space="preserve">14:22:29
</t>
  </si>
  <si>
    <t xml:space="preserve">14:19:06
</t>
  </si>
  <si>
    <t xml:space="preserve">11:06:52
</t>
  </si>
  <si>
    <t xml:space="preserve">11:16:33
</t>
  </si>
  <si>
    <t xml:space="preserve">11:12:14
</t>
  </si>
  <si>
    <t xml:space="preserve">11:28:52
</t>
  </si>
  <si>
    <t xml:space="preserve">11:32:35
</t>
  </si>
  <si>
    <t xml:space="preserve">10:41:34
</t>
  </si>
  <si>
    <t xml:space="preserve">10:51:48
</t>
  </si>
  <si>
    <t xml:space="preserve">10:16:17
</t>
  </si>
  <si>
    <t xml:space="preserve">10:28:18
</t>
  </si>
  <si>
    <t xml:space="preserve">10:23:12
</t>
  </si>
  <si>
    <t xml:space="preserve">10:19:42
</t>
  </si>
  <si>
    <t xml:space="preserve">11:11:53
</t>
  </si>
  <si>
    <t xml:space="preserve">11:14:16
</t>
  </si>
  <si>
    <t xml:space="preserve">13:56:16
</t>
  </si>
  <si>
    <t xml:space="preserve">13:53:17
</t>
  </si>
  <si>
    <t xml:space="preserve">10:17:20
</t>
  </si>
  <si>
    <t xml:space="preserve">10:20:47
</t>
  </si>
  <si>
    <t xml:space="preserve">14:00:46
</t>
  </si>
  <si>
    <t xml:space="preserve">11:17:45
</t>
  </si>
  <si>
    <t xml:space="preserve">11:26:42
</t>
  </si>
  <si>
    <t xml:space="preserve">12:41:15
</t>
  </si>
  <si>
    <t xml:space="preserve">14:09:40
</t>
  </si>
  <si>
    <t xml:space="preserve">14:07:04
</t>
  </si>
  <si>
    <t xml:space="preserve">14:04:06
</t>
  </si>
  <si>
    <t xml:space="preserve">11:09:29
</t>
  </si>
  <si>
    <t xml:space="preserve">11:21:09
</t>
  </si>
  <si>
    <t xml:space="preserve">12:50:15
</t>
  </si>
  <si>
    <t xml:space="preserve">12:53:11
</t>
  </si>
  <si>
    <t xml:space="preserve">12:47:08
</t>
  </si>
  <si>
    <t xml:space="preserve">14:33:22
</t>
  </si>
  <si>
    <t xml:space="preserve">14:30:16
</t>
  </si>
  <si>
    <t xml:space="preserve">14:27:45
</t>
  </si>
  <si>
    <t xml:space="preserve">12:14:43
</t>
  </si>
  <si>
    <t xml:space="preserve">12:33:33
</t>
  </si>
  <si>
    <t xml:space="preserve">11:56:20
</t>
  </si>
  <si>
    <t xml:space="preserve">12:19:46
</t>
  </si>
  <si>
    <t xml:space="preserve">12:28:55
</t>
  </si>
  <si>
    <t xml:space="preserve">12:03:48
</t>
  </si>
  <si>
    <t xml:space="preserve">12:14:07
</t>
  </si>
  <si>
    <t xml:space="preserve">12:24:57
</t>
  </si>
  <si>
    <t xml:space="preserve">11:40:28
</t>
  </si>
  <si>
    <t xml:space="preserve">12:02:52
</t>
  </si>
  <si>
    <t xml:space="preserve">12:07:38
</t>
  </si>
  <si>
    <t xml:space="preserve">11:30:31
</t>
  </si>
  <si>
    <t xml:space="preserve">11:36:27
</t>
  </si>
  <si>
    <t xml:space="preserve">11:33:53
</t>
  </si>
  <si>
    <t xml:space="preserve">13:15:23
</t>
  </si>
  <si>
    <t xml:space="preserve">11:58:57
</t>
  </si>
  <si>
    <t xml:space="preserve">11:22:32
</t>
  </si>
  <si>
    <t xml:space="preserve">13:01:26
</t>
  </si>
  <si>
    <t xml:space="preserve">11:45:40
</t>
  </si>
  <si>
    <t xml:space="preserve">13:20:34
</t>
  </si>
  <si>
    <t xml:space="preserve">13:24:10
</t>
  </si>
  <si>
    <t xml:space="preserve">13:40:17
</t>
  </si>
  <si>
    <t xml:space="preserve">13:28:36
</t>
  </si>
  <si>
    <t xml:space="preserve">13:32:50
</t>
  </si>
  <si>
    <t xml:space="preserve">13:37:14
</t>
  </si>
  <si>
    <t xml:space="preserve">11:49:24
</t>
  </si>
  <si>
    <t xml:space="preserve">13:44:40
</t>
  </si>
  <si>
    <t xml:space="preserve">11:30:16
</t>
  </si>
  <si>
    <t xml:space="preserve">11:36:55
</t>
  </si>
  <si>
    <t xml:space="preserve">12:37:01
</t>
  </si>
  <si>
    <t xml:space="preserve">11:18:32
</t>
  </si>
  <si>
    <t xml:space="preserve">11:12:41
</t>
  </si>
  <si>
    <t xml:space="preserve">11:15:43
</t>
  </si>
  <si>
    <t xml:space="preserve">12:55:44
</t>
  </si>
  <si>
    <t xml:space="preserve">11:24:09
</t>
  </si>
  <si>
    <t xml:space="preserve">15:30:50
</t>
  </si>
  <si>
    <t xml:space="preserve">11:18:26
</t>
  </si>
  <si>
    <t xml:space="preserve">10:14:34
</t>
  </si>
  <si>
    <t xml:space="preserve">10:06:34
</t>
  </si>
  <si>
    <t xml:space="preserve"> 24-hr time of start of light curve </t>
  </si>
  <si>
    <t>Individual chamber flux measurements from 14 flux whole-canopy shrub  plots sampled near the shrub LTER sites at Toolik Field Station, Alaska,  summer 2012.</t>
  </si>
  <si>
    <t>This was a season-long project,  though it followed similar methods to ITEX projects performed starting in 2003 that are likely to be replicated in the future for reasearch at the Toolik Field Station,  AK.</t>
  </si>
  <si>
    <t>Diffuse light divided by total irradiance (umol diffuse light per umol total irradiance)</t>
  </si>
  <si>
    <t>Total diffuse light measured with DeltaT Beam Fraction sensor (umol diffuse light per meter squared per second)</t>
  </si>
  <si>
    <t>Total irradiation measured with DeltaT Beam Fraction sensor (umol PAR per meter squared per second)</t>
  </si>
  <si>
    <t>LiCor data file name of the original data file for each flux measurement (.xlsx format)</t>
  </si>
  <si>
    <t xml:space="preserve">  LAI estimate taken under DIFFUSE light at 5cm from ground (square meter leaf per square meter ground)</t>
  </si>
  <si>
    <t xml:space="preserve">  LAI estimate taken under DIRECT light at 5cm from ground (square meter leaf per square meter ground)</t>
  </si>
  <si>
    <t xml:space="preserve">  uncorrected net ecosystem productivity measured with the LiCor 6200 (umol CO2 per meter squared per second)</t>
  </si>
  <si>
    <t xml:space="preserve"> gross ecosystem productivity (umol CO2 per meter squared per second)</t>
  </si>
  <si>
    <t xml:space="preserve"> average measured ecosystem respiration (umol CO2 per meter squared per second)</t>
  </si>
  <si>
    <t xml:space="preserve"> H2O flux (mmol H2O per meter squared per second)</t>
  </si>
  <si>
    <t xml:space="preserve"> net ecosystem productivity (umol CO2 per meter squared per second)</t>
  </si>
  <si>
    <t xml:space="preserve"> range of incident PAR values recorded during measurement (umol PAR per meter squared ground per second)</t>
  </si>
  <si>
    <t xml:space="preserve"> average incident photosynthetic active radiation (umol PAR per meter squared ground per second)</t>
  </si>
  <si>
    <t xml:space="preserve"> average chamber H2O concentration (mmol H2o per mole air)</t>
  </si>
  <si>
    <t xml:space="preserve"> average chamber CO2 concentration (umol CO2 per mole air)</t>
  </si>
  <si>
    <t xml:space="preserve"> average chamber air temperature (degrees Celsius)</t>
  </si>
  <si>
    <t xml:space="preserve"> Measurement series (round of measurements within each year); Not used for this dataset</t>
  </si>
  <si>
    <t xml:space="preserve"> Light curve identifier; Not used for this dataset</t>
  </si>
  <si>
    <t>For measurements with a linear change in CO2 (r2&gt;0.97), NEP is calculated  from the last 45 seconds of the measurement. [The first 12 seconds of data were always discarded as the LiCor 6400  bases its flux calculations on 10sec averages.]  When abnormalities in CO2 slope were observed due to leaks, very small changes in CO2, or changes in light levels, certain portions of the measurement were discaded.  CO2 slope was always taken from contiguous data points (i.e. points were never removed from the middle of the measurement period)</t>
  </si>
  <si>
    <t>747 m</t>
  </si>
  <si>
    <t>730 m</t>
  </si>
  <si>
    <t>Location Name</t>
  </si>
  <si>
    <t>LTER Shrub Block 1</t>
  </si>
  <si>
    <t>LTER Shrub Block 2</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</si>
  <si>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</si>
  <si>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Combination of light treatment (shade cloths and diffuser panels) used for flux measurement</t>
  </si>
  <si>
    <t>http://ecosystems.mbl.edu/ARC/meta_template.php?FileName=./terrest/tracegas/xlsfiles/2012_GS_ITEX_CHFluxData.html</t>
  </si>
  <si>
    <t>http://metacat.lternet.edu/das/dataAccessServlet?docid=knb-lter-arc.10151&amp;amp;urlTail=terrest/tracegas/data/2012_GS_ITEX_CHFluxData.csv</t>
  </si>
  <si>
    <t>Updated Metadata sheet</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</si>
  <si>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</si>
  <si>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</si>
  <si>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</si>
  <si>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</si>
  <si>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</si>
  <si>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</si>
  <si>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</si>
  <si>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</si>
  <si>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</si>
  <si>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</si>
  <si>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</si>
  <si>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</si>
  <si>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</si>
  <si>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</si>
  <si>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</si>
  <si>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literPerHectare</t>
  </si>
  <si>
    <t>kilowatt</t>
  </si>
  <si>
    <t>kilogramPerYear</t>
  </si>
  <si>
    <t>gramPerCentimeter</t>
  </si>
  <si>
    <t>decimeter</t>
  </si>
  <si>
    <t>coulomb</t>
  </si>
  <si>
    <t>Link to Google Map</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</si>
  <si>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</si>
  <si>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</si>
  <si>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</si>
  <si>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</si>
  <si>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</si>
  <si>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</si>
  <si>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</si>
  <si>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</si>
  <si>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</si>
  <si>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</si>
  <si>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</si>
  <si>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</si>
  <si>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</si>
  <si>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</si>
  <si>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</si>
  <si>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</si>
  <si>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</si>
  <si>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</si>
  <si>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</si>
  <si>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</si>
  <si>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</si>
  <si>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</si>
  <si>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</si>
  <si>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</si>
  <si>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</si>
  <si>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</si>
  <si>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</si>
  <si>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</si>
  <si>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</si>
  <si>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</si>
  <si>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</si>
  <si>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</si>
  <si>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</si>
  <si>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</si>
  <si>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</si>
  <si>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</si>
  <si>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</si>
  <si>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</si>
  <si>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</si>
  <si>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</si>
  <si>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</si>
  <si>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</si>
  <si>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</si>
  <si>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</si>
  <si>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</si>
  <si>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</si>
  <si>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</si>
  <si>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</si>
  <si>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</si>
  <si>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</si>
  <si>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</si>
  <si>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</si>
  <si>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</si>
  <si>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</si>
  <si>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</si>
  <si>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</si>
  <si>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</si>
  <si>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</si>
  <si>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</si>
  <si>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</si>
  <si>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</si>
  <si>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</si>
  <si>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</si>
  <si>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</si>
  <si>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</si>
  <si>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</si>
  <si>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</si>
  <si>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</si>
  <si>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</si>
  <si>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</si>
  <si>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</si>
  <si>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</si>
  <si>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</si>
  <si>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</si>
  <si>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</si>
  <si>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</si>
  <si>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</si>
  <si>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</si>
  <si>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</si>
  <si>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</si>
  <si>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</si>
  <si>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</si>
  <si>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</si>
  <si>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</si>
  <si>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</si>
  <si>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</si>
  <si>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</si>
  <si>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</si>
  <si>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</si>
  <si>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</si>
  <si>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</si>
  <si>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</si>
  <si>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</si>
  <si>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</si>
  <si>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</si>
  <si>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</si>
  <si>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</si>
  <si>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</si>
  <si>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</si>
  <si>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</si>
  <si>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</si>
  <si>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</si>
  <si>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</si>
  <si>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</si>
  <si>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</si>
  <si>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</si>
  <si>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</si>
  <si>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</si>
  <si>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</si>
  <si>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</si>
  <si>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</si>
  <si>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</si>
  <si>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</si>
  <si>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</si>
  <si>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</si>
  <si>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</si>
  <si>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</si>
  <si>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</si>
  <si>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</si>
  <si>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</si>
  <si>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</si>
  <si>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</si>
  <si>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</si>
  <si>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</si>
  <si>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</si>
  <si>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</si>
  <si>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</si>
  <si>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</si>
  <si>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</si>
  <si>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</si>
  <si>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</si>
  <si>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</si>
  <si>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</si>
  <si>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</si>
  <si>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</si>
  <si>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</si>
  <si>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</si>
  <si>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</si>
  <si>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</si>
  <si>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</si>
  <si>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</si>
  <si>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</si>
  <si>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</si>
  <si>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</si>
  <si>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</si>
  <si>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</si>
  <si>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</si>
  <si>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</si>
  <si>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</si>
  <si>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</si>
  <si>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</si>
  <si>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</si>
  <si>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</si>
  <si>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</si>
  <si>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</si>
  <si>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</si>
  <si>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</si>
  <si>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</si>
  <si>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</si>
  <si>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</si>
  <si>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</si>
  <si>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</si>
  <si>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</si>
  <si>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</si>
  <si>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</si>
  <si>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</si>
  <si>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</si>
  <si>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</si>
  <si>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</si>
  <si>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</si>
  <si>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</si>
  <si>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</si>
  <si>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</si>
  <si>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</si>
  <si>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</si>
  <si>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</si>
  <si>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</si>
  <si>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</si>
  <si>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</si>
  <si>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</si>
  <si>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</si>
  <si>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</si>
  <si>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</si>
  <si>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</si>
  <si>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</si>
  <si>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</si>
  <si>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</si>
  <si>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</si>
  <si>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</si>
  <si>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</si>
  <si>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</si>
  <si>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</si>
  <si>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</si>
  <si>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</si>
  <si>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</si>
  <si>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</si>
  <si>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</si>
  <si>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</si>
  <si>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</si>
  <si>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</si>
  <si>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</si>
  <si>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</si>
  <si>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</si>
  <si>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</si>
  <si>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</si>
  <si>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</si>
  <si>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</si>
  <si>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</si>
  <si>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</si>
  <si>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</si>
  <si>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</si>
  <si>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</si>
  <si>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</si>
  <si>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</si>
  <si>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</si>
  <si>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</si>
  <si>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</si>
  <si>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</si>
  <si>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</si>
  <si>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</si>
  <si>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</si>
  <si>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</si>
  <si>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</si>
  <si>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</si>
  <si>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</si>
  <si>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</si>
  <si>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</si>
  <si>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</si>
  <si>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</si>
  <si>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</si>
  <si>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</si>
  <si>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</si>
  <si>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</si>
  <si>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</si>
  <si>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</si>
  <si>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</si>
  <si>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</si>
  <si>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</si>
  <si>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</si>
  <si>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</si>
  <si>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</si>
  <si>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</si>
  <si>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</si>
  <si>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</si>
  <si>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</si>
  <si>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</si>
  <si>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</si>
  <si>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</si>
  <si>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</si>
  <si>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</si>
  <si>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</si>
  <si>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</si>
  <si>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</si>
  <si>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</si>
  <si>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</si>
  <si>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</si>
  <si>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</si>
  <si>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</si>
  <si>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</si>
  <si>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</si>
  <si>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</si>
  <si>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</si>
  <si>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</si>
  <si>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</si>
  <si>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</si>
  <si>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</si>
  <si>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</si>
  <si>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</si>
  <si>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</si>
  <si>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</si>
  <si>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</si>
  <si>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</si>
  <si>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</si>
  <si>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</si>
  <si>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</si>
  <si>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</si>
  <si>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</si>
  <si>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</si>
  <si>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</si>
  <si>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</si>
  <si>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</si>
  <si>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</si>
  <si>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</si>
  <si>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</si>
  <si>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</si>
  <si>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</si>
  <si>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</si>
  <si>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</si>
  <si>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</si>
  <si>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</si>
  <si>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</si>
  <si>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</si>
  <si>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</si>
  <si>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</si>
  <si>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</si>
  <si>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</si>
  <si>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</si>
  <si>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</si>
  <si>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</si>
  <si>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</si>
  <si>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</si>
  <si>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</si>
  <si>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</si>
  <si>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</si>
  <si>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</si>
  <si>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</si>
  <si>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</si>
  <si>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</si>
  <si>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</si>
  <si>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</si>
  <si>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</si>
  <si>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</si>
  <si>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</si>
  <si>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</si>
  <si>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</si>
  <si>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</si>
  <si>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</si>
  <si>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</si>
  <si>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</si>
  <si>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</si>
  <si>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</si>
  <si>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</si>
  <si>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</si>
  <si>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</si>
  <si>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</si>
  <si>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</si>
  <si>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</si>
  <si>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</si>
  <si>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</si>
  <si>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</si>
  <si>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</si>
  <si>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</si>
  <si>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</si>
  <si>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</si>
  <si>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</si>
  <si>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</si>
  <si>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</si>
  <si>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</si>
  <si>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</si>
  <si>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</si>
  <si>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</si>
  <si>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</si>
  <si>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</si>
  <si>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</si>
  <si>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</si>
  <si>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</si>
  <si>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</si>
  <si>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</si>
  <si>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</si>
  <si>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</si>
  <si>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</si>
  <si>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</si>
  <si>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</si>
  <si>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</si>
  <si>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</si>
  <si>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</si>
  <si>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</si>
  <si>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</si>
  <si>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</si>
  <si>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</si>
  <si>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</si>
  <si>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</si>
  <si>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</si>
  <si>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</si>
  <si>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</si>
  <si>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</si>
  <si>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</si>
  <si>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</si>
  <si>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</si>
  <si>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</si>
  <si>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</si>
  <si>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</si>
  <si>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</si>
  <si>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</si>
  <si>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</si>
  <si>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</si>
  <si>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</si>
  <si>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</si>
  <si>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</si>
  <si>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</si>
  <si>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</si>
  <si>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</si>
  <si>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</si>
  <si>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</si>
  <si>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</si>
  <si>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</si>
  <si>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</si>
  <si>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</si>
  <si>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</si>
  <si>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</si>
  <si>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</si>
  <si>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</si>
  <si>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</si>
  <si>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</si>
  <si>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</si>
  <si>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</si>
  <si>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</si>
  <si>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</si>
  <si>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</si>
  <si>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</si>
  <si>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</si>
  <si>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</si>
  <si>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</si>
  <si>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</si>
  <si>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</si>
  <si>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</si>
  <si>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</si>
  <si>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</si>
  <si>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</si>
  <si>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</si>
  <si>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</si>
  <si>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</si>
  <si>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</si>
  <si>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</si>
  <si>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</si>
  <si>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</si>
  <si>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</si>
  <si>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</si>
  <si>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</si>
  <si>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</si>
  <si>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</si>
  <si>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</si>
  <si>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</si>
  <si>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</si>
  <si>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</si>
  <si>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</si>
  <si>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</si>
  <si>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</si>
  <si>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</si>
  <si>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</si>
  <si>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</si>
  <si>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</si>
  <si>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</si>
  <si>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</si>
  <si>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</si>
  <si>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</si>
  <si>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</si>
  <si>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</si>
  <si>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</si>
  <si>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</si>
  <si>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</si>
  <si>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</si>
  <si>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</si>
  <si>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</si>
  <si>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</si>
  <si>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</si>
  <si>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</si>
  <si>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</si>
  <si>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</si>
  <si>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</si>
  <si>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</si>
  <si>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</si>
  <si>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</si>
  <si>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</si>
  <si>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</si>
  <si>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</si>
  <si>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</si>
  <si>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</si>
  <si>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</si>
  <si>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</si>
  <si>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</si>
  <si>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</si>
  <si>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</si>
  <si>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</si>
  <si>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</si>
  <si>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</si>
  <si>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</si>
  <si>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</si>
  <si>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</si>
  <si>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</si>
  <si>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</si>
  <si>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</si>
  <si>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</si>
  <si>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</si>
  <si>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</si>
  <si>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</si>
  <si>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</si>
  <si>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</si>
  <si>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</si>
  <si>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</si>
  <si>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</si>
  <si>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</si>
  <si>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</si>
  <si>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</si>
  <si>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</si>
  <si>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</si>
  <si>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</si>
  <si>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</si>
  <si>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</si>
  <si>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</si>
  <si>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</si>
  <si>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</si>
  <si>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</si>
  <si>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</si>
  <si>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</si>
  <si>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</si>
  <si>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</si>
  <si>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</si>
  <si>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</si>
  <si>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</si>
  <si>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</si>
  <si>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</si>
  <si>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</si>
  <si>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</si>
  <si>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</si>
  <si>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</si>
  <si>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</si>
  <si>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</si>
  <si>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</si>
  <si>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</si>
  <si>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</si>
  <si>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</si>
  <si>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</si>
  <si>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</si>
  <si>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</si>
  <si>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</si>
  <si>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</si>
  <si>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</si>
  <si>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</si>
  <si>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</si>
  <si>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</si>
  <si>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</si>
  <si>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</si>
  <si>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</si>
  <si>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</si>
  <si>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</si>
  <si>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</si>
  <si>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</si>
  <si>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</si>
  <si>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</si>
  <si>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</si>
  <si>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</si>
  <si>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</si>
  <si>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</si>
  <si>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</si>
  <si>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</si>
  <si>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</si>
  <si>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</si>
  <si>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</si>
  <si>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</si>
  <si>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</si>
  <si>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</si>
  <si>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</si>
  <si>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</si>
  <si>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</si>
  <si>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</si>
  <si>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</si>
  <si>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</si>
  <si>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</si>
  <si>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</si>
  <si>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</si>
  <si>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</si>
  <si>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</si>
  <si>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</si>
  <si>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</si>
  <si>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</si>
  <si>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</si>
  <si>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</si>
  <si>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</si>
  <si>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</si>
  <si>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</si>
  <si>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</si>
  <si>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</si>
  <si>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</si>
  <si>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</si>
  <si>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</si>
  <si>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</si>
  <si>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</si>
  <si>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</si>
  <si>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</si>
  <si>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</si>
  <si>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</si>
  <si>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</si>
  <si>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</si>
  <si>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</si>
  <si>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</si>
  <si>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</si>
  <si>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</si>
  <si>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</si>
  <si>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</si>
  <si>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</si>
  <si>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</si>
  <si>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</si>
  <si>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</si>
  <si>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</si>
  <si>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</si>
  <si>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</si>
  <si>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</si>
  <si>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</si>
  <si>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</si>
  <si>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</si>
  <si>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</si>
  <si>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</si>
  <si>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</si>
  <si>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</si>
  <si>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</si>
  <si>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</si>
  <si>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</si>
  <si>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</si>
  <si>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</si>
  <si>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</si>
  <si>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</si>
  <si>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</si>
  <si>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</si>
  <si>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</si>
  <si>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</si>
  <si>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</si>
  <si>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</si>
  <si>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</si>
  <si>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</si>
  <si>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</si>
  <si>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</si>
  <si>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</si>
  <si>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</si>
  <si>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</si>
  <si>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</si>
  <si>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</si>
  <si>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</si>
  <si>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</si>
  <si>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</si>
  <si>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</si>
  <si>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</si>
  <si>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</si>
  <si>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</si>
  <si>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</si>
  <si>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</si>
  <si>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</si>
  <si>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</si>
  <si>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</si>
  <si>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</si>
  <si>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</si>
  <si>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</si>
  <si>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</si>
  <si>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</si>
  <si>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</si>
  <si>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</si>
  <si>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</si>
  <si>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</si>
  <si>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</si>
  <si>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</si>
  <si>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</si>
  <si>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</si>
  <si>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</si>
  <si>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</si>
  <si>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</si>
  <si>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</si>
  <si>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</si>
  <si>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</si>
  <si>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</si>
  <si>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</si>
  <si>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</si>
  <si>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</si>
  <si>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</si>
  <si>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</si>
  <si>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</si>
  <si>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</si>
  <si>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</si>
  <si>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</si>
  <si>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</si>
  <si>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</si>
  <si>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</si>
  <si>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</si>
  <si>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</si>
  <si>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</si>
  <si>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</si>
  <si>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</si>
  <si>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</si>
  <si>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</si>
  <si>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</si>
  <si>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</si>
  <si>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</si>
  <si>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</si>
  <si>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</si>
  <si>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</si>
  <si>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</si>
  <si>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</si>
  <si>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</si>
  <si>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</si>
  <si>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</si>
  <si>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</si>
  <si>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</si>
  <si>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</si>
  <si>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</si>
  <si>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</si>
  <si>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</si>
  <si>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</si>
  <si>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</si>
  <si>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</si>
  <si>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</si>
  <si>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</si>
  <si>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</si>
  <si>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</si>
  <si>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</si>
  <si>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</si>
  <si>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</si>
  <si>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</si>
  <si>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</si>
  <si>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</si>
  <si>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</si>
  <si>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</si>
  <si>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</si>
  <si>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</si>
  <si>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</si>
  <si>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</si>
  <si>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</si>
  <si>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</si>
  <si>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</si>
  <si>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</si>
  <si>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</si>
  <si>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</si>
  <si>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</si>
  <si>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</si>
  <si>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</si>
  <si>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</si>
  <si>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</si>
  <si>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</si>
  <si>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</si>
  <si>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</si>
  <si>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</si>
  <si>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</si>
  <si>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</si>
  <si>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</si>
  <si>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</si>
  <si>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</si>
  <si>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</si>
  <si>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</si>
  <si>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</si>
  <si>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</si>
  <si>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</si>
  <si>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</si>
  <si>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</si>
  <si>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</si>
  <si>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</si>
  <si>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</si>
  <si>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</si>
  <si>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</si>
  <si>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</si>
  <si>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</si>
  <si>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</si>
  <si>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</si>
  <si>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</si>
  <si>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</si>
  <si>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</si>
  <si>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</si>
  <si>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</si>
  <si>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</si>
  <si>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</si>
  <si>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</si>
  <si>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</si>
  <si>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</si>
  <si>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</si>
  <si>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</si>
  <si>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</si>
  <si>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</si>
  <si>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</si>
  <si>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</si>
  <si>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</si>
  <si>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</si>
  <si>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</si>
  <si>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</si>
  <si>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</si>
  <si>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</si>
  <si>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</si>
  <si>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</si>
  <si>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</si>
  <si>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</si>
  <si>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</si>
  <si>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</si>
  <si>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</si>
  <si>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</si>
  <si>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</si>
  <si>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</si>
  <si>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</si>
  <si>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</si>
  <si>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</si>
  <si>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</si>
  <si>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</si>
  <si>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</si>
  <si>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</si>
  <si>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</si>
  <si>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</si>
  <si>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</si>
  <si>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</si>
  <si>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</si>
  <si>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</si>
  <si>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</si>
  <si>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</si>
  <si>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</si>
  <si>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</si>
  <si>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</si>
  <si>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</si>
  <si>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</si>
  <si>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</si>
  <si>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</si>
  <si>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</si>
  <si>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</si>
  <si>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</si>
  <si>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</si>
  <si>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</si>
  <si>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</si>
  <si>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</si>
  <si>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</si>
  <si>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</si>
  <si>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</si>
  <si>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</si>
  <si>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</si>
  <si>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</si>
  <si>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</si>
  <si>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</si>
  <si>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</si>
  <si>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</si>
  <si>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</si>
  <si>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</si>
  <si>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</si>
  <si>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</si>
  <si>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</si>
  <si>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</si>
  <si>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</si>
  <si>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</si>
  <si>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</si>
  <si>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</si>
  <si>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</si>
  <si>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</si>
  <si>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</si>
  <si>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</si>
  <si>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</si>
  <si>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</si>
  <si>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</si>
  <si>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</si>
  <si>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</si>
  <si>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</si>
  <si>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</si>
  <si>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</si>
  <si>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</si>
  <si>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</si>
  <si>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</si>
  <si>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</si>
  <si>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</si>
  <si>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</si>
  <si>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</si>
  <si>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</si>
  <si>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</si>
  <si>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</si>
  <si>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</si>
  <si>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</si>
  <si>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</si>
  <si>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</si>
  <si>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</si>
  <si>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</si>
  <si>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</si>
  <si>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</si>
  <si>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</si>
  <si>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</si>
  <si>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</si>
  <si>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</si>
  <si>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</si>
  <si>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</si>
  <si>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</si>
  <si>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</si>
  <si>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</si>
  <si>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</si>
  <si>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</si>
  <si>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</si>
  <si>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</si>
  <si>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</si>
  <si>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</si>
  <si>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</si>
  <si>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</si>
  <si>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</si>
  <si>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</si>
  <si>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</si>
  <si>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</si>
  <si>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</si>
  <si>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</si>
  <si>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</si>
  <si>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</si>
  <si>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</si>
  <si>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</si>
  <si>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</si>
  <si>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</si>
  <si>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</si>
  <si>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</si>
  <si>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</si>
  <si>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</si>
  <si>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</si>
  <si>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</si>
  <si>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</si>
  <si>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</si>
  <si>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</si>
  <si>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</si>
  <si>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</si>
  <si>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</si>
  <si>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</si>
  <si>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</si>
  <si>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</si>
  <si>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</si>
  <si>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</si>
  <si>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</si>
  <si>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</si>
  <si>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</si>
  <si>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</si>
  <si>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</si>
  <si>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</si>
  <si>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</si>
  <si>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</si>
  <si>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</si>
  <si>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</si>
  <si>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</si>
  <si>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</si>
  <si>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</si>
  <si>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</si>
  <si>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</si>
  <si>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</si>
  <si>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</si>
  <si>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</si>
  <si>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</si>
  <si>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</si>
  <si>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</si>
  <si>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</si>
  <si>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</si>
  <si>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</si>
  <si>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</si>
  <si>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</si>
  <si>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</si>
  <si>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</si>
  <si>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</si>
  <si>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</si>
  <si>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</si>
  <si>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</si>
  <si>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</si>
  <si>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</si>
  <si>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</si>
  <si>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</si>
  <si>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</si>
  <si>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</si>
  <si>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</si>
  <si>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</si>
  <si>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</si>
  <si>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</si>
  <si>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</si>
  <si>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</si>
  <si>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</si>
  <si>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</si>
  <si>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</si>
  <si>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</si>
  <si>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</si>
  <si>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</si>
  <si>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</si>
  <si>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</si>
  <si>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</si>
  <si>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</si>
  <si>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</si>
  <si>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</si>
  <si>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</si>
  <si>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</si>
  <si>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</si>
  <si>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</si>
  <si>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</si>
  <si>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</si>
  <si>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</si>
  <si>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</si>
  <si>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</si>
  <si>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</si>
  <si>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</si>
  <si>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</si>
  <si>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</si>
  <si>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</si>
  <si>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</si>
  <si>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</si>
  <si>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</si>
  <si>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</si>
  <si>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</si>
  <si>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</si>
  <si>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</si>
  <si>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</si>
  <si>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</si>
  <si>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</si>
  <si>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</si>
  <si>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</si>
  <si>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</si>
  <si>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</si>
  <si>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</si>
  <si>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</si>
  <si>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</si>
  <si>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</si>
  <si>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</si>
  <si>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</si>
  <si>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</si>
  <si>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</si>
  <si>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</si>
  <si>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</si>
  <si>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</si>
  <si>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</si>
  <si>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</si>
  <si>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</si>
  <si>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</si>
  <si>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</si>
  <si>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</si>
  <si>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</si>
  <si>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</si>
  <si>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</si>
  <si>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</si>
  <si>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</si>
  <si>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</si>
  <si>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</si>
  <si>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</si>
  <si>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</si>
  <si>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</si>
  <si>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</si>
  <si>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</si>
  <si>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</si>
  <si>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</si>
  <si>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</si>
  <si>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</si>
  <si>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</si>
  <si>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</si>
  <si>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</si>
  <si>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</si>
  <si>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</si>
  <si>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</si>
  <si>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</si>
  <si>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</si>
  <si>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</si>
  <si>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</si>
  <si>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</si>
  <si>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</si>
  <si>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</si>
  <si>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</si>
  <si>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</si>
  <si>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</si>
  <si>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</si>
  <si>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</si>
  <si>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</si>
  <si>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</si>
  <si>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</si>
  <si>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</si>
  <si>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</si>
  <si>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</si>
  <si>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</si>
  <si>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</si>
  <si>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</si>
  <si>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</si>
  <si>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</si>
  <si>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</si>
  <si>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</si>
  <si>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</si>
  <si>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</si>
  <si>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</si>
  <si>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</si>
  <si>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</si>
  <si>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</si>
  <si>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</si>
  <si>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</si>
  <si>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</si>
  <si>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</si>
  <si>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</si>
  <si>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</si>
  <si>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</si>
  <si>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</si>
  <si>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</si>
  <si>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</si>
  <si>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</si>
  <si>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</si>
  <si>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</si>
  <si>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</si>
  <si>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</si>
  <si>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</si>
  <si>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</si>
  <si>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</si>
  <si>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</si>
  <si>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</si>
  <si>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</si>
  <si>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</si>
  <si>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</si>
  <si>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</si>
  <si>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</si>
  <si>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</si>
  <si>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</si>
  <si>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</si>
  <si>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</si>
  <si>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</si>
  <si>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</si>
  <si>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</si>
  <si>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</si>
  <si>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</si>
  <si>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</si>
  <si>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</si>
  <si>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</si>
  <si>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</si>
  <si>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</si>
  <si>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</si>
  <si>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</si>
  <si>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</si>
  <si>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</si>
  <si>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</si>
  <si>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</si>
  <si>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</si>
  <si>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</si>
  <si>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</si>
  <si>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</si>
  <si>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</si>
  <si>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</si>
  <si>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</si>
  <si>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</si>
  <si>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</si>
  <si>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</si>
  <si>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</si>
  <si>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</si>
  <si>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</si>
  <si>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</si>
  <si>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</si>
  <si>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</si>
  <si>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</si>
  <si>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</si>
  <si>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</si>
  <si>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</si>
  <si>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</si>
  <si>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</si>
  <si>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</si>
  <si>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</si>
  <si>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</si>
  <si>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</si>
  <si>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</si>
  <si>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</si>
  <si>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</si>
  <si>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</si>
  <si>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</si>
  <si>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</si>
  <si>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</si>
  <si>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</si>
  <si>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</si>
  <si>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</si>
  <si>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</si>
  <si>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</si>
  <si>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</si>
  <si>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</si>
  <si>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</si>
  <si>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</si>
  <si>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</si>
  <si>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</si>
  <si>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</si>
  <si>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</si>
  <si>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</si>
  <si>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</si>
  <si>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</si>
  <si>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</si>
  <si>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</si>
  <si>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</si>
  <si>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</si>
  <si>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</si>
  <si>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</si>
  <si>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</si>
  <si>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</si>
  <si>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</si>
  <si>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</si>
  <si>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</si>
  <si>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</si>
  <si>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</si>
  <si>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</si>
  <si>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</si>
  <si>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</si>
  <si>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</si>
  <si>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</si>
  <si>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</si>
  <si>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</si>
  <si>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</si>
  <si>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</si>
  <si>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</si>
  <si>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</si>
  <si>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</si>
  <si>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</si>
  <si>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</si>
  <si>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</si>
  <si>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</si>
  <si>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</si>
  <si>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</si>
  <si>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</si>
  <si>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</si>
  <si>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</si>
  <si>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</si>
  <si>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</si>
  <si>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</si>
  <si>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</si>
  <si>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</si>
  <si>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</si>
  <si>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</si>
  <si>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</si>
  <si>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</si>
  <si>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</si>
  <si>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</si>
  <si>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</si>
  <si>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</si>
  <si>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</si>
  <si>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</si>
  <si>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</si>
  <si>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</si>
  <si>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</si>
  <si>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</si>
  <si>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</si>
  <si>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</si>
  <si>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</si>
  <si>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</si>
  <si>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</si>
  <si>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</si>
  <si>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</si>
  <si>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</si>
  <si>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</si>
  <si>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</si>
  <si>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</si>
  <si>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</si>
  <si>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</si>
  <si>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</si>
  <si>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</si>
  <si>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</si>
  <si>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</si>
  <si>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</si>
  <si>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</si>
  <si>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</si>
  <si>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</si>
  <si>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</si>
  <si>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</si>
  <si>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</si>
  <si>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</si>
  <si>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</si>
  <si>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</si>
  <si>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</si>
  <si>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</si>
  <si>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</si>
  <si>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</si>
  <si>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</si>
  <si>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</si>
  <si>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</si>
  <si>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</si>
  <si>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</si>
  <si>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</si>
  <si>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</si>
  <si>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</si>
  <si>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</si>
  <si>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</si>
  <si>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</si>
  <si>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</si>
  <si>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</si>
  <si>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</si>
  <si>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</si>
  <si>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</si>
  <si>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</si>
  <si>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</si>
  <si>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</si>
  <si>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</si>
  <si>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</si>
  <si>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</si>
  <si>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</si>
  <si>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</si>
  <si>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</si>
  <si>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</si>
  <si>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</si>
  <si>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</si>
  <si>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</si>
  <si>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</si>
  <si>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</si>
  <si>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</si>
  <si>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</si>
  <si>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</si>
  <si>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</si>
  <si>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</si>
  <si>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</si>
  <si>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</si>
  <si>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 xml:space="preserve">Version 2: Updated metadata to newer version (with sites sheet). CH April 2013. </t>
  </si>
  <si>
    <t>HH24:Mi:SS</t>
  </si>
  <si>
    <t>NaN=Missing or Not Measured</t>
  </si>
  <si>
    <t>Version 3: Corrected missing value to reflex upper and lower  letter case of value. JimL 17May13</t>
  </si>
  <si>
    <t>knb-lter-arc.10151.3</t>
  </si>
  <si>
    <t>2012_GS_ITEX_CHFluxData.03</t>
  </si>
</sst>
</file>

<file path=xl/styles.xml><?xml version="1.0" encoding="utf-8"?>
<styleSheet xmlns="http://schemas.openxmlformats.org/spreadsheetml/2006/main">
  <numFmts count="5">
    <numFmt numFmtId="164" formatCode="[$-409]d\-mmm\-yy;@"/>
    <numFmt numFmtId="165" formatCode="0.0"/>
    <numFmt numFmtId="166" formatCode="h:mm:ss;@"/>
    <numFmt numFmtId="167" formatCode="dd\-mmm\-yyyy"/>
    <numFmt numFmtId="168" formatCode="0.00000"/>
  </numFmts>
  <fonts count="53">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8"/>
      <name val="Verdana"/>
      <family val="2"/>
    </font>
    <font>
      <b/>
      <sz val="9"/>
      <color indexed="81"/>
      <name val="Tahoma"/>
      <family val="2"/>
    </font>
    <font>
      <sz val="9"/>
      <color indexed="81"/>
      <name val="Tahom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Calibri"/>
      <family val="2"/>
    </font>
    <font>
      <sz val="10"/>
      <name val="Calibri"/>
      <family val="2"/>
    </font>
    <font>
      <sz val="11"/>
      <color indexed="8"/>
      <name val="Calibri"/>
      <family val="2"/>
    </font>
    <font>
      <sz val="11"/>
      <name val="Calibri"/>
      <family val="2"/>
    </font>
    <font>
      <b/>
      <sz val="10"/>
      <color indexed="8"/>
      <name val="Calibri"/>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0"/>
      <color indexed="10"/>
      <name val="Arial"/>
      <family val="2"/>
    </font>
    <font>
      <b/>
      <sz val="8"/>
      <color indexed="39"/>
      <name val="Tahoma"/>
      <family val="2"/>
    </font>
    <font>
      <b/>
      <sz val="8"/>
      <color indexed="12"/>
      <name val="Arial"/>
      <family val="2"/>
    </font>
    <font>
      <b/>
      <sz val="8"/>
      <color indexed="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
      <patternFill patternType="solid">
        <fgColor rgb="FFCCFFFF"/>
        <bgColor indexed="64"/>
      </patternFill>
    </fill>
  </fills>
  <borders count="20">
    <border>
      <left/>
      <right/>
      <top/>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1">
    <xf numFmtId="0" fontId="0"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5" applyNumberFormat="0" applyAlignment="0" applyProtection="0"/>
    <xf numFmtId="0" fontId="18" fillId="6" borderId="6" applyNumberFormat="0" applyAlignment="0" applyProtection="0"/>
    <xf numFmtId="0" fontId="19" fillId="6" borderId="5" applyNumberFormat="0" applyAlignment="0" applyProtection="0"/>
    <xf numFmtId="0" fontId="20" fillId="0" borderId="7" applyNumberFormat="0" applyFill="0" applyAlignment="0" applyProtection="0"/>
    <xf numFmtId="0" fontId="21" fillId="7" borderId="8"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5" fillId="32" borderId="0" applyNumberFormat="0" applyBorder="0" applyAlignment="0" applyProtection="0"/>
    <xf numFmtId="0" fontId="5" fillId="0" borderId="0"/>
    <xf numFmtId="0" fontId="5" fillId="8" borderId="9" applyNumberFormat="0" applyFont="0" applyAlignment="0" applyProtection="0"/>
    <xf numFmtId="0" fontId="26" fillId="0" borderId="0"/>
    <xf numFmtId="0" fontId="26" fillId="0" borderId="0"/>
    <xf numFmtId="0" fontId="29" fillId="0" borderId="0"/>
    <xf numFmtId="0" fontId="4" fillId="0" borderId="0"/>
    <xf numFmtId="0" fontId="3" fillId="0" borderId="0"/>
    <xf numFmtId="0" fontId="2" fillId="0" borderId="0"/>
    <xf numFmtId="0" fontId="1" fillId="0" borderId="0"/>
    <xf numFmtId="0" fontId="36" fillId="0" borderId="0" applyNumberFormat="0" applyFill="0" applyBorder="0" applyAlignment="0" applyProtection="0">
      <alignment vertical="top"/>
      <protection locked="0"/>
    </xf>
  </cellStyleXfs>
  <cellXfs count="154">
    <xf numFmtId="0" fontId="0" fillId="0" borderId="0" xfId="0"/>
    <xf numFmtId="0" fontId="0" fillId="0" borderId="0" xfId="0" applyFont="1" applyFill="1" applyBorder="1"/>
    <xf numFmtId="0" fontId="6" fillId="0" borderId="0" xfId="0" applyFont="1" applyFill="1" applyBorder="1" applyAlignment="1">
      <alignment wrapText="1"/>
    </xf>
    <xf numFmtId="2" fontId="0" fillId="0" borderId="0" xfId="0" applyNumberFormat="1" applyFont="1" applyFill="1" applyBorder="1"/>
    <xf numFmtId="0" fontId="6" fillId="0" borderId="0" xfId="0" applyFont="1" applyFill="1" applyBorder="1" applyAlignment="1">
      <alignment horizontal="center" wrapText="1"/>
    </xf>
    <xf numFmtId="0" fontId="0" fillId="0" borderId="0" xfId="0" applyFont="1" applyFill="1" applyBorder="1" applyAlignment="1">
      <alignment wrapText="1"/>
    </xf>
    <xf numFmtId="0" fontId="0" fillId="0" borderId="0" xfId="0" applyFont="1" applyFill="1" applyBorder="1" applyAlignment="1">
      <alignment horizontal="center"/>
    </xf>
    <xf numFmtId="0" fontId="30" fillId="0" borderId="0" xfId="0" applyFont="1" applyFill="1" applyBorder="1"/>
    <xf numFmtId="0" fontId="30" fillId="0" borderId="0" xfId="0" applyFont="1" applyFill="1" applyBorder="1" applyAlignment="1">
      <alignment horizontal="right"/>
    </xf>
    <xf numFmtId="0" fontId="30" fillId="0" borderId="0" xfId="0" applyFont="1" applyFill="1" applyBorder="1" applyAlignment="1">
      <alignment horizontal="center"/>
    </xf>
    <xf numFmtId="2" fontId="30" fillId="0" borderId="0" xfId="0" applyNumberFormat="1" applyFont="1" applyFill="1" applyBorder="1"/>
    <xf numFmtId="0" fontId="30" fillId="0" borderId="0" xfId="0" applyFont="1" applyFill="1" applyBorder="1" applyAlignment="1">
      <alignment horizontal="left"/>
    </xf>
    <xf numFmtId="164" fontId="30" fillId="0" borderId="0" xfId="0" applyNumberFormat="1" applyFont="1" applyFill="1" applyBorder="1"/>
    <xf numFmtId="0" fontId="0" fillId="0" borderId="0" xfId="0" applyFont="1" applyFill="1" applyBorder="1" applyAlignment="1"/>
    <xf numFmtId="164" fontId="0" fillId="0" borderId="0" xfId="0" applyNumberFormat="1" applyFont="1" applyFill="1" applyBorder="1"/>
    <xf numFmtId="0" fontId="27" fillId="0" borderId="0" xfId="0" applyFont="1" applyFill="1" applyBorder="1" applyAlignment="1">
      <alignment horizontal="left"/>
    </xf>
    <xf numFmtId="2" fontId="30" fillId="0" borderId="0" xfId="0" applyNumberFormat="1" applyFont="1" applyFill="1" applyBorder="1" applyAlignment="1">
      <alignment horizontal="right"/>
    </xf>
    <xf numFmtId="2" fontId="30" fillId="0" borderId="0" xfId="0" applyNumberFormat="1" applyFont="1" applyFill="1" applyBorder="1" applyAlignment="1">
      <alignment horizontal="center"/>
    </xf>
    <xf numFmtId="0" fontId="30" fillId="0" borderId="0" xfId="0" applyNumberFormat="1" applyFont="1" applyFill="1" applyBorder="1" applyAlignment="1">
      <alignment horizontal="center"/>
    </xf>
    <xf numFmtId="0" fontId="28" fillId="0" borderId="0" xfId="0" applyFont="1" applyFill="1" applyBorder="1" applyAlignment="1"/>
    <xf numFmtId="0" fontId="30" fillId="0" borderId="0" xfId="0" applyFont="1" applyFill="1" applyBorder="1" applyAlignment="1"/>
    <xf numFmtId="0" fontId="30" fillId="0" borderId="0" xfId="0" applyNumberFormat="1" applyFont="1" applyFill="1" applyBorder="1" applyAlignment="1"/>
    <xf numFmtId="2" fontId="30" fillId="0" borderId="0" xfId="0" applyNumberFormat="1" applyFont="1" applyFill="1" applyBorder="1" applyAlignment="1">
      <alignment horizontal="right" wrapText="1"/>
    </xf>
    <xf numFmtId="0" fontId="6" fillId="0" borderId="0" xfId="45" applyFont="1" applyFill="1" applyBorder="1" applyAlignment="1">
      <alignment horizontal="center" wrapText="1"/>
    </xf>
    <xf numFmtId="164" fontId="6" fillId="0" borderId="0" xfId="45" applyNumberFormat="1" applyFont="1" applyFill="1" applyBorder="1" applyAlignment="1">
      <alignment horizontal="center" wrapText="1"/>
    </xf>
    <xf numFmtId="0" fontId="31" fillId="0" borderId="0" xfId="45" applyFont="1" applyFill="1" applyBorder="1" applyAlignment="1">
      <alignment horizontal="center" wrapText="1"/>
    </xf>
    <xf numFmtId="0" fontId="28" fillId="0" borderId="0" xfId="0" applyFont="1" applyFill="1" applyBorder="1" applyAlignment="1">
      <alignment horizontal="center"/>
    </xf>
    <xf numFmtId="2" fontId="6" fillId="0" borderId="0" xfId="0" applyNumberFormat="1" applyFont="1" applyFill="1" applyBorder="1" applyAlignment="1">
      <alignment horizontal="right" wrapText="1"/>
    </xf>
    <xf numFmtId="2" fontId="6" fillId="0" borderId="0" xfId="0" applyNumberFormat="1" applyFont="1" applyFill="1" applyBorder="1" applyAlignment="1" applyProtection="1">
      <alignment horizontal="right" wrapText="1"/>
      <protection locked="0"/>
    </xf>
    <xf numFmtId="164" fontId="30" fillId="0" borderId="0" xfId="0" applyNumberFormat="1" applyFont="1" applyFill="1" applyBorder="1" applyAlignment="1">
      <alignment horizontal="right"/>
    </xf>
    <xf numFmtId="0" fontId="30" fillId="0" borderId="0" xfId="0" applyFont="1" applyFill="1" applyBorder="1" applyAlignment="1">
      <alignment wrapText="1"/>
    </xf>
    <xf numFmtId="166" fontId="30" fillId="0" borderId="0" xfId="0" applyNumberFormat="1" applyFont="1" applyFill="1" applyBorder="1" applyAlignment="1"/>
    <xf numFmtId="0" fontId="30" fillId="0" borderId="0" xfId="45" applyFont="1" applyFill="1" applyBorder="1" applyAlignment="1"/>
    <xf numFmtId="0" fontId="30" fillId="0" borderId="0" xfId="0" applyFont="1" applyFill="1" applyBorder="1" applyAlignment="1">
      <alignment vertical="top" wrapText="1"/>
    </xf>
    <xf numFmtId="0" fontId="30" fillId="0" borderId="0" xfId="0" applyFont="1" applyFill="1" applyBorder="1" applyAlignment="1">
      <alignment horizontal="left" wrapText="1"/>
    </xf>
    <xf numFmtId="0" fontId="30" fillId="0" borderId="0" xfId="45" applyFont="1" applyFill="1" applyBorder="1" applyAlignment="1">
      <alignment vertical="top" wrapText="1"/>
    </xf>
    <xf numFmtId="2" fontId="30" fillId="0" borderId="0" xfId="0" applyNumberFormat="1" applyFont="1" applyFill="1" applyBorder="1" applyAlignment="1" applyProtection="1">
      <alignment horizontal="right"/>
      <protection locked="0"/>
    </xf>
    <xf numFmtId="164" fontId="30" fillId="0" borderId="0" xfId="0" applyNumberFormat="1" applyFont="1" applyFill="1" applyBorder="1" applyAlignment="1">
      <alignment horizontal="center"/>
    </xf>
    <xf numFmtId="164" fontId="30" fillId="0" borderId="0" xfId="0" applyNumberFormat="1" applyFont="1" applyFill="1" applyBorder="1" applyAlignment="1"/>
    <xf numFmtId="0" fontId="30" fillId="0" borderId="0" xfId="45" applyFont="1" applyFill="1" applyBorder="1" applyAlignment="1">
      <alignment wrapText="1"/>
    </xf>
    <xf numFmtId="2" fontId="0" fillId="0" borderId="0" xfId="0" applyNumberFormat="1" applyFont="1" applyFill="1" applyBorder="1" applyAlignment="1">
      <alignment horizontal="right"/>
    </xf>
    <xf numFmtId="0" fontId="32" fillId="0" borderId="0" xfId="43" applyFont="1" applyAlignment="1" applyProtection="1">
      <alignment vertical="top"/>
    </xf>
    <xf numFmtId="0" fontId="26" fillId="0" borderId="0" xfId="43" applyFont="1" applyAlignment="1" applyProtection="1">
      <alignment horizontal="left" wrapText="1"/>
      <protection locked="0"/>
    </xf>
    <xf numFmtId="0" fontId="33" fillId="0" borderId="0" xfId="43" applyFont="1" applyProtection="1">
      <protection locked="0"/>
    </xf>
    <xf numFmtId="0" fontId="34" fillId="0" borderId="0" xfId="43" applyFont="1" applyProtection="1">
      <protection locked="0"/>
    </xf>
    <xf numFmtId="0" fontId="26" fillId="0" borderId="0" xfId="43" applyFont="1"/>
    <xf numFmtId="0" fontId="35" fillId="0" borderId="12" xfId="43" applyFont="1" applyFill="1" applyBorder="1" applyAlignment="1" applyProtection="1"/>
    <xf numFmtId="0" fontId="35" fillId="0" borderId="12" xfId="43" applyFont="1" applyFill="1" applyBorder="1" applyAlignment="1" applyProtection="1">
      <alignment horizontal="left"/>
    </xf>
    <xf numFmtId="0" fontId="26" fillId="0" borderId="0" xfId="43" applyFont="1" applyProtection="1">
      <protection locked="0"/>
    </xf>
    <xf numFmtId="0" fontId="35" fillId="0" borderId="13" xfId="43" applyFont="1" applyBorder="1" applyAlignment="1" applyProtection="1"/>
    <xf numFmtId="0" fontId="34" fillId="34" borderId="12" xfId="43" applyFont="1" applyFill="1" applyBorder="1" applyAlignment="1" applyProtection="1">
      <alignment vertical="top"/>
    </xf>
    <xf numFmtId="0" fontId="26" fillId="0" borderId="0" xfId="43" applyFont="1" applyFill="1" applyBorder="1"/>
    <xf numFmtId="0" fontId="26" fillId="0" borderId="0" xfId="43" applyFont="1" applyAlignment="1" applyProtection="1">
      <alignment vertical="top"/>
    </xf>
    <xf numFmtId="0" fontId="26" fillId="0" borderId="0" xfId="43" applyFont="1" applyAlignment="1" applyProtection="1">
      <protection locked="0"/>
    </xf>
    <xf numFmtId="0" fontId="26" fillId="0" borderId="0" xfId="43" applyNumberFormat="1" applyFont="1" applyAlignment="1" applyProtection="1">
      <alignment horizontal="left"/>
      <protection locked="0"/>
    </xf>
    <xf numFmtId="0" fontId="37" fillId="0" borderId="0" xfId="43" applyFont="1" applyAlignment="1" applyProtection="1">
      <protection locked="0"/>
    </xf>
    <xf numFmtId="0" fontId="26" fillId="36" borderId="12" xfId="43" applyFont="1" applyFill="1" applyBorder="1" applyAlignment="1" applyProtection="1">
      <alignment horizontal="left" wrapText="1"/>
      <protection locked="0"/>
    </xf>
    <xf numFmtId="0" fontId="26" fillId="0" borderId="0" xfId="43" applyFont="1" applyAlignment="1" applyProtection="1">
      <alignment vertical="top" wrapText="1"/>
    </xf>
    <xf numFmtId="0" fontId="38" fillId="34" borderId="12" xfId="43" applyFont="1" applyFill="1" applyBorder="1" applyAlignment="1" applyProtection="1">
      <alignment vertical="top" wrapText="1"/>
    </xf>
    <xf numFmtId="0" fontId="34" fillId="34" borderId="12" xfId="43" applyFont="1" applyFill="1" applyBorder="1" applyAlignment="1" applyProtection="1">
      <alignment horizontal="left" wrapText="1"/>
    </xf>
    <xf numFmtId="49" fontId="34" fillId="33" borderId="0" xfId="43" applyNumberFormat="1" applyFont="1" applyFill="1" applyBorder="1" applyAlignment="1" applyProtection="1">
      <alignment horizontal="right" vertical="top"/>
    </xf>
    <xf numFmtId="49" fontId="26" fillId="37" borderId="12" xfId="43" applyNumberFormat="1" applyFont="1" applyFill="1" applyBorder="1" applyAlignment="1" applyProtection="1">
      <alignment horizontal="left" wrapText="1"/>
      <protection locked="0"/>
    </xf>
    <xf numFmtId="49" fontId="26" fillId="0" borderId="0" xfId="43" applyNumberFormat="1" applyFont="1"/>
    <xf numFmtId="0" fontId="26" fillId="0" borderId="0" xfId="43" applyFont="1" applyFill="1" applyBorder="1" applyAlignment="1" applyProtection="1">
      <alignment horizontal="right" vertical="top"/>
    </xf>
    <xf numFmtId="0" fontId="26" fillId="0" borderId="0" xfId="43" applyFont="1" applyFill="1" applyAlignment="1" applyProtection="1">
      <alignment horizontal="left" wrapText="1"/>
      <protection locked="0"/>
    </xf>
    <xf numFmtId="0" fontId="26" fillId="0" borderId="0" xfId="43" applyFont="1" applyFill="1" applyProtection="1">
      <protection locked="0"/>
    </xf>
    <xf numFmtId="0" fontId="26" fillId="0" borderId="0" xfId="43" applyFont="1" applyFill="1" applyAlignment="1" applyProtection="1">
      <alignment horizontal="right" vertical="top" wrapText="1"/>
    </xf>
    <xf numFmtId="0" fontId="34" fillId="34" borderId="12" xfId="43" applyNumberFormat="1" applyFont="1" applyFill="1" applyBorder="1" applyAlignment="1" applyProtection="1">
      <alignment vertical="top" wrapText="1"/>
    </xf>
    <xf numFmtId="0" fontId="26" fillId="0" borderId="0" xfId="43" applyFont="1" applyBorder="1" applyAlignment="1" applyProtection="1">
      <alignment horizontal="left" wrapText="1"/>
      <protection locked="0"/>
    </xf>
    <xf numFmtId="0" fontId="35" fillId="0" borderId="12" xfId="43" applyFont="1" applyFill="1" applyBorder="1" applyAlignment="1" applyProtection="1">
      <alignment horizontal="right"/>
    </xf>
    <xf numFmtId="0" fontId="35" fillId="0" borderId="13" xfId="43" applyFont="1" applyBorder="1" applyAlignment="1"/>
    <xf numFmtId="0" fontId="34" fillId="38" borderId="0" xfId="43" applyNumberFormat="1" applyFont="1" applyFill="1" applyAlignment="1" applyProtection="1">
      <alignment horizontal="right" vertical="top" wrapText="1"/>
    </xf>
    <xf numFmtId="0" fontId="34" fillId="38" borderId="0" xfId="43" applyFont="1" applyFill="1" applyAlignment="1" applyProtection="1">
      <alignment horizontal="right" vertical="top" wrapText="1"/>
    </xf>
    <xf numFmtId="0" fontId="34" fillId="38" borderId="0" xfId="43" applyFont="1" applyFill="1" applyAlignment="1" applyProtection="1">
      <alignment horizontal="right" vertical="top"/>
    </xf>
    <xf numFmtId="0" fontId="34" fillId="38" borderId="0" xfId="43" applyFont="1" applyFill="1" applyBorder="1" applyAlignment="1" applyProtection="1">
      <alignment horizontal="right" vertical="top"/>
    </xf>
    <xf numFmtId="0" fontId="34" fillId="34" borderId="14" xfId="43" applyFont="1" applyFill="1" applyBorder="1" applyAlignment="1" applyProtection="1">
      <alignment horizontal="left" vertical="top"/>
    </xf>
    <xf numFmtId="0" fontId="34" fillId="38" borderId="0" xfId="43" applyFont="1" applyFill="1" applyBorder="1" applyAlignment="1" applyProtection="1">
      <alignment horizontal="left" vertical="top"/>
    </xf>
    <xf numFmtId="0" fontId="34" fillId="34" borderId="12" xfId="43" applyFont="1" applyFill="1" applyBorder="1" applyAlignment="1" applyProtection="1">
      <alignment horizontal="left" vertical="top"/>
    </xf>
    <xf numFmtId="0" fontId="26" fillId="0" borderId="12" xfId="43" applyFont="1" applyBorder="1" applyAlignment="1" applyProtection="1">
      <alignment horizontal="left" wrapText="1"/>
      <protection locked="0"/>
    </xf>
    <xf numFmtId="0" fontId="34" fillId="0" borderId="0" xfId="43" applyFont="1" applyFill="1" applyBorder="1" applyAlignment="1" applyProtection="1">
      <alignment horizontal="right" vertical="top"/>
    </xf>
    <xf numFmtId="0" fontId="26" fillId="0" borderId="0" xfId="43" applyFont="1" applyFill="1" applyBorder="1" applyAlignment="1" applyProtection="1">
      <alignment horizontal="left" wrapText="1"/>
      <protection locked="0"/>
    </xf>
    <xf numFmtId="0" fontId="34" fillId="34" borderId="12" xfId="43" applyFont="1" applyFill="1" applyBorder="1" applyAlignment="1" applyProtection="1">
      <alignment wrapText="1"/>
    </xf>
    <xf numFmtId="0" fontId="34" fillId="38" borderId="0" xfId="43" applyFont="1" applyFill="1" applyBorder="1" applyAlignment="1" applyProtection="1">
      <alignment horizontal="right" wrapText="1"/>
    </xf>
    <xf numFmtId="0" fontId="34" fillId="38" borderId="1" xfId="43" applyFont="1" applyFill="1" applyBorder="1" applyAlignment="1" applyProtection="1">
      <alignment horizontal="right" wrapText="1"/>
    </xf>
    <xf numFmtId="0" fontId="34" fillId="34" borderId="12" xfId="43" applyFont="1" applyFill="1" applyBorder="1" applyAlignment="1" applyProtection="1">
      <alignment vertical="top" wrapText="1"/>
    </xf>
    <xf numFmtId="0" fontId="37" fillId="0" borderId="0" xfId="43" applyFont="1"/>
    <xf numFmtId="0" fontId="26" fillId="0" borderId="0" xfId="43" applyFont="1" applyAlignment="1" applyProtection="1"/>
    <xf numFmtId="0" fontId="26" fillId="0" borderId="0" xfId="43" applyNumberFormat="1" applyFont="1" applyAlignment="1" applyProtection="1">
      <protection locked="0"/>
    </xf>
    <xf numFmtId="0" fontId="26" fillId="0" borderId="0" xfId="43" applyFont="1" applyFill="1" applyAlignment="1" applyProtection="1">
      <alignment vertical="center"/>
      <protection locked="0"/>
    </xf>
    <xf numFmtId="0" fontId="26" fillId="0" borderId="0" xfId="43" applyFont="1" applyAlignment="1" applyProtection="1">
      <alignment vertical="center"/>
      <protection locked="0"/>
    </xf>
    <xf numFmtId="0" fontId="26" fillId="0" borderId="0" xfId="43" applyFont="1" applyAlignment="1" applyProtection="1">
      <alignment horizontal="left"/>
      <protection locked="0"/>
    </xf>
    <xf numFmtId="0" fontId="34" fillId="34" borderId="16" xfId="43" applyFont="1" applyFill="1" applyBorder="1" applyAlignment="1" applyProtection="1">
      <alignment horizontal="left"/>
    </xf>
    <xf numFmtId="0" fontId="26" fillId="34" borderId="17" xfId="43" applyNumberFormat="1" applyFont="1" applyFill="1" applyBorder="1" applyAlignment="1" applyProtection="1">
      <alignment horizontal="left"/>
    </xf>
    <xf numFmtId="0" fontId="34" fillId="34" borderId="18" xfId="43" applyFont="1" applyFill="1" applyBorder="1" applyAlignment="1" applyProtection="1">
      <alignment horizontal="right" wrapText="1"/>
    </xf>
    <xf numFmtId="0" fontId="26" fillId="35" borderId="1" xfId="43" applyFont="1" applyFill="1" applyBorder="1" applyAlignment="1" applyProtection="1">
      <alignment horizontal="left"/>
      <protection locked="0"/>
    </xf>
    <xf numFmtId="0" fontId="26" fillId="37" borderId="13" xfId="43" applyFont="1" applyFill="1" applyBorder="1" applyAlignment="1" applyProtection="1">
      <protection locked="0"/>
    </xf>
    <xf numFmtId="0" fontId="34" fillId="34" borderId="1" xfId="43" applyFont="1" applyFill="1" applyBorder="1" applyAlignment="1" applyProtection="1">
      <alignment horizontal="right"/>
    </xf>
    <xf numFmtId="0" fontId="26" fillId="35" borderId="18" xfId="43" applyFont="1" applyFill="1" applyBorder="1" applyAlignment="1" applyProtection="1">
      <alignment horizontal="left"/>
      <protection locked="0"/>
    </xf>
    <xf numFmtId="0" fontId="26" fillId="37" borderId="19" xfId="43" applyFont="1" applyFill="1" applyBorder="1" applyAlignment="1" applyProtection="1">
      <protection locked="0"/>
    </xf>
    <xf numFmtId="0" fontId="34" fillId="0" borderId="0" xfId="43" applyFont="1" applyAlignment="1" applyProtection="1">
      <alignment horizontal="center" vertical="top"/>
    </xf>
    <xf numFmtId="0" fontId="34" fillId="34" borderId="12" xfId="43" applyFont="1" applyFill="1" applyBorder="1" applyAlignment="1" applyProtection="1">
      <alignment horizontal="right" vertical="top"/>
    </xf>
    <xf numFmtId="0" fontId="40" fillId="0" borderId="0" xfId="43" applyFont="1"/>
    <xf numFmtId="0" fontId="34" fillId="38" borderId="12" xfId="43" applyFont="1" applyFill="1" applyBorder="1" applyAlignment="1" applyProtection="1">
      <alignment vertical="center" wrapText="1"/>
    </xf>
    <xf numFmtId="0" fontId="34" fillId="38" borderId="12" xfId="43" applyFont="1" applyFill="1" applyBorder="1" applyAlignment="1" applyProtection="1">
      <alignment horizontal="left" vertical="center" wrapText="1"/>
    </xf>
    <xf numFmtId="0" fontId="34" fillId="0" borderId="0" xfId="43" applyFont="1" applyFill="1" applyBorder="1" applyAlignment="1" applyProtection="1">
      <alignment vertical="center" wrapText="1"/>
    </xf>
    <xf numFmtId="0" fontId="41" fillId="0" borderId="0" xfId="43" applyFont="1"/>
    <xf numFmtId="0" fontId="26" fillId="0" borderId="0" xfId="43" applyFont="1" applyAlignment="1" applyProtection="1">
      <alignment vertical="top" wrapText="1"/>
      <protection locked="0"/>
    </xf>
    <xf numFmtId="0" fontId="26" fillId="0" borderId="0" xfId="43" applyFont="1" applyAlignment="1" applyProtection="1">
      <alignment wrapText="1"/>
      <protection locked="0"/>
    </xf>
    <xf numFmtId="0" fontId="26" fillId="0" borderId="0" xfId="43" applyFont="1" applyAlignment="1">
      <alignment vertical="center" wrapText="1"/>
    </xf>
    <xf numFmtId="0" fontId="26" fillId="0" borderId="0" xfId="43" applyFont="1" applyAlignment="1">
      <alignment vertical="top"/>
    </xf>
    <xf numFmtId="0" fontId="6" fillId="0" borderId="0" xfId="0" applyFont="1" applyFill="1" applyBorder="1" applyAlignment="1">
      <alignment horizontal="center"/>
    </xf>
    <xf numFmtId="0" fontId="27" fillId="0" borderId="0" xfId="0" applyFont="1" applyFill="1" applyBorder="1" applyAlignment="1" applyProtection="1">
      <alignment horizontal="center"/>
      <protection locked="0"/>
    </xf>
    <xf numFmtId="0" fontId="27" fillId="0" borderId="0" xfId="0" applyFont="1" applyFill="1" applyBorder="1" applyAlignment="1" applyProtection="1">
      <alignment horizontal="left"/>
      <protection locked="0"/>
    </xf>
    <xf numFmtId="0" fontId="27" fillId="0" borderId="0" xfId="0" applyFont="1" applyFill="1" applyBorder="1" applyAlignment="1" applyProtection="1">
      <alignment horizontal="right"/>
      <protection locked="0"/>
    </xf>
    <xf numFmtId="165" fontId="27" fillId="0" borderId="0" xfId="0" applyNumberFormat="1" applyFont="1" applyFill="1" applyBorder="1" applyAlignment="1" applyProtection="1">
      <alignment horizontal="right"/>
      <protection locked="0"/>
    </xf>
    <xf numFmtId="2" fontId="6" fillId="0" borderId="0" xfId="0" applyNumberFormat="1" applyFont="1" applyFill="1" applyBorder="1" applyAlignment="1">
      <alignment horizontal="center" wrapText="1"/>
    </xf>
    <xf numFmtId="2" fontId="27" fillId="0" borderId="0" xfId="0" applyNumberFormat="1" applyFont="1" applyFill="1" applyBorder="1" applyAlignment="1" applyProtection="1">
      <alignment horizontal="center"/>
      <protection locked="0"/>
    </xf>
    <xf numFmtId="2" fontId="27" fillId="0" borderId="0" xfId="0" applyNumberFormat="1" applyFont="1" applyFill="1" applyBorder="1" applyAlignment="1" applyProtection="1">
      <alignment horizontal="right"/>
      <protection locked="0"/>
    </xf>
    <xf numFmtId="0" fontId="31" fillId="0" borderId="0" xfId="45" applyFont="1" applyFill="1" applyBorder="1" applyAlignment="1">
      <alignment horizontal="center"/>
    </xf>
    <xf numFmtId="0" fontId="6" fillId="0" borderId="0" xfId="45" applyFont="1" applyFill="1" applyBorder="1" applyAlignment="1">
      <alignment horizontal="center"/>
    </xf>
    <xf numFmtId="0" fontId="6" fillId="0" borderId="0" xfId="45" applyFont="1" applyFill="1" applyBorder="1" applyAlignment="1">
      <alignment wrapText="1"/>
    </xf>
    <xf numFmtId="0" fontId="6" fillId="0" borderId="0" xfId="0" applyFont="1" applyFill="1" applyBorder="1" applyAlignment="1">
      <alignment horizontal="left" wrapText="1"/>
    </xf>
    <xf numFmtId="166" fontId="0" fillId="0" borderId="0" xfId="0" applyNumberFormat="1" applyFont="1" applyFill="1" applyBorder="1" applyAlignment="1">
      <alignment horizontal="left" vertical="center"/>
    </xf>
    <xf numFmtId="166" fontId="6" fillId="0" borderId="0" xfId="0" applyNumberFormat="1" applyFont="1" applyFill="1" applyBorder="1" applyAlignment="1" applyProtection="1">
      <alignment horizontal="left" vertical="center" wrapText="1"/>
      <protection locked="0"/>
    </xf>
    <xf numFmtId="166" fontId="30" fillId="0" borderId="0" xfId="0" applyNumberFormat="1" applyFont="1" applyFill="1" applyBorder="1"/>
    <xf numFmtId="0" fontId="36" fillId="0" borderId="1" xfId="50" applyFill="1" applyBorder="1" applyAlignment="1" applyProtection="1">
      <alignment horizontal="left"/>
    </xf>
    <xf numFmtId="0" fontId="34" fillId="0" borderId="0" xfId="43" applyFont="1" applyFill="1" applyBorder="1" applyAlignment="1" applyProtection="1">
      <alignment horizontal="left" wrapText="1"/>
      <protection locked="0"/>
    </xf>
    <xf numFmtId="0" fontId="26" fillId="0" borderId="0" xfId="43" applyFont="1" applyFill="1" applyBorder="1" applyAlignment="1"/>
    <xf numFmtId="0" fontId="49" fillId="0" borderId="0" xfId="43" applyFont="1"/>
    <xf numFmtId="0" fontId="34" fillId="38" borderId="0" xfId="43" applyFont="1" applyFill="1" applyBorder="1" applyAlignment="1" applyProtection="1">
      <alignment horizontal="right" vertical="top" wrapText="1"/>
    </xf>
    <xf numFmtId="0" fontId="26" fillId="39" borderId="12" xfId="43" applyFont="1" applyFill="1" applyBorder="1" applyAlignment="1" applyProtection="1">
      <alignment horizontal="center" wrapText="1"/>
      <protection locked="0"/>
    </xf>
    <xf numFmtId="0" fontId="26" fillId="0" borderId="0" xfId="43" applyFont="1" applyAlignment="1" applyProtection="1">
      <alignment horizontal="right" vertical="top"/>
    </xf>
    <xf numFmtId="0" fontId="26" fillId="0" borderId="0" xfId="43"/>
    <xf numFmtId="0" fontId="51" fillId="0" borderId="0" xfId="43" applyFont="1" applyAlignment="1">
      <alignment horizontal="center" wrapText="1"/>
    </xf>
    <xf numFmtId="0" fontId="51" fillId="0" borderId="0" xfId="43" applyFont="1" applyAlignment="1">
      <alignment wrapText="1"/>
    </xf>
    <xf numFmtId="168" fontId="51" fillId="0" borderId="0" xfId="43" applyNumberFormat="1" applyFont="1" applyAlignment="1">
      <alignment wrapText="1"/>
    </xf>
    <xf numFmtId="1" fontId="51" fillId="0" borderId="0" xfId="43" applyNumberFormat="1" applyFont="1" applyAlignment="1">
      <alignment wrapText="1"/>
    </xf>
    <xf numFmtId="0" fontId="52" fillId="0" borderId="0" xfId="43" applyFont="1" applyAlignment="1">
      <alignment horizontal="center" wrapText="1"/>
    </xf>
    <xf numFmtId="0" fontId="36" fillId="0" borderId="0" xfId="50" applyAlignment="1" applyProtection="1"/>
    <xf numFmtId="0" fontId="26" fillId="0" borderId="0" xfId="43" applyAlignment="1"/>
    <xf numFmtId="1" fontId="26" fillId="0" borderId="0" xfId="43" applyNumberFormat="1"/>
    <xf numFmtId="0" fontId="26" fillId="36" borderId="12" xfId="43" applyFont="1" applyFill="1" applyBorder="1" applyAlignment="1" applyProtection="1">
      <alignment horizontal="left" vertical="top" wrapText="1"/>
      <protection locked="0"/>
    </xf>
    <xf numFmtId="0" fontId="26" fillId="36" borderId="11" xfId="43" applyFont="1" applyFill="1" applyBorder="1" applyAlignment="1" applyProtection="1">
      <alignment horizontal="left" wrapText="1"/>
      <protection locked="0"/>
    </xf>
    <xf numFmtId="0" fontId="26" fillId="36" borderId="15" xfId="43" applyFont="1" applyFill="1" applyBorder="1" applyAlignment="1" applyProtection="1">
      <alignment horizontal="left" wrapText="1"/>
      <protection locked="0"/>
    </xf>
    <xf numFmtId="0" fontId="36" fillId="36" borderId="12" xfId="50" applyFill="1" applyBorder="1" applyAlignment="1" applyProtection="1">
      <alignment horizontal="left" vertical="top" wrapText="1"/>
    </xf>
    <xf numFmtId="167" fontId="26" fillId="36" borderId="12" xfId="43" applyNumberFormat="1" applyFont="1" applyFill="1" applyBorder="1" applyAlignment="1" applyProtection="1">
      <alignment horizontal="left" wrapText="1"/>
      <protection locked="0"/>
    </xf>
    <xf numFmtId="165" fontId="6" fillId="0" borderId="0" xfId="0" applyNumberFormat="1" applyFont="1" applyFill="1" applyBorder="1" applyAlignment="1">
      <alignment horizontal="right" wrapText="1"/>
    </xf>
    <xf numFmtId="165" fontId="30" fillId="0" borderId="0" xfId="0" applyNumberFormat="1" applyFont="1" applyFill="1" applyBorder="1" applyAlignment="1">
      <alignment horizontal="right"/>
    </xf>
    <xf numFmtId="165" fontId="30" fillId="0" borderId="0" xfId="0" applyNumberFormat="1" applyFont="1" applyFill="1" applyBorder="1" applyAlignment="1">
      <alignment horizontal="right" wrapText="1"/>
    </xf>
    <xf numFmtId="165" fontId="0" fillId="0" borderId="0" xfId="0" applyNumberFormat="1" applyFont="1" applyFill="1" applyBorder="1"/>
    <xf numFmtId="0" fontId="26" fillId="36" borderId="1" xfId="43" applyFont="1" applyFill="1" applyBorder="1" applyAlignment="1" applyProtection="1">
      <alignment horizontal="left" wrapText="1"/>
      <protection locked="0"/>
    </xf>
    <xf numFmtId="0" fontId="26" fillId="40" borderId="13" xfId="43" applyFont="1" applyFill="1" applyBorder="1" applyAlignment="1"/>
    <xf numFmtId="0" fontId="34" fillId="0" borderId="0" xfId="43" applyFont="1" applyFill="1" applyBorder="1" applyAlignment="1" applyProtection="1">
      <alignment horizontal="left" wrapText="1"/>
      <protection locked="0"/>
    </xf>
    <xf numFmtId="0" fontId="26" fillId="0" borderId="0" xfId="43" applyFont="1" applyFill="1" applyBorder="1" applyAlignment="1"/>
  </cellXfs>
  <cellStyles count="51">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0" builtinId="8"/>
    <cellStyle name="Input" xfId="9" builtinId="20" customBuiltin="1"/>
    <cellStyle name="Linked Cell" xfId="12" builtinId="24" customBuiltin="1"/>
    <cellStyle name="Neutral" xfId="8" builtinId="28" customBuiltin="1"/>
    <cellStyle name="Normal" xfId="0" builtinId="0"/>
    <cellStyle name="Normal 2" xfId="43"/>
    <cellStyle name="Normal 2 2" xfId="44"/>
    <cellStyle name="Normal 3" xfId="41"/>
    <cellStyle name="Normal 4" xfId="45"/>
    <cellStyle name="Normal 5" xfId="46"/>
    <cellStyle name="Normal 5 2" xfId="49"/>
    <cellStyle name="Normal 6" xfId="47"/>
    <cellStyle name="Normal 7" xfId="48"/>
    <cellStyle name="Note 2" xfId="42"/>
    <cellStyle name="Output" xfId="10" builtinId="21" customBuiltin="1"/>
    <cellStyle name="Title" xfId="1" builtinId="15" customBuiltin="1"/>
    <cellStyle name="Total" xfId="16"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6FF"/>
      <color rgb="FFFF2D2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 “Flux data” contains the CO2 and water flux data along with the corresponding diffuse light fraction at the time of measurement from the ITEX shrub canopy project taken at Toolik Lake, Alaska in 2012.  Each record is a single LiCor flux measurement made with LiCor 6400 photosynthesis system, with associated average pressure, temperature, PAR, water vapor, and other data such as NDVI and LAI measurements taken with a DeltaT SunScan wand under both direct and diffuse light conditions. </a:t>
          </a:r>
        </a:p>
      </xdr:txBody>
    </xdr:sp>
    <xdr:clientData fLocksWithSheet="0"/>
  </xdr:twoCellAnchor>
  <xdr:twoCellAnchor>
    <xdr:from>
      <xdr:col>1</xdr:col>
      <xdr:colOff>30480</xdr:colOff>
      <xdr:row>66</xdr:row>
      <xdr:rowOff>17145</xdr:rowOff>
    </xdr:from>
    <xdr:to>
      <xdr:col>6</xdr:col>
      <xdr:colOff>817247</xdr:colOff>
      <xdr:row>175</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CHAMBER FLUX MEASUREMENTS
CO2 and H2O fluxes were measured using a Licor 6400 photosynthesis system (Li-Cor Inc., Lincoln, Nebraska, USA) connected to a 1m x 1m plexiglass chamber in canopies dominated either by Salix pulchra or Betula nana shrub species.  The height of the chamber varied depending on the height of the canopy being measured; chamber bases were constructed of PVC pipe to accomodate canopies with heights up to 125 cm.  In addition to the plexiglass chamber, we also constructed a plexiglass "sleeve" that could extend the height of the rigid portion of the chamber by 0.25m.
To set up each chamber, a location was chosen where the base would be level enough to ensure a complete seal with the plexiglass chamber and shrub branches could be moved either in or out of the chamber without creating large gaps in the canopy inside the chamber. Branches were included within the chamber if they were rooted within the chamber and excluded otherwise.  Once the base was in place, we drove hollow PVC pipe legs into the permafrost and inserted an aluminum frame with foam campermount tape along the top edge for the plexiglass chamber and/or sleeve to rest upon, creating an airtight seal.  The aluminum frame had taped to it semi-transparent, plastic skirt  which extended to the ground (+30cm).  We sealed the skirt to the tundra by weighting the skirt with heavy chains, pushing them firmly into the moss layer where possible and adding additional plastic materials as needed to ensure a good seal. We screwed the LiCor custom chamber head attachment over the holes drilled into the plexiglass chamber, again sealing with a rubber gasket. The air in the chamber was mixed using 4-8 small fans (depending on chamber height) powered by a 12v battery.
At each plot we took measurements to create two light curves: one under direct light and one under diffuse light conditions. In order to determine the fraction of diffuse light, we used a DeltaT Beam Fraction Sensor (BF3, Delta-T Devices Ltd, Burwell Cambridge, UK) which quantifies the total irradianc and total diffuse light from which the diffuse light fraction (diffuse light/total light) can be calculated. For each day of flux measurements, the BF3 logged an instantaneous reading every 30-60 seconds set up on a leveled tripod at approximately 2 m above the ground. For the purpose of correlating the diffuse light fraction with each flux measurement, the LiCor 6400 and BF3 sensor were synchronized to read the same time (+/- 1 sec) at the start of each day.
Different light levels for both diffuse and direct light curves were achieved by taking measurements under a variety of conditions: ambient light (no manipulation), successive shading levels (covering the chamber with 1-5 fine mesh net cloths), and intercepting direct light with photographic diffuser panels, as well as reflecting light into the chamber to increase the amount of diffuse light with white photographic panels. When the diffuser panels were used, they were carefully positioned to intercept all direct light that would otherwise enter the chamber. Whenwhite reflector panels were used, they were positioned on the side of the chamber opposite the sun and angled towards the chamber so as to increase the amount of diffuse light entering the chamber (these were used in conjuction with the diffuser panels). For these 'artificial' diffuse light measurements, we did not diffuse the BF3 sensor, thus the diffuse fraction calculations during these flux measurements do not represent the light conditions in the chamber. After field tests of using the diffuser and reflector panels, we determined that the panels effectively block all direct light, and thus we assume the diffuse light fraction is greater than 0.7 for these measurements.  At each light level a flux measurement lasted 45 - 60 secs in total, with CO2 and H2O concentrations in the chamber recorded by the LiCor 6400 every 2  secs.  After each measurement we lifted the chamber until CO2 and H2O concentrations had stabilized at ambient levels. We made an effort to obtain a wide range of flux measurements for light levels between 0-1600, and used whatever chamber light treatments were needed to achieve that based on the ambient light conditions. 
In addition to light measurements, we made at least three measurements in the dark for each day we took flux measurements.  These were achieved by covering the chamber in an opaque tarpaulin cloth. These measurements represent the ecosystem respiration. 
After each light curve we determined chamber volume by taking depth measurements from the top of the chamber base to the ground.  We measured the chamber base depth with 36 measurements made at regular 20cm intervals determined by placing  a 1m x1m plastic frame with a 20cm x 20cm string grid on top of the base.  The volume determined by these depth measurements (chamber surface area*average depth) was added to the volume of the plexiglass chamber (and sleeve, as needed) .  The surface area of the inside of the 1 m x 1 m plexiglass chamber  was 0.8836m2.  
For measurements with a linear change in CO2 (r2&gt;0.97), NEP is calculated  from the last 45 seconds of the measurement. [The first 12 seconds of data were always discarded as the LiCor 6400  bases its flux calculations on 10sec averages.]  When abnormalities in CO2 slope were observed due to leaks, very small changes in CO2, or changes in light levels, certain portions of the measurement were discaded.  CO2 slope was always taken from contiguous data points (i.e. points were never removed from the middle of the measurement period).  Often at low light levels near the light compensation point, very small changes in CO2 resulted in measurements within the detection limits of the LiCor 6400, and large segments of the measurement had to be discarded to use a representative, linear segment of the data. All other variablels (H2O flux, pressure, chamber air temperature, CO2 concentration, PAR, PAR range) are calculated over the same time window as NEP. These variables were computed as the average over the course of the measurement.
Each flux measurement was placed in one of four categories: direct, diffuse, intermediate, or respiration. These categories are defined as follows:
Direct (sunny measurements): diffuse light fraction &lt; 0.40
Diffuse (cloudy or diffused-light): diffuse light fraction &gt; 0.70
Intermediate (partial sun/cloud): 0.40 &lt; diffuse light fraction &lt; 0.70
Respiration (dark): measurements taken in complete darkness; used for all light curve calculations
NDVI UNISPEC DATA
We measured NDVI on each flux a single channel Unipec spectral analysis system (PP Systems Inc, Amesbury, MA, USA).  The unispec spectral analyser  measures reflected light intensity in 256 portions of the visible spectrum from ~300nm to ~1100nm.  A foreoptic cable transmits light reflected from the target to the instrument, a measurement scan lasts for ~10ms.  Nine scans were measured in a regular grid for each of the flux plots.  The end of the fibre optic was kept approximately 30cm vertically above the top of the canopy. The NDVI values were calculated using the equation below and then the NDVI values averaged together for each of the nine scans. Each scan was corrected for both incident radiation as well as sensor error. The incident radiation was accounted fo with a "reference scan" taken by holding the foreoptic cable vertically above a white, reference standard under the same light conditions as subsequent measurements. The scans were also corrected for with a "dark scan" taken with the sensor exposed to complete darkness (covering the sensor input with a black cloth) to account for the intrinsic error in the sensor itself. The program Multispec5.1.5.exe was used to compile and integrate the Unispec reflectance spectra from the raw target spectra.
LAI SUNSCAN DATA
The methods used to collect leaf area index (LAI) estimates at many heights within each canopy were the same used to collect PAR (see "SunScan_PAR_Data").  We measured the LAI using a DeltaT SunScan wand in conjuction with the BF3 sensor (Delta-T Devices Ltd, Burwell Cambridge, UK). The SunScan wand compares indident light readings measured on the BF3 sensor with the 64-PAR readings on the light wand to calculate LAI along the length of the 1m-long wand.
LAI was measured by inserting the SunScan wand as near to the ground as possible--typically ~5cm from the ground as the wand rested on top of moss--and then measured vertically every 15 cm with the last measurement being above the canopy. Measurements were taken from the side of the chamber or point frame opposite the sun at three locations under both direct (ambient) and diffuse light conditions . In many cases the replicates at each height were differentiated by row (1-3, or occasionaly 3-8 which correspond to the point frame pins).  Typically diffuse light conditions were achieved by shading both the BF3 sensor and the shrub canopy with photographic diffuser panels. On occasion, measurements were taken during cloudy light conditions where the diffuse light fraction was greater than 0.7 and no diffuser panel was needed; on these occasions the direct and diffuse light estimates may have been taken in slightly different locations as they were taken at different times and the precise position of the SunScan wand could not be replicated exactly.
The SunScan wand measures PAR along 64 points along a 1-m horizontal profile.  When sampling PAR within the shrub canopy, the data are from the raw output from each PAR sensor.  When sampling LAI, there is an internal calculation performed though the Delta-T software that compares the reading above the canopy to the reading within the canopy, and takes into account the percent of absorbed PAR (assumed to be 0.85), and the ellipsoidal leaf angle distribution parameter (ELADP*) (assumed to be 1.0).
While the LAI data from each height in the chamber flux canopies are available, the data here are only from the lowest, ground-level measurements (~5cm) to represent the canopy LAI.
CALCULATIONS:
Fluxes are calculated from the slope of chamber CO2 (umol mol-1) [or H2O (mmol mol-1)] concentration against time.  
NEP  =  rho x vol x dCdry/dt                                                   rho = P_av x 1000
                            SA                                                                                       R T
where NEP = net CO2 flux [umol m-2 s-1]  
            rho = air density [mol/m3] 
            P_av = pressure [kPa] 
            R =  ideal gas consant 8.314 [J mol K-1]
            T = temperature [K] = Temp_av [0c] + 273.
            vol = chamber volume {m3}
            dCdry/dt = slope of chamber water-dilution-corrected CO2 conc against time [umol mol-1 s-1]
            SA = chamber surface area [m2] = 0.8836 
For net fluxes, a negative flux represents CO2 uptake by vegetation, a positive flux represents CO2 loss from the ecosystem to the atmosphere.
RE = NEP during dark measurement
GEP = RE - NEP 
NDVI = (RII-RI)
              (RI + RII)
where RI = average reflectance from 570nm to 680nm
            RII = average reflectance from 725nm to 1000nm. </a:t>
          </a:r>
        </a:p>
      </xdr:txBody>
    </xdr:sp>
    <xdr:clientData fLocksWithSheet="0"/>
  </xdr:twoCellAnchor>
  <xdr:twoCellAnchor>
    <xdr:from>
      <xdr:col>1</xdr:col>
      <xdr:colOff>19050</xdr:colOff>
      <xdr:row>180</xdr:row>
      <xdr:rowOff>152400</xdr:rowOff>
    </xdr:from>
    <xdr:to>
      <xdr:col>3</xdr:col>
      <xdr:colOff>2076450</xdr:colOff>
      <xdr:row>187</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67</xdr:row>
      <xdr:rowOff>121920</xdr:rowOff>
    </xdr:from>
    <xdr:to>
      <xdr:col>0</xdr:col>
      <xdr:colOff>1727751</xdr:colOff>
      <xdr:row>81</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51&amp;amp;urlTail=terrest/tracegas/data/2012_GS_ITEX_CHFluxData.csv" TargetMode="External"/><Relationship Id="rId1" Type="http://schemas.openxmlformats.org/officeDocument/2006/relationships/hyperlink" Target="http://ecosystems.mbl.edu/ARC/meta_template.php?FileName=./terrest/tracegas/xlsfiles/2012_GS_ITEX_CHFluxData.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sheetPr codeName="Sheet1"/>
  <dimension ref="A1:S414"/>
  <sheetViews>
    <sheetView tabSelected="1" topLeftCell="B1" zoomScale="96" zoomScaleNormal="96" workbookViewId="0">
      <selection activeCell="B4" sqref="B4"/>
    </sheetView>
  </sheetViews>
  <sheetFormatPr defaultColWidth="8.85546875" defaultRowHeight="12.75"/>
  <cols>
    <col min="1" max="1" width="26.140625" style="109" customWidth="1"/>
    <col min="2" max="2" width="46" style="42" bestFit="1" customWidth="1"/>
    <col min="3" max="4" width="30.7109375" style="48" customWidth="1"/>
    <col min="5" max="9" width="30.7109375" style="45" customWidth="1"/>
    <col min="10" max="16384" width="8.85546875" style="45"/>
  </cols>
  <sheetData>
    <row r="1" spans="1:9" ht="18">
      <c r="A1" s="41" t="s">
        <v>929</v>
      </c>
      <c r="C1" s="43"/>
      <c r="D1" s="44"/>
    </row>
    <row r="2" spans="1:9">
      <c r="A2" s="46" t="s">
        <v>930</v>
      </c>
      <c r="B2" s="47" t="s">
        <v>3074</v>
      </c>
    </row>
    <row r="3" spans="1:9">
      <c r="A3" s="46" t="s">
        <v>931</v>
      </c>
      <c r="B3" s="47">
        <v>2013</v>
      </c>
    </row>
    <row r="4" spans="1:9">
      <c r="A4" s="46" t="s">
        <v>932</v>
      </c>
      <c r="B4" s="125" t="s">
        <v>1778</v>
      </c>
      <c r="C4" s="49"/>
    </row>
    <row r="5" spans="1:9" ht="22.5" customHeight="1">
      <c r="A5" s="50" t="s">
        <v>933</v>
      </c>
      <c r="B5" s="150" t="s">
        <v>1750</v>
      </c>
      <c r="C5" s="151"/>
      <c r="D5" s="45"/>
    </row>
    <row r="6" spans="1:9" ht="12.75" customHeight="1">
      <c r="A6" s="50" t="s">
        <v>934</v>
      </c>
      <c r="B6" s="45"/>
      <c r="C6" s="45"/>
      <c r="D6" s="45"/>
      <c r="E6" s="51"/>
      <c r="F6" s="51"/>
    </row>
    <row r="7" spans="1:9" s="53" customFormat="1">
      <c r="A7" s="52"/>
      <c r="B7" s="152"/>
      <c r="C7" s="153"/>
      <c r="D7" s="153"/>
    </row>
    <row r="8" spans="1:9" s="53" customFormat="1">
      <c r="A8" s="52"/>
      <c r="B8" s="126"/>
      <c r="C8" s="127"/>
      <c r="D8" s="127"/>
    </row>
    <row r="9" spans="1:9" s="53" customFormat="1">
      <c r="A9" s="52"/>
      <c r="B9" s="54"/>
    </row>
    <row r="10" spans="1:9" s="53" customFormat="1">
      <c r="A10" s="52"/>
      <c r="B10" s="54"/>
    </row>
    <row r="11" spans="1:9" s="53" customFormat="1">
      <c r="A11" s="52"/>
      <c r="B11" s="54"/>
    </row>
    <row r="12" spans="1:9" s="53" customFormat="1" ht="15">
      <c r="A12" s="52"/>
      <c r="B12" s="55"/>
    </row>
    <row r="13" spans="1:9" s="53" customFormat="1" ht="15">
      <c r="A13" s="52"/>
      <c r="B13" s="55"/>
    </row>
    <row r="14" spans="1:9">
      <c r="A14" s="50" t="s">
        <v>935</v>
      </c>
      <c r="B14" s="56" t="s">
        <v>3075</v>
      </c>
    </row>
    <row r="15" spans="1:9">
      <c r="A15" s="57"/>
    </row>
    <row r="16" spans="1:9">
      <c r="A16" s="58" t="s">
        <v>936</v>
      </c>
      <c r="B16" s="59" t="s">
        <v>937</v>
      </c>
      <c r="C16" s="59" t="s">
        <v>938</v>
      </c>
      <c r="D16" s="59" t="s">
        <v>939</v>
      </c>
      <c r="E16" s="59" t="s">
        <v>940</v>
      </c>
      <c r="F16" s="59" t="s">
        <v>941</v>
      </c>
      <c r="G16" s="59" t="s">
        <v>942</v>
      </c>
      <c r="H16" s="59" t="s">
        <v>943</v>
      </c>
      <c r="I16" s="59" t="s">
        <v>944</v>
      </c>
    </row>
    <row r="17" spans="1:9">
      <c r="A17" s="60" t="s">
        <v>945</v>
      </c>
      <c r="B17" s="61" t="s">
        <v>1002</v>
      </c>
      <c r="C17" s="61" t="s">
        <v>1006</v>
      </c>
      <c r="D17" s="61" t="s">
        <v>1006</v>
      </c>
      <c r="E17" s="61" t="s">
        <v>1010</v>
      </c>
      <c r="F17" s="61" t="s">
        <v>1013</v>
      </c>
      <c r="G17" s="61"/>
      <c r="H17" s="61"/>
      <c r="I17" s="61"/>
    </row>
    <row r="18" spans="1:9" s="62" customFormat="1">
      <c r="A18" s="60" t="s">
        <v>946</v>
      </c>
      <c r="B18" s="61" t="s">
        <v>1214</v>
      </c>
      <c r="C18" s="61" t="s">
        <v>1223</v>
      </c>
      <c r="D18" s="61" t="s">
        <v>1226</v>
      </c>
      <c r="E18" s="61" t="s">
        <v>1235</v>
      </c>
      <c r="F18" s="61" t="s">
        <v>1238</v>
      </c>
      <c r="G18" s="61"/>
      <c r="H18" s="61"/>
      <c r="I18" s="61"/>
    </row>
    <row r="19" spans="1:9" s="62" customFormat="1">
      <c r="A19" s="60" t="s">
        <v>947</v>
      </c>
      <c r="B19" s="61" t="s">
        <v>1215</v>
      </c>
      <c r="C19" s="61" t="s">
        <v>1224</v>
      </c>
      <c r="D19" s="61" t="s">
        <v>1227</v>
      </c>
      <c r="E19" s="61" t="s">
        <v>1236</v>
      </c>
      <c r="F19" s="61" t="s">
        <v>1239</v>
      </c>
      <c r="G19" s="61"/>
      <c r="H19" s="61"/>
      <c r="I19" s="61"/>
    </row>
    <row r="20" spans="1:9" s="62" customFormat="1">
      <c r="A20" s="60" t="s">
        <v>948</v>
      </c>
      <c r="B20" s="61" t="s">
        <v>1216</v>
      </c>
      <c r="C20" s="61" t="s">
        <v>1225</v>
      </c>
      <c r="D20" s="61" t="s">
        <v>1228</v>
      </c>
      <c r="E20" s="61" t="s">
        <v>1237</v>
      </c>
      <c r="F20" s="61" t="s">
        <v>1240</v>
      </c>
      <c r="G20" s="61"/>
      <c r="H20" s="61"/>
      <c r="I20" s="61"/>
    </row>
    <row r="21" spans="1:9" s="62" customFormat="1" ht="25.5">
      <c r="A21" s="60" t="s">
        <v>949</v>
      </c>
      <c r="B21" s="61" t="s">
        <v>1217</v>
      </c>
      <c r="C21" s="61" t="s">
        <v>1217</v>
      </c>
      <c r="D21" s="61" t="s">
        <v>1229</v>
      </c>
      <c r="E21" s="61" t="s">
        <v>1217</v>
      </c>
      <c r="F21" s="61" t="s">
        <v>1217</v>
      </c>
      <c r="G21" s="61"/>
      <c r="H21" s="61"/>
      <c r="I21" s="61"/>
    </row>
    <row r="22" spans="1:9" s="62" customFormat="1">
      <c r="A22" s="60" t="s">
        <v>950</v>
      </c>
      <c r="B22" s="61" t="s">
        <v>1218</v>
      </c>
      <c r="C22" s="61" t="s">
        <v>1218</v>
      </c>
      <c r="D22" s="61" t="s">
        <v>1230</v>
      </c>
      <c r="E22" s="61" t="s">
        <v>1218</v>
      </c>
      <c r="F22" s="61" t="s">
        <v>1218</v>
      </c>
      <c r="G22" s="61"/>
      <c r="H22" s="61"/>
      <c r="I22" s="61"/>
    </row>
    <row r="23" spans="1:9" s="62" customFormat="1">
      <c r="A23" s="60" t="s">
        <v>951</v>
      </c>
      <c r="B23" s="61"/>
      <c r="C23" s="61"/>
      <c r="D23" s="61" t="s">
        <v>1231</v>
      </c>
      <c r="E23" s="61"/>
      <c r="F23" s="61"/>
      <c r="G23" s="61"/>
      <c r="H23" s="61"/>
      <c r="I23" s="61"/>
    </row>
    <row r="24" spans="1:9" s="62" customFormat="1">
      <c r="A24" s="60" t="s">
        <v>952</v>
      </c>
      <c r="B24" s="61" t="s">
        <v>1219</v>
      </c>
      <c r="C24" s="61" t="s">
        <v>1219</v>
      </c>
      <c r="D24" s="61" t="s">
        <v>1232</v>
      </c>
      <c r="E24" s="61" t="s">
        <v>1219</v>
      </c>
      <c r="F24" s="61" t="s">
        <v>1219</v>
      </c>
      <c r="G24" s="61"/>
      <c r="H24" s="61"/>
      <c r="I24" s="61"/>
    </row>
    <row r="25" spans="1:9" s="62" customFormat="1">
      <c r="A25" s="60" t="s">
        <v>953</v>
      </c>
      <c r="B25" s="61" t="s">
        <v>1220</v>
      </c>
      <c r="C25" s="61" t="s">
        <v>1220</v>
      </c>
      <c r="D25" s="61"/>
      <c r="E25" s="61" t="s">
        <v>1220</v>
      </c>
      <c r="F25" s="61" t="s">
        <v>1220</v>
      </c>
      <c r="G25" s="61"/>
      <c r="H25" s="61"/>
      <c r="I25" s="61"/>
    </row>
    <row r="26" spans="1:9" s="62" customFormat="1">
      <c r="A26" s="60" t="s">
        <v>954</v>
      </c>
      <c r="B26" s="61" t="s">
        <v>1221</v>
      </c>
      <c r="C26" s="61" t="s">
        <v>1221</v>
      </c>
      <c r="D26" s="61" t="s">
        <v>1233</v>
      </c>
      <c r="E26" s="61" t="s">
        <v>1221</v>
      </c>
      <c r="F26" s="61" t="s">
        <v>1221</v>
      </c>
      <c r="G26" s="61"/>
      <c r="H26" s="61"/>
      <c r="I26" s="61"/>
    </row>
    <row r="27" spans="1:9" s="62" customFormat="1">
      <c r="A27" s="60" t="s">
        <v>955</v>
      </c>
      <c r="B27" s="61" t="s">
        <v>1222</v>
      </c>
      <c r="C27" s="61" t="s">
        <v>1222</v>
      </c>
      <c r="D27" s="61" t="s">
        <v>1234</v>
      </c>
      <c r="E27" s="61" t="s">
        <v>1222</v>
      </c>
      <c r="F27" s="61" t="s">
        <v>1222</v>
      </c>
      <c r="G27" s="61"/>
      <c r="H27" s="61"/>
      <c r="I27" s="61"/>
    </row>
    <row r="28" spans="1:9">
      <c r="A28" s="63"/>
      <c r="B28" s="64"/>
      <c r="C28" s="65"/>
    </row>
    <row r="29" spans="1:9">
      <c r="A29" s="66"/>
    </row>
    <row r="30" spans="1:9">
      <c r="A30" s="67" t="s">
        <v>956</v>
      </c>
      <c r="B30" s="68"/>
    </row>
    <row r="31" spans="1:9" hidden="1">
      <c r="A31" s="69" t="s">
        <v>957</v>
      </c>
      <c r="B31" s="125" t="s">
        <v>1779</v>
      </c>
      <c r="C31" s="70"/>
    </row>
    <row r="32" spans="1:9">
      <c r="A32" s="71" t="s">
        <v>958</v>
      </c>
      <c r="B32" s="56" t="s">
        <v>1478</v>
      </c>
    </row>
    <row r="33" spans="1:17">
      <c r="A33" s="72" t="s">
        <v>959</v>
      </c>
      <c r="B33" s="145">
        <v>41083</v>
      </c>
    </row>
    <row r="34" spans="1:17">
      <c r="A34" s="72" t="s">
        <v>960</v>
      </c>
      <c r="B34" s="145">
        <v>41128</v>
      </c>
    </row>
    <row r="35" spans="1:17">
      <c r="A35" s="73" t="s">
        <v>961</v>
      </c>
      <c r="B35" s="56">
        <v>569</v>
      </c>
    </row>
    <row r="36" spans="1:17" ht="267.75">
      <c r="A36" s="73" t="s">
        <v>962</v>
      </c>
      <c r="B36" s="56" t="s">
        <v>1776</v>
      </c>
    </row>
    <row r="37" spans="1:17">
      <c r="A37" s="73" t="s">
        <v>963</v>
      </c>
      <c r="B37" s="56">
        <v>1</v>
      </c>
    </row>
    <row r="38" spans="1:17" ht="140.25">
      <c r="A38" s="74" t="s">
        <v>964</v>
      </c>
      <c r="B38" s="56" t="s">
        <v>1770</v>
      </c>
    </row>
    <row r="39" spans="1:17" ht="51">
      <c r="A39" s="74" t="s">
        <v>965</v>
      </c>
      <c r="B39" s="56" t="s">
        <v>1751</v>
      </c>
    </row>
    <row r="40" spans="1:17">
      <c r="A40" s="73" t="s">
        <v>966</v>
      </c>
      <c r="B40" s="56" t="s">
        <v>1780</v>
      </c>
    </row>
    <row r="41" spans="1:17" ht="25.5">
      <c r="A41" s="73"/>
      <c r="B41" s="56" t="s">
        <v>3070</v>
      </c>
    </row>
    <row r="42" spans="1:17" ht="25.5">
      <c r="A42" s="73"/>
      <c r="B42" s="56" t="s">
        <v>3073</v>
      </c>
    </row>
    <row r="43" spans="1:17">
      <c r="A43" s="73"/>
      <c r="B43" s="56"/>
    </row>
    <row r="44" spans="1:17">
      <c r="A44" s="73"/>
      <c r="B44" s="56"/>
    </row>
    <row r="45" spans="1:17">
      <c r="A45" s="131"/>
      <c r="I45" s="45" t="s">
        <v>967</v>
      </c>
    </row>
    <row r="46" spans="1:17">
      <c r="A46" s="67" t="s">
        <v>968</v>
      </c>
    </row>
    <row r="47" spans="1:17">
      <c r="A47" s="74" t="s">
        <v>1773</v>
      </c>
      <c r="B47" s="130" t="s">
        <v>1774</v>
      </c>
      <c r="C47" s="130" t="s">
        <v>1775</v>
      </c>
      <c r="D47" s="130" t="s">
        <v>1803</v>
      </c>
      <c r="E47" s="130" t="s">
        <v>1803</v>
      </c>
      <c r="F47" s="130" t="s">
        <v>1803</v>
      </c>
      <c r="G47" s="130" t="s">
        <v>1803</v>
      </c>
      <c r="H47" s="130" t="s">
        <v>1803</v>
      </c>
      <c r="I47" s="130" t="s">
        <v>1803</v>
      </c>
      <c r="J47" s="48"/>
      <c r="K47" s="48"/>
      <c r="L47" s="48"/>
      <c r="M47" s="48"/>
      <c r="N47" s="48"/>
      <c r="O47" s="48"/>
      <c r="P47" s="48"/>
      <c r="Q47" s="48"/>
    </row>
    <row r="48" spans="1:17" ht="165.75">
      <c r="A48" s="129" t="s">
        <v>969</v>
      </c>
      <c r="B48" s="141" t="s">
        <v>1475</v>
      </c>
      <c r="C48" s="141" t="s">
        <v>1476</v>
      </c>
      <c r="D48" s="141" t="str">
        <f t="shared" ref="D48:I48" si="0">IF(ISNA(INDEX(Sites,MATCH(D47,Site_name,0),3)),"Enter Description", INDEX(Sites,MATCH(D47,Site_name,0),3))</f>
        <v>Enter Description</v>
      </c>
      <c r="E48" s="141" t="str">
        <f t="shared" si="0"/>
        <v>Enter Description</v>
      </c>
      <c r="F48" s="141" t="str">
        <f t="shared" si="0"/>
        <v>Enter Description</v>
      </c>
      <c r="G48" s="141" t="str">
        <f t="shared" si="0"/>
        <v>Enter Description</v>
      </c>
      <c r="H48" s="141" t="str">
        <f t="shared" si="0"/>
        <v>Enter Description</v>
      </c>
      <c r="I48" s="141" t="str">
        <f t="shared" si="0"/>
        <v>Enter Description</v>
      </c>
      <c r="J48" s="48"/>
      <c r="K48" s="48"/>
      <c r="L48" s="48"/>
      <c r="M48" s="48"/>
      <c r="N48" s="48"/>
      <c r="O48" s="48"/>
    </row>
    <row r="49" spans="1:19">
      <c r="A49" s="75" t="s">
        <v>970</v>
      </c>
      <c r="C49" s="42"/>
      <c r="D49" s="42"/>
      <c r="E49" s="42"/>
      <c r="F49" s="42"/>
      <c r="G49" s="42"/>
      <c r="H49" s="42"/>
      <c r="I49" s="42"/>
    </row>
    <row r="50" spans="1:19">
      <c r="A50" s="76" t="s">
        <v>971</v>
      </c>
      <c r="B50" s="56"/>
      <c r="C50" s="56"/>
      <c r="D50" s="56"/>
      <c r="E50" s="56"/>
      <c r="F50" s="56"/>
      <c r="G50" s="56"/>
      <c r="H50" s="56"/>
      <c r="I50" s="56"/>
      <c r="J50" s="48"/>
      <c r="K50" s="48"/>
      <c r="L50" s="48"/>
      <c r="M50" s="48"/>
      <c r="N50" s="48"/>
      <c r="O50" s="48"/>
      <c r="P50" s="48"/>
      <c r="Q50" s="48"/>
      <c r="R50" s="48"/>
      <c r="S50" s="48"/>
    </row>
    <row r="51" spans="1:19">
      <c r="A51" s="76" t="s">
        <v>972</v>
      </c>
      <c r="B51" s="142"/>
      <c r="C51" s="142"/>
      <c r="D51" s="142"/>
      <c r="E51" s="142"/>
      <c r="F51" s="142"/>
      <c r="G51" s="142"/>
      <c r="H51" s="142"/>
      <c r="I51" s="142"/>
      <c r="J51" s="48"/>
      <c r="K51" s="48"/>
      <c r="L51" s="48"/>
      <c r="M51" s="48"/>
      <c r="N51" s="48"/>
      <c r="O51" s="48"/>
      <c r="P51" s="48"/>
      <c r="Q51" s="48"/>
      <c r="R51" s="48"/>
      <c r="S51" s="48"/>
    </row>
    <row r="52" spans="1:19">
      <c r="A52" s="76" t="s">
        <v>973</v>
      </c>
      <c r="B52" s="56"/>
      <c r="C52" s="56"/>
      <c r="D52" s="56"/>
      <c r="E52" s="56"/>
      <c r="F52" s="56"/>
      <c r="G52" s="56"/>
      <c r="H52" s="56"/>
      <c r="I52" s="56"/>
      <c r="J52" s="48"/>
      <c r="K52" s="48"/>
      <c r="L52" s="48"/>
      <c r="M52" s="48"/>
      <c r="N52" s="48"/>
      <c r="O52" s="48"/>
      <c r="P52" s="48"/>
      <c r="Q52" s="48"/>
      <c r="R52" s="48"/>
      <c r="S52" s="48"/>
    </row>
    <row r="53" spans="1:19">
      <c r="A53" s="76" t="s">
        <v>974</v>
      </c>
      <c r="B53" s="143"/>
      <c r="C53" s="143"/>
      <c r="D53" s="143"/>
      <c r="E53" s="143"/>
      <c r="F53" s="143"/>
      <c r="G53" s="143"/>
      <c r="H53" s="143"/>
      <c r="I53" s="143"/>
      <c r="J53" s="48"/>
      <c r="K53" s="48"/>
      <c r="L53" s="48"/>
      <c r="M53" s="48"/>
      <c r="N53" s="48"/>
      <c r="O53" s="48"/>
      <c r="P53" s="48"/>
      <c r="Q53" s="48"/>
      <c r="R53" s="48"/>
      <c r="S53" s="48"/>
    </row>
    <row r="54" spans="1:19">
      <c r="A54" s="77" t="s">
        <v>975</v>
      </c>
      <c r="B54" s="78"/>
      <c r="C54" s="78"/>
      <c r="D54" s="78"/>
      <c r="E54" s="78"/>
      <c r="F54" s="78"/>
      <c r="G54" s="78"/>
      <c r="H54" s="78"/>
      <c r="I54" s="78"/>
    </row>
    <row r="55" spans="1:19">
      <c r="A55" s="74" t="s">
        <v>976</v>
      </c>
      <c r="B55" s="141">
        <v>68.638555555555499</v>
      </c>
      <c r="C55" s="141">
        <v>68.635583333333301</v>
      </c>
      <c r="D55" s="141" t="str">
        <f t="shared" ref="D55:I55" si="1">IF(ISNA(INDEX(Sites,MATCH(D47,Site_name,0),4)),"In Decimal Degrees", INDEX(Sites,MATCH(D47,Site_name,0),4))</f>
        <v>In Decimal Degrees</v>
      </c>
      <c r="E55" s="141" t="str">
        <f t="shared" si="1"/>
        <v>In Decimal Degrees</v>
      </c>
      <c r="F55" s="141" t="str">
        <f t="shared" si="1"/>
        <v>In Decimal Degrees</v>
      </c>
      <c r="G55" s="141" t="str">
        <f t="shared" si="1"/>
        <v>In Decimal Degrees</v>
      </c>
      <c r="H55" s="141" t="str">
        <f t="shared" si="1"/>
        <v>In Decimal Degrees</v>
      </c>
      <c r="I55" s="141" t="str">
        <f t="shared" si="1"/>
        <v>In Decimal Degrees</v>
      </c>
      <c r="J55" s="48"/>
      <c r="K55" s="48"/>
      <c r="L55" s="48"/>
      <c r="M55" s="48"/>
      <c r="N55" s="48"/>
      <c r="O55" s="48"/>
      <c r="P55" s="48"/>
      <c r="Q55" s="48"/>
    </row>
    <row r="56" spans="1:19">
      <c r="A56" s="74" t="s">
        <v>977</v>
      </c>
      <c r="B56" s="141">
        <v>-149.56866666666599</v>
      </c>
      <c r="C56" s="141">
        <v>-149.588083333333</v>
      </c>
      <c r="D56" s="141" t="str">
        <f t="shared" ref="D56:I56" si="2">IF(ISNA(INDEX(Sites,MATCH(D47,Site_name,0),5)),"In Decimal Degrees", INDEX(Sites,MATCH(D47,Site_name,0),5))</f>
        <v>In Decimal Degrees</v>
      </c>
      <c r="E56" s="141" t="str">
        <f t="shared" si="2"/>
        <v>In Decimal Degrees</v>
      </c>
      <c r="F56" s="141" t="str">
        <f t="shared" si="2"/>
        <v>In Decimal Degrees</v>
      </c>
      <c r="G56" s="141" t="str">
        <f t="shared" si="2"/>
        <v>In Decimal Degrees</v>
      </c>
      <c r="H56" s="141" t="str">
        <f t="shared" si="2"/>
        <v>In Decimal Degrees</v>
      </c>
      <c r="I56" s="141" t="str">
        <f t="shared" si="2"/>
        <v>In Decimal Degrees</v>
      </c>
      <c r="J56" s="48"/>
      <c r="K56" s="48"/>
      <c r="L56" s="48"/>
      <c r="M56" s="48"/>
      <c r="N56" s="48"/>
      <c r="O56" s="48"/>
      <c r="P56" s="48"/>
      <c r="Q56" s="48"/>
    </row>
    <row r="57" spans="1:19">
      <c r="A57" s="74" t="s">
        <v>978</v>
      </c>
      <c r="B57" s="141" t="s">
        <v>1771</v>
      </c>
      <c r="C57" s="141" t="s">
        <v>1772</v>
      </c>
      <c r="D57" s="141" t="str">
        <f t="shared" ref="D57:I57" si="3">IF(ISNA(INDEX(Sites,MATCH(D47,Site_name,0),6)),"In Meters", INDEX(Sites,MATCH(D47,Site_name,0),6))</f>
        <v>In Meters</v>
      </c>
      <c r="E57" s="141" t="str">
        <f t="shared" si="3"/>
        <v>In Meters</v>
      </c>
      <c r="F57" s="141" t="str">
        <f t="shared" si="3"/>
        <v>In Meters</v>
      </c>
      <c r="G57" s="141" t="str">
        <f t="shared" si="3"/>
        <v>In Meters</v>
      </c>
      <c r="H57" s="141" t="str">
        <f t="shared" si="3"/>
        <v>In Meters</v>
      </c>
      <c r="I57" s="141" t="str">
        <f t="shared" si="3"/>
        <v>In Meters</v>
      </c>
      <c r="J57" s="48"/>
      <c r="K57" s="48"/>
      <c r="L57" s="48"/>
      <c r="M57" s="48"/>
      <c r="N57" s="48"/>
      <c r="O57" s="48"/>
      <c r="P57" s="48"/>
      <c r="Q57" s="48"/>
    </row>
    <row r="58" spans="1:19">
      <c r="A58" s="74" t="s">
        <v>1802</v>
      </c>
      <c r="B58" s="144" t="str">
        <f t="shared" ref="B58:I58" si="4">IF(ISNUMBER(B$55),HYPERLINK("http://maps.google.com/maps?q="&amp;B55&amp;","&amp;B56,"View on Google Map"),"")</f>
        <v>View on Google Map</v>
      </c>
      <c r="C58" s="144" t="str">
        <f t="shared" si="4"/>
        <v>View on Google Map</v>
      </c>
      <c r="D58" s="144" t="str">
        <f t="shared" si="4"/>
        <v/>
      </c>
      <c r="E58" s="144" t="str">
        <f t="shared" si="4"/>
        <v/>
      </c>
      <c r="F58" s="144" t="str">
        <f t="shared" si="4"/>
        <v/>
      </c>
      <c r="G58" s="144" t="str">
        <f t="shared" si="4"/>
        <v/>
      </c>
      <c r="H58" s="144" t="str">
        <f t="shared" si="4"/>
        <v/>
      </c>
      <c r="I58" s="144" t="str">
        <f t="shared" si="4"/>
        <v/>
      </c>
    </row>
    <row r="59" spans="1:19">
      <c r="A59" s="79"/>
      <c r="B59" s="80"/>
      <c r="C59" s="80"/>
      <c r="D59" s="80"/>
    </row>
    <row r="60" spans="1:19">
      <c r="A60" s="81" t="s">
        <v>979</v>
      </c>
      <c r="B60" s="80"/>
      <c r="C60" s="65"/>
    </row>
    <row r="61" spans="1:19">
      <c r="A61" s="82" t="s">
        <v>980</v>
      </c>
      <c r="B61" s="56" t="s">
        <v>1241</v>
      </c>
      <c r="C61" s="48" t="s">
        <v>981</v>
      </c>
    </row>
    <row r="62" spans="1:19">
      <c r="A62" s="63"/>
    </row>
    <row r="63" spans="1:19">
      <c r="A63" s="81" t="s">
        <v>982</v>
      </c>
    </row>
    <row r="64" spans="1:19" ht="25.5">
      <c r="A64" s="83" t="s">
        <v>983</v>
      </c>
      <c r="B64" s="56" t="s">
        <v>1477</v>
      </c>
    </row>
    <row r="65" spans="1:2">
      <c r="A65" s="79"/>
      <c r="B65" s="80"/>
    </row>
    <row r="66" spans="1:2" s="53" customFormat="1" ht="15">
      <c r="A66" s="52"/>
      <c r="B66" s="55"/>
    </row>
    <row r="67" spans="1:2" ht="15">
      <c r="A67" s="84" t="s">
        <v>984</v>
      </c>
      <c r="B67" s="85"/>
    </row>
    <row r="68" spans="1:2" s="53" customFormat="1">
      <c r="A68" s="86"/>
    </row>
    <row r="69" spans="1:2" s="53" customFormat="1">
      <c r="A69" s="52"/>
      <c r="B69" s="87"/>
    </row>
    <row r="70" spans="1:2" s="53" customFormat="1">
      <c r="A70" s="52"/>
    </row>
    <row r="71" spans="1:2" s="53" customFormat="1">
      <c r="A71" s="52"/>
    </row>
    <row r="72" spans="1:2" s="53" customFormat="1">
      <c r="A72" s="52"/>
    </row>
    <row r="73" spans="1:2" s="53" customFormat="1">
      <c r="A73" s="52"/>
    </row>
    <row r="74" spans="1:2" s="53" customFormat="1">
      <c r="A74" s="52"/>
    </row>
    <row r="75" spans="1:2" s="53" customFormat="1">
      <c r="A75" s="52"/>
    </row>
    <row r="76" spans="1:2" s="53" customFormat="1">
      <c r="A76" s="52"/>
    </row>
    <row r="77" spans="1:2" s="53" customFormat="1">
      <c r="A77" s="52"/>
    </row>
    <row r="78" spans="1:2" s="53" customFormat="1">
      <c r="A78" s="52"/>
    </row>
    <row r="79" spans="1:2" s="53" customFormat="1">
      <c r="A79" s="52"/>
    </row>
    <row r="80" spans="1:2" s="53" customFormat="1">
      <c r="A80" s="52"/>
    </row>
    <row r="81" spans="1:10" s="53" customFormat="1">
      <c r="A81" s="52"/>
    </row>
    <row r="82" spans="1:10" s="53" customFormat="1">
      <c r="A82" s="52"/>
    </row>
    <row r="83" spans="1:10" s="53" customFormat="1">
      <c r="A83" s="52"/>
    </row>
    <row r="84" spans="1:10" s="53" customFormat="1">
      <c r="A84" s="52"/>
    </row>
    <row r="85" spans="1:10" s="53" customFormat="1">
      <c r="A85" s="52"/>
    </row>
    <row r="86" spans="1:10" s="53" customFormat="1">
      <c r="A86" s="52"/>
    </row>
    <row r="87" spans="1:10" s="53" customFormat="1">
      <c r="A87" s="52"/>
    </row>
    <row r="88" spans="1:10" s="53" customFormat="1">
      <c r="A88" s="52"/>
    </row>
    <row r="89" spans="1:10" s="53" customFormat="1">
      <c r="A89" s="52"/>
    </row>
    <row r="90" spans="1:10" s="53" customFormat="1">
      <c r="A90" s="52"/>
    </row>
    <row r="91" spans="1:10" s="53" customFormat="1">
      <c r="A91" s="52"/>
    </row>
    <row r="92" spans="1:10" s="53" customFormat="1">
      <c r="A92" s="52"/>
      <c r="B92" s="54"/>
    </row>
    <row r="93" spans="1:10" s="53" customFormat="1">
      <c r="A93" s="52"/>
      <c r="B93" s="54"/>
    </row>
    <row r="94" spans="1:10" s="53" customFormat="1">
      <c r="A94" s="52"/>
      <c r="B94" s="54"/>
    </row>
    <row r="95" spans="1:10" s="89" customFormat="1">
      <c r="A95" s="52"/>
      <c r="B95" s="54"/>
      <c r="C95" s="53"/>
      <c r="D95" s="53"/>
      <c r="E95" s="53"/>
      <c r="F95" s="53"/>
      <c r="G95" s="53"/>
      <c r="H95" s="53"/>
      <c r="I95" s="53"/>
      <c r="J95" s="88"/>
    </row>
    <row r="96" spans="1:10" s="53" customFormat="1">
      <c r="A96" s="52"/>
      <c r="B96" s="54"/>
    </row>
    <row r="97" spans="1:2" s="53" customFormat="1">
      <c r="A97" s="52"/>
      <c r="B97" s="54"/>
    </row>
    <row r="98" spans="1:2" s="53" customFormat="1">
      <c r="A98" s="52"/>
      <c r="B98" s="54"/>
    </row>
    <row r="99" spans="1:2" s="53" customFormat="1">
      <c r="A99" s="52"/>
      <c r="B99" s="54"/>
    </row>
    <row r="100" spans="1:2" s="53" customFormat="1">
      <c r="A100" s="52"/>
      <c r="B100" s="54"/>
    </row>
    <row r="101" spans="1:2" s="53" customFormat="1">
      <c r="A101" s="52"/>
      <c r="B101" s="54"/>
    </row>
    <row r="102" spans="1:2" s="53" customFormat="1">
      <c r="A102" s="52"/>
      <c r="B102" s="54"/>
    </row>
    <row r="103" spans="1:2" s="53" customFormat="1">
      <c r="A103" s="52"/>
      <c r="B103" s="54"/>
    </row>
    <row r="104" spans="1:2" s="53" customFormat="1">
      <c r="A104" s="52"/>
      <c r="B104" s="54"/>
    </row>
    <row r="105" spans="1:2" s="53" customFormat="1">
      <c r="A105" s="52"/>
      <c r="B105" s="54"/>
    </row>
    <row r="106" spans="1:2" s="53" customFormat="1">
      <c r="A106" s="52"/>
      <c r="B106" s="54"/>
    </row>
    <row r="107" spans="1:2" s="53" customFormat="1">
      <c r="A107" s="52"/>
      <c r="B107" s="54"/>
    </row>
    <row r="108" spans="1:2" s="53" customFormat="1">
      <c r="A108" s="52"/>
      <c r="B108" s="54"/>
    </row>
    <row r="109" spans="1:2" s="53" customFormat="1">
      <c r="A109" s="52"/>
      <c r="B109" s="54"/>
    </row>
    <row r="110" spans="1:2" s="53" customFormat="1">
      <c r="A110" s="52"/>
      <c r="B110" s="54"/>
    </row>
    <row r="111" spans="1:2" s="53" customFormat="1">
      <c r="A111" s="52"/>
      <c r="B111" s="54"/>
    </row>
    <row r="112" spans="1:2" s="53" customFormat="1">
      <c r="A112" s="52"/>
      <c r="B112" s="54"/>
    </row>
    <row r="113" spans="1:2" s="53" customFormat="1">
      <c r="A113" s="52"/>
      <c r="B113" s="54"/>
    </row>
    <row r="114" spans="1:2" s="53" customFormat="1">
      <c r="A114" s="52"/>
      <c r="B114" s="54"/>
    </row>
    <row r="115" spans="1:2" s="53" customFormat="1">
      <c r="A115" s="52"/>
      <c r="B115" s="54"/>
    </row>
    <row r="116" spans="1:2" s="53" customFormat="1">
      <c r="A116" s="52"/>
      <c r="B116" s="54"/>
    </row>
    <row r="117" spans="1:2" s="53" customFormat="1">
      <c r="A117" s="52"/>
      <c r="B117" s="54"/>
    </row>
    <row r="118" spans="1:2" s="53" customFormat="1">
      <c r="A118" s="52"/>
      <c r="B118" s="54"/>
    </row>
    <row r="119" spans="1:2" s="53" customFormat="1">
      <c r="A119" s="52"/>
      <c r="B119" s="54"/>
    </row>
    <row r="120" spans="1:2" s="53" customFormat="1">
      <c r="A120" s="52"/>
      <c r="B120" s="54"/>
    </row>
    <row r="121" spans="1:2" s="53" customFormat="1">
      <c r="A121" s="52"/>
      <c r="B121" s="54"/>
    </row>
    <row r="122" spans="1:2" s="53" customFormat="1">
      <c r="A122" s="52"/>
      <c r="B122" s="54"/>
    </row>
    <row r="123" spans="1:2" s="53" customFormat="1">
      <c r="A123" s="52"/>
      <c r="B123" s="54"/>
    </row>
    <row r="124" spans="1:2" s="53" customFormat="1">
      <c r="A124" s="52"/>
      <c r="B124" s="54"/>
    </row>
    <row r="125" spans="1:2" s="53" customFormat="1">
      <c r="A125" s="52"/>
      <c r="B125" s="54"/>
    </row>
    <row r="126" spans="1:2" s="53" customFormat="1">
      <c r="A126" s="52"/>
      <c r="B126" s="54"/>
    </row>
    <row r="127" spans="1:2" s="53" customFormat="1">
      <c r="A127" s="52"/>
      <c r="B127" s="54"/>
    </row>
    <row r="128" spans="1:2" s="53" customFormat="1">
      <c r="A128" s="52"/>
      <c r="B128" s="54"/>
    </row>
    <row r="129" spans="1:2" s="53" customFormat="1">
      <c r="A129" s="52"/>
      <c r="B129" s="54"/>
    </row>
    <row r="130" spans="1:2" s="53" customFormat="1">
      <c r="A130" s="52"/>
      <c r="B130" s="54"/>
    </row>
    <row r="131" spans="1:2" s="53" customFormat="1">
      <c r="A131" s="52"/>
      <c r="B131" s="54"/>
    </row>
    <row r="132" spans="1:2" s="53" customFormat="1">
      <c r="A132" s="52"/>
      <c r="B132" s="54"/>
    </row>
    <row r="133" spans="1:2" s="53" customFormat="1">
      <c r="A133" s="52"/>
      <c r="B133" s="54"/>
    </row>
    <row r="134" spans="1:2" s="53" customFormat="1">
      <c r="A134" s="52"/>
      <c r="B134" s="54"/>
    </row>
    <row r="135" spans="1:2" s="53" customFormat="1">
      <c r="A135" s="52"/>
      <c r="B135" s="54"/>
    </row>
    <row r="136" spans="1:2" s="53" customFormat="1">
      <c r="A136" s="52"/>
      <c r="B136" s="54"/>
    </row>
    <row r="137" spans="1:2" s="53" customFormat="1">
      <c r="A137" s="52"/>
      <c r="B137" s="54"/>
    </row>
    <row r="138" spans="1:2" s="53" customFormat="1">
      <c r="A138" s="52"/>
      <c r="B138" s="54"/>
    </row>
    <row r="139" spans="1:2" s="53" customFormat="1">
      <c r="A139" s="52"/>
      <c r="B139" s="54"/>
    </row>
    <row r="140" spans="1:2" s="53" customFormat="1">
      <c r="A140" s="52"/>
      <c r="B140" s="54"/>
    </row>
    <row r="141" spans="1:2" s="53" customFormat="1">
      <c r="A141" s="52"/>
      <c r="B141" s="54"/>
    </row>
    <row r="142" spans="1:2" s="53" customFormat="1">
      <c r="A142" s="52"/>
      <c r="B142" s="54"/>
    </row>
    <row r="143" spans="1:2" s="53" customFormat="1">
      <c r="A143" s="52"/>
      <c r="B143" s="54"/>
    </row>
    <row r="144" spans="1:2" s="53" customFormat="1">
      <c r="A144" s="52"/>
      <c r="B144" s="54"/>
    </row>
    <row r="145" spans="1:2" s="53" customFormat="1">
      <c r="A145" s="52"/>
      <c r="B145" s="54"/>
    </row>
    <row r="146" spans="1:2" s="53" customFormat="1">
      <c r="A146" s="52"/>
      <c r="B146" s="54"/>
    </row>
    <row r="147" spans="1:2" s="53" customFormat="1">
      <c r="A147" s="52"/>
      <c r="B147" s="54"/>
    </row>
    <row r="148" spans="1:2" s="53" customFormat="1">
      <c r="A148" s="52"/>
      <c r="B148" s="54"/>
    </row>
    <row r="149" spans="1:2" s="53" customFormat="1">
      <c r="A149" s="52"/>
      <c r="B149" s="54"/>
    </row>
    <row r="150" spans="1:2" s="53" customFormat="1">
      <c r="A150" s="52"/>
      <c r="B150" s="54"/>
    </row>
    <row r="151" spans="1:2" s="53" customFormat="1">
      <c r="A151" s="52"/>
      <c r="B151" s="54"/>
    </row>
    <row r="152" spans="1:2" s="53" customFormat="1">
      <c r="A152" s="52"/>
      <c r="B152" s="54"/>
    </row>
    <row r="153" spans="1:2" s="53" customFormat="1">
      <c r="A153" s="52"/>
      <c r="B153" s="54"/>
    </row>
    <row r="154" spans="1:2" s="53" customFormat="1">
      <c r="A154" s="52"/>
      <c r="B154" s="54"/>
    </row>
    <row r="155" spans="1:2" s="53" customFormat="1">
      <c r="A155" s="52"/>
      <c r="B155" s="54"/>
    </row>
    <row r="156" spans="1:2" s="53" customFormat="1">
      <c r="A156" s="52"/>
      <c r="B156" s="54"/>
    </row>
    <row r="157" spans="1:2" s="53" customFormat="1">
      <c r="A157" s="52"/>
      <c r="B157" s="54"/>
    </row>
    <row r="158" spans="1:2" s="53" customFormat="1">
      <c r="A158" s="52"/>
      <c r="B158" s="54"/>
    </row>
    <row r="159" spans="1:2" s="53" customFormat="1">
      <c r="A159" s="52"/>
      <c r="B159" s="54"/>
    </row>
    <row r="160" spans="1:2" s="53" customFormat="1">
      <c r="A160" s="52"/>
      <c r="B160" s="54"/>
    </row>
    <row r="161" spans="1:2" s="53" customFormat="1">
      <c r="A161" s="52"/>
      <c r="B161" s="54"/>
    </row>
    <row r="162" spans="1:2" s="53" customFormat="1">
      <c r="A162" s="52"/>
      <c r="B162" s="54"/>
    </row>
    <row r="163" spans="1:2" s="53" customFormat="1">
      <c r="A163" s="52"/>
      <c r="B163" s="54"/>
    </row>
    <row r="164" spans="1:2" s="53" customFormat="1">
      <c r="A164" s="52"/>
      <c r="B164" s="54"/>
    </row>
    <row r="165" spans="1:2" s="53" customFormat="1">
      <c r="A165" s="52"/>
      <c r="B165" s="54"/>
    </row>
    <row r="166" spans="1:2" s="53" customFormat="1">
      <c r="A166" s="52"/>
      <c r="B166" s="54"/>
    </row>
    <row r="167" spans="1:2" s="53" customFormat="1">
      <c r="A167" s="52"/>
      <c r="B167" s="54"/>
    </row>
    <row r="168" spans="1:2" s="53" customFormat="1">
      <c r="A168" s="52"/>
      <c r="B168" s="54"/>
    </row>
    <row r="169" spans="1:2" s="53" customFormat="1">
      <c r="A169" s="52"/>
      <c r="B169" s="54"/>
    </row>
    <row r="170" spans="1:2" s="53" customFormat="1">
      <c r="A170" s="52"/>
      <c r="B170" s="54"/>
    </row>
    <row r="171" spans="1:2" s="53" customFormat="1">
      <c r="A171" s="52"/>
      <c r="B171" s="54"/>
    </row>
    <row r="172" spans="1:2" s="53" customFormat="1">
      <c r="A172" s="52"/>
      <c r="B172" s="54"/>
    </row>
    <row r="173" spans="1:2" s="53" customFormat="1">
      <c r="A173" s="52"/>
      <c r="B173" s="54"/>
    </row>
    <row r="174" spans="1:2" s="53" customFormat="1">
      <c r="A174" s="52"/>
      <c r="B174" s="54"/>
    </row>
    <row r="175" spans="1:2" s="53" customFormat="1">
      <c r="A175" s="52"/>
      <c r="B175" s="54"/>
    </row>
    <row r="176" spans="1:2" s="53" customFormat="1">
      <c r="A176" s="52"/>
      <c r="B176" s="90"/>
    </row>
    <row r="177" spans="1:14" s="53" customFormat="1" ht="13.5" thickBot="1">
      <c r="A177" s="52"/>
      <c r="B177" s="54"/>
    </row>
    <row r="178" spans="1:14" s="53" customFormat="1" ht="13.5" thickBot="1">
      <c r="A178" s="91" t="s">
        <v>985</v>
      </c>
      <c r="B178" s="92"/>
    </row>
    <row r="179" spans="1:14" s="53" customFormat="1">
      <c r="A179" s="93" t="s">
        <v>986</v>
      </c>
      <c r="B179" s="94"/>
      <c r="C179" s="95"/>
    </row>
    <row r="180" spans="1:14" s="53" customFormat="1">
      <c r="A180" s="96" t="s">
        <v>987</v>
      </c>
      <c r="B180" s="97"/>
      <c r="C180" s="98"/>
    </row>
    <row r="181" spans="1:14" s="53" customFormat="1">
      <c r="A181" s="99" t="s">
        <v>988</v>
      </c>
      <c r="B181" s="42"/>
    </row>
    <row r="182" spans="1:14" s="53" customFormat="1">
      <c r="A182" s="100" t="s">
        <v>989</v>
      </c>
      <c r="B182" s="42"/>
    </row>
    <row r="183" spans="1:14" s="53" customFormat="1">
      <c r="A183" s="99"/>
      <c r="B183" s="42"/>
    </row>
    <row r="184" spans="1:14" s="53" customFormat="1">
      <c r="A184" s="99"/>
      <c r="B184" s="42"/>
    </row>
    <row r="185" spans="1:14" s="53" customFormat="1">
      <c r="A185" s="99"/>
      <c r="B185" s="42"/>
    </row>
    <row r="186" spans="1:14">
      <c r="A186" s="52"/>
      <c r="C186" s="79"/>
      <c r="D186" s="80"/>
    </row>
    <row r="187" spans="1:14">
      <c r="A187" s="52"/>
      <c r="C187" s="79"/>
      <c r="D187" s="80"/>
    </row>
    <row r="188" spans="1:14">
      <c r="A188" s="52"/>
      <c r="C188" s="79"/>
      <c r="D188" s="80"/>
    </row>
    <row r="189" spans="1:14">
      <c r="A189" s="84" t="s">
        <v>990</v>
      </c>
      <c r="K189" s="101" t="s">
        <v>991</v>
      </c>
    </row>
    <row r="190" spans="1:14" ht="28.15" customHeight="1">
      <c r="A190" s="102" t="s">
        <v>992</v>
      </c>
      <c r="B190" s="102" t="s">
        <v>993</v>
      </c>
      <c r="C190" s="102" t="s">
        <v>994</v>
      </c>
      <c r="D190" s="103" t="s">
        <v>995</v>
      </c>
      <c r="E190" s="102" t="s">
        <v>996</v>
      </c>
      <c r="F190" s="102" t="s">
        <v>997</v>
      </c>
      <c r="G190" s="102" t="s">
        <v>998</v>
      </c>
      <c r="H190" s="104"/>
      <c r="I190" s="104"/>
      <c r="K190" s="105" t="s">
        <v>945</v>
      </c>
      <c r="L190" s="105" t="s">
        <v>999</v>
      </c>
      <c r="M190" s="105" t="s">
        <v>1000</v>
      </c>
      <c r="N190" s="105" t="s">
        <v>1001</v>
      </c>
    </row>
    <row r="191" spans="1:14">
      <c r="A191" s="106" t="s">
        <v>1430</v>
      </c>
      <c r="B191" s="107" t="s">
        <v>1431</v>
      </c>
      <c r="C191" s="107" t="s">
        <v>1003</v>
      </c>
      <c r="D191" s="107"/>
      <c r="E191" s="107" t="s">
        <v>1441</v>
      </c>
      <c r="F191" s="107"/>
      <c r="G191" s="107"/>
      <c r="H191" s="107"/>
      <c r="I191" s="107"/>
      <c r="L191" s="45" t="s">
        <v>925</v>
      </c>
      <c r="M191" s="128"/>
    </row>
    <row r="192" spans="1:14">
      <c r="A192" s="106" t="s">
        <v>1432</v>
      </c>
      <c r="B192" s="107" t="s">
        <v>1433</v>
      </c>
      <c r="C192" s="107" t="s">
        <v>1003</v>
      </c>
      <c r="D192" s="107"/>
      <c r="E192" s="107" t="s">
        <v>26</v>
      </c>
      <c r="F192" s="107"/>
      <c r="G192" s="107"/>
      <c r="H192" s="107"/>
      <c r="I192" s="107"/>
      <c r="K192" s="45" t="s">
        <v>1002</v>
      </c>
      <c r="L192" s="45" t="s">
        <v>1003</v>
      </c>
      <c r="M192" s="45" t="s">
        <v>1004</v>
      </c>
      <c r="N192" s="45" t="s">
        <v>1005</v>
      </c>
    </row>
    <row r="193" spans="1:14">
      <c r="A193" s="106" t="s">
        <v>1434</v>
      </c>
      <c r="B193" s="107" t="s">
        <v>1442</v>
      </c>
      <c r="C193" s="107" t="s">
        <v>1004</v>
      </c>
      <c r="D193" s="107"/>
      <c r="E193" s="107"/>
      <c r="F193" s="107"/>
      <c r="G193" s="107"/>
      <c r="H193" s="107"/>
      <c r="I193" s="107"/>
      <c r="K193" s="45" t="s">
        <v>1006</v>
      </c>
      <c r="L193" s="45" t="s">
        <v>1007</v>
      </c>
      <c r="M193" s="45" t="s">
        <v>1008</v>
      </c>
      <c r="N193" s="45" t="s">
        <v>1009</v>
      </c>
    </row>
    <row r="194" spans="1:14" ht="38.25">
      <c r="A194" s="106" t="s">
        <v>1443</v>
      </c>
      <c r="B194" s="107" t="s">
        <v>1474</v>
      </c>
      <c r="C194" s="107" t="s">
        <v>1004</v>
      </c>
      <c r="D194" s="107"/>
      <c r="E194" s="107"/>
      <c r="F194" s="107"/>
      <c r="G194" s="107"/>
      <c r="H194" s="107"/>
      <c r="I194" s="107"/>
      <c r="K194" s="45" t="s">
        <v>1010</v>
      </c>
      <c r="L194" s="45" t="s">
        <v>1011</v>
      </c>
      <c r="M194" s="45" t="s">
        <v>1003</v>
      </c>
      <c r="N194" s="45" t="s">
        <v>1012</v>
      </c>
    </row>
    <row r="195" spans="1:14">
      <c r="A195" s="106" t="s">
        <v>1435</v>
      </c>
      <c r="B195" s="107" t="s">
        <v>1436</v>
      </c>
      <c r="C195" s="107" t="s">
        <v>1004</v>
      </c>
      <c r="D195" s="107"/>
      <c r="E195" s="107"/>
      <c r="F195" s="107"/>
      <c r="G195" s="107"/>
      <c r="H195" s="107"/>
      <c r="I195" s="107"/>
      <c r="K195" s="45" t="s">
        <v>1013</v>
      </c>
      <c r="L195" s="45" t="s">
        <v>1014</v>
      </c>
      <c r="N195" s="45" t="s">
        <v>1015</v>
      </c>
    </row>
    <row r="196" spans="1:14">
      <c r="A196" s="106" t="s">
        <v>1437</v>
      </c>
      <c r="B196" s="107" t="s">
        <v>1444</v>
      </c>
      <c r="C196" s="107" t="s">
        <v>1004</v>
      </c>
      <c r="D196" s="107"/>
      <c r="E196" s="107"/>
      <c r="F196" s="107"/>
      <c r="G196" s="107"/>
      <c r="H196" s="107"/>
      <c r="I196" s="107"/>
      <c r="K196" s="45" t="s">
        <v>1016</v>
      </c>
      <c r="L196" s="45" t="s">
        <v>1017</v>
      </c>
      <c r="N196" s="45" t="s">
        <v>1018</v>
      </c>
    </row>
    <row r="197" spans="1:14" ht="25.5">
      <c r="A197" s="106" t="s">
        <v>1438</v>
      </c>
      <c r="B197" s="107" t="s">
        <v>1768</v>
      </c>
      <c r="C197" s="107" t="s">
        <v>1008</v>
      </c>
      <c r="D197" s="107" t="s">
        <v>1008</v>
      </c>
      <c r="E197" s="107"/>
      <c r="F197" s="107"/>
      <c r="G197" s="107" t="s">
        <v>3072</v>
      </c>
      <c r="H197" s="107"/>
      <c r="I197" s="107"/>
      <c r="N197" s="45" t="s">
        <v>1019</v>
      </c>
    </row>
    <row r="198" spans="1:14">
      <c r="A198" s="106" t="s">
        <v>1439</v>
      </c>
      <c r="B198" s="107" t="s">
        <v>1445</v>
      </c>
      <c r="C198" s="107" t="s">
        <v>1004</v>
      </c>
      <c r="D198" s="107"/>
      <c r="E198" s="107"/>
      <c r="F198" s="107"/>
      <c r="G198" s="107"/>
      <c r="H198" s="107"/>
      <c r="I198" s="107"/>
      <c r="N198" s="45" t="s">
        <v>1020</v>
      </c>
    </row>
    <row r="199" spans="1:14">
      <c r="A199" s="106" t="s">
        <v>1446</v>
      </c>
      <c r="B199" s="107" t="s">
        <v>1769</v>
      </c>
      <c r="C199" s="107" t="s">
        <v>1004</v>
      </c>
      <c r="D199" s="107"/>
      <c r="E199" s="107"/>
      <c r="F199" s="107"/>
      <c r="G199" s="107"/>
      <c r="H199" s="107"/>
      <c r="I199" s="107"/>
      <c r="N199" s="45" t="s">
        <v>1021</v>
      </c>
    </row>
    <row r="200" spans="1:14">
      <c r="A200" s="106" t="s">
        <v>1447</v>
      </c>
      <c r="B200" s="107" t="s">
        <v>1448</v>
      </c>
      <c r="C200" s="107" t="s">
        <v>1008</v>
      </c>
      <c r="D200" s="107" t="s">
        <v>1008</v>
      </c>
      <c r="E200" s="107"/>
      <c r="F200" s="107"/>
      <c r="G200" s="107" t="s">
        <v>3072</v>
      </c>
      <c r="H200" s="107"/>
      <c r="I200" s="107"/>
      <c r="N200" s="45" t="s">
        <v>1022</v>
      </c>
    </row>
    <row r="201" spans="1:14">
      <c r="A201" s="106" t="s">
        <v>1449</v>
      </c>
      <c r="B201" s="107" t="s">
        <v>1749</v>
      </c>
      <c r="C201" s="107" t="s">
        <v>1003</v>
      </c>
      <c r="D201" s="107"/>
      <c r="E201" s="107" t="s">
        <v>3071</v>
      </c>
      <c r="F201" s="107"/>
      <c r="G201" s="107"/>
      <c r="H201" s="107"/>
      <c r="I201" s="107"/>
      <c r="N201" s="45" t="s">
        <v>1023</v>
      </c>
    </row>
    <row r="202" spans="1:14" ht="25.5">
      <c r="A202" s="106" t="s">
        <v>1450</v>
      </c>
      <c r="B202" s="107" t="s">
        <v>1777</v>
      </c>
      <c r="C202" s="107" t="s">
        <v>1004</v>
      </c>
      <c r="D202" s="107"/>
      <c r="E202" s="107"/>
      <c r="F202" s="107"/>
      <c r="G202" s="107"/>
      <c r="H202" s="107"/>
      <c r="I202" s="107"/>
      <c r="N202" s="45" t="s">
        <v>1024</v>
      </c>
    </row>
    <row r="203" spans="1:14">
      <c r="A203" s="106" t="s">
        <v>1451</v>
      </c>
      <c r="B203" s="107" t="s">
        <v>1452</v>
      </c>
      <c r="C203" s="107" t="s">
        <v>1008</v>
      </c>
      <c r="D203" s="107" t="s">
        <v>1086</v>
      </c>
      <c r="E203" s="107"/>
      <c r="F203" s="107"/>
      <c r="G203" s="107" t="s">
        <v>3072</v>
      </c>
      <c r="H203" s="107"/>
      <c r="I203" s="107"/>
      <c r="N203" s="45" t="s">
        <v>1025</v>
      </c>
    </row>
    <row r="204" spans="1:14">
      <c r="A204" s="106" t="s">
        <v>1453</v>
      </c>
      <c r="B204" s="107" t="s">
        <v>1767</v>
      </c>
      <c r="C204" s="107" t="s">
        <v>1008</v>
      </c>
      <c r="D204" s="107" t="s">
        <v>1027</v>
      </c>
      <c r="E204" s="107"/>
      <c r="F204" s="107"/>
      <c r="G204" s="107" t="s">
        <v>3072</v>
      </c>
      <c r="H204" s="107"/>
      <c r="I204" s="107"/>
      <c r="N204" s="45" t="s">
        <v>1026</v>
      </c>
    </row>
    <row r="205" spans="1:14" ht="25.5">
      <c r="A205" s="106" t="s">
        <v>1454</v>
      </c>
      <c r="B205" s="107" t="s">
        <v>1766</v>
      </c>
      <c r="C205" s="107" t="s">
        <v>1008</v>
      </c>
      <c r="D205" s="107" t="s">
        <v>1195</v>
      </c>
      <c r="E205" s="107"/>
      <c r="F205" s="107"/>
      <c r="G205" s="107" t="s">
        <v>3072</v>
      </c>
      <c r="H205" s="107"/>
      <c r="I205" s="107"/>
      <c r="N205" s="45" t="s">
        <v>1027</v>
      </c>
    </row>
    <row r="206" spans="1:14" ht="25.5">
      <c r="A206" s="106" t="s">
        <v>1455</v>
      </c>
      <c r="B206" s="107" t="s">
        <v>1765</v>
      </c>
      <c r="C206" s="107" t="s">
        <v>1008</v>
      </c>
      <c r="D206" s="107" t="s">
        <v>1167</v>
      </c>
      <c r="E206" s="107"/>
      <c r="F206" s="107"/>
      <c r="G206" s="107" t="s">
        <v>3072</v>
      </c>
      <c r="H206" s="107"/>
      <c r="I206" s="107"/>
      <c r="N206" s="45" t="s">
        <v>1028</v>
      </c>
    </row>
    <row r="207" spans="1:14" ht="25.5">
      <c r="A207" s="106" t="s">
        <v>1456</v>
      </c>
      <c r="B207" s="107" t="s">
        <v>1764</v>
      </c>
      <c r="C207" s="107" t="s">
        <v>1008</v>
      </c>
      <c r="D207" s="107" t="s">
        <v>1137</v>
      </c>
      <c r="E207" s="107"/>
      <c r="F207" s="107"/>
      <c r="G207" s="107" t="s">
        <v>3072</v>
      </c>
      <c r="H207" s="107"/>
      <c r="I207" s="107"/>
      <c r="N207" s="45" t="s">
        <v>1029</v>
      </c>
    </row>
    <row r="208" spans="1:14" ht="38.25">
      <c r="A208" s="106" t="s">
        <v>1457</v>
      </c>
      <c r="B208" s="107" t="s">
        <v>1763</v>
      </c>
      <c r="C208" s="107" t="s">
        <v>1008</v>
      </c>
      <c r="D208" s="107" t="s">
        <v>1137</v>
      </c>
      <c r="E208" s="107"/>
      <c r="F208" s="107"/>
      <c r="G208" s="107" t="s">
        <v>3072</v>
      </c>
      <c r="H208" s="107"/>
      <c r="I208" s="107"/>
      <c r="N208" s="45" t="s">
        <v>1030</v>
      </c>
    </row>
    <row r="209" spans="1:14">
      <c r="A209" s="106" t="s">
        <v>1458</v>
      </c>
      <c r="B209" s="107" t="s">
        <v>1459</v>
      </c>
      <c r="C209" s="107" t="s">
        <v>1008</v>
      </c>
      <c r="D209" s="107" t="s">
        <v>1460</v>
      </c>
      <c r="E209" s="107"/>
      <c r="F209" s="107"/>
      <c r="G209" s="107" t="s">
        <v>3072</v>
      </c>
      <c r="H209" s="107"/>
      <c r="I209" s="107"/>
      <c r="N209" s="45" t="s">
        <v>1031</v>
      </c>
    </row>
    <row r="210" spans="1:14" ht="25.5">
      <c r="A210" s="106" t="s">
        <v>1461</v>
      </c>
      <c r="B210" s="107" t="s">
        <v>1762</v>
      </c>
      <c r="C210" s="107" t="s">
        <v>1008</v>
      </c>
      <c r="D210" s="107" t="s">
        <v>1137</v>
      </c>
      <c r="E210" s="107"/>
      <c r="F210" s="107"/>
      <c r="G210" s="107" t="s">
        <v>3072</v>
      </c>
      <c r="H210" s="107"/>
      <c r="I210" s="107"/>
      <c r="N210" s="45" t="s">
        <v>1032</v>
      </c>
    </row>
    <row r="211" spans="1:14" ht="25.5">
      <c r="A211" s="106" t="s">
        <v>1462</v>
      </c>
      <c r="B211" s="107" t="s">
        <v>1761</v>
      </c>
      <c r="C211" s="107" t="s">
        <v>1008</v>
      </c>
      <c r="D211" s="107" t="s">
        <v>1166</v>
      </c>
      <c r="E211" s="107"/>
      <c r="F211" s="107"/>
      <c r="G211" s="107" t="s">
        <v>3072</v>
      </c>
      <c r="H211" s="107"/>
      <c r="I211" s="107"/>
      <c r="N211" s="45" t="s">
        <v>1033</v>
      </c>
    </row>
    <row r="212" spans="1:14" ht="25.5">
      <c r="A212" s="106" t="s">
        <v>1463</v>
      </c>
      <c r="B212" s="107" t="s">
        <v>1760</v>
      </c>
      <c r="C212" s="107" t="s">
        <v>1008</v>
      </c>
      <c r="D212" s="107" t="s">
        <v>1137</v>
      </c>
      <c r="E212" s="107"/>
      <c r="F212" s="107"/>
      <c r="G212" s="107" t="s">
        <v>3072</v>
      </c>
      <c r="H212" s="107"/>
      <c r="I212" s="107"/>
      <c r="N212" s="45" t="s">
        <v>1034</v>
      </c>
    </row>
    <row r="213" spans="1:14" ht="25.5">
      <c r="A213" s="106" t="s">
        <v>1464</v>
      </c>
      <c r="B213" s="107" t="s">
        <v>1759</v>
      </c>
      <c r="C213" s="107" t="s">
        <v>1008</v>
      </c>
      <c r="D213" s="107" t="s">
        <v>1137</v>
      </c>
      <c r="E213" s="107"/>
      <c r="F213" s="107"/>
      <c r="G213" s="107" t="s">
        <v>3072</v>
      </c>
      <c r="H213" s="107"/>
      <c r="I213" s="107"/>
      <c r="N213" s="45" t="s">
        <v>1035</v>
      </c>
    </row>
    <row r="214" spans="1:14" ht="38.25">
      <c r="A214" s="106" t="s">
        <v>1465</v>
      </c>
      <c r="B214" s="107" t="s">
        <v>1758</v>
      </c>
      <c r="C214" s="107" t="s">
        <v>1008</v>
      </c>
      <c r="D214" s="107" t="s">
        <v>1137</v>
      </c>
      <c r="E214" s="107"/>
      <c r="F214" s="107"/>
      <c r="G214" s="107" t="s">
        <v>3072</v>
      </c>
      <c r="H214" s="107"/>
      <c r="I214" s="107"/>
      <c r="N214" s="45" t="s">
        <v>1036</v>
      </c>
    </row>
    <row r="215" spans="1:14" ht="25.5">
      <c r="A215" s="106" t="s">
        <v>921</v>
      </c>
      <c r="B215" s="107" t="s">
        <v>1757</v>
      </c>
      <c r="C215" s="107" t="s">
        <v>1008</v>
      </c>
      <c r="D215" s="107" t="s">
        <v>1114</v>
      </c>
      <c r="E215" s="107"/>
      <c r="F215" s="107"/>
      <c r="G215" s="107" t="s">
        <v>3072</v>
      </c>
      <c r="H215" s="107"/>
      <c r="I215" s="107"/>
      <c r="N215" s="45" t="s">
        <v>1037</v>
      </c>
    </row>
    <row r="216" spans="1:14" ht="38.25">
      <c r="A216" s="106" t="s">
        <v>922</v>
      </c>
      <c r="B216" s="107" t="s">
        <v>1756</v>
      </c>
      <c r="C216" s="107" t="s">
        <v>1008</v>
      </c>
      <c r="D216" s="107" t="s">
        <v>1114</v>
      </c>
      <c r="E216" s="107"/>
      <c r="F216" s="107"/>
      <c r="G216" s="107" t="s">
        <v>3072</v>
      </c>
      <c r="H216" s="107"/>
      <c r="I216" s="107"/>
      <c r="N216" s="45" t="s">
        <v>1801</v>
      </c>
    </row>
    <row r="217" spans="1:14" ht="25.5">
      <c r="A217" s="106" t="s">
        <v>1467</v>
      </c>
      <c r="B217" s="107" t="s">
        <v>1755</v>
      </c>
      <c r="C217" s="107" t="s">
        <v>1004</v>
      </c>
      <c r="D217" s="107"/>
      <c r="E217" s="107"/>
      <c r="F217" s="107"/>
      <c r="G217" s="107"/>
      <c r="H217" s="107"/>
      <c r="I217" s="107"/>
      <c r="N217" s="45" t="s">
        <v>1038</v>
      </c>
    </row>
    <row r="218" spans="1:14" ht="25.5">
      <c r="A218" s="106" t="s">
        <v>1468</v>
      </c>
      <c r="B218" s="107" t="s">
        <v>1754</v>
      </c>
      <c r="C218" s="107" t="s">
        <v>1008</v>
      </c>
      <c r="D218" s="107" t="s">
        <v>1137</v>
      </c>
      <c r="E218" s="107"/>
      <c r="F218" s="107"/>
      <c r="G218" s="107" t="s">
        <v>3072</v>
      </c>
      <c r="H218" s="107"/>
      <c r="I218" s="107"/>
      <c r="N218" s="45" t="s">
        <v>1039</v>
      </c>
    </row>
    <row r="219" spans="1:14" ht="38.25">
      <c r="A219" s="106" t="s">
        <v>1469</v>
      </c>
      <c r="B219" s="107" t="s">
        <v>1753</v>
      </c>
      <c r="C219" s="107" t="s">
        <v>1008</v>
      </c>
      <c r="D219" s="107" t="s">
        <v>1137</v>
      </c>
      <c r="E219" s="107"/>
      <c r="F219" s="107"/>
      <c r="G219" s="107" t="s">
        <v>3072</v>
      </c>
      <c r="H219" s="107"/>
      <c r="I219" s="107"/>
      <c r="N219" s="45" t="s">
        <v>1800</v>
      </c>
    </row>
    <row r="220" spans="1:14" ht="25.5">
      <c r="A220" s="106" t="s">
        <v>923</v>
      </c>
      <c r="B220" s="107" t="s">
        <v>1752</v>
      </c>
      <c r="C220" s="107" t="s">
        <v>1008</v>
      </c>
      <c r="D220" s="107" t="s">
        <v>1042</v>
      </c>
      <c r="E220" s="107"/>
      <c r="F220" s="107"/>
      <c r="G220" s="107" t="s">
        <v>3072</v>
      </c>
      <c r="H220" s="107"/>
      <c r="I220" s="107"/>
      <c r="N220" s="45" t="s">
        <v>1040</v>
      </c>
    </row>
    <row r="221" spans="1:14" ht="25.5">
      <c r="A221" s="106" t="s">
        <v>924</v>
      </c>
      <c r="B221" s="107" t="s">
        <v>1470</v>
      </c>
      <c r="C221" s="107" t="s">
        <v>1004</v>
      </c>
      <c r="D221" s="107"/>
      <c r="E221" s="107"/>
      <c r="F221" s="107"/>
      <c r="G221" s="107"/>
      <c r="H221" s="107"/>
      <c r="I221" s="107"/>
      <c r="N221" s="45" t="s">
        <v>1041</v>
      </c>
    </row>
    <row r="222" spans="1:14">
      <c r="A222" s="106" t="s">
        <v>920</v>
      </c>
      <c r="B222" s="107" t="s">
        <v>1440</v>
      </c>
      <c r="C222" s="107" t="s">
        <v>1004</v>
      </c>
      <c r="D222" s="107"/>
      <c r="E222" s="107"/>
      <c r="F222" s="107"/>
      <c r="G222" s="107"/>
      <c r="H222" s="107"/>
      <c r="I222" s="107"/>
      <c r="N222" s="45" t="s">
        <v>1042</v>
      </c>
    </row>
    <row r="223" spans="1:14" ht="25.5">
      <c r="A223" s="106" t="s">
        <v>1471</v>
      </c>
      <c r="B223" s="107" t="s">
        <v>1472</v>
      </c>
      <c r="C223" s="107" t="s">
        <v>1004</v>
      </c>
      <c r="D223" s="107"/>
      <c r="E223" s="107"/>
      <c r="F223" s="107"/>
      <c r="G223" s="107"/>
      <c r="H223" s="107"/>
      <c r="I223" s="107"/>
      <c r="N223" s="45" t="s">
        <v>1043</v>
      </c>
    </row>
    <row r="224" spans="1:14">
      <c r="A224" s="106" t="s">
        <v>1466</v>
      </c>
      <c r="B224" s="107" t="s">
        <v>1473</v>
      </c>
      <c r="C224" s="107" t="s">
        <v>1004</v>
      </c>
      <c r="D224" s="107"/>
      <c r="E224" s="107"/>
      <c r="F224" s="107"/>
      <c r="G224" s="107"/>
      <c r="H224" s="107"/>
      <c r="I224" s="107"/>
      <c r="N224" s="45" t="s">
        <v>1044</v>
      </c>
    </row>
    <row r="225" spans="1:14">
      <c r="A225" s="106"/>
      <c r="B225" s="107"/>
      <c r="C225" s="107"/>
      <c r="D225" s="107"/>
      <c r="E225" s="107"/>
      <c r="F225" s="107"/>
      <c r="G225" s="107"/>
      <c r="H225" s="107"/>
      <c r="I225" s="107"/>
      <c r="N225" s="45" t="s">
        <v>1799</v>
      </c>
    </row>
    <row r="226" spans="1:14">
      <c r="A226" s="106"/>
      <c r="B226" s="107"/>
      <c r="C226" s="107"/>
      <c r="D226" s="107"/>
      <c r="E226" s="107"/>
      <c r="F226" s="107"/>
      <c r="G226" s="107"/>
      <c r="H226" s="107"/>
      <c r="I226" s="107"/>
      <c r="N226" s="45" t="s">
        <v>1045</v>
      </c>
    </row>
    <row r="227" spans="1:14">
      <c r="A227" s="106"/>
      <c r="B227" s="107"/>
      <c r="C227" s="107"/>
      <c r="D227" s="107"/>
      <c r="E227" s="107"/>
      <c r="F227" s="107"/>
      <c r="G227" s="107"/>
      <c r="H227" s="107"/>
      <c r="I227" s="107"/>
      <c r="N227" s="45" t="s">
        <v>1046</v>
      </c>
    </row>
    <row r="228" spans="1:14">
      <c r="A228" s="106"/>
      <c r="B228" s="107"/>
      <c r="C228" s="107"/>
      <c r="D228" s="107"/>
      <c r="E228" s="107"/>
      <c r="F228" s="107"/>
      <c r="G228" s="107"/>
      <c r="H228" s="107"/>
      <c r="I228" s="107"/>
      <c r="N228" s="45" t="s">
        <v>1047</v>
      </c>
    </row>
    <row r="229" spans="1:14">
      <c r="A229" s="106"/>
      <c r="B229" s="107"/>
      <c r="C229" s="107"/>
      <c r="D229" s="107"/>
      <c r="E229" s="107"/>
      <c r="F229" s="107"/>
      <c r="G229" s="107"/>
      <c r="H229" s="107"/>
      <c r="I229" s="107"/>
      <c r="N229" s="45" t="s">
        <v>1048</v>
      </c>
    </row>
    <row r="230" spans="1:14">
      <c r="A230" s="106"/>
      <c r="B230" s="107"/>
      <c r="C230" s="107"/>
      <c r="D230" s="107"/>
      <c r="E230" s="107"/>
      <c r="F230" s="107"/>
      <c r="G230" s="107"/>
      <c r="H230" s="107"/>
      <c r="I230" s="107"/>
      <c r="N230" s="45" t="s">
        <v>1049</v>
      </c>
    </row>
    <row r="231" spans="1:14">
      <c r="A231" s="106"/>
      <c r="B231" s="107"/>
      <c r="C231" s="107"/>
      <c r="D231" s="107"/>
      <c r="E231" s="107"/>
      <c r="F231" s="107"/>
      <c r="G231" s="107"/>
      <c r="H231" s="107"/>
      <c r="I231" s="107"/>
      <c r="N231" s="45" t="s">
        <v>1050</v>
      </c>
    </row>
    <row r="232" spans="1:14">
      <c r="A232" s="106"/>
      <c r="B232" s="107"/>
      <c r="C232" s="107"/>
      <c r="D232" s="107"/>
      <c r="E232" s="107"/>
      <c r="F232" s="107"/>
      <c r="G232" s="107"/>
      <c r="H232" s="107"/>
      <c r="I232" s="107"/>
      <c r="N232" s="45" t="s">
        <v>1051</v>
      </c>
    </row>
    <row r="233" spans="1:14">
      <c r="A233" s="106"/>
      <c r="B233" s="107"/>
      <c r="C233" s="107"/>
      <c r="D233" s="107"/>
      <c r="E233" s="107"/>
      <c r="F233" s="107"/>
      <c r="G233" s="107"/>
      <c r="H233" s="107"/>
      <c r="I233" s="107"/>
      <c r="N233" s="45" t="s">
        <v>1052</v>
      </c>
    </row>
    <row r="234" spans="1:14">
      <c r="A234" s="106"/>
      <c r="B234" s="107"/>
      <c r="C234" s="107"/>
      <c r="D234" s="107"/>
      <c r="E234" s="107"/>
      <c r="F234" s="107"/>
      <c r="G234" s="107"/>
      <c r="H234" s="107"/>
      <c r="I234" s="107"/>
      <c r="N234" s="45" t="s">
        <v>1053</v>
      </c>
    </row>
    <row r="235" spans="1:14">
      <c r="A235" s="106"/>
      <c r="B235" s="107"/>
      <c r="C235" s="107"/>
      <c r="D235" s="107"/>
      <c r="E235" s="107"/>
      <c r="F235" s="107"/>
      <c r="G235" s="107"/>
      <c r="H235" s="107"/>
      <c r="I235" s="107"/>
      <c r="N235" s="45" t="s">
        <v>1054</v>
      </c>
    </row>
    <row r="236" spans="1:14">
      <c r="A236" s="106"/>
      <c r="B236" s="107"/>
      <c r="C236" s="107"/>
      <c r="D236" s="107"/>
      <c r="E236" s="107"/>
      <c r="F236" s="107"/>
      <c r="G236" s="107"/>
      <c r="H236" s="107"/>
      <c r="I236" s="107"/>
      <c r="N236" s="45" t="s">
        <v>1055</v>
      </c>
    </row>
    <row r="237" spans="1:14">
      <c r="A237" s="106"/>
      <c r="B237" s="107"/>
      <c r="C237" s="107"/>
      <c r="D237" s="107"/>
      <c r="E237" s="107"/>
      <c r="F237" s="107"/>
      <c r="G237" s="107"/>
      <c r="H237" s="107"/>
      <c r="I237" s="107"/>
      <c r="N237" s="45" t="s">
        <v>1056</v>
      </c>
    </row>
    <row r="238" spans="1:14">
      <c r="A238" s="106"/>
      <c r="B238" s="107"/>
      <c r="C238" s="107"/>
      <c r="D238" s="107"/>
      <c r="E238" s="107"/>
      <c r="F238" s="107"/>
      <c r="G238" s="107"/>
      <c r="H238" s="107"/>
      <c r="I238" s="107"/>
      <c r="N238" s="45" t="s">
        <v>1057</v>
      </c>
    </row>
    <row r="239" spans="1:14">
      <c r="A239" s="106"/>
      <c r="B239" s="107"/>
      <c r="C239" s="107"/>
      <c r="D239" s="107"/>
      <c r="E239" s="107"/>
      <c r="F239" s="107"/>
      <c r="G239" s="107"/>
      <c r="H239" s="107"/>
      <c r="I239" s="107"/>
      <c r="N239" s="45" t="s">
        <v>1058</v>
      </c>
    </row>
    <row r="240" spans="1:14">
      <c r="A240" s="106"/>
      <c r="B240" s="107"/>
      <c r="C240" s="107"/>
      <c r="D240" s="107"/>
      <c r="E240" s="107"/>
      <c r="F240" s="107"/>
      <c r="G240" s="107"/>
      <c r="H240" s="107"/>
      <c r="I240" s="107"/>
      <c r="N240" s="45" t="s">
        <v>1059</v>
      </c>
    </row>
    <row r="241" spans="1:14">
      <c r="A241" s="106"/>
      <c r="B241" s="107"/>
      <c r="C241" s="107"/>
      <c r="D241" s="107"/>
      <c r="E241" s="107"/>
      <c r="F241" s="107"/>
      <c r="G241" s="107"/>
      <c r="H241" s="107"/>
      <c r="I241" s="107"/>
      <c r="N241" s="45" t="s">
        <v>1060</v>
      </c>
    </row>
    <row r="242" spans="1:14">
      <c r="A242" s="106"/>
      <c r="B242" s="107"/>
      <c r="C242" s="107"/>
      <c r="D242" s="107"/>
      <c r="E242" s="107"/>
      <c r="F242" s="107"/>
      <c r="G242" s="107"/>
      <c r="H242" s="107"/>
      <c r="I242" s="107"/>
      <c r="N242" s="45" t="s">
        <v>1061</v>
      </c>
    </row>
    <row r="243" spans="1:14">
      <c r="A243" s="106"/>
      <c r="B243" s="107"/>
      <c r="C243" s="107"/>
      <c r="D243" s="107"/>
      <c r="E243" s="107"/>
      <c r="F243" s="107"/>
      <c r="G243" s="107"/>
      <c r="H243" s="107"/>
      <c r="I243" s="107"/>
      <c r="N243" s="45" t="s">
        <v>1062</v>
      </c>
    </row>
    <row r="244" spans="1:14">
      <c r="A244" s="106"/>
      <c r="B244" s="107"/>
      <c r="C244" s="107"/>
      <c r="D244" s="107"/>
      <c r="E244" s="107"/>
      <c r="F244" s="107"/>
      <c r="G244" s="107"/>
      <c r="H244" s="107"/>
      <c r="I244" s="107"/>
      <c r="N244" s="45" t="s">
        <v>1063</v>
      </c>
    </row>
    <row r="245" spans="1:14">
      <c r="A245" s="106"/>
      <c r="B245" s="107"/>
      <c r="C245" s="107"/>
      <c r="D245" s="107"/>
      <c r="E245" s="107"/>
      <c r="F245" s="107"/>
      <c r="G245" s="107"/>
      <c r="H245" s="107"/>
      <c r="I245" s="107"/>
      <c r="N245" s="45" t="s">
        <v>1064</v>
      </c>
    </row>
    <row r="246" spans="1:14">
      <c r="A246" s="106"/>
      <c r="B246" s="107"/>
      <c r="C246" s="107"/>
      <c r="D246" s="107"/>
      <c r="E246" s="107"/>
      <c r="F246" s="107"/>
      <c r="G246" s="107"/>
      <c r="H246" s="107"/>
      <c r="I246" s="107"/>
      <c r="N246" s="45" t="s">
        <v>1065</v>
      </c>
    </row>
    <row r="247" spans="1:14">
      <c r="A247" s="106"/>
      <c r="B247" s="107"/>
      <c r="C247" s="107"/>
      <c r="D247" s="107"/>
      <c r="E247" s="107"/>
      <c r="F247" s="107"/>
      <c r="G247" s="107"/>
      <c r="H247" s="107"/>
      <c r="I247" s="107"/>
      <c r="N247" s="45" t="s">
        <v>1066</v>
      </c>
    </row>
    <row r="248" spans="1:14">
      <c r="A248" s="106"/>
      <c r="B248" s="107"/>
      <c r="C248" s="107"/>
      <c r="D248" s="107"/>
      <c r="E248" s="107"/>
      <c r="F248" s="107"/>
      <c r="G248" s="107"/>
      <c r="H248" s="107"/>
      <c r="I248" s="107"/>
      <c r="N248" s="45" t="s">
        <v>1067</v>
      </c>
    </row>
    <row r="249" spans="1:14">
      <c r="A249" s="106"/>
      <c r="B249" s="107"/>
      <c r="C249" s="107"/>
      <c r="D249" s="107"/>
      <c r="E249" s="107"/>
      <c r="F249" s="107"/>
      <c r="G249" s="107"/>
      <c r="H249" s="107"/>
      <c r="I249" s="107"/>
      <c r="N249" s="45" t="s">
        <v>1068</v>
      </c>
    </row>
    <row r="250" spans="1:14">
      <c r="A250" s="106"/>
      <c r="B250" s="107"/>
      <c r="C250" s="107"/>
      <c r="D250" s="107"/>
      <c r="E250" s="107"/>
      <c r="F250" s="107"/>
      <c r="G250" s="107"/>
      <c r="H250" s="107"/>
      <c r="I250" s="107"/>
      <c r="N250" s="45" t="s">
        <v>1069</v>
      </c>
    </row>
    <row r="251" spans="1:14">
      <c r="A251" s="106"/>
      <c r="B251" s="107"/>
      <c r="C251" s="107"/>
      <c r="D251" s="107"/>
      <c r="E251" s="107"/>
      <c r="F251" s="107"/>
      <c r="G251" s="107"/>
      <c r="H251" s="107"/>
      <c r="I251" s="107"/>
      <c r="N251" s="45" t="s">
        <v>1070</v>
      </c>
    </row>
    <row r="252" spans="1:14">
      <c r="A252" s="106"/>
      <c r="B252" s="107"/>
      <c r="C252" s="107"/>
      <c r="D252" s="107"/>
      <c r="E252" s="107"/>
      <c r="F252" s="107"/>
      <c r="G252" s="107"/>
      <c r="H252" s="107"/>
      <c r="I252" s="107"/>
      <c r="N252" s="45" t="s">
        <v>1071</v>
      </c>
    </row>
    <row r="253" spans="1:14">
      <c r="A253" s="106"/>
      <c r="B253" s="107"/>
      <c r="C253" s="107"/>
      <c r="D253" s="107"/>
      <c r="E253" s="107"/>
      <c r="F253" s="107"/>
      <c r="G253" s="107"/>
      <c r="H253" s="107"/>
      <c r="I253" s="107"/>
      <c r="N253" s="45" t="s">
        <v>1072</v>
      </c>
    </row>
    <row r="254" spans="1:14">
      <c r="A254" s="106"/>
      <c r="B254" s="107"/>
      <c r="C254" s="107"/>
      <c r="D254" s="107"/>
      <c r="E254" s="107"/>
      <c r="F254" s="107"/>
      <c r="G254" s="107"/>
      <c r="H254" s="107"/>
      <c r="I254" s="107"/>
      <c r="N254" s="45" t="s">
        <v>1073</v>
      </c>
    </row>
    <row r="255" spans="1:14">
      <c r="A255" s="106"/>
      <c r="B255" s="107"/>
      <c r="C255" s="107"/>
      <c r="D255" s="107"/>
      <c r="E255" s="107"/>
      <c r="F255" s="107"/>
      <c r="G255" s="107"/>
      <c r="H255" s="107"/>
      <c r="I255" s="107"/>
      <c r="N255" s="45" t="s">
        <v>1074</v>
      </c>
    </row>
    <row r="256" spans="1:14">
      <c r="A256" s="106"/>
      <c r="B256" s="107"/>
      <c r="C256" s="107"/>
      <c r="D256" s="107"/>
      <c r="E256" s="107"/>
      <c r="F256" s="107"/>
      <c r="G256" s="107"/>
      <c r="H256" s="107"/>
      <c r="I256" s="107"/>
      <c r="N256" s="45" t="s">
        <v>1075</v>
      </c>
    </row>
    <row r="257" spans="1:14">
      <c r="A257" s="106"/>
      <c r="B257" s="107"/>
      <c r="C257" s="107"/>
      <c r="D257" s="107"/>
      <c r="E257" s="107"/>
      <c r="F257" s="107"/>
      <c r="G257" s="107"/>
      <c r="H257" s="107"/>
      <c r="I257" s="107"/>
      <c r="N257" s="45" t="s">
        <v>1076</v>
      </c>
    </row>
    <row r="258" spans="1:14">
      <c r="A258" s="106"/>
      <c r="B258" s="107"/>
      <c r="C258" s="107"/>
      <c r="D258" s="107"/>
      <c r="E258" s="107"/>
      <c r="F258" s="107"/>
      <c r="G258" s="107"/>
      <c r="H258" s="107"/>
      <c r="I258" s="107"/>
      <c r="N258" s="45" t="s">
        <v>1077</v>
      </c>
    </row>
    <row r="259" spans="1:14">
      <c r="A259" s="106"/>
      <c r="B259" s="107"/>
      <c r="C259" s="107"/>
      <c r="D259" s="107"/>
      <c r="E259" s="107"/>
      <c r="F259" s="107"/>
      <c r="G259" s="107"/>
      <c r="H259" s="107"/>
      <c r="I259" s="107"/>
      <c r="N259" s="45" t="s">
        <v>1078</v>
      </c>
    </row>
    <row r="260" spans="1:14">
      <c r="A260" s="106"/>
      <c r="B260" s="107"/>
      <c r="C260" s="107"/>
      <c r="D260" s="107"/>
      <c r="E260" s="107"/>
      <c r="F260" s="107"/>
      <c r="G260" s="107"/>
      <c r="H260" s="107"/>
      <c r="I260" s="107"/>
      <c r="N260" s="45" t="s">
        <v>1079</v>
      </c>
    </row>
    <row r="261" spans="1:14">
      <c r="A261" s="106"/>
      <c r="B261" s="107"/>
      <c r="C261" s="107"/>
      <c r="D261" s="107"/>
      <c r="E261" s="107"/>
      <c r="F261" s="107"/>
      <c r="G261" s="107"/>
      <c r="H261" s="107"/>
      <c r="I261" s="107"/>
      <c r="N261" s="45" t="s">
        <v>1080</v>
      </c>
    </row>
    <row r="262" spans="1:14">
      <c r="A262" s="106"/>
      <c r="B262" s="107"/>
      <c r="C262" s="107"/>
      <c r="D262" s="107"/>
      <c r="E262" s="107"/>
      <c r="F262" s="107"/>
      <c r="G262" s="107"/>
      <c r="H262" s="107"/>
      <c r="I262" s="107"/>
      <c r="N262" s="45" t="s">
        <v>1798</v>
      </c>
    </row>
    <row r="263" spans="1:14">
      <c r="A263" s="106"/>
      <c r="B263" s="107"/>
      <c r="C263" s="107"/>
      <c r="D263" s="107"/>
      <c r="E263" s="107"/>
      <c r="F263" s="107"/>
      <c r="G263" s="107"/>
      <c r="H263" s="107"/>
      <c r="I263" s="107"/>
      <c r="N263" s="45" t="s">
        <v>1081</v>
      </c>
    </row>
    <row r="264" spans="1:14">
      <c r="A264" s="106"/>
      <c r="B264" s="107"/>
      <c r="C264" s="107"/>
      <c r="D264" s="107"/>
      <c r="E264" s="107"/>
      <c r="F264" s="107"/>
      <c r="G264" s="107"/>
      <c r="H264" s="107"/>
      <c r="I264" s="107"/>
      <c r="N264" s="45" t="s">
        <v>1082</v>
      </c>
    </row>
    <row r="265" spans="1:14">
      <c r="A265" s="106"/>
      <c r="B265" s="107"/>
      <c r="C265" s="107"/>
      <c r="D265" s="107"/>
      <c r="E265" s="107"/>
      <c r="F265" s="107"/>
      <c r="G265" s="107"/>
      <c r="H265" s="107"/>
      <c r="I265" s="107"/>
      <c r="N265" s="45" t="s">
        <v>1083</v>
      </c>
    </row>
    <row r="266" spans="1:14">
      <c r="A266" s="106"/>
      <c r="B266" s="107"/>
      <c r="C266" s="107"/>
      <c r="D266" s="107"/>
      <c r="E266" s="107"/>
      <c r="F266" s="107"/>
      <c r="G266" s="107"/>
      <c r="H266" s="107"/>
      <c r="I266" s="107"/>
      <c r="N266" s="45" t="s">
        <v>1084</v>
      </c>
    </row>
    <row r="267" spans="1:14">
      <c r="A267" s="106"/>
      <c r="B267" s="107"/>
      <c r="C267" s="107"/>
      <c r="D267" s="107"/>
      <c r="E267" s="107"/>
      <c r="F267" s="107"/>
      <c r="G267" s="107"/>
      <c r="H267" s="107"/>
      <c r="I267" s="107"/>
      <c r="N267" s="45" t="s">
        <v>1085</v>
      </c>
    </row>
    <row r="268" spans="1:14">
      <c r="A268" s="106"/>
      <c r="B268" s="107"/>
      <c r="C268" s="107"/>
      <c r="D268" s="107"/>
      <c r="E268" s="107"/>
      <c r="F268" s="107"/>
      <c r="G268" s="107"/>
      <c r="H268" s="107"/>
      <c r="I268" s="107"/>
      <c r="N268" s="45" t="s">
        <v>1086</v>
      </c>
    </row>
    <row r="269" spans="1:14">
      <c r="A269" s="106"/>
      <c r="B269" s="107"/>
      <c r="C269" s="107"/>
      <c r="D269" s="107"/>
      <c r="E269" s="107"/>
      <c r="F269" s="107"/>
      <c r="G269" s="107"/>
      <c r="H269" s="107"/>
      <c r="I269" s="107"/>
      <c r="N269" s="45" t="s">
        <v>1087</v>
      </c>
    </row>
    <row r="270" spans="1:14">
      <c r="A270" s="106"/>
      <c r="B270" s="107"/>
      <c r="C270" s="107"/>
      <c r="D270" s="107"/>
      <c r="E270" s="107"/>
      <c r="F270" s="107"/>
      <c r="G270" s="107"/>
      <c r="H270" s="107"/>
      <c r="I270" s="107"/>
      <c r="N270" s="45" t="s">
        <v>1088</v>
      </c>
    </row>
    <row r="271" spans="1:14">
      <c r="A271" s="106"/>
      <c r="B271" s="107"/>
      <c r="C271" s="107"/>
      <c r="D271" s="107"/>
      <c r="E271" s="107"/>
      <c r="F271" s="107"/>
      <c r="G271" s="107"/>
      <c r="H271" s="107"/>
      <c r="I271" s="107"/>
      <c r="N271" s="45" t="s">
        <v>1797</v>
      </c>
    </row>
    <row r="272" spans="1:14">
      <c r="A272" s="106"/>
      <c r="B272" s="107"/>
      <c r="C272" s="107"/>
      <c r="D272" s="107"/>
      <c r="E272" s="107"/>
      <c r="F272" s="107"/>
      <c r="G272" s="107"/>
      <c r="H272" s="107"/>
      <c r="I272" s="107"/>
      <c r="L272" s="108"/>
      <c r="M272" s="108"/>
      <c r="N272" s="45" t="s">
        <v>1089</v>
      </c>
    </row>
    <row r="273" spans="1:14">
      <c r="A273" s="106"/>
      <c r="B273" s="107"/>
      <c r="C273" s="107"/>
      <c r="D273" s="107"/>
      <c r="E273" s="107"/>
      <c r="F273" s="107"/>
      <c r="G273" s="107"/>
      <c r="H273" s="107"/>
      <c r="I273" s="107"/>
      <c r="N273" s="45" t="s">
        <v>1090</v>
      </c>
    </row>
    <row r="274" spans="1:14">
      <c r="A274" s="106"/>
      <c r="B274" s="107"/>
      <c r="C274" s="107"/>
      <c r="D274" s="107"/>
      <c r="E274" s="107"/>
      <c r="F274" s="107"/>
      <c r="G274" s="107"/>
      <c r="H274" s="107"/>
      <c r="I274" s="107"/>
      <c r="N274" s="45" t="s">
        <v>1796</v>
      </c>
    </row>
    <row r="275" spans="1:14">
      <c r="A275" s="106"/>
      <c r="B275" s="107"/>
      <c r="C275" s="107"/>
      <c r="D275" s="107"/>
      <c r="E275" s="107"/>
      <c r="F275" s="107"/>
      <c r="G275" s="107"/>
      <c r="H275" s="107"/>
      <c r="I275" s="107"/>
      <c r="N275" s="45" t="s">
        <v>1091</v>
      </c>
    </row>
    <row r="276" spans="1:14">
      <c r="A276" s="106"/>
      <c r="B276" s="107"/>
      <c r="C276" s="107"/>
      <c r="D276" s="107"/>
      <c r="E276" s="107"/>
      <c r="F276" s="107"/>
      <c r="G276" s="107"/>
      <c r="H276" s="107"/>
      <c r="I276" s="107"/>
      <c r="N276" s="45" t="s">
        <v>1092</v>
      </c>
    </row>
    <row r="277" spans="1:14">
      <c r="A277" s="106"/>
      <c r="B277" s="107"/>
      <c r="C277" s="107"/>
      <c r="D277" s="107"/>
      <c r="E277" s="107"/>
      <c r="F277" s="107"/>
      <c r="G277" s="107"/>
      <c r="H277" s="107"/>
      <c r="I277" s="107"/>
      <c r="N277" s="45" t="s">
        <v>1093</v>
      </c>
    </row>
    <row r="278" spans="1:14">
      <c r="A278" s="106"/>
      <c r="B278" s="107"/>
      <c r="C278" s="107"/>
      <c r="D278" s="107"/>
      <c r="E278" s="107"/>
      <c r="F278" s="107"/>
      <c r="G278" s="107"/>
      <c r="H278" s="107"/>
      <c r="I278" s="107"/>
      <c r="N278" s="45" t="s">
        <v>1094</v>
      </c>
    </row>
    <row r="279" spans="1:14">
      <c r="A279" s="106"/>
      <c r="B279" s="107"/>
      <c r="C279" s="107"/>
      <c r="D279" s="107"/>
      <c r="E279" s="107"/>
      <c r="F279" s="107"/>
      <c r="G279" s="107"/>
      <c r="H279" s="107"/>
      <c r="I279" s="107"/>
      <c r="N279" s="45" t="s">
        <v>1095</v>
      </c>
    </row>
    <row r="280" spans="1:14">
      <c r="A280" s="106"/>
      <c r="B280" s="107"/>
      <c r="C280" s="107"/>
      <c r="D280" s="107"/>
      <c r="E280" s="107"/>
      <c r="F280" s="107"/>
      <c r="G280" s="107"/>
      <c r="H280" s="107"/>
      <c r="I280" s="107"/>
      <c r="N280" s="45" t="s">
        <v>1096</v>
      </c>
    </row>
    <row r="281" spans="1:14">
      <c r="A281" s="106"/>
      <c r="B281" s="107"/>
      <c r="C281" s="107"/>
      <c r="D281" s="107"/>
      <c r="E281" s="107"/>
      <c r="F281" s="107"/>
      <c r="G281" s="107"/>
      <c r="H281" s="107"/>
      <c r="I281" s="107"/>
      <c r="N281" s="45" t="s">
        <v>1795</v>
      </c>
    </row>
    <row r="282" spans="1:14">
      <c r="A282" s="106"/>
      <c r="B282" s="107"/>
      <c r="C282" s="107"/>
      <c r="D282" s="107"/>
      <c r="E282" s="107"/>
      <c r="F282" s="107"/>
      <c r="G282" s="107"/>
      <c r="H282" s="107"/>
      <c r="I282" s="107"/>
      <c r="N282" s="45" t="s">
        <v>1097</v>
      </c>
    </row>
    <row r="283" spans="1:14">
      <c r="A283" s="106"/>
      <c r="B283" s="107"/>
      <c r="C283" s="107"/>
      <c r="D283" s="107"/>
      <c r="E283" s="107"/>
      <c r="F283" s="107"/>
      <c r="G283" s="107"/>
      <c r="H283" s="107"/>
      <c r="I283" s="107"/>
      <c r="N283" s="45" t="s">
        <v>1098</v>
      </c>
    </row>
    <row r="284" spans="1:14">
      <c r="A284" s="106"/>
      <c r="B284" s="107"/>
      <c r="C284" s="107"/>
      <c r="D284" s="107"/>
      <c r="E284" s="107"/>
      <c r="F284" s="107"/>
      <c r="G284" s="107"/>
      <c r="H284" s="107"/>
      <c r="I284" s="107"/>
      <c r="N284" s="45" t="s">
        <v>1099</v>
      </c>
    </row>
    <row r="285" spans="1:14">
      <c r="A285" s="106"/>
      <c r="B285" s="107"/>
      <c r="C285" s="107"/>
      <c r="D285" s="107"/>
      <c r="E285" s="107"/>
      <c r="F285" s="107"/>
      <c r="G285" s="107"/>
      <c r="H285" s="107"/>
      <c r="I285" s="107"/>
      <c r="N285" s="45" t="s">
        <v>1100</v>
      </c>
    </row>
    <row r="286" spans="1:14">
      <c r="A286" s="106"/>
      <c r="B286" s="107"/>
      <c r="C286" s="107"/>
      <c r="D286" s="107"/>
      <c r="E286" s="107"/>
      <c r="F286" s="107"/>
      <c r="G286" s="107"/>
      <c r="H286" s="107"/>
      <c r="I286" s="107"/>
      <c r="N286" s="45" t="s">
        <v>1101</v>
      </c>
    </row>
    <row r="287" spans="1:14">
      <c r="A287" s="106"/>
      <c r="B287" s="107"/>
      <c r="C287" s="107"/>
      <c r="D287" s="107"/>
      <c r="E287" s="107"/>
      <c r="F287" s="107"/>
      <c r="G287" s="107"/>
      <c r="H287" s="107"/>
      <c r="I287" s="107"/>
      <c r="N287" s="45" t="s">
        <v>1102</v>
      </c>
    </row>
    <row r="288" spans="1:14">
      <c r="A288" s="106"/>
      <c r="B288" s="107"/>
      <c r="C288" s="107"/>
      <c r="D288" s="107"/>
      <c r="E288" s="107"/>
      <c r="F288" s="107"/>
      <c r="G288" s="107"/>
      <c r="H288" s="107"/>
      <c r="I288" s="107"/>
      <c r="N288" s="45" t="s">
        <v>1103</v>
      </c>
    </row>
    <row r="289" spans="1:14">
      <c r="A289" s="106"/>
      <c r="B289" s="107"/>
      <c r="C289" s="107"/>
      <c r="D289" s="107"/>
      <c r="E289" s="107"/>
      <c r="F289" s="107"/>
      <c r="G289" s="107"/>
      <c r="H289" s="107"/>
      <c r="I289" s="107"/>
      <c r="N289" s="45" t="s">
        <v>1794</v>
      </c>
    </row>
    <row r="290" spans="1:14">
      <c r="A290" s="106"/>
      <c r="B290" s="107"/>
      <c r="C290" s="107"/>
      <c r="D290" s="107"/>
      <c r="E290" s="107"/>
      <c r="F290" s="107"/>
      <c r="G290" s="107"/>
      <c r="H290" s="107"/>
      <c r="I290" s="107"/>
      <c r="N290" s="45" t="s">
        <v>1104</v>
      </c>
    </row>
    <row r="291" spans="1:14">
      <c r="A291" s="106"/>
      <c r="B291" s="107"/>
      <c r="C291" s="107"/>
      <c r="D291" s="107"/>
      <c r="E291" s="107"/>
      <c r="F291" s="107"/>
      <c r="G291" s="107"/>
      <c r="H291" s="107"/>
      <c r="I291" s="107"/>
      <c r="N291" s="45" t="s">
        <v>1105</v>
      </c>
    </row>
    <row r="292" spans="1:14">
      <c r="A292" s="106"/>
      <c r="B292" s="107"/>
      <c r="C292" s="107"/>
      <c r="D292" s="107"/>
      <c r="E292" s="107"/>
      <c r="F292" s="107"/>
      <c r="G292" s="107"/>
      <c r="H292" s="107"/>
      <c r="I292" s="107"/>
      <c r="N292" s="45" t="s">
        <v>1106</v>
      </c>
    </row>
    <row r="293" spans="1:14">
      <c r="A293" s="106"/>
      <c r="B293" s="107"/>
      <c r="C293" s="107"/>
      <c r="D293" s="107"/>
      <c r="E293" s="107"/>
      <c r="F293" s="107"/>
      <c r="G293" s="107"/>
      <c r="H293" s="107"/>
      <c r="I293" s="107"/>
      <c r="N293" s="45" t="s">
        <v>1793</v>
      </c>
    </row>
    <row r="294" spans="1:14">
      <c r="A294" s="106"/>
      <c r="B294" s="107"/>
      <c r="C294" s="107"/>
      <c r="D294" s="107"/>
      <c r="E294" s="107"/>
      <c r="F294" s="107"/>
      <c r="G294" s="107"/>
      <c r="H294" s="107"/>
      <c r="I294" s="107"/>
      <c r="N294" s="45" t="s">
        <v>1107</v>
      </c>
    </row>
    <row r="295" spans="1:14">
      <c r="A295" s="106"/>
      <c r="B295" s="107"/>
      <c r="C295" s="107"/>
      <c r="D295" s="107"/>
      <c r="E295" s="107"/>
      <c r="F295" s="107"/>
      <c r="G295" s="107"/>
      <c r="H295" s="107"/>
      <c r="I295" s="107"/>
      <c r="N295" s="45" t="s">
        <v>1108</v>
      </c>
    </row>
    <row r="296" spans="1:14">
      <c r="A296" s="106"/>
      <c r="B296" s="107"/>
      <c r="C296" s="107"/>
      <c r="D296" s="107"/>
      <c r="E296" s="107"/>
      <c r="F296" s="107"/>
      <c r="G296" s="107"/>
      <c r="H296" s="107"/>
      <c r="I296" s="107"/>
      <c r="N296" s="45" t="s">
        <v>1109</v>
      </c>
    </row>
    <row r="297" spans="1:14">
      <c r="A297" s="106"/>
      <c r="B297" s="107"/>
      <c r="C297" s="107"/>
      <c r="D297" s="107"/>
      <c r="E297" s="107"/>
      <c r="F297" s="107"/>
      <c r="G297" s="107"/>
      <c r="H297" s="107"/>
      <c r="I297" s="107"/>
      <c r="N297" s="45" t="s">
        <v>1110</v>
      </c>
    </row>
    <row r="298" spans="1:14">
      <c r="A298" s="106"/>
      <c r="B298" s="107"/>
      <c r="C298" s="107"/>
      <c r="D298" s="107"/>
      <c r="E298" s="107"/>
      <c r="F298" s="107"/>
      <c r="G298" s="107"/>
      <c r="H298" s="107"/>
      <c r="I298" s="107"/>
      <c r="N298" s="45" t="s">
        <v>1111</v>
      </c>
    </row>
    <row r="299" spans="1:14">
      <c r="A299" s="106"/>
      <c r="B299" s="107"/>
      <c r="C299" s="107"/>
      <c r="D299" s="107"/>
      <c r="E299" s="107"/>
      <c r="F299" s="107"/>
      <c r="G299" s="107"/>
      <c r="H299" s="107"/>
      <c r="I299" s="107"/>
      <c r="N299" s="45" t="s">
        <v>1112</v>
      </c>
    </row>
    <row r="300" spans="1:14">
      <c r="A300" s="106"/>
      <c r="B300" s="107"/>
      <c r="C300" s="107"/>
      <c r="D300" s="107"/>
      <c r="E300" s="107"/>
      <c r="F300" s="107"/>
      <c r="G300" s="107"/>
      <c r="H300" s="107"/>
      <c r="I300" s="107"/>
      <c r="N300" s="45" t="s">
        <v>1113</v>
      </c>
    </row>
    <row r="301" spans="1:14">
      <c r="A301" s="106"/>
      <c r="B301" s="107"/>
      <c r="C301" s="107"/>
      <c r="D301" s="107"/>
      <c r="E301" s="107"/>
      <c r="F301" s="107"/>
      <c r="G301" s="107"/>
      <c r="H301" s="107"/>
      <c r="I301" s="107"/>
      <c r="N301" s="45" t="s">
        <v>1114</v>
      </c>
    </row>
    <row r="302" spans="1:14">
      <c r="A302" s="106"/>
      <c r="B302" s="107"/>
      <c r="C302" s="107"/>
      <c r="D302" s="107"/>
      <c r="E302" s="107"/>
      <c r="F302" s="107"/>
      <c r="G302" s="107"/>
      <c r="H302" s="107"/>
      <c r="I302" s="107"/>
      <c r="N302" s="45" t="s">
        <v>1115</v>
      </c>
    </row>
    <row r="303" spans="1:14">
      <c r="A303" s="106"/>
      <c r="B303" s="107"/>
      <c r="C303" s="107"/>
      <c r="D303" s="107"/>
      <c r="E303" s="107"/>
      <c r="F303" s="107"/>
      <c r="G303" s="107"/>
      <c r="H303" s="107"/>
      <c r="I303" s="107"/>
      <c r="N303" s="45" t="s">
        <v>1116</v>
      </c>
    </row>
    <row r="304" spans="1:14">
      <c r="A304" s="106"/>
      <c r="B304" s="107"/>
      <c r="C304" s="107"/>
      <c r="D304" s="107"/>
      <c r="E304" s="107"/>
      <c r="F304" s="107"/>
      <c r="G304" s="107"/>
      <c r="H304" s="107"/>
      <c r="I304" s="107"/>
      <c r="N304" s="45" t="s">
        <v>1117</v>
      </c>
    </row>
    <row r="305" spans="1:14">
      <c r="A305" s="106"/>
      <c r="B305" s="107"/>
      <c r="C305" s="107"/>
      <c r="D305" s="107"/>
      <c r="E305" s="107"/>
      <c r="F305" s="107"/>
      <c r="G305" s="107"/>
      <c r="H305" s="107"/>
      <c r="I305" s="107"/>
      <c r="N305" s="45" t="s">
        <v>1118</v>
      </c>
    </row>
    <row r="306" spans="1:14">
      <c r="A306" s="106"/>
      <c r="B306" s="107"/>
      <c r="C306" s="107"/>
      <c r="D306" s="107"/>
      <c r="E306" s="107"/>
      <c r="F306" s="107"/>
      <c r="G306" s="107"/>
      <c r="H306" s="107"/>
      <c r="I306" s="107"/>
      <c r="N306" s="45" t="s">
        <v>1119</v>
      </c>
    </row>
    <row r="307" spans="1:14">
      <c r="A307" s="106"/>
      <c r="B307" s="107"/>
      <c r="C307" s="107"/>
      <c r="D307" s="107"/>
      <c r="E307" s="107"/>
      <c r="F307" s="107"/>
      <c r="G307" s="107"/>
      <c r="H307" s="107"/>
      <c r="I307" s="107"/>
      <c r="N307" s="45" t="s">
        <v>1120</v>
      </c>
    </row>
    <row r="308" spans="1:14">
      <c r="A308" s="106"/>
      <c r="B308" s="107"/>
      <c r="C308" s="107"/>
      <c r="D308" s="107"/>
      <c r="E308" s="107"/>
      <c r="F308" s="107"/>
      <c r="G308" s="107"/>
      <c r="H308" s="107"/>
      <c r="I308" s="107"/>
      <c r="N308" s="45" t="s">
        <v>1121</v>
      </c>
    </row>
    <row r="309" spans="1:14">
      <c r="A309" s="106"/>
      <c r="B309" s="107"/>
      <c r="C309" s="107"/>
      <c r="D309" s="107"/>
      <c r="E309" s="107"/>
      <c r="F309" s="107"/>
      <c r="G309" s="107"/>
      <c r="H309" s="107"/>
      <c r="I309" s="107"/>
      <c r="N309" s="45" t="s">
        <v>1122</v>
      </c>
    </row>
    <row r="310" spans="1:14">
      <c r="A310" s="106"/>
      <c r="B310" s="107"/>
      <c r="C310" s="107"/>
      <c r="D310" s="107"/>
      <c r="E310" s="107"/>
      <c r="F310" s="107"/>
      <c r="G310" s="107"/>
      <c r="H310" s="107"/>
      <c r="I310" s="107"/>
      <c r="N310" s="45" t="s">
        <v>1123</v>
      </c>
    </row>
    <row r="311" spans="1:14">
      <c r="A311" s="106"/>
      <c r="B311" s="107"/>
      <c r="C311" s="107"/>
      <c r="D311" s="107"/>
      <c r="E311" s="107"/>
      <c r="F311" s="107"/>
      <c r="G311" s="107"/>
      <c r="H311" s="107"/>
      <c r="I311" s="107"/>
      <c r="N311" s="45" t="s">
        <v>1124</v>
      </c>
    </row>
    <row r="312" spans="1:14">
      <c r="A312" s="106"/>
      <c r="B312" s="107"/>
      <c r="C312" s="107"/>
      <c r="D312" s="107"/>
      <c r="E312" s="107"/>
      <c r="F312" s="107"/>
      <c r="G312" s="107"/>
      <c r="H312" s="107"/>
      <c r="I312" s="107"/>
      <c r="N312" s="45" t="s">
        <v>1125</v>
      </c>
    </row>
    <row r="313" spans="1:14">
      <c r="A313" s="106"/>
      <c r="B313" s="107"/>
      <c r="C313" s="107"/>
      <c r="D313" s="107"/>
      <c r="E313" s="107"/>
      <c r="F313" s="107"/>
      <c r="G313" s="107"/>
      <c r="H313" s="107"/>
      <c r="I313" s="107"/>
      <c r="N313" s="45" t="s">
        <v>1126</v>
      </c>
    </row>
    <row r="314" spans="1:14">
      <c r="A314" s="106"/>
      <c r="B314" s="107"/>
      <c r="C314" s="107"/>
      <c r="D314" s="107"/>
      <c r="E314" s="107"/>
      <c r="F314" s="107"/>
      <c r="G314" s="107"/>
      <c r="H314" s="107"/>
      <c r="I314" s="107"/>
      <c r="N314" s="45" t="s">
        <v>1126</v>
      </c>
    </row>
    <row r="315" spans="1:14">
      <c r="A315" s="106"/>
      <c r="B315" s="107"/>
      <c r="C315" s="107"/>
      <c r="D315" s="107"/>
      <c r="E315" s="107"/>
      <c r="F315" s="107"/>
      <c r="G315" s="107"/>
      <c r="H315" s="107"/>
      <c r="I315" s="107"/>
      <c r="N315" s="45" t="s">
        <v>1127</v>
      </c>
    </row>
    <row r="316" spans="1:14">
      <c r="A316" s="106"/>
      <c r="B316" s="107"/>
      <c r="C316" s="107"/>
      <c r="D316" s="107"/>
      <c r="E316" s="107"/>
      <c r="F316" s="107"/>
      <c r="G316" s="107"/>
      <c r="H316" s="107"/>
      <c r="I316" s="107"/>
      <c r="N316" s="45" t="s">
        <v>1128</v>
      </c>
    </row>
    <row r="317" spans="1:14">
      <c r="A317" s="106"/>
      <c r="B317" s="107"/>
      <c r="C317" s="107"/>
      <c r="D317" s="107"/>
      <c r="E317" s="107"/>
      <c r="F317" s="107"/>
      <c r="G317" s="107"/>
      <c r="H317" s="107"/>
      <c r="I317" s="107"/>
      <c r="N317" s="45" t="s">
        <v>1129</v>
      </c>
    </row>
    <row r="318" spans="1:14">
      <c r="A318" s="106"/>
      <c r="B318" s="107"/>
      <c r="C318" s="107"/>
      <c r="D318" s="107"/>
      <c r="E318" s="107"/>
      <c r="F318" s="107"/>
      <c r="G318" s="107"/>
      <c r="H318" s="107"/>
      <c r="I318" s="107"/>
      <c r="N318" s="45" t="s">
        <v>1130</v>
      </c>
    </row>
    <row r="319" spans="1:14">
      <c r="A319" s="106"/>
      <c r="B319" s="107"/>
      <c r="C319" s="107"/>
      <c r="D319" s="107"/>
      <c r="E319" s="107"/>
      <c r="F319" s="107"/>
      <c r="G319" s="107"/>
      <c r="H319" s="107"/>
      <c r="I319" s="107"/>
      <c r="N319" s="45" t="s">
        <v>1131</v>
      </c>
    </row>
    <row r="320" spans="1:14">
      <c r="A320" s="106"/>
      <c r="B320" s="107"/>
      <c r="C320" s="107"/>
      <c r="D320" s="107"/>
      <c r="E320" s="107"/>
      <c r="F320" s="107"/>
      <c r="G320" s="107"/>
      <c r="H320" s="107"/>
      <c r="I320" s="107"/>
      <c r="N320" s="45" t="s">
        <v>1132</v>
      </c>
    </row>
    <row r="321" spans="1:14">
      <c r="A321" s="106"/>
      <c r="B321" s="107"/>
      <c r="C321" s="107"/>
      <c r="D321" s="107"/>
      <c r="E321" s="107"/>
      <c r="F321" s="107"/>
      <c r="G321" s="107"/>
      <c r="H321" s="107"/>
      <c r="I321" s="107"/>
      <c r="N321" s="45" t="s">
        <v>1133</v>
      </c>
    </row>
    <row r="322" spans="1:14">
      <c r="A322" s="106"/>
      <c r="B322" s="107"/>
      <c r="C322" s="107"/>
      <c r="D322" s="107"/>
      <c r="E322" s="107"/>
      <c r="F322" s="107"/>
      <c r="G322" s="107"/>
      <c r="H322" s="107"/>
      <c r="I322" s="107"/>
      <c r="N322" s="45" t="s">
        <v>1792</v>
      </c>
    </row>
    <row r="323" spans="1:14">
      <c r="A323" s="106"/>
      <c r="B323" s="107"/>
      <c r="C323" s="107"/>
      <c r="D323" s="107"/>
      <c r="E323" s="107"/>
      <c r="F323" s="107"/>
      <c r="G323" s="107"/>
      <c r="H323" s="107"/>
      <c r="I323" s="107"/>
      <c r="N323" s="45" t="s">
        <v>1134</v>
      </c>
    </row>
    <row r="324" spans="1:14">
      <c r="A324" s="106"/>
      <c r="B324" s="107"/>
      <c r="C324" s="107"/>
      <c r="D324" s="107"/>
      <c r="E324" s="107"/>
      <c r="F324" s="107"/>
      <c r="G324" s="107"/>
      <c r="H324" s="107"/>
      <c r="I324" s="107"/>
      <c r="N324" s="45" t="s">
        <v>1135</v>
      </c>
    </row>
    <row r="325" spans="1:14">
      <c r="A325" s="106"/>
      <c r="B325" s="107"/>
      <c r="C325" s="107"/>
      <c r="D325" s="107"/>
      <c r="E325" s="107"/>
      <c r="F325" s="107"/>
      <c r="G325" s="107"/>
      <c r="H325" s="107"/>
      <c r="I325" s="107"/>
      <c r="N325" s="45" t="s">
        <v>1136</v>
      </c>
    </row>
    <row r="326" spans="1:14">
      <c r="A326" s="106"/>
      <c r="B326" s="107"/>
      <c r="C326" s="107"/>
      <c r="D326" s="107"/>
      <c r="E326" s="107"/>
      <c r="F326" s="107"/>
      <c r="G326" s="107"/>
      <c r="H326" s="107"/>
      <c r="I326" s="107"/>
      <c r="N326" s="45" t="s">
        <v>1138</v>
      </c>
    </row>
    <row r="327" spans="1:14">
      <c r="A327" s="106"/>
      <c r="B327" s="107"/>
      <c r="C327" s="107"/>
      <c r="D327" s="107"/>
      <c r="E327" s="107"/>
      <c r="F327" s="107"/>
      <c r="G327" s="107"/>
      <c r="H327" s="107"/>
      <c r="I327" s="107"/>
      <c r="N327" s="45" t="s">
        <v>1137</v>
      </c>
    </row>
    <row r="328" spans="1:14">
      <c r="A328" s="106"/>
      <c r="B328" s="107"/>
      <c r="C328" s="107"/>
      <c r="D328" s="107"/>
      <c r="E328" s="107"/>
      <c r="F328" s="107"/>
      <c r="G328" s="107"/>
      <c r="H328" s="107"/>
      <c r="I328" s="107"/>
      <c r="N328" s="45" t="s">
        <v>1139</v>
      </c>
    </row>
    <row r="329" spans="1:14">
      <c r="A329" s="106"/>
      <c r="B329" s="107"/>
      <c r="C329" s="107"/>
      <c r="D329" s="107"/>
      <c r="E329" s="107"/>
      <c r="F329" s="107"/>
      <c r="G329" s="107"/>
      <c r="H329" s="107"/>
      <c r="I329" s="107"/>
      <c r="N329" s="45" t="s">
        <v>1140</v>
      </c>
    </row>
    <row r="330" spans="1:14">
      <c r="A330" s="106"/>
      <c r="B330" s="107"/>
      <c r="C330" s="107"/>
      <c r="D330" s="107"/>
      <c r="E330" s="107"/>
      <c r="F330" s="107"/>
      <c r="G330" s="107"/>
      <c r="H330" s="107"/>
      <c r="I330" s="107"/>
      <c r="N330" s="45" t="s">
        <v>1141</v>
      </c>
    </row>
    <row r="331" spans="1:14">
      <c r="A331" s="106"/>
      <c r="B331" s="107"/>
      <c r="C331" s="107"/>
      <c r="D331" s="107"/>
      <c r="E331" s="107"/>
      <c r="F331" s="107"/>
      <c r="G331" s="107"/>
      <c r="H331" s="107"/>
      <c r="I331" s="107"/>
      <c r="N331" s="45" t="s">
        <v>1142</v>
      </c>
    </row>
    <row r="332" spans="1:14">
      <c r="A332" s="106"/>
      <c r="B332" s="107"/>
      <c r="C332" s="107"/>
      <c r="D332" s="107"/>
      <c r="E332" s="107"/>
      <c r="F332" s="107"/>
      <c r="G332" s="107"/>
      <c r="H332" s="107"/>
      <c r="I332" s="107"/>
      <c r="N332" s="45" t="s">
        <v>1143</v>
      </c>
    </row>
    <row r="333" spans="1:14">
      <c r="A333" s="106"/>
      <c r="B333" s="107"/>
      <c r="C333" s="107"/>
      <c r="D333" s="107"/>
      <c r="E333" s="107"/>
      <c r="F333" s="107"/>
      <c r="G333" s="107"/>
      <c r="H333" s="107"/>
      <c r="I333" s="107"/>
      <c r="N333" s="45" t="s">
        <v>1144</v>
      </c>
    </row>
    <row r="334" spans="1:14">
      <c r="A334" s="106"/>
      <c r="B334" s="107"/>
      <c r="C334" s="107"/>
      <c r="D334" s="107"/>
      <c r="E334" s="107"/>
      <c r="F334" s="107"/>
      <c r="G334" s="107"/>
      <c r="H334" s="107"/>
      <c r="I334" s="107"/>
      <c r="N334" s="45" t="s">
        <v>1145</v>
      </c>
    </row>
    <row r="335" spans="1:14">
      <c r="A335" s="106"/>
      <c r="B335" s="107"/>
      <c r="C335" s="107"/>
      <c r="D335" s="107"/>
      <c r="E335" s="107"/>
      <c r="F335" s="107"/>
      <c r="G335" s="107"/>
      <c r="H335" s="107"/>
      <c r="I335" s="107"/>
      <c r="N335" s="45" t="s">
        <v>1146</v>
      </c>
    </row>
    <row r="336" spans="1:14">
      <c r="A336" s="106"/>
      <c r="B336" s="107"/>
      <c r="C336" s="107"/>
      <c r="D336" s="107"/>
      <c r="E336" s="107"/>
      <c r="F336" s="107"/>
      <c r="G336" s="107"/>
      <c r="H336" s="107"/>
      <c r="I336" s="107"/>
      <c r="N336" s="45" t="s">
        <v>1147</v>
      </c>
    </row>
    <row r="337" spans="1:14">
      <c r="A337" s="106"/>
      <c r="B337" s="107"/>
      <c r="C337" s="107"/>
      <c r="D337" s="107"/>
      <c r="E337" s="107"/>
      <c r="F337" s="107"/>
      <c r="G337" s="107"/>
      <c r="H337" s="107"/>
      <c r="I337" s="107"/>
      <c r="N337" s="45" t="s">
        <v>1148</v>
      </c>
    </row>
    <row r="338" spans="1:14">
      <c r="A338" s="106"/>
      <c r="B338" s="107"/>
      <c r="C338" s="107"/>
      <c r="D338" s="107"/>
      <c r="E338" s="107"/>
      <c r="F338" s="107"/>
      <c r="G338" s="107"/>
      <c r="H338" s="107"/>
      <c r="I338" s="107"/>
      <c r="N338" s="45" t="s">
        <v>1149</v>
      </c>
    </row>
    <row r="339" spans="1:14">
      <c r="A339" s="106"/>
      <c r="B339" s="107"/>
      <c r="C339" s="107"/>
      <c r="D339" s="107"/>
      <c r="E339" s="107"/>
      <c r="F339" s="107"/>
      <c r="G339" s="107"/>
      <c r="H339" s="107"/>
      <c r="I339" s="107"/>
      <c r="N339" s="45" t="s">
        <v>1150</v>
      </c>
    </row>
    <row r="340" spans="1:14">
      <c r="A340" s="106"/>
      <c r="B340" s="107"/>
      <c r="C340" s="107"/>
      <c r="D340" s="107"/>
      <c r="E340" s="107"/>
      <c r="F340" s="107"/>
      <c r="G340" s="107"/>
      <c r="H340" s="107"/>
      <c r="I340" s="107"/>
      <c r="N340" s="45" t="s">
        <v>1151</v>
      </c>
    </row>
    <row r="341" spans="1:14">
      <c r="A341" s="106"/>
      <c r="B341" s="107"/>
      <c r="C341" s="107"/>
      <c r="D341" s="107"/>
      <c r="E341" s="107"/>
      <c r="F341" s="107"/>
      <c r="G341" s="107"/>
      <c r="H341" s="107"/>
      <c r="I341" s="107"/>
      <c r="N341" s="45" t="s">
        <v>1152</v>
      </c>
    </row>
    <row r="342" spans="1:14">
      <c r="A342" s="106"/>
      <c r="B342" s="107"/>
      <c r="C342" s="107"/>
      <c r="D342" s="107"/>
      <c r="E342" s="107"/>
      <c r="F342" s="107"/>
      <c r="G342" s="107"/>
      <c r="H342" s="107"/>
      <c r="I342" s="107"/>
      <c r="N342" s="45" t="s">
        <v>1153</v>
      </c>
    </row>
    <row r="343" spans="1:14">
      <c r="A343" s="106"/>
      <c r="B343" s="107"/>
      <c r="C343" s="107"/>
      <c r="D343" s="107"/>
      <c r="E343" s="107"/>
      <c r="F343" s="107"/>
      <c r="G343" s="107"/>
      <c r="H343" s="107"/>
      <c r="I343" s="107"/>
      <c r="N343" s="45" t="s">
        <v>1154</v>
      </c>
    </row>
    <row r="344" spans="1:14">
      <c r="A344" s="106"/>
      <c r="B344" s="107"/>
      <c r="C344" s="107"/>
      <c r="D344" s="107"/>
      <c r="E344" s="107"/>
      <c r="F344" s="107"/>
      <c r="G344" s="107"/>
      <c r="H344" s="107"/>
      <c r="I344" s="107"/>
      <c r="N344" s="45" t="s">
        <v>1155</v>
      </c>
    </row>
    <row r="345" spans="1:14">
      <c r="A345" s="106"/>
      <c r="B345" s="107"/>
      <c r="C345" s="107"/>
      <c r="D345" s="107"/>
      <c r="E345" s="107"/>
      <c r="F345" s="107"/>
      <c r="G345" s="107"/>
      <c r="H345" s="107"/>
      <c r="I345" s="107"/>
      <c r="N345" s="45" t="s">
        <v>1156</v>
      </c>
    </row>
    <row r="346" spans="1:14">
      <c r="A346" s="106"/>
      <c r="B346" s="107"/>
      <c r="C346" s="107"/>
      <c r="D346" s="107"/>
      <c r="E346" s="107"/>
      <c r="F346" s="107"/>
      <c r="G346" s="107"/>
      <c r="H346" s="107"/>
      <c r="I346" s="107"/>
      <c r="N346" s="45" t="s">
        <v>1157</v>
      </c>
    </row>
    <row r="347" spans="1:14">
      <c r="A347" s="106"/>
      <c r="B347" s="107"/>
      <c r="C347" s="107"/>
      <c r="D347" s="107"/>
      <c r="E347" s="107"/>
      <c r="F347" s="107"/>
      <c r="G347" s="107"/>
      <c r="H347" s="107"/>
      <c r="I347" s="107"/>
      <c r="N347" s="45" t="s">
        <v>1158</v>
      </c>
    </row>
    <row r="348" spans="1:14">
      <c r="A348" s="106"/>
      <c r="B348" s="107"/>
      <c r="C348" s="107"/>
      <c r="D348" s="107"/>
      <c r="E348" s="107"/>
      <c r="F348" s="107"/>
      <c r="G348" s="107"/>
      <c r="H348" s="107"/>
      <c r="I348" s="107"/>
      <c r="N348" s="45" t="s">
        <v>1159</v>
      </c>
    </row>
    <row r="349" spans="1:14">
      <c r="A349" s="106"/>
      <c r="B349" s="107"/>
      <c r="C349" s="107"/>
      <c r="D349" s="107"/>
      <c r="E349" s="107"/>
      <c r="F349" s="107"/>
      <c r="G349" s="107"/>
      <c r="H349" s="107"/>
      <c r="I349" s="107"/>
      <c r="N349" s="45" t="s">
        <v>1160</v>
      </c>
    </row>
    <row r="350" spans="1:14">
      <c r="A350" s="106"/>
      <c r="B350" s="107"/>
      <c r="C350" s="107"/>
      <c r="D350" s="107"/>
      <c r="E350" s="107"/>
      <c r="F350" s="107"/>
      <c r="G350" s="107"/>
      <c r="H350" s="107"/>
      <c r="I350" s="107"/>
      <c r="N350" s="45" t="s">
        <v>1161</v>
      </c>
    </row>
    <row r="351" spans="1:14">
      <c r="A351" s="106"/>
      <c r="B351" s="107"/>
      <c r="C351" s="107"/>
      <c r="D351" s="107"/>
      <c r="E351" s="107"/>
      <c r="F351" s="107"/>
      <c r="G351" s="107"/>
      <c r="H351" s="107"/>
      <c r="I351" s="107"/>
      <c r="N351" s="45" t="s">
        <v>1162</v>
      </c>
    </row>
    <row r="352" spans="1:14">
      <c r="A352" s="106"/>
      <c r="B352" s="107"/>
      <c r="C352" s="107"/>
      <c r="D352" s="107"/>
      <c r="E352" s="107"/>
      <c r="F352" s="107"/>
      <c r="G352" s="107"/>
      <c r="H352" s="107"/>
      <c r="I352" s="107"/>
      <c r="N352" s="45" t="s">
        <v>1163</v>
      </c>
    </row>
    <row r="353" spans="1:14">
      <c r="A353" s="106"/>
      <c r="B353" s="107"/>
      <c r="C353" s="107"/>
      <c r="D353" s="107"/>
      <c r="E353" s="107"/>
      <c r="F353" s="107"/>
      <c r="G353" s="107"/>
      <c r="H353" s="107"/>
      <c r="I353" s="107"/>
      <c r="N353" s="45" t="s">
        <v>1791</v>
      </c>
    </row>
    <row r="354" spans="1:14">
      <c r="A354" s="106"/>
      <c r="B354" s="107"/>
      <c r="C354" s="107"/>
      <c r="D354" s="107"/>
      <c r="E354" s="107"/>
      <c r="F354" s="107"/>
      <c r="G354" s="107"/>
      <c r="H354" s="107"/>
      <c r="I354" s="107"/>
      <c r="N354" s="45" t="s">
        <v>1164</v>
      </c>
    </row>
    <row r="355" spans="1:14">
      <c r="A355" s="106"/>
      <c r="B355" s="107"/>
      <c r="C355" s="107"/>
      <c r="D355" s="107"/>
      <c r="E355" s="107"/>
      <c r="F355" s="107"/>
      <c r="G355" s="107"/>
      <c r="H355" s="107"/>
      <c r="I355" s="107"/>
      <c r="N355" s="45" t="s">
        <v>1790</v>
      </c>
    </row>
    <row r="356" spans="1:14">
      <c r="A356" s="106"/>
      <c r="B356" s="107"/>
      <c r="C356" s="107"/>
      <c r="D356" s="107"/>
      <c r="E356" s="107"/>
      <c r="F356" s="107"/>
      <c r="G356" s="107"/>
      <c r="H356" s="107"/>
      <c r="I356" s="107"/>
      <c r="N356" s="45" t="s">
        <v>1165</v>
      </c>
    </row>
    <row r="357" spans="1:14">
      <c r="A357" s="106"/>
      <c r="B357" s="107"/>
      <c r="C357" s="107"/>
      <c r="D357" s="107"/>
      <c r="E357" s="107"/>
      <c r="F357" s="107"/>
      <c r="G357" s="107"/>
      <c r="H357" s="107"/>
      <c r="I357" s="107"/>
      <c r="N357" s="45" t="s">
        <v>1166</v>
      </c>
    </row>
    <row r="358" spans="1:14">
      <c r="A358" s="106"/>
      <c r="B358" s="107"/>
      <c r="C358" s="107"/>
      <c r="D358" s="107"/>
      <c r="E358" s="107"/>
      <c r="F358" s="107"/>
      <c r="G358" s="107"/>
      <c r="H358" s="107"/>
      <c r="I358" s="107"/>
      <c r="N358" s="45" t="s">
        <v>1167</v>
      </c>
    </row>
    <row r="359" spans="1:14">
      <c r="A359" s="106"/>
      <c r="B359" s="107"/>
      <c r="C359" s="107"/>
      <c r="D359" s="107"/>
      <c r="E359" s="107"/>
      <c r="F359" s="107"/>
      <c r="G359" s="107"/>
      <c r="H359" s="107"/>
      <c r="I359" s="107"/>
      <c r="N359" s="45" t="s">
        <v>1168</v>
      </c>
    </row>
    <row r="360" spans="1:14">
      <c r="A360" s="106"/>
      <c r="B360" s="107"/>
      <c r="C360" s="107"/>
      <c r="D360" s="107"/>
      <c r="E360" s="107"/>
      <c r="F360" s="107"/>
      <c r="G360" s="107"/>
      <c r="H360" s="107"/>
      <c r="I360" s="107"/>
      <c r="N360" s="45" t="s">
        <v>1169</v>
      </c>
    </row>
    <row r="361" spans="1:14">
      <c r="A361" s="106"/>
      <c r="B361" s="107"/>
      <c r="C361" s="107"/>
      <c r="D361" s="107"/>
      <c r="E361" s="107"/>
      <c r="F361" s="107"/>
      <c r="G361" s="107"/>
      <c r="H361" s="107"/>
      <c r="I361" s="107"/>
      <c r="N361" s="45" t="s">
        <v>1170</v>
      </c>
    </row>
    <row r="362" spans="1:14">
      <c r="A362" s="106"/>
      <c r="B362" s="107"/>
      <c r="C362" s="107"/>
      <c r="D362" s="107"/>
      <c r="E362" s="107"/>
      <c r="F362" s="107"/>
      <c r="G362" s="107"/>
      <c r="H362" s="107"/>
      <c r="I362" s="107"/>
      <c r="N362" s="45" t="s">
        <v>1171</v>
      </c>
    </row>
    <row r="363" spans="1:14">
      <c r="A363" s="106"/>
      <c r="B363" s="107"/>
      <c r="C363" s="107"/>
      <c r="D363" s="107"/>
      <c r="E363" s="107"/>
      <c r="F363" s="107"/>
      <c r="G363" s="107"/>
      <c r="H363" s="107"/>
      <c r="I363" s="107"/>
      <c r="N363" s="45" t="s">
        <v>1172</v>
      </c>
    </row>
    <row r="364" spans="1:14">
      <c r="A364" s="106"/>
      <c r="B364" s="107"/>
      <c r="C364" s="107"/>
      <c r="D364" s="107"/>
      <c r="E364" s="107"/>
      <c r="F364" s="107"/>
      <c r="G364" s="107"/>
      <c r="H364" s="107"/>
      <c r="I364" s="107"/>
      <c r="N364" s="45" t="s">
        <v>1173</v>
      </c>
    </row>
    <row r="365" spans="1:14">
      <c r="A365" s="106"/>
      <c r="B365" s="107"/>
      <c r="C365" s="107"/>
      <c r="D365" s="107"/>
      <c r="E365" s="107"/>
      <c r="F365" s="107"/>
      <c r="G365" s="107"/>
      <c r="H365" s="107"/>
      <c r="I365" s="107"/>
      <c r="N365" s="45" t="s">
        <v>1174</v>
      </c>
    </row>
    <row r="366" spans="1:14">
      <c r="A366" s="106"/>
      <c r="B366" s="107"/>
      <c r="C366" s="107"/>
      <c r="D366" s="107"/>
      <c r="E366" s="107"/>
      <c r="F366" s="107"/>
      <c r="G366" s="107"/>
      <c r="H366" s="107"/>
      <c r="I366" s="107"/>
      <c r="N366" s="45" t="s">
        <v>1175</v>
      </c>
    </row>
    <row r="367" spans="1:14">
      <c r="A367" s="106"/>
      <c r="B367" s="107"/>
      <c r="C367" s="107"/>
      <c r="D367" s="107"/>
      <c r="E367" s="107"/>
      <c r="F367" s="107"/>
      <c r="G367" s="107"/>
      <c r="H367" s="107"/>
      <c r="I367" s="107"/>
      <c r="N367" s="45" t="s">
        <v>1176</v>
      </c>
    </row>
    <row r="368" spans="1:14">
      <c r="A368" s="106"/>
      <c r="B368" s="107"/>
      <c r="C368" s="107"/>
      <c r="D368" s="107"/>
      <c r="E368" s="107"/>
      <c r="F368" s="107"/>
      <c r="G368" s="107"/>
      <c r="H368" s="107"/>
      <c r="I368" s="107"/>
      <c r="N368" s="45" t="s">
        <v>1177</v>
      </c>
    </row>
    <row r="369" spans="1:14">
      <c r="A369" s="106"/>
      <c r="B369" s="107"/>
      <c r="C369" s="107"/>
      <c r="D369" s="107"/>
      <c r="E369" s="107"/>
      <c r="F369" s="107"/>
      <c r="G369" s="107"/>
      <c r="H369" s="107"/>
      <c r="I369" s="107"/>
      <c r="N369" s="45" t="s">
        <v>1178</v>
      </c>
    </row>
    <row r="370" spans="1:14">
      <c r="A370" s="106"/>
      <c r="B370" s="107"/>
      <c r="C370" s="107"/>
      <c r="D370" s="107"/>
      <c r="E370" s="107"/>
      <c r="F370" s="107"/>
      <c r="G370" s="107"/>
      <c r="H370" s="107"/>
      <c r="I370" s="107"/>
      <c r="N370" s="45" t="s">
        <v>1179</v>
      </c>
    </row>
    <row r="371" spans="1:14">
      <c r="A371" s="106"/>
      <c r="B371" s="107"/>
      <c r="C371" s="107"/>
      <c r="D371" s="107"/>
      <c r="E371" s="107"/>
      <c r="F371" s="107"/>
      <c r="G371" s="107"/>
      <c r="H371" s="107"/>
      <c r="I371" s="107"/>
      <c r="N371" s="45" t="s">
        <v>1180</v>
      </c>
    </row>
    <row r="372" spans="1:14">
      <c r="A372" s="106"/>
      <c r="B372" s="107"/>
      <c r="C372" s="107"/>
      <c r="D372" s="107"/>
      <c r="E372" s="107"/>
      <c r="F372" s="107"/>
      <c r="G372" s="107"/>
      <c r="H372" s="107"/>
      <c r="I372" s="107"/>
      <c r="N372" s="45" t="s">
        <v>1181</v>
      </c>
    </row>
    <row r="373" spans="1:14">
      <c r="A373" s="106"/>
      <c r="B373" s="107"/>
      <c r="C373" s="107"/>
      <c r="D373" s="107"/>
      <c r="E373" s="107"/>
      <c r="F373" s="107"/>
      <c r="G373" s="107"/>
      <c r="H373" s="107"/>
      <c r="I373" s="107"/>
      <c r="N373" s="45" t="s">
        <v>1182</v>
      </c>
    </row>
    <row r="374" spans="1:14">
      <c r="A374" s="106"/>
      <c r="B374" s="107"/>
      <c r="C374" s="107"/>
      <c r="D374" s="107"/>
      <c r="E374" s="107"/>
      <c r="F374" s="107"/>
      <c r="G374" s="107"/>
      <c r="N374" s="45" t="s">
        <v>1183</v>
      </c>
    </row>
    <row r="375" spans="1:14">
      <c r="A375" s="106"/>
      <c r="B375" s="107"/>
      <c r="C375" s="107"/>
      <c r="D375" s="107"/>
      <c r="E375" s="107"/>
      <c r="F375" s="107"/>
      <c r="G375" s="107"/>
      <c r="N375" s="45" t="s">
        <v>1184</v>
      </c>
    </row>
    <row r="376" spans="1:14">
      <c r="A376" s="106"/>
      <c r="B376" s="107"/>
      <c r="C376" s="107"/>
      <c r="D376" s="107"/>
      <c r="E376" s="107"/>
      <c r="F376" s="107"/>
      <c r="G376" s="107"/>
      <c r="N376" s="45" t="s">
        <v>1185</v>
      </c>
    </row>
    <row r="377" spans="1:14">
      <c r="A377" s="106"/>
      <c r="B377" s="107"/>
      <c r="C377" s="107"/>
      <c r="D377" s="107"/>
      <c r="E377" s="107"/>
      <c r="F377" s="107"/>
      <c r="G377" s="107"/>
      <c r="N377" s="45" t="s">
        <v>1789</v>
      </c>
    </row>
    <row r="378" spans="1:14">
      <c r="A378" s="106"/>
      <c r="B378" s="107"/>
      <c r="C378" s="107"/>
      <c r="D378" s="107"/>
      <c r="E378" s="107"/>
      <c r="F378" s="107"/>
      <c r="G378" s="107"/>
      <c r="N378" s="45" t="s">
        <v>1788</v>
      </c>
    </row>
    <row r="379" spans="1:14">
      <c r="A379" s="106"/>
      <c r="B379" s="107"/>
      <c r="C379" s="107"/>
      <c r="D379" s="107"/>
      <c r="E379" s="107"/>
      <c r="F379" s="107"/>
      <c r="G379" s="107"/>
      <c r="N379" s="45" t="s">
        <v>1787</v>
      </c>
    </row>
    <row r="380" spans="1:14">
      <c r="A380" s="106"/>
      <c r="B380" s="107"/>
      <c r="C380" s="107"/>
      <c r="D380" s="107"/>
      <c r="E380" s="107"/>
      <c r="F380" s="107"/>
      <c r="G380" s="107"/>
      <c r="N380" s="45" t="s">
        <v>1786</v>
      </c>
    </row>
    <row r="381" spans="1:14">
      <c r="A381" s="106"/>
      <c r="B381" s="107"/>
      <c r="C381" s="107"/>
      <c r="D381" s="107"/>
      <c r="E381" s="107"/>
      <c r="F381" s="107"/>
      <c r="G381" s="107"/>
      <c r="N381" s="45" t="s">
        <v>1785</v>
      </c>
    </row>
    <row r="382" spans="1:14">
      <c r="A382" s="106"/>
      <c r="B382" s="107"/>
      <c r="C382" s="107"/>
      <c r="D382" s="107"/>
      <c r="E382" s="107"/>
      <c r="F382" s="107"/>
      <c r="G382" s="107"/>
      <c r="N382" s="45" t="s">
        <v>1784</v>
      </c>
    </row>
    <row r="383" spans="1:14">
      <c r="A383" s="106"/>
      <c r="B383" s="107"/>
      <c r="C383" s="107"/>
      <c r="D383" s="107"/>
      <c r="E383" s="107"/>
      <c r="F383" s="107"/>
      <c r="G383" s="107"/>
      <c r="N383" s="45" t="s">
        <v>1008</v>
      </c>
    </row>
    <row r="384" spans="1:14">
      <c r="A384" s="106"/>
      <c r="B384" s="107"/>
      <c r="C384" s="107"/>
      <c r="D384" s="107"/>
      <c r="E384" s="107"/>
      <c r="F384" s="107"/>
      <c r="G384" s="107"/>
      <c r="N384" s="45" t="s">
        <v>1186</v>
      </c>
    </row>
    <row r="385" spans="1:14">
      <c r="A385" s="106"/>
      <c r="B385" s="107"/>
      <c r="C385" s="107"/>
      <c r="D385" s="107"/>
      <c r="E385" s="107"/>
      <c r="F385" s="107"/>
      <c r="G385" s="107"/>
      <c r="N385" s="45" t="s">
        <v>1187</v>
      </c>
    </row>
    <row r="386" spans="1:14">
      <c r="A386" s="106"/>
      <c r="B386" s="107"/>
      <c r="C386" s="107"/>
      <c r="D386" s="107"/>
      <c r="E386" s="107"/>
      <c r="F386" s="107"/>
      <c r="G386" s="107"/>
      <c r="N386" s="45" t="s">
        <v>1188</v>
      </c>
    </row>
    <row r="387" spans="1:14">
      <c r="A387" s="106"/>
      <c r="B387" s="107"/>
      <c r="C387" s="107"/>
      <c r="D387" s="107"/>
      <c r="E387" s="107"/>
      <c r="F387" s="107"/>
      <c r="G387" s="107"/>
      <c r="N387" s="45" t="s">
        <v>1189</v>
      </c>
    </row>
    <row r="388" spans="1:14">
      <c r="A388" s="106"/>
      <c r="B388" s="107"/>
      <c r="C388" s="107"/>
      <c r="D388" s="107"/>
      <c r="E388" s="107"/>
      <c r="F388" s="107"/>
      <c r="G388" s="107"/>
      <c r="N388" s="45" t="s">
        <v>1190</v>
      </c>
    </row>
    <row r="389" spans="1:14">
      <c r="A389" s="106"/>
      <c r="B389" s="107"/>
      <c r="C389" s="107"/>
      <c r="D389" s="107"/>
      <c r="E389" s="107"/>
      <c r="F389" s="107"/>
      <c r="G389" s="107"/>
      <c r="N389" s="45" t="s">
        <v>1191</v>
      </c>
    </row>
    <row r="390" spans="1:14">
      <c r="A390" s="106"/>
      <c r="B390" s="107"/>
      <c r="C390" s="107"/>
      <c r="D390" s="107"/>
      <c r="E390" s="107"/>
      <c r="F390" s="107"/>
      <c r="G390" s="107"/>
      <c r="N390" s="45" t="s">
        <v>1192</v>
      </c>
    </row>
    <row r="391" spans="1:14">
      <c r="A391" s="106"/>
      <c r="B391" s="107"/>
      <c r="C391" s="107"/>
      <c r="D391" s="107"/>
      <c r="E391" s="107"/>
      <c r="F391" s="107"/>
      <c r="G391" s="107"/>
      <c r="N391" s="45" t="s">
        <v>1193</v>
      </c>
    </row>
    <row r="392" spans="1:14">
      <c r="A392" s="106"/>
      <c r="B392" s="107"/>
      <c r="C392" s="107"/>
      <c r="D392" s="107"/>
      <c r="E392" s="107"/>
      <c r="F392" s="107"/>
      <c r="G392" s="107"/>
      <c r="N392" s="45" t="s">
        <v>1194</v>
      </c>
    </row>
    <row r="393" spans="1:14">
      <c r="A393" s="106"/>
      <c r="B393" s="107"/>
      <c r="C393" s="107"/>
      <c r="D393" s="107"/>
      <c r="E393" s="107"/>
      <c r="F393" s="107"/>
      <c r="G393" s="107"/>
      <c r="N393" s="45" t="s">
        <v>1195</v>
      </c>
    </row>
    <row r="394" spans="1:14">
      <c r="A394" s="106"/>
      <c r="B394" s="107"/>
      <c r="C394" s="107"/>
      <c r="D394" s="107"/>
      <c r="E394" s="107"/>
      <c r="F394" s="107"/>
      <c r="G394" s="107"/>
      <c r="N394" s="45" t="s">
        <v>1196</v>
      </c>
    </row>
    <row r="395" spans="1:14">
      <c r="A395" s="106"/>
      <c r="B395" s="107"/>
      <c r="C395" s="107"/>
      <c r="D395" s="107"/>
      <c r="E395" s="107"/>
      <c r="F395" s="107"/>
      <c r="G395" s="107"/>
      <c r="N395" s="45" t="s">
        <v>1197</v>
      </c>
    </row>
    <row r="396" spans="1:14">
      <c r="A396" s="106"/>
      <c r="B396" s="107"/>
      <c r="C396" s="107"/>
      <c r="D396" s="107"/>
      <c r="E396" s="107"/>
      <c r="F396" s="107"/>
      <c r="G396" s="107"/>
      <c r="N396" s="45" t="s">
        <v>1198</v>
      </c>
    </row>
    <row r="397" spans="1:14">
      <c r="A397" s="106"/>
      <c r="B397" s="107"/>
      <c r="C397" s="107"/>
      <c r="D397" s="107"/>
      <c r="E397" s="107"/>
      <c r="F397" s="107"/>
      <c r="G397" s="107"/>
      <c r="N397" s="45" t="s">
        <v>1199</v>
      </c>
    </row>
    <row r="398" spans="1:14">
      <c r="A398" s="106"/>
      <c r="B398" s="107"/>
      <c r="C398" s="107"/>
      <c r="D398" s="107"/>
      <c r="E398" s="107"/>
      <c r="F398" s="107"/>
      <c r="G398" s="107"/>
      <c r="N398" s="45" t="s">
        <v>1200</v>
      </c>
    </row>
    <row r="399" spans="1:14">
      <c r="A399" s="106"/>
      <c r="B399" s="107"/>
      <c r="C399" s="107"/>
      <c r="D399" s="107"/>
      <c r="E399" s="107"/>
      <c r="F399" s="107"/>
      <c r="G399" s="107"/>
      <c r="N399" s="45" t="s">
        <v>1783</v>
      </c>
    </row>
    <row r="400" spans="1:14">
      <c r="A400" s="106"/>
      <c r="B400" s="107"/>
      <c r="C400" s="107"/>
      <c r="D400" s="107"/>
      <c r="E400" s="107"/>
      <c r="F400" s="107"/>
      <c r="G400" s="107"/>
      <c r="N400" s="45" t="s">
        <v>1201</v>
      </c>
    </row>
    <row r="401" spans="1:14">
      <c r="A401" s="106"/>
      <c r="B401" s="107"/>
      <c r="C401" s="107"/>
      <c r="D401" s="107"/>
      <c r="E401" s="107"/>
      <c r="F401" s="107"/>
      <c r="G401" s="107"/>
      <c r="N401" s="45" t="s">
        <v>1202</v>
      </c>
    </row>
    <row r="402" spans="1:14">
      <c r="A402" s="106"/>
      <c r="B402" s="107"/>
      <c r="C402" s="107"/>
      <c r="D402" s="107"/>
      <c r="E402" s="107"/>
      <c r="F402" s="107"/>
      <c r="G402" s="107"/>
      <c r="N402" s="45" t="s">
        <v>1782</v>
      </c>
    </row>
    <row r="403" spans="1:14">
      <c r="C403" s="107"/>
      <c r="N403" s="45" t="s">
        <v>1203</v>
      </c>
    </row>
    <row r="404" spans="1:14">
      <c r="N404" s="45" t="s">
        <v>1204</v>
      </c>
    </row>
    <row r="405" spans="1:14">
      <c r="N405" s="45" t="s">
        <v>1781</v>
      </c>
    </row>
    <row r="406" spans="1:14">
      <c r="N406" s="45" t="s">
        <v>1205</v>
      </c>
    </row>
    <row r="407" spans="1:14">
      <c r="N407" s="45" t="s">
        <v>1206</v>
      </c>
    </row>
    <row r="408" spans="1:14">
      <c r="N408" s="45" t="s">
        <v>1207</v>
      </c>
    </row>
    <row r="409" spans="1:14">
      <c r="N409" s="45" t="s">
        <v>1208</v>
      </c>
    </row>
    <row r="410" spans="1:14">
      <c r="N410" s="45" t="s">
        <v>1209</v>
      </c>
    </row>
    <row r="411" spans="1:14">
      <c r="N411" s="45" t="s">
        <v>1210</v>
      </c>
    </row>
    <row r="412" spans="1:14">
      <c r="N412" s="45" t="s">
        <v>1211</v>
      </c>
    </row>
    <row r="413" spans="1:14">
      <c r="N413" s="45" t="s">
        <v>1212</v>
      </c>
    </row>
    <row r="414" spans="1:14">
      <c r="N414" s="45" t="s">
        <v>1213</v>
      </c>
    </row>
  </sheetData>
  <sheetProtection sheet="1" objects="1" scenarios="1"/>
  <mergeCells count="2">
    <mergeCell ref="B5:C5"/>
    <mergeCell ref="B7:D7"/>
  </mergeCells>
  <conditionalFormatting sqref="B191:B402">
    <cfRule type="expression" dxfId="10" priority="10" stopIfTrue="1">
      <formula>A191&lt;&gt;""</formula>
    </cfRule>
  </conditionalFormatting>
  <conditionalFormatting sqref="C191:C403">
    <cfRule type="expression" dxfId="9" priority="9" stopIfTrue="1">
      <formula>A191&lt;&gt;""</formula>
    </cfRule>
  </conditionalFormatting>
  <conditionalFormatting sqref="D191:D402">
    <cfRule type="expression" dxfId="8" priority="7" stopIfTrue="1">
      <formula>OR(C191="date",C191="text")</formula>
    </cfRule>
    <cfRule type="expression" dxfId="7" priority="8" stopIfTrue="1">
      <formula>OR(C191="number")</formula>
    </cfRule>
  </conditionalFormatting>
  <conditionalFormatting sqref="E191:E402">
    <cfRule type="expression" dxfId="6" priority="5" stopIfTrue="1">
      <formula>OR(C191="number",C191="text")</formula>
    </cfRule>
    <cfRule type="expression" dxfId="5" priority="6" stopIfTrue="1">
      <formula>OR(C191="datetime")</formula>
    </cfRule>
  </conditionalFormatting>
  <conditionalFormatting sqref="F191:G402">
    <cfRule type="expression" dxfId="4" priority="3" stopIfTrue="1">
      <formula>OR($C191="number", $C191="text")</formula>
    </cfRule>
    <cfRule type="expression" dxfId="3" priority="4" stopIfTrue="1">
      <formula>OR($C191="date")</formula>
    </cfRule>
  </conditionalFormatting>
  <conditionalFormatting sqref="B48:I48">
    <cfRule type="expression" dxfId="2" priority="2" stopIfTrue="1">
      <formula>NOT(ISBLANK($B$50:$B$57))</formula>
    </cfRule>
  </conditionalFormatting>
  <conditionalFormatting sqref="B55:AO58">
    <cfRule type="expression" dxfId="1" priority="1" stopIfTrue="1">
      <formula>NOT(ISBLANK($B$50:$B$57))</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91:D402 IZ191:IZ402 SV191:SV402 ACR191:ACR402 AMN191:AMN402 AWJ191:AWJ402 BGF191:BGF402 BQB191:BQB402 BZX191:BZX402 CJT191:CJT402 CTP191:CTP402 DDL191:DDL402 DNH191:DNH402 DXD191:DXD402 EGZ191:EGZ402 EQV191:EQV402 FAR191:FAR402 FKN191:FKN402 FUJ191:FUJ402 GEF191:GEF402 GOB191:GOB402 GXX191:GXX402 HHT191:HHT402 HRP191:HRP402 IBL191:IBL402 ILH191:ILH402 IVD191:IVD402 JEZ191:JEZ402 JOV191:JOV402 JYR191:JYR402 KIN191:KIN402 KSJ191:KSJ402 LCF191:LCF402 LMB191:LMB402 LVX191:LVX402 MFT191:MFT402 MPP191:MPP402 MZL191:MZL402 NJH191:NJH402 NTD191:NTD402 OCZ191:OCZ402 OMV191:OMV402 OWR191:OWR402 PGN191:PGN402 PQJ191:PQJ402 QAF191:QAF402 QKB191:QKB402 QTX191:QTX402 RDT191:RDT402 RNP191:RNP402 RXL191:RXL402 SHH191:SHH402 SRD191:SRD402 TAZ191:TAZ402 TKV191:TKV402 TUR191:TUR402 UEN191:UEN402 UOJ191:UOJ402 UYF191:UYF402 VIB191:VIB402 VRX191:VRX402 WBT191:WBT402 WLP191:WLP402 WVL191:WVL402 D65727:D65938 IZ65727:IZ65938 SV65727:SV65938 ACR65727:ACR65938 AMN65727:AMN65938 AWJ65727:AWJ65938 BGF65727:BGF65938 BQB65727:BQB65938 BZX65727:BZX65938 CJT65727:CJT65938 CTP65727:CTP65938 DDL65727:DDL65938 DNH65727:DNH65938 DXD65727:DXD65938 EGZ65727:EGZ65938 EQV65727:EQV65938 FAR65727:FAR65938 FKN65727:FKN65938 FUJ65727:FUJ65938 GEF65727:GEF65938 GOB65727:GOB65938 GXX65727:GXX65938 HHT65727:HHT65938 HRP65727:HRP65938 IBL65727:IBL65938 ILH65727:ILH65938 IVD65727:IVD65938 JEZ65727:JEZ65938 JOV65727:JOV65938 JYR65727:JYR65938 KIN65727:KIN65938 KSJ65727:KSJ65938 LCF65727:LCF65938 LMB65727:LMB65938 LVX65727:LVX65938 MFT65727:MFT65938 MPP65727:MPP65938 MZL65727:MZL65938 NJH65727:NJH65938 NTD65727:NTD65938 OCZ65727:OCZ65938 OMV65727:OMV65938 OWR65727:OWR65938 PGN65727:PGN65938 PQJ65727:PQJ65938 QAF65727:QAF65938 QKB65727:QKB65938 QTX65727:QTX65938 RDT65727:RDT65938 RNP65727:RNP65938 RXL65727:RXL65938 SHH65727:SHH65938 SRD65727:SRD65938 TAZ65727:TAZ65938 TKV65727:TKV65938 TUR65727:TUR65938 UEN65727:UEN65938 UOJ65727:UOJ65938 UYF65727:UYF65938 VIB65727:VIB65938 VRX65727:VRX65938 WBT65727:WBT65938 WLP65727:WLP65938 WVL65727:WVL65938 D131263:D131474 IZ131263:IZ131474 SV131263:SV131474 ACR131263:ACR131474 AMN131263:AMN131474 AWJ131263:AWJ131474 BGF131263:BGF131474 BQB131263:BQB131474 BZX131263:BZX131474 CJT131263:CJT131474 CTP131263:CTP131474 DDL131263:DDL131474 DNH131263:DNH131474 DXD131263:DXD131474 EGZ131263:EGZ131474 EQV131263:EQV131474 FAR131263:FAR131474 FKN131263:FKN131474 FUJ131263:FUJ131474 GEF131263:GEF131474 GOB131263:GOB131474 GXX131263:GXX131474 HHT131263:HHT131474 HRP131263:HRP131474 IBL131263:IBL131474 ILH131263:ILH131474 IVD131263:IVD131474 JEZ131263:JEZ131474 JOV131263:JOV131474 JYR131263:JYR131474 KIN131263:KIN131474 KSJ131263:KSJ131474 LCF131263:LCF131474 LMB131263:LMB131474 LVX131263:LVX131474 MFT131263:MFT131474 MPP131263:MPP131474 MZL131263:MZL131474 NJH131263:NJH131474 NTD131263:NTD131474 OCZ131263:OCZ131474 OMV131263:OMV131474 OWR131263:OWR131474 PGN131263:PGN131474 PQJ131263:PQJ131474 QAF131263:QAF131474 QKB131263:QKB131474 QTX131263:QTX131474 RDT131263:RDT131474 RNP131263:RNP131474 RXL131263:RXL131474 SHH131263:SHH131474 SRD131263:SRD131474 TAZ131263:TAZ131474 TKV131263:TKV131474 TUR131263:TUR131474 UEN131263:UEN131474 UOJ131263:UOJ131474 UYF131263:UYF131474 VIB131263:VIB131474 VRX131263:VRX131474 WBT131263:WBT131474 WLP131263:WLP131474 WVL131263:WVL131474 D196799:D197010 IZ196799:IZ197010 SV196799:SV197010 ACR196799:ACR197010 AMN196799:AMN197010 AWJ196799:AWJ197010 BGF196799:BGF197010 BQB196799:BQB197010 BZX196799:BZX197010 CJT196799:CJT197010 CTP196799:CTP197010 DDL196799:DDL197010 DNH196799:DNH197010 DXD196799:DXD197010 EGZ196799:EGZ197010 EQV196799:EQV197010 FAR196799:FAR197010 FKN196799:FKN197010 FUJ196799:FUJ197010 GEF196799:GEF197010 GOB196799:GOB197010 GXX196799:GXX197010 HHT196799:HHT197010 HRP196799:HRP197010 IBL196799:IBL197010 ILH196799:ILH197010 IVD196799:IVD197010 JEZ196799:JEZ197010 JOV196799:JOV197010 JYR196799:JYR197010 KIN196799:KIN197010 KSJ196799:KSJ197010 LCF196799:LCF197010 LMB196799:LMB197010 LVX196799:LVX197010 MFT196799:MFT197010 MPP196799:MPP197010 MZL196799:MZL197010 NJH196799:NJH197010 NTD196799:NTD197010 OCZ196799:OCZ197010 OMV196799:OMV197010 OWR196799:OWR197010 PGN196799:PGN197010 PQJ196799:PQJ197010 QAF196799:QAF197010 QKB196799:QKB197010 QTX196799:QTX197010 RDT196799:RDT197010 RNP196799:RNP197010 RXL196799:RXL197010 SHH196799:SHH197010 SRD196799:SRD197010 TAZ196799:TAZ197010 TKV196799:TKV197010 TUR196799:TUR197010 UEN196799:UEN197010 UOJ196799:UOJ197010 UYF196799:UYF197010 VIB196799:VIB197010 VRX196799:VRX197010 WBT196799:WBT197010 WLP196799:WLP197010 WVL196799:WVL197010 D262335:D262546 IZ262335:IZ262546 SV262335:SV262546 ACR262335:ACR262546 AMN262335:AMN262546 AWJ262335:AWJ262546 BGF262335:BGF262546 BQB262335:BQB262546 BZX262335:BZX262546 CJT262335:CJT262546 CTP262335:CTP262546 DDL262335:DDL262546 DNH262335:DNH262546 DXD262335:DXD262546 EGZ262335:EGZ262546 EQV262335:EQV262546 FAR262335:FAR262546 FKN262335:FKN262546 FUJ262335:FUJ262546 GEF262335:GEF262546 GOB262335:GOB262546 GXX262335:GXX262546 HHT262335:HHT262546 HRP262335:HRP262546 IBL262335:IBL262546 ILH262335:ILH262546 IVD262335:IVD262546 JEZ262335:JEZ262546 JOV262335:JOV262546 JYR262335:JYR262546 KIN262335:KIN262546 KSJ262335:KSJ262546 LCF262335:LCF262546 LMB262335:LMB262546 LVX262335:LVX262546 MFT262335:MFT262546 MPP262335:MPP262546 MZL262335:MZL262546 NJH262335:NJH262546 NTD262335:NTD262546 OCZ262335:OCZ262546 OMV262335:OMV262546 OWR262335:OWR262546 PGN262335:PGN262546 PQJ262335:PQJ262546 QAF262335:QAF262546 QKB262335:QKB262546 QTX262335:QTX262546 RDT262335:RDT262546 RNP262335:RNP262546 RXL262335:RXL262546 SHH262335:SHH262546 SRD262335:SRD262546 TAZ262335:TAZ262546 TKV262335:TKV262546 TUR262335:TUR262546 UEN262335:UEN262546 UOJ262335:UOJ262546 UYF262335:UYF262546 VIB262335:VIB262546 VRX262335:VRX262546 WBT262335:WBT262546 WLP262335:WLP262546 WVL262335:WVL262546 D327871:D328082 IZ327871:IZ328082 SV327871:SV328082 ACR327871:ACR328082 AMN327871:AMN328082 AWJ327871:AWJ328082 BGF327871:BGF328082 BQB327871:BQB328082 BZX327871:BZX328082 CJT327871:CJT328082 CTP327871:CTP328082 DDL327871:DDL328082 DNH327871:DNH328082 DXD327871:DXD328082 EGZ327871:EGZ328082 EQV327871:EQV328082 FAR327871:FAR328082 FKN327871:FKN328082 FUJ327871:FUJ328082 GEF327871:GEF328082 GOB327871:GOB328082 GXX327871:GXX328082 HHT327871:HHT328082 HRP327871:HRP328082 IBL327871:IBL328082 ILH327871:ILH328082 IVD327871:IVD328082 JEZ327871:JEZ328082 JOV327871:JOV328082 JYR327871:JYR328082 KIN327871:KIN328082 KSJ327871:KSJ328082 LCF327871:LCF328082 LMB327871:LMB328082 LVX327871:LVX328082 MFT327871:MFT328082 MPP327871:MPP328082 MZL327871:MZL328082 NJH327871:NJH328082 NTD327871:NTD328082 OCZ327871:OCZ328082 OMV327871:OMV328082 OWR327871:OWR328082 PGN327871:PGN328082 PQJ327871:PQJ328082 QAF327871:QAF328082 QKB327871:QKB328082 QTX327871:QTX328082 RDT327871:RDT328082 RNP327871:RNP328082 RXL327871:RXL328082 SHH327871:SHH328082 SRD327871:SRD328082 TAZ327871:TAZ328082 TKV327871:TKV328082 TUR327871:TUR328082 UEN327871:UEN328082 UOJ327871:UOJ328082 UYF327871:UYF328082 VIB327871:VIB328082 VRX327871:VRX328082 WBT327871:WBT328082 WLP327871:WLP328082 WVL327871:WVL328082 D393407:D393618 IZ393407:IZ393618 SV393407:SV393618 ACR393407:ACR393618 AMN393407:AMN393618 AWJ393407:AWJ393618 BGF393407:BGF393618 BQB393407:BQB393618 BZX393407:BZX393618 CJT393407:CJT393618 CTP393407:CTP393618 DDL393407:DDL393618 DNH393407:DNH393618 DXD393407:DXD393618 EGZ393407:EGZ393618 EQV393407:EQV393618 FAR393407:FAR393618 FKN393407:FKN393618 FUJ393407:FUJ393618 GEF393407:GEF393618 GOB393407:GOB393618 GXX393407:GXX393618 HHT393407:HHT393618 HRP393407:HRP393618 IBL393407:IBL393618 ILH393407:ILH393618 IVD393407:IVD393618 JEZ393407:JEZ393618 JOV393407:JOV393618 JYR393407:JYR393618 KIN393407:KIN393618 KSJ393407:KSJ393618 LCF393407:LCF393618 LMB393407:LMB393618 LVX393407:LVX393618 MFT393407:MFT393618 MPP393407:MPP393618 MZL393407:MZL393618 NJH393407:NJH393618 NTD393407:NTD393618 OCZ393407:OCZ393618 OMV393407:OMV393618 OWR393407:OWR393618 PGN393407:PGN393618 PQJ393407:PQJ393618 QAF393407:QAF393618 QKB393407:QKB393618 QTX393407:QTX393618 RDT393407:RDT393618 RNP393407:RNP393618 RXL393407:RXL393618 SHH393407:SHH393618 SRD393407:SRD393618 TAZ393407:TAZ393618 TKV393407:TKV393618 TUR393407:TUR393618 UEN393407:UEN393618 UOJ393407:UOJ393618 UYF393407:UYF393618 VIB393407:VIB393618 VRX393407:VRX393618 WBT393407:WBT393618 WLP393407:WLP393618 WVL393407:WVL393618 D458943:D459154 IZ458943:IZ459154 SV458943:SV459154 ACR458943:ACR459154 AMN458943:AMN459154 AWJ458943:AWJ459154 BGF458943:BGF459154 BQB458943:BQB459154 BZX458943:BZX459154 CJT458943:CJT459154 CTP458943:CTP459154 DDL458943:DDL459154 DNH458943:DNH459154 DXD458943:DXD459154 EGZ458943:EGZ459154 EQV458943:EQV459154 FAR458943:FAR459154 FKN458943:FKN459154 FUJ458943:FUJ459154 GEF458943:GEF459154 GOB458943:GOB459154 GXX458943:GXX459154 HHT458943:HHT459154 HRP458943:HRP459154 IBL458943:IBL459154 ILH458943:ILH459154 IVD458943:IVD459154 JEZ458943:JEZ459154 JOV458943:JOV459154 JYR458943:JYR459154 KIN458943:KIN459154 KSJ458943:KSJ459154 LCF458943:LCF459154 LMB458943:LMB459154 LVX458943:LVX459154 MFT458943:MFT459154 MPP458943:MPP459154 MZL458943:MZL459154 NJH458943:NJH459154 NTD458943:NTD459154 OCZ458943:OCZ459154 OMV458943:OMV459154 OWR458943:OWR459154 PGN458943:PGN459154 PQJ458943:PQJ459154 QAF458943:QAF459154 QKB458943:QKB459154 QTX458943:QTX459154 RDT458943:RDT459154 RNP458943:RNP459154 RXL458943:RXL459154 SHH458943:SHH459154 SRD458943:SRD459154 TAZ458943:TAZ459154 TKV458943:TKV459154 TUR458943:TUR459154 UEN458943:UEN459154 UOJ458943:UOJ459154 UYF458943:UYF459154 VIB458943:VIB459154 VRX458943:VRX459154 WBT458943:WBT459154 WLP458943:WLP459154 WVL458943:WVL459154 D524479:D524690 IZ524479:IZ524690 SV524479:SV524690 ACR524479:ACR524690 AMN524479:AMN524690 AWJ524479:AWJ524690 BGF524479:BGF524690 BQB524479:BQB524690 BZX524479:BZX524690 CJT524479:CJT524690 CTP524479:CTP524690 DDL524479:DDL524690 DNH524479:DNH524690 DXD524479:DXD524690 EGZ524479:EGZ524690 EQV524479:EQV524690 FAR524479:FAR524690 FKN524479:FKN524690 FUJ524479:FUJ524690 GEF524479:GEF524690 GOB524479:GOB524690 GXX524479:GXX524690 HHT524479:HHT524690 HRP524479:HRP524690 IBL524479:IBL524690 ILH524479:ILH524690 IVD524479:IVD524690 JEZ524479:JEZ524690 JOV524479:JOV524690 JYR524479:JYR524690 KIN524479:KIN524690 KSJ524479:KSJ524690 LCF524479:LCF524690 LMB524479:LMB524690 LVX524479:LVX524690 MFT524479:MFT524690 MPP524479:MPP524690 MZL524479:MZL524690 NJH524479:NJH524690 NTD524479:NTD524690 OCZ524479:OCZ524690 OMV524479:OMV524690 OWR524479:OWR524690 PGN524479:PGN524690 PQJ524479:PQJ524690 QAF524479:QAF524690 QKB524479:QKB524690 QTX524479:QTX524690 RDT524479:RDT524690 RNP524479:RNP524690 RXL524479:RXL524690 SHH524479:SHH524690 SRD524479:SRD524690 TAZ524479:TAZ524690 TKV524479:TKV524690 TUR524479:TUR524690 UEN524479:UEN524690 UOJ524479:UOJ524690 UYF524479:UYF524690 VIB524479:VIB524690 VRX524479:VRX524690 WBT524479:WBT524690 WLP524479:WLP524690 WVL524479:WVL524690 D590015:D590226 IZ590015:IZ590226 SV590015:SV590226 ACR590015:ACR590226 AMN590015:AMN590226 AWJ590015:AWJ590226 BGF590015:BGF590226 BQB590015:BQB590226 BZX590015:BZX590226 CJT590015:CJT590226 CTP590015:CTP590226 DDL590015:DDL590226 DNH590015:DNH590226 DXD590015:DXD590226 EGZ590015:EGZ590226 EQV590015:EQV590226 FAR590015:FAR590226 FKN590015:FKN590226 FUJ590015:FUJ590226 GEF590015:GEF590226 GOB590015:GOB590226 GXX590015:GXX590226 HHT590015:HHT590226 HRP590015:HRP590226 IBL590015:IBL590226 ILH590015:ILH590226 IVD590015:IVD590226 JEZ590015:JEZ590226 JOV590015:JOV590226 JYR590015:JYR590226 KIN590015:KIN590226 KSJ590015:KSJ590226 LCF590015:LCF590226 LMB590015:LMB590226 LVX590015:LVX590226 MFT590015:MFT590226 MPP590015:MPP590226 MZL590015:MZL590226 NJH590015:NJH590226 NTD590015:NTD590226 OCZ590015:OCZ590226 OMV590015:OMV590226 OWR590015:OWR590226 PGN590015:PGN590226 PQJ590015:PQJ590226 QAF590015:QAF590226 QKB590015:QKB590226 QTX590015:QTX590226 RDT590015:RDT590226 RNP590015:RNP590226 RXL590015:RXL590226 SHH590015:SHH590226 SRD590015:SRD590226 TAZ590015:TAZ590226 TKV590015:TKV590226 TUR590015:TUR590226 UEN590015:UEN590226 UOJ590015:UOJ590226 UYF590015:UYF590226 VIB590015:VIB590226 VRX590015:VRX590226 WBT590015:WBT590226 WLP590015:WLP590226 WVL590015:WVL590226 D655551:D655762 IZ655551:IZ655762 SV655551:SV655762 ACR655551:ACR655762 AMN655551:AMN655762 AWJ655551:AWJ655762 BGF655551:BGF655762 BQB655551:BQB655762 BZX655551:BZX655762 CJT655551:CJT655762 CTP655551:CTP655762 DDL655551:DDL655762 DNH655551:DNH655762 DXD655551:DXD655762 EGZ655551:EGZ655762 EQV655551:EQV655762 FAR655551:FAR655762 FKN655551:FKN655762 FUJ655551:FUJ655762 GEF655551:GEF655762 GOB655551:GOB655762 GXX655551:GXX655762 HHT655551:HHT655762 HRP655551:HRP655762 IBL655551:IBL655762 ILH655551:ILH655762 IVD655551:IVD655762 JEZ655551:JEZ655762 JOV655551:JOV655762 JYR655551:JYR655762 KIN655551:KIN655762 KSJ655551:KSJ655762 LCF655551:LCF655762 LMB655551:LMB655762 LVX655551:LVX655762 MFT655551:MFT655762 MPP655551:MPP655762 MZL655551:MZL655762 NJH655551:NJH655762 NTD655551:NTD655762 OCZ655551:OCZ655762 OMV655551:OMV655762 OWR655551:OWR655762 PGN655551:PGN655762 PQJ655551:PQJ655762 QAF655551:QAF655762 QKB655551:QKB655762 QTX655551:QTX655762 RDT655551:RDT655762 RNP655551:RNP655762 RXL655551:RXL655762 SHH655551:SHH655762 SRD655551:SRD655762 TAZ655551:TAZ655762 TKV655551:TKV655762 TUR655551:TUR655762 UEN655551:UEN655762 UOJ655551:UOJ655762 UYF655551:UYF655762 VIB655551:VIB655762 VRX655551:VRX655762 WBT655551:WBT655762 WLP655551:WLP655762 WVL655551:WVL655762 D721087:D721298 IZ721087:IZ721298 SV721087:SV721298 ACR721087:ACR721298 AMN721087:AMN721298 AWJ721087:AWJ721298 BGF721087:BGF721298 BQB721087:BQB721298 BZX721087:BZX721298 CJT721087:CJT721298 CTP721087:CTP721298 DDL721087:DDL721298 DNH721087:DNH721298 DXD721087:DXD721298 EGZ721087:EGZ721298 EQV721087:EQV721298 FAR721087:FAR721298 FKN721087:FKN721298 FUJ721087:FUJ721298 GEF721087:GEF721298 GOB721087:GOB721298 GXX721087:GXX721298 HHT721087:HHT721298 HRP721087:HRP721298 IBL721087:IBL721298 ILH721087:ILH721298 IVD721087:IVD721298 JEZ721087:JEZ721298 JOV721087:JOV721298 JYR721087:JYR721298 KIN721087:KIN721298 KSJ721087:KSJ721298 LCF721087:LCF721298 LMB721087:LMB721298 LVX721087:LVX721298 MFT721087:MFT721298 MPP721087:MPP721298 MZL721087:MZL721298 NJH721087:NJH721298 NTD721087:NTD721298 OCZ721087:OCZ721298 OMV721087:OMV721298 OWR721087:OWR721298 PGN721087:PGN721298 PQJ721087:PQJ721298 QAF721087:QAF721298 QKB721087:QKB721298 QTX721087:QTX721298 RDT721087:RDT721298 RNP721087:RNP721298 RXL721087:RXL721298 SHH721087:SHH721298 SRD721087:SRD721298 TAZ721087:TAZ721298 TKV721087:TKV721298 TUR721087:TUR721298 UEN721087:UEN721298 UOJ721087:UOJ721298 UYF721087:UYF721298 VIB721087:VIB721298 VRX721087:VRX721298 WBT721087:WBT721298 WLP721087:WLP721298 WVL721087:WVL721298 D786623:D786834 IZ786623:IZ786834 SV786623:SV786834 ACR786623:ACR786834 AMN786623:AMN786834 AWJ786623:AWJ786834 BGF786623:BGF786834 BQB786623:BQB786834 BZX786623:BZX786834 CJT786623:CJT786834 CTP786623:CTP786834 DDL786623:DDL786834 DNH786623:DNH786834 DXD786623:DXD786834 EGZ786623:EGZ786834 EQV786623:EQV786834 FAR786623:FAR786834 FKN786623:FKN786834 FUJ786623:FUJ786834 GEF786623:GEF786834 GOB786623:GOB786834 GXX786623:GXX786834 HHT786623:HHT786834 HRP786623:HRP786834 IBL786623:IBL786834 ILH786623:ILH786834 IVD786623:IVD786834 JEZ786623:JEZ786834 JOV786623:JOV786834 JYR786623:JYR786834 KIN786623:KIN786834 KSJ786623:KSJ786834 LCF786623:LCF786834 LMB786623:LMB786834 LVX786623:LVX786834 MFT786623:MFT786834 MPP786623:MPP786834 MZL786623:MZL786834 NJH786623:NJH786834 NTD786623:NTD786834 OCZ786623:OCZ786834 OMV786623:OMV786834 OWR786623:OWR786834 PGN786623:PGN786834 PQJ786623:PQJ786834 QAF786623:QAF786834 QKB786623:QKB786834 QTX786623:QTX786834 RDT786623:RDT786834 RNP786623:RNP786834 RXL786623:RXL786834 SHH786623:SHH786834 SRD786623:SRD786834 TAZ786623:TAZ786834 TKV786623:TKV786834 TUR786623:TUR786834 UEN786623:UEN786834 UOJ786623:UOJ786834 UYF786623:UYF786834 VIB786623:VIB786834 VRX786623:VRX786834 WBT786623:WBT786834 WLP786623:WLP786834 WVL786623:WVL786834 D852159:D852370 IZ852159:IZ852370 SV852159:SV852370 ACR852159:ACR852370 AMN852159:AMN852370 AWJ852159:AWJ852370 BGF852159:BGF852370 BQB852159:BQB852370 BZX852159:BZX852370 CJT852159:CJT852370 CTP852159:CTP852370 DDL852159:DDL852370 DNH852159:DNH852370 DXD852159:DXD852370 EGZ852159:EGZ852370 EQV852159:EQV852370 FAR852159:FAR852370 FKN852159:FKN852370 FUJ852159:FUJ852370 GEF852159:GEF852370 GOB852159:GOB852370 GXX852159:GXX852370 HHT852159:HHT852370 HRP852159:HRP852370 IBL852159:IBL852370 ILH852159:ILH852370 IVD852159:IVD852370 JEZ852159:JEZ852370 JOV852159:JOV852370 JYR852159:JYR852370 KIN852159:KIN852370 KSJ852159:KSJ852370 LCF852159:LCF852370 LMB852159:LMB852370 LVX852159:LVX852370 MFT852159:MFT852370 MPP852159:MPP852370 MZL852159:MZL852370 NJH852159:NJH852370 NTD852159:NTD852370 OCZ852159:OCZ852370 OMV852159:OMV852370 OWR852159:OWR852370 PGN852159:PGN852370 PQJ852159:PQJ852370 QAF852159:QAF852370 QKB852159:QKB852370 QTX852159:QTX852370 RDT852159:RDT852370 RNP852159:RNP852370 RXL852159:RXL852370 SHH852159:SHH852370 SRD852159:SRD852370 TAZ852159:TAZ852370 TKV852159:TKV852370 TUR852159:TUR852370 UEN852159:UEN852370 UOJ852159:UOJ852370 UYF852159:UYF852370 VIB852159:VIB852370 VRX852159:VRX852370 WBT852159:WBT852370 WLP852159:WLP852370 WVL852159:WVL852370 D917695:D917906 IZ917695:IZ917906 SV917695:SV917906 ACR917695:ACR917906 AMN917695:AMN917906 AWJ917695:AWJ917906 BGF917695:BGF917906 BQB917695:BQB917906 BZX917695:BZX917906 CJT917695:CJT917906 CTP917695:CTP917906 DDL917695:DDL917906 DNH917695:DNH917906 DXD917695:DXD917906 EGZ917695:EGZ917906 EQV917695:EQV917906 FAR917695:FAR917906 FKN917695:FKN917906 FUJ917695:FUJ917906 GEF917695:GEF917906 GOB917695:GOB917906 GXX917695:GXX917906 HHT917695:HHT917906 HRP917695:HRP917906 IBL917695:IBL917906 ILH917695:ILH917906 IVD917695:IVD917906 JEZ917695:JEZ917906 JOV917695:JOV917906 JYR917695:JYR917906 KIN917695:KIN917906 KSJ917695:KSJ917906 LCF917695:LCF917906 LMB917695:LMB917906 LVX917695:LVX917906 MFT917695:MFT917906 MPP917695:MPP917906 MZL917695:MZL917906 NJH917695:NJH917906 NTD917695:NTD917906 OCZ917695:OCZ917906 OMV917695:OMV917906 OWR917695:OWR917906 PGN917695:PGN917906 PQJ917695:PQJ917906 QAF917695:QAF917906 QKB917695:QKB917906 QTX917695:QTX917906 RDT917695:RDT917906 RNP917695:RNP917906 RXL917695:RXL917906 SHH917695:SHH917906 SRD917695:SRD917906 TAZ917695:TAZ917906 TKV917695:TKV917906 TUR917695:TUR917906 UEN917695:UEN917906 UOJ917695:UOJ917906 UYF917695:UYF917906 VIB917695:VIB917906 VRX917695:VRX917906 WBT917695:WBT917906 WLP917695:WLP917906 WVL917695:WVL917906 D983231:D983442 IZ983231:IZ983442 SV983231:SV983442 ACR983231:ACR983442 AMN983231:AMN983442 AWJ983231:AWJ983442 BGF983231:BGF983442 BQB983231:BQB983442 BZX983231:BZX983442 CJT983231:CJT983442 CTP983231:CTP983442 DDL983231:DDL983442 DNH983231:DNH983442 DXD983231:DXD983442 EGZ983231:EGZ983442 EQV983231:EQV983442 FAR983231:FAR983442 FKN983231:FKN983442 FUJ983231:FUJ983442 GEF983231:GEF983442 GOB983231:GOB983442 GXX983231:GXX983442 HHT983231:HHT983442 HRP983231:HRP983442 IBL983231:IBL983442 ILH983231:ILH983442 IVD983231:IVD983442 JEZ983231:JEZ983442 JOV983231:JOV983442 JYR983231:JYR983442 KIN983231:KIN983442 KSJ983231:KSJ983442 LCF983231:LCF983442 LMB983231:LMB983442 LVX983231:LVX983442 MFT983231:MFT983442 MPP983231:MPP983442 MZL983231:MZL983442 NJH983231:NJH983442 NTD983231:NTD983442 OCZ983231:OCZ983442 OMV983231:OMV983442 OWR983231:OWR983442 PGN983231:PGN983442 PQJ983231:PQJ983442 QAF983231:QAF983442 QKB983231:QKB983442 QTX983231:QTX983442 RDT983231:RDT983442 RNP983231:RNP983442 RXL983231:RXL983442 SHH983231:SHH983442 SRD983231:SRD983442 TAZ983231:TAZ983442 TKV983231:TKV983442 TUR983231:TUR983442 UEN983231:UEN983442 UOJ983231:UOJ983442 UYF983231:UYF983442 VIB983231:VIB983442 VRX983231:VRX983442 WBT983231:WBT983442 WLP983231:WLP983442 WVL983231:WVL983442">
      <formula1>$N$191:$N$414</formula1>
    </dataValidation>
    <dataValidation type="list" errorStyle="information" allowBlank="1" showInputMessage="1" showErrorMessage="1" errorTitle="New Site" error="If a site is not in the list enter a new Name" prompt="Select a site name or enter a new one" sqref="WVJ983155:WVQ983155 IX47:JE47 ST47:TA47 ACP47:ACW47 AML47:AMS47 AWH47:AWO47 BGD47:BGK47 BPZ47:BQG47 BZV47:CAC47 CJR47:CJY47 CTN47:CTU47 DDJ47:DDQ47 DNF47:DNM47 DXB47:DXI47 EGX47:EHE47 EQT47:ERA47 FAP47:FAW47 FKL47:FKS47 FUH47:FUO47 GED47:GEK47 GNZ47:GOG47 GXV47:GYC47 HHR47:HHY47 HRN47:HRU47 IBJ47:IBQ47 ILF47:ILM47 IVB47:IVI47 JEX47:JFE47 JOT47:JPA47 JYP47:JYW47 KIL47:KIS47 KSH47:KSO47 LCD47:LCK47 LLZ47:LMG47 LVV47:LWC47 MFR47:MFY47 MPN47:MPU47 MZJ47:MZQ47 NJF47:NJM47 NTB47:NTI47 OCX47:ODE47 OMT47:ONA47 OWP47:OWW47 PGL47:PGS47 PQH47:PQO47 QAD47:QAK47 QJZ47:QKG47 QTV47:QUC47 RDR47:RDY47 RNN47:RNU47 RXJ47:RXQ47 SHF47:SHM47 SRB47:SRI47 TAX47:TBE47 TKT47:TLA47 TUP47:TUW47 UEL47:UES47 UOH47:UOO47 UYD47:UYK47 VHZ47:VIG47 VRV47:VSC47 WBR47:WBY47 WLN47:WLU47 WVJ47:WVQ47 B65651:I65651 IX65651:JE65651 ST65651:TA65651 ACP65651:ACW65651 AML65651:AMS65651 AWH65651:AWO65651 BGD65651:BGK65651 BPZ65651:BQG65651 BZV65651:CAC65651 CJR65651:CJY65651 CTN65651:CTU65651 DDJ65651:DDQ65651 DNF65651:DNM65651 DXB65651:DXI65651 EGX65651:EHE65651 EQT65651:ERA65651 FAP65651:FAW65651 FKL65651:FKS65651 FUH65651:FUO65651 GED65651:GEK65651 GNZ65651:GOG65651 GXV65651:GYC65651 HHR65651:HHY65651 HRN65651:HRU65651 IBJ65651:IBQ65651 ILF65651:ILM65651 IVB65651:IVI65651 JEX65651:JFE65651 JOT65651:JPA65651 JYP65651:JYW65651 KIL65651:KIS65651 KSH65651:KSO65651 LCD65651:LCK65651 LLZ65651:LMG65651 LVV65651:LWC65651 MFR65651:MFY65651 MPN65651:MPU65651 MZJ65651:MZQ65651 NJF65651:NJM65651 NTB65651:NTI65651 OCX65651:ODE65651 OMT65651:ONA65651 OWP65651:OWW65651 PGL65651:PGS65651 PQH65651:PQO65651 QAD65651:QAK65651 QJZ65651:QKG65651 QTV65651:QUC65651 RDR65651:RDY65651 RNN65651:RNU65651 RXJ65651:RXQ65651 SHF65651:SHM65651 SRB65651:SRI65651 TAX65651:TBE65651 TKT65651:TLA65651 TUP65651:TUW65651 UEL65651:UES65651 UOH65651:UOO65651 UYD65651:UYK65651 VHZ65651:VIG65651 VRV65651:VSC65651 WBR65651:WBY65651 WLN65651:WLU65651 WVJ65651:WVQ65651 B131187:I131187 IX131187:JE131187 ST131187:TA131187 ACP131187:ACW131187 AML131187:AMS131187 AWH131187:AWO131187 BGD131187:BGK131187 BPZ131187:BQG131187 BZV131187:CAC131187 CJR131187:CJY131187 CTN131187:CTU131187 DDJ131187:DDQ131187 DNF131187:DNM131187 DXB131187:DXI131187 EGX131187:EHE131187 EQT131187:ERA131187 FAP131187:FAW131187 FKL131187:FKS131187 FUH131187:FUO131187 GED131187:GEK131187 GNZ131187:GOG131187 GXV131187:GYC131187 HHR131187:HHY131187 HRN131187:HRU131187 IBJ131187:IBQ131187 ILF131187:ILM131187 IVB131187:IVI131187 JEX131187:JFE131187 JOT131187:JPA131187 JYP131187:JYW131187 KIL131187:KIS131187 KSH131187:KSO131187 LCD131187:LCK131187 LLZ131187:LMG131187 LVV131187:LWC131187 MFR131187:MFY131187 MPN131187:MPU131187 MZJ131187:MZQ131187 NJF131187:NJM131187 NTB131187:NTI131187 OCX131187:ODE131187 OMT131187:ONA131187 OWP131187:OWW131187 PGL131187:PGS131187 PQH131187:PQO131187 QAD131187:QAK131187 QJZ131187:QKG131187 QTV131187:QUC131187 RDR131187:RDY131187 RNN131187:RNU131187 RXJ131187:RXQ131187 SHF131187:SHM131187 SRB131187:SRI131187 TAX131187:TBE131187 TKT131187:TLA131187 TUP131187:TUW131187 UEL131187:UES131187 UOH131187:UOO131187 UYD131187:UYK131187 VHZ131187:VIG131187 VRV131187:VSC131187 WBR131187:WBY131187 WLN131187:WLU131187 WVJ131187:WVQ131187 B196723:I196723 IX196723:JE196723 ST196723:TA196723 ACP196723:ACW196723 AML196723:AMS196723 AWH196723:AWO196723 BGD196723:BGK196723 BPZ196723:BQG196723 BZV196723:CAC196723 CJR196723:CJY196723 CTN196723:CTU196723 DDJ196723:DDQ196723 DNF196723:DNM196723 DXB196723:DXI196723 EGX196723:EHE196723 EQT196723:ERA196723 FAP196723:FAW196723 FKL196723:FKS196723 FUH196723:FUO196723 GED196723:GEK196723 GNZ196723:GOG196723 GXV196723:GYC196723 HHR196723:HHY196723 HRN196723:HRU196723 IBJ196723:IBQ196723 ILF196723:ILM196723 IVB196723:IVI196723 JEX196723:JFE196723 JOT196723:JPA196723 JYP196723:JYW196723 KIL196723:KIS196723 KSH196723:KSO196723 LCD196723:LCK196723 LLZ196723:LMG196723 LVV196723:LWC196723 MFR196723:MFY196723 MPN196723:MPU196723 MZJ196723:MZQ196723 NJF196723:NJM196723 NTB196723:NTI196723 OCX196723:ODE196723 OMT196723:ONA196723 OWP196723:OWW196723 PGL196723:PGS196723 PQH196723:PQO196723 QAD196723:QAK196723 QJZ196723:QKG196723 QTV196723:QUC196723 RDR196723:RDY196723 RNN196723:RNU196723 RXJ196723:RXQ196723 SHF196723:SHM196723 SRB196723:SRI196723 TAX196723:TBE196723 TKT196723:TLA196723 TUP196723:TUW196723 UEL196723:UES196723 UOH196723:UOO196723 UYD196723:UYK196723 VHZ196723:VIG196723 VRV196723:VSC196723 WBR196723:WBY196723 WLN196723:WLU196723 WVJ196723:WVQ196723 B262259:I262259 IX262259:JE262259 ST262259:TA262259 ACP262259:ACW262259 AML262259:AMS262259 AWH262259:AWO262259 BGD262259:BGK262259 BPZ262259:BQG262259 BZV262259:CAC262259 CJR262259:CJY262259 CTN262259:CTU262259 DDJ262259:DDQ262259 DNF262259:DNM262259 DXB262259:DXI262259 EGX262259:EHE262259 EQT262259:ERA262259 FAP262259:FAW262259 FKL262259:FKS262259 FUH262259:FUO262259 GED262259:GEK262259 GNZ262259:GOG262259 GXV262259:GYC262259 HHR262259:HHY262259 HRN262259:HRU262259 IBJ262259:IBQ262259 ILF262259:ILM262259 IVB262259:IVI262259 JEX262259:JFE262259 JOT262259:JPA262259 JYP262259:JYW262259 KIL262259:KIS262259 KSH262259:KSO262259 LCD262259:LCK262259 LLZ262259:LMG262259 LVV262259:LWC262259 MFR262259:MFY262259 MPN262259:MPU262259 MZJ262259:MZQ262259 NJF262259:NJM262259 NTB262259:NTI262259 OCX262259:ODE262259 OMT262259:ONA262259 OWP262259:OWW262259 PGL262259:PGS262259 PQH262259:PQO262259 QAD262259:QAK262259 QJZ262259:QKG262259 QTV262259:QUC262259 RDR262259:RDY262259 RNN262259:RNU262259 RXJ262259:RXQ262259 SHF262259:SHM262259 SRB262259:SRI262259 TAX262259:TBE262259 TKT262259:TLA262259 TUP262259:TUW262259 UEL262259:UES262259 UOH262259:UOO262259 UYD262259:UYK262259 VHZ262259:VIG262259 VRV262259:VSC262259 WBR262259:WBY262259 WLN262259:WLU262259 WVJ262259:WVQ262259 B327795:I327795 IX327795:JE327795 ST327795:TA327795 ACP327795:ACW327795 AML327795:AMS327795 AWH327795:AWO327795 BGD327795:BGK327795 BPZ327795:BQG327795 BZV327795:CAC327795 CJR327795:CJY327795 CTN327795:CTU327795 DDJ327795:DDQ327795 DNF327795:DNM327795 DXB327795:DXI327795 EGX327795:EHE327795 EQT327795:ERA327795 FAP327795:FAW327795 FKL327795:FKS327795 FUH327795:FUO327795 GED327795:GEK327795 GNZ327795:GOG327795 GXV327795:GYC327795 HHR327795:HHY327795 HRN327795:HRU327795 IBJ327795:IBQ327795 ILF327795:ILM327795 IVB327795:IVI327795 JEX327795:JFE327795 JOT327795:JPA327795 JYP327795:JYW327795 KIL327795:KIS327795 KSH327795:KSO327795 LCD327795:LCK327795 LLZ327795:LMG327795 LVV327795:LWC327795 MFR327795:MFY327795 MPN327795:MPU327795 MZJ327795:MZQ327795 NJF327795:NJM327795 NTB327795:NTI327795 OCX327795:ODE327795 OMT327795:ONA327795 OWP327795:OWW327795 PGL327795:PGS327795 PQH327795:PQO327795 QAD327795:QAK327795 QJZ327795:QKG327795 QTV327795:QUC327795 RDR327795:RDY327795 RNN327795:RNU327795 RXJ327795:RXQ327795 SHF327795:SHM327795 SRB327795:SRI327795 TAX327795:TBE327795 TKT327795:TLA327795 TUP327795:TUW327795 UEL327795:UES327795 UOH327795:UOO327795 UYD327795:UYK327795 VHZ327795:VIG327795 VRV327795:VSC327795 WBR327795:WBY327795 WLN327795:WLU327795 WVJ327795:WVQ327795 B393331:I393331 IX393331:JE393331 ST393331:TA393331 ACP393331:ACW393331 AML393331:AMS393331 AWH393331:AWO393331 BGD393331:BGK393331 BPZ393331:BQG393331 BZV393331:CAC393331 CJR393331:CJY393331 CTN393331:CTU393331 DDJ393331:DDQ393331 DNF393331:DNM393331 DXB393331:DXI393331 EGX393331:EHE393331 EQT393331:ERA393331 FAP393331:FAW393331 FKL393331:FKS393331 FUH393331:FUO393331 GED393331:GEK393331 GNZ393331:GOG393331 GXV393331:GYC393331 HHR393331:HHY393331 HRN393331:HRU393331 IBJ393331:IBQ393331 ILF393331:ILM393331 IVB393331:IVI393331 JEX393331:JFE393331 JOT393331:JPA393331 JYP393331:JYW393331 KIL393331:KIS393331 KSH393331:KSO393331 LCD393331:LCK393331 LLZ393331:LMG393331 LVV393331:LWC393331 MFR393331:MFY393331 MPN393331:MPU393331 MZJ393331:MZQ393331 NJF393331:NJM393331 NTB393331:NTI393331 OCX393331:ODE393331 OMT393331:ONA393331 OWP393331:OWW393331 PGL393331:PGS393331 PQH393331:PQO393331 QAD393331:QAK393331 QJZ393331:QKG393331 QTV393331:QUC393331 RDR393331:RDY393331 RNN393331:RNU393331 RXJ393331:RXQ393331 SHF393331:SHM393331 SRB393331:SRI393331 TAX393331:TBE393331 TKT393331:TLA393331 TUP393331:TUW393331 UEL393331:UES393331 UOH393331:UOO393331 UYD393331:UYK393331 VHZ393331:VIG393331 VRV393331:VSC393331 WBR393331:WBY393331 WLN393331:WLU393331 WVJ393331:WVQ393331 B458867:I458867 IX458867:JE458867 ST458867:TA458867 ACP458867:ACW458867 AML458867:AMS458867 AWH458867:AWO458867 BGD458867:BGK458867 BPZ458867:BQG458867 BZV458867:CAC458867 CJR458867:CJY458867 CTN458867:CTU458867 DDJ458867:DDQ458867 DNF458867:DNM458867 DXB458867:DXI458867 EGX458867:EHE458867 EQT458867:ERA458867 FAP458867:FAW458867 FKL458867:FKS458867 FUH458867:FUO458867 GED458867:GEK458867 GNZ458867:GOG458867 GXV458867:GYC458867 HHR458867:HHY458867 HRN458867:HRU458867 IBJ458867:IBQ458867 ILF458867:ILM458867 IVB458867:IVI458867 JEX458867:JFE458867 JOT458867:JPA458867 JYP458867:JYW458867 KIL458867:KIS458867 KSH458867:KSO458867 LCD458867:LCK458867 LLZ458867:LMG458867 LVV458867:LWC458867 MFR458867:MFY458867 MPN458867:MPU458867 MZJ458867:MZQ458867 NJF458867:NJM458867 NTB458867:NTI458867 OCX458867:ODE458867 OMT458867:ONA458867 OWP458867:OWW458867 PGL458867:PGS458867 PQH458867:PQO458867 QAD458867:QAK458867 QJZ458867:QKG458867 QTV458867:QUC458867 RDR458867:RDY458867 RNN458867:RNU458867 RXJ458867:RXQ458867 SHF458867:SHM458867 SRB458867:SRI458867 TAX458867:TBE458867 TKT458867:TLA458867 TUP458867:TUW458867 UEL458867:UES458867 UOH458867:UOO458867 UYD458867:UYK458867 VHZ458867:VIG458867 VRV458867:VSC458867 WBR458867:WBY458867 WLN458867:WLU458867 WVJ458867:WVQ458867 B524403:I524403 IX524403:JE524403 ST524403:TA524403 ACP524403:ACW524403 AML524403:AMS524403 AWH524403:AWO524403 BGD524403:BGK524403 BPZ524403:BQG524403 BZV524403:CAC524403 CJR524403:CJY524403 CTN524403:CTU524403 DDJ524403:DDQ524403 DNF524403:DNM524403 DXB524403:DXI524403 EGX524403:EHE524403 EQT524403:ERA524403 FAP524403:FAW524403 FKL524403:FKS524403 FUH524403:FUO524403 GED524403:GEK524403 GNZ524403:GOG524403 GXV524403:GYC524403 HHR524403:HHY524403 HRN524403:HRU524403 IBJ524403:IBQ524403 ILF524403:ILM524403 IVB524403:IVI524403 JEX524403:JFE524403 JOT524403:JPA524403 JYP524403:JYW524403 KIL524403:KIS524403 KSH524403:KSO524403 LCD524403:LCK524403 LLZ524403:LMG524403 LVV524403:LWC524403 MFR524403:MFY524403 MPN524403:MPU524403 MZJ524403:MZQ524403 NJF524403:NJM524403 NTB524403:NTI524403 OCX524403:ODE524403 OMT524403:ONA524403 OWP524403:OWW524403 PGL524403:PGS524403 PQH524403:PQO524403 QAD524403:QAK524403 QJZ524403:QKG524403 QTV524403:QUC524403 RDR524403:RDY524403 RNN524403:RNU524403 RXJ524403:RXQ524403 SHF524403:SHM524403 SRB524403:SRI524403 TAX524403:TBE524403 TKT524403:TLA524403 TUP524403:TUW524403 UEL524403:UES524403 UOH524403:UOO524403 UYD524403:UYK524403 VHZ524403:VIG524403 VRV524403:VSC524403 WBR524403:WBY524403 WLN524403:WLU524403 WVJ524403:WVQ524403 B589939:I589939 IX589939:JE589939 ST589939:TA589939 ACP589939:ACW589939 AML589939:AMS589939 AWH589939:AWO589939 BGD589939:BGK589939 BPZ589939:BQG589939 BZV589939:CAC589939 CJR589939:CJY589939 CTN589939:CTU589939 DDJ589939:DDQ589939 DNF589939:DNM589939 DXB589939:DXI589939 EGX589939:EHE589939 EQT589939:ERA589939 FAP589939:FAW589939 FKL589939:FKS589939 FUH589939:FUO589939 GED589939:GEK589939 GNZ589939:GOG589939 GXV589939:GYC589939 HHR589939:HHY589939 HRN589939:HRU589939 IBJ589939:IBQ589939 ILF589939:ILM589939 IVB589939:IVI589939 JEX589939:JFE589939 JOT589939:JPA589939 JYP589939:JYW589939 KIL589939:KIS589939 KSH589939:KSO589939 LCD589939:LCK589939 LLZ589939:LMG589939 LVV589939:LWC589939 MFR589939:MFY589939 MPN589939:MPU589939 MZJ589939:MZQ589939 NJF589939:NJM589939 NTB589939:NTI589939 OCX589939:ODE589939 OMT589939:ONA589939 OWP589939:OWW589939 PGL589939:PGS589939 PQH589939:PQO589939 QAD589939:QAK589939 QJZ589939:QKG589939 QTV589939:QUC589939 RDR589939:RDY589939 RNN589939:RNU589939 RXJ589939:RXQ589939 SHF589939:SHM589939 SRB589939:SRI589939 TAX589939:TBE589939 TKT589939:TLA589939 TUP589939:TUW589939 UEL589939:UES589939 UOH589939:UOO589939 UYD589939:UYK589939 VHZ589939:VIG589939 VRV589939:VSC589939 WBR589939:WBY589939 WLN589939:WLU589939 WVJ589939:WVQ589939 B655475:I655475 IX655475:JE655475 ST655475:TA655475 ACP655475:ACW655475 AML655475:AMS655475 AWH655475:AWO655475 BGD655475:BGK655475 BPZ655475:BQG655475 BZV655475:CAC655475 CJR655475:CJY655475 CTN655475:CTU655475 DDJ655475:DDQ655475 DNF655475:DNM655475 DXB655475:DXI655475 EGX655475:EHE655475 EQT655475:ERA655475 FAP655475:FAW655475 FKL655475:FKS655475 FUH655475:FUO655475 GED655475:GEK655475 GNZ655475:GOG655475 GXV655475:GYC655475 HHR655475:HHY655475 HRN655475:HRU655475 IBJ655475:IBQ655475 ILF655475:ILM655475 IVB655475:IVI655475 JEX655475:JFE655475 JOT655475:JPA655475 JYP655475:JYW655475 KIL655475:KIS655475 KSH655475:KSO655475 LCD655475:LCK655475 LLZ655475:LMG655475 LVV655475:LWC655475 MFR655475:MFY655475 MPN655475:MPU655475 MZJ655475:MZQ655475 NJF655475:NJM655475 NTB655475:NTI655475 OCX655475:ODE655475 OMT655475:ONA655475 OWP655475:OWW655475 PGL655475:PGS655475 PQH655475:PQO655475 QAD655475:QAK655475 QJZ655475:QKG655475 QTV655475:QUC655475 RDR655475:RDY655475 RNN655475:RNU655475 RXJ655475:RXQ655475 SHF655475:SHM655475 SRB655475:SRI655475 TAX655475:TBE655475 TKT655475:TLA655475 TUP655475:TUW655475 UEL655475:UES655475 UOH655475:UOO655475 UYD655475:UYK655475 VHZ655475:VIG655475 VRV655475:VSC655475 WBR655475:WBY655475 WLN655475:WLU655475 WVJ655475:WVQ655475 B721011:I721011 IX721011:JE721011 ST721011:TA721011 ACP721011:ACW721011 AML721011:AMS721011 AWH721011:AWO721011 BGD721011:BGK721011 BPZ721011:BQG721011 BZV721011:CAC721011 CJR721011:CJY721011 CTN721011:CTU721011 DDJ721011:DDQ721011 DNF721011:DNM721011 DXB721011:DXI721011 EGX721011:EHE721011 EQT721011:ERA721011 FAP721011:FAW721011 FKL721011:FKS721011 FUH721011:FUO721011 GED721011:GEK721011 GNZ721011:GOG721011 GXV721011:GYC721011 HHR721011:HHY721011 HRN721011:HRU721011 IBJ721011:IBQ721011 ILF721011:ILM721011 IVB721011:IVI721011 JEX721011:JFE721011 JOT721011:JPA721011 JYP721011:JYW721011 KIL721011:KIS721011 KSH721011:KSO721011 LCD721011:LCK721011 LLZ721011:LMG721011 LVV721011:LWC721011 MFR721011:MFY721011 MPN721011:MPU721011 MZJ721011:MZQ721011 NJF721011:NJM721011 NTB721011:NTI721011 OCX721011:ODE721011 OMT721011:ONA721011 OWP721011:OWW721011 PGL721011:PGS721011 PQH721011:PQO721011 QAD721011:QAK721011 QJZ721011:QKG721011 QTV721011:QUC721011 RDR721011:RDY721011 RNN721011:RNU721011 RXJ721011:RXQ721011 SHF721011:SHM721011 SRB721011:SRI721011 TAX721011:TBE721011 TKT721011:TLA721011 TUP721011:TUW721011 UEL721011:UES721011 UOH721011:UOO721011 UYD721011:UYK721011 VHZ721011:VIG721011 VRV721011:VSC721011 WBR721011:WBY721011 WLN721011:WLU721011 WVJ721011:WVQ721011 B786547:I786547 IX786547:JE786547 ST786547:TA786547 ACP786547:ACW786547 AML786547:AMS786547 AWH786547:AWO786547 BGD786547:BGK786547 BPZ786547:BQG786547 BZV786547:CAC786547 CJR786547:CJY786547 CTN786547:CTU786547 DDJ786547:DDQ786547 DNF786547:DNM786547 DXB786547:DXI786547 EGX786547:EHE786547 EQT786547:ERA786547 FAP786547:FAW786547 FKL786547:FKS786547 FUH786547:FUO786547 GED786547:GEK786547 GNZ786547:GOG786547 GXV786547:GYC786547 HHR786547:HHY786547 HRN786547:HRU786547 IBJ786547:IBQ786547 ILF786547:ILM786547 IVB786547:IVI786547 JEX786547:JFE786547 JOT786547:JPA786547 JYP786547:JYW786547 KIL786547:KIS786547 KSH786547:KSO786547 LCD786547:LCK786547 LLZ786547:LMG786547 LVV786547:LWC786547 MFR786547:MFY786547 MPN786547:MPU786547 MZJ786547:MZQ786547 NJF786547:NJM786547 NTB786547:NTI786547 OCX786547:ODE786547 OMT786547:ONA786547 OWP786547:OWW786547 PGL786547:PGS786547 PQH786547:PQO786547 QAD786547:QAK786547 QJZ786547:QKG786547 QTV786547:QUC786547 RDR786547:RDY786547 RNN786547:RNU786547 RXJ786547:RXQ786547 SHF786547:SHM786547 SRB786547:SRI786547 TAX786547:TBE786547 TKT786547:TLA786547 TUP786547:TUW786547 UEL786547:UES786547 UOH786547:UOO786547 UYD786547:UYK786547 VHZ786547:VIG786547 VRV786547:VSC786547 WBR786547:WBY786547 WLN786547:WLU786547 WVJ786547:WVQ786547 B852083:I852083 IX852083:JE852083 ST852083:TA852083 ACP852083:ACW852083 AML852083:AMS852083 AWH852083:AWO852083 BGD852083:BGK852083 BPZ852083:BQG852083 BZV852083:CAC852083 CJR852083:CJY852083 CTN852083:CTU852083 DDJ852083:DDQ852083 DNF852083:DNM852083 DXB852083:DXI852083 EGX852083:EHE852083 EQT852083:ERA852083 FAP852083:FAW852083 FKL852083:FKS852083 FUH852083:FUO852083 GED852083:GEK852083 GNZ852083:GOG852083 GXV852083:GYC852083 HHR852083:HHY852083 HRN852083:HRU852083 IBJ852083:IBQ852083 ILF852083:ILM852083 IVB852083:IVI852083 JEX852083:JFE852083 JOT852083:JPA852083 JYP852083:JYW852083 KIL852083:KIS852083 KSH852083:KSO852083 LCD852083:LCK852083 LLZ852083:LMG852083 LVV852083:LWC852083 MFR852083:MFY852083 MPN852083:MPU852083 MZJ852083:MZQ852083 NJF852083:NJM852083 NTB852083:NTI852083 OCX852083:ODE852083 OMT852083:ONA852083 OWP852083:OWW852083 PGL852083:PGS852083 PQH852083:PQO852083 QAD852083:QAK852083 QJZ852083:QKG852083 QTV852083:QUC852083 RDR852083:RDY852083 RNN852083:RNU852083 RXJ852083:RXQ852083 SHF852083:SHM852083 SRB852083:SRI852083 TAX852083:TBE852083 TKT852083:TLA852083 TUP852083:TUW852083 UEL852083:UES852083 UOH852083:UOO852083 UYD852083:UYK852083 VHZ852083:VIG852083 VRV852083:VSC852083 WBR852083:WBY852083 WLN852083:WLU852083 WVJ852083:WVQ852083 B917619:I917619 IX917619:JE917619 ST917619:TA917619 ACP917619:ACW917619 AML917619:AMS917619 AWH917619:AWO917619 BGD917619:BGK917619 BPZ917619:BQG917619 BZV917619:CAC917619 CJR917619:CJY917619 CTN917619:CTU917619 DDJ917619:DDQ917619 DNF917619:DNM917619 DXB917619:DXI917619 EGX917619:EHE917619 EQT917619:ERA917619 FAP917619:FAW917619 FKL917619:FKS917619 FUH917619:FUO917619 GED917619:GEK917619 GNZ917619:GOG917619 GXV917619:GYC917619 HHR917619:HHY917619 HRN917619:HRU917619 IBJ917619:IBQ917619 ILF917619:ILM917619 IVB917619:IVI917619 JEX917619:JFE917619 JOT917619:JPA917619 JYP917619:JYW917619 KIL917619:KIS917619 KSH917619:KSO917619 LCD917619:LCK917619 LLZ917619:LMG917619 LVV917619:LWC917619 MFR917619:MFY917619 MPN917619:MPU917619 MZJ917619:MZQ917619 NJF917619:NJM917619 NTB917619:NTI917619 OCX917619:ODE917619 OMT917619:ONA917619 OWP917619:OWW917619 PGL917619:PGS917619 PQH917619:PQO917619 QAD917619:QAK917619 QJZ917619:QKG917619 QTV917619:QUC917619 RDR917619:RDY917619 RNN917619:RNU917619 RXJ917619:RXQ917619 SHF917619:SHM917619 SRB917619:SRI917619 TAX917619:TBE917619 TKT917619:TLA917619 TUP917619:TUW917619 UEL917619:UES917619 UOH917619:UOO917619 UYD917619:UYK917619 VHZ917619:VIG917619 VRV917619:VSC917619 WBR917619:WBY917619 WLN917619:WLU917619 WVJ917619:WVQ917619 B983155:I983155 IX983155:JE983155 ST983155:TA983155 ACP983155:ACW983155 AML983155:AMS983155 AWH983155:AWO983155 BGD983155:BGK983155 BPZ983155:BQG983155 BZV983155:CAC983155 CJR983155:CJY983155 CTN983155:CTU983155 DDJ983155:DDQ983155 DNF983155:DNM983155 DXB983155:DXI983155 EGX983155:EHE983155 EQT983155:ERA983155 FAP983155:FAW983155 FKL983155:FKS983155 FUH983155:FUO983155 GED983155:GEK983155 GNZ983155:GOG983155 GXV983155:GYC983155 HHR983155:HHY983155 HRN983155:HRU983155 IBJ983155:IBQ983155 ILF983155:ILM983155 IVB983155:IVI983155 JEX983155:JFE983155 JOT983155:JPA983155 JYP983155:JYW983155 KIL983155:KIS983155 KSH983155:KSO983155 LCD983155:LCK983155 LLZ983155:LMG983155 LVV983155:LWC983155 MFR983155:MFY983155 MPN983155:MPU983155 MZJ983155:MZQ983155 NJF983155:NJM983155 NTB983155:NTI983155 OCX983155:ODE983155 OMT983155:ONA983155 OWP983155:OWW983155 PGL983155:PGS983155 PQH983155:PQO983155 QAD983155:QAK983155 QJZ983155:QKG983155 QTV983155:QUC983155 RDR983155:RDY983155 RNN983155:RNU983155 RXJ983155:RXQ983155 SHF983155:SHM983155 SRB983155:SRI983155 TAX983155:TBE983155 TKT983155:TLA983155 TUP983155:TUW983155 UEL983155:UES983155 UOH983155:UOO983155 UYD983155:UYK983155 VHZ983155:VIG983155 VRV983155:VSC983155 WBR983155:WBY983155 WLN983155:WLU983155 B47:I47">
      <formula1>Site_name_list</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623:I65623 IX65623:JE65623 ST65623:TA65623 ACP65623:ACW65623 AML65623:AMS65623 AWH65623:AWO65623 BGD65623:BGK65623 BPZ65623:BQG65623 BZV65623:CAC65623 CJR65623:CJY65623 CTN65623:CTU65623 DDJ65623:DDQ65623 DNF65623:DNM65623 DXB65623:DXI65623 EGX65623:EHE65623 EQT65623:ERA65623 FAP65623:FAW65623 FKL65623:FKS65623 FUH65623:FUO65623 GED65623:GEK65623 GNZ65623:GOG65623 GXV65623:GYC65623 HHR65623:HHY65623 HRN65623:HRU65623 IBJ65623:IBQ65623 ILF65623:ILM65623 IVB65623:IVI65623 JEX65623:JFE65623 JOT65623:JPA65623 JYP65623:JYW65623 KIL65623:KIS65623 KSH65623:KSO65623 LCD65623:LCK65623 LLZ65623:LMG65623 LVV65623:LWC65623 MFR65623:MFY65623 MPN65623:MPU65623 MZJ65623:MZQ65623 NJF65623:NJM65623 NTB65623:NTI65623 OCX65623:ODE65623 OMT65623:ONA65623 OWP65623:OWW65623 PGL65623:PGS65623 PQH65623:PQO65623 QAD65623:QAK65623 QJZ65623:QKG65623 QTV65623:QUC65623 RDR65623:RDY65623 RNN65623:RNU65623 RXJ65623:RXQ65623 SHF65623:SHM65623 SRB65623:SRI65623 TAX65623:TBE65623 TKT65623:TLA65623 TUP65623:TUW65623 UEL65623:UES65623 UOH65623:UOO65623 UYD65623:UYK65623 VHZ65623:VIG65623 VRV65623:VSC65623 WBR65623:WBY65623 WLN65623:WLU65623 WVJ65623:WVQ65623 B131159:I131159 IX131159:JE131159 ST131159:TA131159 ACP131159:ACW131159 AML131159:AMS131159 AWH131159:AWO131159 BGD131159:BGK131159 BPZ131159:BQG131159 BZV131159:CAC131159 CJR131159:CJY131159 CTN131159:CTU131159 DDJ131159:DDQ131159 DNF131159:DNM131159 DXB131159:DXI131159 EGX131159:EHE131159 EQT131159:ERA131159 FAP131159:FAW131159 FKL131159:FKS131159 FUH131159:FUO131159 GED131159:GEK131159 GNZ131159:GOG131159 GXV131159:GYC131159 HHR131159:HHY131159 HRN131159:HRU131159 IBJ131159:IBQ131159 ILF131159:ILM131159 IVB131159:IVI131159 JEX131159:JFE131159 JOT131159:JPA131159 JYP131159:JYW131159 KIL131159:KIS131159 KSH131159:KSO131159 LCD131159:LCK131159 LLZ131159:LMG131159 LVV131159:LWC131159 MFR131159:MFY131159 MPN131159:MPU131159 MZJ131159:MZQ131159 NJF131159:NJM131159 NTB131159:NTI131159 OCX131159:ODE131159 OMT131159:ONA131159 OWP131159:OWW131159 PGL131159:PGS131159 PQH131159:PQO131159 QAD131159:QAK131159 QJZ131159:QKG131159 QTV131159:QUC131159 RDR131159:RDY131159 RNN131159:RNU131159 RXJ131159:RXQ131159 SHF131159:SHM131159 SRB131159:SRI131159 TAX131159:TBE131159 TKT131159:TLA131159 TUP131159:TUW131159 UEL131159:UES131159 UOH131159:UOO131159 UYD131159:UYK131159 VHZ131159:VIG131159 VRV131159:VSC131159 WBR131159:WBY131159 WLN131159:WLU131159 WVJ131159:WVQ131159 B196695:I196695 IX196695:JE196695 ST196695:TA196695 ACP196695:ACW196695 AML196695:AMS196695 AWH196695:AWO196695 BGD196695:BGK196695 BPZ196695:BQG196695 BZV196695:CAC196695 CJR196695:CJY196695 CTN196695:CTU196695 DDJ196695:DDQ196695 DNF196695:DNM196695 DXB196695:DXI196695 EGX196695:EHE196695 EQT196695:ERA196695 FAP196695:FAW196695 FKL196695:FKS196695 FUH196695:FUO196695 GED196695:GEK196695 GNZ196695:GOG196695 GXV196695:GYC196695 HHR196695:HHY196695 HRN196695:HRU196695 IBJ196695:IBQ196695 ILF196695:ILM196695 IVB196695:IVI196695 JEX196695:JFE196695 JOT196695:JPA196695 JYP196695:JYW196695 KIL196695:KIS196695 KSH196695:KSO196695 LCD196695:LCK196695 LLZ196695:LMG196695 LVV196695:LWC196695 MFR196695:MFY196695 MPN196695:MPU196695 MZJ196695:MZQ196695 NJF196695:NJM196695 NTB196695:NTI196695 OCX196695:ODE196695 OMT196695:ONA196695 OWP196695:OWW196695 PGL196695:PGS196695 PQH196695:PQO196695 QAD196695:QAK196695 QJZ196695:QKG196695 QTV196695:QUC196695 RDR196695:RDY196695 RNN196695:RNU196695 RXJ196695:RXQ196695 SHF196695:SHM196695 SRB196695:SRI196695 TAX196695:TBE196695 TKT196695:TLA196695 TUP196695:TUW196695 UEL196695:UES196695 UOH196695:UOO196695 UYD196695:UYK196695 VHZ196695:VIG196695 VRV196695:VSC196695 WBR196695:WBY196695 WLN196695:WLU196695 WVJ196695:WVQ196695 B262231:I262231 IX262231:JE262231 ST262231:TA262231 ACP262231:ACW262231 AML262231:AMS262231 AWH262231:AWO262231 BGD262231:BGK262231 BPZ262231:BQG262231 BZV262231:CAC262231 CJR262231:CJY262231 CTN262231:CTU262231 DDJ262231:DDQ262231 DNF262231:DNM262231 DXB262231:DXI262231 EGX262231:EHE262231 EQT262231:ERA262231 FAP262231:FAW262231 FKL262231:FKS262231 FUH262231:FUO262231 GED262231:GEK262231 GNZ262231:GOG262231 GXV262231:GYC262231 HHR262231:HHY262231 HRN262231:HRU262231 IBJ262231:IBQ262231 ILF262231:ILM262231 IVB262231:IVI262231 JEX262231:JFE262231 JOT262231:JPA262231 JYP262231:JYW262231 KIL262231:KIS262231 KSH262231:KSO262231 LCD262231:LCK262231 LLZ262231:LMG262231 LVV262231:LWC262231 MFR262231:MFY262231 MPN262231:MPU262231 MZJ262231:MZQ262231 NJF262231:NJM262231 NTB262231:NTI262231 OCX262231:ODE262231 OMT262231:ONA262231 OWP262231:OWW262231 PGL262231:PGS262231 PQH262231:PQO262231 QAD262231:QAK262231 QJZ262231:QKG262231 QTV262231:QUC262231 RDR262231:RDY262231 RNN262231:RNU262231 RXJ262231:RXQ262231 SHF262231:SHM262231 SRB262231:SRI262231 TAX262231:TBE262231 TKT262231:TLA262231 TUP262231:TUW262231 UEL262231:UES262231 UOH262231:UOO262231 UYD262231:UYK262231 VHZ262231:VIG262231 VRV262231:VSC262231 WBR262231:WBY262231 WLN262231:WLU262231 WVJ262231:WVQ262231 B327767:I327767 IX327767:JE327767 ST327767:TA327767 ACP327767:ACW327767 AML327767:AMS327767 AWH327767:AWO327767 BGD327767:BGK327767 BPZ327767:BQG327767 BZV327767:CAC327767 CJR327767:CJY327767 CTN327767:CTU327767 DDJ327767:DDQ327767 DNF327767:DNM327767 DXB327767:DXI327767 EGX327767:EHE327767 EQT327767:ERA327767 FAP327767:FAW327767 FKL327767:FKS327767 FUH327767:FUO327767 GED327767:GEK327767 GNZ327767:GOG327767 GXV327767:GYC327767 HHR327767:HHY327767 HRN327767:HRU327767 IBJ327767:IBQ327767 ILF327767:ILM327767 IVB327767:IVI327767 JEX327767:JFE327767 JOT327767:JPA327767 JYP327767:JYW327767 KIL327767:KIS327767 KSH327767:KSO327767 LCD327767:LCK327767 LLZ327767:LMG327767 LVV327767:LWC327767 MFR327767:MFY327767 MPN327767:MPU327767 MZJ327767:MZQ327767 NJF327767:NJM327767 NTB327767:NTI327767 OCX327767:ODE327767 OMT327767:ONA327767 OWP327767:OWW327767 PGL327767:PGS327767 PQH327767:PQO327767 QAD327767:QAK327767 QJZ327767:QKG327767 QTV327767:QUC327767 RDR327767:RDY327767 RNN327767:RNU327767 RXJ327767:RXQ327767 SHF327767:SHM327767 SRB327767:SRI327767 TAX327767:TBE327767 TKT327767:TLA327767 TUP327767:TUW327767 UEL327767:UES327767 UOH327767:UOO327767 UYD327767:UYK327767 VHZ327767:VIG327767 VRV327767:VSC327767 WBR327767:WBY327767 WLN327767:WLU327767 WVJ327767:WVQ327767 B393303:I393303 IX393303:JE393303 ST393303:TA393303 ACP393303:ACW393303 AML393303:AMS393303 AWH393303:AWO393303 BGD393303:BGK393303 BPZ393303:BQG393303 BZV393303:CAC393303 CJR393303:CJY393303 CTN393303:CTU393303 DDJ393303:DDQ393303 DNF393303:DNM393303 DXB393303:DXI393303 EGX393303:EHE393303 EQT393303:ERA393303 FAP393303:FAW393303 FKL393303:FKS393303 FUH393303:FUO393303 GED393303:GEK393303 GNZ393303:GOG393303 GXV393303:GYC393303 HHR393303:HHY393303 HRN393303:HRU393303 IBJ393303:IBQ393303 ILF393303:ILM393303 IVB393303:IVI393303 JEX393303:JFE393303 JOT393303:JPA393303 JYP393303:JYW393303 KIL393303:KIS393303 KSH393303:KSO393303 LCD393303:LCK393303 LLZ393303:LMG393303 LVV393303:LWC393303 MFR393303:MFY393303 MPN393303:MPU393303 MZJ393303:MZQ393303 NJF393303:NJM393303 NTB393303:NTI393303 OCX393303:ODE393303 OMT393303:ONA393303 OWP393303:OWW393303 PGL393303:PGS393303 PQH393303:PQO393303 QAD393303:QAK393303 QJZ393303:QKG393303 QTV393303:QUC393303 RDR393303:RDY393303 RNN393303:RNU393303 RXJ393303:RXQ393303 SHF393303:SHM393303 SRB393303:SRI393303 TAX393303:TBE393303 TKT393303:TLA393303 TUP393303:TUW393303 UEL393303:UES393303 UOH393303:UOO393303 UYD393303:UYK393303 VHZ393303:VIG393303 VRV393303:VSC393303 WBR393303:WBY393303 WLN393303:WLU393303 WVJ393303:WVQ393303 B458839:I458839 IX458839:JE458839 ST458839:TA458839 ACP458839:ACW458839 AML458839:AMS458839 AWH458839:AWO458839 BGD458839:BGK458839 BPZ458839:BQG458839 BZV458839:CAC458839 CJR458839:CJY458839 CTN458839:CTU458839 DDJ458839:DDQ458839 DNF458839:DNM458839 DXB458839:DXI458839 EGX458839:EHE458839 EQT458839:ERA458839 FAP458839:FAW458839 FKL458839:FKS458839 FUH458839:FUO458839 GED458839:GEK458839 GNZ458839:GOG458839 GXV458839:GYC458839 HHR458839:HHY458839 HRN458839:HRU458839 IBJ458839:IBQ458839 ILF458839:ILM458839 IVB458839:IVI458839 JEX458839:JFE458839 JOT458839:JPA458839 JYP458839:JYW458839 KIL458839:KIS458839 KSH458839:KSO458839 LCD458839:LCK458839 LLZ458839:LMG458839 LVV458839:LWC458839 MFR458839:MFY458839 MPN458839:MPU458839 MZJ458839:MZQ458839 NJF458839:NJM458839 NTB458839:NTI458839 OCX458839:ODE458839 OMT458839:ONA458839 OWP458839:OWW458839 PGL458839:PGS458839 PQH458839:PQO458839 QAD458839:QAK458839 QJZ458839:QKG458839 QTV458839:QUC458839 RDR458839:RDY458839 RNN458839:RNU458839 RXJ458839:RXQ458839 SHF458839:SHM458839 SRB458839:SRI458839 TAX458839:TBE458839 TKT458839:TLA458839 TUP458839:TUW458839 UEL458839:UES458839 UOH458839:UOO458839 UYD458839:UYK458839 VHZ458839:VIG458839 VRV458839:VSC458839 WBR458839:WBY458839 WLN458839:WLU458839 WVJ458839:WVQ458839 B524375:I524375 IX524375:JE524375 ST524375:TA524375 ACP524375:ACW524375 AML524375:AMS524375 AWH524375:AWO524375 BGD524375:BGK524375 BPZ524375:BQG524375 BZV524375:CAC524375 CJR524375:CJY524375 CTN524375:CTU524375 DDJ524375:DDQ524375 DNF524375:DNM524375 DXB524375:DXI524375 EGX524375:EHE524375 EQT524375:ERA524375 FAP524375:FAW524375 FKL524375:FKS524375 FUH524375:FUO524375 GED524375:GEK524375 GNZ524375:GOG524375 GXV524375:GYC524375 HHR524375:HHY524375 HRN524375:HRU524375 IBJ524375:IBQ524375 ILF524375:ILM524375 IVB524375:IVI524375 JEX524375:JFE524375 JOT524375:JPA524375 JYP524375:JYW524375 KIL524375:KIS524375 KSH524375:KSO524375 LCD524375:LCK524375 LLZ524375:LMG524375 LVV524375:LWC524375 MFR524375:MFY524375 MPN524375:MPU524375 MZJ524375:MZQ524375 NJF524375:NJM524375 NTB524375:NTI524375 OCX524375:ODE524375 OMT524375:ONA524375 OWP524375:OWW524375 PGL524375:PGS524375 PQH524375:PQO524375 QAD524375:QAK524375 QJZ524375:QKG524375 QTV524375:QUC524375 RDR524375:RDY524375 RNN524375:RNU524375 RXJ524375:RXQ524375 SHF524375:SHM524375 SRB524375:SRI524375 TAX524375:TBE524375 TKT524375:TLA524375 TUP524375:TUW524375 UEL524375:UES524375 UOH524375:UOO524375 UYD524375:UYK524375 VHZ524375:VIG524375 VRV524375:VSC524375 WBR524375:WBY524375 WLN524375:WLU524375 WVJ524375:WVQ524375 B589911:I589911 IX589911:JE589911 ST589911:TA589911 ACP589911:ACW589911 AML589911:AMS589911 AWH589911:AWO589911 BGD589911:BGK589911 BPZ589911:BQG589911 BZV589911:CAC589911 CJR589911:CJY589911 CTN589911:CTU589911 DDJ589911:DDQ589911 DNF589911:DNM589911 DXB589911:DXI589911 EGX589911:EHE589911 EQT589911:ERA589911 FAP589911:FAW589911 FKL589911:FKS589911 FUH589911:FUO589911 GED589911:GEK589911 GNZ589911:GOG589911 GXV589911:GYC589911 HHR589911:HHY589911 HRN589911:HRU589911 IBJ589911:IBQ589911 ILF589911:ILM589911 IVB589911:IVI589911 JEX589911:JFE589911 JOT589911:JPA589911 JYP589911:JYW589911 KIL589911:KIS589911 KSH589911:KSO589911 LCD589911:LCK589911 LLZ589911:LMG589911 LVV589911:LWC589911 MFR589911:MFY589911 MPN589911:MPU589911 MZJ589911:MZQ589911 NJF589911:NJM589911 NTB589911:NTI589911 OCX589911:ODE589911 OMT589911:ONA589911 OWP589911:OWW589911 PGL589911:PGS589911 PQH589911:PQO589911 QAD589911:QAK589911 QJZ589911:QKG589911 QTV589911:QUC589911 RDR589911:RDY589911 RNN589911:RNU589911 RXJ589911:RXQ589911 SHF589911:SHM589911 SRB589911:SRI589911 TAX589911:TBE589911 TKT589911:TLA589911 TUP589911:TUW589911 UEL589911:UES589911 UOH589911:UOO589911 UYD589911:UYK589911 VHZ589911:VIG589911 VRV589911:VSC589911 WBR589911:WBY589911 WLN589911:WLU589911 WVJ589911:WVQ589911 B655447:I655447 IX655447:JE655447 ST655447:TA655447 ACP655447:ACW655447 AML655447:AMS655447 AWH655447:AWO655447 BGD655447:BGK655447 BPZ655447:BQG655447 BZV655447:CAC655447 CJR655447:CJY655447 CTN655447:CTU655447 DDJ655447:DDQ655447 DNF655447:DNM655447 DXB655447:DXI655447 EGX655447:EHE655447 EQT655447:ERA655447 FAP655447:FAW655447 FKL655447:FKS655447 FUH655447:FUO655447 GED655447:GEK655447 GNZ655447:GOG655447 GXV655447:GYC655447 HHR655447:HHY655447 HRN655447:HRU655447 IBJ655447:IBQ655447 ILF655447:ILM655447 IVB655447:IVI655447 JEX655447:JFE655447 JOT655447:JPA655447 JYP655447:JYW655447 KIL655447:KIS655447 KSH655447:KSO655447 LCD655447:LCK655447 LLZ655447:LMG655447 LVV655447:LWC655447 MFR655447:MFY655447 MPN655447:MPU655447 MZJ655447:MZQ655447 NJF655447:NJM655447 NTB655447:NTI655447 OCX655447:ODE655447 OMT655447:ONA655447 OWP655447:OWW655447 PGL655447:PGS655447 PQH655447:PQO655447 QAD655447:QAK655447 QJZ655447:QKG655447 QTV655447:QUC655447 RDR655447:RDY655447 RNN655447:RNU655447 RXJ655447:RXQ655447 SHF655447:SHM655447 SRB655447:SRI655447 TAX655447:TBE655447 TKT655447:TLA655447 TUP655447:TUW655447 UEL655447:UES655447 UOH655447:UOO655447 UYD655447:UYK655447 VHZ655447:VIG655447 VRV655447:VSC655447 WBR655447:WBY655447 WLN655447:WLU655447 WVJ655447:WVQ655447 B720983:I720983 IX720983:JE720983 ST720983:TA720983 ACP720983:ACW720983 AML720983:AMS720983 AWH720983:AWO720983 BGD720983:BGK720983 BPZ720983:BQG720983 BZV720983:CAC720983 CJR720983:CJY720983 CTN720983:CTU720983 DDJ720983:DDQ720983 DNF720983:DNM720983 DXB720983:DXI720983 EGX720983:EHE720983 EQT720983:ERA720983 FAP720983:FAW720983 FKL720983:FKS720983 FUH720983:FUO720983 GED720983:GEK720983 GNZ720983:GOG720983 GXV720983:GYC720983 HHR720983:HHY720983 HRN720983:HRU720983 IBJ720983:IBQ720983 ILF720983:ILM720983 IVB720983:IVI720983 JEX720983:JFE720983 JOT720983:JPA720983 JYP720983:JYW720983 KIL720983:KIS720983 KSH720983:KSO720983 LCD720983:LCK720983 LLZ720983:LMG720983 LVV720983:LWC720983 MFR720983:MFY720983 MPN720983:MPU720983 MZJ720983:MZQ720983 NJF720983:NJM720983 NTB720983:NTI720983 OCX720983:ODE720983 OMT720983:ONA720983 OWP720983:OWW720983 PGL720983:PGS720983 PQH720983:PQO720983 QAD720983:QAK720983 QJZ720983:QKG720983 QTV720983:QUC720983 RDR720983:RDY720983 RNN720983:RNU720983 RXJ720983:RXQ720983 SHF720983:SHM720983 SRB720983:SRI720983 TAX720983:TBE720983 TKT720983:TLA720983 TUP720983:TUW720983 UEL720983:UES720983 UOH720983:UOO720983 UYD720983:UYK720983 VHZ720983:VIG720983 VRV720983:VSC720983 WBR720983:WBY720983 WLN720983:WLU720983 WVJ720983:WVQ720983 B786519:I786519 IX786519:JE786519 ST786519:TA786519 ACP786519:ACW786519 AML786519:AMS786519 AWH786519:AWO786519 BGD786519:BGK786519 BPZ786519:BQG786519 BZV786519:CAC786519 CJR786519:CJY786519 CTN786519:CTU786519 DDJ786519:DDQ786519 DNF786519:DNM786519 DXB786519:DXI786519 EGX786519:EHE786519 EQT786519:ERA786519 FAP786519:FAW786519 FKL786519:FKS786519 FUH786519:FUO786519 GED786519:GEK786519 GNZ786519:GOG786519 GXV786519:GYC786519 HHR786519:HHY786519 HRN786519:HRU786519 IBJ786519:IBQ786519 ILF786519:ILM786519 IVB786519:IVI786519 JEX786519:JFE786519 JOT786519:JPA786519 JYP786519:JYW786519 KIL786519:KIS786519 KSH786519:KSO786519 LCD786519:LCK786519 LLZ786519:LMG786519 LVV786519:LWC786519 MFR786519:MFY786519 MPN786519:MPU786519 MZJ786519:MZQ786519 NJF786519:NJM786519 NTB786519:NTI786519 OCX786519:ODE786519 OMT786519:ONA786519 OWP786519:OWW786519 PGL786519:PGS786519 PQH786519:PQO786519 QAD786519:QAK786519 QJZ786519:QKG786519 QTV786519:QUC786519 RDR786519:RDY786519 RNN786519:RNU786519 RXJ786519:RXQ786519 SHF786519:SHM786519 SRB786519:SRI786519 TAX786519:TBE786519 TKT786519:TLA786519 TUP786519:TUW786519 UEL786519:UES786519 UOH786519:UOO786519 UYD786519:UYK786519 VHZ786519:VIG786519 VRV786519:VSC786519 WBR786519:WBY786519 WLN786519:WLU786519 WVJ786519:WVQ786519 B852055:I852055 IX852055:JE852055 ST852055:TA852055 ACP852055:ACW852055 AML852055:AMS852055 AWH852055:AWO852055 BGD852055:BGK852055 BPZ852055:BQG852055 BZV852055:CAC852055 CJR852055:CJY852055 CTN852055:CTU852055 DDJ852055:DDQ852055 DNF852055:DNM852055 DXB852055:DXI852055 EGX852055:EHE852055 EQT852055:ERA852055 FAP852055:FAW852055 FKL852055:FKS852055 FUH852055:FUO852055 GED852055:GEK852055 GNZ852055:GOG852055 GXV852055:GYC852055 HHR852055:HHY852055 HRN852055:HRU852055 IBJ852055:IBQ852055 ILF852055:ILM852055 IVB852055:IVI852055 JEX852055:JFE852055 JOT852055:JPA852055 JYP852055:JYW852055 KIL852055:KIS852055 KSH852055:KSO852055 LCD852055:LCK852055 LLZ852055:LMG852055 LVV852055:LWC852055 MFR852055:MFY852055 MPN852055:MPU852055 MZJ852055:MZQ852055 NJF852055:NJM852055 NTB852055:NTI852055 OCX852055:ODE852055 OMT852055:ONA852055 OWP852055:OWW852055 PGL852055:PGS852055 PQH852055:PQO852055 QAD852055:QAK852055 QJZ852055:QKG852055 QTV852055:QUC852055 RDR852055:RDY852055 RNN852055:RNU852055 RXJ852055:RXQ852055 SHF852055:SHM852055 SRB852055:SRI852055 TAX852055:TBE852055 TKT852055:TLA852055 TUP852055:TUW852055 UEL852055:UES852055 UOH852055:UOO852055 UYD852055:UYK852055 VHZ852055:VIG852055 VRV852055:VSC852055 WBR852055:WBY852055 WLN852055:WLU852055 WVJ852055:WVQ852055 B917591:I917591 IX917591:JE917591 ST917591:TA917591 ACP917591:ACW917591 AML917591:AMS917591 AWH917591:AWO917591 BGD917591:BGK917591 BPZ917591:BQG917591 BZV917591:CAC917591 CJR917591:CJY917591 CTN917591:CTU917591 DDJ917591:DDQ917591 DNF917591:DNM917591 DXB917591:DXI917591 EGX917591:EHE917591 EQT917591:ERA917591 FAP917591:FAW917591 FKL917591:FKS917591 FUH917591:FUO917591 GED917591:GEK917591 GNZ917591:GOG917591 GXV917591:GYC917591 HHR917591:HHY917591 HRN917591:HRU917591 IBJ917591:IBQ917591 ILF917591:ILM917591 IVB917591:IVI917591 JEX917591:JFE917591 JOT917591:JPA917591 JYP917591:JYW917591 KIL917591:KIS917591 KSH917591:KSO917591 LCD917591:LCK917591 LLZ917591:LMG917591 LVV917591:LWC917591 MFR917591:MFY917591 MPN917591:MPU917591 MZJ917591:MZQ917591 NJF917591:NJM917591 NTB917591:NTI917591 OCX917591:ODE917591 OMT917591:ONA917591 OWP917591:OWW917591 PGL917591:PGS917591 PQH917591:PQO917591 QAD917591:QAK917591 QJZ917591:QKG917591 QTV917591:QUC917591 RDR917591:RDY917591 RNN917591:RNU917591 RXJ917591:RXQ917591 SHF917591:SHM917591 SRB917591:SRI917591 TAX917591:TBE917591 TKT917591:TLA917591 TUP917591:TUW917591 UEL917591:UES917591 UOH917591:UOO917591 UYD917591:UYK917591 VHZ917591:VIG917591 VRV917591:VSC917591 WBR917591:WBY917591 WLN917591:WLU917591 WVJ917591:WVQ917591 B983127:I983127 IX983127:JE983127 ST983127:TA983127 ACP983127:ACW983127 AML983127:AMS983127 AWH983127:AWO983127 BGD983127:BGK983127 BPZ983127:BQG983127 BZV983127:CAC983127 CJR983127:CJY983127 CTN983127:CTU983127 DDJ983127:DDQ983127 DNF983127:DNM983127 DXB983127:DXI983127 EGX983127:EHE983127 EQT983127:ERA983127 FAP983127:FAW983127 FKL983127:FKS983127 FUH983127:FUO983127 GED983127:GEK983127 GNZ983127:GOG983127 GXV983127:GYC983127 HHR983127:HHY983127 HRN983127:HRU983127 IBJ983127:IBQ983127 ILF983127:ILM983127 IVB983127:IVI983127 JEX983127:JFE983127 JOT983127:JPA983127 JYP983127:JYW983127 KIL983127:KIS983127 KSH983127:KSO983127 LCD983127:LCK983127 LLZ983127:LMG983127 LVV983127:LWC983127 MFR983127:MFY983127 MPN983127:MPU983127 MZJ983127:MZQ983127 NJF983127:NJM983127 NTB983127:NTI983127 OCX983127:ODE983127 OMT983127:ONA983127 OWP983127:OWW983127 PGL983127:PGS983127 PQH983127:PQO983127 QAD983127:QAK983127 QJZ983127:QKG983127 QTV983127:QUC983127 RDR983127:RDY983127 RNN983127:RNU983127 RXJ983127:RXQ983127 SHF983127:SHM983127 SRB983127:SRI983127 TAX983127:TBE983127 TKT983127:TLA983127 TUP983127:TUW983127 UEL983127:UES983127 UOH983127:UOO983127 UYD983127:UYK983127 VHZ983127:VIG983127 VRV983127:VSC983127 WBR983127:WBY983127 WLN983127:WLU983127 WVJ983127:WVQ983127">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IX17:JE17 ST17:TA17 ACP17:ACW17 AML17:AMS17 AWH17:AWO17 BGD17:BGK17 BPZ17:BQG17 BZV17:CAC17 CJR17:CJY17 CTN17:CTU17 DDJ17:DDQ17 DNF17:DNM17 DXB17:DXI17 EGX17:EHE17 EQT17:ERA17 FAP17:FAW17 FKL17:FKS17 FUH17:FUO17 GED17:GEK17 GNZ17:GOG17 GXV17:GYC17 HHR17:HHY17 HRN17:HRU17 IBJ17:IBQ17 ILF17:ILM17 IVB17:IVI17 JEX17:JFE17 JOT17:JPA17 JYP17:JYW17 KIL17:KIS17 KSH17:KSO17 LCD17:LCK17 LLZ17:LMG17 LVV17:LWC17 MFR17:MFY17 MPN17:MPU17 MZJ17:MZQ17 NJF17:NJM17 NTB17:NTI17 OCX17:ODE17 OMT17:ONA17 OWP17:OWW17 PGL17:PGS17 PQH17:PQO17 QAD17:QAK17 QJZ17:QKG17 QTV17:QUC17 RDR17:RDY17 RNN17:RNU17 RXJ17:RXQ17 SHF17:SHM17 SRB17:SRI17 TAX17:TBE17 TKT17:TLA17 TUP17:TUW17 UEL17:UES17 UOH17:UOO17 UYD17:UYK17 VHZ17:VIG17 VRV17:VSC17 WBR17:WBY17 WLN17:WLU17 WVJ17:WVQ17 B65622:I65622 IX65622:JE65622 ST65622:TA65622 ACP65622:ACW65622 AML65622:AMS65622 AWH65622:AWO65622 BGD65622:BGK65622 BPZ65622:BQG65622 BZV65622:CAC65622 CJR65622:CJY65622 CTN65622:CTU65622 DDJ65622:DDQ65622 DNF65622:DNM65622 DXB65622:DXI65622 EGX65622:EHE65622 EQT65622:ERA65622 FAP65622:FAW65622 FKL65622:FKS65622 FUH65622:FUO65622 GED65622:GEK65622 GNZ65622:GOG65622 GXV65622:GYC65622 HHR65622:HHY65622 HRN65622:HRU65622 IBJ65622:IBQ65622 ILF65622:ILM65622 IVB65622:IVI65622 JEX65622:JFE65622 JOT65622:JPA65622 JYP65622:JYW65622 KIL65622:KIS65622 KSH65622:KSO65622 LCD65622:LCK65622 LLZ65622:LMG65622 LVV65622:LWC65622 MFR65622:MFY65622 MPN65622:MPU65622 MZJ65622:MZQ65622 NJF65622:NJM65622 NTB65622:NTI65622 OCX65622:ODE65622 OMT65622:ONA65622 OWP65622:OWW65622 PGL65622:PGS65622 PQH65622:PQO65622 QAD65622:QAK65622 QJZ65622:QKG65622 QTV65622:QUC65622 RDR65622:RDY65622 RNN65622:RNU65622 RXJ65622:RXQ65622 SHF65622:SHM65622 SRB65622:SRI65622 TAX65622:TBE65622 TKT65622:TLA65622 TUP65622:TUW65622 UEL65622:UES65622 UOH65622:UOO65622 UYD65622:UYK65622 VHZ65622:VIG65622 VRV65622:VSC65622 WBR65622:WBY65622 WLN65622:WLU65622 WVJ65622:WVQ65622 B131158:I131158 IX131158:JE131158 ST131158:TA131158 ACP131158:ACW131158 AML131158:AMS131158 AWH131158:AWO131158 BGD131158:BGK131158 BPZ131158:BQG131158 BZV131158:CAC131158 CJR131158:CJY131158 CTN131158:CTU131158 DDJ131158:DDQ131158 DNF131158:DNM131158 DXB131158:DXI131158 EGX131158:EHE131158 EQT131158:ERA131158 FAP131158:FAW131158 FKL131158:FKS131158 FUH131158:FUO131158 GED131158:GEK131158 GNZ131158:GOG131158 GXV131158:GYC131158 HHR131158:HHY131158 HRN131158:HRU131158 IBJ131158:IBQ131158 ILF131158:ILM131158 IVB131158:IVI131158 JEX131158:JFE131158 JOT131158:JPA131158 JYP131158:JYW131158 KIL131158:KIS131158 KSH131158:KSO131158 LCD131158:LCK131158 LLZ131158:LMG131158 LVV131158:LWC131158 MFR131158:MFY131158 MPN131158:MPU131158 MZJ131158:MZQ131158 NJF131158:NJM131158 NTB131158:NTI131158 OCX131158:ODE131158 OMT131158:ONA131158 OWP131158:OWW131158 PGL131158:PGS131158 PQH131158:PQO131158 QAD131158:QAK131158 QJZ131158:QKG131158 QTV131158:QUC131158 RDR131158:RDY131158 RNN131158:RNU131158 RXJ131158:RXQ131158 SHF131158:SHM131158 SRB131158:SRI131158 TAX131158:TBE131158 TKT131158:TLA131158 TUP131158:TUW131158 UEL131158:UES131158 UOH131158:UOO131158 UYD131158:UYK131158 VHZ131158:VIG131158 VRV131158:VSC131158 WBR131158:WBY131158 WLN131158:WLU131158 WVJ131158:WVQ131158 B196694:I196694 IX196694:JE196694 ST196694:TA196694 ACP196694:ACW196694 AML196694:AMS196694 AWH196694:AWO196694 BGD196694:BGK196694 BPZ196694:BQG196694 BZV196694:CAC196694 CJR196694:CJY196694 CTN196694:CTU196694 DDJ196694:DDQ196694 DNF196694:DNM196694 DXB196694:DXI196694 EGX196694:EHE196694 EQT196694:ERA196694 FAP196694:FAW196694 FKL196694:FKS196694 FUH196694:FUO196694 GED196694:GEK196694 GNZ196694:GOG196694 GXV196694:GYC196694 HHR196694:HHY196694 HRN196694:HRU196694 IBJ196694:IBQ196694 ILF196694:ILM196694 IVB196694:IVI196694 JEX196694:JFE196694 JOT196694:JPA196694 JYP196694:JYW196694 KIL196694:KIS196694 KSH196694:KSO196694 LCD196694:LCK196694 LLZ196694:LMG196694 LVV196694:LWC196694 MFR196694:MFY196694 MPN196694:MPU196694 MZJ196694:MZQ196694 NJF196694:NJM196694 NTB196694:NTI196694 OCX196694:ODE196694 OMT196694:ONA196694 OWP196694:OWW196694 PGL196694:PGS196694 PQH196694:PQO196694 QAD196694:QAK196694 QJZ196694:QKG196694 QTV196694:QUC196694 RDR196694:RDY196694 RNN196694:RNU196694 RXJ196694:RXQ196694 SHF196694:SHM196694 SRB196694:SRI196694 TAX196694:TBE196694 TKT196694:TLA196694 TUP196694:TUW196694 UEL196694:UES196694 UOH196694:UOO196694 UYD196694:UYK196694 VHZ196694:VIG196694 VRV196694:VSC196694 WBR196694:WBY196694 WLN196694:WLU196694 WVJ196694:WVQ196694 B262230:I262230 IX262230:JE262230 ST262230:TA262230 ACP262230:ACW262230 AML262230:AMS262230 AWH262230:AWO262230 BGD262230:BGK262230 BPZ262230:BQG262230 BZV262230:CAC262230 CJR262230:CJY262230 CTN262230:CTU262230 DDJ262230:DDQ262230 DNF262230:DNM262230 DXB262230:DXI262230 EGX262230:EHE262230 EQT262230:ERA262230 FAP262230:FAW262230 FKL262230:FKS262230 FUH262230:FUO262230 GED262230:GEK262230 GNZ262230:GOG262230 GXV262230:GYC262230 HHR262230:HHY262230 HRN262230:HRU262230 IBJ262230:IBQ262230 ILF262230:ILM262230 IVB262230:IVI262230 JEX262230:JFE262230 JOT262230:JPA262230 JYP262230:JYW262230 KIL262230:KIS262230 KSH262230:KSO262230 LCD262230:LCK262230 LLZ262230:LMG262230 LVV262230:LWC262230 MFR262230:MFY262230 MPN262230:MPU262230 MZJ262230:MZQ262230 NJF262230:NJM262230 NTB262230:NTI262230 OCX262230:ODE262230 OMT262230:ONA262230 OWP262230:OWW262230 PGL262230:PGS262230 PQH262230:PQO262230 QAD262230:QAK262230 QJZ262230:QKG262230 QTV262230:QUC262230 RDR262230:RDY262230 RNN262230:RNU262230 RXJ262230:RXQ262230 SHF262230:SHM262230 SRB262230:SRI262230 TAX262230:TBE262230 TKT262230:TLA262230 TUP262230:TUW262230 UEL262230:UES262230 UOH262230:UOO262230 UYD262230:UYK262230 VHZ262230:VIG262230 VRV262230:VSC262230 WBR262230:WBY262230 WLN262230:WLU262230 WVJ262230:WVQ262230 B327766:I327766 IX327766:JE327766 ST327766:TA327766 ACP327766:ACW327766 AML327766:AMS327766 AWH327766:AWO327766 BGD327766:BGK327766 BPZ327766:BQG327766 BZV327766:CAC327766 CJR327766:CJY327766 CTN327766:CTU327766 DDJ327766:DDQ327766 DNF327766:DNM327766 DXB327766:DXI327766 EGX327766:EHE327766 EQT327766:ERA327766 FAP327766:FAW327766 FKL327766:FKS327766 FUH327766:FUO327766 GED327766:GEK327766 GNZ327766:GOG327766 GXV327766:GYC327766 HHR327766:HHY327766 HRN327766:HRU327766 IBJ327766:IBQ327766 ILF327766:ILM327766 IVB327766:IVI327766 JEX327766:JFE327766 JOT327766:JPA327766 JYP327766:JYW327766 KIL327766:KIS327766 KSH327766:KSO327766 LCD327766:LCK327766 LLZ327766:LMG327766 LVV327766:LWC327766 MFR327766:MFY327766 MPN327766:MPU327766 MZJ327766:MZQ327766 NJF327766:NJM327766 NTB327766:NTI327766 OCX327766:ODE327766 OMT327766:ONA327766 OWP327766:OWW327766 PGL327766:PGS327766 PQH327766:PQO327766 QAD327766:QAK327766 QJZ327766:QKG327766 QTV327766:QUC327766 RDR327766:RDY327766 RNN327766:RNU327766 RXJ327766:RXQ327766 SHF327766:SHM327766 SRB327766:SRI327766 TAX327766:TBE327766 TKT327766:TLA327766 TUP327766:TUW327766 UEL327766:UES327766 UOH327766:UOO327766 UYD327766:UYK327766 VHZ327766:VIG327766 VRV327766:VSC327766 WBR327766:WBY327766 WLN327766:WLU327766 WVJ327766:WVQ327766 B393302:I393302 IX393302:JE393302 ST393302:TA393302 ACP393302:ACW393302 AML393302:AMS393302 AWH393302:AWO393302 BGD393302:BGK393302 BPZ393302:BQG393302 BZV393302:CAC393302 CJR393302:CJY393302 CTN393302:CTU393302 DDJ393302:DDQ393302 DNF393302:DNM393302 DXB393302:DXI393302 EGX393302:EHE393302 EQT393302:ERA393302 FAP393302:FAW393302 FKL393302:FKS393302 FUH393302:FUO393302 GED393302:GEK393302 GNZ393302:GOG393302 GXV393302:GYC393302 HHR393302:HHY393302 HRN393302:HRU393302 IBJ393302:IBQ393302 ILF393302:ILM393302 IVB393302:IVI393302 JEX393302:JFE393302 JOT393302:JPA393302 JYP393302:JYW393302 KIL393302:KIS393302 KSH393302:KSO393302 LCD393302:LCK393302 LLZ393302:LMG393302 LVV393302:LWC393302 MFR393302:MFY393302 MPN393302:MPU393302 MZJ393302:MZQ393302 NJF393302:NJM393302 NTB393302:NTI393302 OCX393302:ODE393302 OMT393302:ONA393302 OWP393302:OWW393302 PGL393302:PGS393302 PQH393302:PQO393302 QAD393302:QAK393302 QJZ393302:QKG393302 QTV393302:QUC393302 RDR393302:RDY393302 RNN393302:RNU393302 RXJ393302:RXQ393302 SHF393302:SHM393302 SRB393302:SRI393302 TAX393302:TBE393302 TKT393302:TLA393302 TUP393302:TUW393302 UEL393302:UES393302 UOH393302:UOO393302 UYD393302:UYK393302 VHZ393302:VIG393302 VRV393302:VSC393302 WBR393302:WBY393302 WLN393302:WLU393302 WVJ393302:WVQ393302 B458838:I458838 IX458838:JE458838 ST458838:TA458838 ACP458838:ACW458838 AML458838:AMS458838 AWH458838:AWO458838 BGD458838:BGK458838 BPZ458838:BQG458838 BZV458838:CAC458838 CJR458838:CJY458838 CTN458838:CTU458838 DDJ458838:DDQ458838 DNF458838:DNM458838 DXB458838:DXI458838 EGX458838:EHE458838 EQT458838:ERA458838 FAP458838:FAW458838 FKL458838:FKS458838 FUH458838:FUO458838 GED458838:GEK458838 GNZ458838:GOG458838 GXV458838:GYC458838 HHR458838:HHY458838 HRN458838:HRU458838 IBJ458838:IBQ458838 ILF458838:ILM458838 IVB458838:IVI458838 JEX458838:JFE458838 JOT458838:JPA458838 JYP458838:JYW458838 KIL458838:KIS458838 KSH458838:KSO458838 LCD458838:LCK458838 LLZ458838:LMG458838 LVV458838:LWC458838 MFR458838:MFY458838 MPN458838:MPU458838 MZJ458838:MZQ458838 NJF458838:NJM458838 NTB458838:NTI458838 OCX458838:ODE458838 OMT458838:ONA458838 OWP458838:OWW458838 PGL458838:PGS458838 PQH458838:PQO458838 QAD458838:QAK458838 QJZ458838:QKG458838 QTV458838:QUC458838 RDR458838:RDY458838 RNN458838:RNU458838 RXJ458838:RXQ458838 SHF458838:SHM458838 SRB458838:SRI458838 TAX458838:TBE458838 TKT458838:TLA458838 TUP458838:TUW458838 UEL458838:UES458838 UOH458838:UOO458838 UYD458838:UYK458838 VHZ458838:VIG458838 VRV458838:VSC458838 WBR458838:WBY458838 WLN458838:WLU458838 WVJ458838:WVQ458838 B524374:I524374 IX524374:JE524374 ST524374:TA524374 ACP524374:ACW524374 AML524374:AMS524374 AWH524374:AWO524374 BGD524374:BGK524374 BPZ524374:BQG524374 BZV524374:CAC524374 CJR524374:CJY524374 CTN524374:CTU524374 DDJ524374:DDQ524374 DNF524374:DNM524374 DXB524374:DXI524374 EGX524374:EHE524374 EQT524374:ERA524374 FAP524374:FAW524374 FKL524374:FKS524374 FUH524374:FUO524374 GED524374:GEK524374 GNZ524374:GOG524374 GXV524374:GYC524374 HHR524374:HHY524374 HRN524374:HRU524374 IBJ524374:IBQ524374 ILF524374:ILM524374 IVB524374:IVI524374 JEX524374:JFE524374 JOT524374:JPA524374 JYP524374:JYW524374 KIL524374:KIS524374 KSH524374:KSO524374 LCD524374:LCK524374 LLZ524374:LMG524374 LVV524374:LWC524374 MFR524374:MFY524374 MPN524374:MPU524374 MZJ524374:MZQ524374 NJF524374:NJM524374 NTB524374:NTI524374 OCX524374:ODE524374 OMT524374:ONA524374 OWP524374:OWW524374 PGL524374:PGS524374 PQH524374:PQO524374 QAD524374:QAK524374 QJZ524374:QKG524374 QTV524374:QUC524374 RDR524374:RDY524374 RNN524374:RNU524374 RXJ524374:RXQ524374 SHF524374:SHM524374 SRB524374:SRI524374 TAX524374:TBE524374 TKT524374:TLA524374 TUP524374:TUW524374 UEL524374:UES524374 UOH524374:UOO524374 UYD524374:UYK524374 VHZ524374:VIG524374 VRV524374:VSC524374 WBR524374:WBY524374 WLN524374:WLU524374 WVJ524374:WVQ524374 B589910:I589910 IX589910:JE589910 ST589910:TA589910 ACP589910:ACW589910 AML589910:AMS589910 AWH589910:AWO589910 BGD589910:BGK589910 BPZ589910:BQG589910 BZV589910:CAC589910 CJR589910:CJY589910 CTN589910:CTU589910 DDJ589910:DDQ589910 DNF589910:DNM589910 DXB589910:DXI589910 EGX589910:EHE589910 EQT589910:ERA589910 FAP589910:FAW589910 FKL589910:FKS589910 FUH589910:FUO589910 GED589910:GEK589910 GNZ589910:GOG589910 GXV589910:GYC589910 HHR589910:HHY589910 HRN589910:HRU589910 IBJ589910:IBQ589910 ILF589910:ILM589910 IVB589910:IVI589910 JEX589910:JFE589910 JOT589910:JPA589910 JYP589910:JYW589910 KIL589910:KIS589910 KSH589910:KSO589910 LCD589910:LCK589910 LLZ589910:LMG589910 LVV589910:LWC589910 MFR589910:MFY589910 MPN589910:MPU589910 MZJ589910:MZQ589910 NJF589910:NJM589910 NTB589910:NTI589910 OCX589910:ODE589910 OMT589910:ONA589910 OWP589910:OWW589910 PGL589910:PGS589910 PQH589910:PQO589910 QAD589910:QAK589910 QJZ589910:QKG589910 QTV589910:QUC589910 RDR589910:RDY589910 RNN589910:RNU589910 RXJ589910:RXQ589910 SHF589910:SHM589910 SRB589910:SRI589910 TAX589910:TBE589910 TKT589910:TLA589910 TUP589910:TUW589910 UEL589910:UES589910 UOH589910:UOO589910 UYD589910:UYK589910 VHZ589910:VIG589910 VRV589910:VSC589910 WBR589910:WBY589910 WLN589910:WLU589910 WVJ589910:WVQ589910 B655446:I655446 IX655446:JE655446 ST655446:TA655446 ACP655446:ACW655446 AML655446:AMS655446 AWH655446:AWO655446 BGD655446:BGK655446 BPZ655446:BQG655446 BZV655446:CAC655446 CJR655446:CJY655446 CTN655446:CTU655446 DDJ655446:DDQ655446 DNF655446:DNM655446 DXB655446:DXI655446 EGX655446:EHE655446 EQT655446:ERA655446 FAP655446:FAW655446 FKL655446:FKS655446 FUH655446:FUO655446 GED655446:GEK655446 GNZ655446:GOG655446 GXV655446:GYC655446 HHR655446:HHY655446 HRN655446:HRU655446 IBJ655446:IBQ655446 ILF655446:ILM655446 IVB655446:IVI655446 JEX655446:JFE655446 JOT655446:JPA655446 JYP655446:JYW655446 KIL655446:KIS655446 KSH655446:KSO655446 LCD655446:LCK655446 LLZ655446:LMG655446 LVV655446:LWC655446 MFR655446:MFY655446 MPN655446:MPU655446 MZJ655446:MZQ655446 NJF655446:NJM655446 NTB655446:NTI655446 OCX655446:ODE655446 OMT655446:ONA655446 OWP655446:OWW655446 PGL655446:PGS655446 PQH655446:PQO655446 QAD655446:QAK655446 QJZ655446:QKG655446 QTV655446:QUC655446 RDR655446:RDY655446 RNN655446:RNU655446 RXJ655446:RXQ655446 SHF655446:SHM655446 SRB655446:SRI655446 TAX655446:TBE655446 TKT655446:TLA655446 TUP655446:TUW655446 UEL655446:UES655446 UOH655446:UOO655446 UYD655446:UYK655446 VHZ655446:VIG655446 VRV655446:VSC655446 WBR655446:WBY655446 WLN655446:WLU655446 WVJ655446:WVQ655446 B720982:I720982 IX720982:JE720982 ST720982:TA720982 ACP720982:ACW720982 AML720982:AMS720982 AWH720982:AWO720982 BGD720982:BGK720982 BPZ720982:BQG720982 BZV720982:CAC720982 CJR720982:CJY720982 CTN720982:CTU720982 DDJ720982:DDQ720982 DNF720982:DNM720982 DXB720982:DXI720982 EGX720982:EHE720982 EQT720982:ERA720982 FAP720982:FAW720982 FKL720982:FKS720982 FUH720982:FUO720982 GED720982:GEK720982 GNZ720982:GOG720982 GXV720982:GYC720982 HHR720982:HHY720982 HRN720982:HRU720982 IBJ720982:IBQ720982 ILF720982:ILM720982 IVB720982:IVI720982 JEX720982:JFE720982 JOT720982:JPA720982 JYP720982:JYW720982 KIL720982:KIS720982 KSH720982:KSO720982 LCD720982:LCK720982 LLZ720982:LMG720982 LVV720982:LWC720982 MFR720982:MFY720982 MPN720982:MPU720982 MZJ720982:MZQ720982 NJF720982:NJM720982 NTB720982:NTI720982 OCX720982:ODE720982 OMT720982:ONA720982 OWP720982:OWW720982 PGL720982:PGS720982 PQH720982:PQO720982 QAD720982:QAK720982 QJZ720982:QKG720982 QTV720982:QUC720982 RDR720982:RDY720982 RNN720982:RNU720982 RXJ720982:RXQ720982 SHF720982:SHM720982 SRB720982:SRI720982 TAX720982:TBE720982 TKT720982:TLA720982 TUP720982:TUW720982 UEL720982:UES720982 UOH720982:UOO720982 UYD720982:UYK720982 VHZ720982:VIG720982 VRV720982:VSC720982 WBR720982:WBY720982 WLN720982:WLU720982 WVJ720982:WVQ720982 B786518:I786518 IX786518:JE786518 ST786518:TA786518 ACP786518:ACW786518 AML786518:AMS786518 AWH786518:AWO786518 BGD786518:BGK786518 BPZ786518:BQG786518 BZV786518:CAC786518 CJR786518:CJY786518 CTN786518:CTU786518 DDJ786518:DDQ786518 DNF786518:DNM786518 DXB786518:DXI786518 EGX786518:EHE786518 EQT786518:ERA786518 FAP786518:FAW786518 FKL786518:FKS786518 FUH786518:FUO786518 GED786518:GEK786518 GNZ786518:GOG786518 GXV786518:GYC786518 HHR786518:HHY786518 HRN786518:HRU786518 IBJ786518:IBQ786518 ILF786518:ILM786518 IVB786518:IVI786518 JEX786518:JFE786518 JOT786518:JPA786518 JYP786518:JYW786518 KIL786518:KIS786518 KSH786518:KSO786518 LCD786518:LCK786518 LLZ786518:LMG786518 LVV786518:LWC786518 MFR786518:MFY786518 MPN786518:MPU786518 MZJ786518:MZQ786518 NJF786518:NJM786518 NTB786518:NTI786518 OCX786518:ODE786518 OMT786518:ONA786518 OWP786518:OWW786518 PGL786518:PGS786518 PQH786518:PQO786518 QAD786518:QAK786518 QJZ786518:QKG786518 QTV786518:QUC786518 RDR786518:RDY786518 RNN786518:RNU786518 RXJ786518:RXQ786518 SHF786518:SHM786518 SRB786518:SRI786518 TAX786518:TBE786518 TKT786518:TLA786518 TUP786518:TUW786518 UEL786518:UES786518 UOH786518:UOO786518 UYD786518:UYK786518 VHZ786518:VIG786518 VRV786518:VSC786518 WBR786518:WBY786518 WLN786518:WLU786518 WVJ786518:WVQ786518 B852054:I852054 IX852054:JE852054 ST852054:TA852054 ACP852054:ACW852054 AML852054:AMS852054 AWH852054:AWO852054 BGD852054:BGK852054 BPZ852054:BQG852054 BZV852054:CAC852054 CJR852054:CJY852054 CTN852054:CTU852054 DDJ852054:DDQ852054 DNF852054:DNM852054 DXB852054:DXI852054 EGX852054:EHE852054 EQT852054:ERA852054 FAP852054:FAW852054 FKL852054:FKS852054 FUH852054:FUO852054 GED852054:GEK852054 GNZ852054:GOG852054 GXV852054:GYC852054 HHR852054:HHY852054 HRN852054:HRU852054 IBJ852054:IBQ852054 ILF852054:ILM852054 IVB852054:IVI852054 JEX852054:JFE852054 JOT852054:JPA852054 JYP852054:JYW852054 KIL852054:KIS852054 KSH852054:KSO852054 LCD852054:LCK852054 LLZ852054:LMG852054 LVV852054:LWC852054 MFR852054:MFY852054 MPN852054:MPU852054 MZJ852054:MZQ852054 NJF852054:NJM852054 NTB852054:NTI852054 OCX852054:ODE852054 OMT852054:ONA852054 OWP852054:OWW852054 PGL852054:PGS852054 PQH852054:PQO852054 QAD852054:QAK852054 QJZ852054:QKG852054 QTV852054:QUC852054 RDR852054:RDY852054 RNN852054:RNU852054 RXJ852054:RXQ852054 SHF852054:SHM852054 SRB852054:SRI852054 TAX852054:TBE852054 TKT852054:TLA852054 TUP852054:TUW852054 UEL852054:UES852054 UOH852054:UOO852054 UYD852054:UYK852054 VHZ852054:VIG852054 VRV852054:VSC852054 WBR852054:WBY852054 WLN852054:WLU852054 WVJ852054:WVQ852054 B917590:I917590 IX917590:JE917590 ST917590:TA917590 ACP917590:ACW917590 AML917590:AMS917590 AWH917590:AWO917590 BGD917590:BGK917590 BPZ917590:BQG917590 BZV917590:CAC917590 CJR917590:CJY917590 CTN917590:CTU917590 DDJ917590:DDQ917590 DNF917590:DNM917590 DXB917590:DXI917590 EGX917590:EHE917590 EQT917590:ERA917590 FAP917590:FAW917590 FKL917590:FKS917590 FUH917590:FUO917590 GED917590:GEK917590 GNZ917590:GOG917590 GXV917590:GYC917590 HHR917590:HHY917590 HRN917590:HRU917590 IBJ917590:IBQ917590 ILF917590:ILM917590 IVB917590:IVI917590 JEX917590:JFE917590 JOT917590:JPA917590 JYP917590:JYW917590 KIL917590:KIS917590 KSH917590:KSO917590 LCD917590:LCK917590 LLZ917590:LMG917590 LVV917590:LWC917590 MFR917590:MFY917590 MPN917590:MPU917590 MZJ917590:MZQ917590 NJF917590:NJM917590 NTB917590:NTI917590 OCX917590:ODE917590 OMT917590:ONA917590 OWP917590:OWW917590 PGL917590:PGS917590 PQH917590:PQO917590 QAD917590:QAK917590 QJZ917590:QKG917590 QTV917590:QUC917590 RDR917590:RDY917590 RNN917590:RNU917590 RXJ917590:RXQ917590 SHF917590:SHM917590 SRB917590:SRI917590 TAX917590:TBE917590 TKT917590:TLA917590 TUP917590:TUW917590 UEL917590:UES917590 UOH917590:UOO917590 UYD917590:UYK917590 VHZ917590:VIG917590 VRV917590:VSC917590 WBR917590:WBY917590 WLN917590:WLU917590 WVJ917590:WVQ917590 B983126:I983126 IX983126:JE983126 ST983126:TA983126 ACP983126:ACW983126 AML983126:AMS983126 AWH983126:AWO983126 BGD983126:BGK983126 BPZ983126:BQG983126 BZV983126:CAC983126 CJR983126:CJY983126 CTN983126:CTU983126 DDJ983126:DDQ983126 DNF983126:DNM983126 DXB983126:DXI983126 EGX983126:EHE983126 EQT983126:ERA983126 FAP983126:FAW983126 FKL983126:FKS983126 FUH983126:FUO983126 GED983126:GEK983126 GNZ983126:GOG983126 GXV983126:GYC983126 HHR983126:HHY983126 HRN983126:HRU983126 IBJ983126:IBQ983126 ILF983126:ILM983126 IVB983126:IVI983126 JEX983126:JFE983126 JOT983126:JPA983126 JYP983126:JYW983126 KIL983126:KIS983126 KSH983126:KSO983126 LCD983126:LCK983126 LLZ983126:LMG983126 LVV983126:LWC983126 MFR983126:MFY983126 MPN983126:MPU983126 MZJ983126:MZQ983126 NJF983126:NJM983126 NTB983126:NTI983126 OCX983126:ODE983126 OMT983126:ONA983126 OWP983126:OWW983126 PGL983126:PGS983126 PQH983126:PQO983126 QAD983126:QAK983126 QJZ983126:QKG983126 QTV983126:QUC983126 RDR983126:RDY983126 RNN983126:RNU983126 RXJ983126:RXQ983126 SHF983126:SHM983126 SRB983126:SRI983126 TAX983126:TBE983126 TKT983126:TLA983126 TUP983126:TUW983126 UEL983126:UES983126 UOH983126:UOO983126 UYD983126:UYK983126 VHZ983126:VIG983126 VRV983126:VSC983126 WBR983126:WBY983126 WLN983126:WLU983126 WVJ983126:WVQ983126">
      <formula1>$K$191:$K$196</formula1>
    </dataValidation>
    <dataValidation type="list" allowBlank="1" showInputMessage="1" showErrorMessage="1" error="Please Select fromt he drop-down list." promptTitle="Data Type" prompt="Please select DateTime, Number or Text from the drop-down list." sqref="C191:C403 IY191:IY403 SU191:SU403 ACQ191:ACQ403 AMM191:AMM403 AWI191:AWI403 BGE191:BGE403 BQA191:BQA403 BZW191:BZW403 CJS191:CJS403 CTO191:CTO403 DDK191:DDK403 DNG191:DNG403 DXC191:DXC403 EGY191:EGY403 EQU191:EQU403 FAQ191:FAQ403 FKM191:FKM403 FUI191:FUI403 GEE191:GEE403 GOA191:GOA403 GXW191:GXW403 HHS191:HHS403 HRO191:HRO403 IBK191:IBK403 ILG191:ILG403 IVC191:IVC403 JEY191:JEY403 JOU191:JOU403 JYQ191:JYQ403 KIM191:KIM403 KSI191:KSI403 LCE191:LCE403 LMA191:LMA403 LVW191:LVW403 MFS191:MFS403 MPO191:MPO403 MZK191:MZK403 NJG191:NJG403 NTC191:NTC403 OCY191:OCY403 OMU191:OMU403 OWQ191:OWQ403 PGM191:PGM403 PQI191:PQI403 QAE191:QAE403 QKA191:QKA403 QTW191:QTW403 RDS191:RDS403 RNO191:RNO403 RXK191:RXK403 SHG191:SHG403 SRC191:SRC403 TAY191:TAY403 TKU191:TKU403 TUQ191:TUQ403 UEM191:UEM403 UOI191:UOI403 UYE191:UYE403 VIA191:VIA403 VRW191:VRW403 WBS191:WBS403 WLO191:WLO403 WVK191:WVK403 C65727:C65939 IY65727:IY65939 SU65727:SU65939 ACQ65727:ACQ65939 AMM65727:AMM65939 AWI65727:AWI65939 BGE65727:BGE65939 BQA65727:BQA65939 BZW65727:BZW65939 CJS65727:CJS65939 CTO65727:CTO65939 DDK65727:DDK65939 DNG65727:DNG65939 DXC65727:DXC65939 EGY65727:EGY65939 EQU65727:EQU65939 FAQ65727:FAQ65939 FKM65727:FKM65939 FUI65727:FUI65939 GEE65727:GEE65939 GOA65727:GOA65939 GXW65727:GXW65939 HHS65727:HHS65939 HRO65727:HRO65939 IBK65727:IBK65939 ILG65727:ILG65939 IVC65727:IVC65939 JEY65727:JEY65939 JOU65727:JOU65939 JYQ65727:JYQ65939 KIM65727:KIM65939 KSI65727:KSI65939 LCE65727:LCE65939 LMA65727:LMA65939 LVW65727:LVW65939 MFS65727:MFS65939 MPO65727:MPO65939 MZK65727:MZK65939 NJG65727:NJG65939 NTC65727:NTC65939 OCY65727:OCY65939 OMU65727:OMU65939 OWQ65727:OWQ65939 PGM65727:PGM65939 PQI65727:PQI65939 QAE65727:QAE65939 QKA65727:QKA65939 QTW65727:QTW65939 RDS65727:RDS65939 RNO65727:RNO65939 RXK65727:RXK65939 SHG65727:SHG65939 SRC65727:SRC65939 TAY65727:TAY65939 TKU65727:TKU65939 TUQ65727:TUQ65939 UEM65727:UEM65939 UOI65727:UOI65939 UYE65727:UYE65939 VIA65727:VIA65939 VRW65727:VRW65939 WBS65727:WBS65939 WLO65727:WLO65939 WVK65727:WVK65939 C131263:C131475 IY131263:IY131475 SU131263:SU131475 ACQ131263:ACQ131475 AMM131263:AMM131475 AWI131263:AWI131475 BGE131263:BGE131475 BQA131263:BQA131475 BZW131263:BZW131475 CJS131263:CJS131475 CTO131263:CTO131475 DDK131263:DDK131475 DNG131263:DNG131475 DXC131263:DXC131475 EGY131263:EGY131475 EQU131263:EQU131475 FAQ131263:FAQ131475 FKM131263:FKM131475 FUI131263:FUI131475 GEE131263:GEE131475 GOA131263:GOA131475 GXW131263:GXW131475 HHS131263:HHS131475 HRO131263:HRO131475 IBK131263:IBK131475 ILG131263:ILG131475 IVC131263:IVC131475 JEY131263:JEY131475 JOU131263:JOU131475 JYQ131263:JYQ131475 KIM131263:KIM131475 KSI131263:KSI131475 LCE131263:LCE131475 LMA131263:LMA131475 LVW131263:LVW131475 MFS131263:MFS131475 MPO131263:MPO131475 MZK131263:MZK131475 NJG131263:NJG131475 NTC131263:NTC131475 OCY131263:OCY131475 OMU131263:OMU131475 OWQ131263:OWQ131475 PGM131263:PGM131475 PQI131263:PQI131475 QAE131263:QAE131475 QKA131263:QKA131475 QTW131263:QTW131475 RDS131263:RDS131475 RNO131263:RNO131475 RXK131263:RXK131475 SHG131263:SHG131475 SRC131263:SRC131475 TAY131263:TAY131475 TKU131263:TKU131475 TUQ131263:TUQ131475 UEM131263:UEM131475 UOI131263:UOI131475 UYE131263:UYE131475 VIA131263:VIA131475 VRW131263:VRW131475 WBS131263:WBS131475 WLO131263:WLO131475 WVK131263:WVK131475 C196799:C197011 IY196799:IY197011 SU196799:SU197011 ACQ196799:ACQ197011 AMM196799:AMM197011 AWI196799:AWI197011 BGE196799:BGE197011 BQA196799:BQA197011 BZW196799:BZW197011 CJS196799:CJS197011 CTO196799:CTO197011 DDK196799:DDK197011 DNG196799:DNG197011 DXC196799:DXC197011 EGY196799:EGY197011 EQU196799:EQU197011 FAQ196799:FAQ197011 FKM196799:FKM197011 FUI196799:FUI197011 GEE196799:GEE197011 GOA196799:GOA197011 GXW196799:GXW197011 HHS196799:HHS197011 HRO196799:HRO197011 IBK196799:IBK197011 ILG196799:ILG197011 IVC196799:IVC197011 JEY196799:JEY197011 JOU196799:JOU197011 JYQ196799:JYQ197011 KIM196799:KIM197011 KSI196799:KSI197011 LCE196799:LCE197011 LMA196799:LMA197011 LVW196799:LVW197011 MFS196799:MFS197011 MPO196799:MPO197011 MZK196799:MZK197011 NJG196799:NJG197011 NTC196799:NTC197011 OCY196799:OCY197011 OMU196799:OMU197011 OWQ196799:OWQ197011 PGM196799:PGM197011 PQI196799:PQI197011 QAE196799:QAE197011 QKA196799:QKA197011 QTW196799:QTW197011 RDS196799:RDS197011 RNO196799:RNO197011 RXK196799:RXK197011 SHG196799:SHG197011 SRC196799:SRC197011 TAY196799:TAY197011 TKU196799:TKU197011 TUQ196799:TUQ197011 UEM196799:UEM197011 UOI196799:UOI197011 UYE196799:UYE197011 VIA196799:VIA197011 VRW196799:VRW197011 WBS196799:WBS197011 WLO196799:WLO197011 WVK196799:WVK197011 C262335:C262547 IY262335:IY262547 SU262335:SU262547 ACQ262335:ACQ262547 AMM262335:AMM262547 AWI262335:AWI262547 BGE262335:BGE262547 BQA262335:BQA262547 BZW262335:BZW262547 CJS262335:CJS262547 CTO262335:CTO262547 DDK262335:DDK262547 DNG262335:DNG262547 DXC262335:DXC262547 EGY262335:EGY262547 EQU262335:EQU262547 FAQ262335:FAQ262547 FKM262335:FKM262547 FUI262335:FUI262547 GEE262335:GEE262547 GOA262335:GOA262547 GXW262335:GXW262547 HHS262335:HHS262547 HRO262335:HRO262547 IBK262335:IBK262547 ILG262335:ILG262547 IVC262335:IVC262547 JEY262335:JEY262547 JOU262335:JOU262547 JYQ262335:JYQ262547 KIM262335:KIM262547 KSI262335:KSI262547 LCE262335:LCE262547 LMA262335:LMA262547 LVW262335:LVW262547 MFS262335:MFS262547 MPO262335:MPO262547 MZK262335:MZK262547 NJG262335:NJG262547 NTC262335:NTC262547 OCY262335:OCY262547 OMU262335:OMU262547 OWQ262335:OWQ262547 PGM262335:PGM262547 PQI262335:PQI262547 QAE262335:QAE262547 QKA262335:QKA262547 QTW262335:QTW262547 RDS262335:RDS262547 RNO262335:RNO262547 RXK262335:RXK262547 SHG262335:SHG262547 SRC262335:SRC262547 TAY262335:TAY262547 TKU262335:TKU262547 TUQ262335:TUQ262547 UEM262335:UEM262547 UOI262335:UOI262547 UYE262335:UYE262547 VIA262335:VIA262547 VRW262335:VRW262547 WBS262335:WBS262547 WLO262335:WLO262547 WVK262335:WVK262547 C327871:C328083 IY327871:IY328083 SU327871:SU328083 ACQ327871:ACQ328083 AMM327871:AMM328083 AWI327871:AWI328083 BGE327871:BGE328083 BQA327871:BQA328083 BZW327871:BZW328083 CJS327871:CJS328083 CTO327871:CTO328083 DDK327871:DDK328083 DNG327871:DNG328083 DXC327871:DXC328083 EGY327871:EGY328083 EQU327871:EQU328083 FAQ327871:FAQ328083 FKM327871:FKM328083 FUI327871:FUI328083 GEE327871:GEE328083 GOA327871:GOA328083 GXW327871:GXW328083 HHS327871:HHS328083 HRO327871:HRO328083 IBK327871:IBK328083 ILG327871:ILG328083 IVC327871:IVC328083 JEY327871:JEY328083 JOU327871:JOU328083 JYQ327871:JYQ328083 KIM327871:KIM328083 KSI327871:KSI328083 LCE327871:LCE328083 LMA327871:LMA328083 LVW327871:LVW328083 MFS327871:MFS328083 MPO327871:MPO328083 MZK327871:MZK328083 NJG327871:NJG328083 NTC327871:NTC328083 OCY327871:OCY328083 OMU327871:OMU328083 OWQ327871:OWQ328083 PGM327871:PGM328083 PQI327871:PQI328083 QAE327871:QAE328083 QKA327871:QKA328083 QTW327871:QTW328083 RDS327871:RDS328083 RNO327871:RNO328083 RXK327871:RXK328083 SHG327871:SHG328083 SRC327871:SRC328083 TAY327871:TAY328083 TKU327871:TKU328083 TUQ327871:TUQ328083 UEM327871:UEM328083 UOI327871:UOI328083 UYE327871:UYE328083 VIA327871:VIA328083 VRW327871:VRW328083 WBS327871:WBS328083 WLO327871:WLO328083 WVK327871:WVK328083 C393407:C393619 IY393407:IY393619 SU393407:SU393619 ACQ393407:ACQ393619 AMM393407:AMM393619 AWI393407:AWI393619 BGE393407:BGE393619 BQA393407:BQA393619 BZW393407:BZW393619 CJS393407:CJS393619 CTO393407:CTO393619 DDK393407:DDK393619 DNG393407:DNG393619 DXC393407:DXC393619 EGY393407:EGY393619 EQU393407:EQU393619 FAQ393407:FAQ393619 FKM393407:FKM393619 FUI393407:FUI393619 GEE393407:GEE393619 GOA393407:GOA393619 GXW393407:GXW393619 HHS393407:HHS393619 HRO393407:HRO393619 IBK393407:IBK393619 ILG393407:ILG393619 IVC393407:IVC393619 JEY393407:JEY393619 JOU393407:JOU393619 JYQ393407:JYQ393619 KIM393407:KIM393619 KSI393407:KSI393619 LCE393407:LCE393619 LMA393407:LMA393619 LVW393407:LVW393619 MFS393407:MFS393619 MPO393407:MPO393619 MZK393407:MZK393619 NJG393407:NJG393619 NTC393407:NTC393619 OCY393407:OCY393619 OMU393407:OMU393619 OWQ393407:OWQ393619 PGM393407:PGM393619 PQI393407:PQI393619 QAE393407:QAE393619 QKA393407:QKA393619 QTW393407:QTW393619 RDS393407:RDS393619 RNO393407:RNO393619 RXK393407:RXK393619 SHG393407:SHG393619 SRC393407:SRC393619 TAY393407:TAY393619 TKU393407:TKU393619 TUQ393407:TUQ393619 UEM393407:UEM393619 UOI393407:UOI393619 UYE393407:UYE393619 VIA393407:VIA393619 VRW393407:VRW393619 WBS393407:WBS393619 WLO393407:WLO393619 WVK393407:WVK393619 C458943:C459155 IY458943:IY459155 SU458943:SU459155 ACQ458943:ACQ459155 AMM458943:AMM459155 AWI458943:AWI459155 BGE458943:BGE459155 BQA458943:BQA459155 BZW458943:BZW459155 CJS458943:CJS459155 CTO458943:CTO459155 DDK458943:DDK459155 DNG458943:DNG459155 DXC458943:DXC459155 EGY458943:EGY459155 EQU458943:EQU459155 FAQ458943:FAQ459155 FKM458943:FKM459155 FUI458943:FUI459155 GEE458943:GEE459155 GOA458943:GOA459155 GXW458943:GXW459155 HHS458943:HHS459155 HRO458943:HRO459155 IBK458943:IBK459155 ILG458943:ILG459155 IVC458943:IVC459155 JEY458943:JEY459155 JOU458943:JOU459155 JYQ458943:JYQ459155 KIM458943:KIM459155 KSI458943:KSI459155 LCE458943:LCE459155 LMA458943:LMA459155 LVW458943:LVW459155 MFS458943:MFS459155 MPO458943:MPO459155 MZK458943:MZK459155 NJG458943:NJG459155 NTC458943:NTC459155 OCY458943:OCY459155 OMU458943:OMU459155 OWQ458943:OWQ459155 PGM458943:PGM459155 PQI458943:PQI459155 QAE458943:QAE459155 QKA458943:QKA459155 QTW458943:QTW459155 RDS458943:RDS459155 RNO458943:RNO459155 RXK458943:RXK459155 SHG458943:SHG459155 SRC458943:SRC459155 TAY458943:TAY459155 TKU458943:TKU459155 TUQ458943:TUQ459155 UEM458943:UEM459155 UOI458943:UOI459155 UYE458943:UYE459155 VIA458943:VIA459155 VRW458943:VRW459155 WBS458943:WBS459155 WLO458943:WLO459155 WVK458943:WVK459155 C524479:C524691 IY524479:IY524691 SU524479:SU524691 ACQ524479:ACQ524691 AMM524479:AMM524691 AWI524479:AWI524691 BGE524479:BGE524691 BQA524479:BQA524691 BZW524479:BZW524691 CJS524479:CJS524691 CTO524479:CTO524691 DDK524479:DDK524691 DNG524479:DNG524691 DXC524479:DXC524691 EGY524479:EGY524691 EQU524479:EQU524691 FAQ524479:FAQ524691 FKM524479:FKM524691 FUI524479:FUI524691 GEE524479:GEE524691 GOA524479:GOA524691 GXW524479:GXW524691 HHS524479:HHS524691 HRO524479:HRO524691 IBK524479:IBK524691 ILG524479:ILG524691 IVC524479:IVC524691 JEY524479:JEY524691 JOU524479:JOU524691 JYQ524479:JYQ524691 KIM524479:KIM524691 KSI524479:KSI524691 LCE524479:LCE524691 LMA524479:LMA524691 LVW524479:LVW524691 MFS524479:MFS524691 MPO524479:MPO524691 MZK524479:MZK524691 NJG524479:NJG524691 NTC524479:NTC524691 OCY524479:OCY524691 OMU524479:OMU524691 OWQ524479:OWQ524691 PGM524479:PGM524691 PQI524479:PQI524691 QAE524479:QAE524691 QKA524479:QKA524691 QTW524479:QTW524691 RDS524479:RDS524691 RNO524479:RNO524691 RXK524479:RXK524691 SHG524479:SHG524691 SRC524479:SRC524691 TAY524479:TAY524691 TKU524479:TKU524691 TUQ524479:TUQ524691 UEM524479:UEM524691 UOI524479:UOI524691 UYE524479:UYE524691 VIA524479:VIA524691 VRW524479:VRW524691 WBS524479:WBS524691 WLO524479:WLO524691 WVK524479:WVK524691 C590015:C590227 IY590015:IY590227 SU590015:SU590227 ACQ590015:ACQ590227 AMM590015:AMM590227 AWI590015:AWI590227 BGE590015:BGE590227 BQA590015:BQA590227 BZW590015:BZW590227 CJS590015:CJS590227 CTO590015:CTO590227 DDK590015:DDK590227 DNG590015:DNG590227 DXC590015:DXC590227 EGY590015:EGY590227 EQU590015:EQU590227 FAQ590015:FAQ590227 FKM590015:FKM590227 FUI590015:FUI590227 GEE590015:GEE590227 GOA590015:GOA590227 GXW590015:GXW590227 HHS590015:HHS590227 HRO590015:HRO590227 IBK590015:IBK590227 ILG590015:ILG590227 IVC590015:IVC590227 JEY590015:JEY590227 JOU590015:JOU590227 JYQ590015:JYQ590227 KIM590015:KIM590227 KSI590015:KSI590227 LCE590015:LCE590227 LMA590015:LMA590227 LVW590015:LVW590227 MFS590015:MFS590227 MPO590015:MPO590227 MZK590015:MZK590227 NJG590015:NJG590227 NTC590015:NTC590227 OCY590015:OCY590227 OMU590015:OMU590227 OWQ590015:OWQ590227 PGM590015:PGM590227 PQI590015:PQI590227 QAE590015:QAE590227 QKA590015:QKA590227 QTW590015:QTW590227 RDS590015:RDS590227 RNO590015:RNO590227 RXK590015:RXK590227 SHG590015:SHG590227 SRC590015:SRC590227 TAY590015:TAY590227 TKU590015:TKU590227 TUQ590015:TUQ590227 UEM590015:UEM590227 UOI590015:UOI590227 UYE590015:UYE590227 VIA590015:VIA590227 VRW590015:VRW590227 WBS590015:WBS590227 WLO590015:WLO590227 WVK590015:WVK590227 C655551:C655763 IY655551:IY655763 SU655551:SU655763 ACQ655551:ACQ655763 AMM655551:AMM655763 AWI655551:AWI655763 BGE655551:BGE655763 BQA655551:BQA655763 BZW655551:BZW655763 CJS655551:CJS655763 CTO655551:CTO655763 DDK655551:DDK655763 DNG655551:DNG655763 DXC655551:DXC655763 EGY655551:EGY655763 EQU655551:EQU655763 FAQ655551:FAQ655763 FKM655551:FKM655763 FUI655551:FUI655763 GEE655551:GEE655763 GOA655551:GOA655763 GXW655551:GXW655763 HHS655551:HHS655763 HRO655551:HRO655763 IBK655551:IBK655763 ILG655551:ILG655763 IVC655551:IVC655763 JEY655551:JEY655763 JOU655551:JOU655763 JYQ655551:JYQ655763 KIM655551:KIM655763 KSI655551:KSI655763 LCE655551:LCE655763 LMA655551:LMA655763 LVW655551:LVW655763 MFS655551:MFS655763 MPO655551:MPO655763 MZK655551:MZK655763 NJG655551:NJG655763 NTC655551:NTC655763 OCY655551:OCY655763 OMU655551:OMU655763 OWQ655551:OWQ655763 PGM655551:PGM655763 PQI655551:PQI655763 QAE655551:QAE655763 QKA655551:QKA655763 QTW655551:QTW655763 RDS655551:RDS655763 RNO655551:RNO655763 RXK655551:RXK655763 SHG655551:SHG655763 SRC655551:SRC655763 TAY655551:TAY655763 TKU655551:TKU655763 TUQ655551:TUQ655763 UEM655551:UEM655763 UOI655551:UOI655763 UYE655551:UYE655763 VIA655551:VIA655763 VRW655551:VRW655763 WBS655551:WBS655763 WLO655551:WLO655763 WVK655551:WVK655763 C721087:C721299 IY721087:IY721299 SU721087:SU721299 ACQ721087:ACQ721299 AMM721087:AMM721299 AWI721087:AWI721299 BGE721087:BGE721299 BQA721087:BQA721299 BZW721087:BZW721299 CJS721087:CJS721299 CTO721087:CTO721299 DDK721087:DDK721299 DNG721087:DNG721299 DXC721087:DXC721299 EGY721087:EGY721299 EQU721087:EQU721299 FAQ721087:FAQ721299 FKM721087:FKM721299 FUI721087:FUI721299 GEE721087:GEE721299 GOA721087:GOA721299 GXW721087:GXW721299 HHS721087:HHS721299 HRO721087:HRO721299 IBK721087:IBK721299 ILG721087:ILG721299 IVC721087:IVC721299 JEY721087:JEY721299 JOU721087:JOU721299 JYQ721087:JYQ721299 KIM721087:KIM721299 KSI721087:KSI721299 LCE721087:LCE721299 LMA721087:LMA721299 LVW721087:LVW721299 MFS721087:MFS721299 MPO721087:MPO721299 MZK721087:MZK721299 NJG721087:NJG721299 NTC721087:NTC721299 OCY721087:OCY721299 OMU721087:OMU721299 OWQ721087:OWQ721299 PGM721087:PGM721299 PQI721087:PQI721299 QAE721087:QAE721299 QKA721087:QKA721299 QTW721087:QTW721299 RDS721087:RDS721299 RNO721087:RNO721299 RXK721087:RXK721299 SHG721087:SHG721299 SRC721087:SRC721299 TAY721087:TAY721299 TKU721087:TKU721299 TUQ721087:TUQ721299 UEM721087:UEM721299 UOI721087:UOI721299 UYE721087:UYE721299 VIA721087:VIA721299 VRW721087:VRW721299 WBS721087:WBS721299 WLO721087:WLO721299 WVK721087:WVK721299 C786623:C786835 IY786623:IY786835 SU786623:SU786835 ACQ786623:ACQ786835 AMM786623:AMM786835 AWI786623:AWI786835 BGE786623:BGE786835 BQA786623:BQA786835 BZW786623:BZW786835 CJS786623:CJS786835 CTO786623:CTO786835 DDK786623:DDK786835 DNG786623:DNG786835 DXC786623:DXC786835 EGY786623:EGY786835 EQU786623:EQU786835 FAQ786623:FAQ786835 FKM786623:FKM786835 FUI786623:FUI786835 GEE786623:GEE786835 GOA786623:GOA786835 GXW786623:GXW786835 HHS786623:HHS786835 HRO786623:HRO786835 IBK786623:IBK786835 ILG786623:ILG786835 IVC786623:IVC786835 JEY786623:JEY786835 JOU786623:JOU786835 JYQ786623:JYQ786835 KIM786623:KIM786835 KSI786623:KSI786835 LCE786623:LCE786835 LMA786623:LMA786835 LVW786623:LVW786835 MFS786623:MFS786835 MPO786623:MPO786835 MZK786623:MZK786835 NJG786623:NJG786835 NTC786623:NTC786835 OCY786623:OCY786835 OMU786623:OMU786835 OWQ786623:OWQ786835 PGM786623:PGM786835 PQI786623:PQI786835 QAE786623:QAE786835 QKA786623:QKA786835 QTW786623:QTW786835 RDS786623:RDS786835 RNO786623:RNO786835 RXK786623:RXK786835 SHG786623:SHG786835 SRC786623:SRC786835 TAY786623:TAY786835 TKU786623:TKU786835 TUQ786623:TUQ786835 UEM786623:UEM786835 UOI786623:UOI786835 UYE786623:UYE786835 VIA786623:VIA786835 VRW786623:VRW786835 WBS786623:WBS786835 WLO786623:WLO786835 WVK786623:WVK786835 C852159:C852371 IY852159:IY852371 SU852159:SU852371 ACQ852159:ACQ852371 AMM852159:AMM852371 AWI852159:AWI852371 BGE852159:BGE852371 BQA852159:BQA852371 BZW852159:BZW852371 CJS852159:CJS852371 CTO852159:CTO852371 DDK852159:DDK852371 DNG852159:DNG852371 DXC852159:DXC852371 EGY852159:EGY852371 EQU852159:EQU852371 FAQ852159:FAQ852371 FKM852159:FKM852371 FUI852159:FUI852371 GEE852159:GEE852371 GOA852159:GOA852371 GXW852159:GXW852371 HHS852159:HHS852371 HRO852159:HRO852371 IBK852159:IBK852371 ILG852159:ILG852371 IVC852159:IVC852371 JEY852159:JEY852371 JOU852159:JOU852371 JYQ852159:JYQ852371 KIM852159:KIM852371 KSI852159:KSI852371 LCE852159:LCE852371 LMA852159:LMA852371 LVW852159:LVW852371 MFS852159:MFS852371 MPO852159:MPO852371 MZK852159:MZK852371 NJG852159:NJG852371 NTC852159:NTC852371 OCY852159:OCY852371 OMU852159:OMU852371 OWQ852159:OWQ852371 PGM852159:PGM852371 PQI852159:PQI852371 QAE852159:QAE852371 QKA852159:QKA852371 QTW852159:QTW852371 RDS852159:RDS852371 RNO852159:RNO852371 RXK852159:RXK852371 SHG852159:SHG852371 SRC852159:SRC852371 TAY852159:TAY852371 TKU852159:TKU852371 TUQ852159:TUQ852371 UEM852159:UEM852371 UOI852159:UOI852371 UYE852159:UYE852371 VIA852159:VIA852371 VRW852159:VRW852371 WBS852159:WBS852371 WLO852159:WLO852371 WVK852159:WVK852371 C917695:C917907 IY917695:IY917907 SU917695:SU917907 ACQ917695:ACQ917907 AMM917695:AMM917907 AWI917695:AWI917907 BGE917695:BGE917907 BQA917695:BQA917907 BZW917695:BZW917907 CJS917695:CJS917907 CTO917695:CTO917907 DDK917695:DDK917907 DNG917695:DNG917907 DXC917695:DXC917907 EGY917695:EGY917907 EQU917695:EQU917907 FAQ917695:FAQ917907 FKM917695:FKM917907 FUI917695:FUI917907 GEE917695:GEE917907 GOA917695:GOA917907 GXW917695:GXW917907 HHS917695:HHS917907 HRO917695:HRO917907 IBK917695:IBK917907 ILG917695:ILG917907 IVC917695:IVC917907 JEY917695:JEY917907 JOU917695:JOU917907 JYQ917695:JYQ917907 KIM917695:KIM917907 KSI917695:KSI917907 LCE917695:LCE917907 LMA917695:LMA917907 LVW917695:LVW917907 MFS917695:MFS917907 MPO917695:MPO917907 MZK917695:MZK917907 NJG917695:NJG917907 NTC917695:NTC917907 OCY917695:OCY917907 OMU917695:OMU917907 OWQ917695:OWQ917907 PGM917695:PGM917907 PQI917695:PQI917907 QAE917695:QAE917907 QKA917695:QKA917907 QTW917695:QTW917907 RDS917695:RDS917907 RNO917695:RNO917907 RXK917695:RXK917907 SHG917695:SHG917907 SRC917695:SRC917907 TAY917695:TAY917907 TKU917695:TKU917907 TUQ917695:TUQ917907 UEM917695:UEM917907 UOI917695:UOI917907 UYE917695:UYE917907 VIA917695:VIA917907 VRW917695:VRW917907 WBS917695:WBS917907 WLO917695:WLO917907 WVK917695:WVK917907 C983231:C983443 IY983231:IY983443 SU983231:SU983443 ACQ983231:ACQ983443 AMM983231:AMM983443 AWI983231:AWI983443 BGE983231:BGE983443 BQA983231:BQA983443 BZW983231:BZW983443 CJS983231:CJS983443 CTO983231:CTO983443 DDK983231:DDK983443 DNG983231:DNG983443 DXC983231:DXC983443 EGY983231:EGY983443 EQU983231:EQU983443 FAQ983231:FAQ983443 FKM983231:FKM983443 FUI983231:FUI983443 GEE983231:GEE983443 GOA983231:GOA983443 GXW983231:GXW983443 HHS983231:HHS983443 HRO983231:HRO983443 IBK983231:IBK983443 ILG983231:ILG983443 IVC983231:IVC983443 JEY983231:JEY983443 JOU983231:JOU983443 JYQ983231:JYQ983443 KIM983231:KIM983443 KSI983231:KSI983443 LCE983231:LCE983443 LMA983231:LMA983443 LVW983231:LVW983443 MFS983231:MFS983443 MPO983231:MPO983443 MZK983231:MZK983443 NJG983231:NJG983443 NTC983231:NTC983443 OCY983231:OCY983443 OMU983231:OMU983443 OWQ983231:OWQ983443 PGM983231:PGM983443 PQI983231:PQI983443 QAE983231:QAE983443 QKA983231:QKA983443 QTW983231:QTW983443 RDS983231:RDS983443 RNO983231:RNO983443 RXK983231:RXK983443 SHG983231:SHG983443 SRC983231:SRC983443 TAY983231:TAY983443 TKU983231:TKU983443 TUQ983231:TUQ983443 UEM983231:UEM983443 UOI983231:UOI983443 UYE983231:UYE983443 VIA983231:VIA983443 VRW983231:VRW983443 WBS983231:WBS983443 WLO983231:WLO983443 WVK983231:WVK983443">
      <formula1>$M$192:$M$194</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1" max="5" man="1"/>
  </rowBreaks>
  <drawing r:id="rId4"/>
  <legacyDrawing r:id="rId5"/>
</worksheet>
</file>

<file path=xl/worksheets/sheet2.xml><?xml version="1.0" encoding="utf-8"?>
<worksheet xmlns="http://schemas.openxmlformats.org/spreadsheetml/2006/main" xmlns:r="http://schemas.openxmlformats.org/officeDocument/2006/relationships">
  <sheetPr codeName="Sheet8" enableFormatConditionsCalculation="0"/>
  <dimension ref="A1:AH570"/>
  <sheetViews>
    <sheetView zoomScale="80" zoomScaleNormal="80" zoomScalePageLayoutView="70" workbookViewId="0"/>
  </sheetViews>
  <sheetFormatPr defaultColWidth="8.85546875" defaultRowHeight="14.1" customHeight="1"/>
  <cols>
    <col min="1" max="1" width="8.85546875" style="1"/>
    <col min="2" max="2" width="14" style="14" bestFit="1" customWidth="1"/>
    <col min="3" max="3" width="8.85546875" style="1"/>
    <col min="4" max="5" width="10" style="6" customWidth="1"/>
    <col min="6" max="6" width="8.85546875" style="6"/>
    <col min="7" max="10" width="8.85546875" style="1"/>
    <col min="11" max="11" width="11.140625" style="122" customWidth="1"/>
    <col min="12" max="12" width="16" style="13" customWidth="1"/>
    <col min="13" max="16" width="18.42578125" style="1" customWidth="1"/>
    <col min="17" max="17" width="18.42578125" style="149" customWidth="1"/>
    <col min="18" max="18" width="17.42578125" style="149" customWidth="1"/>
    <col min="19" max="19" width="9.42578125" style="1" customWidth="1"/>
    <col min="20" max="20" width="13" style="1" customWidth="1"/>
    <col min="21" max="21" width="12.42578125" style="1" customWidth="1"/>
    <col min="22" max="22" width="12.42578125" style="40" customWidth="1"/>
    <col min="23" max="23" width="14.85546875" style="3" customWidth="1"/>
    <col min="24" max="24" width="12" style="3" customWidth="1"/>
    <col min="25" max="25" width="11.42578125" style="1" customWidth="1"/>
    <col min="26" max="26" width="12.42578125" style="1" customWidth="1"/>
    <col min="27" max="27" width="31.7109375" style="13" customWidth="1"/>
    <col min="28" max="28" width="17.140625" style="1" customWidth="1"/>
    <col min="29" max="29" width="8.85546875" style="1" customWidth="1"/>
    <col min="30" max="30" width="42" style="1" bestFit="1" customWidth="1"/>
    <col min="31" max="31" width="26.140625" style="1" bestFit="1" customWidth="1"/>
    <col min="32" max="32" width="8.85546875" style="1" customWidth="1"/>
    <col min="33" max="33" width="36.5703125" style="1" customWidth="1"/>
    <col min="34" max="16384" width="8.85546875" style="1"/>
  </cols>
  <sheetData>
    <row r="1" spans="1:34" s="5" customFormat="1" ht="30">
      <c r="A1" s="4" t="s">
        <v>1430</v>
      </c>
      <c r="B1" s="24" t="s">
        <v>1432</v>
      </c>
      <c r="C1" s="23" t="s">
        <v>1434</v>
      </c>
      <c r="D1" s="23" t="s">
        <v>1443</v>
      </c>
      <c r="E1" s="111" t="s">
        <v>1435</v>
      </c>
      <c r="F1" s="23" t="s">
        <v>1437</v>
      </c>
      <c r="G1" s="15" t="s">
        <v>1438</v>
      </c>
      <c r="H1" s="15" t="s">
        <v>1439</v>
      </c>
      <c r="I1" s="112" t="s">
        <v>1446</v>
      </c>
      <c r="J1" s="113" t="s">
        <v>1447</v>
      </c>
      <c r="K1" s="123" t="s">
        <v>1449</v>
      </c>
      <c r="L1" s="2" t="s">
        <v>1450</v>
      </c>
      <c r="M1" s="27" t="s">
        <v>1451</v>
      </c>
      <c r="N1" s="114" t="s">
        <v>1453</v>
      </c>
      <c r="O1" s="28" t="s">
        <v>1454</v>
      </c>
      <c r="P1" s="28" t="s">
        <v>1455</v>
      </c>
      <c r="Q1" s="146" t="s">
        <v>1456</v>
      </c>
      <c r="R1" s="146" t="s">
        <v>1457</v>
      </c>
      <c r="S1" s="25" t="s">
        <v>1458</v>
      </c>
      <c r="T1" s="115" t="s">
        <v>1461</v>
      </c>
      <c r="U1" s="116" t="s">
        <v>1462</v>
      </c>
      <c r="V1" s="117" t="s">
        <v>1463</v>
      </c>
      <c r="W1" s="116" t="s">
        <v>1464</v>
      </c>
      <c r="X1" s="111" t="s">
        <v>1465</v>
      </c>
      <c r="Y1" s="118" t="s">
        <v>921</v>
      </c>
      <c r="Z1" s="118" t="s">
        <v>922</v>
      </c>
      <c r="AA1" s="119" t="s">
        <v>1467</v>
      </c>
      <c r="AB1" s="119" t="s">
        <v>1468</v>
      </c>
      <c r="AC1" s="110" t="s">
        <v>1469</v>
      </c>
      <c r="AD1" s="110" t="s">
        <v>923</v>
      </c>
      <c r="AE1" s="110" t="s">
        <v>924</v>
      </c>
      <c r="AF1" s="120" t="s">
        <v>920</v>
      </c>
      <c r="AG1" s="121" t="s">
        <v>1471</v>
      </c>
      <c r="AH1" s="4" t="s">
        <v>1466</v>
      </c>
    </row>
    <row r="2" spans="1:34" s="7" customFormat="1" ht="16.5" customHeight="1">
      <c r="A2" s="7">
        <v>2012</v>
      </c>
      <c r="B2" s="12">
        <v>41083</v>
      </c>
      <c r="C2" s="7" t="s">
        <v>22</v>
      </c>
      <c r="D2" s="9" t="s">
        <v>23</v>
      </c>
      <c r="E2" s="9" t="s">
        <v>24</v>
      </c>
      <c r="F2" s="9" t="s">
        <v>25</v>
      </c>
      <c r="G2" s="7" t="s">
        <v>902</v>
      </c>
      <c r="H2" s="7" t="s">
        <v>903</v>
      </c>
      <c r="I2" s="124" t="s">
        <v>902</v>
      </c>
      <c r="J2" s="7">
        <v>1</v>
      </c>
      <c r="K2" s="124" t="s">
        <v>1479</v>
      </c>
      <c r="L2" s="20" t="s">
        <v>904</v>
      </c>
      <c r="M2" s="16">
        <v>92.817037883557774</v>
      </c>
      <c r="N2" s="16">
        <v>21.573074541593854</v>
      </c>
      <c r="O2" s="16">
        <v>405.07295467979031</v>
      </c>
      <c r="P2" s="16">
        <v>18.447597302888568</v>
      </c>
      <c r="Q2" s="147">
        <v>0.1910870149731636</v>
      </c>
      <c r="R2" s="147">
        <v>0.1812470406293869</v>
      </c>
      <c r="S2" s="10">
        <v>0.83792134399798535</v>
      </c>
      <c r="T2" s="10">
        <v>8.2698658834372178</v>
      </c>
      <c r="U2" s="16">
        <v>1.4739423049123663E-2</v>
      </c>
      <c r="V2" s="16">
        <v>8.6641618047889768</v>
      </c>
      <c r="W2" s="10">
        <v>0</v>
      </c>
      <c r="X2" s="10" t="s">
        <v>902</v>
      </c>
      <c r="Y2" s="10">
        <v>3.2250000000000001</v>
      </c>
      <c r="Z2" s="10">
        <v>3.7749999999999999</v>
      </c>
      <c r="AA2" s="20" t="s">
        <v>775</v>
      </c>
      <c r="AB2" s="7">
        <v>1596.7</v>
      </c>
      <c r="AC2" s="7">
        <v>400.4</v>
      </c>
      <c r="AD2" s="7">
        <v>0.2507672073651907</v>
      </c>
      <c r="AE2" s="7" t="s">
        <v>902</v>
      </c>
      <c r="AF2" s="20" t="s">
        <v>27</v>
      </c>
      <c r="AG2" s="11" t="s">
        <v>607</v>
      </c>
      <c r="AH2" s="7" t="s">
        <v>1242</v>
      </c>
    </row>
    <row r="3" spans="1:34" s="7" customFormat="1" ht="16.5" customHeight="1">
      <c r="A3" s="7">
        <v>2012</v>
      </c>
      <c r="B3" s="12">
        <v>41083</v>
      </c>
      <c r="C3" s="7" t="s">
        <v>22</v>
      </c>
      <c r="D3" s="9" t="s">
        <v>23</v>
      </c>
      <c r="E3" s="9" t="s">
        <v>24</v>
      </c>
      <c r="F3" s="9" t="s">
        <v>25</v>
      </c>
      <c r="G3" s="7" t="s">
        <v>902</v>
      </c>
      <c r="H3" s="7" t="s">
        <v>903</v>
      </c>
      <c r="I3" s="124" t="s">
        <v>902</v>
      </c>
      <c r="J3" s="7">
        <v>2</v>
      </c>
      <c r="K3" s="124" t="s">
        <v>1480</v>
      </c>
      <c r="L3" s="20" t="s">
        <v>904</v>
      </c>
      <c r="M3" s="16">
        <v>92.811466819361641</v>
      </c>
      <c r="N3" s="16">
        <v>22.030303252370732</v>
      </c>
      <c r="O3" s="16">
        <v>396.90191329152958</v>
      </c>
      <c r="P3" s="16">
        <v>17.858821768509713</v>
      </c>
      <c r="Q3" s="147">
        <v>0.24735094842157865</v>
      </c>
      <c r="R3" s="147">
        <v>0.38196659833192825</v>
      </c>
      <c r="S3" s="10">
        <v>0.83792134399798535</v>
      </c>
      <c r="T3" s="10">
        <v>9.1963596870836355</v>
      </c>
      <c r="U3" s="16">
        <v>2.3013242085774741E-2</v>
      </c>
      <c r="V3" s="16">
        <v>8.6641618047889768</v>
      </c>
      <c r="W3" s="10">
        <v>0</v>
      </c>
      <c r="X3" s="10" t="s">
        <v>902</v>
      </c>
      <c r="Y3" s="10">
        <v>3.2250000000000001</v>
      </c>
      <c r="Z3" s="10">
        <v>3.7749999999999999</v>
      </c>
      <c r="AA3" s="20" t="s">
        <v>776</v>
      </c>
      <c r="AB3" s="7">
        <v>1660.2</v>
      </c>
      <c r="AC3" s="7">
        <v>361.3</v>
      </c>
      <c r="AD3" s="7">
        <v>0.21762438260450548</v>
      </c>
      <c r="AE3" s="7" t="s">
        <v>902</v>
      </c>
      <c r="AF3" s="20" t="s">
        <v>27</v>
      </c>
      <c r="AG3" s="11" t="s">
        <v>607</v>
      </c>
      <c r="AH3" s="7" t="s">
        <v>1242</v>
      </c>
    </row>
    <row r="4" spans="1:34" s="7" customFormat="1" ht="16.5" customHeight="1">
      <c r="A4" s="7">
        <v>2012</v>
      </c>
      <c r="B4" s="12">
        <v>41083</v>
      </c>
      <c r="C4" s="7" t="s">
        <v>22</v>
      </c>
      <c r="D4" s="9" t="s">
        <v>23</v>
      </c>
      <c r="E4" s="9" t="s">
        <v>24</v>
      </c>
      <c r="F4" s="9" t="s">
        <v>25</v>
      </c>
      <c r="G4" s="7" t="s">
        <v>902</v>
      </c>
      <c r="H4" s="7" t="s">
        <v>903</v>
      </c>
      <c r="I4" s="124" t="s">
        <v>902</v>
      </c>
      <c r="J4" s="7">
        <v>3</v>
      </c>
      <c r="K4" s="124" t="s">
        <v>1481</v>
      </c>
      <c r="L4" s="20" t="s">
        <v>904</v>
      </c>
      <c r="M4" s="16">
        <v>92.820934094880755</v>
      </c>
      <c r="N4" s="16">
        <v>21.134320409674395</v>
      </c>
      <c r="O4" s="16">
        <v>420.43786299856083</v>
      </c>
      <c r="P4" s="16">
        <v>19.157399328131426</v>
      </c>
      <c r="Q4" s="147">
        <v>0.80522735809025014</v>
      </c>
      <c r="R4" s="147">
        <v>0.21563327312469482</v>
      </c>
      <c r="S4" s="10">
        <v>0.83792134399798535</v>
      </c>
      <c r="T4" s="10">
        <v>8.5262598438460753</v>
      </c>
      <c r="U4" s="16">
        <v>9.6794061493455322E-3</v>
      </c>
      <c r="V4" s="16">
        <v>8.6641618047889768</v>
      </c>
      <c r="W4" s="10">
        <v>0</v>
      </c>
      <c r="X4" s="10" t="s">
        <v>902</v>
      </c>
      <c r="Y4" s="10">
        <v>3.2250000000000001</v>
      </c>
      <c r="Z4" s="10">
        <v>3.7749999999999999</v>
      </c>
      <c r="AA4" s="20" t="s">
        <v>777</v>
      </c>
      <c r="AB4" s="7">
        <v>1535.6</v>
      </c>
      <c r="AC4" s="7">
        <v>444.3</v>
      </c>
      <c r="AD4" s="7">
        <v>0.28933315967699924</v>
      </c>
      <c r="AE4" s="7" t="s">
        <v>902</v>
      </c>
      <c r="AF4" s="20" t="s">
        <v>27</v>
      </c>
      <c r="AG4" s="11" t="s">
        <v>607</v>
      </c>
      <c r="AH4" s="7" t="s">
        <v>1242</v>
      </c>
    </row>
    <row r="5" spans="1:34" s="7" customFormat="1" ht="16.5" customHeight="1">
      <c r="A5" s="7">
        <v>2012</v>
      </c>
      <c r="B5" s="12">
        <v>41083</v>
      </c>
      <c r="C5" s="7" t="s">
        <v>22</v>
      </c>
      <c r="D5" s="9" t="s">
        <v>23</v>
      </c>
      <c r="E5" s="9" t="s">
        <v>24</v>
      </c>
      <c r="F5" s="9" t="s">
        <v>25</v>
      </c>
      <c r="G5" s="7" t="s">
        <v>902</v>
      </c>
      <c r="H5" s="7" t="s">
        <v>903</v>
      </c>
      <c r="I5" s="124" t="s">
        <v>902</v>
      </c>
      <c r="J5" s="7">
        <v>17</v>
      </c>
      <c r="K5" s="124" t="s">
        <v>1482</v>
      </c>
      <c r="L5" s="20" t="s">
        <v>910</v>
      </c>
      <c r="M5" s="16">
        <v>92.853638498406667</v>
      </c>
      <c r="N5" s="16">
        <v>21.532853076332493</v>
      </c>
      <c r="O5" s="16">
        <v>380.51156616210937</v>
      </c>
      <c r="P5" s="16">
        <v>17.163639168990287</v>
      </c>
      <c r="Q5" s="147">
        <v>42.100539558812194</v>
      </c>
      <c r="R5" s="147">
        <v>3.6178359985351562</v>
      </c>
      <c r="S5" s="10">
        <v>0.83792134399798535</v>
      </c>
      <c r="T5" s="10">
        <v>2.6736776577944714</v>
      </c>
      <c r="U5" s="16">
        <v>2.7191516809296188E-2</v>
      </c>
      <c r="V5" s="16">
        <v>8.6641618047889768</v>
      </c>
      <c r="W5" s="10">
        <v>0</v>
      </c>
      <c r="X5" s="10" t="s">
        <v>902</v>
      </c>
      <c r="Y5" s="10">
        <v>3.2250000000000001</v>
      </c>
      <c r="Z5" s="10">
        <v>3.7749999999999999</v>
      </c>
      <c r="AA5" s="20" t="s">
        <v>792</v>
      </c>
      <c r="AB5" s="7">
        <v>981.4</v>
      </c>
      <c r="AC5" s="7">
        <v>393.1</v>
      </c>
      <c r="AD5" s="7">
        <v>0.40055023435907888</v>
      </c>
      <c r="AE5" s="7" t="s">
        <v>902</v>
      </c>
      <c r="AF5" s="20" t="s">
        <v>27</v>
      </c>
      <c r="AG5" s="11" t="s">
        <v>928</v>
      </c>
      <c r="AH5" s="7" t="s">
        <v>1242</v>
      </c>
    </row>
    <row r="6" spans="1:34" s="7" customFormat="1" ht="16.5" customHeight="1">
      <c r="A6" s="7">
        <v>2012</v>
      </c>
      <c r="B6" s="12">
        <v>41083</v>
      </c>
      <c r="C6" s="7" t="s">
        <v>22</v>
      </c>
      <c r="D6" s="9" t="s">
        <v>23</v>
      </c>
      <c r="E6" s="9" t="s">
        <v>24</v>
      </c>
      <c r="F6" s="9" t="s">
        <v>25</v>
      </c>
      <c r="G6" s="7" t="s">
        <v>902</v>
      </c>
      <c r="H6" s="7" t="s">
        <v>903</v>
      </c>
      <c r="I6" s="124" t="s">
        <v>902</v>
      </c>
      <c r="J6" s="7">
        <v>18</v>
      </c>
      <c r="K6" s="124" t="s">
        <v>1483</v>
      </c>
      <c r="L6" s="20" t="s">
        <v>911</v>
      </c>
      <c r="M6" s="16">
        <v>92.829886988589635</v>
      </c>
      <c r="N6" s="16">
        <v>20.621054900319951</v>
      </c>
      <c r="O6" s="16">
        <v>388.70863422594573</v>
      </c>
      <c r="P6" s="16">
        <v>16.195824673301296</v>
      </c>
      <c r="Q6" s="147">
        <v>73.584326894659739</v>
      </c>
      <c r="R6" s="147">
        <v>1.2368850708007812</v>
      </c>
      <c r="S6" s="10">
        <v>0.83792134399798535</v>
      </c>
      <c r="T6" s="10">
        <v>5.5495960089096652</v>
      </c>
      <c r="U6" s="16">
        <v>2.6425146638301381E-2</v>
      </c>
      <c r="V6" s="16">
        <v>8.6641618047889768</v>
      </c>
      <c r="W6" s="10">
        <v>3.1145657958793116</v>
      </c>
      <c r="X6" s="10" t="s">
        <v>902</v>
      </c>
      <c r="Y6" s="10">
        <v>3.2250000000000001</v>
      </c>
      <c r="Z6" s="10">
        <v>3.7749999999999999</v>
      </c>
      <c r="AA6" s="20" t="s">
        <v>793</v>
      </c>
      <c r="AB6" s="7">
        <v>933.8</v>
      </c>
      <c r="AC6" s="7">
        <v>471.2</v>
      </c>
      <c r="AD6" s="7">
        <v>0.50460484043692444</v>
      </c>
      <c r="AE6" s="7" t="s">
        <v>902</v>
      </c>
      <c r="AF6" s="20" t="s">
        <v>27</v>
      </c>
      <c r="AG6" s="11" t="s">
        <v>928</v>
      </c>
      <c r="AH6" s="7" t="s">
        <v>1242</v>
      </c>
    </row>
    <row r="7" spans="1:34" s="7" customFormat="1" ht="16.5" customHeight="1">
      <c r="A7" s="7">
        <v>2012</v>
      </c>
      <c r="B7" s="12">
        <v>41083</v>
      </c>
      <c r="C7" s="7" t="s">
        <v>22</v>
      </c>
      <c r="D7" s="9" t="s">
        <v>23</v>
      </c>
      <c r="E7" s="9" t="s">
        <v>24</v>
      </c>
      <c r="F7" s="9" t="s">
        <v>25</v>
      </c>
      <c r="G7" s="7" t="s">
        <v>902</v>
      </c>
      <c r="H7" s="7" t="s">
        <v>903</v>
      </c>
      <c r="I7" s="124" t="s">
        <v>902</v>
      </c>
      <c r="J7" s="7">
        <v>19</v>
      </c>
      <c r="K7" s="124" t="s">
        <v>1484</v>
      </c>
      <c r="L7" s="20" t="s">
        <v>911</v>
      </c>
      <c r="M7" s="16">
        <v>92.839175174110821</v>
      </c>
      <c r="N7" s="16">
        <v>20.851571936356393</v>
      </c>
      <c r="O7" s="16">
        <v>390.71152054636104</v>
      </c>
      <c r="P7" s="16">
        <v>16.95504509775262</v>
      </c>
      <c r="Q7" s="147">
        <v>95.646585966411394</v>
      </c>
      <c r="R7" s="147">
        <v>4.6260299682617187</v>
      </c>
      <c r="S7" s="10">
        <v>0.83792134399798535</v>
      </c>
      <c r="T7" s="10">
        <v>4.7287885810834407</v>
      </c>
      <c r="U7" s="16">
        <v>2.1198252627724096E-2</v>
      </c>
      <c r="V7" s="16">
        <v>8.6641618047889768</v>
      </c>
      <c r="W7" s="10">
        <v>3.9353732237055361</v>
      </c>
      <c r="X7" s="10" t="s">
        <v>902</v>
      </c>
      <c r="Y7" s="10">
        <v>3.2250000000000001</v>
      </c>
      <c r="Z7" s="10">
        <v>3.7749999999999999</v>
      </c>
      <c r="AA7" s="20" t="s">
        <v>794</v>
      </c>
      <c r="AB7" s="7">
        <v>1328.1</v>
      </c>
      <c r="AC7" s="7">
        <v>437</v>
      </c>
      <c r="AD7" s="7">
        <v>0.32904148783977111</v>
      </c>
      <c r="AE7" s="7" t="s">
        <v>902</v>
      </c>
      <c r="AF7" s="20" t="s">
        <v>27</v>
      </c>
      <c r="AG7" s="11" t="s">
        <v>928</v>
      </c>
      <c r="AH7" s="7" t="s">
        <v>1242</v>
      </c>
    </row>
    <row r="8" spans="1:34" s="7" customFormat="1" ht="16.5" customHeight="1">
      <c r="A8" s="7">
        <v>2012</v>
      </c>
      <c r="B8" s="12">
        <v>41083</v>
      </c>
      <c r="C8" s="7" t="s">
        <v>22</v>
      </c>
      <c r="D8" s="9" t="s">
        <v>23</v>
      </c>
      <c r="E8" s="9" t="s">
        <v>24</v>
      </c>
      <c r="F8" s="9" t="s">
        <v>25</v>
      </c>
      <c r="G8" s="7" t="s">
        <v>902</v>
      </c>
      <c r="H8" s="7" t="s">
        <v>903</v>
      </c>
      <c r="I8" s="124" t="s">
        <v>902</v>
      </c>
      <c r="J8" s="7">
        <v>20</v>
      </c>
      <c r="K8" s="124" t="s">
        <v>1485</v>
      </c>
      <c r="L8" s="20" t="s">
        <v>910</v>
      </c>
      <c r="M8" s="16">
        <v>92.860011853669818</v>
      </c>
      <c r="N8" s="16">
        <v>22.390479439183284</v>
      </c>
      <c r="O8" s="16">
        <v>380.66160824424344</v>
      </c>
      <c r="P8" s="16">
        <v>17.654705549541273</v>
      </c>
      <c r="Q8" s="147">
        <v>103.17527128520764</v>
      </c>
      <c r="R8" s="147">
        <v>65.298843383789063</v>
      </c>
      <c r="S8" s="10">
        <v>0.83792134399798535</v>
      </c>
      <c r="T8" s="10">
        <v>2.7286294314746158</v>
      </c>
      <c r="U8" s="16">
        <v>3.7800693511962892E-2</v>
      </c>
      <c r="V8" s="16">
        <v>8.6641618047889768</v>
      </c>
      <c r="W8" s="10">
        <v>5.935532373314361</v>
      </c>
      <c r="X8" s="10" t="s">
        <v>902</v>
      </c>
      <c r="Y8" s="10">
        <v>3.2250000000000001</v>
      </c>
      <c r="Z8" s="10">
        <v>3.7749999999999999</v>
      </c>
      <c r="AA8" s="20" t="s">
        <v>795</v>
      </c>
      <c r="AB8" s="7">
        <v>1032.7</v>
      </c>
      <c r="AC8" s="7">
        <v>371.1</v>
      </c>
      <c r="AD8" s="7">
        <v>0.35934927859010363</v>
      </c>
      <c r="AE8" s="7" t="s">
        <v>902</v>
      </c>
      <c r="AF8" s="20" t="s">
        <v>27</v>
      </c>
      <c r="AG8" s="11" t="s">
        <v>928</v>
      </c>
      <c r="AH8" s="7" t="s">
        <v>1242</v>
      </c>
    </row>
    <row r="9" spans="1:34" s="7" customFormat="1" ht="16.5" customHeight="1">
      <c r="A9" s="7">
        <v>2012</v>
      </c>
      <c r="B9" s="12">
        <v>41083</v>
      </c>
      <c r="C9" s="7" t="s">
        <v>22</v>
      </c>
      <c r="D9" s="9" t="s">
        <v>23</v>
      </c>
      <c r="E9" s="9" t="s">
        <v>24</v>
      </c>
      <c r="F9" s="9" t="s">
        <v>25</v>
      </c>
      <c r="G9" s="7" t="s">
        <v>902</v>
      </c>
      <c r="H9" s="7" t="s">
        <v>903</v>
      </c>
      <c r="I9" s="124" t="s">
        <v>902</v>
      </c>
      <c r="J9" s="7">
        <v>21</v>
      </c>
      <c r="K9" s="124" t="s">
        <v>1486</v>
      </c>
      <c r="L9" s="20" t="s">
        <v>910</v>
      </c>
      <c r="M9" s="16">
        <v>92.864680641575859</v>
      </c>
      <c r="N9" s="16">
        <v>23.169272573370684</v>
      </c>
      <c r="O9" s="16">
        <v>379.51044986122531</v>
      </c>
      <c r="P9" s="16">
        <v>18.33563352885999</v>
      </c>
      <c r="Q9" s="147">
        <v>153.88749599456787</v>
      </c>
      <c r="R9" s="147">
        <v>396.69432067871094</v>
      </c>
      <c r="S9" s="10">
        <v>0.83792134399798535</v>
      </c>
      <c r="T9" s="10">
        <v>2.5593861905857995</v>
      </c>
      <c r="U9" s="16">
        <v>3.8130800347579152E-2</v>
      </c>
      <c r="V9" s="16">
        <v>8.6641618047889768</v>
      </c>
      <c r="W9" s="10">
        <v>6.1047756142031773</v>
      </c>
      <c r="X9" s="10" t="s">
        <v>902</v>
      </c>
      <c r="Y9" s="10">
        <v>3.2250000000000001</v>
      </c>
      <c r="Z9" s="10">
        <v>3.7749999999999999</v>
      </c>
      <c r="AA9" s="20" t="s">
        <v>796</v>
      </c>
      <c r="AB9" s="7">
        <v>1418.5</v>
      </c>
      <c r="AC9" s="7">
        <v>346.7</v>
      </c>
      <c r="AD9" s="7">
        <v>0.24441311244272118</v>
      </c>
      <c r="AE9" s="7" t="s">
        <v>902</v>
      </c>
      <c r="AF9" s="20" t="s">
        <v>27</v>
      </c>
      <c r="AG9" s="11" t="s">
        <v>928</v>
      </c>
      <c r="AH9" s="7" t="s">
        <v>1242</v>
      </c>
    </row>
    <row r="10" spans="1:34" s="7" customFormat="1" ht="16.5" customHeight="1">
      <c r="A10" s="7">
        <v>2012</v>
      </c>
      <c r="B10" s="12">
        <v>41083</v>
      </c>
      <c r="C10" s="7" t="s">
        <v>22</v>
      </c>
      <c r="D10" s="9" t="s">
        <v>23</v>
      </c>
      <c r="E10" s="9" t="s">
        <v>24</v>
      </c>
      <c r="F10" s="9" t="s">
        <v>25</v>
      </c>
      <c r="G10" s="7" t="s">
        <v>902</v>
      </c>
      <c r="H10" s="7" t="s">
        <v>903</v>
      </c>
      <c r="I10" s="124" t="s">
        <v>902</v>
      </c>
      <c r="J10" s="7">
        <v>4</v>
      </c>
      <c r="K10" s="124" t="s">
        <v>1487</v>
      </c>
      <c r="L10" s="20" t="s">
        <v>77</v>
      </c>
      <c r="M10" s="16">
        <v>92.847963835063737</v>
      </c>
      <c r="N10" s="16">
        <v>21.363856265419408</v>
      </c>
      <c r="O10" s="16">
        <v>387.17057238127057</v>
      </c>
      <c r="P10" s="16">
        <v>17.060746945832904</v>
      </c>
      <c r="Q10" s="147">
        <v>201.54947300961143</v>
      </c>
      <c r="R10" s="147">
        <v>19.015060424804687</v>
      </c>
      <c r="S10" s="10">
        <v>0.83792134399798535</v>
      </c>
      <c r="T10" s="10">
        <v>1.9565672548014099</v>
      </c>
      <c r="U10" s="16">
        <v>2.737685755679482E-2</v>
      </c>
      <c r="V10" s="16">
        <v>8.6641618047889768</v>
      </c>
      <c r="W10" s="10">
        <v>6.7075945499875669</v>
      </c>
      <c r="X10" s="10" t="s">
        <v>902</v>
      </c>
      <c r="Y10" s="10">
        <v>3.2250000000000001</v>
      </c>
      <c r="Z10" s="10">
        <v>3.7749999999999999</v>
      </c>
      <c r="AA10" s="20" t="s">
        <v>778</v>
      </c>
      <c r="AB10" s="7">
        <v>1073</v>
      </c>
      <c r="AC10" s="7">
        <v>419.9</v>
      </c>
      <c r="AD10" s="7">
        <v>0.39133271202236719</v>
      </c>
      <c r="AE10" s="7" t="s">
        <v>902</v>
      </c>
      <c r="AF10" s="20" t="s">
        <v>27</v>
      </c>
      <c r="AG10" s="11" t="s">
        <v>864</v>
      </c>
      <c r="AH10" s="7" t="s">
        <v>1242</v>
      </c>
    </row>
    <row r="11" spans="1:34" s="7" customFormat="1" ht="16.5" customHeight="1">
      <c r="A11" s="7">
        <v>2012</v>
      </c>
      <c r="B11" s="12">
        <v>41083</v>
      </c>
      <c r="C11" s="7" t="s">
        <v>22</v>
      </c>
      <c r="D11" s="9" t="s">
        <v>23</v>
      </c>
      <c r="E11" s="9" t="s">
        <v>24</v>
      </c>
      <c r="F11" s="9" t="s">
        <v>25</v>
      </c>
      <c r="G11" s="7" t="s">
        <v>902</v>
      </c>
      <c r="H11" s="7" t="s">
        <v>903</v>
      </c>
      <c r="I11" s="124" t="s">
        <v>902</v>
      </c>
      <c r="J11" s="7">
        <v>22</v>
      </c>
      <c r="K11" s="124" t="s">
        <v>1488</v>
      </c>
      <c r="L11" s="20" t="s">
        <v>912</v>
      </c>
      <c r="M11" s="16">
        <v>92.876466851485404</v>
      </c>
      <c r="N11" s="16">
        <v>22.973366084851715</v>
      </c>
      <c r="O11" s="16">
        <v>374.90990086605672</v>
      </c>
      <c r="P11" s="16">
        <v>17.039185875340511</v>
      </c>
      <c r="Q11" s="147">
        <v>210.95197496916117</v>
      </c>
      <c r="R11" s="147">
        <v>10.5445556640625</v>
      </c>
      <c r="S11" s="10">
        <v>0.83792134399798535</v>
      </c>
      <c r="T11" s="10">
        <v>-1.8812287440087418</v>
      </c>
      <c r="U11" s="16">
        <v>4.8378377211721321E-2</v>
      </c>
      <c r="V11" s="16">
        <v>8.6641618047889768</v>
      </c>
      <c r="W11" s="10">
        <v>10.54539054879772</v>
      </c>
      <c r="X11" s="10" t="s">
        <v>902</v>
      </c>
      <c r="Y11" s="10">
        <v>3.2250000000000001</v>
      </c>
      <c r="Z11" s="10">
        <v>3.7749999999999999</v>
      </c>
      <c r="AA11" s="20" t="s">
        <v>797</v>
      </c>
      <c r="AB11" s="7">
        <v>1596.7</v>
      </c>
      <c r="AC11" s="7">
        <v>324.7</v>
      </c>
      <c r="AD11" s="7">
        <v>0.20335692365503849</v>
      </c>
      <c r="AE11" s="7" t="s">
        <v>902</v>
      </c>
      <c r="AF11" s="20" t="s">
        <v>27</v>
      </c>
      <c r="AG11" s="11" t="s">
        <v>928</v>
      </c>
      <c r="AH11" s="7" t="s">
        <v>1242</v>
      </c>
    </row>
    <row r="12" spans="1:34" s="7" customFormat="1" ht="16.5" customHeight="1">
      <c r="A12" s="7">
        <v>2012</v>
      </c>
      <c r="B12" s="12">
        <v>41083</v>
      </c>
      <c r="C12" s="7" t="s">
        <v>22</v>
      </c>
      <c r="D12" s="9" t="s">
        <v>23</v>
      </c>
      <c r="E12" s="9" t="s">
        <v>24</v>
      </c>
      <c r="F12" s="9" t="s">
        <v>25</v>
      </c>
      <c r="G12" s="7" t="s">
        <v>902</v>
      </c>
      <c r="H12" s="7" t="s">
        <v>903</v>
      </c>
      <c r="I12" s="124" t="s">
        <v>902</v>
      </c>
      <c r="J12" s="7">
        <v>23</v>
      </c>
      <c r="K12" s="124" t="s">
        <v>1489</v>
      </c>
      <c r="L12" s="20" t="s">
        <v>912</v>
      </c>
      <c r="M12" s="16">
        <v>92.877348648874388</v>
      </c>
      <c r="N12" s="16">
        <v>23.750742862099095</v>
      </c>
      <c r="O12" s="16">
        <v>379.25796187551396</v>
      </c>
      <c r="P12" s="16">
        <v>17.678053604929072</v>
      </c>
      <c r="Q12" s="147">
        <v>222.07273222270766</v>
      </c>
      <c r="R12" s="147">
        <v>7.883453369140625</v>
      </c>
      <c r="S12" s="10">
        <v>0.83792134399798535</v>
      </c>
      <c r="T12" s="10">
        <v>-1.7071116662910162</v>
      </c>
      <c r="U12" s="16">
        <v>4.6792403438635041E-2</v>
      </c>
      <c r="V12" s="16">
        <v>8.6641618047889768</v>
      </c>
      <c r="W12" s="10">
        <v>10.371273471079993</v>
      </c>
      <c r="X12" s="10" t="s">
        <v>902</v>
      </c>
      <c r="Y12" s="10">
        <v>3.2250000000000001</v>
      </c>
      <c r="Z12" s="10">
        <v>3.7749999999999999</v>
      </c>
      <c r="AA12" s="20" t="s">
        <v>798</v>
      </c>
      <c r="AB12" s="7">
        <v>1408.7</v>
      </c>
      <c r="AC12" s="7">
        <v>329.6</v>
      </c>
      <c r="AD12" s="7">
        <v>0.23397458649818983</v>
      </c>
      <c r="AE12" s="7" t="s">
        <v>902</v>
      </c>
      <c r="AF12" s="20" t="s">
        <v>27</v>
      </c>
      <c r="AG12" s="11" t="s">
        <v>928</v>
      </c>
      <c r="AH12" s="7" t="s">
        <v>1242</v>
      </c>
    </row>
    <row r="13" spans="1:34" s="7" customFormat="1" ht="16.5" customHeight="1">
      <c r="A13" s="7">
        <v>2012</v>
      </c>
      <c r="B13" s="12">
        <v>41083</v>
      </c>
      <c r="C13" s="7" t="s">
        <v>22</v>
      </c>
      <c r="D13" s="9" t="s">
        <v>23</v>
      </c>
      <c r="E13" s="9" t="s">
        <v>24</v>
      </c>
      <c r="F13" s="9" t="s">
        <v>25</v>
      </c>
      <c r="G13" s="7" t="s">
        <v>902</v>
      </c>
      <c r="H13" s="7" t="s">
        <v>903</v>
      </c>
      <c r="I13" s="124" t="s">
        <v>902</v>
      </c>
      <c r="J13" s="7">
        <v>24</v>
      </c>
      <c r="K13" s="124" t="s">
        <v>1490</v>
      </c>
      <c r="L13" s="20" t="s">
        <v>907</v>
      </c>
      <c r="M13" s="16">
        <v>92.888998243543838</v>
      </c>
      <c r="N13" s="16">
        <v>23.445944256252712</v>
      </c>
      <c r="O13" s="16">
        <v>368.86749945746527</v>
      </c>
      <c r="P13" s="16">
        <v>16.952669461568195</v>
      </c>
      <c r="Q13" s="147">
        <v>315.77596706814234</v>
      </c>
      <c r="R13" s="147">
        <v>10.288055419921875</v>
      </c>
      <c r="S13" s="10">
        <v>0.83792134399798535</v>
      </c>
      <c r="T13" s="10">
        <v>-5.3521808962266961</v>
      </c>
      <c r="U13" s="16">
        <v>5.895517681897363E-2</v>
      </c>
      <c r="V13" s="16">
        <v>8.6641618047889768</v>
      </c>
      <c r="W13" s="10">
        <v>14.016342701015674</v>
      </c>
      <c r="X13" s="10" t="s">
        <v>902</v>
      </c>
      <c r="Y13" s="10">
        <v>3.2250000000000001</v>
      </c>
      <c r="Z13" s="10">
        <v>3.7749999999999999</v>
      </c>
      <c r="AA13" s="20" t="s">
        <v>799</v>
      </c>
      <c r="AB13" s="7">
        <v>1435.5</v>
      </c>
      <c r="AC13" s="7">
        <v>305.2</v>
      </c>
      <c r="AD13" s="7">
        <v>0.21260884709160571</v>
      </c>
      <c r="AE13" s="7" t="s">
        <v>902</v>
      </c>
      <c r="AF13" s="20" t="s">
        <v>27</v>
      </c>
      <c r="AG13" s="11" t="s">
        <v>928</v>
      </c>
      <c r="AH13" s="7" t="s">
        <v>1242</v>
      </c>
    </row>
    <row r="14" spans="1:34" s="7" customFormat="1" ht="16.5" customHeight="1">
      <c r="A14" s="7">
        <v>2012</v>
      </c>
      <c r="B14" s="12">
        <v>41083</v>
      </c>
      <c r="C14" s="7" t="s">
        <v>22</v>
      </c>
      <c r="D14" s="9" t="s">
        <v>23</v>
      </c>
      <c r="E14" s="9" t="s">
        <v>24</v>
      </c>
      <c r="F14" s="9" t="s">
        <v>25</v>
      </c>
      <c r="G14" s="7" t="s">
        <v>902</v>
      </c>
      <c r="H14" s="7" t="s">
        <v>903</v>
      </c>
      <c r="I14" s="124" t="s">
        <v>902</v>
      </c>
      <c r="J14" s="7">
        <v>5</v>
      </c>
      <c r="K14" s="124" t="s">
        <v>780</v>
      </c>
      <c r="L14" s="20" t="s">
        <v>77</v>
      </c>
      <c r="M14" s="16">
        <v>92.846775531768799</v>
      </c>
      <c r="N14" s="16">
        <v>21.220589756965637</v>
      </c>
      <c r="O14" s="16">
        <v>385.43734359741211</v>
      </c>
      <c r="P14" s="16">
        <v>16.699257373809814</v>
      </c>
      <c r="Q14" s="147">
        <v>325.6085090637207</v>
      </c>
      <c r="R14" s="147">
        <v>21.721038818359375</v>
      </c>
      <c r="S14" s="10">
        <v>0.83792134399798535</v>
      </c>
      <c r="T14" s="10">
        <v>1.0510454327242589</v>
      </c>
      <c r="U14" s="16">
        <v>2.8314211789299461E-2</v>
      </c>
      <c r="V14" s="16">
        <v>8.6641618047889768</v>
      </c>
      <c r="W14" s="10">
        <v>7.6131163720647184</v>
      </c>
      <c r="X14" s="10" t="s">
        <v>902</v>
      </c>
      <c r="Y14" s="10">
        <v>3.2250000000000001</v>
      </c>
      <c r="Z14" s="10">
        <v>3.7749999999999999</v>
      </c>
      <c r="AA14" s="20" t="s">
        <v>779</v>
      </c>
      <c r="AB14" s="7">
        <v>1237.8</v>
      </c>
      <c r="AC14" s="7">
        <v>419.9</v>
      </c>
      <c r="AD14" s="7">
        <v>0.33923089352076263</v>
      </c>
      <c r="AE14" s="7" t="s">
        <v>902</v>
      </c>
      <c r="AF14" s="20" t="s">
        <v>27</v>
      </c>
      <c r="AG14" s="11" t="s">
        <v>864</v>
      </c>
      <c r="AH14" s="7" t="s">
        <v>1243</v>
      </c>
    </row>
    <row r="15" spans="1:34" s="7" customFormat="1" ht="16.5" customHeight="1">
      <c r="A15" s="7">
        <v>2012</v>
      </c>
      <c r="B15" s="12">
        <v>41083</v>
      </c>
      <c r="C15" s="7" t="s">
        <v>22</v>
      </c>
      <c r="D15" s="9" t="s">
        <v>23</v>
      </c>
      <c r="E15" s="9" t="s">
        <v>24</v>
      </c>
      <c r="F15" s="9" t="s">
        <v>25</v>
      </c>
      <c r="G15" s="7" t="s">
        <v>902</v>
      </c>
      <c r="H15" s="7" t="s">
        <v>903</v>
      </c>
      <c r="I15" s="124" t="s">
        <v>902</v>
      </c>
      <c r="J15" s="7">
        <v>25</v>
      </c>
      <c r="K15" s="124" t="s">
        <v>1491</v>
      </c>
      <c r="L15" s="20" t="s">
        <v>907</v>
      </c>
      <c r="M15" s="16">
        <v>92.891614010459492</v>
      </c>
      <c r="N15" s="16">
        <v>23.96403653998124</v>
      </c>
      <c r="O15" s="16">
        <v>373.1530103181538</v>
      </c>
      <c r="P15" s="16">
        <v>17.700656288548519</v>
      </c>
      <c r="Q15" s="147">
        <v>331.56685598273026</v>
      </c>
      <c r="R15" s="147">
        <v>21.43865966796875</v>
      </c>
      <c r="S15" s="10">
        <v>0.83792134399798535</v>
      </c>
      <c r="T15" s="10">
        <v>-5.2742762433432873</v>
      </c>
      <c r="U15" s="16">
        <v>5.6386541065416851E-2</v>
      </c>
      <c r="V15" s="16">
        <v>8.6641618047889768</v>
      </c>
      <c r="W15" s="10">
        <v>13.938438048132264</v>
      </c>
      <c r="X15" s="10" t="s">
        <v>902</v>
      </c>
      <c r="Y15" s="10">
        <v>3.2250000000000001</v>
      </c>
      <c r="Z15" s="10">
        <v>3.7749999999999999</v>
      </c>
      <c r="AA15" s="20" t="s">
        <v>800</v>
      </c>
      <c r="AB15" s="7">
        <v>1308.5999999999999</v>
      </c>
      <c r="AC15" s="7">
        <v>295.39999999999998</v>
      </c>
      <c r="AD15" s="7">
        <v>0.22573742931377044</v>
      </c>
      <c r="AE15" s="7" t="s">
        <v>902</v>
      </c>
      <c r="AF15" s="20" t="s">
        <v>27</v>
      </c>
      <c r="AG15" s="11" t="s">
        <v>928</v>
      </c>
      <c r="AH15" s="7" t="s">
        <v>1242</v>
      </c>
    </row>
    <row r="16" spans="1:34" s="7" customFormat="1" ht="16.5" customHeight="1">
      <c r="A16" s="7">
        <v>2012</v>
      </c>
      <c r="B16" s="12">
        <v>41083</v>
      </c>
      <c r="C16" s="7" t="s">
        <v>22</v>
      </c>
      <c r="D16" s="9" t="s">
        <v>23</v>
      </c>
      <c r="E16" s="9" t="s">
        <v>24</v>
      </c>
      <c r="F16" s="9" t="s">
        <v>25</v>
      </c>
      <c r="G16" s="7" t="s">
        <v>902</v>
      </c>
      <c r="H16" s="7" t="s">
        <v>903</v>
      </c>
      <c r="I16" s="124" t="s">
        <v>902</v>
      </c>
      <c r="J16" s="7">
        <v>26</v>
      </c>
      <c r="K16" s="124" t="s">
        <v>1492</v>
      </c>
      <c r="L16" s="20" t="s">
        <v>913</v>
      </c>
      <c r="M16" s="16">
        <v>92.759799756501849</v>
      </c>
      <c r="N16" s="16">
        <v>26.620519035740902</v>
      </c>
      <c r="O16" s="16">
        <v>369.45731554533307</v>
      </c>
      <c r="P16" s="16">
        <v>17.478740892912214</v>
      </c>
      <c r="Q16" s="147">
        <v>486.30159237510281</v>
      </c>
      <c r="R16" s="147">
        <v>36.91021728515625</v>
      </c>
      <c r="S16" s="10">
        <v>0.83792134399798535</v>
      </c>
      <c r="T16" s="10">
        <v>-4.8645794064387573</v>
      </c>
      <c r="U16" s="16">
        <v>5.8237985979046739E-2</v>
      </c>
      <c r="V16" s="16">
        <v>8.6641618047889768</v>
      </c>
      <c r="W16" s="10">
        <v>13.528741211227734</v>
      </c>
      <c r="X16" s="10" t="s">
        <v>902</v>
      </c>
      <c r="Y16" s="10">
        <v>3.2250000000000001</v>
      </c>
      <c r="Z16" s="10">
        <v>3.7749999999999999</v>
      </c>
      <c r="AA16" s="20" t="s">
        <v>801</v>
      </c>
      <c r="AB16" s="7">
        <v>1458.7</v>
      </c>
      <c r="AC16" s="7">
        <v>251.5</v>
      </c>
      <c r="AD16" s="7">
        <v>0.17241379310344826</v>
      </c>
      <c r="AE16" s="7" t="s">
        <v>902</v>
      </c>
      <c r="AF16" s="20" t="s">
        <v>27</v>
      </c>
      <c r="AG16" s="11" t="s">
        <v>928</v>
      </c>
      <c r="AH16" s="7" t="s">
        <v>1242</v>
      </c>
    </row>
    <row r="17" spans="1:34" s="7" customFormat="1" ht="16.5" customHeight="1">
      <c r="A17" s="7">
        <v>2012</v>
      </c>
      <c r="B17" s="12">
        <v>41083</v>
      </c>
      <c r="C17" s="7" t="s">
        <v>22</v>
      </c>
      <c r="D17" s="9" t="s">
        <v>23</v>
      </c>
      <c r="E17" s="9" t="s">
        <v>24</v>
      </c>
      <c r="F17" s="9" t="s">
        <v>25</v>
      </c>
      <c r="G17" s="7" t="s">
        <v>902</v>
      </c>
      <c r="H17" s="7" t="s">
        <v>903</v>
      </c>
      <c r="I17" s="124" t="s">
        <v>902</v>
      </c>
      <c r="J17" s="7">
        <v>27</v>
      </c>
      <c r="K17" s="124" t="s">
        <v>1493</v>
      </c>
      <c r="L17" s="20" t="s">
        <v>913</v>
      </c>
      <c r="M17" s="16">
        <v>92.765373631527552</v>
      </c>
      <c r="N17" s="16">
        <v>27.290710348831979</v>
      </c>
      <c r="O17" s="16">
        <v>368.29932283100328</v>
      </c>
      <c r="P17" s="16">
        <v>18.388632724159642</v>
      </c>
      <c r="Q17" s="147">
        <v>493.06598703484786</v>
      </c>
      <c r="R17" s="147">
        <v>81.928314208984375</v>
      </c>
      <c r="S17" s="10">
        <v>0.83792134399798535</v>
      </c>
      <c r="T17" s="10">
        <v>-3.7169280585306805</v>
      </c>
      <c r="U17" s="16">
        <v>5.77730981927169E-2</v>
      </c>
      <c r="V17" s="16">
        <v>8.6641618047889768</v>
      </c>
      <c r="W17" s="10">
        <v>12.381089863319657</v>
      </c>
      <c r="X17" s="10" t="s">
        <v>902</v>
      </c>
      <c r="Y17" s="10">
        <v>3.2250000000000001</v>
      </c>
      <c r="Z17" s="10">
        <v>3.7749999999999999</v>
      </c>
      <c r="AA17" s="20" t="s">
        <v>802</v>
      </c>
      <c r="AB17" s="7">
        <v>1528.3</v>
      </c>
      <c r="AC17" s="7">
        <v>253.9</v>
      </c>
      <c r="AD17" s="7">
        <v>0.16613230386704181</v>
      </c>
      <c r="AE17" s="7" t="s">
        <v>902</v>
      </c>
      <c r="AF17" s="20" t="s">
        <v>27</v>
      </c>
      <c r="AG17" s="11" t="s">
        <v>928</v>
      </c>
      <c r="AH17" s="7" t="s">
        <v>1242</v>
      </c>
    </row>
    <row r="18" spans="1:34" s="7" customFormat="1" ht="16.5" customHeight="1">
      <c r="A18" s="7">
        <v>2012</v>
      </c>
      <c r="B18" s="12">
        <v>41083</v>
      </c>
      <c r="C18" s="7" t="s">
        <v>22</v>
      </c>
      <c r="D18" s="9" t="s">
        <v>23</v>
      </c>
      <c r="E18" s="9" t="s">
        <v>24</v>
      </c>
      <c r="F18" s="9" t="s">
        <v>25</v>
      </c>
      <c r="G18" s="7" t="s">
        <v>902</v>
      </c>
      <c r="H18" s="7" t="s">
        <v>903</v>
      </c>
      <c r="I18" s="124" t="s">
        <v>902</v>
      </c>
      <c r="J18" s="7">
        <v>6</v>
      </c>
      <c r="K18" s="124" t="s">
        <v>1494</v>
      </c>
      <c r="L18" s="20" t="s">
        <v>75</v>
      </c>
      <c r="M18" s="16">
        <v>92.870285435726771</v>
      </c>
      <c r="N18" s="16">
        <v>23.867046356201172</v>
      </c>
      <c r="O18" s="16">
        <v>369.77429681075245</v>
      </c>
      <c r="P18" s="16">
        <v>18.085270530299137</v>
      </c>
      <c r="Q18" s="147">
        <v>623.79571533203125</v>
      </c>
      <c r="R18" s="147">
        <v>50.044189453125</v>
      </c>
      <c r="S18" s="10">
        <v>0.83792134399798535</v>
      </c>
      <c r="T18" s="10">
        <v>-4.5155556211653423</v>
      </c>
      <c r="U18" s="16">
        <v>5.2086124085543438E-2</v>
      </c>
      <c r="V18" s="16">
        <v>8.6641618047889768</v>
      </c>
      <c r="W18" s="10">
        <v>13.179717425954319</v>
      </c>
      <c r="X18" s="10" t="s">
        <v>902</v>
      </c>
      <c r="Y18" s="10">
        <v>3.2250000000000001</v>
      </c>
      <c r="Z18" s="10">
        <v>3.7749999999999999</v>
      </c>
      <c r="AA18" s="20" t="s">
        <v>781</v>
      </c>
      <c r="AB18" s="7">
        <v>1532</v>
      </c>
      <c r="AC18" s="7">
        <v>343</v>
      </c>
      <c r="AD18" s="7">
        <v>0.22389033942558748</v>
      </c>
      <c r="AE18" s="7" t="s">
        <v>902</v>
      </c>
      <c r="AF18" s="20" t="s">
        <v>27</v>
      </c>
      <c r="AG18" s="11" t="s">
        <v>864</v>
      </c>
      <c r="AH18" s="7" t="s">
        <v>1242</v>
      </c>
    </row>
    <row r="19" spans="1:34" s="7" customFormat="1" ht="16.5" customHeight="1">
      <c r="A19" s="7">
        <v>2012</v>
      </c>
      <c r="B19" s="12">
        <v>41083</v>
      </c>
      <c r="C19" s="7" t="s">
        <v>22</v>
      </c>
      <c r="D19" s="9" t="s">
        <v>23</v>
      </c>
      <c r="E19" s="9" t="s">
        <v>24</v>
      </c>
      <c r="F19" s="9" t="s">
        <v>25</v>
      </c>
      <c r="G19" s="7" t="s">
        <v>902</v>
      </c>
      <c r="H19" s="7" t="s">
        <v>903</v>
      </c>
      <c r="I19" s="124" t="s">
        <v>902</v>
      </c>
      <c r="J19" s="7">
        <v>7</v>
      </c>
      <c r="K19" s="124" t="s">
        <v>1495</v>
      </c>
      <c r="L19" s="20" t="s">
        <v>74</v>
      </c>
      <c r="M19" s="16">
        <v>92.88949542575412</v>
      </c>
      <c r="N19" s="16">
        <v>24.324201265970867</v>
      </c>
      <c r="O19" s="16">
        <v>363.22365824381512</v>
      </c>
      <c r="P19" s="16">
        <v>18.793262693617081</v>
      </c>
      <c r="Q19" s="147">
        <v>883.67344495985242</v>
      </c>
      <c r="R19" s="147">
        <v>55.319580078125</v>
      </c>
      <c r="S19" s="10">
        <v>0.83792134399798535</v>
      </c>
      <c r="T19" s="10">
        <v>-5.6579882700819883</v>
      </c>
      <c r="U19" s="16">
        <v>4.5277696890973704E-2</v>
      </c>
      <c r="V19" s="16">
        <v>8.6641618047889768</v>
      </c>
      <c r="W19" s="10">
        <v>14.322150074870965</v>
      </c>
      <c r="X19" s="10" t="s">
        <v>902</v>
      </c>
      <c r="Y19" s="10">
        <v>3.2250000000000001</v>
      </c>
      <c r="Z19" s="10">
        <v>3.7749999999999999</v>
      </c>
      <c r="AA19" s="20" t="s">
        <v>782</v>
      </c>
      <c r="AB19" s="7">
        <v>1500.2</v>
      </c>
      <c r="AC19" s="7">
        <v>332</v>
      </c>
      <c r="AD19" s="7">
        <v>0.22130382615651245</v>
      </c>
      <c r="AE19" s="7" t="s">
        <v>902</v>
      </c>
      <c r="AF19" s="20" t="s">
        <v>27</v>
      </c>
      <c r="AG19" s="11" t="s">
        <v>864</v>
      </c>
      <c r="AH19" s="7" t="s">
        <v>1242</v>
      </c>
    </row>
    <row r="20" spans="1:34" s="7" customFormat="1" ht="16.5" customHeight="1">
      <c r="A20" s="7">
        <v>2012</v>
      </c>
      <c r="B20" s="12">
        <v>41083</v>
      </c>
      <c r="C20" s="7" t="s">
        <v>22</v>
      </c>
      <c r="D20" s="9" t="s">
        <v>23</v>
      </c>
      <c r="E20" s="9" t="s">
        <v>24</v>
      </c>
      <c r="F20" s="9" t="s">
        <v>25</v>
      </c>
      <c r="G20" s="7" t="s">
        <v>902</v>
      </c>
      <c r="H20" s="7" t="s">
        <v>903</v>
      </c>
      <c r="I20" s="124" t="s">
        <v>902</v>
      </c>
      <c r="J20" s="7">
        <v>8</v>
      </c>
      <c r="K20" s="124" t="s">
        <v>1496</v>
      </c>
      <c r="L20" s="20" t="s">
        <v>75</v>
      </c>
      <c r="M20" s="16">
        <v>92.884744856092667</v>
      </c>
      <c r="N20" s="16">
        <v>25.100361188252766</v>
      </c>
      <c r="O20" s="16">
        <v>362.87564765082465</v>
      </c>
      <c r="P20" s="16">
        <v>18.653156492445206</v>
      </c>
      <c r="Q20" s="147">
        <v>956.11800130208337</v>
      </c>
      <c r="R20" s="147">
        <v>38.74859619140625</v>
      </c>
      <c r="S20" s="10">
        <v>0.83792134399798535</v>
      </c>
      <c r="T20" s="10">
        <v>-6.5538306573804244</v>
      </c>
      <c r="U20" s="16">
        <v>5.9727941381180864E-2</v>
      </c>
      <c r="V20" s="16">
        <v>8.6641618047889768</v>
      </c>
      <c r="W20" s="10">
        <v>15.217992462169402</v>
      </c>
      <c r="X20" s="10" t="s">
        <v>902</v>
      </c>
      <c r="Y20" s="10">
        <v>3.2250000000000001</v>
      </c>
      <c r="Z20" s="10">
        <v>3.7749999999999999</v>
      </c>
      <c r="AA20" s="20" t="s">
        <v>783</v>
      </c>
      <c r="AB20" s="7">
        <v>1589.4</v>
      </c>
      <c r="AC20" s="7">
        <v>343</v>
      </c>
      <c r="AD20" s="7">
        <v>0.21580470617843209</v>
      </c>
      <c r="AE20" s="7" t="s">
        <v>902</v>
      </c>
      <c r="AF20" s="20" t="s">
        <v>27</v>
      </c>
      <c r="AG20" s="11" t="s">
        <v>864</v>
      </c>
      <c r="AH20" s="7" t="s">
        <v>1242</v>
      </c>
    </row>
    <row r="21" spans="1:34" s="7" customFormat="1" ht="16.5" customHeight="1">
      <c r="A21" s="7">
        <v>2012</v>
      </c>
      <c r="B21" s="12">
        <v>41083</v>
      </c>
      <c r="C21" s="7" t="s">
        <v>22</v>
      </c>
      <c r="D21" s="9" t="s">
        <v>23</v>
      </c>
      <c r="E21" s="9" t="s">
        <v>24</v>
      </c>
      <c r="F21" s="9" t="s">
        <v>25</v>
      </c>
      <c r="G21" s="7" t="s">
        <v>902</v>
      </c>
      <c r="H21" s="7" t="s">
        <v>903</v>
      </c>
      <c r="I21" s="124" t="s">
        <v>902</v>
      </c>
      <c r="J21" s="7">
        <v>9</v>
      </c>
      <c r="K21" s="124" t="s">
        <v>1497</v>
      </c>
      <c r="L21" s="20" t="s">
        <v>909</v>
      </c>
      <c r="M21" s="22">
        <v>92.896107143825958</v>
      </c>
      <c r="N21" s="22">
        <v>25.473992771572536</v>
      </c>
      <c r="O21" s="22">
        <v>361.47509426540796</v>
      </c>
      <c r="P21" s="22">
        <v>18.235347853766548</v>
      </c>
      <c r="Q21" s="148">
        <v>1237.7999471028645</v>
      </c>
      <c r="R21" s="148">
        <v>20.057373046875</v>
      </c>
      <c r="S21" s="10">
        <v>0.83792134399798535</v>
      </c>
      <c r="T21" s="10">
        <v>-10.330414154772901</v>
      </c>
      <c r="U21" s="22">
        <v>7.0192861606216031E-2</v>
      </c>
      <c r="V21" s="16">
        <v>8.6641618047889768</v>
      </c>
      <c r="W21" s="10">
        <v>18.994575959561878</v>
      </c>
      <c r="X21" s="10" t="s">
        <v>902</v>
      </c>
      <c r="Y21" s="10">
        <v>3.2250000000000001</v>
      </c>
      <c r="Z21" s="10">
        <v>3.7749999999999999</v>
      </c>
      <c r="AA21" s="20" t="s">
        <v>784</v>
      </c>
      <c r="AB21" s="7">
        <v>1496.6</v>
      </c>
      <c r="AC21" s="7">
        <v>283.2</v>
      </c>
      <c r="AD21" s="7">
        <v>0.18922891888280102</v>
      </c>
      <c r="AE21" s="7" t="s">
        <v>902</v>
      </c>
      <c r="AF21" s="20" t="s">
        <v>27</v>
      </c>
      <c r="AG21" s="11" t="s">
        <v>864</v>
      </c>
      <c r="AH21" s="7" t="s">
        <v>1242</v>
      </c>
    </row>
    <row r="22" spans="1:34" s="7" customFormat="1" ht="16.5" customHeight="1">
      <c r="A22" s="7">
        <v>2012</v>
      </c>
      <c r="B22" s="12">
        <v>41083</v>
      </c>
      <c r="C22" s="7" t="s">
        <v>22</v>
      </c>
      <c r="D22" s="9" t="s">
        <v>23</v>
      </c>
      <c r="E22" s="9" t="s">
        <v>24</v>
      </c>
      <c r="F22" s="9" t="s">
        <v>25</v>
      </c>
      <c r="G22" s="7" t="s">
        <v>902</v>
      </c>
      <c r="H22" s="7" t="s">
        <v>903</v>
      </c>
      <c r="I22" s="124" t="s">
        <v>902</v>
      </c>
      <c r="J22" s="7">
        <v>10</v>
      </c>
      <c r="K22" s="124" t="s">
        <v>1498</v>
      </c>
      <c r="L22" s="20" t="s">
        <v>909</v>
      </c>
      <c r="M22" s="22">
        <v>92.902011447482636</v>
      </c>
      <c r="N22" s="22">
        <v>25.001639790005154</v>
      </c>
      <c r="O22" s="22">
        <v>366.70998975965711</v>
      </c>
      <c r="P22" s="22">
        <v>17.007727675967747</v>
      </c>
      <c r="Q22" s="148">
        <v>1244.5223524305557</v>
      </c>
      <c r="R22" s="148">
        <v>4.14794921875</v>
      </c>
      <c r="S22" s="10">
        <v>0.83792134399798535</v>
      </c>
      <c r="T22" s="10">
        <v>-8.611652458071422</v>
      </c>
      <c r="U22" s="22">
        <v>7.0601658678399279E-2</v>
      </c>
      <c r="V22" s="16">
        <v>8.6641618047889768</v>
      </c>
      <c r="W22" s="10">
        <v>17.275814262860401</v>
      </c>
      <c r="X22" s="10" t="s">
        <v>902</v>
      </c>
      <c r="Y22" s="10">
        <v>3.2250000000000001</v>
      </c>
      <c r="Z22" s="10">
        <v>3.7749999999999999</v>
      </c>
      <c r="AA22" s="20" t="s">
        <v>785</v>
      </c>
      <c r="AB22" s="7">
        <v>1442.9</v>
      </c>
      <c r="AC22" s="7">
        <v>280.8</v>
      </c>
      <c r="AD22" s="7">
        <v>0.19460808094809065</v>
      </c>
      <c r="AE22" s="7" t="s">
        <v>902</v>
      </c>
      <c r="AF22" s="20" t="s">
        <v>27</v>
      </c>
      <c r="AG22" s="11" t="s">
        <v>864</v>
      </c>
      <c r="AH22" s="7" t="s">
        <v>1242</v>
      </c>
    </row>
    <row r="23" spans="1:34" s="7" customFormat="1" ht="16.5" customHeight="1">
      <c r="A23" s="7">
        <v>2012</v>
      </c>
      <c r="B23" s="12">
        <v>41083</v>
      </c>
      <c r="C23" s="7" t="s">
        <v>22</v>
      </c>
      <c r="D23" s="9" t="s">
        <v>23</v>
      </c>
      <c r="E23" s="9" t="s">
        <v>24</v>
      </c>
      <c r="F23" s="9" t="s">
        <v>25</v>
      </c>
      <c r="G23" s="7" t="s">
        <v>902</v>
      </c>
      <c r="H23" s="7" t="s">
        <v>903</v>
      </c>
      <c r="I23" s="124" t="s">
        <v>902</v>
      </c>
      <c r="J23" s="7">
        <v>11</v>
      </c>
      <c r="K23" s="124" t="s">
        <v>1499</v>
      </c>
      <c r="L23" s="20" t="s">
        <v>74</v>
      </c>
      <c r="M23" s="16">
        <v>92.893908606635193</v>
      </c>
      <c r="N23" s="16">
        <v>26.19633674621582</v>
      </c>
      <c r="O23" s="16">
        <v>363.33438958062067</v>
      </c>
      <c r="P23" s="16">
        <v>19.142615106370712</v>
      </c>
      <c r="Q23" s="147">
        <v>1271.3776719835068</v>
      </c>
      <c r="R23" s="147">
        <v>10.5567626953125</v>
      </c>
      <c r="S23" s="10">
        <v>0.83792134399798535</v>
      </c>
      <c r="T23" s="10">
        <v>-8.2279491439078978</v>
      </c>
      <c r="U23" s="16">
        <v>7.4109486874166047E-2</v>
      </c>
      <c r="V23" s="16">
        <v>8.6641618047889768</v>
      </c>
      <c r="W23" s="10">
        <v>16.892110948696875</v>
      </c>
      <c r="X23" s="10" t="s">
        <v>902</v>
      </c>
      <c r="Y23" s="10">
        <v>3.2250000000000001</v>
      </c>
      <c r="Z23" s="10">
        <v>3.7749999999999999</v>
      </c>
      <c r="AA23" s="20" t="s">
        <v>786</v>
      </c>
      <c r="AB23" s="7">
        <v>1474.6</v>
      </c>
      <c r="AC23" s="7">
        <v>291.7</v>
      </c>
      <c r="AD23" s="7">
        <v>0.19781635697816358</v>
      </c>
      <c r="AE23" s="7" t="s">
        <v>902</v>
      </c>
      <c r="AF23" s="20" t="s">
        <v>27</v>
      </c>
      <c r="AG23" s="11" t="s">
        <v>864</v>
      </c>
      <c r="AH23" s="7" t="s">
        <v>1242</v>
      </c>
    </row>
    <row r="24" spans="1:34" s="7" customFormat="1" ht="16.5" customHeight="1">
      <c r="A24" s="7">
        <v>2012</v>
      </c>
      <c r="B24" s="12">
        <v>41083</v>
      </c>
      <c r="C24" s="7" t="s">
        <v>22</v>
      </c>
      <c r="D24" s="9" t="s">
        <v>23</v>
      </c>
      <c r="E24" s="9" t="s">
        <v>24</v>
      </c>
      <c r="F24" s="9" t="s">
        <v>25</v>
      </c>
      <c r="G24" s="7" t="s">
        <v>902</v>
      </c>
      <c r="H24" s="7" t="s">
        <v>903</v>
      </c>
      <c r="I24" s="124" t="s">
        <v>902</v>
      </c>
      <c r="J24" s="7">
        <v>12</v>
      </c>
      <c r="K24" s="124" t="s">
        <v>1500</v>
      </c>
      <c r="L24" s="20" t="s">
        <v>909</v>
      </c>
      <c r="M24" s="16">
        <v>92.895867241753479</v>
      </c>
      <c r="N24" s="16">
        <v>25.515691863165962</v>
      </c>
      <c r="O24" s="16">
        <v>364.77336629231769</v>
      </c>
      <c r="P24" s="16">
        <v>17.973738882276749</v>
      </c>
      <c r="Q24" s="147">
        <v>1307.1963433159722</v>
      </c>
      <c r="R24" s="147">
        <v>25.1500244140625</v>
      </c>
      <c r="S24" s="10">
        <v>0.83792134399798535</v>
      </c>
      <c r="T24" s="10">
        <v>-7.8724411786776489</v>
      </c>
      <c r="U24" s="16">
        <v>7.2427577401585383E-2</v>
      </c>
      <c r="V24" s="16">
        <v>8.6641618047889768</v>
      </c>
      <c r="W24" s="10">
        <v>16.536602983466626</v>
      </c>
      <c r="X24" s="10" t="s">
        <v>902</v>
      </c>
      <c r="Y24" s="10">
        <v>3.2250000000000001</v>
      </c>
      <c r="Z24" s="10">
        <v>3.7749999999999999</v>
      </c>
      <c r="AA24" s="20" t="s">
        <v>787</v>
      </c>
      <c r="AB24" s="7">
        <v>1516.1</v>
      </c>
      <c r="AC24" s="7">
        <v>285.60000000000002</v>
      </c>
      <c r="AD24" s="7">
        <v>0.18837807532484668</v>
      </c>
      <c r="AE24" s="7" t="s">
        <v>902</v>
      </c>
      <c r="AF24" s="20" t="s">
        <v>27</v>
      </c>
      <c r="AG24" s="11" t="s">
        <v>864</v>
      </c>
      <c r="AH24" s="7" t="s">
        <v>1242</v>
      </c>
    </row>
    <row r="25" spans="1:34" s="7" customFormat="1" ht="16.5" customHeight="1">
      <c r="A25" s="7">
        <v>2012</v>
      </c>
      <c r="B25" s="12">
        <v>41083</v>
      </c>
      <c r="C25" s="7" t="s">
        <v>22</v>
      </c>
      <c r="D25" s="9" t="s">
        <v>23</v>
      </c>
      <c r="E25" s="9" t="s">
        <v>24</v>
      </c>
      <c r="F25" s="9" t="s">
        <v>25</v>
      </c>
      <c r="G25" s="7" t="s">
        <v>902</v>
      </c>
      <c r="H25" s="7" t="s">
        <v>903</v>
      </c>
      <c r="I25" s="124" t="s">
        <v>902</v>
      </c>
      <c r="J25" s="7">
        <v>13</v>
      </c>
      <c r="K25" s="124" t="s">
        <v>1501</v>
      </c>
      <c r="L25" s="20" t="s">
        <v>909</v>
      </c>
      <c r="M25" s="16">
        <v>92.770402205617799</v>
      </c>
      <c r="N25" s="16">
        <v>29.437740727474814</v>
      </c>
      <c r="O25" s="16">
        <v>362.12929334138568</v>
      </c>
      <c r="P25" s="16">
        <v>20.99026117826763</v>
      </c>
      <c r="Q25" s="147">
        <v>1325.325349506579</v>
      </c>
      <c r="R25" s="147">
        <v>7.884765625</v>
      </c>
      <c r="S25" s="10">
        <v>0.83792134399798535</v>
      </c>
      <c r="T25" s="10">
        <v>-6.1051264208510423</v>
      </c>
      <c r="U25" s="16">
        <v>8.1572641406142926E-2</v>
      </c>
      <c r="V25" s="16">
        <v>8.6641618047889768</v>
      </c>
      <c r="W25" s="10">
        <v>14.769288225640018</v>
      </c>
      <c r="X25" s="10" t="s">
        <v>902</v>
      </c>
      <c r="Y25" s="10">
        <v>3.2250000000000001</v>
      </c>
      <c r="Z25" s="10">
        <v>3.7749999999999999</v>
      </c>
      <c r="AA25" s="20" t="s">
        <v>788</v>
      </c>
      <c r="AB25" s="7">
        <v>1574.7</v>
      </c>
      <c r="AC25" s="7">
        <v>255.1</v>
      </c>
      <c r="AD25" s="7">
        <v>0.16199911094176667</v>
      </c>
      <c r="AE25" s="7" t="s">
        <v>902</v>
      </c>
      <c r="AF25" s="20" t="s">
        <v>27</v>
      </c>
      <c r="AG25" s="11" t="s">
        <v>864</v>
      </c>
      <c r="AH25" s="7" t="s">
        <v>1242</v>
      </c>
    </row>
    <row r="26" spans="1:34" s="7" customFormat="1" ht="16.5" customHeight="1">
      <c r="A26" s="7">
        <v>2012</v>
      </c>
      <c r="B26" s="12">
        <v>41083</v>
      </c>
      <c r="C26" s="7" t="s">
        <v>22</v>
      </c>
      <c r="D26" s="9" t="s">
        <v>23</v>
      </c>
      <c r="E26" s="9" t="s">
        <v>24</v>
      </c>
      <c r="F26" s="9" t="s">
        <v>25</v>
      </c>
      <c r="G26" s="7" t="s">
        <v>902</v>
      </c>
      <c r="H26" s="7" t="s">
        <v>903</v>
      </c>
      <c r="I26" s="124" t="s">
        <v>902</v>
      </c>
      <c r="J26" s="7">
        <v>14</v>
      </c>
      <c r="K26" s="124" t="s">
        <v>1502</v>
      </c>
      <c r="L26" s="20" t="s">
        <v>909</v>
      </c>
      <c r="M26" s="16">
        <v>92.77406712582237</v>
      </c>
      <c r="N26" s="16">
        <v>27.954295308966387</v>
      </c>
      <c r="O26" s="16">
        <v>363.01707217567844</v>
      </c>
      <c r="P26" s="16">
        <v>19.492699472527754</v>
      </c>
      <c r="Q26" s="147">
        <v>1332.7768940172698</v>
      </c>
      <c r="R26" s="147">
        <v>9.3656005859375</v>
      </c>
      <c r="S26" s="10">
        <v>0.83792134399798535</v>
      </c>
      <c r="T26" s="10">
        <v>-6.7951462657256672</v>
      </c>
      <c r="U26" s="16">
        <v>7.2558692463657315E-2</v>
      </c>
      <c r="V26" s="16">
        <v>8.6641618047889768</v>
      </c>
      <c r="W26" s="10">
        <v>15.459308070514645</v>
      </c>
      <c r="X26" s="10" t="s">
        <v>902</v>
      </c>
      <c r="Y26" s="10">
        <v>3.2250000000000001</v>
      </c>
      <c r="Z26" s="10">
        <v>3.7749999999999999</v>
      </c>
      <c r="AA26" s="20" t="s">
        <v>789</v>
      </c>
      <c r="AB26" s="7">
        <v>1572.3</v>
      </c>
      <c r="AC26" s="7">
        <v>257.60000000000002</v>
      </c>
      <c r="AD26" s="7">
        <v>0.1638364179863894</v>
      </c>
      <c r="AE26" s="7" t="s">
        <v>902</v>
      </c>
      <c r="AF26" s="20" t="s">
        <v>27</v>
      </c>
      <c r="AG26" s="11" t="s">
        <v>864</v>
      </c>
      <c r="AH26" s="7" t="s">
        <v>1242</v>
      </c>
    </row>
    <row r="27" spans="1:34" s="7" customFormat="1" ht="16.5" customHeight="1">
      <c r="A27" s="7">
        <v>2012</v>
      </c>
      <c r="B27" s="12">
        <v>41083</v>
      </c>
      <c r="C27" s="7" t="s">
        <v>22</v>
      </c>
      <c r="D27" s="9" t="s">
        <v>23</v>
      </c>
      <c r="E27" s="9" t="s">
        <v>24</v>
      </c>
      <c r="F27" s="9" t="s">
        <v>25</v>
      </c>
      <c r="G27" s="7" t="s">
        <v>902</v>
      </c>
      <c r="H27" s="7" t="s">
        <v>903</v>
      </c>
      <c r="I27" s="124" t="s">
        <v>902</v>
      </c>
      <c r="J27" s="7">
        <v>15</v>
      </c>
      <c r="K27" s="124" t="s">
        <v>1503</v>
      </c>
      <c r="L27" s="20" t="s">
        <v>909</v>
      </c>
      <c r="M27" s="16">
        <v>92.773427862870065</v>
      </c>
      <c r="N27" s="16">
        <v>28.219079770539935</v>
      </c>
      <c r="O27" s="16">
        <v>364.90244654605266</v>
      </c>
      <c r="P27" s="16">
        <v>19.214270340768916</v>
      </c>
      <c r="Q27" s="147">
        <v>1335.4031082956415</v>
      </c>
      <c r="R27" s="147">
        <v>4.2958984375</v>
      </c>
      <c r="S27" s="10">
        <v>0.83792134399798535</v>
      </c>
      <c r="T27" s="10">
        <v>-5.9598882707017697</v>
      </c>
      <c r="U27" s="16">
        <v>8.4434157923648209E-2</v>
      </c>
      <c r="V27" s="16">
        <v>8.6641618047889768</v>
      </c>
      <c r="W27" s="10">
        <v>14.624050075490747</v>
      </c>
      <c r="X27" s="10" t="s">
        <v>902</v>
      </c>
      <c r="Y27" s="10">
        <v>3.2250000000000001</v>
      </c>
      <c r="Z27" s="10">
        <v>3.7749999999999999</v>
      </c>
      <c r="AA27" s="20" t="s">
        <v>790</v>
      </c>
      <c r="AB27" s="7">
        <v>1577.1</v>
      </c>
      <c r="AC27" s="7">
        <v>256.3</v>
      </c>
      <c r="AD27" s="7">
        <v>0.16251347409802805</v>
      </c>
      <c r="AE27" s="7" t="s">
        <v>902</v>
      </c>
      <c r="AF27" s="20" t="s">
        <v>27</v>
      </c>
      <c r="AG27" s="11" t="s">
        <v>864</v>
      </c>
      <c r="AH27" s="7" t="s">
        <v>1242</v>
      </c>
    </row>
    <row r="28" spans="1:34" s="7" customFormat="1" ht="16.5" customHeight="1">
      <c r="A28" s="7">
        <v>2012</v>
      </c>
      <c r="B28" s="12">
        <v>41083</v>
      </c>
      <c r="C28" s="7" t="s">
        <v>22</v>
      </c>
      <c r="D28" s="9" t="s">
        <v>23</v>
      </c>
      <c r="E28" s="9" t="s">
        <v>24</v>
      </c>
      <c r="F28" s="9" t="s">
        <v>25</v>
      </c>
      <c r="G28" s="7" t="s">
        <v>902</v>
      </c>
      <c r="H28" s="7" t="s">
        <v>903</v>
      </c>
      <c r="I28" s="124" t="s">
        <v>902</v>
      </c>
      <c r="J28" s="7">
        <v>16</v>
      </c>
      <c r="K28" s="124" t="s">
        <v>1504</v>
      </c>
      <c r="L28" s="20" t="s">
        <v>909</v>
      </c>
      <c r="M28" s="16">
        <v>92.776483636153372</v>
      </c>
      <c r="N28" s="16">
        <v>27.66120137666401</v>
      </c>
      <c r="O28" s="16">
        <v>368.58408877724094</v>
      </c>
      <c r="P28" s="16">
        <v>18.202215295088919</v>
      </c>
      <c r="Q28" s="147">
        <v>1336.6944130345394</v>
      </c>
      <c r="R28" s="147">
        <v>4.4581298828125</v>
      </c>
      <c r="S28" s="10">
        <v>0.83792134399798535</v>
      </c>
      <c r="T28" s="10">
        <v>-7.4681642556550525</v>
      </c>
      <c r="U28" s="16">
        <v>8.5004172408789921E-2</v>
      </c>
      <c r="V28" s="16">
        <v>8.6641618047889768</v>
      </c>
      <c r="W28" s="10">
        <v>16.132326060444029</v>
      </c>
      <c r="X28" s="10" t="s">
        <v>902</v>
      </c>
      <c r="Y28" s="10">
        <v>3.2250000000000001</v>
      </c>
      <c r="Z28" s="10">
        <v>3.7749999999999999</v>
      </c>
      <c r="AA28" s="20" t="s">
        <v>791</v>
      </c>
      <c r="AB28" s="7">
        <v>1575.9</v>
      </c>
      <c r="AC28" s="7">
        <v>256.3</v>
      </c>
      <c r="AD28" s="7">
        <v>0.16263722317405926</v>
      </c>
      <c r="AE28" s="7" t="s">
        <v>902</v>
      </c>
      <c r="AF28" s="20" t="s">
        <v>27</v>
      </c>
      <c r="AG28" s="11" t="s">
        <v>864</v>
      </c>
      <c r="AH28" s="7" t="s">
        <v>1242</v>
      </c>
    </row>
    <row r="29" spans="1:34" s="7" customFormat="1" ht="16.5" customHeight="1">
      <c r="A29" s="7">
        <v>2012</v>
      </c>
      <c r="B29" s="12">
        <v>41092</v>
      </c>
      <c r="C29" s="7" t="s">
        <v>22</v>
      </c>
      <c r="D29" s="9" t="s">
        <v>6</v>
      </c>
      <c r="E29" s="9" t="s">
        <v>9</v>
      </c>
      <c r="F29" s="9" t="s">
        <v>25</v>
      </c>
      <c r="G29" s="7" t="s">
        <v>902</v>
      </c>
      <c r="H29" s="7" t="s">
        <v>903</v>
      </c>
      <c r="I29" s="124" t="s">
        <v>902</v>
      </c>
      <c r="J29" s="7">
        <v>1</v>
      </c>
      <c r="K29" s="124" t="s">
        <v>1505</v>
      </c>
      <c r="L29" s="20" t="s">
        <v>904</v>
      </c>
      <c r="M29" s="16">
        <v>92.148035551372331</v>
      </c>
      <c r="N29" s="16">
        <v>18.358180397435238</v>
      </c>
      <c r="O29" s="16">
        <v>408.40036010742187</v>
      </c>
      <c r="P29" s="16">
        <v>18.207872591520612</v>
      </c>
      <c r="Q29" s="147">
        <v>7.9999279433028092E-2</v>
      </c>
      <c r="R29" s="147">
        <v>0.24205274961423129</v>
      </c>
      <c r="S29" s="10">
        <v>0.63689736404770558</v>
      </c>
      <c r="T29" s="10">
        <v>8.2740711792298907</v>
      </c>
      <c r="U29" s="16">
        <v>1.3537465480335971E-2</v>
      </c>
      <c r="V29" s="16">
        <v>7.4162641249885368</v>
      </c>
      <c r="W29" s="10">
        <v>0</v>
      </c>
      <c r="X29" s="10" t="s">
        <v>902</v>
      </c>
      <c r="Y29" s="10">
        <v>2.2999999999999998</v>
      </c>
      <c r="Z29" s="10">
        <v>2.8333333333333335</v>
      </c>
      <c r="AA29" s="20" t="s">
        <v>65</v>
      </c>
      <c r="AB29" s="7">
        <v>191.7</v>
      </c>
      <c r="AC29" s="7">
        <v>173.3</v>
      </c>
      <c r="AD29" s="7">
        <v>0.90401669274908725</v>
      </c>
      <c r="AE29" s="7" t="s">
        <v>902</v>
      </c>
      <c r="AF29" s="20" t="s">
        <v>8</v>
      </c>
      <c r="AG29" s="11" t="s">
        <v>607</v>
      </c>
      <c r="AH29" s="7" t="s">
        <v>1244</v>
      </c>
    </row>
    <row r="30" spans="1:34" s="7" customFormat="1" ht="16.5" customHeight="1">
      <c r="A30" s="7">
        <v>2012</v>
      </c>
      <c r="B30" s="12">
        <v>41092</v>
      </c>
      <c r="C30" s="7" t="s">
        <v>22</v>
      </c>
      <c r="D30" s="9" t="s">
        <v>6</v>
      </c>
      <c r="E30" s="9" t="s">
        <v>9</v>
      </c>
      <c r="F30" s="9" t="s">
        <v>25</v>
      </c>
      <c r="G30" s="7" t="s">
        <v>902</v>
      </c>
      <c r="H30" s="7" t="s">
        <v>903</v>
      </c>
      <c r="I30" s="124" t="s">
        <v>902</v>
      </c>
      <c r="J30" s="7">
        <v>2</v>
      </c>
      <c r="K30" s="124" t="s">
        <v>1506</v>
      </c>
      <c r="L30" s="20" t="s">
        <v>904</v>
      </c>
      <c r="M30" s="16">
        <v>92.147442466334297</v>
      </c>
      <c r="N30" s="16">
        <v>17.511854071366159</v>
      </c>
      <c r="O30" s="16">
        <v>398.56393432617187</v>
      </c>
      <c r="P30" s="16">
        <v>17.045793633711966</v>
      </c>
      <c r="Q30" s="147">
        <v>8.5978140061917271E-2</v>
      </c>
      <c r="R30" s="147">
        <v>0.19731578999198973</v>
      </c>
      <c r="S30" s="10">
        <v>0.63689736404770558</v>
      </c>
      <c r="T30" s="10">
        <v>8.2305283541947478</v>
      </c>
      <c r="U30" s="16">
        <v>1.7886847780461897E-2</v>
      </c>
      <c r="V30" s="16">
        <v>7.4162641249885368</v>
      </c>
      <c r="W30" s="10">
        <v>0</v>
      </c>
      <c r="X30" s="10" t="s">
        <v>902</v>
      </c>
      <c r="Y30" s="10">
        <v>2.2999999999999998</v>
      </c>
      <c r="Z30" s="10">
        <v>2.8333333333333335</v>
      </c>
      <c r="AA30" s="20" t="s">
        <v>67</v>
      </c>
      <c r="AB30" s="7">
        <v>200.2</v>
      </c>
      <c r="AC30" s="7">
        <v>192.9</v>
      </c>
      <c r="AD30" s="7">
        <v>0.96353646353646361</v>
      </c>
      <c r="AE30" s="7" t="s">
        <v>902</v>
      </c>
      <c r="AF30" s="20" t="s">
        <v>8</v>
      </c>
      <c r="AG30" s="11" t="s">
        <v>607</v>
      </c>
      <c r="AH30" s="7" t="s">
        <v>1245</v>
      </c>
    </row>
    <row r="31" spans="1:34" s="7" customFormat="1" ht="16.5" customHeight="1">
      <c r="A31" s="7">
        <v>2012</v>
      </c>
      <c r="B31" s="12">
        <v>41092</v>
      </c>
      <c r="C31" s="7" t="s">
        <v>22</v>
      </c>
      <c r="D31" s="9" t="s">
        <v>6</v>
      </c>
      <c r="E31" s="9" t="s">
        <v>9</v>
      </c>
      <c r="F31" s="9" t="s">
        <v>25</v>
      </c>
      <c r="G31" s="7" t="s">
        <v>902</v>
      </c>
      <c r="H31" s="7" t="s">
        <v>903</v>
      </c>
      <c r="I31" s="124" t="s">
        <v>902</v>
      </c>
      <c r="J31" s="7">
        <v>3</v>
      </c>
      <c r="K31" s="124" t="s">
        <v>1507</v>
      </c>
      <c r="L31" s="20" t="s">
        <v>904</v>
      </c>
      <c r="M31" s="16">
        <v>92.1463189376028</v>
      </c>
      <c r="N31" s="16">
        <v>17.680265727796051</v>
      </c>
      <c r="O31" s="16">
        <v>393.63568115234375</v>
      </c>
      <c r="P31" s="16">
        <v>16.733287710892526</v>
      </c>
      <c r="Q31" s="147">
        <v>8.9298572219712172E-2</v>
      </c>
      <c r="R31" s="147">
        <v>0.16748689999803901</v>
      </c>
      <c r="S31" s="10">
        <v>0.63689736404770558</v>
      </c>
      <c r="T31" s="10">
        <v>7.7285405723871783</v>
      </c>
      <c r="U31" s="16">
        <v>2.2149249963593066E-2</v>
      </c>
      <c r="V31" s="16">
        <v>7.4162641249885368</v>
      </c>
      <c r="W31" s="10">
        <v>0</v>
      </c>
      <c r="X31" s="10" t="s">
        <v>902</v>
      </c>
      <c r="Y31" s="10">
        <v>2.2999999999999998</v>
      </c>
      <c r="Z31" s="10">
        <v>2.8333333333333335</v>
      </c>
      <c r="AA31" s="20" t="s">
        <v>66</v>
      </c>
      <c r="AB31" s="7">
        <v>191.7</v>
      </c>
      <c r="AC31" s="7">
        <v>183.1</v>
      </c>
      <c r="AD31" s="7">
        <v>0.95513823682837773</v>
      </c>
      <c r="AE31" s="7" t="s">
        <v>902</v>
      </c>
      <c r="AF31" s="20" t="s">
        <v>8</v>
      </c>
      <c r="AG31" s="11" t="s">
        <v>607</v>
      </c>
      <c r="AH31" s="7" t="s">
        <v>1244</v>
      </c>
    </row>
    <row r="32" spans="1:34" s="7" customFormat="1" ht="16.5" customHeight="1">
      <c r="A32" s="7">
        <v>2012</v>
      </c>
      <c r="B32" s="12">
        <v>41093</v>
      </c>
      <c r="C32" s="7" t="s">
        <v>22</v>
      </c>
      <c r="D32" s="26" t="s">
        <v>6</v>
      </c>
      <c r="E32" s="9" t="s">
        <v>9</v>
      </c>
      <c r="F32" s="9" t="s">
        <v>25</v>
      </c>
      <c r="G32" s="7" t="s">
        <v>902</v>
      </c>
      <c r="H32" s="7" t="s">
        <v>903</v>
      </c>
      <c r="I32" s="124" t="s">
        <v>902</v>
      </c>
      <c r="J32" s="7">
        <v>4</v>
      </c>
      <c r="K32" s="124" t="s">
        <v>1508</v>
      </c>
      <c r="L32" s="20" t="s">
        <v>904</v>
      </c>
      <c r="M32" s="16">
        <v>91.785116958618161</v>
      </c>
      <c r="N32" s="16">
        <v>19.083221149444579</v>
      </c>
      <c r="O32" s="16">
        <v>390.95734100341798</v>
      </c>
      <c r="P32" s="16">
        <v>17.352472209930419</v>
      </c>
      <c r="Q32" s="147">
        <v>8.9361578132957226E-2</v>
      </c>
      <c r="R32" s="147">
        <v>0.22598462365567684</v>
      </c>
      <c r="S32" s="10">
        <v>0.63689736404770558</v>
      </c>
      <c r="T32" s="10">
        <v>7.7016725843996063</v>
      </c>
      <c r="U32" s="16">
        <v>1.8843627155275273E-2</v>
      </c>
      <c r="V32" s="16">
        <v>7.4162641249885368</v>
      </c>
      <c r="W32" s="10">
        <v>0</v>
      </c>
      <c r="X32" s="10" t="s">
        <v>902</v>
      </c>
      <c r="Y32" s="10">
        <v>2.2999999999999998</v>
      </c>
      <c r="Z32" s="10">
        <v>2.8333333333333335</v>
      </c>
      <c r="AA32" s="20" t="s">
        <v>55</v>
      </c>
      <c r="AB32" s="7">
        <v>527.29999999999995</v>
      </c>
      <c r="AC32" s="7">
        <v>493.2</v>
      </c>
      <c r="AD32" s="7">
        <v>0.93533093115873323</v>
      </c>
      <c r="AE32" s="7" t="s">
        <v>68</v>
      </c>
      <c r="AF32" s="19" t="s">
        <v>8</v>
      </c>
      <c r="AG32" s="11" t="s">
        <v>607</v>
      </c>
      <c r="AH32" s="7" t="s">
        <v>1246</v>
      </c>
    </row>
    <row r="33" spans="1:34" s="7" customFormat="1" ht="16.5" customHeight="1">
      <c r="A33" s="7">
        <v>2012</v>
      </c>
      <c r="B33" s="12">
        <v>41093</v>
      </c>
      <c r="C33" s="7" t="s">
        <v>22</v>
      </c>
      <c r="D33" s="26" t="s">
        <v>6</v>
      </c>
      <c r="E33" s="9" t="s">
        <v>9</v>
      </c>
      <c r="F33" s="9" t="s">
        <v>25</v>
      </c>
      <c r="G33" s="7" t="s">
        <v>902</v>
      </c>
      <c r="H33" s="7" t="s">
        <v>903</v>
      </c>
      <c r="I33" s="124" t="s">
        <v>902</v>
      </c>
      <c r="J33" s="7">
        <v>5</v>
      </c>
      <c r="K33" s="124" t="s">
        <v>1509</v>
      </c>
      <c r="L33" s="20" t="s">
        <v>904</v>
      </c>
      <c r="M33" s="16">
        <v>91.783817291259766</v>
      </c>
      <c r="N33" s="16">
        <v>19.482327079772951</v>
      </c>
      <c r="O33" s="16">
        <v>399.47894287109375</v>
      </c>
      <c r="P33" s="16">
        <v>18.873788833618164</v>
      </c>
      <c r="Q33" s="147">
        <v>0.10048758359625935</v>
      </c>
      <c r="R33" s="147">
        <v>0.26383324898779392</v>
      </c>
      <c r="S33" s="10">
        <v>0.63689736404770558</v>
      </c>
      <c r="T33" s="10">
        <v>7.3609086640626602</v>
      </c>
      <c r="U33" s="16">
        <v>9.3997883617429803E-3</v>
      </c>
      <c r="V33" s="16">
        <v>7.4162641249885368</v>
      </c>
      <c r="W33" s="10">
        <v>0</v>
      </c>
      <c r="X33" s="10" t="s">
        <v>902</v>
      </c>
      <c r="Y33" s="10">
        <v>2.2999999999999998</v>
      </c>
      <c r="Z33" s="10">
        <v>2.8333333333333335</v>
      </c>
      <c r="AA33" s="20" t="s">
        <v>54</v>
      </c>
      <c r="AB33" s="7">
        <v>553</v>
      </c>
      <c r="AC33" s="7">
        <v>515.1</v>
      </c>
      <c r="AD33" s="7">
        <v>0.93146473779385175</v>
      </c>
      <c r="AE33" s="7" t="s">
        <v>68</v>
      </c>
      <c r="AF33" s="19" t="s">
        <v>8</v>
      </c>
      <c r="AG33" s="11" t="s">
        <v>607</v>
      </c>
      <c r="AH33" s="7" t="s">
        <v>1244</v>
      </c>
    </row>
    <row r="34" spans="1:34" s="7" customFormat="1" ht="16.5" customHeight="1">
      <c r="A34" s="7">
        <v>2012</v>
      </c>
      <c r="B34" s="12">
        <v>41093</v>
      </c>
      <c r="C34" s="7" t="s">
        <v>22</v>
      </c>
      <c r="D34" s="26" t="s">
        <v>6</v>
      </c>
      <c r="E34" s="9" t="s">
        <v>9</v>
      </c>
      <c r="F34" s="9" t="s">
        <v>25</v>
      </c>
      <c r="G34" s="7" t="s">
        <v>902</v>
      </c>
      <c r="H34" s="7" t="s">
        <v>903</v>
      </c>
      <c r="I34" s="124" t="s">
        <v>902</v>
      </c>
      <c r="J34" s="7">
        <v>6</v>
      </c>
      <c r="K34" s="124" t="s">
        <v>1510</v>
      </c>
      <c r="L34" s="20" t="s">
        <v>904</v>
      </c>
      <c r="M34" s="22">
        <v>91.783499065198399</v>
      </c>
      <c r="N34" s="22">
        <v>18.945295534635846</v>
      </c>
      <c r="O34" s="22">
        <v>390.69988371196547</v>
      </c>
      <c r="P34" s="22">
        <v>17.412477593672904</v>
      </c>
      <c r="Q34" s="148">
        <v>0.13970915100684292</v>
      </c>
      <c r="R34" s="148">
        <v>0.26842602156102657</v>
      </c>
      <c r="S34" s="10">
        <v>0.63689736404770558</v>
      </c>
      <c r="T34" s="10">
        <v>8.0252797338208186</v>
      </c>
      <c r="U34" s="22">
        <v>1.6332251565498217E-2</v>
      </c>
      <c r="V34" s="16">
        <v>7.4162641249885368</v>
      </c>
      <c r="W34" s="10">
        <v>0</v>
      </c>
      <c r="X34" s="10" t="s">
        <v>902</v>
      </c>
      <c r="Y34" s="10">
        <v>2.2999999999999998</v>
      </c>
      <c r="Z34" s="10">
        <v>2.8333333333333335</v>
      </c>
      <c r="AA34" s="20" t="s">
        <v>56</v>
      </c>
      <c r="AB34" s="7">
        <v>507.8</v>
      </c>
      <c r="AC34" s="7">
        <v>488.3</v>
      </c>
      <c r="AD34" s="7">
        <v>0.96159905474596297</v>
      </c>
      <c r="AE34" s="7" t="s">
        <v>68</v>
      </c>
      <c r="AF34" s="19" t="s">
        <v>8</v>
      </c>
      <c r="AG34" s="11" t="s">
        <v>607</v>
      </c>
      <c r="AH34" s="7" t="s">
        <v>1244</v>
      </c>
    </row>
    <row r="35" spans="1:34" s="7" customFormat="1" ht="16.5" customHeight="1">
      <c r="A35" s="7">
        <v>2012</v>
      </c>
      <c r="B35" s="12">
        <v>41093</v>
      </c>
      <c r="C35" s="7" t="s">
        <v>22</v>
      </c>
      <c r="D35" s="9" t="s">
        <v>6</v>
      </c>
      <c r="E35" s="9" t="s">
        <v>9</v>
      </c>
      <c r="F35" s="9" t="s">
        <v>25</v>
      </c>
      <c r="G35" s="7" t="s">
        <v>902</v>
      </c>
      <c r="H35" s="7" t="s">
        <v>903</v>
      </c>
      <c r="I35" s="124" t="s">
        <v>902</v>
      </c>
      <c r="J35" s="7">
        <v>16</v>
      </c>
      <c r="K35" s="124" t="s">
        <v>1511</v>
      </c>
      <c r="L35" s="20" t="s">
        <v>77</v>
      </c>
      <c r="M35" s="16">
        <v>91.77644233703613</v>
      </c>
      <c r="N35" s="16">
        <v>20.81441774368286</v>
      </c>
      <c r="O35" s="16">
        <v>380.7780700683594</v>
      </c>
      <c r="P35" s="16">
        <v>18.214287853240968</v>
      </c>
      <c r="Q35" s="147">
        <v>91.275971221923825</v>
      </c>
      <c r="R35" s="147">
        <v>2.5837020874023437</v>
      </c>
      <c r="S35" s="10">
        <v>0.63689736404770558</v>
      </c>
      <c r="T35" s="10">
        <v>3.547114868317303</v>
      </c>
      <c r="U35" s="16">
        <v>2.2389644966985946E-2</v>
      </c>
      <c r="V35" s="16">
        <v>7.4162641249885368</v>
      </c>
      <c r="W35" s="10">
        <v>3.8691492566712338</v>
      </c>
      <c r="X35" s="10" t="s">
        <v>902</v>
      </c>
      <c r="Y35" s="10">
        <v>2.2999999999999998</v>
      </c>
      <c r="Z35" s="10">
        <v>2.8333333333333335</v>
      </c>
      <c r="AA35" s="20" t="s">
        <v>53</v>
      </c>
      <c r="AB35" s="7">
        <v>603</v>
      </c>
      <c r="AC35" s="7">
        <v>582.29999999999995</v>
      </c>
      <c r="AD35" s="7">
        <v>0.9656716417910447</v>
      </c>
      <c r="AE35" s="7" t="s">
        <v>76</v>
      </c>
      <c r="AF35" s="20" t="s">
        <v>8</v>
      </c>
      <c r="AG35" s="11" t="s">
        <v>928</v>
      </c>
      <c r="AH35" s="7" t="s">
        <v>1244</v>
      </c>
    </row>
    <row r="36" spans="1:34" s="7" customFormat="1" ht="16.5" customHeight="1">
      <c r="A36" s="7">
        <v>2012</v>
      </c>
      <c r="B36" s="12">
        <v>41093</v>
      </c>
      <c r="C36" s="7" t="s">
        <v>22</v>
      </c>
      <c r="D36" s="9" t="s">
        <v>6</v>
      </c>
      <c r="E36" s="9" t="s">
        <v>9</v>
      </c>
      <c r="F36" s="9" t="s">
        <v>25</v>
      </c>
      <c r="G36" s="7" t="s">
        <v>902</v>
      </c>
      <c r="H36" s="7" t="s">
        <v>903</v>
      </c>
      <c r="I36" s="124" t="s">
        <v>902</v>
      </c>
      <c r="J36" s="7">
        <v>17</v>
      </c>
      <c r="K36" s="124" t="s">
        <v>1512</v>
      </c>
      <c r="L36" s="20" t="s">
        <v>75</v>
      </c>
      <c r="M36" s="16">
        <v>91.804735685649675</v>
      </c>
      <c r="N36" s="16">
        <v>20.921770898919355</v>
      </c>
      <c r="O36" s="16">
        <v>380.4635154322574</v>
      </c>
      <c r="P36" s="16">
        <v>18.340850428531045</v>
      </c>
      <c r="Q36" s="147">
        <v>101.00847143875926</v>
      </c>
      <c r="R36" s="147">
        <v>2.45501708984375</v>
      </c>
      <c r="S36" s="10">
        <v>0.63689736404770558</v>
      </c>
      <c r="T36" s="10">
        <v>3.2543834350184722</v>
      </c>
      <c r="U36" s="16">
        <v>3.155796486034728E-2</v>
      </c>
      <c r="V36" s="16">
        <v>7.4162641249885368</v>
      </c>
      <c r="W36" s="10">
        <v>4.1618806899700651</v>
      </c>
      <c r="X36" s="10" t="s">
        <v>902</v>
      </c>
      <c r="Y36" s="10">
        <v>2.2999999999999998</v>
      </c>
      <c r="Z36" s="10">
        <v>2.8333333333333335</v>
      </c>
      <c r="AA36" s="20" t="s">
        <v>48</v>
      </c>
      <c r="AB36" s="7">
        <v>448</v>
      </c>
      <c r="AC36" s="7">
        <v>407.7</v>
      </c>
      <c r="AD36" s="7">
        <v>0.91004464285714282</v>
      </c>
      <c r="AE36" s="7" t="s">
        <v>4</v>
      </c>
      <c r="AF36" s="20" t="s">
        <v>8</v>
      </c>
      <c r="AG36" s="11" t="s">
        <v>928</v>
      </c>
      <c r="AH36" s="7" t="s">
        <v>1244</v>
      </c>
    </row>
    <row r="37" spans="1:34" s="7" customFormat="1" ht="16.5" customHeight="1">
      <c r="A37" s="7">
        <v>2012</v>
      </c>
      <c r="B37" s="12">
        <v>41093</v>
      </c>
      <c r="C37" s="7" t="s">
        <v>22</v>
      </c>
      <c r="D37" s="9" t="s">
        <v>6</v>
      </c>
      <c r="E37" s="9" t="s">
        <v>9</v>
      </c>
      <c r="F37" s="9" t="s">
        <v>25</v>
      </c>
      <c r="G37" s="7" t="s">
        <v>902</v>
      </c>
      <c r="H37" s="7" t="s">
        <v>903</v>
      </c>
      <c r="I37" s="124" t="s">
        <v>902</v>
      </c>
      <c r="J37" s="7">
        <v>18</v>
      </c>
      <c r="K37" s="124" t="s">
        <v>1513</v>
      </c>
      <c r="L37" s="20" t="s">
        <v>77</v>
      </c>
      <c r="M37" s="16">
        <v>91.773540878295904</v>
      </c>
      <c r="N37" s="16">
        <v>21.234010028839112</v>
      </c>
      <c r="O37" s="16">
        <v>379.46916656494142</v>
      </c>
      <c r="P37" s="16">
        <v>18.586089229583742</v>
      </c>
      <c r="Q37" s="147">
        <v>110.93824691772461</v>
      </c>
      <c r="R37" s="147">
        <v>12.676376342773438</v>
      </c>
      <c r="S37" s="10">
        <v>0.63689736404770558</v>
      </c>
      <c r="T37" s="10">
        <v>3.2967421911024983</v>
      </c>
      <c r="U37" s="16">
        <v>2.1101345693258413E-2</v>
      </c>
      <c r="V37" s="16">
        <v>7.4162641249885368</v>
      </c>
      <c r="W37" s="10">
        <v>4.1195219338860385</v>
      </c>
      <c r="X37" s="10" t="s">
        <v>902</v>
      </c>
      <c r="Y37" s="10">
        <v>2.2999999999999998</v>
      </c>
      <c r="Z37" s="10">
        <v>2.8333333333333335</v>
      </c>
      <c r="AA37" s="20" t="s">
        <v>52</v>
      </c>
      <c r="AB37" s="7">
        <v>764.2</v>
      </c>
      <c r="AC37" s="7">
        <v>642.1</v>
      </c>
      <c r="AD37" s="7">
        <v>0.8402250719706883</v>
      </c>
      <c r="AE37" s="7" t="s">
        <v>76</v>
      </c>
      <c r="AF37" s="20" t="s">
        <v>8</v>
      </c>
      <c r="AG37" s="11" t="s">
        <v>928</v>
      </c>
      <c r="AH37" s="7" t="s">
        <v>1244</v>
      </c>
    </row>
    <row r="38" spans="1:34" s="7" customFormat="1" ht="16.5" customHeight="1">
      <c r="A38" s="7">
        <v>2012</v>
      </c>
      <c r="B38" s="12">
        <v>41093</v>
      </c>
      <c r="C38" s="7" t="s">
        <v>22</v>
      </c>
      <c r="D38" s="9" t="s">
        <v>6</v>
      </c>
      <c r="E38" s="9" t="s">
        <v>9</v>
      </c>
      <c r="F38" s="9" t="s">
        <v>25</v>
      </c>
      <c r="G38" s="7" t="s">
        <v>902</v>
      </c>
      <c r="H38" s="7" t="s">
        <v>903</v>
      </c>
      <c r="I38" s="124" t="s">
        <v>902</v>
      </c>
      <c r="J38" s="7">
        <v>19</v>
      </c>
      <c r="K38" s="124" t="s">
        <v>1514</v>
      </c>
      <c r="L38" s="20" t="s">
        <v>74</v>
      </c>
      <c r="M38" s="16">
        <v>91.820955753326416</v>
      </c>
      <c r="N38" s="16">
        <v>22.996028065681458</v>
      </c>
      <c r="O38" s="16">
        <v>366.91423225402832</v>
      </c>
      <c r="P38" s="16">
        <v>19.980298519134521</v>
      </c>
      <c r="Q38" s="147">
        <v>259.0009937286377</v>
      </c>
      <c r="R38" s="147">
        <v>26.428329467773437</v>
      </c>
      <c r="S38" s="10">
        <v>0.63689736404770558</v>
      </c>
      <c r="T38" s="10">
        <v>-3.8565188557794885</v>
      </c>
      <c r="U38" s="16">
        <v>4.2700764712165384E-2</v>
      </c>
      <c r="V38" s="16">
        <v>7.4162641249885368</v>
      </c>
      <c r="W38" s="10">
        <v>11.272782980768024</v>
      </c>
      <c r="X38" s="10" t="s">
        <v>902</v>
      </c>
      <c r="Y38" s="10">
        <v>2.2999999999999998</v>
      </c>
      <c r="Z38" s="10">
        <v>2.8333333333333335</v>
      </c>
      <c r="AA38" s="20" t="s">
        <v>45</v>
      </c>
      <c r="AB38" s="7">
        <v>700.7</v>
      </c>
      <c r="AC38" s="7">
        <v>582.29999999999995</v>
      </c>
      <c r="AD38" s="7">
        <v>0.83102611674040239</v>
      </c>
      <c r="AE38" s="7" t="s">
        <v>4</v>
      </c>
      <c r="AF38" s="20" t="s">
        <v>8</v>
      </c>
      <c r="AG38" s="11" t="s">
        <v>928</v>
      </c>
      <c r="AH38" s="7" t="s">
        <v>1247</v>
      </c>
    </row>
    <row r="39" spans="1:34" s="7" customFormat="1" ht="16.5" customHeight="1">
      <c r="A39" s="7">
        <v>2012</v>
      </c>
      <c r="B39" s="12">
        <v>41093</v>
      </c>
      <c r="C39" s="7" t="s">
        <v>22</v>
      </c>
      <c r="D39" s="9" t="s">
        <v>6</v>
      </c>
      <c r="E39" s="9" t="s">
        <v>9</v>
      </c>
      <c r="F39" s="9" t="s">
        <v>25</v>
      </c>
      <c r="G39" s="7" t="s">
        <v>902</v>
      </c>
      <c r="H39" s="7" t="s">
        <v>903</v>
      </c>
      <c r="I39" s="124" t="s">
        <v>902</v>
      </c>
      <c r="J39" s="7">
        <v>20</v>
      </c>
      <c r="K39" s="124" t="s">
        <v>1515</v>
      </c>
      <c r="L39" s="20" t="s">
        <v>75</v>
      </c>
      <c r="M39" s="16">
        <v>91.776136016845697</v>
      </c>
      <c r="N39" s="16">
        <v>22.632582187652588</v>
      </c>
      <c r="O39" s="16">
        <v>367.41224822998049</v>
      </c>
      <c r="P39" s="16">
        <v>18.447855949401855</v>
      </c>
      <c r="Q39" s="147">
        <v>345.29506683349609</v>
      </c>
      <c r="R39" s="147">
        <v>98.717926025390625</v>
      </c>
      <c r="S39" s="10">
        <v>0.63689736404770558</v>
      </c>
      <c r="T39" s="10">
        <v>-2.4834680339508721</v>
      </c>
      <c r="U39" s="16">
        <v>4.1600555764105089E-2</v>
      </c>
      <c r="V39" s="16">
        <v>7.4162641249885368</v>
      </c>
      <c r="W39" s="10">
        <v>9.8997321589394094</v>
      </c>
      <c r="X39" s="10" t="s">
        <v>902</v>
      </c>
      <c r="Y39" s="10">
        <v>2.2999999999999998</v>
      </c>
      <c r="Z39" s="10">
        <v>2.8333333333333335</v>
      </c>
      <c r="AA39" s="20" t="s">
        <v>51</v>
      </c>
      <c r="AB39" s="7">
        <v>678.7</v>
      </c>
      <c r="AC39" s="7">
        <v>537.1</v>
      </c>
      <c r="AD39" s="7">
        <v>0.7913658464711949</v>
      </c>
      <c r="AE39" s="7" t="s">
        <v>73</v>
      </c>
      <c r="AF39" s="20" t="s">
        <v>8</v>
      </c>
      <c r="AG39" s="11" t="s">
        <v>928</v>
      </c>
      <c r="AH39" s="7" t="s">
        <v>1244</v>
      </c>
    </row>
    <row r="40" spans="1:34" s="7" customFormat="1" ht="16.5" customHeight="1">
      <c r="A40" s="7">
        <v>2012</v>
      </c>
      <c r="B40" s="12">
        <v>41092</v>
      </c>
      <c r="C40" s="7" t="s">
        <v>22</v>
      </c>
      <c r="D40" s="9" t="s">
        <v>6</v>
      </c>
      <c r="E40" s="9" t="s">
        <v>9</v>
      </c>
      <c r="F40" s="9" t="s">
        <v>25</v>
      </c>
      <c r="G40" s="7" t="s">
        <v>902</v>
      </c>
      <c r="H40" s="7" t="s">
        <v>903</v>
      </c>
      <c r="I40" s="124" t="s">
        <v>902</v>
      </c>
      <c r="J40" s="7">
        <v>21</v>
      </c>
      <c r="K40" s="124" t="s">
        <v>766</v>
      </c>
      <c r="L40" s="20" t="s">
        <v>902</v>
      </c>
      <c r="M40" s="16">
        <v>92.142168680826828</v>
      </c>
      <c r="N40" s="16">
        <v>20.697479883829754</v>
      </c>
      <c r="O40" s="16">
        <v>363.138671875</v>
      </c>
      <c r="P40" s="16">
        <v>19.358317375183105</v>
      </c>
      <c r="Q40" s="147">
        <v>346.44694519042969</v>
      </c>
      <c r="R40" s="147">
        <v>21.1402587890625</v>
      </c>
      <c r="S40" s="10">
        <v>0.63689736404770558</v>
      </c>
      <c r="T40" s="10">
        <v>-8.698719301922873</v>
      </c>
      <c r="U40" s="16">
        <v>3.5406575884137835E-2</v>
      </c>
      <c r="V40" s="16">
        <v>7.4162641249885368</v>
      </c>
      <c r="W40" s="10">
        <v>16.114983426911408</v>
      </c>
      <c r="X40" s="10" t="s">
        <v>902</v>
      </c>
      <c r="Y40" s="10">
        <v>2.2999999999999998</v>
      </c>
      <c r="Z40" s="10">
        <v>2.8333333333333335</v>
      </c>
      <c r="AA40" s="20" t="s">
        <v>63</v>
      </c>
      <c r="AB40" s="7">
        <v>433.3</v>
      </c>
      <c r="AC40" s="7">
        <v>419.9</v>
      </c>
      <c r="AD40" s="7">
        <v>0.96907454419570727</v>
      </c>
      <c r="AE40" s="7" t="s">
        <v>902</v>
      </c>
      <c r="AF40" s="20" t="s">
        <v>8</v>
      </c>
      <c r="AG40" s="11" t="s">
        <v>928</v>
      </c>
      <c r="AH40" s="7" t="s">
        <v>1248</v>
      </c>
    </row>
    <row r="41" spans="1:34" s="7" customFormat="1" ht="16.5" customHeight="1">
      <c r="A41" s="7">
        <v>2012</v>
      </c>
      <c r="B41" s="12">
        <v>41093</v>
      </c>
      <c r="C41" s="7" t="s">
        <v>22</v>
      </c>
      <c r="D41" s="9" t="s">
        <v>6</v>
      </c>
      <c r="E41" s="9" t="s">
        <v>9</v>
      </c>
      <c r="F41" s="9" t="s">
        <v>25</v>
      </c>
      <c r="G41" s="7" t="s">
        <v>902</v>
      </c>
      <c r="H41" s="7" t="s">
        <v>903</v>
      </c>
      <c r="I41" s="124" t="s">
        <v>902</v>
      </c>
      <c r="J41" s="7">
        <v>22</v>
      </c>
      <c r="K41" s="124" t="s">
        <v>767</v>
      </c>
      <c r="L41" s="20" t="s">
        <v>909</v>
      </c>
      <c r="M41" s="16">
        <v>91.833779398600257</v>
      </c>
      <c r="N41" s="16">
        <v>25.105935287475585</v>
      </c>
      <c r="O41" s="16">
        <v>356.46690063476564</v>
      </c>
      <c r="P41" s="16">
        <v>25.207840347290038</v>
      </c>
      <c r="Q41" s="147">
        <v>384.50201619466145</v>
      </c>
      <c r="R41" s="147">
        <v>15.605499267578125</v>
      </c>
      <c r="S41" s="10">
        <v>0.63689736404770558</v>
      </c>
      <c r="T41" s="10">
        <v>-1.0053349835754744</v>
      </c>
      <c r="U41" s="16">
        <v>1.8011853898732846E-2</v>
      </c>
      <c r="V41" s="16">
        <v>7.4162641249885368</v>
      </c>
      <c r="W41" s="10">
        <v>8.4215991085640116</v>
      </c>
      <c r="X41" s="10" t="s">
        <v>902</v>
      </c>
      <c r="Y41" s="10">
        <v>2.2999999999999998</v>
      </c>
      <c r="Z41" s="10">
        <v>2.8333333333333335</v>
      </c>
      <c r="AA41" s="20" t="s">
        <v>43</v>
      </c>
      <c r="AB41" s="7">
        <v>534.70000000000005</v>
      </c>
      <c r="AC41" s="7">
        <v>461.4</v>
      </c>
      <c r="AD41" s="7">
        <v>0.86291378342996061</v>
      </c>
      <c r="AE41" s="7" t="s">
        <v>4</v>
      </c>
      <c r="AF41" s="20" t="s">
        <v>8</v>
      </c>
      <c r="AG41" s="11" t="s">
        <v>928</v>
      </c>
      <c r="AH41" s="7" t="s">
        <v>1249</v>
      </c>
    </row>
    <row r="42" spans="1:34" s="7" customFormat="1" ht="16.5" customHeight="1">
      <c r="A42" s="7">
        <v>2012</v>
      </c>
      <c r="B42" s="12">
        <v>41093</v>
      </c>
      <c r="C42" s="7" t="s">
        <v>22</v>
      </c>
      <c r="D42" s="26" t="s">
        <v>6</v>
      </c>
      <c r="E42" s="9" t="s">
        <v>9</v>
      </c>
      <c r="F42" s="9" t="s">
        <v>25</v>
      </c>
      <c r="G42" s="7" t="s">
        <v>902</v>
      </c>
      <c r="H42" s="7" t="s">
        <v>903</v>
      </c>
      <c r="I42" s="124" t="s">
        <v>902</v>
      </c>
      <c r="J42" s="7">
        <v>34</v>
      </c>
      <c r="K42" s="124" t="s">
        <v>71</v>
      </c>
      <c r="L42" s="20" t="s">
        <v>907</v>
      </c>
      <c r="M42" s="16">
        <v>91.891671431692018</v>
      </c>
      <c r="N42" s="16">
        <v>19.728157946937962</v>
      </c>
      <c r="O42" s="16">
        <v>357.48132163599917</v>
      </c>
      <c r="P42" s="16">
        <v>17.872307024504011</v>
      </c>
      <c r="Q42" s="147">
        <v>417.13218448036594</v>
      </c>
      <c r="R42" s="147">
        <v>22.193267822265625</v>
      </c>
      <c r="S42" s="10">
        <v>0.63689736404770558</v>
      </c>
      <c r="T42" s="10">
        <v>-6.1834980478973032</v>
      </c>
      <c r="U42" s="16">
        <v>4.0833971793191474E-2</v>
      </c>
      <c r="V42" s="16">
        <v>7.4162641249885368</v>
      </c>
      <c r="W42" s="10">
        <v>13.599762172885839</v>
      </c>
      <c r="X42" s="10" t="s">
        <v>902</v>
      </c>
      <c r="Y42" s="10">
        <v>2.2999999999999998</v>
      </c>
      <c r="Z42" s="10">
        <v>2.8333333333333335</v>
      </c>
      <c r="AA42" s="20" t="s">
        <v>32</v>
      </c>
      <c r="AB42" s="7">
        <v>463.9</v>
      </c>
      <c r="AC42" s="7">
        <v>451.7</v>
      </c>
      <c r="AD42" s="7">
        <v>0.97370122871308473</v>
      </c>
      <c r="AE42" s="7" t="s">
        <v>69</v>
      </c>
      <c r="AF42" s="19" t="s">
        <v>8</v>
      </c>
      <c r="AG42" s="11" t="s">
        <v>1</v>
      </c>
      <c r="AH42" s="7" t="s">
        <v>1244</v>
      </c>
    </row>
    <row r="43" spans="1:34" s="7" customFormat="1" ht="16.5" customHeight="1">
      <c r="A43" s="7">
        <v>2012</v>
      </c>
      <c r="B43" s="12">
        <v>41092</v>
      </c>
      <c r="C43" s="7" t="s">
        <v>22</v>
      </c>
      <c r="D43" s="9" t="s">
        <v>6</v>
      </c>
      <c r="E43" s="9" t="s">
        <v>9</v>
      </c>
      <c r="F43" s="9" t="s">
        <v>25</v>
      </c>
      <c r="G43" s="7" t="s">
        <v>902</v>
      </c>
      <c r="H43" s="7" t="s">
        <v>903</v>
      </c>
      <c r="I43" s="124" t="s">
        <v>902</v>
      </c>
      <c r="J43" s="7">
        <v>23</v>
      </c>
      <c r="K43" s="124" t="s">
        <v>768</v>
      </c>
      <c r="L43" s="20" t="s">
        <v>907</v>
      </c>
      <c r="M43" s="16">
        <v>92.134260911207932</v>
      </c>
      <c r="N43" s="16">
        <v>22.938828981839695</v>
      </c>
      <c r="O43" s="16">
        <v>365.79861450195313</v>
      </c>
      <c r="P43" s="16">
        <v>17.385874381432167</v>
      </c>
      <c r="Q43" s="147">
        <v>457.95895620492786</v>
      </c>
      <c r="R43" s="147">
        <v>27.06878662109375</v>
      </c>
      <c r="S43" s="10">
        <v>0.63689736404770558</v>
      </c>
      <c r="T43" s="10">
        <v>-7.305896548930944</v>
      </c>
      <c r="U43" s="16">
        <v>5.5619000030391136E-2</v>
      </c>
      <c r="V43" s="16">
        <v>7.4162641249885368</v>
      </c>
      <c r="W43" s="10">
        <v>14.722160673919481</v>
      </c>
      <c r="X43" s="10" t="s">
        <v>902</v>
      </c>
      <c r="Y43" s="10">
        <v>2.2999999999999998</v>
      </c>
      <c r="Z43" s="10">
        <v>2.8333333333333335</v>
      </c>
      <c r="AA43" s="20" t="s">
        <v>58</v>
      </c>
      <c r="AB43" s="7">
        <v>1461.2</v>
      </c>
      <c r="AC43" s="7">
        <v>261.2</v>
      </c>
      <c r="AD43" s="7">
        <v>0.17875718587462358</v>
      </c>
      <c r="AE43" s="7" t="s">
        <v>902</v>
      </c>
      <c r="AF43" s="20" t="s">
        <v>8</v>
      </c>
      <c r="AG43" s="11" t="s">
        <v>928</v>
      </c>
      <c r="AH43" s="7" t="s">
        <v>1250</v>
      </c>
    </row>
    <row r="44" spans="1:34" s="7" customFormat="1" ht="16.5" customHeight="1">
      <c r="A44" s="7">
        <v>2012</v>
      </c>
      <c r="B44" s="12">
        <v>41093</v>
      </c>
      <c r="C44" s="7" t="s">
        <v>22</v>
      </c>
      <c r="D44" s="9" t="s">
        <v>6</v>
      </c>
      <c r="E44" s="9" t="s">
        <v>9</v>
      </c>
      <c r="F44" s="9" t="s">
        <v>25</v>
      </c>
      <c r="G44" s="7" t="s">
        <v>902</v>
      </c>
      <c r="H44" s="7" t="s">
        <v>903</v>
      </c>
      <c r="I44" s="124" t="s">
        <v>902</v>
      </c>
      <c r="J44" s="7">
        <v>12</v>
      </c>
      <c r="K44" s="124" t="s">
        <v>1516</v>
      </c>
      <c r="L44" s="20" t="s">
        <v>75</v>
      </c>
      <c r="M44" s="16">
        <v>91.794638824462893</v>
      </c>
      <c r="N44" s="16">
        <v>22.397765922546387</v>
      </c>
      <c r="O44" s="16">
        <v>363.35862121582034</v>
      </c>
      <c r="P44" s="16">
        <v>19.310515499114992</v>
      </c>
      <c r="Q44" s="147">
        <v>477.41318511962891</v>
      </c>
      <c r="R44" s="147">
        <v>43.3040771484375</v>
      </c>
      <c r="S44" s="10">
        <v>0.63689736404770558</v>
      </c>
      <c r="T44" s="10">
        <v>-3.7969040111871761</v>
      </c>
      <c r="U44" s="16">
        <v>3.6484809387895396E-2</v>
      </c>
      <c r="V44" s="16">
        <v>7.4162641249885368</v>
      </c>
      <c r="W44" s="10">
        <v>11.213168136175714</v>
      </c>
      <c r="X44" s="10" t="s">
        <v>902</v>
      </c>
      <c r="Y44" s="10">
        <v>2.2999999999999998</v>
      </c>
      <c r="Z44" s="10">
        <v>2.8333333333333335</v>
      </c>
      <c r="AA44" s="20" t="s">
        <v>49</v>
      </c>
      <c r="AB44" s="7">
        <v>1691.9</v>
      </c>
      <c r="AC44" s="7">
        <v>479.7</v>
      </c>
      <c r="AD44" s="7">
        <v>0.28352739523612502</v>
      </c>
      <c r="AE44" s="7" t="s">
        <v>69</v>
      </c>
      <c r="AF44" s="20" t="s">
        <v>8</v>
      </c>
      <c r="AG44" s="11" t="s">
        <v>864</v>
      </c>
      <c r="AH44" s="7" t="s">
        <v>1244</v>
      </c>
    </row>
    <row r="45" spans="1:34" s="7" customFormat="1" ht="16.5" customHeight="1">
      <c r="A45" s="7">
        <v>2012</v>
      </c>
      <c r="B45" s="12">
        <v>41092</v>
      </c>
      <c r="C45" s="7" t="s">
        <v>22</v>
      </c>
      <c r="D45" s="9" t="s">
        <v>6</v>
      </c>
      <c r="E45" s="9" t="s">
        <v>9</v>
      </c>
      <c r="F45" s="9" t="s">
        <v>25</v>
      </c>
      <c r="G45" s="7" t="s">
        <v>902</v>
      </c>
      <c r="H45" s="7" t="s">
        <v>903</v>
      </c>
      <c r="I45" s="124" t="s">
        <v>902</v>
      </c>
      <c r="J45" s="7">
        <v>24</v>
      </c>
      <c r="K45" s="124" t="s">
        <v>769</v>
      </c>
      <c r="L45" s="20" t="s">
        <v>907</v>
      </c>
      <c r="M45" s="16">
        <v>92.132526050914421</v>
      </c>
      <c r="N45" s="16">
        <v>24.491608012806285</v>
      </c>
      <c r="O45" s="16">
        <v>362.60334916548294</v>
      </c>
      <c r="P45" s="16">
        <v>20.315574125810102</v>
      </c>
      <c r="Q45" s="147">
        <v>477.89387373490769</v>
      </c>
      <c r="R45" s="147">
        <v>24.736785888671875</v>
      </c>
      <c r="S45" s="10">
        <v>0.63689736404770558</v>
      </c>
      <c r="T45" s="10">
        <v>-5.0519453090099162</v>
      </c>
      <c r="U45" s="16">
        <v>5.1141275054365894E-2</v>
      </c>
      <c r="V45" s="16">
        <v>7.4162641249885368</v>
      </c>
      <c r="W45" s="10">
        <v>12.468209433998453</v>
      </c>
      <c r="X45" s="10" t="s">
        <v>902</v>
      </c>
      <c r="Y45" s="10">
        <v>2.2999999999999998</v>
      </c>
      <c r="Z45" s="10">
        <v>2.8333333333333335</v>
      </c>
      <c r="AA45" s="20" t="s">
        <v>61</v>
      </c>
      <c r="AB45" s="7">
        <v>706.8</v>
      </c>
      <c r="AC45" s="7">
        <v>588.4</v>
      </c>
      <c r="AD45" s="7">
        <v>0.83248443689869833</v>
      </c>
      <c r="AE45" s="7" t="s">
        <v>902</v>
      </c>
      <c r="AF45" s="20" t="s">
        <v>8</v>
      </c>
      <c r="AG45" s="11" t="s">
        <v>928</v>
      </c>
      <c r="AH45" s="7" t="s">
        <v>1251</v>
      </c>
    </row>
    <row r="46" spans="1:34" s="7" customFormat="1" ht="16.5" customHeight="1">
      <c r="A46" s="7">
        <v>2012</v>
      </c>
      <c r="B46" s="12">
        <v>41092</v>
      </c>
      <c r="C46" s="7" t="s">
        <v>22</v>
      </c>
      <c r="D46" s="9" t="s">
        <v>6</v>
      </c>
      <c r="E46" s="9" t="s">
        <v>9</v>
      </c>
      <c r="F46" s="9" t="s">
        <v>25</v>
      </c>
      <c r="G46" s="7" t="s">
        <v>902</v>
      </c>
      <c r="H46" s="7" t="s">
        <v>903</v>
      </c>
      <c r="I46" s="124" t="s">
        <v>902</v>
      </c>
      <c r="J46" s="7">
        <v>25</v>
      </c>
      <c r="K46" s="124" t="s">
        <v>770</v>
      </c>
      <c r="L46" s="20" t="s">
        <v>907</v>
      </c>
      <c r="M46" s="16">
        <v>92.132008870442704</v>
      </c>
      <c r="N46" s="16">
        <v>25.42308743794759</v>
      </c>
      <c r="O46" s="16">
        <v>360.73175048828125</v>
      </c>
      <c r="P46" s="16">
        <v>18.973978996276855</v>
      </c>
      <c r="Q46" s="147">
        <v>485.56117248535156</v>
      </c>
      <c r="R46" s="147">
        <v>13.036041259765625</v>
      </c>
      <c r="S46" s="10">
        <v>0.63689736404770558</v>
      </c>
      <c r="T46" s="10">
        <v>-5.8652053086747866</v>
      </c>
      <c r="U46" s="16">
        <v>7.0697375706263957E-2</v>
      </c>
      <c r="V46" s="16">
        <v>7.4162641249885368</v>
      </c>
      <c r="W46" s="10">
        <v>13.281469433663323</v>
      </c>
      <c r="X46" s="10" t="s">
        <v>902</v>
      </c>
      <c r="Y46" s="10">
        <v>2.2999999999999998</v>
      </c>
      <c r="Z46" s="10">
        <v>2.8333333333333335</v>
      </c>
      <c r="AA46" s="20" t="s">
        <v>57</v>
      </c>
      <c r="AB46" s="7">
        <v>1484.4</v>
      </c>
      <c r="AC46" s="7">
        <v>322.3</v>
      </c>
      <c r="AD46" s="7">
        <v>0.21712476421449745</v>
      </c>
      <c r="AE46" s="7" t="s">
        <v>902</v>
      </c>
      <c r="AF46" s="20" t="s">
        <v>8</v>
      </c>
      <c r="AG46" s="11" t="s">
        <v>928</v>
      </c>
      <c r="AH46" s="7" t="s">
        <v>1252</v>
      </c>
    </row>
    <row r="47" spans="1:34" s="7" customFormat="1" ht="16.5" customHeight="1">
      <c r="A47" s="7">
        <v>2012</v>
      </c>
      <c r="B47" s="12">
        <v>41093</v>
      </c>
      <c r="C47" s="7" t="s">
        <v>22</v>
      </c>
      <c r="D47" s="9" t="s">
        <v>6</v>
      </c>
      <c r="E47" s="9" t="s">
        <v>9</v>
      </c>
      <c r="F47" s="9" t="s">
        <v>25</v>
      </c>
      <c r="G47" s="7" t="s">
        <v>902</v>
      </c>
      <c r="H47" s="7" t="s">
        <v>903</v>
      </c>
      <c r="I47" s="124" t="s">
        <v>902</v>
      </c>
      <c r="J47" s="7">
        <v>35</v>
      </c>
      <c r="K47" s="124" t="s">
        <v>1517</v>
      </c>
      <c r="L47" s="20" t="s">
        <v>914</v>
      </c>
      <c r="M47" s="16">
        <v>91.875204789011107</v>
      </c>
      <c r="N47" s="16">
        <v>23.377690666600277</v>
      </c>
      <c r="O47" s="16">
        <v>338.28882157175167</v>
      </c>
      <c r="P47" s="16">
        <v>24.012958426224557</v>
      </c>
      <c r="Q47" s="147">
        <v>489.7012232730263</v>
      </c>
      <c r="R47" s="147">
        <v>18.019744873046875</v>
      </c>
      <c r="S47" s="10">
        <v>0.63689736404770558</v>
      </c>
      <c r="T47" s="10">
        <v>-5.2074071383771603</v>
      </c>
      <c r="U47" s="16">
        <v>1.8204053243001301E-2</v>
      </c>
      <c r="V47" s="16">
        <v>7.4162641249885368</v>
      </c>
      <c r="W47" s="10">
        <v>12.623671263365697</v>
      </c>
      <c r="X47" s="10" t="s">
        <v>902</v>
      </c>
      <c r="Y47" s="10">
        <v>2.2999999999999998</v>
      </c>
      <c r="Z47" s="10">
        <v>2.8333333333333335</v>
      </c>
      <c r="AA47" s="20" t="s">
        <v>36</v>
      </c>
      <c r="AB47" s="7">
        <v>485.8</v>
      </c>
      <c r="AC47" s="7">
        <v>478.5</v>
      </c>
      <c r="AD47" s="7">
        <v>0.98497324001646769</v>
      </c>
      <c r="AE47" s="7" t="s">
        <v>69</v>
      </c>
      <c r="AF47" s="20" t="s">
        <v>8</v>
      </c>
      <c r="AG47" s="11" t="s">
        <v>1</v>
      </c>
      <c r="AH47" s="7" t="s">
        <v>1244</v>
      </c>
    </row>
    <row r="48" spans="1:34" s="7" customFormat="1" ht="16.5" customHeight="1">
      <c r="A48" s="7">
        <v>2012</v>
      </c>
      <c r="B48" s="12">
        <v>41093</v>
      </c>
      <c r="C48" s="7" t="s">
        <v>22</v>
      </c>
      <c r="D48" s="26" t="s">
        <v>6</v>
      </c>
      <c r="E48" s="9" t="s">
        <v>9</v>
      </c>
      <c r="F48" s="9" t="s">
        <v>25</v>
      </c>
      <c r="G48" s="7" t="s">
        <v>902</v>
      </c>
      <c r="H48" s="7" t="s">
        <v>903</v>
      </c>
      <c r="I48" s="124" t="s">
        <v>902</v>
      </c>
      <c r="J48" s="7">
        <v>26</v>
      </c>
      <c r="K48" s="124" t="s">
        <v>1518</v>
      </c>
      <c r="L48" s="20" t="s">
        <v>909</v>
      </c>
      <c r="M48" s="16">
        <v>91.905686227898855</v>
      </c>
      <c r="N48" s="16">
        <v>19.705384706196032</v>
      </c>
      <c r="O48" s="16">
        <v>324.30814562345807</v>
      </c>
      <c r="P48" s="16">
        <v>19.771261817530583</v>
      </c>
      <c r="Q48" s="147">
        <v>519.82724480879938</v>
      </c>
      <c r="R48" s="147">
        <v>12.246826171875</v>
      </c>
      <c r="S48" s="10">
        <v>0.63689736404770558</v>
      </c>
      <c r="T48" s="10">
        <v>-8.3853704962484805</v>
      </c>
      <c r="U48" s="16">
        <v>1.2079928214089913E-2</v>
      </c>
      <c r="V48" s="16">
        <v>7.4162641249885368</v>
      </c>
      <c r="W48" s="10">
        <v>15.801634621237017</v>
      </c>
      <c r="X48" s="10" t="s">
        <v>902</v>
      </c>
      <c r="Y48" s="10">
        <v>2.2999999999999998</v>
      </c>
      <c r="Z48" s="10">
        <v>2.8333333333333335</v>
      </c>
      <c r="AA48" s="20" t="s">
        <v>28</v>
      </c>
      <c r="AB48" s="7">
        <v>656.7</v>
      </c>
      <c r="AC48" s="7">
        <v>634.79999999999995</v>
      </c>
      <c r="AD48" s="7">
        <v>0.9666514390132479</v>
      </c>
      <c r="AE48" s="7" t="s">
        <v>70</v>
      </c>
      <c r="AF48" s="19" t="s">
        <v>8</v>
      </c>
      <c r="AG48" s="11" t="s">
        <v>928</v>
      </c>
      <c r="AH48" s="7" t="s">
        <v>1244</v>
      </c>
    </row>
    <row r="49" spans="1:34" s="7" customFormat="1" ht="16.5" customHeight="1">
      <c r="A49" s="7">
        <v>2012</v>
      </c>
      <c r="B49" s="12">
        <v>41093</v>
      </c>
      <c r="C49" s="7" t="s">
        <v>22</v>
      </c>
      <c r="D49" s="9" t="s">
        <v>6</v>
      </c>
      <c r="E49" s="9" t="s">
        <v>9</v>
      </c>
      <c r="F49" s="9" t="s">
        <v>25</v>
      </c>
      <c r="G49" s="7" t="s">
        <v>902</v>
      </c>
      <c r="H49" s="7" t="s">
        <v>903</v>
      </c>
      <c r="I49" s="124" t="s">
        <v>902</v>
      </c>
      <c r="J49" s="7">
        <v>7</v>
      </c>
      <c r="K49" s="124" t="s">
        <v>763</v>
      </c>
      <c r="L49" s="20" t="s">
        <v>75</v>
      </c>
      <c r="M49" s="16">
        <v>91.789463923527649</v>
      </c>
      <c r="N49" s="16">
        <v>24.084735430203953</v>
      </c>
      <c r="O49" s="16">
        <v>365.29450167142426</v>
      </c>
      <c r="P49" s="16">
        <v>21.040426694429836</v>
      </c>
      <c r="Q49" s="147">
        <v>525.91569871168872</v>
      </c>
      <c r="R49" s="147">
        <v>42.331329345703125</v>
      </c>
      <c r="S49" s="10">
        <v>0.63689736404770558</v>
      </c>
      <c r="T49" s="10">
        <v>-0.66421710266082101</v>
      </c>
      <c r="U49" s="16">
        <v>3.5296680281492562E-2</v>
      </c>
      <c r="V49" s="16">
        <v>7.4162641249885368</v>
      </c>
      <c r="W49" s="10">
        <v>8.0804812276493578</v>
      </c>
      <c r="X49" s="10" t="s">
        <v>902</v>
      </c>
      <c r="Y49" s="10">
        <v>2.2999999999999998</v>
      </c>
      <c r="Z49" s="10">
        <v>2.8333333333333335</v>
      </c>
      <c r="AA49" s="20" t="s">
        <v>50</v>
      </c>
      <c r="AB49" s="7">
        <v>1071.8</v>
      </c>
      <c r="AC49" s="7">
        <v>449.2</v>
      </c>
      <c r="AD49" s="7">
        <v>0.41910804254525097</v>
      </c>
      <c r="AE49" s="7" t="s">
        <v>69</v>
      </c>
      <c r="AF49" s="20" t="s">
        <v>8</v>
      </c>
      <c r="AG49" s="11" t="s">
        <v>2</v>
      </c>
      <c r="AH49" s="7" t="s">
        <v>1253</v>
      </c>
    </row>
    <row r="50" spans="1:34" s="7" customFormat="1" ht="16.5" customHeight="1">
      <c r="A50" s="7">
        <v>2012</v>
      </c>
      <c r="B50" s="12">
        <v>41093</v>
      </c>
      <c r="C50" s="7" t="s">
        <v>22</v>
      </c>
      <c r="D50" s="9" t="s">
        <v>6</v>
      </c>
      <c r="E50" s="9" t="s">
        <v>9</v>
      </c>
      <c r="F50" s="9" t="s">
        <v>25</v>
      </c>
      <c r="G50" s="7" t="s">
        <v>902</v>
      </c>
      <c r="H50" s="7" t="s">
        <v>903</v>
      </c>
      <c r="I50" s="124" t="s">
        <v>902</v>
      </c>
      <c r="J50" s="7">
        <v>36</v>
      </c>
      <c r="K50" s="124" t="s">
        <v>774</v>
      </c>
      <c r="L50" s="20" t="s">
        <v>914</v>
      </c>
      <c r="M50" s="16">
        <v>91.873444693429136</v>
      </c>
      <c r="N50" s="16">
        <v>24.098103387015207</v>
      </c>
      <c r="O50" s="16">
        <v>346.18554251534596</v>
      </c>
      <c r="P50" s="16">
        <v>23.626701082502091</v>
      </c>
      <c r="Q50" s="147">
        <v>527.72149222237726</v>
      </c>
      <c r="R50" s="147">
        <v>71.814056396484375</v>
      </c>
      <c r="S50" s="10">
        <v>0.63689736404770558</v>
      </c>
      <c r="T50" s="10">
        <v>-4.0529951478816457</v>
      </c>
      <c r="U50" s="16">
        <v>2.4461011497341856E-2</v>
      </c>
      <c r="V50" s="16">
        <v>7.4162641249885368</v>
      </c>
      <c r="W50" s="10">
        <v>11.469259272870183</v>
      </c>
      <c r="X50" s="10" t="s">
        <v>902</v>
      </c>
      <c r="Y50" s="10">
        <v>2.2999999999999998</v>
      </c>
      <c r="Z50" s="10">
        <v>2.8333333333333335</v>
      </c>
      <c r="AA50" s="20" t="s">
        <v>37</v>
      </c>
      <c r="AB50" s="7">
        <v>537.1</v>
      </c>
      <c r="AC50" s="7">
        <v>493.2</v>
      </c>
      <c r="AD50" s="7">
        <v>0.91826475516663553</v>
      </c>
      <c r="AE50" s="7" t="s">
        <v>69</v>
      </c>
      <c r="AF50" s="20" t="s">
        <v>8</v>
      </c>
      <c r="AG50" s="11" t="s">
        <v>1</v>
      </c>
      <c r="AH50" s="7" t="s">
        <v>1254</v>
      </c>
    </row>
    <row r="51" spans="1:34" s="7" customFormat="1" ht="16.5" customHeight="1">
      <c r="A51" s="7">
        <v>2012</v>
      </c>
      <c r="B51" s="12">
        <v>41093</v>
      </c>
      <c r="C51" s="7" t="s">
        <v>22</v>
      </c>
      <c r="D51" s="9" t="s">
        <v>6</v>
      </c>
      <c r="E51" s="9" t="s">
        <v>9</v>
      </c>
      <c r="F51" s="9" t="s">
        <v>25</v>
      </c>
      <c r="G51" s="7" t="s">
        <v>902</v>
      </c>
      <c r="H51" s="7" t="s">
        <v>903</v>
      </c>
      <c r="I51" s="124" t="s">
        <v>902</v>
      </c>
      <c r="J51" s="7">
        <v>37</v>
      </c>
      <c r="K51" s="124" t="s">
        <v>72</v>
      </c>
      <c r="L51" s="20" t="s">
        <v>915</v>
      </c>
      <c r="M51" s="16">
        <v>91.895263036092118</v>
      </c>
      <c r="N51" s="16">
        <v>20.777724742889404</v>
      </c>
      <c r="O51" s="16">
        <v>347.97508748372394</v>
      </c>
      <c r="P51" s="16">
        <v>20.078876972198486</v>
      </c>
      <c r="Q51" s="147">
        <v>553.94197591145837</v>
      </c>
      <c r="R51" s="147">
        <v>22.916259765625</v>
      </c>
      <c r="S51" s="10">
        <v>0.63689736404770558</v>
      </c>
      <c r="T51" s="10">
        <v>-5.346736852639979</v>
      </c>
      <c r="U51" s="16">
        <v>2.4176294153386898E-2</v>
      </c>
      <c r="V51" s="16">
        <v>7.4162641249885368</v>
      </c>
      <c r="W51" s="10">
        <v>12.763000977628515</v>
      </c>
      <c r="X51" s="10" t="s">
        <v>902</v>
      </c>
      <c r="Y51" s="10">
        <v>2.2999999999999998</v>
      </c>
      <c r="Z51" s="10">
        <v>2.8333333333333335</v>
      </c>
      <c r="AA51" s="20" t="s">
        <v>31</v>
      </c>
      <c r="AB51" s="7">
        <v>400.4</v>
      </c>
      <c r="AC51" s="7">
        <v>378.4</v>
      </c>
      <c r="AD51" s="7">
        <v>0.94505494505494503</v>
      </c>
      <c r="AE51" s="7" t="s">
        <v>69</v>
      </c>
      <c r="AF51" s="20" t="s">
        <v>8</v>
      </c>
      <c r="AG51" s="11" t="s">
        <v>1</v>
      </c>
      <c r="AH51" s="7" t="s">
        <v>1255</v>
      </c>
    </row>
    <row r="52" spans="1:34" s="7" customFormat="1" ht="16.5" customHeight="1">
      <c r="A52" s="7">
        <v>2012</v>
      </c>
      <c r="B52" s="12">
        <v>41092</v>
      </c>
      <c r="C52" s="7" t="s">
        <v>22</v>
      </c>
      <c r="D52" s="9" t="s">
        <v>6</v>
      </c>
      <c r="E52" s="9" t="s">
        <v>9</v>
      </c>
      <c r="F52" s="9" t="s">
        <v>25</v>
      </c>
      <c r="G52" s="7" t="s">
        <v>902</v>
      </c>
      <c r="H52" s="7" t="s">
        <v>903</v>
      </c>
      <c r="I52" s="124" t="s">
        <v>902</v>
      </c>
      <c r="J52" s="7">
        <v>27</v>
      </c>
      <c r="K52" s="124" t="s">
        <v>1519</v>
      </c>
      <c r="L52" s="20" t="s">
        <v>907</v>
      </c>
      <c r="M52" s="16">
        <v>92.133445739746094</v>
      </c>
      <c r="N52" s="16">
        <v>25.526695251464844</v>
      </c>
      <c r="O52" s="16">
        <v>353.61477383700282</v>
      </c>
      <c r="P52" s="16">
        <v>19.066207885742188</v>
      </c>
      <c r="Q52" s="147">
        <v>602.73286021839488</v>
      </c>
      <c r="R52" s="147">
        <v>25.5321044921875</v>
      </c>
      <c r="S52" s="10">
        <v>0.63689736404770558</v>
      </c>
      <c r="T52" s="10">
        <v>-7.7547463723488628</v>
      </c>
      <c r="U52" s="16">
        <v>6.1734156175093216E-2</v>
      </c>
      <c r="V52" s="16">
        <v>7.4162641249885368</v>
      </c>
      <c r="W52" s="10">
        <v>15.171010497337399</v>
      </c>
      <c r="X52" s="10" t="s">
        <v>902</v>
      </c>
      <c r="Y52" s="10">
        <v>2.2999999999999998</v>
      </c>
      <c r="Z52" s="10">
        <v>2.8333333333333335</v>
      </c>
      <c r="AA52" s="20" t="s">
        <v>60</v>
      </c>
      <c r="AB52" s="7">
        <v>1643.1</v>
      </c>
      <c r="AC52" s="7">
        <v>727.5</v>
      </c>
      <c r="AD52" s="7">
        <v>0.44276063538433452</v>
      </c>
      <c r="AE52" s="7" t="s">
        <v>902</v>
      </c>
      <c r="AF52" s="20" t="s">
        <v>8</v>
      </c>
      <c r="AG52" s="11" t="s">
        <v>928</v>
      </c>
      <c r="AH52" s="7" t="s">
        <v>1244</v>
      </c>
    </row>
    <row r="53" spans="1:34" s="7" customFormat="1" ht="16.5" customHeight="1">
      <c r="A53" s="7">
        <v>2012</v>
      </c>
      <c r="B53" s="12">
        <v>41092</v>
      </c>
      <c r="C53" s="7" t="s">
        <v>22</v>
      </c>
      <c r="D53" s="9" t="s">
        <v>6</v>
      </c>
      <c r="E53" s="9" t="s">
        <v>9</v>
      </c>
      <c r="F53" s="9" t="s">
        <v>25</v>
      </c>
      <c r="G53" s="7" t="s">
        <v>902</v>
      </c>
      <c r="H53" s="7" t="s">
        <v>903</v>
      </c>
      <c r="I53" s="124" t="s">
        <v>902</v>
      </c>
      <c r="J53" s="7">
        <v>28</v>
      </c>
      <c r="K53" s="124" t="s">
        <v>1520</v>
      </c>
      <c r="L53" s="20" t="s">
        <v>907</v>
      </c>
      <c r="M53" s="16">
        <v>92.133114624023435</v>
      </c>
      <c r="N53" s="16">
        <v>26.035654067993164</v>
      </c>
      <c r="O53" s="16">
        <v>348.35213826497397</v>
      </c>
      <c r="P53" s="16">
        <v>22.976471837361654</v>
      </c>
      <c r="Q53" s="147">
        <v>604.75075683593752</v>
      </c>
      <c r="R53" s="147">
        <v>23.324462890625</v>
      </c>
      <c r="S53" s="10">
        <v>0.63689736404770558</v>
      </c>
      <c r="T53" s="10">
        <v>-3.9654087957679467</v>
      </c>
      <c r="U53" s="16">
        <v>4.0777836527143209E-2</v>
      </c>
      <c r="V53" s="16">
        <v>7.4162641249885368</v>
      </c>
      <c r="W53" s="10">
        <v>11.381672920756483</v>
      </c>
      <c r="X53" s="10" t="s">
        <v>902</v>
      </c>
      <c r="Y53" s="10">
        <v>2.2999999999999998</v>
      </c>
      <c r="Z53" s="10">
        <v>2.8333333333333335</v>
      </c>
      <c r="AA53" s="20" t="s">
        <v>59</v>
      </c>
      <c r="AB53" s="7">
        <v>1994.6</v>
      </c>
      <c r="AC53" s="7">
        <v>756.8</v>
      </c>
      <c r="AD53" s="7">
        <v>0.37942444600421138</v>
      </c>
      <c r="AE53" s="7" t="s">
        <v>902</v>
      </c>
      <c r="AF53" s="20" t="s">
        <v>8</v>
      </c>
      <c r="AG53" s="11" t="s">
        <v>928</v>
      </c>
      <c r="AH53" s="7" t="s">
        <v>1256</v>
      </c>
    </row>
    <row r="54" spans="1:34" s="7" customFormat="1" ht="16.5" customHeight="1">
      <c r="A54" s="7">
        <v>2012</v>
      </c>
      <c r="B54" s="12">
        <v>41093</v>
      </c>
      <c r="C54" s="7" t="s">
        <v>22</v>
      </c>
      <c r="D54" s="9" t="s">
        <v>6</v>
      </c>
      <c r="E54" s="9" t="s">
        <v>9</v>
      </c>
      <c r="F54" s="9" t="s">
        <v>25</v>
      </c>
      <c r="G54" s="7" t="s">
        <v>902</v>
      </c>
      <c r="H54" s="7" t="s">
        <v>903</v>
      </c>
      <c r="I54" s="124" t="s">
        <v>902</v>
      </c>
      <c r="J54" s="7">
        <v>13</v>
      </c>
      <c r="K54" s="124" t="s">
        <v>1521</v>
      </c>
      <c r="L54" s="20" t="s">
        <v>74</v>
      </c>
      <c r="M54" s="16">
        <v>91.811292547928659</v>
      </c>
      <c r="N54" s="16">
        <v>24.263064535040606</v>
      </c>
      <c r="O54" s="16">
        <v>364.32625700298109</v>
      </c>
      <c r="P54" s="16">
        <v>19.751679370277806</v>
      </c>
      <c r="Q54" s="147">
        <v>610.17786929481906</v>
      </c>
      <c r="R54" s="147">
        <v>98.64544677734375</v>
      </c>
      <c r="S54" s="10">
        <v>0.63689736404770558</v>
      </c>
      <c r="T54" s="10">
        <v>-5.9769065672049981</v>
      </c>
      <c r="U54" s="16">
        <v>5.8816652130662346E-2</v>
      </c>
      <c r="V54" s="16">
        <v>7.4162641249885368</v>
      </c>
      <c r="W54" s="10">
        <v>13.393170692193536</v>
      </c>
      <c r="X54" s="10" t="s">
        <v>902</v>
      </c>
      <c r="Y54" s="10">
        <v>2.2999999999999998</v>
      </c>
      <c r="Z54" s="10">
        <v>2.8333333333333335</v>
      </c>
      <c r="AA54" s="20" t="s">
        <v>46</v>
      </c>
      <c r="AB54" s="7">
        <v>1501.5</v>
      </c>
      <c r="AC54" s="7">
        <v>441.9</v>
      </c>
      <c r="AD54" s="7">
        <v>0.29430569430569431</v>
      </c>
      <c r="AE54" s="7" t="s">
        <v>5</v>
      </c>
      <c r="AF54" s="20" t="s">
        <v>8</v>
      </c>
      <c r="AG54" s="11" t="s">
        <v>864</v>
      </c>
      <c r="AH54" s="7" t="s">
        <v>1244</v>
      </c>
    </row>
    <row r="55" spans="1:34" s="7" customFormat="1" ht="16.5" customHeight="1">
      <c r="A55" s="7">
        <v>2012</v>
      </c>
      <c r="B55" s="12">
        <v>41093</v>
      </c>
      <c r="C55" s="7" t="s">
        <v>22</v>
      </c>
      <c r="D55" s="9" t="s">
        <v>6</v>
      </c>
      <c r="E55" s="9" t="s">
        <v>9</v>
      </c>
      <c r="F55" s="9" t="s">
        <v>25</v>
      </c>
      <c r="G55" s="7" t="s">
        <v>902</v>
      </c>
      <c r="H55" s="7" t="s">
        <v>903</v>
      </c>
      <c r="I55" s="124" t="s">
        <v>902</v>
      </c>
      <c r="J55" s="7">
        <v>38</v>
      </c>
      <c r="K55" s="124" t="s">
        <v>1522</v>
      </c>
      <c r="L55" s="20" t="s">
        <v>913</v>
      </c>
      <c r="M55" s="16">
        <v>91.861202239990234</v>
      </c>
      <c r="N55" s="16">
        <v>23.598869429694282</v>
      </c>
      <c r="O55" s="16">
        <v>344.96296691894531</v>
      </c>
      <c r="P55" s="16">
        <v>21.494457774692112</v>
      </c>
      <c r="Q55" s="147">
        <v>614.87543063693579</v>
      </c>
      <c r="R55" s="147">
        <v>39.9700927734375</v>
      </c>
      <c r="S55" s="10">
        <v>0.63689736404770558</v>
      </c>
      <c r="T55" s="10">
        <v>-9.9595929434859958</v>
      </c>
      <c r="U55" s="16">
        <v>5.8377685192568751E-2</v>
      </c>
      <c r="V55" s="16">
        <v>7.4162641249885368</v>
      </c>
      <c r="W55" s="10">
        <v>17.375857068474531</v>
      </c>
      <c r="X55" s="10" t="s">
        <v>902</v>
      </c>
      <c r="Y55" s="10">
        <v>2.2999999999999998</v>
      </c>
      <c r="Z55" s="10">
        <v>2.8333333333333335</v>
      </c>
      <c r="AA55" s="20" t="s">
        <v>39</v>
      </c>
      <c r="AB55" s="7">
        <v>1420.9</v>
      </c>
      <c r="AC55" s="7">
        <v>534.70000000000005</v>
      </c>
      <c r="AD55" s="7">
        <v>0.37631078893658948</v>
      </c>
      <c r="AE55" s="7" t="s">
        <v>69</v>
      </c>
      <c r="AF55" s="20" t="s">
        <v>8</v>
      </c>
      <c r="AG55" s="11" t="s">
        <v>1</v>
      </c>
      <c r="AH55" s="7" t="s">
        <v>1257</v>
      </c>
    </row>
    <row r="56" spans="1:34" s="7" customFormat="1" ht="16.5" customHeight="1">
      <c r="A56" s="7">
        <v>2012</v>
      </c>
      <c r="B56" s="12">
        <v>41093</v>
      </c>
      <c r="C56" s="7" t="s">
        <v>22</v>
      </c>
      <c r="D56" s="9" t="s">
        <v>6</v>
      </c>
      <c r="E56" s="9" t="s">
        <v>9</v>
      </c>
      <c r="F56" s="9" t="s">
        <v>25</v>
      </c>
      <c r="G56" s="7" t="s">
        <v>902</v>
      </c>
      <c r="H56" s="7" t="s">
        <v>903</v>
      </c>
      <c r="I56" s="124" t="s">
        <v>902</v>
      </c>
      <c r="J56" s="7">
        <v>39</v>
      </c>
      <c r="K56" s="124" t="s">
        <v>1523</v>
      </c>
      <c r="L56" s="20" t="s">
        <v>913</v>
      </c>
      <c r="M56" s="16">
        <v>91.872687445746521</v>
      </c>
      <c r="N56" s="16">
        <v>24.605687459309895</v>
      </c>
      <c r="O56" s="16">
        <v>332.96163601345484</v>
      </c>
      <c r="P56" s="16">
        <v>23.754423565334744</v>
      </c>
      <c r="Q56" s="147">
        <v>652.99668375651038</v>
      </c>
      <c r="R56" s="147">
        <v>36.0972900390625</v>
      </c>
      <c r="S56" s="10">
        <v>0.63689736404770558</v>
      </c>
      <c r="T56" s="10">
        <v>-4.759305622265841</v>
      </c>
      <c r="U56" s="16">
        <v>2.4064805116446764E-2</v>
      </c>
      <c r="V56" s="16">
        <v>7.4162641249885368</v>
      </c>
      <c r="W56" s="10">
        <v>12.175569747254379</v>
      </c>
      <c r="X56" s="10" t="s">
        <v>902</v>
      </c>
      <c r="Y56" s="10">
        <v>2.2999999999999998</v>
      </c>
      <c r="Z56" s="10">
        <v>2.8333333333333335</v>
      </c>
      <c r="AA56" s="20" t="s">
        <v>38</v>
      </c>
      <c r="AB56" s="7">
        <v>1601.6</v>
      </c>
      <c r="AC56" s="7">
        <v>554.20000000000005</v>
      </c>
      <c r="AD56" s="7">
        <v>0.34602897102897107</v>
      </c>
      <c r="AE56" s="7" t="s">
        <v>69</v>
      </c>
      <c r="AF56" s="20" t="s">
        <v>8</v>
      </c>
      <c r="AG56" s="11" t="s">
        <v>1</v>
      </c>
      <c r="AH56" s="7" t="s">
        <v>1258</v>
      </c>
    </row>
    <row r="57" spans="1:34" s="7" customFormat="1" ht="16.5" customHeight="1">
      <c r="A57" s="7">
        <v>2012</v>
      </c>
      <c r="B57" s="12">
        <v>41092</v>
      </c>
      <c r="C57" s="7" t="s">
        <v>22</v>
      </c>
      <c r="D57" s="9" t="s">
        <v>6</v>
      </c>
      <c r="E57" s="9" t="s">
        <v>9</v>
      </c>
      <c r="F57" s="9" t="s">
        <v>25</v>
      </c>
      <c r="G57" s="7" t="s">
        <v>902</v>
      </c>
      <c r="H57" s="7" t="s">
        <v>903</v>
      </c>
      <c r="I57" s="124" t="s">
        <v>902</v>
      </c>
      <c r="J57" s="7">
        <v>29</v>
      </c>
      <c r="K57" s="124" t="s">
        <v>771</v>
      </c>
      <c r="L57" s="20" t="s">
        <v>902</v>
      </c>
      <c r="M57" s="16">
        <v>92.134937579815201</v>
      </c>
      <c r="N57" s="16">
        <v>23.059967921330379</v>
      </c>
      <c r="O57" s="16">
        <v>362.62799541766827</v>
      </c>
      <c r="P57" s="16">
        <v>16.919963249793419</v>
      </c>
      <c r="Q57" s="147">
        <v>672.12015005258411</v>
      </c>
      <c r="R57" s="147">
        <v>27.6585693359375</v>
      </c>
      <c r="S57" s="10">
        <v>0.63689736404770558</v>
      </c>
      <c r="T57" s="10">
        <v>-9.9630777724239188</v>
      </c>
      <c r="U57" s="16">
        <v>6.9732523349105263E-2</v>
      </c>
      <c r="V57" s="16">
        <v>7.4162641249885368</v>
      </c>
      <c r="W57" s="10">
        <v>17.379341897412456</v>
      </c>
      <c r="X57" s="10" t="s">
        <v>902</v>
      </c>
      <c r="Y57" s="10">
        <v>2.2999999999999998</v>
      </c>
      <c r="Z57" s="10">
        <v>2.8333333333333335</v>
      </c>
      <c r="AA57" s="20" t="s">
        <v>64</v>
      </c>
      <c r="AB57" s="7">
        <v>511.5</v>
      </c>
      <c r="AC57" s="7">
        <v>389.4</v>
      </c>
      <c r="AD57" s="7">
        <v>0.76129032258064511</v>
      </c>
      <c r="AE57" s="7" t="s">
        <v>902</v>
      </c>
      <c r="AF57" s="20" t="s">
        <v>8</v>
      </c>
      <c r="AG57" s="11" t="s">
        <v>928</v>
      </c>
      <c r="AH57" s="7" t="s">
        <v>1259</v>
      </c>
    </row>
    <row r="58" spans="1:34" s="7" customFormat="1" ht="16.5" customHeight="1">
      <c r="A58" s="7">
        <v>2012</v>
      </c>
      <c r="B58" s="12">
        <v>41093</v>
      </c>
      <c r="C58" s="7" t="s">
        <v>22</v>
      </c>
      <c r="D58" s="26" t="s">
        <v>6</v>
      </c>
      <c r="E58" s="9" t="s">
        <v>9</v>
      </c>
      <c r="F58" s="9" t="s">
        <v>25</v>
      </c>
      <c r="G58" s="7" t="s">
        <v>902</v>
      </c>
      <c r="H58" s="7" t="s">
        <v>903</v>
      </c>
      <c r="I58" s="124" t="s">
        <v>902</v>
      </c>
      <c r="J58" s="7">
        <v>40</v>
      </c>
      <c r="K58" s="124" t="s">
        <v>1524</v>
      </c>
      <c r="L58" s="20" t="s">
        <v>907</v>
      </c>
      <c r="M58" s="16">
        <v>91.878333242315989</v>
      </c>
      <c r="N58" s="16">
        <v>24.325238779971475</v>
      </c>
      <c r="O58" s="16">
        <v>325.34227873149672</v>
      </c>
      <c r="P58" s="16">
        <v>23.588650753623561</v>
      </c>
      <c r="Q58" s="147">
        <v>684.55445620888156</v>
      </c>
      <c r="R58" s="147">
        <v>43.6773681640625</v>
      </c>
      <c r="S58" s="10">
        <v>0.63689736404770558</v>
      </c>
      <c r="T58" s="10">
        <v>-10.368718397545434</v>
      </c>
      <c r="U58" s="16">
        <v>3.0260413989686128E-2</v>
      </c>
      <c r="V58" s="16">
        <v>7.4162641249885368</v>
      </c>
      <c r="W58" s="10">
        <v>17.784982522533973</v>
      </c>
      <c r="X58" s="10" t="s">
        <v>902</v>
      </c>
      <c r="Y58" s="10">
        <v>2.2999999999999998</v>
      </c>
      <c r="Z58" s="10">
        <v>2.8333333333333335</v>
      </c>
      <c r="AA58" s="20" t="s">
        <v>35</v>
      </c>
      <c r="AB58" s="7">
        <v>825.2</v>
      </c>
      <c r="AC58" s="7">
        <v>783.7</v>
      </c>
      <c r="AD58" s="7">
        <v>0.94970916141541439</v>
      </c>
      <c r="AE58" s="7" t="s">
        <v>69</v>
      </c>
      <c r="AF58" s="19" t="s">
        <v>8</v>
      </c>
      <c r="AG58" s="11" t="s">
        <v>1</v>
      </c>
      <c r="AH58" s="7" t="s">
        <v>1244</v>
      </c>
    </row>
    <row r="59" spans="1:34" s="7" customFormat="1" ht="16.5" customHeight="1">
      <c r="A59" s="7">
        <v>2012</v>
      </c>
      <c r="B59" s="12">
        <v>41093</v>
      </c>
      <c r="C59" s="7" t="s">
        <v>22</v>
      </c>
      <c r="D59" s="9" t="s">
        <v>6</v>
      </c>
      <c r="E59" s="9" t="s">
        <v>9</v>
      </c>
      <c r="F59" s="9" t="s">
        <v>25</v>
      </c>
      <c r="G59" s="7" t="s">
        <v>902</v>
      </c>
      <c r="H59" s="7" t="s">
        <v>903</v>
      </c>
      <c r="I59" s="124" t="s">
        <v>902</v>
      </c>
      <c r="J59" s="7">
        <v>14</v>
      </c>
      <c r="K59" s="124" t="s">
        <v>1525</v>
      </c>
      <c r="L59" s="20" t="s">
        <v>74</v>
      </c>
      <c r="M59" s="16">
        <v>91.814729309082026</v>
      </c>
      <c r="N59" s="16">
        <v>24.35359525680542</v>
      </c>
      <c r="O59" s="16">
        <v>361.83098449707029</v>
      </c>
      <c r="P59" s="16">
        <v>19.987196063995363</v>
      </c>
      <c r="Q59" s="147">
        <v>696.66064453125</v>
      </c>
      <c r="R59" s="147">
        <v>28.00823974609375</v>
      </c>
      <c r="S59" s="10">
        <v>0.63689736404770558</v>
      </c>
      <c r="T59" s="10">
        <v>-5.5562381527398692</v>
      </c>
      <c r="U59" s="16">
        <v>5.3949204781897984E-2</v>
      </c>
      <c r="V59" s="16">
        <v>7.4162641249885368</v>
      </c>
      <c r="W59" s="10">
        <v>12.972502277728406</v>
      </c>
      <c r="X59" s="10" t="s">
        <v>902</v>
      </c>
      <c r="Y59" s="10">
        <v>2.2999999999999998</v>
      </c>
      <c r="Z59" s="10">
        <v>2.8333333333333335</v>
      </c>
      <c r="AA59" s="20" t="s">
        <v>47</v>
      </c>
      <c r="AB59" s="7">
        <v>1237.8</v>
      </c>
      <c r="AC59" s="7">
        <v>481</v>
      </c>
      <c r="AD59" s="7">
        <v>0.38859266440458878</v>
      </c>
      <c r="AE59" s="7" t="s">
        <v>5</v>
      </c>
      <c r="AF59" s="20" t="s">
        <v>8</v>
      </c>
      <c r="AG59" s="11" t="s">
        <v>864</v>
      </c>
      <c r="AH59" s="7" t="s">
        <v>1244</v>
      </c>
    </row>
    <row r="60" spans="1:34" s="7" customFormat="1" ht="16.5" customHeight="1">
      <c r="A60" s="7">
        <v>2012</v>
      </c>
      <c r="B60" s="12">
        <v>41093</v>
      </c>
      <c r="C60" s="7" t="s">
        <v>22</v>
      </c>
      <c r="D60" s="26" t="s">
        <v>6</v>
      </c>
      <c r="E60" s="9" t="s">
        <v>9</v>
      </c>
      <c r="F60" s="9" t="s">
        <v>25</v>
      </c>
      <c r="G60" s="7" t="s">
        <v>902</v>
      </c>
      <c r="H60" s="7" t="s">
        <v>903</v>
      </c>
      <c r="I60" s="124" t="s">
        <v>902</v>
      </c>
      <c r="J60" s="7">
        <v>30</v>
      </c>
      <c r="K60" s="124" t="s">
        <v>1526</v>
      </c>
      <c r="L60" s="20" t="s">
        <v>909</v>
      </c>
      <c r="M60" s="16">
        <v>91.893493228488495</v>
      </c>
      <c r="N60" s="16">
        <v>22.086694081624348</v>
      </c>
      <c r="O60" s="16">
        <v>329.60745239257812</v>
      </c>
      <c r="P60" s="16">
        <v>20.866012573242188</v>
      </c>
      <c r="Q60" s="147">
        <v>702.29694959852429</v>
      </c>
      <c r="R60" s="147">
        <v>86.2957763671875</v>
      </c>
      <c r="S60" s="10">
        <v>0.63689736404770558</v>
      </c>
      <c r="T60" s="10">
        <v>-11.375171936914807</v>
      </c>
      <c r="U60" s="16">
        <v>2.8899636677052091E-2</v>
      </c>
      <c r="V60" s="16">
        <v>7.4162641249885368</v>
      </c>
      <c r="W60" s="10">
        <v>18.791436061903344</v>
      </c>
      <c r="X60" s="10" t="s">
        <v>902</v>
      </c>
      <c r="Y60" s="10">
        <v>2.2999999999999998</v>
      </c>
      <c r="Z60" s="10">
        <v>2.8333333333333335</v>
      </c>
      <c r="AA60" s="20" t="s">
        <v>33</v>
      </c>
      <c r="AB60" s="7">
        <v>844.7</v>
      </c>
      <c r="AC60" s="7">
        <v>756.8</v>
      </c>
      <c r="AD60" s="7">
        <v>0.89593938676453166</v>
      </c>
      <c r="AE60" s="7" t="s">
        <v>70</v>
      </c>
      <c r="AF60" s="19" t="s">
        <v>8</v>
      </c>
      <c r="AG60" s="11" t="s">
        <v>928</v>
      </c>
      <c r="AH60" s="7" t="s">
        <v>1244</v>
      </c>
    </row>
    <row r="61" spans="1:34" s="7" customFormat="1" ht="16.5" customHeight="1">
      <c r="A61" s="7">
        <v>2012</v>
      </c>
      <c r="B61" s="12">
        <v>41092</v>
      </c>
      <c r="C61" s="7" t="s">
        <v>22</v>
      </c>
      <c r="D61" s="9" t="s">
        <v>6</v>
      </c>
      <c r="E61" s="9" t="s">
        <v>9</v>
      </c>
      <c r="F61" s="9" t="s">
        <v>25</v>
      </c>
      <c r="G61" s="7" t="s">
        <v>902</v>
      </c>
      <c r="H61" s="7" t="s">
        <v>903</v>
      </c>
      <c r="I61" s="124" t="s">
        <v>902</v>
      </c>
      <c r="J61" s="7">
        <v>31</v>
      </c>
      <c r="K61" s="124" t="s">
        <v>772</v>
      </c>
      <c r="L61" s="20" t="s">
        <v>902</v>
      </c>
      <c r="M61" s="16">
        <v>92.13768421519886</v>
      </c>
      <c r="N61" s="16">
        <v>23.438536037098277</v>
      </c>
      <c r="O61" s="16">
        <v>360.749717018821</v>
      </c>
      <c r="P61" s="16">
        <v>17.895679473876953</v>
      </c>
      <c r="Q61" s="147">
        <v>714.67929909446025</v>
      </c>
      <c r="R61" s="147">
        <v>103.3118896484375</v>
      </c>
      <c r="S61" s="10">
        <v>0.63689736404770558</v>
      </c>
      <c r="T61" s="10">
        <v>-17.956711576621469</v>
      </c>
      <c r="U61" s="16">
        <v>5.9044083681973544E-2</v>
      </c>
      <c r="V61" s="16">
        <v>7.4162641249885368</v>
      </c>
      <c r="W61" s="10">
        <v>25.372975701610006</v>
      </c>
      <c r="X61" s="10" t="s">
        <v>902</v>
      </c>
      <c r="Y61" s="10">
        <v>2.2999999999999998</v>
      </c>
      <c r="Z61" s="10">
        <v>2.8333333333333335</v>
      </c>
      <c r="AA61" s="20" t="s">
        <v>62</v>
      </c>
      <c r="AB61" s="7">
        <v>772.7</v>
      </c>
      <c r="AC61" s="7">
        <v>656.7</v>
      </c>
      <c r="AD61" s="7">
        <v>0.84987705448427597</v>
      </c>
      <c r="AE61" s="7" t="s">
        <v>902</v>
      </c>
      <c r="AF61" s="20" t="s">
        <v>8</v>
      </c>
      <c r="AG61" s="11" t="s">
        <v>928</v>
      </c>
      <c r="AH61" s="7" t="s">
        <v>1260</v>
      </c>
    </row>
    <row r="62" spans="1:34" s="7" customFormat="1" ht="16.5" customHeight="1">
      <c r="A62" s="7">
        <v>2012</v>
      </c>
      <c r="B62" s="12">
        <v>41093</v>
      </c>
      <c r="C62" s="7" t="s">
        <v>22</v>
      </c>
      <c r="D62" s="26" t="s">
        <v>6</v>
      </c>
      <c r="E62" s="9" t="s">
        <v>9</v>
      </c>
      <c r="F62" s="9" t="s">
        <v>25</v>
      </c>
      <c r="G62" s="7" t="s">
        <v>902</v>
      </c>
      <c r="H62" s="7" t="s">
        <v>903</v>
      </c>
      <c r="I62" s="124" t="s">
        <v>902</v>
      </c>
      <c r="J62" s="7">
        <v>32</v>
      </c>
      <c r="K62" s="124" t="s">
        <v>1527</v>
      </c>
      <c r="L62" s="20" t="s">
        <v>909</v>
      </c>
      <c r="M62" s="16">
        <v>91.904191207885745</v>
      </c>
      <c r="N62" s="16">
        <v>20.993773555755617</v>
      </c>
      <c r="O62" s="16">
        <v>327.95155029296876</v>
      </c>
      <c r="P62" s="16">
        <v>20.104132175445557</v>
      </c>
      <c r="Q62" s="147">
        <v>730.72120666503906</v>
      </c>
      <c r="R62" s="147">
        <v>34.660888671875</v>
      </c>
      <c r="S62" s="10">
        <v>0.63689736404770558</v>
      </c>
      <c r="T62" s="10">
        <v>-11.29825588136654</v>
      </c>
      <c r="U62" s="16">
        <v>2.1751378711901213E-2</v>
      </c>
      <c r="V62" s="16">
        <v>7.4162641249885368</v>
      </c>
      <c r="W62" s="10">
        <v>18.714520006355077</v>
      </c>
      <c r="X62" s="10" t="s">
        <v>902</v>
      </c>
      <c r="Y62" s="10">
        <v>2.2999999999999998</v>
      </c>
      <c r="Z62" s="10">
        <v>2.8333333333333335</v>
      </c>
      <c r="AA62" s="20" t="s">
        <v>29</v>
      </c>
      <c r="AB62" s="7">
        <v>876.5</v>
      </c>
      <c r="AC62" s="7">
        <v>781.2</v>
      </c>
      <c r="AD62" s="7">
        <v>0.89127210496292075</v>
      </c>
      <c r="AE62" s="7" t="s">
        <v>70</v>
      </c>
      <c r="AF62" s="19" t="s">
        <v>8</v>
      </c>
      <c r="AG62" s="11" t="s">
        <v>928</v>
      </c>
      <c r="AH62" s="7" t="s">
        <v>1261</v>
      </c>
    </row>
    <row r="63" spans="1:34" s="7" customFormat="1" ht="16.5" customHeight="1">
      <c r="A63" s="7">
        <v>2012</v>
      </c>
      <c r="B63" s="12">
        <v>41093</v>
      </c>
      <c r="C63" s="7" t="s">
        <v>22</v>
      </c>
      <c r="D63" s="9" t="s">
        <v>6</v>
      </c>
      <c r="E63" s="9" t="s">
        <v>9</v>
      </c>
      <c r="F63" s="9" t="s">
        <v>25</v>
      </c>
      <c r="G63" s="7" t="s">
        <v>902</v>
      </c>
      <c r="H63" s="7" t="s">
        <v>903</v>
      </c>
      <c r="I63" s="124" t="s">
        <v>902</v>
      </c>
      <c r="J63" s="7">
        <v>33</v>
      </c>
      <c r="K63" s="124" t="s">
        <v>773</v>
      </c>
      <c r="L63" s="20" t="s">
        <v>74</v>
      </c>
      <c r="M63" s="16">
        <v>91.83232532848011</v>
      </c>
      <c r="N63" s="16">
        <v>24.497587377374824</v>
      </c>
      <c r="O63" s="16">
        <v>348.80726762251419</v>
      </c>
      <c r="P63" s="16">
        <v>23.679245168512519</v>
      </c>
      <c r="Q63" s="147">
        <v>808.06585693359375</v>
      </c>
      <c r="R63" s="147">
        <v>25.17645263671875</v>
      </c>
      <c r="S63" s="10">
        <v>0.63689736404770558</v>
      </c>
      <c r="T63" s="10">
        <v>-5.3926432082500284</v>
      </c>
      <c r="U63" s="16">
        <v>2.3748640580610797E-2</v>
      </c>
      <c r="V63" s="16">
        <v>7.4162641249885368</v>
      </c>
      <c r="W63" s="10">
        <v>12.808907333238565</v>
      </c>
      <c r="X63" s="10" t="s">
        <v>902</v>
      </c>
      <c r="Y63" s="10">
        <v>2.2999999999999998</v>
      </c>
      <c r="Z63" s="10">
        <v>2.8333333333333335</v>
      </c>
      <c r="AA63" s="20" t="s">
        <v>44</v>
      </c>
      <c r="AB63" s="7">
        <v>727.5</v>
      </c>
      <c r="AC63" s="7">
        <v>644.5</v>
      </c>
      <c r="AD63" s="7">
        <v>0.88591065292096216</v>
      </c>
      <c r="AE63" s="7" t="s">
        <v>73</v>
      </c>
      <c r="AF63" s="20" t="s">
        <v>8</v>
      </c>
      <c r="AG63" s="11" t="s">
        <v>928</v>
      </c>
      <c r="AH63" s="7" t="s">
        <v>1262</v>
      </c>
    </row>
    <row r="64" spans="1:34" s="7" customFormat="1" ht="16.5" customHeight="1">
      <c r="A64" s="7">
        <v>2012</v>
      </c>
      <c r="B64" s="12">
        <v>41093</v>
      </c>
      <c r="C64" s="7" t="s">
        <v>22</v>
      </c>
      <c r="D64" s="26" t="s">
        <v>6</v>
      </c>
      <c r="E64" s="9" t="s">
        <v>9</v>
      </c>
      <c r="F64" s="9" t="s">
        <v>25</v>
      </c>
      <c r="G64" s="7" t="s">
        <v>902</v>
      </c>
      <c r="H64" s="7" t="s">
        <v>903</v>
      </c>
      <c r="I64" s="124" t="s">
        <v>902</v>
      </c>
      <c r="J64" s="7">
        <v>8</v>
      </c>
      <c r="K64" s="124" t="s">
        <v>764</v>
      </c>
      <c r="L64" s="20" t="s">
        <v>909</v>
      </c>
      <c r="M64" s="16">
        <v>91.882278442382813</v>
      </c>
      <c r="N64" s="16">
        <v>22.314594541277206</v>
      </c>
      <c r="O64" s="16">
        <v>337.3741651262556</v>
      </c>
      <c r="P64" s="16">
        <v>20.444525037493026</v>
      </c>
      <c r="Q64" s="147">
        <v>828.00908551897317</v>
      </c>
      <c r="R64" s="147">
        <v>49.8961181640625</v>
      </c>
      <c r="S64" s="10">
        <v>0.63689736404770558</v>
      </c>
      <c r="T64" s="10">
        <v>-13.187976709007851</v>
      </c>
      <c r="U64" s="16">
        <v>4.3138084830818595E-2</v>
      </c>
      <c r="V64" s="16">
        <v>7.4162641249885368</v>
      </c>
      <c r="W64" s="10">
        <v>20.604240833996386</v>
      </c>
      <c r="X64" s="10" t="s">
        <v>902</v>
      </c>
      <c r="Y64" s="10">
        <v>2.2999999999999998</v>
      </c>
      <c r="Z64" s="10">
        <v>2.8333333333333335</v>
      </c>
      <c r="AA64" s="20" t="s">
        <v>34</v>
      </c>
      <c r="AB64" s="7">
        <v>1245.0999999999999</v>
      </c>
      <c r="AC64" s="7">
        <v>769</v>
      </c>
      <c r="AD64" s="7">
        <v>0.61762107461248095</v>
      </c>
      <c r="AE64" s="7" t="s">
        <v>69</v>
      </c>
      <c r="AF64" s="19" t="s">
        <v>8</v>
      </c>
      <c r="AG64" s="11" t="s">
        <v>2</v>
      </c>
      <c r="AH64" s="7" t="s">
        <v>1263</v>
      </c>
    </row>
    <row r="65" spans="1:34" s="7" customFormat="1" ht="16.5" customHeight="1">
      <c r="A65" s="7">
        <v>2012</v>
      </c>
      <c r="B65" s="12">
        <v>41093</v>
      </c>
      <c r="C65" s="7" t="s">
        <v>22</v>
      </c>
      <c r="D65" s="9" t="s">
        <v>6</v>
      </c>
      <c r="E65" s="9" t="s">
        <v>9</v>
      </c>
      <c r="F65" s="9" t="s">
        <v>25</v>
      </c>
      <c r="G65" s="7" t="s">
        <v>902</v>
      </c>
      <c r="H65" s="7" t="s">
        <v>903</v>
      </c>
      <c r="I65" s="124" t="s">
        <v>902</v>
      </c>
      <c r="J65" s="7">
        <v>9</v>
      </c>
      <c r="K65" s="124" t="s">
        <v>1528</v>
      </c>
      <c r="L65" s="20" t="s">
        <v>909</v>
      </c>
      <c r="M65" s="16">
        <v>91.856952064915703</v>
      </c>
      <c r="N65" s="16">
        <v>23.671307312814815</v>
      </c>
      <c r="O65" s="16">
        <v>348.33933298211349</v>
      </c>
      <c r="P65" s="16">
        <v>19.707419947574014</v>
      </c>
      <c r="Q65" s="147">
        <v>947.50847746196541</v>
      </c>
      <c r="R65" s="147">
        <v>29.9827880859375</v>
      </c>
      <c r="S65" s="10">
        <v>0.63689736404770558</v>
      </c>
      <c r="T65" s="10">
        <v>-11.945651639203462</v>
      </c>
      <c r="U65" s="16">
        <v>6.3820951026782674E-2</v>
      </c>
      <c r="V65" s="16">
        <v>7.4162641249885368</v>
      </c>
      <c r="W65" s="10">
        <v>19.361915764191998</v>
      </c>
      <c r="X65" s="10" t="s">
        <v>902</v>
      </c>
      <c r="Y65" s="10">
        <v>2.2999999999999998</v>
      </c>
      <c r="Z65" s="10">
        <v>2.8333333333333335</v>
      </c>
      <c r="AA65" s="20" t="s">
        <v>40</v>
      </c>
      <c r="AB65" s="7">
        <v>1180.4000000000001</v>
      </c>
      <c r="AC65" s="7">
        <v>542</v>
      </c>
      <c r="AD65" s="7">
        <v>0.4591663842765164</v>
      </c>
      <c r="AE65" s="7" t="s">
        <v>69</v>
      </c>
      <c r="AF65" s="20" t="s">
        <v>8</v>
      </c>
      <c r="AG65" s="11" t="s">
        <v>2</v>
      </c>
      <c r="AH65" s="7" t="s">
        <v>1244</v>
      </c>
    </row>
    <row r="66" spans="1:34" s="7" customFormat="1" ht="16.5" customHeight="1">
      <c r="A66" s="7">
        <v>2012</v>
      </c>
      <c r="B66" s="12">
        <v>41093</v>
      </c>
      <c r="C66" s="7" t="s">
        <v>22</v>
      </c>
      <c r="D66" s="9" t="s">
        <v>6</v>
      </c>
      <c r="E66" s="9" t="s">
        <v>9</v>
      </c>
      <c r="F66" s="9" t="s">
        <v>25</v>
      </c>
      <c r="G66" s="7" t="s">
        <v>902</v>
      </c>
      <c r="H66" s="7" t="s">
        <v>903</v>
      </c>
      <c r="I66" s="124" t="s">
        <v>902</v>
      </c>
      <c r="J66" s="7">
        <v>10</v>
      </c>
      <c r="K66" s="124" t="s">
        <v>1529</v>
      </c>
      <c r="L66" s="20" t="s">
        <v>909</v>
      </c>
      <c r="M66" s="16">
        <v>91.860084132144323</v>
      </c>
      <c r="N66" s="16">
        <v>24.13365323919999</v>
      </c>
      <c r="O66" s="16">
        <v>344.40495380602385</v>
      </c>
      <c r="P66" s="16">
        <v>20.748962301956979</v>
      </c>
      <c r="Q66" s="147">
        <v>1043.9275994551808</v>
      </c>
      <c r="R66" s="147">
        <v>83.2066650390625</v>
      </c>
      <c r="S66" s="10">
        <v>0.63689736404770558</v>
      </c>
      <c r="T66" s="10">
        <v>-11.234384604507063</v>
      </c>
      <c r="U66" s="16">
        <v>5.4987775233753942E-2</v>
      </c>
      <c r="V66" s="16">
        <v>7.4162641249885368</v>
      </c>
      <c r="W66" s="10">
        <v>18.6506487294956</v>
      </c>
      <c r="X66" s="10" t="s">
        <v>902</v>
      </c>
      <c r="Y66" s="10">
        <v>2.2999999999999998</v>
      </c>
      <c r="Z66" s="10">
        <v>2.8333333333333335</v>
      </c>
      <c r="AA66" s="20" t="s">
        <v>41</v>
      </c>
      <c r="AB66" s="7">
        <v>1213.4000000000001</v>
      </c>
      <c r="AC66" s="7">
        <v>583.5</v>
      </c>
      <c r="AD66" s="7">
        <v>0.48088017141915274</v>
      </c>
      <c r="AE66" s="7" t="s">
        <v>69</v>
      </c>
      <c r="AF66" s="20" t="s">
        <v>8</v>
      </c>
      <c r="AG66" s="11" t="s">
        <v>2</v>
      </c>
      <c r="AH66" s="7" t="s">
        <v>1264</v>
      </c>
    </row>
    <row r="67" spans="1:34" s="7" customFormat="1" ht="16.5" customHeight="1">
      <c r="A67" s="7">
        <v>2012</v>
      </c>
      <c r="B67" s="12">
        <v>41093</v>
      </c>
      <c r="C67" s="7" t="s">
        <v>22</v>
      </c>
      <c r="D67" s="26" t="s">
        <v>6</v>
      </c>
      <c r="E67" s="9" t="s">
        <v>9</v>
      </c>
      <c r="F67" s="9" t="s">
        <v>25</v>
      </c>
      <c r="G67" s="7" t="s">
        <v>902</v>
      </c>
      <c r="H67" s="7" t="s">
        <v>903</v>
      </c>
      <c r="I67" s="124" t="s">
        <v>902</v>
      </c>
      <c r="J67" s="7">
        <v>11</v>
      </c>
      <c r="K67" s="124" t="s">
        <v>765</v>
      </c>
      <c r="L67" s="20" t="s">
        <v>909</v>
      </c>
      <c r="M67" s="22">
        <v>91.899183000837056</v>
      </c>
      <c r="N67" s="22">
        <v>24.489699227469309</v>
      </c>
      <c r="O67" s="22">
        <v>321.78629847935269</v>
      </c>
      <c r="P67" s="22">
        <v>22.253566469464982</v>
      </c>
      <c r="Q67" s="148">
        <v>1164.8540562220983</v>
      </c>
      <c r="R67" s="148">
        <v>57.5897216796875</v>
      </c>
      <c r="S67" s="10">
        <v>0.63689736404770558</v>
      </c>
      <c r="T67" s="10">
        <v>-14.728047497415355</v>
      </c>
      <c r="U67" s="22">
        <v>3.5694973809378486E-2</v>
      </c>
      <c r="V67" s="16">
        <v>7.4162641249885368</v>
      </c>
      <c r="W67" s="10">
        <v>22.14431162240389</v>
      </c>
      <c r="X67" s="10" t="s">
        <v>902</v>
      </c>
      <c r="Y67" s="10">
        <v>2.2999999999999998</v>
      </c>
      <c r="Z67" s="10">
        <v>2.8333333333333335</v>
      </c>
      <c r="AA67" s="20" t="s">
        <v>30</v>
      </c>
      <c r="AB67" s="7">
        <v>1174.3</v>
      </c>
      <c r="AC67" s="7">
        <v>820.3</v>
      </c>
      <c r="AD67" s="7">
        <v>0.69854381333560422</v>
      </c>
      <c r="AE67" s="7" t="s">
        <v>69</v>
      </c>
      <c r="AF67" s="19" t="s">
        <v>8</v>
      </c>
      <c r="AG67" s="11" t="s">
        <v>2</v>
      </c>
      <c r="AH67" s="7" t="s">
        <v>1265</v>
      </c>
    </row>
    <row r="68" spans="1:34" s="7" customFormat="1" ht="16.5" customHeight="1">
      <c r="A68" s="7">
        <v>2012</v>
      </c>
      <c r="B68" s="12">
        <v>41093</v>
      </c>
      <c r="C68" s="7" t="s">
        <v>22</v>
      </c>
      <c r="D68" s="9" t="s">
        <v>6</v>
      </c>
      <c r="E68" s="9" t="s">
        <v>9</v>
      </c>
      <c r="F68" s="9" t="s">
        <v>25</v>
      </c>
      <c r="G68" s="7" t="s">
        <v>902</v>
      </c>
      <c r="H68" s="7" t="s">
        <v>903</v>
      </c>
      <c r="I68" s="124" t="s">
        <v>902</v>
      </c>
      <c r="J68" s="7">
        <v>15</v>
      </c>
      <c r="K68" s="124" t="s">
        <v>1530</v>
      </c>
      <c r="L68" s="20" t="s">
        <v>909</v>
      </c>
      <c r="M68" s="16">
        <v>91.830312226947981</v>
      </c>
      <c r="N68" s="16">
        <v>30.570986898321856</v>
      </c>
      <c r="O68" s="16">
        <v>339.91985762746708</v>
      </c>
      <c r="P68" s="16">
        <v>26.754841151990387</v>
      </c>
      <c r="Q68" s="147">
        <v>1630.2697111430921</v>
      </c>
      <c r="R68" s="147">
        <v>20.968017578125</v>
      </c>
      <c r="S68" s="10">
        <v>0.63689736404770558</v>
      </c>
      <c r="T68" s="10">
        <v>-12.443657205110432</v>
      </c>
      <c r="U68" s="16">
        <v>6.7376854545191683E-2</v>
      </c>
      <c r="V68" s="16">
        <v>7.4162641249885368</v>
      </c>
      <c r="W68" s="10">
        <v>19.85992133009897</v>
      </c>
      <c r="X68" s="10" t="s">
        <v>902</v>
      </c>
      <c r="Y68" s="10">
        <v>2.2999999999999998</v>
      </c>
      <c r="Z68" s="10">
        <v>2.8333333333333335</v>
      </c>
      <c r="AA68" s="20" t="s">
        <v>42</v>
      </c>
      <c r="AB68" s="7">
        <v>1918.9</v>
      </c>
      <c r="AC68" s="7">
        <v>625</v>
      </c>
      <c r="AD68" s="7">
        <v>0.32570743655219137</v>
      </c>
      <c r="AE68" s="7" t="s">
        <v>69</v>
      </c>
      <c r="AF68" s="20" t="s">
        <v>8</v>
      </c>
      <c r="AG68" s="11" t="s">
        <v>864</v>
      </c>
      <c r="AH68" s="7" t="s">
        <v>1244</v>
      </c>
    </row>
    <row r="69" spans="1:34" s="7" customFormat="1" ht="16.5" customHeight="1">
      <c r="A69" s="7">
        <v>2012</v>
      </c>
      <c r="B69" s="12">
        <v>41093</v>
      </c>
      <c r="C69" s="7" t="s">
        <v>22</v>
      </c>
      <c r="D69" s="9" t="s">
        <v>6</v>
      </c>
      <c r="E69" s="9" t="s">
        <v>10</v>
      </c>
      <c r="F69" s="9" t="s">
        <v>25</v>
      </c>
      <c r="G69" s="7" t="s">
        <v>902</v>
      </c>
      <c r="H69" s="7" t="s">
        <v>903</v>
      </c>
      <c r="I69" s="124" t="s">
        <v>902</v>
      </c>
      <c r="J69" s="7">
        <v>1</v>
      </c>
      <c r="K69" s="124" t="s">
        <v>1531</v>
      </c>
      <c r="L69" s="20" t="s">
        <v>904</v>
      </c>
      <c r="M69" s="16">
        <v>91.899729156494146</v>
      </c>
      <c r="N69" s="16">
        <v>20.196358203887939</v>
      </c>
      <c r="O69" s="16">
        <v>380.76637420654299</v>
      </c>
      <c r="P69" s="16">
        <v>17.292571258544921</v>
      </c>
      <c r="Q69" s="147">
        <v>5.7074250705773009E-2</v>
      </c>
      <c r="R69" s="147">
        <v>0.14923875161912292</v>
      </c>
      <c r="S69" s="10">
        <v>0.80956549341554718</v>
      </c>
      <c r="T69" s="10">
        <v>8.0290030810202158</v>
      </c>
      <c r="U69" s="16">
        <v>1.7931503640081649E-2</v>
      </c>
      <c r="V69" s="16">
        <v>9.4231664830694388</v>
      </c>
      <c r="W69" s="10">
        <v>1.3941634020492231</v>
      </c>
      <c r="X69" s="10" t="s">
        <v>902</v>
      </c>
      <c r="Y69" s="10">
        <v>2.7999999999999994</v>
      </c>
      <c r="Z69" s="10">
        <v>3.3333333333333335</v>
      </c>
      <c r="AA69" s="20" t="s">
        <v>103</v>
      </c>
      <c r="AB69" s="7">
        <v>556.6</v>
      </c>
      <c r="AC69" s="7">
        <v>539.6</v>
      </c>
      <c r="AD69" s="9" t="s">
        <v>902</v>
      </c>
      <c r="AE69" s="7" t="s">
        <v>124</v>
      </c>
      <c r="AF69" s="20" t="s">
        <v>27</v>
      </c>
      <c r="AG69" s="11" t="s">
        <v>926</v>
      </c>
      <c r="AH69" s="7" t="s">
        <v>1242</v>
      </c>
    </row>
    <row r="70" spans="1:34" s="7" customFormat="1" ht="16.5" customHeight="1">
      <c r="A70" s="7">
        <v>2012</v>
      </c>
      <c r="B70" s="12">
        <v>41092</v>
      </c>
      <c r="C70" s="7" t="s">
        <v>22</v>
      </c>
      <c r="D70" s="9" t="s">
        <v>6</v>
      </c>
      <c r="E70" s="9" t="s">
        <v>10</v>
      </c>
      <c r="F70" s="9" t="s">
        <v>25</v>
      </c>
      <c r="G70" s="7" t="s">
        <v>902</v>
      </c>
      <c r="H70" s="7" t="s">
        <v>903</v>
      </c>
      <c r="I70" s="124" t="s">
        <v>902</v>
      </c>
      <c r="J70" s="7">
        <v>2</v>
      </c>
      <c r="K70" s="124" t="s">
        <v>1532</v>
      </c>
      <c r="L70" s="20" t="s">
        <v>904</v>
      </c>
      <c r="M70" s="16">
        <v>92.235669453938797</v>
      </c>
      <c r="N70" s="16">
        <v>20.168543815612793</v>
      </c>
      <c r="O70" s="16">
        <v>395.14640808105469</v>
      </c>
      <c r="P70" s="16">
        <v>18.375772688123917</v>
      </c>
      <c r="Q70" s="147">
        <v>6.497326511372295E-2</v>
      </c>
      <c r="R70" s="147">
        <v>0.17396555840969086</v>
      </c>
      <c r="S70" s="10">
        <v>0.80956549341554718</v>
      </c>
      <c r="T70" s="10">
        <v>10.151655751812077</v>
      </c>
      <c r="U70" s="16">
        <v>2.5272286713307855E-2</v>
      </c>
      <c r="V70" s="16">
        <v>9.4231664830694388</v>
      </c>
      <c r="W70" s="10">
        <v>-0.72848926874263853</v>
      </c>
      <c r="X70" s="10" t="s">
        <v>902</v>
      </c>
      <c r="Y70" s="10">
        <v>2.7999999999999994</v>
      </c>
      <c r="Z70" s="10">
        <v>3.3333333333333335</v>
      </c>
      <c r="AA70" s="20" t="s">
        <v>96</v>
      </c>
      <c r="AB70" s="7">
        <v>932.6</v>
      </c>
      <c r="AC70" s="7">
        <v>419.9</v>
      </c>
      <c r="AD70" s="9" t="s">
        <v>902</v>
      </c>
      <c r="AE70" s="7" t="s">
        <v>607</v>
      </c>
      <c r="AF70" s="20" t="s">
        <v>27</v>
      </c>
      <c r="AG70" s="11" t="s">
        <v>926</v>
      </c>
      <c r="AH70" s="7" t="s">
        <v>1242</v>
      </c>
    </row>
    <row r="71" spans="1:34" s="7" customFormat="1" ht="16.5" customHeight="1">
      <c r="A71" s="7">
        <v>2012</v>
      </c>
      <c r="B71" s="12">
        <v>41093</v>
      </c>
      <c r="C71" s="7" t="s">
        <v>22</v>
      </c>
      <c r="D71" s="9" t="s">
        <v>6</v>
      </c>
      <c r="E71" s="9" t="s">
        <v>10</v>
      </c>
      <c r="F71" s="9" t="s">
        <v>25</v>
      </c>
      <c r="G71" s="7" t="s">
        <v>902</v>
      </c>
      <c r="H71" s="7" t="s">
        <v>903</v>
      </c>
      <c r="I71" s="124" t="s">
        <v>902</v>
      </c>
      <c r="J71" s="7">
        <v>3</v>
      </c>
      <c r="K71" s="124" t="s">
        <v>1533</v>
      </c>
      <c r="L71" s="20" t="s">
        <v>904</v>
      </c>
      <c r="M71" s="16">
        <v>91.896466305381367</v>
      </c>
      <c r="N71" s="16">
        <v>20.508279198094417</v>
      </c>
      <c r="O71" s="16">
        <v>384.09691258480672</v>
      </c>
      <c r="P71" s="16">
        <v>17.180359589426143</v>
      </c>
      <c r="Q71" s="147">
        <v>6.7014453405710425E-2</v>
      </c>
      <c r="R71" s="147">
        <v>0.16806727251969278</v>
      </c>
      <c r="S71" s="10">
        <v>0.80956549341554718</v>
      </c>
      <c r="T71" s="10">
        <v>7.7095995884105815</v>
      </c>
      <c r="U71" s="16">
        <v>1.8628608971311335E-2</v>
      </c>
      <c r="V71" s="16">
        <v>9.4231664830694388</v>
      </c>
      <c r="W71" s="10">
        <v>1.7135668946588574</v>
      </c>
      <c r="X71" s="10" t="s">
        <v>902</v>
      </c>
      <c r="Y71" s="10">
        <v>2.7999999999999994</v>
      </c>
      <c r="Z71" s="10">
        <v>3.3333333333333335</v>
      </c>
      <c r="AA71" s="20" t="s">
        <v>102</v>
      </c>
      <c r="AB71" s="7">
        <v>596.9</v>
      </c>
      <c r="AC71" s="7">
        <v>578.6</v>
      </c>
      <c r="AD71" s="9" t="s">
        <v>902</v>
      </c>
      <c r="AE71" s="7" t="s">
        <v>124</v>
      </c>
      <c r="AF71" s="20" t="s">
        <v>27</v>
      </c>
      <c r="AG71" s="11" t="s">
        <v>926</v>
      </c>
      <c r="AH71" s="7" t="s">
        <v>1242</v>
      </c>
    </row>
    <row r="72" spans="1:34" s="7" customFormat="1" ht="16.5" customHeight="1">
      <c r="A72" s="7">
        <v>2012</v>
      </c>
      <c r="B72" s="12">
        <v>41092</v>
      </c>
      <c r="C72" s="7" t="s">
        <v>22</v>
      </c>
      <c r="D72" s="9" t="s">
        <v>6</v>
      </c>
      <c r="E72" s="9" t="s">
        <v>10</v>
      </c>
      <c r="F72" s="9" t="s">
        <v>25</v>
      </c>
      <c r="G72" s="7" t="s">
        <v>902</v>
      </c>
      <c r="H72" s="7" t="s">
        <v>903</v>
      </c>
      <c r="I72" s="124" t="s">
        <v>902</v>
      </c>
      <c r="J72" s="7">
        <v>4</v>
      </c>
      <c r="K72" s="124" t="s">
        <v>1534</v>
      </c>
      <c r="L72" s="20" t="s">
        <v>904</v>
      </c>
      <c r="M72" s="16">
        <v>92.235675610994036</v>
      </c>
      <c r="N72" s="16">
        <v>20.264409918534128</v>
      </c>
      <c r="O72" s="16">
        <v>395.35872770610609</v>
      </c>
      <c r="P72" s="16">
        <v>17.61846130772641</v>
      </c>
      <c r="Q72" s="147">
        <v>7.8328474032643591E-2</v>
      </c>
      <c r="R72" s="147">
        <v>0.16227666940540075</v>
      </c>
      <c r="S72" s="10">
        <v>0.80956549341554718</v>
      </c>
      <c r="T72" s="10">
        <v>9.6190810926873755</v>
      </c>
      <c r="U72" s="16">
        <v>3.3254868821134792E-2</v>
      </c>
      <c r="V72" s="16">
        <v>9.4231664830694388</v>
      </c>
      <c r="W72" s="10">
        <v>-0.19591460961793672</v>
      </c>
      <c r="X72" s="10" t="s">
        <v>902</v>
      </c>
      <c r="Y72" s="10">
        <v>2.7999999999999994</v>
      </c>
      <c r="Z72" s="10">
        <v>3.3333333333333335</v>
      </c>
      <c r="AA72" s="20" t="s">
        <v>95</v>
      </c>
      <c r="AB72" s="7">
        <v>426</v>
      </c>
      <c r="AC72" s="7">
        <v>390.6</v>
      </c>
      <c r="AD72" s="9" t="s">
        <v>902</v>
      </c>
      <c r="AE72" s="7" t="s">
        <v>902</v>
      </c>
      <c r="AF72" s="20" t="s">
        <v>27</v>
      </c>
      <c r="AG72" s="11" t="s">
        <v>926</v>
      </c>
      <c r="AH72" s="7" t="s">
        <v>1242</v>
      </c>
    </row>
    <row r="73" spans="1:34" s="7" customFormat="1" ht="16.5" customHeight="1">
      <c r="A73" s="7">
        <v>2012</v>
      </c>
      <c r="B73" s="12">
        <v>41092</v>
      </c>
      <c r="C73" s="7" t="s">
        <v>22</v>
      </c>
      <c r="D73" s="9" t="s">
        <v>6</v>
      </c>
      <c r="E73" s="9" t="s">
        <v>10</v>
      </c>
      <c r="F73" s="9" t="s">
        <v>25</v>
      </c>
      <c r="G73" s="7" t="s">
        <v>902</v>
      </c>
      <c r="H73" s="7" t="s">
        <v>903</v>
      </c>
      <c r="I73" s="124" t="s">
        <v>902</v>
      </c>
      <c r="J73" s="7">
        <v>5</v>
      </c>
      <c r="K73" s="124" t="s">
        <v>1535</v>
      </c>
      <c r="L73" s="20" t="s">
        <v>904</v>
      </c>
      <c r="M73" s="16">
        <v>92.236256917317704</v>
      </c>
      <c r="N73" s="16">
        <v>21.484590000576443</v>
      </c>
      <c r="O73" s="16">
        <v>407.39044189453125</v>
      </c>
      <c r="P73" s="16">
        <v>19.492722723219131</v>
      </c>
      <c r="Q73" s="147">
        <v>0.10453011643969351</v>
      </c>
      <c r="R73" s="147">
        <v>0.21637223474681377</v>
      </c>
      <c r="S73" s="10">
        <v>0.80956549341554718</v>
      </c>
      <c r="T73" s="10">
        <v>11.606492901416942</v>
      </c>
      <c r="U73" s="16">
        <v>2.2921325990659165E-2</v>
      </c>
      <c r="V73" s="16">
        <v>9.4231664830694388</v>
      </c>
      <c r="W73" s="10">
        <v>-2.1833264183475034</v>
      </c>
      <c r="X73" s="10" t="s">
        <v>902</v>
      </c>
      <c r="Y73" s="10">
        <v>2.7999999999999994</v>
      </c>
      <c r="Z73" s="10">
        <v>3.3333333333333335</v>
      </c>
      <c r="AA73" s="20" t="s">
        <v>94</v>
      </c>
      <c r="AB73" s="7">
        <v>971.7</v>
      </c>
      <c r="AC73" s="7">
        <v>444.3</v>
      </c>
      <c r="AD73" s="9" t="s">
        <v>902</v>
      </c>
      <c r="AE73" s="7" t="s">
        <v>607</v>
      </c>
      <c r="AF73" s="20" t="s">
        <v>27</v>
      </c>
      <c r="AG73" s="11" t="s">
        <v>926</v>
      </c>
      <c r="AH73" s="7" t="s">
        <v>1242</v>
      </c>
    </row>
    <row r="74" spans="1:34" s="7" customFormat="1" ht="16.5" customHeight="1">
      <c r="A74" s="7">
        <v>2012</v>
      </c>
      <c r="B74" s="12">
        <v>41093</v>
      </c>
      <c r="C74" s="7" t="s">
        <v>22</v>
      </c>
      <c r="D74" s="9" t="s">
        <v>6</v>
      </c>
      <c r="E74" s="9" t="s">
        <v>10</v>
      </c>
      <c r="F74" s="9" t="s">
        <v>25</v>
      </c>
      <c r="G74" s="7" t="s">
        <v>902</v>
      </c>
      <c r="H74" s="7" t="s">
        <v>903</v>
      </c>
      <c r="I74" s="124" t="s">
        <v>902</v>
      </c>
      <c r="J74" s="7">
        <v>6</v>
      </c>
      <c r="K74" s="124" t="s">
        <v>1536</v>
      </c>
      <c r="L74" s="20" t="s">
        <v>77</v>
      </c>
      <c r="M74" s="16">
        <v>91.893374392860821</v>
      </c>
      <c r="N74" s="16">
        <v>21.238242099159642</v>
      </c>
      <c r="O74" s="16">
        <v>383.73067916067021</v>
      </c>
      <c r="P74" s="16">
        <v>17.941720661364105</v>
      </c>
      <c r="Q74" s="147">
        <v>95.079051770662005</v>
      </c>
      <c r="R74" s="147">
        <v>4.0408859252929687</v>
      </c>
      <c r="S74" s="10">
        <v>0.80956549341554718</v>
      </c>
      <c r="T74" s="10">
        <v>4.4672197679484311</v>
      </c>
      <c r="U74" s="16">
        <v>2.6621211202521072E-2</v>
      </c>
      <c r="V74" s="16">
        <v>9.4231664830694388</v>
      </c>
      <c r="W74" s="10">
        <v>4.9559467151210077</v>
      </c>
      <c r="X74" s="10" t="s">
        <v>902</v>
      </c>
      <c r="Y74" s="10">
        <v>2.7999999999999994</v>
      </c>
      <c r="Z74" s="10">
        <v>3.3333333333333335</v>
      </c>
      <c r="AA74" s="20" t="s">
        <v>101</v>
      </c>
      <c r="AB74" s="7">
        <v>766.6</v>
      </c>
      <c r="AC74" s="7">
        <v>671.4</v>
      </c>
      <c r="AD74" s="9" t="s">
        <v>902</v>
      </c>
      <c r="AE74" s="7" t="s">
        <v>118</v>
      </c>
      <c r="AF74" s="20" t="s">
        <v>27</v>
      </c>
      <c r="AG74" s="11" t="s">
        <v>928</v>
      </c>
      <c r="AH74" s="7" t="s">
        <v>1242</v>
      </c>
    </row>
    <row r="75" spans="1:34" s="7" customFormat="1" ht="16.5" customHeight="1">
      <c r="A75" s="7">
        <v>2012</v>
      </c>
      <c r="B75" s="12">
        <v>41093</v>
      </c>
      <c r="C75" s="7" t="s">
        <v>22</v>
      </c>
      <c r="D75" s="9" t="s">
        <v>6</v>
      </c>
      <c r="E75" s="9" t="s">
        <v>10</v>
      </c>
      <c r="F75" s="9" t="s">
        <v>25</v>
      </c>
      <c r="G75" s="7" t="s">
        <v>902</v>
      </c>
      <c r="H75" s="7" t="s">
        <v>903</v>
      </c>
      <c r="I75" s="124" t="s">
        <v>902</v>
      </c>
      <c r="J75" s="7">
        <v>11</v>
      </c>
      <c r="K75" s="124" t="s">
        <v>1537</v>
      </c>
      <c r="L75" s="20" t="s">
        <v>75</v>
      </c>
      <c r="M75" s="16">
        <v>91.934700775146482</v>
      </c>
      <c r="N75" s="16">
        <v>21.868603134155272</v>
      </c>
      <c r="O75" s="16">
        <v>374.27485046386721</v>
      </c>
      <c r="P75" s="16">
        <v>18.185024166107176</v>
      </c>
      <c r="Q75" s="147">
        <v>132.44450645446778</v>
      </c>
      <c r="R75" s="147">
        <v>32.437515258789063</v>
      </c>
      <c r="S75" s="10">
        <v>0.80956549341554718</v>
      </c>
      <c r="T75" s="10">
        <v>2.9842386910305363</v>
      </c>
      <c r="U75" s="16">
        <v>3.4849384135769719E-2</v>
      </c>
      <c r="V75" s="16">
        <v>9.4231664830694388</v>
      </c>
      <c r="W75" s="10">
        <v>6.4389277920389025</v>
      </c>
      <c r="X75" s="10" t="s">
        <v>902</v>
      </c>
      <c r="Y75" s="10">
        <v>2.7999999999999994</v>
      </c>
      <c r="Z75" s="10">
        <v>3.3333333333333335</v>
      </c>
      <c r="AA75" s="20" t="s">
        <v>88</v>
      </c>
      <c r="AB75" s="7">
        <v>567.6</v>
      </c>
      <c r="AC75" s="7">
        <v>524.9</v>
      </c>
      <c r="AD75" s="9" t="s">
        <v>902</v>
      </c>
      <c r="AE75" s="7" t="s">
        <v>119</v>
      </c>
      <c r="AF75" s="20" t="s">
        <v>27</v>
      </c>
      <c r="AG75" s="11" t="s">
        <v>0</v>
      </c>
      <c r="AH75" s="7" t="s">
        <v>1242</v>
      </c>
    </row>
    <row r="76" spans="1:34" s="7" customFormat="1" ht="16.5" customHeight="1">
      <c r="A76" s="7">
        <v>2012</v>
      </c>
      <c r="B76" s="12">
        <v>41093</v>
      </c>
      <c r="C76" s="7" t="s">
        <v>22</v>
      </c>
      <c r="D76" s="9" t="s">
        <v>6</v>
      </c>
      <c r="E76" s="9" t="s">
        <v>10</v>
      </c>
      <c r="F76" s="9" t="s">
        <v>25</v>
      </c>
      <c r="G76" s="7" t="s">
        <v>902</v>
      </c>
      <c r="H76" s="7" t="s">
        <v>903</v>
      </c>
      <c r="I76" s="124" t="s">
        <v>902</v>
      </c>
      <c r="J76" s="7">
        <v>7</v>
      </c>
      <c r="K76" s="124" t="s">
        <v>803</v>
      </c>
      <c r="L76" s="20" t="s">
        <v>74</v>
      </c>
      <c r="M76" s="16">
        <v>91.901996265758171</v>
      </c>
      <c r="N76" s="16">
        <v>21.719967928799715</v>
      </c>
      <c r="O76" s="16">
        <v>374.67155317826706</v>
      </c>
      <c r="P76" s="16">
        <v>16.778771660544656</v>
      </c>
      <c r="Q76" s="147">
        <v>149.86304959383878</v>
      </c>
      <c r="R76" s="147">
        <v>3.0061492919921875</v>
      </c>
      <c r="S76" s="10">
        <v>0.80956549341554718</v>
      </c>
      <c r="T76" s="10">
        <v>6.0771434695946231</v>
      </c>
      <c r="U76" s="16">
        <v>4.7918449748646126E-2</v>
      </c>
      <c r="V76" s="16">
        <v>9.4231664830694388</v>
      </c>
      <c r="W76" s="10">
        <v>3.3460230134748157</v>
      </c>
      <c r="X76" s="10" t="s">
        <v>902</v>
      </c>
      <c r="Y76" s="10">
        <v>2.7999999999999994</v>
      </c>
      <c r="Z76" s="10">
        <v>3.3333333333333335</v>
      </c>
      <c r="AA76" s="20" t="s">
        <v>98</v>
      </c>
      <c r="AB76" s="7">
        <v>472.4</v>
      </c>
      <c r="AC76" s="7">
        <v>427.2</v>
      </c>
      <c r="AD76" s="9" t="s">
        <v>902</v>
      </c>
      <c r="AE76" s="7" t="s">
        <v>117</v>
      </c>
      <c r="AF76" s="20" t="s">
        <v>27</v>
      </c>
      <c r="AG76" s="11" t="s">
        <v>928</v>
      </c>
      <c r="AH76" s="7" t="s">
        <v>1266</v>
      </c>
    </row>
    <row r="77" spans="1:34" s="7" customFormat="1" ht="16.5" customHeight="1">
      <c r="A77" s="7">
        <v>2012</v>
      </c>
      <c r="B77" s="12">
        <v>41093</v>
      </c>
      <c r="C77" s="7" t="s">
        <v>22</v>
      </c>
      <c r="D77" s="9" t="s">
        <v>6</v>
      </c>
      <c r="E77" s="9" t="s">
        <v>10</v>
      </c>
      <c r="F77" s="9" t="s">
        <v>25</v>
      </c>
      <c r="G77" s="7" t="s">
        <v>902</v>
      </c>
      <c r="H77" s="7" t="s">
        <v>903</v>
      </c>
      <c r="I77" s="124" t="s">
        <v>902</v>
      </c>
      <c r="J77" s="7">
        <v>26</v>
      </c>
      <c r="K77" s="124" t="s">
        <v>812</v>
      </c>
      <c r="L77" s="20" t="s">
        <v>77</v>
      </c>
      <c r="M77" s="16">
        <v>91.929228130139805</v>
      </c>
      <c r="N77" s="16">
        <v>21.595213839882298</v>
      </c>
      <c r="O77" s="16">
        <v>371.97171502364307</v>
      </c>
      <c r="P77" s="16">
        <v>18.676046471846732</v>
      </c>
      <c r="Q77" s="147">
        <v>175.7119285181949</v>
      </c>
      <c r="R77" s="147">
        <v>27.759567260742187</v>
      </c>
      <c r="S77" s="10">
        <v>0.80956549341554718</v>
      </c>
      <c r="T77" s="10">
        <v>1.5545891915425654</v>
      </c>
      <c r="U77" s="16">
        <v>3.3544276053445378E-2</v>
      </c>
      <c r="V77" s="16">
        <v>9.4231664830694388</v>
      </c>
      <c r="W77" s="10">
        <v>7.8685772915268739</v>
      </c>
      <c r="X77" s="10" t="s">
        <v>902</v>
      </c>
      <c r="Y77" s="10">
        <v>2.7999999999999994</v>
      </c>
      <c r="Z77" s="10">
        <v>3.3333333333333335</v>
      </c>
      <c r="AA77" s="20" t="s">
        <v>93</v>
      </c>
      <c r="AB77" s="7">
        <v>1296.4000000000001</v>
      </c>
      <c r="AC77" s="7">
        <v>429.7</v>
      </c>
      <c r="AD77" s="9" t="s">
        <v>902</v>
      </c>
      <c r="AE77" s="7" t="s">
        <v>113</v>
      </c>
      <c r="AF77" s="20" t="s">
        <v>27</v>
      </c>
      <c r="AG77" s="11" t="s">
        <v>864</v>
      </c>
      <c r="AH77" s="7" t="s">
        <v>1267</v>
      </c>
    </row>
    <row r="78" spans="1:34" s="7" customFormat="1" ht="16.5" customHeight="1">
      <c r="A78" s="7">
        <v>2012</v>
      </c>
      <c r="B78" s="12">
        <v>41093</v>
      </c>
      <c r="C78" s="7" t="s">
        <v>22</v>
      </c>
      <c r="D78" s="9" t="s">
        <v>6</v>
      </c>
      <c r="E78" s="9" t="s">
        <v>10</v>
      </c>
      <c r="F78" s="9" t="s">
        <v>25</v>
      </c>
      <c r="G78" s="7" t="s">
        <v>902</v>
      </c>
      <c r="H78" s="7" t="s">
        <v>903</v>
      </c>
      <c r="I78" s="124" t="s">
        <v>902</v>
      </c>
      <c r="J78" s="7">
        <v>27</v>
      </c>
      <c r="K78" s="124" t="s">
        <v>813</v>
      </c>
      <c r="L78" s="20" t="s">
        <v>77</v>
      </c>
      <c r="M78" s="16">
        <v>91.928591918945315</v>
      </c>
      <c r="N78" s="16">
        <v>22.038550313313802</v>
      </c>
      <c r="O78" s="16">
        <v>372.10222574869789</v>
      </c>
      <c r="P78" s="16">
        <v>19.188431930541991</v>
      </c>
      <c r="Q78" s="147">
        <v>214.0092763264974</v>
      </c>
      <c r="R78" s="147">
        <v>33.408432006835938</v>
      </c>
      <c r="S78" s="10">
        <v>0.80956549341554718</v>
      </c>
      <c r="T78" s="10">
        <v>1.5335853869924572</v>
      </c>
      <c r="U78" s="16">
        <v>3.7446736335754398E-2</v>
      </c>
      <c r="V78" s="16">
        <v>9.4231664830694388</v>
      </c>
      <c r="W78" s="10">
        <v>7.8895810960769817</v>
      </c>
      <c r="X78" s="10" t="s">
        <v>902</v>
      </c>
      <c r="Y78" s="10">
        <v>2.7999999999999994</v>
      </c>
      <c r="Z78" s="10">
        <v>3.3333333333333335</v>
      </c>
      <c r="AA78" s="20" t="s">
        <v>92</v>
      </c>
      <c r="AB78" s="7">
        <v>1501.5</v>
      </c>
      <c r="AC78" s="7">
        <v>471.2</v>
      </c>
      <c r="AD78" s="9" t="s">
        <v>902</v>
      </c>
      <c r="AE78" s="7" t="s">
        <v>113</v>
      </c>
      <c r="AF78" s="20" t="s">
        <v>27</v>
      </c>
      <c r="AG78" s="11" t="s">
        <v>864</v>
      </c>
      <c r="AH78" s="7" t="s">
        <v>1268</v>
      </c>
    </row>
    <row r="79" spans="1:34" s="7" customFormat="1" ht="16.5" customHeight="1">
      <c r="A79" s="7">
        <v>2012</v>
      </c>
      <c r="B79" s="12">
        <v>41093</v>
      </c>
      <c r="C79" s="7" t="s">
        <v>22</v>
      </c>
      <c r="D79" s="9" t="s">
        <v>6</v>
      </c>
      <c r="E79" s="9" t="s">
        <v>10</v>
      </c>
      <c r="F79" s="9" t="s">
        <v>25</v>
      </c>
      <c r="G79" s="7" t="s">
        <v>902</v>
      </c>
      <c r="H79" s="7" t="s">
        <v>903</v>
      </c>
      <c r="I79" s="124" t="s">
        <v>902</v>
      </c>
      <c r="J79" s="7">
        <v>8</v>
      </c>
      <c r="K79" s="124" t="s">
        <v>804</v>
      </c>
      <c r="L79" s="20" t="s">
        <v>74</v>
      </c>
      <c r="M79" s="16">
        <v>91.946882247924805</v>
      </c>
      <c r="N79" s="16">
        <v>22.70950174331665</v>
      </c>
      <c r="O79" s="16">
        <v>363.65336608886719</v>
      </c>
      <c r="P79" s="16">
        <v>17.950399557749432</v>
      </c>
      <c r="Q79" s="147">
        <v>259.93345387776691</v>
      </c>
      <c r="R79" s="147">
        <v>23.667739868164063</v>
      </c>
      <c r="S79" s="10">
        <v>0.80956549341554718</v>
      </c>
      <c r="T79" s="10">
        <v>1.840849531364469</v>
      </c>
      <c r="U79" s="16">
        <v>3.9223961063198275E-2</v>
      </c>
      <c r="V79" s="16">
        <v>9.4231664830694388</v>
      </c>
      <c r="W79" s="10">
        <v>7.5823169517049696</v>
      </c>
      <c r="X79" s="10" t="s">
        <v>902</v>
      </c>
      <c r="Y79" s="10">
        <v>2.7999999999999994</v>
      </c>
      <c r="Z79" s="10">
        <v>3.3333333333333335</v>
      </c>
      <c r="AA79" s="20" t="s">
        <v>84</v>
      </c>
      <c r="AB79" s="7">
        <v>636</v>
      </c>
      <c r="AC79" s="7">
        <v>549.29999999999995</v>
      </c>
      <c r="AD79" s="9" t="s">
        <v>902</v>
      </c>
      <c r="AE79" s="7" t="s">
        <v>117</v>
      </c>
      <c r="AF79" s="20" t="s">
        <v>27</v>
      </c>
      <c r="AG79" s="11" t="s">
        <v>928</v>
      </c>
      <c r="AH79" s="7" t="s">
        <v>1269</v>
      </c>
    </row>
    <row r="80" spans="1:34" s="7" customFormat="1" ht="16.5" customHeight="1">
      <c r="A80" s="7">
        <v>2012</v>
      </c>
      <c r="B80" s="12">
        <v>41093</v>
      </c>
      <c r="C80" s="7" t="s">
        <v>22</v>
      </c>
      <c r="D80" s="9" t="s">
        <v>6</v>
      </c>
      <c r="E80" s="9" t="s">
        <v>10</v>
      </c>
      <c r="F80" s="9" t="s">
        <v>25</v>
      </c>
      <c r="G80" s="7" t="s">
        <v>902</v>
      </c>
      <c r="H80" s="7" t="s">
        <v>903</v>
      </c>
      <c r="I80" s="124" t="s">
        <v>902</v>
      </c>
      <c r="J80" s="7">
        <v>35</v>
      </c>
      <c r="K80" s="124" t="s">
        <v>819</v>
      </c>
      <c r="L80" s="20" t="s">
        <v>74</v>
      </c>
      <c r="M80" s="16">
        <v>91.93916130065918</v>
      </c>
      <c r="N80" s="16">
        <v>23.837173223495483</v>
      </c>
      <c r="O80" s="16">
        <v>362.20523452758789</v>
      </c>
      <c r="P80" s="16">
        <v>19.322180032730103</v>
      </c>
      <c r="Q80" s="147">
        <v>271.151611328125</v>
      </c>
      <c r="R80" s="147">
        <v>37.079010009765625</v>
      </c>
      <c r="S80" s="10">
        <v>0.80956549341554718</v>
      </c>
      <c r="T80" s="10">
        <v>3.2467992991843801</v>
      </c>
      <c r="U80" s="16">
        <v>2.1960792087373279E-2</v>
      </c>
      <c r="V80" s="16">
        <v>9.4231664830694388</v>
      </c>
      <c r="W80" s="10">
        <v>6.1763671838850591</v>
      </c>
      <c r="X80" s="10" t="s">
        <v>902</v>
      </c>
      <c r="Y80" s="10">
        <v>2.7999999999999994</v>
      </c>
      <c r="Z80" s="10">
        <v>3.3333333333333335</v>
      </c>
      <c r="AA80" s="20" t="s">
        <v>86</v>
      </c>
      <c r="AB80" s="7">
        <v>1026.5999999999999</v>
      </c>
      <c r="AC80" s="7">
        <v>615.20000000000005</v>
      </c>
      <c r="AD80" s="9" t="s">
        <v>902</v>
      </c>
      <c r="AE80" s="7" t="s">
        <v>115</v>
      </c>
      <c r="AF80" s="20" t="s">
        <v>27</v>
      </c>
      <c r="AG80" s="11" t="s">
        <v>2</v>
      </c>
      <c r="AH80" s="7" t="s">
        <v>1270</v>
      </c>
    </row>
    <row r="81" spans="1:34" s="7" customFormat="1" ht="16.5" customHeight="1">
      <c r="A81" s="7">
        <v>2012</v>
      </c>
      <c r="B81" s="12">
        <v>41093</v>
      </c>
      <c r="C81" s="7" t="s">
        <v>22</v>
      </c>
      <c r="D81" s="9" t="s">
        <v>6</v>
      </c>
      <c r="E81" s="9" t="s">
        <v>10</v>
      </c>
      <c r="F81" s="9" t="s">
        <v>25</v>
      </c>
      <c r="G81" s="7" t="s">
        <v>902</v>
      </c>
      <c r="H81" s="7" t="s">
        <v>903</v>
      </c>
      <c r="I81" s="124" t="s">
        <v>902</v>
      </c>
      <c r="J81" s="7">
        <v>18</v>
      </c>
      <c r="K81" s="124" t="s">
        <v>808</v>
      </c>
      <c r="L81" s="20" t="s">
        <v>915</v>
      </c>
      <c r="M81" s="16">
        <v>92.00236927379261</v>
      </c>
      <c r="N81" s="16">
        <v>20.49583556435325</v>
      </c>
      <c r="O81" s="16">
        <v>352.63092595880681</v>
      </c>
      <c r="P81" s="16">
        <v>19.778690511530097</v>
      </c>
      <c r="Q81" s="147">
        <v>273.44821166992187</v>
      </c>
      <c r="R81" s="147">
        <v>28.2476806640625</v>
      </c>
      <c r="S81" s="10">
        <v>0.80956549341554718</v>
      </c>
      <c r="T81" s="10">
        <v>-1.4070638898952714</v>
      </c>
      <c r="U81" s="16">
        <v>2.9807449037142126E-2</v>
      </c>
      <c r="V81" s="16">
        <v>9.4231664830694388</v>
      </c>
      <c r="W81" s="10">
        <v>10.83023037296471</v>
      </c>
      <c r="X81" s="10" t="s">
        <v>902</v>
      </c>
      <c r="Y81" s="10">
        <v>2.7999999999999994</v>
      </c>
      <c r="Z81" s="10">
        <v>3.3333333333333335</v>
      </c>
      <c r="AA81" s="20" t="s">
        <v>121</v>
      </c>
      <c r="AB81" s="10">
        <v>484</v>
      </c>
      <c r="AC81" s="10">
        <v>474.85</v>
      </c>
      <c r="AD81" s="17">
        <v>358.54999999999995</v>
      </c>
      <c r="AE81" s="7" t="s">
        <v>113</v>
      </c>
      <c r="AF81" s="20" t="s">
        <v>27</v>
      </c>
      <c r="AG81" s="11" t="s">
        <v>114</v>
      </c>
      <c r="AH81" s="7" t="s">
        <v>1271</v>
      </c>
    </row>
    <row r="82" spans="1:34" s="7" customFormat="1" ht="16.5" customHeight="1">
      <c r="A82" s="7">
        <v>2012</v>
      </c>
      <c r="B82" s="12">
        <v>41093</v>
      </c>
      <c r="C82" s="7" t="s">
        <v>22</v>
      </c>
      <c r="D82" s="9" t="s">
        <v>6</v>
      </c>
      <c r="E82" s="9" t="s">
        <v>10</v>
      </c>
      <c r="F82" s="9" t="s">
        <v>25</v>
      </c>
      <c r="G82" s="7" t="s">
        <v>902</v>
      </c>
      <c r="H82" s="7" t="s">
        <v>903</v>
      </c>
      <c r="I82" s="124" t="s">
        <v>902</v>
      </c>
      <c r="J82" s="7">
        <v>36</v>
      </c>
      <c r="K82" s="124" t="s">
        <v>820</v>
      </c>
      <c r="L82" s="20" t="s">
        <v>74</v>
      </c>
      <c r="M82" s="16">
        <v>91.892862447102871</v>
      </c>
      <c r="N82" s="16">
        <v>23.222297159830728</v>
      </c>
      <c r="O82" s="16">
        <v>362.83762817382814</v>
      </c>
      <c r="P82" s="16">
        <v>19.378366216023764</v>
      </c>
      <c r="Q82" s="147">
        <v>282.10285441080731</v>
      </c>
      <c r="R82" s="147">
        <v>14.9830322265625</v>
      </c>
      <c r="S82" s="10">
        <v>0.80956549341554718</v>
      </c>
      <c r="T82" s="10">
        <v>-0.41954123546486755</v>
      </c>
      <c r="U82" s="16">
        <v>3.3640994344438825E-2</v>
      </c>
      <c r="V82" s="16">
        <v>9.4231664830694388</v>
      </c>
      <c r="W82" s="10">
        <v>9.8427077185343066</v>
      </c>
      <c r="X82" s="10" t="s">
        <v>902</v>
      </c>
      <c r="Y82" s="10">
        <v>2.7999999999999994</v>
      </c>
      <c r="Z82" s="10">
        <v>3.3333333333333335</v>
      </c>
      <c r="AA82" s="20" t="s">
        <v>100</v>
      </c>
      <c r="AB82" s="7">
        <v>1120.5999999999999</v>
      </c>
      <c r="AC82" s="7">
        <v>666.5</v>
      </c>
      <c r="AD82" s="9" t="s">
        <v>902</v>
      </c>
      <c r="AE82" s="7" t="s">
        <v>113</v>
      </c>
      <c r="AF82" s="20" t="s">
        <v>27</v>
      </c>
      <c r="AG82" s="11" t="s">
        <v>2</v>
      </c>
      <c r="AH82" s="7" t="s">
        <v>1272</v>
      </c>
    </row>
    <row r="83" spans="1:34" s="7" customFormat="1" ht="16.5" customHeight="1">
      <c r="A83" s="7">
        <v>2012</v>
      </c>
      <c r="B83" s="12">
        <v>41093</v>
      </c>
      <c r="C83" s="7" t="s">
        <v>22</v>
      </c>
      <c r="D83" s="9" t="s">
        <v>6</v>
      </c>
      <c r="E83" s="9" t="s">
        <v>10</v>
      </c>
      <c r="F83" s="9" t="s">
        <v>25</v>
      </c>
      <c r="G83" s="7" t="s">
        <v>902</v>
      </c>
      <c r="H83" s="7" t="s">
        <v>903</v>
      </c>
      <c r="I83" s="124" t="s">
        <v>902</v>
      </c>
      <c r="J83" s="7">
        <v>19</v>
      </c>
      <c r="K83" s="124" t="s">
        <v>809</v>
      </c>
      <c r="L83" s="20" t="s">
        <v>915</v>
      </c>
      <c r="M83" s="16">
        <v>92.005751760382395</v>
      </c>
      <c r="N83" s="16">
        <v>21.124483811227901</v>
      </c>
      <c r="O83" s="16">
        <v>344.70679674650495</v>
      </c>
      <c r="P83" s="16">
        <v>19.565044101915863</v>
      </c>
      <c r="Q83" s="147">
        <v>367.92941926655016</v>
      </c>
      <c r="R83" s="147">
        <v>28.540557861328125</v>
      </c>
      <c r="S83" s="10">
        <v>0.80956549341554718</v>
      </c>
      <c r="T83" s="10">
        <v>-2.2998201951124018</v>
      </c>
      <c r="U83" s="16">
        <v>3.297441419842416E-2</v>
      </c>
      <c r="V83" s="16">
        <v>9.4231664830694388</v>
      </c>
      <c r="W83" s="10">
        <v>11.72298667818184</v>
      </c>
      <c r="X83" s="10" t="s">
        <v>902</v>
      </c>
      <c r="Y83" s="10">
        <v>2.7999999999999994</v>
      </c>
      <c r="Z83" s="10">
        <v>3.3333333333333335</v>
      </c>
      <c r="AA83" s="20" t="s">
        <v>120</v>
      </c>
      <c r="AB83" s="10">
        <v>1184.6999999999998</v>
      </c>
      <c r="AC83" s="10">
        <v>773.9</v>
      </c>
      <c r="AD83" s="17">
        <v>1005.6</v>
      </c>
      <c r="AE83" s="7" t="s">
        <v>113</v>
      </c>
      <c r="AF83" s="20" t="s">
        <v>27</v>
      </c>
      <c r="AG83" s="11" t="s">
        <v>114</v>
      </c>
      <c r="AH83" s="7" t="s">
        <v>1273</v>
      </c>
    </row>
    <row r="84" spans="1:34" s="7" customFormat="1" ht="16.5" customHeight="1">
      <c r="A84" s="7">
        <v>2012</v>
      </c>
      <c r="B84" s="12">
        <v>41093</v>
      </c>
      <c r="C84" s="7" t="s">
        <v>22</v>
      </c>
      <c r="D84" s="9" t="s">
        <v>6</v>
      </c>
      <c r="E84" s="9" t="s">
        <v>10</v>
      </c>
      <c r="F84" s="9" t="s">
        <v>25</v>
      </c>
      <c r="G84" s="7" t="s">
        <v>902</v>
      </c>
      <c r="H84" s="7" t="s">
        <v>903</v>
      </c>
      <c r="I84" s="124" t="s">
        <v>902</v>
      </c>
      <c r="J84" s="7">
        <v>20</v>
      </c>
      <c r="K84" s="124" t="s">
        <v>810</v>
      </c>
      <c r="L84" s="20" t="s">
        <v>907</v>
      </c>
      <c r="M84" s="16">
        <v>92.002858903672958</v>
      </c>
      <c r="N84" s="16">
        <v>19.305475976732041</v>
      </c>
      <c r="O84" s="16">
        <v>356.66608174641925</v>
      </c>
      <c r="P84" s="16">
        <v>16.774655448065865</v>
      </c>
      <c r="Q84" s="147">
        <v>376.23135206434461</v>
      </c>
      <c r="R84" s="147">
        <v>15.089599609375</v>
      </c>
      <c r="S84" s="10">
        <v>0.80956549341554718</v>
      </c>
      <c r="T84" s="10">
        <v>-2.9848982891597866</v>
      </c>
      <c r="U84" s="16">
        <v>3.7772041848323418E-2</v>
      </c>
      <c r="V84" s="16">
        <v>9.4231664830694388</v>
      </c>
      <c r="W84" s="10">
        <v>12.408064772229226</v>
      </c>
      <c r="X84" s="10" t="s">
        <v>902</v>
      </c>
      <c r="Y84" s="10">
        <v>2.7999999999999994</v>
      </c>
      <c r="Z84" s="10">
        <v>3.3333333333333335</v>
      </c>
      <c r="AA84" s="20" t="s">
        <v>125</v>
      </c>
      <c r="AB84" s="10">
        <v>1417.25</v>
      </c>
      <c r="AC84" s="10">
        <v>534.04999999999995</v>
      </c>
      <c r="AD84" s="17">
        <v>526.65</v>
      </c>
      <c r="AE84" s="7" t="s">
        <v>113</v>
      </c>
      <c r="AF84" s="20" t="s">
        <v>27</v>
      </c>
      <c r="AG84" s="11" t="s">
        <v>114</v>
      </c>
      <c r="AH84" s="7" t="s">
        <v>1274</v>
      </c>
    </row>
    <row r="85" spans="1:34" s="7" customFormat="1" ht="16.5" customHeight="1">
      <c r="A85" s="7">
        <v>2012</v>
      </c>
      <c r="B85" s="12">
        <v>41093</v>
      </c>
      <c r="C85" s="7" t="s">
        <v>22</v>
      </c>
      <c r="D85" s="9" t="s">
        <v>6</v>
      </c>
      <c r="E85" s="9" t="s">
        <v>10</v>
      </c>
      <c r="F85" s="9" t="s">
        <v>25</v>
      </c>
      <c r="G85" s="7" t="s">
        <v>902</v>
      </c>
      <c r="H85" s="7" t="s">
        <v>903</v>
      </c>
      <c r="I85" s="124" t="s">
        <v>902</v>
      </c>
      <c r="J85" s="7">
        <v>9</v>
      </c>
      <c r="K85" s="124" t="s">
        <v>805</v>
      </c>
      <c r="L85" s="20" t="s">
        <v>75</v>
      </c>
      <c r="M85" s="16">
        <v>91.924866416237577</v>
      </c>
      <c r="N85" s="16">
        <v>21.421253204345703</v>
      </c>
      <c r="O85" s="16">
        <v>362.18491987748581</v>
      </c>
      <c r="P85" s="16">
        <v>17.866765108975496</v>
      </c>
      <c r="Q85" s="147">
        <v>391.93792447176844</v>
      </c>
      <c r="R85" s="147">
        <v>35.23919677734375</v>
      </c>
      <c r="S85" s="10">
        <v>0.80956549341554718</v>
      </c>
      <c r="T85" s="10">
        <v>9.6559222228966443E-2</v>
      </c>
      <c r="U85" s="16">
        <v>5.0032633001154118E-2</v>
      </c>
      <c r="V85" s="16">
        <v>9.4231664830694388</v>
      </c>
      <c r="W85" s="10">
        <v>9.326607260840472</v>
      </c>
      <c r="X85" s="10" t="s">
        <v>902</v>
      </c>
      <c r="Y85" s="10">
        <v>2.7999999999999994</v>
      </c>
      <c r="Z85" s="10">
        <v>3.3333333333333335</v>
      </c>
      <c r="AA85" s="20" t="s">
        <v>90</v>
      </c>
      <c r="AB85" s="7">
        <v>654.29999999999995</v>
      </c>
      <c r="AC85" s="7">
        <v>468.8</v>
      </c>
      <c r="AD85" s="9" t="s">
        <v>902</v>
      </c>
      <c r="AE85" s="7" t="s">
        <v>113</v>
      </c>
      <c r="AF85" s="20" t="s">
        <v>27</v>
      </c>
      <c r="AG85" s="11" t="s">
        <v>928</v>
      </c>
      <c r="AH85" s="7" t="s">
        <v>1275</v>
      </c>
    </row>
    <row r="86" spans="1:34" s="7" customFormat="1" ht="16.5" customHeight="1">
      <c r="A86" s="7">
        <v>2012</v>
      </c>
      <c r="B86" s="12">
        <v>41093</v>
      </c>
      <c r="C86" s="7" t="s">
        <v>22</v>
      </c>
      <c r="D86" s="9" t="s">
        <v>6</v>
      </c>
      <c r="E86" s="9" t="s">
        <v>10</v>
      </c>
      <c r="F86" s="9" t="s">
        <v>25</v>
      </c>
      <c r="G86" s="7" t="s">
        <v>902</v>
      </c>
      <c r="H86" s="7" t="s">
        <v>903</v>
      </c>
      <c r="I86" s="124" t="s">
        <v>902</v>
      </c>
      <c r="J86" s="7">
        <v>28</v>
      </c>
      <c r="K86" s="124" t="s">
        <v>814</v>
      </c>
      <c r="L86" s="20" t="s">
        <v>75</v>
      </c>
      <c r="M86" s="16">
        <v>91.928763389587402</v>
      </c>
      <c r="N86" s="16">
        <v>22.904648065567017</v>
      </c>
      <c r="O86" s="16">
        <v>361.44333267211914</v>
      </c>
      <c r="P86" s="16">
        <v>19.43403697013855</v>
      </c>
      <c r="Q86" s="147">
        <v>402.94134902954102</v>
      </c>
      <c r="R86" s="147">
        <v>12.429962158203125</v>
      </c>
      <c r="S86" s="10">
        <v>0.80956549341554718</v>
      </c>
      <c r="T86" s="10">
        <v>-0.61414824031700288</v>
      </c>
      <c r="U86" s="16">
        <v>4.7145718619936987E-2</v>
      </c>
      <c r="V86" s="16">
        <v>9.4231664830694388</v>
      </c>
      <c r="W86" s="10">
        <v>10.037314723386441</v>
      </c>
      <c r="X86" s="10" t="s">
        <v>902</v>
      </c>
      <c r="Y86" s="10">
        <v>2.7999999999999994</v>
      </c>
      <c r="Z86" s="10">
        <v>3.3333333333333335</v>
      </c>
      <c r="AA86" s="20" t="s">
        <v>89</v>
      </c>
      <c r="AB86" s="7">
        <v>1784.7</v>
      </c>
      <c r="AC86" s="7">
        <v>642.1</v>
      </c>
      <c r="AD86" s="9" t="s">
        <v>902</v>
      </c>
      <c r="AE86" s="7" t="s">
        <v>113</v>
      </c>
      <c r="AF86" s="20" t="s">
        <v>27</v>
      </c>
      <c r="AG86" s="11" t="s">
        <v>864</v>
      </c>
      <c r="AH86" s="7" t="s">
        <v>1276</v>
      </c>
    </row>
    <row r="87" spans="1:34" s="7" customFormat="1" ht="16.5" customHeight="1">
      <c r="A87" s="7">
        <v>2012</v>
      </c>
      <c r="B87" s="12">
        <v>41093</v>
      </c>
      <c r="C87" s="7" t="s">
        <v>22</v>
      </c>
      <c r="D87" s="9" t="s">
        <v>6</v>
      </c>
      <c r="E87" s="9" t="s">
        <v>10</v>
      </c>
      <c r="F87" s="9" t="s">
        <v>25</v>
      </c>
      <c r="G87" s="7" t="s">
        <v>902</v>
      </c>
      <c r="H87" s="7" t="s">
        <v>903</v>
      </c>
      <c r="I87" s="124" t="s">
        <v>902</v>
      </c>
      <c r="J87" s="7">
        <v>12</v>
      </c>
      <c r="K87" s="124" t="s">
        <v>1538</v>
      </c>
      <c r="L87" s="20" t="s">
        <v>909</v>
      </c>
      <c r="M87" s="16">
        <v>92.038448715209967</v>
      </c>
      <c r="N87" s="16">
        <v>19.402248573303222</v>
      </c>
      <c r="O87" s="16">
        <v>340.0823974609375</v>
      </c>
      <c r="P87" s="16">
        <v>18.858889102935791</v>
      </c>
      <c r="Q87" s="147">
        <v>404.60653228759764</v>
      </c>
      <c r="R87" s="147">
        <v>8.561798095703125</v>
      </c>
      <c r="S87" s="10">
        <v>0.80956549341554718</v>
      </c>
      <c r="T87" s="10">
        <v>-3.2099858987425263</v>
      </c>
      <c r="U87" s="16">
        <v>2.1609410307461156E-2</v>
      </c>
      <c r="V87" s="16">
        <v>9.4231664830694388</v>
      </c>
      <c r="W87" s="10">
        <v>12.633152381811964</v>
      </c>
      <c r="X87" s="10" t="s">
        <v>902</v>
      </c>
      <c r="Y87" s="10">
        <v>2.7999999999999994</v>
      </c>
      <c r="Z87" s="10">
        <v>3.3333333333333335</v>
      </c>
      <c r="AA87" s="20" t="s">
        <v>78</v>
      </c>
      <c r="AB87" s="7">
        <v>588.4</v>
      </c>
      <c r="AC87" s="7">
        <v>578.6</v>
      </c>
      <c r="AD87" s="9" t="s">
        <v>902</v>
      </c>
      <c r="AE87" s="7" t="s">
        <v>123</v>
      </c>
      <c r="AF87" s="20" t="s">
        <v>27</v>
      </c>
      <c r="AG87" s="11" t="s">
        <v>0</v>
      </c>
      <c r="AH87" s="7" t="s">
        <v>1242</v>
      </c>
    </row>
    <row r="88" spans="1:34" s="7" customFormat="1" ht="16.5" customHeight="1">
      <c r="A88" s="7">
        <v>2012</v>
      </c>
      <c r="B88" s="12">
        <v>41093</v>
      </c>
      <c r="C88" s="7" t="s">
        <v>22</v>
      </c>
      <c r="D88" s="9" t="s">
        <v>6</v>
      </c>
      <c r="E88" s="9" t="s">
        <v>10</v>
      </c>
      <c r="F88" s="9" t="s">
        <v>25</v>
      </c>
      <c r="G88" s="7" t="s">
        <v>902</v>
      </c>
      <c r="H88" s="7" t="s">
        <v>903</v>
      </c>
      <c r="I88" s="124" t="s">
        <v>902</v>
      </c>
      <c r="J88" s="7">
        <v>29</v>
      </c>
      <c r="K88" s="124" t="s">
        <v>815</v>
      </c>
      <c r="L88" s="20" t="s">
        <v>75</v>
      </c>
      <c r="M88" s="16">
        <v>91.921329498291016</v>
      </c>
      <c r="N88" s="16">
        <v>21.93982156117757</v>
      </c>
      <c r="O88" s="16">
        <v>362.02243550618488</v>
      </c>
      <c r="P88" s="16">
        <v>19.14132849375407</v>
      </c>
      <c r="Q88" s="147">
        <v>424.56842295328778</v>
      </c>
      <c r="R88" s="147">
        <v>8.059844970703125</v>
      </c>
      <c r="S88" s="10">
        <v>0.80956549341554718</v>
      </c>
      <c r="T88" s="10">
        <v>-1.6571431135030004</v>
      </c>
      <c r="U88" s="16">
        <v>3.9957086523096041E-2</v>
      </c>
      <c r="V88" s="16">
        <v>9.4231664830694388</v>
      </c>
      <c r="W88" s="10">
        <v>11.080309596572439</v>
      </c>
      <c r="X88" s="10" t="s">
        <v>902</v>
      </c>
      <c r="Y88" s="10">
        <v>2.7999999999999994</v>
      </c>
      <c r="Z88" s="10">
        <v>3.3333333333333335</v>
      </c>
      <c r="AA88" s="20" t="s">
        <v>91</v>
      </c>
      <c r="AB88" s="7">
        <v>1716.3</v>
      </c>
      <c r="AC88" s="7">
        <v>477.3</v>
      </c>
      <c r="AD88" s="9" t="s">
        <v>902</v>
      </c>
      <c r="AE88" s="7">
        <v>1</v>
      </c>
      <c r="AF88" s="20" t="s">
        <v>27</v>
      </c>
      <c r="AG88" s="11" t="s">
        <v>864</v>
      </c>
      <c r="AH88" s="7" t="s">
        <v>1277</v>
      </c>
    </row>
    <row r="89" spans="1:34" s="7" customFormat="1" ht="16.5" customHeight="1">
      <c r="A89" s="7">
        <v>2012</v>
      </c>
      <c r="B89" s="12">
        <v>41093</v>
      </c>
      <c r="C89" s="7" t="s">
        <v>22</v>
      </c>
      <c r="D89" s="9" t="s">
        <v>6</v>
      </c>
      <c r="E89" s="9" t="s">
        <v>10</v>
      </c>
      <c r="F89" s="9" t="s">
        <v>25</v>
      </c>
      <c r="G89" s="7" t="s">
        <v>902</v>
      </c>
      <c r="H89" s="7" t="s">
        <v>903</v>
      </c>
      <c r="I89" s="124" t="s">
        <v>902</v>
      </c>
      <c r="J89" s="7">
        <v>13</v>
      </c>
      <c r="K89" s="124" t="s">
        <v>1539</v>
      </c>
      <c r="L89" s="20" t="s">
        <v>909</v>
      </c>
      <c r="M89" s="16">
        <v>92.034806823730463</v>
      </c>
      <c r="N89" s="16">
        <v>19.373985385894777</v>
      </c>
      <c r="O89" s="16">
        <v>344.87745666503906</v>
      </c>
      <c r="P89" s="16">
        <v>18.841230106353759</v>
      </c>
      <c r="Q89" s="147">
        <v>434.28321228027346</v>
      </c>
      <c r="R89" s="147">
        <v>20.305267333984375</v>
      </c>
      <c r="S89" s="10">
        <v>0.80956549341554718</v>
      </c>
      <c r="T89" s="10">
        <v>-5.4185258808480006</v>
      </c>
      <c r="U89" s="16">
        <v>2.3488871495526534E-2</v>
      </c>
      <c r="V89" s="16">
        <v>9.4231664830694388</v>
      </c>
      <c r="W89" s="10">
        <v>14.841692363917439</v>
      </c>
      <c r="X89" s="10" t="s">
        <v>902</v>
      </c>
      <c r="Y89" s="10">
        <v>2.7999999999999994</v>
      </c>
      <c r="Z89" s="10">
        <v>3.3333333333333335</v>
      </c>
      <c r="AA89" s="20" t="s">
        <v>79</v>
      </c>
      <c r="AB89" s="7">
        <v>554.20000000000005</v>
      </c>
      <c r="AC89" s="7">
        <v>531</v>
      </c>
      <c r="AD89" s="9" t="s">
        <v>902</v>
      </c>
      <c r="AE89" s="7" t="s">
        <v>123</v>
      </c>
      <c r="AF89" s="20" t="s">
        <v>27</v>
      </c>
      <c r="AG89" s="11" t="s">
        <v>0</v>
      </c>
      <c r="AH89" s="7" t="s">
        <v>1242</v>
      </c>
    </row>
    <row r="90" spans="1:34" s="7" customFormat="1" ht="16.5" customHeight="1">
      <c r="A90" s="7">
        <v>2012</v>
      </c>
      <c r="B90" s="12">
        <v>41093</v>
      </c>
      <c r="C90" s="7" t="s">
        <v>22</v>
      </c>
      <c r="D90" s="9" t="s">
        <v>6</v>
      </c>
      <c r="E90" s="9" t="s">
        <v>10</v>
      </c>
      <c r="F90" s="9" t="s">
        <v>25</v>
      </c>
      <c r="G90" s="7" t="s">
        <v>902</v>
      </c>
      <c r="H90" s="7" t="s">
        <v>903</v>
      </c>
      <c r="I90" s="124" t="s">
        <v>902</v>
      </c>
      <c r="J90" s="7">
        <v>21</v>
      </c>
      <c r="K90" s="124" t="s">
        <v>1540</v>
      </c>
      <c r="L90" s="20" t="s">
        <v>914</v>
      </c>
      <c r="M90" s="16">
        <v>91.984413146972656</v>
      </c>
      <c r="N90" s="16">
        <v>23.884257602691651</v>
      </c>
      <c r="O90" s="16">
        <v>344.14422760009768</v>
      </c>
      <c r="P90" s="16">
        <v>21.917541122436525</v>
      </c>
      <c r="Q90" s="147">
        <v>466.21581115722654</v>
      </c>
      <c r="R90" s="147">
        <v>41.0474853515625</v>
      </c>
      <c r="S90" s="10">
        <v>0.80956549341554718</v>
      </c>
      <c r="T90" s="10">
        <v>-2.2943012124059741</v>
      </c>
      <c r="U90" s="16">
        <v>4.5817620413643977E-2</v>
      </c>
      <c r="V90" s="16">
        <v>9.4231664830694388</v>
      </c>
      <c r="W90" s="10">
        <v>11.717467695475413</v>
      </c>
      <c r="X90" s="10" t="s">
        <v>902</v>
      </c>
      <c r="Y90" s="10">
        <v>2.7999999999999994</v>
      </c>
      <c r="Z90" s="10">
        <v>3.3333333333333335</v>
      </c>
      <c r="AA90" s="20" t="s">
        <v>108</v>
      </c>
      <c r="AB90" s="10">
        <v>512.04999999999995</v>
      </c>
      <c r="AC90" s="10">
        <v>496.85</v>
      </c>
      <c r="AD90" s="17">
        <v>388.15</v>
      </c>
      <c r="AE90" s="7" t="s">
        <v>902</v>
      </c>
      <c r="AF90" s="20" t="s">
        <v>27</v>
      </c>
      <c r="AG90" s="11" t="s">
        <v>114</v>
      </c>
      <c r="AH90" s="7" t="s">
        <v>1242</v>
      </c>
    </row>
    <row r="91" spans="1:34" s="7" customFormat="1" ht="16.5" customHeight="1">
      <c r="A91" s="7">
        <v>2012</v>
      </c>
      <c r="B91" s="12">
        <v>41093</v>
      </c>
      <c r="C91" s="7" t="s">
        <v>22</v>
      </c>
      <c r="D91" s="9" t="s">
        <v>6</v>
      </c>
      <c r="E91" s="9" t="s">
        <v>10</v>
      </c>
      <c r="F91" s="9" t="s">
        <v>25</v>
      </c>
      <c r="G91" s="7" t="s">
        <v>902</v>
      </c>
      <c r="H91" s="7" t="s">
        <v>903</v>
      </c>
      <c r="I91" s="124" t="s">
        <v>902</v>
      </c>
      <c r="J91" s="7">
        <v>37</v>
      </c>
      <c r="K91" s="124" t="s">
        <v>821</v>
      </c>
      <c r="L91" s="20" t="s">
        <v>75</v>
      </c>
      <c r="M91" s="16">
        <v>91.940097173055008</v>
      </c>
      <c r="N91" s="16">
        <v>23.374990781148274</v>
      </c>
      <c r="O91" s="16">
        <v>365.54113006591797</v>
      </c>
      <c r="P91" s="16">
        <v>17.979739030202229</v>
      </c>
      <c r="Q91" s="147">
        <v>472.00470225016278</v>
      </c>
      <c r="R91" s="147">
        <v>30.674041748046875</v>
      </c>
      <c r="S91" s="10">
        <v>0.80956549341554718</v>
      </c>
      <c r="T91" s="10">
        <v>-1.7402378261183169</v>
      </c>
      <c r="U91" s="16">
        <v>6.0168342990475104E-2</v>
      </c>
      <c r="V91" s="16">
        <v>9.4231664830694388</v>
      </c>
      <c r="W91" s="10">
        <v>11.163404309187756</v>
      </c>
      <c r="X91" s="10" t="s">
        <v>902</v>
      </c>
      <c r="Y91" s="10">
        <v>2.7999999999999994</v>
      </c>
      <c r="Z91" s="10">
        <v>3.3333333333333335</v>
      </c>
      <c r="AA91" s="20" t="s">
        <v>87</v>
      </c>
      <c r="AB91" s="7">
        <v>1330.6</v>
      </c>
      <c r="AC91" s="7">
        <v>715.3</v>
      </c>
      <c r="AD91" s="9" t="s">
        <v>902</v>
      </c>
      <c r="AE91" s="7" t="s">
        <v>113</v>
      </c>
      <c r="AF91" s="20" t="s">
        <v>27</v>
      </c>
      <c r="AG91" s="11" t="s">
        <v>2</v>
      </c>
      <c r="AH91" s="7" t="s">
        <v>1278</v>
      </c>
    </row>
    <row r="92" spans="1:34" s="7" customFormat="1" ht="16.5" customHeight="1">
      <c r="A92" s="7">
        <v>2012</v>
      </c>
      <c r="B92" s="12">
        <v>41093</v>
      </c>
      <c r="C92" s="7" t="s">
        <v>22</v>
      </c>
      <c r="D92" s="9" t="s">
        <v>6</v>
      </c>
      <c r="E92" s="9" t="s">
        <v>10</v>
      </c>
      <c r="F92" s="9" t="s">
        <v>25</v>
      </c>
      <c r="G92" s="7" t="s">
        <v>902</v>
      </c>
      <c r="H92" s="7" t="s">
        <v>903</v>
      </c>
      <c r="I92" s="124" t="s">
        <v>902</v>
      </c>
      <c r="J92" s="7">
        <v>30</v>
      </c>
      <c r="K92" s="124" t="s">
        <v>816</v>
      </c>
      <c r="L92" s="20" t="s">
        <v>74</v>
      </c>
      <c r="M92" s="16">
        <v>91.942461649576828</v>
      </c>
      <c r="N92" s="16">
        <v>23.250285103207542</v>
      </c>
      <c r="O92" s="16">
        <v>358.76363699776783</v>
      </c>
      <c r="P92" s="16">
        <v>19.166058222452801</v>
      </c>
      <c r="Q92" s="147">
        <v>473.98408726283481</v>
      </c>
      <c r="R92" s="147">
        <v>202.14361572265625</v>
      </c>
      <c r="S92" s="10">
        <v>0.80956549341554718</v>
      </c>
      <c r="T92" s="10">
        <v>-0.83259738553853491</v>
      </c>
      <c r="U92" s="16">
        <v>4.3249189698850936E-2</v>
      </c>
      <c r="V92" s="16">
        <v>9.4231664830694388</v>
      </c>
      <c r="W92" s="10">
        <v>10.255763868607973</v>
      </c>
      <c r="X92" s="10" t="s">
        <v>902</v>
      </c>
      <c r="Y92" s="10">
        <v>2.7999999999999994</v>
      </c>
      <c r="Z92" s="10">
        <v>3.3333333333333335</v>
      </c>
      <c r="AA92" s="20" t="s">
        <v>85</v>
      </c>
      <c r="AB92" s="7">
        <v>1710.2</v>
      </c>
      <c r="AC92" s="7">
        <v>668.9</v>
      </c>
      <c r="AD92" s="9" t="s">
        <v>902</v>
      </c>
      <c r="AE92" s="7" t="s">
        <v>113</v>
      </c>
      <c r="AF92" s="20" t="s">
        <v>27</v>
      </c>
      <c r="AG92" s="11" t="s">
        <v>864</v>
      </c>
      <c r="AH92" s="7" t="s">
        <v>1279</v>
      </c>
    </row>
    <row r="93" spans="1:34" s="7" customFormat="1" ht="16.5" customHeight="1">
      <c r="A93" s="7">
        <v>2012</v>
      </c>
      <c r="B93" s="12">
        <v>41093</v>
      </c>
      <c r="C93" s="7" t="s">
        <v>22</v>
      </c>
      <c r="D93" s="9" t="s">
        <v>6</v>
      </c>
      <c r="E93" s="9" t="s">
        <v>10</v>
      </c>
      <c r="F93" s="9" t="s">
        <v>25</v>
      </c>
      <c r="G93" s="7" t="s">
        <v>902</v>
      </c>
      <c r="H93" s="7" t="s">
        <v>903</v>
      </c>
      <c r="I93" s="124" t="s">
        <v>902</v>
      </c>
      <c r="J93" s="7">
        <v>14</v>
      </c>
      <c r="K93" s="124" t="s">
        <v>1541</v>
      </c>
      <c r="L93" s="20" t="s">
        <v>909</v>
      </c>
      <c r="M93" s="16">
        <v>92.021899032592771</v>
      </c>
      <c r="N93" s="16">
        <v>19.115168476104735</v>
      </c>
      <c r="O93" s="16">
        <v>344.20647125244142</v>
      </c>
      <c r="P93" s="16">
        <v>17.663776683807374</v>
      </c>
      <c r="Q93" s="147">
        <v>506.77551727294923</v>
      </c>
      <c r="R93" s="147">
        <v>6.151031494140625</v>
      </c>
      <c r="S93" s="10">
        <v>0.80956549341554718</v>
      </c>
      <c r="T93" s="10">
        <v>-5.6147409436443105</v>
      </c>
      <c r="U93" s="16">
        <v>3.1969134251874191E-2</v>
      </c>
      <c r="V93" s="16">
        <v>9.4231664830694388</v>
      </c>
      <c r="W93" s="10">
        <v>15.037907426713749</v>
      </c>
      <c r="X93" s="10" t="s">
        <v>902</v>
      </c>
      <c r="Y93" s="10">
        <v>2.7999999999999994</v>
      </c>
      <c r="Z93" s="10">
        <v>3.3333333333333335</v>
      </c>
      <c r="AA93" s="20" t="s">
        <v>80</v>
      </c>
      <c r="AB93" s="7">
        <v>651.9</v>
      </c>
      <c r="AC93" s="7">
        <v>634.79999999999995</v>
      </c>
      <c r="AD93" s="9" t="s">
        <v>902</v>
      </c>
      <c r="AE93" s="7" t="s">
        <v>123</v>
      </c>
      <c r="AF93" s="20" t="s">
        <v>27</v>
      </c>
      <c r="AG93" s="11" t="s">
        <v>0</v>
      </c>
      <c r="AH93" s="7" t="s">
        <v>1242</v>
      </c>
    </row>
    <row r="94" spans="1:34" s="7" customFormat="1" ht="16.5" customHeight="1">
      <c r="A94" s="7">
        <v>2012</v>
      </c>
      <c r="B94" s="12">
        <v>41093</v>
      </c>
      <c r="C94" s="7" t="s">
        <v>22</v>
      </c>
      <c r="D94" s="9" t="s">
        <v>6</v>
      </c>
      <c r="E94" s="9" t="s">
        <v>10</v>
      </c>
      <c r="F94" s="9" t="s">
        <v>25</v>
      </c>
      <c r="G94" s="7" t="s">
        <v>902</v>
      </c>
      <c r="H94" s="7" t="s">
        <v>903</v>
      </c>
      <c r="I94" s="124" t="s">
        <v>902</v>
      </c>
      <c r="J94" s="7">
        <v>22</v>
      </c>
      <c r="K94" s="124" t="s">
        <v>1542</v>
      </c>
      <c r="L94" s="20" t="s">
        <v>914</v>
      </c>
      <c r="M94" s="16">
        <v>91.984823862711593</v>
      </c>
      <c r="N94" s="16">
        <v>24.160344865587021</v>
      </c>
      <c r="O94" s="16">
        <v>337.59904649522571</v>
      </c>
      <c r="P94" s="16">
        <v>23.978089544508194</v>
      </c>
      <c r="Q94" s="147">
        <v>533.33145311143664</v>
      </c>
      <c r="R94" s="147">
        <v>72.592498779296875</v>
      </c>
      <c r="S94" s="10">
        <v>0.80956549341554718</v>
      </c>
      <c r="T94" s="10">
        <v>-3.427049913955365</v>
      </c>
      <c r="U94" s="16">
        <v>3.3660046644955907E-2</v>
      </c>
      <c r="V94" s="16">
        <v>9.4231664830694388</v>
      </c>
      <c r="W94" s="10">
        <v>12.850216397024804</v>
      </c>
      <c r="X94" s="10" t="s">
        <v>902</v>
      </c>
      <c r="Y94" s="10">
        <v>2.7999999999999994</v>
      </c>
      <c r="Z94" s="10">
        <v>3.3333333333333335</v>
      </c>
      <c r="AA94" s="20" t="s">
        <v>122</v>
      </c>
      <c r="AB94" s="10">
        <v>405.9</v>
      </c>
      <c r="AC94" s="10">
        <v>382.04999999999995</v>
      </c>
      <c r="AD94" s="17">
        <v>337.15</v>
      </c>
      <c r="AE94" s="7" t="s">
        <v>902</v>
      </c>
      <c r="AF94" s="20" t="s">
        <v>27</v>
      </c>
      <c r="AG94" s="11" t="s">
        <v>114</v>
      </c>
      <c r="AH94" s="7" t="s">
        <v>1242</v>
      </c>
    </row>
    <row r="95" spans="1:34" s="7" customFormat="1" ht="16.5" customHeight="1">
      <c r="A95" s="7">
        <v>2012</v>
      </c>
      <c r="B95" s="12">
        <v>41093</v>
      </c>
      <c r="C95" s="7" t="s">
        <v>22</v>
      </c>
      <c r="D95" s="9" t="s">
        <v>6</v>
      </c>
      <c r="E95" s="9" t="s">
        <v>10</v>
      </c>
      <c r="F95" s="9" t="s">
        <v>25</v>
      </c>
      <c r="G95" s="7" t="s">
        <v>902</v>
      </c>
      <c r="H95" s="7" t="s">
        <v>903</v>
      </c>
      <c r="I95" s="124" t="s">
        <v>902</v>
      </c>
      <c r="J95" s="7">
        <v>15</v>
      </c>
      <c r="K95" s="124" t="s">
        <v>1543</v>
      </c>
      <c r="L95" s="20" t="s">
        <v>909</v>
      </c>
      <c r="M95" s="16">
        <v>92.017626190185553</v>
      </c>
      <c r="N95" s="16">
        <v>19.129128837585448</v>
      </c>
      <c r="O95" s="16">
        <v>343.90669097900388</v>
      </c>
      <c r="P95" s="16">
        <v>17.461259174346925</v>
      </c>
      <c r="Q95" s="147">
        <v>572.45204162597656</v>
      </c>
      <c r="R95" s="147">
        <v>11.9066162109375</v>
      </c>
      <c r="S95" s="10">
        <v>0.80956549341554718</v>
      </c>
      <c r="T95" s="10">
        <v>-7.5505806413030729</v>
      </c>
      <c r="U95" s="16">
        <v>4.008560108959227E-2</v>
      </c>
      <c r="V95" s="16">
        <v>9.4231664830694388</v>
      </c>
      <c r="W95" s="10">
        <v>16.973747124372512</v>
      </c>
      <c r="X95" s="10" t="s">
        <v>902</v>
      </c>
      <c r="Y95" s="10">
        <v>2.7999999999999994</v>
      </c>
      <c r="Z95" s="10">
        <v>3.3333333333333335</v>
      </c>
      <c r="AA95" s="20" t="s">
        <v>81</v>
      </c>
      <c r="AB95" s="7">
        <v>668.9</v>
      </c>
      <c r="AC95" s="7">
        <v>650.6</v>
      </c>
      <c r="AD95" s="9" t="s">
        <v>902</v>
      </c>
      <c r="AE95" s="7" t="s">
        <v>123</v>
      </c>
      <c r="AF95" s="20" t="s">
        <v>27</v>
      </c>
      <c r="AG95" s="11" t="s">
        <v>0</v>
      </c>
      <c r="AH95" s="7" t="s">
        <v>1242</v>
      </c>
    </row>
    <row r="96" spans="1:34" s="7" customFormat="1" ht="16.5" customHeight="1">
      <c r="A96" s="7">
        <v>2012</v>
      </c>
      <c r="B96" s="12">
        <v>41093</v>
      </c>
      <c r="C96" s="7" t="s">
        <v>22</v>
      </c>
      <c r="D96" s="9" t="s">
        <v>6</v>
      </c>
      <c r="E96" s="9" t="s">
        <v>10</v>
      </c>
      <c r="F96" s="9" t="s">
        <v>25</v>
      </c>
      <c r="G96" s="7" t="s">
        <v>902</v>
      </c>
      <c r="H96" s="7" t="s">
        <v>903</v>
      </c>
      <c r="I96" s="124" t="s">
        <v>902</v>
      </c>
      <c r="J96" s="7">
        <v>23</v>
      </c>
      <c r="K96" s="124" t="s">
        <v>1544</v>
      </c>
      <c r="L96" s="20" t="s">
        <v>913</v>
      </c>
      <c r="M96" s="16">
        <v>91.974464797973638</v>
      </c>
      <c r="N96" s="16">
        <v>24.133327198028564</v>
      </c>
      <c r="O96" s="16">
        <v>351.24765624999998</v>
      </c>
      <c r="P96" s="16">
        <v>20.147002696990967</v>
      </c>
      <c r="Q96" s="147">
        <v>636.28329467773437</v>
      </c>
      <c r="R96" s="147">
        <v>116.230712890625</v>
      </c>
      <c r="S96" s="10">
        <v>0.80956549341554718</v>
      </c>
      <c r="T96" s="10">
        <v>-3.4675502215559098</v>
      </c>
      <c r="U96" s="16">
        <v>5.8325147270260003E-2</v>
      </c>
      <c r="V96" s="16">
        <v>9.4231664830694388</v>
      </c>
      <c r="W96" s="10">
        <v>12.890716704625348</v>
      </c>
      <c r="X96" s="10" t="s">
        <v>902</v>
      </c>
      <c r="Y96" s="10">
        <v>2.7999999999999994</v>
      </c>
      <c r="Z96" s="10">
        <v>3.3333333333333335</v>
      </c>
      <c r="AA96" s="20" t="s">
        <v>110</v>
      </c>
      <c r="AB96" s="10">
        <v>493.75</v>
      </c>
      <c r="AC96" s="10">
        <v>468.15</v>
      </c>
      <c r="AD96" s="17">
        <v>450.1</v>
      </c>
      <c r="AE96" s="7" t="s">
        <v>113</v>
      </c>
      <c r="AF96" s="20" t="s">
        <v>27</v>
      </c>
      <c r="AG96" s="11" t="s">
        <v>114</v>
      </c>
      <c r="AH96" s="7" t="s">
        <v>1242</v>
      </c>
    </row>
    <row r="97" spans="1:34" s="7" customFormat="1" ht="16.5" customHeight="1">
      <c r="A97" s="7">
        <v>2012</v>
      </c>
      <c r="B97" s="12">
        <v>41093</v>
      </c>
      <c r="C97" s="7" t="s">
        <v>22</v>
      </c>
      <c r="D97" s="9" t="s">
        <v>6</v>
      </c>
      <c r="E97" s="9" t="s">
        <v>10</v>
      </c>
      <c r="F97" s="9" t="s">
        <v>25</v>
      </c>
      <c r="G97" s="7" t="s">
        <v>902</v>
      </c>
      <c r="H97" s="7" t="s">
        <v>903</v>
      </c>
      <c r="I97" s="124" t="s">
        <v>902</v>
      </c>
      <c r="J97" s="7">
        <v>31</v>
      </c>
      <c r="K97" s="124" t="s">
        <v>817</v>
      </c>
      <c r="L97" s="20" t="s">
        <v>74</v>
      </c>
      <c r="M97" s="16">
        <v>91.913038554944492</v>
      </c>
      <c r="N97" s="16">
        <v>22.275267651206569</v>
      </c>
      <c r="O97" s="16">
        <v>358.84515541478208</v>
      </c>
      <c r="P97" s="16">
        <v>18.204440367849248</v>
      </c>
      <c r="Q97" s="147">
        <v>639.40164023951479</v>
      </c>
      <c r="R97" s="147">
        <v>60.569580078125</v>
      </c>
      <c r="S97" s="10">
        <v>0.80956549341554718</v>
      </c>
      <c r="T97" s="10">
        <v>-1.8622450145976952</v>
      </c>
      <c r="U97" s="16">
        <v>4.9944106319494412E-2</v>
      </c>
      <c r="V97" s="16">
        <v>9.4231664830694388</v>
      </c>
      <c r="W97" s="10">
        <v>11.285411497667134</v>
      </c>
      <c r="X97" s="10" t="s">
        <v>902</v>
      </c>
      <c r="Y97" s="10">
        <v>2.7999999999999994</v>
      </c>
      <c r="Z97" s="10">
        <v>3.3333333333333335</v>
      </c>
      <c r="AA97" s="20" t="s">
        <v>97</v>
      </c>
      <c r="AB97" s="7">
        <v>1469.7</v>
      </c>
      <c r="AC97" s="7">
        <v>454.1</v>
      </c>
      <c r="AD97" s="9" t="s">
        <v>902</v>
      </c>
      <c r="AE97" s="7" t="s">
        <v>113</v>
      </c>
      <c r="AF97" s="20" t="s">
        <v>27</v>
      </c>
      <c r="AG97" s="11" t="s">
        <v>864</v>
      </c>
      <c r="AH97" s="7" t="s">
        <v>1280</v>
      </c>
    </row>
    <row r="98" spans="1:34" s="7" customFormat="1" ht="16.5" customHeight="1">
      <c r="A98" s="7">
        <v>2012</v>
      </c>
      <c r="B98" s="29">
        <v>41093</v>
      </c>
      <c r="C98" s="11" t="s">
        <v>22</v>
      </c>
      <c r="D98" s="9" t="s">
        <v>6</v>
      </c>
      <c r="E98" s="9" t="s">
        <v>10</v>
      </c>
      <c r="F98" s="9" t="s">
        <v>25</v>
      </c>
      <c r="G98" s="7" t="s">
        <v>902</v>
      </c>
      <c r="H98" s="11" t="s">
        <v>903</v>
      </c>
      <c r="I98" s="124" t="s">
        <v>902</v>
      </c>
      <c r="J98" s="7">
        <v>38</v>
      </c>
      <c r="K98" s="124" t="s">
        <v>822</v>
      </c>
      <c r="L98" s="20" t="s">
        <v>74</v>
      </c>
      <c r="M98" s="22">
        <v>91.894849337064301</v>
      </c>
      <c r="N98" s="22">
        <v>23.49659875723032</v>
      </c>
      <c r="O98" s="22">
        <v>362.45297006460339</v>
      </c>
      <c r="P98" s="22">
        <v>17.539896744948166</v>
      </c>
      <c r="Q98" s="148">
        <v>641.68619948167066</v>
      </c>
      <c r="R98" s="148">
        <v>57.35528564453125</v>
      </c>
      <c r="S98" s="10">
        <v>0.80956549341554718</v>
      </c>
      <c r="T98" s="16">
        <v>-2.8288020746380118</v>
      </c>
      <c r="U98" s="22">
        <v>3.2948993236740325E-2</v>
      </c>
      <c r="V98" s="16">
        <v>9.4231664830694388</v>
      </c>
      <c r="W98" s="10">
        <v>12.25196855770745</v>
      </c>
      <c r="X98" s="10" t="s">
        <v>902</v>
      </c>
      <c r="Y98" s="10">
        <v>2.7999999999999994</v>
      </c>
      <c r="Z98" s="10">
        <v>3.3333333333333335</v>
      </c>
      <c r="AA98" s="20" t="s">
        <v>99</v>
      </c>
      <c r="AB98" s="7">
        <v>891.1</v>
      </c>
      <c r="AC98" s="7">
        <v>598.1</v>
      </c>
      <c r="AD98" s="9" t="s">
        <v>902</v>
      </c>
      <c r="AE98" s="11" t="s">
        <v>113</v>
      </c>
      <c r="AF98" s="20" t="s">
        <v>27</v>
      </c>
      <c r="AG98" s="11" t="s">
        <v>2</v>
      </c>
      <c r="AH98" s="11" t="s">
        <v>1281</v>
      </c>
    </row>
    <row r="99" spans="1:34" s="7" customFormat="1" ht="16.5" customHeight="1">
      <c r="A99" s="7">
        <v>2012</v>
      </c>
      <c r="B99" s="12">
        <v>41093</v>
      </c>
      <c r="C99" s="7" t="s">
        <v>22</v>
      </c>
      <c r="D99" s="9" t="s">
        <v>6</v>
      </c>
      <c r="E99" s="9" t="s">
        <v>10</v>
      </c>
      <c r="F99" s="9" t="s">
        <v>25</v>
      </c>
      <c r="G99" s="7" t="s">
        <v>902</v>
      </c>
      <c r="H99" s="7" t="s">
        <v>903</v>
      </c>
      <c r="I99" s="124" t="s">
        <v>902</v>
      </c>
      <c r="J99" s="7">
        <v>24</v>
      </c>
      <c r="K99" s="124" t="s">
        <v>811</v>
      </c>
      <c r="L99" s="20" t="s">
        <v>913</v>
      </c>
      <c r="M99" s="16">
        <v>91.985141460712143</v>
      </c>
      <c r="N99" s="16">
        <v>24.683754994319035</v>
      </c>
      <c r="O99" s="16">
        <v>344.30066856971155</v>
      </c>
      <c r="P99" s="16">
        <v>23.387461735652042</v>
      </c>
      <c r="Q99" s="147">
        <v>668.8505342923678</v>
      </c>
      <c r="R99" s="147">
        <v>32.9632568359375</v>
      </c>
      <c r="S99" s="10">
        <v>0.80956549341554718</v>
      </c>
      <c r="T99" s="10">
        <v>-4.0513938606578117</v>
      </c>
      <c r="U99" s="16">
        <v>4.0971761221414084E-2</v>
      </c>
      <c r="V99" s="16">
        <v>9.4231664830694388</v>
      </c>
      <c r="W99" s="10">
        <v>13.474560343727251</v>
      </c>
      <c r="X99" s="10" t="s">
        <v>902</v>
      </c>
      <c r="Y99" s="10">
        <v>2.7999999999999994</v>
      </c>
      <c r="Z99" s="10">
        <v>3.3333333333333335</v>
      </c>
      <c r="AA99" s="20" t="s">
        <v>109</v>
      </c>
      <c r="AB99" s="10">
        <v>922.85</v>
      </c>
      <c r="AC99" s="10">
        <v>756.84999999999991</v>
      </c>
      <c r="AD99" s="17">
        <v>726</v>
      </c>
      <c r="AE99" s="7" t="s">
        <v>113</v>
      </c>
      <c r="AF99" s="20" t="s">
        <v>27</v>
      </c>
      <c r="AG99" s="11" t="s">
        <v>114</v>
      </c>
      <c r="AH99" s="7" t="s">
        <v>1282</v>
      </c>
    </row>
    <row r="100" spans="1:34" s="7" customFormat="1" ht="16.5" customHeight="1">
      <c r="A100" s="7">
        <v>2012</v>
      </c>
      <c r="B100" s="12">
        <v>41093</v>
      </c>
      <c r="C100" s="7" t="s">
        <v>22</v>
      </c>
      <c r="D100" s="9" t="s">
        <v>6</v>
      </c>
      <c r="E100" s="9" t="s">
        <v>10</v>
      </c>
      <c r="F100" s="9" t="s">
        <v>25</v>
      </c>
      <c r="G100" s="7" t="s">
        <v>902</v>
      </c>
      <c r="H100" s="7" t="s">
        <v>903</v>
      </c>
      <c r="I100" s="124" t="s">
        <v>902</v>
      </c>
      <c r="J100" s="7">
        <v>32</v>
      </c>
      <c r="K100" s="124" t="s">
        <v>818</v>
      </c>
      <c r="L100" s="20" t="s">
        <v>74</v>
      </c>
      <c r="M100" s="16">
        <v>91.941953023274735</v>
      </c>
      <c r="N100" s="16">
        <v>28.49042977227105</v>
      </c>
      <c r="O100" s="16">
        <v>359.16554090711804</v>
      </c>
      <c r="P100" s="16">
        <v>23.115443123711479</v>
      </c>
      <c r="Q100" s="147">
        <v>670.58393690321179</v>
      </c>
      <c r="R100" s="147">
        <v>10.98785400390625</v>
      </c>
      <c r="S100" s="10">
        <v>0.80956549341554718</v>
      </c>
      <c r="T100" s="10">
        <v>2.3181806636387337</v>
      </c>
      <c r="U100" s="16">
        <v>6.284693082173666E-2</v>
      </c>
      <c r="V100" s="16">
        <v>9.4231664830694388</v>
      </c>
      <c r="W100" s="10">
        <v>7.1049858194307056</v>
      </c>
      <c r="X100" s="10" t="s">
        <v>902</v>
      </c>
      <c r="Y100" s="10">
        <v>2.7999999999999994</v>
      </c>
      <c r="Z100" s="10">
        <v>3.3333333333333335</v>
      </c>
      <c r="AA100" s="20" t="s">
        <v>83</v>
      </c>
      <c r="AB100" s="7">
        <v>1920.2</v>
      </c>
      <c r="AC100" s="7">
        <v>659.2</v>
      </c>
      <c r="AD100" s="9" t="s">
        <v>902</v>
      </c>
      <c r="AE100" s="7" t="s">
        <v>113</v>
      </c>
      <c r="AF100" s="20" t="s">
        <v>27</v>
      </c>
      <c r="AG100" s="11" t="s">
        <v>864</v>
      </c>
      <c r="AH100" s="7" t="s">
        <v>1283</v>
      </c>
    </row>
    <row r="101" spans="1:34" s="7" customFormat="1" ht="16.5" customHeight="1">
      <c r="A101" s="7">
        <v>2012</v>
      </c>
      <c r="B101" s="12">
        <v>41093</v>
      </c>
      <c r="C101" s="7" t="s">
        <v>22</v>
      </c>
      <c r="D101" s="9" t="s">
        <v>6</v>
      </c>
      <c r="E101" s="9" t="s">
        <v>10</v>
      </c>
      <c r="F101" s="9" t="s">
        <v>25</v>
      </c>
      <c r="G101" s="7" t="s">
        <v>902</v>
      </c>
      <c r="H101" s="7" t="s">
        <v>903</v>
      </c>
      <c r="I101" s="124" t="s">
        <v>902</v>
      </c>
      <c r="J101" s="7">
        <v>25</v>
      </c>
      <c r="K101" s="124" t="s">
        <v>1545</v>
      </c>
      <c r="L101" s="20" t="s">
        <v>907</v>
      </c>
      <c r="M101" s="16">
        <v>91.988374007375612</v>
      </c>
      <c r="N101" s="16">
        <v>23.21393414547569</v>
      </c>
      <c r="O101" s="16">
        <v>330.63901399311266</v>
      </c>
      <c r="P101" s="16">
        <v>22.396188434801605</v>
      </c>
      <c r="Q101" s="147">
        <v>706.2435495476974</v>
      </c>
      <c r="R101" s="147">
        <v>39.37384033203125</v>
      </c>
      <c r="S101" s="10">
        <v>0.80956549341554718</v>
      </c>
      <c r="T101" s="10">
        <v>-5.9052800238783565</v>
      </c>
      <c r="U101" s="16">
        <v>4.5271217613889463E-2</v>
      </c>
      <c r="V101" s="16">
        <v>9.4231664830694388</v>
      </c>
      <c r="W101" s="10">
        <v>15.328446506947795</v>
      </c>
      <c r="X101" s="10" t="s">
        <v>902</v>
      </c>
      <c r="Y101" s="10">
        <v>2.7999999999999994</v>
      </c>
      <c r="Z101" s="10">
        <v>3.3333333333333335</v>
      </c>
      <c r="AA101" s="20" t="s">
        <v>107</v>
      </c>
      <c r="AB101" s="10">
        <v>1463.6</v>
      </c>
      <c r="AC101" s="10">
        <v>832.55</v>
      </c>
      <c r="AD101" s="17">
        <v>1175.6500000000001</v>
      </c>
      <c r="AE101" s="7" t="s">
        <v>113</v>
      </c>
      <c r="AF101" s="20" t="s">
        <v>27</v>
      </c>
      <c r="AG101" s="11" t="s">
        <v>114</v>
      </c>
      <c r="AH101" s="7" t="s">
        <v>1242</v>
      </c>
    </row>
    <row r="102" spans="1:34" s="7" customFormat="1" ht="16.5" customHeight="1">
      <c r="A102" s="7">
        <v>2012</v>
      </c>
      <c r="B102" s="12">
        <v>41093</v>
      </c>
      <c r="C102" s="7" t="s">
        <v>22</v>
      </c>
      <c r="D102" s="9" t="s">
        <v>6</v>
      </c>
      <c r="E102" s="9" t="s">
        <v>10</v>
      </c>
      <c r="F102" s="9" t="s">
        <v>25</v>
      </c>
      <c r="G102" s="7" t="s">
        <v>902</v>
      </c>
      <c r="H102" s="7" t="s">
        <v>903</v>
      </c>
      <c r="I102" s="124" t="s">
        <v>902</v>
      </c>
      <c r="J102" s="7">
        <v>16</v>
      </c>
      <c r="K102" s="124" t="s">
        <v>1546</v>
      </c>
      <c r="L102" s="20" t="s">
        <v>909</v>
      </c>
      <c r="M102" s="16">
        <v>92.004758453369135</v>
      </c>
      <c r="N102" s="16">
        <v>20.973314476013183</v>
      </c>
      <c r="O102" s="16">
        <v>332.16723480224607</v>
      </c>
      <c r="P102" s="16">
        <v>19.48854293823242</v>
      </c>
      <c r="Q102" s="147">
        <v>732.37727966308591</v>
      </c>
      <c r="R102" s="147">
        <v>82.140625</v>
      </c>
      <c r="S102" s="10">
        <v>0.80956549341554718</v>
      </c>
      <c r="T102" s="10">
        <v>-6.7074567653104484</v>
      </c>
      <c r="U102" s="16">
        <v>3.9188062338004433E-2</v>
      </c>
      <c r="V102" s="16">
        <v>9.4231664830694388</v>
      </c>
      <c r="W102" s="10">
        <v>16.130623248379887</v>
      </c>
      <c r="X102" s="10" t="s">
        <v>902</v>
      </c>
      <c r="Y102" s="10">
        <v>2.7999999999999994</v>
      </c>
      <c r="Z102" s="10">
        <v>3.3333333333333335</v>
      </c>
      <c r="AA102" s="20" t="s">
        <v>106</v>
      </c>
      <c r="AB102" s="10">
        <v>1239</v>
      </c>
      <c r="AC102" s="10">
        <v>822.75</v>
      </c>
      <c r="AD102" s="17">
        <v>1001.2</v>
      </c>
      <c r="AE102" s="7" t="s">
        <v>116</v>
      </c>
      <c r="AF102" s="20" t="s">
        <v>27</v>
      </c>
      <c r="AG102" s="11" t="s">
        <v>0</v>
      </c>
      <c r="AH102" s="7" t="s">
        <v>1242</v>
      </c>
    </row>
    <row r="103" spans="1:34" s="7" customFormat="1" ht="16.5" customHeight="1">
      <c r="A103" s="7">
        <v>2012</v>
      </c>
      <c r="B103" s="12">
        <v>41093</v>
      </c>
      <c r="C103" s="7" t="s">
        <v>22</v>
      </c>
      <c r="D103" s="9" t="s">
        <v>6</v>
      </c>
      <c r="E103" s="9" t="s">
        <v>10</v>
      </c>
      <c r="F103" s="9" t="s">
        <v>25</v>
      </c>
      <c r="G103" s="7" t="s">
        <v>902</v>
      </c>
      <c r="H103" s="7" t="s">
        <v>903</v>
      </c>
      <c r="I103" s="124" t="s">
        <v>902</v>
      </c>
      <c r="J103" s="7">
        <v>17</v>
      </c>
      <c r="K103" s="124" t="s">
        <v>807</v>
      </c>
      <c r="L103" s="20" t="s">
        <v>909</v>
      </c>
      <c r="M103" s="16">
        <v>91.993578338623053</v>
      </c>
      <c r="N103" s="16">
        <v>21.891530227661132</v>
      </c>
      <c r="O103" s="16">
        <v>339.45834655761718</v>
      </c>
      <c r="P103" s="16">
        <v>19.948666763305663</v>
      </c>
      <c r="Q103" s="147">
        <v>825.9086853027344</v>
      </c>
      <c r="R103" s="147">
        <v>52.6480712890625</v>
      </c>
      <c r="S103" s="10">
        <v>0.80956549341554718</v>
      </c>
      <c r="T103" s="10">
        <v>-7.06276087653315</v>
      </c>
      <c r="U103" s="16">
        <v>5.1211797988037711E-2</v>
      </c>
      <c r="V103" s="16">
        <v>9.4231664830694388</v>
      </c>
      <c r="W103" s="10">
        <v>16.485927359602588</v>
      </c>
      <c r="X103" s="10" t="s">
        <v>902</v>
      </c>
      <c r="Y103" s="10">
        <v>2.7999999999999994</v>
      </c>
      <c r="Z103" s="10">
        <v>3.3333333333333335</v>
      </c>
      <c r="AA103" s="20" t="s">
        <v>126</v>
      </c>
      <c r="AB103" s="7">
        <v>885</v>
      </c>
      <c r="AC103" s="7">
        <v>754</v>
      </c>
      <c r="AD103" s="9" t="s">
        <v>902</v>
      </c>
      <c r="AE103" s="7" t="s">
        <v>806</v>
      </c>
      <c r="AF103" s="20" t="s">
        <v>27</v>
      </c>
      <c r="AG103" s="11" t="s">
        <v>0</v>
      </c>
      <c r="AH103" s="7" t="s">
        <v>1284</v>
      </c>
    </row>
    <row r="104" spans="1:34" s="7" customFormat="1" ht="16.5" customHeight="1">
      <c r="A104" s="7">
        <v>2012</v>
      </c>
      <c r="B104" s="12">
        <v>41093</v>
      </c>
      <c r="C104" s="7" t="s">
        <v>22</v>
      </c>
      <c r="D104" s="9" t="s">
        <v>6</v>
      </c>
      <c r="E104" s="9" t="s">
        <v>10</v>
      </c>
      <c r="F104" s="9" t="s">
        <v>25</v>
      </c>
      <c r="G104" s="7" t="s">
        <v>902</v>
      </c>
      <c r="H104" s="7" t="s">
        <v>903</v>
      </c>
      <c r="I104" s="124" t="s">
        <v>902</v>
      </c>
      <c r="J104" s="7">
        <v>10</v>
      </c>
      <c r="K104" s="124" t="s">
        <v>1547</v>
      </c>
      <c r="L104" s="20" t="s">
        <v>909</v>
      </c>
      <c r="M104" s="16">
        <v>92.011118698120114</v>
      </c>
      <c r="N104" s="16">
        <v>23.335802936553954</v>
      </c>
      <c r="O104" s="16">
        <v>338.82490386962888</v>
      </c>
      <c r="P104" s="16">
        <v>21.242139434814455</v>
      </c>
      <c r="Q104" s="147">
        <v>990.5130493164063</v>
      </c>
      <c r="R104" s="147">
        <v>76.572021484375</v>
      </c>
      <c r="S104" s="10">
        <v>0.80956549341554718</v>
      </c>
      <c r="T104" s="10">
        <v>-7.1336017712100181</v>
      </c>
      <c r="U104" s="16">
        <v>6.7089036353548667E-2</v>
      </c>
      <c r="V104" s="16">
        <v>9.4231664830694388</v>
      </c>
      <c r="W104" s="10">
        <v>16.556768254279458</v>
      </c>
      <c r="X104" s="10" t="s">
        <v>902</v>
      </c>
      <c r="Y104" s="10">
        <v>2.7999999999999994</v>
      </c>
      <c r="Z104" s="10">
        <v>3.3333333333333335</v>
      </c>
      <c r="AA104" s="20" t="s">
        <v>105</v>
      </c>
      <c r="AB104" s="10">
        <v>893.55</v>
      </c>
      <c r="AC104" s="10">
        <v>761.7</v>
      </c>
      <c r="AD104" s="17">
        <v>711.09999999999991</v>
      </c>
      <c r="AE104" s="7" t="s">
        <v>113</v>
      </c>
      <c r="AF104" s="20" t="s">
        <v>27</v>
      </c>
      <c r="AG104" s="11" t="s">
        <v>928</v>
      </c>
      <c r="AH104" s="7" t="s">
        <v>1242</v>
      </c>
    </row>
    <row r="105" spans="1:34" s="7" customFormat="1" ht="16.5" customHeight="1">
      <c r="A105" s="7">
        <v>2012</v>
      </c>
      <c r="B105" s="12">
        <v>41093</v>
      </c>
      <c r="C105" s="7" t="s">
        <v>22</v>
      </c>
      <c r="D105" s="9" t="s">
        <v>6</v>
      </c>
      <c r="E105" s="9" t="s">
        <v>10</v>
      </c>
      <c r="F105" s="9" t="s">
        <v>25</v>
      </c>
      <c r="G105" s="7" t="s">
        <v>902</v>
      </c>
      <c r="H105" s="7" t="s">
        <v>903</v>
      </c>
      <c r="I105" s="124" t="s">
        <v>902</v>
      </c>
      <c r="J105" s="7">
        <v>33</v>
      </c>
      <c r="K105" s="124" t="s">
        <v>1548</v>
      </c>
      <c r="L105" s="20" t="s">
        <v>909</v>
      </c>
      <c r="M105" s="16">
        <v>91.970597457885745</v>
      </c>
      <c r="N105" s="16">
        <v>24.423433589935303</v>
      </c>
      <c r="O105" s="16">
        <v>341.71859741210937</v>
      </c>
      <c r="P105" s="16">
        <v>20.936924362182616</v>
      </c>
      <c r="Q105" s="147">
        <v>1008.179818725586</v>
      </c>
      <c r="R105" s="147">
        <v>26.189697265625</v>
      </c>
      <c r="S105" s="10">
        <v>0.80956549341554718</v>
      </c>
      <c r="T105" s="10">
        <v>-6.1208617008509396</v>
      </c>
      <c r="U105" s="16">
        <v>6.6149942498458056E-2</v>
      </c>
      <c r="V105" s="16">
        <v>9.4231664830694388</v>
      </c>
      <c r="W105" s="10">
        <v>15.544028183920378</v>
      </c>
      <c r="X105" s="10" t="s">
        <v>902</v>
      </c>
      <c r="Y105" s="10">
        <v>2.7999999999999994</v>
      </c>
      <c r="Z105" s="10">
        <v>3.3333333333333335</v>
      </c>
      <c r="AA105" s="20" t="s">
        <v>111</v>
      </c>
      <c r="AB105" s="10">
        <v>1554.55</v>
      </c>
      <c r="AC105" s="10">
        <v>566.4</v>
      </c>
      <c r="AD105" s="17">
        <v>525.65</v>
      </c>
      <c r="AE105" s="7" t="s">
        <v>113</v>
      </c>
      <c r="AF105" s="20" t="s">
        <v>27</v>
      </c>
      <c r="AG105" s="11" t="s">
        <v>864</v>
      </c>
      <c r="AH105" s="7" t="s">
        <v>1242</v>
      </c>
    </row>
    <row r="106" spans="1:34" s="7" customFormat="1" ht="16.5" customHeight="1">
      <c r="A106" s="7">
        <v>2012</v>
      </c>
      <c r="B106" s="12">
        <v>41093</v>
      </c>
      <c r="C106" s="7" t="s">
        <v>22</v>
      </c>
      <c r="D106" s="9" t="s">
        <v>6</v>
      </c>
      <c r="E106" s="9" t="s">
        <v>10</v>
      </c>
      <c r="F106" s="9" t="s">
        <v>25</v>
      </c>
      <c r="G106" s="7" t="s">
        <v>902</v>
      </c>
      <c r="H106" s="7" t="s">
        <v>903</v>
      </c>
      <c r="I106" s="124" t="s">
        <v>902</v>
      </c>
      <c r="J106" s="7">
        <v>39</v>
      </c>
      <c r="K106" s="124" t="s">
        <v>823</v>
      </c>
      <c r="L106" s="20" t="s">
        <v>909</v>
      </c>
      <c r="M106" s="16">
        <v>91.973402500152588</v>
      </c>
      <c r="N106" s="16">
        <v>24.44050931930542</v>
      </c>
      <c r="O106" s="16">
        <v>335.69253158569336</v>
      </c>
      <c r="P106" s="16">
        <v>22.177109479904175</v>
      </c>
      <c r="Q106" s="147">
        <v>1068.7910308837891</v>
      </c>
      <c r="R106" s="147">
        <v>42.9576416015625</v>
      </c>
      <c r="S106" s="10">
        <v>0.80956549341554718</v>
      </c>
      <c r="T106" s="10">
        <v>-5.4116861965071505</v>
      </c>
      <c r="U106" s="16">
        <v>6.1264576631433823E-2</v>
      </c>
      <c r="V106" s="16">
        <v>9.4231664830694388</v>
      </c>
      <c r="W106" s="10">
        <v>14.834852679576588</v>
      </c>
      <c r="X106" s="10" t="s">
        <v>902</v>
      </c>
      <c r="Y106" s="10">
        <v>2.7999999999999994</v>
      </c>
      <c r="Z106" s="10">
        <v>3.3333333333333335</v>
      </c>
      <c r="AA106" s="20" t="s">
        <v>112</v>
      </c>
      <c r="AB106" s="10">
        <v>1188.3499999999999</v>
      </c>
      <c r="AC106" s="10">
        <v>542</v>
      </c>
      <c r="AD106" s="17">
        <v>907.55</v>
      </c>
      <c r="AE106" s="7" t="s">
        <v>115</v>
      </c>
      <c r="AF106" s="20" t="s">
        <v>27</v>
      </c>
      <c r="AG106" s="11" t="s">
        <v>2</v>
      </c>
      <c r="AH106" s="7" t="s">
        <v>1285</v>
      </c>
    </row>
    <row r="107" spans="1:34" s="7" customFormat="1" ht="16.5" customHeight="1">
      <c r="A107" s="7">
        <v>2012</v>
      </c>
      <c r="B107" s="12">
        <v>41093</v>
      </c>
      <c r="C107" s="7" t="s">
        <v>22</v>
      </c>
      <c r="D107" s="9" t="s">
        <v>6</v>
      </c>
      <c r="E107" s="9" t="s">
        <v>10</v>
      </c>
      <c r="F107" s="9" t="s">
        <v>25</v>
      </c>
      <c r="G107" s="7" t="s">
        <v>902</v>
      </c>
      <c r="H107" s="7" t="s">
        <v>903</v>
      </c>
      <c r="I107" s="124" t="s">
        <v>902</v>
      </c>
      <c r="J107" s="7">
        <v>40</v>
      </c>
      <c r="K107" s="124" t="s">
        <v>824</v>
      </c>
      <c r="L107" s="20" t="s">
        <v>909</v>
      </c>
      <c r="M107" s="16">
        <v>92.012604964406862</v>
      </c>
      <c r="N107" s="16">
        <v>23.906916969700863</v>
      </c>
      <c r="O107" s="16">
        <v>323.10461104543583</v>
      </c>
      <c r="P107" s="16">
        <v>22.71154032255474</v>
      </c>
      <c r="Q107" s="147">
        <v>1184.8777433696546</v>
      </c>
      <c r="R107" s="147">
        <v>137.796630859375</v>
      </c>
      <c r="S107" s="10">
        <v>0.80956549341554718</v>
      </c>
      <c r="T107" s="10">
        <v>-7.4797981402433376</v>
      </c>
      <c r="U107" s="16">
        <v>5.6304466515256647E-2</v>
      </c>
      <c r="V107" s="16">
        <v>9.4231664830694388</v>
      </c>
      <c r="W107" s="10">
        <v>16.902964623312776</v>
      </c>
      <c r="X107" s="10" t="s">
        <v>902</v>
      </c>
      <c r="Y107" s="10">
        <v>2.7999999999999994</v>
      </c>
      <c r="Z107" s="10">
        <v>3.3333333333333335</v>
      </c>
      <c r="AA107" s="20" t="s">
        <v>104</v>
      </c>
      <c r="AB107" s="10">
        <v>1463.6</v>
      </c>
      <c r="AC107" s="10">
        <v>832.55</v>
      </c>
      <c r="AD107" s="17">
        <v>1175.6500000000001</v>
      </c>
      <c r="AE107" s="7" t="s">
        <v>113</v>
      </c>
      <c r="AF107" s="20" t="s">
        <v>27</v>
      </c>
      <c r="AG107" s="11" t="s">
        <v>2</v>
      </c>
      <c r="AH107" s="7" t="s">
        <v>1286</v>
      </c>
    </row>
    <row r="108" spans="1:34" s="7" customFormat="1" ht="16.5" customHeight="1">
      <c r="A108" s="7">
        <v>2012</v>
      </c>
      <c r="B108" s="12">
        <v>41093</v>
      </c>
      <c r="C108" s="7" t="s">
        <v>22</v>
      </c>
      <c r="D108" s="9" t="s">
        <v>6</v>
      </c>
      <c r="E108" s="9" t="s">
        <v>10</v>
      </c>
      <c r="F108" s="9" t="s">
        <v>25</v>
      </c>
      <c r="G108" s="7" t="s">
        <v>902</v>
      </c>
      <c r="H108" s="7" t="s">
        <v>903</v>
      </c>
      <c r="I108" s="124" t="s">
        <v>902</v>
      </c>
      <c r="J108" s="7">
        <v>34</v>
      </c>
      <c r="K108" s="124" t="s">
        <v>1549</v>
      </c>
      <c r="L108" s="20" t="s">
        <v>909</v>
      </c>
      <c r="M108" s="16">
        <v>91.935347747802737</v>
      </c>
      <c r="N108" s="16">
        <v>30.095950889587403</v>
      </c>
      <c r="O108" s="16">
        <v>355.99259948730469</v>
      </c>
      <c r="P108" s="16">
        <v>20.950508117675781</v>
      </c>
      <c r="Q108" s="147">
        <v>1537.9840087890625</v>
      </c>
      <c r="R108" s="147">
        <v>48.888427734375</v>
      </c>
      <c r="S108" s="10">
        <v>0.80956549341554718</v>
      </c>
      <c r="T108" s="10">
        <v>-6.7643697903689297</v>
      </c>
      <c r="U108" s="16">
        <v>0.11184023663513643</v>
      </c>
      <c r="V108" s="16">
        <v>9.4231664830694388</v>
      </c>
      <c r="W108" s="10">
        <v>16.187536273438369</v>
      </c>
      <c r="X108" s="10" t="s">
        <v>902</v>
      </c>
      <c r="Y108" s="10">
        <v>2.7999999999999994</v>
      </c>
      <c r="Z108" s="10">
        <v>3.3333333333333335</v>
      </c>
      <c r="AA108" s="20" t="s">
        <v>82</v>
      </c>
      <c r="AB108" s="7">
        <v>1796.9</v>
      </c>
      <c r="AC108" s="7">
        <v>578.6</v>
      </c>
      <c r="AD108" s="9" t="s">
        <v>902</v>
      </c>
      <c r="AE108" s="7" t="s">
        <v>113</v>
      </c>
      <c r="AF108" s="20" t="s">
        <v>27</v>
      </c>
      <c r="AG108" s="11" t="s">
        <v>864</v>
      </c>
      <c r="AH108" s="7" t="s">
        <v>1242</v>
      </c>
    </row>
    <row r="109" spans="1:34" s="7" customFormat="1" ht="16.5" customHeight="1">
      <c r="A109" s="7">
        <v>2012</v>
      </c>
      <c r="B109" s="12">
        <v>41095</v>
      </c>
      <c r="C109" s="7" t="s">
        <v>22</v>
      </c>
      <c r="D109" s="9" t="s">
        <v>6</v>
      </c>
      <c r="E109" s="9" t="s">
        <v>11</v>
      </c>
      <c r="F109" s="9" t="s">
        <v>127</v>
      </c>
      <c r="G109" s="7" t="s">
        <v>902</v>
      </c>
      <c r="H109" s="7" t="s">
        <v>903</v>
      </c>
      <c r="I109" s="124" t="s">
        <v>902</v>
      </c>
      <c r="J109" s="7">
        <v>1</v>
      </c>
      <c r="K109" s="124" t="s">
        <v>1550</v>
      </c>
      <c r="L109" s="30" t="s">
        <v>904</v>
      </c>
      <c r="M109" s="16">
        <v>92.442985110812714</v>
      </c>
      <c r="N109" s="16">
        <v>19.420664469401043</v>
      </c>
      <c r="O109" s="16">
        <v>388.24933539496527</v>
      </c>
      <c r="P109" s="16">
        <v>15.888997342851427</v>
      </c>
      <c r="Q109" s="147">
        <v>7.1333177284234106E-2</v>
      </c>
      <c r="R109" s="147">
        <v>0.22184155555441976</v>
      </c>
      <c r="S109" s="10">
        <v>0.9048392536652321</v>
      </c>
      <c r="T109" s="10">
        <v>10.035680070115992</v>
      </c>
      <c r="U109" s="16">
        <v>1.8268011917885858E-2</v>
      </c>
      <c r="V109" s="16">
        <v>8.2073518337375102</v>
      </c>
      <c r="W109" s="10">
        <v>0</v>
      </c>
      <c r="X109" s="10" t="s">
        <v>902</v>
      </c>
      <c r="Y109" s="10" t="s">
        <v>902</v>
      </c>
      <c r="Z109" s="10">
        <v>2.7666666666666671</v>
      </c>
      <c r="AA109" s="20" t="s">
        <v>143</v>
      </c>
      <c r="AB109" s="7">
        <v>620.1</v>
      </c>
      <c r="AC109" s="7">
        <v>581.1</v>
      </c>
      <c r="AD109" s="7">
        <v>0.93710691823899372</v>
      </c>
      <c r="AE109" s="7" t="s">
        <v>129</v>
      </c>
      <c r="AF109" s="20" t="s">
        <v>8</v>
      </c>
      <c r="AG109" s="11" t="s">
        <v>607</v>
      </c>
      <c r="AH109" s="7" t="s">
        <v>1242</v>
      </c>
    </row>
    <row r="110" spans="1:34" s="7" customFormat="1" ht="16.5" customHeight="1">
      <c r="A110" s="7">
        <v>2012</v>
      </c>
      <c r="B110" s="12">
        <v>41099</v>
      </c>
      <c r="C110" s="7" t="s">
        <v>22</v>
      </c>
      <c r="D110" s="9" t="s">
        <v>6</v>
      </c>
      <c r="E110" s="9" t="s">
        <v>11</v>
      </c>
      <c r="F110" s="9" t="s">
        <v>127</v>
      </c>
      <c r="G110" s="7" t="s">
        <v>902</v>
      </c>
      <c r="H110" s="7" t="s">
        <v>903</v>
      </c>
      <c r="I110" s="124" t="s">
        <v>902</v>
      </c>
      <c r="J110" s="7">
        <v>2</v>
      </c>
      <c r="K110" s="124" t="s">
        <v>1551</v>
      </c>
      <c r="L110" s="30" t="s">
        <v>904</v>
      </c>
      <c r="M110" s="16">
        <v>92.742547776963974</v>
      </c>
      <c r="N110" s="16">
        <v>18.536693784925674</v>
      </c>
      <c r="O110" s="16">
        <v>382.22046237521704</v>
      </c>
      <c r="P110" s="16">
        <v>16.358230961693657</v>
      </c>
      <c r="Q110" s="147">
        <v>7.5862472669945821E-2</v>
      </c>
      <c r="R110" s="147">
        <v>0.22201293427497149</v>
      </c>
      <c r="S110" s="10">
        <v>0.9048392536652321</v>
      </c>
      <c r="T110" s="10">
        <v>7.8887633408901374</v>
      </c>
      <c r="U110" s="16">
        <v>3.4535046332391794E-2</v>
      </c>
      <c r="V110" s="16">
        <v>8.2073518337375102</v>
      </c>
      <c r="W110" s="10">
        <v>0</v>
      </c>
      <c r="X110" s="10" t="s">
        <v>902</v>
      </c>
      <c r="Y110" s="10" t="s">
        <v>902</v>
      </c>
      <c r="Z110" s="10">
        <v>2.7666666666666671</v>
      </c>
      <c r="AA110" s="20" t="s">
        <v>153</v>
      </c>
      <c r="AB110" s="7" t="s">
        <v>902</v>
      </c>
      <c r="AC110" s="7" t="s">
        <v>902</v>
      </c>
      <c r="AD110" s="9" t="s">
        <v>902</v>
      </c>
      <c r="AE110" s="7" t="s">
        <v>902</v>
      </c>
      <c r="AF110" s="20" t="s">
        <v>8</v>
      </c>
      <c r="AG110" s="11" t="s">
        <v>607</v>
      </c>
      <c r="AH110" s="7" t="s">
        <v>1242</v>
      </c>
    </row>
    <row r="111" spans="1:34" s="7" customFormat="1" ht="16.5" customHeight="1">
      <c r="A111" s="7">
        <v>2012</v>
      </c>
      <c r="B111" s="12">
        <v>41099</v>
      </c>
      <c r="C111" s="7" t="s">
        <v>22</v>
      </c>
      <c r="D111" s="9" t="s">
        <v>6</v>
      </c>
      <c r="E111" s="9" t="s">
        <v>11</v>
      </c>
      <c r="F111" s="9" t="s">
        <v>127</v>
      </c>
      <c r="G111" s="7" t="s">
        <v>902</v>
      </c>
      <c r="H111" s="7" t="s">
        <v>903</v>
      </c>
      <c r="I111" s="124" t="s">
        <v>902</v>
      </c>
      <c r="J111" s="7">
        <v>3</v>
      </c>
      <c r="K111" s="124" t="s">
        <v>1552</v>
      </c>
      <c r="L111" s="30" t="s">
        <v>904</v>
      </c>
      <c r="M111" s="16">
        <v>92.742059495713974</v>
      </c>
      <c r="N111" s="16">
        <v>17.812671449449326</v>
      </c>
      <c r="O111" s="16">
        <v>386.97751871744794</v>
      </c>
      <c r="P111" s="16">
        <v>16.466186629401314</v>
      </c>
      <c r="Q111" s="147">
        <v>7.6901431195437908E-2</v>
      </c>
      <c r="R111" s="147">
        <v>0.16182942409068346</v>
      </c>
      <c r="S111" s="10">
        <v>0.9048392536652321</v>
      </c>
      <c r="T111" s="10">
        <v>7.942217827999607</v>
      </c>
      <c r="U111" s="16">
        <v>2.8702233967028166E-2</v>
      </c>
      <c r="V111" s="16">
        <v>8.2073518337375102</v>
      </c>
      <c r="W111" s="10">
        <v>0</v>
      </c>
      <c r="X111" s="10" t="s">
        <v>902</v>
      </c>
      <c r="Y111" s="10" t="s">
        <v>902</v>
      </c>
      <c r="Z111" s="10">
        <v>2.7666666666666671</v>
      </c>
      <c r="AA111" s="20" t="s">
        <v>154</v>
      </c>
      <c r="AB111" s="7" t="s">
        <v>902</v>
      </c>
      <c r="AC111" s="7" t="s">
        <v>902</v>
      </c>
      <c r="AD111" s="9" t="s">
        <v>902</v>
      </c>
      <c r="AE111" s="7" t="s">
        <v>902</v>
      </c>
      <c r="AF111" s="20" t="s">
        <v>8</v>
      </c>
      <c r="AG111" s="11" t="s">
        <v>607</v>
      </c>
      <c r="AH111" s="7" t="s">
        <v>1242</v>
      </c>
    </row>
    <row r="112" spans="1:34" s="7" customFormat="1" ht="16.5" customHeight="1">
      <c r="A112" s="7">
        <v>2012</v>
      </c>
      <c r="B112" s="12">
        <v>41095</v>
      </c>
      <c r="C112" s="7" t="s">
        <v>22</v>
      </c>
      <c r="D112" s="9" t="s">
        <v>6</v>
      </c>
      <c r="E112" s="9" t="s">
        <v>11</v>
      </c>
      <c r="F112" s="9" t="s">
        <v>127</v>
      </c>
      <c r="G112" s="7" t="s">
        <v>902</v>
      </c>
      <c r="H112" s="7" t="s">
        <v>903</v>
      </c>
      <c r="I112" s="124" t="s">
        <v>902</v>
      </c>
      <c r="J112" s="7">
        <v>4</v>
      </c>
      <c r="K112" s="124" t="s">
        <v>1553</v>
      </c>
      <c r="L112" s="30" t="s">
        <v>904</v>
      </c>
      <c r="M112" s="16">
        <v>92.442620595296219</v>
      </c>
      <c r="N112" s="16">
        <v>19.434303177727593</v>
      </c>
      <c r="O112" s="16">
        <v>385.50594584147137</v>
      </c>
      <c r="P112" s="16">
        <v>16.533142195807564</v>
      </c>
      <c r="Q112" s="147">
        <v>9.2397854391795889E-2</v>
      </c>
      <c r="R112" s="147">
        <v>0.275623680325225</v>
      </c>
      <c r="S112" s="10">
        <v>0.9048392536652321</v>
      </c>
      <c r="T112" s="10">
        <v>10.324818927291895</v>
      </c>
      <c r="U112" s="16">
        <v>1.6013940667466361E-2</v>
      </c>
      <c r="V112" s="16">
        <v>8.2073518337375102</v>
      </c>
      <c r="W112" s="10">
        <v>0</v>
      </c>
      <c r="X112" s="10" t="s">
        <v>902</v>
      </c>
      <c r="Y112" s="10" t="s">
        <v>902</v>
      </c>
      <c r="Z112" s="10">
        <v>2.7666666666666671</v>
      </c>
      <c r="AA112" s="20" t="s">
        <v>142</v>
      </c>
      <c r="AB112" s="7">
        <v>588.4</v>
      </c>
      <c r="AC112" s="7">
        <v>549.29999999999995</v>
      </c>
      <c r="AD112" s="7">
        <v>0.93354860639021064</v>
      </c>
      <c r="AE112" s="7" t="s">
        <v>129</v>
      </c>
      <c r="AF112" s="20" t="s">
        <v>8</v>
      </c>
      <c r="AG112" s="11" t="s">
        <v>607</v>
      </c>
      <c r="AH112" s="7" t="s">
        <v>1242</v>
      </c>
    </row>
    <row r="113" spans="1:34" s="7" customFormat="1" ht="16.5" customHeight="1">
      <c r="A113" s="7">
        <v>2012</v>
      </c>
      <c r="B113" s="12">
        <v>41095</v>
      </c>
      <c r="C113" s="7" t="s">
        <v>22</v>
      </c>
      <c r="D113" s="9" t="s">
        <v>6</v>
      </c>
      <c r="E113" s="9" t="s">
        <v>11</v>
      </c>
      <c r="F113" s="9" t="s">
        <v>127</v>
      </c>
      <c r="G113" s="7" t="s">
        <v>902</v>
      </c>
      <c r="H113" s="7" t="s">
        <v>903</v>
      </c>
      <c r="I113" s="124" t="s">
        <v>902</v>
      </c>
      <c r="J113" s="7">
        <v>5</v>
      </c>
      <c r="K113" s="124" t="s">
        <v>1554</v>
      </c>
      <c r="L113" s="30" t="s">
        <v>904</v>
      </c>
      <c r="M113" s="16">
        <v>92.442828529759453</v>
      </c>
      <c r="N113" s="16">
        <v>19.378311157226562</v>
      </c>
      <c r="O113" s="16">
        <v>389.43857453998766</v>
      </c>
      <c r="P113" s="16">
        <v>16.919757541857269</v>
      </c>
      <c r="Q113" s="147">
        <v>0.14683318324387074</v>
      </c>
      <c r="R113" s="147">
        <v>0.27696180529892445</v>
      </c>
      <c r="S113" s="10">
        <v>0.9048392536652321</v>
      </c>
      <c r="T113" s="10">
        <v>9.6066463383055698</v>
      </c>
      <c r="U113" s="16">
        <v>1.4434193728262918E-2</v>
      </c>
      <c r="V113" s="16">
        <v>8.2073518337375102</v>
      </c>
      <c r="W113" s="10">
        <v>0</v>
      </c>
      <c r="X113" s="10" t="s">
        <v>902</v>
      </c>
      <c r="Y113" s="10" t="s">
        <v>902</v>
      </c>
      <c r="Z113" s="10">
        <v>2.7666666666666671</v>
      </c>
      <c r="AA113" s="20" t="s">
        <v>141</v>
      </c>
      <c r="AB113" s="7">
        <v>523.70000000000005</v>
      </c>
      <c r="AC113" s="7">
        <v>488.3</v>
      </c>
      <c r="AD113" s="7">
        <v>0.93240404811915212</v>
      </c>
      <c r="AE113" s="7" t="s">
        <v>129</v>
      </c>
      <c r="AF113" s="20" t="s">
        <v>8</v>
      </c>
      <c r="AG113" s="11" t="s">
        <v>607</v>
      </c>
      <c r="AH113" s="7" t="s">
        <v>1242</v>
      </c>
    </row>
    <row r="114" spans="1:34" s="7" customFormat="1" ht="16.5" customHeight="1">
      <c r="A114" s="7">
        <v>2012</v>
      </c>
      <c r="B114" s="12">
        <v>41099</v>
      </c>
      <c r="C114" s="7" t="s">
        <v>22</v>
      </c>
      <c r="D114" s="9" t="s">
        <v>6</v>
      </c>
      <c r="E114" s="9" t="s">
        <v>11</v>
      </c>
      <c r="F114" s="9" t="s">
        <v>127</v>
      </c>
      <c r="G114" s="7" t="s">
        <v>902</v>
      </c>
      <c r="H114" s="7" t="s">
        <v>903</v>
      </c>
      <c r="I114" s="124" t="s">
        <v>902</v>
      </c>
      <c r="J114" s="7">
        <v>6</v>
      </c>
      <c r="K114" s="124" t="s">
        <v>1555</v>
      </c>
      <c r="L114" s="30" t="s">
        <v>904</v>
      </c>
      <c r="M114" s="16">
        <v>92.740365346272782</v>
      </c>
      <c r="N114" s="16">
        <v>18.174716313680012</v>
      </c>
      <c r="O114" s="16">
        <v>374.09228854709204</v>
      </c>
      <c r="P114" s="16">
        <v>17.120653894212509</v>
      </c>
      <c r="Q114" s="147">
        <v>0.2420039191428158</v>
      </c>
      <c r="R114" s="147">
        <v>0.31697582826018333</v>
      </c>
      <c r="S114" s="10">
        <v>0.9048392536652321</v>
      </c>
      <c r="T114" s="10">
        <v>6.920704002080897</v>
      </c>
      <c r="U114" s="16">
        <v>2.8242517674055386E-2</v>
      </c>
      <c r="V114" s="16">
        <v>8.2073518337375102</v>
      </c>
      <c r="W114" s="10">
        <v>0</v>
      </c>
      <c r="X114" s="10" t="s">
        <v>902</v>
      </c>
      <c r="Y114" s="10" t="s">
        <v>902</v>
      </c>
      <c r="Z114" s="10">
        <v>2.7666666666666671</v>
      </c>
      <c r="AA114" s="20" t="s">
        <v>152</v>
      </c>
      <c r="AB114" s="7" t="s">
        <v>902</v>
      </c>
      <c r="AC114" s="7" t="s">
        <v>902</v>
      </c>
      <c r="AD114" s="9" t="s">
        <v>902</v>
      </c>
      <c r="AE114" s="7" t="s">
        <v>902</v>
      </c>
      <c r="AF114" s="20" t="s">
        <v>8</v>
      </c>
      <c r="AG114" s="11" t="s">
        <v>607</v>
      </c>
      <c r="AH114" s="7" t="s">
        <v>1242</v>
      </c>
    </row>
    <row r="115" spans="1:34" s="7" customFormat="1" ht="16.5" customHeight="1">
      <c r="A115" s="7">
        <v>2012</v>
      </c>
      <c r="B115" s="12">
        <v>41099</v>
      </c>
      <c r="C115" s="7" t="s">
        <v>22</v>
      </c>
      <c r="D115" s="9" t="s">
        <v>6</v>
      </c>
      <c r="E115" s="9" t="s">
        <v>11</v>
      </c>
      <c r="F115" s="9" t="s">
        <v>127</v>
      </c>
      <c r="G115" s="7" t="s">
        <v>902</v>
      </c>
      <c r="H115" s="7" t="s">
        <v>903</v>
      </c>
      <c r="I115" s="124" t="s">
        <v>902</v>
      </c>
      <c r="J115" s="7">
        <v>11</v>
      </c>
      <c r="K115" s="124" t="s">
        <v>825</v>
      </c>
      <c r="L115" s="30" t="s">
        <v>905</v>
      </c>
      <c r="M115" s="16">
        <v>92.749626159667969</v>
      </c>
      <c r="N115" s="16">
        <v>17.174509175618489</v>
      </c>
      <c r="O115" s="16">
        <v>376.73822224934895</v>
      </c>
      <c r="P115" s="16">
        <v>16.506173515319823</v>
      </c>
      <c r="Q115" s="147">
        <v>45.01675720214844</v>
      </c>
      <c r="R115" s="147">
        <v>2.0634422302246094</v>
      </c>
      <c r="S115" s="10">
        <v>0.9048392536652321</v>
      </c>
      <c r="T115" s="10">
        <v>1.0440935954691803</v>
      </c>
      <c r="U115" s="16">
        <v>3.8432480607713974E-2</v>
      </c>
      <c r="V115" s="16">
        <v>8.2073518337375102</v>
      </c>
      <c r="W115" s="10">
        <v>7.1632582382683303</v>
      </c>
      <c r="X115" s="10" t="s">
        <v>902</v>
      </c>
      <c r="Y115" s="10" t="s">
        <v>902</v>
      </c>
      <c r="Z115" s="10">
        <v>2.7666666666666671</v>
      </c>
      <c r="AA115" s="31" t="s">
        <v>169</v>
      </c>
      <c r="AB115" s="7">
        <v>1333</v>
      </c>
      <c r="AC115" s="7">
        <v>294.2</v>
      </c>
      <c r="AD115" s="7">
        <v>0.22070517629407352</v>
      </c>
      <c r="AE115" s="7" t="s">
        <v>902</v>
      </c>
      <c r="AF115" s="20" t="s">
        <v>8</v>
      </c>
      <c r="AG115" s="11" t="s">
        <v>864</v>
      </c>
      <c r="AH115" s="7" t="s">
        <v>1287</v>
      </c>
    </row>
    <row r="116" spans="1:34" s="7" customFormat="1" ht="16.5" customHeight="1">
      <c r="A116" s="7">
        <v>2012</v>
      </c>
      <c r="B116" s="12">
        <v>41095</v>
      </c>
      <c r="C116" s="7" t="s">
        <v>22</v>
      </c>
      <c r="D116" s="9" t="s">
        <v>6</v>
      </c>
      <c r="E116" s="9" t="s">
        <v>11</v>
      </c>
      <c r="F116" s="9" t="s">
        <v>127</v>
      </c>
      <c r="G116" s="7" t="s">
        <v>902</v>
      </c>
      <c r="H116" s="7" t="s">
        <v>903</v>
      </c>
      <c r="I116" s="124" t="s">
        <v>902</v>
      </c>
      <c r="J116" s="7">
        <v>29</v>
      </c>
      <c r="K116" s="124" t="s">
        <v>1556</v>
      </c>
      <c r="L116" s="30" t="s">
        <v>916</v>
      </c>
      <c r="M116" s="16">
        <v>92.439892662896057</v>
      </c>
      <c r="N116" s="16">
        <v>20.04524252149794</v>
      </c>
      <c r="O116" s="16">
        <v>385.99524773491754</v>
      </c>
      <c r="P116" s="16">
        <v>17.132264667087131</v>
      </c>
      <c r="Q116" s="147">
        <v>54.036930720011391</v>
      </c>
      <c r="R116" s="147">
        <v>0.77453994750976563</v>
      </c>
      <c r="S116" s="10">
        <v>0.9048392536652321</v>
      </c>
      <c r="T116" s="10">
        <v>6.3424725581562331</v>
      </c>
      <c r="U116" s="16">
        <v>1.7564246036935023E-2</v>
      </c>
      <c r="V116" s="16">
        <v>8.2073518337375102</v>
      </c>
      <c r="W116" s="10">
        <v>1.8648792755812771</v>
      </c>
      <c r="X116" s="10" t="s">
        <v>902</v>
      </c>
      <c r="Y116" s="10" t="s">
        <v>902</v>
      </c>
      <c r="Z116" s="10">
        <v>2.7666666666666671</v>
      </c>
      <c r="AA116" s="20" t="s">
        <v>139</v>
      </c>
      <c r="AB116" s="7">
        <v>465.1</v>
      </c>
      <c r="AC116" s="7">
        <v>451.7</v>
      </c>
      <c r="AD116" s="7">
        <v>0.9711889916147064</v>
      </c>
      <c r="AE116" s="7" t="s">
        <v>129</v>
      </c>
      <c r="AF116" s="20" t="s">
        <v>8</v>
      </c>
      <c r="AG116" s="11" t="s">
        <v>0</v>
      </c>
      <c r="AH116" s="7" t="s">
        <v>1242</v>
      </c>
    </row>
    <row r="117" spans="1:34" s="7" customFormat="1" ht="16.5" customHeight="1">
      <c r="A117" s="7">
        <v>2012</v>
      </c>
      <c r="B117" s="12">
        <v>41095</v>
      </c>
      <c r="C117" s="7" t="s">
        <v>22</v>
      </c>
      <c r="D117" s="9" t="s">
        <v>6</v>
      </c>
      <c r="E117" s="9" t="s">
        <v>11</v>
      </c>
      <c r="F117" s="9" t="s">
        <v>127</v>
      </c>
      <c r="G117" s="7" t="s">
        <v>902</v>
      </c>
      <c r="H117" s="7" t="s">
        <v>903</v>
      </c>
      <c r="I117" s="124" t="s">
        <v>902</v>
      </c>
      <c r="J117" s="7">
        <v>30</v>
      </c>
      <c r="K117" s="124" t="s">
        <v>1557</v>
      </c>
      <c r="L117" s="30" t="s">
        <v>916</v>
      </c>
      <c r="M117" s="16">
        <v>92.442483266194657</v>
      </c>
      <c r="N117" s="16">
        <v>19.391344706217449</v>
      </c>
      <c r="O117" s="16">
        <v>378.75393846299914</v>
      </c>
      <c r="P117" s="16">
        <v>15.739069355858696</v>
      </c>
      <c r="Q117" s="147">
        <v>57.233447392781578</v>
      </c>
      <c r="R117" s="147">
        <v>1.8209800720214844</v>
      </c>
      <c r="S117" s="10">
        <v>0.9048392536652321</v>
      </c>
      <c r="T117" s="10">
        <v>5.5625814408440215</v>
      </c>
      <c r="U117" s="16">
        <v>2.3753244441360143E-2</v>
      </c>
      <c r="V117" s="16">
        <v>8.2073518337375102</v>
      </c>
      <c r="W117" s="10">
        <v>2.6447703928934887</v>
      </c>
      <c r="X117" s="10" t="s">
        <v>902</v>
      </c>
      <c r="Y117" s="10" t="s">
        <v>902</v>
      </c>
      <c r="Z117" s="10">
        <v>2.7666666666666671</v>
      </c>
      <c r="AA117" s="20" t="s">
        <v>140</v>
      </c>
      <c r="AB117" s="7">
        <v>439.5</v>
      </c>
      <c r="AC117" s="7">
        <v>419.9</v>
      </c>
      <c r="AD117" s="7">
        <v>0.95540386803185429</v>
      </c>
      <c r="AE117" s="7" t="s">
        <v>129</v>
      </c>
      <c r="AF117" s="20" t="s">
        <v>8</v>
      </c>
      <c r="AG117" s="11" t="s">
        <v>0</v>
      </c>
      <c r="AH117" s="7" t="s">
        <v>1242</v>
      </c>
    </row>
    <row r="118" spans="1:34" s="7" customFormat="1" ht="16.5" customHeight="1">
      <c r="A118" s="7">
        <v>2012</v>
      </c>
      <c r="B118" s="12">
        <v>41099</v>
      </c>
      <c r="C118" s="7" t="s">
        <v>22</v>
      </c>
      <c r="D118" s="9" t="s">
        <v>6</v>
      </c>
      <c r="E118" s="9" t="s">
        <v>11</v>
      </c>
      <c r="F118" s="9" t="s">
        <v>127</v>
      </c>
      <c r="G118" s="7" t="s">
        <v>902</v>
      </c>
      <c r="H118" s="7" t="s">
        <v>903</v>
      </c>
      <c r="I118" s="124" t="s">
        <v>902</v>
      </c>
      <c r="J118" s="7">
        <v>12</v>
      </c>
      <c r="K118" s="124" t="s">
        <v>826</v>
      </c>
      <c r="L118" s="30" t="s">
        <v>77</v>
      </c>
      <c r="M118" s="16">
        <v>92.746590805053714</v>
      </c>
      <c r="N118" s="16">
        <v>16.957451343536377</v>
      </c>
      <c r="O118" s="16">
        <v>370.43410644531252</v>
      </c>
      <c r="P118" s="16">
        <v>18.439855957031249</v>
      </c>
      <c r="Q118" s="147">
        <v>84.576858520507813</v>
      </c>
      <c r="R118" s="147">
        <v>1.715576171875</v>
      </c>
      <c r="S118" s="10">
        <v>0.9048392536652321</v>
      </c>
      <c r="T118" s="10">
        <v>1.3158948906325378</v>
      </c>
      <c r="U118" s="16">
        <v>1.9271712912652724E-2</v>
      </c>
      <c r="V118" s="16">
        <v>8.2073518337375102</v>
      </c>
      <c r="W118" s="10">
        <v>6.8914569431049726</v>
      </c>
      <c r="X118" s="10" t="s">
        <v>902</v>
      </c>
      <c r="Y118" s="10" t="s">
        <v>902</v>
      </c>
      <c r="Z118" s="10">
        <v>2.7666666666666671</v>
      </c>
      <c r="AA118" s="31" t="s">
        <v>168</v>
      </c>
      <c r="AB118" s="7">
        <v>1316.5</v>
      </c>
      <c r="AC118" s="7">
        <v>289.89999999999998</v>
      </c>
      <c r="AD118" s="7">
        <v>0.22020492727931332</v>
      </c>
      <c r="AE118" s="7" t="s">
        <v>902</v>
      </c>
      <c r="AF118" s="20" t="s">
        <v>8</v>
      </c>
      <c r="AG118" s="11" t="s">
        <v>864</v>
      </c>
      <c r="AH118" s="7" t="s">
        <v>1288</v>
      </c>
    </row>
    <row r="119" spans="1:34" s="7" customFormat="1" ht="16.5" customHeight="1">
      <c r="A119" s="7">
        <v>2012</v>
      </c>
      <c r="B119" s="12">
        <v>41095</v>
      </c>
      <c r="C119" s="7" t="s">
        <v>22</v>
      </c>
      <c r="D119" s="9" t="s">
        <v>6</v>
      </c>
      <c r="E119" s="9" t="s">
        <v>11</v>
      </c>
      <c r="F119" s="9" t="s">
        <v>127</v>
      </c>
      <c r="G119" s="7" t="s">
        <v>902</v>
      </c>
      <c r="H119" s="7" t="s">
        <v>903</v>
      </c>
      <c r="I119" s="124" t="s">
        <v>902</v>
      </c>
      <c r="J119" s="7">
        <v>31</v>
      </c>
      <c r="K119" s="124" t="s">
        <v>828</v>
      </c>
      <c r="L119" s="30" t="s">
        <v>917</v>
      </c>
      <c r="M119" s="16">
        <v>92.441201400756839</v>
      </c>
      <c r="N119" s="16">
        <v>20.389249038696288</v>
      </c>
      <c r="O119" s="16">
        <v>376.06718597412112</v>
      </c>
      <c r="P119" s="16">
        <v>16.086055564880372</v>
      </c>
      <c r="Q119" s="147">
        <v>121.2185245513916</v>
      </c>
      <c r="R119" s="147">
        <v>3.6860580444335937</v>
      </c>
      <c r="S119" s="10">
        <v>0.9048392536652321</v>
      </c>
      <c r="T119" s="10">
        <v>2.8382313529911949</v>
      </c>
      <c r="U119" s="16">
        <v>3.2629342186719854E-2</v>
      </c>
      <c r="V119" s="16">
        <v>8.2073518337375102</v>
      </c>
      <c r="W119" s="10">
        <v>5.3691204807463153</v>
      </c>
      <c r="X119" s="10" t="s">
        <v>902</v>
      </c>
      <c r="Y119" s="10" t="s">
        <v>902</v>
      </c>
      <c r="Z119" s="10">
        <v>2.7666666666666671</v>
      </c>
      <c r="AA119" s="20" t="s">
        <v>138</v>
      </c>
      <c r="AB119" s="7">
        <v>524.9</v>
      </c>
      <c r="AC119" s="7">
        <v>507.8</v>
      </c>
      <c r="AD119" s="7">
        <v>0.96742236616498389</v>
      </c>
      <c r="AE119" s="7" t="s">
        <v>129</v>
      </c>
      <c r="AF119" s="20" t="s">
        <v>8</v>
      </c>
      <c r="AG119" s="11" t="s">
        <v>0</v>
      </c>
      <c r="AH119" s="7" t="s">
        <v>1289</v>
      </c>
    </row>
    <row r="120" spans="1:34" s="7" customFormat="1" ht="16.5" customHeight="1">
      <c r="A120" s="7">
        <v>2012</v>
      </c>
      <c r="B120" s="12">
        <v>41095</v>
      </c>
      <c r="C120" s="7" t="s">
        <v>22</v>
      </c>
      <c r="D120" s="9" t="s">
        <v>6</v>
      </c>
      <c r="E120" s="9" t="s">
        <v>11</v>
      </c>
      <c r="F120" s="9" t="s">
        <v>127</v>
      </c>
      <c r="G120" s="7" t="s">
        <v>902</v>
      </c>
      <c r="H120" s="7" t="s">
        <v>903</v>
      </c>
      <c r="I120" s="124" t="s">
        <v>902</v>
      </c>
      <c r="J120" s="7">
        <v>32</v>
      </c>
      <c r="K120" s="124" t="s">
        <v>829</v>
      </c>
      <c r="L120" s="30" t="s">
        <v>917</v>
      </c>
      <c r="M120" s="16">
        <v>92.441328430175787</v>
      </c>
      <c r="N120" s="16">
        <v>20.817038059234619</v>
      </c>
      <c r="O120" s="16">
        <v>375.24886932373045</v>
      </c>
      <c r="P120" s="16">
        <v>17.782747554779053</v>
      </c>
      <c r="Q120" s="147">
        <v>136.4809700012207</v>
      </c>
      <c r="R120" s="147">
        <v>4.56536865234375</v>
      </c>
      <c r="S120" s="10">
        <v>0.9048392536652321</v>
      </c>
      <c r="T120" s="10">
        <v>2.5154036388492198</v>
      </c>
      <c r="U120" s="16">
        <v>1.9969430364164195E-2</v>
      </c>
      <c r="V120" s="16">
        <v>8.2073518337375102</v>
      </c>
      <c r="W120" s="10">
        <v>5.6919481948882904</v>
      </c>
      <c r="X120" s="10" t="s">
        <v>902</v>
      </c>
      <c r="Y120" s="10" t="s">
        <v>902</v>
      </c>
      <c r="Z120" s="10">
        <v>2.7666666666666671</v>
      </c>
      <c r="AA120" s="20" t="s">
        <v>137</v>
      </c>
      <c r="AB120" s="7">
        <v>556.6</v>
      </c>
      <c r="AC120" s="7">
        <v>532.20000000000005</v>
      </c>
      <c r="AD120" s="7">
        <v>0.95616241466043839</v>
      </c>
      <c r="AE120" s="7" t="s">
        <v>129</v>
      </c>
      <c r="AF120" s="20" t="s">
        <v>8</v>
      </c>
      <c r="AG120" s="11" t="s">
        <v>0</v>
      </c>
      <c r="AH120" s="7" t="s">
        <v>1290</v>
      </c>
    </row>
    <row r="121" spans="1:34" s="7" customFormat="1" ht="16.5" customHeight="1">
      <c r="A121" s="7">
        <v>2012</v>
      </c>
      <c r="B121" s="12">
        <v>41099</v>
      </c>
      <c r="C121" s="7" t="s">
        <v>22</v>
      </c>
      <c r="D121" s="9" t="s">
        <v>6</v>
      </c>
      <c r="E121" s="9" t="s">
        <v>11</v>
      </c>
      <c r="F121" s="9" t="s">
        <v>127</v>
      </c>
      <c r="G121" s="7" t="s">
        <v>902</v>
      </c>
      <c r="H121" s="7" t="s">
        <v>903</v>
      </c>
      <c r="I121" s="124" t="s">
        <v>902</v>
      </c>
      <c r="J121" s="7">
        <v>13</v>
      </c>
      <c r="K121" s="124" t="s">
        <v>1558</v>
      </c>
      <c r="L121" s="30" t="s">
        <v>77</v>
      </c>
      <c r="M121" s="16">
        <v>92.745794508192276</v>
      </c>
      <c r="N121" s="16">
        <v>17.766625934176975</v>
      </c>
      <c r="O121" s="16">
        <v>371.15206061469183</v>
      </c>
      <c r="P121" s="16">
        <v>17.752541224161785</v>
      </c>
      <c r="Q121" s="147">
        <v>151.67356279161243</v>
      </c>
      <c r="R121" s="147">
        <v>2.6488800048828125</v>
      </c>
      <c r="S121" s="10">
        <v>0.9048392536652321</v>
      </c>
      <c r="T121" s="10">
        <v>-1.5512272496270423</v>
      </c>
      <c r="U121" s="16">
        <v>2.5379188781675294E-2</v>
      </c>
      <c r="V121" s="16">
        <v>8.2073518337375102</v>
      </c>
      <c r="W121" s="10">
        <v>9.7585790833645518</v>
      </c>
      <c r="X121" s="10" t="s">
        <v>902</v>
      </c>
      <c r="Y121" s="10" t="s">
        <v>902</v>
      </c>
      <c r="Z121" s="10">
        <v>2.7666666666666671</v>
      </c>
      <c r="AA121" s="31" t="s">
        <v>167</v>
      </c>
      <c r="AB121" s="7">
        <v>1287.8499999999999</v>
      </c>
      <c r="AC121" s="7">
        <v>257.55</v>
      </c>
      <c r="AD121" s="7">
        <v>0.1999837165588482</v>
      </c>
      <c r="AE121" s="7" t="s">
        <v>902</v>
      </c>
      <c r="AF121" s="20" t="s">
        <v>8</v>
      </c>
      <c r="AG121" s="11" t="s">
        <v>864</v>
      </c>
      <c r="AH121" s="7" t="s">
        <v>1242</v>
      </c>
    </row>
    <row r="122" spans="1:34" s="7" customFormat="1" ht="16.5" customHeight="1">
      <c r="A122" s="7">
        <v>2012</v>
      </c>
      <c r="B122" s="12">
        <v>41099</v>
      </c>
      <c r="C122" s="7" t="s">
        <v>22</v>
      </c>
      <c r="D122" s="9" t="s">
        <v>6</v>
      </c>
      <c r="E122" s="9" t="s">
        <v>11</v>
      </c>
      <c r="F122" s="9" t="s">
        <v>127</v>
      </c>
      <c r="G122" s="7" t="s">
        <v>902</v>
      </c>
      <c r="H122" s="7" t="s">
        <v>903</v>
      </c>
      <c r="I122" s="124" t="s">
        <v>902</v>
      </c>
      <c r="J122" s="7">
        <v>14</v>
      </c>
      <c r="K122" s="124" t="s">
        <v>1559</v>
      </c>
      <c r="L122" s="30" t="s">
        <v>75</v>
      </c>
      <c r="M122" s="16">
        <v>92.743269669382201</v>
      </c>
      <c r="N122" s="16">
        <v>20.119780189112614</v>
      </c>
      <c r="O122" s="16">
        <v>366.25531648334703</v>
      </c>
      <c r="P122" s="16">
        <v>17.871199758429277</v>
      </c>
      <c r="Q122" s="147">
        <v>231.04209257427016</v>
      </c>
      <c r="R122" s="147">
        <v>11.832077026367188</v>
      </c>
      <c r="S122" s="10">
        <v>0.9048392536652321</v>
      </c>
      <c r="T122" s="10">
        <v>-3.4038840367328929</v>
      </c>
      <c r="U122" s="16">
        <v>3.2123764774255582E-2</v>
      </c>
      <c r="V122" s="16">
        <v>8.2073518337375102</v>
      </c>
      <c r="W122" s="10">
        <v>11.611235870470402</v>
      </c>
      <c r="X122" s="10" t="s">
        <v>902</v>
      </c>
      <c r="Y122" s="10" t="s">
        <v>902</v>
      </c>
      <c r="Z122" s="10">
        <v>2.7666666666666671</v>
      </c>
      <c r="AA122" s="31" t="s">
        <v>165</v>
      </c>
      <c r="AB122" s="7">
        <v>1226.1999999999998</v>
      </c>
      <c r="AC122" s="7">
        <v>244.1</v>
      </c>
      <c r="AD122" s="7">
        <v>0.19907034614667551</v>
      </c>
      <c r="AE122" s="7" t="s">
        <v>902</v>
      </c>
      <c r="AF122" s="20" t="s">
        <v>8</v>
      </c>
      <c r="AG122" s="11" t="s">
        <v>864</v>
      </c>
      <c r="AH122" s="7" t="s">
        <v>1242</v>
      </c>
    </row>
    <row r="123" spans="1:34" s="7" customFormat="1" ht="16.5" customHeight="1">
      <c r="A123" s="7">
        <v>2012</v>
      </c>
      <c r="B123" s="12">
        <v>41099</v>
      </c>
      <c r="C123" s="7" t="s">
        <v>22</v>
      </c>
      <c r="D123" s="9" t="s">
        <v>6</v>
      </c>
      <c r="E123" s="9" t="s">
        <v>11</v>
      </c>
      <c r="F123" s="9" t="s">
        <v>127</v>
      </c>
      <c r="G123" s="7" t="s">
        <v>902</v>
      </c>
      <c r="H123" s="7" t="s">
        <v>903</v>
      </c>
      <c r="I123" s="124" t="s">
        <v>902</v>
      </c>
      <c r="J123" s="7">
        <v>15</v>
      </c>
      <c r="K123" s="124" t="s">
        <v>1560</v>
      </c>
      <c r="L123" s="30" t="s">
        <v>75</v>
      </c>
      <c r="M123" s="16">
        <v>92.747161017523865</v>
      </c>
      <c r="N123" s="16">
        <v>17.717698097229004</v>
      </c>
      <c r="O123" s="16">
        <v>365.59481811523437</v>
      </c>
      <c r="P123" s="16">
        <v>17.443143420749241</v>
      </c>
      <c r="Q123" s="147">
        <v>234.23804304334851</v>
      </c>
      <c r="R123" s="147">
        <v>11.68768310546875</v>
      </c>
      <c r="S123" s="10">
        <v>0.9048392536652321</v>
      </c>
      <c r="T123" s="10">
        <v>-3.0101557901400984</v>
      </c>
      <c r="U123" s="16">
        <v>3.4692675705664665E-2</v>
      </c>
      <c r="V123" s="16">
        <v>8.2073518337375102</v>
      </c>
      <c r="W123" s="10">
        <v>11.217507623877609</v>
      </c>
      <c r="X123" s="10" t="s">
        <v>902</v>
      </c>
      <c r="Y123" s="10" t="s">
        <v>902</v>
      </c>
      <c r="Z123" s="10">
        <v>2.7666666666666671</v>
      </c>
      <c r="AA123" s="31" t="s">
        <v>166</v>
      </c>
      <c r="AB123" s="7">
        <v>1242.7</v>
      </c>
      <c r="AC123" s="7">
        <v>244.1</v>
      </c>
      <c r="AD123" s="7">
        <v>0.19642713446527721</v>
      </c>
      <c r="AE123" s="7" t="s">
        <v>902</v>
      </c>
      <c r="AF123" s="20" t="s">
        <v>8</v>
      </c>
      <c r="AG123" s="11" t="s">
        <v>864</v>
      </c>
      <c r="AH123" s="7" t="s">
        <v>1242</v>
      </c>
    </row>
    <row r="124" spans="1:34" s="7" customFormat="1" ht="16.5" customHeight="1">
      <c r="A124" s="7">
        <v>2012</v>
      </c>
      <c r="B124" s="12">
        <v>41095</v>
      </c>
      <c r="C124" s="7" t="s">
        <v>22</v>
      </c>
      <c r="D124" s="9" t="s">
        <v>6</v>
      </c>
      <c r="E124" s="9" t="s">
        <v>11</v>
      </c>
      <c r="F124" s="9" t="s">
        <v>127</v>
      </c>
      <c r="G124" s="7" t="s">
        <v>902</v>
      </c>
      <c r="H124" s="7" t="s">
        <v>903</v>
      </c>
      <c r="I124" s="124" t="s">
        <v>902</v>
      </c>
      <c r="J124" s="7">
        <v>33</v>
      </c>
      <c r="K124" s="124" t="s">
        <v>652</v>
      </c>
      <c r="L124" s="20" t="s">
        <v>74</v>
      </c>
      <c r="M124" s="16">
        <v>92.449347972869873</v>
      </c>
      <c r="N124" s="16">
        <v>20.163171052932739</v>
      </c>
      <c r="O124" s="16">
        <v>363.33225631713867</v>
      </c>
      <c r="P124" s="16">
        <v>16.573443412780762</v>
      </c>
      <c r="Q124" s="147">
        <v>242.21129131317139</v>
      </c>
      <c r="R124" s="147">
        <v>4.6883087158203125</v>
      </c>
      <c r="S124" s="10">
        <v>0.9048392536652321</v>
      </c>
      <c r="T124" s="10">
        <v>-2.0576113417379847</v>
      </c>
      <c r="U124" s="16">
        <v>2.124190891490263E-2</v>
      </c>
      <c r="V124" s="16">
        <v>8.2073518337375102</v>
      </c>
      <c r="W124" s="10">
        <v>10.264963175475495</v>
      </c>
      <c r="X124" s="10" t="s">
        <v>902</v>
      </c>
      <c r="Y124" s="10" t="s">
        <v>902</v>
      </c>
      <c r="Z124" s="10">
        <v>2.7666666666666671</v>
      </c>
      <c r="AA124" s="20" t="s">
        <v>136</v>
      </c>
      <c r="AB124" s="7">
        <v>513.9</v>
      </c>
      <c r="AC124" s="7">
        <v>498</v>
      </c>
      <c r="AD124" s="7">
        <v>0.96906012842965561</v>
      </c>
      <c r="AE124" s="7" t="s">
        <v>129</v>
      </c>
      <c r="AF124" s="20" t="s">
        <v>8</v>
      </c>
      <c r="AG124" s="11" t="s">
        <v>0</v>
      </c>
      <c r="AH124" s="7" t="s">
        <v>1291</v>
      </c>
    </row>
    <row r="125" spans="1:34" s="7" customFormat="1" ht="16.5" customHeight="1">
      <c r="A125" s="7">
        <v>2012</v>
      </c>
      <c r="B125" s="12">
        <v>41095</v>
      </c>
      <c r="C125" s="7" t="s">
        <v>22</v>
      </c>
      <c r="D125" s="9" t="s">
        <v>6</v>
      </c>
      <c r="E125" s="9" t="s">
        <v>11</v>
      </c>
      <c r="F125" s="9" t="s">
        <v>127</v>
      </c>
      <c r="G125" s="7" t="s">
        <v>902</v>
      </c>
      <c r="H125" s="7" t="s">
        <v>903</v>
      </c>
      <c r="I125" s="124" t="s">
        <v>902</v>
      </c>
      <c r="J125" s="7">
        <v>34</v>
      </c>
      <c r="K125" s="124" t="s">
        <v>830</v>
      </c>
      <c r="L125" s="20" t="s">
        <v>74</v>
      </c>
      <c r="M125" s="22">
        <v>92.442213359631992</v>
      </c>
      <c r="N125" s="22">
        <v>21.266659786826686</v>
      </c>
      <c r="O125" s="22">
        <v>370.03550961143094</v>
      </c>
      <c r="P125" s="22">
        <v>17.131796585886104</v>
      </c>
      <c r="Q125" s="148">
        <v>259.27677194695724</v>
      </c>
      <c r="R125" s="148">
        <v>5.179290771484375</v>
      </c>
      <c r="S125" s="10">
        <v>0.9048392536652321</v>
      </c>
      <c r="T125" s="10">
        <v>-1.9208268748481596</v>
      </c>
      <c r="U125" s="22">
        <v>3.1528309515289531E-2</v>
      </c>
      <c r="V125" s="16">
        <v>8.2073518337375102</v>
      </c>
      <c r="W125" s="10">
        <v>10.12817870858567</v>
      </c>
      <c r="X125" s="10" t="s">
        <v>902</v>
      </c>
      <c r="Y125" s="10" t="s">
        <v>902</v>
      </c>
      <c r="Z125" s="10">
        <v>2.7666666666666671</v>
      </c>
      <c r="AA125" s="20" t="s">
        <v>133</v>
      </c>
      <c r="AB125" s="7">
        <v>578.6</v>
      </c>
      <c r="AC125" s="7">
        <v>551.79999999999995</v>
      </c>
      <c r="AD125" s="7">
        <v>0.95368129968890414</v>
      </c>
      <c r="AE125" s="7" t="s">
        <v>129</v>
      </c>
      <c r="AF125" s="20" t="s">
        <v>8</v>
      </c>
      <c r="AG125" s="11" t="s">
        <v>0</v>
      </c>
      <c r="AH125" s="7" t="s">
        <v>1292</v>
      </c>
    </row>
    <row r="126" spans="1:34" s="7" customFormat="1" ht="16.5" customHeight="1">
      <c r="A126" s="7">
        <v>2012</v>
      </c>
      <c r="B126" s="12">
        <v>41095</v>
      </c>
      <c r="C126" s="7" t="s">
        <v>22</v>
      </c>
      <c r="D126" s="9" t="s">
        <v>6</v>
      </c>
      <c r="E126" s="9" t="s">
        <v>11</v>
      </c>
      <c r="F126" s="9" t="s">
        <v>127</v>
      </c>
      <c r="G126" s="7" t="s">
        <v>902</v>
      </c>
      <c r="H126" s="7" t="s">
        <v>903</v>
      </c>
      <c r="I126" s="124" t="s">
        <v>902</v>
      </c>
      <c r="J126" s="7">
        <v>35</v>
      </c>
      <c r="K126" s="124" t="s">
        <v>831</v>
      </c>
      <c r="L126" s="20" t="s">
        <v>74</v>
      </c>
      <c r="M126" s="16">
        <v>92.442729725557214</v>
      </c>
      <c r="N126" s="16">
        <v>20.956867218017578</v>
      </c>
      <c r="O126" s="16">
        <v>369.07090310489428</v>
      </c>
      <c r="P126" s="16">
        <v>16.421730434193332</v>
      </c>
      <c r="Q126" s="147">
        <v>260.24080702837773</v>
      </c>
      <c r="R126" s="147">
        <v>4.885528564453125</v>
      </c>
      <c r="S126" s="10">
        <v>0.9048392536652321</v>
      </c>
      <c r="T126" s="10">
        <v>-2.3595467128081111</v>
      </c>
      <c r="U126" s="16">
        <v>3.7154404533607861E-2</v>
      </c>
      <c r="V126" s="16">
        <v>8.2073518337375102</v>
      </c>
      <c r="W126" s="10">
        <v>10.566898546545621</v>
      </c>
      <c r="X126" s="10" t="s">
        <v>902</v>
      </c>
      <c r="Y126" s="10" t="s">
        <v>902</v>
      </c>
      <c r="Z126" s="10">
        <v>2.7666666666666671</v>
      </c>
      <c r="AA126" s="20" t="s">
        <v>134</v>
      </c>
      <c r="AB126" s="7">
        <v>561.5</v>
      </c>
      <c r="AC126" s="7">
        <v>517.6</v>
      </c>
      <c r="AD126" s="7">
        <v>0.92181656277827251</v>
      </c>
      <c r="AE126" s="7" t="s">
        <v>129</v>
      </c>
      <c r="AF126" s="20" t="s">
        <v>8</v>
      </c>
      <c r="AG126" s="11" t="s">
        <v>0</v>
      </c>
      <c r="AH126" s="7" t="s">
        <v>1293</v>
      </c>
    </row>
    <row r="127" spans="1:34" s="7" customFormat="1" ht="16.5" customHeight="1">
      <c r="A127" s="7">
        <v>2012</v>
      </c>
      <c r="B127" s="12">
        <v>41099</v>
      </c>
      <c r="C127" s="7" t="s">
        <v>22</v>
      </c>
      <c r="D127" s="9" t="s">
        <v>6</v>
      </c>
      <c r="E127" s="9" t="s">
        <v>11</v>
      </c>
      <c r="F127" s="9" t="s">
        <v>127</v>
      </c>
      <c r="G127" s="7" t="s">
        <v>902</v>
      </c>
      <c r="H127" s="7" t="s">
        <v>903</v>
      </c>
      <c r="I127" s="124" t="s">
        <v>902</v>
      </c>
      <c r="J127" s="7">
        <v>22</v>
      </c>
      <c r="K127" s="124" t="s">
        <v>1561</v>
      </c>
      <c r="L127" s="30" t="s">
        <v>907</v>
      </c>
      <c r="M127" s="16">
        <v>92.765915340847442</v>
      </c>
      <c r="N127" s="16">
        <v>16.424990971883137</v>
      </c>
      <c r="O127" s="16">
        <v>346.06870354546442</v>
      </c>
      <c r="P127" s="16">
        <v>16.341089407602947</v>
      </c>
      <c r="Q127" s="147">
        <v>270.47943115234375</v>
      </c>
      <c r="R127" s="147">
        <v>14.522216796875</v>
      </c>
      <c r="S127" s="10">
        <v>0.9048392536652321</v>
      </c>
      <c r="T127" s="10">
        <v>-7.233898872530208</v>
      </c>
      <c r="U127" s="16">
        <v>2.3300450898791493E-2</v>
      </c>
      <c r="V127" s="16">
        <v>8.2073518337375102</v>
      </c>
      <c r="W127" s="10">
        <v>15.441250706267718</v>
      </c>
      <c r="X127" s="10" t="s">
        <v>902</v>
      </c>
      <c r="Y127" s="10" t="s">
        <v>902</v>
      </c>
      <c r="Z127" s="10">
        <v>2.7666666666666671</v>
      </c>
      <c r="AA127" s="20" t="s">
        <v>155</v>
      </c>
      <c r="AB127" s="7">
        <v>788.6</v>
      </c>
      <c r="AC127" s="7">
        <v>297.89999999999998</v>
      </c>
      <c r="AD127" s="7">
        <v>0.37775805224448383</v>
      </c>
      <c r="AE127" s="7" t="s">
        <v>902</v>
      </c>
      <c r="AF127" s="20" t="s">
        <v>8</v>
      </c>
      <c r="AG127" s="11" t="s">
        <v>1</v>
      </c>
      <c r="AH127" s="7" t="s">
        <v>1242</v>
      </c>
    </row>
    <row r="128" spans="1:34" s="7" customFormat="1" ht="16.5" customHeight="1">
      <c r="A128" s="7">
        <v>2012</v>
      </c>
      <c r="B128" s="12">
        <v>41099</v>
      </c>
      <c r="C128" s="7" t="s">
        <v>22</v>
      </c>
      <c r="D128" s="9" t="s">
        <v>6</v>
      </c>
      <c r="E128" s="9" t="s">
        <v>11</v>
      </c>
      <c r="F128" s="9" t="s">
        <v>127</v>
      </c>
      <c r="G128" s="7" t="s">
        <v>902</v>
      </c>
      <c r="H128" s="7" t="s">
        <v>903</v>
      </c>
      <c r="I128" s="124" t="s">
        <v>902</v>
      </c>
      <c r="J128" s="7">
        <v>23</v>
      </c>
      <c r="K128" s="124" t="s">
        <v>1562</v>
      </c>
      <c r="L128" s="30" t="s">
        <v>907</v>
      </c>
      <c r="M128" s="16">
        <v>92.739740472090872</v>
      </c>
      <c r="N128" s="16">
        <v>20.045923935739619</v>
      </c>
      <c r="O128" s="16">
        <v>357.35159944233141</v>
      </c>
      <c r="P128" s="16">
        <v>17.964938013177168</v>
      </c>
      <c r="Q128" s="147">
        <v>273.15161935906661</v>
      </c>
      <c r="R128" s="147">
        <v>26.335052490234375</v>
      </c>
      <c r="S128" s="10">
        <v>0.9048392536652321</v>
      </c>
      <c r="T128" s="10">
        <v>-8.5336479325521601</v>
      </c>
      <c r="U128" s="16">
        <v>4.961797145375034E-2</v>
      </c>
      <c r="V128" s="16">
        <v>8.2073518337375102</v>
      </c>
      <c r="W128" s="10">
        <v>16.740999766289669</v>
      </c>
      <c r="X128" s="10" t="s">
        <v>902</v>
      </c>
      <c r="Y128" s="10" t="s">
        <v>902</v>
      </c>
      <c r="Z128" s="10">
        <v>2.7666666666666671</v>
      </c>
      <c r="AA128" s="31" t="s">
        <v>159</v>
      </c>
      <c r="AB128" s="7">
        <v>1293.3499999999999</v>
      </c>
      <c r="AC128" s="7">
        <v>309.45000000000005</v>
      </c>
      <c r="AD128" s="7">
        <v>0.2392648964075168</v>
      </c>
      <c r="AE128" s="7" t="s">
        <v>902</v>
      </c>
      <c r="AF128" s="20" t="s">
        <v>8</v>
      </c>
      <c r="AG128" s="11" t="s">
        <v>1</v>
      </c>
      <c r="AH128" s="7" t="s">
        <v>1242</v>
      </c>
    </row>
    <row r="129" spans="1:34" s="7" customFormat="1" ht="16.5" customHeight="1">
      <c r="A129" s="7">
        <v>2012</v>
      </c>
      <c r="B129" s="12">
        <v>41095</v>
      </c>
      <c r="C129" s="7" t="s">
        <v>22</v>
      </c>
      <c r="D129" s="9" t="s">
        <v>6</v>
      </c>
      <c r="E129" s="9" t="s">
        <v>11</v>
      </c>
      <c r="F129" s="9" t="s">
        <v>127</v>
      </c>
      <c r="G129" s="7" t="s">
        <v>902</v>
      </c>
      <c r="H129" s="7" t="s">
        <v>903</v>
      </c>
      <c r="I129" s="124" t="s">
        <v>902</v>
      </c>
      <c r="J129" s="7">
        <v>36</v>
      </c>
      <c r="K129" s="124" t="s">
        <v>832</v>
      </c>
      <c r="L129" s="20" t="s">
        <v>74</v>
      </c>
      <c r="M129" s="16">
        <v>92.447660718645366</v>
      </c>
      <c r="N129" s="16">
        <v>20.400961194719589</v>
      </c>
      <c r="O129" s="16">
        <v>365.01303100585937</v>
      </c>
      <c r="P129" s="16">
        <v>16.115653787340438</v>
      </c>
      <c r="Q129" s="147">
        <v>298.02204677036832</v>
      </c>
      <c r="R129" s="147">
        <v>16.6932373046875</v>
      </c>
      <c r="S129" s="10">
        <v>0.9048392536652321</v>
      </c>
      <c r="T129" s="10">
        <v>-2.9236893462794562</v>
      </c>
      <c r="U129" s="16">
        <v>2.4359712495908632E-2</v>
      </c>
      <c r="V129" s="16">
        <v>8.2073518337375102</v>
      </c>
      <c r="W129" s="10">
        <v>11.131041180016966</v>
      </c>
      <c r="X129" s="10" t="s">
        <v>902</v>
      </c>
      <c r="Y129" s="10" t="s">
        <v>902</v>
      </c>
      <c r="Z129" s="10">
        <v>2.7666666666666671</v>
      </c>
      <c r="AA129" s="20" t="s">
        <v>135</v>
      </c>
      <c r="AB129" s="7">
        <v>577.4</v>
      </c>
      <c r="AC129" s="7">
        <v>559.1</v>
      </c>
      <c r="AD129" s="7">
        <v>0.96830620020782832</v>
      </c>
      <c r="AE129" s="7" t="s">
        <v>129</v>
      </c>
      <c r="AF129" s="20" t="s">
        <v>8</v>
      </c>
      <c r="AG129" s="11" t="s">
        <v>0</v>
      </c>
      <c r="AH129" s="7" t="s">
        <v>1294</v>
      </c>
    </row>
    <row r="130" spans="1:34" s="7" customFormat="1" ht="16.5" customHeight="1">
      <c r="A130" s="7">
        <v>2012</v>
      </c>
      <c r="B130" s="12">
        <v>41099</v>
      </c>
      <c r="C130" s="7" t="s">
        <v>22</v>
      </c>
      <c r="D130" s="9" t="s">
        <v>6</v>
      </c>
      <c r="E130" s="9" t="s">
        <v>11</v>
      </c>
      <c r="F130" s="9" t="s">
        <v>127</v>
      </c>
      <c r="G130" s="7" t="s">
        <v>902</v>
      </c>
      <c r="H130" s="7" t="s">
        <v>903</v>
      </c>
      <c r="I130" s="124" t="s">
        <v>902</v>
      </c>
      <c r="J130" s="7">
        <v>24</v>
      </c>
      <c r="K130" s="124" t="s">
        <v>1563</v>
      </c>
      <c r="L130" s="30" t="s">
        <v>907</v>
      </c>
      <c r="M130" s="16">
        <v>92.759735955132385</v>
      </c>
      <c r="N130" s="16">
        <v>16.974136352539063</v>
      </c>
      <c r="O130" s="16">
        <v>349.62383694118921</v>
      </c>
      <c r="P130" s="16">
        <v>16.931809531317818</v>
      </c>
      <c r="Q130" s="147">
        <v>324.25211249457465</v>
      </c>
      <c r="R130" s="147">
        <v>7.35833740234375</v>
      </c>
      <c r="S130" s="10">
        <v>0.9048392536652321</v>
      </c>
      <c r="T130" s="10">
        <v>-11.642742090824081</v>
      </c>
      <c r="U130" s="16">
        <v>3.1939491768001406E-2</v>
      </c>
      <c r="V130" s="16">
        <v>8.2073518337375102</v>
      </c>
      <c r="W130" s="10">
        <v>19.850093924561591</v>
      </c>
      <c r="X130" s="10" t="s">
        <v>902</v>
      </c>
      <c r="Y130" s="10" t="s">
        <v>902</v>
      </c>
      <c r="Z130" s="10">
        <v>2.7666666666666671</v>
      </c>
      <c r="AA130" s="31" t="s">
        <v>156</v>
      </c>
      <c r="AB130" s="7">
        <v>1069.95</v>
      </c>
      <c r="AC130" s="7">
        <v>302.7</v>
      </c>
      <c r="AD130" s="7">
        <v>0.28291271530158923</v>
      </c>
      <c r="AE130" s="7" t="s">
        <v>902</v>
      </c>
      <c r="AF130" s="20" t="s">
        <v>8</v>
      </c>
      <c r="AG130" s="11" t="s">
        <v>1</v>
      </c>
      <c r="AH130" s="7" t="s">
        <v>1242</v>
      </c>
    </row>
    <row r="131" spans="1:34" s="7" customFormat="1" ht="16.5" customHeight="1">
      <c r="A131" s="7">
        <v>2012</v>
      </c>
      <c r="B131" s="12">
        <v>41095</v>
      </c>
      <c r="C131" s="7" t="s">
        <v>22</v>
      </c>
      <c r="D131" s="9" t="s">
        <v>6</v>
      </c>
      <c r="E131" s="9" t="s">
        <v>11</v>
      </c>
      <c r="F131" s="9" t="s">
        <v>127</v>
      </c>
      <c r="G131" s="7" t="s">
        <v>902</v>
      </c>
      <c r="H131" s="7" t="s">
        <v>903</v>
      </c>
      <c r="I131" s="124" t="s">
        <v>902</v>
      </c>
      <c r="J131" s="7">
        <v>37</v>
      </c>
      <c r="K131" s="124" t="s">
        <v>833</v>
      </c>
      <c r="L131" s="20" t="s">
        <v>909</v>
      </c>
      <c r="M131" s="16">
        <v>92.452458572387698</v>
      </c>
      <c r="N131" s="16">
        <v>20.512014865875244</v>
      </c>
      <c r="O131" s="16">
        <v>359.75441589355466</v>
      </c>
      <c r="P131" s="16">
        <v>16.387777805328369</v>
      </c>
      <c r="Q131" s="147">
        <v>385.6636932373047</v>
      </c>
      <c r="R131" s="147">
        <v>11.64947509765625</v>
      </c>
      <c r="S131" s="10">
        <v>0.9048392536652321</v>
      </c>
      <c r="T131" s="10">
        <v>-6.1432507826576108</v>
      </c>
      <c r="U131" s="16">
        <v>2.8525512379811224E-2</v>
      </c>
      <c r="V131" s="16">
        <v>8.2073518337375102</v>
      </c>
      <c r="W131" s="10">
        <v>14.350602616395122</v>
      </c>
      <c r="X131" s="10" t="s">
        <v>902</v>
      </c>
      <c r="Y131" s="10" t="s">
        <v>902</v>
      </c>
      <c r="Z131" s="10">
        <v>2.7666666666666671</v>
      </c>
      <c r="AA131" s="20" t="s">
        <v>132</v>
      </c>
      <c r="AB131" s="7">
        <v>502.9</v>
      </c>
      <c r="AC131" s="7">
        <v>478.5</v>
      </c>
      <c r="AD131" s="7">
        <v>0.95148140783455959</v>
      </c>
      <c r="AE131" s="7" t="s">
        <v>129</v>
      </c>
      <c r="AF131" s="20" t="s">
        <v>8</v>
      </c>
      <c r="AG131" s="11" t="s">
        <v>0</v>
      </c>
      <c r="AH131" s="7" t="s">
        <v>1295</v>
      </c>
    </row>
    <row r="132" spans="1:34" s="7" customFormat="1" ht="16.5" customHeight="1">
      <c r="A132" s="7">
        <v>2012</v>
      </c>
      <c r="B132" s="12">
        <v>41095</v>
      </c>
      <c r="C132" s="7" t="s">
        <v>22</v>
      </c>
      <c r="D132" s="9" t="s">
        <v>6</v>
      </c>
      <c r="E132" s="9" t="s">
        <v>11</v>
      </c>
      <c r="F132" s="9" t="s">
        <v>127</v>
      </c>
      <c r="G132" s="7" t="s">
        <v>902</v>
      </c>
      <c r="H132" s="7" t="s">
        <v>903</v>
      </c>
      <c r="I132" s="124" t="s">
        <v>902</v>
      </c>
      <c r="J132" s="7">
        <v>38</v>
      </c>
      <c r="K132" s="124" t="s">
        <v>834</v>
      </c>
      <c r="L132" s="20" t="s">
        <v>909</v>
      </c>
      <c r="M132" s="16">
        <v>92.4522705078125</v>
      </c>
      <c r="N132" s="16">
        <v>20.192663383483886</v>
      </c>
      <c r="O132" s="16">
        <v>362.00010986328124</v>
      </c>
      <c r="P132" s="16">
        <v>16.243983268737793</v>
      </c>
      <c r="Q132" s="147">
        <v>390.03109283447264</v>
      </c>
      <c r="R132" s="147">
        <v>18.505126953125</v>
      </c>
      <c r="S132" s="10">
        <v>0.9048392536652321</v>
      </c>
      <c r="T132" s="10">
        <v>-4.8368380701139548</v>
      </c>
      <c r="U132" s="16">
        <v>2.7254040079905575E-2</v>
      </c>
      <c r="V132" s="16">
        <v>8.2073518337375102</v>
      </c>
      <c r="W132" s="10">
        <v>13.044189903851464</v>
      </c>
      <c r="X132" s="10" t="s">
        <v>902</v>
      </c>
      <c r="Y132" s="10" t="s">
        <v>902</v>
      </c>
      <c r="Z132" s="10">
        <v>2.7666666666666671</v>
      </c>
      <c r="AA132" s="20" t="s">
        <v>131</v>
      </c>
      <c r="AB132" s="7">
        <v>485.8</v>
      </c>
      <c r="AC132" s="7">
        <v>471.2</v>
      </c>
      <c r="AD132" s="7">
        <v>0.96994648003293527</v>
      </c>
      <c r="AE132" s="7" t="s">
        <v>129</v>
      </c>
      <c r="AF132" s="20" t="s">
        <v>8</v>
      </c>
      <c r="AG132" s="11" t="s">
        <v>0</v>
      </c>
      <c r="AH132" s="7" t="s">
        <v>1296</v>
      </c>
    </row>
    <row r="133" spans="1:34" s="7" customFormat="1" ht="16.5" customHeight="1">
      <c r="A133" s="7">
        <v>2012</v>
      </c>
      <c r="B133" s="12">
        <v>41099</v>
      </c>
      <c r="C133" s="7" t="s">
        <v>22</v>
      </c>
      <c r="D133" s="9" t="s">
        <v>6</v>
      </c>
      <c r="E133" s="9" t="s">
        <v>11</v>
      </c>
      <c r="F133" s="9" t="s">
        <v>127</v>
      </c>
      <c r="G133" s="7" t="s">
        <v>902</v>
      </c>
      <c r="H133" s="7" t="s">
        <v>903</v>
      </c>
      <c r="I133" s="124" t="s">
        <v>902</v>
      </c>
      <c r="J133" s="7">
        <v>16</v>
      </c>
      <c r="K133" s="124" t="s">
        <v>1564</v>
      </c>
      <c r="L133" s="20" t="s">
        <v>74</v>
      </c>
      <c r="M133" s="16">
        <v>92.748644510904953</v>
      </c>
      <c r="N133" s="16">
        <v>18.873330222235786</v>
      </c>
      <c r="O133" s="16">
        <v>351.93726264105902</v>
      </c>
      <c r="P133" s="16">
        <v>19.629616101582844</v>
      </c>
      <c r="Q133" s="147">
        <v>412.62868245442706</v>
      </c>
      <c r="R133" s="147">
        <v>6.72296142578125</v>
      </c>
      <c r="S133" s="10">
        <v>0.9048392536652321</v>
      </c>
      <c r="T133" s="10">
        <v>-7.6829098022009825</v>
      </c>
      <c r="U133" s="16">
        <v>2.9279410654546308E-2</v>
      </c>
      <c r="V133" s="16">
        <v>8.2073518337375102</v>
      </c>
      <c r="W133" s="10">
        <v>15.890261635938494</v>
      </c>
      <c r="X133" s="10" t="s">
        <v>902</v>
      </c>
      <c r="Y133" s="10" t="s">
        <v>902</v>
      </c>
      <c r="Z133" s="10">
        <v>2.7666666666666671</v>
      </c>
      <c r="AA133" s="31" t="s">
        <v>162</v>
      </c>
      <c r="AB133" s="7">
        <v>1385.5</v>
      </c>
      <c r="AC133" s="7">
        <v>391.85</v>
      </c>
      <c r="AD133" s="7">
        <v>0.28282169353335374</v>
      </c>
      <c r="AE133" s="7" t="s">
        <v>170</v>
      </c>
      <c r="AF133" s="20" t="s">
        <v>8</v>
      </c>
      <c r="AG133" s="11" t="s">
        <v>864</v>
      </c>
      <c r="AH133" s="7" t="s">
        <v>1242</v>
      </c>
    </row>
    <row r="134" spans="1:34" s="7" customFormat="1" ht="16.5" customHeight="1">
      <c r="A134" s="7">
        <v>2012</v>
      </c>
      <c r="B134" s="12">
        <v>41099</v>
      </c>
      <c r="C134" s="7" t="s">
        <v>22</v>
      </c>
      <c r="D134" s="9" t="s">
        <v>6</v>
      </c>
      <c r="E134" s="9" t="s">
        <v>11</v>
      </c>
      <c r="F134" s="9" t="s">
        <v>127</v>
      </c>
      <c r="G134" s="7" t="s">
        <v>902</v>
      </c>
      <c r="H134" s="7" t="s">
        <v>903</v>
      </c>
      <c r="I134" s="124" t="s">
        <v>902</v>
      </c>
      <c r="J134" s="7">
        <v>25</v>
      </c>
      <c r="K134" s="124" t="s">
        <v>1565</v>
      </c>
      <c r="L134" s="30" t="s">
        <v>908</v>
      </c>
      <c r="M134" s="16">
        <v>92.759103875411185</v>
      </c>
      <c r="N134" s="16">
        <v>18.685165304886667</v>
      </c>
      <c r="O134" s="16">
        <v>342.31002004523026</v>
      </c>
      <c r="P134" s="16">
        <v>19.617378736797132</v>
      </c>
      <c r="Q134" s="147">
        <v>480.80220272666531</v>
      </c>
      <c r="R134" s="147">
        <v>147.8505859375</v>
      </c>
      <c r="S134" s="10">
        <v>0.9048392536652321</v>
      </c>
      <c r="T134" s="10">
        <v>-11.186578350688178</v>
      </c>
      <c r="U134" s="16">
        <v>2.7757279914722106E-2</v>
      </c>
      <c r="V134" s="16">
        <v>8.2073518337375102</v>
      </c>
      <c r="W134" s="10">
        <v>19.393930184425688</v>
      </c>
      <c r="X134" s="10" t="s">
        <v>902</v>
      </c>
      <c r="Y134" s="10" t="s">
        <v>902</v>
      </c>
      <c r="Z134" s="10">
        <v>2.7666666666666671</v>
      </c>
      <c r="AA134" s="31" t="s">
        <v>157</v>
      </c>
      <c r="AB134" s="7">
        <v>1156.5999999999999</v>
      </c>
      <c r="AC134" s="7">
        <v>256.3</v>
      </c>
      <c r="AD134" s="7">
        <v>0.22159784625100321</v>
      </c>
      <c r="AE134" s="7" t="s">
        <v>902</v>
      </c>
      <c r="AF134" s="20" t="s">
        <v>8</v>
      </c>
      <c r="AG134" s="11" t="s">
        <v>1</v>
      </c>
      <c r="AH134" s="7" t="s">
        <v>1242</v>
      </c>
    </row>
    <row r="135" spans="1:34" s="7" customFormat="1" ht="16.5" customHeight="1">
      <c r="A135" s="7">
        <v>2012</v>
      </c>
      <c r="B135" s="12">
        <v>41095</v>
      </c>
      <c r="C135" s="7" t="s">
        <v>22</v>
      </c>
      <c r="D135" s="9" t="s">
        <v>6</v>
      </c>
      <c r="E135" s="9" t="s">
        <v>11</v>
      </c>
      <c r="F135" s="9" t="s">
        <v>127</v>
      </c>
      <c r="G135" s="7" t="s">
        <v>902</v>
      </c>
      <c r="H135" s="7" t="s">
        <v>903</v>
      </c>
      <c r="I135" s="124" t="s">
        <v>902</v>
      </c>
      <c r="J135" s="7">
        <v>39</v>
      </c>
      <c r="K135" s="124" t="s">
        <v>1566</v>
      </c>
      <c r="L135" s="20" t="s">
        <v>909</v>
      </c>
      <c r="M135" s="16">
        <v>92.440714094373917</v>
      </c>
      <c r="N135" s="16">
        <v>22.240397029452854</v>
      </c>
      <c r="O135" s="16">
        <v>356.89535861545141</v>
      </c>
      <c r="P135" s="16">
        <v>17.654491318596733</v>
      </c>
      <c r="Q135" s="147">
        <v>482.90360853407117</v>
      </c>
      <c r="R135" s="147">
        <v>5.80560302734375</v>
      </c>
      <c r="S135" s="10">
        <v>0.9048392536652321</v>
      </c>
      <c r="T135" s="10">
        <v>-9.2300757114475775</v>
      </c>
      <c r="U135" s="16">
        <v>4.6909134454402389E-2</v>
      </c>
      <c r="V135" s="16">
        <v>8.2073518337375102</v>
      </c>
      <c r="W135" s="10">
        <v>17.437427545185088</v>
      </c>
      <c r="X135" s="10" t="s">
        <v>902</v>
      </c>
      <c r="Y135" s="10" t="s">
        <v>902</v>
      </c>
      <c r="Z135" s="10">
        <v>2.7666666666666671</v>
      </c>
      <c r="AA135" s="20" t="s">
        <v>130</v>
      </c>
      <c r="AB135" s="7">
        <v>607.9</v>
      </c>
      <c r="AC135" s="7">
        <v>598.1</v>
      </c>
      <c r="AD135" s="7">
        <v>0.98387892745517358</v>
      </c>
      <c r="AE135" s="7" t="s">
        <v>129</v>
      </c>
      <c r="AF135" s="20" t="s">
        <v>8</v>
      </c>
      <c r="AG135" s="11" t="s">
        <v>0</v>
      </c>
      <c r="AH135" s="7" t="s">
        <v>1242</v>
      </c>
    </row>
    <row r="136" spans="1:34" s="7" customFormat="1" ht="16.5" customHeight="1">
      <c r="A136" s="7">
        <v>2012</v>
      </c>
      <c r="B136" s="12">
        <v>41095</v>
      </c>
      <c r="C136" s="7" t="s">
        <v>22</v>
      </c>
      <c r="D136" s="9" t="s">
        <v>6</v>
      </c>
      <c r="E136" s="9" t="s">
        <v>11</v>
      </c>
      <c r="F136" s="9" t="s">
        <v>127</v>
      </c>
      <c r="G136" s="7" t="s">
        <v>902</v>
      </c>
      <c r="H136" s="7" t="s">
        <v>903</v>
      </c>
      <c r="I136" s="124" t="s">
        <v>902</v>
      </c>
      <c r="J136" s="7">
        <v>40</v>
      </c>
      <c r="K136" s="124" t="s">
        <v>1567</v>
      </c>
      <c r="L136" s="20" t="s">
        <v>909</v>
      </c>
      <c r="M136" s="16">
        <v>92.439299689398865</v>
      </c>
      <c r="N136" s="16">
        <v>22.447458797030979</v>
      </c>
      <c r="O136" s="16">
        <v>361.1136525472005</v>
      </c>
      <c r="P136" s="16">
        <v>18.227528995937771</v>
      </c>
      <c r="Q136" s="147">
        <v>485.25377400716144</v>
      </c>
      <c r="R136" s="147">
        <v>14.11285400390625</v>
      </c>
      <c r="S136" s="10">
        <v>0.9048392536652321</v>
      </c>
      <c r="T136" s="10">
        <v>-9.8601689838671156</v>
      </c>
      <c r="U136" s="16">
        <v>4.4223252956835234E-2</v>
      </c>
      <c r="V136" s="16">
        <v>8.2073518337375102</v>
      </c>
      <c r="W136" s="10">
        <v>18.067520817604624</v>
      </c>
      <c r="X136" s="10" t="s">
        <v>902</v>
      </c>
      <c r="Y136" s="10" t="s">
        <v>902</v>
      </c>
      <c r="Z136" s="10">
        <v>2.7666666666666671</v>
      </c>
      <c r="AA136" s="20" t="s">
        <v>128</v>
      </c>
      <c r="AB136" s="7">
        <v>754.4</v>
      </c>
      <c r="AC136" s="7">
        <v>603</v>
      </c>
      <c r="AD136" s="7">
        <v>0.7993107104984094</v>
      </c>
      <c r="AE136" s="7" t="s">
        <v>129</v>
      </c>
      <c r="AF136" s="20" t="s">
        <v>8</v>
      </c>
      <c r="AG136" s="11" t="s">
        <v>0</v>
      </c>
      <c r="AH136" s="7" t="s">
        <v>1242</v>
      </c>
    </row>
    <row r="137" spans="1:34" s="7" customFormat="1" ht="16.5" customHeight="1">
      <c r="A137" s="7">
        <v>2012</v>
      </c>
      <c r="B137" s="12">
        <v>41099</v>
      </c>
      <c r="C137" s="7" t="s">
        <v>22</v>
      </c>
      <c r="D137" s="9" t="s">
        <v>6</v>
      </c>
      <c r="E137" s="9" t="s">
        <v>11</v>
      </c>
      <c r="F137" s="9" t="s">
        <v>127</v>
      </c>
      <c r="G137" s="7" t="s">
        <v>902</v>
      </c>
      <c r="H137" s="7" t="s">
        <v>903</v>
      </c>
      <c r="I137" s="124" t="s">
        <v>902</v>
      </c>
      <c r="J137" s="7">
        <v>26</v>
      </c>
      <c r="K137" s="124" t="s">
        <v>1568</v>
      </c>
      <c r="L137" s="30" t="s">
        <v>908</v>
      </c>
      <c r="M137" s="16">
        <v>92.755572424994568</v>
      </c>
      <c r="N137" s="16">
        <v>19.255553563435871</v>
      </c>
      <c r="O137" s="16">
        <v>330.76838005913629</v>
      </c>
      <c r="P137" s="16">
        <v>20.70500045352512</v>
      </c>
      <c r="Q137" s="147">
        <v>491.30844624837238</v>
      </c>
      <c r="R137" s="147">
        <v>33.307220458984375</v>
      </c>
      <c r="S137" s="10">
        <v>0.9048392536652321</v>
      </c>
      <c r="T137" s="10">
        <v>-8.9796890790487183</v>
      </c>
      <c r="U137" s="16">
        <v>1.4403782146756985E-2</v>
      </c>
      <c r="V137" s="16">
        <v>8.2073518337375102</v>
      </c>
      <c r="W137" s="10">
        <v>17.18704091278623</v>
      </c>
      <c r="X137" s="10" t="s">
        <v>902</v>
      </c>
      <c r="Y137" s="10" t="s">
        <v>902</v>
      </c>
      <c r="Z137" s="10">
        <v>2.7666666666666671</v>
      </c>
      <c r="AA137" s="31" t="s">
        <v>158</v>
      </c>
      <c r="AB137" s="7">
        <v>1160.9000000000001</v>
      </c>
      <c r="AC137" s="7">
        <v>238.05</v>
      </c>
      <c r="AD137" s="7">
        <v>0.20505775386171352</v>
      </c>
      <c r="AE137" s="7" t="s">
        <v>902</v>
      </c>
      <c r="AF137" s="20" t="s">
        <v>8</v>
      </c>
      <c r="AG137" s="11" t="s">
        <v>1</v>
      </c>
      <c r="AH137" s="7" t="s">
        <v>1242</v>
      </c>
    </row>
    <row r="138" spans="1:34" s="7" customFormat="1" ht="16.5" customHeight="1">
      <c r="A138" s="7">
        <v>2012</v>
      </c>
      <c r="B138" s="12">
        <v>41099</v>
      </c>
      <c r="C138" s="7" t="s">
        <v>22</v>
      </c>
      <c r="D138" s="9" t="s">
        <v>6</v>
      </c>
      <c r="E138" s="9" t="s">
        <v>11</v>
      </c>
      <c r="F138" s="9" t="s">
        <v>127</v>
      </c>
      <c r="G138" s="7" t="s">
        <v>902</v>
      </c>
      <c r="H138" s="7" t="s">
        <v>903</v>
      </c>
      <c r="I138" s="124" t="s">
        <v>902</v>
      </c>
      <c r="J138" s="7">
        <v>7</v>
      </c>
      <c r="K138" s="124" t="s">
        <v>1569</v>
      </c>
      <c r="L138" s="30" t="s">
        <v>909</v>
      </c>
      <c r="M138" s="16">
        <v>92.770526885986328</v>
      </c>
      <c r="N138" s="16">
        <v>16.335659027099609</v>
      </c>
      <c r="O138" s="16">
        <v>345.92591010199652</v>
      </c>
      <c r="P138" s="16">
        <v>16.161686526404488</v>
      </c>
      <c r="Q138" s="147">
        <v>553.65921359592016</v>
      </c>
      <c r="R138" s="147">
        <v>30.615478515625</v>
      </c>
      <c r="S138" s="10">
        <v>0.9048392536652321</v>
      </c>
      <c r="T138" s="10">
        <v>-12.923846215224904</v>
      </c>
      <c r="U138" s="16">
        <v>2.7268189763875201E-2</v>
      </c>
      <c r="V138" s="16">
        <v>8.2073518337375102</v>
      </c>
      <c r="W138" s="10">
        <v>21.131198048962414</v>
      </c>
      <c r="X138" s="10" t="s">
        <v>902</v>
      </c>
      <c r="Y138" s="10" t="s">
        <v>902</v>
      </c>
      <c r="Z138" s="10">
        <v>2.7666666666666671</v>
      </c>
      <c r="AA138" s="20" t="s">
        <v>146</v>
      </c>
      <c r="AB138" s="7">
        <v>559.1</v>
      </c>
      <c r="AC138" s="7">
        <v>300.3</v>
      </c>
      <c r="AD138" s="7">
        <v>0.53711321767125741</v>
      </c>
      <c r="AE138" s="7" t="s">
        <v>145</v>
      </c>
      <c r="AF138" s="20" t="s">
        <v>8</v>
      </c>
      <c r="AG138" s="11" t="s">
        <v>2</v>
      </c>
      <c r="AH138" s="7" t="s">
        <v>1242</v>
      </c>
    </row>
    <row r="139" spans="1:34" s="7" customFormat="1" ht="16.5" customHeight="1">
      <c r="A139" s="7">
        <v>2012</v>
      </c>
      <c r="B139" s="12">
        <v>41099</v>
      </c>
      <c r="C139" s="7" t="s">
        <v>22</v>
      </c>
      <c r="D139" s="9" t="s">
        <v>6</v>
      </c>
      <c r="E139" s="9" t="s">
        <v>11</v>
      </c>
      <c r="F139" s="9" t="s">
        <v>127</v>
      </c>
      <c r="G139" s="7" t="s">
        <v>902</v>
      </c>
      <c r="H139" s="7" t="s">
        <v>903</v>
      </c>
      <c r="I139" s="124" t="s">
        <v>902</v>
      </c>
      <c r="J139" s="7">
        <v>8</v>
      </c>
      <c r="K139" s="124" t="s">
        <v>1570</v>
      </c>
      <c r="L139" s="30" t="s">
        <v>909</v>
      </c>
      <c r="M139" s="16">
        <v>92.770063188340927</v>
      </c>
      <c r="N139" s="16">
        <v>16.082524458567303</v>
      </c>
      <c r="O139" s="16">
        <v>340.09563700358075</v>
      </c>
      <c r="P139" s="16">
        <v>16.221178796556259</v>
      </c>
      <c r="Q139" s="147">
        <v>619.17272610134546</v>
      </c>
      <c r="R139" s="147">
        <v>166.00677490234375</v>
      </c>
      <c r="S139" s="10">
        <v>0.9048392536652321</v>
      </c>
      <c r="T139" s="10">
        <v>-11.812289681224369</v>
      </c>
      <c r="U139" s="16">
        <v>2.2010917388002694E-2</v>
      </c>
      <c r="V139" s="16">
        <v>8.2073518337375102</v>
      </c>
      <c r="W139" s="10">
        <v>20.019641514961879</v>
      </c>
      <c r="X139" s="10" t="s">
        <v>902</v>
      </c>
      <c r="Y139" s="10" t="s">
        <v>902</v>
      </c>
      <c r="Z139" s="10">
        <v>2.7666666666666671</v>
      </c>
      <c r="AA139" s="20" t="s">
        <v>144</v>
      </c>
      <c r="AB139" s="7">
        <v>626.20000000000005</v>
      </c>
      <c r="AC139" s="7">
        <v>302.7</v>
      </c>
      <c r="AD139" s="7">
        <v>0.48339188757585433</v>
      </c>
      <c r="AE139" s="7" t="s">
        <v>145</v>
      </c>
      <c r="AF139" s="20" t="s">
        <v>8</v>
      </c>
      <c r="AG139" s="11" t="s">
        <v>2</v>
      </c>
      <c r="AH139" s="7" t="s">
        <v>1242</v>
      </c>
    </row>
    <row r="140" spans="1:34" s="7" customFormat="1" ht="16.5" customHeight="1">
      <c r="A140" s="7">
        <v>2012</v>
      </c>
      <c r="B140" s="12">
        <v>41099</v>
      </c>
      <c r="C140" s="7" t="s">
        <v>22</v>
      </c>
      <c r="D140" s="9" t="s">
        <v>6</v>
      </c>
      <c r="E140" s="9" t="s">
        <v>11</v>
      </c>
      <c r="F140" s="9" t="s">
        <v>127</v>
      </c>
      <c r="G140" s="7" t="s">
        <v>902</v>
      </c>
      <c r="H140" s="7" t="s">
        <v>903</v>
      </c>
      <c r="I140" s="124" t="s">
        <v>902</v>
      </c>
      <c r="J140" s="7">
        <v>27</v>
      </c>
      <c r="K140" s="124" t="s">
        <v>827</v>
      </c>
      <c r="L140" s="30" t="s">
        <v>908</v>
      </c>
      <c r="M140" s="16">
        <v>92.741769057053787</v>
      </c>
      <c r="N140" s="16">
        <v>20.691177955040565</v>
      </c>
      <c r="O140" s="16">
        <v>358.55264986478363</v>
      </c>
      <c r="P140" s="16">
        <v>17.387266305776741</v>
      </c>
      <c r="Q140" s="147">
        <v>624.87698129507214</v>
      </c>
      <c r="R140" s="147">
        <v>65.42724609375</v>
      </c>
      <c r="S140" s="10">
        <v>0.9048392536652321</v>
      </c>
      <c r="T140" s="10">
        <v>-12.896590407534195</v>
      </c>
      <c r="U140" s="16">
        <v>6.2497478887330135E-2</v>
      </c>
      <c r="V140" s="16">
        <v>8.2073518337375102</v>
      </c>
      <c r="W140" s="10">
        <v>21.103942241271703</v>
      </c>
      <c r="X140" s="10" t="s">
        <v>902</v>
      </c>
      <c r="Y140" s="10" t="s">
        <v>902</v>
      </c>
      <c r="Z140" s="10">
        <v>2.7666666666666671</v>
      </c>
      <c r="AA140" s="31" t="s">
        <v>160</v>
      </c>
      <c r="AB140" s="7">
        <v>1352.55</v>
      </c>
      <c r="AC140" s="7">
        <v>323.5</v>
      </c>
      <c r="AD140" s="7">
        <v>0.23948807830743674</v>
      </c>
      <c r="AE140" s="7" t="s">
        <v>171</v>
      </c>
      <c r="AF140" s="20" t="s">
        <v>8</v>
      </c>
      <c r="AG140" s="11" t="s">
        <v>1</v>
      </c>
      <c r="AH140" s="7" t="s">
        <v>1297</v>
      </c>
    </row>
    <row r="141" spans="1:34" s="7" customFormat="1" ht="16.5" customHeight="1">
      <c r="A141" s="7">
        <v>2012</v>
      </c>
      <c r="B141" s="12">
        <v>41099</v>
      </c>
      <c r="C141" s="7" t="s">
        <v>22</v>
      </c>
      <c r="D141" s="9" t="s">
        <v>6</v>
      </c>
      <c r="E141" s="9" t="s">
        <v>11</v>
      </c>
      <c r="F141" s="9" t="s">
        <v>127</v>
      </c>
      <c r="G141" s="7" t="s">
        <v>902</v>
      </c>
      <c r="H141" s="7" t="s">
        <v>903</v>
      </c>
      <c r="I141" s="124" t="s">
        <v>902</v>
      </c>
      <c r="J141" s="7">
        <v>9</v>
      </c>
      <c r="K141" s="124" t="s">
        <v>1571</v>
      </c>
      <c r="L141" s="30" t="s">
        <v>909</v>
      </c>
      <c r="M141" s="16">
        <v>92.770331934878698</v>
      </c>
      <c r="N141" s="16">
        <v>15.743119239807129</v>
      </c>
      <c r="O141" s="16">
        <v>355.74047530324833</v>
      </c>
      <c r="P141" s="16">
        <v>15.066713483710037</v>
      </c>
      <c r="Q141" s="147">
        <v>641.9395559210526</v>
      </c>
      <c r="R141" s="147">
        <v>50.69091796875</v>
      </c>
      <c r="S141" s="10">
        <v>0.9048392536652321</v>
      </c>
      <c r="T141" s="10">
        <v>-14.792533077982002</v>
      </c>
      <c r="U141" s="16">
        <v>4.3545999861600092E-2</v>
      </c>
      <c r="V141" s="16">
        <v>8.2073518337375102</v>
      </c>
      <c r="W141" s="10">
        <v>22.999884911719512</v>
      </c>
      <c r="X141" s="10" t="s">
        <v>902</v>
      </c>
      <c r="Y141" s="10" t="s">
        <v>902</v>
      </c>
      <c r="Z141" s="10">
        <v>2.7666666666666671</v>
      </c>
      <c r="AA141" s="20" t="s">
        <v>147</v>
      </c>
      <c r="AB141" s="7">
        <v>634.79999999999995</v>
      </c>
      <c r="AC141" s="7">
        <v>297.89999999999998</v>
      </c>
      <c r="AD141" s="7">
        <v>0.46928166351606804</v>
      </c>
      <c r="AE141" s="7" t="s">
        <v>145</v>
      </c>
      <c r="AF141" s="20" t="s">
        <v>8</v>
      </c>
      <c r="AG141" s="11" t="s">
        <v>2</v>
      </c>
      <c r="AH141" s="7" t="s">
        <v>1242</v>
      </c>
    </row>
    <row r="142" spans="1:34" s="7" customFormat="1" ht="16.5" customHeight="1">
      <c r="A142" s="7">
        <v>2012</v>
      </c>
      <c r="B142" s="12">
        <v>41099</v>
      </c>
      <c r="C142" s="7" t="s">
        <v>22</v>
      </c>
      <c r="D142" s="9" t="s">
        <v>6</v>
      </c>
      <c r="E142" s="9" t="s">
        <v>11</v>
      </c>
      <c r="F142" s="9" t="s">
        <v>127</v>
      </c>
      <c r="G142" s="7" t="s">
        <v>902</v>
      </c>
      <c r="H142" s="7" t="s">
        <v>903</v>
      </c>
      <c r="I142" s="124" t="s">
        <v>902</v>
      </c>
      <c r="J142" s="7">
        <v>28</v>
      </c>
      <c r="K142" s="124" t="s">
        <v>1572</v>
      </c>
      <c r="L142" s="30" t="s">
        <v>908</v>
      </c>
      <c r="M142" s="16">
        <v>92.742087046305343</v>
      </c>
      <c r="N142" s="16">
        <v>21.36246183183458</v>
      </c>
      <c r="O142" s="16">
        <v>355.83004930284289</v>
      </c>
      <c r="P142" s="16">
        <v>18.323749542236328</v>
      </c>
      <c r="Q142" s="147">
        <v>678.10788302951391</v>
      </c>
      <c r="R142" s="147">
        <v>98.62261962890625</v>
      </c>
      <c r="S142" s="10">
        <v>0.9048392536652321</v>
      </c>
      <c r="T142" s="10">
        <v>-14.379726235788988</v>
      </c>
      <c r="U142" s="16">
        <v>5.9771751348694287E-2</v>
      </c>
      <c r="V142" s="16">
        <v>8.2073518337375102</v>
      </c>
      <c r="W142" s="10">
        <v>22.587078069526498</v>
      </c>
      <c r="X142" s="10" t="s">
        <v>902</v>
      </c>
      <c r="Y142" s="10" t="s">
        <v>902</v>
      </c>
      <c r="Z142" s="10">
        <v>2.7666666666666671</v>
      </c>
      <c r="AA142" s="31" t="s">
        <v>161</v>
      </c>
      <c r="AB142" s="7">
        <v>1452.65</v>
      </c>
      <c r="AC142" s="7">
        <v>364.95</v>
      </c>
      <c r="AD142" s="7">
        <v>0.25123643187245381</v>
      </c>
      <c r="AE142" s="7" t="s">
        <v>902</v>
      </c>
      <c r="AF142" s="20" t="s">
        <v>8</v>
      </c>
      <c r="AG142" s="11" t="s">
        <v>1</v>
      </c>
      <c r="AH142" s="7" t="s">
        <v>1242</v>
      </c>
    </row>
    <row r="143" spans="1:34" s="7" customFormat="1" ht="16.5" customHeight="1">
      <c r="A143" s="7">
        <v>2012</v>
      </c>
      <c r="B143" s="12">
        <v>41099</v>
      </c>
      <c r="C143" s="7" t="s">
        <v>22</v>
      </c>
      <c r="D143" s="9" t="s">
        <v>6</v>
      </c>
      <c r="E143" s="9" t="s">
        <v>11</v>
      </c>
      <c r="F143" s="9" t="s">
        <v>127</v>
      </c>
      <c r="G143" s="7" t="s">
        <v>902</v>
      </c>
      <c r="H143" s="7" t="s">
        <v>903</v>
      </c>
      <c r="I143" s="124" t="s">
        <v>902</v>
      </c>
      <c r="J143" s="7">
        <v>17</v>
      </c>
      <c r="K143" s="124" t="s">
        <v>1573</v>
      </c>
      <c r="L143" s="20" t="s">
        <v>74</v>
      </c>
      <c r="M143" s="16">
        <v>92.741574181450744</v>
      </c>
      <c r="N143" s="16">
        <v>21.044688330756294</v>
      </c>
      <c r="O143" s="16">
        <v>356.37802124023437</v>
      </c>
      <c r="P143" s="16">
        <v>17.679703500535751</v>
      </c>
      <c r="Q143" s="147">
        <v>685.92228529188367</v>
      </c>
      <c r="R143" s="147">
        <v>6.80291748046875</v>
      </c>
      <c r="S143" s="10">
        <v>0.9048392536652321</v>
      </c>
      <c r="T143" s="10">
        <v>-13.680930247649144</v>
      </c>
      <c r="U143" s="16">
        <v>7.781593964441888E-2</v>
      </c>
      <c r="V143" s="16">
        <v>8.2073518337375102</v>
      </c>
      <c r="W143" s="10">
        <v>21.888282081386656</v>
      </c>
      <c r="X143" s="10" t="s">
        <v>902</v>
      </c>
      <c r="Y143" s="10" t="s">
        <v>902</v>
      </c>
      <c r="Z143" s="10">
        <v>2.7666666666666671</v>
      </c>
      <c r="AA143" s="31" t="s">
        <v>163</v>
      </c>
      <c r="AB143" s="7">
        <v>1429.45</v>
      </c>
      <c r="AC143" s="7">
        <v>373.5</v>
      </c>
      <c r="AD143" s="7">
        <v>0.26128950688009245</v>
      </c>
      <c r="AE143" s="7" t="s">
        <v>170</v>
      </c>
      <c r="AF143" s="20" t="s">
        <v>8</v>
      </c>
      <c r="AG143" s="11" t="s">
        <v>864</v>
      </c>
      <c r="AH143" s="7" t="s">
        <v>1242</v>
      </c>
    </row>
    <row r="144" spans="1:34" s="7" customFormat="1" ht="16.5" customHeight="1">
      <c r="A144" s="7">
        <v>2012</v>
      </c>
      <c r="B144" s="12">
        <v>41099</v>
      </c>
      <c r="C144" s="7" t="s">
        <v>22</v>
      </c>
      <c r="D144" s="9" t="s">
        <v>6</v>
      </c>
      <c r="E144" s="9" t="s">
        <v>11</v>
      </c>
      <c r="F144" s="9" t="s">
        <v>127</v>
      </c>
      <c r="G144" s="7" t="s">
        <v>902</v>
      </c>
      <c r="H144" s="7" t="s">
        <v>903</v>
      </c>
      <c r="I144" s="124" t="s">
        <v>902</v>
      </c>
      <c r="J144" s="7">
        <v>18</v>
      </c>
      <c r="K144" s="124" t="s">
        <v>1574</v>
      </c>
      <c r="L144" s="20" t="s">
        <v>74</v>
      </c>
      <c r="M144" s="16">
        <v>92.735981835259338</v>
      </c>
      <c r="N144" s="16">
        <v>22.195261319478352</v>
      </c>
      <c r="O144" s="16">
        <v>349.07736545138891</v>
      </c>
      <c r="P144" s="16">
        <v>19.628634664747452</v>
      </c>
      <c r="Q144" s="147">
        <v>705.10187106662329</v>
      </c>
      <c r="R144" s="147">
        <v>9.134521484375</v>
      </c>
      <c r="S144" s="10">
        <v>0.9048392536652321</v>
      </c>
      <c r="T144" s="10">
        <v>-12.671461484489313</v>
      </c>
      <c r="U144" s="16">
        <v>6.0557294556230955E-2</v>
      </c>
      <c r="V144" s="16">
        <v>8.2073518337375102</v>
      </c>
      <c r="W144" s="10">
        <v>20.878813318226825</v>
      </c>
      <c r="X144" s="10" t="s">
        <v>902</v>
      </c>
      <c r="Y144" s="10" t="s">
        <v>902</v>
      </c>
      <c r="Z144" s="10">
        <v>2.7666666666666671</v>
      </c>
      <c r="AA144" s="31" t="s">
        <v>164</v>
      </c>
      <c r="AB144" s="7">
        <v>1228</v>
      </c>
      <c r="AC144" s="7">
        <v>236.8</v>
      </c>
      <c r="AD144" s="7">
        <v>0.19283387622149839</v>
      </c>
      <c r="AE144" s="7" t="s">
        <v>170</v>
      </c>
      <c r="AF144" s="20" t="s">
        <v>8</v>
      </c>
      <c r="AG144" s="11" t="s">
        <v>864</v>
      </c>
      <c r="AH144" s="7" t="s">
        <v>1242</v>
      </c>
    </row>
    <row r="145" spans="1:34" s="7" customFormat="1" ht="16.5" customHeight="1">
      <c r="A145" s="7">
        <v>2012</v>
      </c>
      <c r="B145" s="12">
        <v>41099</v>
      </c>
      <c r="C145" s="7" t="s">
        <v>22</v>
      </c>
      <c r="D145" s="9" t="s">
        <v>6</v>
      </c>
      <c r="E145" s="9" t="s">
        <v>11</v>
      </c>
      <c r="F145" s="9" t="s">
        <v>127</v>
      </c>
      <c r="G145" s="7" t="s">
        <v>902</v>
      </c>
      <c r="H145" s="7" t="s">
        <v>903</v>
      </c>
      <c r="I145" s="124" t="s">
        <v>902</v>
      </c>
      <c r="J145" s="7">
        <v>10</v>
      </c>
      <c r="K145" s="124" t="s">
        <v>1575</v>
      </c>
      <c r="L145" s="30" t="s">
        <v>909</v>
      </c>
      <c r="M145" s="16">
        <v>92.767723886590261</v>
      </c>
      <c r="N145" s="16">
        <v>16.813433295802067</v>
      </c>
      <c r="O145" s="16">
        <v>339.90414268092104</v>
      </c>
      <c r="P145" s="16">
        <v>16.54658197101794</v>
      </c>
      <c r="Q145" s="147">
        <v>763.45103374280427</v>
      </c>
      <c r="R145" s="147">
        <v>73.15911865234375</v>
      </c>
      <c r="S145" s="10">
        <v>0.9048392536652321</v>
      </c>
      <c r="T145" s="10">
        <v>-14.248017090641854</v>
      </c>
      <c r="U145" s="16">
        <v>3.2300351795397308E-2</v>
      </c>
      <c r="V145" s="16">
        <v>8.2073518337375102</v>
      </c>
      <c r="W145" s="10">
        <v>22.455368924379364</v>
      </c>
      <c r="X145" s="10" t="s">
        <v>902</v>
      </c>
      <c r="Y145" s="10" t="s">
        <v>902</v>
      </c>
      <c r="Z145" s="10">
        <v>2.7666666666666671</v>
      </c>
      <c r="AA145" s="20" t="s">
        <v>148</v>
      </c>
      <c r="AB145" s="7">
        <v>688.5</v>
      </c>
      <c r="AC145" s="7">
        <v>290.5</v>
      </c>
      <c r="AD145" s="7">
        <v>0.42193173565722586</v>
      </c>
      <c r="AE145" s="7" t="s">
        <v>145</v>
      </c>
      <c r="AF145" s="20" t="s">
        <v>8</v>
      </c>
      <c r="AG145" s="11" t="s">
        <v>2</v>
      </c>
      <c r="AH145" s="7" t="s">
        <v>1242</v>
      </c>
    </row>
    <row r="146" spans="1:34" s="7" customFormat="1" ht="16.5" customHeight="1">
      <c r="A146" s="7">
        <v>2012</v>
      </c>
      <c r="B146" s="12">
        <v>41099</v>
      </c>
      <c r="C146" s="7" t="s">
        <v>22</v>
      </c>
      <c r="D146" s="9" t="s">
        <v>6</v>
      </c>
      <c r="E146" s="9" t="s">
        <v>11</v>
      </c>
      <c r="F146" s="9" t="s">
        <v>127</v>
      </c>
      <c r="G146" s="7" t="s">
        <v>902</v>
      </c>
      <c r="H146" s="7" t="s">
        <v>903</v>
      </c>
      <c r="I146" s="124" t="s">
        <v>902</v>
      </c>
      <c r="J146" s="7">
        <v>19</v>
      </c>
      <c r="K146" s="124" t="s">
        <v>1576</v>
      </c>
      <c r="L146" s="30" t="s">
        <v>909</v>
      </c>
      <c r="M146" s="16">
        <v>92.761892530653213</v>
      </c>
      <c r="N146" s="16">
        <v>18.436562008327908</v>
      </c>
      <c r="O146" s="16">
        <v>326.60456848144531</v>
      </c>
      <c r="P146" s="16">
        <v>18.026006168789333</v>
      </c>
      <c r="Q146" s="147">
        <v>863.75765991210937</v>
      </c>
      <c r="R146" s="147">
        <v>26.6343994140625</v>
      </c>
      <c r="S146" s="10">
        <v>0.9048392536652321</v>
      </c>
      <c r="T146" s="10">
        <v>-14.207833947122561</v>
      </c>
      <c r="U146" s="16">
        <v>2.5493524391953789E-2</v>
      </c>
      <c r="V146" s="16">
        <v>8.2073518337375102</v>
      </c>
      <c r="W146" s="10">
        <v>22.415185780860071</v>
      </c>
      <c r="X146" s="10" t="s">
        <v>902</v>
      </c>
      <c r="Y146" s="10" t="s">
        <v>902</v>
      </c>
      <c r="Z146" s="10">
        <v>2.7666666666666671</v>
      </c>
      <c r="AA146" s="31" t="s">
        <v>149</v>
      </c>
      <c r="AB146" s="7">
        <v>900.3</v>
      </c>
      <c r="AC146" s="7">
        <v>300.3</v>
      </c>
      <c r="AD146" s="7">
        <v>0.33355548150616465</v>
      </c>
      <c r="AE146" s="7" t="s">
        <v>170</v>
      </c>
      <c r="AF146" s="20" t="s">
        <v>8</v>
      </c>
      <c r="AG146" s="11" t="s">
        <v>864</v>
      </c>
      <c r="AH146" s="7" t="s">
        <v>1242</v>
      </c>
    </row>
    <row r="147" spans="1:34" s="7" customFormat="1" ht="16.5" customHeight="1">
      <c r="A147" s="7">
        <v>2012</v>
      </c>
      <c r="B147" s="12">
        <v>41099</v>
      </c>
      <c r="C147" s="7" t="s">
        <v>22</v>
      </c>
      <c r="D147" s="9" t="s">
        <v>6</v>
      </c>
      <c r="E147" s="9" t="s">
        <v>11</v>
      </c>
      <c r="F147" s="9" t="s">
        <v>127</v>
      </c>
      <c r="G147" s="7" t="s">
        <v>902</v>
      </c>
      <c r="H147" s="7" t="s">
        <v>903</v>
      </c>
      <c r="I147" s="124" t="s">
        <v>902</v>
      </c>
      <c r="J147" s="7">
        <v>20</v>
      </c>
      <c r="K147" s="124" t="s">
        <v>1577</v>
      </c>
      <c r="L147" s="30" t="s">
        <v>909</v>
      </c>
      <c r="M147" s="16">
        <v>92.757560328433385</v>
      </c>
      <c r="N147" s="16">
        <v>21.560638728894684</v>
      </c>
      <c r="O147" s="16">
        <v>329.69354569284542</v>
      </c>
      <c r="P147" s="16">
        <v>20.321749034680817</v>
      </c>
      <c r="Q147" s="147">
        <v>1140.6717272306744</v>
      </c>
      <c r="R147" s="147">
        <v>18.052001953125</v>
      </c>
      <c r="S147" s="10">
        <v>0.9048392536652321</v>
      </c>
      <c r="T147" s="10">
        <v>-16.55996803481797</v>
      </c>
      <c r="U147" s="16">
        <v>3.6234826348553503E-2</v>
      </c>
      <c r="V147" s="16">
        <v>8.2073518337375102</v>
      </c>
      <c r="W147" s="10">
        <v>24.767319868555482</v>
      </c>
      <c r="X147" s="10" t="s">
        <v>902</v>
      </c>
      <c r="Y147" s="10" t="s">
        <v>902</v>
      </c>
      <c r="Z147" s="10">
        <v>2.7666666666666671</v>
      </c>
      <c r="AA147" s="31" t="s">
        <v>151</v>
      </c>
      <c r="AB147" s="7">
        <v>1159.7</v>
      </c>
      <c r="AC147" s="7">
        <v>275.89999999999998</v>
      </c>
      <c r="AD147" s="7">
        <v>0.23790635509183405</v>
      </c>
      <c r="AE147" s="7" t="s">
        <v>902</v>
      </c>
      <c r="AF147" s="20" t="s">
        <v>8</v>
      </c>
      <c r="AG147" s="11" t="s">
        <v>864</v>
      </c>
      <c r="AH147" s="7" t="s">
        <v>1242</v>
      </c>
    </row>
    <row r="148" spans="1:34" s="7" customFormat="1" ht="16.5" customHeight="1">
      <c r="A148" s="7">
        <v>2012</v>
      </c>
      <c r="B148" s="12">
        <v>41099</v>
      </c>
      <c r="C148" s="7" t="s">
        <v>22</v>
      </c>
      <c r="D148" s="9" t="s">
        <v>6</v>
      </c>
      <c r="E148" s="9" t="s">
        <v>11</v>
      </c>
      <c r="F148" s="9" t="s">
        <v>127</v>
      </c>
      <c r="G148" s="7" t="s">
        <v>902</v>
      </c>
      <c r="H148" s="7" t="s">
        <v>903</v>
      </c>
      <c r="I148" s="124" t="s">
        <v>902</v>
      </c>
      <c r="J148" s="7">
        <v>21</v>
      </c>
      <c r="K148" s="124" t="s">
        <v>1578</v>
      </c>
      <c r="L148" s="30" t="s">
        <v>909</v>
      </c>
      <c r="M148" s="16">
        <v>92.758798387315537</v>
      </c>
      <c r="N148" s="16">
        <v>19.055077976650661</v>
      </c>
      <c r="O148" s="16">
        <v>317.74792819552954</v>
      </c>
      <c r="P148" s="16">
        <v>20.000492943657768</v>
      </c>
      <c r="Q148" s="147">
        <v>1159.1787109375</v>
      </c>
      <c r="R148" s="147">
        <v>6.831298828125</v>
      </c>
      <c r="S148" s="10">
        <v>0.9048392536652321</v>
      </c>
      <c r="T148" s="10">
        <v>-15.387753813065968</v>
      </c>
      <c r="U148" s="16">
        <v>2.7966884144565517E-2</v>
      </c>
      <c r="V148" s="16">
        <v>8.2073518337375102</v>
      </c>
      <c r="W148" s="10">
        <v>23.595105646803479</v>
      </c>
      <c r="X148" s="10" t="s">
        <v>902</v>
      </c>
      <c r="Y148" s="10" t="s">
        <v>902</v>
      </c>
      <c r="Z148" s="10">
        <v>2.7666666666666671</v>
      </c>
      <c r="AA148" s="31" t="s">
        <v>150</v>
      </c>
      <c r="AB148" s="7">
        <v>1162.75</v>
      </c>
      <c r="AC148" s="7">
        <v>297.25</v>
      </c>
      <c r="AD148" s="7">
        <v>0.25564394753816383</v>
      </c>
      <c r="AE148" s="7" t="s">
        <v>902</v>
      </c>
      <c r="AF148" s="20" t="s">
        <v>8</v>
      </c>
      <c r="AG148" s="11" t="s">
        <v>864</v>
      </c>
      <c r="AH148" s="7" t="s">
        <v>1242</v>
      </c>
    </row>
    <row r="149" spans="1:34" s="7" customFormat="1" ht="16.5" customHeight="1">
      <c r="A149" s="7">
        <v>2012</v>
      </c>
      <c r="B149" s="12">
        <v>41099</v>
      </c>
      <c r="C149" s="7" t="s">
        <v>22</v>
      </c>
      <c r="D149" s="9" t="s">
        <v>6</v>
      </c>
      <c r="E149" s="9" t="s">
        <v>12</v>
      </c>
      <c r="F149" s="9" t="s">
        <v>127</v>
      </c>
      <c r="G149" s="7" t="s">
        <v>902</v>
      </c>
      <c r="H149" s="7" t="s">
        <v>903</v>
      </c>
      <c r="I149" s="124" t="s">
        <v>902</v>
      </c>
      <c r="J149" s="7">
        <v>1</v>
      </c>
      <c r="K149" s="124" t="s">
        <v>1579</v>
      </c>
      <c r="L149" s="20" t="s">
        <v>904</v>
      </c>
      <c r="M149" s="16">
        <v>92.623633193969724</v>
      </c>
      <c r="N149" s="16">
        <v>20.403598403930665</v>
      </c>
      <c r="O149" s="16">
        <v>379.89176940917969</v>
      </c>
      <c r="P149" s="16">
        <v>20.466081428527833</v>
      </c>
      <c r="Q149" s="147">
        <v>5.7587908720597623E-2</v>
      </c>
      <c r="R149" s="147">
        <v>0.18813440203666687</v>
      </c>
      <c r="S149" s="10">
        <v>0.81783540785915054</v>
      </c>
      <c r="T149" s="10">
        <v>-10.634798468829592</v>
      </c>
      <c r="U149" s="16">
        <v>4.2248952478394469E-2</v>
      </c>
      <c r="V149" s="16">
        <v>8.3932674782195793</v>
      </c>
      <c r="W149" s="10">
        <v>0</v>
      </c>
      <c r="X149" s="10" t="s">
        <v>902</v>
      </c>
      <c r="Y149" s="10">
        <v>1.9333333333333333</v>
      </c>
      <c r="Z149" s="10">
        <v>2.0666666666666669</v>
      </c>
      <c r="AA149" s="20" t="s">
        <v>207</v>
      </c>
      <c r="AB149" s="9" t="s">
        <v>902</v>
      </c>
      <c r="AC149" s="9" t="s">
        <v>902</v>
      </c>
      <c r="AD149" s="9" t="s">
        <v>902</v>
      </c>
      <c r="AE149" s="11" t="s">
        <v>193</v>
      </c>
      <c r="AF149" s="20" t="s">
        <v>27</v>
      </c>
      <c r="AG149" s="11" t="s">
        <v>607</v>
      </c>
      <c r="AH149" s="7" t="s">
        <v>1242</v>
      </c>
    </row>
    <row r="150" spans="1:34" s="7" customFormat="1" ht="16.5" customHeight="1">
      <c r="A150" s="7">
        <v>2012</v>
      </c>
      <c r="B150" s="12">
        <v>41099</v>
      </c>
      <c r="C150" s="7" t="s">
        <v>22</v>
      </c>
      <c r="D150" s="9" t="s">
        <v>6</v>
      </c>
      <c r="E150" s="9" t="s">
        <v>12</v>
      </c>
      <c r="F150" s="9" t="s">
        <v>127</v>
      </c>
      <c r="G150" s="7" t="s">
        <v>902</v>
      </c>
      <c r="H150" s="7" t="s">
        <v>903</v>
      </c>
      <c r="I150" s="124" t="s">
        <v>902</v>
      </c>
      <c r="J150" s="7">
        <v>2</v>
      </c>
      <c r="K150" s="124" t="s">
        <v>1580</v>
      </c>
      <c r="L150" s="20" t="s">
        <v>904</v>
      </c>
      <c r="M150" s="16">
        <v>92.622484970092771</v>
      </c>
      <c r="N150" s="16">
        <v>17.508374309539796</v>
      </c>
      <c r="O150" s="16">
        <v>397.43759613037111</v>
      </c>
      <c r="P150" s="16">
        <v>17.183970928192139</v>
      </c>
      <c r="Q150" s="147">
        <v>8.0303642409853632E-2</v>
      </c>
      <c r="R150" s="147">
        <v>0.20879089133813977</v>
      </c>
      <c r="S150" s="10">
        <v>0.81783540785915054</v>
      </c>
      <c r="T150" s="10">
        <v>-9.1810904858119109</v>
      </c>
      <c r="U150" s="16">
        <v>3.2557614405352368E-2</v>
      </c>
      <c r="V150" s="16">
        <v>8.3932674782195793</v>
      </c>
      <c r="W150" s="10">
        <v>0</v>
      </c>
      <c r="X150" s="10" t="s">
        <v>902</v>
      </c>
      <c r="Y150" s="10">
        <v>1.9333333333333333</v>
      </c>
      <c r="Z150" s="10">
        <v>2.0666666666666669</v>
      </c>
      <c r="AA150" s="20" t="s">
        <v>209</v>
      </c>
      <c r="AB150" s="9" t="s">
        <v>902</v>
      </c>
      <c r="AC150" s="9" t="s">
        <v>902</v>
      </c>
      <c r="AD150" s="9" t="s">
        <v>902</v>
      </c>
      <c r="AE150" s="11" t="s">
        <v>193</v>
      </c>
      <c r="AF150" s="20" t="s">
        <v>27</v>
      </c>
      <c r="AG150" s="11" t="s">
        <v>607</v>
      </c>
      <c r="AH150" s="7" t="s">
        <v>1242</v>
      </c>
    </row>
    <row r="151" spans="1:34" s="7" customFormat="1" ht="16.5" customHeight="1">
      <c r="A151" s="7">
        <v>2012</v>
      </c>
      <c r="B151" s="12">
        <v>41099</v>
      </c>
      <c r="C151" s="7" t="s">
        <v>22</v>
      </c>
      <c r="D151" s="9" t="s">
        <v>6</v>
      </c>
      <c r="E151" s="9" t="s">
        <v>12</v>
      </c>
      <c r="F151" s="9" t="s">
        <v>127</v>
      </c>
      <c r="G151" s="7" t="s">
        <v>902</v>
      </c>
      <c r="H151" s="7" t="s">
        <v>903</v>
      </c>
      <c r="I151" s="124" t="s">
        <v>902</v>
      </c>
      <c r="J151" s="7">
        <v>3</v>
      </c>
      <c r="K151" s="124" t="s">
        <v>1581</v>
      </c>
      <c r="L151" s="20" t="s">
        <v>904</v>
      </c>
      <c r="M151" s="16">
        <v>92.623847961425781</v>
      </c>
      <c r="N151" s="16">
        <v>18.531850910186769</v>
      </c>
      <c r="O151" s="16">
        <v>404.53465270996094</v>
      </c>
      <c r="P151" s="16">
        <v>18.003980541229247</v>
      </c>
      <c r="Q151" s="147">
        <v>8.6725438851863151E-2</v>
      </c>
      <c r="R151" s="147">
        <v>0.24204668682068586</v>
      </c>
      <c r="S151" s="10">
        <v>0.81783540785915054</v>
      </c>
      <c r="T151" s="10">
        <v>-8.861992402797684</v>
      </c>
      <c r="U151" s="16">
        <v>4.4997380909166836E-2</v>
      </c>
      <c r="V151" s="16">
        <v>8.3932674782195793</v>
      </c>
      <c r="W151" s="10">
        <v>0</v>
      </c>
      <c r="X151" s="10" t="s">
        <v>902</v>
      </c>
      <c r="Y151" s="10">
        <v>1.9333333333333333</v>
      </c>
      <c r="Z151" s="10">
        <v>2.0666666666666669</v>
      </c>
      <c r="AA151" s="20" t="s">
        <v>208</v>
      </c>
      <c r="AB151" s="9" t="s">
        <v>902</v>
      </c>
      <c r="AC151" s="9" t="s">
        <v>902</v>
      </c>
      <c r="AD151" s="9" t="s">
        <v>902</v>
      </c>
      <c r="AE151" s="11" t="s">
        <v>193</v>
      </c>
      <c r="AF151" s="20" t="s">
        <v>27</v>
      </c>
      <c r="AG151" s="11" t="s">
        <v>607</v>
      </c>
      <c r="AH151" s="7" t="s">
        <v>1242</v>
      </c>
    </row>
    <row r="152" spans="1:34" s="7" customFormat="1" ht="16.5" customHeight="1">
      <c r="A152" s="7">
        <v>2012</v>
      </c>
      <c r="B152" s="12">
        <v>41095</v>
      </c>
      <c r="C152" s="7" t="s">
        <v>22</v>
      </c>
      <c r="D152" s="9" t="s">
        <v>6</v>
      </c>
      <c r="E152" s="9" t="s">
        <v>12</v>
      </c>
      <c r="F152" s="9" t="s">
        <v>127</v>
      </c>
      <c r="G152" s="7" t="s">
        <v>902</v>
      </c>
      <c r="H152" s="7" t="s">
        <v>903</v>
      </c>
      <c r="I152" s="124" t="s">
        <v>902</v>
      </c>
      <c r="J152" s="7">
        <v>4</v>
      </c>
      <c r="K152" s="124" t="s">
        <v>1582</v>
      </c>
      <c r="L152" s="20" t="s">
        <v>904</v>
      </c>
      <c r="M152" s="16">
        <v>92.327079391479487</v>
      </c>
      <c r="N152" s="16">
        <v>18.161049938201906</v>
      </c>
      <c r="O152" s="16">
        <v>376.68062286376954</v>
      </c>
      <c r="P152" s="16">
        <v>17.112930393218996</v>
      </c>
      <c r="Q152" s="147">
        <v>0.14718289645388721</v>
      </c>
      <c r="R152" s="147">
        <v>0.2328775692731142</v>
      </c>
      <c r="S152" s="10">
        <v>0.81783540785915054</v>
      </c>
      <c r="T152" s="10">
        <v>-7.0695204544786288</v>
      </c>
      <c r="U152" s="16">
        <v>2.4705366980760618E-2</v>
      </c>
      <c r="V152" s="16">
        <v>8.3932674782195793</v>
      </c>
      <c r="W152" s="10">
        <v>0</v>
      </c>
      <c r="X152" s="10" t="s">
        <v>902</v>
      </c>
      <c r="Y152" s="10">
        <v>1.9333333333333333</v>
      </c>
      <c r="Z152" s="10">
        <v>2.0666666666666669</v>
      </c>
      <c r="AA152" s="20" t="s">
        <v>172</v>
      </c>
      <c r="AB152" s="9" t="s">
        <v>902</v>
      </c>
      <c r="AC152" s="9" t="s">
        <v>902</v>
      </c>
      <c r="AD152" s="9" t="s">
        <v>902</v>
      </c>
      <c r="AE152" s="7" t="s">
        <v>124</v>
      </c>
      <c r="AF152" s="20" t="s">
        <v>27</v>
      </c>
      <c r="AG152" s="11" t="s">
        <v>607</v>
      </c>
      <c r="AH152" s="7" t="s">
        <v>1242</v>
      </c>
    </row>
    <row r="153" spans="1:34" s="7" customFormat="1" ht="16.5" customHeight="1">
      <c r="A153" s="7">
        <v>2012</v>
      </c>
      <c r="B153" s="12">
        <v>41095</v>
      </c>
      <c r="C153" s="7" t="s">
        <v>22</v>
      </c>
      <c r="D153" s="9" t="s">
        <v>6</v>
      </c>
      <c r="E153" s="9" t="s">
        <v>12</v>
      </c>
      <c r="F153" s="9" t="s">
        <v>127</v>
      </c>
      <c r="G153" s="7" t="s">
        <v>902</v>
      </c>
      <c r="H153" s="7" t="s">
        <v>903</v>
      </c>
      <c r="I153" s="124" t="s">
        <v>902</v>
      </c>
      <c r="J153" s="7">
        <v>5</v>
      </c>
      <c r="K153" s="124" t="s">
        <v>1583</v>
      </c>
      <c r="L153" s="20" t="s">
        <v>904</v>
      </c>
      <c r="M153" s="16">
        <v>92.322891636898646</v>
      </c>
      <c r="N153" s="16">
        <v>18.555618687679893</v>
      </c>
      <c r="O153" s="16">
        <v>375.77939645867599</v>
      </c>
      <c r="P153" s="16">
        <v>17.701706033003958</v>
      </c>
      <c r="Q153" s="147">
        <v>0.15311594895626368</v>
      </c>
      <c r="R153" s="147">
        <v>0.28334617614746094</v>
      </c>
      <c r="S153" s="10">
        <v>0.81783540785915054</v>
      </c>
      <c r="T153" s="10">
        <v>-7.3653165441560331</v>
      </c>
      <c r="U153" s="16">
        <v>2.1098018110844129E-2</v>
      </c>
      <c r="V153" s="16">
        <v>8.3932674782195793</v>
      </c>
      <c r="W153" s="10">
        <v>0</v>
      </c>
      <c r="X153" s="10" t="s">
        <v>902</v>
      </c>
      <c r="Y153" s="10">
        <v>1.9333333333333333</v>
      </c>
      <c r="Z153" s="10">
        <v>2.0666666666666669</v>
      </c>
      <c r="AA153" s="20" t="s">
        <v>173</v>
      </c>
      <c r="AB153" s="9" t="s">
        <v>902</v>
      </c>
      <c r="AC153" s="9" t="s">
        <v>902</v>
      </c>
      <c r="AD153" s="9" t="s">
        <v>902</v>
      </c>
      <c r="AE153" s="7" t="s">
        <v>124</v>
      </c>
      <c r="AF153" s="20" t="s">
        <v>27</v>
      </c>
      <c r="AG153" s="11" t="s">
        <v>607</v>
      </c>
      <c r="AH153" s="7" t="s">
        <v>1242</v>
      </c>
    </row>
    <row r="154" spans="1:34" s="7" customFormat="1" ht="16.5" customHeight="1">
      <c r="A154" s="7">
        <v>2012</v>
      </c>
      <c r="B154" s="12">
        <v>41095</v>
      </c>
      <c r="C154" s="7" t="s">
        <v>22</v>
      </c>
      <c r="D154" s="9" t="s">
        <v>6</v>
      </c>
      <c r="E154" s="9" t="s">
        <v>12</v>
      </c>
      <c r="F154" s="9" t="s">
        <v>127</v>
      </c>
      <c r="G154" s="7" t="s">
        <v>902</v>
      </c>
      <c r="H154" s="7" t="s">
        <v>903</v>
      </c>
      <c r="I154" s="124" t="s">
        <v>902</v>
      </c>
      <c r="J154" s="7">
        <v>6</v>
      </c>
      <c r="K154" s="124" t="s">
        <v>1584</v>
      </c>
      <c r="L154" s="20" t="s">
        <v>904</v>
      </c>
      <c r="M154" s="16">
        <v>92.325686645507815</v>
      </c>
      <c r="N154" s="16">
        <v>18.3236554145813</v>
      </c>
      <c r="O154" s="16">
        <v>378.09971466064451</v>
      </c>
      <c r="P154" s="16">
        <v>17.488698577880861</v>
      </c>
      <c r="Q154" s="147">
        <v>0.16410381784662603</v>
      </c>
      <c r="R154" s="147">
        <v>0.2695815023034811</v>
      </c>
      <c r="S154" s="10">
        <v>0.81783540785915054</v>
      </c>
      <c r="T154" s="10">
        <v>-7.2468865132436413</v>
      </c>
      <c r="U154" s="16">
        <v>2.254258923064497E-2</v>
      </c>
      <c r="V154" s="16">
        <v>8.3932674782195793</v>
      </c>
      <c r="W154" s="10">
        <v>0</v>
      </c>
      <c r="X154" s="10" t="s">
        <v>902</v>
      </c>
      <c r="Y154" s="10">
        <v>1.9333333333333333</v>
      </c>
      <c r="Z154" s="10">
        <v>2.0666666666666669</v>
      </c>
      <c r="AA154" s="20" t="s">
        <v>174</v>
      </c>
      <c r="AB154" s="9" t="s">
        <v>902</v>
      </c>
      <c r="AC154" s="9" t="s">
        <v>902</v>
      </c>
      <c r="AD154" s="9" t="s">
        <v>902</v>
      </c>
      <c r="AE154" s="7" t="s">
        <v>124</v>
      </c>
      <c r="AF154" s="20" t="s">
        <v>27</v>
      </c>
      <c r="AG154" s="11" t="s">
        <v>607</v>
      </c>
      <c r="AH154" s="7" t="s">
        <v>1242</v>
      </c>
    </row>
    <row r="155" spans="1:34" s="7" customFormat="1" ht="16.5" customHeight="1">
      <c r="A155" s="7">
        <v>2012</v>
      </c>
      <c r="B155" s="12">
        <v>41095</v>
      </c>
      <c r="C155" s="7" t="s">
        <v>22</v>
      </c>
      <c r="D155" s="9" t="s">
        <v>6</v>
      </c>
      <c r="E155" s="9" t="s">
        <v>12</v>
      </c>
      <c r="F155" s="9" t="s">
        <v>127</v>
      </c>
      <c r="G155" s="7" t="s">
        <v>902</v>
      </c>
      <c r="H155" s="7" t="s">
        <v>903</v>
      </c>
      <c r="I155" s="124" t="s">
        <v>902</v>
      </c>
      <c r="J155" s="7">
        <v>27</v>
      </c>
      <c r="K155" s="124" t="s">
        <v>1585</v>
      </c>
      <c r="L155" s="20" t="s">
        <v>77</v>
      </c>
      <c r="M155" s="16">
        <v>92.319790087248151</v>
      </c>
      <c r="N155" s="16">
        <v>18.606326354177373</v>
      </c>
      <c r="O155" s="16">
        <v>371.98664615028781</v>
      </c>
      <c r="P155" s="16">
        <v>17.833017650403473</v>
      </c>
      <c r="Q155" s="147">
        <v>63.507868716591283</v>
      </c>
      <c r="R155" s="147">
        <v>1.7337265014648437</v>
      </c>
      <c r="S155" s="10">
        <v>0.81783540785915054</v>
      </c>
      <c r="T155" s="10">
        <v>-4.3597983321678964</v>
      </c>
      <c r="U155" s="16">
        <v>2.4709893946062055E-2</v>
      </c>
      <c r="V155" s="16">
        <v>8.3932674782195793</v>
      </c>
      <c r="W155" s="10">
        <v>12.753065810387476</v>
      </c>
      <c r="X155" s="10" t="s">
        <v>902</v>
      </c>
      <c r="Y155" s="10">
        <v>1.9333333333333333</v>
      </c>
      <c r="Z155" s="10">
        <v>2.0666666666666669</v>
      </c>
      <c r="AA155" s="20" t="s">
        <v>175</v>
      </c>
      <c r="AB155" s="7">
        <v>483.4</v>
      </c>
      <c r="AC155" s="7">
        <v>454.1</v>
      </c>
      <c r="AD155" s="10">
        <v>0.93938767066611506</v>
      </c>
      <c r="AE155" s="7" t="s">
        <v>176</v>
      </c>
      <c r="AF155" s="20" t="s">
        <v>27</v>
      </c>
      <c r="AG155" s="11" t="s">
        <v>928</v>
      </c>
      <c r="AH155" s="7" t="s">
        <v>1242</v>
      </c>
    </row>
    <row r="156" spans="1:34" s="7" customFormat="1" ht="16.5" customHeight="1">
      <c r="A156" s="7">
        <v>2012</v>
      </c>
      <c r="B156" s="12">
        <v>41099</v>
      </c>
      <c r="C156" s="7" t="s">
        <v>22</v>
      </c>
      <c r="D156" s="9" t="s">
        <v>6</v>
      </c>
      <c r="E156" s="9" t="s">
        <v>12</v>
      </c>
      <c r="F156" s="9" t="s">
        <v>127</v>
      </c>
      <c r="G156" s="7" t="s">
        <v>902</v>
      </c>
      <c r="H156" s="7" t="s">
        <v>903</v>
      </c>
      <c r="I156" s="124" t="s">
        <v>902</v>
      </c>
      <c r="J156" s="7">
        <v>10</v>
      </c>
      <c r="K156" s="124" t="s">
        <v>835</v>
      </c>
      <c r="L156" s="20" t="s">
        <v>905</v>
      </c>
      <c r="M156" s="16">
        <v>92.635378265380865</v>
      </c>
      <c r="N156" s="16">
        <v>17.586363410949708</v>
      </c>
      <c r="O156" s="16">
        <v>369.30647888183591</v>
      </c>
      <c r="P156" s="16">
        <v>17.24377613067627</v>
      </c>
      <c r="Q156" s="147">
        <v>70.076611709594729</v>
      </c>
      <c r="R156" s="147">
        <v>12.099048614501953</v>
      </c>
      <c r="S156" s="10">
        <v>0.81783540785915054</v>
      </c>
      <c r="T156" s="10">
        <v>-2.0120299651054721</v>
      </c>
      <c r="U156" s="16">
        <v>3.0181474396676729E-2</v>
      </c>
      <c r="V156" s="16">
        <v>8.3932674782195793</v>
      </c>
      <c r="W156" s="10">
        <v>10.40529744332505</v>
      </c>
      <c r="X156" s="10" t="s">
        <v>902</v>
      </c>
      <c r="Y156" s="10">
        <v>1.9333333333333333</v>
      </c>
      <c r="Z156" s="10">
        <v>2.0666666666666669</v>
      </c>
      <c r="AA156" s="20" t="s">
        <v>218</v>
      </c>
      <c r="AB156" s="7">
        <v>1257.3333333333333</v>
      </c>
      <c r="AC156" s="7">
        <v>251.5</v>
      </c>
      <c r="AD156" s="10">
        <v>0.20002701750970661</v>
      </c>
      <c r="AE156" s="11" t="s">
        <v>193</v>
      </c>
      <c r="AF156" s="20" t="s">
        <v>27</v>
      </c>
      <c r="AG156" s="11" t="s">
        <v>864</v>
      </c>
      <c r="AH156" s="7" t="s">
        <v>1298</v>
      </c>
    </row>
    <row r="157" spans="1:34" s="7" customFormat="1" ht="16.5" customHeight="1">
      <c r="A157" s="7">
        <v>2012</v>
      </c>
      <c r="B157" s="12">
        <v>41095</v>
      </c>
      <c r="C157" s="7" t="s">
        <v>22</v>
      </c>
      <c r="D157" s="9" t="s">
        <v>6</v>
      </c>
      <c r="E157" s="9" t="s">
        <v>12</v>
      </c>
      <c r="F157" s="9" t="s">
        <v>127</v>
      </c>
      <c r="G157" s="7" t="s">
        <v>902</v>
      </c>
      <c r="H157" s="7" t="s">
        <v>903</v>
      </c>
      <c r="I157" s="124" t="s">
        <v>902</v>
      </c>
      <c r="J157" s="7">
        <v>28</v>
      </c>
      <c r="K157" s="124" t="s">
        <v>1586</v>
      </c>
      <c r="L157" s="20" t="s">
        <v>77</v>
      </c>
      <c r="M157" s="16">
        <v>92.320834511204765</v>
      </c>
      <c r="N157" s="16">
        <v>18.431357333534642</v>
      </c>
      <c r="O157" s="16">
        <v>368.95345105622943</v>
      </c>
      <c r="P157" s="16">
        <v>17.493008764166582</v>
      </c>
      <c r="Q157" s="147">
        <v>76.456710413882604</v>
      </c>
      <c r="R157" s="147">
        <v>2.3184127807617187</v>
      </c>
      <c r="S157" s="10">
        <v>0.81783540785915054</v>
      </c>
      <c r="T157" s="10">
        <v>-3.6399253500122586</v>
      </c>
      <c r="U157" s="16">
        <v>2.6382411153692949E-2</v>
      </c>
      <c r="V157" s="16">
        <v>8.3932674782195793</v>
      </c>
      <c r="W157" s="10">
        <v>12.033192828231838</v>
      </c>
      <c r="X157" s="10" t="s">
        <v>902</v>
      </c>
      <c r="Y157" s="10">
        <v>1.9333333333333333</v>
      </c>
      <c r="Z157" s="10">
        <v>2.0666666666666669</v>
      </c>
      <c r="AA157" s="20" t="s">
        <v>177</v>
      </c>
      <c r="AB157" s="7">
        <v>523.70000000000005</v>
      </c>
      <c r="AC157" s="7">
        <v>488.3</v>
      </c>
      <c r="AD157" s="10">
        <v>0.93240404811915212</v>
      </c>
      <c r="AE157" s="7" t="s">
        <v>176</v>
      </c>
      <c r="AF157" s="20" t="s">
        <v>27</v>
      </c>
      <c r="AG157" s="11" t="s">
        <v>928</v>
      </c>
      <c r="AH157" s="7" t="s">
        <v>1242</v>
      </c>
    </row>
    <row r="158" spans="1:34" s="7" customFormat="1" ht="16.5" customHeight="1">
      <c r="A158" s="7">
        <v>2012</v>
      </c>
      <c r="B158" s="12">
        <v>41099</v>
      </c>
      <c r="C158" s="7" t="s">
        <v>22</v>
      </c>
      <c r="D158" s="9" t="s">
        <v>6</v>
      </c>
      <c r="E158" s="9" t="s">
        <v>12</v>
      </c>
      <c r="F158" s="9" t="s">
        <v>127</v>
      </c>
      <c r="G158" s="7" t="s">
        <v>902</v>
      </c>
      <c r="H158" s="7" t="s">
        <v>903</v>
      </c>
      <c r="I158" s="124" t="s">
        <v>902</v>
      </c>
      <c r="J158" s="7">
        <v>11</v>
      </c>
      <c r="K158" s="124" t="s">
        <v>836</v>
      </c>
      <c r="L158" s="20" t="s">
        <v>905</v>
      </c>
      <c r="M158" s="16">
        <v>92.635283576117615</v>
      </c>
      <c r="N158" s="16">
        <v>16.829091178046333</v>
      </c>
      <c r="O158" s="16">
        <v>375.6824713812934</v>
      </c>
      <c r="P158" s="16">
        <v>16.236956278483074</v>
      </c>
      <c r="Q158" s="147">
        <v>81.609604729546447</v>
      </c>
      <c r="R158" s="147">
        <v>19.42193603515625</v>
      </c>
      <c r="S158" s="10">
        <v>0.81783540785915054</v>
      </c>
      <c r="T158" s="10">
        <v>-2.1748726464784776</v>
      </c>
      <c r="U158" s="16">
        <v>3.4205261866251627E-2</v>
      </c>
      <c r="V158" s="16">
        <v>8.3932674782195793</v>
      </c>
      <c r="W158" s="10">
        <v>10.568140124698058</v>
      </c>
      <c r="X158" s="10" t="s">
        <v>902</v>
      </c>
      <c r="Y158" s="10">
        <v>1.9333333333333333</v>
      </c>
      <c r="Z158" s="10">
        <v>2.0666666666666669</v>
      </c>
      <c r="AA158" s="20" t="s">
        <v>217</v>
      </c>
      <c r="AB158" s="7">
        <v>1242.7</v>
      </c>
      <c r="AC158" s="7">
        <v>244.1</v>
      </c>
      <c r="AD158" s="10">
        <v>0.19642713446527721</v>
      </c>
      <c r="AE158" s="11" t="s">
        <v>193</v>
      </c>
      <c r="AF158" s="20" t="s">
        <v>27</v>
      </c>
      <c r="AG158" s="11" t="s">
        <v>864</v>
      </c>
      <c r="AH158" s="7" t="s">
        <v>1299</v>
      </c>
    </row>
    <row r="159" spans="1:34" s="7" customFormat="1" ht="16.5" customHeight="1">
      <c r="A159" s="7">
        <v>2012</v>
      </c>
      <c r="B159" s="12">
        <v>41095</v>
      </c>
      <c r="C159" s="7" t="s">
        <v>22</v>
      </c>
      <c r="D159" s="9" t="s">
        <v>6</v>
      </c>
      <c r="E159" s="9" t="s">
        <v>12</v>
      </c>
      <c r="F159" s="9" t="s">
        <v>127</v>
      </c>
      <c r="G159" s="7" t="s">
        <v>902</v>
      </c>
      <c r="H159" s="7" t="s">
        <v>903</v>
      </c>
      <c r="I159" s="124" t="s">
        <v>902</v>
      </c>
      <c r="J159" s="7">
        <v>29</v>
      </c>
      <c r="K159" s="124" t="s">
        <v>1587</v>
      </c>
      <c r="L159" s="20" t="s">
        <v>77</v>
      </c>
      <c r="M159" s="16">
        <v>92.319865578099296</v>
      </c>
      <c r="N159" s="16">
        <v>18.709559691579717</v>
      </c>
      <c r="O159" s="16">
        <v>365.62001117907073</v>
      </c>
      <c r="P159" s="16">
        <v>18.143191086618526</v>
      </c>
      <c r="Q159" s="147">
        <v>88.363130268297695</v>
      </c>
      <c r="R159" s="147">
        <v>4.2746734619140625</v>
      </c>
      <c r="S159" s="10">
        <v>0.81783540785915054</v>
      </c>
      <c r="T159" s="10">
        <v>-3.1449903206495335</v>
      </c>
      <c r="U159" s="16">
        <v>2.2477191791199801E-2</v>
      </c>
      <c r="V159" s="16">
        <v>8.3932674782195793</v>
      </c>
      <c r="W159" s="10">
        <v>11.538257798869113</v>
      </c>
      <c r="X159" s="10" t="s">
        <v>902</v>
      </c>
      <c r="Y159" s="10">
        <v>1.9333333333333333</v>
      </c>
      <c r="Z159" s="10">
        <v>2.0666666666666669</v>
      </c>
      <c r="AA159" s="20" t="s">
        <v>178</v>
      </c>
      <c r="AB159" s="7">
        <v>588.4</v>
      </c>
      <c r="AC159" s="7">
        <v>549.29999999999995</v>
      </c>
      <c r="AD159" s="10">
        <v>0.93354860639021064</v>
      </c>
      <c r="AE159" s="7" t="s">
        <v>176</v>
      </c>
      <c r="AF159" s="20" t="s">
        <v>27</v>
      </c>
      <c r="AG159" s="11" t="s">
        <v>928</v>
      </c>
      <c r="AH159" s="7" t="s">
        <v>1242</v>
      </c>
    </row>
    <row r="160" spans="1:34" s="7" customFormat="1" ht="16.5" customHeight="1">
      <c r="A160" s="7">
        <v>2012</v>
      </c>
      <c r="B160" s="12">
        <v>41095</v>
      </c>
      <c r="C160" s="7" t="s">
        <v>22</v>
      </c>
      <c r="D160" s="9" t="s">
        <v>6</v>
      </c>
      <c r="E160" s="9" t="s">
        <v>12</v>
      </c>
      <c r="F160" s="9" t="s">
        <v>127</v>
      </c>
      <c r="G160" s="7" t="s">
        <v>902</v>
      </c>
      <c r="H160" s="7" t="s">
        <v>903</v>
      </c>
      <c r="I160" s="124" t="s">
        <v>902</v>
      </c>
      <c r="J160" s="7">
        <v>30</v>
      </c>
      <c r="K160" s="124" t="s">
        <v>1588</v>
      </c>
      <c r="L160" s="20" t="s">
        <v>75</v>
      </c>
      <c r="M160" s="16">
        <v>92.31674997430099</v>
      </c>
      <c r="N160" s="16">
        <v>19.412150533575762</v>
      </c>
      <c r="O160" s="16">
        <v>373.68079416375411</v>
      </c>
      <c r="P160" s="16">
        <v>19.320408871299342</v>
      </c>
      <c r="Q160" s="147">
        <v>90.129836634585729</v>
      </c>
      <c r="R160" s="147">
        <v>1.0997543334960937</v>
      </c>
      <c r="S160" s="10">
        <v>0.81783540785915054</v>
      </c>
      <c r="T160" s="10">
        <v>-5.0928324955205504</v>
      </c>
      <c r="U160" s="16">
        <v>1.8323439882512678E-2</v>
      </c>
      <c r="V160" s="16">
        <v>8.3932674782195793</v>
      </c>
      <c r="W160" s="10">
        <v>13.48609997374013</v>
      </c>
      <c r="X160" s="10" t="s">
        <v>902</v>
      </c>
      <c r="Y160" s="10">
        <v>1.9333333333333333</v>
      </c>
      <c r="Z160" s="10">
        <v>2.0666666666666669</v>
      </c>
      <c r="AA160" s="20" t="s">
        <v>179</v>
      </c>
      <c r="AB160" s="7">
        <v>443.1</v>
      </c>
      <c r="AC160" s="7">
        <v>432.1</v>
      </c>
      <c r="AD160" s="10">
        <v>0.97517490408485674</v>
      </c>
      <c r="AE160" s="7" t="s">
        <v>176</v>
      </c>
      <c r="AF160" s="20" t="s">
        <v>27</v>
      </c>
      <c r="AG160" s="11" t="s">
        <v>928</v>
      </c>
      <c r="AH160" s="7" t="s">
        <v>1242</v>
      </c>
    </row>
    <row r="161" spans="1:34" s="7" customFormat="1" ht="16.5" customHeight="1">
      <c r="A161" s="7">
        <v>2012</v>
      </c>
      <c r="B161" s="12">
        <v>41095</v>
      </c>
      <c r="C161" s="7" t="s">
        <v>22</v>
      </c>
      <c r="D161" s="9" t="s">
        <v>6</v>
      </c>
      <c r="E161" s="9" t="s">
        <v>12</v>
      </c>
      <c r="F161" s="9" t="s">
        <v>127</v>
      </c>
      <c r="G161" s="7" t="s">
        <v>902</v>
      </c>
      <c r="H161" s="7" t="s">
        <v>903</v>
      </c>
      <c r="I161" s="124" t="s">
        <v>902</v>
      </c>
      <c r="J161" s="7">
        <v>31</v>
      </c>
      <c r="K161" s="124" t="s">
        <v>1589</v>
      </c>
      <c r="L161" s="20" t="s">
        <v>75</v>
      </c>
      <c r="M161" s="16">
        <v>92.318235296952096</v>
      </c>
      <c r="N161" s="16">
        <v>19.272027969360352</v>
      </c>
      <c r="O161" s="16">
        <v>367.47629908511516</v>
      </c>
      <c r="P161" s="16">
        <v>18.394814541465358</v>
      </c>
      <c r="Q161" s="147">
        <v>108.82167213841488</v>
      </c>
      <c r="R161" s="147">
        <v>2.354522705078125</v>
      </c>
      <c r="S161" s="10">
        <v>0.81783540785915054</v>
      </c>
      <c r="T161" s="10">
        <v>-2.4612226869163867</v>
      </c>
      <c r="U161" s="16">
        <v>2.6482638978121573E-2</v>
      </c>
      <c r="V161" s="16">
        <v>8.3932674782195793</v>
      </c>
      <c r="W161" s="10">
        <v>10.854490165135966</v>
      </c>
      <c r="X161" s="10" t="s">
        <v>902</v>
      </c>
      <c r="Y161" s="10">
        <v>1.9333333333333333</v>
      </c>
      <c r="Z161" s="10">
        <v>2.0666666666666669</v>
      </c>
      <c r="AA161" s="20" t="s">
        <v>180</v>
      </c>
      <c r="AB161" s="7">
        <v>524.9</v>
      </c>
      <c r="AC161" s="7">
        <v>507.8</v>
      </c>
      <c r="AD161" s="10">
        <v>0.96742236616498389</v>
      </c>
      <c r="AE161" s="7" t="s">
        <v>176</v>
      </c>
      <c r="AF161" s="20" t="s">
        <v>27</v>
      </c>
      <c r="AG161" s="11" t="s">
        <v>928</v>
      </c>
      <c r="AH161" s="7" t="s">
        <v>1242</v>
      </c>
    </row>
    <row r="162" spans="1:34" s="7" customFormat="1" ht="16.5" customHeight="1">
      <c r="A162" s="7">
        <v>2012</v>
      </c>
      <c r="B162" s="12">
        <v>41095</v>
      </c>
      <c r="C162" s="7" t="s">
        <v>22</v>
      </c>
      <c r="D162" s="9" t="s">
        <v>6</v>
      </c>
      <c r="E162" s="9" t="s">
        <v>12</v>
      </c>
      <c r="F162" s="9" t="s">
        <v>127</v>
      </c>
      <c r="G162" s="7" t="s">
        <v>902</v>
      </c>
      <c r="H162" s="7" t="s">
        <v>903</v>
      </c>
      <c r="I162" s="124" t="s">
        <v>902</v>
      </c>
      <c r="J162" s="7">
        <v>32</v>
      </c>
      <c r="K162" s="124" t="s">
        <v>1590</v>
      </c>
      <c r="L162" s="20" t="s">
        <v>75</v>
      </c>
      <c r="M162" s="16">
        <v>92.32006514699836</v>
      </c>
      <c r="N162" s="16">
        <v>19.549660732871608</v>
      </c>
      <c r="O162" s="16">
        <v>366.45086991159542</v>
      </c>
      <c r="P162" s="16">
        <v>18.305049795853463</v>
      </c>
      <c r="Q162" s="147">
        <v>122.38799767745168</v>
      </c>
      <c r="R162" s="147">
        <v>1.5125274658203125</v>
      </c>
      <c r="S162" s="10">
        <v>0.81783540785915054</v>
      </c>
      <c r="T162" s="10">
        <v>-2.5398781487384743</v>
      </c>
      <c r="U162" s="16">
        <v>3.430484805190772E-2</v>
      </c>
      <c r="V162" s="16">
        <v>8.3932674782195793</v>
      </c>
      <c r="W162" s="10">
        <v>10.933145626958053</v>
      </c>
      <c r="X162" s="10" t="s">
        <v>902</v>
      </c>
      <c r="Y162" s="10">
        <v>1.9333333333333333</v>
      </c>
      <c r="Z162" s="10">
        <v>2.0666666666666669</v>
      </c>
      <c r="AA162" s="20" t="s">
        <v>181</v>
      </c>
      <c r="AB162" s="7">
        <v>556.6</v>
      </c>
      <c r="AC162" s="7">
        <v>532.20000000000005</v>
      </c>
      <c r="AD162" s="10">
        <v>0.95616241466043839</v>
      </c>
      <c r="AE162" s="7" t="s">
        <v>176</v>
      </c>
      <c r="AF162" s="20" t="s">
        <v>27</v>
      </c>
      <c r="AG162" s="11" t="s">
        <v>928</v>
      </c>
      <c r="AH162" s="7" t="s">
        <v>1242</v>
      </c>
    </row>
    <row r="163" spans="1:34" s="7" customFormat="1" ht="16.5" customHeight="1">
      <c r="A163" s="7">
        <v>2012</v>
      </c>
      <c r="B163" s="12">
        <v>41095</v>
      </c>
      <c r="C163" s="7" t="s">
        <v>22</v>
      </c>
      <c r="D163" s="9" t="s">
        <v>6</v>
      </c>
      <c r="E163" s="9" t="s">
        <v>12</v>
      </c>
      <c r="F163" s="9" t="s">
        <v>127</v>
      </c>
      <c r="G163" s="7" t="s">
        <v>902</v>
      </c>
      <c r="H163" s="7" t="s">
        <v>903</v>
      </c>
      <c r="I163" s="124" t="s">
        <v>902</v>
      </c>
      <c r="J163" s="7">
        <v>33</v>
      </c>
      <c r="K163" s="124" t="s">
        <v>839</v>
      </c>
      <c r="L163" s="20" t="s">
        <v>75</v>
      </c>
      <c r="M163" s="16">
        <v>92.319351577758795</v>
      </c>
      <c r="N163" s="16">
        <v>19.985680675506593</v>
      </c>
      <c r="O163" s="16">
        <v>366.91510772705078</v>
      </c>
      <c r="P163" s="16">
        <v>18.694638442993163</v>
      </c>
      <c r="Q163" s="147">
        <v>125.59312705993652</v>
      </c>
      <c r="R163" s="147">
        <v>0.68733978271484375</v>
      </c>
      <c r="S163" s="10">
        <v>0.81783540785915054</v>
      </c>
      <c r="T163" s="10">
        <v>-3.2645527335712399</v>
      </c>
      <c r="U163" s="16">
        <v>3.6009822931504787E-2</v>
      </c>
      <c r="V163" s="16">
        <v>8.3932674782195793</v>
      </c>
      <c r="W163" s="10">
        <v>11.657820211790819</v>
      </c>
      <c r="X163" s="10" t="s">
        <v>902</v>
      </c>
      <c r="Y163" s="10">
        <v>1.9333333333333333</v>
      </c>
      <c r="Z163" s="10">
        <v>2.0666666666666669</v>
      </c>
      <c r="AA163" s="20" t="s">
        <v>182</v>
      </c>
      <c r="AB163" s="7">
        <v>561.5</v>
      </c>
      <c r="AC163" s="7">
        <v>517.6</v>
      </c>
      <c r="AD163" s="10">
        <v>0.92181656277827251</v>
      </c>
      <c r="AE163" s="7" t="s">
        <v>176</v>
      </c>
      <c r="AF163" s="20" t="s">
        <v>27</v>
      </c>
      <c r="AG163" s="11" t="s">
        <v>928</v>
      </c>
      <c r="AH163" s="7" t="s">
        <v>1300</v>
      </c>
    </row>
    <row r="164" spans="1:34" s="7" customFormat="1" ht="16.5" customHeight="1">
      <c r="A164" s="7">
        <v>2012</v>
      </c>
      <c r="B164" s="12">
        <v>41099</v>
      </c>
      <c r="C164" s="7" t="s">
        <v>22</v>
      </c>
      <c r="D164" s="9" t="s">
        <v>6</v>
      </c>
      <c r="E164" s="9" t="s">
        <v>12</v>
      </c>
      <c r="F164" s="9" t="s">
        <v>127</v>
      </c>
      <c r="G164" s="7" t="s">
        <v>902</v>
      </c>
      <c r="H164" s="7" t="s">
        <v>903</v>
      </c>
      <c r="I164" s="124" t="s">
        <v>902</v>
      </c>
      <c r="J164" s="7">
        <v>12</v>
      </c>
      <c r="K164" s="124" t="s">
        <v>837</v>
      </c>
      <c r="L164" s="20" t="s">
        <v>77</v>
      </c>
      <c r="M164" s="16">
        <v>92.636708940778462</v>
      </c>
      <c r="N164" s="16">
        <v>19.992205483572825</v>
      </c>
      <c r="O164" s="16">
        <v>355.65925380161832</v>
      </c>
      <c r="P164" s="16">
        <v>20.588553292410715</v>
      </c>
      <c r="Q164" s="147">
        <v>146.74049159458704</v>
      </c>
      <c r="R164" s="147">
        <v>13.237747192382812</v>
      </c>
      <c r="S164" s="10">
        <v>0.81783540785915054</v>
      </c>
      <c r="T164" s="10">
        <v>-1.4198902277111922</v>
      </c>
      <c r="U164" s="16">
        <v>2.0642450877598355E-2</v>
      </c>
      <c r="V164" s="16">
        <v>8.3932674782195793</v>
      </c>
      <c r="W164" s="10">
        <v>9.813157705930772</v>
      </c>
      <c r="X164" s="10" t="s">
        <v>902</v>
      </c>
      <c r="Y164" s="10">
        <v>1.9333333333333333</v>
      </c>
      <c r="Z164" s="10">
        <v>2.0666666666666669</v>
      </c>
      <c r="AA164" s="20" t="s">
        <v>215</v>
      </c>
      <c r="AB164" s="7">
        <v>1225</v>
      </c>
      <c r="AC164" s="7">
        <v>239.3</v>
      </c>
      <c r="AD164" s="10">
        <v>0.1953469856392602</v>
      </c>
      <c r="AE164" s="11" t="s">
        <v>193</v>
      </c>
      <c r="AF164" s="20" t="s">
        <v>27</v>
      </c>
      <c r="AG164" s="11" t="s">
        <v>864</v>
      </c>
      <c r="AH164" s="7" t="s">
        <v>1301</v>
      </c>
    </row>
    <row r="165" spans="1:34" s="7" customFormat="1" ht="16.5" customHeight="1">
      <c r="A165" s="7">
        <v>2012</v>
      </c>
      <c r="B165" s="12">
        <v>41099</v>
      </c>
      <c r="C165" s="7" t="s">
        <v>22</v>
      </c>
      <c r="D165" s="9" t="s">
        <v>6</v>
      </c>
      <c r="E165" s="9" t="s">
        <v>12</v>
      </c>
      <c r="F165" s="9" t="s">
        <v>127</v>
      </c>
      <c r="G165" s="7" t="s">
        <v>902</v>
      </c>
      <c r="H165" s="7" t="s">
        <v>903</v>
      </c>
      <c r="I165" s="124" t="s">
        <v>902</v>
      </c>
      <c r="J165" s="7">
        <v>13</v>
      </c>
      <c r="K165" s="124" t="s">
        <v>838</v>
      </c>
      <c r="L165" s="20" t="s">
        <v>77</v>
      </c>
      <c r="M165" s="16">
        <v>92.632189824030945</v>
      </c>
      <c r="N165" s="16">
        <v>17.717140931349533</v>
      </c>
      <c r="O165" s="16">
        <v>372.08218853290265</v>
      </c>
      <c r="P165" s="16">
        <v>16.389218110304611</v>
      </c>
      <c r="Q165" s="147">
        <v>214.94188044621393</v>
      </c>
      <c r="R165" s="147">
        <v>62.024093627929688</v>
      </c>
      <c r="S165" s="10">
        <v>0.81783540785915054</v>
      </c>
      <c r="T165" s="10">
        <v>1.1932952037827971</v>
      </c>
      <c r="U165" s="16">
        <v>5.2115686647184606E-2</v>
      </c>
      <c r="V165" s="16">
        <v>8.3932674782195793</v>
      </c>
      <c r="W165" s="10">
        <v>7.1999722744367824</v>
      </c>
      <c r="X165" s="10" t="s">
        <v>902</v>
      </c>
      <c r="Y165" s="10">
        <v>1.9333333333333333</v>
      </c>
      <c r="Z165" s="10">
        <v>2.0666666666666669</v>
      </c>
      <c r="AA165" s="20" t="s">
        <v>216</v>
      </c>
      <c r="AB165" s="7">
        <v>1234.75</v>
      </c>
      <c r="AC165" s="7">
        <v>244.1</v>
      </c>
      <c r="AD165" s="10">
        <v>0.19769189523800865</v>
      </c>
      <c r="AE165" s="11" t="s">
        <v>193</v>
      </c>
      <c r="AF165" s="20" t="s">
        <v>27</v>
      </c>
      <c r="AG165" s="11" t="s">
        <v>864</v>
      </c>
      <c r="AH165" s="7" t="s">
        <v>1302</v>
      </c>
    </row>
    <row r="166" spans="1:34" s="7" customFormat="1" ht="16.5" customHeight="1">
      <c r="A166" s="7">
        <v>2012</v>
      </c>
      <c r="B166" s="12">
        <v>41099</v>
      </c>
      <c r="C166" s="7" t="s">
        <v>22</v>
      </c>
      <c r="D166" s="9" t="s">
        <v>6</v>
      </c>
      <c r="E166" s="9" t="s">
        <v>12</v>
      </c>
      <c r="F166" s="9" t="s">
        <v>127</v>
      </c>
      <c r="G166" s="7" t="s">
        <v>902</v>
      </c>
      <c r="H166" s="7" t="s">
        <v>903</v>
      </c>
      <c r="I166" s="124" t="s">
        <v>902</v>
      </c>
      <c r="J166" s="7">
        <v>34</v>
      </c>
      <c r="K166" s="124" t="s">
        <v>1591</v>
      </c>
      <c r="L166" s="20" t="s">
        <v>907</v>
      </c>
      <c r="M166" s="16">
        <v>92.638784027099604</v>
      </c>
      <c r="N166" s="16">
        <v>21.266966819763184</v>
      </c>
      <c r="O166" s="16">
        <v>334.59099273681642</v>
      </c>
      <c r="P166" s="16">
        <v>21.091940593719482</v>
      </c>
      <c r="Q166" s="147">
        <v>220.03055953979492</v>
      </c>
      <c r="R166" s="147">
        <v>8.527923583984375</v>
      </c>
      <c r="S166" s="10">
        <v>0.81783540785915054</v>
      </c>
      <c r="T166" s="10">
        <v>4.3516403639631189</v>
      </c>
      <c r="U166" s="16">
        <v>3.573014897511418E-2</v>
      </c>
      <c r="V166" s="16">
        <v>8.3932674782195793</v>
      </c>
      <c r="W166" s="10">
        <v>4.0416271142564604</v>
      </c>
      <c r="X166" s="10" t="s">
        <v>902</v>
      </c>
      <c r="Y166" s="10">
        <v>1.9333333333333333</v>
      </c>
      <c r="Z166" s="10">
        <v>2.0666666666666669</v>
      </c>
      <c r="AA166" s="20" t="s">
        <v>201</v>
      </c>
      <c r="AB166" s="9" t="s">
        <v>902</v>
      </c>
      <c r="AC166" s="9" t="s">
        <v>902</v>
      </c>
      <c r="AD166" s="9" t="s">
        <v>902</v>
      </c>
      <c r="AE166" s="11" t="s">
        <v>193</v>
      </c>
      <c r="AF166" s="20" t="s">
        <v>27</v>
      </c>
      <c r="AG166" s="11" t="s">
        <v>928</v>
      </c>
      <c r="AH166" s="7" t="s">
        <v>1242</v>
      </c>
    </row>
    <row r="167" spans="1:34" s="7" customFormat="1" ht="16.5" customHeight="1">
      <c r="A167" s="7">
        <v>2012</v>
      </c>
      <c r="B167" s="12">
        <v>41095</v>
      </c>
      <c r="C167" s="7" t="s">
        <v>22</v>
      </c>
      <c r="D167" s="9" t="s">
        <v>6</v>
      </c>
      <c r="E167" s="9" t="s">
        <v>12</v>
      </c>
      <c r="F167" s="9" t="s">
        <v>127</v>
      </c>
      <c r="G167" s="7" t="s">
        <v>902</v>
      </c>
      <c r="H167" s="7" t="s">
        <v>903</v>
      </c>
      <c r="I167" s="124" t="s">
        <v>902</v>
      </c>
      <c r="J167" s="7">
        <v>35</v>
      </c>
      <c r="K167" s="124" t="s">
        <v>1592</v>
      </c>
      <c r="L167" s="20" t="s">
        <v>74</v>
      </c>
      <c r="M167" s="16">
        <v>92.31904125213623</v>
      </c>
      <c r="N167" s="16">
        <v>20.928911805152893</v>
      </c>
      <c r="O167" s="16">
        <v>349.76580429077148</v>
      </c>
      <c r="P167" s="16">
        <v>19.371004223823547</v>
      </c>
      <c r="Q167" s="147">
        <v>289.43159103393555</v>
      </c>
      <c r="R167" s="147">
        <v>3.580169677734375</v>
      </c>
      <c r="S167" s="10">
        <v>0.81783540785915054</v>
      </c>
      <c r="T167" s="10">
        <v>4.1525522665673753</v>
      </c>
      <c r="U167" s="16">
        <v>4.3472428882823273E-2</v>
      </c>
      <c r="V167" s="16">
        <v>8.3932674782195793</v>
      </c>
      <c r="W167" s="10">
        <v>4.240715211652204</v>
      </c>
      <c r="X167" s="10" t="s">
        <v>902</v>
      </c>
      <c r="Y167" s="10">
        <v>1.9333333333333333</v>
      </c>
      <c r="Z167" s="10">
        <v>2.0666666666666669</v>
      </c>
      <c r="AA167" s="20" t="s">
        <v>183</v>
      </c>
      <c r="AB167" s="7">
        <v>599.4</v>
      </c>
      <c r="AC167" s="7">
        <v>578.6</v>
      </c>
      <c r="AD167" s="10">
        <v>0.96529863196529875</v>
      </c>
      <c r="AE167" s="7" t="s">
        <v>176</v>
      </c>
      <c r="AF167" s="20" t="s">
        <v>27</v>
      </c>
      <c r="AG167" s="11" t="s">
        <v>928</v>
      </c>
      <c r="AH167" s="7" t="s">
        <v>1303</v>
      </c>
    </row>
    <row r="168" spans="1:34" s="7" customFormat="1" ht="16.5" customHeight="1">
      <c r="A168" s="7">
        <v>2012</v>
      </c>
      <c r="B168" s="12">
        <v>41095</v>
      </c>
      <c r="C168" s="7" t="s">
        <v>22</v>
      </c>
      <c r="D168" s="9" t="s">
        <v>6</v>
      </c>
      <c r="E168" s="9" t="s">
        <v>12</v>
      </c>
      <c r="F168" s="9" t="s">
        <v>127</v>
      </c>
      <c r="G168" s="7" t="s">
        <v>902</v>
      </c>
      <c r="H168" s="7" t="s">
        <v>903</v>
      </c>
      <c r="I168" s="124" t="s">
        <v>902</v>
      </c>
      <c r="J168" s="7">
        <v>36</v>
      </c>
      <c r="K168" s="124" t="s">
        <v>1593</v>
      </c>
      <c r="L168" s="20" t="s">
        <v>74</v>
      </c>
      <c r="M168" s="16">
        <v>92.316169738769531</v>
      </c>
      <c r="N168" s="16">
        <v>21.394910611604388</v>
      </c>
      <c r="O168" s="16">
        <v>347.41495072214229</v>
      </c>
      <c r="P168" s="16">
        <v>19.377390911704616</v>
      </c>
      <c r="Q168" s="147">
        <v>303.10291009200245</v>
      </c>
      <c r="R168" s="147">
        <v>5.955535888671875</v>
      </c>
      <c r="S168" s="10">
        <v>0.81783540785915054</v>
      </c>
      <c r="T168" s="10">
        <v>4.668646423261257</v>
      </c>
      <c r="U168" s="16">
        <v>5.4849651403594435E-2</v>
      </c>
      <c r="V168" s="16">
        <v>8.3932674782195793</v>
      </c>
      <c r="W168" s="10">
        <v>3.7246210549583223</v>
      </c>
      <c r="X168" s="10" t="s">
        <v>902</v>
      </c>
      <c r="Y168" s="10">
        <v>1.9333333333333333</v>
      </c>
      <c r="Z168" s="10">
        <v>2.0666666666666669</v>
      </c>
      <c r="AA168" s="20" t="s">
        <v>184</v>
      </c>
      <c r="AB168" s="7">
        <v>754.4</v>
      </c>
      <c r="AC168" s="7">
        <v>603</v>
      </c>
      <c r="AD168" s="10">
        <v>0.7993107104984094</v>
      </c>
      <c r="AE168" s="7" t="s">
        <v>176</v>
      </c>
      <c r="AF168" s="20" t="s">
        <v>27</v>
      </c>
      <c r="AG168" s="11" t="s">
        <v>928</v>
      </c>
      <c r="AH168" s="7" t="s">
        <v>1242</v>
      </c>
    </row>
    <row r="169" spans="1:34" s="7" customFormat="1" ht="16.5" customHeight="1">
      <c r="A169" s="7">
        <v>2012</v>
      </c>
      <c r="B169" s="12">
        <v>41095</v>
      </c>
      <c r="C169" s="7" t="s">
        <v>22</v>
      </c>
      <c r="D169" s="9" t="s">
        <v>6</v>
      </c>
      <c r="E169" s="9" t="s">
        <v>12</v>
      </c>
      <c r="F169" s="9" t="s">
        <v>127</v>
      </c>
      <c r="G169" s="7" t="s">
        <v>902</v>
      </c>
      <c r="H169" s="7" t="s">
        <v>903</v>
      </c>
      <c r="I169" s="124" t="s">
        <v>902</v>
      </c>
      <c r="J169" s="7">
        <v>37</v>
      </c>
      <c r="K169" s="124" t="s">
        <v>1594</v>
      </c>
      <c r="L169" s="20" t="s">
        <v>74</v>
      </c>
      <c r="M169" s="16">
        <v>92.317164103190109</v>
      </c>
      <c r="N169" s="16">
        <v>21.33466478983561</v>
      </c>
      <c r="O169" s="16">
        <v>346.60182495117186</v>
      </c>
      <c r="P169" s="16">
        <v>20.186569849650066</v>
      </c>
      <c r="Q169" s="147">
        <v>305.18483276367186</v>
      </c>
      <c r="R169" s="147">
        <v>2.92425537109375</v>
      </c>
      <c r="S169" s="10">
        <v>0.81783540785915054</v>
      </c>
      <c r="T169" s="10">
        <v>4.3283925987740233</v>
      </c>
      <c r="U169" s="16">
        <v>4.2432086808340888E-2</v>
      </c>
      <c r="V169" s="16">
        <v>8.3932674782195793</v>
      </c>
      <c r="W169" s="10">
        <v>4.064874879445556</v>
      </c>
      <c r="X169" s="10" t="s">
        <v>902</v>
      </c>
      <c r="Y169" s="10">
        <v>1.9333333333333333</v>
      </c>
      <c r="Z169" s="10">
        <v>2.0666666666666669</v>
      </c>
      <c r="AA169" s="20" t="s">
        <v>185</v>
      </c>
      <c r="AB169" s="7">
        <v>605.5</v>
      </c>
      <c r="AC169" s="7">
        <v>598.1</v>
      </c>
      <c r="AD169" s="10">
        <v>0.98777869529314621</v>
      </c>
      <c r="AE169" s="7" t="s">
        <v>176</v>
      </c>
      <c r="AF169" s="20" t="s">
        <v>27</v>
      </c>
      <c r="AG169" s="11" t="s">
        <v>928</v>
      </c>
      <c r="AH169" s="7" t="s">
        <v>1303</v>
      </c>
    </row>
    <row r="170" spans="1:34" s="7" customFormat="1" ht="16.5" customHeight="1">
      <c r="A170" s="7">
        <v>2012</v>
      </c>
      <c r="B170" s="12">
        <v>41095</v>
      </c>
      <c r="C170" s="7" t="s">
        <v>22</v>
      </c>
      <c r="D170" s="9" t="s">
        <v>6</v>
      </c>
      <c r="E170" s="9" t="s">
        <v>12</v>
      </c>
      <c r="F170" s="9" t="s">
        <v>127</v>
      </c>
      <c r="G170" s="7" t="s">
        <v>902</v>
      </c>
      <c r="H170" s="7" t="s">
        <v>903</v>
      </c>
      <c r="I170" s="124" t="s">
        <v>902</v>
      </c>
      <c r="J170" s="7">
        <v>38</v>
      </c>
      <c r="K170" s="124" t="s">
        <v>1595</v>
      </c>
      <c r="L170" s="20" t="s">
        <v>909</v>
      </c>
      <c r="M170" s="16">
        <v>92.329688644409174</v>
      </c>
      <c r="N170" s="16">
        <v>19.488994979858397</v>
      </c>
      <c r="O170" s="16">
        <v>344.00326995849611</v>
      </c>
      <c r="P170" s="16">
        <v>18.178078365325927</v>
      </c>
      <c r="Q170" s="147">
        <v>359.38246459960936</v>
      </c>
      <c r="R170" s="147">
        <v>1.9229736328125</v>
      </c>
      <c r="S170" s="10">
        <v>0.81783540785915054</v>
      </c>
      <c r="T170" s="10">
        <v>7.4438023356358709</v>
      </c>
      <c r="U170" s="16">
        <v>3.6767604655789252E-2</v>
      </c>
      <c r="V170" s="16">
        <v>8.3932674782195793</v>
      </c>
      <c r="W170" s="10">
        <v>0.9494651425837084</v>
      </c>
      <c r="X170" s="10" t="s">
        <v>902</v>
      </c>
      <c r="Y170" s="10">
        <v>1.9333333333333333</v>
      </c>
      <c r="Z170" s="10">
        <v>2.0666666666666669</v>
      </c>
      <c r="AA170" s="20" t="s">
        <v>186</v>
      </c>
      <c r="AB170" s="9" t="s">
        <v>902</v>
      </c>
      <c r="AC170" s="9" t="s">
        <v>902</v>
      </c>
      <c r="AD170" s="9" t="s">
        <v>902</v>
      </c>
      <c r="AE170" s="7" t="s">
        <v>124</v>
      </c>
      <c r="AF170" s="20" t="s">
        <v>27</v>
      </c>
      <c r="AG170" s="11" t="s">
        <v>928</v>
      </c>
      <c r="AH170" s="7" t="s">
        <v>1242</v>
      </c>
    </row>
    <row r="171" spans="1:34" s="7" customFormat="1" ht="16.5" customHeight="1">
      <c r="A171" s="7">
        <v>2012</v>
      </c>
      <c r="B171" s="12">
        <v>41099</v>
      </c>
      <c r="C171" s="7" t="s">
        <v>22</v>
      </c>
      <c r="D171" s="9" t="s">
        <v>6</v>
      </c>
      <c r="E171" s="9" t="s">
        <v>12</v>
      </c>
      <c r="F171" s="9" t="s">
        <v>127</v>
      </c>
      <c r="G171" s="7" t="s">
        <v>902</v>
      </c>
      <c r="H171" s="7" t="s">
        <v>903</v>
      </c>
      <c r="I171" s="124" t="s">
        <v>902</v>
      </c>
      <c r="J171" s="7">
        <v>39</v>
      </c>
      <c r="K171" s="124" t="s">
        <v>1596</v>
      </c>
      <c r="L171" s="20" t="s">
        <v>908</v>
      </c>
      <c r="M171" s="16">
        <v>92.65383682250976</v>
      </c>
      <c r="N171" s="16">
        <v>16.655419254302977</v>
      </c>
      <c r="O171" s="16">
        <v>347.51794891357423</v>
      </c>
      <c r="P171" s="16">
        <v>16.205506467819212</v>
      </c>
      <c r="Q171" s="147">
        <v>383.07779693603516</v>
      </c>
      <c r="R171" s="147">
        <v>27.0565185546875</v>
      </c>
      <c r="S171" s="10">
        <v>0.81783540785915054</v>
      </c>
      <c r="T171" s="10">
        <v>6.9062954484187342</v>
      </c>
      <c r="U171" s="16">
        <v>2.7699797852595048E-2</v>
      </c>
      <c r="V171" s="16">
        <v>8.3932674782195793</v>
      </c>
      <c r="W171" s="10">
        <v>1.4869720298008451</v>
      </c>
      <c r="X171" s="10" t="s">
        <v>902</v>
      </c>
      <c r="Y171" s="10">
        <v>1.9333333333333333</v>
      </c>
      <c r="Z171" s="10">
        <v>2.0666666666666669</v>
      </c>
      <c r="AA171" s="20" t="s">
        <v>202</v>
      </c>
      <c r="AB171" s="7">
        <v>788.6</v>
      </c>
      <c r="AC171" s="7">
        <v>297.89999999999998</v>
      </c>
      <c r="AD171" s="10">
        <v>0.37775805224448383</v>
      </c>
      <c r="AE171" s="11" t="s">
        <v>193</v>
      </c>
      <c r="AF171" s="20" t="s">
        <v>27</v>
      </c>
      <c r="AG171" s="11" t="s">
        <v>928</v>
      </c>
      <c r="AH171" s="7" t="s">
        <v>1242</v>
      </c>
    </row>
    <row r="172" spans="1:34" s="7" customFormat="1" ht="16.5" customHeight="1">
      <c r="A172" s="7">
        <v>2012</v>
      </c>
      <c r="B172" s="12">
        <v>41099</v>
      </c>
      <c r="C172" s="7" t="s">
        <v>22</v>
      </c>
      <c r="D172" s="9" t="s">
        <v>6</v>
      </c>
      <c r="E172" s="9" t="s">
        <v>12</v>
      </c>
      <c r="F172" s="9" t="s">
        <v>127</v>
      </c>
      <c r="G172" s="7" t="s">
        <v>902</v>
      </c>
      <c r="H172" s="7" t="s">
        <v>903</v>
      </c>
      <c r="I172" s="124" t="s">
        <v>902</v>
      </c>
      <c r="J172" s="7">
        <v>40</v>
      </c>
      <c r="K172" s="124" t="s">
        <v>840</v>
      </c>
      <c r="L172" s="20" t="s">
        <v>908</v>
      </c>
      <c r="M172" s="16">
        <v>92.654036712646487</v>
      </c>
      <c r="N172" s="16">
        <v>16.618227291107178</v>
      </c>
      <c r="O172" s="16">
        <v>349.00327453613284</v>
      </c>
      <c r="P172" s="16">
        <v>16.03438844680786</v>
      </c>
      <c r="Q172" s="147">
        <v>384.02568359374999</v>
      </c>
      <c r="R172" s="147">
        <v>31.308746337890625</v>
      </c>
      <c r="S172" s="10">
        <v>0.81783540785915054</v>
      </c>
      <c r="T172" s="10">
        <v>6.6934700487677556</v>
      </c>
      <c r="U172" s="16">
        <v>2.9039268206833002E-2</v>
      </c>
      <c r="V172" s="16">
        <v>8.3932674782195793</v>
      </c>
      <c r="W172" s="10">
        <v>1.6997974294518237</v>
      </c>
      <c r="X172" s="10" t="s">
        <v>902</v>
      </c>
      <c r="Y172" s="10">
        <v>1.9333333333333333</v>
      </c>
      <c r="Z172" s="10">
        <v>2.0666666666666669</v>
      </c>
      <c r="AA172" s="20" t="s">
        <v>203</v>
      </c>
      <c r="AB172" s="7">
        <v>938.1</v>
      </c>
      <c r="AC172" s="7">
        <v>296.64999999999998</v>
      </c>
      <c r="AD172" s="10">
        <v>0.31625616314999572</v>
      </c>
      <c r="AE172" s="11" t="s">
        <v>193</v>
      </c>
      <c r="AF172" s="20" t="s">
        <v>27</v>
      </c>
      <c r="AG172" s="11" t="s">
        <v>928</v>
      </c>
      <c r="AH172" s="7" t="s">
        <v>1304</v>
      </c>
    </row>
    <row r="173" spans="1:34" s="7" customFormat="1" ht="16.5" customHeight="1">
      <c r="A173" s="7">
        <v>2012</v>
      </c>
      <c r="B173" s="12">
        <v>41095</v>
      </c>
      <c r="C173" s="7" t="s">
        <v>22</v>
      </c>
      <c r="D173" s="9" t="s">
        <v>6</v>
      </c>
      <c r="E173" s="9" t="s">
        <v>12</v>
      </c>
      <c r="F173" s="9" t="s">
        <v>127</v>
      </c>
      <c r="G173" s="7" t="s">
        <v>902</v>
      </c>
      <c r="H173" s="7" t="s">
        <v>903</v>
      </c>
      <c r="I173" s="124" t="s">
        <v>902</v>
      </c>
      <c r="J173" s="7">
        <v>41</v>
      </c>
      <c r="K173" s="124" t="s">
        <v>1597</v>
      </c>
      <c r="L173" s="20" t="s">
        <v>909</v>
      </c>
      <c r="M173" s="16">
        <v>92.311439132690424</v>
      </c>
      <c r="N173" s="16">
        <v>21.852349853515626</v>
      </c>
      <c r="O173" s="16">
        <v>342.8481475830078</v>
      </c>
      <c r="P173" s="16">
        <v>20.545873928070069</v>
      </c>
      <c r="Q173" s="147">
        <v>438.27913970947264</v>
      </c>
      <c r="R173" s="147">
        <v>42.2060546875</v>
      </c>
      <c r="S173" s="10">
        <v>0.81783540785915054</v>
      </c>
      <c r="T173" s="10">
        <v>8.054181229607309</v>
      </c>
      <c r="U173" s="16">
        <v>5.05342806192269E-2</v>
      </c>
      <c r="V173" s="16">
        <v>8.3932674782195793</v>
      </c>
      <c r="W173" s="10">
        <v>0.33908624861227032</v>
      </c>
      <c r="X173" s="10" t="s">
        <v>902</v>
      </c>
      <c r="Y173" s="10">
        <v>1.9333333333333333</v>
      </c>
      <c r="Z173" s="10">
        <v>2.0666666666666669</v>
      </c>
      <c r="AA173" s="20" t="s">
        <v>187</v>
      </c>
      <c r="AB173" s="9" t="s">
        <v>902</v>
      </c>
      <c r="AC173" s="9" t="s">
        <v>902</v>
      </c>
      <c r="AD173" s="9" t="s">
        <v>902</v>
      </c>
      <c r="AE173" s="7" t="s">
        <v>124</v>
      </c>
      <c r="AF173" s="20" t="s">
        <v>27</v>
      </c>
      <c r="AG173" s="11" t="s">
        <v>928</v>
      </c>
      <c r="AH173" s="7" t="s">
        <v>1242</v>
      </c>
    </row>
    <row r="174" spans="1:34" s="7" customFormat="1" ht="16.5" customHeight="1">
      <c r="A174" s="7">
        <v>2012</v>
      </c>
      <c r="B174" s="12">
        <v>41099</v>
      </c>
      <c r="C174" s="7" t="s">
        <v>22</v>
      </c>
      <c r="D174" s="9" t="s">
        <v>6</v>
      </c>
      <c r="E174" s="9" t="s">
        <v>12</v>
      </c>
      <c r="F174" s="9" t="s">
        <v>127</v>
      </c>
      <c r="G174" s="7" t="s">
        <v>902</v>
      </c>
      <c r="H174" s="7" t="s">
        <v>903</v>
      </c>
      <c r="I174" s="124" t="s">
        <v>902</v>
      </c>
      <c r="J174" s="7">
        <v>7</v>
      </c>
      <c r="K174" s="124" t="s">
        <v>1598</v>
      </c>
      <c r="L174" s="20" t="s">
        <v>909</v>
      </c>
      <c r="M174" s="16">
        <v>92.656531524658206</v>
      </c>
      <c r="N174" s="16">
        <v>17.219048023223877</v>
      </c>
      <c r="O174" s="16">
        <v>354.60893096923826</v>
      </c>
      <c r="P174" s="16">
        <v>14.942259216308594</v>
      </c>
      <c r="Q174" s="147">
        <v>438.62699432373046</v>
      </c>
      <c r="R174" s="147">
        <v>7.427215576171875</v>
      </c>
      <c r="S174" s="10">
        <v>0.81783540785915054</v>
      </c>
      <c r="T174" s="10">
        <v>11.701206142118631</v>
      </c>
      <c r="U174" s="16">
        <v>5.6459690753678633E-2</v>
      </c>
      <c r="V174" s="16">
        <v>8.3932674782195793</v>
      </c>
      <c r="W174" s="10">
        <v>-3.3079386638990513</v>
      </c>
      <c r="X174" s="10" t="s">
        <v>902</v>
      </c>
      <c r="Y174" s="10">
        <v>1.9333333333333333</v>
      </c>
      <c r="Z174" s="10">
        <v>2.0666666666666669</v>
      </c>
      <c r="AA174" s="20" t="s">
        <v>194</v>
      </c>
      <c r="AB174" s="7">
        <v>578.6</v>
      </c>
      <c r="AC174" s="7">
        <v>300.3</v>
      </c>
      <c r="AD174" s="10">
        <v>0.51901140684410652</v>
      </c>
      <c r="AE174" s="11" t="s">
        <v>193</v>
      </c>
      <c r="AF174" s="20" t="s">
        <v>27</v>
      </c>
      <c r="AG174" s="11" t="s">
        <v>2</v>
      </c>
      <c r="AH174" s="7" t="s">
        <v>1242</v>
      </c>
    </row>
    <row r="175" spans="1:34" s="7" customFormat="1" ht="16.5" customHeight="1">
      <c r="A175" s="7">
        <v>2012</v>
      </c>
      <c r="B175" s="12">
        <v>41095</v>
      </c>
      <c r="C175" s="7" t="s">
        <v>22</v>
      </c>
      <c r="D175" s="9" t="s">
        <v>6</v>
      </c>
      <c r="E175" s="9" t="s">
        <v>12</v>
      </c>
      <c r="F175" s="9" t="s">
        <v>127</v>
      </c>
      <c r="G175" s="7" t="s">
        <v>902</v>
      </c>
      <c r="H175" s="7" t="s">
        <v>903</v>
      </c>
      <c r="I175" s="124" t="s">
        <v>902</v>
      </c>
      <c r="J175" s="7">
        <v>42</v>
      </c>
      <c r="K175" s="124" t="s">
        <v>1599</v>
      </c>
      <c r="L175" s="20" t="s">
        <v>909</v>
      </c>
      <c r="M175" s="16">
        <v>92.31559867858887</v>
      </c>
      <c r="N175" s="16">
        <v>21.01515073776245</v>
      </c>
      <c r="O175" s="16">
        <v>343.00728912353514</v>
      </c>
      <c r="P175" s="16">
        <v>19.011840343475342</v>
      </c>
      <c r="Q175" s="147">
        <v>442.32449035644532</v>
      </c>
      <c r="R175" s="147">
        <v>10.5916748046875</v>
      </c>
      <c r="S175" s="10">
        <v>0.81783540785915054</v>
      </c>
      <c r="T175" s="10">
        <v>9.0698502201134019</v>
      </c>
      <c r="U175" s="16">
        <v>5.0581912707565423E-2</v>
      </c>
      <c r="V175" s="16">
        <v>8.3932674782195793</v>
      </c>
      <c r="W175" s="10">
        <v>-0.67658274189382261</v>
      </c>
      <c r="X175" s="10" t="s">
        <v>902</v>
      </c>
      <c r="Y175" s="10">
        <v>1.9333333333333333</v>
      </c>
      <c r="Z175" s="10">
        <v>2.0666666666666669</v>
      </c>
      <c r="AA175" s="20" t="s">
        <v>188</v>
      </c>
      <c r="AB175" s="9" t="s">
        <v>902</v>
      </c>
      <c r="AC175" s="9" t="s">
        <v>902</v>
      </c>
      <c r="AD175" s="9" t="s">
        <v>902</v>
      </c>
      <c r="AE175" s="7" t="s">
        <v>124</v>
      </c>
      <c r="AF175" s="20" t="s">
        <v>27</v>
      </c>
      <c r="AG175" s="11" t="s">
        <v>928</v>
      </c>
      <c r="AH175" s="7" t="s">
        <v>1242</v>
      </c>
    </row>
    <row r="176" spans="1:34" s="7" customFormat="1" ht="16.5" customHeight="1">
      <c r="A176" s="7">
        <v>2012</v>
      </c>
      <c r="B176" s="12">
        <v>41095</v>
      </c>
      <c r="C176" s="7" t="s">
        <v>22</v>
      </c>
      <c r="D176" s="9" t="s">
        <v>6</v>
      </c>
      <c r="E176" s="9" t="s">
        <v>12</v>
      </c>
      <c r="F176" s="9" t="s">
        <v>127</v>
      </c>
      <c r="G176" s="7" t="s">
        <v>902</v>
      </c>
      <c r="H176" s="7" t="s">
        <v>903</v>
      </c>
      <c r="I176" s="124" t="s">
        <v>902</v>
      </c>
      <c r="J176" s="7">
        <v>43</v>
      </c>
      <c r="K176" s="124" t="s">
        <v>1600</v>
      </c>
      <c r="L176" s="20" t="s">
        <v>909</v>
      </c>
      <c r="M176" s="22">
        <v>92.31557121276856</v>
      </c>
      <c r="N176" s="22">
        <v>22.980391788482667</v>
      </c>
      <c r="O176" s="22">
        <v>343.55143127441409</v>
      </c>
      <c r="P176" s="22">
        <v>20.529593372344969</v>
      </c>
      <c r="Q176" s="148">
        <v>478.17500610351561</v>
      </c>
      <c r="R176" s="148">
        <v>25.450714111328125</v>
      </c>
      <c r="S176" s="10">
        <v>0.81783540785915054</v>
      </c>
      <c r="T176" s="10">
        <v>9.8968550321823336</v>
      </c>
      <c r="U176" s="22">
        <v>7.3053832520219616E-2</v>
      </c>
      <c r="V176" s="16">
        <v>8.3932674782195793</v>
      </c>
      <c r="W176" s="10">
        <v>-1.5035875539627543</v>
      </c>
      <c r="X176" s="10" t="s">
        <v>902</v>
      </c>
      <c r="Y176" s="10">
        <v>1.9333333333333333</v>
      </c>
      <c r="Z176" s="10">
        <v>2.0666666666666669</v>
      </c>
      <c r="AA176" s="32" t="s">
        <v>189</v>
      </c>
      <c r="AB176" s="9" t="s">
        <v>902</v>
      </c>
      <c r="AC176" s="9" t="s">
        <v>902</v>
      </c>
      <c r="AD176" s="9" t="s">
        <v>902</v>
      </c>
      <c r="AE176" s="11" t="s">
        <v>124</v>
      </c>
      <c r="AF176" s="20" t="s">
        <v>27</v>
      </c>
      <c r="AG176" s="11" t="s">
        <v>928</v>
      </c>
      <c r="AH176" s="8" t="s">
        <v>1242</v>
      </c>
    </row>
    <row r="177" spans="1:34" s="7" customFormat="1" ht="16.5" customHeight="1">
      <c r="A177" s="7">
        <v>2012</v>
      </c>
      <c r="B177" s="12">
        <v>41099</v>
      </c>
      <c r="C177" s="7" t="s">
        <v>22</v>
      </c>
      <c r="D177" s="9" t="s">
        <v>6</v>
      </c>
      <c r="E177" s="9" t="s">
        <v>12</v>
      </c>
      <c r="F177" s="9" t="s">
        <v>127</v>
      </c>
      <c r="G177" s="7" t="s">
        <v>902</v>
      </c>
      <c r="H177" s="7" t="s">
        <v>903</v>
      </c>
      <c r="I177" s="124" t="s">
        <v>902</v>
      </c>
      <c r="J177" s="7">
        <v>14</v>
      </c>
      <c r="K177" s="124" t="s">
        <v>1601</v>
      </c>
      <c r="L177" s="20" t="s">
        <v>74</v>
      </c>
      <c r="M177" s="16">
        <v>92.633984374999997</v>
      </c>
      <c r="N177" s="16">
        <v>21.46299409866333</v>
      </c>
      <c r="O177" s="16">
        <v>350.28681335449221</v>
      </c>
      <c r="P177" s="16">
        <v>19.004971599578859</v>
      </c>
      <c r="Q177" s="147">
        <v>490.46354370117189</v>
      </c>
      <c r="R177" s="147">
        <v>30.46759033203125</v>
      </c>
      <c r="S177" s="10">
        <v>0.81783540785915054</v>
      </c>
      <c r="T177" s="10">
        <v>9.032921360863936</v>
      </c>
      <c r="U177" s="16">
        <v>7.2735104524999636E-2</v>
      </c>
      <c r="V177" s="16">
        <v>8.3932674782195793</v>
      </c>
      <c r="W177" s="10">
        <v>-0.63965388264435674</v>
      </c>
      <c r="X177" s="10" t="s">
        <v>902</v>
      </c>
      <c r="Y177" s="10">
        <v>1.9333333333333333</v>
      </c>
      <c r="Z177" s="10">
        <v>2.0666666666666669</v>
      </c>
      <c r="AA177" s="20" t="s">
        <v>214</v>
      </c>
      <c r="AB177" s="7">
        <v>1323.25</v>
      </c>
      <c r="AC177" s="7">
        <v>289.89999999999998</v>
      </c>
      <c r="AD177" s="10">
        <v>0.21908171765946355</v>
      </c>
      <c r="AE177" s="11" t="s">
        <v>193</v>
      </c>
      <c r="AF177" s="20" t="s">
        <v>27</v>
      </c>
      <c r="AG177" s="11" t="s">
        <v>864</v>
      </c>
      <c r="AH177" s="7" t="s">
        <v>1242</v>
      </c>
    </row>
    <row r="178" spans="1:34" s="7" customFormat="1" ht="16.5" customHeight="1">
      <c r="A178" s="7">
        <v>2012</v>
      </c>
      <c r="B178" s="12">
        <v>41095</v>
      </c>
      <c r="C178" s="7" t="s">
        <v>22</v>
      </c>
      <c r="D178" s="9" t="s">
        <v>6</v>
      </c>
      <c r="E178" s="9" t="s">
        <v>12</v>
      </c>
      <c r="F178" s="9" t="s">
        <v>127</v>
      </c>
      <c r="G178" s="7" t="s">
        <v>902</v>
      </c>
      <c r="H178" s="7" t="s">
        <v>903</v>
      </c>
      <c r="I178" s="124" t="s">
        <v>902</v>
      </c>
      <c r="J178" s="7">
        <v>44</v>
      </c>
      <c r="K178" s="124" t="s">
        <v>1602</v>
      </c>
      <c r="L178" s="20" t="s">
        <v>909</v>
      </c>
      <c r="M178" s="16">
        <v>92.316973876953128</v>
      </c>
      <c r="N178" s="16">
        <v>21.562193965911867</v>
      </c>
      <c r="O178" s="16">
        <v>337.66491546630857</v>
      </c>
      <c r="P178" s="16">
        <v>19.469332122802733</v>
      </c>
      <c r="Q178" s="147">
        <v>541.60634155273442</v>
      </c>
      <c r="R178" s="147">
        <v>71.99298095703125</v>
      </c>
      <c r="S178" s="10">
        <v>0.81783540785915054</v>
      </c>
      <c r="T178" s="10">
        <v>10.069010626721157</v>
      </c>
      <c r="U178" s="16">
        <v>5.5972551044664885E-2</v>
      </c>
      <c r="V178" s="16">
        <v>8.3932674782195793</v>
      </c>
      <c r="W178" s="10">
        <v>-1.6757431485015779</v>
      </c>
      <c r="X178" s="10" t="s">
        <v>902</v>
      </c>
      <c r="Y178" s="10">
        <v>1.9333333333333333</v>
      </c>
      <c r="Z178" s="10">
        <v>2.0666666666666669</v>
      </c>
      <c r="AA178" s="20" t="s">
        <v>190</v>
      </c>
      <c r="AB178" s="9" t="s">
        <v>902</v>
      </c>
      <c r="AC178" s="9" t="s">
        <v>902</v>
      </c>
      <c r="AD178" s="9" t="s">
        <v>902</v>
      </c>
      <c r="AE178" s="7" t="s">
        <v>124</v>
      </c>
      <c r="AF178" s="20" t="s">
        <v>27</v>
      </c>
      <c r="AG178" s="11" t="s">
        <v>928</v>
      </c>
      <c r="AH178" s="7" t="s">
        <v>1242</v>
      </c>
    </row>
    <row r="179" spans="1:34" s="7" customFormat="1" ht="16.5" customHeight="1">
      <c r="A179" s="7">
        <v>2012</v>
      </c>
      <c r="B179" s="12">
        <v>41099</v>
      </c>
      <c r="C179" s="7" t="s">
        <v>22</v>
      </c>
      <c r="D179" s="9" t="s">
        <v>6</v>
      </c>
      <c r="E179" s="9" t="s">
        <v>12</v>
      </c>
      <c r="F179" s="9" t="s">
        <v>127</v>
      </c>
      <c r="G179" s="7" t="s">
        <v>902</v>
      </c>
      <c r="H179" s="7" t="s">
        <v>903</v>
      </c>
      <c r="I179" s="124" t="s">
        <v>902</v>
      </c>
      <c r="J179" s="7">
        <v>45</v>
      </c>
      <c r="K179" s="124" t="s">
        <v>1603</v>
      </c>
      <c r="L179" s="20" t="s">
        <v>908</v>
      </c>
      <c r="M179" s="16">
        <v>92.631838989257815</v>
      </c>
      <c r="N179" s="16">
        <v>22.176032161712648</v>
      </c>
      <c r="O179" s="16">
        <v>333.72696838378909</v>
      </c>
      <c r="P179" s="16">
        <v>21.270274066925047</v>
      </c>
      <c r="Q179" s="147">
        <v>558.83282165527339</v>
      </c>
      <c r="R179" s="147">
        <v>72.43951416015625</v>
      </c>
      <c r="S179" s="10">
        <v>0.81783540785915054</v>
      </c>
      <c r="T179" s="10">
        <v>8.7761682328417514</v>
      </c>
      <c r="U179" s="16">
        <v>5.6266158684752043E-2</v>
      </c>
      <c r="V179" s="16">
        <v>8.3932674782195793</v>
      </c>
      <c r="W179" s="10">
        <v>-0.3829007546221721</v>
      </c>
      <c r="X179" s="10" t="s">
        <v>902</v>
      </c>
      <c r="Y179" s="10">
        <v>1.9333333333333333</v>
      </c>
      <c r="Z179" s="10">
        <v>2.0666666666666669</v>
      </c>
      <c r="AA179" s="20" t="s">
        <v>204</v>
      </c>
      <c r="AB179" s="7">
        <v>1330.55</v>
      </c>
      <c r="AC179" s="7">
        <v>317.35000000000002</v>
      </c>
      <c r="AD179" s="10">
        <v>0.23896600389030997</v>
      </c>
      <c r="AE179" s="11" t="s">
        <v>193</v>
      </c>
      <c r="AF179" s="20" t="s">
        <v>27</v>
      </c>
      <c r="AG179" s="11" t="s">
        <v>928</v>
      </c>
      <c r="AH179" s="7" t="s">
        <v>1242</v>
      </c>
    </row>
    <row r="180" spans="1:34" s="7" customFormat="1" ht="16.5" customHeight="1">
      <c r="A180" s="7">
        <v>2012</v>
      </c>
      <c r="B180" s="12">
        <v>41099</v>
      </c>
      <c r="C180" s="7" t="s">
        <v>22</v>
      </c>
      <c r="D180" s="9" t="s">
        <v>6</v>
      </c>
      <c r="E180" s="9" t="s">
        <v>12</v>
      </c>
      <c r="F180" s="9" t="s">
        <v>127</v>
      </c>
      <c r="G180" s="7" t="s">
        <v>902</v>
      </c>
      <c r="H180" s="7" t="s">
        <v>903</v>
      </c>
      <c r="I180" s="124" t="s">
        <v>902</v>
      </c>
      <c r="J180" s="7">
        <v>8</v>
      </c>
      <c r="K180" s="124" t="s">
        <v>1604</v>
      </c>
      <c r="L180" s="20" t="s">
        <v>909</v>
      </c>
      <c r="M180" s="16">
        <v>92.655010986328122</v>
      </c>
      <c r="N180" s="16">
        <v>17.409558010101318</v>
      </c>
      <c r="O180" s="16">
        <v>331.40024414062498</v>
      </c>
      <c r="P180" s="16">
        <v>17.021101474761963</v>
      </c>
      <c r="Q180" s="147">
        <v>566.29789123535159</v>
      </c>
      <c r="R180" s="147">
        <v>86.86761474609375</v>
      </c>
      <c r="S180" s="10">
        <v>0.81783540785915054</v>
      </c>
      <c r="T180" s="10">
        <v>10.850171500777654</v>
      </c>
      <c r="U180" s="16">
        <v>3.7134832367861179E-2</v>
      </c>
      <c r="V180" s="16">
        <v>8.3932674782195793</v>
      </c>
      <c r="W180" s="10">
        <v>-2.4569040225580743</v>
      </c>
      <c r="X180" s="10" t="s">
        <v>902</v>
      </c>
      <c r="Y180" s="10">
        <v>1.9333333333333333</v>
      </c>
      <c r="Z180" s="10">
        <v>2.0666666666666669</v>
      </c>
      <c r="AA180" s="20" t="s">
        <v>195</v>
      </c>
      <c r="AB180" s="7">
        <v>688.5</v>
      </c>
      <c r="AC180" s="7">
        <v>290.5</v>
      </c>
      <c r="AD180" s="10">
        <v>0.42193173565722586</v>
      </c>
      <c r="AE180" s="11" t="s">
        <v>193</v>
      </c>
      <c r="AF180" s="20" t="s">
        <v>27</v>
      </c>
      <c r="AG180" s="11" t="s">
        <v>2</v>
      </c>
      <c r="AH180" s="7" t="s">
        <v>1242</v>
      </c>
    </row>
    <row r="181" spans="1:34" s="7" customFormat="1" ht="16.5" customHeight="1">
      <c r="A181" s="7">
        <v>2012</v>
      </c>
      <c r="B181" s="12">
        <v>41099</v>
      </c>
      <c r="C181" s="7" t="s">
        <v>22</v>
      </c>
      <c r="D181" s="9" t="s">
        <v>6</v>
      </c>
      <c r="E181" s="9" t="s">
        <v>12</v>
      </c>
      <c r="F181" s="9" t="s">
        <v>127</v>
      </c>
      <c r="G181" s="7" t="s">
        <v>902</v>
      </c>
      <c r="H181" s="7" t="s">
        <v>903</v>
      </c>
      <c r="I181" s="124" t="s">
        <v>902</v>
      </c>
      <c r="J181" s="7">
        <v>15</v>
      </c>
      <c r="K181" s="124" t="s">
        <v>1605</v>
      </c>
      <c r="L181" s="20" t="s">
        <v>74</v>
      </c>
      <c r="M181" s="16">
        <v>92.628570938110357</v>
      </c>
      <c r="N181" s="16">
        <v>23.421354675292967</v>
      </c>
      <c r="O181" s="16">
        <v>344.94194488525392</v>
      </c>
      <c r="P181" s="16">
        <v>22.688586711883545</v>
      </c>
      <c r="Q181" s="147">
        <v>591.75832824707027</v>
      </c>
      <c r="R181" s="147">
        <v>9.37554931640625</v>
      </c>
      <c r="S181" s="10">
        <v>0.81783540785915054</v>
      </c>
      <c r="T181" s="10">
        <v>6.6039322509843625</v>
      </c>
      <c r="U181" s="16">
        <v>6.1071225933562547E-2</v>
      </c>
      <c r="V181" s="16">
        <v>8.3932674782195793</v>
      </c>
      <c r="W181" s="10">
        <v>1.7893352272352168</v>
      </c>
      <c r="X181" s="10" t="s">
        <v>902</v>
      </c>
      <c r="Y181" s="10">
        <v>1.9333333333333333</v>
      </c>
      <c r="Z181" s="10">
        <v>2.0666666666666669</v>
      </c>
      <c r="AA181" s="20" t="s">
        <v>211</v>
      </c>
      <c r="AB181" s="7">
        <v>1459.95</v>
      </c>
      <c r="AC181" s="7">
        <v>355.79999999999995</v>
      </c>
      <c r="AD181" s="10">
        <v>0.24376825751175918</v>
      </c>
      <c r="AE181" s="11" t="s">
        <v>193</v>
      </c>
      <c r="AF181" s="20" t="s">
        <v>27</v>
      </c>
      <c r="AG181" s="11" t="s">
        <v>864</v>
      </c>
      <c r="AH181" s="7" t="s">
        <v>1242</v>
      </c>
    </row>
    <row r="182" spans="1:34" s="7" customFormat="1" ht="16.5" customHeight="1">
      <c r="A182" s="7">
        <v>2012</v>
      </c>
      <c r="B182" s="12">
        <v>41099</v>
      </c>
      <c r="C182" s="7" t="s">
        <v>22</v>
      </c>
      <c r="D182" s="9" t="s">
        <v>6</v>
      </c>
      <c r="E182" s="9" t="s">
        <v>12</v>
      </c>
      <c r="F182" s="9" t="s">
        <v>127</v>
      </c>
      <c r="G182" s="7" t="s">
        <v>902</v>
      </c>
      <c r="H182" s="7" t="s">
        <v>903</v>
      </c>
      <c r="I182" s="124" t="s">
        <v>902</v>
      </c>
      <c r="J182" s="7">
        <v>16</v>
      </c>
      <c r="K182" s="124" t="s">
        <v>1606</v>
      </c>
      <c r="L182" s="20" t="s">
        <v>74</v>
      </c>
      <c r="M182" s="16">
        <v>92.646092224121091</v>
      </c>
      <c r="N182" s="16">
        <v>21.386284828186035</v>
      </c>
      <c r="O182" s="16">
        <v>333.6356201171875</v>
      </c>
      <c r="P182" s="16">
        <v>18.751402664184571</v>
      </c>
      <c r="Q182" s="147">
        <v>612.72195434570312</v>
      </c>
      <c r="R182" s="147">
        <v>10.841064453125</v>
      </c>
      <c r="S182" s="10">
        <v>0.81783540785915054</v>
      </c>
      <c r="T182" s="10">
        <v>9.3969141035158845</v>
      </c>
      <c r="U182" s="16">
        <v>5.2638492727638188E-2</v>
      </c>
      <c r="V182" s="16">
        <v>8.3932674782195793</v>
      </c>
      <c r="W182" s="10">
        <v>-1.0036466252963052</v>
      </c>
      <c r="X182" s="10" t="s">
        <v>902</v>
      </c>
      <c r="Y182" s="10">
        <v>1.9333333333333333</v>
      </c>
      <c r="Z182" s="10">
        <v>2.0666666666666669</v>
      </c>
      <c r="AA182" s="20" t="s">
        <v>213</v>
      </c>
      <c r="AB182" s="7">
        <v>1152.9499999999998</v>
      </c>
      <c r="AC182" s="7">
        <v>260</v>
      </c>
      <c r="AD182" s="10">
        <v>0.22550854992661967</v>
      </c>
      <c r="AE182" s="11" t="s">
        <v>193</v>
      </c>
      <c r="AF182" s="20" t="s">
        <v>27</v>
      </c>
      <c r="AG182" s="11" t="s">
        <v>864</v>
      </c>
      <c r="AH182" s="7" t="s">
        <v>1242</v>
      </c>
    </row>
    <row r="183" spans="1:34" s="7" customFormat="1" ht="16.5" customHeight="1">
      <c r="A183" s="7">
        <v>2012</v>
      </c>
      <c r="B183" s="12">
        <v>41099</v>
      </c>
      <c r="C183" s="7" t="s">
        <v>22</v>
      </c>
      <c r="D183" s="9" t="s">
        <v>6</v>
      </c>
      <c r="E183" s="9" t="s">
        <v>12</v>
      </c>
      <c r="F183" s="9" t="s">
        <v>127</v>
      </c>
      <c r="G183" s="7" t="s">
        <v>902</v>
      </c>
      <c r="H183" s="7" t="s">
        <v>903</v>
      </c>
      <c r="I183" s="124" t="s">
        <v>902</v>
      </c>
      <c r="J183" s="7">
        <v>17</v>
      </c>
      <c r="K183" s="124" t="s">
        <v>1607</v>
      </c>
      <c r="L183" s="20" t="s">
        <v>74</v>
      </c>
      <c r="M183" s="16">
        <v>92.625781250000003</v>
      </c>
      <c r="N183" s="16">
        <v>22.93698787689209</v>
      </c>
      <c r="O183" s="16">
        <v>344.33909606933594</v>
      </c>
      <c r="P183" s="16">
        <v>20.803482341766358</v>
      </c>
      <c r="Q183" s="147">
        <v>628.09781188964848</v>
      </c>
      <c r="R183" s="147">
        <v>164.986083984375</v>
      </c>
      <c r="S183" s="10">
        <v>0.81783540785915054</v>
      </c>
      <c r="T183" s="10">
        <v>7.5329177002868581</v>
      </c>
      <c r="U183" s="16">
        <v>7.586509087928256E-2</v>
      </c>
      <c r="V183" s="16">
        <v>8.3932674782195793</v>
      </c>
      <c r="W183" s="10">
        <v>0.86034977793272116</v>
      </c>
      <c r="X183" s="10" t="s">
        <v>902</v>
      </c>
      <c r="Y183" s="10">
        <v>1.9333333333333333</v>
      </c>
      <c r="Z183" s="10">
        <v>2.0666666666666669</v>
      </c>
      <c r="AA183" s="20" t="s">
        <v>210</v>
      </c>
      <c r="AB183" s="7">
        <v>1167.8</v>
      </c>
      <c r="AC183" s="7">
        <v>292.16666666666669</v>
      </c>
      <c r="AD183" s="10">
        <v>0.25482884064785344</v>
      </c>
      <c r="AE183" s="11" t="s">
        <v>193</v>
      </c>
      <c r="AF183" s="20" t="s">
        <v>27</v>
      </c>
      <c r="AG183" s="11" t="s">
        <v>864</v>
      </c>
      <c r="AH183" s="7" t="s">
        <v>1242</v>
      </c>
    </row>
    <row r="184" spans="1:34" s="7" customFormat="1" ht="16.5" customHeight="1">
      <c r="A184" s="7">
        <v>2012</v>
      </c>
      <c r="B184" s="12">
        <v>41099</v>
      </c>
      <c r="C184" s="7" t="s">
        <v>22</v>
      </c>
      <c r="D184" s="9" t="s">
        <v>6</v>
      </c>
      <c r="E184" s="9" t="s">
        <v>12</v>
      </c>
      <c r="F184" s="9" t="s">
        <v>127</v>
      </c>
      <c r="G184" s="7" t="s">
        <v>902</v>
      </c>
      <c r="H184" s="7" t="s">
        <v>903</v>
      </c>
      <c r="I184" s="124" t="s">
        <v>902</v>
      </c>
      <c r="J184" s="7">
        <v>18</v>
      </c>
      <c r="K184" s="124" t="s">
        <v>1608</v>
      </c>
      <c r="L184" s="20" t="s">
        <v>909</v>
      </c>
      <c r="M184" s="16">
        <v>92.656937789916995</v>
      </c>
      <c r="N184" s="16">
        <v>17.705105876922609</v>
      </c>
      <c r="O184" s="16">
        <v>343.52287445068362</v>
      </c>
      <c r="P184" s="16">
        <v>15.883531332015991</v>
      </c>
      <c r="Q184" s="147">
        <v>657.96628417968748</v>
      </c>
      <c r="R184" s="147">
        <v>195.59332275390625</v>
      </c>
      <c r="S184" s="10">
        <v>0.81783540785915054</v>
      </c>
      <c r="T184" s="10">
        <v>12.770959005329059</v>
      </c>
      <c r="U184" s="16">
        <v>4.3106761373075328E-2</v>
      </c>
      <c r="V184" s="16">
        <v>8.3932674782195793</v>
      </c>
      <c r="W184" s="10">
        <v>-4.3776915271094801</v>
      </c>
      <c r="X184" s="10" t="s">
        <v>902</v>
      </c>
      <c r="Y184" s="10">
        <v>1.9333333333333333</v>
      </c>
      <c r="Z184" s="10">
        <v>2.0666666666666669</v>
      </c>
      <c r="AA184" s="20" t="s">
        <v>192</v>
      </c>
      <c r="AB184" s="7">
        <v>886.2</v>
      </c>
      <c r="AC184" s="7">
        <v>305.2</v>
      </c>
      <c r="AD184" s="10">
        <v>0.34439178515007896</v>
      </c>
      <c r="AE184" s="11" t="s">
        <v>193</v>
      </c>
      <c r="AF184" s="20" t="s">
        <v>27</v>
      </c>
      <c r="AG184" s="11" t="s">
        <v>864</v>
      </c>
      <c r="AH184" s="7" t="s">
        <v>1242</v>
      </c>
    </row>
    <row r="185" spans="1:34" s="7" customFormat="1" ht="16.5" customHeight="1">
      <c r="A185" s="7">
        <v>2012</v>
      </c>
      <c r="B185" s="12">
        <v>41099</v>
      </c>
      <c r="C185" s="7" t="s">
        <v>22</v>
      </c>
      <c r="D185" s="9" t="s">
        <v>6</v>
      </c>
      <c r="E185" s="9" t="s">
        <v>12</v>
      </c>
      <c r="F185" s="9" t="s">
        <v>127</v>
      </c>
      <c r="G185" s="7" t="s">
        <v>902</v>
      </c>
      <c r="H185" s="7" t="s">
        <v>903</v>
      </c>
      <c r="I185" s="124" t="s">
        <v>902</v>
      </c>
      <c r="J185" s="7">
        <v>19</v>
      </c>
      <c r="K185" s="124" t="s">
        <v>1609</v>
      </c>
      <c r="L185" s="20" t="s">
        <v>909</v>
      </c>
      <c r="M185" s="16">
        <v>92.647815322875971</v>
      </c>
      <c r="N185" s="16">
        <v>19.553850173950195</v>
      </c>
      <c r="O185" s="16">
        <v>327.52849273681642</v>
      </c>
      <c r="P185" s="16">
        <v>17.458057880401611</v>
      </c>
      <c r="Q185" s="147">
        <v>778.67706298828125</v>
      </c>
      <c r="R185" s="147">
        <v>72.92315673828125</v>
      </c>
      <c r="S185" s="10">
        <v>0.81783540785915054</v>
      </c>
      <c r="T185" s="10">
        <v>15.982488128215346</v>
      </c>
      <c r="U185" s="16">
        <v>6.1014523183492791E-2</v>
      </c>
      <c r="V185" s="16">
        <v>8.3932674782195793</v>
      </c>
      <c r="W185" s="10">
        <v>-7.5892206499957666</v>
      </c>
      <c r="X185" s="10" t="s">
        <v>902</v>
      </c>
      <c r="Y185" s="10">
        <v>1.9333333333333333</v>
      </c>
      <c r="Z185" s="10">
        <v>2.0666666666666669</v>
      </c>
      <c r="AA185" s="20" t="s">
        <v>196</v>
      </c>
      <c r="AB185" s="7">
        <v>985.15000000000009</v>
      </c>
      <c r="AC185" s="7">
        <v>303.35000000000002</v>
      </c>
      <c r="AD185" s="10">
        <v>0.30794012003246918</v>
      </c>
      <c r="AE185" s="11" t="s">
        <v>193</v>
      </c>
      <c r="AF185" s="20" t="s">
        <v>27</v>
      </c>
      <c r="AG185" s="11" t="s">
        <v>864</v>
      </c>
      <c r="AH185" s="7" t="s">
        <v>1242</v>
      </c>
    </row>
    <row r="186" spans="1:34" s="7" customFormat="1" ht="16.5" customHeight="1">
      <c r="A186" s="7">
        <v>2012</v>
      </c>
      <c r="B186" s="12">
        <v>41099</v>
      </c>
      <c r="C186" s="7" t="s">
        <v>22</v>
      </c>
      <c r="D186" s="9" t="s">
        <v>6</v>
      </c>
      <c r="E186" s="9" t="s">
        <v>12</v>
      </c>
      <c r="F186" s="9" t="s">
        <v>127</v>
      </c>
      <c r="G186" s="7" t="s">
        <v>902</v>
      </c>
      <c r="H186" s="7" t="s">
        <v>903</v>
      </c>
      <c r="I186" s="124" t="s">
        <v>902</v>
      </c>
      <c r="J186" s="7">
        <v>20</v>
      </c>
      <c r="K186" s="124" t="s">
        <v>1610</v>
      </c>
      <c r="L186" s="20" t="s">
        <v>909</v>
      </c>
      <c r="M186" s="16">
        <v>92.64792994449013</v>
      </c>
      <c r="N186" s="16">
        <v>21.57319570842542</v>
      </c>
      <c r="O186" s="16">
        <v>340.82743433902141</v>
      </c>
      <c r="P186" s="16">
        <v>16.924876765200967</v>
      </c>
      <c r="Q186" s="147">
        <v>879.529541015625</v>
      </c>
      <c r="R186" s="147">
        <v>35.38323974609375</v>
      </c>
      <c r="S186" s="10">
        <v>0.81783540785915054</v>
      </c>
      <c r="T186" s="10">
        <v>15.53215404703875</v>
      </c>
      <c r="U186" s="16">
        <v>8.1173019241868427E-2</v>
      </c>
      <c r="V186" s="16">
        <v>8.3932674782195793</v>
      </c>
      <c r="W186" s="10">
        <v>-7.1388865688191707</v>
      </c>
      <c r="X186" s="10" t="s">
        <v>902</v>
      </c>
      <c r="Y186" s="10">
        <v>1.9333333333333333</v>
      </c>
      <c r="Z186" s="10">
        <v>2.0666666666666669</v>
      </c>
      <c r="AA186" s="20" t="s">
        <v>197</v>
      </c>
      <c r="AB186" s="7">
        <v>1099.25</v>
      </c>
      <c r="AC186" s="7">
        <v>300.3</v>
      </c>
      <c r="AD186" s="10">
        <v>0.27319034702782552</v>
      </c>
      <c r="AE186" s="11" t="s">
        <v>193</v>
      </c>
      <c r="AF186" s="20" t="s">
        <v>27</v>
      </c>
      <c r="AG186" s="11" t="s">
        <v>864</v>
      </c>
      <c r="AH186" s="7" t="s">
        <v>1242</v>
      </c>
    </row>
    <row r="187" spans="1:34" s="7" customFormat="1" ht="16.5" customHeight="1">
      <c r="A187" s="7">
        <v>2012</v>
      </c>
      <c r="B187" s="12">
        <v>41099</v>
      </c>
      <c r="C187" s="7" t="s">
        <v>22</v>
      </c>
      <c r="D187" s="9" t="s">
        <v>6</v>
      </c>
      <c r="E187" s="9" t="s">
        <v>12</v>
      </c>
      <c r="F187" s="9" t="s">
        <v>127</v>
      </c>
      <c r="G187" s="7" t="s">
        <v>902</v>
      </c>
      <c r="H187" s="7" t="s">
        <v>903</v>
      </c>
      <c r="I187" s="124" t="s">
        <v>902</v>
      </c>
      <c r="J187" s="7">
        <v>21</v>
      </c>
      <c r="K187" s="124" t="s">
        <v>1611</v>
      </c>
      <c r="L187" s="20" t="s">
        <v>909</v>
      </c>
      <c r="M187" s="16">
        <v>92.645145034790033</v>
      </c>
      <c r="N187" s="16">
        <v>21.534922027587889</v>
      </c>
      <c r="O187" s="16">
        <v>331.89542236328123</v>
      </c>
      <c r="P187" s="16">
        <v>17.87502565383911</v>
      </c>
      <c r="Q187" s="147">
        <v>918.40668334960935</v>
      </c>
      <c r="R187" s="147">
        <v>6.59063720703125</v>
      </c>
      <c r="S187" s="10">
        <v>0.81783540785915054</v>
      </c>
      <c r="T187" s="10">
        <v>16.307858192710096</v>
      </c>
      <c r="U187" s="16">
        <v>7.6195022038051063E-2</v>
      </c>
      <c r="V187" s="16">
        <v>8.3932674782195793</v>
      </c>
      <c r="W187" s="10">
        <v>-7.914590714490517</v>
      </c>
      <c r="X187" s="10" t="s">
        <v>902</v>
      </c>
      <c r="Y187" s="10">
        <v>1.9333333333333333</v>
      </c>
      <c r="Z187" s="10">
        <v>2.0666666666666669</v>
      </c>
      <c r="AA187" s="20" t="s">
        <v>198</v>
      </c>
      <c r="AB187" s="7">
        <v>1170.0500000000002</v>
      </c>
      <c r="AC187" s="7">
        <v>286.85000000000002</v>
      </c>
      <c r="AD187" s="10">
        <v>0.24515994539671682</v>
      </c>
      <c r="AE187" s="11" t="s">
        <v>193</v>
      </c>
      <c r="AF187" s="20" t="s">
        <v>27</v>
      </c>
      <c r="AG187" s="11" t="s">
        <v>864</v>
      </c>
      <c r="AH187" s="7" t="s">
        <v>1242</v>
      </c>
    </row>
    <row r="188" spans="1:34" s="7" customFormat="1" ht="16.5" customHeight="1">
      <c r="A188" s="7">
        <v>2012</v>
      </c>
      <c r="B188" s="12">
        <v>41099</v>
      </c>
      <c r="C188" s="7" t="s">
        <v>22</v>
      </c>
      <c r="D188" s="9" t="s">
        <v>6</v>
      </c>
      <c r="E188" s="9" t="s">
        <v>12</v>
      </c>
      <c r="F188" s="9" t="s">
        <v>127</v>
      </c>
      <c r="G188" s="7" t="s">
        <v>902</v>
      </c>
      <c r="H188" s="7" t="s">
        <v>903</v>
      </c>
      <c r="I188" s="124" t="s">
        <v>902</v>
      </c>
      <c r="J188" s="7">
        <v>22</v>
      </c>
      <c r="K188" s="124" t="s">
        <v>1612</v>
      </c>
      <c r="L188" s="20" t="s">
        <v>909</v>
      </c>
      <c r="M188" s="16">
        <v>92.63433837890625</v>
      </c>
      <c r="N188" s="16">
        <v>24.243000560336643</v>
      </c>
      <c r="O188" s="16">
        <v>320.31560262044269</v>
      </c>
      <c r="P188" s="16">
        <v>22.389675670199924</v>
      </c>
      <c r="Q188" s="147">
        <v>1022.974365234375</v>
      </c>
      <c r="R188" s="147">
        <v>10.699951171875</v>
      </c>
      <c r="S188" s="10">
        <v>0.81783540785915054</v>
      </c>
      <c r="T188" s="10">
        <v>13.294996472880134</v>
      </c>
      <c r="U188" s="16">
        <v>7.6143496053752757E-2</v>
      </c>
      <c r="V188" s="16">
        <v>8.3932674782195793</v>
      </c>
      <c r="W188" s="10">
        <v>-4.9017289946605551</v>
      </c>
      <c r="X188" s="10" t="s">
        <v>902</v>
      </c>
      <c r="Y188" s="10">
        <v>1.9333333333333333</v>
      </c>
      <c r="Z188" s="10">
        <v>2.0666666666666669</v>
      </c>
      <c r="AA188" s="20" t="s">
        <v>199</v>
      </c>
      <c r="AB188" s="7">
        <v>1286</v>
      </c>
      <c r="AC188" s="7">
        <v>253.9</v>
      </c>
      <c r="AD188" s="10">
        <v>0.19743394655460575</v>
      </c>
      <c r="AE188" s="11" t="s">
        <v>193</v>
      </c>
      <c r="AF188" s="20" t="s">
        <v>27</v>
      </c>
      <c r="AG188" s="11" t="s">
        <v>864</v>
      </c>
      <c r="AH188" s="7" t="s">
        <v>1242</v>
      </c>
    </row>
    <row r="189" spans="1:34" s="7" customFormat="1" ht="16.5" customHeight="1">
      <c r="A189" s="7">
        <v>2012</v>
      </c>
      <c r="B189" s="12">
        <v>41099</v>
      </c>
      <c r="C189" s="7" t="s">
        <v>22</v>
      </c>
      <c r="D189" s="9" t="s">
        <v>6</v>
      </c>
      <c r="E189" s="9" t="s">
        <v>12</v>
      </c>
      <c r="F189" s="9" t="s">
        <v>127</v>
      </c>
      <c r="G189" s="7" t="s">
        <v>902</v>
      </c>
      <c r="H189" s="7" t="s">
        <v>903</v>
      </c>
      <c r="I189" s="124" t="s">
        <v>902</v>
      </c>
      <c r="J189" s="7">
        <v>23</v>
      </c>
      <c r="K189" s="124" t="s">
        <v>1613</v>
      </c>
      <c r="L189" s="20" t="s">
        <v>909</v>
      </c>
      <c r="M189" s="16">
        <v>92.63309020996094</v>
      </c>
      <c r="N189" s="16">
        <v>23.198855400085449</v>
      </c>
      <c r="O189" s="16">
        <v>338.09425964355466</v>
      </c>
      <c r="P189" s="16">
        <v>21.307279205322267</v>
      </c>
      <c r="Q189" s="147">
        <v>1034.5753845214845</v>
      </c>
      <c r="R189" s="147">
        <v>13.47412109375</v>
      </c>
      <c r="S189" s="10">
        <v>0.81783540785915054</v>
      </c>
      <c r="T189" s="10">
        <v>12.110860553868346</v>
      </c>
      <c r="U189" s="16">
        <v>8.4286255226995718E-2</v>
      </c>
      <c r="V189" s="16">
        <v>8.3932674782195793</v>
      </c>
      <c r="W189" s="10">
        <v>-3.7175930756487663</v>
      </c>
      <c r="X189" s="10" t="s">
        <v>902</v>
      </c>
      <c r="Y189" s="10">
        <v>1.9333333333333333</v>
      </c>
      <c r="Z189" s="10">
        <v>2.0666666666666669</v>
      </c>
      <c r="AA189" s="20" t="s">
        <v>200</v>
      </c>
      <c r="AB189" s="7">
        <v>1300.6500000000001</v>
      </c>
      <c r="AC189" s="7">
        <v>280.8</v>
      </c>
      <c r="AD189" s="10">
        <v>0.21589324115646574</v>
      </c>
      <c r="AE189" s="11" t="s">
        <v>193</v>
      </c>
      <c r="AF189" s="20" t="s">
        <v>27</v>
      </c>
      <c r="AG189" s="11" t="s">
        <v>864</v>
      </c>
      <c r="AH189" s="7" t="s">
        <v>1242</v>
      </c>
    </row>
    <row r="190" spans="1:34" s="7" customFormat="1" ht="16.5" customHeight="1">
      <c r="A190" s="7">
        <v>2012</v>
      </c>
      <c r="B190" s="12">
        <v>41099</v>
      </c>
      <c r="C190" s="7" t="s">
        <v>22</v>
      </c>
      <c r="D190" s="9" t="s">
        <v>6</v>
      </c>
      <c r="E190" s="9" t="s">
        <v>12</v>
      </c>
      <c r="F190" s="9" t="s">
        <v>127</v>
      </c>
      <c r="G190" s="7" t="s">
        <v>902</v>
      </c>
      <c r="H190" s="7" t="s">
        <v>903</v>
      </c>
      <c r="I190" s="124" t="s">
        <v>902</v>
      </c>
      <c r="J190" s="7">
        <v>24</v>
      </c>
      <c r="K190" s="124" t="s">
        <v>1614</v>
      </c>
      <c r="L190" s="20" t="s">
        <v>909</v>
      </c>
      <c r="M190" s="16">
        <v>92.622215672543177</v>
      </c>
      <c r="N190" s="16">
        <v>25.585493489315635</v>
      </c>
      <c r="O190" s="16">
        <v>338.34914839895146</v>
      </c>
      <c r="P190" s="16">
        <v>22.037390156796103</v>
      </c>
      <c r="Q190" s="147">
        <v>1132.7091546309621</v>
      </c>
      <c r="R190" s="147">
        <v>222.59130859375</v>
      </c>
      <c r="S190" s="10">
        <v>0.81783540785915054</v>
      </c>
      <c r="T190" s="10">
        <v>13.870932077601152</v>
      </c>
      <c r="U190" s="16">
        <v>0.11412432821173414</v>
      </c>
      <c r="V190" s="16">
        <v>8.3932674782195793</v>
      </c>
      <c r="W190" s="10">
        <v>-5.4776645993815727</v>
      </c>
      <c r="X190" s="10" t="s">
        <v>902</v>
      </c>
      <c r="Y190" s="10">
        <v>1.9333333333333333</v>
      </c>
      <c r="Z190" s="10">
        <v>2.0666666666666669</v>
      </c>
      <c r="AA190" s="20" t="s">
        <v>212</v>
      </c>
      <c r="AB190" s="7">
        <v>1383.8666666666668</v>
      </c>
      <c r="AC190" s="7">
        <v>359.3</v>
      </c>
      <c r="AD190" s="10">
        <v>0.25979418596242204</v>
      </c>
      <c r="AE190" s="11" t="s">
        <v>193</v>
      </c>
      <c r="AF190" s="20" t="s">
        <v>27</v>
      </c>
      <c r="AG190" s="11" t="s">
        <v>864</v>
      </c>
      <c r="AH190" s="7" t="s">
        <v>1242</v>
      </c>
    </row>
    <row r="191" spans="1:34" s="7" customFormat="1" ht="16.5" customHeight="1">
      <c r="A191" s="7">
        <v>2012</v>
      </c>
      <c r="B191" s="12">
        <v>41095</v>
      </c>
      <c r="C191" s="7" t="s">
        <v>22</v>
      </c>
      <c r="D191" s="9" t="s">
        <v>6</v>
      </c>
      <c r="E191" s="9" t="s">
        <v>12</v>
      </c>
      <c r="F191" s="9" t="s">
        <v>127</v>
      </c>
      <c r="G191" s="7" t="s">
        <v>902</v>
      </c>
      <c r="H191" s="7" t="s">
        <v>903</v>
      </c>
      <c r="I191" s="124" t="s">
        <v>902</v>
      </c>
      <c r="J191" s="7">
        <v>46</v>
      </c>
      <c r="K191" s="124" t="s">
        <v>1615</v>
      </c>
      <c r="L191" s="20" t="s">
        <v>909</v>
      </c>
      <c r="M191" s="22">
        <v>92.313846969604498</v>
      </c>
      <c r="N191" s="22">
        <v>26.717321681976319</v>
      </c>
      <c r="O191" s="22">
        <v>334.26401672363284</v>
      </c>
      <c r="P191" s="22">
        <v>22.412930297851563</v>
      </c>
      <c r="Q191" s="148">
        <v>1220.5145843505859</v>
      </c>
      <c r="R191" s="148">
        <v>550.74603271484375</v>
      </c>
      <c r="S191" s="10">
        <v>0.81783540785915054</v>
      </c>
      <c r="T191" s="10">
        <v>15.243580373744797</v>
      </c>
      <c r="U191" s="22">
        <v>0.1225198659681736</v>
      </c>
      <c r="V191" s="16">
        <v>8.3932674782195793</v>
      </c>
      <c r="W191" s="10">
        <v>-6.8503128955252173</v>
      </c>
      <c r="X191" s="10" t="s">
        <v>902</v>
      </c>
      <c r="Y191" s="10">
        <v>1.9333333333333333</v>
      </c>
      <c r="Z191" s="10">
        <v>2.0666666666666669</v>
      </c>
      <c r="AA191" s="20" t="s">
        <v>191</v>
      </c>
      <c r="AB191" s="9" t="s">
        <v>902</v>
      </c>
      <c r="AC191" s="9" t="s">
        <v>902</v>
      </c>
      <c r="AD191" s="9" t="s">
        <v>902</v>
      </c>
      <c r="AE191" s="11" t="s">
        <v>124</v>
      </c>
      <c r="AF191" s="20" t="s">
        <v>27</v>
      </c>
      <c r="AG191" s="11" t="s">
        <v>928</v>
      </c>
      <c r="AH191" s="7" t="s">
        <v>1242</v>
      </c>
    </row>
    <row r="192" spans="1:34" s="7" customFormat="1" ht="16.5" customHeight="1">
      <c r="A192" s="7">
        <v>2012</v>
      </c>
      <c r="B192" s="12">
        <v>41099</v>
      </c>
      <c r="C192" s="7" t="s">
        <v>22</v>
      </c>
      <c r="D192" s="9" t="s">
        <v>6</v>
      </c>
      <c r="E192" s="9" t="s">
        <v>12</v>
      </c>
      <c r="F192" s="9" t="s">
        <v>127</v>
      </c>
      <c r="G192" s="7" t="s">
        <v>902</v>
      </c>
      <c r="H192" s="7" t="s">
        <v>903</v>
      </c>
      <c r="I192" s="124" t="s">
        <v>902</v>
      </c>
      <c r="J192" s="7">
        <v>25</v>
      </c>
      <c r="K192" s="124" t="s">
        <v>1616</v>
      </c>
      <c r="L192" s="20" t="s">
        <v>909</v>
      </c>
      <c r="M192" s="16">
        <v>92.621663835313583</v>
      </c>
      <c r="N192" s="16">
        <v>26.001267009311253</v>
      </c>
      <c r="O192" s="16">
        <v>335.00045606825086</v>
      </c>
      <c r="P192" s="16">
        <v>23.28436173333062</v>
      </c>
      <c r="Q192" s="147">
        <v>1226.559794108073</v>
      </c>
      <c r="R192" s="147">
        <v>22.8409423828125</v>
      </c>
      <c r="S192" s="10">
        <v>0.81783540785915054</v>
      </c>
      <c r="T192" s="10">
        <v>12.802301419889918</v>
      </c>
      <c r="U192" s="16">
        <v>0.12269897775876387</v>
      </c>
      <c r="V192" s="16">
        <v>8.3932674782195793</v>
      </c>
      <c r="W192" s="10">
        <v>-4.409033941670339</v>
      </c>
      <c r="X192" s="10" t="s">
        <v>902</v>
      </c>
      <c r="Y192" s="10">
        <v>1.9333333333333333</v>
      </c>
      <c r="Z192" s="10">
        <v>2.0666666666666669</v>
      </c>
      <c r="AA192" s="20" t="s">
        <v>205</v>
      </c>
      <c r="AB192" s="7">
        <v>1456.9</v>
      </c>
      <c r="AC192" s="7">
        <v>367.45</v>
      </c>
      <c r="AD192" s="10">
        <v>0.25221329365792133</v>
      </c>
      <c r="AE192" s="11" t="s">
        <v>193</v>
      </c>
      <c r="AF192" s="20" t="s">
        <v>27</v>
      </c>
      <c r="AG192" s="11" t="s">
        <v>864</v>
      </c>
      <c r="AH192" s="7" t="s">
        <v>1305</v>
      </c>
    </row>
    <row r="193" spans="1:34" s="7" customFormat="1" ht="16.5" customHeight="1">
      <c r="A193" s="7">
        <v>2012</v>
      </c>
      <c r="B193" s="12">
        <v>41099</v>
      </c>
      <c r="C193" s="7" t="s">
        <v>22</v>
      </c>
      <c r="D193" s="9" t="s">
        <v>6</v>
      </c>
      <c r="E193" s="9" t="s">
        <v>12</v>
      </c>
      <c r="F193" s="9" t="s">
        <v>127</v>
      </c>
      <c r="G193" s="7" t="s">
        <v>902</v>
      </c>
      <c r="H193" s="7" t="s">
        <v>903</v>
      </c>
      <c r="I193" s="124" t="s">
        <v>902</v>
      </c>
      <c r="J193" s="7">
        <v>26</v>
      </c>
      <c r="K193" s="124" t="s">
        <v>1617</v>
      </c>
      <c r="L193" s="20" t="s">
        <v>909</v>
      </c>
      <c r="M193" s="16">
        <v>92.622839185926651</v>
      </c>
      <c r="N193" s="16">
        <v>26.818973117404514</v>
      </c>
      <c r="O193" s="16">
        <v>336.43339199490015</v>
      </c>
      <c r="P193" s="16">
        <v>25.47881242964003</v>
      </c>
      <c r="Q193" s="147">
        <v>1286.3779907226562</v>
      </c>
      <c r="R193" s="147">
        <v>10.03564453125</v>
      </c>
      <c r="S193" s="10">
        <v>0.81783540785915054</v>
      </c>
      <c r="T193" s="10">
        <v>11.560262207277709</v>
      </c>
      <c r="U193" s="16">
        <v>0.12277684147758995</v>
      </c>
      <c r="V193" s="16">
        <v>8.3932674782195793</v>
      </c>
      <c r="W193" s="10">
        <v>-3.1669947290581302</v>
      </c>
      <c r="X193" s="10" t="s">
        <v>902</v>
      </c>
      <c r="Y193" s="10">
        <v>1.9333333333333333</v>
      </c>
      <c r="Z193" s="10">
        <v>2.0666666666666669</v>
      </c>
      <c r="AA193" s="20" t="s">
        <v>206</v>
      </c>
      <c r="AB193" s="7">
        <v>1506.3</v>
      </c>
      <c r="AC193" s="7">
        <v>376</v>
      </c>
      <c r="AD193" s="10">
        <v>0.24961826993294828</v>
      </c>
      <c r="AE193" s="11" t="s">
        <v>193</v>
      </c>
      <c r="AF193" s="20" t="s">
        <v>27</v>
      </c>
      <c r="AG193" s="11" t="s">
        <v>864</v>
      </c>
      <c r="AH193" s="7" t="s">
        <v>1306</v>
      </c>
    </row>
    <row r="194" spans="1:34" s="7" customFormat="1" ht="16.5" customHeight="1">
      <c r="A194" s="7">
        <v>2012</v>
      </c>
      <c r="B194" s="12">
        <v>41101</v>
      </c>
      <c r="C194" s="7" t="s">
        <v>22</v>
      </c>
      <c r="D194" s="9" t="s">
        <v>6</v>
      </c>
      <c r="E194" s="9" t="s">
        <v>13</v>
      </c>
      <c r="F194" s="9" t="s">
        <v>25</v>
      </c>
      <c r="G194" s="7" t="s">
        <v>902</v>
      </c>
      <c r="H194" s="7" t="s">
        <v>903</v>
      </c>
      <c r="I194" s="124" t="s">
        <v>902</v>
      </c>
      <c r="J194" s="7">
        <v>1</v>
      </c>
      <c r="K194" s="124" t="s">
        <v>657</v>
      </c>
      <c r="L194" s="20" t="s">
        <v>904</v>
      </c>
      <c r="M194" s="16">
        <v>92.261747087751118</v>
      </c>
      <c r="N194" s="16">
        <v>22.884403137933639</v>
      </c>
      <c r="O194" s="16">
        <v>391.0291748046875</v>
      </c>
      <c r="P194" s="16">
        <v>17.070885976155598</v>
      </c>
      <c r="Q194" s="147">
        <v>6.4668023626187024E-2</v>
      </c>
      <c r="R194" s="147">
        <v>0.18695926433429122</v>
      </c>
      <c r="S194" s="10">
        <v>0.80953236809121987</v>
      </c>
      <c r="T194" s="10">
        <v>12.600101910771542</v>
      </c>
      <c r="U194" s="16">
        <v>4.7440413685588115E-2</v>
      </c>
      <c r="V194" s="16">
        <v>12.67553871322653</v>
      </c>
      <c r="W194" s="10">
        <v>7.5436802454987628E-2</v>
      </c>
      <c r="X194" s="10" t="s">
        <v>902</v>
      </c>
      <c r="Y194" s="10">
        <v>2.2333333333333329</v>
      </c>
      <c r="Z194" s="10">
        <v>2.8666666666666667</v>
      </c>
      <c r="AA194" s="20" t="s">
        <v>656</v>
      </c>
      <c r="AB194" s="7">
        <v>1584.5</v>
      </c>
      <c r="AC194" s="7">
        <v>229.5</v>
      </c>
      <c r="AD194" s="7">
        <v>0.14484064373619437</v>
      </c>
      <c r="AE194" s="7" t="s">
        <v>3</v>
      </c>
      <c r="AF194" s="20" t="s">
        <v>27</v>
      </c>
      <c r="AG194" s="11" t="s">
        <v>927</v>
      </c>
      <c r="AH194" s="7" t="s">
        <v>1307</v>
      </c>
    </row>
    <row r="195" spans="1:34" s="7" customFormat="1" ht="16.5" customHeight="1">
      <c r="A195" s="7">
        <v>2012</v>
      </c>
      <c r="B195" s="12">
        <v>41101</v>
      </c>
      <c r="C195" s="7" t="s">
        <v>22</v>
      </c>
      <c r="D195" s="9" t="s">
        <v>6</v>
      </c>
      <c r="E195" s="9" t="s">
        <v>13</v>
      </c>
      <c r="F195" s="9" t="s">
        <v>25</v>
      </c>
      <c r="G195" s="7" t="s">
        <v>902</v>
      </c>
      <c r="H195" s="7" t="s">
        <v>903</v>
      </c>
      <c r="I195" s="124" t="s">
        <v>902</v>
      </c>
      <c r="J195" s="7">
        <v>2</v>
      </c>
      <c r="K195" s="124" t="s">
        <v>659</v>
      </c>
      <c r="L195" s="20" t="s">
        <v>904</v>
      </c>
      <c r="M195" s="16">
        <v>92.260800316220241</v>
      </c>
      <c r="N195" s="16">
        <v>22.765424183436803</v>
      </c>
      <c r="O195" s="16">
        <v>408.41669573102678</v>
      </c>
      <c r="P195" s="16">
        <v>15.573227473667689</v>
      </c>
      <c r="Q195" s="147">
        <v>8.4658287509921049E-2</v>
      </c>
      <c r="R195" s="147">
        <v>0.17434099782258272</v>
      </c>
      <c r="S195" s="10">
        <v>0.80953236809121987</v>
      </c>
      <c r="T195" s="10">
        <v>11.92374300203211</v>
      </c>
      <c r="U195" s="16">
        <v>5.908295086451941E-2</v>
      </c>
      <c r="V195" s="16">
        <v>12.67553871322653</v>
      </c>
      <c r="W195" s="10">
        <v>0.75179571119442024</v>
      </c>
      <c r="X195" s="10" t="s">
        <v>902</v>
      </c>
      <c r="Y195" s="10">
        <v>2.2333333333333329</v>
      </c>
      <c r="Z195" s="10">
        <v>2.8666666666666667</v>
      </c>
      <c r="AA195" s="20" t="s">
        <v>658</v>
      </c>
      <c r="AB195" s="7">
        <v>1582</v>
      </c>
      <c r="AC195" s="7">
        <v>230.7</v>
      </c>
      <c r="AD195" s="7">
        <v>0.14582806573957016</v>
      </c>
      <c r="AE195" s="7" t="s">
        <v>3</v>
      </c>
      <c r="AF195" s="20" t="s">
        <v>27</v>
      </c>
      <c r="AG195" s="11" t="s">
        <v>927</v>
      </c>
      <c r="AH195" s="7" t="s">
        <v>1307</v>
      </c>
    </row>
    <row r="196" spans="1:34" s="7" customFormat="1" ht="16.5" customHeight="1">
      <c r="A196" s="7">
        <v>2012</v>
      </c>
      <c r="B196" s="12">
        <v>41101</v>
      </c>
      <c r="C196" s="7" t="s">
        <v>22</v>
      </c>
      <c r="D196" s="9" t="s">
        <v>6</v>
      </c>
      <c r="E196" s="9" t="s">
        <v>13</v>
      </c>
      <c r="F196" s="9" t="s">
        <v>25</v>
      </c>
      <c r="G196" s="7" t="s">
        <v>902</v>
      </c>
      <c r="H196" s="7" t="s">
        <v>903</v>
      </c>
      <c r="I196" s="124" t="s">
        <v>902</v>
      </c>
      <c r="J196" s="7">
        <v>3</v>
      </c>
      <c r="K196" s="124" t="s">
        <v>661</v>
      </c>
      <c r="L196" s="20" t="s">
        <v>904</v>
      </c>
      <c r="M196" s="16">
        <v>92.257820856003534</v>
      </c>
      <c r="N196" s="16">
        <v>22.975046067010787</v>
      </c>
      <c r="O196" s="16">
        <v>399.21814110165553</v>
      </c>
      <c r="P196" s="16">
        <v>15.434131803966704</v>
      </c>
      <c r="Q196" s="147">
        <v>0.10088138361017973</v>
      </c>
      <c r="R196" s="147">
        <v>0.25349032902158797</v>
      </c>
      <c r="S196" s="10">
        <v>0.80953236809121987</v>
      </c>
      <c r="T196" s="10">
        <v>13.502771226875939</v>
      </c>
      <c r="U196" s="16">
        <v>6.3423275637936261E-2</v>
      </c>
      <c r="V196" s="16">
        <v>12.67553871322653</v>
      </c>
      <c r="W196" s="10">
        <v>-0.82723251364940964</v>
      </c>
      <c r="X196" s="10" t="s">
        <v>902</v>
      </c>
      <c r="Y196" s="10">
        <v>2.2333333333333329</v>
      </c>
      <c r="Z196" s="10">
        <v>2.8666666666666667</v>
      </c>
      <c r="AA196" s="20" t="s">
        <v>660</v>
      </c>
      <c r="AB196" s="7">
        <v>1584.5</v>
      </c>
      <c r="AC196" s="7">
        <v>231.9</v>
      </c>
      <c r="AD196" s="7">
        <v>0.14635531713474281</v>
      </c>
      <c r="AE196" s="7" t="s">
        <v>3</v>
      </c>
      <c r="AF196" s="20" t="s">
        <v>27</v>
      </c>
      <c r="AG196" s="11" t="s">
        <v>927</v>
      </c>
      <c r="AH196" s="7" t="s">
        <v>1307</v>
      </c>
    </row>
    <row r="197" spans="1:34" s="7" customFormat="1" ht="16.5" customHeight="1">
      <c r="A197" s="7">
        <v>2012</v>
      </c>
      <c r="B197" s="12">
        <v>41101</v>
      </c>
      <c r="C197" s="7" t="s">
        <v>22</v>
      </c>
      <c r="D197" s="9" t="s">
        <v>6</v>
      </c>
      <c r="E197" s="9" t="s">
        <v>13</v>
      </c>
      <c r="F197" s="9" t="s">
        <v>25</v>
      </c>
      <c r="G197" s="7" t="s">
        <v>902</v>
      </c>
      <c r="H197" s="7" t="s">
        <v>903</v>
      </c>
      <c r="I197" s="124" t="s">
        <v>902</v>
      </c>
      <c r="J197" s="7">
        <v>4</v>
      </c>
      <c r="K197" s="124" t="s">
        <v>663</v>
      </c>
      <c r="L197" s="20" t="s">
        <v>77</v>
      </c>
      <c r="M197" s="16">
        <v>92.260519481840589</v>
      </c>
      <c r="N197" s="16">
        <v>24.253714334397088</v>
      </c>
      <c r="O197" s="16">
        <v>393.54928588867187</v>
      </c>
      <c r="P197" s="16">
        <v>19.72532117934454</v>
      </c>
      <c r="Q197" s="147">
        <v>47.432034628731863</v>
      </c>
      <c r="R197" s="147">
        <v>7.3264389038085938</v>
      </c>
      <c r="S197" s="10">
        <v>0.80953236809121987</v>
      </c>
      <c r="T197" s="10">
        <v>8.5777917380755611</v>
      </c>
      <c r="U197" s="16">
        <v>4.0094634464808876E-2</v>
      </c>
      <c r="V197" s="16">
        <v>12.67553871322653</v>
      </c>
      <c r="W197" s="10">
        <v>4.0977469751509688</v>
      </c>
      <c r="X197" s="10" t="s">
        <v>902</v>
      </c>
      <c r="Y197" s="10">
        <v>2.2333333333333329</v>
      </c>
      <c r="Z197" s="10">
        <v>2.8666666666666667</v>
      </c>
      <c r="AA197" s="20" t="s">
        <v>662</v>
      </c>
      <c r="AB197" s="7">
        <v>1577.1</v>
      </c>
      <c r="AC197" s="7">
        <v>223.4</v>
      </c>
      <c r="AD197" s="7">
        <v>0.14165239997463699</v>
      </c>
      <c r="AE197" s="7" t="s">
        <v>3</v>
      </c>
      <c r="AF197" s="20" t="s">
        <v>27</v>
      </c>
      <c r="AG197" s="11" t="s">
        <v>1</v>
      </c>
      <c r="AH197" s="7" t="s">
        <v>1307</v>
      </c>
    </row>
    <row r="198" spans="1:34" s="7" customFormat="1" ht="16.5" customHeight="1">
      <c r="A198" s="7">
        <v>2012</v>
      </c>
      <c r="B198" s="12">
        <v>41101</v>
      </c>
      <c r="C198" s="7" t="s">
        <v>22</v>
      </c>
      <c r="D198" s="9" t="s">
        <v>6</v>
      </c>
      <c r="E198" s="9" t="s">
        <v>13</v>
      </c>
      <c r="F198" s="9" t="s">
        <v>25</v>
      </c>
      <c r="G198" s="7" t="s">
        <v>902</v>
      </c>
      <c r="H198" s="7" t="s">
        <v>903</v>
      </c>
      <c r="I198" s="124" t="s">
        <v>902</v>
      </c>
      <c r="J198" s="7">
        <v>19</v>
      </c>
      <c r="K198" s="124" t="s">
        <v>693</v>
      </c>
      <c r="L198" s="20" t="s">
        <v>906</v>
      </c>
      <c r="M198" s="16">
        <v>92.289755684988833</v>
      </c>
      <c r="N198" s="16">
        <v>21.306535312107631</v>
      </c>
      <c r="O198" s="16">
        <v>405.53715297154019</v>
      </c>
      <c r="P198" s="16">
        <v>18.701602935791016</v>
      </c>
      <c r="Q198" s="147">
        <v>50.745134898594451</v>
      </c>
      <c r="R198" s="147">
        <v>4.6351242065429687</v>
      </c>
      <c r="S198" s="10">
        <v>0.80953236809121987</v>
      </c>
      <c r="T198" s="10">
        <v>6.2833669949730115</v>
      </c>
      <c r="U198" s="16">
        <v>3.4864224444378866E-2</v>
      </c>
      <c r="V198" s="16">
        <v>12.67553871322653</v>
      </c>
      <c r="W198" s="10">
        <v>6.3921717182535183</v>
      </c>
      <c r="X198" s="10" t="s">
        <v>902</v>
      </c>
      <c r="Y198" s="10">
        <v>2.2333333333333329</v>
      </c>
      <c r="Z198" s="10">
        <v>2.8666666666666667</v>
      </c>
      <c r="AA198" s="20" t="s">
        <v>692</v>
      </c>
      <c r="AB198" s="7">
        <v>1335.4</v>
      </c>
      <c r="AC198" s="7">
        <v>188</v>
      </c>
      <c r="AD198" s="7">
        <v>0.14078178822824622</v>
      </c>
      <c r="AE198" s="7" t="s">
        <v>3</v>
      </c>
      <c r="AF198" s="20" t="s">
        <v>27</v>
      </c>
      <c r="AG198" s="11" t="s">
        <v>864</v>
      </c>
      <c r="AH198" s="7" t="s">
        <v>1308</v>
      </c>
    </row>
    <row r="199" spans="1:34" s="7" customFormat="1" ht="16.5" customHeight="1">
      <c r="A199" s="7">
        <v>2012</v>
      </c>
      <c r="B199" s="12">
        <v>41101</v>
      </c>
      <c r="C199" s="7" t="s">
        <v>22</v>
      </c>
      <c r="D199" s="9" t="s">
        <v>6</v>
      </c>
      <c r="E199" s="9" t="s">
        <v>13</v>
      </c>
      <c r="F199" s="9" t="s">
        <v>25</v>
      </c>
      <c r="G199" s="7" t="s">
        <v>902</v>
      </c>
      <c r="H199" s="7" t="s">
        <v>903</v>
      </c>
      <c r="I199" s="124" t="s">
        <v>902</v>
      </c>
      <c r="J199" s="7">
        <v>5</v>
      </c>
      <c r="K199" s="124" t="s">
        <v>665</v>
      </c>
      <c r="L199" s="20" t="s">
        <v>77</v>
      </c>
      <c r="M199" s="16">
        <v>92.258914566040033</v>
      </c>
      <c r="N199" s="16">
        <v>23.427168560028075</v>
      </c>
      <c r="O199" s="16">
        <v>401.20265808105466</v>
      </c>
      <c r="P199" s="16">
        <v>18.3075701713562</v>
      </c>
      <c r="Q199" s="147">
        <v>54.297241401672366</v>
      </c>
      <c r="R199" s="147">
        <v>2.2275505065917969</v>
      </c>
      <c r="S199" s="10">
        <v>0.80953236809121987</v>
      </c>
      <c r="T199" s="10">
        <v>10.475104352064925</v>
      </c>
      <c r="U199" s="16">
        <v>5.2902152125996756E-2</v>
      </c>
      <c r="V199" s="16">
        <v>12.67553871322653</v>
      </c>
      <c r="W199" s="10">
        <v>2.2004343611616051</v>
      </c>
      <c r="X199" s="10" t="s">
        <v>902</v>
      </c>
      <c r="Y199" s="10">
        <v>2.2333333333333329</v>
      </c>
      <c r="Z199" s="10">
        <v>2.8666666666666667</v>
      </c>
      <c r="AA199" s="20" t="s">
        <v>664</v>
      </c>
      <c r="AB199" s="7">
        <v>1579.6</v>
      </c>
      <c r="AC199" s="7">
        <v>225.8</v>
      </c>
      <c r="AD199" s="7">
        <v>0.14294758166624463</v>
      </c>
      <c r="AE199" s="7" t="s">
        <v>3</v>
      </c>
      <c r="AF199" s="20" t="s">
        <v>27</v>
      </c>
      <c r="AG199" s="11" t="s">
        <v>1</v>
      </c>
      <c r="AH199" s="7" t="s">
        <v>1307</v>
      </c>
    </row>
    <row r="200" spans="1:34" s="7" customFormat="1" ht="16.5" customHeight="1">
      <c r="A200" s="7">
        <v>2012</v>
      </c>
      <c r="B200" s="12">
        <v>41101</v>
      </c>
      <c r="C200" s="7" t="s">
        <v>22</v>
      </c>
      <c r="D200" s="9" t="s">
        <v>6</v>
      </c>
      <c r="E200" s="9" t="s">
        <v>13</v>
      </c>
      <c r="F200" s="9" t="s">
        <v>25</v>
      </c>
      <c r="G200" s="7" t="s">
        <v>902</v>
      </c>
      <c r="H200" s="7" t="s">
        <v>903</v>
      </c>
      <c r="I200" s="124" t="s">
        <v>902</v>
      </c>
      <c r="J200" s="7">
        <v>20</v>
      </c>
      <c r="K200" s="124" t="s">
        <v>695</v>
      </c>
      <c r="L200" s="20" t="s">
        <v>905</v>
      </c>
      <c r="M200" s="16">
        <v>92.293505477905271</v>
      </c>
      <c r="N200" s="16">
        <v>19.961051082611085</v>
      </c>
      <c r="O200" s="16">
        <v>401.22338714599607</v>
      </c>
      <c r="P200" s="16">
        <v>17.058422279357909</v>
      </c>
      <c r="Q200" s="147">
        <v>78.674208068847662</v>
      </c>
      <c r="R200" s="147">
        <v>1.4794082641601563</v>
      </c>
      <c r="S200" s="10">
        <v>0.80953236809121987</v>
      </c>
      <c r="T200" s="10">
        <v>7.2874548397490955</v>
      </c>
      <c r="U200" s="16">
        <v>4.8066950919932891E-2</v>
      </c>
      <c r="V200" s="16">
        <v>12.67553871322653</v>
      </c>
      <c r="W200" s="10">
        <v>5.3880838734774343</v>
      </c>
      <c r="X200" s="10" t="s">
        <v>902</v>
      </c>
      <c r="Y200" s="10">
        <v>2.2333333333333329</v>
      </c>
      <c r="Z200" s="10">
        <v>2.8666666666666667</v>
      </c>
      <c r="AA200" s="20" t="s">
        <v>694</v>
      </c>
      <c r="AB200" s="7">
        <v>1320.8</v>
      </c>
      <c r="AC200" s="7">
        <v>188</v>
      </c>
      <c r="AD200" s="7">
        <v>0.14233797698364628</v>
      </c>
      <c r="AE200" s="7" t="s">
        <v>3</v>
      </c>
      <c r="AF200" s="20" t="s">
        <v>27</v>
      </c>
      <c r="AG200" s="11" t="s">
        <v>864</v>
      </c>
      <c r="AH200" s="7" t="s">
        <v>1307</v>
      </c>
    </row>
    <row r="201" spans="1:34" s="7" customFormat="1" ht="16.5" customHeight="1">
      <c r="A201" s="7">
        <v>2012</v>
      </c>
      <c r="B201" s="12">
        <v>41101</v>
      </c>
      <c r="C201" s="7" t="s">
        <v>22</v>
      </c>
      <c r="D201" s="9" t="s">
        <v>6</v>
      </c>
      <c r="E201" s="9" t="s">
        <v>13</v>
      </c>
      <c r="F201" s="9" t="s">
        <v>25</v>
      </c>
      <c r="G201" s="7" t="s">
        <v>902</v>
      </c>
      <c r="H201" s="7" t="s">
        <v>903</v>
      </c>
      <c r="I201" s="124" t="s">
        <v>902</v>
      </c>
      <c r="J201" s="7">
        <v>6</v>
      </c>
      <c r="K201" s="124" t="s">
        <v>667</v>
      </c>
      <c r="L201" s="20" t="s">
        <v>75</v>
      </c>
      <c r="M201" s="16">
        <v>92.265088035946803</v>
      </c>
      <c r="N201" s="16">
        <v>23.085455122448149</v>
      </c>
      <c r="O201" s="16">
        <v>383.56333124069943</v>
      </c>
      <c r="P201" s="16">
        <v>16.011640639532182</v>
      </c>
      <c r="Q201" s="147">
        <v>88.930437723795578</v>
      </c>
      <c r="R201" s="147">
        <v>2.9911575317382812</v>
      </c>
      <c r="S201" s="10">
        <v>0.80953236809121987</v>
      </c>
      <c r="T201" s="10">
        <v>5.620762284941037</v>
      </c>
      <c r="U201" s="16">
        <v>5.9596301982929187E-2</v>
      </c>
      <c r="V201" s="16">
        <v>12.67553871322653</v>
      </c>
      <c r="W201" s="10">
        <v>7.0547764282854928</v>
      </c>
      <c r="X201" s="10" t="s">
        <v>902</v>
      </c>
      <c r="Y201" s="10">
        <v>2.2333333333333329</v>
      </c>
      <c r="Z201" s="10">
        <v>2.8666666666666667</v>
      </c>
      <c r="AA201" s="32" t="s">
        <v>666</v>
      </c>
      <c r="AB201" s="7">
        <v>1569.8</v>
      </c>
      <c r="AC201" s="7">
        <v>222.2</v>
      </c>
      <c r="AD201" s="7">
        <v>0.14154669384634985</v>
      </c>
      <c r="AE201" s="30" t="s">
        <v>3</v>
      </c>
      <c r="AF201" s="20" t="s">
        <v>27</v>
      </c>
      <c r="AG201" s="11" t="s">
        <v>1</v>
      </c>
      <c r="AH201" s="7" t="s">
        <v>1307</v>
      </c>
    </row>
    <row r="202" spans="1:34" s="7" customFormat="1" ht="16.5" customHeight="1">
      <c r="A202" s="7">
        <v>2012</v>
      </c>
      <c r="B202" s="12">
        <v>41101</v>
      </c>
      <c r="C202" s="7" t="s">
        <v>22</v>
      </c>
      <c r="D202" s="9" t="s">
        <v>6</v>
      </c>
      <c r="E202" s="9" t="s">
        <v>13</v>
      </c>
      <c r="F202" s="9" t="s">
        <v>25</v>
      </c>
      <c r="G202" s="7" t="s">
        <v>902</v>
      </c>
      <c r="H202" s="7" t="s">
        <v>903</v>
      </c>
      <c r="I202" s="124" t="s">
        <v>902</v>
      </c>
      <c r="J202" s="7">
        <v>21</v>
      </c>
      <c r="K202" s="124" t="s">
        <v>697</v>
      </c>
      <c r="L202" s="20" t="s">
        <v>905</v>
      </c>
      <c r="M202" s="16">
        <v>92.292848859514507</v>
      </c>
      <c r="N202" s="16">
        <v>20.643180029732839</v>
      </c>
      <c r="O202" s="16">
        <v>385.6792210170201</v>
      </c>
      <c r="P202" s="16">
        <v>20.346509388514928</v>
      </c>
      <c r="Q202" s="147">
        <v>91.134744916643413</v>
      </c>
      <c r="R202" s="147">
        <v>0.3795623779296875</v>
      </c>
      <c r="S202" s="10">
        <v>0.80953236809121987</v>
      </c>
      <c r="T202" s="10">
        <v>6.1841997767023846</v>
      </c>
      <c r="U202" s="16">
        <v>2.4941137858799527E-2</v>
      </c>
      <c r="V202" s="16">
        <v>12.67553871322653</v>
      </c>
      <c r="W202" s="10">
        <v>6.4913389365241452</v>
      </c>
      <c r="X202" s="10" t="s">
        <v>902</v>
      </c>
      <c r="Y202" s="10">
        <v>2.2333333333333329</v>
      </c>
      <c r="Z202" s="10">
        <v>2.8666666666666667</v>
      </c>
      <c r="AA202" s="20" t="s">
        <v>696</v>
      </c>
      <c r="AB202" s="7">
        <v>1293.9000000000001</v>
      </c>
      <c r="AC202" s="7">
        <v>186.8</v>
      </c>
      <c r="AD202" s="7">
        <v>0.14436973490996213</v>
      </c>
      <c r="AE202" s="7" t="s">
        <v>3</v>
      </c>
      <c r="AF202" s="20" t="s">
        <v>27</v>
      </c>
      <c r="AG202" s="11" t="s">
        <v>864</v>
      </c>
      <c r="AH202" s="7" t="s">
        <v>1309</v>
      </c>
    </row>
    <row r="203" spans="1:34" s="7" customFormat="1" ht="16.5" customHeight="1">
      <c r="A203" s="7">
        <v>2012</v>
      </c>
      <c r="B203" s="12">
        <v>41101</v>
      </c>
      <c r="C203" s="7" t="s">
        <v>22</v>
      </c>
      <c r="D203" s="9" t="s">
        <v>6</v>
      </c>
      <c r="E203" s="9" t="s">
        <v>13</v>
      </c>
      <c r="F203" s="9" t="s">
        <v>25</v>
      </c>
      <c r="G203" s="7" t="s">
        <v>902</v>
      </c>
      <c r="H203" s="7" t="s">
        <v>903</v>
      </c>
      <c r="I203" s="124" t="s">
        <v>902</v>
      </c>
      <c r="J203" s="7">
        <v>22</v>
      </c>
      <c r="K203" s="124" t="s">
        <v>699</v>
      </c>
      <c r="L203" s="20" t="s">
        <v>906</v>
      </c>
      <c r="M203" s="16">
        <v>92.29117945620888</v>
      </c>
      <c r="N203" s="16">
        <v>22.063208730597246</v>
      </c>
      <c r="O203" s="16">
        <v>393.45926224557979</v>
      </c>
      <c r="P203" s="16">
        <v>16.157760670310573</v>
      </c>
      <c r="Q203" s="147">
        <v>94.256226790578737</v>
      </c>
      <c r="R203" s="147">
        <v>5.2853469848632812</v>
      </c>
      <c r="S203" s="10">
        <v>0.80953236809121987</v>
      </c>
      <c r="T203" s="10">
        <v>5.9818414269722151</v>
      </c>
      <c r="U203" s="16">
        <v>4.8139040093672904E-2</v>
      </c>
      <c r="V203" s="16">
        <v>12.67553871322653</v>
      </c>
      <c r="W203" s="10">
        <v>6.6936972862543147</v>
      </c>
      <c r="X203" s="10" t="s">
        <v>902</v>
      </c>
      <c r="Y203" s="10">
        <v>2.2333333333333329</v>
      </c>
      <c r="Z203" s="10">
        <v>2.8666666666666667</v>
      </c>
      <c r="AA203" s="20" t="s">
        <v>698</v>
      </c>
      <c r="AB203" s="7">
        <v>1350.1</v>
      </c>
      <c r="AC203" s="7">
        <v>190.4</v>
      </c>
      <c r="AD203" s="7">
        <v>0.14102659062291684</v>
      </c>
      <c r="AE203" s="7" t="s">
        <v>3</v>
      </c>
      <c r="AF203" s="20" t="s">
        <v>27</v>
      </c>
      <c r="AG203" s="11" t="s">
        <v>864</v>
      </c>
      <c r="AH203" s="7" t="s">
        <v>1307</v>
      </c>
    </row>
    <row r="204" spans="1:34" s="7" customFormat="1" ht="16.5" customHeight="1">
      <c r="A204" s="7">
        <v>2012</v>
      </c>
      <c r="B204" s="12">
        <v>41101</v>
      </c>
      <c r="C204" s="7" t="s">
        <v>22</v>
      </c>
      <c r="D204" s="9" t="s">
        <v>6</v>
      </c>
      <c r="E204" s="9" t="s">
        <v>13</v>
      </c>
      <c r="F204" s="9" t="s">
        <v>25</v>
      </c>
      <c r="G204" s="7" t="s">
        <v>902</v>
      </c>
      <c r="H204" s="7" t="s">
        <v>903</v>
      </c>
      <c r="I204" s="124" t="s">
        <v>902</v>
      </c>
      <c r="J204" s="7">
        <v>23</v>
      </c>
      <c r="K204" s="124" t="s">
        <v>701</v>
      </c>
      <c r="L204" s="20" t="s">
        <v>905</v>
      </c>
      <c r="M204" s="16">
        <v>92.291299057006839</v>
      </c>
      <c r="N204" s="16">
        <v>20.454897212982178</v>
      </c>
      <c r="O204" s="16">
        <v>398.21689605712891</v>
      </c>
      <c r="P204" s="16">
        <v>18.358111381530762</v>
      </c>
      <c r="Q204" s="147">
        <v>108.98222961425782</v>
      </c>
      <c r="R204" s="147">
        <v>7.2652435302734375</v>
      </c>
      <c r="S204" s="10">
        <v>0.80953236809121987</v>
      </c>
      <c r="T204" s="10">
        <v>7.2374625663693433</v>
      </c>
      <c r="U204" s="16">
        <v>3.8022673757452712E-2</v>
      </c>
      <c r="V204" s="16">
        <v>12.67553871322653</v>
      </c>
      <c r="W204" s="10">
        <v>5.4380761468571865</v>
      </c>
      <c r="X204" s="10" t="s">
        <v>902</v>
      </c>
      <c r="Y204" s="10">
        <v>2.2333333333333329</v>
      </c>
      <c r="Z204" s="10">
        <v>2.8666666666666667</v>
      </c>
      <c r="AA204" s="20" t="s">
        <v>700</v>
      </c>
      <c r="AB204" s="7">
        <v>1307.4000000000001</v>
      </c>
      <c r="AC204" s="7">
        <v>186.8</v>
      </c>
      <c r="AD204" s="7">
        <v>0.14287899648156646</v>
      </c>
      <c r="AE204" s="7" t="s">
        <v>3</v>
      </c>
      <c r="AF204" s="20" t="s">
        <v>27</v>
      </c>
      <c r="AG204" s="11" t="s">
        <v>864</v>
      </c>
      <c r="AH204" s="7" t="s">
        <v>1307</v>
      </c>
    </row>
    <row r="205" spans="1:34" s="7" customFormat="1" ht="16.5" customHeight="1">
      <c r="A205" s="7">
        <v>2012</v>
      </c>
      <c r="B205" s="12">
        <v>41101</v>
      </c>
      <c r="C205" s="7" t="s">
        <v>22</v>
      </c>
      <c r="D205" s="9" t="s">
        <v>6</v>
      </c>
      <c r="E205" s="9" t="s">
        <v>13</v>
      </c>
      <c r="F205" s="9" t="s">
        <v>25</v>
      </c>
      <c r="G205" s="7" t="s">
        <v>902</v>
      </c>
      <c r="H205" s="7" t="s">
        <v>903</v>
      </c>
      <c r="I205" s="124" t="s">
        <v>902</v>
      </c>
      <c r="J205" s="7">
        <v>7</v>
      </c>
      <c r="K205" s="124" t="s">
        <v>669</v>
      </c>
      <c r="L205" s="20" t="s">
        <v>75</v>
      </c>
      <c r="M205" s="16">
        <v>92.264215469360352</v>
      </c>
      <c r="N205" s="16">
        <v>23.60244345664978</v>
      </c>
      <c r="O205" s="16">
        <v>391.95622253417969</v>
      </c>
      <c r="P205" s="16">
        <v>17.789952754974365</v>
      </c>
      <c r="Q205" s="147">
        <v>119.84387493133545</v>
      </c>
      <c r="R205" s="147">
        <v>5.4649505615234375</v>
      </c>
      <c r="S205" s="10">
        <v>0.80953236809121987</v>
      </c>
      <c r="T205" s="10">
        <v>6.8107504554791474</v>
      </c>
      <c r="U205" s="16">
        <v>5.4872041590073528E-2</v>
      </c>
      <c r="V205" s="16">
        <v>12.67553871322653</v>
      </c>
      <c r="W205" s="10">
        <v>5.8647882577473824</v>
      </c>
      <c r="X205" s="10" t="s">
        <v>902</v>
      </c>
      <c r="Y205" s="10">
        <v>2.2333333333333329</v>
      </c>
      <c r="Z205" s="10">
        <v>2.8666666666666667</v>
      </c>
      <c r="AA205" s="20" t="s">
        <v>668</v>
      </c>
      <c r="AB205" s="7">
        <v>1564.9</v>
      </c>
      <c r="AC205" s="7">
        <v>219.7</v>
      </c>
      <c r="AD205" s="7">
        <v>0.14039235733912708</v>
      </c>
      <c r="AE205" s="7" t="s">
        <v>3</v>
      </c>
      <c r="AF205" s="20" t="s">
        <v>27</v>
      </c>
      <c r="AG205" s="11" t="s">
        <v>1</v>
      </c>
      <c r="AH205" s="7" t="s">
        <v>1310</v>
      </c>
    </row>
    <row r="206" spans="1:34" s="7" customFormat="1" ht="16.5" customHeight="1">
      <c r="A206" s="7">
        <v>2012</v>
      </c>
      <c r="B206" s="12">
        <v>41101</v>
      </c>
      <c r="C206" s="7" t="s">
        <v>22</v>
      </c>
      <c r="D206" s="9" t="s">
        <v>6</v>
      </c>
      <c r="E206" s="9" t="s">
        <v>13</v>
      </c>
      <c r="F206" s="9" t="s">
        <v>25</v>
      </c>
      <c r="G206" s="7" t="s">
        <v>902</v>
      </c>
      <c r="H206" s="7" t="s">
        <v>903</v>
      </c>
      <c r="I206" s="124" t="s">
        <v>902</v>
      </c>
      <c r="J206" s="7">
        <v>24</v>
      </c>
      <c r="K206" s="124" t="s">
        <v>703</v>
      </c>
      <c r="L206" s="20" t="s">
        <v>77</v>
      </c>
      <c r="M206" s="16">
        <v>92.292322285970059</v>
      </c>
      <c r="N206" s="16">
        <v>20.488200887044272</v>
      </c>
      <c r="O206" s="16">
        <v>382.48383585611981</v>
      </c>
      <c r="P206" s="16">
        <v>17.455235163370769</v>
      </c>
      <c r="Q206" s="147">
        <v>167.55803934733072</v>
      </c>
      <c r="R206" s="147">
        <v>9.354766845703125</v>
      </c>
      <c r="S206" s="10">
        <v>0.80953236809121987</v>
      </c>
      <c r="T206" s="10">
        <v>0.89188049583052709</v>
      </c>
      <c r="U206" s="16">
        <v>4.9360179031180701E-2</v>
      </c>
      <c r="V206" s="16">
        <v>12.67553871322653</v>
      </c>
      <c r="W206" s="10">
        <v>11.783658217396002</v>
      </c>
      <c r="X206" s="10" t="s">
        <v>902</v>
      </c>
      <c r="Y206" s="10">
        <v>2.2333333333333329</v>
      </c>
      <c r="Z206" s="10">
        <v>2.8666666666666667</v>
      </c>
      <c r="AA206" s="20" t="s">
        <v>702</v>
      </c>
      <c r="AB206" s="7">
        <v>1269.5</v>
      </c>
      <c r="AC206" s="7">
        <v>186.8</v>
      </c>
      <c r="AD206" s="7">
        <v>0.14714454509649469</v>
      </c>
      <c r="AE206" s="7" t="s">
        <v>3</v>
      </c>
      <c r="AF206" s="20" t="s">
        <v>27</v>
      </c>
      <c r="AG206" s="11" t="s">
        <v>864</v>
      </c>
      <c r="AH206" s="7" t="s">
        <v>1311</v>
      </c>
    </row>
    <row r="207" spans="1:34" s="7" customFormat="1" ht="16.5" customHeight="1">
      <c r="A207" s="7">
        <v>2012</v>
      </c>
      <c r="B207" s="12">
        <v>41101</v>
      </c>
      <c r="C207" s="7" t="s">
        <v>22</v>
      </c>
      <c r="D207" s="9" t="s">
        <v>6</v>
      </c>
      <c r="E207" s="9" t="s">
        <v>13</v>
      </c>
      <c r="F207" s="9" t="s">
        <v>25</v>
      </c>
      <c r="G207" s="7" t="s">
        <v>902</v>
      </c>
      <c r="H207" s="7" t="s">
        <v>903</v>
      </c>
      <c r="I207" s="124" t="s">
        <v>902</v>
      </c>
      <c r="J207" s="7">
        <v>25</v>
      </c>
      <c r="K207" s="124" t="s">
        <v>705</v>
      </c>
      <c r="L207" s="20" t="s">
        <v>77</v>
      </c>
      <c r="M207" s="16">
        <v>92.291287873920638</v>
      </c>
      <c r="N207" s="16">
        <v>20.525733646593597</v>
      </c>
      <c r="O207" s="16">
        <v>383.4749193693462</v>
      </c>
      <c r="P207" s="16">
        <v>17.267208099365234</v>
      </c>
      <c r="Q207" s="147">
        <v>171.29150792172081</v>
      </c>
      <c r="R207" s="147">
        <v>6.33453369140625</v>
      </c>
      <c r="S207" s="10">
        <v>0.80953236809121987</v>
      </c>
      <c r="T207" s="10">
        <v>3.5152688250474</v>
      </c>
      <c r="U207" s="16">
        <v>5.68714509930527E-2</v>
      </c>
      <c r="V207" s="16">
        <v>12.67553871322653</v>
      </c>
      <c r="W207" s="10">
        <v>9.1602698881791298</v>
      </c>
      <c r="X207" s="10" t="s">
        <v>902</v>
      </c>
      <c r="Y207" s="10">
        <v>2.2333333333333329</v>
      </c>
      <c r="Z207" s="10">
        <v>2.8666666666666667</v>
      </c>
      <c r="AA207" s="20" t="s">
        <v>704</v>
      </c>
      <c r="AB207" s="7">
        <v>1276.9000000000001</v>
      </c>
      <c r="AC207" s="7">
        <v>186.8</v>
      </c>
      <c r="AD207" s="7">
        <v>0.14629180045422507</v>
      </c>
      <c r="AE207" s="7" t="s">
        <v>3</v>
      </c>
      <c r="AF207" s="20" t="s">
        <v>27</v>
      </c>
      <c r="AG207" s="11" t="s">
        <v>864</v>
      </c>
      <c r="AH207" s="7" t="s">
        <v>1312</v>
      </c>
    </row>
    <row r="208" spans="1:34" s="7" customFormat="1" ht="16.5" customHeight="1">
      <c r="A208" s="7">
        <v>2012</v>
      </c>
      <c r="B208" s="12">
        <v>41101</v>
      </c>
      <c r="C208" s="7" t="s">
        <v>22</v>
      </c>
      <c r="D208" s="9" t="s">
        <v>6</v>
      </c>
      <c r="E208" s="9" t="s">
        <v>13</v>
      </c>
      <c r="F208" s="9" t="s">
        <v>25</v>
      </c>
      <c r="G208" s="7" t="s">
        <v>902</v>
      </c>
      <c r="H208" s="7" t="s">
        <v>903</v>
      </c>
      <c r="I208" s="124" t="s">
        <v>902</v>
      </c>
      <c r="J208" s="7">
        <v>26</v>
      </c>
      <c r="K208" s="124" t="s">
        <v>707</v>
      </c>
      <c r="L208" s="20" t="s">
        <v>77</v>
      </c>
      <c r="M208" s="16">
        <v>92.291330814361572</v>
      </c>
      <c r="N208" s="16">
        <v>20.53917121887207</v>
      </c>
      <c r="O208" s="16">
        <v>374.30169486999512</v>
      </c>
      <c r="P208" s="16">
        <v>18.179895877838135</v>
      </c>
      <c r="Q208" s="147">
        <v>196.29910564422607</v>
      </c>
      <c r="R208" s="147">
        <v>4.10601806640625</v>
      </c>
      <c r="S208" s="10">
        <v>0.80953236809121987</v>
      </c>
      <c r="T208" s="10">
        <v>-0.35366787908032882</v>
      </c>
      <c r="U208" s="16">
        <v>4.2856017281027399E-2</v>
      </c>
      <c r="V208" s="16">
        <v>12.67553871322653</v>
      </c>
      <c r="W208" s="10">
        <v>13.029206592306858</v>
      </c>
      <c r="X208" s="10" t="s">
        <v>902</v>
      </c>
      <c r="Y208" s="10">
        <v>2.2333333333333329</v>
      </c>
      <c r="Z208" s="10">
        <v>2.8666666666666667</v>
      </c>
      <c r="AA208" s="20" t="s">
        <v>706</v>
      </c>
      <c r="AB208" s="7">
        <v>1257.3</v>
      </c>
      <c r="AC208" s="7">
        <v>188</v>
      </c>
      <c r="AD208" s="7">
        <v>0.14952676369999204</v>
      </c>
      <c r="AE208" s="7" t="s">
        <v>3</v>
      </c>
      <c r="AF208" s="20" t="s">
        <v>27</v>
      </c>
      <c r="AG208" s="11" t="s">
        <v>864</v>
      </c>
      <c r="AH208" s="7" t="s">
        <v>1313</v>
      </c>
    </row>
    <row r="209" spans="1:34" s="7" customFormat="1" ht="16.5" customHeight="1">
      <c r="A209" s="7">
        <v>2012</v>
      </c>
      <c r="B209" s="12">
        <v>41101</v>
      </c>
      <c r="C209" s="7" t="s">
        <v>22</v>
      </c>
      <c r="D209" s="9" t="s">
        <v>6</v>
      </c>
      <c r="E209" s="9" t="s">
        <v>13</v>
      </c>
      <c r="F209" s="9" t="s">
        <v>25</v>
      </c>
      <c r="G209" s="7" t="s">
        <v>902</v>
      </c>
      <c r="H209" s="7" t="s">
        <v>903</v>
      </c>
      <c r="I209" s="124" t="s">
        <v>902</v>
      </c>
      <c r="J209" s="7">
        <v>8</v>
      </c>
      <c r="K209" s="124" t="s">
        <v>671</v>
      </c>
      <c r="L209" s="20" t="s">
        <v>74</v>
      </c>
      <c r="M209" s="22">
        <v>92.264513651529953</v>
      </c>
      <c r="N209" s="22">
        <v>25.33483166164822</v>
      </c>
      <c r="O209" s="22">
        <v>381.8793707953559</v>
      </c>
      <c r="P209" s="22">
        <v>23.570798238118488</v>
      </c>
      <c r="Q209" s="148">
        <v>196.50531684027777</v>
      </c>
      <c r="R209" s="148">
        <v>8.6819000244140625</v>
      </c>
      <c r="S209" s="10">
        <v>0.80953236809121987</v>
      </c>
      <c r="T209" s="10">
        <v>3.0347244515019733</v>
      </c>
      <c r="U209" s="22">
        <v>3.6764764785766603E-2</v>
      </c>
      <c r="V209" s="16">
        <v>12.67553871322653</v>
      </c>
      <c r="W209" s="10">
        <v>9.6408142617245574</v>
      </c>
      <c r="X209" s="10" t="s">
        <v>902</v>
      </c>
      <c r="Y209" s="10">
        <v>2.2333333333333329</v>
      </c>
      <c r="Z209" s="10">
        <v>2.8666666666666667</v>
      </c>
      <c r="AA209" s="20" t="s">
        <v>670</v>
      </c>
      <c r="AB209" s="7">
        <v>1557.6</v>
      </c>
      <c r="AC209" s="7">
        <v>217.3</v>
      </c>
      <c r="AD209" s="7">
        <v>0.13950950179763741</v>
      </c>
      <c r="AE209" s="7" t="s">
        <v>3</v>
      </c>
      <c r="AF209" s="20" t="s">
        <v>27</v>
      </c>
      <c r="AG209" s="11" t="s">
        <v>1</v>
      </c>
      <c r="AH209" s="7" t="s">
        <v>1314</v>
      </c>
    </row>
    <row r="210" spans="1:34" s="7" customFormat="1" ht="16.5" customHeight="1">
      <c r="A210" s="7">
        <v>2012</v>
      </c>
      <c r="B210" s="12">
        <v>41101</v>
      </c>
      <c r="C210" s="7" t="s">
        <v>22</v>
      </c>
      <c r="D210" s="9" t="s">
        <v>6</v>
      </c>
      <c r="E210" s="9" t="s">
        <v>13</v>
      </c>
      <c r="F210" s="9" t="s">
        <v>25</v>
      </c>
      <c r="G210" s="7" t="s">
        <v>902</v>
      </c>
      <c r="H210" s="7" t="s">
        <v>903</v>
      </c>
      <c r="I210" s="124" t="s">
        <v>902</v>
      </c>
      <c r="J210" s="7">
        <v>9</v>
      </c>
      <c r="K210" s="124" t="s">
        <v>673</v>
      </c>
      <c r="L210" s="20" t="s">
        <v>74</v>
      </c>
      <c r="M210" s="16">
        <v>92.26875114440918</v>
      </c>
      <c r="N210" s="16">
        <v>26.091070810953777</v>
      </c>
      <c r="O210" s="16">
        <v>385.45103454589844</v>
      </c>
      <c r="P210" s="16">
        <v>20.815726439158123</v>
      </c>
      <c r="Q210" s="147">
        <v>214.2646509806315</v>
      </c>
      <c r="R210" s="147">
        <v>22.01446533203125</v>
      </c>
      <c r="S210" s="10">
        <v>0.80953236809121987</v>
      </c>
      <c r="T210" s="10">
        <v>-1.2093230397753092</v>
      </c>
      <c r="U210" s="16">
        <v>6.4315912606832865E-2</v>
      </c>
      <c r="V210" s="16">
        <v>12.67553871322653</v>
      </c>
      <c r="W210" s="10">
        <v>13.884861753001839</v>
      </c>
      <c r="X210" s="10" t="s">
        <v>902</v>
      </c>
      <c r="Y210" s="10">
        <v>2.2333333333333329</v>
      </c>
      <c r="Z210" s="10">
        <v>2.8666666666666667</v>
      </c>
      <c r="AA210" s="20" t="s">
        <v>672</v>
      </c>
      <c r="AB210" s="7">
        <v>1530.8</v>
      </c>
      <c r="AC210" s="7">
        <v>206.3</v>
      </c>
      <c r="AD210" s="7">
        <v>0.13476613535406326</v>
      </c>
      <c r="AE210" s="7" t="s">
        <v>3</v>
      </c>
      <c r="AF210" s="20" t="s">
        <v>27</v>
      </c>
      <c r="AG210" s="11" t="s">
        <v>1</v>
      </c>
      <c r="AH210" s="7" t="s">
        <v>1315</v>
      </c>
    </row>
    <row r="211" spans="1:34" s="7" customFormat="1" ht="16.5" customHeight="1">
      <c r="A211" s="7">
        <v>2012</v>
      </c>
      <c r="B211" s="12">
        <v>41101</v>
      </c>
      <c r="C211" s="7" t="s">
        <v>22</v>
      </c>
      <c r="D211" s="9" t="s">
        <v>6</v>
      </c>
      <c r="E211" s="9" t="s">
        <v>13</v>
      </c>
      <c r="F211" s="9" t="s">
        <v>25</v>
      </c>
      <c r="G211" s="7" t="s">
        <v>902</v>
      </c>
      <c r="H211" s="7" t="s">
        <v>903</v>
      </c>
      <c r="I211" s="124" t="s">
        <v>902</v>
      </c>
      <c r="J211" s="7">
        <v>10</v>
      </c>
      <c r="K211" s="124" t="s">
        <v>675</v>
      </c>
      <c r="L211" s="20" t="s">
        <v>74</v>
      </c>
      <c r="M211" s="16">
        <v>92.272048950195313</v>
      </c>
      <c r="N211" s="16">
        <v>26.381621742248534</v>
      </c>
      <c r="O211" s="16">
        <v>387.77605590820315</v>
      </c>
      <c r="P211" s="16">
        <v>21.427142906188966</v>
      </c>
      <c r="Q211" s="147">
        <v>229.03115539550782</v>
      </c>
      <c r="R211" s="147">
        <v>21.3858642578125</v>
      </c>
      <c r="S211" s="10">
        <v>0.80953236809121987</v>
      </c>
      <c r="T211" s="10">
        <v>1.1882684010364097</v>
      </c>
      <c r="U211" s="16">
        <v>6.1442756652832033E-2</v>
      </c>
      <c r="V211" s="16">
        <v>12.67553871322653</v>
      </c>
      <c r="W211" s="10">
        <v>11.48727031219012</v>
      </c>
      <c r="X211" s="10" t="s">
        <v>902</v>
      </c>
      <c r="Y211" s="10">
        <v>2.2333333333333329</v>
      </c>
      <c r="Z211" s="10">
        <v>2.8666666666666667</v>
      </c>
      <c r="AA211" s="20" t="s">
        <v>674</v>
      </c>
      <c r="AB211" s="7">
        <v>1525.9</v>
      </c>
      <c r="AC211" s="7">
        <v>205.1</v>
      </c>
      <c r="AD211" s="7">
        <v>0.13441247788190575</v>
      </c>
      <c r="AE211" s="7" t="s">
        <v>3</v>
      </c>
      <c r="AF211" s="20" t="s">
        <v>27</v>
      </c>
      <c r="AG211" s="11" t="s">
        <v>1</v>
      </c>
      <c r="AH211" s="7" t="s">
        <v>1316</v>
      </c>
    </row>
    <row r="212" spans="1:34" s="7" customFormat="1" ht="16.5" customHeight="1">
      <c r="A212" s="7">
        <v>2012</v>
      </c>
      <c r="B212" s="12">
        <v>41101</v>
      </c>
      <c r="C212" s="7" t="s">
        <v>22</v>
      </c>
      <c r="D212" s="9" t="s">
        <v>6</v>
      </c>
      <c r="E212" s="9" t="s">
        <v>13</v>
      </c>
      <c r="F212" s="9" t="s">
        <v>25</v>
      </c>
      <c r="G212" s="7" t="s">
        <v>902</v>
      </c>
      <c r="H212" s="7" t="s">
        <v>903</v>
      </c>
      <c r="I212" s="124" t="s">
        <v>902</v>
      </c>
      <c r="J212" s="7">
        <v>11</v>
      </c>
      <c r="K212" s="124" t="s">
        <v>677</v>
      </c>
      <c r="L212" s="20" t="s">
        <v>74</v>
      </c>
      <c r="M212" s="16">
        <v>92.263933817545578</v>
      </c>
      <c r="N212" s="16">
        <v>24.695076306660969</v>
      </c>
      <c r="O212" s="16">
        <v>370.08443196614581</v>
      </c>
      <c r="P212" s="16">
        <v>19.265860451592339</v>
      </c>
      <c r="Q212" s="147">
        <v>235.3615485297309</v>
      </c>
      <c r="R212" s="147">
        <v>24.149429321289063</v>
      </c>
      <c r="S212" s="10">
        <v>0.80953236809121987</v>
      </c>
      <c r="T212" s="10">
        <v>0.41134502823192715</v>
      </c>
      <c r="U212" s="16">
        <v>6.2670181164185448E-2</v>
      </c>
      <c r="V212" s="16">
        <v>12.67553871322653</v>
      </c>
      <c r="W212" s="10">
        <v>12.264193684994602</v>
      </c>
      <c r="X212" s="10" t="s">
        <v>902</v>
      </c>
      <c r="Y212" s="10">
        <v>2.2333333333333329</v>
      </c>
      <c r="Z212" s="10">
        <v>2.8666666666666667</v>
      </c>
      <c r="AA212" s="20" t="s">
        <v>676</v>
      </c>
      <c r="AB212" s="7">
        <v>1549.1</v>
      </c>
      <c r="AC212" s="7">
        <v>206.3</v>
      </c>
      <c r="AD212" s="7">
        <v>0.13317410109095607</v>
      </c>
      <c r="AE212" s="7" t="s">
        <v>3</v>
      </c>
      <c r="AF212" s="20" t="s">
        <v>27</v>
      </c>
      <c r="AG212" s="11" t="s">
        <v>1</v>
      </c>
      <c r="AH212" s="7" t="s">
        <v>1317</v>
      </c>
    </row>
    <row r="213" spans="1:34" s="7" customFormat="1" ht="16.5" customHeight="1">
      <c r="A213" s="7">
        <v>2012</v>
      </c>
      <c r="B213" s="12">
        <v>41101</v>
      </c>
      <c r="C213" s="7" t="s">
        <v>22</v>
      </c>
      <c r="D213" s="9" t="s">
        <v>6</v>
      </c>
      <c r="E213" s="9" t="s">
        <v>13</v>
      </c>
      <c r="F213" s="9" t="s">
        <v>25</v>
      </c>
      <c r="G213" s="7" t="s">
        <v>902</v>
      </c>
      <c r="H213" s="7" t="s">
        <v>903</v>
      </c>
      <c r="I213" s="124" t="s">
        <v>902</v>
      </c>
      <c r="J213" s="7">
        <v>12</v>
      </c>
      <c r="K213" s="124" t="s">
        <v>679</v>
      </c>
      <c r="L213" s="20" t="s">
        <v>907</v>
      </c>
      <c r="M213" s="16">
        <v>92.28823707217262</v>
      </c>
      <c r="N213" s="16">
        <v>24.872779937017533</v>
      </c>
      <c r="O213" s="16">
        <v>366.06898571196058</v>
      </c>
      <c r="P213" s="16">
        <v>19.75077483767555</v>
      </c>
      <c r="Q213" s="147">
        <v>282.71356346493678</v>
      </c>
      <c r="R213" s="147">
        <v>21.200592041015625</v>
      </c>
      <c r="S213" s="10">
        <v>0.80953236809121987</v>
      </c>
      <c r="T213" s="10">
        <v>-3.1128610641375118</v>
      </c>
      <c r="U213" s="16">
        <v>6.0715863611791043E-2</v>
      </c>
      <c r="V213" s="16">
        <v>12.67553871322653</v>
      </c>
      <c r="W213" s="10">
        <v>15.788399777364042</v>
      </c>
      <c r="X213" s="10" t="s">
        <v>902</v>
      </c>
      <c r="Y213" s="10">
        <v>2.2333333333333329</v>
      </c>
      <c r="Z213" s="10">
        <v>2.8666666666666667</v>
      </c>
      <c r="AA213" s="20" t="s">
        <v>678</v>
      </c>
      <c r="AB213" s="7">
        <v>1381.8</v>
      </c>
      <c r="AC213" s="7">
        <v>195.3</v>
      </c>
      <c r="AD213" s="7">
        <v>0.14133738601823709</v>
      </c>
      <c r="AE213" s="7" t="s">
        <v>3</v>
      </c>
      <c r="AF213" s="20" t="s">
        <v>27</v>
      </c>
      <c r="AG213" s="11" t="s">
        <v>1</v>
      </c>
      <c r="AH213" s="7" t="s">
        <v>1307</v>
      </c>
    </row>
    <row r="214" spans="1:34" s="7" customFormat="1" ht="16.5" customHeight="1">
      <c r="A214" s="7">
        <v>2012</v>
      </c>
      <c r="B214" s="12">
        <v>41101</v>
      </c>
      <c r="C214" s="7" t="s">
        <v>22</v>
      </c>
      <c r="D214" s="9" t="s">
        <v>6</v>
      </c>
      <c r="E214" s="9" t="s">
        <v>13</v>
      </c>
      <c r="F214" s="9" t="s">
        <v>25</v>
      </c>
      <c r="G214" s="7" t="s">
        <v>902</v>
      </c>
      <c r="H214" s="7" t="s">
        <v>903</v>
      </c>
      <c r="I214" s="124" t="s">
        <v>902</v>
      </c>
      <c r="J214" s="7">
        <v>27</v>
      </c>
      <c r="K214" s="124" t="s">
        <v>709</v>
      </c>
      <c r="L214" s="20" t="s">
        <v>75</v>
      </c>
      <c r="M214" s="16">
        <v>92.292093717134918</v>
      </c>
      <c r="N214" s="16">
        <v>20.433339925912712</v>
      </c>
      <c r="O214" s="16">
        <v>366.32323279747595</v>
      </c>
      <c r="P214" s="16">
        <v>16.130149914668156</v>
      </c>
      <c r="Q214" s="147">
        <v>291.66515878530652</v>
      </c>
      <c r="R214" s="147">
        <v>3.49200439453125</v>
      </c>
      <c r="S214" s="10">
        <v>0.80953236809121987</v>
      </c>
      <c r="T214" s="10">
        <v>-5.1843257715096156</v>
      </c>
      <c r="U214" s="16">
        <v>6.8264544665158453E-2</v>
      </c>
      <c r="V214" s="16">
        <v>12.67553871322653</v>
      </c>
      <c r="W214" s="10">
        <v>17.859864484736146</v>
      </c>
      <c r="X214" s="10" t="s">
        <v>902</v>
      </c>
      <c r="Y214" s="10">
        <v>2.2333333333333329</v>
      </c>
      <c r="Z214" s="10">
        <v>2.8666666666666667</v>
      </c>
      <c r="AA214" s="20" t="s">
        <v>708</v>
      </c>
      <c r="AB214" s="7">
        <v>1235.4000000000001</v>
      </c>
      <c r="AC214" s="7">
        <v>186.8</v>
      </c>
      <c r="AD214" s="7">
        <v>0.15120608709729641</v>
      </c>
      <c r="AE214" s="7" t="s">
        <v>3</v>
      </c>
      <c r="AF214" s="20" t="s">
        <v>27</v>
      </c>
      <c r="AG214" s="11" t="s">
        <v>864</v>
      </c>
      <c r="AH214" s="7" t="s">
        <v>1318</v>
      </c>
    </row>
    <row r="215" spans="1:34" s="7" customFormat="1" ht="16.5" customHeight="1">
      <c r="A215" s="7">
        <v>2012</v>
      </c>
      <c r="B215" s="12">
        <v>41101</v>
      </c>
      <c r="C215" s="7" t="s">
        <v>22</v>
      </c>
      <c r="D215" s="9" t="s">
        <v>6</v>
      </c>
      <c r="E215" s="9" t="s">
        <v>13</v>
      </c>
      <c r="F215" s="9" t="s">
        <v>25</v>
      </c>
      <c r="G215" s="7" t="s">
        <v>902</v>
      </c>
      <c r="H215" s="7" t="s">
        <v>903</v>
      </c>
      <c r="I215" s="124" t="s">
        <v>902</v>
      </c>
      <c r="J215" s="7">
        <v>13</v>
      </c>
      <c r="K215" s="124" t="s">
        <v>681</v>
      </c>
      <c r="L215" s="20" t="s">
        <v>907</v>
      </c>
      <c r="M215" s="16">
        <v>92.289660559760193</v>
      </c>
      <c r="N215" s="16">
        <v>24.142762078179253</v>
      </c>
      <c r="O215" s="16">
        <v>370.08991156684027</v>
      </c>
      <c r="P215" s="16">
        <v>16.765363640255398</v>
      </c>
      <c r="Q215" s="147">
        <v>291.70929124620227</v>
      </c>
      <c r="R215" s="147">
        <v>39.564483642578125</v>
      </c>
      <c r="S215" s="10">
        <v>0.80953236809121987</v>
      </c>
      <c r="T215" s="10">
        <v>-5.4992548838844035</v>
      </c>
      <c r="U215" s="16">
        <v>8.2531521071836547E-2</v>
      </c>
      <c r="V215" s="16">
        <v>12.67553871322653</v>
      </c>
      <c r="W215" s="10">
        <v>18.174793597110934</v>
      </c>
      <c r="X215" s="10" t="s">
        <v>902</v>
      </c>
      <c r="Y215" s="10">
        <v>2.2333333333333329</v>
      </c>
      <c r="Z215" s="10">
        <v>2.8666666666666667</v>
      </c>
      <c r="AA215" s="20" t="s">
        <v>680</v>
      </c>
      <c r="AB215" s="7">
        <v>1389.2</v>
      </c>
      <c r="AC215" s="7">
        <v>197.8</v>
      </c>
      <c r="AD215" s="7">
        <v>0.14238410596026491</v>
      </c>
      <c r="AE215" s="7" t="s">
        <v>3</v>
      </c>
      <c r="AF215" s="20" t="s">
        <v>27</v>
      </c>
      <c r="AG215" s="11" t="s">
        <v>1</v>
      </c>
      <c r="AH215" s="7" t="s">
        <v>1307</v>
      </c>
    </row>
    <row r="216" spans="1:34" s="7" customFormat="1" ht="16.5" customHeight="1">
      <c r="A216" s="7">
        <v>2012</v>
      </c>
      <c r="B216" s="12">
        <v>41101</v>
      </c>
      <c r="C216" s="7" t="s">
        <v>22</v>
      </c>
      <c r="D216" s="9" t="s">
        <v>6</v>
      </c>
      <c r="E216" s="9" t="s">
        <v>13</v>
      </c>
      <c r="F216" s="9" t="s">
        <v>25</v>
      </c>
      <c r="G216" s="7" t="s">
        <v>902</v>
      </c>
      <c r="H216" s="7" t="s">
        <v>903</v>
      </c>
      <c r="I216" s="124" t="s">
        <v>902</v>
      </c>
      <c r="J216" s="7">
        <v>28</v>
      </c>
      <c r="K216" s="124" t="s">
        <v>711</v>
      </c>
      <c r="L216" s="20" t="s">
        <v>75</v>
      </c>
      <c r="M216" s="16">
        <v>92.291253033806299</v>
      </c>
      <c r="N216" s="16">
        <v>20.881250493666705</v>
      </c>
      <c r="O216" s="16">
        <v>368.83632704790898</v>
      </c>
      <c r="P216" s="16">
        <v>16.846656350528491</v>
      </c>
      <c r="Q216" s="147">
        <v>304.9471704819623</v>
      </c>
      <c r="R216" s="147">
        <v>1.583343505859375</v>
      </c>
      <c r="S216" s="10">
        <v>0.80953236809121987</v>
      </c>
      <c r="T216" s="10">
        <v>-3.5141251543771279</v>
      </c>
      <c r="U216" s="16">
        <v>6.4888221376082481E-2</v>
      </c>
      <c r="V216" s="16">
        <v>12.67553871322653</v>
      </c>
      <c r="W216" s="10">
        <v>16.189663867603656</v>
      </c>
      <c r="X216" s="10" t="s">
        <v>902</v>
      </c>
      <c r="Y216" s="10">
        <v>2.2333333333333329</v>
      </c>
      <c r="Z216" s="10">
        <v>2.8666666666666667</v>
      </c>
      <c r="AA216" s="20" t="s">
        <v>710</v>
      </c>
      <c r="AB216" s="7">
        <v>1224.4000000000001</v>
      </c>
      <c r="AC216" s="7">
        <v>186.8</v>
      </c>
      <c r="AD216" s="7">
        <v>0.15256452139823587</v>
      </c>
      <c r="AE216" s="7" t="s">
        <v>3</v>
      </c>
      <c r="AF216" s="20" t="s">
        <v>27</v>
      </c>
      <c r="AG216" s="11" t="s">
        <v>864</v>
      </c>
      <c r="AH216" s="7" t="s">
        <v>1307</v>
      </c>
    </row>
    <row r="217" spans="1:34" s="7" customFormat="1" ht="16.5" customHeight="1">
      <c r="A217" s="7">
        <v>2012</v>
      </c>
      <c r="B217" s="12">
        <v>41101</v>
      </c>
      <c r="C217" s="7" t="s">
        <v>22</v>
      </c>
      <c r="D217" s="9" t="s">
        <v>6</v>
      </c>
      <c r="E217" s="9" t="s">
        <v>13</v>
      </c>
      <c r="F217" s="9" t="s">
        <v>25</v>
      </c>
      <c r="G217" s="7" t="s">
        <v>902</v>
      </c>
      <c r="H217" s="7" t="s">
        <v>903</v>
      </c>
      <c r="I217" s="124" t="s">
        <v>902</v>
      </c>
      <c r="J217" s="7">
        <v>14</v>
      </c>
      <c r="K217" s="124" t="s">
        <v>683</v>
      </c>
      <c r="L217" s="20" t="s">
        <v>907</v>
      </c>
      <c r="M217" s="16">
        <v>92.290468125116263</v>
      </c>
      <c r="N217" s="16">
        <v>23.638847986857098</v>
      </c>
      <c r="O217" s="16">
        <v>366.98209780738466</v>
      </c>
      <c r="P217" s="16">
        <v>17.075961703345889</v>
      </c>
      <c r="Q217" s="147">
        <v>313.47932506742933</v>
      </c>
      <c r="R217" s="147">
        <v>23.022491455078125</v>
      </c>
      <c r="S217" s="10">
        <v>0.80953236809121987</v>
      </c>
      <c r="T217" s="10">
        <v>-6.6475461966027121</v>
      </c>
      <c r="U217" s="16">
        <v>7.5849028376789848E-2</v>
      </c>
      <c r="V217" s="16">
        <v>12.67553871322653</v>
      </c>
      <c r="W217" s="10">
        <v>19.323084909829241</v>
      </c>
      <c r="X217" s="10" t="s">
        <v>902</v>
      </c>
      <c r="Y217" s="10">
        <v>2.2333333333333329</v>
      </c>
      <c r="Z217" s="10">
        <v>2.8666666666666667</v>
      </c>
      <c r="AA217" s="20" t="s">
        <v>682</v>
      </c>
      <c r="AB217" s="7">
        <v>1398.9</v>
      </c>
      <c r="AC217" s="7">
        <v>201.4</v>
      </c>
      <c r="AD217" s="7">
        <v>0.14397026234898849</v>
      </c>
      <c r="AE217" s="7" t="s">
        <v>3</v>
      </c>
      <c r="AF217" s="20" t="s">
        <v>27</v>
      </c>
      <c r="AG217" s="11" t="s">
        <v>1</v>
      </c>
      <c r="AH217" s="7" t="s">
        <v>1307</v>
      </c>
    </row>
    <row r="218" spans="1:34" s="7" customFormat="1" ht="16.5" customHeight="1">
      <c r="A218" s="7">
        <v>2012</v>
      </c>
      <c r="B218" s="12">
        <v>41101</v>
      </c>
      <c r="C218" s="7" t="s">
        <v>22</v>
      </c>
      <c r="D218" s="9" t="s">
        <v>6</v>
      </c>
      <c r="E218" s="9" t="s">
        <v>13</v>
      </c>
      <c r="F218" s="9" t="s">
        <v>25</v>
      </c>
      <c r="G218" s="7" t="s">
        <v>902</v>
      </c>
      <c r="H218" s="7" t="s">
        <v>903</v>
      </c>
      <c r="I218" s="124" t="s">
        <v>902</v>
      </c>
      <c r="J218" s="7">
        <v>29</v>
      </c>
      <c r="K218" s="124" t="s">
        <v>713</v>
      </c>
      <c r="L218" s="20" t="s">
        <v>75</v>
      </c>
      <c r="M218" s="16">
        <v>92.292880008095196</v>
      </c>
      <c r="N218" s="16">
        <v>21.516454094334652</v>
      </c>
      <c r="O218" s="16">
        <v>364.84896208110609</v>
      </c>
      <c r="P218" s="16">
        <v>19.070884303042764</v>
      </c>
      <c r="Q218" s="147">
        <v>363.76423404091281</v>
      </c>
      <c r="R218" s="147">
        <v>44.30780029296875</v>
      </c>
      <c r="S218" s="10">
        <v>0.80953236809121987</v>
      </c>
      <c r="T218" s="10">
        <v>-3.6494347557972682</v>
      </c>
      <c r="U218" s="16">
        <v>4.7489126105057566E-2</v>
      </c>
      <c r="V218" s="16">
        <v>12.67553871322653</v>
      </c>
      <c r="W218" s="10">
        <v>16.324973469023799</v>
      </c>
      <c r="X218" s="10" t="s">
        <v>902</v>
      </c>
      <c r="Y218" s="10">
        <v>2.2333333333333329</v>
      </c>
      <c r="Z218" s="10">
        <v>2.8666666666666667</v>
      </c>
      <c r="AA218" s="20" t="s">
        <v>712</v>
      </c>
      <c r="AB218" s="7">
        <v>1220.7</v>
      </c>
      <c r="AC218" s="7">
        <v>188</v>
      </c>
      <c r="AD218" s="7">
        <v>0.15400999426558531</v>
      </c>
      <c r="AE218" s="7" t="s">
        <v>3</v>
      </c>
      <c r="AF218" s="20" t="s">
        <v>27</v>
      </c>
      <c r="AG218" s="11" t="s">
        <v>864</v>
      </c>
      <c r="AH218" s="7" t="s">
        <v>1307</v>
      </c>
    </row>
    <row r="219" spans="1:34" s="7" customFormat="1" ht="16.5" customHeight="1">
      <c r="A219" s="7">
        <v>2012</v>
      </c>
      <c r="B219" s="12">
        <v>41101</v>
      </c>
      <c r="C219" s="7" t="s">
        <v>22</v>
      </c>
      <c r="D219" s="9" t="s">
        <v>6</v>
      </c>
      <c r="E219" s="9" t="s">
        <v>13</v>
      </c>
      <c r="F219" s="9" t="s">
        <v>25</v>
      </c>
      <c r="G219" s="7" t="s">
        <v>902</v>
      </c>
      <c r="H219" s="7" t="s">
        <v>903</v>
      </c>
      <c r="I219" s="124" t="s">
        <v>902</v>
      </c>
      <c r="J219" s="7">
        <v>15</v>
      </c>
      <c r="K219" s="124" t="s">
        <v>685</v>
      </c>
      <c r="L219" s="20" t="s">
        <v>908</v>
      </c>
      <c r="M219" s="16">
        <v>92.290171486990786</v>
      </c>
      <c r="N219" s="16">
        <v>23.415043830871582</v>
      </c>
      <c r="O219" s="16">
        <v>364.57466561453685</v>
      </c>
      <c r="P219" s="16">
        <v>17.791728973388672</v>
      </c>
      <c r="Q219" s="147">
        <v>416.48884364536832</v>
      </c>
      <c r="R219" s="147">
        <v>59.068878173828125</v>
      </c>
      <c r="S219" s="10">
        <v>0.80953236809121987</v>
      </c>
      <c r="T219" s="10">
        <v>-7.0915459604665907</v>
      </c>
      <c r="U219" s="16">
        <v>6.9953567806787936E-2</v>
      </c>
      <c r="V219" s="16">
        <v>12.67553871322653</v>
      </c>
      <c r="W219" s="10">
        <v>19.76708467369312</v>
      </c>
      <c r="X219" s="10" t="s">
        <v>902</v>
      </c>
      <c r="Y219" s="10">
        <v>2.2333333333333329</v>
      </c>
      <c r="Z219" s="10">
        <v>2.8666666666666667</v>
      </c>
      <c r="AA219" s="20" t="s">
        <v>684</v>
      </c>
      <c r="AB219" s="7">
        <v>1398.9</v>
      </c>
      <c r="AC219" s="7">
        <v>201.4</v>
      </c>
      <c r="AD219" s="7">
        <v>0.14397026234898849</v>
      </c>
      <c r="AE219" s="7" t="s">
        <v>3</v>
      </c>
      <c r="AF219" s="20" t="s">
        <v>27</v>
      </c>
      <c r="AG219" s="11" t="s">
        <v>1</v>
      </c>
      <c r="AH219" s="7" t="s">
        <v>1319</v>
      </c>
    </row>
    <row r="220" spans="1:34" s="7" customFormat="1" ht="16.5" customHeight="1">
      <c r="A220" s="7">
        <v>2012</v>
      </c>
      <c r="B220" s="12">
        <v>41101</v>
      </c>
      <c r="C220" s="7" t="s">
        <v>22</v>
      </c>
      <c r="D220" s="9" t="s">
        <v>6</v>
      </c>
      <c r="E220" s="9" t="s">
        <v>13</v>
      </c>
      <c r="F220" s="9" t="s">
        <v>25</v>
      </c>
      <c r="G220" s="7" t="s">
        <v>902</v>
      </c>
      <c r="H220" s="7" t="s">
        <v>903</v>
      </c>
      <c r="I220" s="124" t="s">
        <v>902</v>
      </c>
      <c r="J220" s="7">
        <v>30</v>
      </c>
      <c r="K220" s="124" t="s">
        <v>715</v>
      </c>
      <c r="L220" s="20" t="s">
        <v>74</v>
      </c>
      <c r="M220" s="16">
        <v>92.292865079991955</v>
      </c>
      <c r="N220" s="16">
        <v>21.759340847239773</v>
      </c>
      <c r="O220" s="16">
        <v>358.39898143095127</v>
      </c>
      <c r="P220" s="16">
        <v>19.915897593778723</v>
      </c>
      <c r="Q220" s="147">
        <v>440.51146742876836</v>
      </c>
      <c r="R220" s="147">
        <v>9.587646484375</v>
      </c>
      <c r="S220" s="10">
        <v>0.80953236809121987</v>
      </c>
      <c r="T220" s="10">
        <v>-4.3025380551245531</v>
      </c>
      <c r="U220" s="16">
        <v>4.2330984975777419E-2</v>
      </c>
      <c r="V220" s="16">
        <v>12.67553871322653</v>
      </c>
      <c r="W220" s="10">
        <v>16.978076768351084</v>
      </c>
      <c r="X220" s="10" t="s">
        <v>902</v>
      </c>
      <c r="Y220" s="10">
        <v>2.2333333333333329</v>
      </c>
      <c r="Z220" s="10">
        <v>2.8666666666666667</v>
      </c>
      <c r="AA220" s="20" t="s">
        <v>714</v>
      </c>
      <c r="AB220" s="7">
        <v>1178</v>
      </c>
      <c r="AC220" s="7">
        <v>195.3</v>
      </c>
      <c r="AD220" s="7">
        <v>0.16578947368421054</v>
      </c>
      <c r="AE220" s="7" t="s">
        <v>3</v>
      </c>
      <c r="AF220" s="20" t="s">
        <v>27</v>
      </c>
      <c r="AG220" s="11" t="s">
        <v>864</v>
      </c>
      <c r="AH220" s="7" t="s">
        <v>1307</v>
      </c>
    </row>
    <row r="221" spans="1:34" s="7" customFormat="1" ht="16.5" customHeight="1">
      <c r="A221" s="7">
        <v>2012</v>
      </c>
      <c r="B221" s="12">
        <v>41101</v>
      </c>
      <c r="C221" s="7" t="s">
        <v>22</v>
      </c>
      <c r="D221" s="9" t="s">
        <v>6</v>
      </c>
      <c r="E221" s="9" t="s">
        <v>13</v>
      </c>
      <c r="F221" s="9" t="s">
        <v>25</v>
      </c>
      <c r="G221" s="7" t="s">
        <v>902</v>
      </c>
      <c r="H221" s="7" t="s">
        <v>903</v>
      </c>
      <c r="I221" s="124" t="s">
        <v>902</v>
      </c>
      <c r="J221" s="7">
        <v>31</v>
      </c>
      <c r="K221" s="124" t="s">
        <v>717</v>
      </c>
      <c r="L221" s="20" t="s">
        <v>74</v>
      </c>
      <c r="M221" s="16">
        <v>92.292936415899362</v>
      </c>
      <c r="N221" s="16">
        <v>22.176001685006277</v>
      </c>
      <c r="O221" s="16">
        <v>365.21058000837053</v>
      </c>
      <c r="P221" s="16">
        <v>18.280922753470286</v>
      </c>
      <c r="Q221" s="147">
        <v>449.37896873837428</v>
      </c>
      <c r="R221" s="147">
        <v>1.43377685546875</v>
      </c>
      <c r="S221" s="10">
        <v>0.80953236809121987</v>
      </c>
      <c r="T221" s="10">
        <v>-4.7299949761895128</v>
      </c>
      <c r="U221" s="16">
        <v>5.4987301764550141E-2</v>
      </c>
      <c r="V221" s="16">
        <v>12.67553871322653</v>
      </c>
      <c r="W221" s="10">
        <v>17.405533689416043</v>
      </c>
      <c r="X221" s="10" t="s">
        <v>902</v>
      </c>
      <c r="Y221" s="10">
        <v>2.2333333333333329</v>
      </c>
      <c r="Z221" s="10">
        <v>2.8666666666666667</v>
      </c>
      <c r="AA221" s="20" t="s">
        <v>716</v>
      </c>
      <c r="AB221" s="7">
        <v>1189</v>
      </c>
      <c r="AC221" s="7">
        <v>195.3</v>
      </c>
      <c r="AD221" s="7">
        <v>0.16425567703952904</v>
      </c>
      <c r="AE221" s="7" t="s">
        <v>3</v>
      </c>
      <c r="AF221" s="20" t="s">
        <v>27</v>
      </c>
      <c r="AG221" s="11" t="s">
        <v>864</v>
      </c>
      <c r="AH221" s="7" t="s">
        <v>1307</v>
      </c>
    </row>
    <row r="222" spans="1:34" s="7" customFormat="1" ht="16.5" customHeight="1">
      <c r="A222" s="7">
        <v>2012</v>
      </c>
      <c r="B222" s="12">
        <v>41101</v>
      </c>
      <c r="C222" s="7" t="s">
        <v>22</v>
      </c>
      <c r="D222" s="9" t="s">
        <v>6</v>
      </c>
      <c r="E222" s="9" t="s">
        <v>13</v>
      </c>
      <c r="F222" s="9" t="s">
        <v>25</v>
      </c>
      <c r="G222" s="7" t="s">
        <v>902</v>
      </c>
      <c r="H222" s="7" t="s">
        <v>903</v>
      </c>
      <c r="I222" s="124" t="s">
        <v>902</v>
      </c>
      <c r="J222" s="7">
        <v>32</v>
      </c>
      <c r="K222" s="124" t="s">
        <v>719</v>
      </c>
      <c r="L222" s="20" t="s">
        <v>74</v>
      </c>
      <c r="M222" s="16">
        <v>92.294314066569015</v>
      </c>
      <c r="N222" s="16">
        <v>19.760151363554456</v>
      </c>
      <c r="O222" s="16">
        <v>364.08362688337053</v>
      </c>
      <c r="P222" s="16">
        <v>16.095874604724703</v>
      </c>
      <c r="Q222" s="147">
        <v>451.25239635649183</v>
      </c>
      <c r="R222" s="147">
        <v>1.294647216796875</v>
      </c>
      <c r="S222" s="10">
        <v>0.80953236809121987</v>
      </c>
      <c r="T222" s="10">
        <v>-6.4379358989897213</v>
      </c>
      <c r="U222" s="16">
        <v>5.4999347785850645E-2</v>
      </c>
      <c r="V222" s="16">
        <v>12.67553871322653</v>
      </c>
      <c r="W222" s="10">
        <v>19.113474612216251</v>
      </c>
      <c r="X222" s="10" t="s">
        <v>902</v>
      </c>
      <c r="Y222" s="10">
        <v>2.2333333333333329</v>
      </c>
      <c r="Z222" s="10">
        <v>2.8666666666666667</v>
      </c>
      <c r="AA222" s="20" t="s">
        <v>718</v>
      </c>
      <c r="AB222" s="7">
        <v>1193.8</v>
      </c>
      <c r="AC222" s="7">
        <v>195.3</v>
      </c>
      <c r="AD222" s="7">
        <v>0.1635952420841012</v>
      </c>
      <c r="AE222" s="7" t="s">
        <v>3</v>
      </c>
      <c r="AF222" s="20" t="s">
        <v>27</v>
      </c>
      <c r="AG222" s="11" t="s">
        <v>864</v>
      </c>
      <c r="AH222" s="7" t="s">
        <v>1307</v>
      </c>
    </row>
    <row r="223" spans="1:34" s="7" customFormat="1" ht="16.5" customHeight="1">
      <c r="A223" s="7">
        <v>2012</v>
      </c>
      <c r="B223" s="12">
        <v>41101</v>
      </c>
      <c r="C223" s="7" t="s">
        <v>22</v>
      </c>
      <c r="D223" s="9" t="s">
        <v>6</v>
      </c>
      <c r="E223" s="9" t="s">
        <v>13</v>
      </c>
      <c r="F223" s="9" t="s">
        <v>25</v>
      </c>
      <c r="G223" s="7" t="s">
        <v>902</v>
      </c>
      <c r="H223" s="7" t="s">
        <v>903</v>
      </c>
      <c r="I223" s="124" t="s">
        <v>902</v>
      </c>
      <c r="J223" s="7">
        <v>16</v>
      </c>
      <c r="K223" s="124" t="s">
        <v>687</v>
      </c>
      <c r="L223" s="20" t="s">
        <v>908</v>
      </c>
      <c r="M223" s="16">
        <v>92.288443429129458</v>
      </c>
      <c r="N223" s="16">
        <v>22.801264989943732</v>
      </c>
      <c r="O223" s="16">
        <v>363.34251912434894</v>
      </c>
      <c r="P223" s="16">
        <v>15.837306794666109</v>
      </c>
      <c r="Q223" s="147">
        <v>454.49181256975447</v>
      </c>
      <c r="R223" s="147">
        <v>129.35040283203125</v>
      </c>
      <c r="S223" s="10">
        <v>0.80953236809121987</v>
      </c>
      <c r="T223" s="10">
        <v>-8.6788911015458297</v>
      </c>
      <c r="U223" s="16">
        <v>8.7430659207430775E-2</v>
      </c>
      <c r="V223" s="16">
        <v>12.67553871322653</v>
      </c>
      <c r="W223" s="10">
        <v>21.354429814772359</v>
      </c>
      <c r="X223" s="10" t="s">
        <v>902</v>
      </c>
      <c r="Y223" s="10">
        <v>2.2333333333333329</v>
      </c>
      <c r="Z223" s="10">
        <v>2.8666666666666667</v>
      </c>
      <c r="AA223" s="20" t="s">
        <v>686</v>
      </c>
      <c r="AB223" s="7">
        <v>1408.7</v>
      </c>
      <c r="AC223" s="7">
        <v>202.6</v>
      </c>
      <c r="AD223" s="7">
        <v>0.14382054376375381</v>
      </c>
      <c r="AE223" s="7" t="s">
        <v>3</v>
      </c>
      <c r="AF223" s="20" t="s">
        <v>27</v>
      </c>
      <c r="AG223" s="11" t="s">
        <v>1</v>
      </c>
      <c r="AH223" s="7" t="s">
        <v>1307</v>
      </c>
    </row>
    <row r="224" spans="1:34" s="7" customFormat="1" ht="16.5" customHeight="1">
      <c r="A224" s="7">
        <v>2012</v>
      </c>
      <c r="B224" s="12">
        <v>41101</v>
      </c>
      <c r="C224" s="7" t="s">
        <v>22</v>
      </c>
      <c r="D224" s="9" t="s">
        <v>6</v>
      </c>
      <c r="E224" s="9" t="s">
        <v>13</v>
      </c>
      <c r="F224" s="9" t="s">
        <v>25</v>
      </c>
      <c r="G224" s="7" t="s">
        <v>902</v>
      </c>
      <c r="H224" s="7" t="s">
        <v>903</v>
      </c>
      <c r="I224" s="124" t="s">
        <v>902</v>
      </c>
      <c r="J224" s="7">
        <v>17</v>
      </c>
      <c r="K224" s="124" t="s">
        <v>689</v>
      </c>
      <c r="L224" s="20" t="s">
        <v>908</v>
      </c>
      <c r="M224" s="16">
        <v>92.28753662109375</v>
      </c>
      <c r="N224" s="16">
        <v>22.125803811209543</v>
      </c>
      <c r="O224" s="16">
        <v>361.35293724423366</v>
      </c>
      <c r="P224" s="16">
        <v>15.477393740699405</v>
      </c>
      <c r="Q224" s="147">
        <v>540.18247186569943</v>
      </c>
      <c r="R224" s="147">
        <v>117.8101806640625</v>
      </c>
      <c r="S224" s="10">
        <v>0.80953236809121987</v>
      </c>
      <c r="T224" s="10">
        <v>-9.2979916786444576</v>
      </c>
      <c r="U224" s="16">
        <v>7.9819266827075519E-2</v>
      </c>
      <c r="V224" s="16">
        <v>12.67553871322653</v>
      </c>
      <c r="W224" s="10">
        <v>21.973530391870987</v>
      </c>
      <c r="X224" s="10" t="s">
        <v>902</v>
      </c>
      <c r="Y224" s="10">
        <v>2.2333333333333329</v>
      </c>
      <c r="Z224" s="10">
        <v>2.8666666666666667</v>
      </c>
      <c r="AA224" s="20" t="s">
        <v>688</v>
      </c>
      <c r="AB224" s="7">
        <v>1425.8</v>
      </c>
      <c r="AC224" s="7">
        <v>219.7</v>
      </c>
      <c r="AD224" s="7">
        <v>0.15408893252910646</v>
      </c>
      <c r="AE224" s="7" t="s">
        <v>3</v>
      </c>
      <c r="AF224" s="20" t="s">
        <v>27</v>
      </c>
      <c r="AG224" s="11" t="s">
        <v>1</v>
      </c>
      <c r="AH224" s="7" t="s">
        <v>1307</v>
      </c>
    </row>
    <row r="225" spans="1:34" s="7" customFormat="1" ht="16.5" customHeight="1">
      <c r="A225" s="7">
        <v>2012</v>
      </c>
      <c r="B225" s="12">
        <v>41101</v>
      </c>
      <c r="C225" s="7" t="s">
        <v>22</v>
      </c>
      <c r="D225" s="9" t="s">
        <v>6</v>
      </c>
      <c r="E225" s="9" t="s">
        <v>13</v>
      </c>
      <c r="F225" s="9" t="s">
        <v>25</v>
      </c>
      <c r="G225" s="7" t="s">
        <v>902</v>
      </c>
      <c r="H225" s="7" t="s">
        <v>903</v>
      </c>
      <c r="I225" s="124" t="s">
        <v>902</v>
      </c>
      <c r="J225" s="7">
        <v>18</v>
      </c>
      <c r="K225" s="124" t="s">
        <v>691</v>
      </c>
      <c r="L225" s="20" t="s">
        <v>908</v>
      </c>
      <c r="M225" s="16">
        <v>92.286503038908307</v>
      </c>
      <c r="N225" s="16">
        <v>22.549219733790348</v>
      </c>
      <c r="O225" s="16">
        <v>361.38940750925167</v>
      </c>
      <c r="P225" s="16">
        <v>15.159264263353849</v>
      </c>
      <c r="Q225" s="147">
        <v>550.38520250822364</v>
      </c>
      <c r="R225" s="147">
        <v>50.2935791015625</v>
      </c>
      <c r="S225" s="10">
        <v>0.80953236809121987</v>
      </c>
      <c r="T225" s="10">
        <v>-11.654761056684453</v>
      </c>
      <c r="U225" s="16">
        <v>7.4274188593814267E-2</v>
      </c>
      <c r="V225" s="16">
        <v>12.67553871322653</v>
      </c>
      <c r="W225" s="10">
        <v>24.330299769910983</v>
      </c>
      <c r="X225" s="10" t="s">
        <v>902</v>
      </c>
      <c r="Y225" s="10">
        <v>2.2333333333333329</v>
      </c>
      <c r="Z225" s="10">
        <v>2.8666666666666667</v>
      </c>
      <c r="AA225" s="20" t="s">
        <v>690</v>
      </c>
      <c r="AB225" s="7">
        <v>1413.6</v>
      </c>
      <c r="AC225" s="7">
        <v>210</v>
      </c>
      <c r="AD225" s="7">
        <v>0.14855687606112056</v>
      </c>
      <c r="AE225" s="7" t="s">
        <v>3</v>
      </c>
      <c r="AF225" s="20" t="s">
        <v>27</v>
      </c>
      <c r="AG225" s="11" t="s">
        <v>1</v>
      </c>
      <c r="AH225" s="7" t="s">
        <v>1307</v>
      </c>
    </row>
    <row r="226" spans="1:34" s="7" customFormat="1" ht="16.5" customHeight="1">
      <c r="A226" s="7">
        <v>2012</v>
      </c>
      <c r="B226" s="12">
        <v>41101</v>
      </c>
      <c r="C226" s="7" t="s">
        <v>22</v>
      </c>
      <c r="D226" s="9" t="s">
        <v>6</v>
      </c>
      <c r="E226" s="9" t="s">
        <v>13</v>
      </c>
      <c r="F226" s="9" t="s">
        <v>25</v>
      </c>
      <c r="G226" s="7" t="s">
        <v>902</v>
      </c>
      <c r="H226" s="7" t="s">
        <v>903</v>
      </c>
      <c r="I226" s="124" t="s">
        <v>902</v>
      </c>
      <c r="J226" s="7">
        <v>33</v>
      </c>
      <c r="K226" s="124" t="s">
        <v>721</v>
      </c>
      <c r="L226" s="20" t="s">
        <v>74</v>
      </c>
      <c r="M226" s="16">
        <v>92.293425369262692</v>
      </c>
      <c r="N226" s="16">
        <v>20.887285900115966</v>
      </c>
      <c r="O226" s="16">
        <v>371.00230407714844</v>
      </c>
      <c r="P226" s="16">
        <v>15.84062705039978</v>
      </c>
      <c r="Q226" s="147">
        <v>566.36820983886719</v>
      </c>
      <c r="R226" s="147">
        <v>3.14337158203125</v>
      </c>
      <c r="S226" s="10">
        <v>0.80953236809121987</v>
      </c>
      <c r="T226" s="10">
        <v>-10.788326922618989</v>
      </c>
      <c r="U226" s="16">
        <v>7.9181328034938728E-2</v>
      </c>
      <c r="V226" s="16">
        <v>12.67553871322653</v>
      </c>
      <c r="W226" s="10">
        <v>23.463865635845519</v>
      </c>
      <c r="X226" s="10" t="s">
        <v>902</v>
      </c>
      <c r="Y226" s="10">
        <v>2.2333333333333329</v>
      </c>
      <c r="Z226" s="10">
        <v>2.8666666666666667</v>
      </c>
      <c r="AA226" s="20" t="s">
        <v>720</v>
      </c>
      <c r="AB226" s="7">
        <v>1203.5999999999999</v>
      </c>
      <c r="AC226" s="7">
        <v>189.2</v>
      </c>
      <c r="AD226" s="7">
        <v>0.15719508142239946</v>
      </c>
      <c r="AE226" s="7" t="s">
        <v>3</v>
      </c>
      <c r="AF226" s="20" t="s">
        <v>27</v>
      </c>
      <c r="AG226" s="11" t="s">
        <v>864</v>
      </c>
      <c r="AH226" s="7" t="s">
        <v>1307</v>
      </c>
    </row>
    <row r="227" spans="1:34" s="7" customFormat="1" ht="16.5" customHeight="1">
      <c r="A227" s="7">
        <v>2012</v>
      </c>
      <c r="B227" s="12">
        <v>41101</v>
      </c>
      <c r="C227" s="7" t="s">
        <v>22</v>
      </c>
      <c r="D227" s="9" t="s">
        <v>6</v>
      </c>
      <c r="E227" s="9" t="s">
        <v>13</v>
      </c>
      <c r="F227" s="9" t="s">
        <v>25</v>
      </c>
      <c r="G227" s="7" t="s">
        <v>902</v>
      </c>
      <c r="H227" s="7" t="s">
        <v>903</v>
      </c>
      <c r="I227" s="124" t="s">
        <v>902</v>
      </c>
      <c r="J227" s="7">
        <v>34</v>
      </c>
      <c r="K227" s="124" t="s">
        <v>723</v>
      </c>
      <c r="L227" s="20" t="s">
        <v>74</v>
      </c>
      <c r="M227" s="16">
        <v>92.292628818088104</v>
      </c>
      <c r="N227" s="16">
        <v>21.405792660183376</v>
      </c>
      <c r="O227" s="16">
        <v>364.56316799587671</v>
      </c>
      <c r="P227" s="16">
        <v>16.560559007856583</v>
      </c>
      <c r="Q227" s="147">
        <v>595.04367065429687</v>
      </c>
      <c r="R227" s="147">
        <v>1.697509765625</v>
      </c>
      <c r="S227" s="10">
        <v>0.80953236809121987</v>
      </c>
      <c r="T227" s="10">
        <v>-10.642878843568061</v>
      </c>
      <c r="U227" s="16">
        <v>7.6076487392586947E-2</v>
      </c>
      <c r="V227" s="16">
        <v>12.67553871322653</v>
      </c>
      <c r="W227" s="10">
        <v>23.318417556794593</v>
      </c>
      <c r="X227" s="10" t="s">
        <v>902</v>
      </c>
      <c r="Y227" s="10">
        <v>2.2333333333333329</v>
      </c>
      <c r="Z227" s="10">
        <v>2.8666666666666667</v>
      </c>
      <c r="AA227" s="20" t="s">
        <v>722</v>
      </c>
      <c r="AB227" s="7">
        <v>1208.5</v>
      </c>
      <c r="AC227" s="7">
        <v>188</v>
      </c>
      <c r="AD227" s="7">
        <v>0.15556474968969797</v>
      </c>
      <c r="AE227" s="7" t="s">
        <v>3</v>
      </c>
      <c r="AF227" s="20" t="s">
        <v>27</v>
      </c>
      <c r="AG227" s="11" t="s">
        <v>864</v>
      </c>
      <c r="AH227" s="7" t="s">
        <v>1307</v>
      </c>
    </row>
    <row r="228" spans="1:34" s="7" customFormat="1" ht="16.5" customHeight="1">
      <c r="A228" s="7">
        <v>2012</v>
      </c>
      <c r="B228" s="12">
        <v>41101</v>
      </c>
      <c r="C228" s="7" t="s">
        <v>22</v>
      </c>
      <c r="D228" s="9" t="s">
        <v>6</v>
      </c>
      <c r="E228" s="9" t="s">
        <v>13</v>
      </c>
      <c r="F228" s="9" t="s">
        <v>25</v>
      </c>
      <c r="G228" s="7" t="s">
        <v>902</v>
      </c>
      <c r="H228" s="7" t="s">
        <v>903</v>
      </c>
      <c r="I228" s="124" t="s">
        <v>902</v>
      </c>
      <c r="J228" s="7">
        <v>35</v>
      </c>
      <c r="K228" s="124" t="s">
        <v>725</v>
      </c>
      <c r="L228" s="20" t="s">
        <v>74</v>
      </c>
      <c r="M228" s="16">
        <v>92.295053270128037</v>
      </c>
      <c r="N228" s="16">
        <v>22.167796876695419</v>
      </c>
      <c r="O228" s="16">
        <v>357.70182630750867</v>
      </c>
      <c r="P228" s="16">
        <v>19.570778528849285</v>
      </c>
      <c r="Q228" s="147">
        <v>616.22820027669275</v>
      </c>
      <c r="R228" s="147">
        <v>1.40069580078125</v>
      </c>
      <c r="S228" s="10">
        <v>0.80953236809121987</v>
      </c>
      <c r="T228" s="10">
        <v>-5.4617906314121143</v>
      </c>
      <c r="U228" s="16">
        <v>5.03634068003872E-2</v>
      </c>
      <c r="V228" s="16">
        <v>12.67553871322653</v>
      </c>
      <c r="W228" s="10">
        <v>18.137329344638644</v>
      </c>
      <c r="X228" s="10" t="s">
        <v>902</v>
      </c>
      <c r="Y228" s="10">
        <v>2.2333333333333329</v>
      </c>
      <c r="Z228" s="10">
        <v>2.8666666666666667</v>
      </c>
      <c r="AA228" s="20" t="s">
        <v>724</v>
      </c>
      <c r="AB228" s="7">
        <v>1196.3</v>
      </c>
      <c r="AC228" s="7">
        <v>190.4</v>
      </c>
      <c r="AD228" s="7">
        <v>0.15915740198946754</v>
      </c>
      <c r="AE228" s="7" t="s">
        <v>3</v>
      </c>
      <c r="AF228" s="20" t="s">
        <v>27</v>
      </c>
      <c r="AG228" s="11" t="s">
        <v>864</v>
      </c>
      <c r="AH228" s="7" t="s">
        <v>1307</v>
      </c>
    </row>
    <row r="229" spans="1:34" s="7" customFormat="1" ht="16.5" customHeight="1">
      <c r="A229" s="7">
        <v>2012</v>
      </c>
      <c r="B229" s="12">
        <v>41101</v>
      </c>
      <c r="C229" s="7" t="s">
        <v>22</v>
      </c>
      <c r="D229" s="9" t="s">
        <v>6</v>
      </c>
      <c r="E229" s="9" t="s">
        <v>13</v>
      </c>
      <c r="F229" s="9" t="s">
        <v>25</v>
      </c>
      <c r="G229" s="7" t="s">
        <v>902</v>
      </c>
      <c r="H229" s="7" t="s">
        <v>903</v>
      </c>
      <c r="I229" s="124" t="s">
        <v>902</v>
      </c>
      <c r="J229" s="7">
        <v>36</v>
      </c>
      <c r="K229" s="124" t="s">
        <v>727</v>
      </c>
      <c r="L229" s="20" t="s">
        <v>909</v>
      </c>
      <c r="M229" s="16">
        <v>92.283652085524338</v>
      </c>
      <c r="N229" s="16">
        <v>26.927494635948769</v>
      </c>
      <c r="O229" s="16">
        <v>362.56328641451324</v>
      </c>
      <c r="P229" s="16">
        <v>25.147223252516525</v>
      </c>
      <c r="Q229" s="147">
        <v>643.24363356370191</v>
      </c>
      <c r="R229" s="147">
        <v>4.197021484375</v>
      </c>
      <c r="S229" s="10">
        <v>0.80953236809121987</v>
      </c>
      <c r="T229" s="10">
        <v>-3.1593297535882758</v>
      </c>
      <c r="U229" s="16">
        <v>5.5716828985528634E-2</v>
      </c>
      <c r="V229" s="16">
        <v>12.67553871322653</v>
      </c>
      <c r="W229" s="10">
        <v>15.834868466814806</v>
      </c>
      <c r="X229" s="10" t="s">
        <v>902</v>
      </c>
      <c r="Y229" s="10">
        <v>2.2333333333333329</v>
      </c>
      <c r="Z229" s="10">
        <v>2.8666666666666667</v>
      </c>
      <c r="AA229" s="20" t="s">
        <v>726</v>
      </c>
      <c r="AB229" s="7">
        <v>1508.8</v>
      </c>
      <c r="AC229" s="7">
        <v>219.7</v>
      </c>
      <c r="AD229" s="7">
        <v>0.14561240721102864</v>
      </c>
      <c r="AE229" s="7" t="s">
        <v>3</v>
      </c>
      <c r="AF229" s="20" t="s">
        <v>27</v>
      </c>
      <c r="AG229" s="11" t="s">
        <v>864</v>
      </c>
      <c r="AH229" s="7" t="s">
        <v>1320</v>
      </c>
    </row>
    <row r="230" spans="1:34" s="7" customFormat="1" ht="16.5" customHeight="1">
      <c r="A230" s="7">
        <v>2012</v>
      </c>
      <c r="B230" s="12">
        <v>41101</v>
      </c>
      <c r="C230" s="7" t="s">
        <v>22</v>
      </c>
      <c r="D230" s="9" t="s">
        <v>6</v>
      </c>
      <c r="E230" s="9" t="s">
        <v>13</v>
      </c>
      <c r="F230" s="9" t="s">
        <v>25</v>
      </c>
      <c r="G230" s="7" t="s">
        <v>902</v>
      </c>
      <c r="H230" s="7" t="s">
        <v>903</v>
      </c>
      <c r="I230" s="124" t="s">
        <v>902</v>
      </c>
      <c r="J230" s="7">
        <v>37</v>
      </c>
      <c r="K230" s="124" t="s">
        <v>729</v>
      </c>
      <c r="L230" s="20" t="s">
        <v>74</v>
      </c>
      <c r="M230" s="16">
        <v>92.283090591430664</v>
      </c>
      <c r="N230" s="16">
        <v>27.202068567276001</v>
      </c>
      <c r="O230" s="16">
        <v>363.51003837585449</v>
      </c>
      <c r="P230" s="16">
        <v>25.083503484725952</v>
      </c>
      <c r="Q230" s="147">
        <v>775.90493011474609</v>
      </c>
      <c r="R230" s="147">
        <v>4.957763671875</v>
      </c>
      <c r="S230" s="10">
        <v>0.80953236809121987</v>
      </c>
      <c r="T230" s="10">
        <v>-5.0272374757948493</v>
      </c>
      <c r="U230" s="16">
        <v>7.8710595299215882E-2</v>
      </c>
      <c r="V230" s="16">
        <v>12.67553871322653</v>
      </c>
      <c r="W230" s="10">
        <v>17.702776189021378</v>
      </c>
      <c r="X230" s="10" t="s">
        <v>902</v>
      </c>
      <c r="Y230" s="10">
        <v>2.2333333333333329</v>
      </c>
      <c r="Z230" s="10">
        <v>2.8666666666666667</v>
      </c>
      <c r="AA230" s="20" t="s">
        <v>728</v>
      </c>
      <c r="AB230" s="7">
        <v>1516.1</v>
      </c>
      <c r="AC230" s="7">
        <v>216.1</v>
      </c>
      <c r="AD230" s="7">
        <v>0.14253677198074005</v>
      </c>
      <c r="AE230" s="7" t="s">
        <v>3</v>
      </c>
      <c r="AF230" s="20" t="s">
        <v>27</v>
      </c>
      <c r="AG230" s="11" t="s">
        <v>864</v>
      </c>
      <c r="AH230" s="7" t="s">
        <v>1321</v>
      </c>
    </row>
    <row r="231" spans="1:34" s="7" customFormat="1" ht="16.5" customHeight="1">
      <c r="A231" s="7">
        <v>2012</v>
      </c>
      <c r="B231" s="12">
        <v>41101</v>
      </c>
      <c r="C231" s="7" t="s">
        <v>22</v>
      </c>
      <c r="D231" s="9" t="s">
        <v>6</v>
      </c>
      <c r="E231" s="9" t="s">
        <v>13</v>
      </c>
      <c r="F231" s="9" t="s">
        <v>25</v>
      </c>
      <c r="G231" s="7" t="s">
        <v>902</v>
      </c>
      <c r="H231" s="7" t="s">
        <v>903</v>
      </c>
      <c r="I231" s="124" t="s">
        <v>902</v>
      </c>
      <c r="J231" s="7">
        <v>38</v>
      </c>
      <c r="K231" s="124" t="s">
        <v>731</v>
      </c>
      <c r="L231" s="20" t="s">
        <v>74</v>
      </c>
      <c r="M231" s="16">
        <v>92.278454051298255</v>
      </c>
      <c r="N231" s="16">
        <v>27.013959323658664</v>
      </c>
      <c r="O231" s="16">
        <v>366.38639203239887</v>
      </c>
      <c r="P231" s="16">
        <v>20.802686915678137</v>
      </c>
      <c r="Q231" s="147">
        <v>824.84799014820771</v>
      </c>
      <c r="R231" s="147">
        <v>7.4317626953125</v>
      </c>
      <c r="S231" s="10">
        <v>0.80953236809121987</v>
      </c>
      <c r="T231" s="10">
        <v>-5.1752123841364108</v>
      </c>
      <c r="U231" s="16">
        <v>0.10048508410360299</v>
      </c>
      <c r="V231" s="16">
        <v>12.67553871322653</v>
      </c>
      <c r="W231" s="10">
        <v>17.850751097362942</v>
      </c>
      <c r="X231" s="10" t="s">
        <v>902</v>
      </c>
      <c r="Y231" s="10">
        <v>2.2333333333333329</v>
      </c>
      <c r="Z231" s="10">
        <v>2.8666666666666667</v>
      </c>
      <c r="AA231" s="20" t="s">
        <v>730</v>
      </c>
      <c r="AB231" s="7">
        <v>1518.6</v>
      </c>
      <c r="AC231" s="7">
        <v>207.5</v>
      </c>
      <c r="AD231" s="7">
        <v>0.13663900961411826</v>
      </c>
      <c r="AE231" s="7" t="s">
        <v>3</v>
      </c>
      <c r="AF231" s="20" t="s">
        <v>27</v>
      </c>
      <c r="AG231" s="11" t="s">
        <v>864</v>
      </c>
      <c r="AH231" s="7" t="s">
        <v>1322</v>
      </c>
    </row>
    <row r="232" spans="1:34" s="7" customFormat="1" ht="16.5" customHeight="1">
      <c r="A232" s="7">
        <v>2012</v>
      </c>
      <c r="B232" s="12">
        <v>41101</v>
      </c>
      <c r="C232" s="7" t="s">
        <v>22</v>
      </c>
      <c r="D232" s="9" t="s">
        <v>6</v>
      </c>
      <c r="E232" s="9" t="s">
        <v>13</v>
      </c>
      <c r="F232" s="9" t="s">
        <v>25</v>
      </c>
      <c r="G232" s="7" t="s">
        <v>902</v>
      </c>
      <c r="H232" s="7" t="s">
        <v>903</v>
      </c>
      <c r="I232" s="124" t="s">
        <v>902</v>
      </c>
      <c r="J232" s="7">
        <v>39</v>
      </c>
      <c r="K232" s="124" t="s">
        <v>733</v>
      </c>
      <c r="L232" s="20" t="s">
        <v>74</v>
      </c>
      <c r="M232" s="16">
        <v>92.273986392550995</v>
      </c>
      <c r="N232" s="16">
        <v>26.453272077772354</v>
      </c>
      <c r="O232" s="16">
        <v>373.21783108181421</v>
      </c>
      <c r="P232" s="16">
        <v>20.363938861423069</v>
      </c>
      <c r="Q232" s="147">
        <v>831.000966389974</v>
      </c>
      <c r="R232" s="147">
        <v>2.60711669921875</v>
      </c>
      <c r="S232" s="10">
        <v>0.80953236809121987</v>
      </c>
      <c r="T232" s="10">
        <v>-7.5191683107121854</v>
      </c>
      <c r="U232" s="16">
        <v>9.6608129448196842E-2</v>
      </c>
      <c r="V232" s="16">
        <v>12.67553871322653</v>
      </c>
      <c r="W232" s="10">
        <v>20.194707023938715</v>
      </c>
      <c r="X232" s="10" t="s">
        <v>902</v>
      </c>
      <c r="Y232" s="10">
        <v>2.2333333333333329</v>
      </c>
      <c r="Z232" s="10">
        <v>2.8666666666666667</v>
      </c>
      <c r="AA232" s="20" t="s">
        <v>732</v>
      </c>
      <c r="AB232" s="7">
        <v>1518.6</v>
      </c>
      <c r="AC232" s="7">
        <v>205.1</v>
      </c>
      <c r="AD232" s="7">
        <v>0.13505860661135258</v>
      </c>
      <c r="AE232" s="7" t="s">
        <v>3</v>
      </c>
      <c r="AF232" s="20" t="s">
        <v>27</v>
      </c>
      <c r="AG232" s="11" t="s">
        <v>864</v>
      </c>
      <c r="AH232" s="7" t="s">
        <v>1307</v>
      </c>
    </row>
    <row r="233" spans="1:34" s="7" customFormat="1" ht="16.5" customHeight="1">
      <c r="A233" s="7">
        <v>2012</v>
      </c>
      <c r="B233" s="12">
        <v>41101</v>
      </c>
      <c r="C233" s="7" t="s">
        <v>22</v>
      </c>
      <c r="D233" s="9" t="s">
        <v>6</v>
      </c>
      <c r="E233" s="9" t="s">
        <v>13</v>
      </c>
      <c r="F233" s="9" t="s">
        <v>25</v>
      </c>
      <c r="G233" s="7" t="s">
        <v>902</v>
      </c>
      <c r="H233" s="7" t="s">
        <v>903</v>
      </c>
      <c r="I233" s="124" t="s">
        <v>902</v>
      </c>
      <c r="J233" s="7">
        <v>40</v>
      </c>
      <c r="K233" s="124" t="s">
        <v>735</v>
      </c>
      <c r="L233" s="20" t="s">
        <v>74</v>
      </c>
      <c r="M233" s="16">
        <v>92.274656677246099</v>
      </c>
      <c r="N233" s="16">
        <v>26.088969135284422</v>
      </c>
      <c r="O233" s="16">
        <v>365.01847381591796</v>
      </c>
      <c r="P233" s="16">
        <v>17.45854034423828</v>
      </c>
      <c r="Q233" s="147">
        <v>833.42219848632817</v>
      </c>
      <c r="R233" s="147">
        <v>7.99798583984375</v>
      </c>
      <c r="S233" s="10">
        <v>0.80953236809121987</v>
      </c>
      <c r="T233" s="10">
        <v>-8.5898795178758096</v>
      </c>
      <c r="U233" s="16">
        <v>0.1015627660249409</v>
      </c>
      <c r="V233" s="16">
        <v>12.67553871322653</v>
      </c>
      <c r="W233" s="10">
        <v>21.265418231102338</v>
      </c>
      <c r="X233" s="10" t="s">
        <v>902</v>
      </c>
      <c r="Y233" s="10">
        <v>2.2333333333333329</v>
      </c>
      <c r="Z233" s="10">
        <v>2.8666666666666667</v>
      </c>
      <c r="AA233" s="20" t="s">
        <v>734</v>
      </c>
      <c r="AB233" s="7">
        <v>1523.4</v>
      </c>
      <c r="AC233" s="7">
        <v>205.1</v>
      </c>
      <c r="AD233" s="7">
        <v>0.13463305763423919</v>
      </c>
      <c r="AE233" s="7" t="s">
        <v>3</v>
      </c>
      <c r="AF233" s="20" t="s">
        <v>27</v>
      </c>
      <c r="AG233" s="11" t="s">
        <v>864</v>
      </c>
      <c r="AH233" s="7" t="s">
        <v>1307</v>
      </c>
    </row>
    <row r="234" spans="1:34" s="7" customFormat="1" ht="16.5" customHeight="1">
      <c r="A234" s="7">
        <v>2012</v>
      </c>
      <c r="B234" s="12">
        <v>41101</v>
      </c>
      <c r="C234" s="7" t="s">
        <v>22</v>
      </c>
      <c r="D234" s="9" t="s">
        <v>6</v>
      </c>
      <c r="E234" s="9" t="s">
        <v>13</v>
      </c>
      <c r="F234" s="9" t="s">
        <v>25</v>
      </c>
      <c r="G234" s="7" t="s">
        <v>902</v>
      </c>
      <c r="H234" s="7" t="s">
        <v>903</v>
      </c>
      <c r="I234" s="124" t="s">
        <v>902</v>
      </c>
      <c r="J234" s="7">
        <v>41</v>
      </c>
      <c r="K234" s="124" t="s">
        <v>737</v>
      </c>
      <c r="L234" s="20" t="s">
        <v>909</v>
      </c>
      <c r="M234" s="16">
        <v>92.291858897489661</v>
      </c>
      <c r="N234" s="16">
        <v>24.483742657829733</v>
      </c>
      <c r="O234" s="16">
        <v>367.39344877355239</v>
      </c>
      <c r="P234" s="16">
        <v>18.203760932473575</v>
      </c>
      <c r="Q234" s="147">
        <v>1020.8452220243566</v>
      </c>
      <c r="R234" s="147">
        <v>7.1334228515625</v>
      </c>
      <c r="S234" s="10">
        <v>0.80953236809121987</v>
      </c>
      <c r="T234" s="10">
        <v>-14.893154663904681</v>
      </c>
      <c r="U234" s="16">
        <v>7.9064885775248228E-2</v>
      </c>
      <c r="V234" s="16">
        <v>12.67553871322653</v>
      </c>
      <c r="W234" s="10">
        <v>27.568693377131211</v>
      </c>
      <c r="X234" s="10" t="s">
        <v>902</v>
      </c>
      <c r="Y234" s="10">
        <v>2.2333333333333329</v>
      </c>
      <c r="Z234" s="10">
        <v>2.8666666666666667</v>
      </c>
      <c r="AA234" s="20" t="s">
        <v>736</v>
      </c>
      <c r="AB234" s="7">
        <v>1167.96</v>
      </c>
      <c r="AC234" s="7">
        <v>195.8</v>
      </c>
      <c r="AD234" s="7">
        <v>0.16764798861620603</v>
      </c>
      <c r="AE234" s="7" t="s">
        <v>3</v>
      </c>
      <c r="AF234" s="20" t="s">
        <v>27</v>
      </c>
      <c r="AG234" s="11" t="s">
        <v>864</v>
      </c>
      <c r="AH234" s="7" t="s">
        <v>1307</v>
      </c>
    </row>
    <row r="235" spans="1:34" s="7" customFormat="1" ht="16.5" customHeight="1">
      <c r="A235" s="7">
        <v>2012</v>
      </c>
      <c r="B235" s="12">
        <v>41101</v>
      </c>
      <c r="C235" s="7" t="s">
        <v>22</v>
      </c>
      <c r="D235" s="9" t="s">
        <v>6</v>
      </c>
      <c r="E235" s="9" t="s">
        <v>13</v>
      </c>
      <c r="F235" s="9" t="s">
        <v>25</v>
      </c>
      <c r="G235" s="7" t="s">
        <v>902</v>
      </c>
      <c r="H235" s="7" t="s">
        <v>903</v>
      </c>
      <c r="I235" s="124" t="s">
        <v>902</v>
      </c>
      <c r="J235" s="7">
        <v>42</v>
      </c>
      <c r="K235" s="124" t="s">
        <v>739</v>
      </c>
      <c r="L235" s="20" t="s">
        <v>909</v>
      </c>
      <c r="M235" s="16">
        <v>92.291310882568354</v>
      </c>
      <c r="N235" s="16">
        <v>25.973469638824461</v>
      </c>
      <c r="O235" s="16">
        <v>354.05332489013671</v>
      </c>
      <c r="P235" s="16">
        <v>21.276781272888183</v>
      </c>
      <c r="Q235" s="147">
        <v>1037.6200073242187</v>
      </c>
      <c r="R235" s="147">
        <v>9.24169921875</v>
      </c>
      <c r="S235" s="10">
        <v>0.80953236809121987</v>
      </c>
      <c r="T235" s="10">
        <v>-12.577721871135379</v>
      </c>
      <c r="U235" s="16">
        <v>6.9878370242011281E-2</v>
      </c>
      <c r="V235" s="16">
        <v>12.67553871322653</v>
      </c>
      <c r="W235" s="10">
        <v>25.253260584361911</v>
      </c>
      <c r="X235" s="10" t="s">
        <v>902</v>
      </c>
      <c r="Y235" s="10">
        <v>2.2333333333333329</v>
      </c>
      <c r="Z235" s="10">
        <v>2.8666666666666667</v>
      </c>
      <c r="AA235" s="20" t="s">
        <v>738</v>
      </c>
      <c r="AB235" s="7">
        <v>1167.96</v>
      </c>
      <c r="AC235" s="7">
        <v>195.8</v>
      </c>
      <c r="AD235" s="7">
        <v>0.16764798861620603</v>
      </c>
      <c r="AE235" s="7" t="s">
        <v>3</v>
      </c>
      <c r="AF235" s="20" t="s">
        <v>27</v>
      </c>
      <c r="AG235" s="11" t="s">
        <v>864</v>
      </c>
      <c r="AH235" s="7" t="s">
        <v>1307</v>
      </c>
    </row>
    <row r="236" spans="1:34" s="7" customFormat="1" ht="16.5" customHeight="1">
      <c r="A236" s="7">
        <v>2012</v>
      </c>
      <c r="B236" s="12">
        <v>41101</v>
      </c>
      <c r="C236" s="7" t="s">
        <v>22</v>
      </c>
      <c r="D236" s="9" t="s">
        <v>6</v>
      </c>
      <c r="E236" s="9" t="s">
        <v>13</v>
      </c>
      <c r="F236" s="9" t="s">
        <v>25</v>
      </c>
      <c r="G236" s="7" t="s">
        <v>902</v>
      </c>
      <c r="H236" s="7" t="s">
        <v>903</v>
      </c>
      <c r="I236" s="124" t="s">
        <v>902</v>
      </c>
      <c r="J236" s="7">
        <v>43</v>
      </c>
      <c r="K236" s="124" t="s">
        <v>741</v>
      </c>
      <c r="L236" s="20" t="s">
        <v>909</v>
      </c>
      <c r="M236" s="16">
        <v>92.29334983825683</v>
      </c>
      <c r="N236" s="16">
        <v>22.291512012481689</v>
      </c>
      <c r="O236" s="16">
        <v>361.05804290771482</v>
      </c>
      <c r="P236" s="16">
        <v>16.938565540313721</v>
      </c>
      <c r="Q236" s="147">
        <v>1044.6559326171875</v>
      </c>
      <c r="R236" s="147">
        <v>6.719970703125</v>
      </c>
      <c r="S236" s="10">
        <v>0.80953236809121987</v>
      </c>
      <c r="T236" s="10">
        <v>-13.777493706214788</v>
      </c>
      <c r="U236" s="16">
        <v>8.6239656290613614E-2</v>
      </c>
      <c r="V236" s="16">
        <v>12.67553871322653</v>
      </c>
      <c r="W236" s="10">
        <v>26.453032419441318</v>
      </c>
      <c r="X236" s="10" t="s">
        <v>902</v>
      </c>
      <c r="Y236" s="10">
        <v>2.2333333333333329</v>
      </c>
      <c r="Z236" s="10">
        <v>2.8666666666666667</v>
      </c>
      <c r="AA236" s="20" t="s">
        <v>740</v>
      </c>
      <c r="AB236" s="7">
        <v>1162.0999999999999</v>
      </c>
      <c r="AC236" s="7">
        <v>197.8</v>
      </c>
      <c r="AD236" s="7">
        <v>0.1702091042078995</v>
      </c>
      <c r="AE236" s="7" t="s">
        <v>3</v>
      </c>
      <c r="AF236" s="20" t="s">
        <v>27</v>
      </c>
      <c r="AG236" s="11" t="s">
        <v>864</v>
      </c>
      <c r="AH236" s="7" t="s">
        <v>1307</v>
      </c>
    </row>
    <row r="237" spans="1:34" s="7" customFormat="1" ht="16.5" customHeight="1">
      <c r="A237" s="7">
        <v>2012</v>
      </c>
      <c r="B237" s="12">
        <v>41101</v>
      </c>
      <c r="C237" s="7" t="s">
        <v>22</v>
      </c>
      <c r="D237" s="9" t="s">
        <v>6</v>
      </c>
      <c r="E237" s="9" t="s">
        <v>13</v>
      </c>
      <c r="F237" s="9" t="s">
        <v>25</v>
      </c>
      <c r="G237" s="7" t="s">
        <v>902</v>
      </c>
      <c r="H237" s="7" t="s">
        <v>903</v>
      </c>
      <c r="I237" s="124" t="s">
        <v>902</v>
      </c>
      <c r="J237" s="7">
        <v>44</v>
      </c>
      <c r="K237" s="124" t="s">
        <v>743</v>
      </c>
      <c r="L237" s="20" t="s">
        <v>909</v>
      </c>
      <c r="M237" s="16">
        <v>92.297352218627935</v>
      </c>
      <c r="N237" s="16">
        <v>22.363641834259035</v>
      </c>
      <c r="O237" s="16">
        <v>360.00580749511721</v>
      </c>
      <c r="P237" s="16">
        <v>17.777511501312254</v>
      </c>
      <c r="Q237" s="147">
        <v>1105.605517578125</v>
      </c>
      <c r="R237" s="147">
        <v>4.4716796875</v>
      </c>
      <c r="S237" s="10">
        <v>0.80953236809121987</v>
      </c>
      <c r="T237" s="10">
        <v>-11.552577431872317</v>
      </c>
      <c r="U237" s="16">
        <v>8.5229018218535235E-2</v>
      </c>
      <c r="V237" s="16">
        <v>12.67553871322653</v>
      </c>
      <c r="W237" s="10">
        <v>24.228116145098845</v>
      </c>
      <c r="X237" s="10" t="s">
        <v>902</v>
      </c>
      <c r="Y237" s="10">
        <v>2.2333333333333329</v>
      </c>
      <c r="Z237" s="10">
        <v>2.8666666666666667</v>
      </c>
      <c r="AA237" s="20" t="s">
        <v>742</v>
      </c>
      <c r="AB237" s="7">
        <v>1213.4000000000001</v>
      </c>
      <c r="AC237" s="7">
        <v>190.4</v>
      </c>
      <c r="AD237" s="7">
        <v>0.15691445524971154</v>
      </c>
      <c r="AE237" s="7" t="s">
        <v>3</v>
      </c>
      <c r="AF237" s="20" t="s">
        <v>27</v>
      </c>
      <c r="AG237" s="11" t="s">
        <v>864</v>
      </c>
      <c r="AH237" s="7" t="s">
        <v>1307</v>
      </c>
    </row>
    <row r="238" spans="1:34" s="7" customFormat="1" ht="16.5" customHeight="1">
      <c r="A238" s="7">
        <v>2012</v>
      </c>
      <c r="B238" s="12">
        <v>41101</v>
      </c>
      <c r="C238" s="7" t="s">
        <v>22</v>
      </c>
      <c r="D238" s="9" t="s">
        <v>6</v>
      </c>
      <c r="E238" s="9" t="s">
        <v>13</v>
      </c>
      <c r="F238" s="9" t="s">
        <v>25</v>
      </c>
      <c r="G238" s="7" t="s">
        <v>902</v>
      </c>
      <c r="H238" s="7" t="s">
        <v>903</v>
      </c>
      <c r="I238" s="124" t="s">
        <v>902</v>
      </c>
      <c r="J238" s="7">
        <v>45</v>
      </c>
      <c r="K238" s="124" t="s">
        <v>745</v>
      </c>
      <c r="L238" s="20" t="s">
        <v>909</v>
      </c>
      <c r="M238" s="16">
        <v>92.288348303900818</v>
      </c>
      <c r="N238" s="16">
        <v>26.525099754333496</v>
      </c>
      <c r="O238" s="16">
        <v>364.67844475640192</v>
      </c>
      <c r="P238" s="16">
        <v>16.434916337331135</v>
      </c>
      <c r="Q238" s="147">
        <v>1276.1694810655381</v>
      </c>
      <c r="R238" s="147">
        <v>5.3917236328125</v>
      </c>
      <c r="S238" s="10">
        <v>0.80953236809121987</v>
      </c>
      <c r="T238" s="10">
        <v>-10.611894473045313</v>
      </c>
      <c r="U238" s="16">
        <v>0.11687949911851755</v>
      </c>
      <c r="V238" s="16">
        <v>12.67553871322653</v>
      </c>
      <c r="W238" s="10">
        <v>23.287433186271841</v>
      </c>
      <c r="X238" s="10" t="s">
        <v>902</v>
      </c>
      <c r="Y238" s="10">
        <v>2.2333333333333329</v>
      </c>
      <c r="Z238" s="10">
        <v>2.8666666666666667</v>
      </c>
      <c r="AA238" s="20" t="s">
        <v>744</v>
      </c>
      <c r="AB238" s="7">
        <v>1374.5</v>
      </c>
      <c r="AC238" s="7">
        <v>195.3</v>
      </c>
      <c r="AD238" s="7">
        <v>0.14208803201164061</v>
      </c>
      <c r="AE238" s="7" t="s">
        <v>3</v>
      </c>
      <c r="AF238" s="20" t="s">
        <v>27</v>
      </c>
      <c r="AG238" s="11" t="s">
        <v>864</v>
      </c>
      <c r="AH238" s="7" t="s">
        <v>1307</v>
      </c>
    </row>
    <row r="239" spans="1:34" s="7" customFormat="1" ht="16.5" customHeight="1">
      <c r="A239" s="7">
        <v>2012</v>
      </c>
      <c r="B239" s="12">
        <v>41101</v>
      </c>
      <c r="C239" s="7" t="s">
        <v>22</v>
      </c>
      <c r="D239" s="9" t="s">
        <v>6</v>
      </c>
      <c r="E239" s="9" t="s">
        <v>13</v>
      </c>
      <c r="F239" s="9" t="s">
        <v>25</v>
      </c>
      <c r="G239" s="7" t="s">
        <v>902</v>
      </c>
      <c r="H239" s="7" t="s">
        <v>903</v>
      </c>
      <c r="I239" s="124" t="s">
        <v>902</v>
      </c>
      <c r="J239" s="7">
        <v>46</v>
      </c>
      <c r="K239" s="124" t="s">
        <v>747</v>
      </c>
      <c r="L239" s="20" t="s">
        <v>909</v>
      </c>
      <c r="M239" s="16">
        <v>92.288034941020769</v>
      </c>
      <c r="N239" s="16">
        <v>28.22295550296181</v>
      </c>
      <c r="O239" s="16">
        <v>364.0153294613487</v>
      </c>
      <c r="P239" s="16">
        <v>17.434492311979596</v>
      </c>
      <c r="Q239" s="147">
        <v>1278.3285811574835</v>
      </c>
      <c r="R239" s="147">
        <v>1.6644287109375</v>
      </c>
      <c r="S239" s="10">
        <v>0.80953236809121987</v>
      </c>
      <c r="T239" s="10">
        <v>-9.89885727324633</v>
      </c>
      <c r="U239" s="16">
        <v>0.11552524315683466</v>
      </c>
      <c r="V239" s="16">
        <v>12.67553871322653</v>
      </c>
      <c r="W239" s="10">
        <v>22.574395986472858</v>
      </c>
      <c r="X239" s="10" t="s">
        <v>902</v>
      </c>
      <c r="Y239" s="10">
        <v>2.2333333333333329</v>
      </c>
      <c r="Z239" s="10">
        <v>2.8666666666666667</v>
      </c>
      <c r="AA239" s="20" t="s">
        <v>746</v>
      </c>
      <c r="AB239" s="7">
        <v>1372.1</v>
      </c>
      <c r="AC239" s="7">
        <v>195.3</v>
      </c>
      <c r="AD239" s="7">
        <v>0.14233656439035058</v>
      </c>
      <c r="AE239" s="7" t="s">
        <v>3</v>
      </c>
      <c r="AF239" s="20" t="s">
        <v>27</v>
      </c>
      <c r="AG239" s="11" t="s">
        <v>864</v>
      </c>
      <c r="AH239" s="7" t="s">
        <v>1307</v>
      </c>
    </row>
    <row r="240" spans="1:34" s="7" customFormat="1" ht="16.5" customHeight="1">
      <c r="A240" s="7">
        <v>2012</v>
      </c>
      <c r="B240" s="12">
        <v>41101</v>
      </c>
      <c r="C240" s="7" t="s">
        <v>22</v>
      </c>
      <c r="D240" s="9" t="s">
        <v>6</v>
      </c>
      <c r="E240" s="9" t="s">
        <v>13</v>
      </c>
      <c r="F240" s="9" t="s">
        <v>25</v>
      </c>
      <c r="G240" s="7" t="s">
        <v>902</v>
      </c>
      <c r="H240" s="7" t="s">
        <v>903</v>
      </c>
      <c r="I240" s="124" t="s">
        <v>902</v>
      </c>
      <c r="J240" s="7">
        <v>47</v>
      </c>
      <c r="K240" s="124" t="s">
        <v>749</v>
      </c>
      <c r="L240" s="20" t="s">
        <v>909</v>
      </c>
      <c r="M240" s="16">
        <v>92.288258743286136</v>
      </c>
      <c r="N240" s="16">
        <v>27.411718940734865</v>
      </c>
      <c r="O240" s="16">
        <v>365.50181579589844</v>
      </c>
      <c r="P240" s="16">
        <v>17.877355146408082</v>
      </c>
      <c r="Q240" s="147">
        <v>1282.1549865722657</v>
      </c>
      <c r="R240" s="147">
        <v>4.5064697265625</v>
      </c>
      <c r="S240" s="10">
        <v>0.80953236809121987</v>
      </c>
      <c r="T240" s="10">
        <v>-11.022965003115299</v>
      </c>
      <c r="U240" s="16">
        <v>0.10799496335194524</v>
      </c>
      <c r="V240" s="16">
        <v>12.67553871322653</v>
      </c>
      <c r="W240" s="10">
        <v>23.698503716341829</v>
      </c>
      <c r="X240" s="10" t="s">
        <v>902</v>
      </c>
      <c r="Y240" s="10">
        <v>2.2333333333333329</v>
      </c>
      <c r="Z240" s="10">
        <v>2.8666666666666667</v>
      </c>
      <c r="AA240" s="20" t="s">
        <v>748</v>
      </c>
      <c r="AB240" s="7">
        <v>1363.5</v>
      </c>
      <c r="AC240" s="7">
        <v>192.9</v>
      </c>
      <c r="AD240" s="7">
        <v>0.14147414741474149</v>
      </c>
      <c r="AE240" s="7" t="s">
        <v>3</v>
      </c>
      <c r="AF240" s="20" t="s">
        <v>27</v>
      </c>
      <c r="AG240" s="11" t="s">
        <v>864</v>
      </c>
      <c r="AH240" s="7" t="s">
        <v>1307</v>
      </c>
    </row>
    <row r="241" spans="1:34" s="7" customFormat="1" ht="16.5" customHeight="1">
      <c r="A241" s="7">
        <v>2012</v>
      </c>
      <c r="B241" s="12">
        <v>41099</v>
      </c>
      <c r="C241" s="7" t="s">
        <v>22</v>
      </c>
      <c r="D241" s="9" t="s">
        <v>6</v>
      </c>
      <c r="E241" s="9" t="s">
        <v>14</v>
      </c>
      <c r="F241" s="9" t="s">
        <v>25</v>
      </c>
      <c r="G241" s="7" t="s">
        <v>902</v>
      </c>
      <c r="H241" s="7" t="s">
        <v>903</v>
      </c>
      <c r="I241" s="124" t="s">
        <v>902</v>
      </c>
      <c r="J241" s="7">
        <v>1</v>
      </c>
      <c r="K241" s="124" t="s">
        <v>1618</v>
      </c>
      <c r="L241" s="20" t="s">
        <v>904</v>
      </c>
      <c r="M241" s="22">
        <v>92.634762011076276</v>
      </c>
      <c r="N241" s="22">
        <v>23.440493633872585</v>
      </c>
      <c r="O241" s="22">
        <v>395.32102243523849</v>
      </c>
      <c r="P241" s="22">
        <v>17.610244249042712</v>
      </c>
      <c r="Q241" s="148">
        <v>6.984085094575819E-2</v>
      </c>
      <c r="R241" s="148">
        <v>0.22606842033565044</v>
      </c>
      <c r="S241" s="10">
        <v>0.84567844996061536</v>
      </c>
      <c r="T241" s="10">
        <v>14.202102488047924</v>
      </c>
      <c r="U241" s="22">
        <v>5.4078612411231339E-2</v>
      </c>
      <c r="V241" s="16">
        <v>12.872628573255236</v>
      </c>
      <c r="W241" s="10">
        <v>0</v>
      </c>
      <c r="X241" s="10" t="s">
        <v>902</v>
      </c>
      <c r="Y241" s="10">
        <v>2.85</v>
      </c>
      <c r="Z241" s="10">
        <v>3.5333333333333332</v>
      </c>
      <c r="AA241" s="20" t="s">
        <v>231</v>
      </c>
      <c r="AB241" s="9" t="s">
        <v>902</v>
      </c>
      <c r="AC241" s="9" t="s">
        <v>902</v>
      </c>
      <c r="AD241" s="9" t="s">
        <v>902</v>
      </c>
      <c r="AE241" s="7" t="s">
        <v>3</v>
      </c>
      <c r="AF241" s="20" t="s">
        <v>8</v>
      </c>
      <c r="AG241" s="11" t="s">
        <v>607</v>
      </c>
      <c r="AH241" s="7" t="s">
        <v>1323</v>
      </c>
    </row>
    <row r="242" spans="1:34" s="7" customFormat="1" ht="16.5" customHeight="1">
      <c r="A242" s="7">
        <v>2012</v>
      </c>
      <c r="B242" s="12">
        <v>41099</v>
      </c>
      <c r="C242" s="7" t="s">
        <v>22</v>
      </c>
      <c r="D242" s="9" t="s">
        <v>6</v>
      </c>
      <c r="E242" s="9" t="s">
        <v>14</v>
      </c>
      <c r="F242" s="9" t="s">
        <v>25</v>
      </c>
      <c r="G242" s="7" t="s">
        <v>902</v>
      </c>
      <c r="H242" s="7" t="s">
        <v>903</v>
      </c>
      <c r="I242" s="124" t="s">
        <v>902</v>
      </c>
      <c r="J242" s="7">
        <v>2</v>
      </c>
      <c r="K242" s="124" t="s">
        <v>1619</v>
      </c>
      <c r="L242" s="33" t="s">
        <v>904</v>
      </c>
      <c r="M242" s="16">
        <v>92.639080248380964</v>
      </c>
      <c r="N242" s="16">
        <v>23.149547878064606</v>
      </c>
      <c r="O242" s="16">
        <v>392.36369243421052</v>
      </c>
      <c r="P242" s="16">
        <v>16.570665560270612</v>
      </c>
      <c r="Q242" s="147">
        <v>0.20839712533511615</v>
      </c>
      <c r="R242" s="147">
        <v>0.20332450419664383</v>
      </c>
      <c r="S242" s="10">
        <v>0.84567844996061536</v>
      </c>
      <c r="T242" s="10">
        <v>11.896513214836864</v>
      </c>
      <c r="U242" s="16">
        <v>5.3058421820924996E-2</v>
      </c>
      <c r="V242" s="16">
        <v>12.872628573255236</v>
      </c>
      <c r="W242" s="10">
        <v>0</v>
      </c>
      <c r="X242" s="10" t="s">
        <v>902</v>
      </c>
      <c r="Y242" s="10">
        <v>2.85</v>
      </c>
      <c r="Z242" s="10">
        <v>3.5333333333333332</v>
      </c>
      <c r="AA242" s="35" t="s">
        <v>232</v>
      </c>
      <c r="AB242" s="9" t="s">
        <v>902</v>
      </c>
      <c r="AC242" s="9" t="s">
        <v>902</v>
      </c>
      <c r="AD242" s="9" t="s">
        <v>902</v>
      </c>
      <c r="AE242" s="7" t="s">
        <v>3</v>
      </c>
      <c r="AF242" s="20" t="s">
        <v>8</v>
      </c>
      <c r="AG242" s="34" t="s">
        <v>607</v>
      </c>
      <c r="AH242" s="7" t="s">
        <v>1323</v>
      </c>
    </row>
    <row r="243" spans="1:34" s="7" customFormat="1" ht="16.5" customHeight="1">
      <c r="A243" s="7">
        <v>2012</v>
      </c>
      <c r="B243" s="12">
        <v>41099</v>
      </c>
      <c r="C243" s="7" t="s">
        <v>22</v>
      </c>
      <c r="D243" s="9" t="s">
        <v>6</v>
      </c>
      <c r="E243" s="9" t="s">
        <v>14</v>
      </c>
      <c r="F243" s="9" t="s">
        <v>25</v>
      </c>
      <c r="G243" s="7" t="s">
        <v>902</v>
      </c>
      <c r="H243" s="7" t="s">
        <v>903</v>
      </c>
      <c r="I243" s="124" t="s">
        <v>902</v>
      </c>
      <c r="J243" s="7">
        <v>3</v>
      </c>
      <c r="K243" s="124" t="s">
        <v>1620</v>
      </c>
      <c r="L243" s="20" t="s">
        <v>904</v>
      </c>
      <c r="M243" s="16">
        <v>92.637113069233138</v>
      </c>
      <c r="N243" s="16">
        <v>22.352635734959652</v>
      </c>
      <c r="O243" s="16">
        <v>395.13210738332646</v>
      </c>
      <c r="P243" s="16">
        <v>15.863592298407303</v>
      </c>
      <c r="Q243" s="147">
        <v>0.36553898924275446</v>
      </c>
      <c r="R243" s="147">
        <v>0.33173537254333496</v>
      </c>
      <c r="S243" s="10">
        <v>0.84567844996061536</v>
      </c>
      <c r="T243" s="10">
        <v>12.519270016880926</v>
      </c>
      <c r="U243" s="16">
        <v>5.4228315018770977E-2</v>
      </c>
      <c r="V243" s="16">
        <v>12.872628573255236</v>
      </c>
      <c r="W243" s="10">
        <v>0</v>
      </c>
      <c r="X243" s="10" t="s">
        <v>902</v>
      </c>
      <c r="Y243" s="10">
        <v>2.85</v>
      </c>
      <c r="Z243" s="10">
        <v>3.5333333333333332</v>
      </c>
      <c r="AA243" s="20" t="s">
        <v>233</v>
      </c>
      <c r="AB243" s="9" t="s">
        <v>902</v>
      </c>
      <c r="AC243" s="9" t="s">
        <v>902</v>
      </c>
      <c r="AD243" s="9" t="s">
        <v>902</v>
      </c>
      <c r="AE243" s="7" t="s">
        <v>3</v>
      </c>
      <c r="AF243" s="20" t="s">
        <v>8</v>
      </c>
      <c r="AG243" s="11" t="s">
        <v>607</v>
      </c>
      <c r="AH243" s="7" t="s">
        <v>1323</v>
      </c>
    </row>
    <row r="244" spans="1:34" s="7" customFormat="1" ht="16.5" customHeight="1">
      <c r="A244" s="7">
        <v>2012</v>
      </c>
      <c r="B244" s="12">
        <v>41099</v>
      </c>
      <c r="C244" s="7" t="s">
        <v>22</v>
      </c>
      <c r="D244" s="9" t="s">
        <v>6</v>
      </c>
      <c r="E244" s="9" t="s">
        <v>14</v>
      </c>
      <c r="F244" s="9" t="s">
        <v>25</v>
      </c>
      <c r="G244" s="7" t="s">
        <v>902</v>
      </c>
      <c r="H244" s="7" t="s">
        <v>903</v>
      </c>
      <c r="I244" s="124" t="s">
        <v>902</v>
      </c>
      <c r="J244" s="7">
        <v>16</v>
      </c>
      <c r="K244" s="124" t="s">
        <v>1621</v>
      </c>
      <c r="L244" s="20" t="s">
        <v>77</v>
      </c>
      <c r="M244" s="16">
        <v>92.680971246016654</v>
      </c>
      <c r="N244" s="16">
        <v>19.63246084514417</v>
      </c>
      <c r="O244" s="16">
        <v>386.0481471011513</v>
      </c>
      <c r="P244" s="16">
        <v>14.56641623848363</v>
      </c>
      <c r="Q244" s="147">
        <v>63.943381460089434</v>
      </c>
      <c r="R244" s="147">
        <v>1.7050437927246094</v>
      </c>
      <c r="S244" s="10">
        <v>0.84567844996061536</v>
      </c>
      <c r="T244" s="10">
        <v>9.4217574357265708</v>
      </c>
      <c r="U244" s="16">
        <v>4.4925884614910996E-2</v>
      </c>
      <c r="V244" s="16">
        <v>12.872628573255236</v>
      </c>
      <c r="W244" s="10">
        <v>3.4508711375286651</v>
      </c>
      <c r="X244" s="10" t="s">
        <v>902</v>
      </c>
      <c r="Y244" s="10">
        <v>2.85</v>
      </c>
      <c r="Z244" s="10">
        <v>3.5333333333333332</v>
      </c>
      <c r="AA244" s="20" t="s">
        <v>221</v>
      </c>
      <c r="AB244" s="9" t="s">
        <v>902</v>
      </c>
      <c r="AC244" s="9" t="s">
        <v>902</v>
      </c>
      <c r="AD244" s="9" t="s">
        <v>902</v>
      </c>
      <c r="AE244" s="7" t="s">
        <v>5</v>
      </c>
      <c r="AF244" s="20" t="s">
        <v>8</v>
      </c>
      <c r="AG244" s="11" t="s">
        <v>928</v>
      </c>
      <c r="AH244" s="7" t="s">
        <v>1323</v>
      </c>
    </row>
    <row r="245" spans="1:34" s="7" customFormat="1" ht="16.5" customHeight="1">
      <c r="A245" s="7">
        <v>2012</v>
      </c>
      <c r="B245" s="12">
        <v>41099</v>
      </c>
      <c r="C245" s="7" t="s">
        <v>22</v>
      </c>
      <c r="D245" s="9" t="s">
        <v>6</v>
      </c>
      <c r="E245" s="9" t="s">
        <v>14</v>
      </c>
      <c r="F245" s="9" t="s">
        <v>25</v>
      </c>
      <c r="G245" s="7" t="s">
        <v>902</v>
      </c>
      <c r="H245" s="7" t="s">
        <v>903</v>
      </c>
      <c r="I245" s="124" t="s">
        <v>902</v>
      </c>
      <c r="J245" s="7">
        <v>17</v>
      </c>
      <c r="K245" s="124" t="s">
        <v>1622</v>
      </c>
      <c r="L245" s="20" t="s">
        <v>77</v>
      </c>
      <c r="M245" s="16">
        <v>92.680037247507201</v>
      </c>
      <c r="N245" s="16">
        <v>20.54217609606291</v>
      </c>
      <c r="O245" s="16">
        <v>388.28496671977797</v>
      </c>
      <c r="P245" s="16">
        <v>15.631246767546001</v>
      </c>
      <c r="Q245" s="147">
        <v>67.808230349892071</v>
      </c>
      <c r="R245" s="147">
        <v>5.485748291015625</v>
      </c>
      <c r="S245" s="10">
        <v>0.84567844996061536</v>
      </c>
      <c r="T245" s="10">
        <v>9.5611895573037824</v>
      </c>
      <c r="U245" s="16">
        <v>4.377562706930594E-2</v>
      </c>
      <c r="V245" s="16">
        <v>12.872628573255236</v>
      </c>
      <c r="W245" s="10">
        <v>3.3114390159514535</v>
      </c>
      <c r="X245" s="10" t="s">
        <v>902</v>
      </c>
      <c r="Y245" s="10">
        <v>2.85</v>
      </c>
      <c r="Z245" s="10">
        <v>3.5333333333333332</v>
      </c>
      <c r="AA245" s="20" t="s">
        <v>220</v>
      </c>
      <c r="AB245" s="7">
        <v>596.9</v>
      </c>
      <c r="AC245" s="7">
        <v>555.40000000000009</v>
      </c>
      <c r="AD245" s="7">
        <v>0.93047411626738152</v>
      </c>
      <c r="AE245" s="7" t="s">
        <v>5</v>
      </c>
      <c r="AF245" s="20" t="s">
        <v>8</v>
      </c>
      <c r="AG245" s="11" t="s">
        <v>928</v>
      </c>
      <c r="AH245" s="7" t="s">
        <v>1323</v>
      </c>
    </row>
    <row r="246" spans="1:34" s="7" customFormat="1" ht="16.5" customHeight="1">
      <c r="A246" s="7">
        <v>2012</v>
      </c>
      <c r="B246" s="12">
        <v>41099</v>
      </c>
      <c r="C246" s="7" t="s">
        <v>22</v>
      </c>
      <c r="D246" s="9" t="s">
        <v>6</v>
      </c>
      <c r="E246" s="9" t="s">
        <v>14</v>
      </c>
      <c r="F246" s="9" t="s">
        <v>25</v>
      </c>
      <c r="G246" s="7" t="s">
        <v>902</v>
      </c>
      <c r="H246" s="7" t="s">
        <v>903</v>
      </c>
      <c r="I246" s="124" t="s">
        <v>902</v>
      </c>
      <c r="J246" s="7">
        <v>4</v>
      </c>
      <c r="K246" s="124" t="s">
        <v>1623</v>
      </c>
      <c r="L246" s="20" t="s">
        <v>77</v>
      </c>
      <c r="M246" s="16">
        <v>92.670493570963544</v>
      </c>
      <c r="N246" s="16">
        <v>21.765998077392577</v>
      </c>
      <c r="O246" s="16">
        <v>384.23368326822919</v>
      </c>
      <c r="P246" s="16">
        <v>14.67190113067627</v>
      </c>
      <c r="Q246" s="147">
        <v>95.484345499674475</v>
      </c>
      <c r="R246" s="147">
        <v>4.558349609375</v>
      </c>
      <c r="S246" s="10">
        <v>0.84567844996061536</v>
      </c>
      <c r="T246" s="10">
        <v>6.0506523939377947</v>
      </c>
      <c r="U246" s="16">
        <v>4.9890926906040738E-2</v>
      </c>
      <c r="V246" s="16">
        <v>12.872628573255236</v>
      </c>
      <c r="W246" s="10">
        <v>6.8219761793174412</v>
      </c>
      <c r="X246" s="10" t="s">
        <v>902</v>
      </c>
      <c r="Y246" s="10">
        <v>2.85</v>
      </c>
      <c r="Z246" s="10">
        <v>3.5333333333333332</v>
      </c>
      <c r="AA246" s="20" t="s">
        <v>241</v>
      </c>
      <c r="AB246" s="7">
        <v>1802.4</v>
      </c>
      <c r="AC246" s="7">
        <v>547.5</v>
      </c>
      <c r="AD246" s="7">
        <v>0.30376157397788017</v>
      </c>
      <c r="AE246" s="7" t="s">
        <v>3</v>
      </c>
      <c r="AF246" s="20" t="s">
        <v>8</v>
      </c>
      <c r="AG246" s="11" t="s">
        <v>864</v>
      </c>
      <c r="AH246" s="7" t="s">
        <v>1323</v>
      </c>
    </row>
    <row r="247" spans="1:34" s="7" customFormat="1" ht="16.5" customHeight="1">
      <c r="A247" s="7">
        <v>2012</v>
      </c>
      <c r="B247" s="12">
        <v>41099</v>
      </c>
      <c r="C247" s="7" t="s">
        <v>22</v>
      </c>
      <c r="D247" s="9" t="s">
        <v>6</v>
      </c>
      <c r="E247" s="9" t="s">
        <v>14</v>
      </c>
      <c r="F247" s="9" t="s">
        <v>25</v>
      </c>
      <c r="G247" s="7" t="s">
        <v>902</v>
      </c>
      <c r="H247" s="7" t="s">
        <v>903</v>
      </c>
      <c r="I247" s="124" t="s">
        <v>902</v>
      </c>
      <c r="J247" s="7">
        <v>5</v>
      </c>
      <c r="K247" s="124" t="s">
        <v>1624</v>
      </c>
      <c r="L247" s="20" t="s">
        <v>905</v>
      </c>
      <c r="M247" s="16">
        <v>92.677810668945313</v>
      </c>
      <c r="N247" s="16">
        <v>19.654400172986481</v>
      </c>
      <c r="O247" s="16">
        <v>387.72799682617188</v>
      </c>
      <c r="P247" s="16">
        <v>14.704615743536698</v>
      </c>
      <c r="Q247" s="147">
        <v>116.97220370644017</v>
      </c>
      <c r="R247" s="147">
        <v>16.215049743652344</v>
      </c>
      <c r="S247" s="10">
        <v>0.84567844996061536</v>
      </c>
      <c r="T247" s="10">
        <v>9.6484547681107227</v>
      </c>
      <c r="U247" s="16">
        <v>4.4258088396306614E-2</v>
      </c>
      <c r="V247" s="16">
        <v>12.872628573255236</v>
      </c>
      <c r="W247" s="10">
        <v>3.2241738051445132</v>
      </c>
      <c r="X247" s="10" t="s">
        <v>902</v>
      </c>
      <c r="Y247" s="10">
        <v>2.85</v>
      </c>
      <c r="Z247" s="10">
        <v>3.5333333333333332</v>
      </c>
      <c r="AA247" s="20" t="s">
        <v>242</v>
      </c>
      <c r="AB247" s="7">
        <v>1542.35</v>
      </c>
      <c r="AC247" s="7">
        <v>595.70000000000005</v>
      </c>
      <c r="AD247" s="7">
        <v>0.38626656920810626</v>
      </c>
      <c r="AE247" s="7" t="s">
        <v>3</v>
      </c>
      <c r="AF247" s="20" t="s">
        <v>8</v>
      </c>
      <c r="AG247" s="11" t="s">
        <v>864</v>
      </c>
      <c r="AH247" s="7" t="s">
        <v>1324</v>
      </c>
    </row>
    <row r="248" spans="1:34" s="7" customFormat="1" ht="16.5" customHeight="1">
      <c r="A248" s="7">
        <v>2012</v>
      </c>
      <c r="B248" s="12">
        <v>41099</v>
      </c>
      <c r="C248" s="7" t="s">
        <v>22</v>
      </c>
      <c r="D248" s="9" t="s">
        <v>6</v>
      </c>
      <c r="E248" s="9" t="s">
        <v>14</v>
      </c>
      <c r="F248" s="9" t="s">
        <v>25</v>
      </c>
      <c r="G248" s="7" t="s">
        <v>902</v>
      </c>
      <c r="H248" s="7" t="s">
        <v>903</v>
      </c>
      <c r="I248" s="124" t="s">
        <v>902</v>
      </c>
      <c r="J248" s="7">
        <v>6</v>
      </c>
      <c r="K248" s="124" t="s">
        <v>1625</v>
      </c>
      <c r="L248" s="20" t="s">
        <v>905</v>
      </c>
      <c r="M248" s="16">
        <v>92.672900551243828</v>
      </c>
      <c r="N248" s="16">
        <v>20.745819392957184</v>
      </c>
      <c r="O248" s="16">
        <v>386.2954760099712</v>
      </c>
      <c r="P248" s="16">
        <v>15.505696999399285</v>
      </c>
      <c r="Q248" s="147">
        <v>134.22138575503701</v>
      </c>
      <c r="R248" s="147">
        <v>38.493087768554688</v>
      </c>
      <c r="S248" s="10">
        <v>0.84567844996061536</v>
      </c>
      <c r="T248" s="10">
        <v>8.7078362524924948</v>
      </c>
      <c r="U248" s="16">
        <v>4.3318883159704391E-2</v>
      </c>
      <c r="V248" s="16">
        <v>12.872628573255236</v>
      </c>
      <c r="W248" s="10">
        <v>4.1647923207627411</v>
      </c>
      <c r="X248" s="10" t="s">
        <v>902</v>
      </c>
      <c r="Y248" s="10">
        <v>2.85</v>
      </c>
      <c r="Z248" s="10">
        <v>3.5333333333333332</v>
      </c>
      <c r="AA248" s="20" t="s">
        <v>243</v>
      </c>
      <c r="AB248" s="7">
        <v>1754.8000000000002</v>
      </c>
      <c r="AC248" s="7">
        <v>578.6</v>
      </c>
      <c r="AD248" s="7">
        <v>0.32990340166107829</v>
      </c>
      <c r="AE248" s="7" t="s">
        <v>3</v>
      </c>
      <c r="AF248" s="20" t="s">
        <v>8</v>
      </c>
      <c r="AG248" s="11" t="s">
        <v>864</v>
      </c>
      <c r="AH248" s="7" t="s">
        <v>1323</v>
      </c>
    </row>
    <row r="249" spans="1:34" s="7" customFormat="1" ht="16.5" customHeight="1">
      <c r="A249" s="7">
        <v>2012</v>
      </c>
      <c r="B249" s="12">
        <v>41099</v>
      </c>
      <c r="C249" s="7" t="s">
        <v>22</v>
      </c>
      <c r="D249" s="9" t="s">
        <v>6</v>
      </c>
      <c r="E249" s="9" t="s">
        <v>14</v>
      </c>
      <c r="F249" s="9" t="s">
        <v>25</v>
      </c>
      <c r="G249" s="7" t="s">
        <v>902</v>
      </c>
      <c r="H249" s="7" t="s">
        <v>903</v>
      </c>
      <c r="I249" s="124" t="s">
        <v>902</v>
      </c>
      <c r="J249" s="7">
        <v>18</v>
      </c>
      <c r="K249" s="124" t="s">
        <v>843</v>
      </c>
      <c r="L249" s="20" t="s">
        <v>918</v>
      </c>
      <c r="M249" s="16">
        <v>92.657557767980236</v>
      </c>
      <c r="N249" s="16">
        <v>23.21195400462431</v>
      </c>
      <c r="O249" s="16">
        <v>374.67743099437041</v>
      </c>
      <c r="P249" s="16">
        <v>16.895029348485611</v>
      </c>
      <c r="Q249" s="147">
        <v>181.76374009076287</v>
      </c>
      <c r="R249" s="147">
        <v>14.062820434570313</v>
      </c>
      <c r="S249" s="10">
        <v>0.84567844996061536</v>
      </c>
      <c r="T249" s="10">
        <v>2.0201553934030194</v>
      </c>
      <c r="U249" s="16">
        <v>5.0562137367865745E-2</v>
      </c>
      <c r="V249" s="16">
        <v>12.872628573255236</v>
      </c>
      <c r="W249" s="10">
        <v>10.852473179852216</v>
      </c>
      <c r="X249" s="10" t="s">
        <v>902</v>
      </c>
      <c r="Y249" s="10">
        <v>2.85</v>
      </c>
      <c r="Z249" s="10">
        <v>3.5333333333333332</v>
      </c>
      <c r="AA249" s="20" t="s">
        <v>229</v>
      </c>
      <c r="AB249" s="7">
        <v>1573.45</v>
      </c>
      <c r="AC249" s="7">
        <v>603.6</v>
      </c>
      <c r="AD249" s="7">
        <v>0.38367731914000064</v>
      </c>
      <c r="AE249" s="7" t="s">
        <v>3</v>
      </c>
      <c r="AF249" s="20" t="s">
        <v>8</v>
      </c>
      <c r="AG249" s="11" t="s">
        <v>928</v>
      </c>
      <c r="AH249" s="7" t="s">
        <v>1325</v>
      </c>
    </row>
    <row r="250" spans="1:34" s="7" customFormat="1" ht="16.5" customHeight="1">
      <c r="A250" s="7">
        <v>2012</v>
      </c>
      <c r="B250" s="12">
        <v>41099</v>
      </c>
      <c r="C250" s="7" t="s">
        <v>22</v>
      </c>
      <c r="D250" s="9" t="s">
        <v>6</v>
      </c>
      <c r="E250" s="9" t="s">
        <v>14</v>
      </c>
      <c r="F250" s="9" t="s">
        <v>25</v>
      </c>
      <c r="G250" s="7" t="s">
        <v>902</v>
      </c>
      <c r="H250" s="7" t="s">
        <v>903</v>
      </c>
      <c r="I250" s="124" t="s">
        <v>902</v>
      </c>
      <c r="J250" s="7">
        <v>19</v>
      </c>
      <c r="K250" s="124" t="s">
        <v>844</v>
      </c>
      <c r="L250" s="20" t="s">
        <v>918</v>
      </c>
      <c r="M250" s="16">
        <v>92.650388336181635</v>
      </c>
      <c r="N250" s="16">
        <v>23.273002338409423</v>
      </c>
      <c r="O250" s="16">
        <v>376.82218933105469</v>
      </c>
      <c r="P250" s="16">
        <v>16.41962113380432</v>
      </c>
      <c r="Q250" s="147">
        <v>181.94754943847656</v>
      </c>
      <c r="R250" s="147">
        <v>12.227569580078125</v>
      </c>
      <c r="S250" s="10">
        <v>0.84567844996061536</v>
      </c>
      <c r="T250" s="10">
        <v>2.6276527141622488</v>
      </c>
      <c r="U250" s="16">
        <v>5.6272249652030773E-2</v>
      </c>
      <c r="V250" s="16">
        <v>12.872628573255236</v>
      </c>
      <c r="W250" s="10">
        <v>10.244975859092987</v>
      </c>
      <c r="X250" s="10" t="s">
        <v>902</v>
      </c>
      <c r="Y250" s="10">
        <v>2.85</v>
      </c>
      <c r="Z250" s="10">
        <v>3.5333333333333332</v>
      </c>
      <c r="AA250" s="20" t="s">
        <v>230</v>
      </c>
      <c r="AB250" s="7">
        <v>1482.5500000000002</v>
      </c>
      <c r="AC250" s="7">
        <v>579.20000000000005</v>
      </c>
      <c r="AD250" s="7">
        <v>0.39069443939278437</v>
      </c>
      <c r="AE250" s="7" t="s">
        <v>3</v>
      </c>
      <c r="AF250" s="20" t="s">
        <v>8</v>
      </c>
      <c r="AG250" s="11" t="s">
        <v>928</v>
      </c>
      <c r="AH250" s="7" t="s">
        <v>1326</v>
      </c>
    </row>
    <row r="251" spans="1:34" s="7" customFormat="1" ht="16.5" customHeight="1">
      <c r="A251" s="7">
        <v>2012</v>
      </c>
      <c r="B251" s="12">
        <v>41099</v>
      </c>
      <c r="C251" s="7" t="s">
        <v>22</v>
      </c>
      <c r="D251" s="9" t="s">
        <v>6</v>
      </c>
      <c r="E251" s="9" t="s">
        <v>14</v>
      </c>
      <c r="F251" s="9" t="s">
        <v>25</v>
      </c>
      <c r="G251" s="7" t="s">
        <v>902</v>
      </c>
      <c r="H251" s="7" t="s">
        <v>903</v>
      </c>
      <c r="I251" s="124" t="s">
        <v>902</v>
      </c>
      <c r="J251" s="7">
        <v>7</v>
      </c>
      <c r="K251" s="124" t="s">
        <v>1626</v>
      </c>
      <c r="L251" s="20" t="s">
        <v>77</v>
      </c>
      <c r="M251" s="16">
        <v>92.67849088969983</v>
      </c>
      <c r="N251" s="16">
        <v>22.824427052548057</v>
      </c>
      <c r="O251" s="16">
        <v>386.03382150750411</v>
      </c>
      <c r="P251" s="16">
        <v>16.856856597097295</v>
      </c>
      <c r="Q251" s="147">
        <v>275.6695725290399</v>
      </c>
      <c r="R251" s="147">
        <v>48.507125854492188</v>
      </c>
      <c r="S251" s="10">
        <v>0.84567844996061536</v>
      </c>
      <c r="T251" s="10">
        <v>6.2630464172989093</v>
      </c>
      <c r="U251" s="16">
        <v>6.347270262868783E-2</v>
      </c>
      <c r="V251" s="16">
        <v>12.872628573255236</v>
      </c>
      <c r="W251" s="10">
        <v>6.6095821559563266</v>
      </c>
      <c r="X251" s="10" t="s">
        <v>902</v>
      </c>
      <c r="Y251" s="10">
        <v>2.85</v>
      </c>
      <c r="Z251" s="10">
        <v>3.5333333333333332</v>
      </c>
      <c r="AA251" s="20" t="s">
        <v>240</v>
      </c>
      <c r="AB251" s="7">
        <v>1882.3</v>
      </c>
      <c r="AC251" s="7">
        <v>598.1</v>
      </c>
      <c r="AD251" s="7">
        <v>0.31774956170642299</v>
      </c>
      <c r="AE251" s="7" t="s">
        <v>3</v>
      </c>
      <c r="AF251" s="20" t="s">
        <v>8</v>
      </c>
      <c r="AG251" s="11" t="s">
        <v>864</v>
      </c>
      <c r="AH251" s="7" t="s">
        <v>1327</v>
      </c>
    </row>
    <row r="252" spans="1:34" s="7" customFormat="1" ht="16.5" customHeight="1">
      <c r="A252" s="7">
        <v>2012</v>
      </c>
      <c r="B252" s="12">
        <v>41099</v>
      </c>
      <c r="C252" s="7" t="s">
        <v>22</v>
      </c>
      <c r="D252" s="9" t="s">
        <v>6</v>
      </c>
      <c r="E252" s="9" t="s">
        <v>14</v>
      </c>
      <c r="F252" s="9" t="s">
        <v>25</v>
      </c>
      <c r="G252" s="7" t="s">
        <v>902</v>
      </c>
      <c r="H252" s="7" t="s">
        <v>903</v>
      </c>
      <c r="I252" s="124" t="s">
        <v>902</v>
      </c>
      <c r="J252" s="7">
        <v>20</v>
      </c>
      <c r="K252" s="124" t="s">
        <v>845</v>
      </c>
      <c r="L252" s="20" t="s">
        <v>912</v>
      </c>
      <c r="M252" s="16">
        <v>92.65737957424588</v>
      </c>
      <c r="N252" s="16">
        <v>24.821559694078232</v>
      </c>
      <c r="O252" s="16">
        <v>376.47027587890625</v>
      </c>
      <c r="P252" s="16">
        <v>16.454134994082981</v>
      </c>
      <c r="Q252" s="147">
        <v>283.33904690212671</v>
      </c>
      <c r="R252" s="147">
        <v>18.678070068359375</v>
      </c>
      <c r="S252" s="10">
        <v>0.84567844996061536</v>
      </c>
      <c r="T252" s="10">
        <v>0.54290798068668944</v>
      </c>
      <c r="U252" s="16">
        <v>6.7064144811757626E-2</v>
      </c>
      <c r="V252" s="16">
        <v>12.872628573255236</v>
      </c>
      <c r="W252" s="10">
        <v>12.329720592568547</v>
      </c>
      <c r="X252" s="10" t="s">
        <v>902</v>
      </c>
      <c r="Y252" s="10">
        <v>2.85</v>
      </c>
      <c r="Z252" s="10">
        <v>3.5333333333333332</v>
      </c>
      <c r="AA252" s="20" t="s">
        <v>228</v>
      </c>
      <c r="AB252" s="7">
        <v>1726.1</v>
      </c>
      <c r="AC252" s="7">
        <v>542.6</v>
      </c>
      <c r="AD252" s="7">
        <v>0.3143502693934303</v>
      </c>
      <c r="AE252" s="7" t="s">
        <v>3</v>
      </c>
      <c r="AF252" s="20" t="s">
        <v>8</v>
      </c>
      <c r="AG252" s="11" t="s">
        <v>928</v>
      </c>
      <c r="AH252" s="7" t="s">
        <v>1328</v>
      </c>
    </row>
    <row r="253" spans="1:34" s="7" customFormat="1" ht="16.5" customHeight="1">
      <c r="A253" s="7">
        <v>2012</v>
      </c>
      <c r="B253" s="12">
        <v>41099</v>
      </c>
      <c r="C253" s="7" t="s">
        <v>22</v>
      </c>
      <c r="D253" s="9" t="s">
        <v>6</v>
      </c>
      <c r="E253" s="9" t="s">
        <v>14</v>
      </c>
      <c r="F253" s="9" t="s">
        <v>25</v>
      </c>
      <c r="G253" s="7" t="s">
        <v>902</v>
      </c>
      <c r="H253" s="7" t="s">
        <v>903</v>
      </c>
      <c r="I253" s="124" t="s">
        <v>902</v>
      </c>
      <c r="J253" s="7">
        <v>22</v>
      </c>
      <c r="K253" s="124" t="s">
        <v>847</v>
      </c>
      <c r="L253" s="20" t="s">
        <v>907</v>
      </c>
      <c r="M253" s="16">
        <v>92.662507277268631</v>
      </c>
      <c r="N253" s="16">
        <v>24.364485373863808</v>
      </c>
      <c r="O253" s="16">
        <v>373.79887507512018</v>
      </c>
      <c r="P253" s="16">
        <v>17.040107580331657</v>
      </c>
      <c r="Q253" s="147">
        <v>444.27308302659253</v>
      </c>
      <c r="R253" s="147">
        <v>18.872955322265625</v>
      </c>
      <c r="S253" s="10">
        <v>0.84567844996061536</v>
      </c>
      <c r="T253" s="10">
        <v>2.6639326152763285</v>
      </c>
      <c r="U253" s="16">
        <v>6.8320677830622747E-2</v>
      </c>
      <c r="V253" s="16">
        <v>12.872628573255236</v>
      </c>
      <c r="W253" s="10">
        <v>10.208695957978907</v>
      </c>
      <c r="X253" s="10" t="s">
        <v>902</v>
      </c>
      <c r="Y253" s="10">
        <v>2.85</v>
      </c>
      <c r="Z253" s="10">
        <v>3.5333333333333332</v>
      </c>
      <c r="AA253" s="20" t="s">
        <v>225</v>
      </c>
      <c r="AB253" s="7">
        <v>1064.4499999999998</v>
      </c>
      <c r="AC253" s="7">
        <v>522.5</v>
      </c>
      <c r="AD253" s="7">
        <v>0.49095682319179679</v>
      </c>
      <c r="AE253" s="7" t="s">
        <v>3</v>
      </c>
      <c r="AF253" s="20" t="s">
        <v>8</v>
      </c>
      <c r="AG253" s="11" t="s">
        <v>928</v>
      </c>
      <c r="AH253" s="7" t="s">
        <v>1329</v>
      </c>
    </row>
    <row r="254" spans="1:34" s="7" customFormat="1" ht="16.5" customHeight="1">
      <c r="A254" s="7">
        <v>2012</v>
      </c>
      <c r="B254" s="12">
        <v>41099</v>
      </c>
      <c r="C254" s="7" t="s">
        <v>22</v>
      </c>
      <c r="D254" s="9" t="s">
        <v>6</v>
      </c>
      <c r="E254" s="9" t="s">
        <v>14</v>
      </c>
      <c r="F254" s="9" t="s">
        <v>25</v>
      </c>
      <c r="G254" s="7" t="s">
        <v>902</v>
      </c>
      <c r="H254" s="7" t="s">
        <v>903</v>
      </c>
      <c r="I254" s="124" t="s">
        <v>902</v>
      </c>
      <c r="J254" s="7">
        <v>8</v>
      </c>
      <c r="K254" s="124" t="s">
        <v>1627</v>
      </c>
      <c r="L254" s="20" t="s">
        <v>74</v>
      </c>
      <c r="M254" s="16">
        <v>92.683612221165703</v>
      </c>
      <c r="N254" s="16">
        <v>24.911554236161081</v>
      </c>
      <c r="O254" s="16">
        <v>381.64205129523026</v>
      </c>
      <c r="P254" s="16">
        <v>18.232119208888005</v>
      </c>
      <c r="Q254" s="147">
        <v>467.28489283511516</v>
      </c>
      <c r="R254" s="147">
        <v>59.183197021484375</v>
      </c>
      <c r="S254" s="10">
        <v>0.84567844996061536</v>
      </c>
      <c r="T254" s="10">
        <v>4.4577437312764863</v>
      </c>
      <c r="U254" s="16">
        <v>7.8476385484661945E-2</v>
      </c>
      <c r="V254" s="16">
        <v>12.872628573255236</v>
      </c>
      <c r="W254" s="10">
        <v>8.4148848419787505</v>
      </c>
      <c r="X254" s="10" t="s">
        <v>902</v>
      </c>
      <c r="Y254" s="10">
        <v>2.85</v>
      </c>
      <c r="Z254" s="10">
        <v>3.5333333333333332</v>
      </c>
      <c r="AA254" s="20" t="s">
        <v>238</v>
      </c>
      <c r="AB254" s="7">
        <v>1908.6</v>
      </c>
      <c r="AC254" s="7">
        <v>595.09999999999991</v>
      </c>
      <c r="AD254" s="7">
        <v>0.31179909606704703</v>
      </c>
      <c r="AE254" s="7" t="s">
        <v>3</v>
      </c>
      <c r="AF254" s="20" t="s">
        <v>8</v>
      </c>
      <c r="AG254" s="11" t="s">
        <v>864</v>
      </c>
      <c r="AH254" s="7" t="s">
        <v>1330</v>
      </c>
    </row>
    <row r="255" spans="1:34" s="7" customFormat="1" ht="16.5" customHeight="1">
      <c r="A255" s="7">
        <v>2012</v>
      </c>
      <c r="B255" s="12">
        <v>41099</v>
      </c>
      <c r="C255" s="7" t="s">
        <v>22</v>
      </c>
      <c r="D255" s="9" t="s">
        <v>6</v>
      </c>
      <c r="E255" s="9" t="s">
        <v>14</v>
      </c>
      <c r="F255" s="9" t="s">
        <v>25</v>
      </c>
      <c r="G255" s="7" t="s">
        <v>902</v>
      </c>
      <c r="H255" s="7" t="s">
        <v>903</v>
      </c>
      <c r="I255" s="124" t="s">
        <v>902</v>
      </c>
      <c r="J255" s="7">
        <v>9</v>
      </c>
      <c r="K255" s="124" t="s">
        <v>1628</v>
      </c>
      <c r="L255" s="20" t="s">
        <v>75</v>
      </c>
      <c r="M255" s="16">
        <v>92.679208882649746</v>
      </c>
      <c r="N255" s="16">
        <v>24.261840184529621</v>
      </c>
      <c r="O255" s="16">
        <v>382.75459798177081</v>
      </c>
      <c r="P255" s="16">
        <v>18.77850685119629</v>
      </c>
      <c r="Q255" s="147">
        <v>498.28351643880211</v>
      </c>
      <c r="R255" s="147">
        <v>18.581787109375</v>
      </c>
      <c r="S255" s="10">
        <v>0.84567844996061536</v>
      </c>
      <c r="T255" s="10">
        <v>3.0155314109636575</v>
      </c>
      <c r="U255" s="16">
        <v>6.8907516343252997E-2</v>
      </c>
      <c r="V255" s="16">
        <v>12.872628573255236</v>
      </c>
      <c r="W255" s="10">
        <v>9.8570971622915788</v>
      </c>
      <c r="X255" s="10" t="s">
        <v>902</v>
      </c>
      <c r="Y255" s="10">
        <v>2.85</v>
      </c>
      <c r="Z255" s="10">
        <v>3.5333333333333332</v>
      </c>
      <c r="AA255" s="20" t="s">
        <v>239</v>
      </c>
      <c r="AB255" s="7">
        <v>1962.9</v>
      </c>
      <c r="AC255" s="7">
        <v>651.9</v>
      </c>
      <c r="AD255" s="7">
        <v>0.33211524604726606</v>
      </c>
      <c r="AE255" s="7" t="s">
        <v>3</v>
      </c>
      <c r="AF255" s="20" t="s">
        <v>8</v>
      </c>
      <c r="AG255" s="11" t="s">
        <v>864</v>
      </c>
      <c r="AH255" s="7" t="s">
        <v>1331</v>
      </c>
    </row>
    <row r="256" spans="1:34" s="7" customFormat="1" ht="16.5" customHeight="1">
      <c r="A256" s="7">
        <v>2012</v>
      </c>
      <c r="B256" s="12">
        <v>41099</v>
      </c>
      <c r="C256" s="7" t="s">
        <v>22</v>
      </c>
      <c r="D256" s="9" t="s">
        <v>6</v>
      </c>
      <c r="E256" s="9" t="s">
        <v>14</v>
      </c>
      <c r="F256" s="9" t="s">
        <v>25</v>
      </c>
      <c r="G256" s="7" t="s">
        <v>902</v>
      </c>
      <c r="H256" s="7" t="s">
        <v>903</v>
      </c>
      <c r="I256" s="124" t="s">
        <v>902</v>
      </c>
      <c r="J256" s="7">
        <v>23</v>
      </c>
      <c r="K256" s="124" t="s">
        <v>848</v>
      </c>
      <c r="L256" s="20" t="s">
        <v>907</v>
      </c>
      <c r="M256" s="16">
        <v>92.637960306803379</v>
      </c>
      <c r="N256" s="16">
        <v>24.177345911661785</v>
      </c>
      <c r="O256" s="16">
        <v>371.63144327799478</v>
      </c>
      <c r="P256" s="16">
        <v>19.050413258870442</v>
      </c>
      <c r="Q256" s="147">
        <v>499.63603515624999</v>
      </c>
      <c r="R256" s="147">
        <v>65.611968994140625</v>
      </c>
      <c r="S256" s="10">
        <v>0.84567844996061536</v>
      </c>
      <c r="T256" s="10">
        <v>2.3406465985526013</v>
      </c>
      <c r="U256" s="16">
        <v>5.4927381249361258E-2</v>
      </c>
      <c r="V256" s="16">
        <v>12.872628573255236</v>
      </c>
      <c r="W256" s="10">
        <v>10.531981974702635</v>
      </c>
      <c r="X256" s="10" t="s">
        <v>902</v>
      </c>
      <c r="Y256" s="10">
        <v>2.85</v>
      </c>
      <c r="Z256" s="10">
        <v>3.5333333333333332</v>
      </c>
      <c r="AA256" s="20" t="s">
        <v>226</v>
      </c>
      <c r="AB256" s="7">
        <v>1210.3000000000002</v>
      </c>
      <c r="AC256" s="7">
        <v>600.54999999999995</v>
      </c>
      <c r="AD256" s="7">
        <v>0.49620041491215472</v>
      </c>
      <c r="AE256" s="7" t="s">
        <v>3</v>
      </c>
      <c r="AF256" s="20" t="s">
        <v>8</v>
      </c>
      <c r="AG256" s="11" t="s">
        <v>928</v>
      </c>
      <c r="AH256" s="7" t="s">
        <v>1332</v>
      </c>
    </row>
    <row r="257" spans="1:34" s="7" customFormat="1" ht="16.5" customHeight="1">
      <c r="A257" s="7">
        <v>2012</v>
      </c>
      <c r="B257" s="12">
        <v>41099</v>
      </c>
      <c r="C257" s="7" t="s">
        <v>22</v>
      </c>
      <c r="D257" s="9" t="s">
        <v>6</v>
      </c>
      <c r="E257" s="9" t="s">
        <v>14</v>
      </c>
      <c r="F257" s="9" t="s">
        <v>25</v>
      </c>
      <c r="G257" s="7" t="s">
        <v>902</v>
      </c>
      <c r="H257" s="7" t="s">
        <v>903</v>
      </c>
      <c r="I257" s="124" t="s">
        <v>902</v>
      </c>
      <c r="J257" s="7">
        <v>24</v>
      </c>
      <c r="K257" s="124" t="s">
        <v>849</v>
      </c>
      <c r="L257" s="20" t="s">
        <v>907</v>
      </c>
      <c r="M257" s="16">
        <v>92.660305658976242</v>
      </c>
      <c r="N257" s="16">
        <v>24.24845043818156</v>
      </c>
      <c r="O257" s="16">
        <v>368.19460296630859</v>
      </c>
      <c r="P257" s="16">
        <v>18.695983091990154</v>
      </c>
      <c r="Q257" s="147">
        <v>505.14706929524738</v>
      </c>
      <c r="R257" s="147">
        <v>13.18878173828125</v>
      </c>
      <c r="S257" s="10">
        <v>0.84567844996061536</v>
      </c>
      <c r="T257" s="10">
        <v>1.803708442591313</v>
      </c>
      <c r="U257" s="16">
        <v>5.3644110272814342E-2</v>
      </c>
      <c r="V257" s="16">
        <v>12.872628573255236</v>
      </c>
      <c r="W257" s="10">
        <v>11.068920130663923</v>
      </c>
      <c r="X257" s="10" t="s">
        <v>902</v>
      </c>
      <c r="Y257" s="10">
        <v>2.85</v>
      </c>
      <c r="Z257" s="10">
        <v>3.5333333333333332</v>
      </c>
      <c r="AA257" s="20" t="s">
        <v>224</v>
      </c>
      <c r="AB257" s="7">
        <v>1594.85</v>
      </c>
      <c r="AC257" s="7">
        <v>522.5</v>
      </c>
      <c r="AD257" s="7">
        <v>0.32761707169372711</v>
      </c>
      <c r="AE257" s="7" t="s">
        <v>3</v>
      </c>
      <c r="AF257" s="20" t="s">
        <v>8</v>
      </c>
      <c r="AG257" s="11" t="s">
        <v>928</v>
      </c>
      <c r="AH257" s="7" t="s">
        <v>1333</v>
      </c>
    </row>
    <row r="258" spans="1:34" s="7" customFormat="1" ht="16.5" customHeight="1">
      <c r="A258" s="7">
        <v>2012</v>
      </c>
      <c r="B258" s="12">
        <v>41099</v>
      </c>
      <c r="C258" s="7" t="s">
        <v>22</v>
      </c>
      <c r="D258" s="9" t="s">
        <v>6</v>
      </c>
      <c r="E258" s="9" t="s">
        <v>14</v>
      </c>
      <c r="F258" s="9" t="s">
        <v>25</v>
      </c>
      <c r="G258" s="7" t="s">
        <v>902</v>
      </c>
      <c r="H258" s="7" t="s">
        <v>903</v>
      </c>
      <c r="I258" s="124" t="s">
        <v>902</v>
      </c>
      <c r="J258" s="7">
        <v>10</v>
      </c>
      <c r="K258" s="124" t="s">
        <v>841</v>
      </c>
      <c r="L258" s="20" t="s">
        <v>74</v>
      </c>
      <c r="M258" s="16">
        <v>92.681219736735031</v>
      </c>
      <c r="N258" s="16">
        <v>24.504005750020344</v>
      </c>
      <c r="O258" s="16">
        <v>373.14167785644531</v>
      </c>
      <c r="P258" s="16">
        <v>19.102478663126629</v>
      </c>
      <c r="Q258" s="147">
        <v>510.60635884602863</v>
      </c>
      <c r="R258" s="147">
        <v>57.098297119140625</v>
      </c>
      <c r="S258" s="10">
        <v>0.84567844996061536</v>
      </c>
      <c r="T258" s="10">
        <v>3.2475945441884386</v>
      </c>
      <c r="U258" s="16">
        <v>7.4520383562360487E-2</v>
      </c>
      <c r="V258" s="16">
        <v>12.872628573255236</v>
      </c>
      <c r="W258" s="10">
        <v>9.6250340290667964</v>
      </c>
      <c r="X258" s="10" t="s">
        <v>902</v>
      </c>
      <c r="Y258" s="10">
        <v>2.85</v>
      </c>
      <c r="Z258" s="10">
        <v>3.5333333333333332</v>
      </c>
      <c r="AA258" s="20" t="s">
        <v>235</v>
      </c>
      <c r="AB258" s="7">
        <v>1481.9</v>
      </c>
      <c r="AC258" s="7">
        <v>520.6</v>
      </c>
      <c r="AD258" s="7">
        <v>0.3522041429703382</v>
      </c>
      <c r="AE258" s="7" t="s">
        <v>3</v>
      </c>
      <c r="AF258" s="20" t="s">
        <v>8</v>
      </c>
      <c r="AG258" s="11" t="s">
        <v>864</v>
      </c>
      <c r="AH258" s="7" t="s">
        <v>1334</v>
      </c>
    </row>
    <row r="259" spans="1:34" s="7" customFormat="1" ht="16.5" customHeight="1">
      <c r="A259" s="7">
        <v>2012</v>
      </c>
      <c r="B259" s="12">
        <v>41099</v>
      </c>
      <c r="C259" s="7" t="s">
        <v>22</v>
      </c>
      <c r="D259" s="9" t="s">
        <v>6</v>
      </c>
      <c r="E259" s="9" t="s">
        <v>14</v>
      </c>
      <c r="F259" s="9" t="s">
        <v>25</v>
      </c>
      <c r="G259" s="7" t="s">
        <v>902</v>
      </c>
      <c r="H259" s="7" t="s">
        <v>903</v>
      </c>
      <c r="I259" s="124" t="s">
        <v>902</v>
      </c>
      <c r="J259" s="7">
        <v>25</v>
      </c>
      <c r="K259" s="124" t="s">
        <v>1629</v>
      </c>
      <c r="L259" s="20" t="s">
        <v>907</v>
      </c>
      <c r="M259" s="16">
        <v>92.936541239420578</v>
      </c>
      <c r="N259" s="16">
        <v>25.614870071411133</v>
      </c>
      <c r="O259" s="16">
        <v>379.08468288845484</v>
      </c>
      <c r="P259" s="16">
        <v>18.63999801211887</v>
      </c>
      <c r="Q259" s="147">
        <v>552.47881740993921</v>
      </c>
      <c r="R259" s="147">
        <v>6.43060302734375</v>
      </c>
      <c r="S259" s="10">
        <v>0.84567844996061536</v>
      </c>
      <c r="T259" s="10">
        <v>-5.7478968036407716</v>
      </c>
      <c r="U259" s="16">
        <v>6.1977235894454155E-2</v>
      </c>
      <c r="V259" s="16">
        <v>12.872628573255236</v>
      </c>
      <c r="W259" s="10">
        <v>18.620525376896008</v>
      </c>
      <c r="X259" s="10" t="s">
        <v>902</v>
      </c>
      <c r="Y259" s="10">
        <v>2.85</v>
      </c>
      <c r="Z259" s="10">
        <v>3.5333333333333332</v>
      </c>
      <c r="AA259" s="20" t="s">
        <v>222</v>
      </c>
      <c r="AB259" s="9" t="s">
        <v>902</v>
      </c>
      <c r="AC259" s="9" t="s">
        <v>902</v>
      </c>
      <c r="AD259" s="9" t="s">
        <v>902</v>
      </c>
      <c r="AE259" s="7" t="s">
        <v>3</v>
      </c>
      <c r="AF259" s="20" t="s">
        <v>8</v>
      </c>
      <c r="AG259" s="11" t="s">
        <v>928</v>
      </c>
      <c r="AH259" s="7" t="s">
        <v>1323</v>
      </c>
    </row>
    <row r="260" spans="1:34" s="7" customFormat="1" ht="16.5" customHeight="1">
      <c r="A260" s="7">
        <v>2012</v>
      </c>
      <c r="B260" s="12">
        <v>41099</v>
      </c>
      <c r="C260" s="7" t="s">
        <v>22</v>
      </c>
      <c r="D260" s="9" t="s">
        <v>6</v>
      </c>
      <c r="E260" s="9" t="s">
        <v>14</v>
      </c>
      <c r="F260" s="9" t="s">
        <v>25</v>
      </c>
      <c r="G260" s="7" t="s">
        <v>902</v>
      </c>
      <c r="H260" s="7" t="s">
        <v>903</v>
      </c>
      <c r="I260" s="124" t="s">
        <v>902</v>
      </c>
      <c r="J260" s="7">
        <v>26</v>
      </c>
      <c r="K260" s="124" t="s">
        <v>850</v>
      </c>
      <c r="L260" s="20" t="s">
        <v>908</v>
      </c>
      <c r="M260" s="16">
        <v>92.664397239685059</v>
      </c>
      <c r="N260" s="16">
        <v>24.550902128219604</v>
      </c>
      <c r="O260" s="16">
        <v>369.44518852233887</v>
      </c>
      <c r="P260" s="16">
        <v>17.209162652492523</v>
      </c>
      <c r="Q260" s="147">
        <v>653.16057586669922</v>
      </c>
      <c r="R260" s="147">
        <v>42.135986328125</v>
      </c>
      <c r="S260" s="10">
        <v>0.84567844996061536</v>
      </c>
      <c r="T260" s="10">
        <v>-0.9310148861052322</v>
      </c>
      <c r="U260" s="16">
        <v>5.8558463695767199E-2</v>
      </c>
      <c r="V260" s="16">
        <v>12.872628573255236</v>
      </c>
      <c r="W260" s="10">
        <v>13.803643459360469</v>
      </c>
      <c r="X260" s="10" t="s">
        <v>902</v>
      </c>
      <c r="Y260" s="10">
        <v>2.85</v>
      </c>
      <c r="Z260" s="10">
        <v>3.5333333333333332</v>
      </c>
      <c r="AA260" s="20" t="s">
        <v>223</v>
      </c>
      <c r="AB260" s="7">
        <v>1640</v>
      </c>
      <c r="AC260" s="7">
        <v>526.09999999999991</v>
      </c>
      <c r="AD260" s="7">
        <v>0.32079226627265867</v>
      </c>
      <c r="AE260" s="7" t="s">
        <v>3</v>
      </c>
      <c r="AF260" s="20" t="s">
        <v>8</v>
      </c>
      <c r="AG260" s="11" t="s">
        <v>928</v>
      </c>
      <c r="AH260" s="7" t="s">
        <v>1335</v>
      </c>
    </row>
    <row r="261" spans="1:34" s="7" customFormat="1" ht="16.5" customHeight="1">
      <c r="A261" s="7">
        <v>2012</v>
      </c>
      <c r="B261" s="12">
        <v>41099</v>
      </c>
      <c r="C261" s="7" t="s">
        <v>22</v>
      </c>
      <c r="D261" s="9" t="s">
        <v>6</v>
      </c>
      <c r="E261" s="9" t="s">
        <v>14</v>
      </c>
      <c r="F261" s="9" t="s">
        <v>25</v>
      </c>
      <c r="G261" s="7" t="s">
        <v>902</v>
      </c>
      <c r="H261" s="7" t="s">
        <v>903</v>
      </c>
      <c r="I261" s="124" t="s">
        <v>902</v>
      </c>
      <c r="J261" s="7">
        <v>11</v>
      </c>
      <c r="K261" s="124" t="s">
        <v>842</v>
      </c>
      <c r="L261" s="20" t="s">
        <v>74</v>
      </c>
      <c r="M261" s="16">
        <v>92.681365119086365</v>
      </c>
      <c r="N261" s="16">
        <v>23.286421881781685</v>
      </c>
      <c r="O261" s="16">
        <v>368.65160115559894</v>
      </c>
      <c r="P261" s="16">
        <v>15.852328300476074</v>
      </c>
      <c r="Q261" s="147">
        <v>785.38920084635413</v>
      </c>
      <c r="R261" s="147">
        <v>148.0828857421875</v>
      </c>
      <c r="S261" s="10">
        <v>0.84567844996061536</v>
      </c>
      <c r="T261" s="10">
        <v>-2.6211363975171325</v>
      </c>
      <c r="U261" s="16">
        <v>9.293750921885173E-2</v>
      </c>
      <c r="V261" s="16">
        <v>12.872628573255236</v>
      </c>
      <c r="W261" s="10">
        <v>15.493764970772368</v>
      </c>
      <c r="X261" s="10" t="s">
        <v>902</v>
      </c>
      <c r="Y261" s="10">
        <v>2.85</v>
      </c>
      <c r="Z261" s="10">
        <v>3.5333333333333332</v>
      </c>
      <c r="AA261" s="20" t="s">
        <v>236</v>
      </c>
      <c r="AB261" s="7">
        <v>1718.75</v>
      </c>
      <c r="AC261" s="7">
        <v>534.70000000000005</v>
      </c>
      <c r="AD261" s="7">
        <v>0.31117412112513887</v>
      </c>
      <c r="AE261" s="7" t="s">
        <v>3</v>
      </c>
      <c r="AF261" s="20" t="s">
        <v>8</v>
      </c>
      <c r="AG261" s="11" t="s">
        <v>864</v>
      </c>
      <c r="AH261" s="7" t="s">
        <v>1336</v>
      </c>
    </row>
    <row r="262" spans="1:34" s="7" customFormat="1" ht="16.5" customHeight="1">
      <c r="A262" s="7">
        <v>2012</v>
      </c>
      <c r="B262" s="12">
        <v>41099</v>
      </c>
      <c r="C262" s="7" t="s">
        <v>22</v>
      </c>
      <c r="D262" s="9" t="s">
        <v>6</v>
      </c>
      <c r="E262" s="9" t="s">
        <v>14</v>
      </c>
      <c r="F262" s="9" t="s">
        <v>25</v>
      </c>
      <c r="G262" s="7" t="s">
        <v>902</v>
      </c>
      <c r="H262" s="7" t="s">
        <v>903</v>
      </c>
      <c r="I262" s="124" t="s">
        <v>902</v>
      </c>
      <c r="J262" s="7">
        <v>27</v>
      </c>
      <c r="K262" s="124" t="s">
        <v>1630</v>
      </c>
      <c r="L262" s="20" t="s">
        <v>908</v>
      </c>
      <c r="M262" s="16">
        <v>92.683605739048545</v>
      </c>
      <c r="N262" s="16">
        <v>27.797564370291575</v>
      </c>
      <c r="O262" s="16">
        <v>364.90761021205356</v>
      </c>
      <c r="P262" s="16">
        <v>22.522983414786204</v>
      </c>
      <c r="Q262" s="147">
        <v>854.78660801478793</v>
      </c>
      <c r="R262" s="147">
        <v>19.7296142578125</v>
      </c>
      <c r="S262" s="10">
        <v>0.84567844996061536</v>
      </c>
      <c r="T262" s="10">
        <v>-7.9285478869345098</v>
      </c>
      <c r="U262" s="16">
        <v>0.10140438918228988</v>
      </c>
      <c r="V262" s="16">
        <v>12.872628573255236</v>
      </c>
      <c r="W262" s="10">
        <v>20.801176460189744</v>
      </c>
      <c r="X262" s="10" t="s">
        <v>902</v>
      </c>
      <c r="Y262" s="10">
        <v>2.85</v>
      </c>
      <c r="Z262" s="10">
        <v>3.5333333333333332</v>
      </c>
      <c r="AA262" s="20" t="s">
        <v>219</v>
      </c>
      <c r="AB262" s="7">
        <v>1735.25</v>
      </c>
      <c r="AC262" s="7">
        <v>710.4</v>
      </c>
      <c r="AD262" s="7">
        <v>0.41087930951247031</v>
      </c>
      <c r="AE262" s="7" t="s">
        <v>3</v>
      </c>
      <c r="AF262" s="20" t="s">
        <v>8</v>
      </c>
      <c r="AG262" s="11" t="s">
        <v>928</v>
      </c>
      <c r="AH262" s="7" t="s">
        <v>1337</v>
      </c>
    </row>
    <row r="263" spans="1:34" s="7" customFormat="1" ht="16.5" customHeight="1">
      <c r="A263" s="7">
        <v>2012</v>
      </c>
      <c r="B263" s="12">
        <v>41099</v>
      </c>
      <c r="C263" s="7" t="s">
        <v>22</v>
      </c>
      <c r="D263" s="9" t="s">
        <v>6</v>
      </c>
      <c r="E263" s="9" t="s">
        <v>14</v>
      </c>
      <c r="F263" s="9" t="s">
        <v>25</v>
      </c>
      <c r="G263" s="7" t="s">
        <v>902</v>
      </c>
      <c r="H263" s="7" t="s">
        <v>903</v>
      </c>
      <c r="I263" s="124" t="s">
        <v>902</v>
      </c>
      <c r="J263" s="7">
        <v>12</v>
      </c>
      <c r="K263" s="124" t="s">
        <v>1631</v>
      </c>
      <c r="L263" s="20" t="s">
        <v>74</v>
      </c>
      <c r="M263" s="16">
        <v>92.680901376824636</v>
      </c>
      <c r="N263" s="16">
        <v>27.940162056370784</v>
      </c>
      <c r="O263" s="16">
        <v>371.8322609349301</v>
      </c>
      <c r="P263" s="16">
        <v>21.586078643798828</v>
      </c>
      <c r="Q263" s="147">
        <v>1058.0005557411596</v>
      </c>
      <c r="R263" s="147">
        <v>66.04144287109375</v>
      </c>
      <c r="S263" s="10">
        <v>0.84567844996061536</v>
      </c>
      <c r="T263" s="10">
        <v>-2.8225306701084762</v>
      </c>
      <c r="U263" s="16">
        <v>0.10638646410222639</v>
      </c>
      <c r="V263" s="16">
        <v>12.872628573255236</v>
      </c>
      <c r="W263" s="10">
        <v>15.695159243363712</v>
      </c>
      <c r="X263" s="10" t="s">
        <v>902</v>
      </c>
      <c r="Y263" s="10">
        <v>2.85</v>
      </c>
      <c r="Z263" s="10">
        <v>3.5333333333333332</v>
      </c>
      <c r="AA263" s="20" t="s">
        <v>234</v>
      </c>
      <c r="AB263" s="7">
        <v>1894.55</v>
      </c>
      <c r="AC263" s="7">
        <v>637.84999999999991</v>
      </c>
      <c r="AD263" s="7">
        <v>0.33667688740708074</v>
      </c>
      <c r="AE263" s="7" t="s">
        <v>3</v>
      </c>
      <c r="AF263" s="20" t="s">
        <v>8</v>
      </c>
      <c r="AG263" s="11" t="s">
        <v>864</v>
      </c>
      <c r="AH263" s="7" t="s">
        <v>1323</v>
      </c>
    </row>
    <row r="264" spans="1:34" s="7" customFormat="1" ht="16.5" customHeight="1">
      <c r="A264" s="7">
        <v>2012</v>
      </c>
      <c r="B264" s="12">
        <v>41099</v>
      </c>
      <c r="C264" s="7" t="s">
        <v>22</v>
      </c>
      <c r="D264" s="9" t="s">
        <v>6</v>
      </c>
      <c r="E264" s="9" t="s">
        <v>14</v>
      </c>
      <c r="F264" s="9" t="s">
        <v>25</v>
      </c>
      <c r="G264" s="7" t="s">
        <v>902</v>
      </c>
      <c r="H264" s="7" t="s">
        <v>903</v>
      </c>
      <c r="I264" s="124" t="s">
        <v>902</v>
      </c>
      <c r="J264" s="7">
        <v>21</v>
      </c>
      <c r="K264" s="124" t="s">
        <v>846</v>
      </c>
      <c r="L264" s="20" t="s">
        <v>912</v>
      </c>
      <c r="M264" s="16">
        <v>92.681156158447266</v>
      </c>
      <c r="N264" s="16">
        <v>27.823198742336697</v>
      </c>
      <c r="O264" s="16">
        <v>372.47689310709637</v>
      </c>
      <c r="P264" s="16">
        <v>20.867768605550129</v>
      </c>
      <c r="Q264" s="147">
        <v>1058.1408284505208</v>
      </c>
      <c r="R264" s="147">
        <v>19.019775390625</v>
      </c>
      <c r="S264" s="10">
        <v>0.84567844996061536</v>
      </c>
      <c r="T264" s="10">
        <v>-2.9618779760149758</v>
      </c>
      <c r="U264" s="16">
        <v>0.11106966943839064</v>
      </c>
      <c r="V264" s="16">
        <v>12.872628573255236</v>
      </c>
      <c r="W264" s="10">
        <v>15.834506549270213</v>
      </c>
      <c r="X264" s="10" t="s">
        <v>902</v>
      </c>
      <c r="Y264" s="10">
        <v>2.85</v>
      </c>
      <c r="Z264" s="10">
        <v>3.5333333333333332</v>
      </c>
      <c r="AA264" s="20" t="s">
        <v>227</v>
      </c>
      <c r="AB264" s="7">
        <v>1715.7</v>
      </c>
      <c r="AC264" s="7">
        <v>518.20000000000005</v>
      </c>
      <c r="AD264" s="7">
        <v>0.30203485449437184</v>
      </c>
      <c r="AE264" s="7" t="s">
        <v>3</v>
      </c>
      <c r="AF264" s="20" t="s">
        <v>8</v>
      </c>
      <c r="AG264" s="11" t="s">
        <v>928</v>
      </c>
      <c r="AH264" s="7" t="s">
        <v>1338</v>
      </c>
    </row>
    <row r="265" spans="1:34" s="7" customFormat="1" ht="16.5" customHeight="1">
      <c r="A265" s="7">
        <v>2012</v>
      </c>
      <c r="B265" s="12">
        <v>41099</v>
      </c>
      <c r="C265" s="7" t="s">
        <v>22</v>
      </c>
      <c r="D265" s="9" t="s">
        <v>6</v>
      </c>
      <c r="E265" s="9" t="s">
        <v>14</v>
      </c>
      <c r="F265" s="9" t="s">
        <v>25</v>
      </c>
      <c r="G265" s="7" t="s">
        <v>902</v>
      </c>
      <c r="H265" s="7" t="s">
        <v>903</v>
      </c>
      <c r="I265" s="124" t="s">
        <v>902</v>
      </c>
      <c r="J265" s="7">
        <v>13</v>
      </c>
      <c r="K265" s="124" t="s">
        <v>1632</v>
      </c>
      <c r="L265" s="20" t="s">
        <v>74</v>
      </c>
      <c r="M265" s="16">
        <v>92.6851806640625</v>
      </c>
      <c r="N265" s="16">
        <v>25.102725480732165</v>
      </c>
      <c r="O265" s="16">
        <v>370.80667114257812</v>
      </c>
      <c r="P265" s="16">
        <v>20.535142697786029</v>
      </c>
      <c r="Q265" s="147">
        <v>1088.7901996813323</v>
      </c>
      <c r="R265" s="147">
        <v>18.0601806640625</v>
      </c>
      <c r="S265" s="10">
        <v>0.84567844996061536</v>
      </c>
      <c r="T265" s="10">
        <v>-2.3947597897100912</v>
      </c>
      <c r="U265" s="16">
        <v>6.7615186122425813E-2</v>
      </c>
      <c r="V265" s="16">
        <v>12.872628573255236</v>
      </c>
      <c r="W265" s="10">
        <v>15.267388362965328</v>
      </c>
      <c r="X265" s="10" t="s">
        <v>902</v>
      </c>
      <c r="Y265" s="10">
        <v>2.85</v>
      </c>
      <c r="Z265" s="10">
        <v>3.5333333333333332</v>
      </c>
      <c r="AA265" s="20" t="s">
        <v>237</v>
      </c>
      <c r="AB265" s="7">
        <v>1894.55</v>
      </c>
      <c r="AC265" s="7">
        <v>637.84999999999991</v>
      </c>
      <c r="AD265" s="7">
        <v>0.33667688740708074</v>
      </c>
      <c r="AE265" s="7" t="s">
        <v>3</v>
      </c>
      <c r="AF265" s="20" t="s">
        <v>8</v>
      </c>
      <c r="AG265" s="11" t="s">
        <v>864</v>
      </c>
      <c r="AH265" s="7" t="s">
        <v>1323</v>
      </c>
    </row>
    <row r="266" spans="1:34" s="7" customFormat="1" ht="16.5" customHeight="1">
      <c r="A266" s="7">
        <v>2012</v>
      </c>
      <c r="B266" s="12">
        <v>41099</v>
      </c>
      <c r="C266" s="7" t="s">
        <v>22</v>
      </c>
      <c r="D266" s="9" t="s">
        <v>6</v>
      </c>
      <c r="E266" s="9" t="s">
        <v>14</v>
      </c>
      <c r="F266" s="9" t="s">
        <v>25</v>
      </c>
      <c r="G266" s="7" t="s">
        <v>902</v>
      </c>
      <c r="H266" s="7" t="s">
        <v>903</v>
      </c>
      <c r="I266" s="124" t="s">
        <v>902</v>
      </c>
      <c r="J266" s="7">
        <v>14</v>
      </c>
      <c r="K266" s="124" t="s">
        <v>1633</v>
      </c>
      <c r="L266" s="20" t="s">
        <v>909</v>
      </c>
      <c r="M266" s="16">
        <v>92.697669581363073</v>
      </c>
      <c r="N266" s="16">
        <v>27.748285695126182</v>
      </c>
      <c r="O266" s="16">
        <v>360.47900069387333</v>
      </c>
      <c r="P266" s="16">
        <v>23.379763553017064</v>
      </c>
      <c r="Q266" s="147">
        <v>1427.8650352076481</v>
      </c>
      <c r="R266" s="147">
        <v>97.24560546875</v>
      </c>
      <c r="S266" s="10">
        <v>0.84567844996061536</v>
      </c>
      <c r="T266" s="10">
        <v>-6.663353847836869</v>
      </c>
      <c r="U266" s="16">
        <v>8.0179595947265619E-2</v>
      </c>
      <c r="V266" s="16">
        <v>12.872628573255236</v>
      </c>
      <c r="W266" s="10">
        <v>19.535982421092104</v>
      </c>
      <c r="X266" s="10" t="s">
        <v>902</v>
      </c>
      <c r="Y266" s="10">
        <v>2.85</v>
      </c>
      <c r="Z266" s="10">
        <v>3.5333333333333332</v>
      </c>
      <c r="AA266" s="20" t="s">
        <v>244</v>
      </c>
      <c r="AB266" s="9" t="s">
        <v>902</v>
      </c>
      <c r="AC266" s="9" t="s">
        <v>902</v>
      </c>
      <c r="AD266" s="9" t="s">
        <v>902</v>
      </c>
      <c r="AE266" s="7" t="s">
        <v>3</v>
      </c>
      <c r="AF266" s="20" t="s">
        <v>8</v>
      </c>
      <c r="AG266" s="11" t="s">
        <v>864</v>
      </c>
      <c r="AH266" s="7" t="s">
        <v>1323</v>
      </c>
    </row>
    <row r="267" spans="1:34" s="7" customFormat="1" ht="16.5" customHeight="1">
      <c r="A267" s="7">
        <v>2012</v>
      </c>
      <c r="B267" s="12">
        <v>41099</v>
      </c>
      <c r="C267" s="7" t="s">
        <v>22</v>
      </c>
      <c r="D267" s="9" t="s">
        <v>6</v>
      </c>
      <c r="E267" s="9" t="s">
        <v>14</v>
      </c>
      <c r="F267" s="9" t="s">
        <v>25</v>
      </c>
      <c r="G267" s="7" t="s">
        <v>902</v>
      </c>
      <c r="H267" s="7" t="s">
        <v>903</v>
      </c>
      <c r="I267" s="124" t="s">
        <v>902</v>
      </c>
      <c r="J267" s="7">
        <v>15</v>
      </c>
      <c r="K267" s="124" t="s">
        <v>1634</v>
      </c>
      <c r="L267" s="20" t="s">
        <v>909</v>
      </c>
      <c r="M267" s="16">
        <v>92.694576062654193</v>
      </c>
      <c r="N267" s="16">
        <v>27.666306345086348</v>
      </c>
      <c r="O267" s="16">
        <v>362.86097315738078</v>
      </c>
      <c r="P267" s="16">
        <v>20.692489724410208</v>
      </c>
      <c r="Q267" s="147">
        <v>1521.2772088301808</v>
      </c>
      <c r="R267" s="147">
        <v>134.977783203125</v>
      </c>
      <c r="S267" s="10">
        <v>0.84567844996061536</v>
      </c>
      <c r="T267" s="10">
        <v>-7.6238601783364688</v>
      </c>
      <c r="U267" s="16">
        <v>0.11407610909980639</v>
      </c>
      <c r="V267" s="16">
        <v>12.872628573255236</v>
      </c>
      <c r="W267" s="10">
        <v>20.496488751591706</v>
      </c>
      <c r="X267" s="10" t="s">
        <v>902</v>
      </c>
      <c r="Y267" s="10">
        <v>2.85</v>
      </c>
      <c r="Z267" s="10">
        <v>3.5333333333333332</v>
      </c>
      <c r="AA267" s="20" t="s">
        <v>245</v>
      </c>
      <c r="AB267" s="9" t="s">
        <v>902</v>
      </c>
      <c r="AC267" s="9" t="s">
        <v>902</v>
      </c>
      <c r="AD267" s="9" t="s">
        <v>902</v>
      </c>
      <c r="AE267" s="7" t="s">
        <v>3</v>
      </c>
      <c r="AF267" s="20" t="s">
        <v>8</v>
      </c>
      <c r="AG267" s="11" t="s">
        <v>864</v>
      </c>
      <c r="AH267" s="7" t="s">
        <v>1323</v>
      </c>
    </row>
    <row r="268" spans="1:34" s="7" customFormat="1" ht="16.5" customHeight="1">
      <c r="A268" s="7">
        <v>2012</v>
      </c>
      <c r="B268" s="12">
        <v>41101</v>
      </c>
      <c r="C268" s="7" t="s">
        <v>22</v>
      </c>
      <c r="D268" s="9" t="s">
        <v>6</v>
      </c>
      <c r="E268" s="9" t="s">
        <v>15</v>
      </c>
      <c r="F268" s="9" t="s">
        <v>25</v>
      </c>
      <c r="G268" s="7" t="s">
        <v>902</v>
      </c>
      <c r="H268" s="7" t="s">
        <v>903</v>
      </c>
      <c r="I268" s="124" t="s">
        <v>902</v>
      </c>
      <c r="J268" s="7">
        <v>1</v>
      </c>
      <c r="K268" s="124" t="s">
        <v>1635</v>
      </c>
      <c r="L268" s="20" t="s">
        <v>904</v>
      </c>
      <c r="M268" s="16">
        <v>92.388624492444492</v>
      </c>
      <c r="N268" s="16">
        <v>22.311619206478721</v>
      </c>
      <c r="O268" s="16">
        <v>403.08892822265625</v>
      </c>
      <c r="P268" s="16">
        <v>18.528691843936318</v>
      </c>
      <c r="Q268" s="147">
        <v>6.2230087914749196E-2</v>
      </c>
      <c r="R268" s="147">
        <v>0.15916423872113228</v>
      </c>
      <c r="S268" s="10">
        <v>0.82029346055503483</v>
      </c>
      <c r="T268" s="10">
        <v>-12.364659533001072</v>
      </c>
      <c r="U268" s="16">
        <v>4.8828648684317605E-2</v>
      </c>
      <c r="V268" s="16">
        <v>11.48446034788857</v>
      </c>
      <c r="W268" s="10">
        <v>0</v>
      </c>
      <c r="X268" s="10" t="s">
        <v>902</v>
      </c>
      <c r="Y268" s="10">
        <v>1.8</v>
      </c>
      <c r="Z268" s="10">
        <v>2.9000000000000004</v>
      </c>
      <c r="AA268" s="20" t="s">
        <v>280</v>
      </c>
      <c r="AB268" s="7">
        <v>1528.3</v>
      </c>
      <c r="AC268" s="7">
        <v>205.1</v>
      </c>
      <c r="AD268" s="7">
        <v>0.13420140024864227</v>
      </c>
      <c r="AE268" s="7" t="s">
        <v>3</v>
      </c>
      <c r="AF268" s="20" t="s">
        <v>27</v>
      </c>
      <c r="AG268" s="11" t="s">
        <v>607</v>
      </c>
      <c r="AH268" s="7" t="s">
        <v>1242</v>
      </c>
    </row>
    <row r="269" spans="1:34" s="7" customFormat="1" ht="16.5" customHeight="1">
      <c r="A269" s="7">
        <v>2012</v>
      </c>
      <c r="B269" s="12">
        <v>41101</v>
      </c>
      <c r="C269" s="7" t="s">
        <v>22</v>
      </c>
      <c r="D269" s="9" t="s">
        <v>6</v>
      </c>
      <c r="E269" s="9" t="s">
        <v>15</v>
      </c>
      <c r="F269" s="9" t="s">
        <v>25</v>
      </c>
      <c r="G269" s="7" t="s">
        <v>902</v>
      </c>
      <c r="H269" s="7" t="s">
        <v>903</v>
      </c>
      <c r="I269" s="124" t="s">
        <v>902</v>
      </c>
      <c r="J269" s="7">
        <v>2</v>
      </c>
      <c r="K269" s="124" t="s">
        <v>1636</v>
      </c>
      <c r="L269" s="20" t="s">
        <v>904</v>
      </c>
      <c r="M269" s="16">
        <v>92.39455373663651</v>
      </c>
      <c r="N269" s="16">
        <v>21.49389768901624</v>
      </c>
      <c r="O269" s="16">
        <v>392.23172639545641</v>
      </c>
      <c r="P269" s="16">
        <v>18.235270650763262</v>
      </c>
      <c r="Q269" s="147">
        <v>6.4765631919726729E-2</v>
      </c>
      <c r="R269" s="147">
        <v>0.19260814762674272</v>
      </c>
      <c r="S269" s="10">
        <v>0.82029346055503483</v>
      </c>
      <c r="T269" s="10">
        <v>-10.996075071958344</v>
      </c>
      <c r="U269" s="16">
        <v>4.162053559955798E-2</v>
      </c>
      <c r="V269" s="16">
        <v>11.48446034788857</v>
      </c>
      <c r="W269" s="10">
        <v>0</v>
      </c>
      <c r="X269" s="10" t="s">
        <v>902</v>
      </c>
      <c r="Y269" s="10">
        <v>1.8</v>
      </c>
      <c r="Z269" s="10">
        <v>2.9000000000000004</v>
      </c>
      <c r="AA269" s="20" t="s">
        <v>278</v>
      </c>
      <c r="AB269" s="7">
        <v>1521</v>
      </c>
      <c r="AC269" s="7">
        <v>205.1</v>
      </c>
      <c r="AD269" s="7">
        <v>0.13484549638395793</v>
      </c>
      <c r="AE269" s="7" t="s">
        <v>3</v>
      </c>
      <c r="AF269" s="20" t="s">
        <v>27</v>
      </c>
      <c r="AG269" s="11" t="s">
        <v>607</v>
      </c>
      <c r="AH269" s="7" t="s">
        <v>1242</v>
      </c>
    </row>
    <row r="270" spans="1:34" s="7" customFormat="1" ht="16.5" customHeight="1">
      <c r="A270" s="7">
        <v>2012</v>
      </c>
      <c r="B270" s="12">
        <v>41101</v>
      </c>
      <c r="C270" s="7" t="s">
        <v>22</v>
      </c>
      <c r="D270" s="9" t="s">
        <v>6</v>
      </c>
      <c r="E270" s="9" t="s">
        <v>15</v>
      </c>
      <c r="F270" s="9" t="s">
        <v>25</v>
      </c>
      <c r="G270" s="7" t="s">
        <v>902</v>
      </c>
      <c r="H270" s="7" t="s">
        <v>903</v>
      </c>
      <c r="I270" s="124" t="s">
        <v>902</v>
      </c>
      <c r="J270" s="7">
        <v>3</v>
      </c>
      <c r="K270" s="124" t="s">
        <v>1637</v>
      </c>
      <c r="L270" s="20" t="s">
        <v>904</v>
      </c>
      <c r="M270" s="16">
        <v>92.39170596474095</v>
      </c>
      <c r="N270" s="16">
        <v>21.627885216160823</v>
      </c>
      <c r="O270" s="16">
        <v>385.18764455694901</v>
      </c>
      <c r="P270" s="16">
        <v>16.397604741548236</v>
      </c>
      <c r="Q270" s="147">
        <v>0.10130076355447895</v>
      </c>
      <c r="R270" s="147">
        <v>0.24075069930404425</v>
      </c>
      <c r="S270" s="10">
        <v>0.82029346055503483</v>
      </c>
      <c r="T270" s="10">
        <v>-11.092646438706288</v>
      </c>
      <c r="U270" s="16">
        <v>6.5087429682413739E-2</v>
      </c>
      <c r="V270" s="16">
        <v>11.48446034788857</v>
      </c>
      <c r="W270" s="10">
        <v>0</v>
      </c>
      <c r="X270" s="10" t="s">
        <v>902</v>
      </c>
      <c r="Y270" s="10">
        <v>1.8</v>
      </c>
      <c r="Z270" s="10">
        <v>2.9000000000000004</v>
      </c>
      <c r="AA270" s="20" t="s">
        <v>279</v>
      </c>
      <c r="AB270" s="7">
        <v>1525.9</v>
      </c>
      <c r="AC270" s="7">
        <v>205.1</v>
      </c>
      <c r="AD270" s="7">
        <v>0.13441247788190575</v>
      </c>
      <c r="AE270" s="7" t="s">
        <v>3</v>
      </c>
      <c r="AF270" s="20" t="s">
        <v>27</v>
      </c>
      <c r="AG270" s="11" t="s">
        <v>607</v>
      </c>
      <c r="AH270" s="7" t="s">
        <v>1242</v>
      </c>
    </row>
    <row r="271" spans="1:34" s="7" customFormat="1" ht="16.5" customHeight="1">
      <c r="A271" s="7">
        <v>2012</v>
      </c>
      <c r="B271" s="12">
        <v>41101</v>
      </c>
      <c r="C271" s="7" t="s">
        <v>22</v>
      </c>
      <c r="D271" s="9" t="s">
        <v>6</v>
      </c>
      <c r="E271" s="9" t="s">
        <v>15</v>
      </c>
      <c r="F271" s="9" t="s">
        <v>25</v>
      </c>
      <c r="G271" s="7" t="s">
        <v>902</v>
      </c>
      <c r="H271" s="7" t="s">
        <v>903</v>
      </c>
      <c r="I271" s="124" t="s">
        <v>902</v>
      </c>
      <c r="J271" s="7">
        <v>21</v>
      </c>
      <c r="K271" s="124" t="s">
        <v>1638</v>
      </c>
      <c r="L271" s="20" t="s">
        <v>918</v>
      </c>
      <c r="M271" s="16">
        <v>92.407508047003489</v>
      </c>
      <c r="N271" s="16">
        <v>18.335497805946751</v>
      </c>
      <c r="O271" s="16">
        <v>387.42319689298932</v>
      </c>
      <c r="P271" s="16">
        <v>15.474938292252389</v>
      </c>
      <c r="Q271" s="147">
        <v>59.361127552233242</v>
      </c>
      <c r="R271" s="147">
        <v>12.389167785644531</v>
      </c>
      <c r="S271" s="10">
        <v>0.82029346055503483</v>
      </c>
      <c r="T271" s="10">
        <v>-6.4596814373973936</v>
      </c>
      <c r="U271" s="16">
        <v>4.191052788182309E-2</v>
      </c>
      <c r="V271" s="16">
        <v>11.48446034788857</v>
      </c>
      <c r="W271" s="10">
        <v>17.944141785285964</v>
      </c>
      <c r="X271" s="10" t="s">
        <v>902</v>
      </c>
      <c r="Y271" s="10">
        <v>1.8</v>
      </c>
      <c r="Z271" s="10">
        <v>2.9000000000000004</v>
      </c>
      <c r="AA271" s="20" t="s">
        <v>270</v>
      </c>
      <c r="AB271" s="7">
        <v>1401.4</v>
      </c>
      <c r="AC271" s="7">
        <v>201.4</v>
      </c>
      <c r="AD271" s="7">
        <v>0.14371342942771514</v>
      </c>
      <c r="AE271" s="7" t="s">
        <v>3</v>
      </c>
      <c r="AF271" s="20" t="s">
        <v>27</v>
      </c>
      <c r="AG271" s="11" t="s">
        <v>928</v>
      </c>
      <c r="AH271" s="7" t="s">
        <v>1242</v>
      </c>
    </row>
    <row r="272" spans="1:34" s="7" customFormat="1" ht="16.5" customHeight="1">
      <c r="A272" s="7">
        <v>2012</v>
      </c>
      <c r="B272" s="12">
        <v>41101</v>
      </c>
      <c r="C272" s="7" t="s">
        <v>22</v>
      </c>
      <c r="D272" s="9" t="s">
        <v>6</v>
      </c>
      <c r="E272" s="9" t="s">
        <v>15</v>
      </c>
      <c r="F272" s="9" t="s">
        <v>25</v>
      </c>
      <c r="G272" s="7" t="s">
        <v>902</v>
      </c>
      <c r="H272" s="7" t="s">
        <v>903</v>
      </c>
      <c r="I272" s="124" t="s">
        <v>902</v>
      </c>
      <c r="J272" s="7">
        <v>4</v>
      </c>
      <c r="K272" s="124" t="s">
        <v>1639</v>
      </c>
      <c r="L272" s="20" t="s">
        <v>905</v>
      </c>
      <c r="M272" s="16">
        <v>92.407194840280638</v>
      </c>
      <c r="N272" s="16">
        <v>17.487342332538805</v>
      </c>
      <c r="O272" s="16">
        <v>386.04784353155839</v>
      </c>
      <c r="P272" s="16">
        <v>15.633028381749204</v>
      </c>
      <c r="Q272" s="147">
        <v>63.526053177682975</v>
      </c>
      <c r="R272" s="147">
        <v>8.54058837890625</v>
      </c>
      <c r="S272" s="10">
        <v>0.82029346055503483</v>
      </c>
      <c r="T272" s="10">
        <v>-6.4147309609589449</v>
      </c>
      <c r="U272" s="16">
        <v>3.5698686566269178E-2</v>
      </c>
      <c r="V272" s="16">
        <v>11.48446034788857</v>
      </c>
      <c r="W272" s="10">
        <v>17.899191308847513</v>
      </c>
      <c r="X272" s="10" t="s">
        <v>902</v>
      </c>
      <c r="Y272" s="10">
        <v>1.8</v>
      </c>
      <c r="Z272" s="10">
        <v>2.9000000000000004</v>
      </c>
      <c r="AA272" s="20" t="s">
        <v>254</v>
      </c>
      <c r="AB272" s="7">
        <v>1272</v>
      </c>
      <c r="AC272" s="7">
        <v>186.8</v>
      </c>
      <c r="AD272" s="7">
        <v>0.14685534591194968</v>
      </c>
      <c r="AE272" s="7" t="s">
        <v>3</v>
      </c>
      <c r="AF272" s="20" t="s">
        <v>27</v>
      </c>
      <c r="AG272" s="11" t="s">
        <v>864</v>
      </c>
      <c r="AH272" s="7" t="s">
        <v>1242</v>
      </c>
    </row>
    <row r="273" spans="1:34" s="7" customFormat="1" ht="16.5" customHeight="1">
      <c r="A273" s="7">
        <v>2012</v>
      </c>
      <c r="B273" s="12">
        <v>41101</v>
      </c>
      <c r="C273" s="7" t="s">
        <v>22</v>
      </c>
      <c r="D273" s="9" t="s">
        <v>6</v>
      </c>
      <c r="E273" s="9" t="s">
        <v>15</v>
      </c>
      <c r="F273" s="9" t="s">
        <v>25</v>
      </c>
      <c r="G273" s="7" t="s">
        <v>902</v>
      </c>
      <c r="H273" s="7" t="s">
        <v>903</v>
      </c>
      <c r="I273" s="124" t="s">
        <v>902</v>
      </c>
      <c r="J273" s="7">
        <v>22</v>
      </c>
      <c r="K273" s="124" t="s">
        <v>1640</v>
      </c>
      <c r="L273" s="20" t="s">
        <v>918</v>
      </c>
      <c r="M273" s="16">
        <v>92.408444856342513</v>
      </c>
      <c r="N273" s="16">
        <v>18.294805225573089</v>
      </c>
      <c r="O273" s="16">
        <v>385.54129670795641</v>
      </c>
      <c r="P273" s="16">
        <v>15.612220764160156</v>
      </c>
      <c r="Q273" s="147">
        <v>66.241902401572773</v>
      </c>
      <c r="R273" s="147">
        <v>4.9691619873046875</v>
      </c>
      <c r="S273" s="10">
        <v>0.82029346055503483</v>
      </c>
      <c r="T273" s="10">
        <v>-6.1863152205368674</v>
      </c>
      <c r="U273" s="16">
        <v>4.1372573584841012E-2</v>
      </c>
      <c r="V273" s="16">
        <v>11.48446034788857</v>
      </c>
      <c r="W273" s="10">
        <v>17.670775568425437</v>
      </c>
      <c r="X273" s="10" t="s">
        <v>902</v>
      </c>
      <c r="Y273" s="10">
        <v>1.8</v>
      </c>
      <c r="Z273" s="10">
        <v>2.9000000000000004</v>
      </c>
      <c r="AA273" s="20" t="s">
        <v>269</v>
      </c>
      <c r="AB273" s="7">
        <v>1398.9</v>
      </c>
      <c r="AC273" s="7">
        <v>201.4</v>
      </c>
      <c r="AD273" s="7">
        <v>0.14397026234898849</v>
      </c>
      <c r="AE273" s="7" t="s">
        <v>3</v>
      </c>
      <c r="AF273" s="20" t="s">
        <v>27</v>
      </c>
      <c r="AG273" s="11" t="s">
        <v>928</v>
      </c>
      <c r="AH273" s="7" t="s">
        <v>1242</v>
      </c>
    </row>
    <row r="274" spans="1:34" s="7" customFormat="1" ht="16.5" customHeight="1">
      <c r="A274" s="7">
        <v>2012</v>
      </c>
      <c r="B274" s="12">
        <v>41101</v>
      </c>
      <c r="C274" s="7" t="s">
        <v>22</v>
      </c>
      <c r="D274" s="9" t="s">
        <v>6</v>
      </c>
      <c r="E274" s="9" t="s">
        <v>15</v>
      </c>
      <c r="F274" s="9" t="s">
        <v>25</v>
      </c>
      <c r="G274" s="7" t="s">
        <v>902</v>
      </c>
      <c r="H274" s="7" t="s">
        <v>903</v>
      </c>
      <c r="I274" s="124" t="s">
        <v>902</v>
      </c>
      <c r="J274" s="7">
        <v>5</v>
      </c>
      <c r="K274" s="124" t="s">
        <v>1641</v>
      </c>
      <c r="L274" s="20" t="s">
        <v>905</v>
      </c>
      <c r="M274" s="16">
        <v>92.407419305098685</v>
      </c>
      <c r="N274" s="16">
        <v>17.490894116853411</v>
      </c>
      <c r="O274" s="16">
        <v>384.71819907740542</v>
      </c>
      <c r="P274" s="16">
        <v>15.342293839705619</v>
      </c>
      <c r="Q274" s="147">
        <v>85.534337897049753</v>
      </c>
      <c r="R274" s="147">
        <v>2.5776824951171875</v>
      </c>
      <c r="S274" s="10">
        <v>0.82029346055503483</v>
      </c>
      <c r="T274" s="10">
        <v>-6.4967541676411811</v>
      </c>
      <c r="U274" s="16">
        <v>4.1491147928070606E-2</v>
      </c>
      <c r="V274" s="16">
        <v>11.48446034788857</v>
      </c>
      <c r="W274" s="10">
        <v>17.98121451552975</v>
      </c>
      <c r="X274" s="10" t="s">
        <v>902</v>
      </c>
      <c r="Y274" s="10">
        <v>1.8</v>
      </c>
      <c r="Z274" s="10">
        <v>2.9000000000000004</v>
      </c>
      <c r="AA274" s="20" t="s">
        <v>255</v>
      </c>
      <c r="AB274" s="7">
        <v>1279.3</v>
      </c>
      <c r="AC274" s="7">
        <v>186.8</v>
      </c>
      <c r="AD274" s="7">
        <v>0.14601735324005316</v>
      </c>
      <c r="AE274" s="7" t="s">
        <v>3</v>
      </c>
      <c r="AF274" s="20" t="s">
        <v>27</v>
      </c>
      <c r="AG274" s="11" t="s">
        <v>864</v>
      </c>
      <c r="AH274" s="7" t="s">
        <v>1242</v>
      </c>
    </row>
    <row r="275" spans="1:34" s="7" customFormat="1" ht="16.5" customHeight="1">
      <c r="A275" s="7">
        <v>2012</v>
      </c>
      <c r="B275" s="12">
        <v>41101</v>
      </c>
      <c r="C275" s="7" t="s">
        <v>22</v>
      </c>
      <c r="D275" s="9" t="s">
        <v>6</v>
      </c>
      <c r="E275" s="9" t="s">
        <v>15</v>
      </c>
      <c r="F275" s="9" t="s">
        <v>25</v>
      </c>
      <c r="G275" s="7" t="s">
        <v>902</v>
      </c>
      <c r="H275" s="7" t="s">
        <v>903</v>
      </c>
      <c r="I275" s="124" t="s">
        <v>902</v>
      </c>
      <c r="J275" s="7">
        <v>6</v>
      </c>
      <c r="K275" s="124" t="s">
        <v>1642</v>
      </c>
      <c r="L275" s="20" t="s">
        <v>77</v>
      </c>
      <c r="M275" s="16">
        <v>92.406178926166731</v>
      </c>
      <c r="N275" s="16">
        <v>18.018274909571598</v>
      </c>
      <c r="O275" s="16">
        <v>384.74966751901729</v>
      </c>
      <c r="P275" s="16">
        <v>15.491032801176372</v>
      </c>
      <c r="Q275" s="147">
        <v>120.74181606895046</v>
      </c>
      <c r="R275" s="147">
        <v>13.949745178222656</v>
      </c>
      <c r="S275" s="10">
        <v>0.82029346055503483</v>
      </c>
      <c r="T275" s="10">
        <v>-5.683173666247078</v>
      </c>
      <c r="U275" s="16">
        <v>4.6862440778498049E-2</v>
      </c>
      <c r="V275" s="16">
        <v>11.48446034788857</v>
      </c>
      <c r="W275" s="10">
        <v>17.167634014135647</v>
      </c>
      <c r="X275" s="10" t="s">
        <v>902</v>
      </c>
      <c r="Y275" s="10">
        <v>1.8</v>
      </c>
      <c r="Z275" s="10">
        <v>2.9000000000000004</v>
      </c>
      <c r="AA275" s="20" t="s">
        <v>253</v>
      </c>
      <c r="AB275" s="7">
        <v>1257.3</v>
      </c>
      <c r="AC275" s="7">
        <v>188</v>
      </c>
      <c r="AD275" s="7">
        <v>0.14952676369999204</v>
      </c>
      <c r="AE275" s="7" t="s">
        <v>3</v>
      </c>
      <c r="AF275" s="20" t="s">
        <v>27</v>
      </c>
      <c r="AG275" s="11" t="s">
        <v>864</v>
      </c>
      <c r="AH275" s="7" t="s">
        <v>1242</v>
      </c>
    </row>
    <row r="276" spans="1:34" s="7" customFormat="1" ht="16.5" customHeight="1">
      <c r="A276" s="7">
        <v>2012</v>
      </c>
      <c r="B276" s="12">
        <v>41101</v>
      </c>
      <c r="C276" s="7" t="s">
        <v>22</v>
      </c>
      <c r="D276" s="9" t="s">
        <v>6</v>
      </c>
      <c r="E276" s="9" t="s">
        <v>15</v>
      </c>
      <c r="F276" s="9" t="s">
        <v>25</v>
      </c>
      <c r="G276" s="7" t="s">
        <v>902</v>
      </c>
      <c r="H276" s="7" t="s">
        <v>903</v>
      </c>
      <c r="I276" s="124" t="s">
        <v>902</v>
      </c>
      <c r="J276" s="7">
        <v>23</v>
      </c>
      <c r="K276" s="124" t="s">
        <v>1643</v>
      </c>
      <c r="L276" s="20" t="s">
        <v>912</v>
      </c>
      <c r="M276" s="16">
        <v>92.406307019685443</v>
      </c>
      <c r="N276" s="16">
        <v>19.386129981593083</v>
      </c>
      <c r="O276" s="16">
        <v>375.86042544716281</v>
      </c>
      <c r="P276" s="16">
        <v>15.744331209283127</v>
      </c>
      <c r="Q276" s="147">
        <v>133.32620640804893</v>
      </c>
      <c r="R276" s="147">
        <v>6.636749267578125</v>
      </c>
      <c r="S276" s="10">
        <v>0.82029346055503483</v>
      </c>
      <c r="T276" s="10">
        <v>-2.5222507606389368</v>
      </c>
      <c r="U276" s="16">
        <v>4.8556660769278552E-2</v>
      </c>
      <c r="V276" s="16">
        <v>11.48446034788857</v>
      </c>
      <c r="W276" s="10">
        <v>14.006711108527506</v>
      </c>
      <c r="X276" s="10" t="s">
        <v>902</v>
      </c>
      <c r="Y276" s="10">
        <v>1.8</v>
      </c>
      <c r="Z276" s="10">
        <v>2.9000000000000004</v>
      </c>
      <c r="AA276" s="20" t="s">
        <v>267</v>
      </c>
      <c r="AB276" s="7">
        <v>1381.8</v>
      </c>
      <c r="AC276" s="7">
        <v>195.3</v>
      </c>
      <c r="AD276" s="7">
        <v>0.14133738601823709</v>
      </c>
      <c r="AE276" s="7" t="s">
        <v>3</v>
      </c>
      <c r="AF276" s="20" t="s">
        <v>27</v>
      </c>
      <c r="AG276" s="11" t="s">
        <v>928</v>
      </c>
      <c r="AH276" s="7" t="s">
        <v>1242</v>
      </c>
    </row>
    <row r="277" spans="1:34" s="7" customFormat="1" ht="16.5" customHeight="1">
      <c r="A277" s="7">
        <v>2012</v>
      </c>
      <c r="B277" s="12">
        <v>41101</v>
      </c>
      <c r="C277" s="7" t="s">
        <v>22</v>
      </c>
      <c r="D277" s="9" t="s">
        <v>6</v>
      </c>
      <c r="E277" s="9" t="s">
        <v>15</v>
      </c>
      <c r="F277" s="9" t="s">
        <v>25</v>
      </c>
      <c r="G277" s="7" t="s">
        <v>902</v>
      </c>
      <c r="H277" s="7" t="s">
        <v>903</v>
      </c>
      <c r="I277" s="124" t="s">
        <v>902</v>
      </c>
      <c r="J277" s="7">
        <v>24</v>
      </c>
      <c r="K277" s="124" t="s">
        <v>1644</v>
      </c>
      <c r="L277" s="20" t="s">
        <v>912</v>
      </c>
      <c r="M277" s="16">
        <v>92.40731008429276</v>
      </c>
      <c r="N277" s="16">
        <v>19.666852649889496</v>
      </c>
      <c r="O277" s="16">
        <v>382.60309159128292</v>
      </c>
      <c r="P277" s="16">
        <v>16.650347006948369</v>
      </c>
      <c r="Q277" s="147">
        <v>137.45888720060648</v>
      </c>
      <c r="R277" s="147">
        <v>8.2964019775390625</v>
      </c>
      <c r="S277" s="10">
        <v>0.82029346055503483</v>
      </c>
      <c r="T277" s="10">
        <v>-3.8883431544562059</v>
      </c>
      <c r="U277" s="16">
        <v>4.2553935134619997E-2</v>
      </c>
      <c r="V277" s="16">
        <v>11.48446034788857</v>
      </c>
      <c r="W277" s="10">
        <v>15.372803502344777</v>
      </c>
      <c r="X277" s="10" t="s">
        <v>902</v>
      </c>
      <c r="Y277" s="10">
        <v>1.8</v>
      </c>
      <c r="Z277" s="10">
        <v>2.9000000000000004</v>
      </c>
      <c r="AA277" s="20" t="s">
        <v>268</v>
      </c>
      <c r="AB277" s="7">
        <v>1391.6</v>
      </c>
      <c r="AC277" s="7">
        <v>200.2</v>
      </c>
      <c r="AD277" s="7">
        <v>0.14386317907444668</v>
      </c>
      <c r="AE277" s="7" t="s">
        <v>3</v>
      </c>
      <c r="AF277" s="20" t="s">
        <v>27</v>
      </c>
      <c r="AG277" s="11" t="s">
        <v>928</v>
      </c>
      <c r="AH277" s="7" t="s">
        <v>1242</v>
      </c>
    </row>
    <row r="278" spans="1:34" s="7" customFormat="1" ht="16.5" customHeight="1">
      <c r="A278" s="7">
        <v>2012</v>
      </c>
      <c r="B278" s="12">
        <v>41101</v>
      </c>
      <c r="C278" s="7" t="s">
        <v>22</v>
      </c>
      <c r="D278" s="9" t="s">
        <v>6</v>
      </c>
      <c r="E278" s="9" t="s">
        <v>15</v>
      </c>
      <c r="F278" s="9" t="s">
        <v>25</v>
      </c>
      <c r="G278" s="7" t="s">
        <v>902</v>
      </c>
      <c r="H278" s="7" t="s">
        <v>903</v>
      </c>
      <c r="I278" s="124" t="s">
        <v>902</v>
      </c>
      <c r="J278" s="7">
        <v>7</v>
      </c>
      <c r="K278" s="124" t="s">
        <v>1645</v>
      </c>
      <c r="L278" s="20" t="s">
        <v>77</v>
      </c>
      <c r="M278" s="16">
        <v>92.405492280658919</v>
      </c>
      <c r="N278" s="16">
        <v>18.62537333839818</v>
      </c>
      <c r="O278" s="16">
        <v>385.5022117213199</v>
      </c>
      <c r="P278" s="16">
        <v>17.641231235704925</v>
      </c>
      <c r="Q278" s="147">
        <v>140.18644393117805</v>
      </c>
      <c r="R278" s="147">
        <v>5.3008880615234375</v>
      </c>
      <c r="S278" s="10">
        <v>0.82029346055503483</v>
      </c>
      <c r="T278" s="10">
        <v>-4.2838620824901614</v>
      </c>
      <c r="U278" s="16">
        <v>2.5605114719323946E-2</v>
      </c>
      <c r="V278" s="16">
        <v>11.48446034788857</v>
      </c>
      <c r="W278" s="10">
        <v>15.768322430378731</v>
      </c>
      <c r="X278" s="10" t="s">
        <v>902</v>
      </c>
      <c r="Y278" s="10">
        <v>1.8</v>
      </c>
      <c r="Z278" s="10">
        <v>2.9000000000000004</v>
      </c>
      <c r="AA278" s="20" t="s">
        <v>252</v>
      </c>
      <c r="AB278" s="7">
        <v>1237.8</v>
      </c>
      <c r="AC278" s="7">
        <v>186.8</v>
      </c>
      <c r="AD278" s="7">
        <v>0.15091291000161577</v>
      </c>
      <c r="AE278" s="7" t="s">
        <v>3</v>
      </c>
      <c r="AF278" s="20" t="s">
        <v>27</v>
      </c>
      <c r="AG278" s="11" t="s">
        <v>864</v>
      </c>
      <c r="AH278" s="7" t="s">
        <v>1242</v>
      </c>
    </row>
    <row r="279" spans="1:34" s="7" customFormat="1" ht="16.5" customHeight="1">
      <c r="A279" s="7">
        <v>2012</v>
      </c>
      <c r="B279" s="12">
        <v>41101</v>
      </c>
      <c r="C279" s="7" t="s">
        <v>22</v>
      </c>
      <c r="D279" s="9" t="s">
        <v>6</v>
      </c>
      <c r="E279" s="9" t="s">
        <v>15</v>
      </c>
      <c r="F279" s="9" t="s">
        <v>25</v>
      </c>
      <c r="G279" s="7" t="s">
        <v>902</v>
      </c>
      <c r="H279" s="7" t="s">
        <v>903</v>
      </c>
      <c r="I279" s="124" t="s">
        <v>902</v>
      </c>
      <c r="J279" s="7">
        <v>25</v>
      </c>
      <c r="K279" s="124" t="s">
        <v>1646</v>
      </c>
      <c r="L279" s="20" t="s">
        <v>907</v>
      </c>
      <c r="M279" s="16">
        <v>92.408384222733346</v>
      </c>
      <c r="N279" s="16">
        <v>19.355164678473223</v>
      </c>
      <c r="O279" s="16">
        <v>379.55910612407484</v>
      </c>
      <c r="P279" s="16">
        <v>14.180864233719674</v>
      </c>
      <c r="Q279" s="147">
        <v>196.46242242110404</v>
      </c>
      <c r="R279" s="147">
        <v>8.310516357421875</v>
      </c>
      <c r="S279" s="10">
        <v>0.82029346055503483</v>
      </c>
      <c r="T279" s="10">
        <v>-3.4486421486289731</v>
      </c>
      <c r="U279" s="16">
        <v>6.8463754653930661E-2</v>
      </c>
      <c r="V279" s="16">
        <v>11.48446034788857</v>
      </c>
      <c r="W279" s="10">
        <v>14.933102496517543</v>
      </c>
      <c r="X279" s="10" t="s">
        <v>902</v>
      </c>
      <c r="Y279" s="10">
        <v>1.8</v>
      </c>
      <c r="Z279" s="10">
        <v>2.9000000000000004</v>
      </c>
      <c r="AA279" s="20" t="s">
        <v>263</v>
      </c>
      <c r="AB279" s="7">
        <v>1350.1</v>
      </c>
      <c r="AC279" s="7">
        <v>189.2</v>
      </c>
      <c r="AD279" s="7">
        <v>0.14013776757277238</v>
      </c>
      <c r="AE279" s="7" t="s">
        <v>3</v>
      </c>
      <c r="AF279" s="20" t="s">
        <v>27</v>
      </c>
      <c r="AG279" s="11" t="s">
        <v>928</v>
      </c>
      <c r="AH279" s="7" t="s">
        <v>1242</v>
      </c>
    </row>
    <row r="280" spans="1:34" s="7" customFormat="1" ht="16.5" customHeight="1">
      <c r="A280" s="7">
        <v>2012</v>
      </c>
      <c r="B280" s="12">
        <v>41101</v>
      </c>
      <c r="C280" s="7" t="s">
        <v>22</v>
      </c>
      <c r="D280" s="9" t="s">
        <v>6</v>
      </c>
      <c r="E280" s="9" t="s">
        <v>15</v>
      </c>
      <c r="F280" s="9" t="s">
        <v>25</v>
      </c>
      <c r="G280" s="7" t="s">
        <v>902</v>
      </c>
      <c r="H280" s="7" t="s">
        <v>903</v>
      </c>
      <c r="I280" s="124" t="s">
        <v>902</v>
      </c>
      <c r="J280" s="7">
        <v>26</v>
      </c>
      <c r="K280" s="124" t="s">
        <v>1647</v>
      </c>
      <c r="L280" s="20" t="s">
        <v>907</v>
      </c>
      <c r="M280" s="16">
        <v>92.408136869731706</v>
      </c>
      <c r="N280" s="16">
        <v>19.070785120913857</v>
      </c>
      <c r="O280" s="16">
        <v>378.98154168379932</v>
      </c>
      <c r="P280" s="16">
        <v>15.129807020488538</v>
      </c>
      <c r="Q280" s="147">
        <v>209.77237902189555</v>
      </c>
      <c r="R280" s="147">
        <v>21.757156372070312</v>
      </c>
      <c r="S280" s="10">
        <v>0.82029346055503483</v>
      </c>
      <c r="T280" s="10">
        <v>-2.1614030597030469</v>
      </c>
      <c r="U280" s="16">
        <v>5.7486551686337095E-2</v>
      </c>
      <c r="V280" s="16">
        <v>11.48446034788857</v>
      </c>
      <c r="W280" s="10">
        <v>13.645863407591616</v>
      </c>
      <c r="X280" s="10" t="s">
        <v>902</v>
      </c>
      <c r="Y280" s="10">
        <v>1.8</v>
      </c>
      <c r="Z280" s="10">
        <v>2.9000000000000004</v>
      </c>
      <c r="AA280" s="20" t="s">
        <v>264</v>
      </c>
      <c r="AB280" s="7">
        <v>1359.9</v>
      </c>
      <c r="AC280" s="7">
        <v>190.4</v>
      </c>
      <c r="AD280" s="7">
        <v>0.14001029487462313</v>
      </c>
      <c r="AE280" s="7" t="s">
        <v>3</v>
      </c>
      <c r="AF280" s="20" t="s">
        <v>27</v>
      </c>
      <c r="AG280" s="11" t="s">
        <v>928</v>
      </c>
      <c r="AH280" s="7" t="s">
        <v>1242</v>
      </c>
    </row>
    <row r="281" spans="1:34" s="7" customFormat="1" ht="16.5" customHeight="1">
      <c r="A281" s="7">
        <v>2012</v>
      </c>
      <c r="B281" s="12">
        <v>41101</v>
      </c>
      <c r="C281" s="7" t="s">
        <v>22</v>
      </c>
      <c r="D281" s="9" t="s">
        <v>6</v>
      </c>
      <c r="E281" s="9" t="s">
        <v>15</v>
      </c>
      <c r="F281" s="9" t="s">
        <v>25</v>
      </c>
      <c r="G281" s="7" t="s">
        <v>902</v>
      </c>
      <c r="H281" s="7" t="s">
        <v>903</v>
      </c>
      <c r="I281" s="124" t="s">
        <v>902</v>
      </c>
      <c r="J281" s="7">
        <v>8</v>
      </c>
      <c r="K281" s="124" t="s">
        <v>1648</v>
      </c>
      <c r="L281" s="20" t="s">
        <v>75</v>
      </c>
      <c r="M281" s="16">
        <v>92.40744661030017</v>
      </c>
      <c r="N281" s="16">
        <v>19.451020491750615</v>
      </c>
      <c r="O281" s="16">
        <v>384.03398855108964</v>
      </c>
      <c r="P281" s="16">
        <v>16.96904844986765</v>
      </c>
      <c r="Q281" s="147">
        <v>305.94472784745068</v>
      </c>
      <c r="R281" s="147">
        <v>24.27471923828125</v>
      </c>
      <c r="S281" s="10">
        <v>0.82029346055503483</v>
      </c>
      <c r="T281" s="10">
        <v>0.25165703232980735</v>
      </c>
      <c r="U281" s="16">
        <v>4.407782136348256E-2</v>
      </c>
      <c r="V281" s="16">
        <v>11.48446034788857</v>
      </c>
      <c r="W281" s="10">
        <v>11.232803315558762</v>
      </c>
      <c r="X281" s="10" t="s">
        <v>902</v>
      </c>
      <c r="Y281" s="10">
        <v>1.8</v>
      </c>
      <c r="Z281" s="10">
        <v>2.9000000000000004</v>
      </c>
      <c r="AA281" s="20" t="s">
        <v>250</v>
      </c>
      <c r="AB281" s="7">
        <v>1225.5999999999999</v>
      </c>
      <c r="AC281" s="7">
        <v>186.8</v>
      </c>
      <c r="AD281" s="7">
        <v>0.15241514360313319</v>
      </c>
      <c r="AE281" s="7" t="s">
        <v>3</v>
      </c>
      <c r="AF281" s="20" t="s">
        <v>27</v>
      </c>
      <c r="AG281" s="11" t="s">
        <v>864</v>
      </c>
      <c r="AH281" s="7" t="s">
        <v>1339</v>
      </c>
    </row>
    <row r="282" spans="1:34" s="7" customFormat="1" ht="16.5" customHeight="1">
      <c r="A282" s="7">
        <v>2012</v>
      </c>
      <c r="B282" s="12">
        <v>41101</v>
      </c>
      <c r="C282" s="7" t="s">
        <v>22</v>
      </c>
      <c r="D282" s="9" t="s">
        <v>6</v>
      </c>
      <c r="E282" s="9" t="s">
        <v>15</v>
      </c>
      <c r="F282" s="9" t="s">
        <v>25</v>
      </c>
      <c r="G282" s="7" t="s">
        <v>902</v>
      </c>
      <c r="H282" s="7" t="s">
        <v>903</v>
      </c>
      <c r="I282" s="124" t="s">
        <v>902</v>
      </c>
      <c r="J282" s="7">
        <v>9</v>
      </c>
      <c r="K282" s="124" t="s">
        <v>1649</v>
      </c>
      <c r="L282" s="20" t="s">
        <v>75</v>
      </c>
      <c r="M282" s="16">
        <v>92.406771609657696</v>
      </c>
      <c r="N282" s="16">
        <v>19.428049087524414</v>
      </c>
      <c r="O282" s="16">
        <v>375.17079403525906</v>
      </c>
      <c r="P282" s="16">
        <v>16.63178704914294</v>
      </c>
      <c r="Q282" s="147">
        <v>311.87971095034953</v>
      </c>
      <c r="R282" s="147">
        <v>6.98785400390625</v>
      </c>
      <c r="S282" s="10">
        <v>0.82029346055503483</v>
      </c>
      <c r="T282" s="10">
        <v>-0.47084435005618025</v>
      </c>
      <c r="U282" s="16">
        <v>4.7106744531999555E-2</v>
      </c>
      <c r="V282" s="16">
        <v>11.48446034788857</v>
      </c>
      <c r="W282" s="10">
        <v>11.955304697944751</v>
      </c>
      <c r="X282" s="10" t="s">
        <v>902</v>
      </c>
      <c r="Y282" s="10">
        <v>1.8</v>
      </c>
      <c r="Z282" s="10">
        <v>2.9000000000000004</v>
      </c>
      <c r="AA282" s="20" t="s">
        <v>251</v>
      </c>
      <c r="AB282" s="7">
        <v>1229.2</v>
      </c>
      <c r="AC282" s="7">
        <v>186.8</v>
      </c>
      <c r="AD282" s="7">
        <v>0.15196876016921576</v>
      </c>
      <c r="AE282" s="7" t="s">
        <v>3</v>
      </c>
      <c r="AF282" s="20" t="s">
        <v>27</v>
      </c>
      <c r="AG282" s="11" t="s">
        <v>864</v>
      </c>
      <c r="AH282" s="7" t="s">
        <v>1340</v>
      </c>
    </row>
    <row r="283" spans="1:34" s="7" customFormat="1" ht="16.5" customHeight="1">
      <c r="A283" s="7">
        <v>2012</v>
      </c>
      <c r="B283" s="12">
        <v>41101</v>
      </c>
      <c r="C283" s="7" t="s">
        <v>22</v>
      </c>
      <c r="D283" s="9" t="s">
        <v>6</v>
      </c>
      <c r="E283" s="9" t="s">
        <v>15</v>
      </c>
      <c r="F283" s="9" t="s">
        <v>25</v>
      </c>
      <c r="G283" s="7" t="s">
        <v>902</v>
      </c>
      <c r="H283" s="7" t="s">
        <v>903</v>
      </c>
      <c r="I283" s="124" t="s">
        <v>902</v>
      </c>
      <c r="J283" s="7">
        <v>27</v>
      </c>
      <c r="K283" s="124" t="s">
        <v>1650</v>
      </c>
      <c r="L283" s="20" t="s">
        <v>908</v>
      </c>
      <c r="M283" s="16">
        <v>92.404988740619856</v>
      </c>
      <c r="N283" s="16">
        <v>20.064592662610504</v>
      </c>
      <c r="O283" s="16">
        <v>372.42244359066609</v>
      </c>
      <c r="P283" s="16">
        <v>17.005361958553916</v>
      </c>
      <c r="Q283" s="147">
        <v>391.90323197214229</v>
      </c>
      <c r="R283" s="147">
        <v>37.136322021484375</v>
      </c>
      <c r="S283" s="10">
        <v>0.82029346055503483</v>
      </c>
      <c r="T283" s="10">
        <v>1.1680177685048567</v>
      </c>
      <c r="U283" s="16">
        <v>4.5114252860086003E-2</v>
      </c>
      <c r="V283" s="16">
        <v>11.48446034788857</v>
      </c>
      <c r="W283" s="10">
        <v>10.316442579383713</v>
      </c>
      <c r="X283" s="10" t="s">
        <v>902</v>
      </c>
      <c r="Y283" s="10">
        <v>1.8</v>
      </c>
      <c r="Z283" s="10">
        <v>2.9000000000000004</v>
      </c>
      <c r="AA283" s="20" t="s">
        <v>265</v>
      </c>
      <c r="AB283" s="7">
        <v>1363.5</v>
      </c>
      <c r="AC283" s="7">
        <v>192.9</v>
      </c>
      <c r="AD283" s="7">
        <v>0.14147414741474149</v>
      </c>
      <c r="AE283" s="7" t="s">
        <v>3</v>
      </c>
      <c r="AF283" s="20" t="s">
        <v>27</v>
      </c>
      <c r="AG283" s="11" t="s">
        <v>928</v>
      </c>
      <c r="AH283" s="7" t="s">
        <v>1341</v>
      </c>
    </row>
    <row r="284" spans="1:34" s="7" customFormat="1" ht="16.5" customHeight="1">
      <c r="A284" s="7">
        <v>2012</v>
      </c>
      <c r="B284" s="12">
        <v>41101</v>
      </c>
      <c r="C284" s="7" t="s">
        <v>22</v>
      </c>
      <c r="D284" s="9" t="s">
        <v>6</v>
      </c>
      <c r="E284" s="9" t="s">
        <v>15</v>
      </c>
      <c r="F284" s="9" t="s">
        <v>25</v>
      </c>
      <c r="G284" s="7" t="s">
        <v>902</v>
      </c>
      <c r="H284" s="7" t="s">
        <v>903</v>
      </c>
      <c r="I284" s="124" t="s">
        <v>902</v>
      </c>
      <c r="J284" s="7">
        <v>28</v>
      </c>
      <c r="K284" s="124" t="s">
        <v>1651</v>
      </c>
      <c r="L284" s="20" t="s">
        <v>908</v>
      </c>
      <c r="M284" s="16">
        <v>92.406594527395143</v>
      </c>
      <c r="N284" s="16">
        <v>20.178563870881732</v>
      </c>
      <c r="O284" s="16">
        <v>380.25664158871297</v>
      </c>
      <c r="P284" s="16">
        <v>16.050656870791787</v>
      </c>
      <c r="Q284" s="147">
        <v>408.66807154605266</v>
      </c>
      <c r="R284" s="147">
        <v>24.04791259765625</v>
      </c>
      <c r="S284" s="10">
        <v>0.82029346055503483</v>
      </c>
      <c r="T284" s="10">
        <v>1.1214863836297824</v>
      </c>
      <c r="U284" s="16">
        <v>5.4889936614454848E-2</v>
      </c>
      <c r="V284" s="16">
        <v>11.48446034788857</v>
      </c>
      <c r="W284" s="10">
        <v>10.362973964258787</v>
      </c>
      <c r="X284" s="10" t="s">
        <v>902</v>
      </c>
      <c r="Y284" s="10">
        <v>1.8</v>
      </c>
      <c r="Z284" s="10">
        <v>2.9000000000000004</v>
      </c>
      <c r="AA284" s="20" t="s">
        <v>266</v>
      </c>
      <c r="AB284" s="7">
        <v>1377</v>
      </c>
      <c r="AC284" s="7">
        <v>195.3</v>
      </c>
      <c r="AD284" s="7">
        <v>0.14183006535947712</v>
      </c>
      <c r="AE284" s="7" t="s">
        <v>3</v>
      </c>
      <c r="AF284" s="20" t="s">
        <v>27</v>
      </c>
      <c r="AG284" s="11" t="s">
        <v>928</v>
      </c>
      <c r="AH284" s="7" t="s">
        <v>1341</v>
      </c>
    </row>
    <row r="285" spans="1:34" s="7" customFormat="1" ht="16.5" customHeight="1">
      <c r="A285" s="7">
        <v>2012</v>
      </c>
      <c r="B285" s="12">
        <v>41101</v>
      </c>
      <c r="C285" s="7" t="s">
        <v>22</v>
      </c>
      <c r="D285" s="9" t="s">
        <v>6</v>
      </c>
      <c r="E285" s="9" t="s">
        <v>15</v>
      </c>
      <c r="F285" s="9" t="s">
        <v>25</v>
      </c>
      <c r="G285" s="7" t="s">
        <v>902</v>
      </c>
      <c r="H285" s="7" t="s">
        <v>903</v>
      </c>
      <c r="I285" s="124" t="s">
        <v>902</v>
      </c>
      <c r="J285" s="7">
        <v>29</v>
      </c>
      <c r="K285" s="124" t="s">
        <v>1652</v>
      </c>
      <c r="L285" s="20" t="s">
        <v>908</v>
      </c>
      <c r="M285" s="16">
        <v>92.383894920349121</v>
      </c>
      <c r="N285" s="16">
        <v>23.745487451553345</v>
      </c>
      <c r="O285" s="16">
        <v>376.83363342285156</v>
      </c>
      <c r="P285" s="16">
        <v>18.484465599060059</v>
      </c>
      <c r="Q285" s="147">
        <v>460.27241134643555</v>
      </c>
      <c r="R285" s="147">
        <v>17.47039794921875</v>
      </c>
      <c r="S285" s="10">
        <v>0.82029346055503483</v>
      </c>
      <c r="T285" s="10">
        <v>1.0675981217617918</v>
      </c>
      <c r="U285" s="16">
        <v>6.6885562170119511E-2</v>
      </c>
      <c r="V285" s="16">
        <v>11.48446034788857</v>
      </c>
      <c r="W285" s="10">
        <v>10.416862226126778</v>
      </c>
      <c r="X285" s="10" t="s">
        <v>902</v>
      </c>
      <c r="Y285" s="10">
        <v>1.8</v>
      </c>
      <c r="Z285" s="10">
        <v>2.9000000000000004</v>
      </c>
      <c r="AA285" s="20" t="s">
        <v>281</v>
      </c>
      <c r="AB285" s="7">
        <v>1555.2</v>
      </c>
      <c r="AC285" s="7">
        <v>212.4</v>
      </c>
      <c r="AD285" s="7">
        <v>0.13657407407407407</v>
      </c>
      <c r="AE285" s="7" t="s">
        <v>3</v>
      </c>
      <c r="AF285" s="20" t="s">
        <v>27</v>
      </c>
      <c r="AG285" s="11" t="s">
        <v>928</v>
      </c>
      <c r="AH285" s="7" t="s">
        <v>1342</v>
      </c>
    </row>
    <row r="286" spans="1:34" s="7" customFormat="1" ht="16.5" customHeight="1">
      <c r="A286" s="7">
        <v>2012</v>
      </c>
      <c r="B286" s="12">
        <v>41101</v>
      </c>
      <c r="C286" s="7" t="s">
        <v>22</v>
      </c>
      <c r="D286" s="9" t="s">
        <v>6</v>
      </c>
      <c r="E286" s="9" t="s">
        <v>15</v>
      </c>
      <c r="F286" s="9" t="s">
        <v>25</v>
      </c>
      <c r="G286" s="7" t="s">
        <v>902</v>
      </c>
      <c r="H286" s="7" t="s">
        <v>903</v>
      </c>
      <c r="I286" s="124" t="s">
        <v>902</v>
      </c>
      <c r="J286" s="7">
        <v>10</v>
      </c>
      <c r="K286" s="124" t="s">
        <v>1653</v>
      </c>
      <c r="L286" s="20" t="s">
        <v>74</v>
      </c>
      <c r="M286" s="16">
        <v>92.408504009246826</v>
      </c>
      <c r="N286" s="16">
        <v>20.609291434288025</v>
      </c>
      <c r="O286" s="16">
        <v>369.10214424133301</v>
      </c>
      <c r="P286" s="16">
        <v>16.338691115379333</v>
      </c>
      <c r="Q286" s="147">
        <v>525.9038200378418</v>
      </c>
      <c r="R286" s="147">
        <v>18.2447509765625</v>
      </c>
      <c r="S286" s="10">
        <v>0.82029346055503483</v>
      </c>
      <c r="T286" s="10">
        <v>2.4891744811257017</v>
      </c>
      <c r="U286" s="16">
        <v>5.6036360123578238E-2</v>
      </c>
      <c r="V286" s="16">
        <v>11.48446034788857</v>
      </c>
      <c r="W286" s="10">
        <v>8.9952858667628686</v>
      </c>
      <c r="X286" s="10" t="s">
        <v>902</v>
      </c>
      <c r="Y286" s="10">
        <v>1.8</v>
      </c>
      <c r="Z286" s="10">
        <v>2.9000000000000004</v>
      </c>
      <c r="AA286" s="20" t="s">
        <v>249</v>
      </c>
      <c r="AB286" s="7">
        <v>1215.8</v>
      </c>
      <c r="AC286" s="7">
        <v>188</v>
      </c>
      <c r="AD286" s="7">
        <v>0.15463069583813127</v>
      </c>
      <c r="AE286" s="7" t="s">
        <v>3</v>
      </c>
      <c r="AF286" s="20" t="s">
        <v>27</v>
      </c>
      <c r="AG286" s="11" t="s">
        <v>864</v>
      </c>
      <c r="AH286" s="7" t="s">
        <v>1343</v>
      </c>
    </row>
    <row r="287" spans="1:34" s="7" customFormat="1" ht="16.5" customHeight="1">
      <c r="A287" s="7">
        <v>2012</v>
      </c>
      <c r="B287" s="12">
        <v>41101</v>
      </c>
      <c r="C287" s="7" t="s">
        <v>22</v>
      </c>
      <c r="D287" s="9" t="s">
        <v>6</v>
      </c>
      <c r="E287" s="9" t="s">
        <v>15</v>
      </c>
      <c r="F287" s="9" t="s">
        <v>25</v>
      </c>
      <c r="G287" s="7" t="s">
        <v>902</v>
      </c>
      <c r="H287" s="7" t="s">
        <v>903</v>
      </c>
      <c r="I287" s="124" t="s">
        <v>902</v>
      </c>
      <c r="J287" s="7">
        <v>11</v>
      </c>
      <c r="K287" s="124" t="s">
        <v>1654</v>
      </c>
      <c r="L287" s="20" t="s">
        <v>74</v>
      </c>
      <c r="M287" s="16">
        <v>92.407560248123971</v>
      </c>
      <c r="N287" s="16">
        <v>21.442999187268708</v>
      </c>
      <c r="O287" s="16">
        <v>366.33748586554276</v>
      </c>
      <c r="P287" s="16">
        <v>18.409134915000514</v>
      </c>
      <c r="Q287" s="147">
        <v>536.58055034436677</v>
      </c>
      <c r="R287" s="147">
        <v>3.4241943359375</v>
      </c>
      <c r="S287" s="10">
        <v>0.82029346055503483</v>
      </c>
      <c r="T287" s="10">
        <v>2.6935290101716949</v>
      </c>
      <c r="U287" s="16">
        <v>4.1303363599275285E-2</v>
      </c>
      <c r="V287" s="16">
        <v>11.48446034788857</v>
      </c>
      <c r="W287" s="10">
        <v>8.7909313377168754</v>
      </c>
      <c r="X287" s="10" t="s">
        <v>902</v>
      </c>
      <c r="Y287" s="10">
        <v>1.8</v>
      </c>
      <c r="Z287" s="10">
        <v>2.9000000000000004</v>
      </c>
      <c r="AA287" s="20" t="s">
        <v>248</v>
      </c>
      <c r="AB287" s="7">
        <v>1204.8</v>
      </c>
      <c r="AC287" s="7">
        <v>188</v>
      </c>
      <c r="AD287" s="7">
        <v>0.15604249667994688</v>
      </c>
      <c r="AE287" s="7" t="s">
        <v>3</v>
      </c>
      <c r="AF287" s="20" t="s">
        <v>27</v>
      </c>
      <c r="AG287" s="11" t="s">
        <v>864</v>
      </c>
      <c r="AH287" s="7" t="s">
        <v>1242</v>
      </c>
    </row>
    <row r="288" spans="1:34" s="7" customFormat="1" ht="16.5" customHeight="1">
      <c r="A288" s="7">
        <v>2012</v>
      </c>
      <c r="B288" s="12">
        <v>41101</v>
      </c>
      <c r="C288" s="7" t="s">
        <v>22</v>
      </c>
      <c r="D288" s="9" t="s">
        <v>6</v>
      </c>
      <c r="E288" s="9" t="s">
        <v>15</v>
      </c>
      <c r="F288" s="9" t="s">
        <v>25</v>
      </c>
      <c r="G288" s="7" t="s">
        <v>902</v>
      </c>
      <c r="H288" s="7" t="s">
        <v>903</v>
      </c>
      <c r="I288" s="124" t="s">
        <v>902</v>
      </c>
      <c r="J288" s="7">
        <v>30</v>
      </c>
      <c r="K288" s="124" t="s">
        <v>1655</v>
      </c>
      <c r="L288" s="20" t="s">
        <v>908</v>
      </c>
      <c r="M288" s="16">
        <v>92.406329907869036</v>
      </c>
      <c r="N288" s="16">
        <v>19.699452350014134</v>
      </c>
      <c r="O288" s="16">
        <v>368.03660824424344</v>
      </c>
      <c r="P288" s="16">
        <v>15.18063961832147</v>
      </c>
      <c r="Q288" s="147">
        <v>560.06822445518094</v>
      </c>
      <c r="R288" s="147">
        <v>71.85333251953125</v>
      </c>
      <c r="S288" s="10">
        <v>0.82029346055503483</v>
      </c>
      <c r="T288" s="10">
        <v>3.8779668027054659</v>
      </c>
      <c r="U288" s="16">
        <v>6.322980261685554E-2</v>
      </c>
      <c r="V288" s="16">
        <v>11.48446034788857</v>
      </c>
      <c r="W288" s="10">
        <v>7.6064935451831044</v>
      </c>
      <c r="X288" s="10" t="s">
        <v>902</v>
      </c>
      <c r="Y288" s="10">
        <v>1.8</v>
      </c>
      <c r="Z288" s="10">
        <v>2.9000000000000004</v>
      </c>
      <c r="AA288" s="20" t="s">
        <v>261</v>
      </c>
      <c r="AB288" s="7">
        <v>1335.4</v>
      </c>
      <c r="AC288" s="7">
        <v>188</v>
      </c>
      <c r="AD288" s="7">
        <v>0.14078178822824622</v>
      </c>
      <c r="AE288" s="7" t="s">
        <v>3</v>
      </c>
      <c r="AF288" s="20" t="s">
        <v>27</v>
      </c>
      <c r="AG288" s="11" t="s">
        <v>928</v>
      </c>
      <c r="AH288" s="7" t="s">
        <v>1242</v>
      </c>
    </row>
    <row r="289" spans="1:34" s="7" customFormat="1" ht="16.5" customHeight="1">
      <c r="A289" s="7">
        <v>2012</v>
      </c>
      <c r="B289" s="12">
        <v>41101</v>
      </c>
      <c r="C289" s="7" t="s">
        <v>22</v>
      </c>
      <c r="D289" s="9" t="s">
        <v>6</v>
      </c>
      <c r="E289" s="9" t="s">
        <v>15</v>
      </c>
      <c r="F289" s="9" t="s">
        <v>25</v>
      </c>
      <c r="G289" s="7" t="s">
        <v>902</v>
      </c>
      <c r="H289" s="7" t="s">
        <v>903</v>
      </c>
      <c r="I289" s="124" t="s">
        <v>902</v>
      </c>
      <c r="J289" s="7">
        <v>31</v>
      </c>
      <c r="K289" s="124" t="s">
        <v>1656</v>
      </c>
      <c r="L289" s="20" t="s">
        <v>908</v>
      </c>
      <c r="M289" s="16">
        <v>92.408649868435333</v>
      </c>
      <c r="N289" s="16">
        <v>19.437208493550617</v>
      </c>
      <c r="O289" s="16">
        <v>366.73758443196613</v>
      </c>
      <c r="P289" s="16">
        <v>14.953012943267822</v>
      </c>
      <c r="Q289" s="147">
        <v>576.05386691623266</v>
      </c>
      <c r="R289" s="147">
        <v>90.394287109375</v>
      </c>
      <c r="S289" s="10">
        <v>0.82029346055503483</v>
      </c>
      <c r="T289" s="10">
        <v>5.3352207523352417</v>
      </c>
      <c r="U289" s="16">
        <v>6.0516462237473242E-2</v>
      </c>
      <c r="V289" s="16">
        <v>11.48446034788857</v>
      </c>
      <c r="W289" s="10">
        <v>6.1492395955533281</v>
      </c>
      <c r="X289" s="10" t="s">
        <v>902</v>
      </c>
      <c r="Y289" s="10">
        <v>1.8</v>
      </c>
      <c r="Z289" s="10">
        <v>2.9000000000000004</v>
      </c>
      <c r="AA289" s="20" t="s">
        <v>259</v>
      </c>
      <c r="AB289" s="7">
        <v>1320.8</v>
      </c>
      <c r="AC289" s="7">
        <v>188</v>
      </c>
      <c r="AD289" s="7">
        <v>0.14233797698364628</v>
      </c>
      <c r="AE289" s="7" t="s">
        <v>3</v>
      </c>
      <c r="AF289" s="20" t="s">
        <v>27</v>
      </c>
      <c r="AG289" s="11" t="s">
        <v>928</v>
      </c>
      <c r="AH289" s="7" t="s">
        <v>1344</v>
      </c>
    </row>
    <row r="290" spans="1:34" s="7" customFormat="1" ht="16.5" customHeight="1">
      <c r="A290" s="7">
        <v>2012</v>
      </c>
      <c r="B290" s="12">
        <v>41101</v>
      </c>
      <c r="C290" s="7" t="s">
        <v>22</v>
      </c>
      <c r="D290" s="9" t="s">
        <v>6</v>
      </c>
      <c r="E290" s="9" t="s">
        <v>15</v>
      </c>
      <c r="F290" s="9" t="s">
        <v>25</v>
      </c>
      <c r="G290" s="7" t="s">
        <v>902</v>
      </c>
      <c r="H290" s="7" t="s">
        <v>903</v>
      </c>
      <c r="I290" s="124" t="s">
        <v>902</v>
      </c>
      <c r="J290" s="7">
        <v>32</v>
      </c>
      <c r="K290" s="124" t="s">
        <v>1657</v>
      </c>
      <c r="L290" s="20" t="s">
        <v>908</v>
      </c>
      <c r="M290" s="16">
        <v>92.407712032920429</v>
      </c>
      <c r="N290" s="16">
        <v>20.020364058645146</v>
      </c>
      <c r="O290" s="16">
        <v>370.11235929790297</v>
      </c>
      <c r="P290" s="16">
        <v>15.717545860692075</v>
      </c>
      <c r="Q290" s="147">
        <v>579.68771201685854</v>
      </c>
      <c r="R290" s="147">
        <v>64.94866943359375</v>
      </c>
      <c r="S290" s="10">
        <v>0.82029346055503483</v>
      </c>
      <c r="T290" s="10">
        <v>2.6950641211869302</v>
      </c>
      <c r="U290" s="16">
        <v>5.8922479863752389E-2</v>
      </c>
      <c r="V290" s="16">
        <v>11.48446034788857</v>
      </c>
      <c r="W290" s="10">
        <v>8.7893962267016406</v>
      </c>
      <c r="X290" s="10" t="s">
        <v>902</v>
      </c>
      <c r="Y290" s="10">
        <v>1.8</v>
      </c>
      <c r="Z290" s="10">
        <v>2.9000000000000004</v>
      </c>
      <c r="AA290" s="20" t="s">
        <v>260</v>
      </c>
      <c r="AB290" s="7">
        <v>1325.7</v>
      </c>
      <c r="AC290" s="7">
        <v>188</v>
      </c>
      <c r="AD290" s="7">
        <v>0.14181187297276909</v>
      </c>
      <c r="AE290" s="7" t="s">
        <v>3</v>
      </c>
      <c r="AF290" s="20" t="s">
        <v>27</v>
      </c>
      <c r="AG290" s="11" t="s">
        <v>928</v>
      </c>
      <c r="AH290" s="7" t="s">
        <v>1242</v>
      </c>
    </row>
    <row r="291" spans="1:34" s="7" customFormat="1" ht="16.5" customHeight="1">
      <c r="A291" s="7">
        <v>2012</v>
      </c>
      <c r="B291" s="12">
        <v>41101</v>
      </c>
      <c r="C291" s="7" t="s">
        <v>22</v>
      </c>
      <c r="D291" s="9" t="s">
        <v>6</v>
      </c>
      <c r="E291" s="9" t="s">
        <v>15</v>
      </c>
      <c r="F291" s="9" t="s">
        <v>25</v>
      </c>
      <c r="G291" s="7" t="s">
        <v>902</v>
      </c>
      <c r="H291" s="7" t="s">
        <v>903</v>
      </c>
      <c r="I291" s="124" t="s">
        <v>902</v>
      </c>
      <c r="J291" s="7">
        <v>33</v>
      </c>
      <c r="K291" s="124" t="s">
        <v>1658</v>
      </c>
      <c r="L291" s="20" t="s">
        <v>908</v>
      </c>
      <c r="M291" s="16">
        <v>92.40680092259457</v>
      </c>
      <c r="N291" s="16">
        <v>19.523503554494756</v>
      </c>
      <c r="O291" s="16">
        <v>370.41031044407896</v>
      </c>
      <c r="P291" s="16">
        <v>14.261485200179251</v>
      </c>
      <c r="Q291" s="147">
        <v>664.76302939967104</v>
      </c>
      <c r="R291" s="147">
        <v>86.7005615234375</v>
      </c>
      <c r="S291" s="10">
        <v>0.82029346055503483</v>
      </c>
      <c r="T291" s="10">
        <v>4.4196779105748067</v>
      </c>
      <c r="U291" s="16">
        <v>7.2490181002700535E-2</v>
      </c>
      <c r="V291" s="16">
        <v>11.48446034788857</v>
      </c>
      <c r="W291" s="10">
        <v>7.0647824373137631</v>
      </c>
      <c r="X291" s="10" t="s">
        <v>902</v>
      </c>
      <c r="Y291" s="10">
        <v>1.8</v>
      </c>
      <c r="Z291" s="10">
        <v>2.9000000000000004</v>
      </c>
      <c r="AA291" s="20" t="s">
        <v>262</v>
      </c>
      <c r="AB291" s="7">
        <v>1342.8</v>
      </c>
      <c r="AC291" s="7">
        <v>190.4</v>
      </c>
      <c r="AD291" s="7">
        <v>0.14179326779862975</v>
      </c>
      <c r="AE291" s="7" t="s">
        <v>3</v>
      </c>
      <c r="AF291" s="20" t="s">
        <v>27</v>
      </c>
      <c r="AG291" s="11" t="s">
        <v>928</v>
      </c>
      <c r="AH291" s="7" t="s">
        <v>1242</v>
      </c>
    </row>
    <row r="292" spans="1:34" s="7" customFormat="1" ht="16.5" customHeight="1">
      <c r="A292" s="7">
        <v>2012</v>
      </c>
      <c r="B292" s="12">
        <v>41101</v>
      </c>
      <c r="C292" s="7" t="s">
        <v>22</v>
      </c>
      <c r="D292" s="9" t="s">
        <v>6</v>
      </c>
      <c r="E292" s="9" t="s">
        <v>15</v>
      </c>
      <c r="F292" s="9" t="s">
        <v>25</v>
      </c>
      <c r="G292" s="7" t="s">
        <v>902</v>
      </c>
      <c r="H292" s="7" t="s">
        <v>903</v>
      </c>
      <c r="I292" s="124" t="s">
        <v>902</v>
      </c>
      <c r="J292" s="7">
        <v>12</v>
      </c>
      <c r="K292" s="124" t="s">
        <v>1659</v>
      </c>
      <c r="L292" s="20" t="s">
        <v>74</v>
      </c>
      <c r="M292" s="16">
        <v>92.393935259650732</v>
      </c>
      <c r="N292" s="16">
        <v>23.015539842493393</v>
      </c>
      <c r="O292" s="16">
        <v>369.18939568014707</v>
      </c>
      <c r="P292" s="16">
        <v>16.441450623904956</v>
      </c>
      <c r="Q292" s="147">
        <v>692.30425666360293</v>
      </c>
      <c r="R292" s="147">
        <v>1.5777587890625</v>
      </c>
      <c r="S292" s="10">
        <v>0.82029346055503483</v>
      </c>
      <c r="T292" s="10">
        <v>3.060691454745279</v>
      </c>
      <c r="U292" s="16">
        <v>8.591261330772848E-2</v>
      </c>
      <c r="V292" s="16">
        <v>11.48446034788857</v>
      </c>
      <c r="W292" s="10">
        <v>8.4237688931432899</v>
      </c>
      <c r="X292" s="10" t="s">
        <v>902</v>
      </c>
      <c r="Y292" s="10">
        <v>1.8</v>
      </c>
      <c r="Z292" s="10">
        <v>2.9000000000000004</v>
      </c>
      <c r="AA292" s="20" t="s">
        <v>277</v>
      </c>
      <c r="AB292" s="7">
        <v>1523.4</v>
      </c>
      <c r="AC292" s="7">
        <v>205.1</v>
      </c>
      <c r="AD292" s="7">
        <v>0.13463305763423919</v>
      </c>
      <c r="AE292" s="7" t="s">
        <v>3</v>
      </c>
      <c r="AF292" s="20" t="s">
        <v>27</v>
      </c>
      <c r="AG292" s="11" t="s">
        <v>864</v>
      </c>
      <c r="AH292" s="7" t="s">
        <v>1242</v>
      </c>
    </row>
    <row r="293" spans="1:34" s="7" customFormat="1" ht="16.5" customHeight="1">
      <c r="A293" s="7">
        <v>2012</v>
      </c>
      <c r="B293" s="12">
        <v>41101</v>
      </c>
      <c r="C293" s="7" t="s">
        <v>22</v>
      </c>
      <c r="D293" s="9" t="s">
        <v>6</v>
      </c>
      <c r="E293" s="9" t="s">
        <v>15</v>
      </c>
      <c r="F293" s="9" t="s">
        <v>25</v>
      </c>
      <c r="G293" s="7" t="s">
        <v>902</v>
      </c>
      <c r="H293" s="7" t="s">
        <v>903</v>
      </c>
      <c r="I293" s="124" t="s">
        <v>902</v>
      </c>
      <c r="J293" s="7">
        <v>13</v>
      </c>
      <c r="K293" s="124" t="s">
        <v>1660</v>
      </c>
      <c r="L293" s="20" t="s">
        <v>74</v>
      </c>
      <c r="M293" s="16">
        <v>92.393795214201276</v>
      </c>
      <c r="N293" s="16">
        <v>23.607296491924085</v>
      </c>
      <c r="O293" s="16">
        <v>376.41351960834703</v>
      </c>
      <c r="P293" s="16">
        <v>16.768829195122969</v>
      </c>
      <c r="Q293" s="147">
        <v>712.08535284745062</v>
      </c>
      <c r="R293" s="147">
        <v>2.56207275390625</v>
      </c>
      <c r="S293" s="10">
        <v>0.82029346055503483</v>
      </c>
      <c r="T293" s="10">
        <v>2.2789319753626542</v>
      </c>
      <c r="U293" s="16">
        <v>8.8986801682857039E-2</v>
      </c>
      <c r="V293" s="16">
        <v>11.48446034788857</v>
      </c>
      <c r="W293" s="10">
        <v>9.2055283725259152</v>
      </c>
      <c r="X293" s="10" t="s">
        <v>902</v>
      </c>
      <c r="Y293" s="10">
        <v>1.8</v>
      </c>
      <c r="Z293" s="10">
        <v>2.9000000000000004</v>
      </c>
      <c r="AA293" s="20" t="s">
        <v>276</v>
      </c>
      <c r="AB293" s="7">
        <v>1518.6</v>
      </c>
      <c r="AC293" s="7">
        <v>207.5</v>
      </c>
      <c r="AD293" s="7">
        <v>0.13663900961411826</v>
      </c>
      <c r="AE293" s="7" t="s">
        <v>3</v>
      </c>
      <c r="AF293" s="20" t="s">
        <v>27</v>
      </c>
      <c r="AG293" s="11" t="s">
        <v>864</v>
      </c>
      <c r="AH293" s="7" t="s">
        <v>1242</v>
      </c>
    </row>
    <row r="294" spans="1:34" s="7" customFormat="1" ht="16.5" customHeight="1">
      <c r="A294" s="7">
        <v>2012</v>
      </c>
      <c r="B294" s="12">
        <v>41101</v>
      </c>
      <c r="C294" s="7" t="s">
        <v>22</v>
      </c>
      <c r="D294" s="9" t="s">
        <v>6</v>
      </c>
      <c r="E294" s="9" t="s">
        <v>15</v>
      </c>
      <c r="F294" s="9" t="s">
        <v>25</v>
      </c>
      <c r="G294" s="7" t="s">
        <v>902</v>
      </c>
      <c r="H294" s="7" t="s">
        <v>903</v>
      </c>
      <c r="I294" s="124" t="s">
        <v>902</v>
      </c>
      <c r="J294" s="7">
        <v>34</v>
      </c>
      <c r="K294" s="124" t="s">
        <v>1661</v>
      </c>
      <c r="L294" s="20" t="s">
        <v>908</v>
      </c>
      <c r="M294" s="16">
        <v>92.400111148231915</v>
      </c>
      <c r="N294" s="16">
        <v>23.506215246100176</v>
      </c>
      <c r="O294" s="16">
        <v>355.11914223118833</v>
      </c>
      <c r="P294" s="16">
        <v>17.99193081102873</v>
      </c>
      <c r="Q294" s="147">
        <v>726.20165373149666</v>
      </c>
      <c r="R294" s="147">
        <v>23.950439453125</v>
      </c>
      <c r="S294" s="10">
        <v>0.82029346055503483</v>
      </c>
      <c r="T294" s="10">
        <v>7.2967469720857947</v>
      </c>
      <c r="U294" s="16">
        <v>6.3729697779605257E-2</v>
      </c>
      <c r="V294" s="16">
        <v>11.48446034788857</v>
      </c>
      <c r="W294" s="10">
        <v>4.1877133758027751</v>
      </c>
      <c r="X294" s="10" t="s">
        <v>902</v>
      </c>
      <c r="Y294" s="10">
        <v>1.8</v>
      </c>
      <c r="Z294" s="10">
        <v>2.9000000000000004</v>
      </c>
      <c r="AA294" s="20" t="s">
        <v>275</v>
      </c>
      <c r="AB294" s="7">
        <v>1516.1</v>
      </c>
      <c r="AC294" s="7">
        <v>216.1</v>
      </c>
      <c r="AD294" s="7">
        <v>0.14253677198074005</v>
      </c>
      <c r="AE294" s="7" t="s">
        <v>3</v>
      </c>
      <c r="AF294" s="20" t="s">
        <v>27</v>
      </c>
      <c r="AG294" s="11" t="s">
        <v>928</v>
      </c>
      <c r="AH294" s="7" t="s">
        <v>1242</v>
      </c>
    </row>
    <row r="295" spans="1:34" s="7" customFormat="1" ht="16.5" customHeight="1">
      <c r="A295" s="7">
        <v>2012</v>
      </c>
      <c r="B295" s="12">
        <v>41101</v>
      </c>
      <c r="C295" s="7" t="s">
        <v>22</v>
      </c>
      <c r="D295" s="9" t="s">
        <v>6</v>
      </c>
      <c r="E295" s="9" t="s">
        <v>15</v>
      </c>
      <c r="F295" s="9" t="s">
        <v>25</v>
      </c>
      <c r="G295" s="7" t="s">
        <v>902</v>
      </c>
      <c r="H295" s="7" t="s">
        <v>903</v>
      </c>
      <c r="I295" s="124" t="s">
        <v>902</v>
      </c>
      <c r="J295" s="7">
        <v>35</v>
      </c>
      <c r="K295" s="124" t="s">
        <v>1662</v>
      </c>
      <c r="L295" s="20" t="s">
        <v>908</v>
      </c>
      <c r="M295" s="16">
        <v>92.399378263033356</v>
      </c>
      <c r="N295" s="16">
        <v>24.785600075354942</v>
      </c>
      <c r="O295" s="16">
        <v>357.69781259390027</v>
      </c>
      <c r="P295" s="16">
        <v>20.615391951340897</v>
      </c>
      <c r="Q295" s="147">
        <v>735.1290283203125</v>
      </c>
      <c r="R295" s="147">
        <v>16.257080078125</v>
      </c>
      <c r="S295" s="10">
        <v>0.82029346055503483</v>
      </c>
      <c r="T295" s="10">
        <v>4.2859391576324768</v>
      </c>
      <c r="U295" s="16">
        <v>4.6779779287484974E-2</v>
      </c>
      <c r="V295" s="16">
        <v>11.48446034788857</v>
      </c>
      <c r="W295" s="10">
        <v>7.198521190256093</v>
      </c>
      <c r="X295" s="10" t="s">
        <v>902</v>
      </c>
      <c r="Y295" s="10">
        <v>1.8</v>
      </c>
      <c r="Z295" s="10">
        <v>2.9000000000000004</v>
      </c>
      <c r="AA295" s="20" t="s">
        <v>273</v>
      </c>
      <c r="AB295" s="7">
        <v>1499</v>
      </c>
      <c r="AC295" s="7">
        <v>219.7</v>
      </c>
      <c r="AD295" s="7">
        <v>0.14656437625083388</v>
      </c>
      <c r="AE295" s="7" t="s">
        <v>3</v>
      </c>
      <c r="AF295" s="20" t="s">
        <v>27</v>
      </c>
      <c r="AG295" s="11" t="s">
        <v>928</v>
      </c>
      <c r="AH295" s="7" t="s">
        <v>1242</v>
      </c>
    </row>
    <row r="296" spans="1:34" s="7" customFormat="1" ht="16.5" customHeight="1">
      <c r="A296" s="7">
        <v>2012</v>
      </c>
      <c r="B296" s="12">
        <v>41101</v>
      </c>
      <c r="C296" s="7" t="s">
        <v>22</v>
      </c>
      <c r="D296" s="9" t="s">
        <v>6</v>
      </c>
      <c r="E296" s="9" t="s">
        <v>15</v>
      </c>
      <c r="F296" s="9" t="s">
        <v>25</v>
      </c>
      <c r="G296" s="7" t="s">
        <v>902</v>
      </c>
      <c r="H296" s="7" t="s">
        <v>903</v>
      </c>
      <c r="I296" s="124" t="s">
        <v>902</v>
      </c>
      <c r="J296" s="7">
        <v>36</v>
      </c>
      <c r="K296" s="124" t="s">
        <v>1663</v>
      </c>
      <c r="L296" s="20" t="s">
        <v>908</v>
      </c>
      <c r="M296" s="16">
        <v>92.400374942355683</v>
      </c>
      <c r="N296" s="16">
        <v>23.847834693060982</v>
      </c>
      <c r="O296" s="16">
        <v>354.91886562771265</v>
      </c>
      <c r="P296" s="16">
        <v>19.317839410569931</v>
      </c>
      <c r="Q296" s="147">
        <v>778.50440131293408</v>
      </c>
      <c r="R296" s="147">
        <v>50.98004150390625</v>
      </c>
      <c r="S296" s="10">
        <v>0.82029346055503483</v>
      </c>
      <c r="T296" s="10">
        <v>8.5010143811537038</v>
      </c>
      <c r="U296" s="16">
        <v>5.2449811006614389E-2</v>
      </c>
      <c r="V296" s="16">
        <v>11.48446034788857</v>
      </c>
      <c r="W296" s="10">
        <v>2.9834459667348661</v>
      </c>
      <c r="X296" s="10" t="s">
        <v>902</v>
      </c>
      <c r="Y296" s="10">
        <v>1.8</v>
      </c>
      <c r="Z296" s="10">
        <v>2.9000000000000004</v>
      </c>
      <c r="AA296" s="20" t="s">
        <v>274</v>
      </c>
      <c r="AB296" s="7">
        <v>1508.8</v>
      </c>
      <c r="AC296" s="7">
        <v>220.9</v>
      </c>
      <c r="AD296" s="7">
        <v>0.14640774125132555</v>
      </c>
      <c r="AE296" s="7" t="s">
        <v>3</v>
      </c>
      <c r="AF296" s="20" t="s">
        <v>27</v>
      </c>
      <c r="AG296" s="11" t="s">
        <v>928</v>
      </c>
      <c r="AH296" s="7" t="s">
        <v>1242</v>
      </c>
    </row>
    <row r="297" spans="1:34" s="7" customFormat="1" ht="16.5" customHeight="1">
      <c r="A297" s="7">
        <v>2012</v>
      </c>
      <c r="B297" s="12">
        <v>41101</v>
      </c>
      <c r="C297" s="7" t="s">
        <v>22</v>
      </c>
      <c r="D297" s="9" t="s">
        <v>6</v>
      </c>
      <c r="E297" s="9" t="s">
        <v>15</v>
      </c>
      <c r="F297" s="9" t="s">
        <v>25</v>
      </c>
      <c r="G297" s="7" t="s">
        <v>902</v>
      </c>
      <c r="H297" s="7" t="s">
        <v>903</v>
      </c>
      <c r="I297" s="124" t="s">
        <v>902</v>
      </c>
      <c r="J297" s="7">
        <v>14</v>
      </c>
      <c r="K297" s="124" t="s">
        <v>1664</v>
      </c>
      <c r="L297" s="20" t="s">
        <v>909</v>
      </c>
      <c r="M297" s="16">
        <v>92.410129547119141</v>
      </c>
      <c r="N297" s="16">
        <v>22.512595812479656</v>
      </c>
      <c r="O297" s="16">
        <v>367.04937065972223</v>
      </c>
      <c r="P297" s="16">
        <v>17.032110902998184</v>
      </c>
      <c r="Q297" s="147">
        <v>829.94558037651905</v>
      </c>
      <c r="R297" s="147">
        <v>5.37237548828125</v>
      </c>
      <c r="S297" s="10">
        <v>0.82029346055503483</v>
      </c>
      <c r="T297" s="10">
        <v>7.6149156560282973</v>
      </c>
      <c r="U297" s="16">
        <v>6.7120773012301002E-2</v>
      </c>
      <c r="V297" s="16">
        <v>11.48446034788857</v>
      </c>
      <c r="W297" s="10">
        <v>3.8695446918602725</v>
      </c>
      <c r="X297" s="10" t="s">
        <v>902</v>
      </c>
      <c r="Y297" s="10">
        <v>1.8</v>
      </c>
      <c r="Z297" s="10">
        <v>2.9000000000000004</v>
      </c>
      <c r="AA297" s="20" t="s">
        <v>247</v>
      </c>
      <c r="AB297" s="7">
        <v>1201.2</v>
      </c>
      <c r="AC297" s="7">
        <v>190.4</v>
      </c>
      <c r="AD297" s="7">
        <v>0.1585081585081585</v>
      </c>
      <c r="AE297" s="7" t="s">
        <v>3</v>
      </c>
      <c r="AF297" s="20" t="s">
        <v>27</v>
      </c>
      <c r="AG297" s="11" t="s">
        <v>864</v>
      </c>
      <c r="AH297" s="7" t="s">
        <v>1242</v>
      </c>
    </row>
    <row r="298" spans="1:34" s="7" customFormat="1" ht="16.5" customHeight="1">
      <c r="A298" s="7">
        <v>2012</v>
      </c>
      <c r="B298" s="12">
        <v>41101</v>
      </c>
      <c r="C298" s="7" t="s">
        <v>22</v>
      </c>
      <c r="D298" s="9" t="s">
        <v>6</v>
      </c>
      <c r="E298" s="9" t="s">
        <v>15</v>
      </c>
      <c r="F298" s="9" t="s">
        <v>25</v>
      </c>
      <c r="G298" s="7" t="s">
        <v>902</v>
      </c>
      <c r="H298" s="7" t="s">
        <v>903</v>
      </c>
      <c r="I298" s="124" t="s">
        <v>902</v>
      </c>
      <c r="J298" s="7">
        <v>15</v>
      </c>
      <c r="K298" s="124" t="s">
        <v>1665</v>
      </c>
      <c r="L298" s="20" t="s">
        <v>909</v>
      </c>
      <c r="M298" s="16">
        <v>92.412135475560234</v>
      </c>
      <c r="N298" s="16">
        <v>22.306220707140472</v>
      </c>
      <c r="O298" s="16">
        <v>357.82448216488484</v>
      </c>
      <c r="P298" s="16">
        <v>16.586220490305049</v>
      </c>
      <c r="Q298" s="147">
        <v>838.62271278782896</v>
      </c>
      <c r="R298" s="147">
        <v>4.49090576171875</v>
      </c>
      <c r="S298" s="10">
        <v>0.82029346055503483</v>
      </c>
      <c r="T298" s="10">
        <v>8.3776919394738645</v>
      </c>
      <c r="U298" s="16">
        <v>6.4901526769002252E-2</v>
      </c>
      <c r="V298" s="16">
        <v>11.48446034788857</v>
      </c>
      <c r="W298" s="10">
        <v>3.1067684084147054</v>
      </c>
      <c r="X298" s="10" t="s">
        <v>902</v>
      </c>
      <c r="Y298" s="10">
        <v>1.8</v>
      </c>
      <c r="Z298" s="10">
        <v>2.9000000000000004</v>
      </c>
      <c r="AA298" s="20" t="s">
        <v>246</v>
      </c>
      <c r="AB298" s="7">
        <v>1198.7</v>
      </c>
      <c r="AC298" s="7">
        <v>190.4</v>
      </c>
      <c r="AD298" s="7">
        <v>0.15883874197046802</v>
      </c>
      <c r="AE298" s="7" t="s">
        <v>3</v>
      </c>
      <c r="AF298" s="20" t="s">
        <v>27</v>
      </c>
      <c r="AG298" s="11" t="s">
        <v>864</v>
      </c>
      <c r="AH298" s="7" t="s">
        <v>1242</v>
      </c>
    </row>
    <row r="299" spans="1:34" s="7" customFormat="1" ht="16.5" customHeight="1">
      <c r="A299" s="7">
        <v>2012</v>
      </c>
      <c r="B299" s="12">
        <v>41101</v>
      </c>
      <c r="C299" s="7" t="s">
        <v>22</v>
      </c>
      <c r="D299" s="9" t="s">
        <v>6</v>
      </c>
      <c r="E299" s="9" t="s">
        <v>15</v>
      </c>
      <c r="F299" s="9" t="s">
        <v>25</v>
      </c>
      <c r="G299" s="7" t="s">
        <v>902</v>
      </c>
      <c r="H299" s="7" t="s">
        <v>903</v>
      </c>
      <c r="I299" s="124" t="s">
        <v>902</v>
      </c>
      <c r="J299" s="7">
        <v>16</v>
      </c>
      <c r="K299" s="124" t="s">
        <v>1666</v>
      </c>
      <c r="L299" s="20" t="s">
        <v>909</v>
      </c>
      <c r="M299" s="16">
        <v>92.40521079615543</v>
      </c>
      <c r="N299" s="16">
        <v>23.346278441579717</v>
      </c>
      <c r="O299" s="16">
        <v>367.28848748458057</v>
      </c>
      <c r="P299" s="16">
        <v>18.356480347482783</v>
      </c>
      <c r="Q299" s="147">
        <v>1060.8941907380756</v>
      </c>
      <c r="R299" s="147">
        <v>4.9945068359375</v>
      </c>
      <c r="S299" s="10">
        <v>0.82029346055503483</v>
      </c>
      <c r="T299" s="10">
        <v>7.8239983954695811</v>
      </c>
      <c r="U299" s="16">
        <v>7.5509052945856442E-2</v>
      </c>
      <c r="V299" s="16">
        <v>11.48446034788857</v>
      </c>
      <c r="W299" s="10">
        <v>3.6604619524189888</v>
      </c>
      <c r="X299" s="10" t="s">
        <v>902</v>
      </c>
      <c r="Y299" s="10">
        <v>1.8</v>
      </c>
      <c r="Z299" s="10">
        <v>2.9000000000000004</v>
      </c>
      <c r="AA299" s="20" t="s">
        <v>258</v>
      </c>
      <c r="AB299" s="7">
        <v>1300</v>
      </c>
      <c r="AC299" s="7">
        <v>186.8</v>
      </c>
      <c r="AD299" s="7">
        <v>0.1436923076923077</v>
      </c>
      <c r="AE299" s="7" t="s">
        <v>3</v>
      </c>
      <c r="AF299" s="20" t="s">
        <v>27</v>
      </c>
      <c r="AG299" s="11" t="s">
        <v>864</v>
      </c>
      <c r="AH299" s="7" t="s">
        <v>1242</v>
      </c>
    </row>
    <row r="300" spans="1:34" s="7" customFormat="1" ht="16.5" customHeight="1">
      <c r="A300" s="7">
        <v>2012</v>
      </c>
      <c r="B300" s="12">
        <v>41101</v>
      </c>
      <c r="C300" s="7" t="s">
        <v>22</v>
      </c>
      <c r="D300" s="9" t="s">
        <v>6</v>
      </c>
      <c r="E300" s="9" t="s">
        <v>15</v>
      </c>
      <c r="F300" s="9" t="s">
        <v>25</v>
      </c>
      <c r="G300" s="7" t="s">
        <v>902</v>
      </c>
      <c r="H300" s="7" t="s">
        <v>903</v>
      </c>
      <c r="I300" s="124" t="s">
        <v>902</v>
      </c>
      <c r="J300" s="7">
        <v>17</v>
      </c>
      <c r="K300" s="124" t="s">
        <v>1667</v>
      </c>
      <c r="L300" s="20" t="s">
        <v>909</v>
      </c>
      <c r="M300" s="16">
        <v>92.407346223530013</v>
      </c>
      <c r="N300" s="16">
        <v>22.003978126927425</v>
      </c>
      <c r="O300" s="16">
        <v>363.13371357164885</v>
      </c>
      <c r="P300" s="16">
        <v>16.454233069168893</v>
      </c>
      <c r="Q300" s="147">
        <v>1069.7103721217106</v>
      </c>
      <c r="R300" s="147">
        <v>1.888916015625</v>
      </c>
      <c r="S300" s="10">
        <v>0.82029346055503483</v>
      </c>
      <c r="T300" s="10">
        <v>6.734232931855705</v>
      </c>
      <c r="U300" s="16">
        <v>7.4790902723345834E-2</v>
      </c>
      <c r="V300" s="16">
        <v>11.48446034788857</v>
      </c>
      <c r="W300" s="10">
        <v>4.7502274160328648</v>
      </c>
      <c r="X300" s="10" t="s">
        <v>902</v>
      </c>
      <c r="Y300" s="10">
        <v>1.8</v>
      </c>
      <c r="Z300" s="10">
        <v>2.9000000000000004</v>
      </c>
      <c r="AA300" s="20" t="s">
        <v>256</v>
      </c>
      <c r="AB300" s="7">
        <v>1287.8</v>
      </c>
      <c r="AC300" s="7">
        <v>186.8</v>
      </c>
      <c r="AD300" s="7">
        <v>0.14505357974840816</v>
      </c>
      <c r="AE300" s="7" t="s">
        <v>3</v>
      </c>
      <c r="AF300" s="20" t="s">
        <v>27</v>
      </c>
      <c r="AG300" s="11" t="s">
        <v>864</v>
      </c>
      <c r="AH300" s="7" t="s">
        <v>1242</v>
      </c>
    </row>
    <row r="301" spans="1:34" s="7" customFormat="1" ht="16.5" customHeight="1">
      <c r="A301" s="7">
        <v>2012</v>
      </c>
      <c r="B301" s="12">
        <v>41101</v>
      </c>
      <c r="C301" s="7" t="s">
        <v>22</v>
      </c>
      <c r="D301" s="9" t="s">
        <v>6</v>
      </c>
      <c r="E301" s="9" t="s">
        <v>15</v>
      </c>
      <c r="F301" s="9" t="s">
        <v>25</v>
      </c>
      <c r="G301" s="7" t="s">
        <v>902</v>
      </c>
      <c r="H301" s="7" t="s">
        <v>903</v>
      </c>
      <c r="I301" s="124" t="s">
        <v>902</v>
      </c>
      <c r="J301" s="7">
        <v>18</v>
      </c>
      <c r="K301" s="124" t="s">
        <v>1668</v>
      </c>
      <c r="L301" s="20" t="s">
        <v>909</v>
      </c>
      <c r="M301" s="16">
        <v>92.407855786775286</v>
      </c>
      <c r="N301" s="16">
        <v>22.60668905157792</v>
      </c>
      <c r="O301" s="16">
        <v>365.22522615131578</v>
      </c>
      <c r="P301" s="16">
        <v>17.107341063650029</v>
      </c>
      <c r="Q301" s="147">
        <v>1079.2853425678454</v>
      </c>
      <c r="R301" s="147">
        <v>5.6087646484375</v>
      </c>
      <c r="S301" s="10">
        <v>0.82029346055503483</v>
      </c>
      <c r="T301" s="10">
        <v>10.943090054181804</v>
      </c>
      <c r="U301" s="16">
        <v>8.0712892298112862E-2</v>
      </c>
      <c r="V301" s="16">
        <v>11.48446034788857</v>
      </c>
      <c r="W301" s="10">
        <v>0.54137029370676615</v>
      </c>
      <c r="X301" s="10" t="s">
        <v>902</v>
      </c>
      <c r="Y301" s="10">
        <v>1.8</v>
      </c>
      <c r="Z301" s="10">
        <v>2.9000000000000004</v>
      </c>
      <c r="AA301" s="20" t="s">
        <v>257</v>
      </c>
      <c r="AB301" s="7">
        <v>1293.9000000000001</v>
      </c>
      <c r="AC301" s="7">
        <v>186.8</v>
      </c>
      <c r="AD301" s="7">
        <v>0.14436973490996213</v>
      </c>
      <c r="AE301" s="7" t="s">
        <v>3</v>
      </c>
      <c r="AF301" s="20" t="s">
        <v>27</v>
      </c>
      <c r="AG301" s="11" t="s">
        <v>864</v>
      </c>
      <c r="AH301" s="7" t="s">
        <v>1345</v>
      </c>
    </row>
    <row r="302" spans="1:34" s="7" customFormat="1" ht="16.5" customHeight="1">
      <c r="A302" s="7">
        <v>2012</v>
      </c>
      <c r="B302" s="12">
        <v>41101</v>
      </c>
      <c r="C302" s="7" t="s">
        <v>22</v>
      </c>
      <c r="D302" s="9" t="s">
        <v>6</v>
      </c>
      <c r="E302" s="9" t="s">
        <v>15</v>
      </c>
      <c r="F302" s="9" t="s">
        <v>25</v>
      </c>
      <c r="G302" s="7" t="s">
        <v>902</v>
      </c>
      <c r="H302" s="7" t="s">
        <v>903</v>
      </c>
      <c r="I302" s="124" t="s">
        <v>902</v>
      </c>
      <c r="J302" s="7">
        <v>19</v>
      </c>
      <c r="K302" s="124" t="s">
        <v>1669</v>
      </c>
      <c r="L302" s="20" t="s">
        <v>909</v>
      </c>
      <c r="M302" s="16">
        <v>92.380215695029804</v>
      </c>
      <c r="N302" s="16">
        <v>24.707673323781865</v>
      </c>
      <c r="O302" s="16">
        <v>363.83080251593339</v>
      </c>
      <c r="P302" s="16">
        <v>17.55241665087248</v>
      </c>
      <c r="Q302" s="147">
        <v>1263.3305342824835</v>
      </c>
      <c r="R302" s="147">
        <v>1.1268310546875</v>
      </c>
      <c r="S302" s="10">
        <v>0.82029346055503483</v>
      </c>
      <c r="T302" s="10">
        <v>4.3117261777689011</v>
      </c>
      <c r="U302" s="16">
        <v>7.5888436300712722E-2</v>
      </c>
      <c r="V302" s="16">
        <v>11.48446034788857</v>
      </c>
      <c r="W302" s="10">
        <v>7.1727341701196687</v>
      </c>
      <c r="X302" s="10" t="s">
        <v>902</v>
      </c>
      <c r="Y302" s="10">
        <v>1.8</v>
      </c>
      <c r="Z302" s="10">
        <v>2.9000000000000004</v>
      </c>
      <c r="AA302" s="32" t="s">
        <v>271</v>
      </c>
      <c r="AB302" s="7">
        <v>1489.3</v>
      </c>
      <c r="AC302" s="7">
        <v>219.7</v>
      </c>
      <c r="AD302" s="7">
        <v>0.14751896864298664</v>
      </c>
      <c r="AE302" s="7" t="s">
        <v>3</v>
      </c>
      <c r="AF302" s="20" t="s">
        <v>27</v>
      </c>
      <c r="AG302" s="11" t="s">
        <v>864</v>
      </c>
      <c r="AH302" s="7" t="s">
        <v>1242</v>
      </c>
    </row>
    <row r="303" spans="1:34" s="7" customFormat="1" ht="16.5" customHeight="1">
      <c r="A303" s="7">
        <v>2012</v>
      </c>
      <c r="B303" s="12">
        <v>41101</v>
      </c>
      <c r="C303" s="7" t="s">
        <v>22</v>
      </c>
      <c r="D303" s="9" t="s">
        <v>6</v>
      </c>
      <c r="E303" s="9" t="s">
        <v>15</v>
      </c>
      <c r="F303" s="9" t="s">
        <v>25</v>
      </c>
      <c r="G303" s="7" t="s">
        <v>902</v>
      </c>
      <c r="H303" s="7" t="s">
        <v>903</v>
      </c>
      <c r="I303" s="124" t="s">
        <v>902</v>
      </c>
      <c r="J303" s="7">
        <v>20</v>
      </c>
      <c r="K303" s="124" t="s">
        <v>1670</v>
      </c>
      <c r="L303" s="20" t="s">
        <v>909</v>
      </c>
      <c r="M303" s="16">
        <v>92.39589169150905</v>
      </c>
      <c r="N303" s="16">
        <v>24.971370395861175</v>
      </c>
      <c r="O303" s="16">
        <v>369.25306854248049</v>
      </c>
      <c r="P303" s="16">
        <v>17.369373798370361</v>
      </c>
      <c r="Q303" s="147">
        <v>1270.7550113075658</v>
      </c>
      <c r="R303" s="147">
        <v>3.3955078125</v>
      </c>
      <c r="S303" s="10">
        <v>0.82029346055503483</v>
      </c>
      <c r="T303" s="10">
        <v>6.2422503995103851</v>
      </c>
      <c r="U303" s="16">
        <v>9.066714093201142E-2</v>
      </c>
      <c r="V303" s="16">
        <v>11.48446034788857</v>
      </c>
      <c r="W303" s="10">
        <v>5.2422099483781848</v>
      </c>
      <c r="X303" s="10" t="s">
        <v>902</v>
      </c>
      <c r="Y303" s="10">
        <v>1.8</v>
      </c>
      <c r="Z303" s="10">
        <v>2.9000000000000004</v>
      </c>
      <c r="AA303" s="20" t="s">
        <v>272</v>
      </c>
      <c r="AB303" s="7">
        <v>1491.7</v>
      </c>
      <c r="AC303" s="7">
        <v>219.7</v>
      </c>
      <c r="AD303" s="7">
        <v>0.14728162499162029</v>
      </c>
      <c r="AE303" s="7" t="s">
        <v>3</v>
      </c>
      <c r="AF303" s="20" t="s">
        <v>27</v>
      </c>
      <c r="AG303" s="11" t="s">
        <v>864</v>
      </c>
      <c r="AH303" s="7" t="s">
        <v>1242</v>
      </c>
    </row>
    <row r="304" spans="1:34" s="7" customFormat="1" ht="16.5" customHeight="1">
      <c r="A304" s="7">
        <v>2012</v>
      </c>
      <c r="B304" s="12">
        <v>41102</v>
      </c>
      <c r="C304" s="7" t="s">
        <v>22</v>
      </c>
      <c r="D304" s="9" t="s">
        <v>23</v>
      </c>
      <c r="E304" s="9" t="s">
        <v>16</v>
      </c>
      <c r="F304" s="9" t="s">
        <v>25</v>
      </c>
      <c r="G304" s="7" t="s">
        <v>902</v>
      </c>
      <c r="H304" s="7" t="s">
        <v>903</v>
      </c>
      <c r="I304" s="124" t="s">
        <v>902</v>
      </c>
      <c r="J304" s="7">
        <v>1</v>
      </c>
      <c r="K304" s="124" t="s">
        <v>1671</v>
      </c>
      <c r="L304" s="20" t="s">
        <v>904</v>
      </c>
      <c r="M304" s="16">
        <v>92.581490834554032</v>
      </c>
      <c r="N304" s="16">
        <v>18.732749938964844</v>
      </c>
      <c r="O304" s="16">
        <v>392.19288296169702</v>
      </c>
      <c r="P304" s="16">
        <v>17.622066073947483</v>
      </c>
      <c r="Q304" s="147">
        <v>5.5802031788819782E-2</v>
      </c>
      <c r="R304" s="147">
        <v>0.16317117714788765</v>
      </c>
      <c r="S304" s="10">
        <v>0.85623533670886964</v>
      </c>
      <c r="T304" s="10">
        <v>9.4368780580915512</v>
      </c>
      <c r="U304" s="16">
        <v>2.7963752471010506E-2</v>
      </c>
      <c r="V304" s="16">
        <v>10.442972232473876</v>
      </c>
      <c r="W304" s="10">
        <v>0</v>
      </c>
      <c r="X304" s="10" t="s">
        <v>902</v>
      </c>
      <c r="Y304" s="10">
        <v>3.9000000000000004</v>
      </c>
      <c r="Z304" s="10">
        <v>3.8666666666666667</v>
      </c>
      <c r="AA304" s="20" t="s">
        <v>300</v>
      </c>
      <c r="AB304" s="7">
        <v>411.4</v>
      </c>
      <c r="AC304" s="7">
        <v>383.3</v>
      </c>
      <c r="AD304" s="7">
        <v>0.93169664560038901</v>
      </c>
      <c r="AE304" s="7" t="s">
        <v>607</v>
      </c>
      <c r="AF304" s="20" t="s">
        <v>27</v>
      </c>
      <c r="AG304" s="11" t="s">
        <v>607</v>
      </c>
      <c r="AH304" s="7" t="s">
        <v>1242</v>
      </c>
    </row>
    <row r="305" spans="1:34" s="7" customFormat="1" ht="16.5" customHeight="1">
      <c r="A305" s="7">
        <v>2012</v>
      </c>
      <c r="B305" s="12">
        <v>41112</v>
      </c>
      <c r="C305" s="7" t="s">
        <v>22</v>
      </c>
      <c r="D305" s="9" t="s">
        <v>23</v>
      </c>
      <c r="E305" s="9" t="s">
        <v>16</v>
      </c>
      <c r="F305" s="9" t="s">
        <v>25</v>
      </c>
      <c r="G305" s="7" t="s">
        <v>902</v>
      </c>
      <c r="H305" s="7" t="s">
        <v>903</v>
      </c>
      <c r="I305" s="124" t="s">
        <v>902</v>
      </c>
      <c r="J305" s="7">
        <v>2</v>
      </c>
      <c r="K305" s="124" t="s">
        <v>1672</v>
      </c>
      <c r="L305" s="20" t="s">
        <v>904</v>
      </c>
      <c r="M305" s="16">
        <v>92.797724829779725</v>
      </c>
      <c r="N305" s="16">
        <v>24.857797304789226</v>
      </c>
      <c r="O305" s="16">
        <v>384.02842542860242</v>
      </c>
      <c r="P305" s="16">
        <v>25.474522802564834</v>
      </c>
      <c r="Q305" s="147">
        <v>5.8690207182533212E-2</v>
      </c>
      <c r="R305" s="147">
        <v>0.13076017145067453</v>
      </c>
      <c r="S305" s="10">
        <v>0.85623533670886964</v>
      </c>
      <c r="T305" s="10">
        <v>12.307791501667657</v>
      </c>
      <c r="U305" s="16">
        <v>2.9646735688358145E-2</v>
      </c>
      <c r="V305" s="16">
        <v>10.442972232473876</v>
      </c>
      <c r="W305" s="10">
        <v>0</v>
      </c>
      <c r="X305" s="10" t="s">
        <v>902</v>
      </c>
      <c r="Y305" s="10">
        <v>3.9000000000000004</v>
      </c>
      <c r="Z305" s="10">
        <v>3.8666666666666667</v>
      </c>
      <c r="AA305" s="20" t="s">
        <v>324</v>
      </c>
      <c r="AB305" s="7">
        <v>1564.9</v>
      </c>
      <c r="AC305" s="7">
        <v>434.6</v>
      </c>
      <c r="AD305" s="7">
        <v>0.27771742603361238</v>
      </c>
      <c r="AE305" s="7" t="s">
        <v>113</v>
      </c>
      <c r="AF305" s="20" t="s">
        <v>27</v>
      </c>
      <c r="AG305" s="11" t="s">
        <v>607</v>
      </c>
      <c r="AH305" s="7" t="s">
        <v>1242</v>
      </c>
    </row>
    <row r="306" spans="1:34" s="7" customFormat="1" ht="16.5" customHeight="1">
      <c r="A306" s="7">
        <v>2012</v>
      </c>
      <c r="B306" s="12">
        <v>41102</v>
      </c>
      <c r="C306" s="7" t="s">
        <v>22</v>
      </c>
      <c r="D306" s="9" t="s">
        <v>23</v>
      </c>
      <c r="E306" s="9" t="s">
        <v>16</v>
      </c>
      <c r="F306" s="9" t="s">
        <v>25</v>
      </c>
      <c r="G306" s="7" t="s">
        <v>902</v>
      </c>
      <c r="H306" s="7" t="s">
        <v>903</v>
      </c>
      <c r="I306" s="124" t="s">
        <v>902</v>
      </c>
      <c r="J306" s="7">
        <v>3</v>
      </c>
      <c r="K306" s="124" t="s">
        <v>1673</v>
      </c>
      <c r="L306" s="20" t="s">
        <v>904</v>
      </c>
      <c r="M306" s="16">
        <v>92.583321041531036</v>
      </c>
      <c r="N306" s="16">
        <v>19.00477017296685</v>
      </c>
      <c r="O306" s="16">
        <v>408.74730258517798</v>
      </c>
      <c r="P306" s="16">
        <v>18.668820275200737</v>
      </c>
      <c r="Q306" s="147">
        <v>6.6056758501670421E-2</v>
      </c>
      <c r="R306" s="147">
        <v>0.16183592146262527</v>
      </c>
      <c r="S306" s="10">
        <v>0.85623533670886964</v>
      </c>
      <c r="T306" s="10">
        <v>9.3456107659142873</v>
      </c>
      <c r="U306" s="16">
        <v>2.334258529300906E-2</v>
      </c>
      <c r="V306" s="16">
        <v>10.442972232473876</v>
      </c>
      <c r="W306" s="10">
        <v>0</v>
      </c>
      <c r="X306" s="10" t="s">
        <v>902</v>
      </c>
      <c r="Y306" s="10">
        <v>3.9000000000000004</v>
      </c>
      <c r="Z306" s="10">
        <v>3.8666666666666667</v>
      </c>
      <c r="AA306" s="20" t="s">
        <v>299</v>
      </c>
      <c r="AB306" s="7">
        <v>449.2</v>
      </c>
      <c r="AC306" s="7">
        <v>407.7</v>
      </c>
      <c r="AD306" s="7">
        <v>0.90761353517364207</v>
      </c>
      <c r="AE306" s="7" t="s">
        <v>607</v>
      </c>
      <c r="AF306" s="20" t="s">
        <v>27</v>
      </c>
      <c r="AG306" s="11" t="s">
        <v>607</v>
      </c>
      <c r="AH306" s="7" t="s">
        <v>1242</v>
      </c>
    </row>
    <row r="307" spans="1:34" s="7" customFormat="1" ht="16.5" customHeight="1">
      <c r="A307" s="7">
        <v>2012</v>
      </c>
      <c r="B307" s="12">
        <v>41102</v>
      </c>
      <c r="C307" s="7" t="s">
        <v>22</v>
      </c>
      <c r="D307" s="9" t="s">
        <v>23</v>
      </c>
      <c r="E307" s="9" t="s">
        <v>16</v>
      </c>
      <c r="F307" s="9" t="s">
        <v>25</v>
      </c>
      <c r="G307" s="7" t="s">
        <v>902</v>
      </c>
      <c r="H307" s="7" t="s">
        <v>903</v>
      </c>
      <c r="I307" s="124" t="s">
        <v>902</v>
      </c>
      <c r="J307" s="7">
        <v>4</v>
      </c>
      <c r="K307" s="124" t="s">
        <v>1674</v>
      </c>
      <c r="L307" s="20" t="s">
        <v>904</v>
      </c>
      <c r="M307" s="16">
        <v>92.584031422932938</v>
      </c>
      <c r="N307" s="16">
        <v>19.026458846198189</v>
      </c>
      <c r="O307" s="16">
        <v>389.29132249620227</v>
      </c>
      <c r="P307" s="16">
        <v>18.057407697041828</v>
      </c>
      <c r="Q307" s="147">
        <v>6.955004488635394E-2</v>
      </c>
      <c r="R307" s="147">
        <v>0.2206885265186429</v>
      </c>
      <c r="S307" s="10">
        <v>0.85623533670886964</v>
      </c>
      <c r="T307" s="10">
        <v>8.5964417904245316</v>
      </c>
      <c r="U307" s="16">
        <v>3.2209578436348585E-2</v>
      </c>
      <c r="V307" s="16">
        <v>10.442972232473876</v>
      </c>
      <c r="W307" s="10">
        <v>0</v>
      </c>
      <c r="X307" s="10" t="s">
        <v>902</v>
      </c>
      <c r="Y307" s="10">
        <v>3.9000000000000004</v>
      </c>
      <c r="Z307" s="10">
        <v>3.8666666666666667</v>
      </c>
      <c r="AA307" s="20" t="s">
        <v>298</v>
      </c>
      <c r="AB307" s="7">
        <v>477.3</v>
      </c>
      <c r="AC307" s="7">
        <v>454.1</v>
      </c>
      <c r="AD307" s="7">
        <v>0.9513932537188351</v>
      </c>
      <c r="AE307" s="7" t="s">
        <v>607</v>
      </c>
      <c r="AF307" s="20" t="s">
        <v>27</v>
      </c>
      <c r="AG307" s="11" t="s">
        <v>607</v>
      </c>
      <c r="AH307" s="7" t="s">
        <v>1242</v>
      </c>
    </row>
    <row r="308" spans="1:34" s="7" customFormat="1" ht="16.5" customHeight="1">
      <c r="A308" s="7">
        <v>2012</v>
      </c>
      <c r="B308" s="12">
        <v>41102</v>
      </c>
      <c r="C308" s="7" t="s">
        <v>22</v>
      </c>
      <c r="D308" s="9" t="s">
        <v>23</v>
      </c>
      <c r="E308" s="9" t="s">
        <v>16</v>
      </c>
      <c r="F308" s="9" t="s">
        <v>25</v>
      </c>
      <c r="G308" s="7" t="s">
        <v>902</v>
      </c>
      <c r="H308" s="7" t="s">
        <v>903</v>
      </c>
      <c r="I308" s="124" t="s">
        <v>902</v>
      </c>
      <c r="J308" s="7">
        <v>5</v>
      </c>
      <c r="K308" s="124" t="s">
        <v>1675</v>
      </c>
      <c r="L308" s="20" t="s">
        <v>904</v>
      </c>
      <c r="M308" s="16">
        <v>92.583126068115234</v>
      </c>
      <c r="N308" s="16">
        <v>20.012338426378037</v>
      </c>
      <c r="O308" s="16">
        <v>388.69359503851996</v>
      </c>
      <c r="P308" s="16">
        <v>19.9558810128106</v>
      </c>
      <c r="Q308" s="147">
        <v>8.1736651682553604E-2</v>
      </c>
      <c r="R308" s="147">
        <v>0.20329927315469831</v>
      </c>
      <c r="S308" s="10">
        <v>0.85623533670886964</v>
      </c>
      <c r="T308" s="10">
        <v>8.8022619530074042</v>
      </c>
      <c r="U308" s="16">
        <v>2.3159053672577944E-2</v>
      </c>
      <c r="V308" s="16">
        <v>10.442972232473876</v>
      </c>
      <c r="W308" s="10">
        <v>0</v>
      </c>
      <c r="X308" s="10" t="s">
        <v>902</v>
      </c>
      <c r="Y308" s="10">
        <v>3.9000000000000004</v>
      </c>
      <c r="Z308" s="10">
        <v>3.8666666666666667</v>
      </c>
      <c r="AA308" s="20" t="s">
        <v>297</v>
      </c>
      <c r="AB308" s="7">
        <v>461.4</v>
      </c>
      <c r="AC308" s="7">
        <v>437</v>
      </c>
      <c r="AD308" s="7">
        <v>0.94711746857390555</v>
      </c>
      <c r="AE308" s="7" t="s">
        <v>607</v>
      </c>
      <c r="AF308" s="20" t="s">
        <v>27</v>
      </c>
      <c r="AG308" s="11" t="s">
        <v>607</v>
      </c>
      <c r="AH308" s="7" t="s">
        <v>1242</v>
      </c>
    </row>
    <row r="309" spans="1:34" s="7" customFormat="1" ht="16.5" customHeight="1">
      <c r="A309" s="7">
        <v>2012</v>
      </c>
      <c r="B309" s="12">
        <v>41102</v>
      </c>
      <c r="C309" s="7" t="s">
        <v>22</v>
      </c>
      <c r="D309" s="9" t="s">
        <v>23</v>
      </c>
      <c r="E309" s="9" t="s">
        <v>16</v>
      </c>
      <c r="F309" s="9" t="s">
        <v>25</v>
      </c>
      <c r="G309" s="7" t="s">
        <v>902</v>
      </c>
      <c r="H309" s="7" t="s">
        <v>903</v>
      </c>
      <c r="I309" s="124" t="s">
        <v>902</v>
      </c>
      <c r="J309" s="7">
        <v>6</v>
      </c>
      <c r="K309" s="124" t="s">
        <v>1676</v>
      </c>
      <c r="L309" s="20" t="s">
        <v>904</v>
      </c>
      <c r="M309" s="16">
        <v>92.792643229166671</v>
      </c>
      <c r="N309" s="16">
        <v>24.397615326775444</v>
      </c>
      <c r="O309" s="16">
        <v>387.00713094075519</v>
      </c>
      <c r="P309" s="16">
        <v>22.188578605651855</v>
      </c>
      <c r="Q309" s="147">
        <v>0.10437880761714445</v>
      </c>
      <c r="R309" s="147">
        <v>0.32460377458482981</v>
      </c>
      <c r="S309" s="10">
        <v>0.85623533670886964</v>
      </c>
      <c r="T309" s="10">
        <v>11.922980378689513</v>
      </c>
      <c r="U309" s="16">
        <v>5.5651456086874253E-2</v>
      </c>
      <c r="V309" s="16">
        <v>10.442972232473876</v>
      </c>
      <c r="W309" s="10">
        <v>0</v>
      </c>
      <c r="X309" s="10" t="s">
        <v>902</v>
      </c>
      <c r="Y309" s="10">
        <v>3.9000000000000004</v>
      </c>
      <c r="Z309" s="10">
        <v>3.8666666666666667</v>
      </c>
      <c r="AA309" s="20" t="s">
        <v>326</v>
      </c>
      <c r="AB309" s="7">
        <v>1639.4</v>
      </c>
      <c r="AC309" s="7">
        <v>393.1</v>
      </c>
      <c r="AD309" s="7">
        <v>0.23978284738318897</v>
      </c>
      <c r="AE309" s="7" t="s">
        <v>113</v>
      </c>
      <c r="AF309" s="20" t="s">
        <v>27</v>
      </c>
      <c r="AG309" s="11" t="s">
        <v>607</v>
      </c>
      <c r="AH309" s="7" t="s">
        <v>1242</v>
      </c>
    </row>
    <row r="310" spans="1:34" s="7" customFormat="1" ht="16.5" customHeight="1">
      <c r="A310" s="7">
        <v>2012</v>
      </c>
      <c r="B310" s="12">
        <v>41112</v>
      </c>
      <c r="C310" s="7" t="s">
        <v>22</v>
      </c>
      <c r="D310" s="9" t="s">
        <v>23</v>
      </c>
      <c r="E310" s="9" t="s">
        <v>16</v>
      </c>
      <c r="F310" s="9" t="s">
        <v>25</v>
      </c>
      <c r="G310" s="7" t="s">
        <v>902</v>
      </c>
      <c r="H310" s="7" t="s">
        <v>903</v>
      </c>
      <c r="I310" s="124" t="s">
        <v>902</v>
      </c>
      <c r="J310" s="7">
        <v>7</v>
      </c>
      <c r="K310" s="124" t="s">
        <v>1677</v>
      </c>
      <c r="L310" s="20" t="s">
        <v>904</v>
      </c>
      <c r="M310" s="16">
        <v>92.795180850558808</v>
      </c>
      <c r="N310" s="16">
        <v>24.360947714911568</v>
      </c>
      <c r="O310" s="16">
        <v>383.31685214572485</v>
      </c>
      <c r="P310" s="16">
        <v>22.592960145738388</v>
      </c>
      <c r="Q310" s="147">
        <v>0.45823340283499825</v>
      </c>
      <c r="R310" s="147">
        <v>0.25693920254707336</v>
      </c>
      <c r="S310" s="10">
        <v>0.85623533670886964</v>
      </c>
      <c r="T310" s="10">
        <v>12.688841179522184</v>
      </c>
      <c r="U310" s="16">
        <v>4.630445080767967E-2</v>
      </c>
      <c r="V310" s="16">
        <v>10.442972232473876</v>
      </c>
      <c r="W310" s="10">
        <v>0</v>
      </c>
      <c r="X310" s="10" t="s">
        <v>902</v>
      </c>
      <c r="Y310" s="10">
        <v>3.9000000000000004</v>
      </c>
      <c r="Z310" s="10">
        <v>3.8666666666666667</v>
      </c>
      <c r="AA310" s="20" t="s">
        <v>325</v>
      </c>
      <c r="AB310" s="7">
        <v>1644.3</v>
      </c>
      <c r="AC310" s="7">
        <v>415</v>
      </c>
      <c r="AD310" s="7">
        <v>0.25238703399622942</v>
      </c>
      <c r="AE310" s="7" t="s">
        <v>113</v>
      </c>
      <c r="AF310" s="20" t="s">
        <v>27</v>
      </c>
      <c r="AG310" s="11" t="s">
        <v>607</v>
      </c>
      <c r="AH310" s="7" t="s">
        <v>1242</v>
      </c>
    </row>
    <row r="311" spans="1:34" s="7" customFormat="1" ht="16.5" customHeight="1">
      <c r="A311" s="7">
        <v>2012</v>
      </c>
      <c r="B311" s="12">
        <v>41112</v>
      </c>
      <c r="C311" s="7" t="s">
        <v>22</v>
      </c>
      <c r="D311" s="9" t="s">
        <v>23</v>
      </c>
      <c r="E311" s="9" t="s">
        <v>16</v>
      </c>
      <c r="F311" s="9" t="s">
        <v>25</v>
      </c>
      <c r="G311" s="7" t="s">
        <v>902</v>
      </c>
      <c r="H311" s="7" t="s">
        <v>903</v>
      </c>
      <c r="I311" s="124" t="s">
        <v>902</v>
      </c>
      <c r="J311" s="7">
        <v>8</v>
      </c>
      <c r="K311" s="124" t="s">
        <v>1678</v>
      </c>
      <c r="L311" s="20" t="s">
        <v>905</v>
      </c>
      <c r="M311" s="16">
        <v>92.920642250462578</v>
      </c>
      <c r="N311" s="16">
        <v>17.872145000256989</v>
      </c>
      <c r="O311" s="16">
        <v>401.79210301449422</v>
      </c>
      <c r="P311" s="16">
        <v>19.543954849243164</v>
      </c>
      <c r="Q311" s="147">
        <v>56.040408084267064</v>
      </c>
      <c r="R311" s="147">
        <v>1.3328437805175781</v>
      </c>
      <c r="S311" s="10">
        <v>0.85623533670886964</v>
      </c>
      <c r="T311" s="10">
        <v>5.8023786972236797</v>
      </c>
      <c r="U311" s="16">
        <v>1.5489111448589124E-2</v>
      </c>
      <c r="V311" s="16">
        <v>10.442972232473876</v>
      </c>
      <c r="W311" s="10">
        <v>4.6405935352501961</v>
      </c>
      <c r="X311" s="10" t="s">
        <v>902</v>
      </c>
      <c r="Y311" s="10">
        <v>3.9000000000000004</v>
      </c>
      <c r="Z311" s="10">
        <v>3.8666666666666667</v>
      </c>
      <c r="AA311" s="20" t="s">
        <v>311</v>
      </c>
      <c r="AB311" s="7">
        <v>1184.0999999999999</v>
      </c>
      <c r="AC311" s="7">
        <v>192.9</v>
      </c>
      <c r="AD311" s="7">
        <v>0.16290853813022552</v>
      </c>
      <c r="AE311" s="7" t="s">
        <v>113</v>
      </c>
      <c r="AF311" s="20" t="s">
        <v>27</v>
      </c>
      <c r="AG311" s="11" t="s">
        <v>864</v>
      </c>
      <c r="AH311" s="7" t="s">
        <v>1346</v>
      </c>
    </row>
    <row r="312" spans="1:34" s="7" customFormat="1" ht="16.5" customHeight="1">
      <c r="A312" s="7">
        <v>2012</v>
      </c>
      <c r="B312" s="12">
        <v>41112</v>
      </c>
      <c r="C312" s="7" t="s">
        <v>22</v>
      </c>
      <c r="D312" s="9" t="s">
        <v>23</v>
      </c>
      <c r="E312" s="9" t="s">
        <v>16</v>
      </c>
      <c r="F312" s="9" t="s">
        <v>25</v>
      </c>
      <c r="G312" s="7" t="s">
        <v>902</v>
      </c>
      <c r="H312" s="7" t="s">
        <v>903</v>
      </c>
      <c r="I312" s="124" t="s">
        <v>902</v>
      </c>
      <c r="J312" s="7">
        <v>9</v>
      </c>
      <c r="K312" s="124" t="s">
        <v>1679</v>
      </c>
      <c r="L312" s="20" t="s">
        <v>905</v>
      </c>
      <c r="M312" s="16">
        <v>92.918418081183177</v>
      </c>
      <c r="N312" s="16">
        <v>18.017787230642217</v>
      </c>
      <c r="O312" s="16">
        <v>394.68025448447781</v>
      </c>
      <c r="P312" s="16">
        <v>18.806287966276471</v>
      </c>
      <c r="Q312" s="147">
        <v>58.649019542493321</v>
      </c>
      <c r="R312" s="147">
        <v>3.6566963195800781</v>
      </c>
      <c r="S312" s="10">
        <v>0.85623533670886964</v>
      </c>
      <c r="T312" s="10">
        <v>5.691364979992553</v>
      </c>
      <c r="U312" s="16">
        <v>2.7721500396728514E-2</v>
      </c>
      <c r="V312" s="16">
        <v>10.442972232473876</v>
      </c>
      <c r="W312" s="10">
        <v>4.7516072524813229</v>
      </c>
      <c r="X312" s="10" t="s">
        <v>902</v>
      </c>
      <c r="Y312" s="10">
        <v>3.9000000000000004</v>
      </c>
      <c r="Z312" s="10">
        <v>3.8666666666666667</v>
      </c>
      <c r="AA312" s="20" t="s">
        <v>313</v>
      </c>
      <c r="AB312" s="7">
        <v>1213.4000000000001</v>
      </c>
      <c r="AC312" s="7">
        <v>192.9</v>
      </c>
      <c r="AD312" s="7">
        <v>0.15897478160540629</v>
      </c>
      <c r="AE312" s="7" t="s">
        <v>327</v>
      </c>
      <c r="AF312" s="20" t="s">
        <v>27</v>
      </c>
      <c r="AG312" s="11" t="s">
        <v>864</v>
      </c>
      <c r="AH312" s="7" t="s">
        <v>1242</v>
      </c>
    </row>
    <row r="313" spans="1:34" s="7" customFormat="1" ht="16.5" customHeight="1">
      <c r="A313" s="7">
        <v>2012</v>
      </c>
      <c r="B313" s="12">
        <v>41112</v>
      </c>
      <c r="C313" s="7" t="s">
        <v>22</v>
      </c>
      <c r="D313" s="9" t="s">
        <v>23</v>
      </c>
      <c r="E313" s="9" t="s">
        <v>16</v>
      </c>
      <c r="F313" s="9" t="s">
        <v>25</v>
      </c>
      <c r="G313" s="7" t="s">
        <v>902</v>
      </c>
      <c r="H313" s="7" t="s">
        <v>903</v>
      </c>
      <c r="I313" s="124" t="s">
        <v>902</v>
      </c>
      <c r="J313" s="7">
        <v>10</v>
      </c>
      <c r="K313" s="124" t="s">
        <v>1680</v>
      </c>
      <c r="L313" s="20" t="s">
        <v>905</v>
      </c>
      <c r="M313" s="16">
        <v>92.920084635416671</v>
      </c>
      <c r="N313" s="16">
        <v>17.75100877549913</v>
      </c>
      <c r="O313" s="16">
        <v>398.15628051757812</v>
      </c>
      <c r="P313" s="16">
        <v>18.40765168931749</v>
      </c>
      <c r="Q313" s="147">
        <v>60.849001778496635</v>
      </c>
      <c r="R313" s="147">
        <v>8.4796829223632812</v>
      </c>
      <c r="S313" s="10">
        <v>0.85623533670886964</v>
      </c>
      <c r="T313" s="10">
        <v>5.5981612296774497</v>
      </c>
      <c r="U313" s="16">
        <v>3.0658546739072378E-2</v>
      </c>
      <c r="V313" s="16">
        <v>10.442972232473876</v>
      </c>
      <c r="W313" s="10">
        <v>4.8448110027964262</v>
      </c>
      <c r="X313" s="10" t="s">
        <v>902</v>
      </c>
      <c r="Y313" s="10">
        <v>3.9000000000000004</v>
      </c>
      <c r="Z313" s="10">
        <v>3.8666666666666667</v>
      </c>
      <c r="AA313" s="20" t="s">
        <v>312</v>
      </c>
      <c r="AB313" s="7">
        <v>1198.7</v>
      </c>
      <c r="AC313" s="7">
        <v>192.9</v>
      </c>
      <c r="AD313" s="7">
        <v>0.16092433469592057</v>
      </c>
      <c r="AE313" s="7" t="s">
        <v>113</v>
      </c>
      <c r="AF313" s="20" t="s">
        <v>27</v>
      </c>
      <c r="AG313" s="11" t="s">
        <v>864</v>
      </c>
      <c r="AH313" s="7" t="s">
        <v>1242</v>
      </c>
    </row>
    <row r="314" spans="1:34" s="7" customFormat="1" ht="16.5" customHeight="1">
      <c r="A314" s="7">
        <v>2012</v>
      </c>
      <c r="B314" s="12">
        <v>41102</v>
      </c>
      <c r="C314" s="7" t="s">
        <v>22</v>
      </c>
      <c r="D314" s="26" t="s">
        <v>23</v>
      </c>
      <c r="E314" s="9" t="s">
        <v>16</v>
      </c>
      <c r="F314" s="9" t="s">
        <v>25</v>
      </c>
      <c r="G314" s="7" t="s">
        <v>902</v>
      </c>
      <c r="H314" s="7" t="s">
        <v>903</v>
      </c>
      <c r="I314" s="124" t="s">
        <v>902</v>
      </c>
      <c r="J314" s="7">
        <v>29</v>
      </c>
      <c r="K314" s="124" t="s">
        <v>1681</v>
      </c>
      <c r="L314" s="20" t="s">
        <v>77</v>
      </c>
      <c r="M314" s="16">
        <v>92.583665635850693</v>
      </c>
      <c r="N314" s="16">
        <v>22.256586074829102</v>
      </c>
      <c r="O314" s="16">
        <v>382.97493659125433</v>
      </c>
      <c r="P314" s="16">
        <v>21.307838651869034</v>
      </c>
      <c r="Q314" s="147">
        <v>63.215065426296661</v>
      </c>
      <c r="R314" s="147">
        <v>7.5344581604003906</v>
      </c>
      <c r="S314" s="10">
        <v>0.85623533670886964</v>
      </c>
      <c r="T314" s="10">
        <v>5.8704704940350174</v>
      </c>
      <c r="U314" s="16">
        <v>3.8483518318987234E-2</v>
      </c>
      <c r="V314" s="16">
        <v>10.442972232473876</v>
      </c>
      <c r="W314" s="10">
        <v>4.5725017384388584</v>
      </c>
      <c r="X314" s="10" t="s">
        <v>902</v>
      </c>
      <c r="Y314" s="10">
        <v>3.9000000000000004</v>
      </c>
      <c r="Z314" s="10">
        <v>3.8666666666666667</v>
      </c>
      <c r="AA314" s="20" t="s">
        <v>295</v>
      </c>
      <c r="AB314" s="7">
        <v>570.1</v>
      </c>
      <c r="AC314" s="7">
        <v>495.6</v>
      </c>
      <c r="AD314" s="7">
        <v>0.86932117172425893</v>
      </c>
      <c r="AE314" s="7" t="s">
        <v>124</v>
      </c>
      <c r="AF314" s="19" t="s">
        <v>27</v>
      </c>
      <c r="AG314" s="11" t="s">
        <v>928</v>
      </c>
      <c r="AH314" s="7" t="s">
        <v>1242</v>
      </c>
    </row>
    <row r="315" spans="1:34" s="7" customFormat="1" ht="16.5" customHeight="1">
      <c r="A315" s="7">
        <v>2012</v>
      </c>
      <c r="B315" s="12">
        <v>41102</v>
      </c>
      <c r="C315" s="7" t="s">
        <v>22</v>
      </c>
      <c r="D315" s="26" t="s">
        <v>23</v>
      </c>
      <c r="E315" s="9" t="s">
        <v>16</v>
      </c>
      <c r="F315" s="9" t="s">
        <v>25</v>
      </c>
      <c r="G315" s="7" t="s">
        <v>902</v>
      </c>
      <c r="H315" s="7" t="s">
        <v>903</v>
      </c>
      <c r="I315" s="124" t="s">
        <v>902</v>
      </c>
      <c r="J315" s="7">
        <v>30</v>
      </c>
      <c r="K315" s="124" t="s">
        <v>1682</v>
      </c>
      <c r="L315" s="20" t="s">
        <v>77</v>
      </c>
      <c r="M315" s="16">
        <v>92.5830675760905</v>
      </c>
      <c r="N315" s="16">
        <v>21.340867466396755</v>
      </c>
      <c r="O315" s="16">
        <v>394.36594136555988</v>
      </c>
      <c r="P315" s="16">
        <v>21.052540567186142</v>
      </c>
      <c r="Q315" s="147">
        <v>69.119235144721131</v>
      </c>
      <c r="R315" s="147">
        <v>10.615028381347656</v>
      </c>
      <c r="S315" s="10">
        <v>0.85623533670886964</v>
      </c>
      <c r="T315" s="10">
        <v>5.8479099504770868</v>
      </c>
      <c r="U315" s="16">
        <v>2.9156358126393288E-2</v>
      </c>
      <c r="V315" s="16">
        <v>10.442972232473876</v>
      </c>
      <c r="W315" s="10">
        <v>4.595062281996789</v>
      </c>
      <c r="X315" s="10" t="s">
        <v>902</v>
      </c>
      <c r="Y315" s="10">
        <v>3.9000000000000004</v>
      </c>
      <c r="Z315" s="10">
        <v>3.8666666666666667</v>
      </c>
      <c r="AA315" s="20" t="s">
        <v>296</v>
      </c>
      <c r="AB315" s="7">
        <v>670.2</v>
      </c>
      <c r="AC315" s="7">
        <v>445.6</v>
      </c>
      <c r="AD315" s="7">
        <v>0.66487615637123243</v>
      </c>
      <c r="AE315" s="7" t="s">
        <v>124</v>
      </c>
      <c r="AF315" s="19" t="s">
        <v>27</v>
      </c>
      <c r="AG315" s="11" t="s">
        <v>928</v>
      </c>
      <c r="AH315" s="7" t="s">
        <v>1242</v>
      </c>
    </row>
    <row r="316" spans="1:34" s="7" customFormat="1" ht="16.5" customHeight="1">
      <c r="A316" s="7">
        <v>2012</v>
      </c>
      <c r="B316" s="12">
        <v>41102</v>
      </c>
      <c r="C316" s="7" t="s">
        <v>22</v>
      </c>
      <c r="D316" s="26" t="s">
        <v>23</v>
      </c>
      <c r="E316" s="9" t="s">
        <v>16</v>
      </c>
      <c r="F316" s="9" t="s">
        <v>25</v>
      </c>
      <c r="G316" s="7" t="s">
        <v>902</v>
      </c>
      <c r="H316" s="7" t="s">
        <v>903</v>
      </c>
      <c r="I316" s="124" t="s">
        <v>902</v>
      </c>
      <c r="J316" s="7">
        <v>31</v>
      </c>
      <c r="K316" s="124" t="s">
        <v>1683</v>
      </c>
      <c r="L316" s="20" t="s">
        <v>75</v>
      </c>
      <c r="M316" s="22">
        <v>92.592341528998475</v>
      </c>
      <c r="N316" s="22">
        <v>18.257930755615234</v>
      </c>
      <c r="O316" s="22">
        <v>379.61137559678821</v>
      </c>
      <c r="P316" s="22">
        <v>17.548534181382919</v>
      </c>
      <c r="Q316" s="148">
        <v>91.425932990180115</v>
      </c>
      <c r="R316" s="148">
        <v>4.0436630249023437</v>
      </c>
      <c r="S316" s="10">
        <v>0.85623533670886964</v>
      </c>
      <c r="T316" s="10">
        <v>3.3705793834801234</v>
      </c>
      <c r="U316" s="22">
        <v>2.2868086556039974E-2</v>
      </c>
      <c r="V316" s="16">
        <v>10.442972232473876</v>
      </c>
      <c r="W316" s="10">
        <v>7.0723928489937524</v>
      </c>
      <c r="X316" s="10" t="s">
        <v>902</v>
      </c>
      <c r="Y316" s="10">
        <v>3.9000000000000004</v>
      </c>
      <c r="Z316" s="10">
        <v>3.8666666666666667</v>
      </c>
      <c r="AA316" s="20" t="s">
        <v>287</v>
      </c>
      <c r="AB316" s="7">
        <v>450.4</v>
      </c>
      <c r="AC316" s="7">
        <v>439.5</v>
      </c>
      <c r="AD316" s="7">
        <v>0.97579928952042638</v>
      </c>
      <c r="AE316" s="7" t="s">
        <v>124</v>
      </c>
      <c r="AF316" s="19" t="s">
        <v>27</v>
      </c>
      <c r="AG316" s="11" t="s">
        <v>928</v>
      </c>
      <c r="AH316" s="7" t="s">
        <v>1242</v>
      </c>
    </row>
    <row r="317" spans="1:34" s="7" customFormat="1" ht="16.5" customHeight="1">
      <c r="A317" s="7">
        <v>2012</v>
      </c>
      <c r="B317" s="12">
        <v>41102</v>
      </c>
      <c r="C317" s="7" t="s">
        <v>22</v>
      </c>
      <c r="D317" s="26" t="s">
        <v>23</v>
      </c>
      <c r="E317" s="9" t="s">
        <v>16</v>
      </c>
      <c r="F317" s="9" t="s">
        <v>25</v>
      </c>
      <c r="G317" s="7" t="s">
        <v>902</v>
      </c>
      <c r="H317" s="7" t="s">
        <v>903</v>
      </c>
      <c r="I317" s="124" t="s">
        <v>902</v>
      </c>
      <c r="J317" s="7">
        <v>32</v>
      </c>
      <c r="K317" s="124" t="s">
        <v>857</v>
      </c>
      <c r="L317" s="20" t="s">
        <v>75</v>
      </c>
      <c r="M317" s="16">
        <v>92.590451049804685</v>
      </c>
      <c r="N317" s="16">
        <v>18.387497997283937</v>
      </c>
      <c r="O317" s="16">
        <v>376.98741760253904</v>
      </c>
      <c r="P317" s="16">
        <v>17.667407608032228</v>
      </c>
      <c r="Q317" s="147">
        <v>114.99362754821777</v>
      </c>
      <c r="R317" s="147">
        <v>3.2589569091796875</v>
      </c>
      <c r="S317" s="10">
        <v>0.85623533670886964</v>
      </c>
      <c r="T317" s="10">
        <v>2.2755420644191373</v>
      </c>
      <c r="U317" s="16">
        <v>2.3410399874350181E-2</v>
      </c>
      <c r="V317" s="16">
        <v>10.442972232473876</v>
      </c>
      <c r="W317" s="10">
        <v>8.1674301680547394</v>
      </c>
      <c r="X317" s="10" t="s">
        <v>902</v>
      </c>
      <c r="Y317" s="10">
        <v>3.9000000000000004</v>
      </c>
      <c r="Z317" s="10">
        <v>3.8666666666666667</v>
      </c>
      <c r="AA317" s="20" t="s">
        <v>289</v>
      </c>
      <c r="AB317" s="7">
        <v>509</v>
      </c>
      <c r="AC317" s="7">
        <v>490.7</v>
      </c>
      <c r="AD317" s="7">
        <v>0.96404715127701368</v>
      </c>
      <c r="AE317" s="7" t="s">
        <v>124</v>
      </c>
      <c r="AF317" s="19" t="s">
        <v>27</v>
      </c>
      <c r="AG317" s="11" t="s">
        <v>928</v>
      </c>
      <c r="AH317" s="7" t="s">
        <v>1347</v>
      </c>
    </row>
    <row r="318" spans="1:34" s="7" customFormat="1" ht="16.5" customHeight="1">
      <c r="A318" s="7">
        <v>2012</v>
      </c>
      <c r="B318" s="12">
        <v>41112</v>
      </c>
      <c r="C318" s="7" t="s">
        <v>22</v>
      </c>
      <c r="D318" s="9" t="s">
        <v>23</v>
      </c>
      <c r="E318" s="9" t="s">
        <v>16</v>
      </c>
      <c r="F318" s="9" t="s">
        <v>25</v>
      </c>
      <c r="G318" s="7" t="s">
        <v>902</v>
      </c>
      <c r="H318" s="7" t="s">
        <v>903</v>
      </c>
      <c r="I318" s="124" t="s">
        <v>902</v>
      </c>
      <c r="J318" s="7">
        <v>11</v>
      </c>
      <c r="K318" s="124" t="s">
        <v>1684</v>
      </c>
      <c r="L318" s="20" t="s">
        <v>77</v>
      </c>
      <c r="M318" s="16">
        <v>92.927909851074219</v>
      </c>
      <c r="N318" s="16">
        <v>18.395691765679253</v>
      </c>
      <c r="O318" s="16">
        <v>385.14071316189234</v>
      </c>
      <c r="P318" s="16">
        <v>20.259056939019096</v>
      </c>
      <c r="Q318" s="147">
        <v>126.76309458414714</v>
      </c>
      <c r="R318" s="147">
        <v>10.901573181152344</v>
      </c>
      <c r="S318" s="10">
        <v>0.85623533670886964</v>
      </c>
      <c r="T318" s="10">
        <v>3.2098880428318175</v>
      </c>
      <c r="U318" s="16">
        <v>1.5258312717433808E-2</v>
      </c>
      <c r="V318" s="16">
        <v>10.442972232473876</v>
      </c>
      <c r="W318" s="10">
        <v>7.2330841896420583</v>
      </c>
      <c r="X318" s="10" t="s">
        <v>902</v>
      </c>
      <c r="Y318" s="10">
        <v>3.9000000000000004</v>
      </c>
      <c r="Z318" s="10">
        <v>3.8666666666666667</v>
      </c>
      <c r="AA318" s="20" t="s">
        <v>308</v>
      </c>
      <c r="AB318" s="7">
        <v>1132.8</v>
      </c>
      <c r="AC318" s="7">
        <v>192.9</v>
      </c>
      <c r="AD318" s="7">
        <v>0.17028601694915255</v>
      </c>
      <c r="AE318" s="7" t="s">
        <v>113</v>
      </c>
      <c r="AF318" s="20" t="s">
        <v>27</v>
      </c>
      <c r="AG318" s="11" t="s">
        <v>864</v>
      </c>
      <c r="AH318" s="7" t="s">
        <v>1242</v>
      </c>
    </row>
    <row r="319" spans="1:34" s="7" customFormat="1" ht="16.5" customHeight="1">
      <c r="A319" s="7">
        <v>2012</v>
      </c>
      <c r="B319" s="12">
        <v>41112</v>
      </c>
      <c r="C319" s="7" t="s">
        <v>22</v>
      </c>
      <c r="D319" s="9" t="s">
        <v>23</v>
      </c>
      <c r="E319" s="9" t="s">
        <v>16</v>
      </c>
      <c r="F319" s="9" t="s">
        <v>25</v>
      </c>
      <c r="G319" s="7" t="s">
        <v>902</v>
      </c>
      <c r="H319" s="7" t="s">
        <v>903</v>
      </c>
      <c r="I319" s="124" t="s">
        <v>902</v>
      </c>
      <c r="J319" s="7">
        <v>12</v>
      </c>
      <c r="K319" s="124" t="s">
        <v>851</v>
      </c>
      <c r="L319" s="20" t="s">
        <v>77</v>
      </c>
      <c r="M319" s="16">
        <v>92.92784309387207</v>
      </c>
      <c r="N319" s="16">
        <v>18.269391441345213</v>
      </c>
      <c r="O319" s="16">
        <v>387.76357574462889</v>
      </c>
      <c r="P319" s="16">
        <v>19.119007968902586</v>
      </c>
      <c r="Q319" s="147">
        <v>130.72857856750488</v>
      </c>
      <c r="R319" s="147">
        <v>8.7183074951171875</v>
      </c>
      <c r="S319" s="10">
        <v>0.85623533670886964</v>
      </c>
      <c r="T319" s="10">
        <v>2.2331610064555716</v>
      </c>
      <c r="U319" s="16">
        <v>2.9249897576812515E-2</v>
      </c>
      <c r="V319" s="16">
        <v>10.442972232473876</v>
      </c>
      <c r="W319" s="10">
        <v>8.2098112260183047</v>
      </c>
      <c r="X319" s="10" t="s">
        <v>902</v>
      </c>
      <c r="Y319" s="10">
        <v>3.9000000000000004</v>
      </c>
      <c r="Z319" s="10">
        <v>3.8666666666666667</v>
      </c>
      <c r="AA319" s="20" t="s">
        <v>309</v>
      </c>
      <c r="AB319" s="7">
        <v>1145</v>
      </c>
      <c r="AC319" s="7">
        <v>195.3</v>
      </c>
      <c r="AD319" s="7">
        <v>0.17056768558951965</v>
      </c>
      <c r="AE319" s="7" t="s">
        <v>113</v>
      </c>
      <c r="AF319" s="20" t="s">
        <v>27</v>
      </c>
      <c r="AG319" s="11" t="s">
        <v>864</v>
      </c>
      <c r="AH319" s="7" t="s">
        <v>1348</v>
      </c>
    </row>
    <row r="320" spans="1:34" s="7" customFormat="1" ht="16.5" customHeight="1">
      <c r="A320" s="7">
        <v>2012</v>
      </c>
      <c r="B320" s="12">
        <v>41102</v>
      </c>
      <c r="C320" s="7" t="s">
        <v>22</v>
      </c>
      <c r="D320" s="26" t="s">
        <v>23</v>
      </c>
      <c r="E320" s="9" t="s">
        <v>16</v>
      </c>
      <c r="F320" s="9" t="s">
        <v>25</v>
      </c>
      <c r="G320" s="7" t="s">
        <v>902</v>
      </c>
      <c r="H320" s="7" t="s">
        <v>903</v>
      </c>
      <c r="I320" s="124" t="s">
        <v>902</v>
      </c>
      <c r="J320" s="7">
        <v>33</v>
      </c>
      <c r="K320" s="124" t="s">
        <v>858</v>
      </c>
      <c r="L320" s="20" t="s">
        <v>75</v>
      </c>
      <c r="M320" s="16">
        <v>92.592384762234161</v>
      </c>
      <c r="N320" s="16">
        <v>18.213278664482964</v>
      </c>
      <c r="O320" s="16">
        <v>382.931645711263</v>
      </c>
      <c r="P320" s="16">
        <v>17.341111183166504</v>
      </c>
      <c r="Q320" s="147">
        <v>146.89389970567493</v>
      </c>
      <c r="R320" s="147">
        <v>3.8818511962890625</v>
      </c>
      <c r="S320" s="10">
        <v>0.85623533670886964</v>
      </c>
      <c r="T320" s="10">
        <v>2.7856385845554628</v>
      </c>
      <c r="U320" s="16">
        <v>3.0519346703685842E-2</v>
      </c>
      <c r="V320" s="16">
        <v>10.442972232473876</v>
      </c>
      <c r="W320" s="10">
        <v>7.6573336479184135</v>
      </c>
      <c r="X320" s="10" t="s">
        <v>902</v>
      </c>
      <c r="Y320" s="10">
        <v>3.9000000000000004</v>
      </c>
      <c r="Z320" s="10">
        <v>3.8666666666666667</v>
      </c>
      <c r="AA320" s="20" t="s">
        <v>288</v>
      </c>
      <c r="AB320" s="7">
        <v>481</v>
      </c>
      <c r="AC320" s="7">
        <v>473.6</v>
      </c>
      <c r="AD320" s="7">
        <v>0.98461538461538467</v>
      </c>
      <c r="AE320" s="7" t="s">
        <v>124</v>
      </c>
      <c r="AF320" s="19" t="s">
        <v>27</v>
      </c>
      <c r="AG320" s="11" t="s">
        <v>928</v>
      </c>
      <c r="AH320" s="7" t="s">
        <v>1349</v>
      </c>
    </row>
    <row r="321" spans="1:34" s="7" customFormat="1" ht="16.5" customHeight="1">
      <c r="A321" s="7">
        <v>2012</v>
      </c>
      <c r="B321" s="12">
        <v>41112</v>
      </c>
      <c r="C321" s="7" t="s">
        <v>22</v>
      </c>
      <c r="D321" s="9" t="s">
        <v>23</v>
      </c>
      <c r="E321" s="9" t="s">
        <v>16</v>
      </c>
      <c r="F321" s="9" t="s">
        <v>25</v>
      </c>
      <c r="G321" s="7" t="s">
        <v>902</v>
      </c>
      <c r="H321" s="7" t="s">
        <v>903</v>
      </c>
      <c r="I321" s="124" t="s">
        <v>902</v>
      </c>
      <c r="J321" s="7">
        <v>13</v>
      </c>
      <c r="K321" s="124" t="s">
        <v>852</v>
      </c>
      <c r="L321" s="20" t="s">
        <v>77</v>
      </c>
      <c r="M321" s="16">
        <v>92.924800872802734</v>
      </c>
      <c r="N321" s="16">
        <v>17.391201972961426</v>
      </c>
      <c r="O321" s="16">
        <v>382.89059257507324</v>
      </c>
      <c r="P321" s="16">
        <v>17.847545862197876</v>
      </c>
      <c r="Q321" s="147">
        <v>180.65800476074219</v>
      </c>
      <c r="R321" s="147">
        <v>4.568939208984375</v>
      </c>
      <c r="S321" s="10">
        <v>0.85623533670886964</v>
      </c>
      <c r="T321" s="10">
        <v>1.8960967133061077</v>
      </c>
      <c r="U321" s="16">
        <v>3.5484040553322507E-2</v>
      </c>
      <c r="V321" s="16">
        <v>10.442972232473876</v>
      </c>
      <c r="W321" s="10">
        <v>8.5468755191677683</v>
      </c>
      <c r="X321" s="10" t="s">
        <v>902</v>
      </c>
      <c r="Y321" s="10">
        <v>3.9000000000000004</v>
      </c>
      <c r="Z321" s="10">
        <v>3.8666666666666667</v>
      </c>
      <c r="AA321" s="20" t="s">
        <v>310</v>
      </c>
      <c r="AB321" s="7">
        <v>1157.2</v>
      </c>
      <c r="AC321" s="7">
        <v>192.9</v>
      </c>
      <c r="AD321" s="7">
        <v>0.16669547182855168</v>
      </c>
      <c r="AE321" s="7" t="s">
        <v>113</v>
      </c>
      <c r="AF321" s="20" t="s">
        <v>27</v>
      </c>
      <c r="AG321" s="11" t="s">
        <v>864</v>
      </c>
      <c r="AH321" s="7" t="s">
        <v>1350</v>
      </c>
    </row>
    <row r="322" spans="1:34" s="7" customFormat="1" ht="16.5" customHeight="1">
      <c r="A322" s="7">
        <v>2012</v>
      </c>
      <c r="B322" s="12">
        <v>41112</v>
      </c>
      <c r="C322" s="7" t="s">
        <v>22</v>
      </c>
      <c r="D322" s="9" t="s">
        <v>23</v>
      </c>
      <c r="E322" s="9" t="s">
        <v>16</v>
      </c>
      <c r="F322" s="9" t="s">
        <v>25</v>
      </c>
      <c r="G322" s="7" t="s">
        <v>902</v>
      </c>
      <c r="H322" s="7" t="s">
        <v>903</v>
      </c>
      <c r="I322" s="124" t="s">
        <v>902</v>
      </c>
      <c r="J322" s="7">
        <v>14</v>
      </c>
      <c r="K322" s="124" t="s">
        <v>853</v>
      </c>
      <c r="L322" s="20" t="s">
        <v>75</v>
      </c>
      <c r="M322" s="16">
        <v>92.932289123535156</v>
      </c>
      <c r="N322" s="16">
        <v>17.845381905050839</v>
      </c>
      <c r="O322" s="16">
        <v>370.00414859547334</v>
      </c>
      <c r="P322" s="16">
        <v>17.983052534215592</v>
      </c>
      <c r="Q322" s="147">
        <v>214.86416805491729</v>
      </c>
      <c r="R322" s="147">
        <v>25.068771362304687</v>
      </c>
      <c r="S322" s="10">
        <v>0.85623533670886964</v>
      </c>
      <c r="T322" s="10">
        <v>-2.4484879712778644</v>
      </c>
      <c r="U322" s="16">
        <v>3.3927199250447772E-2</v>
      </c>
      <c r="V322" s="16">
        <v>10.442972232473876</v>
      </c>
      <c r="W322" s="10">
        <v>12.891460203751741</v>
      </c>
      <c r="X322" s="10" t="s">
        <v>902</v>
      </c>
      <c r="Y322" s="10">
        <v>3.9000000000000004</v>
      </c>
      <c r="Z322" s="10">
        <v>3.8666666666666667</v>
      </c>
      <c r="AA322" s="20" t="s">
        <v>306</v>
      </c>
      <c r="AB322" s="7">
        <v>1101.0999999999999</v>
      </c>
      <c r="AC322" s="7">
        <v>207.5</v>
      </c>
      <c r="AD322" s="7">
        <v>0.18844791572064301</v>
      </c>
      <c r="AE322" s="7" t="s">
        <v>113</v>
      </c>
      <c r="AF322" s="20" t="s">
        <v>27</v>
      </c>
      <c r="AG322" s="11" t="s">
        <v>864</v>
      </c>
      <c r="AH322" s="7" t="s">
        <v>1351</v>
      </c>
    </row>
    <row r="323" spans="1:34" s="7" customFormat="1" ht="16.5" customHeight="1">
      <c r="A323" s="7">
        <v>2012</v>
      </c>
      <c r="B323" s="12">
        <v>41102</v>
      </c>
      <c r="C323" s="7" t="s">
        <v>22</v>
      </c>
      <c r="D323" s="26" t="s">
        <v>23</v>
      </c>
      <c r="E323" s="9" t="s">
        <v>16</v>
      </c>
      <c r="F323" s="9" t="s">
        <v>25</v>
      </c>
      <c r="G323" s="7" t="s">
        <v>902</v>
      </c>
      <c r="H323" s="7" t="s">
        <v>903</v>
      </c>
      <c r="I323" s="124" t="s">
        <v>902</v>
      </c>
      <c r="J323" s="7">
        <v>34</v>
      </c>
      <c r="K323" s="124" t="s">
        <v>859</v>
      </c>
      <c r="L323" s="20" t="s">
        <v>74</v>
      </c>
      <c r="M323" s="22">
        <v>92.590385437011719</v>
      </c>
      <c r="N323" s="22">
        <v>19.062739181518555</v>
      </c>
      <c r="O323" s="22">
        <v>370.42201334635416</v>
      </c>
      <c r="P323" s="22">
        <v>17.631252161661784</v>
      </c>
      <c r="Q323" s="148">
        <v>216.00847371419272</v>
      </c>
      <c r="R323" s="148">
        <v>3.1103363037109375</v>
      </c>
      <c r="S323" s="10">
        <v>0.85623533670886964</v>
      </c>
      <c r="T323" s="10">
        <v>-1.3978151785204962</v>
      </c>
      <c r="U323" s="22">
        <v>3.7440640243453595E-2</v>
      </c>
      <c r="V323" s="16">
        <v>10.442972232473876</v>
      </c>
      <c r="W323" s="10">
        <v>11.840787410994372</v>
      </c>
      <c r="X323" s="10" t="s">
        <v>902</v>
      </c>
      <c r="Y323" s="10">
        <v>3.9000000000000004</v>
      </c>
      <c r="Z323" s="10">
        <v>3.8666666666666667</v>
      </c>
      <c r="AA323" s="20" t="s">
        <v>286</v>
      </c>
      <c r="AB323" s="7">
        <v>502.9</v>
      </c>
      <c r="AC323" s="7">
        <v>488.3</v>
      </c>
      <c r="AD323" s="7">
        <v>0.97096838337641689</v>
      </c>
      <c r="AE323" s="7" t="s">
        <v>124</v>
      </c>
      <c r="AF323" s="19" t="s">
        <v>27</v>
      </c>
      <c r="AG323" s="11" t="s">
        <v>928</v>
      </c>
      <c r="AH323" s="7" t="s">
        <v>1352</v>
      </c>
    </row>
    <row r="324" spans="1:34" s="7" customFormat="1" ht="16.5" customHeight="1">
      <c r="A324" s="7">
        <v>2012</v>
      </c>
      <c r="B324" s="12">
        <v>41102</v>
      </c>
      <c r="C324" s="7" t="s">
        <v>22</v>
      </c>
      <c r="D324" s="26" t="s">
        <v>23</v>
      </c>
      <c r="E324" s="9" t="s">
        <v>16</v>
      </c>
      <c r="F324" s="9" t="s">
        <v>25</v>
      </c>
      <c r="G324" s="7" t="s">
        <v>902</v>
      </c>
      <c r="H324" s="7" t="s">
        <v>903</v>
      </c>
      <c r="I324" s="124" t="s">
        <v>902</v>
      </c>
      <c r="J324" s="7">
        <v>35</v>
      </c>
      <c r="K324" s="124" t="s">
        <v>860</v>
      </c>
      <c r="L324" s="20" t="s">
        <v>74</v>
      </c>
      <c r="M324" s="16">
        <v>92.589363685021027</v>
      </c>
      <c r="N324" s="16">
        <v>19.313542439387394</v>
      </c>
      <c r="O324" s="16">
        <v>367.18185424804687</v>
      </c>
      <c r="P324" s="16">
        <v>17.799145771906925</v>
      </c>
      <c r="Q324" s="147">
        <v>224.0815652700571</v>
      </c>
      <c r="R324" s="147">
        <v>2.1732635498046875</v>
      </c>
      <c r="S324" s="10">
        <v>0.85623533670886964</v>
      </c>
      <c r="T324" s="10">
        <v>-0.20623990283710855</v>
      </c>
      <c r="U324" s="16">
        <v>3.3643072778052029E-2</v>
      </c>
      <c r="V324" s="16">
        <v>10.442972232473876</v>
      </c>
      <c r="W324" s="10">
        <v>10.649212135310984</v>
      </c>
      <c r="X324" s="10" t="s">
        <v>902</v>
      </c>
      <c r="Y324" s="10">
        <v>3.9000000000000004</v>
      </c>
      <c r="Z324" s="10">
        <v>3.8666666666666667</v>
      </c>
      <c r="AA324" s="20" t="s">
        <v>285</v>
      </c>
      <c r="AB324" s="7">
        <v>495.6</v>
      </c>
      <c r="AC324" s="7">
        <v>485.8</v>
      </c>
      <c r="AD324" s="7">
        <v>0.98022598870056499</v>
      </c>
      <c r="AE324" s="7" t="s">
        <v>124</v>
      </c>
      <c r="AF324" s="19" t="s">
        <v>27</v>
      </c>
      <c r="AG324" s="11" t="s">
        <v>928</v>
      </c>
      <c r="AH324" s="7" t="s">
        <v>1353</v>
      </c>
    </row>
    <row r="325" spans="1:34" s="7" customFormat="1" ht="16.5" customHeight="1">
      <c r="A325" s="7">
        <v>2012</v>
      </c>
      <c r="B325" s="12">
        <v>41112</v>
      </c>
      <c r="C325" s="7" t="s">
        <v>22</v>
      </c>
      <c r="D325" s="9" t="s">
        <v>23</v>
      </c>
      <c r="E325" s="9" t="s">
        <v>16</v>
      </c>
      <c r="F325" s="9" t="s">
        <v>25</v>
      </c>
      <c r="G325" s="7" t="s">
        <v>902</v>
      </c>
      <c r="H325" s="7" t="s">
        <v>903</v>
      </c>
      <c r="I325" s="124" t="s">
        <v>902</v>
      </c>
      <c r="J325" s="7">
        <v>15</v>
      </c>
      <c r="K325" s="124" t="s">
        <v>854</v>
      </c>
      <c r="L325" s="20" t="s">
        <v>75</v>
      </c>
      <c r="M325" s="16">
        <v>92.935318946838379</v>
      </c>
      <c r="N325" s="16">
        <v>18.579781770706177</v>
      </c>
      <c r="O325" s="16">
        <v>366.44235038757324</v>
      </c>
      <c r="P325" s="16">
        <v>19.276900410652161</v>
      </c>
      <c r="Q325" s="147">
        <v>224.92211818695068</v>
      </c>
      <c r="R325" s="147">
        <v>4.340179443359375</v>
      </c>
      <c r="S325" s="10">
        <v>0.85623533670886964</v>
      </c>
      <c r="T325" s="10">
        <v>-0.88765401686713497</v>
      </c>
      <c r="U325" s="16">
        <v>2.1553500960854923E-2</v>
      </c>
      <c r="V325" s="16">
        <v>10.442972232473876</v>
      </c>
      <c r="W325" s="10">
        <v>11.330626249341011</v>
      </c>
      <c r="X325" s="10" t="s">
        <v>902</v>
      </c>
      <c r="Y325" s="10">
        <v>3.9000000000000004</v>
      </c>
      <c r="Z325" s="10">
        <v>3.8666666666666667</v>
      </c>
      <c r="AA325" s="20" t="s">
        <v>305</v>
      </c>
      <c r="AB325" s="7">
        <v>1079.0999999999999</v>
      </c>
      <c r="AC325" s="7">
        <v>202.6</v>
      </c>
      <c r="AD325" s="7">
        <v>0.18774905013437124</v>
      </c>
      <c r="AE325" s="7" t="s">
        <v>113</v>
      </c>
      <c r="AF325" s="20" t="s">
        <v>27</v>
      </c>
      <c r="AG325" s="11" t="s">
        <v>864</v>
      </c>
      <c r="AH325" s="7" t="s">
        <v>1354</v>
      </c>
    </row>
    <row r="326" spans="1:34" s="7" customFormat="1" ht="16.5" customHeight="1">
      <c r="A326" s="7">
        <v>2012</v>
      </c>
      <c r="B326" s="12">
        <v>41112</v>
      </c>
      <c r="C326" s="7" t="s">
        <v>22</v>
      </c>
      <c r="D326" s="9" t="s">
        <v>23</v>
      </c>
      <c r="E326" s="9" t="s">
        <v>16</v>
      </c>
      <c r="F326" s="9" t="s">
        <v>25</v>
      </c>
      <c r="G326" s="7" t="s">
        <v>902</v>
      </c>
      <c r="H326" s="7" t="s">
        <v>903</v>
      </c>
      <c r="I326" s="124" t="s">
        <v>902</v>
      </c>
      <c r="J326" s="7">
        <v>16</v>
      </c>
      <c r="K326" s="124" t="s">
        <v>855</v>
      </c>
      <c r="L326" s="20" t="s">
        <v>75</v>
      </c>
      <c r="M326" s="16">
        <v>92.931949268687859</v>
      </c>
      <c r="N326" s="16">
        <v>17.506361527876422</v>
      </c>
      <c r="O326" s="16">
        <v>369.42399735884231</v>
      </c>
      <c r="P326" s="16">
        <v>17.27762933210893</v>
      </c>
      <c r="Q326" s="147">
        <v>227.9633192582564</v>
      </c>
      <c r="R326" s="147">
        <v>53.76727294921875</v>
      </c>
      <c r="S326" s="10">
        <v>0.85623533670886964</v>
      </c>
      <c r="T326" s="10">
        <v>-3.6058434583737964</v>
      </c>
      <c r="U326" s="16">
        <v>3.6824035644531253E-2</v>
      </c>
      <c r="V326" s="16">
        <v>10.442972232473876</v>
      </c>
      <c r="W326" s="10">
        <v>14.048815690847672</v>
      </c>
      <c r="X326" s="10" t="s">
        <v>902</v>
      </c>
      <c r="Y326" s="10">
        <v>3.9000000000000004</v>
      </c>
      <c r="Z326" s="10">
        <v>3.8666666666666667</v>
      </c>
      <c r="AA326" s="20" t="s">
        <v>307</v>
      </c>
      <c r="AB326" s="7">
        <v>1115.7</v>
      </c>
      <c r="AC326" s="7">
        <v>200.2</v>
      </c>
      <c r="AD326" s="7">
        <v>0.179438917271668</v>
      </c>
      <c r="AE326" s="7" t="s">
        <v>113</v>
      </c>
      <c r="AF326" s="20" t="s">
        <v>27</v>
      </c>
      <c r="AG326" s="11" t="s">
        <v>864</v>
      </c>
      <c r="AH326" s="7" t="s">
        <v>1355</v>
      </c>
    </row>
    <row r="327" spans="1:34" s="7" customFormat="1" ht="16.5" customHeight="1">
      <c r="A327" s="7">
        <v>2012</v>
      </c>
      <c r="B327" s="12">
        <v>41102</v>
      </c>
      <c r="C327" s="7" t="s">
        <v>22</v>
      </c>
      <c r="D327" s="9" t="s">
        <v>23</v>
      </c>
      <c r="E327" s="9" t="s">
        <v>16</v>
      </c>
      <c r="F327" s="9" t="s">
        <v>25</v>
      </c>
      <c r="G327" s="7" t="s">
        <v>902</v>
      </c>
      <c r="H327" s="7" t="s">
        <v>903</v>
      </c>
      <c r="I327" s="124" t="s">
        <v>902</v>
      </c>
      <c r="J327" s="7">
        <v>36</v>
      </c>
      <c r="K327" s="124" t="s">
        <v>1685</v>
      </c>
      <c r="L327" s="20" t="s">
        <v>909</v>
      </c>
      <c r="M327" s="16">
        <v>92.592018551296661</v>
      </c>
      <c r="N327" s="16">
        <v>19.039877467685276</v>
      </c>
      <c r="O327" s="36">
        <v>358.75335862901477</v>
      </c>
      <c r="P327" s="36">
        <v>16.233538415696884</v>
      </c>
      <c r="Q327" s="147">
        <v>390.63707139756946</v>
      </c>
      <c r="R327" s="147">
        <v>3.130859375</v>
      </c>
      <c r="S327" s="10">
        <v>0.85623533670886964</v>
      </c>
      <c r="T327" s="10">
        <v>-6.9148990069928642</v>
      </c>
      <c r="U327" s="36">
        <v>4.6940744476790766E-2</v>
      </c>
      <c r="V327" s="16">
        <v>10.442972232473876</v>
      </c>
      <c r="W327" s="10">
        <v>17.357871239466739</v>
      </c>
      <c r="X327" s="10" t="s">
        <v>902</v>
      </c>
      <c r="Y327" s="10">
        <v>3.9000000000000004</v>
      </c>
      <c r="Z327" s="10">
        <v>3.8666666666666667</v>
      </c>
      <c r="AA327" s="20" t="s">
        <v>282</v>
      </c>
      <c r="AB327" s="7">
        <v>490.7</v>
      </c>
      <c r="AC327" s="7">
        <v>454.1</v>
      </c>
      <c r="AD327" s="7">
        <v>0.92541267576930919</v>
      </c>
      <c r="AE327" s="7" t="s">
        <v>124</v>
      </c>
      <c r="AF327" s="20" t="s">
        <v>27</v>
      </c>
      <c r="AG327" s="11" t="s">
        <v>928</v>
      </c>
      <c r="AH327" s="7" t="s">
        <v>1242</v>
      </c>
    </row>
    <row r="328" spans="1:34" s="7" customFormat="1" ht="16.5" customHeight="1">
      <c r="A328" s="7">
        <v>2012</v>
      </c>
      <c r="B328" s="12">
        <v>41112</v>
      </c>
      <c r="C328" s="7" t="s">
        <v>22</v>
      </c>
      <c r="D328" s="9" t="s">
        <v>23</v>
      </c>
      <c r="E328" s="9" t="s">
        <v>16</v>
      </c>
      <c r="F328" s="9" t="s">
        <v>25</v>
      </c>
      <c r="G328" s="7" t="s">
        <v>902</v>
      </c>
      <c r="H328" s="7" t="s">
        <v>903</v>
      </c>
      <c r="I328" s="124" t="s">
        <v>902</v>
      </c>
      <c r="J328" s="7">
        <v>17</v>
      </c>
      <c r="K328" s="124" t="s">
        <v>1686</v>
      </c>
      <c r="L328" s="20" t="s">
        <v>74</v>
      </c>
      <c r="M328" s="16">
        <v>92.93490854899089</v>
      </c>
      <c r="N328" s="16">
        <v>19.453831142849392</v>
      </c>
      <c r="O328" s="16">
        <v>360.88497585720484</v>
      </c>
      <c r="P328" s="16">
        <v>18.363195737202961</v>
      </c>
      <c r="Q328" s="147">
        <v>396.49815877278644</v>
      </c>
      <c r="R328" s="147">
        <v>2.1148681640625</v>
      </c>
      <c r="S328" s="10">
        <v>0.85623533670886964</v>
      </c>
      <c r="T328" s="10">
        <v>-5.5999170228609216</v>
      </c>
      <c r="U328" s="16">
        <v>4.9555707642168455E-2</v>
      </c>
      <c r="V328" s="16">
        <v>10.442972232473876</v>
      </c>
      <c r="W328" s="10">
        <v>16.042889255334799</v>
      </c>
      <c r="X328" s="10" t="s">
        <v>902</v>
      </c>
      <c r="Y328" s="10">
        <v>3.9000000000000004</v>
      </c>
      <c r="Z328" s="10">
        <v>3.8666666666666667</v>
      </c>
      <c r="AA328" s="20" t="s">
        <v>304</v>
      </c>
      <c r="AB328" s="7">
        <v>1120.5999999999999</v>
      </c>
      <c r="AC328" s="7">
        <v>200.2</v>
      </c>
      <c r="AD328" s="7">
        <v>0.17865429234338748</v>
      </c>
      <c r="AE328" s="7" t="s">
        <v>113</v>
      </c>
      <c r="AF328" s="20" t="s">
        <v>27</v>
      </c>
      <c r="AG328" s="11" t="s">
        <v>864</v>
      </c>
      <c r="AH328" s="7" t="s">
        <v>1242</v>
      </c>
    </row>
    <row r="329" spans="1:34" s="7" customFormat="1" ht="16.5" customHeight="1">
      <c r="A329" s="7">
        <v>2012</v>
      </c>
      <c r="B329" s="12">
        <v>41102</v>
      </c>
      <c r="C329" s="7" t="s">
        <v>22</v>
      </c>
      <c r="D329" s="26" t="s">
        <v>23</v>
      </c>
      <c r="E329" s="9" t="s">
        <v>16</v>
      </c>
      <c r="F329" s="9" t="s">
        <v>25</v>
      </c>
      <c r="G329" s="7" t="s">
        <v>902</v>
      </c>
      <c r="H329" s="7" t="s">
        <v>903</v>
      </c>
      <c r="I329" s="124" t="s">
        <v>902</v>
      </c>
      <c r="J329" s="7">
        <v>37</v>
      </c>
      <c r="K329" s="124" t="s">
        <v>1687</v>
      </c>
      <c r="L329" s="20" t="s">
        <v>909</v>
      </c>
      <c r="M329" s="16">
        <v>92.591483621036303</v>
      </c>
      <c r="N329" s="16">
        <v>19.491505454568301</v>
      </c>
      <c r="O329" s="16">
        <v>359.22231337603398</v>
      </c>
      <c r="P329" s="16">
        <v>17.068634257597083</v>
      </c>
      <c r="Q329" s="147">
        <v>398.21219949161303</v>
      </c>
      <c r="R329" s="147">
        <v>9.504608154296875</v>
      </c>
      <c r="S329" s="10">
        <v>0.85623533670886964</v>
      </c>
      <c r="T329" s="10">
        <v>-7.6590085103028036</v>
      </c>
      <c r="U329" s="16">
        <v>5.1792378519095628E-2</v>
      </c>
      <c r="V329" s="16">
        <v>10.442972232473876</v>
      </c>
      <c r="W329" s="10">
        <v>18.101980742776679</v>
      </c>
      <c r="X329" s="10" t="s">
        <v>902</v>
      </c>
      <c r="Y329" s="10">
        <v>3.9000000000000004</v>
      </c>
      <c r="Z329" s="10">
        <v>3.8666666666666667</v>
      </c>
      <c r="AA329" s="20" t="s">
        <v>284</v>
      </c>
      <c r="AB329" s="7">
        <v>531</v>
      </c>
      <c r="AC329" s="7">
        <v>505.4</v>
      </c>
      <c r="AD329" s="7">
        <v>0.95178907721280603</v>
      </c>
      <c r="AE329" s="7" t="s">
        <v>124</v>
      </c>
      <c r="AF329" s="19" t="s">
        <v>27</v>
      </c>
      <c r="AG329" s="11" t="s">
        <v>928</v>
      </c>
      <c r="AH329" s="7" t="s">
        <v>1242</v>
      </c>
    </row>
    <row r="330" spans="1:34" s="7" customFormat="1" ht="16.5" customHeight="1">
      <c r="A330" s="7">
        <v>2012</v>
      </c>
      <c r="B330" s="12">
        <v>41102</v>
      </c>
      <c r="C330" s="7" t="s">
        <v>22</v>
      </c>
      <c r="D330" s="26" t="s">
        <v>23</v>
      </c>
      <c r="E330" s="9" t="s">
        <v>16</v>
      </c>
      <c r="F330" s="9" t="s">
        <v>25</v>
      </c>
      <c r="G330" s="7" t="s">
        <v>902</v>
      </c>
      <c r="H330" s="7" t="s">
        <v>903</v>
      </c>
      <c r="I330" s="124" t="s">
        <v>902</v>
      </c>
      <c r="J330" s="7">
        <v>38</v>
      </c>
      <c r="K330" s="124" t="s">
        <v>1688</v>
      </c>
      <c r="L330" s="20" t="s">
        <v>909</v>
      </c>
      <c r="M330" s="16">
        <v>92.59237501356337</v>
      </c>
      <c r="N330" s="16">
        <v>19.338280253940159</v>
      </c>
      <c r="O330" s="16">
        <v>356.84899563259546</v>
      </c>
      <c r="P330" s="16">
        <v>16.870182885064018</v>
      </c>
      <c r="Q330" s="147">
        <v>410.3736385769314</v>
      </c>
      <c r="R330" s="147">
        <v>5.49896240234375</v>
      </c>
      <c r="S330" s="10">
        <v>0.85623533670886964</v>
      </c>
      <c r="T330" s="10">
        <v>-6.8608109326669622</v>
      </c>
      <c r="U330" s="16">
        <v>4.5559681359951462E-2</v>
      </c>
      <c r="V330" s="16">
        <v>10.442972232473876</v>
      </c>
      <c r="W330" s="10">
        <v>17.303783165140839</v>
      </c>
      <c r="X330" s="10" t="s">
        <v>902</v>
      </c>
      <c r="Y330" s="10">
        <v>3.9000000000000004</v>
      </c>
      <c r="Z330" s="10">
        <v>3.8666666666666667</v>
      </c>
      <c r="AA330" s="20" t="s">
        <v>283</v>
      </c>
      <c r="AB330" s="7">
        <v>534.70000000000005</v>
      </c>
      <c r="AC330" s="7">
        <v>507.8</v>
      </c>
      <c r="AD330" s="7">
        <v>0.94969141574714788</v>
      </c>
      <c r="AE330" s="7" t="s">
        <v>124</v>
      </c>
      <c r="AF330" s="19" t="s">
        <v>27</v>
      </c>
      <c r="AG330" s="11" t="s">
        <v>928</v>
      </c>
      <c r="AH330" s="7" t="s">
        <v>1242</v>
      </c>
    </row>
    <row r="331" spans="1:34" s="7" customFormat="1" ht="16.5" customHeight="1">
      <c r="A331" s="7">
        <v>2012</v>
      </c>
      <c r="B331" s="12">
        <v>41112</v>
      </c>
      <c r="C331" s="7" t="s">
        <v>22</v>
      </c>
      <c r="D331" s="9" t="s">
        <v>23</v>
      </c>
      <c r="E331" s="9" t="s">
        <v>16</v>
      </c>
      <c r="F331" s="9" t="s">
        <v>25</v>
      </c>
      <c r="G331" s="7" t="s">
        <v>902</v>
      </c>
      <c r="H331" s="7" t="s">
        <v>903</v>
      </c>
      <c r="I331" s="124" t="s">
        <v>902</v>
      </c>
      <c r="J331" s="7">
        <v>18</v>
      </c>
      <c r="K331" s="124" t="s">
        <v>856</v>
      </c>
      <c r="L331" s="20" t="s">
        <v>74</v>
      </c>
      <c r="M331" s="16">
        <v>92.934509658813482</v>
      </c>
      <c r="N331" s="16">
        <v>20.215812683105469</v>
      </c>
      <c r="O331" s="16">
        <v>345.53153839111326</v>
      </c>
      <c r="P331" s="16">
        <v>20.875749683380128</v>
      </c>
      <c r="Q331" s="147">
        <v>421.37144470214844</v>
      </c>
      <c r="R331" s="147">
        <v>3.7156982421875</v>
      </c>
      <c r="S331" s="10">
        <v>0.85623533670886964</v>
      </c>
      <c r="T331" s="10">
        <v>-4.8060180133955104</v>
      </c>
      <c r="U331" s="16">
        <v>2.9506816003555644E-2</v>
      </c>
      <c r="V331" s="16">
        <v>10.442972232473876</v>
      </c>
      <c r="W331" s="10">
        <v>15.248990245869386</v>
      </c>
      <c r="X331" s="10" t="s">
        <v>902</v>
      </c>
      <c r="Y331" s="10">
        <v>3.9000000000000004</v>
      </c>
      <c r="Z331" s="10">
        <v>3.8666666666666667</v>
      </c>
      <c r="AA331" s="20" t="s">
        <v>303</v>
      </c>
      <c r="AB331" s="7">
        <v>1116.9000000000001</v>
      </c>
      <c r="AC331" s="7">
        <v>200.2</v>
      </c>
      <c r="AD331" s="7">
        <v>0.17924612767481418</v>
      </c>
      <c r="AE331" s="7" t="s">
        <v>113</v>
      </c>
      <c r="AF331" s="20" t="s">
        <v>27</v>
      </c>
      <c r="AG331" s="11" t="s">
        <v>864</v>
      </c>
      <c r="AH331" s="7" t="s">
        <v>1356</v>
      </c>
    </row>
    <row r="332" spans="1:34" s="7" customFormat="1" ht="16.5" customHeight="1">
      <c r="A332" s="7">
        <v>2012</v>
      </c>
      <c r="B332" s="12">
        <v>41112</v>
      </c>
      <c r="C332" s="7" t="s">
        <v>22</v>
      </c>
      <c r="D332" s="9" t="s">
        <v>23</v>
      </c>
      <c r="E332" s="9" t="s">
        <v>16</v>
      </c>
      <c r="F332" s="9" t="s">
        <v>25</v>
      </c>
      <c r="G332" s="7" t="s">
        <v>902</v>
      </c>
      <c r="H332" s="7" t="s">
        <v>903</v>
      </c>
      <c r="I332" s="124" t="s">
        <v>902</v>
      </c>
      <c r="J332" s="7">
        <v>39</v>
      </c>
      <c r="K332" s="124" t="s">
        <v>861</v>
      </c>
      <c r="L332" s="20" t="s">
        <v>907</v>
      </c>
      <c r="M332" s="16">
        <v>92.823538208007818</v>
      </c>
      <c r="N332" s="16">
        <v>23.776656723022462</v>
      </c>
      <c r="O332" s="16">
        <v>342.57057647705079</v>
      </c>
      <c r="P332" s="16">
        <v>22.324581050872801</v>
      </c>
      <c r="Q332" s="147">
        <v>438.96273193359377</v>
      </c>
      <c r="R332" s="147">
        <v>17.267852783203125</v>
      </c>
      <c r="S332" s="10">
        <v>0.85623533670886964</v>
      </c>
      <c r="T332" s="10">
        <v>-3.095105771222447</v>
      </c>
      <c r="U332" s="16">
        <v>3.9802580668513936E-2</v>
      </c>
      <c r="V332" s="16">
        <v>10.442972232473876</v>
      </c>
      <c r="W332" s="10">
        <v>13.538078003696324</v>
      </c>
      <c r="X332" s="10" t="s">
        <v>902</v>
      </c>
      <c r="Y332" s="10">
        <v>3.9000000000000004</v>
      </c>
      <c r="Z332" s="10">
        <v>3.8666666666666667</v>
      </c>
      <c r="AA332" s="20" t="s">
        <v>317</v>
      </c>
      <c r="AB332" s="7">
        <v>1254.9000000000001</v>
      </c>
      <c r="AC332" s="7">
        <v>521.20000000000005</v>
      </c>
      <c r="AD332" s="7">
        <v>0.41533189895609213</v>
      </c>
      <c r="AE332" s="7" t="s">
        <v>113</v>
      </c>
      <c r="AF332" s="20" t="s">
        <v>27</v>
      </c>
      <c r="AG332" s="11" t="s">
        <v>928</v>
      </c>
      <c r="AH332" s="7" t="s">
        <v>1357</v>
      </c>
    </row>
    <row r="333" spans="1:34" s="7" customFormat="1" ht="16.5" customHeight="1">
      <c r="A333" s="7">
        <v>2012</v>
      </c>
      <c r="B333" s="12">
        <v>41102</v>
      </c>
      <c r="C333" s="7" t="s">
        <v>22</v>
      </c>
      <c r="D333" s="9" t="s">
        <v>23</v>
      </c>
      <c r="E333" s="9" t="s">
        <v>16</v>
      </c>
      <c r="F333" s="9" t="s">
        <v>25</v>
      </c>
      <c r="G333" s="7" t="s">
        <v>902</v>
      </c>
      <c r="H333" s="7" t="s">
        <v>903</v>
      </c>
      <c r="I333" s="124" t="s">
        <v>902</v>
      </c>
      <c r="J333" s="7">
        <v>40</v>
      </c>
      <c r="K333" s="124" t="s">
        <v>1689</v>
      </c>
      <c r="L333" s="20" t="s">
        <v>907</v>
      </c>
      <c r="M333" s="16">
        <v>92.584097544352218</v>
      </c>
      <c r="N333" s="16">
        <v>26.138999091254341</v>
      </c>
      <c r="O333" s="16">
        <v>346.6955379909939</v>
      </c>
      <c r="P333" s="16">
        <v>23.879258367750381</v>
      </c>
      <c r="Q333" s="147">
        <v>494.58733113606769</v>
      </c>
      <c r="R333" s="147">
        <v>12.885101318359375</v>
      </c>
      <c r="S333" s="10">
        <v>0.85623533670886964</v>
      </c>
      <c r="T333" s="10">
        <v>-6.0128146335915256</v>
      </c>
      <c r="U333" s="16">
        <v>7.3757180488515567E-2</v>
      </c>
      <c r="V333" s="16">
        <v>10.442972232473876</v>
      </c>
      <c r="W333" s="10">
        <v>16.455786866065402</v>
      </c>
      <c r="X333" s="10" t="s">
        <v>902</v>
      </c>
      <c r="Y333" s="10">
        <v>3.9000000000000004</v>
      </c>
      <c r="Z333" s="10">
        <v>3.8666666666666667</v>
      </c>
      <c r="AA333" s="20" t="s">
        <v>291</v>
      </c>
      <c r="AB333" s="7">
        <v>1630.9</v>
      </c>
      <c r="AC333" s="7">
        <v>507.8</v>
      </c>
      <c r="AD333" s="7">
        <v>0.31136182475933533</v>
      </c>
      <c r="AE333" s="7" t="s">
        <v>113</v>
      </c>
      <c r="AF333" s="20" t="s">
        <v>27</v>
      </c>
      <c r="AG333" s="11" t="s">
        <v>928</v>
      </c>
      <c r="AH333" s="7" t="s">
        <v>1242</v>
      </c>
    </row>
    <row r="334" spans="1:34" s="7" customFormat="1" ht="16.5" customHeight="1">
      <c r="A334" s="7">
        <v>2012</v>
      </c>
      <c r="B334" s="12">
        <v>41102</v>
      </c>
      <c r="C334" s="7" t="s">
        <v>22</v>
      </c>
      <c r="D334" s="9" t="s">
        <v>23</v>
      </c>
      <c r="E334" s="9" t="s">
        <v>16</v>
      </c>
      <c r="F334" s="9" t="s">
        <v>25</v>
      </c>
      <c r="G334" s="7" t="s">
        <v>902</v>
      </c>
      <c r="H334" s="7" t="s">
        <v>903</v>
      </c>
      <c r="I334" s="124" t="s">
        <v>902</v>
      </c>
      <c r="J334" s="7">
        <v>41</v>
      </c>
      <c r="K334" s="124" t="s">
        <v>1690</v>
      </c>
      <c r="L334" s="20" t="s">
        <v>907</v>
      </c>
      <c r="M334" s="16">
        <v>92.58441077338324</v>
      </c>
      <c r="N334" s="16">
        <v>25.330323113335503</v>
      </c>
      <c r="O334" s="16">
        <v>348.00725470648871</v>
      </c>
      <c r="P334" s="16">
        <v>23.253638055589462</v>
      </c>
      <c r="Q334" s="147">
        <v>498.32982211642798</v>
      </c>
      <c r="R334" s="147">
        <v>194.9676513671875</v>
      </c>
      <c r="S334" s="10">
        <v>0.85623533670886964</v>
      </c>
      <c r="T334" s="10">
        <v>-6.8122941129140706</v>
      </c>
      <c r="U334" s="16">
        <v>7.4309268356968869E-2</v>
      </c>
      <c r="V334" s="16">
        <v>10.442972232473876</v>
      </c>
      <c r="W334" s="10">
        <v>17.255266345387945</v>
      </c>
      <c r="X334" s="10" t="s">
        <v>902</v>
      </c>
      <c r="Y334" s="10">
        <v>3.9000000000000004</v>
      </c>
      <c r="Z334" s="10">
        <v>3.8666666666666667</v>
      </c>
      <c r="AA334" s="20" t="s">
        <v>292</v>
      </c>
      <c r="AB334" s="7">
        <v>1623.5</v>
      </c>
      <c r="AC334" s="7">
        <v>491.9</v>
      </c>
      <c r="AD334" s="7">
        <v>0.30298737295965505</v>
      </c>
      <c r="AE334" s="7" t="s">
        <v>113</v>
      </c>
      <c r="AF334" s="20" t="s">
        <v>27</v>
      </c>
      <c r="AG334" s="11" t="s">
        <v>928</v>
      </c>
      <c r="AH334" s="7" t="s">
        <v>1242</v>
      </c>
    </row>
    <row r="335" spans="1:34" s="7" customFormat="1" ht="16.5" customHeight="1">
      <c r="A335" s="7">
        <v>2012</v>
      </c>
      <c r="B335" s="12">
        <v>41102</v>
      </c>
      <c r="C335" s="7" t="s">
        <v>22</v>
      </c>
      <c r="D335" s="9" t="s">
        <v>23</v>
      </c>
      <c r="E335" s="9" t="s">
        <v>16</v>
      </c>
      <c r="F335" s="9" t="s">
        <v>25</v>
      </c>
      <c r="G335" s="7" t="s">
        <v>902</v>
      </c>
      <c r="H335" s="7" t="s">
        <v>903</v>
      </c>
      <c r="I335" s="124" t="s">
        <v>902</v>
      </c>
      <c r="J335" s="7">
        <v>42</v>
      </c>
      <c r="K335" s="124" t="s">
        <v>863</v>
      </c>
      <c r="L335" s="20" t="s">
        <v>908</v>
      </c>
      <c r="M335" s="16">
        <v>92.583512306213379</v>
      </c>
      <c r="N335" s="16">
        <v>25.668046951293945</v>
      </c>
      <c r="O335" s="16">
        <v>343.10063171386719</v>
      </c>
      <c r="P335" s="16">
        <v>23.94265878200531</v>
      </c>
      <c r="Q335" s="147">
        <v>608.57714462280273</v>
      </c>
      <c r="R335" s="147">
        <v>59.69940185546875</v>
      </c>
      <c r="S335" s="10">
        <v>0.85623533670886964</v>
      </c>
      <c r="T335" s="10">
        <v>-5.0399014476748363</v>
      </c>
      <c r="U335" s="16">
        <v>5.9686681803535015E-2</v>
      </c>
      <c r="V335" s="16">
        <v>10.442972232473876</v>
      </c>
      <c r="W335" s="10">
        <v>15.482873680148712</v>
      </c>
      <c r="X335" s="10" t="s">
        <v>902</v>
      </c>
      <c r="Y335" s="10">
        <v>3.9000000000000004</v>
      </c>
      <c r="Z335" s="10">
        <v>3.8666666666666667</v>
      </c>
      <c r="AA335" s="20" t="s">
        <v>862</v>
      </c>
      <c r="AB335" s="7">
        <v>1176.8</v>
      </c>
      <c r="AC335" s="7">
        <v>553</v>
      </c>
      <c r="AD335" s="7">
        <v>0.46991842284160434</v>
      </c>
      <c r="AE335" s="7" t="s">
        <v>113</v>
      </c>
      <c r="AF335" s="20" t="s">
        <v>27</v>
      </c>
      <c r="AG335" s="11" t="s">
        <v>928</v>
      </c>
      <c r="AH335" s="7" t="s">
        <v>1358</v>
      </c>
    </row>
    <row r="336" spans="1:34" s="7" customFormat="1" ht="16.5" customHeight="1">
      <c r="A336" s="7">
        <v>2012</v>
      </c>
      <c r="B336" s="12">
        <v>41112</v>
      </c>
      <c r="C336" s="7" t="s">
        <v>22</v>
      </c>
      <c r="D336" s="9" t="s">
        <v>23</v>
      </c>
      <c r="E336" s="9" t="s">
        <v>16</v>
      </c>
      <c r="F336" s="9" t="s">
        <v>25</v>
      </c>
      <c r="G336" s="7" t="s">
        <v>902</v>
      </c>
      <c r="H336" s="7" t="s">
        <v>903</v>
      </c>
      <c r="I336" s="124" t="s">
        <v>902</v>
      </c>
      <c r="J336" s="7">
        <v>43</v>
      </c>
      <c r="K336" s="124" t="s">
        <v>1691</v>
      </c>
      <c r="L336" s="20" t="s">
        <v>908</v>
      </c>
      <c r="M336" s="16">
        <v>92.820749784770769</v>
      </c>
      <c r="N336" s="16">
        <v>25.052470658954821</v>
      </c>
      <c r="O336" s="16">
        <v>340.69111713610198</v>
      </c>
      <c r="P336" s="16">
        <v>22.566497702347604</v>
      </c>
      <c r="Q336" s="147">
        <v>710.06238435444084</v>
      </c>
      <c r="R336" s="147">
        <v>124.303466796875</v>
      </c>
      <c r="S336" s="10">
        <v>0.85623533670886964</v>
      </c>
      <c r="T336" s="10">
        <v>-7.8710547355067444</v>
      </c>
      <c r="U336" s="16">
        <v>7.4597686633729093E-2</v>
      </c>
      <c r="V336" s="16">
        <v>10.442972232473876</v>
      </c>
      <c r="W336" s="10">
        <v>18.31402696798062</v>
      </c>
      <c r="X336" s="10" t="s">
        <v>902</v>
      </c>
      <c r="Y336" s="10">
        <v>3.9000000000000004</v>
      </c>
      <c r="Z336" s="10">
        <v>3.8666666666666667</v>
      </c>
      <c r="AA336" s="20" t="s">
        <v>319</v>
      </c>
      <c r="AB336" s="7">
        <v>1407.5</v>
      </c>
      <c r="AC336" s="7">
        <v>505.4</v>
      </c>
      <c r="AD336" s="7">
        <v>0.35907637655417407</v>
      </c>
      <c r="AE336" s="7" t="s">
        <v>113</v>
      </c>
      <c r="AF336" s="20" t="s">
        <v>27</v>
      </c>
      <c r="AG336" s="11" t="s">
        <v>928</v>
      </c>
      <c r="AH336" s="7" t="s">
        <v>1359</v>
      </c>
    </row>
    <row r="337" spans="1:34" s="7" customFormat="1" ht="16.5" customHeight="1">
      <c r="A337" s="7">
        <v>2012</v>
      </c>
      <c r="B337" s="12">
        <v>41112</v>
      </c>
      <c r="C337" s="7" t="s">
        <v>22</v>
      </c>
      <c r="D337" s="9" t="s">
        <v>23</v>
      </c>
      <c r="E337" s="9" t="s">
        <v>16</v>
      </c>
      <c r="F337" s="9" t="s">
        <v>25</v>
      </c>
      <c r="G337" s="7" t="s">
        <v>902</v>
      </c>
      <c r="H337" s="7" t="s">
        <v>903</v>
      </c>
      <c r="I337" s="124" t="s">
        <v>902</v>
      </c>
      <c r="J337" s="7">
        <v>44</v>
      </c>
      <c r="K337" s="124" t="s">
        <v>1692</v>
      </c>
      <c r="L337" s="20" t="s">
        <v>908</v>
      </c>
      <c r="M337" s="16">
        <v>92.825311872694229</v>
      </c>
      <c r="N337" s="16">
        <v>24.698446697658962</v>
      </c>
      <c r="O337" s="16">
        <v>339.09497409396704</v>
      </c>
      <c r="P337" s="16">
        <v>23.231205304463703</v>
      </c>
      <c r="Q337" s="147">
        <v>722.04614935980908</v>
      </c>
      <c r="R337" s="147">
        <v>33.60430908203125</v>
      </c>
      <c r="S337" s="10">
        <v>0.85623533670886964</v>
      </c>
      <c r="T337" s="10">
        <v>-9.0829939737746361</v>
      </c>
      <c r="U337" s="16">
        <v>6.3467597567752179E-2</v>
      </c>
      <c r="V337" s="16">
        <v>10.442972232473876</v>
      </c>
      <c r="W337" s="10">
        <v>19.525966206248512</v>
      </c>
      <c r="X337" s="10" t="s">
        <v>902</v>
      </c>
      <c r="Y337" s="10">
        <v>3.9000000000000004</v>
      </c>
      <c r="Z337" s="10">
        <v>3.8666666666666667</v>
      </c>
      <c r="AA337" s="20" t="s">
        <v>318</v>
      </c>
      <c r="AB337" s="7">
        <v>1398.9</v>
      </c>
      <c r="AC337" s="7">
        <v>515.1</v>
      </c>
      <c r="AD337" s="7">
        <v>0.36821788548144968</v>
      </c>
      <c r="AE337" s="7" t="s">
        <v>113</v>
      </c>
      <c r="AF337" s="20" t="s">
        <v>27</v>
      </c>
      <c r="AG337" s="11" t="s">
        <v>928</v>
      </c>
      <c r="AH337" s="7" t="s">
        <v>1359</v>
      </c>
    </row>
    <row r="338" spans="1:34" s="7" customFormat="1" ht="16.5" customHeight="1">
      <c r="A338" s="7">
        <v>2012</v>
      </c>
      <c r="B338" s="12">
        <v>41112</v>
      </c>
      <c r="C338" s="7" t="s">
        <v>22</v>
      </c>
      <c r="D338" s="9" t="s">
        <v>23</v>
      </c>
      <c r="E338" s="9" t="s">
        <v>16</v>
      </c>
      <c r="F338" s="9" t="s">
        <v>25</v>
      </c>
      <c r="G338" s="7" t="s">
        <v>902</v>
      </c>
      <c r="H338" s="7" t="s">
        <v>903</v>
      </c>
      <c r="I338" s="124" t="s">
        <v>902</v>
      </c>
      <c r="J338" s="7">
        <v>19</v>
      </c>
      <c r="K338" s="124" t="s">
        <v>1693</v>
      </c>
      <c r="L338" s="20" t="s">
        <v>909</v>
      </c>
      <c r="M338" s="16">
        <v>92.930303785536026</v>
      </c>
      <c r="N338" s="16">
        <v>21.086103651258682</v>
      </c>
      <c r="O338" s="16">
        <v>354.44471401638452</v>
      </c>
      <c r="P338" s="16">
        <v>18.976381195916069</v>
      </c>
      <c r="Q338" s="147">
        <v>749.56149631076391</v>
      </c>
      <c r="R338" s="147">
        <v>2.755615234375</v>
      </c>
      <c r="S338" s="10">
        <v>0.85623533670886964</v>
      </c>
      <c r="T338" s="10">
        <v>-12.182170811472199</v>
      </c>
      <c r="U338" s="16">
        <v>8.5902584103484891E-2</v>
      </c>
      <c r="V338" s="16">
        <v>10.442972232473876</v>
      </c>
      <c r="W338" s="10">
        <v>22.625143043946075</v>
      </c>
      <c r="X338" s="10" t="s">
        <v>902</v>
      </c>
      <c r="Y338" s="10">
        <v>3.9000000000000004</v>
      </c>
      <c r="Z338" s="10">
        <v>3.8666666666666667</v>
      </c>
      <c r="AA338" s="20" t="s">
        <v>301</v>
      </c>
      <c r="AB338" s="7">
        <v>1088.9000000000001</v>
      </c>
      <c r="AC338" s="7">
        <v>195.3</v>
      </c>
      <c r="AD338" s="7">
        <v>0.17935531270089081</v>
      </c>
      <c r="AE338" s="7" t="s">
        <v>113</v>
      </c>
      <c r="AF338" s="20" t="s">
        <v>27</v>
      </c>
      <c r="AG338" s="11" t="s">
        <v>864</v>
      </c>
      <c r="AH338" s="7" t="s">
        <v>1242</v>
      </c>
    </row>
    <row r="339" spans="1:34" s="7" customFormat="1" ht="16.5" customHeight="1">
      <c r="A339" s="7">
        <v>2012</v>
      </c>
      <c r="B339" s="12">
        <v>41112</v>
      </c>
      <c r="C339" s="7" t="s">
        <v>22</v>
      </c>
      <c r="D339" s="9" t="s">
        <v>23</v>
      </c>
      <c r="E339" s="9" t="s">
        <v>16</v>
      </c>
      <c r="F339" s="9" t="s">
        <v>25</v>
      </c>
      <c r="G339" s="7" t="s">
        <v>902</v>
      </c>
      <c r="H339" s="7" t="s">
        <v>903</v>
      </c>
      <c r="I339" s="124" t="s">
        <v>902</v>
      </c>
      <c r="J339" s="7">
        <v>20</v>
      </c>
      <c r="K339" s="124" t="s">
        <v>1694</v>
      </c>
      <c r="L339" s="20" t="s">
        <v>909</v>
      </c>
      <c r="M339" s="16">
        <v>92.932750099583671</v>
      </c>
      <c r="N339" s="16">
        <v>20.583628704673366</v>
      </c>
      <c r="O339" s="16">
        <v>341.75756193462172</v>
      </c>
      <c r="P339" s="16">
        <v>20.488556410136976</v>
      </c>
      <c r="Q339" s="147">
        <v>770.27224892064146</v>
      </c>
      <c r="R339" s="147">
        <v>3.538818359375</v>
      </c>
      <c r="S339" s="10">
        <v>0.85623533670886964</v>
      </c>
      <c r="T339" s="10">
        <v>-10.823336431921476</v>
      </c>
      <c r="U339" s="16">
        <v>6.4491912774872331E-2</v>
      </c>
      <c r="V339" s="16">
        <v>10.442972232473876</v>
      </c>
      <c r="W339" s="10">
        <v>21.266308664395353</v>
      </c>
      <c r="X339" s="10" t="s">
        <v>902</v>
      </c>
      <c r="Y339" s="10">
        <v>3.9000000000000004</v>
      </c>
      <c r="Z339" s="10">
        <v>3.8666666666666667</v>
      </c>
      <c r="AA339" s="20" t="s">
        <v>302</v>
      </c>
      <c r="AB339" s="7">
        <v>1098.5999999999999</v>
      </c>
      <c r="AC339" s="7">
        <v>195.3</v>
      </c>
      <c r="AD339" s="7">
        <v>0.17777170944838888</v>
      </c>
      <c r="AE339" s="7" t="s">
        <v>113</v>
      </c>
      <c r="AF339" s="20" t="s">
        <v>27</v>
      </c>
      <c r="AG339" s="11" t="s">
        <v>864</v>
      </c>
      <c r="AH339" s="7" t="s">
        <v>1242</v>
      </c>
    </row>
    <row r="340" spans="1:34" s="7" customFormat="1" ht="16.5" customHeight="1">
      <c r="A340" s="7">
        <v>2012</v>
      </c>
      <c r="B340" s="12">
        <v>41112</v>
      </c>
      <c r="C340" s="7" t="s">
        <v>22</v>
      </c>
      <c r="D340" s="9" t="s">
        <v>23</v>
      </c>
      <c r="E340" s="9" t="s">
        <v>16</v>
      </c>
      <c r="F340" s="9" t="s">
        <v>25</v>
      </c>
      <c r="G340" s="7" t="s">
        <v>902</v>
      </c>
      <c r="H340" s="7" t="s">
        <v>903</v>
      </c>
      <c r="I340" s="124" t="s">
        <v>902</v>
      </c>
      <c r="J340" s="7">
        <v>45</v>
      </c>
      <c r="K340" s="124" t="s">
        <v>1695</v>
      </c>
      <c r="L340" s="20" t="s">
        <v>908</v>
      </c>
      <c r="M340" s="16">
        <v>92.815732320149735</v>
      </c>
      <c r="N340" s="16">
        <v>26.341639942593044</v>
      </c>
      <c r="O340" s="16">
        <v>329.42913140190973</v>
      </c>
      <c r="P340" s="16">
        <v>24.973800871107315</v>
      </c>
      <c r="Q340" s="147">
        <v>799.83662245008679</v>
      </c>
      <c r="R340" s="147">
        <v>13.33984375</v>
      </c>
      <c r="S340" s="10">
        <v>0.85623533670886964</v>
      </c>
      <c r="T340" s="10">
        <v>-9.0248603604281037</v>
      </c>
      <c r="U340" s="16">
        <v>7.4584396015871912E-2</v>
      </c>
      <c r="V340" s="16">
        <v>10.442972232473876</v>
      </c>
      <c r="W340" s="10">
        <v>19.467832592901978</v>
      </c>
      <c r="X340" s="10" t="s">
        <v>902</v>
      </c>
      <c r="Y340" s="10">
        <v>3.9000000000000004</v>
      </c>
      <c r="Z340" s="10">
        <v>3.8666666666666667</v>
      </c>
      <c r="AA340" s="20" t="s">
        <v>320</v>
      </c>
      <c r="AB340" s="7">
        <v>1626</v>
      </c>
      <c r="AC340" s="7">
        <v>500.5</v>
      </c>
      <c r="AD340" s="7">
        <v>0.30781057810578105</v>
      </c>
      <c r="AE340" s="7" t="s">
        <v>113</v>
      </c>
      <c r="AF340" s="20" t="s">
        <v>27</v>
      </c>
      <c r="AG340" s="11" t="s">
        <v>928</v>
      </c>
      <c r="AH340" s="7" t="s">
        <v>1359</v>
      </c>
    </row>
    <row r="341" spans="1:34" s="7" customFormat="1" ht="16.5" customHeight="1">
      <c r="A341" s="7">
        <v>2012</v>
      </c>
      <c r="B341" s="12">
        <v>41102</v>
      </c>
      <c r="C341" s="7" t="s">
        <v>22</v>
      </c>
      <c r="D341" s="9" t="s">
        <v>23</v>
      </c>
      <c r="E341" s="9" t="s">
        <v>16</v>
      </c>
      <c r="F341" s="9" t="s">
        <v>25</v>
      </c>
      <c r="G341" s="7" t="s">
        <v>902</v>
      </c>
      <c r="H341" s="7" t="s">
        <v>903</v>
      </c>
      <c r="I341" s="124" t="s">
        <v>902</v>
      </c>
      <c r="J341" s="7">
        <v>46</v>
      </c>
      <c r="K341" s="124" t="s">
        <v>1696</v>
      </c>
      <c r="L341" s="20" t="s">
        <v>908</v>
      </c>
      <c r="M341" s="16">
        <v>92.584919399685333</v>
      </c>
      <c r="N341" s="16">
        <v>26.98996024661594</v>
      </c>
      <c r="O341" s="16">
        <v>336.87029859754773</v>
      </c>
      <c r="P341" s="16">
        <v>24.650000042385525</v>
      </c>
      <c r="Q341" s="147">
        <v>849.48819308810766</v>
      </c>
      <c r="R341" s="147">
        <v>38.4791259765625</v>
      </c>
      <c r="S341" s="10">
        <v>0.85623533670886964</v>
      </c>
      <c r="T341" s="10">
        <v>-7.6226713999546396</v>
      </c>
      <c r="U341" s="16">
        <v>7.411737510909483E-2</v>
      </c>
      <c r="V341" s="16">
        <v>10.442972232473876</v>
      </c>
      <c r="W341" s="10">
        <v>18.065643632428515</v>
      </c>
      <c r="X341" s="10" t="s">
        <v>902</v>
      </c>
      <c r="Y341" s="10">
        <v>3.9000000000000004</v>
      </c>
      <c r="Z341" s="10">
        <v>3.8666666666666667</v>
      </c>
      <c r="AA341" s="20" t="s">
        <v>293</v>
      </c>
      <c r="AB341" s="7">
        <v>1738.3</v>
      </c>
      <c r="AC341" s="7">
        <v>582.29999999999995</v>
      </c>
      <c r="AD341" s="7">
        <v>0.33498245412184319</v>
      </c>
      <c r="AE341" s="7" t="s">
        <v>113</v>
      </c>
      <c r="AF341" s="20" t="s">
        <v>27</v>
      </c>
      <c r="AG341" s="11" t="s">
        <v>928</v>
      </c>
      <c r="AH341" s="7" t="s">
        <v>1242</v>
      </c>
    </row>
    <row r="342" spans="1:34" s="7" customFormat="1" ht="16.5" customHeight="1">
      <c r="A342" s="7">
        <v>2012</v>
      </c>
      <c r="B342" s="12">
        <v>41112</v>
      </c>
      <c r="C342" s="7" t="s">
        <v>22</v>
      </c>
      <c r="D342" s="9" t="s">
        <v>23</v>
      </c>
      <c r="E342" s="9" t="s">
        <v>16</v>
      </c>
      <c r="F342" s="9" t="s">
        <v>25</v>
      </c>
      <c r="G342" s="7" t="s">
        <v>902</v>
      </c>
      <c r="H342" s="7" t="s">
        <v>903</v>
      </c>
      <c r="I342" s="124" t="s">
        <v>902</v>
      </c>
      <c r="J342" s="7">
        <v>21</v>
      </c>
      <c r="K342" s="124" t="s">
        <v>328</v>
      </c>
      <c r="L342" s="20" t="s">
        <v>909</v>
      </c>
      <c r="M342" s="16">
        <v>92.916166606702305</v>
      </c>
      <c r="N342" s="16">
        <v>23.446586106952868</v>
      </c>
      <c r="O342" s="16">
        <v>341.00830399362667</v>
      </c>
      <c r="P342" s="16">
        <v>22.00846300627056</v>
      </c>
      <c r="Q342" s="147">
        <v>1042.3640843441613</v>
      </c>
      <c r="R342" s="147">
        <v>6.2767333984375</v>
      </c>
      <c r="S342" s="10">
        <v>0.85623533670886964</v>
      </c>
      <c r="T342" s="10">
        <v>-10.259551747566288</v>
      </c>
      <c r="U342" s="16">
        <v>7.8958308905885927E-2</v>
      </c>
      <c r="V342" s="16">
        <v>10.442972232473876</v>
      </c>
      <c r="W342" s="10">
        <v>20.702523980040162</v>
      </c>
      <c r="X342" s="10" t="s">
        <v>902</v>
      </c>
      <c r="Y342" s="10">
        <v>3.9000000000000004</v>
      </c>
      <c r="Z342" s="10">
        <v>3.8666666666666667</v>
      </c>
      <c r="AA342" s="20" t="s">
        <v>314</v>
      </c>
      <c r="AB342" s="7">
        <v>1232.9000000000001</v>
      </c>
      <c r="AC342" s="7">
        <v>190.4</v>
      </c>
      <c r="AD342" s="7">
        <v>0.1544326384946062</v>
      </c>
      <c r="AE342" s="7" t="s">
        <v>113</v>
      </c>
      <c r="AF342" s="20" t="s">
        <v>27</v>
      </c>
      <c r="AG342" s="11" t="s">
        <v>864</v>
      </c>
      <c r="AH342" s="7" t="s">
        <v>1242</v>
      </c>
    </row>
    <row r="343" spans="1:34" s="7" customFormat="1" ht="16.5" customHeight="1">
      <c r="A343" s="7">
        <v>2012</v>
      </c>
      <c r="B343" s="12">
        <v>41112</v>
      </c>
      <c r="C343" s="7" t="s">
        <v>22</v>
      </c>
      <c r="D343" s="9" t="s">
        <v>23</v>
      </c>
      <c r="E343" s="9" t="s">
        <v>16</v>
      </c>
      <c r="F343" s="9" t="s">
        <v>25</v>
      </c>
      <c r="G343" s="7" t="s">
        <v>902</v>
      </c>
      <c r="H343" s="7" t="s">
        <v>903</v>
      </c>
      <c r="I343" s="124" t="s">
        <v>902</v>
      </c>
      <c r="J343" s="7">
        <v>22</v>
      </c>
      <c r="K343" s="124" t="s">
        <v>1697</v>
      </c>
      <c r="L343" s="20" t="s">
        <v>909</v>
      </c>
      <c r="M343" s="16">
        <v>92.915285612407487</v>
      </c>
      <c r="N343" s="16">
        <v>23.805486779463919</v>
      </c>
      <c r="O343" s="16">
        <v>348.35861687911182</v>
      </c>
      <c r="P343" s="16">
        <v>21.392329266196803</v>
      </c>
      <c r="Q343" s="147">
        <v>1055.4081774259869</v>
      </c>
      <c r="R343" s="147">
        <v>4.958251953125</v>
      </c>
      <c r="S343" s="10">
        <v>0.85623533670886964</v>
      </c>
      <c r="T343" s="10">
        <v>-12.386799983110185</v>
      </c>
      <c r="U343" s="16">
        <v>0.10200263575503699</v>
      </c>
      <c r="V343" s="16">
        <v>10.442972232473876</v>
      </c>
      <c r="W343" s="10">
        <v>22.829772215584061</v>
      </c>
      <c r="X343" s="10" t="s">
        <v>902</v>
      </c>
      <c r="Y343" s="10">
        <v>3.9000000000000004</v>
      </c>
      <c r="Z343" s="10">
        <v>3.8666666666666667</v>
      </c>
      <c r="AA343" s="20" t="s">
        <v>315</v>
      </c>
      <c r="AB343" s="7">
        <v>1274.4000000000001</v>
      </c>
      <c r="AC343" s="7">
        <v>191.7</v>
      </c>
      <c r="AD343" s="7">
        <v>0.15042372881355931</v>
      </c>
      <c r="AE343" s="7" t="s">
        <v>113</v>
      </c>
      <c r="AF343" s="20" t="s">
        <v>27</v>
      </c>
      <c r="AG343" s="11" t="s">
        <v>864</v>
      </c>
      <c r="AH343" s="7" t="s">
        <v>1242</v>
      </c>
    </row>
    <row r="344" spans="1:34" s="7" customFormat="1" ht="16.5" customHeight="1">
      <c r="A344" s="7">
        <v>2012</v>
      </c>
      <c r="B344" s="12">
        <v>41112</v>
      </c>
      <c r="C344" s="7" t="s">
        <v>22</v>
      </c>
      <c r="D344" s="9" t="s">
        <v>23</v>
      </c>
      <c r="E344" s="9" t="s">
        <v>16</v>
      </c>
      <c r="F344" s="9" t="s">
        <v>25</v>
      </c>
      <c r="G344" s="7" t="s">
        <v>902</v>
      </c>
      <c r="H344" s="7" t="s">
        <v>903</v>
      </c>
      <c r="I344" s="124" t="s">
        <v>902</v>
      </c>
      <c r="J344" s="7">
        <v>23</v>
      </c>
      <c r="K344" s="124" t="s">
        <v>1698</v>
      </c>
      <c r="L344" s="20" t="s">
        <v>909</v>
      </c>
      <c r="M344" s="16">
        <v>92.859346601698135</v>
      </c>
      <c r="N344" s="16">
        <v>27.104290008544922</v>
      </c>
      <c r="O344" s="16">
        <v>325.09811231825086</v>
      </c>
      <c r="P344" s="16">
        <v>25.347968101501465</v>
      </c>
      <c r="Q344" s="147">
        <v>1125.6689114040798</v>
      </c>
      <c r="R344" s="147">
        <v>55.626953125</v>
      </c>
      <c r="S344" s="10">
        <v>0.85623533670886964</v>
      </c>
      <c r="T344" s="10">
        <v>-9.8784210668260304</v>
      </c>
      <c r="U344" s="16">
        <v>7.4769090941815927E-2</v>
      </c>
      <c r="V344" s="16">
        <v>10.442972232473876</v>
      </c>
      <c r="W344" s="10">
        <v>20.321393299299906</v>
      </c>
      <c r="X344" s="10" t="s">
        <v>902</v>
      </c>
      <c r="Y344" s="10">
        <v>3.9000000000000004</v>
      </c>
      <c r="Z344" s="10">
        <v>3.8666666666666667</v>
      </c>
      <c r="AA344" s="20" t="s">
        <v>316</v>
      </c>
      <c r="AB344" s="7">
        <v>1398.9</v>
      </c>
      <c r="AC344" s="7">
        <v>283.2</v>
      </c>
      <c r="AD344" s="7">
        <v>0.20244477803988847</v>
      </c>
      <c r="AE344" s="7" t="s">
        <v>113</v>
      </c>
      <c r="AF344" s="20" t="s">
        <v>27</v>
      </c>
      <c r="AG344" s="11" t="s">
        <v>864</v>
      </c>
      <c r="AH344" s="7" t="s">
        <v>1242</v>
      </c>
    </row>
    <row r="345" spans="1:34" s="7" customFormat="1" ht="16.5" customHeight="1">
      <c r="A345" s="7">
        <v>2012</v>
      </c>
      <c r="B345" s="12">
        <v>41112</v>
      </c>
      <c r="C345" s="7" t="s">
        <v>22</v>
      </c>
      <c r="D345" s="9" t="s">
        <v>23</v>
      </c>
      <c r="E345" s="9" t="s">
        <v>16</v>
      </c>
      <c r="F345" s="9" t="s">
        <v>25</v>
      </c>
      <c r="G345" s="7" t="s">
        <v>902</v>
      </c>
      <c r="H345" s="7" t="s">
        <v>903</v>
      </c>
      <c r="I345" s="124" t="s">
        <v>902</v>
      </c>
      <c r="J345" s="7">
        <v>24</v>
      </c>
      <c r="K345" s="124" t="s">
        <v>1699</v>
      </c>
      <c r="L345" s="20" t="s">
        <v>909</v>
      </c>
      <c r="M345" s="16">
        <v>92.803847865054479</v>
      </c>
      <c r="N345" s="16">
        <v>29.239592401604902</v>
      </c>
      <c r="O345" s="16">
        <v>322.83826165450245</v>
      </c>
      <c r="P345" s="16">
        <v>29.686580356798675</v>
      </c>
      <c r="Q345" s="147">
        <v>1293.0466886821546</v>
      </c>
      <c r="R345" s="147">
        <v>18.2506103515625</v>
      </c>
      <c r="S345" s="10">
        <v>0.85623533670886964</v>
      </c>
      <c r="T345" s="10">
        <v>-12.497625804389534</v>
      </c>
      <c r="U345" s="16">
        <v>0.11070891932437298</v>
      </c>
      <c r="V345" s="16">
        <v>10.442972232473876</v>
      </c>
      <c r="W345" s="10">
        <v>22.94059803686341</v>
      </c>
      <c r="X345" s="10" t="s">
        <v>902</v>
      </c>
      <c r="Y345" s="10">
        <v>3.9000000000000004</v>
      </c>
      <c r="Z345" s="10">
        <v>3.8666666666666667</v>
      </c>
      <c r="AA345" s="20" t="s">
        <v>323</v>
      </c>
      <c r="AB345" s="7">
        <v>1555.2</v>
      </c>
      <c r="AC345" s="7">
        <v>467.5</v>
      </c>
      <c r="AD345" s="7">
        <v>0.30060442386831276</v>
      </c>
      <c r="AE345" s="7" t="s">
        <v>113</v>
      </c>
      <c r="AF345" s="20" t="s">
        <v>27</v>
      </c>
      <c r="AG345" s="11" t="s">
        <v>864</v>
      </c>
      <c r="AH345" s="7" t="s">
        <v>1242</v>
      </c>
    </row>
    <row r="346" spans="1:34" s="7" customFormat="1" ht="16.5" customHeight="1">
      <c r="A346" s="7">
        <v>2012</v>
      </c>
      <c r="B346" s="12">
        <v>41112</v>
      </c>
      <c r="C346" s="7" t="s">
        <v>22</v>
      </c>
      <c r="D346" s="9" t="s">
        <v>23</v>
      </c>
      <c r="E346" s="9" t="s">
        <v>16</v>
      </c>
      <c r="F346" s="9" t="s">
        <v>25</v>
      </c>
      <c r="G346" s="7" t="s">
        <v>902</v>
      </c>
      <c r="H346" s="7" t="s">
        <v>903</v>
      </c>
      <c r="I346" s="124" t="s">
        <v>902</v>
      </c>
      <c r="J346" s="7">
        <v>25</v>
      </c>
      <c r="K346" s="124" t="s">
        <v>1700</v>
      </c>
      <c r="L346" s="20" t="s">
        <v>909</v>
      </c>
      <c r="M346" s="16">
        <v>92.805937449137375</v>
      </c>
      <c r="N346" s="16">
        <v>28.069145202636719</v>
      </c>
      <c r="O346" s="16">
        <v>329.05994669596356</v>
      </c>
      <c r="P346" s="16">
        <v>24.709512816535103</v>
      </c>
      <c r="Q346" s="147">
        <v>1314.8296169704861</v>
      </c>
      <c r="R346" s="147">
        <v>52.0390625</v>
      </c>
      <c r="S346" s="10">
        <v>0.85623533670886964</v>
      </c>
      <c r="T346" s="10">
        <v>-14.660384394264575</v>
      </c>
      <c r="U346" s="16">
        <v>0.13484006572680085</v>
      </c>
      <c r="V346" s="16">
        <v>10.442972232473876</v>
      </c>
      <c r="W346" s="10">
        <v>25.103356626738453</v>
      </c>
      <c r="X346" s="10" t="s">
        <v>902</v>
      </c>
      <c r="Y346" s="10">
        <v>3.9000000000000004</v>
      </c>
      <c r="Z346" s="10">
        <v>3.8666666666666667</v>
      </c>
      <c r="AA346" s="20" t="s">
        <v>322</v>
      </c>
      <c r="AB346" s="7">
        <v>1557.6</v>
      </c>
      <c r="AC346" s="7">
        <v>490.7</v>
      </c>
      <c r="AD346" s="7">
        <v>0.31503595274781715</v>
      </c>
      <c r="AE346" s="7" t="s">
        <v>113</v>
      </c>
      <c r="AF346" s="20" t="s">
        <v>27</v>
      </c>
      <c r="AG346" s="11" t="s">
        <v>864</v>
      </c>
      <c r="AH346" s="7" t="s">
        <v>1242</v>
      </c>
    </row>
    <row r="347" spans="1:34" s="7" customFormat="1" ht="16.5" customHeight="1">
      <c r="A347" s="7">
        <v>2012</v>
      </c>
      <c r="B347" s="12">
        <v>41112</v>
      </c>
      <c r="C347" s="7" t="s">
        <v>22</v>
      </c>
      <c r="D347" s="9" t="s">
        <v>23</v>
      </c>
      <c r="E347" s="9" t="s">
        <v>16</v>
      </c>
      <c r="F347" s="9" t="s">
        <v>25</v>
      </c>
      <c r="G347" s="7" t="s">
        <v>902</v>
      </c>
      <c r="H347" s="7" t="s">
        <v>903</v>
      </c>
      <c r="I347" s="124" t="s">
        <v>902</v>
      </c>
      <c r="J347" s="7">
        <v>26</v>
      </c>
      <c r="K347" s="124" t="s">
        <v>1701</v>
      </c>
      <c r="L347" s="20" t="s">
        <v>909</v>
      </c>
      <c r="M347" s="16">
        <v>92.808639124820104</v>
      </c>
      <c r="N347" s="16">
        <v>28.608175277709961</v>
      </c>
      <c r="O347" s="16">
        <v>334.73639076634458</v>
      </c>
      <c r="P347" s="16">
        <v>24.136114120483398</v>
      </c>
      <c r="Q347" s="147">
        <v>1335.1574964021381</v>
      </c>
      <c r="R347" s="147">
        <v>13.359619140625</v>
      </c>
      <c r="S347" s="10">
        <v>0.85623533670886964</v>
      </c>
      <c r="T347" s="10">
        <v>-14.402130171418982</v>
      </c>
      <c r="U347" s="16">
        <v>0.14327027170281662</v>
      </c>
      <c r="V347" s="16">
        <v>10.442972232473876</v>
      </c>
      <c r="W347" s="10">
        <v>24.845102403892859</v>
      </c>
      <c r="X347" s="10" t="s">
        <v>902</v>
      </c>
      <c r="Y347" s="10">
        <v>3.9000000000000004</v>
      </c>
      <c r="Z347" s="10">
        <v>3.8666666666666667</v>
      </c>
      <c r="AA347" s="20" t="s">
        <v>321</v>
      </c>
      <c r="AB347" s="7">
        <v>1591.8</v>
      </c>
      <c r="AC347" s="7">
        <v>500.5</v>
      </c>
      <c r="AD347" s="7">
        <v>0.31442392260334212</v>
      </c>
      <c r="AE347" s="7" t="s">
        <v>327</v>
      </c>
      <c r="AF347" s="20" t="s">
        <v>27</v>
      </c>
      <c r="AG347" s="11" t="s">
        <v>864</v>
      </c>
      <c r="AH347" s="7" t="s">
        <v>1242</v>
      </c>
    </row>
    <row r="348" spans="1:34" s="7" customFormat="1" ht="16.5" customHeight="1">
      <c r="A348" s="7">
        <v>2012</v>
      </c>
      <c r="B348" s="12">
        <v>41102</v>
      </c>
      <c r="C348" s="7" t="s">
        <v>22</v>
      </c>
      <c r="D348" s="26" t="s">
        <v>23</v>
      </c>
      <c r="E348" s="9" t="s">
        <v>16</v>
      </c>
      <c r="F348" s="9" t="s">
        <v>25</v>
      </c>
      <c r="G348" s="7" t="s">
        <v>902</v>
      </c>
      <c r="H348" s="7" t="s">
        <v>903</v>
      </c>
      <c r="I348" s="124" t="s">
        <v>902</v>
      </c>
      <c r="J348" s="7">
        <v>27</v>
      </c>
      <c r="K348" s="124" t="s">
        <v>1702</v>
      </c>
      <c r="L348" s="20" t="s">
        <v>909</v>
      </c>
      <c r="M348" s="16">
        <v>92.583856794569229</v>
      </c>
      <c r="N348" s="16">
        <v>28.278177155388725</v>
      </c>
      <c r="O348" s="16">
        <v>339.805419921875</v>
      </c>
      <c r="P348" s="16">
        <v>23.716981463962131</v>
      </c>
      <c r="Q348" s="147">
        <v>1386.1654866536458</v>
      </c>
      <c r="R348" s="147">
        <v>13.0740966796875</v>
      </c>
      <c r="S348" s="10">
        <v>0.85623533670886964</v>
      </c>
      <c r="T348" s="10">
        <v>-12.51810344305839</v>
      </c>
      <c r="U348" s="16">
        <v>0.12073263123062496</v>
      </c>
      <c r="V348" s="16">
        <v>10.442972232473876</v>
      </c>
      <c r="W348" s="10">
        <v>22.961075675532264</v>
      </c>
      <c r="X348" s="10" t="s">
        <v>902</v>
      </c>
      <c r="Y348" s="10">
        <v>3.9000000000000004</v>
      </c>
      <c r="Z348" s="10">
        <v>3.8666666666666667</v>
      </c>
      <c r="AA348" s="20" t="s">
        <v>290</v>
      </c>
      <c r="AB348" s="7">
        <v>1658.9</v>
      </c>
      <c r="AC348" s="7">
        <v>544.4</v>
      </c>
      <c r="AD348" s="7">
        <v>0.32816926879257335</v>
      </c>
      <c r="AE348" s="7" t="s">
        <v>113</v>
      </c>
      <c r="AF348" s="19" t="s">
        <v>27</v>
      </c>
      <c r="AG348" s="11" t="s">
        <v>864</v>
      </c>
      <c r="AH348" s="7" t="s">
        <v>1242</v>
      </c>
    </row>
    <row r="349" spans="1:34" s="7" customFormat="1" ht="16.5" customHeight="1">
      <c r="A349" s="7">
        <v>2012</v>
      </c>
      <c r="B349" s="12">
        <v>41102</v>
      </c>
      <c r="C349" s="7" t="s">
        <v>22</v>
      </c>
      <c r="D349" s="9" t="s">
        <v>23</v>
      </c>
      <c r="E349" s="9" t="s">
        <v>16</v>
      </c>
      <c r="F349" s="9" t="s">
        <v>25</v>
      </c>
      <c r="G349" s="7" t="s">
        <v>902</v>
      </c>
      <c r="H349" s="7" t="s">
        <v>903</v>
      </c>
      <c r="I349" s="124" t="s">
        <v>902</v>
      </c>
      <c r="J349" s="7">
        <v>28</v>
      </c>
      <c r="K349" s="124" t="s">
        <v>1703</v>
      </c>
      <c r="L349" s="20" t="s">
        <v>909</v>
      </c>
      <c r="M349" s="16">
        <v>92.584127638075088</v>
      </c>
      <c r="N349" s="16">
        <v>29.722472932603623</v>
      </c>
      <c r="O349" s="16">
        <v>338.53007507324219</v>
      </c>
      <c r="P349" s="16">
        <v>24.764668676588272</v>
      </c>
      <c r="Q349" s="147">
        <v>1419.6444295247395</v>
      </c>
      <c r="R349" s="147">
        <v>24.3895263671875</v>
      </c>
      <c r="S349" s="10">
        <v>0.85623533670886964</v>
      </c>
      <c r="T349" s="10">
        <v>-11.723566542011794</v>
      </c>
      <c r="U349" s="16">
        <v>0.13304598683297203</v>
      </c>
      <c r="V349" s="16">
        <v>10.442972232473876</v>
      </c>
      <c r="W349" s="10">
        <v>22.166538774485669</v>
      </c>
      <c r="X349" s="10" t="s">
        <v>902</v>
      </c>
      <c r="Y349" s="10">
        <v>3.9000000000000004</v>
      </c>
      <c r="Z349" s="10">
        <v>3.8666666666666667</v>
      </c>
      <c r="AA349" s="20" t="s">
        <v>294</v>
      </c>
      <c r="AB349" s="7">
        <v>1706.5</v>
      </c>
      <c r="AC349" s="7">
        <v>595.70000000000005</v>
      </c>
      <c r="AD349" s="7">
        <v>0.34907705830647529</v>
      </c>
      <c r="AE349" s="7" t="s">
        <v>113</v>
      </c>
      <c r="AF349" s="20" t="s">
        <v>27</v>
      </c>
      <c r="AG349" s="11" t="s">
        <v>864</v>
      </c>
      <c r="AH349" s="7" t="s">
        <v>1242</v>
      </c>
    </row>
    <row r="350" spans="1:34" s="7" customFormat="1" ht="16.5" customHeight="1">
      <c r="A350" s="7">
        <v>2012</v>
      </c>
      <c r="B350" s="12">
        <v>41102</v>
      </c>
      <c r="C350" s="12" t="s">
        <v>22</v>
      </c>
      <c r="D350" s="37" t="s">
        <v>329</v>
      </c>
      <c r="E350" s="37" t="s">
        <v>17</v>
      </c>
      <c r="F350" s="37" t="s">
        <v>25</v>
      </c>
      <c r="G350" s="7" t="s">
        <v>902</v>
      </c>
      <c r="H350" s="12" t="s">
        <v>903</v>
      </c>
      <c r="I350" s="124" t="s">
        <v>902</v>
      </c>
      <c r="J350" s="7">
        <v>47</v>
      </c>
      <c r="K350" s="124" t="s">
        <v>1704</v>
      </c>
      <c r="L350" s="20" t="s">
        <v>904</v>
      </c>
      <c r="M350" s="16">
        <v>92.465155752081614</v>
      </c>
      <c r="N350" s="16">
        <v>18.509433043630498</v>
      </c>
      <c r="O350" s="16">
        <v>392.87417763157896</v>
      </c>
      <c r="P350" s="16">
        <v>15.900819125928377</v>
      </c>
      <c r="Q350" s="147">
        <v>5.5303526870710287E-2</v>
      </c>
      <c r="R350" s="147">
        <v>0.1605971991084516</v>
      </c>
      <c r="S350" s="10">
        <v>0.86188968820765322</v>
      </c>
      <c r="T350" s="10">
        <v>12.034472056069948</v>
      </c>
      <c r="U350" s="16">
        <v>1.6906128431621349E-2</v>
      </c>
      <c r="V350" s="16">
        <v>7.4821595020752696</v>
      </c>
      <c r="W350" s="10">
        <v>-4.5523125539946783</v>
      </c>
      <c r="X350" s="10" t="s">
        <v>902</v>
      </c>
      <c r="Y350" s="10">
        <v>3.5</v>
      </c>
      <c r="Z350" s="10">
        <v>4.8</v>
      </c>
      <c r="AA350" s="20" t="s">
        <v>142</v>
      </c>
      <c r="AB350" s="7">
        <v>575</v>
      </c>
      <c r="AC350" s="7">
        <v>556.6</v>
      </c>
      <c r="AD350" s="7">
        <v>0.96800000000000008</v>
      </c>
      <c r="AE350" s="7" t="s">
        <v>902</v>
      </c>
      <c r="AF350" s="38" t="s">
        <v>8</v>
      </c>
      <c r="AG350" s="34" t="s">
        <v>927</v>
      </c>
      <c r="AH350" s="7" t="s">
        <v>1242</v>
      </c>
    </row>
    <row r="351" spans="1:34" s="7" customFormat="1" ht="16.5" customHeight="1">
      <c r="A351" s="7">
        <v>2012</v>
      </c>
      <c r="B351" s="12">
        <v>41102</v>
      </c>
      <c r="C351" s="12" t="s">
        <v>22</v>
      </c>
      <c r="D351" s="37" t="s">
        <v>329</v>
      </c>
      <c r="E351" s="37" t="s">
        <v>17</v>
      </c>
      <c r="F351" s="37" t="s">
        <v>25</v>
      </c>
      <c r="G351" s="7" t="s">
        <v>902</v>
      </c>
      <c r="H351" s="12" t="s">
        <v>903</v>
      </c>
      <c r="I351" s="124" t="s">
        <v>902</v>
      </c>
      <c r="J351" s="7">
        <v>48</v>
      </c>
      <c r="K351" s="124" t="s">
        <v>1705</v>
      </c>
      <c r="L351" s="20" t="s">
        <v>904</v>
      </c>
      <c r="M351" s="16">
        <v>92.462633768717453</v>
      </c>
      <c r="N351" s="16">
        <v>18.519493844774033</v>
      </c>
      <c r="O351" s="16">
        <v>391.03987460666235</v>
      </c>
      <c r="P351" s="16">
        <v>15.725726286570231</v>
      </c>
      <c r="Q351" s="147">
        <v>6.3347456860356033E-2</v>
      </c>
      <c r="R351" s="147">
        <v>0.17665604990907013</v>
      </c>
      <c r="S351" s="10">
        <v>0.86188968820765322</v>
      </c>
      <c r="T351" s="10">
        <v>11.443524221675457</v>
      </c>
      <c r="U351" s="16">
        <v>1.9624526532687887E-2</v>
      </c>
      <c r="V351" s="16">
        <v>7.4821595020752696</v>
      </c>
      <c r="W351" s="10">
        <v>-3.9613647196001871</v>
      </c>
      <c r="X351" s="10" t="s">
        <v>902</v>
      </c>
      <c r="Y351" s="10">
        <v>3.5</v>
      </c>
      <c r="Z351" s="10">
        <v>4.8</v>
      </c>
      <c r="AA351" s="20" t="s">
        <v>143</v>
      </c>
      <c r="AB351" s="7">
        <v>808.1</v>
      </c>
      <c r="AC351" s="7">
        <v>524.9</v>
      </c>
      <c r="AD351" s="7">
        <v>0.64954832322732325</v>
      </c>
      <c r="AE351" s="7" t="s">
        <v>902</v>
      </c>
      <c r="AF351" s="38" t="s">
        <v>8</v>
      </c>
      <c r="AG351" s="34" t="s">
        <v>927</v>
      </c>
      <c r="AH351" s="7" t="s">
        <v>1242</v>
      </c>
    </row>
    <row r="352" spans="1:34" s="7" customFormat="1" ht="16.5" customHeight="1">
      <c r="A352" s="7">
        <v>2012</v>
      </c>
      <c r="B352" s="12">
        <v>41102</v>
      </c>
      <c r="C352" s="12" t="s">
        <v>22</v>
      </c>
      <c r="D352" s="37" t="s">
        <v>329</v>
      </c>
      <c r="E352" s="37" t="s">
        <v>17</v>
      </c>
      <c r="F352" s="37" t="s">
        <v>25</v>
      </c>
      <c r="G352" s="7" t="s">
        <v>902</v>
      </c>
      <c r="H352" s="12" t="s">
        <v>903</v>
      </c>
      <c r="I352" s="124" t="s">
        <v>902</v>
      </c>
      <c r="J352" s="7">
        <v>49</v>
      </c>
      <c r="K352" s="124" t="s">
        <v>1706</v>
      </c>
      <c r="L352" s="20" t="s">
        <v>904</v>
      </c>
      <c r="M352" s="16">
        <v>92.46523793538411</v>
      </c>
      <c r="N352" s="16">
        <v>18.310628255208332</v>
      </c>
      <c r="O352" s="16">
        <v>389.41365898980035</v>
      </c>
      <c r="P352" s="16">
        <v>15.414979404873318</v>
      </c>
      <c r="Q352" s="147">
        <v>6.9401253635684654E-2</v>
      </c>
      <c r="R352" s="147">
        <v>0.16747895907610655</v>
      </c>
      <c r="S352" s="10">
        <v>0.86188968820765322</v>
      </c>
      <c r="T352" s="10">
        <v>13.121451243089467</v>
      </c>
      <c r="U352" s="16">
        <v>2.0057371157241679E-2</v>
      </c>
      <c r="V352" s="16">
        <v>7.4821595020752696</v>
      </c>
      <c r="W352" s="10">
        <v>-5.6392917410141976</v>
      </c>
      <c r="X352" s="10" t="s">
        <v>902</v>
      </c>
      <c r="Y352" s="10">
        <v>3.5</v>
      </c>
      <c r="Z352" s="10">
        <v>4.8</v>
      </c>
      <c r="AA352" s="20" t="s">
        <v>141</v>
      </c>
      <c r="AB352" s="7">
        <v>556.6</v>
      </c>
      <c r="AC352" s="7">
        <v>532.20000000000005</v>
      </c>
      <c r="AD352" s="7">
        <v>0.95616241466043839</v>
      </c>
      <c r="AE352" s="7" t="s">
        <v>902</v>
      </c>
      <c r="AF352" s="38" t="s">
        <v>8</v>
      </c>
      <c r="AG352" s="34" t="s">
        <v>927</v>
      </c>
      <c r="AH352" s="7" t="s">
        <v>1242</v>
      </c>
    </row>
    <row r="353" spans="1:34" s="7" customFormat="1" ht="16.5" customHeight="1">
      <c r="A353" s="7">
        <v>2012</v>
      </c>
      <c r="B353" s="12">
        <v>41112</v>
      </c>
      <c r="C353" s="12" t="s">
        <v>22</v>
      </c>
      <c r="D353" s="37" t="s">
        <v>329</v>
      </c>
      <c r="E353" s="37" t="s">
        <v>17</v>
      </c>
      <c r="F353" s="37" t="s">
        <v>25</v>
      </c>
      <c r="G353" s="7" t="s">
        <v>902</v>
      </c>
      <c r="H353" s="12" t="s">
        <v>903</v>
      </c>
      <c r="I353" s="124" t="s">
        <v>902</v>
      </c>
      <c r="J353" s="7">
        <v>50</v>
      </c>
      <c r="K353" s="124" t="s">
        <v>1707</v>
      </c>
      <c r="L353" s="20" t="s">
        <v>904</v>
      </c>
      <c r="M353" s="16">
        <v>92.781030019124344</v>
      </c>
      <c r="N353" s="16">
        <v>23.691996892293293</v>
      </c>
      <c r="O353" s="16">
        <v>392.21214124891492</v>
      </c>
      <c r="P353" s="16">
        <v>19.084947692023384</v>
      </c>
      <c r="Q353" s="147">
        <v>7.4874866132934884E-2</v>
      </c>
      <c r="R353" s="147">
        <v>0.16402447409927845</v>
      </c>
      <c r="S353" s="10">
        <v>0.86188968820765322</v>
      </c>
      <c r="T353" s="10">
        <v>12.797975683336825</v>
      </c>
      <c r="U353" s="16">
        <v>3.7414354928629809E-2</v>
      </c>
      <c r="V353" s="16">
        <v>7.4821595020752696</v>
      </c>
      <c r="W353" s="10">
        <v>-5.315816181261555</v>
      </c>
      <c r="X353" s="10" t="s">
        <v>902</v>
      </c>
      <c r="Y353" s="10">
        <v>3.5</v>
      </c>
      <c r="Z353" s="10">
        <v>4.8</v>
      </c>
      <c r="AA353" s="20" t="s">
        <v>326</v>
      </c>
      <c r="AB353" s="7">
        <v>1514.9</v>
      </c>
      <c r="AC353" s="7">
        <v>307.60000000000002</v>
      </c>
      <c r="AD353" s="7">
        <v>0.20304970625123772</v>
      </c>
      <c r="AE353" s="7" t="s">
        <v>193</v>
      </c>
      <c r="AF353" s="38" t="s">
        <v>8</v>
      </c>
      <c r="AG353" s="34" t="s">
        <v>927</v>
      </c>
      <c r="AH353" s="7" t="s">
        <v>1242</v>
      </c>
    </row>
    <row r="354" spans="1:34" s="7" customFormat="1" ht="16.5" customHeight="1">
      <c r="A354" s="7">
        <v>2012</v>
      </c>
      <c r="B354" s="12">
        <v>41112</v>
      </c>
      <c r="C354" s="12" t="s">
        <v>22</v>
      </c>
      <c r="D354" s="37" t="s">
        <v>329</v>
      </c>
      <c r="E354" s="37" t="s">
        <v>17</v>
      </c>
      <c r="F354" s="37" t="s">
        <v>25</v>
      </c>
      <c r="G354" s="7" t="s">
        <v>902</v>
      </c>
      <c r="H354" s="12" t="s">
        <v>903</v>
      </c>
      <c r="I354" s="124" t="s">
        <v>902</v>
      </c>
      <c r="J354" s="7">
        <v>51</v>
      </c>
      <c r="K354" s="124" t="s">
        <v>1708</v>
      </c>
      <c r="L354" s="20" t="s">
        <v>904</v>
      </c>
      <c r="M354" s="16">
        <v>92.782148996988937</v>
      </c>
      <c r="N354" s="16">
        <v>23.779548433091904</v>
      </c>
      <c r="O354" s="16">
        <v>392.85838487413196</v>
      </c>
      <c r="P354" s="16">
        <v>19.030279371473526</v>
      </c>
      <c r="Q354" s="147">
        <v>0.12266712915152311</v>
      </c>
      <c r="R354" s="147">
        <v>0.32460536248981953</v>
      </c>
      <c r="S354" s="10">
        <v>0.86188968820765322</v>
      </c>
      <c r="T354" s="10">
        <v>13.20324394281365</v>
      </c>
      <c r="U354" s="16">
        <v>4.1352294669923892E-2</v>
      </c>
      <c r="V354" s="16">
        <v>7.4821595020752696</v>
      </c>
      <c r="W354" s="10">
        <v>-5.7210844407383803</v>
      </c>
      <c r="X354" s="10" t="s">
        <v>902</v>
      </c>
      <c r="Y354" s="10">
        <v>3.5</v>
      </c>
      <c r="Z354" s="10">
        <v>4.8</v>
      </c>
      <c r="AA354" s="20" t="s">
        <v>325</v>
      </c>
      <c r="AB354" s="7">
        <v>1452.6</v>
      </c>
      <c r="AC354" s="7">
        <v>327.10000000000002</v>
      </c>
      <c r="AD354" s="7">
        <v>0.22518243150213413</v>
      </c>
      <c r="AE354" s="7" t="s">
        <v>193</v>
      </c>
      <c r="AF354" s="38" t="s">
        <v>8</v>
      </c>
      <c r="AG354" s="34" t="s">
        <v>927</v>
      </c>
      <c r="AH354" s="7" t="s">
        <v>1242</v>
      </c>
    </row>
    <row r="355" spans="1:34" s="7" customFormat="1" ht="16.5" customHeight="1">
      <c r="A355" s="7">
        <v>2012</v>
      </c>
      <c r="B355" s="12">
        <v>41112</v>
      </c>
      <c r="C355" s="12" t="s">
        <v>22</v>
      </c>
      <c r="D355" s="37" t="s">
        <v>329</v>
      </c>
      <c r="E355" s="37" t="s">
        <v>17</v>
      </c>
      <c r="F355" s="37" t="s">
        <v>25</v>
      </c>
      <c r="G355" s="7" t="s">
        <v>902</v>
      </c>
      <c r="H355" s="12" t="s">
        <v>903</v>
      </c>
      <c r="I355" s="124" t="s">
        <v>902</v>
      </c>
      <c r="J355" s="7">
        <v>52</v>
      </c>
      <c r="K355" s="124" t="s">
        <v>1709</v>
      </c>
      <c r="L355" s="20" t="s">
        <v>904</v>
      </c>
      <c r="M355" s="16">
        <v>92.7860107421875</v>
      </c>
      <c r="N355" s="16">
        <v>23.754047393798828</v>
      </c>
      <c r="O355" s="16">
        <v>390.89391920301648</v>
      </c>
      <c r="P355" s="16">
        <v>18.914761967129177</v>
      </c>
      <c r="Q355" s="147">
        <v>0.23513800319698122</v>
      </c>
      <c r="R355" s="147">
        <v>0.28331010788679123</v>
      </c>
      <c r="S355" s="10">
        <v>0.86188968820765322</v>
      </c>
      <c r="T355" s="10">
        <v>12.694192302793637</v>
      </c>
      <c r="U355" s="16">
        <v>3.7369424959700422E-2</v>
      </c>
      <c r="V355" s="16">
        <v>7.4821595020752696</v>
      </c>
      <c r="W355" s="10">
        <v>-5.2120328007183669</v>
      </c>
      <c r="X355" s="10" t="s">
        <v>902</v>
      </c>
      <c r="Y355" s="10">
        <v>3.5</v>
      </c>
      <c r="Z355" s="10">
        <v>4.8</v>
      </c>
      <c r="AA355" s="20" t="s">
        <v>324</v>
      </c>
      <c r="AB355" s="7">
        <v>1488</v>
      </c>
      <c r="AC355" s="7">
        <v>360.1</v>
      </c>
      <c r="AD355" s="7">
        <v>0.24200268817204301</v>
      </c>
      <c r="AE355" s="7" t="s">
        <v>193</v>
      </c>
      <c r="AF355" s="38" t="s">
        <v>8</v>
      </c>
      <c r="AG355" s="34" t="s">
        <v>927</v>
      </c>
      <c r="AH355" s="7" t="s">
        <v>1242</v>
      </c>
    </row>
    <row r="356" spans="1:34" s="7" customFormat="1" ht="16.5" customHeight="1">
      <c r="A356" s="7">
        <v>2012</v>
      </c>
      <c r="B356" s="12">
        <v>41102</v>
      </c>
      <c r="C356" s="12" t="s">
        <v>22</v>
      </c>
      <c r="D356" s="37" t="s">
        <v>329</v>
      </c>
      <c r="E356" s="37" t="s">
        <v>17</v>
      </c>
      <c r="F356" s="37" t="s">
        <v>25</v>
      </c>
      <c r="G356" s="7" t="s">
        <v>902</v>
      </c>
      <c r="H356" s="12" t="s">
        <v>903</v>
      </c>
      <c r="I356" s="124" t="s">
        <v>902</v>
      </c>
      <c r="J356" s="7">
        <v>34</v>
      </c>
      <c r="K356" s="124" t="s">
        <v>1710</v>
      </c>
      <c r="L356" s="30" t="s">
        <v>77</v>
      </c>
      <c r="M356" s="16">
        <v>92.467731899685333</v>
      </c>
      <c r="N356" s="16">
        <v>19.904827647738987</v>
      </c>
      <c r="O356" s="16">
        <v>381.10262044270831</v>
      </c>
      <c r="P356" s="16">
        <v>16.779429011874729</v>
      </c>
      <c r="Q356" s="147">
        <v>36.391263961791992</v>
      </c>
      <c r="R356" s="147">
        <v>0.84238433837890625</v>
      </c>
      <c r="S356" s="10">
        <v>0.86188968820765322</v>
      </c>
      <c r="T356" s="10">
        <v>7.3447761588656508</v>
      </c>
      <c r="U356" s="16">
        <v>2.0674719283947388E-2</v>
      </c>
      <c r="V356" s="16">
        <v>7.4821595020752696</v>
      </c>
      <c r="W356" s="10">
        <v>0.13738334320961876</v>
      </c>
      <c r="X356" s="10" t="s">
        <v>902</v>
      </c>
      <c r="Y356" s="10">
        <v>3.5</v>
      </c>
      <c r="Z356" s="10">
        <v>4.8</v>
      </c>
      <c r="AA356" s="20" t="s">
        <v>340</v>
      </c>
      <c r="AB356" s="7">
        <v>354</v>
      </c>
      <c r="AC356" s="7">
        <v>319.8</v>
      </c>
      <c r="AD356" s="7">
        <v>0.90338983050847466</v>
      </c>
      <c r="AE356" s="7" t="s">
        <v>4</v>
      </c>
      <c r="AF356" s="38" t="s">
        <v>8</v>
      </c>
      <c r="AG356" s="11" t="s">
        <v>0</v>
      </c>
      <c r="AH356" s="7" t="s">
        <v>1242</v>
      </c>
    </row>
    <row r="357" spans="1:34" s="7" customFormat="1" ht="16.5" customHeight="1">
      <c r="A357" s="7">
        <v>2012</v>
      </c>
      <c r="B357" s="12">
        <v>41112</v>
      </c>
      <c r="C357" s="12" t="s">
        <v>22</v>
      </c>
      <c r="D357" s="37" t="s">
        <v>329</v>
      </c>
      <c r="E357" s="37" t="s">
        <v>17</v>
      </c>
      <c r="F357" s="37" t="s">
        <v>25</v>
      </c>
      <c r="G357" s="7" t="s">
        <v>902</v>
      </c>
      <c r="H357" s="12" t="s">
        <v>903</v>
      </c>
      <c r="I357" s="124" t="s">
        <v>902</v>
      </c>
      <c r="J357" s="7">
        <v>1</v>
      </c>
      <c r="K357" s="124" t="s">
        <v>1711</v>
      </c>
      <c r="L357" s="30" t="s">
        <v>906</v>
      </c>
      <c r="M357" s="16">
        <v>92.859328420538645</v>
      </c>
      <c r="N357" s="16">
        <v>18.789685701069079</v>
      </c>
      <c r="O357" s="16">
        <v>388.94837389494245</v>
      </c>
      <c r="P357" s="16">
        <v>16.621380655389082</v>
      </c>
      <c r="Q357" s="147">
        <v>69.2895941483347</v>
      </c>
      <c r="R357" s="147">
        <v>7.1059646606445313</v>
      </c>
      <c r="S357" s="10">
        <v>0.86188968820765322</v>
      </c>
      <c r="T357" s="10">
        <v>7.4144079051932978</v>
      </c>
      <c r="U357" s="16">
        <v>2.5980624817965325E-2</v>
      </c>
      <c r="V357" s="16">
        <v>7.4821595020752696</v>
      </c>
      <c r="W357" s="10">
        <v>6.7751596881971743E-2</v>
      </c>
      <c r="X357" s="10" t="s">
        <v>902</v>
      </c>
      <c r="Y357" s="10">
        <v>3.5</v>
      </c>
      <c r="Z357" s="10">
        <v>4.8</v>
      </c>
      <c r="AA357" s="20" t="s">
        <v>353</v>
      </c>
      <c r="AB357" s="7">
        <v>1435.5</v>
      </c>
      <c r="AC357" s="7">
        <v>249</v>
      </c>
      <c r="AD357" s="7">
        <v>0.17345872518286312</v>
      </c>
      <c r="AE357" s="7" t="s">
        <v>193</v>
      </c>
      <c r="AF357" s="38" t="s">
        <v>8</v>
      </c>
      <c r="AG357" s="11" t="s">
        <v>864</v>
      </c>
      <c r="AH357" s="7" t="s">
        <v>1242</v>
      </c>
    </row>
    <row r="358" spans="1:34" s="7" customFormat="1" ht="16.5" customHeight="1">
      <c r="A358" s="7">
        <v>2012</v>
      </c>
      <c r="B358" s="12">
        <v>41102</v>
      </c>
      <c r="C358" s="12" t="s">
        <v>22</v>
      </c>
      <c r="D358" s="37" t="s">
        <v>329</v>
      </c>
      <c r="E358" s="37" t="s">
        <v>17</v>
      </c>
      <c r="F358" s="37" t="s">
        <v>25</v>
      </c>
      <c r="G358" s="7" t="s">
        <v>902</v>
      </c>
      <c r="H358" s="12" t="s">
        <v>903</v>
      </c>
      <c r="I358" s="124" t="s">
        <v>902</v>
      </c>
      <c r="J358" s="7">
        <v>35</v>
      </c>
      <c r="K358" s="124" t="s">
        <v>1712</v>
      </c>
      <c r="L358" s="30" t="s">
        <v>75</v>
      </c>
      <c r="M358" s="16">
        <v>92.460490176552227</v>
      </c>
      <c r="N358" s="16">
        <v>20.833352239508379</v>
      </c>
      <c r="O358" s="16">
        <v>384.22907779091281</v>
      </c>
      <c r="P358" s="16">
        <v>16.940133345754521</v>
      </c>
      <c r="Q358" s="147">
        <v>74.290701615182982</v>
      </c>
      <c r="R358" s="147">
        <v>3.7086257934570312</v>
      </c>
      <c r="S358" s="10">
        <v>0.86188968820765322</v>
      </c>
      <c r="T358" s="10">
        <v>4.1461074982801973</v>
      </c>
      <c r="U358" s="16">
        <v>2.6680186756870203E-2</v>
      </c>
      <c r="V358" s="16">
        <v>7.4821595020752696</v>
      </c>
      <c r="W358" s="10">
        <v>3.3360520037950723</v>
      </c>
      <c r="X358" s="10" t="s">
        <v>902</v>
      </c>
      <c r="Y358" s="10">
        <v>3.5</v>
      </c>
      <c r="Z358" s="10">
        <v>4.8</v>
      </c>
      <c r="AA358" s="20" t="s">
        <v>336</v>
      </c>
      <c r="AB358" s="7">
        <v>383.3</v>
      </c>
      <c r="AC358" s="7">
        <v>363.8</v>
      </c>
      <c r="AD358" s="7">
        <v>0.94912601095747462</v>
      </c>
      <c r="AE358" s="7" t="s">
        <v>4</v>
      </c>
      <c r="AF358" s="38" t="s">
        <v>8</v>
      </c>
      <c r="AG358" s="11" t="s">
        <v>0</v>
      </c>
      <c r="AH358" s="7" t="s">
        <v>1242</v>
      </c>
    </row>
    <row r="359" spans="1:34" s="7" customFormat="1" ht="16.5" customHeight="1">
      <c r="A359" s="7">
        <v>2012</v>
      </c>
      <c r="B359" s="12">
        <v>41102</v>
      </c>
      <c r="C359" s="12" t="s">
        <v>22</v>
      </c>
      <c r="D359" s="37" t="s">
        <v>329</v>
      </c>
      <c r="E359" s="37" t="s">
        <v>17</v>
      </c>
      <c r="F359" s="37" t="s">
        <v>25</v>
      </c>
      <c r="G359" s="7" t="s">
        <v>902</v>
      </c>
      <c r="H359" s="12" t="s">
        <v>903</v>
      </c>
      <c r="I359" s="124" t="s">
        <v>902</v>
      </c>
      <c r="J359" s="7">
        <v>36</v>
      </c>
      <c r="K359" s="124" t="s">
        <v>1651</v>
      </c>
      <c r="L359" s="30" t="s">
        <v>75</v>
      </c>
      <c r="M359" s="16">
        <v>92.459665510389542</v>
      </c>
      <c r="N359" s="16">
        <v>20.803553475273979</v>
      </c>
      <c r="O359" s="16">
        <v>384.48148939344617</v>
      </c>
      <c r="P359" s="16">
        <v>17.185905562506782</v>
      </c>
      <c r="Q359" s="147">
        <v>76.721386803521057</v>
      </c>
      <c r="R359" s="147">
        <v>3.2216262817382813</v>
      </c>
      <c r="S359" s="10">
        <v>0.86188968820765322</v>
      </c>
      <c r="T359" s="10">
        <v>2.2902125456499403</v>
      </c>
      <c r="U359" s="16">
        <v>2.3362760081256751E-2</v>
      </c>
      <c r="V359" s="16">
        <v>7.4821595020752696</v>
      </c>
      <c r="W359" s="10">
        <v>5.1919469564253298</v>
      </c>
      <c r="X359" s="10" t="s">
        <v>902</v>
      </c>
      <c r="Y359" s="10">
        <v>3.5</v>
      </c>
      <c r="Z359" s="10">
        <v>4.8</v>
      </c>
      <c r="AA359" s="20" t="s">
        <v>337</v>
      </c>
      <c r="AB359" s="7">
        <v>397.9</v>
      </c>
      <c r="AC359" s="7">
        <v>363.8</v>
      </c>
      <c r="AD359" s="7">
        <v>0.91430007539582814</v>
      </c>
      <c r="AE359" s="7" t="s">
        <v>4</v>
      </c>
      <c r="AF359" s="38" t="s">
        <v>8</v>
      </c>
      <c r="AG359" s="11" t="s">
        <v>0</v>
      </c>
      <c r="AH359" s="7" t="s">
        <v>1242</v>
      </c>
    </row>
    <row r="360" spans="1:34" s="7" customFormat="1" ht="16.5" customHeight="1">
      <c r="A360" s="7">
        <v>2012</v>
      </c>
      <c r="B360" s="12">
        <v>41112</v>
      </c>
      <c r="C360" s="12" t="s">
        <v>22</v>
      </c>
      <c r="D360" s="37" t="s">
        <v>329</v>
      </c>
      <c r="E360" s="37" t="s">
        <v>17</v>
      </c>
      <c r="F360" s="37" t="s">
        <v>25</v>
      </c>
      <c r="G360" s="7" t="s">
        <v>902</v>
      </c>
      <c r="H360" s="12" t="s">
        <v>903</v>
      </c>
      <c r="I360" s="124" t="s">
        <v>902</v>
      </c>
      <c r="J360" s="7">
        <v>2</v>
      </c>
      <c r="K360" s="124" t="s">
        <v>1713</v>
      </c>
      <c r="L360" s="30" t="s">
        <v>905</v>
      </c>
      <c r="M360" s="16">
        <v>92.868505689832901</v>
      </c>
      <c r="N360" s="16">
        <v>19.272582795884873</v>
      </c>
      <c r="O360" s="16">
        <v>382.06874254014758</v>
      </c>
      <c r="P360" s="16">
        <v>16.747027397155762</v>
      </c>
      <c r="Q360" s="147">
        <v>92.235098944769959</v>
      </c>
      <c r="R360" s="147">
        <v>11.619430541992188</v>
      </c>
      <c r="S360" s="10">
        <v>0.86188968820765322</v>
      </c>
      <c r="T360" s="10">
        <v>3.9624313820425803</v>
      </c>
      <c r="U360" s="16">
        <v>2.9370422087709725E-2</v>
      </c>
      <c r="V360" s="16">
        <v>7.4821595020752696</v>
      </c>
      <c r="W360" s="10">
        <v>3.5197281200326893</v>
      </c>
      <c r="X360" s="10" t="s">
        <v>902</v>
      </c>
      <c r="Y360" s="10">
        <v>3.5</v>
      </c>
      <c r="Z360" s="10">
        <v>4.8</v>
      </c>
      <c r="AA360" s="20" t="s">
        <v>350</v>
      </c>
      <c r="AB360" s="7">
        <v>1469.7</v>
      </c>
      <c r="AC360" s="7">
        <v>217.3</v>
      </c>
      <c r="AD360" s="7">
        <v>0.14785330339525074</v>
      </c>
      <c r="AE360" s="7" t="s">
        <v>193</v>
      </c>
      <c r="AF360" s="38" t="s">
        <v>8</v>
      </c>
      <c r="AG360" s="11" t="s">
        <v>864</v>
      </c>
      <c r="AH360" s="7" t="s">
        <v>1242</v>
      </c>
    </row>
    <row r="361" spans="1:34" s="7" customFormat="1" ht="16.5" customHeight="1">
      <c r="A361" s="7">
        <v>2012</v>
      </c>
      <c r="B361" s="12">
        <v>41112</v>
      </c>
      <c r="C361" s="12" t="s">
        <v>22</v>
      </c>
      <c r="D361" s="37" t="s">
        <v>329</v>
      </c>
      <c r="E361" s="37" t="s">
        <v>17</v>
      </c>
      <c r="F361" s="37" t="s">
        <v>25</v>
      </c>
      <c r="G361" s="7" t="s">
        <v>902</v>
      </c>
      <c r="H361" s="12" t="s">
        <v>903</v>
      </c>
      <c r="I361" s="124" t="s">
        <v>902</v>
      </c>
      <c r="J361" s="7">
        <v>3</v>
      </c>
      <c r="K361" s="124" t="s">
        <v>1714</v>
      </c>
      <c r="L361" s="30" t="s">
        <v>906</v>
      </c>
      <c r="M361" s="16">
        <v>92.861790127224396</v>
      </c>
      <c r="N361" s="16">
        <v>19.188662846883137</v>
      </c>
      <c r="O361" s="16">
        <v>389.19487847222223</v>
      </c>
      <c r="P361" s="16">
        <v>17.894945886400009</v>
      </c>
      <c r="Q361" s="147">
        <v>98.658260345458984</v>
      </c>
      <c r="R361" s="147">
        <v>2.2814407348632813</v>
      </c>
      <c r="S361" s="10">
        <v>0.86188968820765322</v>
      </c>
      <c r="T361" s="10">
        <v>6.6177002911033727</v>
      </c>
      <c r="U361" s="16">
        <v>1.8338819529372965E-2</v>
      </c>
      <c r="V361" s="16">
        <v>7.4821595020752696</v>
      </c>
      <c r="W361" s="10">
        <v>0.86445921097189693</v>
      </c>
      <c r="X361" s="10" t="s">
        <v>902</v>
      </c>
      <c r="Y361" s="10">
        <v>3.5</v>
      </c>
      <c r="Z361" s="10">
        <v>4.8</v>
      </c>
      <c r="AA361" s="20" t="s">
        <v>352</v>
      </c>
      <c r="AB361" s="7">
        <v>1486.8</v>
      </c>
      <c r="AC361" s="7">
        <v>236.8</v>
      </c>
      <c r="AD361" s="7">
        <v>0.15926822706483726</v>
      </c>
      <c r="AE361" s="7" t="s">
        <v>193</v>
      </c>
      <c r="AF361" s="38" t="s">
        <v>8</v>
      </c>
      <c r="AG361" s="11" t="s">
        <v>864</v>
      </c>
      <c r="AH361" s="7" t="s">
        <v>1242</v>
      </c>
    </row>
    <row r="362" spans="1:34" s="7" customFormat="1" ht="16.5" customHeight="1">
      <c r="A362" s="7">
        <v>2012</v>
      </c>
      <c r="B362" s="12">
        <v>41102</v>
      </c>
      <c r="C362" s="12" t="s">
        <v>22</v>
      </c>
      <c r="D362" s="37" t="s">
        <v>329</v>
      </c>
      <c r="E362" s="37" t="s">
        <v>17</v>
      </c>
      <c r="F362" s="37" t="s">
        <v>25</v>
      </c>
      <c r="G362" s="7" t="s">
        <v>902</v>
      </c>
      <c r="H362" s="12" t="s">
        <v>903</v>
      </c>
      <c r="I362" s="124" t="s">
        <v>902</v>
      </c>
      <c r="J362" s="7">
        <v>37</v>
      </c>
      <c r="K362" s="124" t="s">
        <v>1715</v>
      </c>
      <c r="L362" s="30" t="s">
        <v>75</v>
      </c>
      <c r="M362" s="16">
        <v>92.460390726725265</v>
      </c>
      <c r="N362" s="16">
        <v>21.015081405639648</v>
      </c>
      <c r="O362" s="16">
        <v>376.86138916015625</v>
      </c>
      <c r="P362" s="16">
        <v>16.158322387271458</v>
      </c>
      <c r="Q362" s="147">
        <v>100.65555784437392</v>
      </c>
      <c r="R362" s="147">
        <v>3.733642578125</v>
      </c>
      <c r="S362" s="10">
        <v>0.86188968820765322</v>
      </c>
      <c r="T362" s="10">
        <v>2.1828975649729405</v>
      </c>
      <c r="U362" s="16">
        <v>2.9005767637239031E-2</v>
      </c>
      <c r="V362" s="16">
        <v>7.4821595020752696</v>
      </c>
      <c r="W362" s="10">
        <v>5.2992619371023295</v>
      </c>
      <c r="X362" s="10" t="s">
        <v>902</v>
      </c>
      <c r="Y362" s="10">
        <v>3.5</v>
      </c>
      <c r="Z362" s="10">
        <v>4.8</v>
      </c>
      <c r="AA362" s="20" t="s">
        <v>338</v>
      </c>
      <c r="AB362" s="7">
        <v>415</v>
      </c>
      <c r="AC362" s="7">
        <v>390.6</v>
      </c>
      <c r="AD362" s="7">
        <v>0.94120481927710853</v>
      </c>
      <c r="AE362" s="7" t="s">
        <v>4</v>
      </c>
      <c r="AF362" s="38" t="s">
        <v>8</v>
      </c>
      <c r="AG362" s="11" t="s">
        <v>0</v>
      </c>
      <c r="AH362" s="7" t="s">
        <v>1242</v>
      </c>
    </row>
    <row r="363" spans="1:34" s="7" customFormat="1" ht="16.5" customHeight="1">
      <c r="A363" s="7">
        <v>2012</v>
      </c>
      <c r="B363" s="12">
        <v>41102</v>
      </c>
      <c r="C363" s="12" t="s">
        <v>22</v>
      </c>
      <c r="D363" s="37" t="s">
        <v>329</v>
      </c>
      <c r="E363" s="37" t="s">
        <v>17</v>
      </c>
      <c r="F363" s="37" t="s">
        <v>25</v>
      </c>
      <c r="G363" s="7" t="s">
        <v>902</v>
      </c>
      <c r="H363" s="12" t="s">
        <v>903</v>
      </c>
      <c r="I363" s="124" t="s">
        <v>902</v>
      </c>
      <c r="J363" s="7">
        <v>38</v>
      </c>
      <c r="K363" s="124" t="s">
        <v>873</v>
      </c>
      <c r="L363" s="30" t="s">
        <v>74</v>
      </c>
      <c r="M363" s="16">
        <v>92.459842046101883</v>
      </c>
      <c r="N363" s="16">
        <v>20.894224643707275</v>
      </c>
      <c r="O363" s="16">
        <v>374.01511637369794</v>
      </c>
      <c r="P363" s="16">
        <v>16.488887786865234</v>
      </c>
      <c r="Q363" s="147">
        <v>131.92482757568359</v>
      </c>
      <c r="R363" s="147">
        <v>1.194580078125</v>
      </c>
      <c r="S363" s="10">
        <v>0.86188968820765322</v>
      </c>
      <c r="T363" s="10">
        <v>-0.25009670295262831</v>
      </c>
      <c r="U363" s="16">
        <v>2.7933139245486953E-2</v>
      </c>
      <c r="V363" s="16">
        <v>7.4821595020752696</v>
      </c>
      <c r="W363" s="10">
        <v>7.7322562050278982</v>
      </c>
      <c r="X363" s="10" t="s">
        <v>902</v>
      </c>
      <c r="Y363" s="10">
        <v>3.5</v>
      </c>
      <c r="Z363" s="10">
        <v>4.8</v>
      </c>
      <c r="AA363" s="20" t="s">
        <v>872</v>
      </c>
      <c r="AB363" s="7">
        <v>384.5</v>
      </c>
      <c r="AC363" s="7">
        <v>368.7</v>
      </c>
      <c r="AD363" s="7">
        <v>0.95890767230169049</v>
      </c>
      <c r="AE363" s="7" t="s">
        <v>4</v>
      </c>
      <c r="AF363" s="38" t="s">
        <v>8</v>
      </c>
      <c r="AG363" s="11" t="s">
        <v>0</v>
      </c>
      <c r="AH363" s="7" t="s">
        <v>1360</v>
      </c>
    </row>
    <row r="364" spans="1:34" s="7" customFormat="1" ht="16.5" customHeight="1">
      <c r="A364" s="7">
        <v>2012</v>
      </c>
      <c r="B364" s="12">
        <v>41102</v>
      </c>
      <c r="C364" s="12" t="s">
        <v>22</v>
      </c>
      <c r="D364" s="37" t="s">
        <v>329</v>
      </c>
      <c r="E364" s="37" t="s">
        <v>17</v>
      </c>
      <c r="F364" s="37" t="s">
        <v>25</v>
      </c>
      <c r="G364" s="7" t="s">
        <v>902</v>
      </c>
      <c r="H364" s="12" t="s">
        <v>903</v>
      </c>
      <c r="I364" s="124" t="s">
        <v>902</v>
      </c>
      <c r="J364" s="7">
        <v>39</v>
      </c>
      <c r="K364" s="124" t="s">
        <v>874</v>
      </c>
      <c r="L364" s="30" t="s">
        <v>74</v>
      </c>
      <c r="M364" s="16">
        <v>92.458781074075134</v>
      </c>
      <c r="N364" s="16">
        <v>20.869768703685086</v>
      </c>
      <c r="O364" s="16">
        <v>375.99051441865811</v>
      </c>
      <c r="P364" s="16">
        <v>16.021034016328699</v>
      </c>
      <c r="Q364" s="147">
        <v>144.23847692153032</v>
      </c>
      <c r="R364" s="147">
        <v>3.8235626220703125</v>
      </c>
      <c r="S364" s="10">
        <v>0.86188968820765322</v>
      </c>
      <c r="T364" s="10">
        <v>-1.1597681071322155</v>
      </c>
      <c r="U364" s="16">
        <v>3.704902120665008E-2</v>
      </c>
      <c r="V364" s="16">
        <v>7.4821595020752696</v>
      </c>
      <c r="W364" s="10">
        <v>8.6419276092074853</v>
      </c>
      <c r="X364" s="10" t="s">
        <v>902</v>
      </c>
      <c r="Y364" s="10">
        <v>3.5</v>
      </c>
      <c r="Z364" s="10">
        <v>4.8</v>
      </c>
      <c r="AA364" s="20" t="s">
        <v>760</v>
      </c>
      <c r="AB364" s="7">
        <v>411.4</v>
      </c>
      <c r="AC364" s="7">
        <v>383.3</v>
      </c>
      <c r="AD364" s="7">
        <v>0.93169664560038901</v>
      </c>
      <c r="AE364" s="7" t="s">
        <v>4</v>
      </c>
      <c r="AF364" s="38" t="s">
        <v>8</v>
      </c>
      <c r="AG364" s="11" t="s">
        <v>0</v>
      </c>
      <c r="AH364" s="7" t="s">
        <v>1361</v>
      </c>
    </row>
    <row r="365" spans="1:34" s="7" customFormat="1" ht="16.5" customHeight="1">
      <c r="A365" s="7">
        <v>2012</v>
      </c>
      <c r="B365" s="12">
        <v>41112</v>
      </c>
      <c r="C365" s="12" t="s">
        <v>22</v>
      </c>
      <c r="D365" s="37" t="s">
        <v>329</v>
      </c>
      <c r="E365" s="37" t="s">
        <v>17</v>
      </c>
      <c r="F365" s="37" t="s">
        <v>25</v>
      </c>
      <c r="G365" s="7" t="s">
        <v>902</v>
      </c>
      <c r="H365" s="12" t="s">
        <v>903</v>
      </c>
      <c r="I365" s="124" t="s">
        <v>902</v>
      </c>
      <c r="J365" s="7">
        <v>4</v>
      </c>
      <c r="K365" s="124" t="s">
        <v>1716</v>
      </c>
      <c r="L365" s="30" t="s">
        <v>905</v>
      </c>
      <c r="M365" s="16">
        <v>92.875724792480469</v>
      </c>
      <c r="N365" s="16">
        <v>19.423810640970867</v>
      </c>
      <c r="O365" s="16">
        <v>392.95355055067273</v>
      </c>
      <c r="P365" s="16">
        <v>17.79624801211887</v>
      </c>
      <c r="Q365" s="147">
        <v>149.3479521009657</v>
      </c>
      <c r="R365" s="147">
        <v>19.346298217773438</v>
      </c>
      <c r="S365" s="10">
        <v>0.86188968820765322</v>
      </c>
      <c r="T365" s="10">
        <v>4.5994500613048475</v>
      </c>
      <c r="U365" s="16">
        <v>1.5718077235423622E-2</v>
      </c>
      <c r="V365" s="16">
        <v>7.4821595020752696</v>
      </c>
      <c r="W365" s="10">
        <v>2.8827094407704221</v>
      </c>
      <c r="X365" s="10" t="s">
        <v>902</v>
      </c>
      <c r="Y365" s="10">
        <v>3.5</v>
      </c>
      <c r="Z365" s="10">
        <v>4.8</v>
      </c>
      <c r="AA365" s="20" t="s">
        <v>349</v>
      </c>
      <c r="AB365" s="7">
        <v>1460</v>
      </c>
      <c r="AC365" s="7">
        <v>212.4</v>
      </c>
      <c r="AD365" s="7">
        <v>0.14547945205479451</v>
      </c>
      <c r="AE365" s="7" t="s">
        <v>193</v>
      </c>
      <c r="AF365" s="38" t="s">
        <v>8</v>
      </c>
      <c r="AG365" s="11" t="s">
        <v>864</v>
      </c>
      <c r="AH365" s="7" t="s">
        <v>1242</v>
      </c>
    </row>
    <row r="366" spans="1:34" s="7" customFormat="1" ht="16.5" customHeight="1">
      <c r="A366" s="7">
        <v>2012</v>
      </c>
      <c r="B366" s="12">
        <v>41102</v>
      </c>
      <c r="C366" s="12" t="s">
        <v>22</v>
      </c>
      <c r="D366" s="37" t="s">
        <v>329</v>
      </c>
      <c r="E366" s="37" t="s">
        <v>17</v>
      </c>
      <c r="F366" s="37" t="s">
        <v>25</v>
      </c>
      <c r="G366" s="7" t="s">
        <v>902</v>
      </c>
      <c r="H366" s="12" t="s">
        <v>903</v>
      </c>
      <c r="I366" s="124" t="s">
        <v>902</v>
      </c>
      <c r="J366" s="7">
        <v>40</v>
      </c>
      <c r="K366" s="124" t="s">
        <v>875</v>
      </c>
      <c r="L366" s="30" t="s">
        <v>74</v>
      </c>
      <c r="M366" s="16">
        <v>92.461426584344167</v>
      </c>
      <c r="N366" s="16">
        <v>21.147351515920537</v>
      </c>
      <c r="O366" s="16">
        <v>374.01512868780839</v>
      </c>
      <c r="P366" s="16">
        <v>16.369925448769017</v>
      </c>
      <c r="Q366" s="147">
        <v>163.10354533948396</v>
      </c>
      <c r="R366" s="147">
        <v>4.7626495361328125</v>
      </c>
      <c r="S366" s="10">
        <v>0.86188968820765322</v>
      </c>
      <c r="T366" s="10">
        <v>-1.9107915336061865</v>
      </c>
      <c r="U366" s="16">
        <v>3.7812565063833709E-2</v>
      </c>
      <c r="V366" s="16">
        <v>7.4821595020752696</v>
      </c>
      <c r="W366" s="10">
        <v>9.3929510356814561</v>
      </c>
      <c r="X366" s="10" t="s">
        <v>902</v>
      </c>
      <c r="Y366" s="10">
        <v>3.5</v>
      </c>
      <c r="Z366" s="10">
        <v>4.8</v>
      </c>
      <c r="AA366" s="20" t="s">
        <v>761</v>
      </c>
      <c r="AB366" s="7">
        <v>441.9</v>
      </c>
      <c r="AC366" s="7">
        <v>402.8</v>
      </c>
      <c r="AD366" s="7">
        <v>0.91151844308667129</v>
      </c>
      <c r="AE366" s="7" t="s">
        <v>4</v>
      </c>
      <c r="AF366" s="38" t="s">
        <v>8</v>
      </c>
      <c r="AG366" s="11" t="s">
        <v>0</v>
      </c>
      <c r="AH366" s="7" t="s">
        <v>1362</v>
      </c>
    </row>
    <row r="367" spans="1:34" s="7" customFormat="1" ht="16.5" customHeight="1">
      <c r="A367" s="7">
        <v>2012</v>
      </c>
      <c r="B367" s="12">
        <v>41112</v>
      </c>
      <c r="C367" s="12" t="s">
        <v>22</v>
      </c>
      <c r="D367" s="37" t="s">
        <v>329</v>
      </c>
      <c r="E367" s="37" t="s">
        <v>17</v>
      </c>
      <c r="F367" s="37" t="s">
        <v>25</v>
      </c>
      <c r="G367" s="7" t="s">
        <v>902</v>
      </c>
      <c r="H367" s="12" t="s">
        <v>903</v>
      </c>
      <c r="I367" s="124" t="s">
        <v>902</v>
      </c>
      <c r="J367" s="7">
        <v>5</v>
      </c>
      <c r="K367" s="124" t="s">
        <v>1717</v>
      </c>
      <c r="L367" s="30" t="s">
        <v>905</v>
      </c>
      <c r="M367" s="16">
        <v>92.862499237060547</v>
      </c>
      <c r="N367" s="16">
        <v>19.454658402336968</v>
      </c>
      <c r="O367" s="16">
        <v>383.55791897243921</v>
      </c>
      <c r="P367" s="16">
        <v>18.3142917421129</v>
      </c>
      <c r="Q367" s="147">
        <v>166.20837910970053</v>
      </c>
      <c r="R367" s="147">
        <v>9.9957122802734375</v>
      </c>
      <c r="S367" s="10">
        <v>0.86188968820765322</v>
      </c>
      <c r="T367" s="10">
        <v>5.6640654232005705</v>
      </c>
      <c r="U367" s="16">
        <v>1.3503153380717779E-2</v>
      </c>
      <c r="V367" s="16">
        <v>7.4821595020752696</v>
      </c>
      <c r="W367" s="10">
        <v>1.8180940788746991</v>
      </c>
      <c r="X367" s="10" t="s">
        <v>902</v>
      </c>
      <c r="Y367" s="10">
        <v>3.5</v>
      </c>
      <c r="Z367" s="10">
        <v>4.8</v>
      </c>
      <c r="AA367" s="20" t="s">
        <v>351</v>
      </c>
      <c r="AB367" s="7">
        <v>1486.8</v>
      </c>
      <c r="AC367" s="7">
        <v>227.1</v>
      </c>
      <c r="AD367" s="7">
        <v>0.15274414850686038</v>
      </c>
      <c r="AE367" s="7" t="s">
        <v>193</v>
      </c>
      <c r="AF367" s="38" t="s">
        <v>8</v>
      </c>
      <c r="AG367" s="11" t="s">
        <v>864</v>
      </c>
      <c r="AH367" s="7" t="s">
        <v>1242</v>
      </c>
    </row>
    <row r="368" spans="1:34" s="7" customFormat="1" ht="16.5" customHeight="1">
      <c r="A368" s="7">
        <v>2012</v>
      </c>
      <c r="B368" s="12">
        <v>41102</v>
      </c>
      <c r="C368" s="12" t="s">
        <v>22</v>
      </c>
      <c r="D368" s="37" t="s">
        <v>329</v>
      </c>
      <c r="E368" s="37" t="s">
        <v>17</v>
      </c>
      <c r="F368" s="37" t="s">
        <v>25</v>
      </c>
      <c r="G368" s="7" t="s">
        <v>902</v>
      </c>
      <c r="H368" s="12" t="s">
        <v>903</v>
      </c>
      <c r="I368" s="124" t="s">
        <v>902</v>
      </c>
      <c r="J368" s="7">
        <v>41</v>
      </c>
      <c r="K368" s="124" t="s">
        <v>1718</v>
      </c>
      <c r="L368" s="30" t="s">
        <v>74</v>
      </c>
      <c r="M368" s="22">
        <v>92.461834377712677</v>
      </c>
      <c r="N368" s="22">
        <v>21.386449178059895</v>
      </c>
      <c r="O368" s="22">
        <v>361.2746395534939</v>
      </c>
      <c r="P368" s="22">
        <v>17.06916946834988</v>
      </c>
      <c r="Q368" s="148">
        <v>195.44726647271051</v>
      </c>
      <c r="R368" s="148">
        <v>11.292190551757813</v>
      </c>
      <c r="S368" s="10">
        <v>0.86188968820765322</v>
      </c>
      <c r="T368" s="10">
        <v>-2.1358458799886022</v>
      </c>
      <c r="U368" s="22">
        <v>3.2500272933912722E-2</v>
      </c>
      <c r="V368" s="16">
        <v>7.4821595020752696</v>
      </c>
      <c r="W368" s="10">
        <v>9.6180053820638722</v>
      </c>
      <c r="X368" s="10" t="s">
        <v>902</v>
      </c>
      <c r="Y368" s="10">
        <v>3.5</v>
      </c>
      <c r="Z368" s="10">
        <v>4.8</v>
      </c>
      <c r="AA368" s="20" t="s">
        <v>335</v>
      </c>
      <c r="AB368" s="7">
        <v>455.3</v>
      </c>
      <c r="AC368" s="7">
        <v>439.5</v>
      </c>
      <c r="AD368" s="7">
        <v>0.96529760597408298</v>
      </c>
      <c r="AE368" s="7" t="s">
        <v>4</v>
      </c>
      <c r="AF368" s="38" t="s">
        <v>8</v>
      </c>
      <c r="AG368" s="11" t="s">
        <v>0</v>
      </c>
      <c r="AH368" s="7" t="s">
        <v>1242</v>
      </c>
    </row>
    <row r="369" spans="1:34" s="7" customFormat="1" ht="16.5" customHeight="1">
      <c r="A369" s="7">
        <v>2012</v>
      </c>
      <c r="B369" s="12">
        <v>41112</v>
      </c>
      <c r="C369" s="12" t="s">
        <v>22</v>
      </c>
      <c r="D369" s="37" t="s">
        <v>329</v>
      </c>
      <c r="E369" s="37" t="s">
        <v>17</v>
      </c>
      <c r="F369" s="37" t="s">
        <v>25</v>
      </c>
      <c r="G369" s="7" t="s">
        <v>902</v>
      </c>
      <c r="H369" s="12" t="s">
        <v>903</v>
      </c>
      <c r="I369" s="124" t="s">
        <v>902</v>
      </c>
      <c r="J369" s="7">
        <v>6</v>
      </c>
      <c r="K369" s="124" t="s">
        <v>866</v>
      </c>
      <c r="L369" s="30" t="s">
        <v>77</v>
      </c>
      <c r="M369" s="16">
        <v>92.884633636474604</v>
      </c>
      <c r="N369" s="16">
        <v>19.036413192749023</v>
      </c>
      <c r="O369" s="16">
        <v>380.89864501953127</v>
      </c>
      <c r="P369" s="16">
        <v>16.09409942626953</v>
      </c>
      <c r="Q369" s="147">
        <v>204.47734680175782</v>
      </c>
      <c r="R369" s="147">
        <v>0.82611083984375</v>
      </c>
      <c r="S369" s="10">
        <v>0.86188968820765322</v>
      </c>
      <c r="T369" s="10">
        <v>1.7786195292654818</v>
      </c>
      <c r="U369" s="16">
        <v>3.4028411634040599E-2</v>
      </c>
      <c r="V369" s="16">
        <v>7.4821595020752696</v>
      </c>
      <c r="W369" s="10">
        <v>5.7035399728097875</v>
      </c>
      <c r="X369" s="10" t="s">
        <v>902</v>
      </c>
      <c r="Y369" s="10">
        <v>3.5</v>
      </c>
      <c r="Z369" s="10">
        <v>4.8</v>
      </c>
      <c r="AA369" s="20" t="s">
        <v>865</v>
      </c>
      <c r="AB369" s="7">
        <v>1440.4</v>
      </c>
      <c r="AC369" s="7">
        <v>205.1</v>
      </c>
      <c r="AD369" s="7">
        <v>0.14239100249930572</v>
      </c>
      <c r="AE369" s="7" t="s">
        <v>193</v>
      </c>
      <c r="AF369" s="38" t="s">
        <v>8</v>
      </c>
      <c r="AG369" s="11" t="s">
        <v>864</v>
      </c>
      <c r="AH369" s="7" t="s">
        <v>1363</v>
      </c>
    </row>
    <row r="370" spans="1:34" s="7" customFormat="1" ht="16.5" customHeight="1">
      <c r="A370" s="7">
        <v>2012</v>
      </c>
      <c r="B370" s="12">
        <v>41112</v>
      </c>
      <c r="C370" s="12" t="s">
        <v>22</v>
      </c>
      <c r="D370" s="37" t="s">
        <v>329</v>
      </c>
      <c r="E370" s="37" t="s">
        <v>17</v>
      </c>
      <c r="F370" s="37" t="s">
        <v>25</v>
      </c>
      <c r="G370" s="7" t="s">
        <v>902</v>
      </c>
      <c r="H370" s="12" t="s">
        <v>903</v>
      </c>
      <c r="I370" s="124" t="s">
        <v>902</v>
      </c>
      <c r="J370" s="7">
        <v>7</v>
      </c>
      <c r="K370" s="124" t="s">
        <v>1719</v>
      </c>
      <c r="L370" s="30" t="s">
        <v>77</v>
      </c>
      <c r="M370" s="16">
        <v>92.887658771715664</v>
      </c>
      <c r="N370" s="16">
        <v>19.683219508120889</v>
      </c>
      <c r="O370" s="16">
        <v>379.61377595600328</v>
      </c>
      <c r="P370" s="16">
        <v>18.351815374274004</v>
      </c>
      <c r="Q370" s="147">
        <v>245.8001708984375</v>
      </c>
      <c r="R370" s="147">
        <v>9.0057373046875</v>
      </c>
      <c r="S370" s="10">
        <v>0.86188968820765322</v>
      </c>
      <c r="T370" s="10">
        <v>3.281595677957982</v>
      </c>
      <c r="U370" s="16">
        <v>1.8518076444927013E-2</v>
      </c>
      <c r="V370" s="16">
        <v>7.4821595020752696</v>
      </c>
      <c r="W370" s="10">
        <v>4.2005638241172871</v>
      </c>
      <c r="X370" s="10" t="s">
        <v>902</v>
      </c>
      <c r="Y370" s="10">
        <v>3.5</v>
      </c>
      <c r="Z370" s="10">
        <v>4.8</v>
      </c>
      <c r="AA370" s="20" t="s">
        <v>348</v>
      </c>
      <c r="AB370" s="7">
        <v>1425.8</v>
      </c>
      <c r="AC370" s="7">
        <v>201.4</v>
      </c>
      <c r="AD370" s="7">
        <v>0.14125403282367793</v>
      </c>
      <c r="AE370" s="7" t="s">
        <v>193</v>
      </c>
      <c r="AF370" s="38" t="s">
        <v>8</v>
      </c>
      <c r="AG370" s="11" t="s">
        <v>864</v>
      </c>
      <c r="AH370" s="7" t="s">
        <v>1242</v>
      </c>
    </row>
    <row r="371" spans="1:34" s="7" customFormat="1" ht="16.5" customHeight="1">
      <c r="A371" s="7">
        <v>2012</v>
      </c>
      <c r="B371" s="12">
        <v>41102</v>
      </c>
      <c r="C371" s="12" t="s">
        <v>22</v>
      </c>
      <c r="D371" s="37" t="s">
        <v>329</v>
      </c>
      <c r="E371" s="37" t="s">
        <v>17</v>
      </c>
      <c r="F371" s="37" t="s">
        <v>25</v>
      </c>
      <c r="G371" s="7" t="s">
        <v>902</v>
      </c>
      <c r="H371" s="12" t="s">
        <v>903</v>
      </c>
      <c r="I371" s="124" t="s">
        <v>902</v>
      </c>
      <c r="J371" s="7">
        <v>42</v>
      </c>
      <c r="K371" s="124" t="s">
        <v>876</v>
      </c>
      <c r="L371" s="20" t="s">
        <v>909</v>
      </c>
      <c r="M371" s="16">
        <v>92.462763468424484</v>
      </c>
      <c r="N371" s="16">
        <v>20.92420270707872</v>
      </c>
      <c r="O371" s="16">
        <v>368.68233235677081</v>
      </c>
      <c r="P371" s="16">
        <v>15.834563361273872</v>
      </c>
      <c r="Q371" s="147">
        <v>253.06071133083768</v>
      </c>
      <c r="R371" s="147">
        <v>13.379638671875</v>
      </c>
      <c r="S371" s="10">
        <v>0.86188968820765322</v>
      </c>
      <c r="T371" s="10">
        <v>-2.975250870172748</v>
      </c>
      <c r="U371" s="16">
        <v>3.5728265870968452E-2</v>
      </c>
      <c r="V371" s="16">
        <v>7.4821595020752696</v>
      </c>
      <c r="W371" s="10">
        <v>10.457410372248017</v>
      </c>
      <c r="X371" s="10" t="s">
        <v>902</v>
      </c>
      <c r="Y371" s="10">
        <v>3.5</v>
      </c>
      <c r="Z371" s="10">
        <v>4.8</v>
      </c>
      <c r="AA371" s="20" t="s">
        <v>759</v>
      </c>
      <c r="AB371" s="7">
        <v>362.5</v>
      </c>
      <c r="AC371" s="7">
        <v>341.8</v>
      </c>
      <c r="AD371" s="7">
        <v>0.942896551724138</v>
      </c>
      <c r="AE371" s="7" t="s">
        <v>4</v>
      </c>
      <c r="AF371" s="38" t="s">
        <v>8</v>
      </c>
      <c r="AG371" s="11" t="s">
        <v>0</v>
      </c>
      <c r="AH371" s="7" t="s">
        <v>1364</v>
      </c>
    </row>
    <row r="372" spans="1:34" s="7" customFormat="1" ht="16.5" customHeight="1">
      <c r="A372" s="7">
        <v>2012</v>
      </c>
      <c r="B372" s="12">
        <v>41102</v>
      </c>
      <c r="C372" s="12" t="s">
        <v>22</v>
      </c>
      <c r="D372" s="37" t="s">
        <v>329</v>
      </c>
      <c r="E372" s="37" t="s">
        <v>17</v>
      </c>
      <c r="F372" s="37" t="s">
        <v>25</v>
      </c>
      <c r="G372" s="7" t="s">
        <v>902</v>
      </c>
      <c r="H372" s="12" t="s">
        <v>903</v>
      </c>
      <c r="I372" s="124" t="s">
        <v>902</v>
      </c>
      <c r="J372" s="7">
        <v>43</v>
      </c>
      <c r="K372" s="124" t="s">
        <v>1720</v>
      </c>
      <c r="L372" s="20" t="s">
        <v>909</v>
      </c>
      <c r="M372" s="16">
        <v>92.461674338892891</v>
      </c>
      <c r="N372" s="16">
        <v>21.159804695530941</v>
      </c>
      <c r="O372" s="16">
        <v>363.45367752878292</v>
      </c>
      <c r="P372" s="16">
        <v>15.669632158781353</v>
      </c>
      <c r="Q372" s="147">
        <v>270.22657374331828</v>
      </c>
      <c r="R372" s="147">
        <v>4.381683349609375</v>
      </c>
      <c r="S372" s="10">
        <v>0.86188968820765322</v>
      </c>
      <c r="T372" s="10">
        <v>-3.4190044583708454</v>
      </c>
      <c r="U372" s="16">
        <v>3.9538539083380439E-2</v>
      </c>
      <c r="V372" s="16">
        <v>7.4821595020752696</v>
      </c>
      <c r="W372" s="10">
        <v>10.901163960446116</v>
      </c>
      <c r="X372" s="10" t="s">
        <v>902</v>
      </c>
      <c r="Y372" s="10">
        <v>3.5</v>
      </c>
      <c r="Z372" s="10">
        <v>4.8</v>
      </c>
      <c r="AA372" s="20" t="s">
        <v>339</v>
      </c>
      <c r="AB372" s="7">
        <v>394.3</v>
      </c>
      <c r="AC372" s="7">
        <v>373.5</v>
      </c>
      <c r="AD372" s="7">
        <v>0.94724828810550343</v>
      </c>
      <c r="AE372" s="7" t="s">
        <v>4</v>
      </c>
      <c r="AF372" s="38" t="s">
        <v>8</v>
      </c>
      <c r="AG372" s="11" t="s">
        <v>0</v>
      </c>
      <c r="AH372" s="7" t="s">
        <v>1242</v>
      </c>
    </row>
    <row r="373" spans="1:34" s="7" customFormat="1" ht="16.5" customHeight="1">
      <c r="A373" s="7">
        <v>2012</v>
      </c>
      <c r="B373" s="12">
        <v>41102</v>
      </c>
      <c r="C373" s="12" t="s">
        <v>22</v>
      </c>
      <c r="D373" s="37" t="s">
        <v>329</v>
      </c>
      <c r="E373" s="37" t="s">
        <v>17</v>
      </c>
      <c r="F373" s="37" t="s">
        <v>25</v>
      </c>
      <c r="G373" s="7" t="s">
        <v>902</v>
      </c>
      <c r="H373" s="12" t="s">
        <v>903</v>
      </c>
      <c r="I373" s="124" t="s">
        <v>902</v>
      </c>
      <c r="J373" s="7">
        <v>24</v>
      </c>
      <c r="K373" s="124" t="s">
        <v>1721</v>
      </c>
      <c r="L373" s="20" t="s">
        <v>907</v>
      </c>
      <c r="M373" s="16">
        <v>92.460602654351135</v>
      </c>
      <c r="N373" s="16">
        <v>22.431193881564671</v>
      </c>
      <c r="O373" s="16">
        <v>363.08447096082898</v>
      </c>
      <c r="P373" s="16">
        <v>16.338516023423935</v>
      </c>
      <c r="Q373" s="147">
        <v>309.56787448459204</v>
      </c>
      <c r="R373" s="147">
        <v>11.280792236328125</v>
      </c>
      <c r="S373" s="10">
        <v>0.86188968820765322</v>
      </c>
      <c r="T373" s="10">
        <v>-4.2726963864113543</v>
      </c>
      <c r="U373" s="16">
        <v>5.9886824112804556E-2</v>
      </c>
      <c r="V373" s="16">
        <v>7.4821595020752696</v>
      </c>
      <c r="W373" s="10">
        <v>11.754855888486624</v>
      </c>
      <c r="X373" s="10" t="s">
        <v>902</v>
      </c>
      <c r="Y373" s="10">
        <v>3.5</v>
      </c>
      <c r="Z373" s="10">
        <v>4.8</v>
      </c>
      <c r="AA373" s="20" t="s">
        <v>332</v>
      </c>
      <c r="AB373" s="7">
        <v>582.29999999999995</v>
      </c>
      <c r="AC373" s="7">
        <v>466.3</v>
      </c>
      <c r="AD373" s="7">
        <v>0.8007899708054268</v>
      </c>
      <c r="AE373" s="7" t="s">
        <v>124</v>
      </c>
      <c r="AF373" s="38" t="s">
        <v>8</v>
      </c>
      <c r="AG373" s="11" t="s">
        <v>870</v>
      </c>
      <c r="AH373" s="7" t="s">
        <v>1242</v>
      </c>
    </row>
    <row r="374" spans="1:34" s="7" customFormat="1" ht="16.5" customHeight="1">
      <c r="A374" s="7">
        <v>2012</v>
      </c>
      <c r="B374" s="12">
        <v>41102</v>
      </c>
      <c r="C374" s="12" t="s">
        <v>22</v>
      </c>
      <c r="D374" s="37" t="s">
        <v>329</v>
      </c>
      <c r="E374" s="37" t="s">
        <v>17</v>
      </c>
      <c r="F374" s="37" t="s">
        <v>25</v>
      </c>
      <c r="G374" s="7" t="s">
        <v>902</v>
      </c>
      <c r="H374" s="12" t="s">
        <v>903</v>
      </c>
      <c r="I374" s="124" t="s">
        <v>902</v>
      </c>
      <c r="J374" s="7">
        <v>44</v>
      </c>
      <c r="K374" s="124" t="s">
        <v>1722</v>
      </c>
      <c r="L374" s="20" t="s">
        <v>909</v>
      </c>
      <c r="M374" s="16">
        <v>92.460959116617843</v>
      </c>
      <c r="N374" s="16">
        <v>21.765367825826008</v>
      </c>
      <c r="O374" s="16">
        <v>357.76876831054687</v>
      </c>
      <c r="P374" s="16">
        <v>15.662421650356716</v>
      </c>
      <c r="Q374" s="147">
        <v>313.95714992947046</v>
      </c>
      <c r="R374" s="147">
        <v>5.361236572265625</v>
      </c>
      <c r="S374" s="10">
        <v>0.86188968820765322</v>
      </c>
      <c r="T374" s="10">
        <v>-7.0854400239152655</v>
      </c>
      <c r="U374" s="16">
        <v>4.6954148078973572E-2</v>
      </c>
      <c r="V374" s="16">
        <v>7.4821595020752696</v>
      </c>
      <c r="W374" s="10">
        <v>14.567599525990534</v>
      </c>
      <c r="X374" s="10" t="s">
        <v>902</v>
      </c>
      <c r="Y374" s="10">
        <v>3.5</v>
      </c>
      <c r="Z374" s="10">
        <v>4.8</v>
      </c>
      <c r="AA374" s="20" t="s">
        <v>334</v>
      </c>
      <c r="AB374" s="7">
        <v>463.9</v>
      </c>
      <c r="AC374" s="7">
        <v>439.5</v>
      </c>
      <c r="AD374" s="7">
        <v>0.94740245742616946</v>
      </c>
      <c r="AE374" s="7" t="s">
        <v>5</v>
      </c>
      <c r="AF374" s="38" t="s">
        <v>8</v>
      </c>
      <c r="AG374" s="11" t="s">
        <v>0</v>
      </c>
      <c r="AH374" s="7" t="s">
        <v>1242</v>
      </c>
    </row>
    <row r="375" spans="1:34" s="7" customFormat="1" ht="16.5" customHeight="1">
      <c r="A375" s="7">
        <v>2012</v>
      </c>
      <c r="B375" s="12">
        <v>41102</v>
      </c>
      <c r="C375" s="12" t="s">
        <v>22</v>
      </c>
      <c r="D375" s="37" t="s">
        <v>329</v>
      </c>
      <c r="E375" s="37" t="s">
        <v>17</v>
      </c>
      <c r="F375" s="37" t="s">
        <v>25</v>
      </c>
      <c r="G375" s="7" t="s">
        <v>902</v>
      </c>
      <c r="H375" s="12" t="s">
        <v>903</v>
      </c>
      <c r="I375" s="124" t="s">
        <v>902</v>
      </c>
      <c r="J375" s="7">
        <v>25</v>
      </c>
      <c r="K375" s="124" t="s">
        <v>871</v>
      </c>
      <c r="L375" s="20" t="s">
        <v>908</v>
      </c>
      <c r="M375" s="16">
        <v>92.459324264526373</v>
      </c>
      <c r="N375" s="16">
        <v>24.192298316955565</v>
      </c>
      <c r="O375" s="16">
        <v>354.67698516845701</v>
      </c>
      <c r="P375" s="16">
        <v>19.362604999542235</v>
      </c>
      <c r="Q375" s="147">
        <v>320.45097503662112</v>
      </c>
      <c r="R375" s="147">
        <v>55.69482421875</v>
      </c>
      <c r="S375" s="10">
        <v>0.86188968820765322</v>
      </c>
      <c r="T375" s="10">
        <v>-3.2003976014787225</v>
      </c>
      <c r="U375" s="16">
        <v>5.2587727855022685E-2</v>
      </c>
      <c r="V375" s="16">
        <v>7.4821595020752696</v>
      </c>
      <c r="W375" s="10">
        <v>10.682557103553993</v>
      </c>
      <c r="X375" s="10" t="s">
        <v>902</v>
      </c>
      <c r="Y375" s="10">
        <v>3.5</v>
      </c>
      <c r="Z375" s="10">
        <v>4.8</v>
      </c>
      <c r="AA375" s="20" t="s">
        <v>762</v>
      </c>
      <c r="AB375" s="7">
        <v>726.3</v>
      </c>
      <c r="AC375" s="7">
        <v>517.6</v>
      </c>
      <c r="AD375" s="7">
        <v>0.71265317361971647</v>
      </c>
      <c r="AE375" s="7" t="s">
        <v>902</v>
      </c>
      <c r="AF375" s="38" t="s">
        <v>8</v>
      </c>
      <c r="AG375" s="11" t="s">
        <v>870</v>
      </c>
      <c r="AH375" s="7" t="s">
        <v>1365</v>
      </c>
    </row>
    <row r="376" spans="1:34" s="7" customFormat="1" ht="16.5" customHeight="1">
      <c r="A376" s="7">
        <v>2012</v>
      </c>
      <c r="B376" s="12">
        <v>41102</v>
      </c>
      <c r="C376" s="12" t="s">
        <v>22</v>
      </c>
      <c r="D376" s="37" t="s">
        <v>329</v>
      </c>
      <c r="E376" s="37" t="s">
        <v>17</v>
      </c>
      <c r="F376" s="37" t="s">
        <v>25</v>
      </c>
      <c r="G376" s="7" t="s">
        <v>902</v>
      </c>
      <c r="H376" s="12" t="s">
        <v>903</v>
      </c>
      <c r="I376" s="124" t="s">
        <v>902</v>
      </c>
      <c r="J376" s="7">
        <v>45</v>
      </c>
      <c r="K376" s="124" t="s">
        <v>1723</v>
      </c>
      <c r="L376" s="20" t="s">
        <v>909</v>
      </c>
      <c r="M376" s="16">
        <v>92.460845099555115</v>
      </c>
      <c r="N376" s="16">
        <v>22.374622768825954</v>
      </c>
      <c r="O376" s="36">
        <v>353.31483629014758</v>
      </c>
      <c r="P376" s="36">
        <v>16.446106168958877</v>
      </c>
      <c r="Q376" s="147">
        <v>336.61219618055554</v>
      </c>
      <c r="R376" s="147">
        <v>10.4521484375</v>
      </c>
      <c r="S376" s="10">
        <v>0.86188968820765322</v>
      </c>
      <c r="T376" s="10">
        <v>-7.857072049704076</v>
      </c>
      <c r="U376" s="36">
        <v>4.6693661141567804E-2</v>
      </c>
      <c r="V376" s="16">
        <v>7.4821595020752696</v>
      </c>
      <c r="W376" s="10">
        <v>15.339231551779346</v>
      </c>
      <c r="X376" s="10" t="s">
        <v>902</v>
      </c>
      <c r="Y376" s="10">
        <v>3.5</v>
      </c>
      <c r="Z376" s="10">
        <v>4.8</v>
      </c>
      <c r="AA376" s="20" t="s">
        <v>333</v>
      </c>
      <c r="AB376" s="7">
        <v>607.9</v>
      </c>
      <c r="AC376" s="7">
        <v>449.2</v>
      </c>
      <c r="AD376" s="7">
        <v>0.73893732521796351</v>
      </c>
      <c r="AE376" s="7" t="s">
        <v>5</v>
      </c>
      <c r="AF376" s="38" t="s">
        <v>8</v>
      </c>
      <c r="AG376" s="11" t="s">
        <v>0</v>
      </c>
      <c r="AH376" s="7" t="s">
        <v>1242</v>
      </c>
    </row>
    <row r="377" spans="1:34" s="7" customFormat="1" ht="16.5" customHeight="1">
      <c r="A377" s="7">
        <v>2012</v>
      </c>
      <c r="B377" s="12">
        <v>41112</v>
      </c>
      <c r="C377" s="12" t="s">
        <v>22</v>
      </c>
      <c r="D377" s="37" t="s">
        <v>329</v>
      </c>
      <c r="E377" s="37" t="s">
        <v>17</v>
      </c>
      <c r="F377" s="37" t="s">
        <v>25</v>
      </c>
      <c r="G377" s="7" t="s">
        <v>902</v>
      </c>
      <c r="H377" s="12" t="s">
        <v>903</v>
      </c>
      <c r="I377" s="124" t="s">
        <v>902</v>
      </c>
      <c r="J377" s="7">
        <v>8</v>
      </c>
      <c r="K377" s="124" t="s">
        <v>867</v>
      </c>
      <c r="L377" s="30" t="s">
        <v>75</v>
      </c>
      <c r="M377" s="16">
        <v>92.890935134887698</v>
      </c>
      <c r="N377" s="16">
        <v>20.37562437057495</v>
      </c>
      <c r="O377" s="16">
        <v>374.16182250976561</v>
      </c>
      <c r="P377" s="16">
        <v>18.193919086456297</v>
      </c>
      <c r="Q377" s="147">
        <v>398.87418212890623</v>
      </c>
      <c r="R377" s="147">
        <v>6.903289794921875</v>
      </c>
      <c r="S377" s="10">
        <v>0.86188968820765322</v>
      </c>
      <c r="T377" s="10">
        <v>2.2572495073628997E-2</v>
      </c>
      <c r="U377" s="16">
        <v>2.9271528057585983E-2</v>
      </c>
      <c r="V377" s="16">
        <v>7.4821595020752696</v>
      </c>
      <c r="W377" s="10">
        <v>7.459587007001641</v>
      </c>
      <c r="X377" s="10" t="s">
        <v>902</v>
      </c>
      <c r="Y377" s="10">
        <v>3.5</v>
      </c>
      <c r="Z377" s="10">
        <v>4.8</v>
      </c>
      <c r="AA377" s="20" t="s">
        <v>346</v>
      </c>
      <c r="AB377" s="7">
        <v>1402.6</v>
      </c>
      <c r="AC377" s="7">
        <v>195.3</v>
      </c>
      <c r="AD377" s="7">
        <v>0.13924140881220592</v>
      </c>
      <c r="AE377" s="7" t="s">
        <v>193</v>
      </c>
      <c r="AF377" s="38" t="s">
        <v>8</v>
      </c>
      <c r="AG377" s="11" t="s">
        <v>864</v>
      </c>
      <c r="AH377" s="7" t="s">
        <v>1366</v>
      </c>
    </row>
    <row r="378" spans="1:34" s="7" customFormat="1" ht="16.5" customHeight="1">
      <c r="A378" s="7">
        <v>2012</v>
      </c>
      <c r="B378" s="12">
        <v>41112</v>
      </c>
      <c r="C378" s="12" t="s">
        <v>22</v>
      </c>
      <c r="D378" s="37" t="s">
        <v>329</v>
      </c>
      <c r="E378" s="37" t="s">
        <v>17</v>
      </c>
      <c r="F378" s="37" t="s">
        <v>25</v>
      </c>
      <c r="G378" s="7" t="s">
        <v>902</v>
      </c>
      <c r="H378" s="12" t="s">
        <v>903</v>
      </c>
      <c r="I378" s="124" t="s">
        <v>902</v>
      </c>
      <c r="J378" s="7">
        <v>26</v>
      </c>
      <c r="K378" s="124" t="s">
        <v>1724</v>
      </c>
      <c r="L378" s="30" t="s">
        <v>907</v>
      </c>
      <c r="M378" s="16">
        <v>92.838649548982318</v>
      </c>
      <c r="N378" s="16">
        <v>24.104826977378444</v>
      </c>
      <c r="O378" s="16">
        <v>356.31814414576479</v>
      </c>
      <c r="P378" s="16">
        <v>20.18805523922569</v>
      </c>
      <c r="Q378" s="147">
        <v>403.42830135947781</v>
      </c>
      <c r="R378" s="147">
        <v>7.989471435546875</v>
      </c>
      <c r="S378" s="10">
        <v>0.86188968820765322</v>
      </c>
      <c r="T378" s="10">
        <v>-4.4875166355724732</v>
      </c>
      <c r="U378" s="16">
        <v>3.8652406659042626E-2</v>
      </c>
      <c r="V378" s="16">
        <v>7.4821595020752696</v>
      </c>
      <c r="W378" s="10">
        <v>11.969676137647742</v>
      </c>
      <c r="X378" s="10" t="s">
        <v>902</v>
      </c>
      <c r="Y378" s="10">
        <v>3.5</v>
      </c>
      <c r="Z378" s="10">
        <v>4.8</v>
      </c>
      <c r="AA378" s="20" t="s">
        <v>317</v>
      </c>
      <c r="AB378" s="7">
        <v>1151.0999999999999</v>
      </c>
      <c r="AC378" s="7">
        <v>500.5</v>
      </c>
      <c r="AD378" s="7">
        <v>0.43480149422291725</v>
      </c>
      <c r="AE378" s="7" t="s">
        <v>193</v>
      </c>
      <c r="AF378" s="38" t="s">
        <v>8</v>
      </c>
      <c r="AG378" s="11" t="s">
        <v>870</v>
      </c>
      <c r="AH378" s="7" t="s">
        <v>1242</v>
      </c>
    </row>
    <row r="379" spans="1:34" s="7" customFormat="1" ht="16.5" customHeight="1">
      <c r="A379" s="7">
        <v>2012</v>
      </c>
      <c r="B379" s="12">
        <v>41112</v>
      </c>
      <c r="C379" s="12" t="s">
        <v>22</v>
      </c>
      <c r="D379" s="37" t="s">
        <v>329</v>
      </c>
      <c r="E379" s="37" t="s">
        <v>17</v>
      </c>
      <c r="F379" s="37" t="s">
        <v>25</v>
      </c>
      <c r="G379" s="7" t="s">
        <v>902</v>
      </c>
      <c r="H379" s="12" t="s">
        <v>903</v>
      </c>
      <c r="I379" s="124" t="s">
        <v>902</v>
      </c>
      <c r="J379" s="7">
        <v>9</v>
      </c>
      <c r="K379" s="124" t="s">
        <v>1725</v>
      </c>
      <c r="L379" s="30" t="s">
        <v>75</v>
      </c>
      <c r="M379" s="16">
        <v>92.887606570595196</v>
      </c>
      <c r="N379" s="16">
        <v>19.922885192067998</v>
      </c>
      <c r="O379" s="16">
        <v>374.79562699167354</v>
      </c>
      <c r="P379" s="16">
        <v>16.19631330590499</v>
      </c>
      <c r="Q379" s="147">
        <v>408.67603502775495</v>
      </c>
      <c r="R379" s="147">
        <v>5.727203369140625</v>
      </c>
      <c r="S379" s="10">
        <v>0.86188968820765322</v>
      </c>
      <c r="T379" s="10">
        <v>-1.0694999472040942</v>
      </c>
      <c r="U379" s="16">
        <v>5.1725020324974717E-2</v>
      </c>
      <c r="V379" s="16">
        <v>7.4821595020752696</v>
      </c>
      <c r="W379" s="10">
        <v>8.5516594492793629</v>
      </c>
      <c r="X379" s="10" t="s">
        <v>902</v>
      </c>
      <c r="Y379" s="10">
        <v>3.5</v>
      </c>
      <c r="Z379" s="10">
        <v>4.8</v>
      </c>
      <c r="AA379" s="20" t="s">
        <v>347</v>
      </c>
      <c r="AB379" s="7">
        <v>1411.1</v>
      </c>
      <c r="AC379" s="7">
        <v>195.3</v>
      </c>
      <c r="AD379" s="7">
        <v>0.13840266458791015</v>
      </c>
      <c r="AE379" s="7" t="s">
        <v>193</v>
      </c>
      <c r="AF379" s="38" t="s">
        <v>8</v>
      </c>
      <c r="AG379" s="11" t="s">
        <v>864</v>
      </c>
      <c r="AH379" s="7" t="s">
        <v>1242</v>
      </c>
    </row>
    <row r="380" spans="1:34" s="7" customFormat="1" ht="16.5" customHeight="1">
      <c r="A380" s="7">
        <v>2012</v>
      </c>
      <c r="B380" s="12">
        <v>41102</v>
      </c>
      <c r="C380" s="12" t="s">
        <v>22</v>
      </c>
      <c r="D380" s="37" t="s">
        <v>329</v>
      </c>
      <c r="E380" s="37" t="s">
        <v>17</v>
      </c>
      <c r="F380" s="37" t="s">
        <v>25</v>
      </c>
      <c r="G380" s="7" t="s">
        <v>902</v>
      </c>
      <c r="H380" s="12" t="s">
        <v>903</v>
      </c>
      <c r="I380" s="124" t="s">
        <v>902</v>
      </c>
      <c r="J380" s="7">
        <v>27</v>
      </c>
      <c r="K380" s="124" t="s">
        <v>1726</v>
      </c>
      <c r="L380" s="30" t="s">
        <v>908</v>
      </c>
      <c r="M380" s="16">
        <v>92.460136012027135</v>
      </c>
      <c r="N380" s="16">
        <v>25.689449912623356</v>
      </c>
      <c r="O380" s="16">
        <v>344.82878514340047</v>
      </c>
      <c r="P380" s="16">
        <v>21.109924115632708</v>
      </c>
      <c r="Q380" s="147">
        <v>432.23689510947781</v>
      </c>
      <c r="R380" s="147">
        <v>29.811309814453125</v>
      </c>
      <c r="S380" s="10">
        <v>0.86188968820765322</v>
      </c>
      <c r="T380" s="10">
        <v>-6.715913510975664</v>
      </c>
      <c r="U380" s="16">
        <v>6.3780533640008227E-2</v>
      </c>
      <c r="V380" s="16">
        <v>7.4821595020752696</v>
      </c>
      <c r="W380" s="10">
        <v>14.198073013050934</v>
      </c>
      <c r="X380" s="10" t="s">
        <v>902</v>
      </c>
      <c r="Y380" s="10">
        <v>3.5</v>
      </c>
      <c r="Z380" s="10">
        <v>4.8</v>
      </c>
      <c r="AA380" s="20" t="s">
        <v>331</v>
      </c>
      <c r="AB380" s="7">
        <v>1694.3</v>
      </c>
      <c r="AC380" s="7">
        <v>581.1</v>
      </c>
      <c r="AD380" s="7">
        <v>0.34297349938027505</v>
      </c>
      <c r="AE380" s="7" t="s">
        <v>902</v>
      </c>
      <c r="AF380" s="38" t="s">
        <v>8</v>
      </c>
      <c r="AG380" s="11" t="s">
        <v>870</v>
      </c>
      <c r="AH380" s="7" t="s">
        <v>1242</v>
      </c>
    </row>
    <row r="381" spans="1:34" s="7" customFormat="1" ht="16.5" customHeight="1">
      <c r="A381" s="7">
        <v>2012</v>
      </c>
      <c r="B381" s="12">
        <v>41102</v>
      </c>
      <c r="C381" s="12" t="s">
        <v>22</v>
      </c>
      <c r="D381" s="37" t="s">
        <v>329</v>
      </c>
      <c r="E381" s="37" t="s">
        <v>17</v>
      </c>
      <c r="F381" s="37" t="s">
        <v>25</v>
      </c>
      <c r="G381" s="7" t="s">
        <v>902</v>
      </c>
      <c r="H381" s="12" t="s">
        <v>903</v>
      </c>
      <c r="I381" s="124" t="s">
        <v>902</v>
      </c>
      <c r="J381" s="7">
        <v>46</v>
      </c>
      <c r="K381" s="124" t="s">
        <v>1727</v>
      </c>
      <c r="L381" s="20" t="s">
        <v>909</v>
      </c>
      <c r="M381" s="22">
        <v>92.459741804334854</v>
      </c>
      <c r="N381" s="22">
        <v>22.767194112141926</v>
      </c>
      <c r="O381" s="22">
        <v>362.6032901340061</v>
      </c>
      <c r="P381" s="22">
        <v>17.49403911166721</v>
      </c>
      <c r="Q381" s="148">
        <v>523.63886515299475</v>
      </c>
      <c r="R381" s="148">
        <v>75.5614013671875</v>
      </c>
      <c r="S381" s="10">
        <v>0.86188968820765322</v>
      </c>
      <c r="T381" s="10">
        <v>-4.9785798032153084</v>
      </c>
      <c r="U381" s="22">
        <v>4.4819484431185094E-2</v>
      </c>
      <c r="V381" s="16">
        <v>7.4821595020752696</v>
      </c>
      <c r="W381" s="10">
        <v>12.460739305290577</v>
      </c>
      <c r="X381" s="10" t="s">
        <v>902</v>
      </c>
      <c r="Y381" s="10">
        <v>3.5</v>
      </c>
      <c r="Z381" s="10">
        <v>4.8</v>
      </c>
      <c r="AA381" s="20" t="s">
        <v>342</v>
      </c>
      <c r="AB381" s="7">
        <v>601.79999999999995</v>
      </c>
      <c r="AC381" s="7">
        <v>556.6</v>
      </c>
      <c r="AD381" s="7">
        <v>0.92489199069458305</v>
      </c>
      <c r="AE381" s="7" t="s">
        <v>4</v>
      </c>
      <c r="AF381" s="38" t="s">
        <v>8</v>
      </c>
      <c r="AG381" s="11" t="s">
        <v>0</v>
      </c>
      <c r="AH381" s="7" t="s">
        <v>1242</v>
      </c>
    </row>
    <row r="382" spans="1:34" s="7" customFormat="1" ht="16.5" customHeight="1">
      <c r="A382" s="7">
        <v>2012</v>
      </c>
      <c r="B382" s="12">
        <v>41112</v>
      </c>
      <c r="C382" s="12" t="s">
        <v>22</v>
      </c>
      <c r="D382" s="37" t="s">
        <v>329</v>
      </c>
      <c r="E382" s="37" t="s">
        <v>17</v>
      </c>
      <c r="F382" s="37" t="s">
        <v>25</v>
      </c>
      <c r="G382" s="7" t="s">
        <v>902</v>
      </c>
      <c r="H382" s="12" t="s">
        <v>903</v>
      </c>
      <c r="I382" s="124" t="s">
        <v>902</v>
      </c>
      <c r="J382" s="7">
        <v>10</v>
      </c>
      <c r="K382" s="124" t="s">
        <v>1728</v>
      </c>
      <c r="L382" s="30" t="s">
        <v>74</v>
      </c>
      <c r="M382" s="16">
        <v>92.896309746636291</v>
      </c>
      <c r="N382" s="16">
        <v>21.251732720269096</v>
      </c>
      <c r="O382" s="16">
        <v>373.04220750596789</v>
      </c>
      <c r="P382" s="16">
        <v>18.067989667256672</v>
      </c>
      <c r="Q382" s="147">
        <v>563.15037027994788</v>
      </c>
      <c r="R382" s="147">
        <v>2.47607421875</v>
      </c>
      <c r="S382" s="10">
        <v>0.86188968820765322</v>
      </c>
      <c r="T382" s="10">
        <v>-3.0308737906016363</v>
      </c>
      <c r="U382" s="16">
        <v>4.5879951571532449E-2</v>
      </c>
      <c r="V382" s="16">
        <v>7.4821595020752696</v>
      </c>
      <c r="W382" s="10">
        <v>10.513033292676905</v>
      </c>
      <c r="X382" s="10" t="s">
        <v>902</v>
      </c>
      <c r="Y382" s="10">
        <v>3.5</v>
      </c>
      <c r="Z382" s="10">
        <v>4.8</v>
      </c>
      <c r="AA382" s="20" t="s">
        <v>343</v>
      </c>
      <c r="AB382" s="7">
        <v>1374.5</v>
      </c>
      <c r="AC382" s="7">
        <v>191.7</v>
      </c>
      <c r="AD382" s="7">
        <v>0.13946889778101126</v>
      </c>
      <c r="AE382" s="7" t="s">
        <v>193</v>
      </c>
      <c r="AF382" s="38" t="s">
        <v>8</v>
      </c>
      <c r="AG382" s="11" t="s">
        <v>864</v>
      </c>
      <c r="AH382" s="7" t="s">
        <v>1242</v>
      </c>
    </row>
    <row r="383" spans="1:34" s="7" customFormat="1" ht="16.5" customHeight="1">
      <c r="A383" s="7">
        <v>2012</v>
      </c>
      <c r="B383" s="12">
        <v>41112</v>
      </c>
      <c r="C383" s="12" t="s">
        <v>22</v>
      </c>
      <c r="D383" s="37" t="s">
        <v>329</v>
      </c>
      <c r="E383" s="37" t="s">
        <v>17</v>
      </c>
      <c r="F383" s="37" t="s">
        <v>25</v>
      </c>
      <c r="G383" s="7" t="s">
        <v>902</v>
      </c>
      <c r="H383" s="12" t="s">
        <v>903</v>
      </c>
      <c r="I383" s="124" t="s">
        <v>902</v>
      </c>
      <c r="J383" s="7">
        <v>28</v>
      </c>
      <c r="K383" s="124" t="s">
        <v>1729</v>
      </c>
      <c r="L383" s="30" t="s">
        <v>908</v>
      </c>
      <c r="M383" s="16">
        <v>92.834328902395143</v>
      </c>
      <c r="N383" s="16">
        <v>23.027539203041478</v>
      </c>
      <c r="O383" s="16">
        <v>356.11057964124177</v>
      </c>
      <c r="P383" s="16">
        <v>18.105149218910618</v>
      </c>
      <c r="Q383" s="147">
        <v>563.39409115439969</v>
      </c>
      <c r="R383" s="147">
        <v>12.0665283203125</v>
      </c>
      <c r="S383" s="10">
        <v>0.86188968820765322</v>
      </c>
      <c r="T383" s="10">
        <v>-7.1267458257942087</v>
      </c>
      <c r="U383" s="16">
        <v>4.5740107486122533E-2</v>
      </c>
      <c r="V383" s="16">
        <v>7.4821595020752696</v>
      </c>
      <c r="W383" s="10">
        <v>14.608905327869479</v>
      </c>
      <c r="X383" s="10" t="s">
        <v>902</v>
      </c>
      <c r="Y383" s="10">
        <v>3.5</v>
      </c>
      <c r="Z383" s="10">
        <v>4.8</v>
      </c>
      <c r="AA383" s="20" t="s">
        <v>354</v>
      </c>
      <c r="AB383" s="7">
        <v>1142.5999999999999</v>
      </c>
      <c r="AC383" s="7">
        <v>520</v>
      </c>
      <c r="AD383" s="7">
        <v>0.45510239803955893</v>
      </c>
      <c r="AE383" s="7" t="s">
        <v>193</v>
      </c>
      <c r="AF383" s="38" t="s">
        <v>8</v>
      </c>
      <c r="AG383" s="11" t="s">
        <v>870</v>
      </c>
      <c r="AH383" s="7" t="s">
        <v>1242</v>
      </c>
    </row>
    <row r="384" spans="1:34" s="7" customFormat="1" ht="16.5" customHeight="1">
      <c r="A384" s="7">
        <v>2012</v>
      </c>
      <c r="B384" s="12">
        <v>41112</v>
      </c>
      <c r="C384" s="12" t="s">
        <v>22</v>
      </c>
      <c r="D384" s="37" t="s">
        <v>329</v>
      </c>
      <c r="E384" s="37" t="s">
        <v>17</v>
      </c>
      <c r="F384" s="37" t="s">
        <v>25</v>
      </c>
      <c r="G384" s="7" t="s">
        <v>902</v>
      </c>
      <c r="H384" s="12" t="s">
        <v>903</v>
      </c>
      <c r="I384" s="124" t="s">
        <v>902</v>
      </c>
      <c r="J384" s="7">
        <v>11</v>
      </c>
      <c r="K384" s="124" t="s">
        <v>869</v>
      </c>
      <c r="L384" s="30" t="s">
        <v>74</v>
      </c>
      <c r="M384" s="16">
        <v>92.896540715144226</v>
      </c>
      <c r="N384" s="16">
        <v>21.606932126558743</v>
      </c>
      <c r="O384" s="16">
        <v>363.45619319035455</v>
      </c>
      <c r="P384" s="16">
        <v>19.991028859065128</v>
      </c>
      <c r="Q384" s="147">
        <v>563.52957857572119</v>
      </c>
      <c r="R384" s="147">
        <v>3.15838623046875</v>
      </c>
      <c r="S384" s="10">
        <v>0.86188968820765322</v>
      </c>
      <c r="T384" s="10">
        <v>-1.3320086108816676</v>
      </c>
      <c r="U384" s="16">
        <v>2.6531275868497312E-2</v>
      </c>
      <c r="V384" s="16">
        <v>7.4821595020752696</v>
      </c>
      <c r="W384" s="10">
        <v>8.8141681129569367</v>
      </c>
      <c r="X384" s="10" t="s">
        <v>902</v>
      </c>
      <c r="Y384" s="10">
        <v>3.5</v>
      </c>
      <c r="Z384" s="10">
        <v>4.8</v>
      </c>
      <c r="AA384" s="20" t="s">
        <v>868</v>
      </c>
      <c r="AB384" s="7">
        <v>1359.9</v>
      </c>
      <c r="AC384" s="7">
        <v>190.4</v>
      </c>
      <c r="AD384" s="7">
        <v>0.14001029487462313</v>
      </c>
      <c r="AE384" s="7" t="s">
        <v>193</v>
      </c>
      <c r="AF384" s="38" t="s">
        <v>8</v>
      </c>
      <c r="AG384" s="11" t="s">
        <v>864</v>
      </c>
      <c r="AH384" s="7" t="s">
        <v>1367</v>
      </c>
    </row>
    <row r="385" spans="1:34" s="7" customFormat="1" ht="16.5" customHeight="1">
      <c r="A385" s="7">
        <v>2012</v>
      </c>
      <c r="B385" s="12">
        <v>41112</v>
      </c>
      <c r="C385" s="12" t="s">
        <v>22</v>
      </c>
      <c r="D385" s="37" t="s">
        <v>329</v>
      </c>
      <c r="E385" s="37" t="s">
        <v>17</v>
      </c>
      <c r="F385" s="37" t="s">
        <v>25</v>
      </c>
      <c r="G385" s="7" t="s">
        <v>902</v>
      </c>
      <c r="H385" s="12" t="s">
        <v>903</v>
      </c>
      <c r="I385" s="124" t="s">
        <v>902</v>
      </c>
      <c r="J385" s="7">
        <v>29</v>
      </c>
      <c r="K385" s="124" t="s">
        <v>1730</v>
      </c>
      <c r="L385" s="30" t="s">
        <v>908</v>
      </c>
      <c r="M385" s="16">
        <v>92.832745869954422</v>
      </c>
      <c r="N385" s="16">
        <v>23.001695315043133</v>
      </c>
      <c r="O385" s="16">
        <v>356.93271382649738</v>
      </c>
      <c r="P385" s="16">
        <v>18.099321577284073</v>
      </c>
      <c r="Q385" s="147">
        <v>632.88439263237842</v>
      </c>
      <c r="R385" s="147">
        <v>35.3492431640625</v>
      </c>
      <c r="S385" s="10">
        <v>0.86188968820765322</v>
      </c>
      <c r="T385" s="10">
        <v>-6.7044901641376358</v>
      </c>
      <c r="U385" s="16">
        <v>4.7657314099763572E-2</v>
      </c>
      <c r="V385" s="16">
        <v>7.4821595020752696</v>
      </c>
      <c r="W385" s="10">
        <v>14.186649666212904</v>
      </c>
      <c r="X385" s="10" t="s">
        <v>902</v>
      </c>
      <c r="Y385" s="10">
        <v>3.5</v>
      </c>
      <c r="Z385" s="10">
        <v>4.8</v>
      </c>
      <c r="AA385" s="20" t="s">
        <v>355</v>
      </c>
      <c r="AB385" s="7">
        <v>1047.4000000000001</v>
      </c>
      <c r="AC385" s="7">
        <v>532.20000000000005</v>
      </c>
      <c r="AD385" s="7">
        <v>0.50811533320603397</v>
      </c>
      <c r="AE385" s="7" t="s">
        <v>193</v>
      </c>
      <c r="AF385" s="38" t="s">
        <v>8</v>
      </c>
      <c r="AG385" s="11" t="s">
        <v>870</v>
      </c>
      <c r="AH385" s="7" t="s">
        <v>1242</v>
      </c>
    </row>
    <row r="386" spans="1:34" s="7" customFormat="1" ht="16.5" customHeight="1">
      <c r="A386" s="7">
        <v>2012</v>
      </c>
      <c r="B386" s="12">
        <v>41112</v>
      </c>
      <c r="C386" s="12" t="s">
        <v>22</v>
      </c>
      <c r="D386" s="37" t="s">
        <v>329</v>
      </c>
      <c r="E386" s="37" t="s">
        <v>17</v>
      </c>
      <c r="F386" s="37" t="s">
        <v>25</v>
      </c>
      <c r="G386" s="7" t="s">
        <v>902</v>
      </c>
      <c r="H386" s="12" t="s">
        <v>903</v>
      </c>
      <c r="I386" s="124" t="s">
        <v>902</v>
      </c>
      <c r="J386" s="7">
        <v>30</v>
      </c>
      <c r="K386" s="124" t="s">
        <v>1731</v>
      </c>
      <c r="L386" s="30" t="s">
        <v>908</v>
      </c>
      <c r="M386" s="16">
        <v>92.821895599365234</v>
      </c>
      <c r="N386" s="16">
        <v>22.814936108059353</v>
      </c>
      <c r="O386" s="16">
        <v>356.71890258789063</v>
      </c>
      <c r="P386" s="16">
        <v>18.635284211900498</v>
      </c>
      <c r="Q386" s="147">
        <v>640.88831244574658</v>
      </c>
      <c r="R386" s="147">
        <v>26.17437744140625</v>
      </c>
      <c r="S386" s="10">
        <v>0.86188968820765322</v>
      </c>
      <c r="T386" s="10">
        <v>-7.7839331276629027</v>
      </c>
      <c r="U386" s="16">
        <v>4.4903683342554741E-2</v>
      </c>
      <c r="V386" s="16">
        <v>7.4821595020752696</v>
      </c>
      <c r="W386" s="10">
        <v>15.266092629738171</v>
      </c>
      <c r="X386" s="10" t="s">
        <v>902</v>
      </c>
      <c r="Y386" s="10">
        <v>3.5</v>
      </c>
      <c r="Z386" s="10">
        <v>4.8</v>
      </c>
      <c r="AA386" s="20" t="s">
        <v>359</v>
      </c>
      <c r="AB386" s="7">
        <v>1081.5</v>
      </c>
      <c r="AC386" s="7">
        <v>537.1</v>
      </c>
      <c r="AD386" s="7">
        <v>0.49662505779010635</v>
      </c>
      <c r="AE386" s="7" t="s">
        <v>193</v>
      </c>
      <c r="AF386" s="38" t="s">
        <v>8</v>
      </c>
      <c r="AG386" s="11" t="s">
        <v>870</v>
      </c>
      <c r="AH386" s="7" t="s">
        <v>1242</v>
      </c>
    </row>
    <row r="387" spans="1:34" s="7" customFormat="1" ht="16.5" customHeight="1">
      <c r="A387" s="7">
        <v>2012</v>
      </c>
      <c r="B387" s="12">
        <v>41112</v>
      </c>
      <c r="C387" s="12" t="s">
        <v>22</v>
      </c>
      <c r="D387" s="37" t="s">
        <v>329</v>
      </c>
      <c r="E387" s="37" t="s">
        <v>17</v>
      </c>
      <c r="F387" s="37" t="s">
        <v>25</v>
      </c>
      <c r="G387" s="7" t="s">
        <v>902</v>
      </c>
      <c r="H387" s="12" t="s">
        <v>903</v>
      </c>
      <c r="I387" s="124" t="s">
        <v>902</v>
      </c>
      <c r="J387" s="7">
        <v>31</v>
      </c>
      <c r="K387" s="124" t="s">
        <v>1732</v>
      </c>
      <c r="L387" s="30" t="s">
        <v>908</v>
      </c>
      <c r="M387" s="16">
        <v>92.82937452528212</v>
      </c>
      <c r="N387" s="16">
        <v>22.601294093661839</v>
      </c>
      <c r="O387" s="16">
        <v>356.90002610948352</v>
      </c>
      <c r="P387" s="16">
        <v>17.305563502841526</v>
      </c>
      <c r="Q387" s="147">
        <v>646.9935675726997</v>
      </c>
      <c r="R387" s="147">
        <v>55.50982666015625</v>
      </c>
      <c r="S387" s="10">
        <v>0.86188968820765322</v>
      </c>
      <c r="T387" s="10">
        <v>-7.7885419542404293</v>
      </c>
      <c r="U387" s="16">
        <v>4.8939921415504163E-2</v>
      </c>
      <c r="V387" s="16">
        <v>7.4821595020752696</v>
      </c>
      <c r="W387" s="10">
        <v>15.270701456315699</v>
      </c>
      <c r="X387" s="10" t="s">
        <v>902</v>
      </c>
      <c r="Y387" s="10">
        <v>3.5</v>
      </c>
      <c r="Z387" s="10">
        <v>4.8</v>
      </c>
      <c r="AA387" s="20" t="s">
        <v>356</v>
      </c>
      <c r="AB387" s="7">
        <v>1086.4000000000001</v>
      </c>
      <c r="AC387" s="7">
        <v>539.6</v>
      </c>
      <c r="AD387" s="7">
        <v>0.49668630338733427</v>
      </c>
      <c r="AE387" s="7" t="s">
        <v>193</v>
      </c>
      <c r="AF387" s="38" t="s">
        <v>8</v>
      </c>
      <c r="AG387" s="11" t="s">
        <v>870</v>
      </c>
      <c r="AH387" s="7" t="s">
        <v>1242</v>
      </c>
    </row>
    <row r="388" spans="1:34" s="7" customFormat="1" ht="16.5" customHeight="1">
      <c r="A388" s="7">
        <v>2012</v>
      </c>
      <c r="B388" s="12">
        <v>41112</v>
      </c>
      <c r="C388" s="12" t="s">
        <v>22</v>
      </c>
      <c r="D388" s="37" t="s">
        <v>329</v>
      </c>
      <c r="E388" s="37" t="s">
        <v>17</v>
      </c>
      <c r="F388" s="37" t="s">
        <v>25</v>
      </c>
      <c r="G388" s="7" t="s">
        <v>902</v>
      </c>
      <c r="H388" s="12" t="s">
        <v>903</v>
      </c>
      <c r="I388" s="124" t="s">
        <v>902</v>
      </c>
      <c r="J388" s="7">
        <v>32</v>
      </c>
      <c r="K388" s="124" t="s">
        <v>1733</v>
      </c>
      <c r="L388" s="30" t="s">
        <v>908</v>
      </c>
      <c r="M388" s="16">
        <v>92.827196623149675</v>
      </c>
      <c r="N388" s="16">
        <v>22.843353171097604</v>
      </c>
      <c r="O388" s="16">
        <v>357.88357222707646</v>
      </c>
      <c r="P388" s="16">
        <v>16.8442742699071</v>
      </c>
      <c r="Q388" s="147">
        <v>694.70538330078125</v>
      </c>
      <c r="R388" s="147">
        <v>67.7340087890625</v>
      </c>
      <c r="S388" s="10">
        <v>0.86188968820765322</v>
      </c>
      <c r="T388" s="10">
        <v>-8.3450427219983396</v>
      </c>
      <c r="U388" s="16">
        <v>5.4943172555220743E-2</v>
      </c>
      <c r="V388" s="16">
        <v>7.4821595020752696</v>
      </c>
      <c r="W388" s="10">
        <v>15.827202224073609</v>
      </c>
      <c r="X388" s="10" t="s">
        <v>902</v>
      </c>
      <c r="Y388" s="10">
        <v>3.5</v>
      </c>
      <c r="Z388" s="10">
        <v>4.8</v>
      </c>
      <c r="AA388" s="20" t="s">
        <v>357</v>
      </c>
      <c r="AB388" s="7">
        <v>1143.8</v>
      </c>
      <c r="AC388" s="7">
        <v>546.9</v>
      </c>
      <c r="AD388" s="7">
        <v>0.47814303199860114</v>
      </c>
      <c r="AE388" s="7" t="s">
        <v>193</v>
      </c>
      <c r="AF388" s="38" t="s">
        <v>8</v>
      </c>
      <c r="AG388" s="11" t="s">
        <v>870</v>
      </c>
      <c r="AH388" s="7" t="s">
        <v>1242</v>
      </c>
    </row>
    <row r="389" spans="1:34" s="7" customFormat="1" ht="16.5" customHeight="1">
      <c r="A389" s="7">
        <v>2012</v>
      </c>
      <c r="B389" s="12">
        <v>41112</v>
      </c>
      <c r="C389" s="12" t="s">
        <v>22</v>
      </c>
      <c r="D389" s="37" t="s">
        <v>329</v>
      </c>
      <c r="E389" s="37" t="s">
        <v>17</v>
      </c>
      <c r="F389" s="37" t="s">
        <v>25</v>
      </c>
      <c r="G389" s="7" t="s">
        <v>902</v>
      </c>
      <c r="H389" s="12" t="s">
        <v>903</v>
      </c>
      <c r="I389" s="124" t="s">
        <v>902</v>
      </c>
      <c r="J389" s="7">
        <v>33</v>
      </c>
      <c r="K389" s="124" t="s">
        <v>1734</v>
      </c>
      <c r="L389" s="30" t="s">
        <v>908</v>
      </c>
      <c r="M389" s="16">
        <v>92.82387341951069</v>
      </c>
      <c r="N389" s="16">
        <v>23.007412659494502</v>
      </c>
      <c r="O389" s="16">
        <v>353.44435199938323</v>
      </c>
      <c r="P389" s="16">
        <v>17.672120847200091</v>
      </c>
      <c r="Q389" s="147">
        <v>710.39708187705594</v>
      </c>
      <c r="R389" s="147">
        <v>38.39276123046875</v>
      </c>
      <c r="S389" s="10">
        <v>0.86188968820765322</v>
      </c>
      <c r="T389" s="10">
        <v>-8.9483714410564872</v>
      </c>
      <c r="U389" s="16">
        <v>5.347629513656884E-2</v>
      </c>
      <c r="V389" s="16">
        <v>7.4821595020752696</v>
      </c>
      <c r="W389" s="10">
        <v>16.430530943131757</v>
      </c>
      <c r="X389" s="10" t="s">
        <v>902</v>
      </c>
      <c r="Y389" s="10">
        <v>3.5</v>
      </c>
      <c r="Z389" s="10">
        <v>4.8</v>
      </c>
      <c r="AA389" s="20" t="s">
        <v>358</v>
      </c>
      <c r="AB389" s="7">
        <v>1276.9000000000001</v>
      </c>
      <c r="AC389" s="7">
        <v>549.29999999999995</v>
      </c>
      <c r="AD389" s="7">
        <v>0.43018247317722602</v>
      </c>
      <c r="AE389" s="7" t="s">
        <v>193</v>
      </c>
      <c r="AF389" s="38" t="s">
        <v>8</v>
      </c>
      <c r="AG389" s="11" t="s">
        <v>870</v>
      </c>
      <c r="AH389" s="7" t="s">
        <v>1242</v>
      </c>
    </row>
    <row r="390" spans="1:34" s="7" customFormat="1" ht="16.5" customHeight="1">
      <c r="A390" s="7">
        <v>2012</v>
      </c>
      <c r="B390" s="12">
        <v>41112</v>
      </c>
      <c r="C390" s="12" t="s">
        <v>22</v>
      </c>
      <c r="D390" s="37" t="s">
        <v>329</v>
      </c>
      <c r="E390" s="37" t="s">
        <v>17</v>
      </c>
      <c r="F390" s="37" t="s">
        <v>25</v>
      </c>
      <c r="G390" s="7" t="s">
        <v>902</v>
      </c>
      <c r="H390" s="12" t="s">
        <v>903</v>
      </c>
      <c r="I390" s="124" t="s">
        <v>902</v>
      </c>
      <c r="J390" s="7">
        <v>12</v>
      </c>
      <c r="K390" s="124" t="s">
        <v>1735</v>
      </c>
      <c r="L390" s="30" t="s">
        <v>74</v>
      </c>
      <c r="M390" s="16">
        <v>92.896659427218964</v>
      </c>
      <c r="N390" s="16">
        <v>21.897137747870552</v>
      </c>
      <c r="O390" s="16">
        <v>366.16774664984808</v>
      </c>
      <c r="P390" s="16">
        <v>19.392418119642471</v>
      </c>
      <c r="Q390" s="147">
        <v>766.25450303819446</v>
      </c>
      <c r="R390" s="147">
        <v>4.383056640625</v>
      </c>
      <c r="S390" s="10">
        <v>0.86188968820765322</v>
      </c>
      <c r="T390" s="10">
        <v>-2.479982601857635</v>
      </c>
      <c r="U390" s="16">
        <v>3.0730657902295375E-2</v>
      </c>
      <c r="V390" s="16">
        <v>7.4821595020752696</v>
      </c>
      <c r="W390" s="10">
        <v>9.962142103932905</v>
      </c>
      <c r="X390" s="10" t="s">
        <v>902</v>
      </c>
      <c r="Y390" s="10">
        <v>3.5</v>
      </c>
      <c r="Z390" s="10">
        <v>4.8</v>
      </c>
      <c r="AA390" s="20" t="s">
        <v>344</v>
      </c>
      <c r="AB390" s="7">
        <v>1379.4</v>
      </c>
      <c r="AC390" s="7">
        <v>192.9</v>
      </c>
      <c r="AD390" s="7">
        <v>0.1398434101783384</v>
      </c>
      <c r="AE390" s="7" t="s">
        <v>193</v>
      </c>
      <c r="AF390" s="38" t="s">
        <v>8</v>
      </c>
      <c r="AG390" s="11" t="s">
        <v>864</v>
      </c>
      <c r="AH390" s="7" t="s">
        <v>1242</v>
      </c>
    </row>
    <row r="391" spans="1:34" s="7" customFormat="1" ht="16.5" customHeight="1">
      <c r="A391" s="7">
        <v>2012</v>
      </c>
      <c r="B391" s="12">
        <v>41112</v>
      </c>
      <c r="C391" s="12" t="s">
        <v>22</v>
      </c>
      <c r="D391" s="37" t="s">
        <v>329</v>
      </c>
      <c r="E391" s="37" t="s">
        <v>17</v>
      </c>
      <c r="F391" s="37" t="s">
        <v>25</v>
      </c>
      <c r="G391" s="7" t="s">
        <v>902</v>
      </c>
      <c r="H391" s="12" t="s">
        <v>903</v>
      </c>
      <c r="I391" s="124" t="s">
        <v>902</v>
      </c>
      <c r="J391" s="7">
        <v>13</v>
      </c>
      <c r="K391" s="124" t="s">
        <v>363</v>
      </c>
      <c r="L391" s="30" t="s">
        <v>74</v>
      </c>
      <c r="M391" s="16">
        <v>92.894822862413193</v>
      </c>
      <c r="N391" s="16">
        <v>21.601233270433212</v>
      </c>
      <c r="O391" s="16">
        <v>371.41630384657117</v>
      </c>
      <c r="P391" s="16">
        <v>18.014200740390354</v>
      </c>
      <c r="Q391" s="147">
        <v>766.56168958875867</v>
      </c>
      <c r="R391" s="147">
        <v>2.32269287109375</v>
      </c>
      <c r="S391" s="10">
        <v>0.86188968820765322</v>
      </c>
      <c r="T391" s="10">
        <v>-4.3479822813717917</v>
      </c>
      <c r="U391" s="16">
        <v>4.9526808062574076E-2</v>
      </c>
      <c r="V391" s="16">
        <v>7.4821595020752696</v>
      </c>
      <c r="W391" s="10">
        <v>11.830141783447061</v>
      </c>
      <c r="X391" s="10" t="s">
        <v>902</v>
      </c>
      <c r="Y391" s="10">
        <v>3.5</v>
      </c>
      <c r="Z391" s="10">
        <v>4.8</v>
      </c>
      <c r="AA391" s="20" t="s">
        <v>345</v>
      </c>
      <c r="AB391" s="7">
        <v>1391.6</v>
      </c>
      <c r="AC391" s="7">
        <v>191.7</v>
      </c>
      <c r="AD391" s="7">
        <v>0.13775510204081634</v>
      </c>
      <c r="AE391" s="7" t="s">
        <v>193</v>
      </c>
      <c r="AF391" s="38" t="s">
        <v>8</v>
      </c>
      <c r="AG391" s="11" t="s">
        <v>864</v>
      </c>
      <c r="AH391" s="7" t="s">
        <v>1242</v>
      </c>
    </row>
    <row r="392" spans="1:34" s="7" customFormat="1" ht="16.5" customHeight="1">
      <c r="A392" s="7">
        <v>2012</v>
      </c>
      <c r="B392" s="12">
        <v>41112</v>
      </c>
      <c r="C392" s="12" t="s">
        <v>22</v>
      </c>
      <c r="D392" s="37" t="s">
        <v>329</v>
      </c>
      <c r="E392" s="37" t="s">
        <v>17</v>
      </c>
      <c r="F392" s="37" t="s">
        <v>25</v>
      </c>
      <c r="G392" s="7" t="s">
        <v>902</v>
      </c>
      <c r="H392" s="12" t="s">
        <v>903</v>
      </c>
      <c r="I392" s="124" t="s">
        <v>902</v>
      </c>
      <c r="J392" s="7">
        <v>14</v>
      </c>
      <c r="K392" s="124" t="s">
        <v>362</v>
      </c>
      <c r="L392" s="30" t="s">
        <v>909</v>
      </c>
      <c r="M392" s="16">
        <v>92.842516848915508</v>
      </c>
      <c r="N392" s="16">
        <v>26.506587379857113</v>
      </c>
      <c r="O392" s="16">
        <v>346.56437763414885</v>
      </c>
      <c r="P392" s="16">
        <v>19.754550532290811</v>
      </c>
      <c r="Q392" s="147">
        <v>971.79554828844573</v>
      </c>
      <c r="R392" s="147">
        <v>61.4630126953125</v>
      </c>
      <c r="S392" s="10">
        <v>0.86188968820765322</v>
      </c>
      <c r="T392" s="10">
        <v>-11.866364822449704</v>
      </c>
      <c r="U392" s="16">
        <v>6.1502535301342372E-2</v>
      </c>
      <c r="V392" s="16">
        <v>7.4821595020752696</v>
      </c>
      <c r="W392" s="10">
        <v>19.348524324524973</v>
      </c>
      <c r="X392" s="10" t="s">
        <v>902</v>
      </c>
      <c r="Y392" s="10">
        <v>3.5</v>
      </c>
      <c r="Z392" s="10">
        <v>4.8</v>
      </c>
      <c r="AA392" s="20" t="s">
        <v>315</v>
      </c>
      <c r="AB392" s="7">
        <v>1186.5</v>
      </c>
      <c r="AC392" s="7">
        <v>490.7</v>
      </c>
      <c r="AD392" s="7">
        <v>0.41356932153392328</v>
      </c>
      <c r="AE392" s="7" t="s">
        <v>193</v>
      </c>
      <c r="AF392" s="38" t="s">
        <v>8</v>
      </c>
      <c r="AG392" s="11" t="s">
        <v>864</v>
      </c>
      <c r="AH392" s="7" t="s">
        <v>1242</v>
      </c>
    </row>
    <row r="393" spans="1:34" s="7" customFormat="1" ht="16.5" customHeight="1">
      <c r="A393" s="7">
        <v>2012</v>
      </c>
      <c r="B393" s="12">
        <v>41112</v>
      </c>
      <c r="C393" s="12" t="s">
        <v>22</v>
      </c>
      <c r="D393" s="37" t="s">
        <v>329</v>
      </c>
      <c r="E393" s="37" t="s">
        <v>17</v>
      </c>
      <c r="F393" s="37" t="s">
        <v>25</v>
      </c>
      <c r="G393" s="7" t="s">
        <v>902</v>
      </c>
      <c r="H393" s="12" t="s">
        <v>903</v>
      </c>
      <c r="I393" s="124" t="s">
        <v>902</v>
      </c>
      <c r="J393" s="7">
        <v>23</v>
      </c>
      <c r="K393" s="124" t="s">
        <v>1736</v>
      </c>
      <c r="L393" s="20" t="s">
        <v>909</v>
      </c>
      <c r="M393" s="16">
        <v>92.824280209011505</v>
      </c>
      <c r="N393" s="16">
        <v>24.519698990715874</v>
      </c>
      <c r="O393" s="16">
        <v>349.46775987413196</v>
      </c>
      <c r="P393" s="16">
        <v>20.371394051445854</v>
      </c>
      <c r="Q393" s="147">
        <v>992.36454264322913</v>
      </c>
      <c r="R393" s="147">
        <v>24.47076416015625</v>
      </c>
      <c r="S393" s="10">
        <v>0.86188968820765322</v>
      </c>
      <c r="T393" s="10">
        <v>-13.000659185462696</v>
      </c>
      <c r="U393" s="16">
        <v>5.9063241208669938E-2</v>
      </c>
      <c r="V393" s="16">
        <v>7.4821595020752696</v>
      </c>
      <c r="W393" s="10">
        <v>20.482818687537964</v>
      </c>
      <c r="X393" s="10" t="s">
        <v>902</v>
      </c>
      <c r="Y393" s="10">
        <v>3.5</v>
      </c>
      <c r="Z393" s="10">
        <v>4.8</v>
      </c>
      <c r="AA393" s="20" t="s">
        <v>360</v>
      </c>
      <c r="AB393" s="7">
        <v>1182.9000000000001</v>
      </c>
      <c r="AC393" s="7">
        <v>527.29999999999995</v>
      </c>
      <c r="AD393" s="7">
        <v>0.44576887310846219</v>
      </c>
      <c r="AE393" s="7" t="s">
        <v>193</v>
      </c>
      <c r="AF393" s="38" t="s">
        <v>8</v>
      </c>
      <c r="AG393" s="11" t="s">
        <v>2</v>
      </c>
      <c r="AH393" s="7" t="s">
        <v>1242</v>
      </c>
    </row>
    <row r="394" spans="1:34" s="7" customFormat="1" ht="16.5" customHeight="1">
      <c r="A394" s="7">
        <v>2012</v>
      </c>
      <c r="B394" s="12">
        <v>41112</v>
      </c>
      <c r="C394" s="12" t="s">
        <v>22</v>
      </c>
      <c r="D394" s="37" t="s">
        <v>329</v>
      </c>
      <c r="E394" s="37" t="s">
        <v>17</v>
      </c>
      <c r="F394" s="37" t="s">
        <v>25</v>
      </c>
      <c r="G394" s="7" t="s">
        <v>902</v>
      </c>
      <c r="H394" s="12" t="s">
        <v>903</v>
      </c>
      <c r="I394" s="124" t="s">
        <v>902</v>
      </c>
      <c r="J394" s="7">
        <v>15</v>
      </c>
      <c r="K394" s="124" t="s">
        <v>1737</v>
      </c>
      <c r="L394" s="30" t="s">
        <v>909</v>
      </c>
      <c r="M394" s="16">
        <v>92.909166034899258</v>
      </c>
      <c r="N394" s="16">
        <v>23.156177520751953</v>
      </c>
      <c r="O394" s="16">
        <v>358.35928505345396</v>
      </c>
      <c r="P394" s="16">
        <v>20.572806308144017</v>
      </c>
      <c r="Q394" s="147">
        <v>1090.5028654399671</v>
      </c>
      <c r="R394" s="147">
        <v>3.7490234375</v>
      </c>
      <c r="S394" s="10">
        <v>0.86188968820765322</v>
      </c>
      <c r="T394" s="10">
        <v>-6.2520479938491009</v>
      </c>
      <c r="U394" s="16">
        <v>4.0499573423151386E-2</v>
      </c>
      <c r="V394" s="16">
        <v>7.4821595020752696</v>
      </c>
      <c r="W394" s="10">
        <v>13.73420749592437</v>
      </c>
      <c r="X394" s="10" t="s">
        <v>902</v>
      </c>
      <c r="Y394" s="10">
        <v>3.5</v>
      </c>
      <c r="Z394" s="10">
        <v>4.8</v>
      </c>
      <c r="AA394" s="20" t="s">
        <v>301</v>
      </c>
      <c r="AB394" s="7">
        <v>1315.9</v>
      </c>
      <c r="AC394" s="7">
        <v>190.4</v>
      </c>
      <c r="AD394" s="7">
        <v>0.14469184588494566</v>
      </c>
      <c r="AE394" s="7" t="s">
        <v>193</v>
      </c>
      <c r="AF394" s="38" t="s">
        <v>8</v>
      </c>
      <c r="AG394" s="11" t="s">
        <v>864</v>
      </c>
      <c r="AH394" s="7" t="s">
        <v>1368</v>
      </c>
    </row>
    <row r="395" spans="1:34" s="7" customFormat="1" ht="16.5" customHeight="1">
      <c r="A395" s="7">
        <v>2012</v>
      </c>
      <c r="B395" s="12">
        <v>41112</v>
      </c>
      <c r="C395" s="12" t="s">
        <v>22</v>
      </c>
      <c r="D395" s="37" t="s">
        <v>329</v>
      </c>
      <c r="E395" s="37" t="s">
        <v>17</v>
      </c>
      <c r="F395" s="37" t="s">
        <v>25</v>
      </c>
      <c r="G395" s="7" t="s">
        <v>902</v>
      </c>
      <c r="H395" s="12" t="s">
        <v>903</v>
      </c>
      <c r="I395" s="124" t="s">
        <v>902</v>
      </c>
      <c r="J395" s="7">
        <v>16</v>
      </c>
      <c r="K395" s="124" t="s">
        <v>1738</v>
      </c>
      <c r="L395" s="30" t="s">
        <v>909</v>
      </c>
      <c r="M395" s="16">
        <v>92.901849445543789</v>
      </c>
      <c r="N395" s="16">
        <v>23.505950225026982</v>
      </c>
      <c r="O395" s="16">
        <v>361.27363184878703</v>
      </c>
      <c r="P395" s="16">
        <v>18.744245729948346</v>
      </c>
      <c r="Q395" s="147">
        <v>1094.3965357730262</v>
      </c>
      <c r="R395" s="147">
        <v>4.3321533203125</v>
      </c>
      <c r="S395" s="10">
        <v>0.86188968820765322</v>
      </c>
      <c r="T395" s="10">
        <v>-8.2386004909785768</v>
      </c>
      <c r="U395" s="16">
        <v>6.719485500402618E-2</v>
      </c>
      <c r="V395" s="16">
        <v>7.4821595020752696</v>
      </c>
      <c r="W395" s="10">
        <v>15.720759993053846</v>
      </c>
      <c r="X395" s="10" t="s">
        <v>902</v>
      </c>
      <c r="Y395" s="10">
        <v>3.5</v>
      </c>
      <c r="Z395" s="10">
        <v>4.8</v>
      </c>
      <c r="AA395" s="20" t="s">
        <v>330</v>
      </c>
      <c r="AB395" s="7">
        <v>1345.2</v>
      </c>
      <c r="AC395" s="7">
        <v>192.9</v>
      </c>
      <c r="AD395" s="7">
        <v>0.14339875111507583</v>
      </c>
      <c r="AE395" s="7" t="s">
        <v>193</v>
      </c>
      <c r="AF395" s="38" t="s">
        <v>8</v>
      </c>
      <c r="AG395" s="11" t="s">
        <v>864</v>
      </c>
      <c r="AH395" s="7" t="s">
        <v>1242</v>
      </c>
    </row>
    <row r="396" spans="1:34" s="7" customFormat="1" ht="16.5" customHeight="1">
      <c r="A396" s="7">
        <v>2012</v>
      </c>
      <c r="B396" s="12">
        <v>41112</v>
      </c>
      <c r="C396" s="12" t="s">
        <v>22</v>
      </c>
      <c r="D396" s="37" t="s">
        <v>329</v>
      </c>
      <c r="E396" s="37" t="s">
        <v>17</v>
      </c>
      <c r="F396" s="37" t="s">
        <v>25</v>
      </c>
      <c r="G396" s="7" t="s">
        <v>902</v>
      </c>
      <c r="H396" s="12" t="s">
        <v>903</v>
      </c>
      <c r="I396" s="124" t="s">
        <v>902</v>
      </c>
      <c r="J396" s="7">
        <v>17</v>
      </c>
      <c r="K396" s="124" t="s">
        <v>361</v>
      </c>
      <c r="L396" s="30" t="s">
        <v>909</v>
      </c>
      <c r="M396" s="16">
        <v>92.906088176526524</v>
      </c>
      <c r="N396" s="16">
        <v>23.575040817260742</v>
      </c>
      <c r="O396" s="16">
        <v>364.39080168071547</v>
      </c>
      <c r="P396" s="16">
        <v>19.103765889217978</v>
      </c>
      <c r="Q396" s="147">
        <v>1096.523193359375</v>
      </c>
      <c r="R396" s="147">
        <v>3.99560546875</v>
      </c>
      <c r="S396" s="10">
        <v>0.86188968820765322</v>
      </c>
      <c r="T396" s="10">
        <v>-7.284240787028649</v>
      </c>
      <c r="U396" s="16">
        <v>6.9244913469281091E-2</v>
      </c>
      <c r="V396" s="16">
        <v>7.4821595020752696</v>
      </c>
      <c r="W396" s="10">
        <v>14.766400289103919</v>
      </c>
      <c r="X396" s="10" t="s">
        <v>902</v>
      </c>
      <c r="Y396" s="10">
        <v>3.5</v>
      </c>
      <c r="Z396" s="10">
        <v>4.8</v>
      </c>
      <c r="AA396" s="20" t="s">
        <v>302</v>
      </c>
      <c r="AB396" s="7">
        <v>1335.4</v>
      </c>
      <c r="AC396" s="7">
        <v>192.9</v>
      </c>
      <c r="AD396" s="7">
        <v>0.14445110079376966</v>
      </c>
      <c r="AE396" s="7" t="s">
        <v>193</v>
      </c>
      <c r="AF396" s="38" t="s">
        <v>8</v>
      </c>
      <c r="AG396" s="11" t="s">
        <v>864</v>
      </c>
      <c r="AH396" s="7" t="s">
        <v>1368</v>
      </c>
    </row>
    <row r="397" spans="1:34" s="7" customFormat="1" ht="16.5" customHeight="1">
      <c r="A397" s="7">
        <v>2012</v>
      </c>
      <c r="B397" s="12">
        <v>41112</v>
      </c>
      <c r="C397" s="12" t="s">
        <v>22</v>
      </c>
      <c r="D397" s="37" t="s">
        <v>329</v>
      </c>
      <c r="E397" s="37" t="s">
        <v>17</v>
      </c>
      <c r="F397" s="37" t="s">
        <v>25</v>
      </c>
      <c r="G397" s="7" t="s">
        <v>902</v>
      </c>
      <c r="H397" s="12" t="s">
        <v>903</v>
      </c>
      <c r="I397" s="124" t="s">
        <v>902</v>
      </c>
      <c r="J397" s="7">
        <v>18</v>
      </c>
      <c r="K397" s="124" t="s">
        <v>1739</v>
      </c>
      <c r="L397" s="30" t="s">
        <v>909</v>
      </c>
      <c r="M397" s="16">
        <v>92.861449392218333</v>
      </c>
      <c r="N397" s="16">
        <v>23.635347366333008</v>
      </c>
      <c r="O397" s="16">
        <v>365.71802882144328</v>
      </c>
      <c r="P397" s="16">
        <v>16.733740505419281</v>
      </c>
      <c r="Q397" s="147">
        <v>1166.1045628597863</v>
      </c>
      <c r="R397" s="147">
        <v>35.97265625</v>
      </c>
      <c r="S397" s="10">
        <v>0.86188968820765322</v>
      </c>
      <c r="T397" s="10">
        <v>-7.7788071025602656</v>
      </c>
      <c r="U397" s="16">
        <v>8.0138285954793317E-2</v>
      </c>
      <c r="V397" s="16">
        <v>7.4821595020752696</v>
      </c>
      <c r="W397" s="10">
        <v>15.260966604635534</v>
      </c>
      <c r="X397" s="10" t="s">
        <v>902</v>
      </c>
      <c r="Y397" s="10">
        <v>3.5</v>
      </c>
      <c r="Z397" s="10">
        <v>4.8</v>
      </c>
      <c r="AA397" s="20" t="s">
        <v>314</v>
      </c>
      <c r="AB397" s="7">
        <v>1413.6</v>
      </c>
      <c r="AC397" s="7">
        <v>261.2</v>
      </c>
      <c r="AD397" s="7">
        <v>0.18477645727221279</v>
      </c>
      <c r="AE397" s="7" t="s">
        <v>193</v>
      </c>
      <c r="AF397" s="38" t="s">
        <v>8</v>
      </c>
      <c r="AG397" s="11" t="s">
        <v>864</v>
      </c>
      <c r="AH397" s="7" t="s">
        <v>1242</v>
      </c>
    </row>
    <row r="398" spans="1:34" s="7" customFormat="1" ht="16.5" customHeight="1">
      <c r="A398" s="7">
        <v>2012</v>
      </c>
      <c r="B398" s="12">
        <v>41102</v>
      </c>
      <c r="C398" s="12" t="s">
        <v>22</v>
      </c>
      <c r="D398" s="37" t="s">
        <v>329</v>
      </c>
      <c r="E398" s="37" t="s">
        <v>17</v>
      </c>
      <c r="F398" s="37" t="s">
        <v>25</v>
      </c>
      <c r="G398" s="7" t="s">
        <v>902</v>
      </c>
      <c r="H398" s="12" t="s">
        <v>903</v>
      </c>
      <c r="I398" s="124" t="s">
        <v>902</v>
      </c>
      <c r="J398" s="7">
        <v>19</v>
      </c>
      <c r="K398" s="124" t="s">
        <v>1740</v>
      </c>
      <c r="L398" s="30" t="s">
        <v>909</v>
      </c>
      <c r="M398" s="16">
        <v>92.461218939887146</v>
      </c>
      <c r="N398" s="16">
        <v>28.411289427015518</v>
      </c>
      <c r="O398" s="16">
        <v>340.24849446614581</v>
      </c>
      <c r="P398" s="16">
        <v>22.687063111199272</v>
      </c>
      <c r="Q398" s="147">
        <v>1183.3199530707466</v>
      </c>
      <c r="R398" s="147">
        <v>258.9310302734375</v>
      </c>
      <c r="S398" s="10">
        <v>0.86188968820765322</v>
      </c>
      <c r="T398" s="10">
        <v>-16.913060082064739</v>
      </c>
      <c r="U398" s="16">
        <v>9.5723846994563405E-2</v>
      </c>
      <c r="V398" s="16">
        <v>7.4821595020752696</v>
      </c>
      <c r="W398" s="10">
        <v>24.395219584140008</v>
      </c>
      <c r="X398" s="10" t="s">
        <v>902</v>
      </c>
      <c r="Y398" s="10">
        <v>3.5</v>
      </c>
      <c r="Z398" s="10">
        <v>4.8</v>
      </c>
      <c r="AA398" s="20" t="s">
        <v>314</v>
      </c>
      <c r="AB398" s="7">
        <v>1765.1</v>
      </c>
      <c r="AC398" s="7">
        <v>588.4</v>
      </c>
      <c r="AD398" s="7">
        <v>0.33335221800464565</v>
      </c>
      <c r="AE398" s="7" t="s">
        <v>193</v>
      </c>
      <c r="AF398" s="38" t="s">
        <v>8</v>
      </c>
      <c r="AG398" s="11" t="s">
        <v>864</v>
      </c>
      <c r="AH398" s="7" t="s">
        <v>1242</v>
      </c>
    </row>
    <row r="399" spans="1:34" s="7" customFormat="1" ht="16.5" customHeight="1">
      <c r="A399" s="7">
        <v>2012</v>
      </c>
      <c r="B399" s="12">
        <v>41102</v>
      </c>
      <c r="C399" s="12" t="s">
        <v>22</v>
      </c>
      <c r="D399" s="37" t="s">
        <v>329</v>
      </c>
      <c r="E399" s="37" t="s">
        <v>17</v>
      </c>
      <c r="F399" s="37" t="s">
        <v>25</v>
      </c>
      <c r="G399" s="7" t="s">
        <v>902</v>
      </c>
      <c r="H399" s="12" t="s">
        <v>903</v>
      </c>
      <c r="I399" s="124" t="s">
        <v>902</v>
      </c>
      <c r="J399" s="7">
        <v>20</v>
      </c>
      <c r="K399" s="124" t="s">
        <v>1741</v>
      </c>
      <c r="L399" s="30" t="s">
        <v>909</v>
      </c>
      <c r="M399" s="16">
        <v>92.460271623399521</v>
      </c>
      <c r="N399" s="16">
        <v>28.478142632378471</v>
      </c>
      <c r="O399" s="16">
        <v>341.63809373643664</v>
      </c>
      <c r="P399" s="16">
        <v>20.011412832472061</v>
      </c>
      <c r="Q399" s="147">
        <v>1326.7830878363716</v>
      </c>
      <c r="R399" s="147">
        <v>29.700927734375</v>
      </c>
      <c r="S399" s="10">
        <v>0.86188968820765322</v>
      </c>
      <c r="T399" s="10">
        <v>-19.396649159576018</v>
      </c>
      <c r="U399" s="16">
        <v>0.11435247624006557</v>
      </c>
      <c r="V399" s="16">
        <v>7.4821595020752696</v>
      </c>
      <c r="W399" s="10">
        <v>26.878808661651288</v>
      </c>
      <c r="X399" s="10" t="s">
        <v>902</v>
      </c>
      <c r="Y399" s="10">
        <v>3.5</v>
      </c>
      <c r="Z399" s="10">
        <v>4.8</v>
      </c>
      <c r="AA399" s="20" t="s">
        <v>302</v>
      </c>
      <c r="AB399" s="7">
        <v>1606.4</v>
      </c>
      <c r="AC399" s="7">
        <v>496.8</v>
      </c>
      <c r="AD399" s="7">
        <v>0.30926294820717132</v>
      </c>
      <c r="AE399" s="7" t="s">
        <v>193</v>
      </c>
      <c r="AF399" s="38" t="s">
        <v>8</v>
      </c>
      <c r="AG399" s="11" t="s">
        <v>864</v>
      </c>
      <c r="AH399" s="7" t="s">
        <v>1242</v>
      </c>
    </row>
    <row r="400" spans="1:34" s="7" customFormat="1" ht="16.5" customHeight="1">
      <c r="A400" s="7">
        <v>2012</v>
      </c>
      <c r="B400" s="12">
        <v>41102</v>
      </c>
      <c r="C400" s="12" t="s">
        <v>22</v>
      </c>
      <c r="D400" s="37" t="s">
        <v>329</v>
      </c>
      <c r="E400" s="37" t="s">
        <v>17</v>
      </c>
      <c r="F400" s="37" t="s">
        <v>25</v>
      </c>
      <c r="G400" s="7" t="s">
        <v>902</v>
      </c>
      <c r="H400" s="12" t="s">
        <v>903</v>
      </c>
      <c r="I400" s="124" t="s">
        <v>902</v>
      </c>
      <c r="J400" s="7">
        <v>21</v>
      </c>
      <c r="K400" s="124" t="s">
        <v>1742</v>
      </c>
      <c r="L400" s="30" t="s">
        <v>909</v>
      </c>
      <c r="M400" s="16">
        <v>92.460719058388165</v>
      </c>
      <c r="N400" s="16">
        <v>28.393170808490954</v>
      </c>
      <c r="O400" s="16">
        <v>341.06440654553865</v>
      </c>
      <c r="P400" s="16">
        <v>20.685991387618216</v>
      </c>
      <c r="Q400" s="147">
        <v>1358.7981214021381</v>
      </c>
      <c r="R400" s="147">
        <v>96.0015869140625</v>
      </c>
      <c r="S400" s="10">
        <v>0.86188968820765322</v>
      </c>
      <c r="T400" s="10">
        <v>-18.177763968490947</v>
      </c>
      <c r="U400" s="16">
        <v>0.11147087164092483</v>
      </c>
      <c r="V400" s="16">
        <v>7.4821595020752696</v>
      </c>
      <c r="W400" s="10">
        <v>25.659923470566216</v>
      </c>
      <c r="X400" s="10" t="s">
        <v>902</v>
      </c>
      <c r="Y400" s="10">
        <v>3.5</v>
      </c>
      <c r="Z400" s="10">
        <v>4.8</v>
      </c>
      <c r="AA400" s="20" t="s">
        <v>330</v>
      </c>
      <c r="AB400" s="7">
        <v>1662.6</v>
      </c>
      <c r="AC400" s="7">
        <v>521.20000000000005</v>
      </c>
      <c r="AD400" s="7">
        <v>0.31348490316371952</v>
      </c>
      <c r="AE400" s="7" t="s">
        <v>193</v>
      </c>
      <c r="AF400" s="38" t="s">
        <v>8</v>
      </c>
      <c r="AG400" s="11" t="s">
        <v>864</v>
      </c>
      <c r="AH400" s="7" t="s">
        <v>1242</v>
      </c>
    </row>
    <row r="401" spans="1:34" s="7" customFormat="1" ht="16.5" customHeight="1">
      <c r="A401" s="7">
        <v>2012</v>
      </c>
      <c r="B401" s="12">
        <v>41102</v>
      </c>
      <c r="C401" s="12" t="s">
        <v>22</v>
      </c>
      <c r="D401" s="37" t="s">
        <v>329</v>
      </c>
      <c r="E401" s="37" t="s">
        <v>17</v>
      </c>
      <c r="F401" s="37" t="s">
        <v>25</v>
      </c>
      <c r="G401" s="7" t="s">
        <v>902</v>
      </c>
      <c r="H401" s="12" t="s">
        <v>903</v>
      </c>
      <c r="I401" s="124" t="s">
        <v>902</v>
      </c>
      <c r="J401" s="7">
        <v>22</v>
      </c>
      <c r="K401" s="124" t="s">
        <v>1743</v>
      </c>
      <c r="L401" s="30" t="s">
        <v>909</v>
      </c>
      <c r="M401" s="16">
        <v>92.459057055021589</v>
      </c>
      <c r="N401" s="16">
        <v>25.951421737670898</v>
      </c>
      <c r="O401" s="16">
        <v>363.27726022820724</v>
      </c>
      <c r="P401" s="16">
        <v>17.986369383962529</v>
      </c>
      <c r="Q401" s="147">
        <v>1470.5837916324012</v>
      </c>
      <c r="R401" s="147">
        <v>170.157470703125</v>
      </c>
      <c r="S401" s="10">
        <v>0.86188968820765322</v>
      </c>
      <c r="T401" s="10">
        <v>-5.1801809708700395</v>
      </c>
      <c r="U401" s="16">
        <v>6.9698691786381259E-2</v>
      </c>
      <c r="V401" s="16">
        <v>7.4821595020752696</v>
      </c>
      <c r="W401" s="10">
        <v>12.66234047294531</v>
      </c>
      <c r="X401" s="10" t="s">
        <v>902</v>
      </c>
      <c r="Y401" s="10">
        <v>3.5</v>
      </c>
      <c r="Z401" s="10">
        <v>4.8</v>
      </c>
      <c r="AA401" s="20" t="s">
        <v>341</v>
      </c>
      <c r="AB401" s="7">
        <v>1884.8</v>
      </c>
      <c r="AC401" s="7">
        <v>546.9</v>
      </c>
      <c r="AD401" s="7">
        <v>0.29016341256366723</v>
      </c>
      <c r="AE401" s="7" t="s">
        <v>193</v>
      </c>
      <c r="AF401" s="38" t="s">
        <v>8</v>
      </c>
      <c r="AG401" s="11" t="s">
        <v>864</v>
      </c>
      <c r="AH401" s="7" t="s">
        <v>1242</v>
      </c>
    </row>
    <row r="402" spans="1:34" s="7" customFormat="1" ht="16.5" customHeight="1">
      <c r="A402" s="7">
        <v>2012</v>
      </c>
      <c r="B402" s="12">
        <v>41115</v>
      </c>
      <c r="C402" s="7" t="s">
        <v>22</v>
      </c>
      <c r="D402" s="9" t="s">
        <v>23</v>
      </c>
      <c r="E402" s="9" t="s">
        <v>18</v>
      </c>
      <c r="F402" s="9" t="s">
        <v>25</v>
      </c>
      <c r="G402" s="7" t="s">
        <v>902</v>
      </c>
      <c r="H402" s="7" t="s">
        <v>903</v>
      </c>
      <c r="I402" s="124" t="s">
        <v>902</v>
      </c>
      <c r="J402" s="7">
        <v>5</v>
      </c>
      <c r="K402" s="124" t="s">
        <v>1744</v>
      </c>
      <c r="L402" s="20" t="s">
        <v>904</v>
      </c>
      <c r="M402" s="22">
        <v>93.214760629754323</v>
      </c>
      <c r="N402" s="22">
        <v>17.456350527311628</v>
      </c>
      <c r="O402" s="22">
        <v>397.09361668636922</v>
      </c>
      <c r="P402" s="22">
        <v>17.290238330238743</v>
      </c>
      <c r="Q402" s="148">
        <v>7.3844509425965182E-2</v>
      </c>
      <c r="R402" s="148">
        <v>0.19043804553803056</v>
      </c>
      <c r="S402" s="10">
        <v>0.80745583686732481</v>
      </c>
      <c r="T402" s="10">
        <v>9.1339494531569301</v>
      </c>
      <c r="U402" s="22">
        <v>1.038068135579427E-2</v>
      </c>
      <c r="V402" s="16">
        <v>8.7694263191844293</v>
      </c>
      <c r="W402" s="10">
        <v>-0.3645231339725008</v>
      </c>
      <c r="X402" s="10" t="s">
        <v>902</v>
      </c>
      <c r="Y402" s="10">
        <v>1.2333333333333334</v>
      </c>
      <c r="Z402" s="10">
        <v>3.3666666666666667</v>
      </c>
      <c r="AA402" s="20" t="s">
        <v>382</v>
      </c>
      <c r="AB402" s="7">
        <v>760.5</v>
      </c>
      <c r="AC402" s="7">
        <v>676.3</v>
      </c>
      <c r="AD402" s="10">
        <v>0.8892833662064431</v>
      </c>
      <c r="AE402" s="7" t="s">
        <v>902</v>
      </c>
      <c r="AF402" s="20" t="s">
        <v>27</v>
      </c>
      <c r="AG402" s="11" t="s">
        <v>404</v>
      </c>
      <c r="AH402" s="7" t="s">
        <v>1242</v>
      </c>
    </row>
    <row r="403" spans="1:34" s="7" customFormat="1" ht="16.5" customHeight="1">
      <c r="A403" s="7">
        <v>2012</v>
      </c>
      <c r="B403" s="12">
        <v>41116</v>
      </c>
      <c r="C403" s="7" t="s">
        <v>22</v>
      </c>
      <c r="D403" s="9" t="s">
        <v>23</v>
      </c>
      <c r="E403" s="9" t="s">
        <v>18</v>
      </c>
      <c r="F403" s="9" t="s">
        <v>25</v>
      </c>
      <c r="G403" s="7" t="s">
        <v>902</v>
      </c>
      <c r="H403" s="7" t="s">
        <v>903</v>
      </c>
      <c r="I403" s="124" t="s">
        <v>902</v>
      </c>
      <c r="J403" s="7">
        <v>6</v>
      </c>
      <c r="K403" s="124" t="s">
        <v>1745</v>
      </c>
      <c r="L403" s="20" t="s">
        <v>904</v>
      </c>
      <c r="M403" s="16">
        <v>92.894620393451888</v>
      </c>
      <c r="N403" s="16">
        <v>21.102086418553402</v>
      </c>
      <c r="O403" s="16">
        <v>411.69534301757813</v>
      </c>
      <c r="P403" s="16">
        <v>22.441075776752673</v>
      </c>
      <c r="Q403" s="147">
        <v>7.8145797217362811E-2</v>
      </c>
      <c r="R403" s="147">
        <v>0.16051830351352692</v>
      </c>
      <c r="S403" s="10">
        <v>0.80745583686732481</v>
      </c>
      <c r="T403" s="10">
        <v>13.594446416667667</v>
      </c>
      <c r="U403" s="16">
        <v>2.5331289726391173E-2</v>
      </c>
      <c r="V403" s="16">
        <v>8.7694263191844293</v>
      </c>
      <c r="W403" s="10">
        <v>-4.8250200974832378</v>
      </c>
      <c r="X403" s="10" t="s">
        <v>902</v>
      </c>
      <c r="Y403" s="10">
        <v>1.2333333333333334</v>
      </c>
      <c r="Z403" s="10">
        <v>3.3666666666666667</v>
      </c>
      <c r="AA403" s="20" t="s">
        <v>403</v>
      </c>
      <c r="AB403" s="7">
        <v>1095</v>
      </c>
      <c r="AC403" s="7">
        <v>539.6</v>
      </c>
      <c r="AD403" s="10">
        <v>0.49278538812785389</v>
      </c>
      <c r="AE403" s="7" t="s">
        <v>902</v>
      </c>
      <c r="AF403" s="20" t="s">
        <v>27</v>
      </c>
      <c r="AG403" s="11" t="s">
        <v>404</v>
      </c>
      <c r="AH403" s="7" t="s">
        <v>1242</v>
      </c>
    </row>
    <row r="404" spans="1:34" s="7" customFormat="1" ht="16.5" customHeight="1">
      <c r="A404" s="7">
        <v>2012</v>
      </c>
      <c r="B404" s="12">
        <v>41115</v>
      </c>
      <c r="C404" s="7" t="s">
        <v>22</v>
      </c>
      <c r="D404" s="9" t="s">
        <v>23</v>
      </c>
      <c r="E404" s="9" t="s">
        <v>18</v>
      </c>
      <c r="F404" s="9" t="s">
        <v>25</v>
      </c>
      <c r="G404" s="7" t="s">
        <v>902</v>
      </c>
      <c r="H404" s="7" t="s">
        <v>903</v>
      </c>
      <c r="I404" s="124" t="s">
        <v>902</v>
      </c>
      <c r="J404" s="7">
        <v>7</v>
      </c>
      <c r="K404" s="124" t="s">
        <v>1746</v>
      </c>
      <c r="L404" s="20" t="s">
        <v>904</v>
      </c>
      <c r="M404" s="16">
        <v>93.218941752115882</v>
      </c>
      <c r="N404" s="16">
        <v>17.43869908650716</v>
      </c>
      <c r="O404" s="16">
        <v>381.62265421549478</v>
      </c>
      <c r="P404" s="16">
        <v>16.889589564005533</v>
      </c>
      <c r="Q404" s="147">
        <v>9.3535553446660438E-2</v>
      </c>
      <c r="R404" s="147">
        <v>0.21796416351571679</v>
      </c>
      <c r="S404" s="10">
        <v>0.80745583686732481</v>
      </c>
      <c r="T404" s="10">
        <v>8.6600767619542616</v>
      </c>
      <c r="U404" s="16">
        <v>1.1875271797180176E-2</v>
      </c>
      <c r="V404" s="16">
        <v>8.7694263191844293</v>
      </c>
      <c r="W404" s="10">
        <v>0.1093495572301677</v>
      </c>
      <c r="X404" s="10" t="s">
        <v>902</v>
      </c>
      <c r="Y404" s="10">
        <v>1.2333333333333334</v>
      </c>
      <c r="Z404" s="10">
        <v>3.3666666666666667</v>
      </c>
      <c r="AA404" s="20" t="s">
        <v>365</v>
      </c>
      <c r="AB404" s="7">
        <v>1076.7</v>
      </c>
      <c r="AC404" s="7">
        <v>537.1</v>
      </c>
      <c r="AD404" s="10">
        <v>0.49883904523079781</v>
      </c>
      <c r="AE404" s="7" t="s">
        <v>5</v>
      </c>
      <c r="AF404" s="20" t="s">
        <v>27</v>
      </c>
      <c r="AG404" s="11" t="s">
        <v>404</v>
      </c>
      <c r="AH404" s="7" t="s">
        <v>1369</v>
      </c>
    </row>
    <row r="405" spans="1:34" s="7" customFormat="1" ht="16.5" customHeight="1">
      <c r="A405" s="7">
        <v>2012</v>
      </c>
      <c r="B405" s="12">
        <v>41115</v>
      </c>
      <c r="C405" s="7" t="s">
        <v>22</v>
      </c>
      <c r="D405" s="9" t="s">
        <v>23</v>
      </c>
      <c r="E405" s="9" t="s">
        <v>18</v>
      </c>
      <c r="F405" s="9" t="s">
        <v>25</v>
      </c>
      <c r="G405" s="7" t="s">
        <v>902</v>
      </c>
      <c r="H405" s="7" t="s">
        <v>903</v>
      </c>
      <c r="I405" s="124" t="s">
        <v>902</v>
      </c>
      <c r="J405" s="7">
        <v>8</v>
      </c>
      <c r="K405" s="124" t="s">
        <v>1747</v>
      </c>
      <c r="L405" s="20" t="s">
        <v>904</v>
      </c>
      <c r="M405" s="16">
        <v>93.211024814181854</v>
      </c>
      <c r="N405" s="16">
        <v>15.784633265601265</v>
      </c>
      <c r="O405" s="16">
        <v>378.6432868109809</v>
      </c>
      <c r="P405" s="16">
        <v>16.186392625172932</v>
      </c>
      <c r="Q405" s="147">
        <v>0.1015295639841093</v>
      </c>
      <c r="R405" s="147">
        <v>0.15258441306650639</v>
      </c>
      <c r="S405" s="10">
        <v>0.80745583686732481</v>
      </c>
      <c r="T405" s="10">
        <v>7.0571468501115779</v>
      </c>
      <c r="U405" s="16">
        <v>1.0682072063717679E-2</v>
      </c>
      <c r="V405" s="16">
        <v>8.7694263191844293</v>
      </c>
      <c r="W405" s="10">
        <v>1.7122794690728513</v>
      </c>
      <c r="X405" s="10" t="s">
        <v>902</v>
      </c>
      <c r="Y405" s="10">
        <v>1.2333333333333334</v>
      </c>
      <c r="Z405" s="10">
        <v>3.3666666666666667</v>
      </c>
      <c r="AA405" s="20" t="s">
        <v>367</v>
      </c>
      <c r="AB405" s="7">
        <v>662.8</v>
      </c>
      <c r="AC405" s="7">
        <v>603</v>
      </c>
      <c r="AD405" s="10">
        <v>0.90977670488835249</v>
      </c>
      <c r="AE405" s="7" t="s">
        <v>4</v>
      </c>
      <c r="AF405" s="20" t="s">
        <v>27</v>
      </c>
      <c r="AG405" s="11" t="s">
        <v>404</v>
      </c>
      <c r="AH405" s="7" t="s">
        <v>1242</v>
      </c>
    </row>
    <row r="406" spans="1:34" s="7" customFormat="1" ht="16.5" customHeight="1">
      <c r="A406" s="7">
        <v>2012</v>
      </c>
      <c r="B406" s="12">
        <v>41115</v>
      </c>
      <c r="C406" s="7" t="s">
        <v>22</v>
      </c>
      <c r="D406" s="9" t="s">
        <v>23</v>
      </c>
      <c r="E406" s="9" t="s">
        <v>18</v>
      </c>
      <c r="F406" s="9" t="s">
        <v>25</v>
      </c>
      <c r="G406" s="7" t="s">
        <v>902</v>
      </c>
      <c r="H406" s="7" t="s">
        <v>903</v>
      </c>
      <c r="I406" s="124" t="s">
        <v>902</v>
      </c>
      <c r="J406" s="7">
        <v>9</v>
      </c>
      <c r="K406" s="124" t="s">
        <v>1748</v>
      </c>
      <c r="L406" s="20" t="s">
        <v>904</v>
      </c>
      <c r="M406" s="16">
        <v>93.215226491292313</v>
      </c>
      <c r="N406" s="16">
        <v>15.340429306030273</v>
      </c>
      <c r="O406" s="16">
        <v>376.49806891547308</v>
      </c>
      <c r="P406" s="16">
        <v>15.566344102223715</v>
      </c>
      <c r="Q406" s="147">
        <v>0.14454967518233591</v>
      </c>
      <c r="R406" s="147">
        <v>0.21567755751311779</v>
      </c>
      <c r="S406" s="10">
        <v>0.80745583686732481</v>
      </c>
      <c r="T406" s="10">
        <v>5.4015121140317097</v>
      </c>
      <c r="U406" s="16">
        <v>1.2245761351688728E-2</v>
      </c>
      <c r="V406" s="16">
        <v>8.7694263191844293</v>
      </c>
      <c r="W406" s="10">
        <v>3.3679142051527196</v>
      </c>
      <c r="X406" s="10" t="s">
        <v>902</v>
      </c>
      <c r="Y406" s="10">
        <v>1.2333333333333334</v>
      </c>
      <c r="Z406" s="10">
        <v>3.3666666666666667</v>
      </c>
      <c r="AA406" s="20" t="s">
        <v>381</v>
      </c>
      <c r="AB406" s="7">
        <v>722.7</v>
      </c>
      <c r="AC406" s="7">
        <v>668.9</v>
      </c>
      <c r="AD406" s="10">
        <v>0.92555693925556926</v>
      </c>
      <c r="AE406" s="7" t="s">
        <v>4</v>
      </c>
      <c r="AF406" s="20" t="s">
        <v>27</v>
      </c>
      <c r="AG406" s="11" t="s">
        <v>404</v>
      </c>
      <c r="AH406" s="7" t="s">
        <v>1242</v>
      </c>
    </row>
    <row r="407" spans="1:34" s="7" customFormat="1" ht="16.5" customHeight="1">
      <c r="A407" s="7">
        <v>2012</v>
      </c>
      <c r="B407" s="12">
        <v>41115</v>
      </c>
      <c r="C407" s="7" t="s">
        <v>22</v>
      </c>
      <c r="D407" s="9" t="s">
        <v>23</v>
      </c>
      <c r="E407" s="9" t="s">
        <v>18</v>
      </c>
      <c r="F407" s="9" t="s">
        <v>25</v>
      </c>
      <c r="G407" s="7" t="s">
        <v>902</v>
      </c>
      <c r="H407" s="7" t="s">
        <v>903</v>
      </c>
      <c r="I407" s="124" t="s">
        <v>902</v>
      </c>
      <c r="J407" s="7">
        <v>18</v>
      </c>
      <c r="K407" s="124" t="s">
        <v>884</v>
      </c>
      <c r="L407" s="20" t="s">
        <v>919</v>
      </c>
      <c r="M407" s="16">
        <v>93.21443535299862</v>
      </c>
      <c r="N407" s="16">
        <v>17.455143311444452</v>
      </c>
      <c r="O407" s="16">
        <v>377.52683572208178</v>
      </c>
      <c r="P407" s="16">
        <v>17.544983695535098</v>
      </c>
      <c r="Q407" s="147">
        <v>49.106378218706915</v>
      </c>
      <c r="R407" s="147">
        <v>2.7819976806640625</v>
      </c>
      <c r="S407" s="10">
        <v>0.80745583686732481</v>
      </c>
      <c r="T407" s="10">
        <v>6.1300093457756173</v>
      </c>
      <c r="U407" s="16">
        <v>7.4572189181458717E-3</v>
      </c>
      <c r="V407" s="16">
        <v>8.7694263191844293</v>
      </c>
      <c r="W407" s="10">
        <v>2.639416973408812</v>
      </c>
      <c r="X407" s="10" t="s">
        <v>902</v>
      </c>
      <c r="Y407" s="10">
        <v>1.2333333333333334</v>
      </c>
      <c r="Z407" s="10">
        <v>3.3666666666666667</v>
      </c>
      <c r="AA407" s="20" t="s">
        <v>379</v>
      </c>
      <c r="AB407" s="7">
        <v>636</v>
      </c>
      <c r="AC407" s="7">
        <v>607.9</v>
      </c>
      <c r="AD407" s="10">
        <v>0.95581761006289301</v>
      </c>
      <c r="AE407" s="7" t="s">
        <v>5</v>
      </c>
      <c r="AF407" s="20" t="s">
        <v>27</v>
      </c>
      <c r="AG407" s="11" t="s">
        <v>0</v>
      </c>
      <c r="AH407" s="7" t="s">
        <v>1242</v>
      </c>
    </row>
    <row r="408" spans="1:34" s="7" customFormat="1" ht="16.5" customHeight="1">
      <c r="A408" s="7">
        <v>2012</v>
      </c>
      <c r="B408" s="12">
        <v>41115</v>
      </c>
      <c r="C408" s="7" t="s">
        <v>22</v>
      </c>
      <c r="D408" s="9" t="s">
        <v>23</v>
      </c>
      <c r="E408" s="9" t="s">
        <v>18</v>
      </c>
      <c r="F408" s="9" t="s">
        <v>25</v>
      </c>
      <c r="G408" s="7" t="s">
        <v>902</v>
      </c>
      <c r="H408" s="7" t="s">
        <v>903</v>
      </c>
      <c r="I408" s="124" t="s">
        <v>902</v>
      </c>
      <c r="J408" s="7">
        <v>19</v>
      </c>
      <c r="K408" s="124" t="s">
        <v>885</v>
      </c>
      <c r="L408" s="20" t="s">
        <v>919</v>
      </c>
      <c r="M408" s="16">
        <v>93.213845825195307</v>
      </c>
      <c r="N408" s="16">
        <v>17.362235546112061</v>
      </c>
      <c r="O408" s="16">
        <v>377.62102813720702</v>
      </c>
      <c r="P408" s="16">
        <v>17.177453422546385</v>
      </c>
      <c r="Q408" s="147">
        <v>52.732394981384275</v>
      </c>
      <c r="R408" s="147">
        <v>3.7239799499511719</v>
      </c>
      <c r="S408" s="10">
        <v>0.80745583686732481</v>
      </c>
      <c r="T408" s="10">
        <v>6.639631682080231</v>
      </c>
      <c r="U408" s="16">
        <v>8.9110180847626879E-3</v>
      </c>
      <c r="V408" s="16">
        <v>8.7694263191844293</v>
      </c>
      <c r="W408" s="10">
        <v>2.1297946371041983</v>
      </c>
      <c r="X408" s="10" t="s">
        <v>902</v>
      </c>
      <c r="Y408" s="10">
        <v>1.2333333333333334</v>
      </c>
      <c r="Z408" s="10">
        <v>3.3666666666666667</v>
      </c>
      <c r="AA408" s="20" t="s">
        <v>380</v>
      </c>
      <c r="AB408" s="7">
        <v>690.9</v>
      </c>
      <c r="AC408" s="7">
        <v>639.6</v>
      </c>
      <c r="AD408" s="10">
        <v>0.92574902301346074</v>
      </c>
      <c r="AE408" s="7" t="s">
        <v>5</v>
      </c>
      <c r="AF408" s="20" t="s">
        <v>27</v>
      </c>
      <c r="AG408" s="11" t="s">
        <v>0</v>
      </c>
      <c r="AH408" s="7" t="s">
        <v>1370</v>
      </c>
    </row>
    <row r="409" spans="1:34" s="7" customFormat="1" ht="16.5" customHeight="1">
      <c r="A409" s="7">
        <v>2012</v>
      </c>
      <c r="B409" s="12">
        <v>41116</v>
      </c>
      <c r="C409" s="7" t="s">
        <v>22</v>
      </c>
      <c r="D409" s="9" t="s">
        <v>23</v>
      </c>
      <c r="E409" s="9" t="s">
        <v>18</v>
      </c>
      <c r="F409" s="9" t="s">
        <v>25</v>
      </c>
      <c r="G409" s="7" t="s">
        <v>902</v>
      </c>
      <c r="H409" s="7" t="s">
        <v>903</v>
      </c>
      <c r="I409" s="124" t="s">
        <v>902</v>
      </c>
      <c r="J409" s="7">
        <v>10</v>
      </c>
      <c r="K409" s="124" t="s">
        <v>881</v>
      </c>
      <c r="L409" s="20" t="s">
        <v>902</v>
      </c>
      <c r="M409" s="16">
        <v>92.89546605160362</v>
      </c>
      <c r="N409" s="16">
        <v>21.68758864151804</v>
      </c>
      <c r="O409" s="16">
        <v>413.72805946751646</v>
      </c>
      <c r="P409" s="16">
        <v>22.943207389429997</v>
      </c>
      <c r="Q409" s="147">
        <v>70.688082243266862</v>
      </c>
      <c r="R409" s="147">
        <v>13.141960144042969</v>
      </c>
      <c r="S409" s="10">
        <v>0.80745583686732481</v>
      </c>
      <c r="T409" s="10">
        <v>11.15443909076436</v>
      </c>
      <c r="U409" s="16">
        <v>2.9714607774165638E-2</v>
      </c>
      <c r="V409" s="16">
        <v>8.7694263191844293</v>
      </c>
      <c r="W409" s="10">
        <v>-2.3850127715799303</v>
      </c>
      <c r="X409" s="10" t="s">
        <v>902</v>
      </c>
      <c r="Y409" s="10">
        <v>1.2333333333333334</v>
      </c>
      <c r="Z409" s="10">
        <v>3.3666666666666667</v>
      </c>
      <c r="AA409" s="20" t="s">
        <v>401</v>
      </c>
      <c r="AB409" s="7">
        <v>809.3</v>
      </c>
      <c r="AC409" s="7">
        <v>478.5</v>
      </c>
      <c r="AD409" s="10">
        <v>0.5912516989991351</v>
      </c>
      <c r="AE409" s="7" t="s">
        <v>902</v>
      </c>
      <c r="AF409" s="20" t="s">
        <v>27</v>
      </c>
      <c r="AG409" s="11" t="s">
        <v>2</v>
      </c>
      <c r="AH409" s="7" t="s">
        <v>1242</v>
      </c>
    </row>
    <row r="410" spans="1:34" s="7" customFormat="1" ht="16.5" customHeight="1">
      <c r="A410" s="7">
        <v>2012</v>
      </c>
      <c r="B410" s="12">
        <v>41115</v>
      </c>
      <c r="C410" s="7" t="s">
        <v>22</v>
      </c>
      <c r="D410" s="9" t="s">
        <v>23</v>
      </c>
      <c r="E410" s="9" t="s">
        <v>18</v>
      </c>
      <c r="F410" s="9" t="s">
        <v>25</v>
      </c>
      <c r="G410" s="7" t="s">
        <v>902</v>
      </c>
      <c r="H410" s="7" t="s">
        <v>903</v>
      </c>
      <c r="I410" s="124" t="s">
        <v>902</v>
      </c>
      <c r="J410" s="7">
        <v>20</v>
      </c>
      <c r="K410" s="124" t="s">
        <v>886</v>
      </c>
      <c r="L410" s="20" t="s">
        <v>911</v>
      </c>
      <c r="M410" s="16">
        <v>93.212465286254883</v>
      </c>
      <c r="N410" s="16">
        <v>16.677264118194579</v>
      </c>
      <c r="O410" s="16">
        <v>374.82591705322267</v>
      </c>
      <c r="P410" s="16">
        <v>16.619356155395508</v>
      </c>
      <c r="Q410" s="147">
        <v>88.582747650146487</v>
      </c>
      <c r="R410" s="147">
        <v>1.0698928833007812</v>
      </c>
      <c r="S410" s="10">
        <v>0.80745583686732481</v>
      </c>
      <c r="T410" s="10">
        <v>4.4159752318787584</v>
      </c>
      <c r="U410" s="16">
        <v>1.2002444446535039E-2</v>
      </c>
      <c r="V410" s="16">
        <v>8.7694263191844293</v>
      </c>
      <c r="W410" s="10">
        <v>4.3534510873056709</v>
      </c>
      <c r="X410" s="10" t="s">
        <v>902</v>
      </c>
      <c r="Y410" s="10">
        <v>1.2333333333333334</v>
      </c>
      <c r="Z410" s="10">
        <v>3.3666666666666667</v>
      </c>
      <c r="AA410" s="20" t="s">
        <v>376</v>
      </c>
      <c r="AB410" s="7">
        <v>654.29999999999995</v>
      </c>
      <c r="AC410" s="7">
        <v>638.4</v>
      </c>
      <c r="AD410" s="10">
        <v>0.97569922054103631</v>
      </c>
      <c r="AE410" s="7" t="s">
        <v>5</v>
      </c>
      <c r="AF410" s="20" t="s">
        <v>27</v>
      </c>
      <c r="AG410" s="11" t="s">
        <v>0</v>
      </c>
      <c r="AH410" s="7" t="s">
        <v>1371</v>
      </c>
    </row>
    <row r="411" spans="1:34" s="7" customFormat="1" ht="16.5" customHeight="1">
      <c r="A411" s="7">
        <v>2012</v>
      </c>
      <c r="B411" s="12">
        <v>41115</v>
      </c>
      <c r="C411" s="7" t="s">
        <v>22</v>
      </c>
      <c r="D411" s="9" t="s">
        <v>23</v>
      </c>
      <c r="E411" s="9" t="s">
        <v>18</v>
      </c>
      <c r="F411" s="9" t="s">
        <v>25</v>
      </c>
      <c r="G411" s="7" t="s">
        <v>902</v>
      </c>
      <c r="H411" s="7" t="s">
        <v>903</v>
      </c>
      <c r="I411" s="124" t="s">
        <v>902</v>
      </c>
      <c r="J411" s="7">
        <v>21</v>
      </c>
      <c r="K411" s="124" t="s">
        <v>887</v>
      </c>
      <c r="L411" s="20" t="s">
        <v>911</v>
      </c>
      <c r="M411" s="16">
        <v>93.21423923268037</v>
      </c>
      <c r="N411" s="16">
        <v>17.391674827126895</v>
      </c>
      <c r="O411" s="16">
        <v>371.64079553940718</v>
      </c>
      <c r="P411" s="16">
        <v>17.431620429543887</v>
      </c>
      <c r="Q411" s="147">
        <v>88.875133290010339</v>
      </c>
      <c r="R411" s="147">
        <v>1.0317840576171875</v>
      </c>
      <c r="S411" s="10">
        <v>0.80745583686732481</v>
      </c>
      <c r="T411" s="10">
        <v>4.3563766909446642</v>
      </c>
      <c r="U411" s="16">
        <v>1.1724955895367791E-2</v>
      </c>
      <c r="V411" s="16">
        <v>8.7694263191844293</v>
      </c>
      <c r="W411" s="10">
        <v>4.4130496282397651</v>
      </c>
      <c r="X411" s="10" t="s">
        <v>902</v>
      </c>
      <c r="Y411" s="10">
        <v>1.2333333333333334</v>
      </c>
      <c r="Z411" s="10">
        <v>3.3666666666666667</v>
      </c>
      <c r="AA411" s="20" t="s">
        <v>378</v>
      </c>
      <c r="AB411" s="7">
        <v>662.8</v>
      </c>
      <c r="AC411" s="7">
        <v>615.20000000000005</v>
      </c>
      <c r="AD411" s="10">
        <v>0.92818346409173214</v>
      </c>
      <c r="AE411" s="7" t="s">
        <v>5</v>
      </c>
      <c r="AF411" s="20" t="s">
        <v>27</v>
      </c>
      <c r="AG411" s="11" t="s">
        <v>0</v>
      </c>
      <c r="AH411" s="7" t="s">
        <v>1242</v>
      </c>
    </row>
    <row r="412" spans="1:34" s="7" customFormat="1" ht="16.5" customHeight="1">
      <c r="A412" s="7">
        <v>2012</v>
      </c>
      <c r="B412" s="12">
        <v>41116</v>
      </c>
      <c r="C412" s="7" t="s">
        <v>22</v>
      </c>
      <c r="D412" s="9" t="s">
        <v>23</v>
      </c>
      <c r="E412" s="9" t="s">
        <v>18</v>
      </c>
      <c r="F412" s="9" t="s">
        <v>25</v>
      </c>
      <c r="G412" s="7" t="s">
        <v>902</v>
      </c>
      <c r="H412" s="7" t="s">
        <v>903</v>
      </c>
      <c r="I412" s="124" t="s">
        <v>902</v>
      </c>
      <c r="J412" s="7">
        <v>11</v>
      </c>
      <c r="K412" s="124" t="s">
        <v>882</v>
      </c>
      <c r="L412" s="20" t="s">
        <v>902</v>
      </c>
      <c r="M412" s="16">
        <v>92.892819976806635</v>
      </c>
      <c r="N412" s="16">
        <v>21.115228462219239</v>
      </c>
      <c r="O412" s="16">
        <v>396.39881286621096</v>
      </c>
      <c r="P412" s="16">
        <v>20.855252456665038</v>
      </c>
      <c r="Q412" s="147">
        <v>91.401120376586917</v>
      </c>
      <c r="R412" s="147">
        <v>33.789741516113281</v>
      </c>
      <c r="S412" s="10">
        <v>0.80745583686732481</v>
      </c>
      <c r="T412" s="10">
        <v>11.218678873456719</v>
      </c>
      <c r="U412" s="16">
        <v>4.4785546897945547E-2</v>
      </c>
      <c r="V412" s="16">
        <v>8.7694263191844293</v>
      </c>
      <c r="W412" s="10">
        <v>-2.4492525542722898</v>
      </c>
      <c r="X412" s="10" t="s">
        <v>902</v>
      </c>
      <c r="Y412" s="10">
        <v>1.2333333333333334</v>
      </c>
      <c r="Z412" s="10">
        <v>3.3666666666666667</v>
      </c>
      <c r="AA412" s="20" t="s">
        <v>402</v>
      </c>
      <c r="AB412" s="7">
        <v>970.5</v>
      </c>
      <c r="AC412" s="7">
        <v>500.5</v>
      </c>
      <c r="AD412" s="10">
        <v>0.51571354971664096</v>
      </c>
      <c r="AE412" s="7" t="s">
        <v>902</v>
      </c>
      <c r="AF412" s="20" t="s">
        <v>27</v>
      </c>
      <c r="AG412" s="11" t="s">
        <v>2</v>
      </c>
      <c r="AH412" s="7" t="s">
        <v>1242</v>
      </c>
    </row>
    <row r="413" spans="1:34" s="7" customFormat="1" ht="16.5" customHeight="1">
      <c r="A413" s="7">
        <v>2012</v>
      </c>
      <c r="B413" s="12">
        <v>41115</v>
      </c>
      <c r="C413" s="7" t="s">
        <v>22</v>
      </c>
      <c r="D413" s="9" t="s">
        <v>23</v>
      </c>
      <c r="E413" s="9" t="s">
        <v>18</v>
      </c>
      <c r="F413" s="9" t="s">
        <v>25</v>
      </c>
      <c r="G413" s="7" t="s">
        <v>902</v>
      </c>
      <c r="H413" s="7" t="s">
        <v>903</v>
      </c>
      <c r="I413" s="124" t="s">
        <v>902</v>
      </c>
      <c r="J413" s="7">
        <v>22</v>
      </c>
      <c r="K413" s="124" t="s">
        <v>754</v>
      </c>
      <c r="L413" s="20" t="s">
        <v>911</v>
      </c>
      <c r="M413" s="16">
        <v>93.215172661675354</v>
      </c>
      <c r="N413" s="16">
        <v>16.969036950005425</v>
      </c>
      <c r="O413" s="16">
        <v>366.72288513183594</v>
      </c>
      <c r="P413" s="16">
        <v>17.085893948872883</v>
      </c>
      <c r="Q413" s="147">
        <v>93.29003991021051</v>
      </c>
      <c r="R413" s="147">
        <v>2.6772537231445313</v>
      </c>
      <c r="S413" s="10">
        <v>0.80745583686732481</v>
      </c>
      <c r="T413" s="10">
        <v>4.9525891556648114</v>
      </c>
      <c r="U413" s="16">
        <v>9.9858916035123601E-3</v>
      </c>
      <c r="V413" s="16">
        <v>8.7694263191844293</v>
      </c>
      <c r="W413" s="10">
        <v>3.8168371635196179</v>
      </c>
      <c r="X413" s="10" t="s">
        <v>902</v>
      </c>
      <c r="Y413" s="10">
        <v>1.2333333333333334</v>
      </c>
      <c r="Z413" s="10">
        <v>3.3666666666666667</v>
      </c>
      <c r="AA413" s="20" t="s">
        <v>377</v>
      </c>
      <c r="AB413" s="7">
        <v>695.8</v>
      </c>
      <c r="AC413" s="7">
        <v>644.5</v>
      </c>
      <c r="AD413" s="10">
        <v>0.92627191721759128</v>
      </c>
      <c r="AE413" s="7" t="s">
        <v>5</v>
      </c>
      <c r="AF413" s="20" t="s">
        <v>27</v>
      </c>
      <c r="AG413" s="11" t="s">
        <v>0</v>
      </c>
      <c r="AH413" s="7" t="s">
        <v>1372</v>
      </c>
    </row>
    <row r="414" spans="1:34" s="7" customFormat="1" ht="16.5" customHeight="1">
      <c r="A414" s="7">
        <v>2012</v>
      </c>
      <c r="B414" s="12">
        <v>41115</v>
      </c>
      <c r="C414" s="7" t="s">
        <v>22</v>
      </c>
      <c r="D414" s="9" t="s">
        <v>23</v>
      </c>
      <c r="E414" s="9" t="s">
        <v>18</v>
      </c>
      <c r="F414" s="9" t="s">
        <v>25</v>
      </c>
      <c r="G414" s="7" t="s">
        <v>902</v>
      </c>
      <c r="H414" s="7" t="s">
        <v>903</v>
      </c>
      <c r="I414" s="124" t="s">
        <v>902</v>
      </c>
      <c r="J414" s="7">
        <v>23</v>
      </c>
      <c r="K414" s="124" t="s">
        <v>888</v>
      </c>
      <c r="L414" s="20" t="s">
        <v>910</v>
      </c>
      <c r="M414" s="16">
        <v>93.212771696202893</v>
      </c>
      <c r="N414" s="16">
        <v>16.832137949326459</v>
      </c>
      <c r="O414" s="16">
        <v>369.14382036994488</v>
      </c>
      <c r="P414" s="16">
        <v>17.165546753827265</v>
      </c>
      <c r="Q414" s="147">
        <v>116.54903860653148</v>
      </c>
      <c r="R414" s="147">
        <v>3.4244613647460937</v>
      </c>
      <c r="S414" s="10">
        <v>0.80745583686732481</v>
      </c>
      <c r="T414" s="10">
        <v>4.9627246427449876</v>
      </c>
      <c r="U414" s="16">
        <v>9.2319881214815019E-3</v>
      </c>
      <c r="V414" s="16">
        <v>8.7694263191844293</v>
      </c>
      <c r="W414" s="10">
        <v>3.8067016764394417</v>
      </c>
      <c r="X414" s="10" t="s">
        <v>902</v>
      </c>
      <c r="Y414" s="10">
        <v>1.2333333333333334</v>
      </c>
      <c r="Z414" s="10">
        <v>3.3666666666666667</v>
      </c>
      <c r="AA414" s="20" t="s">
        <v>374</v>
      </c>
      <c r="AB414" s="7">
        <v>666.5</v>
      </c>
      <c r="AC414" s="7">
        <v>622.6</v>
      </c>
      <c r="AD414" s="10">
        <v>0.93413353338334582</v>
      </c>
      <c r="AE414" s="7" t="s">
        <v>5</v>
      </c>
      <c r="AF414" s="20" t="s">
        <v>27</v>
      </c>
      <c r="AG414" s="11" t="s">
        <v>0</v>
      </c>
      <c r="AH414" s="7" t="s">
        <v>1242</v>
      </c>
    </row>
    <row r="415" spans="1:34" s="7" customFormat="1" ht="16.5" customHeight="1">
      <c r="A415" s="7">
        <v>2012</v>
      </c>
      <c r="B415" s="12">
        <v>41115</v>
      </c>
      <c r="C415" s="7" t="s">
        <v>22</v>
      </c>
      <c r="D415" s="9" t="s">
        <v>23</v>
      </c>
      <c r="E415" s="9" t="s">
        <v>18</v>
      </c>
      <c r="F415" s="9" t="s">
        <v>25</v>
      </c>
      <c r="G415" s="7" t="s">
        <v>902</v>
      </c>
      <c r="H415" s="7" t="s">
        <v>903</v>
      </c>
      <c r="I415" s="124" t="s">
        <v>902</v>
      </c>
      <c r="J415" s="7">
        <v>24</v>
      </c>
      <c r="K415" s="124" t="s">
        <v>753</v>
      </c>
      <c r="L415" s="20" t="s">
        <v>910</v>
      </c>
      <c r="M415" s="16">
        <v>93.21221923828125</v>
      </c>
      <c r="N415" s="16">
        <v>16.670824474758572</v>
      </c>
      <c r="O415" s="16">
        <v>370.37339274088544</v>
      </c>
      <c r="P415" s="16">
        <v>16.328347947862412</v>
      </c>
      <c r="Q415" s="147">
        <v>128.33000946044922</v>
      </c>
      <c r="R415" s="147">
        <v>9.6154403686523437</v>
      </c>
      <c r="S415" s="10">
        <v>0.80745583686732481</v>
      </c>
      <c r="T415" s="10">
        <v>0.54036499793878545</v>
      </c>
      <c r="U415" s="16">
        <v>1.853496233622233E-2</v>
      </c>
      <c r="V415" s="16">
        <v>8.7694263191844293</v>
      </c>
      <c r="W415" s="10">
        <v>8.2290613212456432</v>
      </c>
      <c r="X415" s="10" t="s">
        <v>902</v>
      </c>
      <c r="Y415" s="10">
        <v>1.2333333333333334</v>
      </c>
      <c r="Z415" s="10">
        <v>3.3666666666666667</v>
      </c>
      <c r="AA415" s="20" t="s">
        <v>375</v>
      </c>
      <c r="AB415" s="7">
        <v>732.4</v>
      </c>
      <c r="AC415" s="7">
        <v>627.4</v>
      </c>
      <c r="AD415" s="10">
        <v>0.85663571818678319</v>
      </c>
      <c r="AE415" s="7" t="s">
        <v>5</v>
      </c>
      <c r="AF415" s="20" t="s">
        <v>27</v>
      </c>
      <c r="AG415" s="11" t="s">
        <v>0</v>
      </c>
      <c r="AH415" s="7" t="s">
        <v>1373</v>
      </c>
    </row>
    <row r="416" spans="1:34" s="7" customFormat="1" ht="16.5" customHeight="1">
      <c r="A416" s="7">
        <v>2012</v>
      </c>
      <c r="B416" s="12">
        <v>41116</v>
      </c>
      <c r="C416" s="7" t="s">
        <v>22</v>
      </c>
      <c r="D416" s="9" t="s">
        <v>23</v>
      </c>
      <c r="E416" s="9" t="s">
        <v>18</v>
      </c>
      <c r="F416" s="9" t="s">
        <v>25</v>
      </c>
      <c r="G416" s="7" t="s">
        <v>902</v>
      </c>
      <c r="H416" s="7" t="s">
        <v>903</v>
      </c>
      <c r="I416" s="124" t="s">
        <v>902</v>
      </c>
      <c r="J416" s="7">
        <v>12</v>
      </c>
      <c r="K416" s="124" t="s">
        <v>883</v>
      </c>
      <c r="L416" s="20" t="s">
        <v>77</v>
      </c>
      <c r="M416" s="16">
        <v>92.893354717053867</v>
      </c>
      <c r="N416" s="16">
        <v>22.747988650673314</v>
      </c>
      <c r="O416" s="16">
        <v>410.92011140522203</v>
      </c>
      <c r="P416" s="16">
        <v>24.420202456022565</v>
      </c>
      <c r="Q416" s="147">
        <v>145.38978576660156</v>
      </c>
      <c r="R416" s="147">
        <v>19.93365478515625</v>
      </c>
      <c r="S416" s="10">
        <v>0.80745583686732481</v>
      </c>
      <c r="T416" s="10">
        <v>6.3860596462091284</v>
      </c>
      <c r="U416" s="16">
        <v>3.107199752539919E-2</v>
      </c>
      <c r="V416" s="16">
        <v>8.7694263191844293</v>
      </c>
      <c r="W416" s="10">
        <v>2.3833666729753009</v>
      </c>
      <c r="X416" s="10" t="s">
        <v>902</v>
      </c>
      <c r="Y416" s="10">
        <v>1.2333333333333334</v>
      </c>
      <c r="Z416" s="10">
        <v>3.3666666666666667</v>
      </c>
      <c r="AA416" s="20" t="s">
        <v>400</v>
      </c>
      <c r="AB416" s="7">
        <v>822.8</v>
      </c>
      <c r="AC416" s="7">
        <v>515.1</v>
      </c>
      <c r="AD416" s="10">
        <v>0.62603305785123975</v>
      </c>
      <c r="AE416" s="7" t="s">
        <v>902</v>
      </c>
      <c r="AF416" s="20" t="s">
        <v>27</v>
      </c>
      <c r="AG416" s="11" t="s">
        <v>2</v>
      </c>
      <c r="AH416" s="7" t="s">
        <v>1374</v>
      </c>
    </row>
    <row r="417" spans="1:34" s="7" customFormat="1" ht="16.5" customHeight="1">
      <c r="A417" s="7">
        <v>2012</v>
      </c>
      <c r="B417" s="12">
        <v>41116</v>
      </c>
      <c r="C417" s="7" t="s">
        <v>22</v>
      </c>
      <c r="D417" s="9" t="s">
        <v>23</v>
      </c>
      <c r="E417" s="9" t="s">
        <v>18</v>
      </c>
      <c r="F417" s="9" t="s">
        <v>25</v>
      </c>
      <c r="G417" s="7" t="s">
        <v>902</v>
      </c>
      <c r="H417" s="7" t="s">
        <v>903</v>
      </c>
      <c r="I417" s="124" t="s">
        <v>902</v>
      </c>
      <c r="J417" s="7">
        <v>13</v>
      </c>
      <c r="K417" s="124" t="s">
        <v>755</v>
      </c>
      <c r="L417" s="20" t="s">
        <v>77</v>
      </c>
      <c r="M417" s="16">
        <v>92.896050347222229</v>
      </c>
      <c r="N417" s="16">
        <v>22.809209823608398</v>
      </c>
      <c r="O417" s="16">
        <v>397.9518805609809</v>
      </c>
      <c r="P417" s="16">
        <v>24.141119851006401</v>
      </c>
      <c r="Q417" s="147">
        <v>194.43350050184461</v>
      </c>
      <c r="R417" s="147">
        <v>8.4970703125</v>
      </c>
      <c r="S417" s="10">
        <v>0.80745583686732481</v>
      </c>
      <c r="T417" s="10">
        <v>3.8676613215946021</v>
      </c>
      <c r="U417" s="16">
        <v>4.0400934219360349E-2</v>
      </c>
      <c r="V417" s="16">
        <v>8.7694263191844293</v>
      </c>
      <c r="W417" s="10">
        <v>4.9017649975898276</v>
      </c>
      <c r="X417" s="10" t="s">
        <v>902</v>
      </c>
      <c r="Y417" s="10">
        <v>1.2333333333333334</v>
      </c>
      <c r="Z417" s="10">
        <v>3.3666666666666667</v>
      </c>
      <c r="AA417" s="20" t="s">
        <v>399</v>
      </c>
      <c r="AB417" s="7">
        <v>1084</v>
      </c>
      <c r="AC417" s="7">
        <v>471.2</v>
      </c>
      <c r="AD417" s="10">
        <v>0.43468634686346863</v>
      </c>
      <c r="AE417" s="7" t="s">
        <v>902</v>
      </c>
      <c r="AF417" s="20" t="s">
        <v>27</v>
      </c>
      <c r="AG417" s="11" t="s">
        <v>2</v>
      </c>
      <c r="AH417" s="7" t="s">
        <v>1375</v>
      </c>
    </row>
    <row r="418" spans="1:34" s="7" customFormat="1" ht="16.5" customHeight="1">
      <c r="A418" s="7">
        <v>2012</v>
      </c>
      <c r="B418" s="12">
        <v>41116</v>
      </c>
      <c r="C418" s="7" t="s">
        <v>22</v>
      </c>
      <c r="D418" s="9" t="s">
        <v>23</v>
      </c>
      <c r="E418" s="9" t="s">
        <v>18</v>
      </c>
      <c r="F418" s="9" t="s">
        <v>25</v>
      </c>
      <c r="G418" s="7" t="s">
        <v>902</v>
      </c>
      <c r="H418" s="7" t="s">
        <v>903</v>
      </c>
      <c r="I418" s="124" t="s">
        <v>902</v>
      </c>
      <c r="J418" s="7">
        <v>14</v>
      </c>
      <c r="K418" s="124" t="s">
        <v>758</v>
      </c>
      <c r="L418" s="20" t="s">
        <v>77</v>
      </c>
      <c r="M418" s="16">
        <v>92.895910263061523</v>
      </c>
      <c r="N418" s="16">
        <v>22.662933444976808</v>
      </c>
      <c r="O418" s="16">
        <v>393.66856689453124</v>
      </c>
      <c r="P418" s="16">
        <v>22.283727645874023</v>
      </c>
      <c r="Q418" s="147">
        <v>204.16716384887695</v>
      </c>
      <c r="R418" s="147">
        <v>11.9356689453125</v>
      </c>
      <c r="S418" s="10">
        <v>0.80745583686732481</v>
      </c>
      <c r="T418" s="10">
        <v>2.5271897326418751</v>
      </c>
      <c r="U418" s="16">
        <v>5.4779406956263953E-2</v>
      </c>
      <c r="V418" s="16">
        <v>8.7694263191844293</v>
      </c>
      <c r="W418" s="10">
        <v>6.2422365865425542</v>
      </c>
      <c r="X418" s="10" t="s">
        <v>902</v>
      </c>
      <c r="Y418" s="10">
        <v>1.2333333333333334</v>
      </c>
      <c r="Z418" s="10">
        <v>3.3666666666666667</v>
      </c>
      <c r="AA418" s="20" t="s">
        <v>398</v>
      </c>
      <c r="AB418" s="7">
        <v>793.5</v>
      </c>
      <c r="AC418" s="7">
        <v>412.6</v>
      </c>
      <c r="AD418" s="10">
        <v>0.51997479521109014</v>
      </c>
      <c r="AE418" s="7" t="s">
        <v>902</v>
      </c>
      <c r="AF418" s="20" t="s">
        <v>27</v>
      </c>
      <c r="AG418" s="11" t="s">
        <v>2</v>
      </c>
      <c r="AH418" s="7" t="s">
        <v>1376</v>
      </c>
    </row>
    <row r="419" spans="1:34" s="7" customFormat="1" ht="16.5" customHeight="1">
      <c r="A419" s="7">
        <v>2012</v>
      </c>
      <c r="B419" s="12">
        <v>41116</v>
      </c>
      <c r="C419" s="7" t="s">
        <v>22</v>
      </c>
      <c r="D419" s="9" t="s">
        <v>23</v>
      </c>
      <c r="E419" s="9" t="s">
        <v>18</v>
      </c>
      <c r="F419" s="9" t="s">
        <v>25</v>
      </c>
      <c r="G419" s="7" t="s">
        <v>902</v>
      </c>
      <c r="H419" s="7" t="s">
        <v>903</v>
      </c>
      <c r="I419" s="124" t="s">
        <v>902</v>
      </c>
      <c r="J419" s="7">
        <v>15</v>
      </c>
      <c r="K419" s="124" t="s">
        <v>756</v>
      </c>
      <c r="L419" s="20" t="s">
        <v>75</v>
      </c>
      <c r="M419" s="16">
        <v>92.893937428792313</v>
      </c>
      <c r="N419" s="16">
        <v>23.674538612365723</v>
      </c>
      <c r="O419" s="16">
        <v>385.71820576985675</v>
      </c>
      <c r="P419" s="16">
        <v>24.037420431772869</v>
      </c>
      <c r="Q419" s="147">
        <v>205.71988042195639</v>
      </c>
      <c r="R419" s="147">
        <v>34.48638916015625</v>
      </c>
      <c r="S419" s="10">
        <v>0.80745583686732481</v>
      </c>
      <c r="T419" s="10">
        <v>3.9073344617466175</v>
      </c>
      <c r="U419" s="16">
        <v>5.0261174048577155E-2</v>
      </c>
      <c r="V419" s="16">
        <v>8.7694263191844293</v>
      </c>
      <c r="W419" s="10">
        <v>4.8620918574378118</v>
      </c>
      <c r="X419" s="10" t="s">
        <v>902</v>
      </c>
      <c r="Y419" s="10">
        <v>1.2333333333333334</v>
      </c>
      <c r="Z419" s="10">
        <v>3.3666666666666667</v>
      </c>
      <c r="AA419" s="20" t="s">
        <v>397</v>
      </c>
      <c r="AB419" s="7">
        <v>681.2</v>
      </c>
      <c r="AC419" s="7">
        <v>387</v>
      </c>
      <c r="AD419" s="10">
        <v>0.56811509101585433</v>
      </c>
      <c r="AE419" s="7" t="s">
        <v>902</v>
      </c>
      <c r="AF419" s="20" t="s">
        <v>27</v>
      </c>
      <c r="AG419" s="11" t="s">
        <v>2</v>
      </c>
      <c r="AH419" s="7" t="s">
        <v>1377</v>
      </c>
    </row>
    <row r="420" spans="1:34" s="7" customFormat="1" ht="16.5" customHeight="1">
      <c r="A420" s="7">
        <v>2012</v>
      </c>
      <c r="B420" s="12">
        <v>41115</v>
      </c>
      <c r="C420" s="7" t="s">
        <v>22</v>
      </c>
      <c r="D420" s="9" t="s">
        <v>23</v>
      </c>
      <c r="E420" s="9" t="s">
        <v>18</v>
      </c>
      <c r="F420" s="9" t="s">
        <v>25</v>
      </c>
      <c r="G420" s="7" t="s">
        <v>902</v>
      </c>
      <c r="H420" s="7" t="s">
        <v>903</v>
      </c>
      <c r="I420" s="124" t="s">
        <v>902</v>
      </c>
      <c r="J420" s="7">
        <v>25</v>
      </c>
      <c r="K420" s="124" t="s">
        <v>752</v>
      </c>
      <c r="L420" s="20" t="s">
        <v>912</v>
      </c>
      <c r="M420" s="16">
        <v>93.210052126929867</v>
      </c>
      <c r="N420" s="16">
        <v>16.929318473452614</v>
      </c>
      <c r="O420" s="16">
        <v>366.02544875372024</v>
      </c>
      <c r="P420" s="16">
        <v>16.814272744315012</v>
      </c>
      <c r="Q420" s="147">
        <v>215.7582055954706</v>
      </c>
      <c r="R420" s="147">
        <v>3.0951080322265625</v>
      </c>
      <c r="S420" s="10">
        <v>0.80745583686732481</v>
      </c>
      <c r="T420" s="10">
        <v>-0.90443509470902761</v>
      </c>
      <c r="U420" s="16">
        <v>1.6759467434573481E-2</v>
      </c>
      <c r="V420" s="16">
        <v>8.7694263191844293</v>
      </c>
      <c r="W420" s="10">
        <v>9.6738614138934569</v>
      </c>
      <c r="X420" s="10" t="s">
        <v>902</v>
      </c>
      <c r="Y420" s="10">
        <v>1.2333333333333334</v>
      </c>
      <c r="Z420" s="10">
        <v>3.3666666666666667</v>
      </c>
      <c r="AA420" s="20" t="s">
        <v>373</v>
      </c>
      <c r="AB420" s="7">
        <v>695.8</v>
      </c>
      <c r="AC420" s="7">
        <v>634.79999999999995</v>
      </c>
      <c r="AD420" s="10">
        <v>0.91233112963495255</v>
      </c>
      <c r="AE420" s="7" t="s">
        <v>5</v>
      </c>
      <c r="AF420" s="20" t="s">
        <v>27</v>
      </c>
      <c r="AG420" s="11" t="s">
        <v>0</v>
      </c>
      <c r="AH420" s="7" t="s">
        <v>1378</v>
      </c>
    </row>
    <row r="421" spans="1:34" s="7" customFormat="1" ht="16.5" customHeight="1">
      <c r="A421" s="7">
        <v>2012</v>
      </c>
      <c r="B421" s="12">
        <v>41115</v>
      </c>
      <c r="C421" s="7" t="s">
        <v>22</v>
      </c>
      <c r="D421" s="9" t="s">
        <v>23</v>
      </c>
      <c r="E421" s="9" t="s">
        <v>18</v>
      </c>
      <c r="F421" s="9" t="s">
        <v>25</v>
      </c>
      <c r="G421" s="7" t="s">
        <v>902</v>
      </c>
      <c r="H421" s="7" t="s">
        <v>903</v>
      </c>
      <c r="I421" s="124" t="s">
        <v>902</v>
      </c>
      <c r="J421" s="7">
        <v>26</v>
      </c>
      <c r="K421" s="124" t="s">
        <v>889</v>
      </c>
      <c r="L421" s="20" t="s">
        <v>912</v>
      </c>
      <c r="M421" s="16">
        <v>93.211137771606445</v>
      </c>
      <c r="N421" s="16">
        <v>17.139717006683348</v>
      </c>
      <c r="O421" s="16">
        <v>351.64422912597655</v>
      </c>
      <c r="P421" s="16">
        <v>16.634725666046144</v>
      </c>
      <c r="Q421" s="147">
        <v>264.37150421142576</v>
      </c>
      <c r="R421" s="147">
        <v>2.497833251953125</v>
      </c>
      <c r="S421" s="10">
        <v>0.80745583686732481</v>
      </c>
      <c r="T421" s="10">
        <v>-5.1086924523595991</v>
      </c>
      <c r="U421" s="16">
        <v>1.9530668473781501E-2</v>
      </c>
      <c r="V421" s="16">
        <v>8.7694263191844293</v>
      </c>
      <c r="W421" s="10">
        <v>13.878118771544028</v>
      </c>
      <c r="X421" s="10" t="s">
        <v>902</v>
      </c>
      <c r="Y421" s="10">
        <v>1.2333333333333334</v>
      </c>
      <c r="Z421" s="10">
        <v>3.3666666666666667</v>
      </c>
      <c r="AA421" s="20" t="s">
        <v>372</v>
      </c>
      <c r="AB421" s="7">
        <v>629.9</v>
      </c>
      <c r="AC421" s="7">
        <v>622.6</v>
      </c>
      <c r="AD421" s="10">
        <v>0.98841085886648683</v>
      </c>
      <c r="AE421" s="7" t="s">
        <v>4</v>
      </c>
      <c r="AF421" s="20" t="s">
        <v>27</v>
      </c>
      <c r="AG421" s="11" t="s">
        <v>0</v>
      </c>
      <c r="AH421" s="7" t="s">
        <v>1379</v>
      </c>
    </row>
    <row r="422" spans="1:34" s="7" customFormat="1" ht="16.5" customHeight="1">
      <c r="A422" s="7">
        <v>2012</v>
      </c>
      <c r="B422" s="12">
        <v>41116</v>
      </c>
      <c r="C422" s="7" t="s">
        <v>22</v>
      </c>
      <c r="D422" s="9" t="s">
        <v>23</v>
      </c>
      <c r="E422" s="9" t="s">
        <v>18</v>
      </c>
      <c r="F422" s="9" t="s">
        <v>25</v>
      </c>
      <c r="G422" s="7" t="s">
        <v>902</v>
      </c>
      <c r="H422" s="7" t="s">
        <v>903</v>
      </c>
      <c r="I422" s="124" t="s">
        <v>902</v>
      </c>
      <c r="J422" s="7">
        <v>16</v>
      </c>
      <c r="K422" s="124" t="s">
        <v>757</v>
      </c>
      <c r="L422" s="20" t="s">
        <v>75</v>
      </c>
      <c r="M422" s="16">
        <v>92.899871424624791</v>
      </c>
      <c r="N422" s="16">
        <v>26.0256693990607</v>
      </c>
      <c r="O422" s="16">
        <v>372.5585423519737</v>
      </c>
      <c r="P422" s="16">
        <v>28.116319355211761</v>
      </c>
      <c r="Q422" s="147">
        <v>326.46346403423109</v>
      </c>
      <c r="R422" s="147">
        <v>19.368072509765625</v>
      </c>
      <c r="S422" s="10">
        <v>0.80745583686732481</v>
      </c>
      <c r="T422" s="10">
        <v>2.6738921571966645</v>
      </c>
      <c r="U422" s="16">
        <v>5.2104538365414281E-2</v>
      </c>
      <c r="V422" s="16">
        <v>8.7694263191844293</v>
      </c>
      <c r="W422" s="10">
        <v>6.0955341619877643</v>
      </c>
      <c r="X422" s="10" t="s">
        <v>902</v>
      </c>
      <c r="Y422" s="10">
        <v>1.2333333333333334</v>
      </c>
      <c r="Z422" s="10">
        <v>3.3666666666666667</v>
      </c>
      <c r="AA422" s="20" t="s">
        <v>396</v>
      </c>
      <c r="AB422" s="7">
        <v>1021.7</v>
      </c>
      <c r="AC422" s="7">
        <v>444.3</v>
      </c>
      <c r="AD422" s="10">
        <v>0.43486346285602429</v>
      </c>
      <c r="AE422" s="7" t="s">
        <v>902</v>
      </c>
      <c r="AF422" s="20" t="s">
        <v>27</v>
      </c>
      <c r="AG422" s="11" t="s">
        <v>2</v>
      </c>
      <c r="AH422" s="7" t="s">
        <v>1380</v>
      </c>
    </row>
    <row r="423" spans="1:34" s="7" customFormat="1" ht="16.5" customHeight="1">
      <c r="A423" s="7">
        <v>2012</v>
      </c>
      <c r="B423" s="12">
        <v>41115</v>
      </c>
      <c r="C423" s="7" t="s">
        <v>22</v>
      </c>
      <c r="D423" s="9" t="s">
        <v>23</v>
      </c>
      <c r="E423" s="9" t="s">
        <v>18</v>
      </c>
      <c r="F423" s="9" t="s">
        <v>25</v>
      </c>
      <c r="G423" s="7" t="s">
        <v>902</v>
      </c>
      <c r="H423" s="7" t="s">
        <v>903</v>
      </c>
      <c r="I423" s="124" t="s">
        <v>902</v>
      </c>
      <c r="J423" s="7">
        <v>27</v>
      </c>
      <c r="K423" s="124" t="s">
        <v>890</v>
      </c>
      <c r="L423" s="20" t="s">
        <v>907</v>
      </c>
      <c r="M423" s="16">
        <v>93.213591257731125</v>
      </c>
      <c r="N423" s="16">
        <v>17.492523299323189</v>
      </c>
      <c r="O423" s="16">
        <v>345.64571126302081</v>
      </c>
      <c r="P423" s="16">
        <v>16.701593187120224</v>
      </c>
      <c r="Q423" s="147">
        <v>368.83453030056421</v>
      </c>
      <c r="R423" s="147">
        <v>9.8426513671875</v>
      </c>
      <c r="S423" s="10">
        <v>0.80745583686732481</v>
      </c>
      <c r="T423" s="10">
        <v>-7.1444094232426396</v>
      </c>
      <c r="U423" s="16">
        <v>2.5066926875473669E-2</v>
      </c>
      <c r="V423" s="16">
        <v>8.7694263191844293</v>
      </c>
      <c r="W423" s="10">
        <v>15.913835742427068</v>
      </c>
      <c r="X423" s="10" t="s">
        <v>902</v>
      </c>
      <c r="Y423" s="10">
        <v>1.2333333333333334</v>
      </c>
      <c r="Z423" s="10">
        <v>3.3666666666666667</v>
      </c>
      <c r="AA423" s="20" t="s">
        <v>371</v>
      </c>
      <c r="AB423" s="7">
        <v>675</v>
      </c>
      <c r="AC423" s="7">
        <v>654.29999999999995</v>
      </c>
      <c r="AD423" s="10">
        <v>0.96933333333333327</v>
      </c>
      <c r="AE423" s="7" t="s">
        <v>4</v>
      </c>
      <c r="AF423" s="20" t="s">
        <v>27</v>
      </c>
      <c r="AG423" s="11" t="s">
        <v>0</v>
      </c>
      <c r="AH423" s="7" t="s">
        <v>1242</v>
      </c>
    </row>
    <row r="424" spans="1:34" s="7" customFormat="1" ht="16.5" customHeight="1">
      <c r="A424" s="7">
        <v>2012</v>
      </c>
      <c r="B424" s="12">
        <v>41115</v>
      </c>
      <c r="C424" s="7" t="s">
        <v>22</v>
      </c>
      <c r="D424" s="9" t="s">
        <v>23</v>
      </c>
      <c r="E424" s="9" t="s">
        <v>18</v>
      </c>
      <c r="F424" s="9" t="s">
        <v>25</v>
      </c>
      <c r="G424" s="7" t="s">
        <v>902</v>
      </c>
      <c r="H424" s="7" t="s">
        <v>903</v>
      </c>
      <c r="I424" s="124" t="s">
        <v>902</v>
      </c>
      <c r="J424" s="7">
        <v>28</v>
      </c>
      <c r="K424" s="124" t="s">
        <v>891</v>
      </c>
      <c r="L424" s="30" t="s">
        <v>909</v>
      </c>
      <c r="M424" s="16">
        <v>93.215051987591906</v>
      </c>
      <c r="N424" s="16">
        <v>16.522560119628906</v>
      </c>
      <c r="O424" s="16">
        <v>347.04753382065718</v>
      </c>
      <c r="P424" s="16">
        <v>16.168780102449304</v>
      </c>
      <c r="Q424" s="147">
        <v>373.20420029584102</v>
      </c>
      <c r="R424" s="147">
        <v>24.1400146484375</v>
      </c>
      <c r="S424" s="10">
        <v>0.80745583686732481</v>
      </c>
      <c r="T424" s="10">
        <v>-10.825469883306491</v>
      </c>
      <c r="U424" s="16">
        <v>2.5001206818748924E-2</v>
      </c>
      <c r="V424" s="16">
        <v>8.7694263191844293</v>
      </c>
      <c r="W424" s="10">
        <v>19.594896202490922</v>
      </c>
      <c r="X424" s="10" t="s">
        <v>902</v>
      </c>
      <c r="Y424" s="10">
        <v>1.2333333333333334</v>
      </c>
      <c r="Z424" s="10">
        <v>3.3666666666666667</v>
      </c>
      <c r="AA424" s="39" t="s">
        <v>369</v>
      </c>
      <c r="AB424" s="7">
        <v>528.6</v>
      </c>
      <c r="AC424" s="7">
        <v>517.6</v>
      </c>
      <c r="AD424" s="10">
        <v>0.97919031403707912</v>
      </c>
      <c r="AE424" s="34" t="s">
        <v>4</v>
      </c>
      <c r="AF424" s="20" t="s">
        <v>27</v>
      </c>
      <c r="AG424" s="11" t="s">
        <v>0</v>
      </c>
      <c r="AH424" s="7" t="s">
        <v>1242</v>
      </c>
    </row>
    <row r="425" spans="1:34" s="7" customFormat="1" ht="16.5" customHeight="1">
      <c r="A425" s="7">
        <v>2012</v>
      </c>
      <c r="B425" s="12">
        <v>41115</v>
      </c>
      <c r="C425" s="7" t="s">
        <v>22</v>
      </c>
      <c r="D425" s="9" t="s">
        <v>23</v>
      </c>
      <c r="E425" s="9" t="s">
        <v>18</v>
      </c>
      <c r="F425" s="9" t="s">
        <v>25</v>
      </c>
      <c r="G425" s="7" t="s">
        <v>902</v>
      </c>
      <c r="H425" s="7" t="s">
        <v>903</v>
      </c>
      <c r="I425" s="124" t="s">
        <v>902</v>
      </c>
      <c r="J425" s="7">
        <v>29</v>
      </c>
      <c r="K425" s="124" t="s">
        <v>892</v>
      </c>
      <c r="L425" s="20" t="s">
        <v>909</v>
      </c>
      <c r="M425" s="16">
        <v>93.209397792816162</v>
      </c>
      <c r="N425" s="16">
        <v>16.463866591453552</v>
      </c>
      <c r="O425" s="16">
        <v>349.65498352050781</v>
      </c>
      <c r="P425" s="16">
        <v>16.088463604450226</v>
      </c>
      <c r="Q425" s="147">
        <v>398.85952377319336</v>
      </c>
      <c r="R425" s="147">
        <v>7.2169189453125</v>
      </c>
      <c r="S425" s="10">
        <v>0.80745583686732481</v>
      </c>
      <c r="T425" s="10">
        <v>-11.057098971451675</v>
      </c>
      <c r="U425" s="16">
        <v>2.7696956606472239E-2</v>
      </c>
      <c r="V425" s="16">
        <v>8.7694263191844293</v>
      </c>
      <c r="W425" s="10">
        <v>19.826525290636106</v>
      </c>
      <c r="X425" s="10" t="s">
        <v>902</v>
      </c>
      <c r="Y425" s="10">
        <v>1.2333333333333334</v>
      </c>
      <c r="Z425" s="10">
        <v>3.3666666666666667</v>
      </c>
      <c r="AA425" s="20" t="s">
        <v>368</v>
      </c>
      <c r="AB425" s="7">
        <v>576.20000000000005</v>
      </c>
      <c r="AC425" s="7">
        <v>568.79999999999995</v>
      </c>
      <c r="AD425" s="10">
        <v>0.98715723707046144</v>
      </c>
      <c r="AE425" s="7" t="s">
        <v>4</v>
      </c>
      <c r="AF425" s="20" t="s">
        <v>27</v>
      </c>
      <c r="AG425" s="11" t="s">
        <v>0</v>
      </c>
      <c r="AH425" s="7" t="s">
        <v>1242</v>
      </c>
    </row>
    <row r="426" spans="1:34" s="7" customFormat="1" ht="16.5" customHeight="1">
      <c r="A426" s="7">
        <v>2012</v>
      </c>
      <c r="B426" s="12">
        <v>41115</v>
      </c>
      <c r="C426" s="7" t="s">
        <v>22</v>
      </c>
      <c r="D426" s="9" t="s">
        <v>23</v>
      </c>
      <c r="E426" s="9" t="s">
        <v>18</v>
      </c>
      <c r="F426" s="9" t="s">
        <v>25</v>
      </c>
      <c r="G426" s="7" t="s">
        <v>902</v>
      </c>
      <c r="H426" s="7" t="s">
        <v>903</v>
      </c>
      <c r="I426" s="124" t="s">
        <v>902</v>
      </c>
      <c r="J426" s="7">
        <v>30</v>
      </c>
      <c r="K426" s="124" t="s">
        <v>836</v>
      </c>
      <c r="L426" s="20" t="s">
        <v>909</v>
      </c>
      <c r="M426" s="16">
        <v>93.214383602142334</v>
      </c>
      <c r="N426" s="16">
        <v>17.052693009376526</v>
      </c>
      <c r="O426" s="16">
        <v>341.03523826599121</v>
      </c>
      <c r="P426" s="16">
        <v>16.594478726387024</v>
      </c>
      <c r="Q426" s="147">
        <v>467.88898849487305</v>
      </c>
      <c r="R426" s="147">
        <v>39.938201904296875</v>
      </c>
      <c r="S426" s="10">
        <v>0.80745583686732481</v>
      </c>
      <c r="T426" s="10">
        <v>-12.785206942972739</v>
      </c>
      <c r="U426" s="16">
        <v>2.7123426998362822E-2</v>
      </c>
      <c r="V426" s="16">
        <v>8.7694263191844293</v>
      </c>
      <c r="W426" s="10">
        <v>21.554633262157168</v>
      </c>
      <c r="X426" s="10" t="s">
        <v>902</v>
      </c>
      <c r="Y426" s="10">
        <v>1.2333333333333334</v>
      </c>
      <c r="Z426" s="10">
        <v>3.3666666666666667</v>
      </c>
      <c r="AA426" s="20" t="s">
        <v>370</v>
      </c>
      <c r="AB426" s="7">
        <v>664.1</v>
      </c>
      <c r="AC426" s="7">
        <v>590.79999999999995</v>
      </c>
      <c r="AD426" s="10">
        <v>0.88962505646739942</v>
      </c>
      <c r="AE426" s="7" t="s">
        <v>5</v>
      </c>
      <c r="AF426" s="20" t="s">
        <v>27</v>
      </c>
      <c r="AG426" s="11" t="s">
        <v>0</v>
      </c>
      <c r="AH426" s="7" t="s">
        <v>1381</v>
      </c>
    </row>
    <row r="427" spans="1:34" s="7" customFormat="1" ht="16.5" customHeight="1">
      <c r="A427" s="7">
        <v>2012</v>
      </c>
      <c r="B427" s="12">
        <v>41115</v>
      </c>
      <c r="C427" s="7" t="s">
        <v>22</v>
      </c>
      <c r="D427" s="9" t="s">
        <v>23</v>
      </c>
      <c r="E427" s="9" t="s">
        <v>18</v>
      </c>
      <c r="F427" s="9" t="s">
        <v>25</v>
      </c>
      <c r="G427" s="7" t="s">
        <v>902</v>
      </c>
      <c r="H427" s="7" t="s">
        <v>903</v>
      </c>
      <c r="I427" s="124" t="s">
        <v>902</v>
      </c>
      <c r="J427" s="7">
        <v>31</v>
      </c>
      <c r="K427" s="124" t="s">
        <v>893</v>
      </c>
      <c r="L427" s="20" t="s">
        <v>909</v>
      </c>
      <c r="M427" s="16">
        <v>93.210719861482318</v>
      </c>
      <c r="N427" s="16">
        <v>19.181884765625</v>
      </c>
      <c r="O427" s="16">
        <v>349.70450792814557</v>
      </c>
      <c r="P427" s="16">
        <v>17.60660834061472</v>
      </c>
      <c r="Q427" s="147">
        <v>526.02660490337166</v>
      </c>
      <c r="R427" s="147">
        <v>2.87713623046875</v>
      </c>
      <c r="S427" s="10">
        <v>0.80745583686732481</v>
      </c>
      <c r="T427" s="10">
        <v>-14.004956434035936</v>
      </c>
      <c r="U427" s="16">
        <v>3.9179845441851699E-2</v>
      </c>
      <c r="V427" s="16">
        <v>8.7694263191844293</v>
      </c>
      <c r="W427" s="10">
        <v>22.774382753220365</v>
      </c>
      <c r="X427" s="10" t="s">
        <v>902</v>
      </c>
      <c r="Y427" s="10">
        <v>1.2333333333333334</v>
      </c>
      <c r="Z427" s="10">
        <v>3.3666666666666667</v>
      </c>
      <c r="AA427" s="20" t="s">
        <v>383</v>
      </c>
      <c r="AB427" s="7">
        <v>705.6</v>
      </c>
      <c r="AC427" s="7">
        <v>676.3</v>
      </c>
      <c r="AD427" s="10">
        <v>0.9584750566893423</v>
      </c>
      <c r="AE427" s="7" t="s">
        <v>5</v>
      </c>
      <c r="AF427" s="20" t="s">
        <v>27</v>
      </c>
      <c r="AG427" s="11" t="s">
        <v>0</v>
      </c>
      <c r="AH427" s="7" t="s">
        <v>1242</v>
      </c>
    </row>
    <row r="428" spans="1:34" s="7" customFormat="1" ht="16.5" customHeight="1">
      <c r="A428" s="7">
        <v>2012</v>
      </c>
      <c r="B428" s="12">
        <v>41115</v>
      </c>
      <c r="C428" s="7" t="s">
        <v>22</v>
      </c>
      <c r="D428" s="9" t="s">
        <v>23</v>
      </c>
      <c r="E428" s="9" t="s">
        <v>18</v>
      </c>
      <c r="F428" s="9" t="s">
        <v>25</v>
      </c>
      <c r="G428" s="7" t="s">
        <v>902</v>
      </c>
      <c r="H428" s="7" t="s">
        <v>903</v>
      </c>
      <c r="I428" s="124" t="s">
        <v>902</v>
      </c>
      <c r="J428" s="7">
        <v>32</v>
      </c>
      <c r="K428" s="124" t="s">
        <v>894</v>
      </c>
      <c r="L428" s="20" t="s">
        <v>909</v>
      </c>
      <c r="M428" s="16">
        <v>93.213123745388458</v>
      </c>
      <c r="N428" s="16">
        <v>16.463450537787544</v>
      </c>
      <c r="O428" s="16">
        <v>362.08342827690973</v>
      </c>
      <c r="P428" s="16">
        <v>14.920975049336752</v>
      </c>
      <c r="Q428" s="147">
        <v>531.55251736111109</v>
      </c>
      <c r="R428" s="147">
        <v>87.7049560546875</v>
      </c>
      <c r="S428" s="10">
        <v>0.80745583686732481</v>
      </c>
      <c r="T428" s="10">
        <v>-14.043173732606336</v>
      </c>
      <c r="U428" s="16">
        <v>5.0612982114156088E-2</v>
      </c>
      <c r="V428" s="16">
        <v>8.7694263191844293</v>
      </c>
      <c r="W428" s="10">
        <v>22.812600051790767</v>
      </c>
      <c r="X428" s="10" t="s">
        <v>902</v>
      </c>
      <c r="Y428" s="10">
        <v>1.2333333333333334</v>
      </c>
      <c r="Z428" s="10">
        <v>3.3666666666666667</v>
      </c>
      <c r="AA428" s="20" t="s">
        <v>366</v>
      </c>
      <c r="AB428" s="7">
        <v>810.5</v>
      </c>
      <c r="AC428" s="7">
        <v>598.1</v>
      </c>
      <c r="AD428" s="10">
        <v>0.73793954349167179</v>
      </c>
      <c r="AE428" s="7" t="s">
        <v>5</v>
      </c>
      <c r="AF428" s="20" t="s">
        <v>27</v>
      </c>
      <c r="AG428" s="11" t="s">
        <v>0</v>
      </c>
      <c r="AH428" s="7" t="s">
        <v>1382</v>
      </c>
    </row>
    <row r="429" spans="1:34" s="7" customFormat="1" ht="16.5" customHeight="1">
      <c r="A429" s="7">
        <v>2012</v>
      </c>
      <c r="B429" s="12">
        <v>41115</v>
      </c>
      <c r="C429" s="7" t="s">
        <v>22</v>
      </c>
      <c r="D429" s="9" t="s">
        <v>23</v>
      </c>
      <c r="E429" s="9" t="s">
        <v>18</v>
      </c>
      <c r="F429" s="9" t="s">
        <v>25</v>
      </c>
      <c r="G429" s="7" t="s">
        <v>902</v>
      </c>
      <c r="H429" s="7" t="s">
        <v>903</v>
      </c>
      <c r="I429" s="124" t="s">
        <v>902</v>
      </c>
      <c r="J429" s="7">
        <v>33</v>
      </c>
      <c r="K429" s="124" t="s">
        <v>750</v>
      </c>
      <c r="L429" s="20" t="s">
        <v>909</v>
      </c>
      <c r="M429" s="16">
        <v>93.207792282104492</v>
      </c>
      <c r="N429" s="16">
        <v>19.326087117195129</v>
      </c>
      <c r="O429" s="16">
        <v>358.6805534362793</v>
      </c>
      <c r="P429" s="16">
        <v>17.33603310585022</v>
      </c>
      <c r="Q429" s="147">
        <v>535.00366973876953</v>
      </c>
      <c r="R429" s="147">
        <v>14.67510986328125</v>
      </c>
      <c r="S429" s="10">
        <v>0.80745583686732481</v>
      </c>
      <c r="T429" s="10">
        <v>-10.570999363839848</v>
      </c>
      <c r="U429" s="16">
        <v>4.4169139862060544E-2</v>
      </c>
      <c r="V429" s="16">
        <v>8.7694263191844293</v>
      </c>
      <c r="W429" s="10">
        <v>19.340425683024279</v>
      </c>
      <c r="X429" s="10" t="s">
        <v>902</v>
      </c>
      <c r="Y429" s="10">
        <v>1.2333333333333334</v>
      </c>
      <c r="Z429" s="10">
        <v>3.3666666666666667</v>
      </c>
      <c r="AA429" s="20" t="s">
        <v>384</v>
      </c>
      <c r="AB429" s="7">
        <v>744.6</v>
      </c>
      <c r="AC429" s="7">
        <v>676.3</v>
      </c>
      <c r="AD429" s="10">
        <v>0.90827289820037593</v>
      </c>
      <c r="AE429" s="7" t="s">
        <v>5</v>
      </c>
      <c r="AF429" s="20" t="s">
        <v>27</v>
      </c>
      <c r="AG429" s="11" t="s">
        <v>0</v>
      </c>
      <c r="AH429" s="7" t="s">
        <v>1369</v>
      </c>
    </row>
    <row r="430" spans="1:34" s="7" customFormat="1" ht="16.5" customHeight="1">
      <c r="A430" s="7">
        <v>2012</v>
      </c>
      <c r="B430" s="12">
        <v>41115</v>
      </c>
      <c r="C430" s="7" t="s">
        <v>22</v>
      </c>
      <c r="D430" s="9" t="s">
        <v>23</v>
      </c>
      <c r="E430" s="9" t="s">
        <v>18</v>
      </c>
      <c r="F430" s="9" t="s">
        <v>25</v>
      </c>
      <c r="G430" s="7" t="s">
        <v>902</v>
      </c>
      <c r="H430" s="7" t="s">
        <v>903</v>
      </c>
      <c r="I430" s="124" t="s">
        <v>902</v>
      </c>
      <c r="J430" s="7">
        <v>34</v>
      </c>
      <c r="K430" s="124" t="s">
        <v>895</v>
      </c>
      <c r="L430" s="20" t="s">
        <v>909</v>
      </c>
      <c r="M430" s="16">
        <v>93.215920342339416</v>
      </c>
      <c r="N430" s="16">
        <v>17.153601964314777</v>
      </c>
      <c r="O430" s="16">
        <v>348.34636094835071</v>
      </c>
      <c r="P430" s="16">
        <v>16.091974576314289</v>
      </c>
      <c r="Q430" s="147">
        <v>535.89444986979163</v>
      </c>
      <c r="R430" s="147">
        <v>194.49508666992187</v>
      </c>
      <c r="S430" s="10">
        <v>0.80745583686732481</v>
      </c>
      <c r="T430" s="10">
        <v>-13.461523289130708</v>
      </c>
      <c r="U430" s="16">
        <v>3.7533187866210939E-2</v>
      </c>
      <c r="V430" s="16">
        <v>8.7694263191844293</v>
      </c>
      <c r="W430" s="10">
        <v>22.230949608315136</v>
      </c>
      <c r="X430" s="10" t="s">
        <v>902</v>
      </c>
      <c r="Y430" s="10">
        <v>1.2333333333333334</v>
      </c>
      <c r="Z430" s="10">
        <v>3.3666666666666667</v>
      </c>
      <c r="AA430" s="20" t="s">
        <v>364</v>
      </c>
      <c r="AB430" s="7">
        <v>600.6</v>
      </c>
      <c r="AC430" s="7">
        <v>466.3</v>
      </c>
      <c r="AD430" s="10">
        <v>0.77639027639027636</v>
      </c>
      <c r="AE430" s="7" t="s">
        <v>5</v>
      </c>
      <c r="AF430" s="20" t="s">
        <v>27</v>
      </c>
      <c r="AG430" s="11" t="s">
        <v>0</v>
      </c>
      <c r="AH430" s="7" t="s">
        <v>1383</v>
      </c>
    </row>
    <row r="431" spans="1:34" s="7" customFormat="1" ht="16.5" customHeight="1">
      <c r="A431" s="7">
        <v>2012</v>
      </c>
      <c r="B431" s="12">
        <v>41116</v>
      </c>
      <c r="C431" s="7" t="s">
        <v>22</v>
      </c>
      <c r="D431" s="9" t="s">
        <v>23</v>
      </c>
      <c r="E431" s="9" t="s">
        <v>18</v>
      </c>
      <c r="F431" s="9" t="s">
        <v>25</v>
      </c>
      <c r="G431" s="7" t="s">
        <v>902</v>
      </c>
      <c r="H431" s="7" t="s">
        <v>903</v>
      </c>
      <c r="I431" s="124" t="s">
        <v>902</v>
      </c>
      <c r="J431" s="7">
        <v>35</v>
      </c>
      <c r="K431" s="124" t="s">
        <v>896</v>
      </c>
      <c r="L431" s="20" t="s">
        <v>909</v>
      </c>
      <c r="M431" s="16">
        <v>92.923792058771312</v>
      </c>
      <c r="N431" s="16">
        <v>22.96953721479936</v>
      </c>
      <c r="O431" s="16">
        <v>349.50043556906962</v>
      </c>
      <c r="P431" s="16">
        <v>23.651173504916105</v>
      </c>
      <c r="Q431" s="147">
        <v>553.894941850142</v>
      </c>
      <c r="R431" s="147">
        <v>40.4329833984375</v>
      </c>
      <c r="S431" s="10">
        <v>0.80745583686732481</v>
      </c>
      <c r="T431" s="10">
        <v>-7.5987592505216686</v>
      </c>
      <c r="U431" s="16">
        <v>3.9608916736189027E-2</v>
      </c>
      <c r="V431" s="16">
        <v>8.7694263191844293</v>
      </c>
      <c r="W431" s="10">
        <v>16.3681855697061</v>
      </c>
      <c r="X431" s="10" t="s">
        <v>902</v>
      </c>
      <c r="Y431" s="10">
        <v>1.2333333333333334</v>
      </c>
      <c r="Z431" s="10">
        <v>3.3666666666666667</v>
      </c>
      <c r="AA431" s="20" t="s">
        <v>385</v>
      </c>
      <c r="AB431" s="7">
        <v>721.4</v>
      </c>
      <c r="AC431" s="7">
        <v>615.20000000000005</v>
      </c>
      <c r="AD431" s="10">
        <v>0.85278624896035493</v>
      </c>
      <c r="AE431" s="7" t="s">
        <v>902</v>
      </c>
      <c r="AF431" s="20" t="s">
        <v>27</v>
      </c>
      <c r="AG431" s="11" t="s">
        <v>0</v>
      </c>
      <c r="AH431" s="7" t="s">
        <v>1384</v>
      </c>
    </row>
    <row r="432" spans="1:34" s="7" customFormat="1" ht="16.5" customHeight="1">
      <c r="A432" s="7">
        <v>2012</v>
      </c>
      <c r="B432" s="12">
        <v>41116</v>
      </c>
      <c r="C432" s="7" t="s">
        <v>22</v>
      </c>
      <c r="D432" s="9" t="s">
        <v>23</v>
      </c>
      <c r="E432" s="9" t="s">
        <v>18</v>
      </c>
      <c r="F432" s="9" t="s">
        <v>25</v>
      </c>
      <c r="G432" s="7" t="s">
        <v>902</v>
      </c>
      <c r="H432" s="7" t="s">
        <v>903</v>
      </c>
      <c r="I432" s="124" t="s">
        <v>902</v>
      </c>
      <c r="J432" s="7">
        <v>36</v>
      </c>
      <c r="K432" s="124" t="s">
        <v>897</v>
      </c>
      <c r="L432" s="20" t="s">
        <v>909</v>
      </c>
      <c r="M432" s="16">
        <v>92.920966625213623</v>
      </c>
      <c r="N432" s="16">
        <v>22.183664679527283</v>
      </c>
      <c r="O432" s="16">
        <v>354.26123237609863</v>
      </c>
      <c r="P432" s="16">
        <v>21.984678030014038</v>
      </c>
      <c r="Q432" s="147">
        <v>570.69821929931641</v>
      </c>
      <c r="R432" s="147">
        <v>43.986328125</v>
      </c>
      <c r="S432" s="10">
        <v>0.80745583686732481</v>
      </c>
      <c r="T432" s="10">
        <v>-6.8787683842383167</v>
      </c>
      <c r="U432" s="16">
        <v>5.4131020844437695E-2</v>
      </c>
      <c r="V432" s="16">
        <v>8.7694263191844293</v>
      </c>
      <c r="W432" s="10">
        <v>15.648194703422746</v>
      </c>
      <c r="X432" s="10" t="s">
        <v>902</v>
      </c>
      <c r="Y432" s="10">
        <v>1.2333333333333334</v>
      </c>
      <c r="Z432" s="10">
        <v>3.3666666666666667</v>
      </c>
      <c r="AA432" s="20" t="s">
        <v>386</v>
      </c>
      <c r="AB432" s="7">
        <v>683.6</v>
      </c>
      <c r="AC432" s="7">
        <v>612.79999999999995</v>
      </c>
      <c r="AD432" s="10">
        <v>0.89643066120538317</v>
      </c>
      <c r="AE432" s="7" t="s">
        <v>902</v>
      </c>
      <c r="AF432" s="20" t="s">
        <v>27</v>
      </c>
      <c r="AG432" s="11" t="s">
        <v>0</v>
      </c>
      <c r="AH432" s="7" t="s">
        <v>1385</v>
      </c>
    </row>
    <row r="433" spans="1:34" s="7" customFormat="1" ht="16.5" customHeight="1">
      <c r="A433" s="7">
        <v>2012</v>
      </c>
      <c r="B433" s="12">
        <v>41116</v>
      </c>
      <c r="C433" s="7" t="s">
        <v>22</v>
      </c>
      <c r="D433" s="9" t="s">
        <v>23</v>
      </c>
      <c r="E433" s="9" t="s">
        <v>18</v>
      </c>
      <c r="F433" s="9" t="s">
        <v>25</v>
      </c>
      <c r="G433" s="7" t="s">
        <v>902</v>
      </c>
      <c r="H433" s="7" t="s">
        <v>903</v>
      </c>
      <c r="I433" s="124" t="s">
        <v>902</v>
      </c>
      <c r="J433" s="7">
        <v>37</v>
      </c>
      <c r="K433" s="124" t="s">
        <v>898</v>
      </c>
      <c r="L433" s="20" t="s">
        <v>909</v>
      </c>
      <c r="M433" s="16">
        <v>92.919289398193357</v>
      </c>
      <c r="N433" s="16">
        <v>24.242540836334229</v>
      </c>
      <c r="O433" s="16">
        <v>347.28958587646486</v>
      </c>
      <c r="P433" s="16">
        <v>21.871145439147949</v>
      </c>
      <c r="Q433" s="147">
        <v>705.34314880371096</v>
      </c>
      <c r="R433" s="147">
        <v>14.15423583984375</v>
      </c>
      <c r="S433" s="10">
        <v>0.80745583686732481</v>
      </c>
      <c r="T433" s="10">
        <v>-10.059664074942093</v>
      </c>
      <c r="U433" s="16">
        <v>9.115817564770691E-2</v>
      </c>
      <c r="V433" s="16">
        <v>8.7694263191844293</v>
      </c>
      <c r="W433" s="10">
        <v>18.829090394126524</v>
      </c>
      <c r="X433" s="10" t="s">
        <v>902</v>
      </c>
      <c r="Y433" s="10">
        <v>1.2333333333333334</v>
      </c>
      <c r="Z433" s="10">
        <v>3.3666666666666667</v>
      </c>
      <c r="AA433" s="20" t="s">
        <v>390</v>
      </c>
      <c r="AB433" s="7">
        <v>833.7</v>
      </c>
      <c r="AC433" s="7">
        <v>822.8</v>
      </c>
      <c r="AD433" s="10">
        <v>0.98692575266882565</v>
      </c>
      <c r="AE433" s="7" t="s">
        <v>902</v>
      </c>
      <c r="AF433" s="20" t="s">
        <v>27</v>
      </c>
      <c r="AG433" s="11" t="s">
        <v>0</v>
      </c>
      <c r="AH433" s="7" t="s">
        <v>1386</v>
      </c>
    </row>
    <row r="434" spans="1:34" s="7" customFormat="1" ht="16.5" customHeight="1">
      <c r="A434" s="7">
        <v>2012</v>
      </c>
      <c r="B434" s="12">
        <v>41116</v>
      </c>
      <c r="C434" s="7" t="s">
        <v>22</v>
      </c>
      <c r="D434" s="9" t="s">
        <v>23</v>
      </c>
      <c r="E434" s="9" t="s">
        <v>18</v>
      </c>
      <c r="F434" s="9" t="s">
        <v>25</v>
      </c>
      <c r="G434" s="7" t="s">
        <v>902</v>
      </c>
      <c r="H434" s="7" t="s">
        <v>903</v>
      </c>
      <c r="I434" s="124" t="s">
        <v>902</v>
      </c>
      <c r="J434" s="7">
        <v>1</v>
      </c>
      <c r="K434" s="124" t="s">
        <v>877</v>
      </c>
      <c r="L434" s="20" t="s">
        <v>74</v>
      </c>
      <c r="M434" s="16">
        <v>92.899719825157746</v>
      </c>
      <c r="N434" s="16">
        <v>28.201967532818134</v>
      </c>
      <c r="O434" s="16">
        <v>355.36275540865387</v>
      </c>
      <c r="P434" s="16">
        <v>30.487605755145733</v>
      </c>
      <c r="Q434" s="147">
        <v>785.82975416917066</v>
      </c>
      <c r="R434" s="147">
        <v>15.01470947265625</v>
      </c>
      <c r="S434" s="10">
        <v>0.80745583686732481</v>
      </c>
      <c r="T434" s="10">
        <v>-4.5549195227068582</v>
      </c>
      <c r="U434" s="16">
        <v>8.294902529035296E-2</v>
      </c>
      <c r="V434" s="16">
        <v>8.7694263191844293</v>
      </c>
      <c r="W434" s="10">
        <v>13.324345841891287</v>
      </c>
      <c r="X434" s="10" t="s">
        <v>902</v>
      </c>
      <c r="Y434" s="10">
        <v>1.2333333333333334</v>
      </c>
      <c r="Z434" s="10">
        <v>3.3666666666666667</v>
      </c>
      <c r="AA434" s="20" t="s">
        <v>394</v>
      </c>
      <c r="AB434" s="7">
        <v>1430.7</v>
      </c>
      <c r="AC434" s="7">
        <v>477.3</v>
      </c>
      <c r="AD434" s="10">
        <v>0.33361291675403648</v>
      </c>
      <c r="AE434" s="7" t="s">
        <v>902</v>
      </c>
      <c r="AF434" s="20" t="s">
        <v>27</v>
      </c>
      <c r="AG434" s="11" t="s">
        <v>864</v>
      </c>
      <c r="AH434" s="7" t="s">
        <v>1387</v>
      </c>
    </row>
    <row r="435" spans="1:34" s="7" customFormat="1" ht="16.5" customHeight="1">
      <c r="A435" s="7">
        <v>2012</v>
      </c>
      <c r="B435" s="12">
        <v>41116</v>
      </c>
      <c r="C435" s="7" t="s">
        <v>22</v>
      </c>
      <c r="D435" s="9" t="s">
        <v>23</v>
      </c>
      <c r="E435" s="9" t="s">
        <v>18</v>
      </c>
      <c r="F435" s="9" t="s">
        <v>25</v>
      </c>
      <c r="G435" s="7" t="s">
        <v>902</v>
      </c>
      <c r="H435" s="7" t="s">
        <v>903</v>
      </c>
      <c r="I435" s="124" t="s">
        <v>902</v>
      </c>
      <c r="J435" s="7">
        <v>2</v>
      </c>
      <c r="K435" s="124" t="s">
        <v>878</v>
      </c>
      <c r="L435" s="20" t="s">
        <v>74</v>
      </c>
      <c r="M435" s="16">
        <v>92.899657509543673</v>
      </c>
      <c r="N435" s="16">
        <v>26.977851347489789</v>
      </c>
      <c r="O435" s="16">
        <v>362.36752596768468</v>
      </c>
      <c r="P435" s="16">
        <v>26.130841341885652</v>
      </c>
      <c r="Q435" s="147">
        <v>810.2063820578835</v>
      </c>
      <c r="R435" s="147">
        <v>15.15069580078125</v>
      </c>
      <c r="S435" s="10">
        <v>0.80745583686732481</v>
      </c>
      <c r="T435" s="10">
        <v>-5.9336874767566261</v>
      </c>
      <c r="U435" s="16">
        <v>0.12322868000377309</v>
      </c>
      <c r="V435" s="16">
        <v>8.7694263191844293</v>
      </c>
      <c r="W435" s="10">
        <v>14.703113795941055</v>
      </c>
      <c r="X435" s="10" t="s">
        <v>902</v>
      </c>
      <c r="Y435" s="10">
        <v>1.2333333333333334</v>
      </c>
      <c r="Z435" s="10">
        <v>3.3666666666666667</v>
      </c>
      <c r="AA435" s="20" t="s">
        <v>395</v>
      </c>
      <c r="AB435" s="7">
        <v>1416</v>
      </c>
      <c r="AC435" s="7">
        <v>463.9</v>
      </c>
      <c r="AD435" s="10">
        <v>0.32761299435028246</v>
      </c>
      <c r="AE435" s="7" t="s">
        <v>902</v>
      </c>
      <c r="AF435" s="20" t="s">
        <v>27</v>
      </c>
      <c r="AG435" s="11" t="s">
        <v>864</v>
      </c>
      <c r="AH435" s="7" t="s">
        <v>1388</v>
      </c>
    </row>
    <row r="436" spans="1:34" s="7" customFormat="1" ht="16.5" customHeight="1">
      <c r="A436" s="7">
        <v>2012</v>
      </c>
      <c r="B436" s="12">
        <v>41116</v>
      </c>
      <c r="C436" s="7" t="s">
        <v>22</v>
      </c>
      <c r="D436" s="9" t="s">
        <v>23</v>
      </c>
      <c r="E436" s="9" t="s">
        <v>18</v>
      </c>
      <c r="F436" s="9" t="s">
        <v>25</v>
      </c>
      <c r="G436" s="7" t="s">
        <v>902</v>
      </c>
      <c r="H436" s="7" t="s">
        <v>903</v>
      </c>
      <c r="I436" s="124" t="s">
        <v>902</v>
      </c>
      <c r="J436" s="7">
        <v>38</v>
      </c>
      <c r="K436" s="124" t="s">
        <v>899</v>
      </c>
      <c r="L436" s="20" t="s">
        <v>909</v>
      </c>
      <c r="M436" s="16">
        <v>92.920130411783859</v>
      </c>
      <c r="N436" s="16">
        <v>23.920684019724529</v>
      </c>
      <c r="O436" s="16">
        <v>340.51252746582031</v>
      </c>
      <c r="P436" s="16">
        <v>22.733999729156494</v>
      </c>
      <c r="Q436" s="147">
        <v>811.78461201985681</v>
      </c>
      <c r="R436" s="147">
        <v>162.267822265625</v>
      </c>
      <c r="S436" s="10">
        <v>0.80745583686732481</v>
      </c>
      <c r="T436" s="10">
        <v>-10.807283656411377</v>
      </c>
      <c r="U436" s="16">
        <v>7.3380538842403031E-2</v>
      </c>
      <c r="V436" s="16">
        <v>8.7694263191844293</v>
      </c>
      <c r="W436" s="10">
        <v>19.576709975595804</v>
      </c>
      <c r="X436" s="10" t="s">
        <v>902</v>
      </c>
      <c r="Y436" s="10">
        <v>1.2333333333333334</v>
      </c>
      <c r="Z436" s="10">
        <v>3.3666666666666667</v>
      </c>
      <c r="AA436" s="20" t="s">
        <v>387</v>
      </c>
      <c r="AB436" s="7">
        <v>888.7</v>
      </c>
      <c r="AC436" s="7">
        <v>681.2</v>
      </c>
      <c r="AD436" s="10">
        <v>0.76651288398784745</v>
      </c>
      <c r="AE436" s="7" t="s">
        <v>902</v>
      </c>
      <c r="AF436" s="20" t="s">
        <v>27</v>
      </c>
      <c r="AG436" s="11" t="s">
        <v>0</v>
      </c>
      <c r="AH436" s="7" t="s">
        <v>1389</v>
      </c>
    </row>
    <row r="437" spans="1:34" s="7" customFormat="1" ht="16.5" customHeight="1">
      <c r="A437" s="7">
        <v>2012</v>
      </c>
      <c r="B437" s="12">
        <v>41116</v>
      </c>
      <c r="C437" s="7" t="s">
        <v>22</v>
      </c>
      <c r="D437" s="9" t="s">
        <v>23</v>
      </c>
      <c r="E437" s="9" t="s">
        <v>18</v>
      </c>
      <c r="F437" s="9" t="s">
        <v>25</v>
      </c>
      <c r="G437" s="7" t="s">
        <v>902</v>
      </c>
      <c r="H437" s="7" t="s">
        <v>903</v>
      </c>
      <c r="I437" s="124" t="s">
        <v>902</v>
      </c>
      <c r="J437" s="7">
        <v>39</v>
      </c>
      <c r="K437" s="124" t="s">
        <v>900</v>
      </c>
      <c r="L437" s="20" t="s">
        <v>909</v>
      </c>
      <c r="M437" s="16">
        <v>92.920162200927734</v>
      </c>
      <c r="N437" s="16">
        <v>24.603561560312908</v>
      </c>
      <c r="O437" s="16">
        <v>343.15646107991535</v>
      </c>
      <c r="P437" s="16">
        <v>23.209150632222492</v>
      </c>
      <c r="Q437" s="147">
        <v>834.96658833821618</v>
      </c>
      <c r="R437" s="147">
        <v>89.66162109375</v>
      </c>
      <c r="S437" s="10">
        <v>0.80745583686732481</v>
      </c>
      <c r="T437" s="10">
        <v>-12.700969635539915</v>
      </c>
      <c r="U437" s="16">
        <v>8.9018081451629427E-2</v>
      </c>
      <c r="V437" s="16">
        <v>8.7694263191844293</v>
      </c>
      <c r="W437" s="10">
        <v>21.470395954724346</v>
      </c>
      <c r="X437" s="10" t="s">
        <v>902</v>
      </c>
      <c r="Y437" s="10">
        <v>1.2333333333333334</v>
      </c>
      <c r="Z437" s="10">
        <v>3.3666666666666667</v>
      </c>
      <c r="AA437" s="20" t="s">
        <v>389</v>
      </c>
      <c r="AB437" s="7">
        <v>1132.8</v>
      </c>
      <c r="AC437" s="7">
        <v>793.5</v>
      </c>
      <c r="AD437" s="10">
        <v>0.70047669491525422</v>
      </c>
      <c r="AE437" s="7" t="s">
        <v>902</v>
      </c>
      <c r="AF437" s="20" t="s">
        <v>27</v>
      </c>
      <c r="AG437" s="11" t="s">
        <v>0</v>
      </c>
      <c r="AH437" s="7" t="s">
        <v>1390</v>
      </c>
    </row>
    <row r="438" spans="1:34" s="7" customFormat="1" ht="16.5" customHeight="1">
      <c r="A438" s="7">
        <v>2012</v>
      </c>
      <c r="B438" s="12">
        <v>41116</v>
      </c>
      <c r="C438" s="7" t="s">
        <v>22</v>
      </c>
      <c r="D438" s="9" t="s">
        <v>23</v>
      </c>
      <c r="E438" s="9" t="s">
        <v>18</v>
      </c>
      <c r="F438" s="9" t="s">
        <v>25</v>
      </c>
      <c r="G438" s="7" t="s">
        <v>902</v>
      </c>
      <c r="H438" s="7" t="s">
        <v>903</v>
      </c>
      <c r="I438" s="124" t="s">
        <v>902</v>
      </c>
      <c r="J438" s="7">
        <v>40</v>
      </c>
      <c r="K438" s="124" t="s">
        <v>901</v>
      </c>
      <c r="L438" s="20" t="s">
        <v>909</v>
      </c>
      <c r="M438" s="16">
        <v>92.914894104003906</v>
      </c>
      <c r="N438" s="16">
        <v>25.02232837677002</v>
      </c>
      <c r="O438" s="16">
        <v>336.82344394259985</v>
      </c>
      <c r="P438" s="16">
        <v>23.717079586452908</v>
      </c>
      <c r="Q438" s="147">
        <v>919.69984266493054</v>
      </c>
      <c r="R438" s="147">
        <v>87.96630859375</v>
      </c>
      <c r="S438" s="10">
        <v>0.80745583686732481</v>
      </c>
      <c r="T438" s="10">
        <v>-11.82584258188105</v>
      </c>
      <c r="U438" s="16">
        <v>9.3339813752071038E-2</v>
      </c>
      <c r="V438" s="16">
        <v>8.7694263191844293</v>
      </c>
      <c r="W438" s="10">
        <v>20.595268901065481</v>
      </c>
      <c r="X438" s="10" t="s">
        <v>902</v>
      </c>
      <c r="Y438" s="10">
        <v>1.2333333333333334</v>
      </c>
      <c r="Z438" s="10">
        <v>3.3666666666666667</v>
      </c>
      <c r="AA438" s="20" t="s">
        <v>391</v>
      </c>
      <c r="AB438" s="7">
        <v>1042.5</v>
      </c>
      <c r="AC438" s="7">
        <v>903.3</v>
      </c>
      <c r="AD438" s="10">
        <v>0.86647482014388488</v>
      </c>
      <c r="AE438" s="7" t="s">
        <v>902</v>
      </c>
      <c r="AF438" s="20" t="s">
        <v>27</v>
      </c>
      <c r="AG438" s="11" t="s">
        <v>0</v>
      </c>
      <c r="AH438" s="7" t="s">
        <v>1391</v>
      </c>
    </row>
    <row r="439" spans="1:34" s="7" customFormat="1" ht="16.5" customHeight="1">
      <c r="A439" s="7">
        <v>2012</v>
      </c>
      <c r="B439" s="12">
        <v>41116</v>
      </c>
      <c r="C439" s="7" t="s">
        <v>22</v>
      </c>
      <c r="D439" s="9" t="s">
        <v>23</v>
      </c>
      <c r="E439" s="9" t="s">
        <v>18</v>
      </c>
      <c r="F439" s="9" t="s">
        <v>25</v>
      </c>
      <c r="G439" s="7" t="s">
        <v>902</v>
      </c>
      <c r="H439" s="7" t="s">
        <v>903</v>
      </c>
      <c r="I439" s="124" t="s">
        <v>902</v>
      </c>
      <c r="J439" s="7">
        <v>17</v>
      </c>
      <c r="K439" s="124" t="s">
        <v>751</v>
      </c>
      <c r="L439" s="20" t="s">
        <v>909</v>
      </c>
      <c r="M439" s="16">
        <v>92.919238499232705</v>
      </c>
      <c r="N439" s="16">
        <v>25.841482979910715</v>
      </c>
      <c r="O439" s="16">
        <v>335.78692190987721</v>
      </c>
      <c r="P439" s="16">
        <v>23.591430527823313</v>
      </c>
      <c r="Q439" s="147">
        <v>1114.9715924944196</v>
      </c>
      <c r="R439" s="147">
        <v>341.17620849609375</v>
      </c>
      <c r="S439" s="10">
        <v>0.80745583686732481</v>
      </c>
      <c r="T439" s="10">
        <v>-13.207839693438546</v>
      </c>
      <c r="U439" s="16">
        <v>9.5682829552954374E-2</v>
      </c>
      <c r="V439" s="16">
        <v>8.7694263191844293</v>
      </c>
      <c r="W439" s="10">
        <v>21.977266012622977</v>
      </c>
      <c r="X439" s="10" t="s">
        <v>902</v>
      </c>
      <c r="Y439" s="10">
        <v>1.2333333333333334</v>
      </c>
      <c r="Z439" s="10">
        <v>3.3666666666666667</v>
      </c>
      <c r="AA439" s="20" t="s">
        <v>388</v>
      </c>
      <c r="AB439" s="7">
        <v>1171.9000000000001</v>
      </c>
      <c r="AC439" s="7">
        <v>730</v>
      </c>
      <c r="AD439" s="10">
        <v>0.62292004437238668</v>
      </c>
      <c r="AE439" s="7" t="s">
        <v>902</v>
      </c>
      <c r="AF439" s="20" t="s">
        <v>27</v>
      </c>
      <c r="AG439" s="11" t="s">
        <v>2</v>
      </c>
      <c r="AH439" s="7" t="s">
        <v>1242</v>
      </c>
    </row>
    <row r="440" spans="1:34" s="7" customFormat="1" ht="16.5" customHeight="1">
      <c r="A440" s="7">
        <v>2012</v>
      </c>
      <c r="B440" s="12">
        <v>41116</v>
      </c>
      <c r="C440" s="7" t="s">
        <v>22</v>
      </c>
      <c r="D440" s="9" t="s">
        <v>23</v>
      </c>
      <c r="E440" s="9" t="s">
        <v>18</v>
      </c>
      <c r="F440" s="9" t="s">
        <v>25</v>
      </c>
      <c r="G440" s="7" t="s">
        <v>902</v>
      </c>
      <c r="H440" s="7" t="s">
        <v>903</v>
      </c>
      <c r="I440" s="124" t="s">
        <v>902</v>
      </c>
      <c r="J440" s="7">
        <v>3</v>
      </c>
      <c r="K440" s="124" t="s">
        <v>879</v>
      </c>
      <c r="L440" s="20" t="s">
        <v>909</v>
      </c>
      <c r="M440" s="16">
        <v>92.902256774902341</v>
      </c>
      <c r="N440" s="16">
        <v>28.612465000152589</v>
      </c>
      <c r="O440" s="16">
        <v>355.9934020996094</v>
      </c>
      <c r="P440" s="16">
        <v>23.491594886779787</v>
      </c>
      <c r="Q440" s="147">
        <v>1318.1095947265626</v>
      </c>
      <c r="R440" s="147">
        <v>5.235107421875</v>
      </c>
      <c r="S440" s="10">
        <v>0.80745583686732481</v>
      </c>
      <c r="T440" s="10">
        <v>-10.884606986634465</v>
      </c>
      <c r="U440" s="16">
        <v>0.16329795579264936</v>
      </c>
      <c r="V440" s="16">
        <v>8.7694263191844293</v>
      </c>
      <c r="W440" s="10">
        <v>19.654033305818892</v>
      </c>
      <c r="X440" s="10" t="s">
        <v>902</v>
      </c>
      <c r="Y440" s="10">
        <v>1.2333333333333334</v>
      </c>
      <c r="Z440" s="10">
        <v>3.3666666666666667</v>
      </c>
      <c r="AA440" s="20" t="s">
        <v>393</v>
      </c>
      <c r="AB440" s="7">
        <v>1467.3</v>
      </c>
      <c r="AC440" s="7">
        <v>512.70000000000005</v>
      </c>
      <c r="AD440" s="10">
        <v>0.34941729707626257</v>
      </c>
      <c r="AE440" s="7" t="s">
        <v>902</v>
      </c>
      <c r="AF440" s="20" t="s">
        <v>27</v>
      </c>
      <c r="AG440" s="11" t="s">
        <v>864</v>
      </c>
      <c r="AH440" s="7" t="s">
        <v>1392</v>
      </c>
    </row>
    <row r="441" spans="1:34" s="7" customFormat="1" ht="16.5" customHeight="1">
      <c r="A441" s="7">
        <v>2012</v>
      </c>
      <c r="B441" s="12">
        <v>41116</v>
      </c>
      <c r="C441" s="7" t="s">
        <v>22</v>
      </c>
      <c r="D441" s="9" t="s">
        <v>23</v>
      </c>
      <c r="E441" s="9" t="s">
        <v>18</v>
      </c>
      <c r="F441" s="9" t="s">
        <v>25</v>
      </c>
      <c r="G441" s="7" t="s">
        <v>902</v>
      </c>
      <c r="H441" s="7" t="s">
        <v>903</v>
      </c>
      <c r="I441" s="124" t="s">
        <v>902</v>
      </c>
      <c r="J441" s="7">
        <v>4</v>
      </c>
      <c r="K441" s="124" t="s">
        <v>880</v>
      </c>
      <c r="L441" s="20" t="s">
        <v>909</v>
      </c>
      <c r="M441" s="16">
        <v>92.904617309570313</v>
      </c>
      <c r="N441" s="16">
        <v>31.202085018157959</v>
      </c>
      <c r="O441" s="16">
        <v>344.30472564697266</v>
      </c>
      <c r="P441" s="16">
        <v>31.219698333740233</v>
      </c>
      <c r="Q441" s="147">
        <v>1368.3397033691406</v>
      </c>
      <c r="R441" s="147">
        <v>19.5321044921875</v>
      </c>
      <c r="S441" s="10">
        <v>0.80745583686732481</v>
      </c>
      <c r="T441" s="10">
        <v>-7.7776084545295987</v>
      </c>
      <c r="U441" s="16">
        <v>0.1417367504951649</v>
      </c>
      <c r="V441" s="16">
        <v>8.7694263191844293</v>
      </c>
      <c r="W441" s="10">
        <v>16.547034773714028</v>
      </c>
      <c r="X441" s="10" t="s">
        <v>902</v>
      </c>
      <c r="Y441" s="10">
        <v>1.2333333333333334</v>
      </c>
      <c r="Z441" s="10">
        <v>3.3666666666666667</v>
      </c>
      <c r="AA441" s="20" t="s">
        <v>392</v>
      </c>
      <c r="AB441" s="7">
        <v>1545.4</v>
      </c>
      <c r="AC441" s="7">
        <v>585.9</v>
      </c>
      <c r="AD441" s="10">
        <v>0.37912514559337385</v>
      </c>
      <c r="AE441" s="7" t="s">
        <v>902</v>
      </c>
      <c r="AF441" s="20" t="s">
        <v>27</v>
      </c>
      <c r="AG441" s="11" t="s">
        <v>864</v>
      </c>
      <c r="AH441" s="7" t="s">
        <v>1393</v>
      </c>
    </row>
    <row r="442" spans="1:34" s="7" customFormat="1" ht="16.5" customHeight="1">
      <c r="A442" s="7">
        <v>2012</v>
      </c>
      <c r="B442" s="12">
        <v>41126</v>
      </c>
      <c r="C442" s="9" t="s">
        <v>22</v>
      </c>
      <c r="D442" s="9" t="s">
        <v>23</v>
      </c>
      <c r="E442" s="9" t="s">
        <v>19</v>
      </c>
      <c r="F442" s="9" t="s">
        <v>25</v>
      </c>
      <c r="G442" s="7" t="s">
        <v>902</v>
      </c>
      <c r="H442" s="9" t="s">
        <v>903</v>
      </c>
      <c r="I442" s="124" t="s">
        <v>902</v>
      </c>
      <c r="J442" s="7">
        <v>1</v>
      </c>
      <c r="K442" s="124" t="s">
        <v>608</v>
      </c>
      <c r="L442" s="20" t="s">
        <v>904</v>
      </c>
      <c r="M442" s="16">
        <v>92.513676071166998</v>
      </c>
      <c r="N442" s="16">
        <v>15.532750988006592</v>
      </c>
      <c r="O442" s="16">
        <v>382.06721191406251</v>
      </c>
      <c r="P442" s="16">
        <v>14.971104717254638</v>
      </c>
      <c r="Q442" s="147">
        <v>6.3557544915238393E-2</v>
      </c>
      <c r="R442" s="147">
        <v>0.12390218384098262</v>
      </c>
      <c r="S442" s="10">
        <v>0.79045580267826188</v>
      </c>
      <c r="T442" s="16">
        <v>4.5773767326098831</v>
      </c>
      <c r="U442" s="16">
        <v>1.8704037200239367E-2</v>
      </c>
      <c r="V442" s="16">
        <v>6.3845524036234771</v>
      </c>
      <c r="W442" s="10">
        <v>0</v>
      </c>
      <c r="X442" s="10" t="s">
        <v>902</v>
      </c>
      <c r="Y442" s="10">
        <v>1.7</v>
      </c>
      <c r="Z442" s="10">
        <v>3</v>
      </c>
      <c r="AA442" s="20" t="s">
        <v>581</v>
      </c>
      <c r="AB442" s="7">
        <v>1069.3</v>
      </c>
      <c r="AC442" s="7">
        <v>452.9</v>
      </c>
      <c r="AD442" s="7">
        <v>0.42354811558963806</v>
      </c>
      <c r="AE442" s="8" t="s">
        <v>902</v>
      </c>
      <c r="AF442" s="20" t="s">
        <v>8</v>
      </c>
      <c r="AG442" s="11" t="s">
        <v>607</v>
      </c>
      <c r="AH442" s="7" t="s">
        <v>1242</v>
      </c>
    </row>
    <row r="443" spans="1:34" s="7" customFormat="1" ht="16.5" customHeight="1">
      <c r="A443" s="7">
        <v>2012</v>
      </c>
      <c r="B443" s="12">
        <v>41126</v>
      </c>
      <c r="C443" s="9" t="s">
        <v>22</v>
      </c>
      <c r="D443" s="9" t="s">
        <v>23</v>
      </c>
      <c r="E443" s="9" t="s">
        <v>19</v>
      </c>
      <c r="F443" s="9" t="s">
        <v>25</v>
      </c>
      <c r="G443" s="7" t="s">
        <v>902</v>
      </c>
      <c r="H443" s="9" t="s">
        <v>903</v>
      </c>
      <c r="I443" s="124" t="s">
        <v>902</v>
      </c>
      <c r="J443" s="7">
        <v>2</v>
      </c>
      <c r="K443" s="124" t="s">
        <v>609</v>
      </c>
      <c r="L443" s="20" t="s">
        <v>904</v>
      </c>
      <c r="M443" s="16">
        <v>92.516220855712888</v>
      </c>
      <c r="N443" s="16">
        <v>15.672362041473388</v>
      </c>
      <c r="O443" s="16">
        <v>380.64615325927736</v>
      </c>
      <c r="P443" s="16">
        <v>14.829909801483154</v>
      </c>
      <c r="Q443" s="147">
        <v>7.1358494763262573E-2</v>
      </c>
      <c r="R443" s="147">
        <v>0.19732207711786032</v>
      </c>
      <c r="S443" s="10">
        <v>0.79045580267826188</v>
      </c>
      <c r="T443" s="16">
        <v>4.7509066526705652</v>
      </c>
      <c r="U443" s="16">
        <v>2.0568358629269708E-2</v>
      </c>
      <c r="V443" s="16">
        <v>6.3845524036234771</v>
      </c>
      <c r="W443" s="10">
        <v>0</v>
      </c>
      <c r="X443" s="10" t="s">
        <v>902</v>
      </c>
      <c r="Y443" s="10">
        <v>1.7</v>
      </c>
      <c r="Z443" s="10">
        <v>3</v>
      </c>
      <c r="AA443" s="20" t="s">
        <v>582</v>
      </c>
      <c r="AB443" s="7">
        <v>1110.8</v>
      </c>
      <c r="AC443" s="7">
        <v>433.3</v>
      </c>
      <c r="AD443" s="7">
        <v>0.39007922218221103</v>
      </c>
      <c r="AE443" s="8" t="s">
        <v>902</v>
      </c>
      <c r="AF443" s="20" t="s">
        <v>8</v>
      </c>
      <c r="AG443" s="11" t="s">
        <v>607</v>
      </c>
      <c r="AH443" s="7" t="s">
        <v>1242</v>
      </c>
    </row>
    <row r="444" spans="1:34" s="7" customFormat="1" ht="16.5" customHeight="1">
      <c r="A444" s="7">
        <v>2012</v>
      </c>
      <c r="B444" s="12">
        <v>41116</v>
      </c>
      <c r="C444" s="18" t="s">
        <v>22</v>
      </c>
      <c r="D444" s="18" t="s">
        <v>23</v>
      </c>
      <c r="E444" s="18" t="s">
        <v>19</v>
      </c>
      <c r="F444" s="18" t="s">
        <v>25</v>
      </c>
      <c r="G444" s="7" t="s">
        <v>902</v>
      </c>
      <c r="H444" s="18" t="s">
        <v>903</v>
      </c>
      <c r="I444" s="124" t="s">
        <v>902</v>
      </c>
      <c r="J444" s="7">
        <v>3</v>
      </c>
      <c r="K444" s="124" t="s">
        <v>611</v>
      </c>
      <c r="L444" s="20" t="s">
        <v>904</v>
      </c>
      <c r="M444" s="16">
        <v>92.881448533799912</v>
      </c>
      <c r="N444" s="16">
        <v>19.900537066989475</v>
      </c>
      <c r="O444" s="16">
        <v>380.24166361490887</v>
      </c>
      <c r="P444" s="16">
        <v>18.321257591247559</v>
      </c>
      <c r="Q444" s="147">
        <v>7.8245339915156364E-2</v>
      </c>
      <c r="R444" s="147">
        <v>0.24075473751872778</v>
      </c>
      <c r="S444" s="10">
        <v>0.79045580267826188</v>
      </c>
      <c r="T444" s="16">
        <v>7.7754879648654756</v>
      </c>
      <c r="U444" s="16">
        <v>2.9678607503696122E-2</v>
      </c>
      <c r="V444" s="16">
        <v>6.3845524036234771</v>
      </c>
      <c r="W444" s="10">
        <v>0</v>
      </c>
      <c r="X444" s="10" t="s">
        <v>902</v>
      </c>
      <c r="Y444" s="10">
        <v>1.7</v>
      </c>
      <c r="Z444" s="10">
        <v>3</v>
      </c>
      <c r="AA444" s="20" t="s">
        <v>610</v>
      </c>
      <c r="AB444" s="9" t="s">
        <v>902</v>
      </c>
      <c r="AC444" s="9" t="s">
        <v>902</v>
      </c>
      <c r="AD444" s="9" t="s">
        <v>902</v>
      </c>
      <c r="AE444" s="8" t="s">
        <v>902</v>
      </c>
      <c r="AF444" s="21" t="s">
        <v>8</v>
      </c>
      <c r="AG444" s="11" t="s">
        <v>607</v>
      </c>
      <c r="AH444" s="7" t="s">
        <v>1242</v>
      </c>
    </row>
    <row r="445" spans="1:34" s="7" customFormat="1" ht="16.5" customHeight="1">
      <c r="A445" s="7">
        <v>2012</v>
      </c>
      <c r="B445" s="12">
        <v>41116</v>
      </c>
      <c r="C445" s="18" t="s">
        <v>22</v>
      </c>
      <c r="D445" s="18" t="s">
        <v>23</v>
      </c>
      <c r="E445" s="18" t="s">
        <v>19</v>
      </c>
      <c r="F445" s="18" t="s">
        <v>25</v>
      </c>
      <c r="G445" s="7" t="s">
        <v>902</v>
      </c>
      <c r="H445" s="18" t="s">
        <v>903</v>
      </c>
      <c r="I445" s="124" t="s">
        <v>902</v>
      </c>
      <c r="J445" s="7">
        <v>4</v>
      </c>
      <c r="K445" s="124" t="s">
        <v>613</v>
      </c>
      <c r="L445" s="20" t="s">
        <v>904</v>
      </c>
      <c r="M445" s="16">
        <v>92.877848731146912</v>
      </c>
      <c r="N445" s="16">
        <v>19.557145330641006</v>
      </c>
      <c r="O445" s="16">
        <v>378.09232415093317</v>
      </c>
      <c r="P445" s="16">
        <v>17.25094879998101</v>
      </c>
      <c r="Q445" s="147">
        <v>0.13182092882278892</v>
      </c>
      <c r="R445" s="147">
        <v>0.22203129716217518</v>
      </c>
      <c r="S445" s="10">
        <v>0.79045580267826188</v>
      </c>
      <c r="T445" s="16">
        <v>7.7610814760785445</v>
      </c>
      <c r="U445" s="16">
        <v>3.8162699916906524E-2</v>
      </c>
      <c r="V445" s="16">
        <v>6.3845524036234771</v>
      </c>
      <c r="W445" s="10">
        <v>0</v>
      </c>
      <c r="X445" s="10" t="s">
        <v>902</v>
      </c>
      <c r="Y445" s="10">
        <v>1.7</v>
      </c>
      <c r="Z445" s="10">
        <v>3</v>
      </c>
      <c r="AA445" s="20" t="s">
        <v>612</v>
      </c>
      <c r="AB445" s="9" t="s">
        <v>902</v>
      </c>
      <c r="AC445" s="9" t="s">
        <v>902</v>
      </c>
      <c r="AD445" s="9" t="s">
        <v>902</v>
      </c>
      <c r="AE445" s="8" t="s">
        <v>902</v>
      </c>
      <c r="AF445" s="21" t="s">
        <v>8</v>
      </c>
      <c r="AG445" s="11" t="s">
        <v>607</v>
      </c>
      <c r="AH445" s="7" t="s">
        <v>1242</v>
      </c>
    </row>
    <row r="446" spans="1:34" s="7" customFormat="1" ht="16.5" customHeight="1">
      <c r="A446" s="7">
        <v>2012</v>
      </c>
      <c r="B446" s="12">
        <v>41116</v>
      </c>
      <c r="C446" s="18" t="s">
        <v>22</v>
      </c>
      <c r="D446" s="18" t="s">
        <v>23</v>
      </c>
      <c r="E446" s="18" t="s">
        <v>19</v>
      </c>
      <c r="F446" s="18" t="s">
        <v>25</v>
      </c>
      <c r="G446" s="7" t="s">
        <v>902</v>
      </c>
      <c r="H446" s="18" t="s">
        <v>903</v>
      </c>
      <c r="I446" s="124" t="s">
        <v>902</v>
      </c>
      <c r="J446" s="7">
        <v>5</v>
      </c>
      <c r="K446" s="124" t="s">
        <v>615</v>
      </c>
      <c r="L446" s="20" t="s">
        <v>904</v>
      </c>
      <c r="M446" s="16">
        <v>92.872972700330948</v>
      </c>
      <c r="N446" s="16">
        <v>19.671591864691841</v>
      </c>
      <c r="O446" s="16">
        <v>377.37878248426648</v>
      </c>
      <c r="P446" s="16">
        <v>17.741823938157822</v>
      </c>
      <c r="Q446" s="147">
        <v>0.15314807846314377</v>
      </c>
      <c r="R446" s="147">
        <v>0.19795598462224007</v>
      </c>
      <c r="S446" s="10">
        <v>0.79045580267826188</v>
      </c>
      <c r="T446" s="16">
        <v>8.6015061255746801</v>
      </c>
      <c r="U446" s="16">
        <v>3.3824242551506366E-2</v>
      </c>
      <c r="V446" s="16">
        <v>6.3845524036234771</v>
      </c>
      <c r="W446" s="10">
        <v>0</v>
      </c>
      <c r="X446" s="10" t="s">
        <v>902</v>
      </c>
      <c r="Y446" s="10">
        <v>1.7</v>
      </c>
      <c r="Z446" s="10">
        <v>3</v>
      </c>
      <c r="AA446" s="20" t="s">
        <v>614</v>
      </c>
      <c r="AB446" s="9" t="s">
        <v>902</v>
      </c>
      <c r="AC446" s="9" t="s">
        <v>902</v>
      </c>
      <c r="AD446" s="9" t="s">
        <v>902</v>
      </c>
      <c r="AE446" s="8" t="s">
        <v>902</v>
      </c>
      <c r="AF446" s="21" t="s">
        <v>8</v>
      </c>
      <c r="AG446" s="11" t="s">
        <v>607</v>
      </c>
      <c r="AH446" s="7" t="s">
        <v>1242</v>
      </c>
    </row>
    <row r="447" spans="1:34" s="7" customFormat="1" ht="16.5" customHeight="1">
      <c r="A447" s="7">
        <v>2012</v>
      </c>
      <c r="B447" s="12">
        <v>41126</v>
      </c>
      <c r="C447" s="9" t="s">
        <v>22</v>
      </c>
      <c r="D447" s="9" t="s">
        <v>23</v>
      </c>
      <c r="E447" s="9" t="s">
        <v>19</v>
      </c>
      <c r="F447" s="9" t="s">
        <v>25</v>
      </c>
      <c r="G447" s="7" t="s">
        <v>902</v>
      </c>
      <c r="H447" s="9" t="s">
        <v>903</v>
      </c>
      <c r="I447" s="124" t="s">
        <v>902</v>
      </c>
      <c r="J447" s="7">
        <v>6</v>
      </c>
      <c r="K447" s="124" t="s">
        <v>616</v>
      </c>
      <c r="L447" s="20" t="s">
        <v>904</v>
      </c>
      <c r="M447" s="16">
        <v>92.517372512817388</v>
      </c>
      <c r="N447" s="16">
        <v>15.766921424865723</v>
      </c>
      <c r="O447" s="16">
        <v>381.66712951660156</v>
      </c>
      <c r="P447" s="16">
        <v>15.742808389663697</v>
      </c>
      <c r="Q447" s="147">
        <v>0.16153045687824488</v>
      </c>
      <c r="R447" s="147">
        <v>0.26844433322548866</v>
      </c>
      <c r="S447" s="10">
        <v>0.79045580267826188</v>
      </c>
      <c r="T447" s="16">
        <v>4.8409554699417097</v>
      </c>
      <c r="U447" s="16">
        <v>1.12701656226825E-2</v>
      </c>
      <c r="V447" s="16">
        <v>6.3845524036234771</v>
      </c>
      <c r="W447" s="10">
        <v>0</v>
      </c>
      <c r="X447" s="10" t="s">
        <v>902</v>
      </c>
      <c r="Y447" s="10">
        <v>1.7</v>
      </c>
      <c r="Z447" s="10">
        <v>3</v>
      </c>
      <c r="AA447" s="20" t="s">
        <v>580</v>
      </c>
      <c r="AB447" s="7">
        <v>1032.7</v>
      </c>
      <c r="AC447" s="7">
        <v>446.8</v>
      </c>
      <c r="AD447" s="7">
        <v>0.43265227074658663</v>
      </c>
      <c r="AE447" s="8" t="s">
        <v>902</v>
      </c>
      <c r="AF447" s="20" t="s">
        <v>8</v>
      </c>
      <c r="AG447" s="11" t="s">
        <v>607</v>
      </c>
      <c r="AH447" s="7" t="s">
        <v>1242</v>
      </c>
    </row>
    <row r="448" spans="1:34" s="7" customFormat="1" ht="16.5" customHeight="1">
      <c r="A448" s="7">
        <v>2012</v>
      </c>
      <c r="B448" s="12">
        <v>41126</v>
      </c>
      <c r="C448" s="9" t="s">
        <v>22</v>
      </c>
      <c r="D448" s="9" t="s">
        <v>23</v>
      </c>
      <c r="E448" s="9" t="s">
        <v>19</v>
      </c>
      <c r="F448" s="9" t="s">
        <v>25</v>
      </c>
      <c r="G448" s="7" t="s">
        <v>902</v>
      </c>
      <c r="H448" s="9" t="s">
        <v>903</v>
      </c>
      <c r="I448" s="124" t="s">
        <v>902</v>
      </c>
      <c r="J448" s="7">
        <v>17</v>
      </c>
      <c r="K448" s="124" t="s">
        <v>627</v>
      </c>
      <c r="L448" s="20" t="s">
        <v>905</v>
      </c>
      <c r="M448" s="16">
        <v>92.517807006835938</v>
      </c>
      <c r="N448" s="16">
        <v>15.129060374365913</v>
      </c>
      <c r="O448" s="16">
        <v>387.73511589898004</v>
      </c>
      <c r="P448" s="16">
        <v>14.820720248752171</v>
      </c>
      <c r="Q448" s="147">
        <v>40.707986831665039</v>
      </c>
      <c r="R448" s="147">
        <v>1.8063850402832031</v>
      </c>
      <c r="S448" s="10">
        <v>0.79045580267826188</v>
      </c>
      <c r="T448" s="16">
        <v>2.5612074020547513</v>
      </c>
      <c r="U448" s="16">
        <v>1.4834531935621956E-2</v>
      </c>
      <c r="V448" s="16">
        <v>6.3845524036234771</v>
      </c>
      <c r="W448" s="10">
        <v>3.8233450015687258</v>
      </c>
      <c r="X448" s="10" t="s">
        <v>902</v>
      </c>
      <c r="Y448" s="10">
        <v>1.7</v>
      </c>
      <c r="Z448" s="10">
        <v>3</v>
      </c>
      <c r="AA448" s="20" t="s">
        <v>576</v>
      </c>
      <c r="AB448" s="7">
        <v>888.7</v>
      </c>
      <c r="AC448" s="7">
        <v>417.5</v>
      </c>
      <c r="AD448" s="7">
        <v>0.46978732980758409</v>
      </c>
      <c r="AE448" s="8" t="s">
        <v>5</v>
      </c>
      <c r="AF448" s="20" t="s">
        <v>8</v>
      </c>
      <c r="AG448" s="11" t="s">
        <v>2</v>
      </c>
      <c r="AH448" s="7" t="s">
        <v>1242</v>
      </c>
    </row>
    <row r="449" spans="1:34" s="7" customFormat="1" ht="16.5" customHeight="1">
      <c r="A449" s="7">
        <v>2012</v>
      </c>
      <c r="B449" s="12">
        <v>41126</v>
      </c>
      <c r="C449" s="9" t="s">
        <v>22</v>
      </c>
      <c r="D449" s="9" t="s">
        <v>23</v>
      </c>
      <c r="E449" s="9" t="s">
        <v>19</v>
      </c>
      <c r="F449" s="9" t="s">
        <v>25</v>
      </c>
      <c r="G449" s="7" t="s">
        <v>902</v>
      </c>
      <c r="H449" s="9" t="s">
        <v>903</v>
      </c>
      <c r="I449" s="124" t="s">
        <v>902</v>
      </c>
      <c r="J449" s="7">
        <v>18</v>
      </c>
      <c r="K449" s="124" t="s">
        <v>628</v>
      </c>
      <c r="L449" s="20" t="s">
        <v>905</v>
      </c>
      <c r="M449" s="16">
        <v>92.522226835552019</v>
      </c>
      <c r="N449" s="16">
        <v>15.336749578777113</v>
      </c>
      <c r="O449" s="16">
        <v>386.97208605314557</v>
      </c>
      <c r="P449" s="16">
        <v>15.299562705190558</v>
      </c>
      <c r="Q449" s="147">
        <v>51.61708631013569</v>
      </c>
      <c r="R449" s="147">
        <v>0.78316879272460938</v>
      </c>
      <c r="S449" s="10">
        <v>0.79045580267826188</v>
      </c>
      <c r="T449" s="16">
        <v>3.5377816067360004</v>
      </c>
      <c r="U449" s="16">
        <v>1.2036762739482679E-2</v>
      </c>
      <c r="V449" s="16">
        <v>6.3845524036234771</v>
      </c>
      <c r="W449" s="10">
        <v>2.8467707968874767</v>
      </c>
      <c r="X449" s="10" t="s">
        <v>902</v>
      </c>
      <c r="Y449" s="10">
        <v>1.7</v>
      </c>
      <c r="Z449" s="10">
        <v>3</v>
      </c>
      <c r="AA449" s="20" t="s">
        <v>575</v>
      </c>
      <c r="AB449" s="7">
        <v>861.8</v>
      </c>
      <c r="AC449" s="7">
        <v>417.5</v>
      </c>
      <c r="AD449" s="7">
        <v>0.48445114875841266</v>
      </c>
      <c r="AE449" s="8" t="s">
        <v>5</v>
      </c>
      <c r="AF449" s="20" t="s">
        <v>8</v>
      </c>
      <c r="AG449" s="11" t="s">
        <v>2</v>
      </c>
      <c r="AH449" s="7" t="s">
        <v>1242</v>
      </c>
    </row>
    <row r="450" spans="1:34" s="7" customFormat="1" ht="16.5" customHeight="1">
      <c r="A450" s="7">
        <v>2012</v>
      </c>
      <c r="B450" s="12">
        <v>41116</v>
      </c>
      <c r="C450" s="18" t="s">
        <v>22</v>
      </c>
      <c r="D450" s="18" t="s">
        <v>23</v>
      </c>
      <c r="E450" s="18" t="s">
        <v>19</v>
      </c>
      <c r="F450" s="18" t="s">
        <v>25</v>
      </c>
      <c r="G450" s="7" t="s">
        <v>902</v>
      </c>
      <c r="H450" s="18" t="s">
        <v>903</v>
      </c>
      <c r="I450" s="124" t="s">
        <v>902</v>
      </c>
      <c r="J450" s="7">
        <v>7</v>
      </c>
      <c r="K450" s="124" t="s">
        <v>617</v>
      </c>
      <c r="L450" s="20" t="s">
        <v>905</v>
      </c>
      <c r="M450" s="16">
        <v>92.889667087131073</v>
      </c>
      <c r="N450" s="16">
        <v>19.976729816860622</v>
      </c>
      <c r="O450" s="16">
        <v>383.45971001519098</v>
      </c>
      <c r="P450" s="16">
        <v>19.155237197875977</v>
      </c>
      <c r="Q450" s="147">
        <v>55.397943920559356</v>
      </c>
      <c r="R450" s="147">
        <v>2.1660079956054687</v>
      </c>
      <c r="S450" s="10">
        <v>0.79045580267826188</v>
      </c>
      <c r="T450" s="16">
        <v>5.4585721883489047</v>
      </c>
      <c r="U450" s="16">
        <v>2.0767786677530799E-2</v>
      </c>
      <c r="V450" s="16">
        <v>6.3845524036234771</v>
      </c>
      <c r="W450" s="10">
        <v>0.92598021527457242</v>
      </c>
      <c r="X450" s="10" t="s">
        <v>902</v>
      </c>
      <c r="Y450" s="10">
        <v>1.7</v>
      </c>
      <c r="Z450" s="10">
        <v>3</v>
      </c>
      <c r="AA450" s="20" t="s">
        <v>602</v>
      </c>
      <c r="AB450" s="7">
        <v>627.4</v>
      </c>
      <c r="AC450" s="7">
        <v>517.6</v>
      </c>
      <c r="AD450" s="7">
        <v>0.82499203060248649</v>
      </c>
      <c r="AE450" s="8" t="s">
        <v>5</v>
      </c>
      <c r="AF450" s="21" t="s">
        <v>8</v>
      </c>
      <c r="AG450" s="11" t="s">
        <v>0</v>
      </c>
      <c r="AH450" s="7" t="s">
        <v>1242</v>
      </c>
    </row>
    <row r="451" spans="1:34" s="7" customFormat="1" ht="16.5" customHeight="1">
      <c r="A451" s="7">
        <v>2012</v>
      </c>
      <c r="B451" s="12">
        <v>41116</v>
      </c>
      <c r="C451" s="18" t="s">
        <v>22</v>
      </c>
      <c r="D451" s="18" t="s">
        <v>23</v>
      </c>
      <c r="E451" s="18" t="s">
        <v>19</v>
      </c>
      <c r="F451" s="18" t="s">
        <v>25</v>
      </c>
      <c r="G451" s="7" t="s">
        <v>902</v>
      </c>
      <c r="H451" s="18" t="s">
        <v>903</v>
      </c>
      <c r="I451" s="124" t="s">
        <v>902</v>
      </c>
      <c r="J451" s="7">
        <v>8</v>
      </c>
      <c r="K451" s="124" t="s">
        <v>618</v>
      </c>
      <c r="L451" s="20" t="s">
        <v>905</v>
      </c>
      <c r="M451" s="16">
        <v>92.889057761744454</v>
      </c>
      <c r="N451" s="16">
        <v>19.583185597469932</v>
      </c>
      <c r="O451" s="16">
        <v>380.16406892475328</v>
      </c>
      <c r="P451" s="16">
        <v>17.900819577668841</v>
      </c>
      <c r="Q451" s="147">
        <v>67.828130019338502</v>
      </c>
      <c r="R451" s="147">
        <v>9.1001396179199219</v>
      </c>
      <c r="S451" s="10">
        <v>0.79045580267826188</v>
      </c>
      <c r="T451" s="16">
        <v>4.6829203429427215</v>
      </c>
      <c r="U451" s="16">
        <v>3.0076212632028681E-2</v>
      </c>
      <c r="V451" s="16">
        <v>6.3845524036234771</v>
      </c>
      <c r="W451" s="10">
        <v>1.7016320606807556</v>
      </c>
      <c r="X451" s="10" t="s">
        <v>902</v>
      </c>
      <c r="Y451" s="10">
        <v>1.7</v>
      </c>
      <c r="Z451" s="10">
        <v>3</v>
      </c>
      <c r="AA451" s="20" t="s">
        <v>603</v>
      </c>
      <c r="AB451" s="7">
        <v>693.4</v>
      </c>
      <c r="AC451" s="7">
        <v>505.4</v>
      </c>
      <c r="AD451" s="7">
        <v>0.72887222382463224</v>
      </c>
      <c r="AE451" s="8" t="s">
        <v>5</v>
      </c>
      <c r="AF451" s="21" t="s">
        <v>8</v>
      </c>
      <c r="AG451" s="11" t="s">
        <v>0</v>
      </c>
      <c r="AH451" s="7" t="s">
        <v>1242</v>
      </c>
    </row>
    <row r="452" spans="1:34" s="7" customFormat="1" ht="16.5" customHeight="1">
      <c r="A452" s="7">
        <v>2012</v>
      </c>
      <c r="B452" s="12">
        <v>41116</v>
      </c>
      <c r="C452" s="18" t="s">
        <v>22</v>
      </c>
      <c r="D452" s="18" t="s">
        <v>23</v>
      </c>
      <c r="E452" s="18" t="s">
        <v>19</v>
      </c>
      <c r="F452" s="18" t="s">
        <v>25</v>
      </c>
      <c r="G452" s="7" t="s">
        <v>902</v>
      </c>
      <c r="H452" s="18" t="s">
        <v>903</v>
      </c>
      <c r="I452" s="124" t="s">
        <v>902</v>
      </c>
      <c r="J452" s="7">
        <v>9</v>
      </c>
      <c r="K452" s="124" t="s">
        <v>619</v>
      </c>
      <c r="L452" s="20" t="s">
        <v>77</v>
      </c>
      <c r="M452" s="16">
        <v>92.892682817247177</v>
      </c>
      <c r="N452" s="16">
        <v>20.347368346320259</v>
      </c>
      <c r="O452" s="16">
        <v>379.46518283420141</v>
      </c>
      <c r="P452" s="16">
        <v>19.142834981282551</v>
      </c>
      <c r="Q452" s="147">
        <v>97.112587398952911</v>
      </c>
      <c r="R452" s="147">
        <v>6.9724273681640625</v>
      </c>
      <c r="S452" s="10">
        <v>0.79045580267826188</v>
      </c>
      <c r="T452" s="16">
        <v>3.9249121415667241</v>
      </c>
      <c r="U452" s="16">
        <v>2.698145217816773E-2</v>
      </c>
      <c r="V452" s="16">
        <v>6.3845524036234771</v>
      </c>
      <c r="W452" s="10">
        <v>2.459640262056753</v>
      </c>
      <c r="X452" s="10" t="s">
        <v>902</v>
      </c>
      <c r="Y452" s="10">
        <v>1.7</v>
      </c>
      <c r="Z452" s="10">
        <v>3</v>
      </c>
      <c r="AA452" s="20" t="s">
        <v>601</v>
      </c>
      <c r="AB452" s="7">
        <v>704.3</v>
      </c>
      <c r="AC452" s="7">
        <v>537.1</v>
      </c>
      <c r="AD452" s="7">
        <v>0.76260116427658675</v>
      </c>
      <c r="AE452" s="8" t="s">
        <v>5</v>
      </c>
      <c r="AF452" s="21" t="s">
        <v>8</v>
      </c>
      <c r="AG452" s="11" t="s">
        <v>0</v>
      </c>
      <c r="AH452" s="7" t="s">
        <v>1242</v>
      </c>
    </row>
    <row r="453" spans="1:34" s="7" customFormat="1" ht="16.5" customHeight="1">
      <c r="A453" s="7">
        <v>2012</v>
      </c>
      <c r="B453" s="12">
        <v>41126</v>
      </c>
      <c r="C453" s="9" t="s">
        <v>22</v>
      </c>
      <c r="D453" s="9" t="s">
        <v>23</v>
      </c>
      <c r="E453" s="9" t="s">
        <v>19</v>
      </c>
      <c r="F453" s="9" t="s">
        <v>25</v>
      </c>
      <c r="G453" s="7" t="s">
        <v>902</v>
      </c>
      <c r="H453" s="9" t="s">
        <v>903</v>
      </c>
      <c r="I453" s="124" t="s">
        <v>902</v>
      </c>
      <c r="J453" s="7">
        <v>19</v>
      </c>
      <c r="K453" s="124" t="s">
        <v>629</v>
      </c>
      <c r="L453" s="20" t="s">
        <v>77</v>
      </c>
      <c r="M453" s="16">
        <v>92.523799133300784</v>
      </c>
      <c r="N453" s="16">
        <v>15.608122730255127</v>
      </c>
      <c r="O453" s="16">
        <v>381.28453216552737</v>
      </c>
      <c r="P453" s="16">
        <v>15.450005054473877</v>
      </c>
      <c r="Q453" s="147">
        <v>103.44746284484863</v>
      </c>
      <c r="R453" s="147">
        <v>8.3026046752929687</v>
      </c>
      <c r="S453" s="10">
        <v>0.79045580267826188</v>
      </c>
      <c r="T453" s="16">
        <v>2.6709277868681127</v>
      </c>
      <c r="U453" s="16">
        <v>1.4371106857643989E-2</v>
      </c>
      <c r="V453" s="16">
        <v>6.3845524036234771</v>
      </c>
      <c r="W453" s="10">
        <v>3.7136246167553644</v>
      </c>
      <c r="X453" s="10" t="s">
        <v>902</v>
      </c>
      <c r="Y453" s="10">
        <v>1.7</v>
      </c>
      <c r="Z453" s="10">
        <v>3</v>
      </c>
      <c r="AA453" s="20" t="s">
        <v>573</v>
      </c>
      <c r="AB453" s="7">
        <v>930.2</v>
      </c>
      <c r="AC453" s="7">
        <v>459</v>
      </c>
      <c r="AD453" s="7">
        <v>0.49344227047946676</v>
      </c>
      <c r="AE453" s="8" t="s">
        <v>5</v>
      </c>
      <c r="AF453" s="20" t="s">
        <v>8</v>
      </c>
      <c r="AG453" s="11" t="s">
        <v>2</v>
      </c>
      <c r="AH453" s="7" t="s">
        <v>1242</v>
      </c>
    </row>
    <row r="454" spans="1:34" s="7" customFormat="1" ht="16.5" customHeight="1">
      <c r="A454" s="7">
        <v>2012</v>
      </c>
      <c r="B454" s="12">
        <v>41116</v>
      </c>
      <c r="C454" s="18" t="s">
        <v>22</v>
      </c>
      <c r="D454" s="18" t="s">
        <v>23</v>
      </c>
      <c r="E454" s="18" t="s">
        <v>19</v>
      </c>
      <c r="F454" s="18" t="s">
        <v>25</v>
      </c>
      <c r="G454" s="7" t="s">
        <v>902</v>
      </c>
      <c r="H454" s="18" t="s">
        <v>903</v>
      </c>
      <c r="I454" s="124" t="s">
        <v>902</v>
      </c>
      <c r="J454" s="7">
        <v>10</v>
      </c>
      <c r="K454" s="124" t="s">
        <v>620</v>
      </c>
      <c r="L454" s="20" t="s">
        <v>77</v>
      </c>
      <c r="M454" s="16">
        <v>92.893311349969167</v>
      </c>
      <c r="N454" s="16">
        <v>20.738300423873099</v>
      </c>
      <c r="O454" s="16">
        <v>380.92869487561677</v>
      </c>
      <c r="P454" s="16">
        <v>20.260051827681693</v>
      </c>
      <c r="Q454" s="147">
        <v>103.55457827919408</v>
      </c>
      <c r="R454" s="147">
        <v>12.091293334960937</v>
      </c>
      <c r="S454" s="10">
        <v>0.79045580267826188</v>
      </c>
      <c r="T454" s="16">
        <v>3.8938949349400076</v>
      </c>
      <c r="U454" s="16">
        <v>1.6173163631506133E-2</v>
      </c>
      <c r="V454" s="16">
        <v>6.3845524036234771</v>
      </c>
      <c r="W454" s="10">
        <v>2.4906574686834695</v>
      </c>
      <c r="X454" s="10" t="s">
        <v>902</v>
      </c>
      <c r="Y454" s="10">
        <v>1.7</v>
      </c>
      <c r="Z454" s="10">
        <v>3</v>
      </c>
      <c r="AA454" s="20" t="s">
        <v>600</v>
      </c>
      <c r="AB454" s="7">
        <v>750.7</v>
      </c>
      <c r="AC454" s="7">
        <v>542</v>
      </c>
      <c r="AD454" s="7">
        <v>0.72199280671373378</v>
      </c>
      <c r="AE454" s="8" t="s">
        <v>5</v>
      </c>
      <c r="AF454" s="21" t="s">
        <v>8</v>
      </c>
      <c r="AG454" s="11" t="s">
        <v>0</v>
      </c>
      <c r="AH454" s="7" t="s">
        <v>1242</v>
      </c>
    </row>
    <row r="455" spans="1:34" s="7" customFormat="1" ht="16.5" customHeight="1">
      <c r="A455" s="7">
        <v>2012</v>
      </c>
      <c r="B455" s="12">
        <v>41126</v>
      </c>
      <c r="C455" s="9" t="s">
        <v>22</v>
      </c>
      <c r="D455" s="9" t="s">
        <v>23</v>
      </c>
      <c r="E455" s="9" t="s">
        <v>19</v>
      </c>
      <c r="F455" s="9" t="s">
        <v>25</v>
      </c>
      <c r="G455" s="7" t="s">
        <v>902</v>
      </c>
      <c r="H455" s="9" t="s">
        <v>903</v>
      </c>
      <c r="I455" s="124" t="s">
        <v>902</v>
      </c>
      <c r="J455" s="7">
        <v>20</v>
      </c>
      <c r="K455" s="124" t="s">
        <v>630</v>
      </c>
      <c r="L455" s="20" t="s">
        <v>77</v>
      </c>
      <c r="M455" s="16">
        <v>92.521154403686523</v>
      </c>
      <c r="N455" s="16">
        <v>15.435600566864014</v>
      </c>
      <c r="O455" s="16">
        <v>380.83494720458987</v>
      </c>
      <c r="P455" s="16">
        <v>14.99736123085022</v>
      </c>
      <c r="Q455" s="147">
        <v>104.68354530334473</v>
      </c>
      <c r="R455" s="147">
        <v>9.5501937866210937</v>
      </c>
      <c r="S455" s="10">
        <v>0.79045580267826188</v>
      </c>
      <c r="T455" s="16">
        <v>2.5358879747866596</v>
      </c>
      <c r="U455" s="16">
        <v>1.6833067657355975E-2</v>
      </c>
      <c r="V455" s="16">
        <v>6.3845524036234771</v>
      </c>
      <c r="W455" s="10">
        <v>3.8486644288368175</v>
      </c>
      <c r="X455" s="10" t="s">
        <v>902</v>
      </c>
      <c r="Y455" s="10">
        <v>1.7</v>
      </c>
      <c r="Z455" s="10">
        <v>3</v>
      </c>
      <c r="AA455" s="20" t="s">
        <v>574</v>
      </c>
      <c r="AB455" s="7">
        <v>957</v>
      </c>
      <c r="AC455" s="7">
        <v>454.1</v>
      </c>
      <c r="AD455" s="7">
        <v>0.474503657262278</v>
      </c>
      <c r="AE455" s="8" t="s">
        <v>5</v>
      </c>
      <c r="AF455" s="20" t="s">
        <v>8</v>
      </c>
      <c r="AG455" s="11" t="s">
        <v>2</v>
      </c>
      <c r="AH455" s="7" t="s">
        <v>1242</v>
      </c>
    </row>
    <row r="456" spans="1:34" s="7" customFormat="1" ht="16.5" customHeight="1">
      <c r="A456" s="7">
        <v>2012</v>
      </c>
      <c r="B456" s="12">
        <v>41126</v>
      </c>
      <c r="C456" s="9" t="s">
        <v>22</v>
      </c>
      <c r="D456" s="9" t="s">
        <v>23</v>
      </c>
      <c r="E456" s="9" t="s">
        <v>19</v>
      </c>
      <c r="F456" s="9" t="s">
        <v>25</v>
      </c>
      <c r="G456" s="7" t="s">
        <v>902</v>
      </c>
      <c r="H456" s="9" t="s">
        <v>903</v>
      </c>
      <c r="I456" s="124" t="s">
        <v>902</v>
      </c>
      <c r="J456" s="7">
        <v>21</v>
      </c>
      <c r="K456" s="124" t="s">
        <v>631</v>
      </c>
      <c r="L456" s="20" t="s">
        <v>75</v>
      </c>
      <c r="M456" s="16">
        <v>92.52446174621582</v>
      </c>
      <c r="N456" s="16">
        <v>16.339890480041504</v>
      </c>
      <c r="O456" s="16">
        <v>369.44280751546222</v>
      </c>
      <c r="P456" s="16">
        <v>16.133669773737591</v>
      </c>
      <c r="Q456" s="147">
        <v>215.78222020467123</v>
      </c>
      <c r="R456" s="147">
        <v>8.56829833984375</v>
      </c>
      <c r="S456" s="10">
        <v>0.79045580267826188</v>
      </c>
      <c r="T456" s="16">
        <v>1.0994153485669815</v>
      </c>
      <c r="U456" s="16">
        <v>1.3183772147118628E-2</v>
      </c>
      <c r="V456" s="16">
        <v>6.3845524036234771</v>
      </c>
      <c r="W456" s="10">
        <v>5.2851370550564951</v>
      </c>
      <c r="X456" s="10" t="s">
        <v>902</v>
      </c>
      <c r="Y456" s="10">
        <v>1.7</v>
      </c>
      <c r="Z456" s="10">
        <v>3</v>
      </c>
      <c r="AA456" s="20" t="s">
        <v>571</v>
      </c>
      <c r="AB456" s="7">
        <v>1040</v>
      </c>
      <c r="AC456" s="7">
        <v>461.4</v>
      </c>
      <c r="AD456" s="7">
        <v>0.44365384615384612</v>
      </c>
      <c r="AE456" s="8" t="s">
        <v>5</v>
      </c>
      <c r="AF456" s="20" t="s">
        <v>8</v>
      </c>
      <c r="AG456" s="11" t="s">
        <v>2</v>
      </c>
      <c r="AH456" s="7" t="s">
        <v>1394</v>
      </c>
    </row>
    <row r="457" spans="1:34" s="7" customFormat="1" ht="16.5" customHeight="1">
      <c r="A457" s="7">
        <v>2012</v>
      </c>
      <c r="B457" s="12">
        <v>41126</v>
      </c>
      <c r="C457" s="9" t="s">
        <v>22</v>
      </c>
      <c r="D457" s="9" t="s">
        <v>23</v>
      </c>
      <c r="E457" s="9" t="s">
        <v>19</v>
      </c>
      <c r="F457" s="9" t="s">
        <v>25</v>
      </c>
      <c r="G457" s="7" t="s">
        <v>902</v>
      </c>
      <c r="H457" s="9" t="s">
        <v>903</v>
      </c>
      <c r="I457" s="124" t="s">
        <v>902</v>
      </c>
      <c r="J457" s="7">
        <v>22</v>
      </c>
      <c r="K457" s="124" t="s">
        <v>631</v>
      </c>
      <c r="L457" s="20" t="s">
        <v>75</v>
      </c>
      <c r="M457" s="16">
        <v>92.524436257102266</v>
      </c>
      <c r="N457" s="16">
        <v>16.336862737482246</v>
      </c>
      <c r="O457" s="16">
        <v>369.41912564364344</v>
      </c>
      <c r="P457" s="16">
        <v>16.12090119448575</v>
      </c>
      <c r="Q457" s="147">
        <v>216.10092995383522</v>
      </c>
      <c r="R457" s="147">
        <v>8.287445068359375</v>
      </c>
      <c r="S457" s="10">
        <v>0.79045580267826188</v>
      </c>
      <c r="T457" s="16">
        <v>1.1173046328400296</v>
      </c>
      <c r="U457" s="16">
        <v>1.3308330015702681E-2</v>
      </c>
      <c r="V457" s="16">
        <v>6.3845524036234771</v>
      </c>
      <c r="W457" s="10">
        <v>5.2672477707834471</v>
      </c>
      <c r="X457" s="10" t="s">
        <v>902</v>
      </c>
      <c r="Y457" s="10">
        <v>1.7</v>
      </c>
      <c r="Z457" s="10">
        <v>3</v>
      </c>
      <c r="AA457" s="20" t="s">
        <v>572</v>
      </c>
      <c r="AB457" s="7">
        <v>959.5</v>
      </c>
      <c r="AC457" s="7">
        <v>468.8</v>
      </c>
      <c r="AD457" s="7">
        <v>0.48858780614903596</v>
      </c>
      <c r="AE457" s="8" t="s">
        <v>5</v>
      </c>
      <c r="AF457" s="20" t="s">
        <v>8</v>
      </c>
      <c r="AG457" s="11" t="s">
        <v>2</v>
      </c>
      <c r="AH457" s="7" t="s">
        <v>1395</v>
      </c>
    </row>
    <row r="458" spans="1:34" s="7" customFormat="1" ht="16.5" customHeight="1">
      <c r="A458" s="7">
        <v>2012</v>
      </c>
      <c r="B458" s="12">
        <v>41116</v>
      </c>
      <c r="C458" s="18" t="s">
        <v>22</v>
      </c>
      <c r="D458" s="18" t="s">
        <v>23</v>
      </c>
      <c r="E458" s="18" t="s">
        <v>19</v>
      </c>
      <c r="F458" s="18" t="s">
        <v>25</v>
      </c>
      <c r="G458" s="7" t="s">
        <v>902</v>
      </c>
      <c r="H458" s="18" t="s">
        <v>903</v>
      </c>
      <c r="I458" s="124" t="s">
        <v>902</v>
      </c>
      <c r="J458" s="7">
        <v>23</v>
      </c>
      <c r="K458" s="124" t="s">
        <v>632</v>
      </c>
      <c r="L458" s="20" t="s">
        <v>75</v>
      </c>
      <c r="M458" s="16">
        <v>92.891811595243567</v>
      </c>
      <c r="N458" s="16">
        <v>20.957276961382696</v>
      </c>
      <c r="O458" s="16">
        <v>371.19708072437959</v>
      </c>
      <c r="P458" s="16">
        <v>18.79574753256405</v>
      </c>
      <c r="Q458" s="147">
        <v>230.67114347570083</v>
      </c>
      <c r="R458" s="147">
        <v>36.206039428710938</v>
      </c>
      <c r="S458" s="10">
        <v>0.79045580267826188</v>
      </c>
      <c r="T458" s="16">
        <v>1.4233235684461072</v>
      </c>
      <c r="U458" s="16">
        <v>4.0555650112675687E-2</v>
      </c>
      <c r="V458" s="16">
        <v>6.3845524036234771</v>
      </c>
      <c r="W458" s="10">
        <v>4.9612288351773701</v>
      </c>
      <c r="X458" s="10" t="s">
        <v>902</v>
      </c>
      <c r="Y458" s="10">
        <v>1.7</v>
      </c>
      <c r="Z458" s="10">
        <v>3</v>
      </c>
      <c r="AA458" s="20" t="s">
        <v>599</v>
      </c>
      <c r="AB458" s="7">
        <v>891.1</v>
      </c>
      <c r="AC458" s="7">
        <v>559.1</v>
      </c>
      <c r="AD458" s="7">
        <v>0.62742677589496132</v>
      </c>
      <c r="AE458" s="8" t="s">
        <v>5</v>
      </c>
      <c r="AF458" s="21" t="s">
        <v>8</v>
      </c>
      <c r="AG458" s="11" t="s">
        <v>2</v>
      </c>
      <c r="AH458" s="7" t="s">
        <v>1396</v>
      </c>
    </row>
    <row r="459" spans="1:34" s="7" customFormat="1" ht="16.5" customHeight="1">
      <c r="A459" s="7">
        <v>2012</v>
      </c>
      <c r="B459" s="12">
        <v>41126</v>
      </c>
      <c r="C459" s="9" t="s">
        <v>22</v>
      </c>
      <c r="D459" s="9" t="s">
        <v>23</v>
      </c>
      <c r="E459" s="9" t="s">
        <v>19</v>
      </c>
      <c r="F459" s="9" t="s">
        <v>25</v>
      </c>
      <c r="G459" s="7" t="s">
        <v>902</v>
      </c>
      <c r="H459" s="9" t="s">
        <v>903</v>
      </c>
      <c r="I459" s="124" t="s">
        <v>902</v>
      </c>
      <c r="J459" s="7">
        <v>24</v>
      </c>
      <c r="K459" s="124" t="s">
        <v>634</v>
      </c>
      <c r="L459" s="20" t="s">
        <v>74</v>
      </c>
      <c r="M459" s="16">
        <v>92.520545959472656</v>
      </c>
      <c r="N459" s="16">
        <v>17.209767023722332</v>
      </c>
      <c r="O459" s="16">
        <v>360.12578074137372</v>
      </c>
      <c r="P459" s="16">
        <v>17.012004534403484</v>
      </c>
      <c r="Q459" s="147">
        <v>243.73645146687826</v>
      </c>
      <c r="R459" s="147">
        <v>30.159515380859375</v>
      </c>
      <c r="S459" s="10">
        <v>0.79045580267826188</v>
      </c>
      <c r="T459" s="16">
        <v>-1.8421709058168012</v>
      </c>
      <c r="U459" s="16">
        <v>1.1112699975500573E-2</v>
      </c>
      <c r="V459" s="16">
        <v>6.3845524036234771</v>
      </c>
      <c r="W459" s="10">
        <v>8.2267233094402776</v>
      </c>
      <c r="X459" s="10" t="s">
        <v>902</v>
      </c>
      <c r="Y459" s="10">
        <v>1.7</v>
      </c>
      <c r="Z459" s="10">
        <v>3</v>
      </c>
      <c r="AA459" s="20" t="s">
        <v>569</v>
      </c>
      <c r="AB459" s="7">
        <v>983.9</v>
      </c>
      <c r="AC459" s="7">
        <v>440.7</v>
      </c>
      <c r="AD459" s="7">
        <v>0.44791137310702306</v>
      </c>
      <c r="AE459" s="8" t="s">
        <v>5</v>
      </c>
      <c r="AF459" s="20" t="s">
        <v>8</v>
      </c>
      <c r="AG459" s="11" t="s">
        <v>2</v>
      </c>
      <c r="AH459" s="7" t="s">
        <v>1397</v>
      </c>
    </row>
    <row r="460" spans="1:34" s="7" customFormat="1" ht="16.5" customHeight="1">
      <c r="A460" s="7">
        <v>2012</v>
      </c>
      <c r="B460" s="12">
        <v>41116</v>
      </c>
      <c r="C460" s="18" t="s">
        <v>22</v>
      </c>
      <c r="D460" s="18" t="s">
        <v>23</v>
      </c>
      <c r="E460" s="18" t="s">
        <v>19</v>
      </c>
      <c r="F460" s="18" t="s">
        <v>25</v>
      </c>
      <c r="G460" s="7" t="s">
        <v>902</v>
      </c>
      <c r="H460" s="18" t="s">
        <v>903</v>
      </c>
      <c r="I460" s="124" t="s">
        <v>902</v>
      </c>
      <c r="J460" s="7">
        <v>25</v>
      </c>
      <c r="K460" s="124" t="s">
        <v>633</v>
      </c>
      <c r="L460" s="20" t="s">
        <v>75</v>
      </c>
      <c r="M460" s="16">
        <v>92.892126384534336</v>
      </c>
      <c r="N460" s="16">
        <v>20.967779962640058</v>
      </c>
      <c r="O460" s="16">
        <v>367.38547877261516</v>
      </c>
      <c r="P460" s="16">
        <v>18.520741914447985</v>
      </c>
      <c r="Q460" s="147">
        <v>245.18631784539474</v>
      </c>
      <c r="R460" s="147">
        <v>58.409744262695313</v>
      </c>
      <c r="S460" s="10">
        <v>0.79045580267826188</v>
      </c>
      <c r="T460" s="16">
        <v>0.25074581068016433</v>
      </c>
      <c r="U460" s="16">
        <v>4.6275157259221662E-2</v>
      </c>
      <c r="V460" s="16">
        <v>6.3845524036234771</v>
      </c>
      <c r="W460" s="10">
        <v>6.133806592943313</v>
      </c>
      <c r="X460" s="10" t="s">
        <v>902</v>
      </c>
      <c r="Y460" s="10">
        <v>1.7</v>
      </c>
      <c r="Z460" s="10">
        <v>3</v>
      </c>
      <c r="AA460" s="20" t="s">
        <v>598</v>
      </c>
      <c r="AB460" s="7">
        <v>881.3</v>
      </c>
      <c r="AC460" s="7">
        <v>555.4</v>
      </c>
      <c r="AD460" s="7">
        <v>0.63020537841824575</v>
      </c>
      <c r="AE460" s="8" t="s">
        <v>5</v>
      </c>
      <c r="AF460" s="21" t="s">
        <v>8</v>
      </c>
      <c r="AG460" s="11" t="s">
        <v>2</v>
      </c>
      <c r="AH460" s="7" t="s">
        <v>1398</v>
      </c>
    </row>
    <row r="461" spans="1:34" s="7" customFormat="1" ht="16.5" customHeight="1">
      <c r="A461" s="7">
        <v>2012</v>
      </c>
      <c r="B461" s="12">
        <v>41126</v>
      </c>
      <c r="C461" s="9" t="s">
        <v>22</v>
      </c>
      <c r="D461" s="9" t="s">
        <v>23</v>
      </c>
      <c r="E461" s="9" t="s">
        <v>19</v>
      </c>
      <c r="F461" s="9" t="s">
        <v>25</v>
      </c>
      <c r="G461" s="7" t="s">
        <v>902</v>
      </c>
      <c r="H461" s="9" t="s">
        <v>903</v>
      </c>
      <c r="I461" s="124" t="s">
        <v>902</v>
      </c>
      <c r="J461" s="7">
        <v>26</v>
      </c>
      <c r="K461" s="124" t="s">
        <v>635</v>
      </c>
      <c r="L461" s="20" t="s">
        <v>74</v>
      </c>
      <c r="M461" s="16">
        <v>92.52102933611188</v>
      </c>
      <c r="N461" s="16">
        <v>16.702154295785085</v>
      </c>
      <c r="O461" s="16">
        <v>365.15286472865512</v>
      </c>
      <c r="P461" s="16">
        <v>15.785154138292585</v>
      </c>
      <c r="Q461" s="147">
        <v>296.77507237025668</v>
      </c>
      <c r="R461" s="147">
        <v>2.499603271484375</v>
      </c>
      <c r="S461" s="10">
        <v>0.79045580267826188</v>
      </c>
      <c r="T461" s="16">
        <v>-2.5012321327170213</v>
      </c>
      <c r="U461" s="16">
        <v>2.1839012942471345E-2</v>
      </c>
      <c r="V461" s="16">
        <v>6.3845524036234771</v>
      </c>
      <c r="W461" s="10">
        <v>8.8857845363404984</v>
      </c>
      <c r="X461" s="10" t="s">
        <v>902</v>
      </c>
      <c r="Y461" s="10">
        <v>1.7</v>
      </c>
      <c r="Z461" s="10">
        <v>3</v>
      </c>
      <c r="AA461" s="20" t="s">
        <v>570</v>
      </c>
      <c r="AB461" s="7">
        <v>1035.2</v>
      </c>
      <c r="AC461" s="7">
        <v>452.9</v>
      </c>
      <c r="AD461" s="7">
        <v>0.43749999999999994</v>
      </c>
      <c r="AE461" s="8" t="s">
        <v>5</v>
      </c>
      <c r="AF461" s="20" t="s">
        <v>8</v>
      </c>
      <c r="AG461" s="11" t="s">
        <v>2</v>
      </c>
      <c r="AH461" s="7" t="s">
        <v>1399</v>
      </c>
    </row>
    <row r="462" spans="1:34" s="7" customFormat="1" ht="16.5" customHeight="1">
      <c r="A462" s="7">
        <v>2012</v>
      </c>
      <c r="B462" s="12">
        <v>41116</v>
      </c>
      <c r="C462" s="18" t="s">
        <v>22</v>
      </c>
      <c r="D462" s="18" t="s">
        <v>23</v>
      </c>
      <c r="E462" s="18" t="s">
        <v>19</v>
      </c>
      <c r="F462" s="18" t="s">
        <v>25</v>
      </c>
      <c r="G462" s="7" t="s">
        <v>902</v>
      </c>
      <c r="H462" s="18" t="s">
        <v>903</v>
      </c>
      <c r="I462" s="124" t="s">
        <v>902</v>
      </c>
      <c r="J462" s="7">
        <v>11</v>
      </c>
      <c r="K462" s="124" t="s">
        <v>621</v>
      </c>
      <c r="L462" s="20" t="s">
        <v>74</v>
      </c>
      <c r="M462" s="16">
        <v>92.890792846679688</v>
      </c>
      <c r="N462" s="16">
        <v>21.87896022796631</v>
      </c>
      <c r="O462" s="16">
        <v>365.7353805541992</v>
      </c>
      <c r="P462" s="16">
        <v>19.018774604797365</v>
      </c>
      <c r="Q462" s="147">
        <v>310.55643920898439</v>
      </c>
      <c r="R462" s="147">
        <v>23.575958251953125</v>
      </c>
      <c r="S462" s="10">
        <v>0.79045580267826188</v>
      </c>
      <c r="T462" s="16">
        <v>-1.3174979173742087</v>
      </c>
      <c r="U462" s="16">
        <v>5.0420011075815757E-2</v>
      </c>
      <c r="V462" s="16">
        <v>6.3845524036234771</v>
      </c>
      <c r="W462" s="10">
        <v>7.7020503209976861</v>
      </c>
      <c r="X462" s="10" t="s">
        <v>902</v>
      </c>
      <c r="Y462" s="10">
        <v>1.7</v>
      </c>
      <c r="Z462" s="10">
        <v>3</v>
      </c>
      <c r="AA462" s="20" t="s">
        <v>597</v>
      </c>
      <c r="AB462" s="7">
        <v>723.9</v>
      </c>
      <c r="AC462" s="7">
        <v>546.9</v>
      </c>
      <c r="AD462" s="7">
        <v>0.75549108992954828</v>
      </c>
      <c r="AE462" s="8" t="s">
        <v>5</v>
      </c>
      <c r="AF462" s="21" t="s">
        <v>8</v>
      </c>
      <c r="AG462" s="11" t="s">
        <v>0</v>
      </c>
      <c r="AH462" s="7" t="s">
        <v>1400</v>
      </c>
    </row>
    <row r="463" spans="1:34" s="7" customFormat="1" ht="16.5" customHeight="1">
      <c r="A463" s="7">
        <v>2012</v>
      </c>
      <c r="B463" s="12">
        <v>41116</v>
      </c>
      <c r="C463" s="18" t="s">
        <v>22</v>
      </c>
      <c r="D463" s="18" t="s">
        <v>23</v>
      </c>
      <c r="E463" s="18" t="s">
        <v>19</v>
      </c>
      <c r="F463" s="18" t="s">
        <v>25</v>
      </c>
      <c r="G463" s="7" t="s">
        <v>902</v>
      </c>
      <c r="H463" s="18" t="s">
        <v>903</v>
      </c>
      <c r="I463" s="124" t="s">
        <v>902</v>
      </c>
      <c r="J463" s="7">
        <v>27</v>
      </c>
      <c r="K463" s="124" t="s">
        <v>636</v>
      </c>
      <c r="L463" s="20" t="s">
        <v>74</v>
      </c>
      <c r="M463" s="16">
        <v>92.889947073800229</v>
      </c>
      <c r="N463" s="16">
        <v>22.851351465497697</v>
      </c>
      <c r="O463" s="16">
        <v>367.95250374930248</v>
      </c>
      <c r="P463" s="16">
        <v>21.906636101858957</v>
      </c>
      <c r="Q463" s="147">
        <v>357.82992989676342</v>
      </c>
      <c r="R463" s="147">
        <v>122.67559814453125</v>
      </c>
      <c r="S463" s="10">
        <v>0.79045580267826188</v>
      </c>
      <c r="T463" s="16">
        <v>1.6715649729389808</v>
      </c>
      <c r="U463" s="16">
        <v>3.1039650885613411E-2</v>
      </c>
      <c r="V463" s="16">
        <v>6.3845524036234771</v>
      </c>
      <c r="W463" s="10">
        <v>4.7129874306844961</v>
      </c>
      <c r="X463" s="10" t="s">
        <v>902</v>
      </c>
      <c r="Y463" s="10">
        <v>1.7</v>
      </c>
      <c r="Z463" s="10">
        <v>3</v>
      </c>
      <c r="AA463" s="20" t="s">
        <v>595</v>
      </c>
      <c r="AB463" s="7">
        <v>687.3</v>
      </c>
      <c r="AC463" s="7">
        <v>474.9</v>
      </c>
      <c r="AD463" s="7">
        <v>0.69096464426014836</v>
      </c>
      <c r="AE463" s="8" t="s">
        <v>5</v>
      </c>
      <c r="AF463" s="21" t="s">
        <v>8</v>
      </c>
      <c r="AG463" s="11" t="s">
        <v>2</v>
      </c>
      <c r="AH463" s="7" t="s">
        <v>1395</v>
      </c>
    </row>
    <row r="464" spans="1:34" s="7" customFormat="1" ht="16.5" customHeight="1">
      <c r="A464" s="7">
        <v>2012</v>
      </c>
      <c r="B464" s="12">
        <v>41116</v>
      </c>
      <c r="C464" s="18" t="s">
        <v>22</v>
      </c>
      <c r="D464" s="18" t="s">
        <v>23</v>
      </c>
      <c r="E464" s="18" t="s">
        <v>19</v>
      </c>
      <c r="F464" s="18" t="s">
        <v>25</v>
      </c>
      <c r="G464" s="7" t="s">
        <v>902</v>
      </c>
      <c r="H464" s="18" t="s">
        <v>903</v>
      </c>
      <c r="I464" s="124" t="s">
        <v>902</v>
      </c>
      <c r="J464" s="7">
        <v>28</v>
      </c>
      <c r="K464" s="124" t="s">
        <v>637</v>
      </c>
      <c r="L464" s="20" t="s">
        <v>74</v>
      </c>
      <c r="M464" s="16">
        <v>92.888378490101204</v>
      </c>
      <c r="N464" s="16">
        <v>22.72505135969682</v>
      </c>
      <c r="O464" s="16">
        <v>356.48922452059657</v>
      </c>
      <c r="P464" s="16">
        <v>21.055232481522992</v>
      </c>
      <c r="Q464" s="147">
        <v>573.82325051047587</v>
      </c>
      <c r="R464" s="147">
        <v>131.33456420898437</v>
      </c>
      <c r="S464" s="10">
        <v>0.79045580267826188</v>
      </c>
      <c r="T464" s="16">
        <v>-2.9301846203809618</v>
      </c>
      <c r="U464" s="16">
        <v>4.1395742242986505E-2</v>
      </c>
      <c r="V464" s="16">
        <v>6.3845524036234771</v>
      </c>
      <c r="W464" s="10">
        <v>9.3147370240044385</v>
      </c>
      <c r="X464" s="10" t="s">
        <v>902</v>
      </c>
      <c r="Y464" s="10">
        <v>1.7</v>
      </c>
      <c r="Z464" s="10">
        <v>3</v>
      </c>
      <c r="AA464" s="20" t="s">
        <v>596</v>
      </c>
      <c r="AB464" s="7">
        <v>1206.0999999999999</v>
      </c>
      <c r="AC464" s="7">
        <v>537.1</v>
      </c>
      <c r="AD464" s="7">
        <v>0.44531962523837165</v>
      </c>
      <c r="AE464" s="8" t="s">
        <v>5</v>
      </c>
      <c r="AF464" s="21" t="s">
        <v>8</v>
      </c>
      <c r="AG464" s="11" t="s">
        <v>2</v>
      </c>
      <c r="AH464" s="7" t="s">
        <v>1242</v>
      </c>
    </row>
    <row r="465" spans="1:34" s="7" customFormat="1" ht="16.5" customHeight="1">
      <c r="A465" s="7">
        <v>2012</v>
      </c>
      <c r="B465" s="12">
        <v>41116</v>
      </c>
      <c r="C465" s="18" t="s">
        <v>22</v>
      </c>
      <c r="D465" s="18" t="s">
        <v>23</v>
      </c>
      <c r="E465" s="18" t="s">
        <v>19</v>
      </c>
      <c r="F465" s="18" t="s">
        <v>25</v>
      </c>
      <c r="G465" s="7" t="s">
        <v>902</v>
      </c>
      <c r="H465" s="18" t="s">
        <v>903</v>
      </c>
      <c r="I465" s="124" t="s">
        <v>902</v>
      </c>
      <c r="J465" s="7">
        <v>12</v>
      </c>
      <c r="K465" s="124" t="s">
        <v>622</v>
      </c>
      <c r="L465" s="20" t="s">
        <v>909</v>
      </c>
      <c r="M465" s="22">
        <v>92.882957458496094</v>
      </c>
      <c r="N465" s="22">
        <v>22.053145726521809</v>
      </c>
      <c r="O465" s="22">
        <v>360.54511684841577</v>
      </c>
      <c r="P465" s="22">
        <v>17.946714719136555</v>
      </c>
      <c r="Q465" s="148">
        <v>607.23263549804687</v>
      </c>
      <c r="R465" s="148">
        <v>10.86383056640625</v>
      </c>
      <c r="S465" s="10">
        <v>0.79045580267826188</v>
      </c>
      <c r="T465" s="16">
        <v>-4.010790507836127</v>
      </c>
      <c r="U465" s="22">
        <v>6.2916666666666662E-2</v>
      </c>
      <c r="V465" s="16">
        <v>6.3845524036234771</v>
      </c>
      <c r="W465" s="10">
        <v>10.395342911459604</v>
      </c>
      <c r="X465" s="10" t="s">
        <v>902</v>
      </c>
      <c r="Y465" s="10">
        <v>1.7</v>
      </c>
      <c r="Z465" s="10">
        <v>3</v>
      </c>
      <c r="AA465" s="32" t="s">
        <v>606</v>
      </c>
      <c r="AB465" s="7">
        <v>722.7</v>
      </c>
      <c r="AC465" s="7">
        <v>539.6</v>
      </c>
      <c r="AD465" s="7">
        <v>0.74664452746644527</v>
      </c>
      <c r="AE465" s="8" t="s">
        <v>5</v>
      </c>
      <c r="AF465" s="21" t="s">
        <v>8</v>
      </c>
      <c r="AG465" s="11" t="s">
        <v>0</v>
      </c>
      <c r="AH465" s="7" t="s">
        <v>1242</v>
      </c>
    </row>
    <row r="466" spans="1:34" s="7" customFormat="1" ht="16.5" customHeight="1">
      <c r="A466" s="7">
        <v>2012</v>
      </c>
      <c r="B466" s="12">
        <v>41126</v>
      </c>
      <c r="C466" s="9" t="s">
        <v>22</v>
      </c>
      <c r="D466" s="9" t="s">
        <v>23</v>
      </c>
      <c r="E466" s="9" t="s">
        <v>19</v>
      </c>
      <c r="F466" s="9" t="s">
        <v>25</v>
      </c>
      <c r="G466" s="7" t="s">
        <v>902</v>
      </c>
      <c r="H466" s="9" t="s">
        <v>903</v>
      </c>
      <c r="I466" s="124" t="s">
        <v>902</v>
      </c>
      <c r="J466" s="7">
        <v>29</v>
      </c>
      <c r="K466" s="124" t="s">
        <v>638</v>
      </c>
      <c r="L466" s="20" t="s">
        <v>909</v>
      </c>
      <c r="M466" s="16">
        <v>92.526639726426865</v>
      </c>
      <c r="N466" s="16">
        <v>18.177557945251465</v>
      </c>
      <c r="O466" s="16">
        <v>354.34080505371094</v>
      </c>
      <c r="P466" s="16">
        <v>16.7188843621148</v>
      </c>
      <c r="Q466" s="147">
        <v>611.78598700629345</v>
      </c>
      <c r="R466" s="147">
        <v>17.43890380859375</v>
      </c>
      <c r="S466" s="10">
        <v>0.79045580267826188</v>
      </c>
      <c r="T466" s="16">
        <v>-5.6035108730626533</v>
      </c>
      <c r="U466" s="16">
        <v>2.159082434371775E-2</v>
      </c>
      <c r="V466" s="16">
        <v>6.3845524036234771</v>
      </c>
      <c r="W466" s="10">
        <v>11.98806327668613</v>
      </c>
      <c r="X466" s="10" t="s">
        <v>902</v>
      </c>
      <c r="Y466" s="10">
        <v>1.7</v>
      </c>
      <c r="Z466" s="10">
        <v>3</v>
      </c>
      <c r="AA466" s="20" t="s">
        <v>566</v>
      </c>
      <c r="AB466" s="7">
        <v>832.5</v>
      </c>
      <c r="AC466" s="7">
        <v>378.4</v>
      </c>
      <c r="AD466" s="7">
        <v>0.45453453453453452</v>
      </c>
      <c r="AE466" s="8" t="s">
        <v>5</v>
      </c>
      <c r="AF466" s="20" t="s">
        <v>8</v>
      </c>
      <c r="AG466" s="11" t="s">
        <v>2</v>
      </c>
      <c r="AH466" s="7" t="s">
        <v>1242</v>
      </c>
    </row>
    <row r="467" spans="1:34" s="7" customFormat="1" ht="16.5" customHeight="1">
      <c r="A467" s="7">
        <v>2012</v>
      </c>
      <c r="B467" s="12">
        <v>41126</v>
      </c>
      <c r="C467" s="9" t="s">
        <v>22</v>
      </c>
      <c r="D467" s="9" t="s">
        <v>23</v>
      </c>
      <c r="E467" s="9" t="s">
        <v>19</v>
      </c>
      <c r="F467" s="9" t="s">
        <v>25</v>
      </c>
      <c r="G467" s="7" t="s">
        <v>902</v>
      </c>
      <c r="H467" s="9" t="s">
        <v>903</v>
      </c>
      <c r="I467" s="124" t="s">
        <v>902</v>
      </c>
      <c r="J467" s="7">
        <v>30</v>
      </c>
      <c r="K467" s="124" t="s">
        <v>639</v>
      </c>
      <c r="L467" s="20" t="s">
        <v>909</v>
      </c>
      <c r="M467" s="16">
        <v>92.527653884887698</v>
      </c>
      <c r="N467" s="16">
        <v>17.83475399017334</v>
      </c>
      <c r="O467" s="16">
        <v>359.42063903808594</v>
      </c>
      <c r="P467" s="16">
        <v>16.13895478248596</v>
      </c>
      <c r="Q467" s="147">
        <v>612.6395141601563</v>
      </c>
      <c r="R467" s="147">
        <v>5.4913330078125</v>
      </c>
      <c r="S467" s="10">
        <v>0.79045580267826188</v>
      </c>
      <c r="T467" s="16">
        <v>-6.457782015671075</v>
      </c>
      <c r="U467" s="16">
        <v>3.3430233933871852E-2</v>
      </c>
      <c r="V467" s="16">
        <v>6.3845524036234771</v>
      </c>
      <c r="W467" s="10">
        <v>12.842334419294552</v>
      </c>
      <c r="X467" s="10" t="s">
        <v>902</v>
      </c>
      <c r="Y467" s="10">
        <v>1.7</v>
      </c>
      <c r="Z467" s="10">
        <v>3</v>
      </c>
      <c r="AA467" s="20" t="s">
        <v>567</v>
      </c>
      <c r="AB467" s="7">
        <v>838.6</v>
      </c>
      <c r="AC467" s="7">
        <v>385.7</v>
      </c>
      <c r="AD467" s="7">
        <v>0.45993322203672787</v>
      </c>
      <c r="AE467" s="8" t="s">
        <v>5</v>
      </c>
      <c r="AF467" s="20" t="s">
        <v>8</v>
      </c>
      <c r="AG467" s="11" t="s">
        <v>2</v>
      </c>
      <c r="AH467" s="7" t="s">
        <v>1242</v>
      </c>
    </row>
    <row r="468" spans="1:34" s="7" customFormat="1" ht="16.5" customHeight="1">
      <c r="A468" s="7">
        <v>2012</v>
      </c>
      <c r="B468" s="12">
        <v>41116</v>
      </c>
      <c r="C468" s="18" t="s">
        <v>22</v>
      </c>
      <c r="D468" s="18" t="s">
        <v>23</v>
      </c>
      <c r="E468" s="18" t="s">
        <v>19</v>
      </c>
      <c r="F468" s="18" t="s">
        <v>25</v>
      </c>
      <c r="G468" s="7" t="s">
        <v>902</v>
      </c>
      <c r="H468" s="18" t="s">
        <v>903</v>
      </c>
      <c r="I468" s="124" t="s">
        <v>902</v>
      </c>
      <c r="J468" s="7">
        <v>31</v>
      </c>
      <c r="K468" s="124" t="s">
        <v>640</v>
      </c>
      <c r="L468" s="20" t="s">
        <v>909</v>
      </c>
      <c r="M468" s="22">
        <v>92.884263515472412</v>
      </c>
      <c r="N468" s="22">
        <v>22.106927037239075</v>
      </c>
      <c r="O468" s="22">
        <v>356.51398658752441</v>
      </c>
      <c r="P468" s="22">
        <v>18.471408009529114</v>
      </c>
      <c r="Q468" s="148">
        <v>622.98295211791992</v>
      </c>
      <c r="R468" s="148">
        <v>31.52984619140625</v>
      </c>
      <c r="S468" s="10">
        <v>0.79045580267826188</v>
      </c>
      <c r="T468" s="16">
        <v>-3.9389515596700626</v>
      </c>
      <c r="U468" s="22">
        <v>5.0969725496628704E-2</v>
      </c>
      <c r="V468" s="16">
        <v>6.3845524036234771</v>
      </c>
      <c r="W468" s="10">
        <v>10.32350396329354</v>
      </c>
      <c r="X468" s="10" t="s">
        <v>902</v>
      </c>
      <c r="Y468" s="10">
        <v>1.7</v>
      </c>
      <c r="Z468" s="10">
        <v>3</v>
      </c>
      <c r="AA468" s="20" t="s">
        <v>605</v>
      </c>
      <c r="AB468" s="7">
        <v>783.7</v>
      </c>
      <c r="AC468" s="7">
        <v>532.20000000000005</v>
      </c>
      <c r="AD468" s="7">
        <v>0.6790863850963379</v>
      </c>
      <c r="AE468" s="8" t="s">
        <v>5</v>
      </c>
      <c r="AF468" s="21" t="s">
        <v>8</v>
      </c>
      <c r="AG468" s="11" t="s">
        <v>2</v>
      </c>
      <c r="AH468" s="7" t="s">
        <v>1242</v>
      </c>
    </row>
    <row r="469" spans="1:34" s="7" customFormat="1" ht="16.5" customHeight="1">
      <c r="A469" s="7">
        <v>2012</v>
      </c>
      <c r="B469" s="12">
        <v>41126</v>
      </c>
      <c r="C469" s="9" t="s">
        <v>22</v>
      </c>
      <c r="D469" s="9" t="s">
        <v>23</v>
      </c>
      <c r="E469" s="9" t="s">
        <v>19</v>
      </c>
      <c r="F469" s="9" t="s">
        <v>25</v>
      </c>
      <c r="G469" s="7" t="s">
        <v>902</v>
      </c>
      <c r="H469" s="9" t="s">
        <v>903</v>
      </c>
      <c r="I469" s="124" t="s">
        <v>902</v>
      </c>
      <c r="J469" s="7">
        <v>32</v>
      </c>
      <c r="K469" s="124" t="s">
        <v>641</v>
      </c>
      <c r="L469" s="20" t="s">
        <v>909</v>
      </c>
      <c r="M469" s="16">
        <v>92.529717636108401</v>
      </c>
      <c r="N469" s="16">
        <v>18.034732055664062</v>
      </c>
      <c r="O469" s="16">
        <v>360.09492034912108</v>
      </c>
      <c r="P469" s="16">
        <v>15.71267294883728</v>
      </c>
      <c r="Q469" s="147">
        <v>624.77548522949223</v>
      </c>
      <c r="R469" s="147">
        <v>7.39263916015625</v>
      </c>
      <c r="S469" s="10">
        <v>0.79045580267826188</v>
      </c>
      <c r="T469" s="16">
        <v>-7.4506984996976167</v>
      </c>
      <c r="U469" s="16">
        <v>4.09916329204588E-2</v>
      </c>
      <c r="V469" s="16">
        <v>6.3845524036234771</v>
      </c>
      <c r="W469" s="10">
        <v>13.835250903321093</v>
      </c>
      <c r="X469" s="10" t="s">
        <v>902</v>
      </c>
      <c r="Y469" s="10">
        <v>1.7</v>
      </c>
      <c r="Z469" s="10">
        <v>3</v>
      </c>
      <c r="AA469" s="20" t="s">
        <v>565</v>
      </c>
      <c r="AB469" s="7">
        <v>859.4</v>
      </c>
      <c r="AC469" s="7">
        <v>373.5</v>
      </c>
      <c r="AD469" s="7">
        <v>0.4346055387479637</v>
      </c>
      <c r="AE469" s="8" t="s">
        <v>5</v>
      </c>
      <c r="AF469" s="20" t="s">
        <v>8</v>
      </c>
      <c r="AG469" s="11" t="s">
        <v>2</v>
      </c>
      <c r="AH469" s="7" t="s">
        <v>1242</v>
      </c>
    </row>
    <row r="470" spans="1:34" s="7" customFormat="1" ht="16.5" customHeight="1">
      <c r="A470" s="7">
        <v>2012</v>
      </c>
      <c r="B470" s="12">
        <v>41126</v>
      </c>
      <c r="C470" s="9" t="s">
        <v>22</v>
      </c>
      <c r="D470" s="9" t="s">
        <v>23</v>
      </c>
      <c r="E470" s="9" t="s">
        <v>19</v>
      </c>
      <c r="F470" s="9" t="s">
        <v>25</v>
      </c>
      <c r="G470" s="7" t="s">
        <v>902</v>
      </c>
      <c r="H470" s="9" t="s">
        <v>903</v>
      </c>
      <c r="I470" s="124" t="s">
        <v>902</v>
      </c>
      <c r="J470" s="7">
        <v>13</v>
      </c>
      <c r="K470" s="124" t="s">
        <v>623</v>
      </c>
      <c r="L470" s="20" t="s">
        <v>908</v>
      </c>
      <c r="M470" s="16">
        <v>92.509044647216797</v>
      </c>
      <c r="N470" s="16">
        <v>17.974584579467773</v>
      </c>
      <c r="O470" s="16">
        <v>353.76096725463867</v>
      </c>
      <c r="P470" s="16">
        <v>17.327366232872009</v>
      </c>
      <c r="Q470" s="147">
        <v>675.54000854492187</v>
      </c>
      <c r="R470" s="147">
        <v>43.7012939453125</v>
      </c>
      <c r="S470" s="10">
        <v>0.79045580267826188</v>
      </c>
      <c r="T470" s="16">
        <v>-3.5437844149646023</v>
      </c>
      <c r="U470" s="16">
        <v>1.3805278609780704E-2</v>
      </c>
      <c r="V470" s="16">
        <v>6.3845524036234771</v>
      </c>
      <c r="W470" s="10">
        <v>9.9283368185880789</v>
      </c>
      <c r="X470" s="10" t="s">
        <v>902</v>
      </c>
      <c r="Y470" s="10">
        <v>1.7</v>
      </c>
      <c r="Z470" s="10">
        <v>3</v>
      </c>
      <c r="AA470" s="20" t="s">
        <v>583</v>
      </c>
      <c r="AB470" s="7">
        <v>1030.3</v>
      </c>
      <c r="AC470" s="7">
        <v>395.5</v>
      </c>
      <c r="AD470" s="7">
        <v>0.38386877608463554</v>
      </c>
      <c r="AE470" s="8" t="s">
        <v>5</v>
      </c>
      <c r="AF470" s="20" t="s">
        <v>8</v>
      </c>
      <c r="AG470" s="11" t="s">
        <v>1</v>
      </c>
      <c r="AH470" s="7" t="s">
        <v>1401</v>
      </c>
    </row>
    <row r="471" spans="1:34" s="7" customFormat="1" ht="16.5" customHeight="1">
      <c r="A471" s="7">
        <v>2012</v>
      </c>
      <c r="B471" s="12">
        <v>41126</v>
      </c>
      <c r="C471" s="9" t="s">
        <v>22</v>
      </c>
      <c r="D471" s="9" t="s">
        <v>23</v>
      </c>
      <c r="E471" s="9" t="s">
        <v>19</v>
      </c>
      <c r="F471" s="9" t="s">
        <v>25</v>
      </c>
      <c r="G471" s="7" t="s">
        <v>902</v>
      </c>
      <c r="H471" s="9" t="s">
        <v>903</v>
      </c>
      <c r="I471" s="124" t="s">
        <v>902</v>
      </c>
      <c r="J471" s="7">
        <v>14</v>
      </c>
      <c r="K471" s="124" t="s">
        <v>624</v>
      </c>
      <c r="L471" s="20" t="s">
        <v>908</v>
      </c>
      <c r="M471" s="16">
        <v>92.508008575439447</v>
      </c>
      <c r="N471" s="16">
        <v>17.585690689086913</v>
      </c>
      <c r="O471" s="16">
        <v>359.19185485839841</v>
      </c>
      <c r="P471" s="16">
        <v>16.312801313400268</v>
      </c>
      <c r="Q471" s="147">
        <v>679.72611999511719</v>
      </c>
      <c r="R471" s="147">
        <v>66.47662353515625</v>
      </c>
      <c r="S471" s="10">
        <v>0.79045580267826188</v>
      </c>
      <c r="T471" s="16">
        <v>-5.628657727576706</v>
      </c>
      <c r="U471" s="16">
        <v>2.9791553396927684E-2</v>
      </c>
      <c r="V471" s="16">
        <v>6.3845524036234771</v>
      </c>
      <c r="W471" s="10">
        <v>12.013210131200182</v>
      </c>
      <c r="X471" s="10" t="s">
        <v>902</v>
      </c>
      <c r="Y471" s="10">
        <v>1.7</v>
      </c>
      <c r="Z471" s="10">
        <v>3</v>
      </c>
      <c r="AA471" s="20" t="s">
        <v>584</v>
      </c>
      <c r="AB471" s="7">
        <v>1037.5999999999999</v>
      </c>
      <c r="AC471" s="7">
        <v>385.7</v>
      </c>
      <c r="AD471" s="7">
        <v>0.37172320740169623</v>
      </c>
      <c r="AE471" s="8" t="s">
        <v>5</v>
      </c>
      <c r="AF471" s="20" t="s">
        <v>8</v>
      </c>
      <c r="AG471" s="11" t="s">
        <v>1</v>
      </c>
      <c r="AH471" s="7" t="s">
        <v>1242</v>
      </c>
    </row>
    <row r="472" spans="1:34" s="7" customFormat="1" ht="16.5" customHeight="1">
      <c r="A472" s="7">
        <v>2012</v>
      </c>
      <c r="B472" s="12">
        <v>41126</v>
      </c>
      <c r="C472" s="9" t="s">
        <v>22</v>
      </c>
      <c r="D472" s="9" t="s">
        <v>23</v>
      </c>
      <c r="E472" s="9" t="s">
        <v>19</v>
      </c>
      <c r="F472" s="9" t="s">
        <v>25</v>
      </c>
      <c r="G472" s="7" t="s">
        <v>902</v>
      </c>
      <c r="H472" s="9" t="s">
        <v>903</v>
      </c>
      <c r="I472" s="124" t="s">
        <v>902</v>
      </c>
      <c r="J472" s="7">
        <v>15</v>
      </c>
      <c r="K472" s="124" t="s">
        <v>625</v>
      </c>
      <c r="L472" s="20" t="s">
        <v>908</v>
      </c>
      <c r="M472" s="16">
        <v>92.506370544433594</v>
      </c>
      <c r="N472" s="16">
        <v>17.869639015197755</v>
      </c>
      <c r="O472" s="16">
        <v>352.59209136962892</v>
      </c>
      <c r="P472" s="16">
        <v>17.021959495544433</v>
      </c>
      <c r="Q472" s="147">
        <v>683.1894592285156</v>
      </c>
      <c r="R472" s="147">
        <v>39.237548828125</v>
      </c>
      <c r="S472" s="10">
        <v>0.79045580267826188</v>
      </c>
      <c r="T472" s="16">
        <v>-6.6401102174473303</v>
      </c>
      <c r="U472" s="16">
        <v>2.9645575616592753E-2</v>
      </c>
      <c r="V472" s="16">
        <v>6.3845524036234771</v>
      </c>
      <c r="W472" s="10">
        <v>13.024662621070807</v>
      </c>
      <c r="X472" s="10" t="s">
        <v>902</v>
      </c>
      <c r="Y472" s="10">
        <v>1.7</v>
      </c>
      <c r="Z472" s="10">
        <v>3</v>
      </c>
      <c r="AA472" s="20" t="s">
        <v>586</v>
      </c>
      <c r="AB472" s="7">
        <v>1086.4000000000001</v>
      </c>
      <c r="AC472" s="7">
        <v>369.9</v>
      </c>
      <c r="AD472" s="7">
        <v>0.34048232695139907</v>
      </c>
      <c r="AE472" s="8" t="s">
        <v>5</v>
      </c>
      <c r="AF472" s="20" t="s">
        <v>8</v>
      </c>
      <c r="AG472" s="11" t="s">
        <v>1</v>
      </c>
      <c r="AH472" s="7" t="s">
        <v>1242</v>
      </c>
    </row>
    <row r="473" spans="1:34" s="7" customFormat="1" ht="16.5" customHeight="1">
      <c r="A473" s="7">
        <v>2012</v>
      </c>
      <c r="B473" s="12">
        <v>41126</v>
      </c>
      <c r="C473" s="9" t="s">
        <v>22</v>
      </c>
      <c r="D473" s="9" t="s">
        <v>23</v>
      </c>
      <c r="E473" s="9" t="s">
        <v>19</v>
      </c>
      <c r="F473" s="9" t="s">
        <v>25</v>
      </c>
      <c r="G473" s="7" t="s">
        <v>902</v>
      </c>
      <c r="H473" s="9" t="s">
        <v>903</v>
      </c>
      <c r="I473" s="124" t="s">
        <v>902</v>
      </c>
      <c r="J473" s="7">
        <v>33</v>
      </c>
      <c r="K473" s="124" t="s">
        <v>642</v>
      </c>
      <c r="L473" s="20" t="s">
        <v>909</v>
      </c>
      <c r="M473" s="16">
        <v>92.529368591308597</v>
      </c>
      <c r="N473" s="16">
        <v>18.149899768829346</v>
      </c>
      <c r="O473" s="16">
        <v>358.41912994384768</v>
      </c>
      <c r="P473" s="16">
        <v>15.351040840148926</v>
      </c>
      <c r="Q473" s="147">
        <v>684.92084350585935</v>
      </c>
      <c r="R473" s="147">
        <v>4.8980712890625</v>
      </c>
      <c r="S473" s="10">
        <v>0.79045580267826188</v>
      </c>
      <c r="T473" s="16">
        <v>-6.5826203296333246</v>
      </c>
      <c r="U473" s="16">
        <v>3.9147729084904034E-2</v>
      </c>
      <c r="V473" s="16">
        <v>6.3845524036234771</v>
      </c>
      <c r="W473" s="10">
        <v>12.967172733256803</v>
      </c>
      <c r="X473" s="10" t="s">
        <v>902</v>
      </c>
      <c r="Y473" s="10">
        <v>1.7</v>
      </c>
      <c r="Z473" s="10">
        <v>3</v>
      </c>
      <c r="AA473" s="20" t="s">
        <v>568</v>
      </c>
      <c r="AB473" s="7">
        <v>920.4</v>
      </c>
      <c r="AC473" s="7">
        <v>412.6</v>
      </c>
      <c r="AD473" s="7">
        <v>0.44828335506301614</v>
      </c>
      <c r="AE473" s="8" t="s">
        <v>5</v>
      </c>
      <c r="AF473" s="20" t="s">
        <v>8</v>
      </c>
      <c r="AG473" s="11" t="s">
        <v>2</v>
      </c>
      <c r="AH473" s="7" t="s">
        <v>1242</v>
      </c>
    </row>
    <row r="474" spans="1:34" s="7" customFormat="1" ht="16.5" customHeight="1">
      <c r="A474" s="7">
        <v>2012</v>
      </c>
      <c r="B474" s="12">
        <v>41126</v>
      </c>
      <c r="C474" s="9" t="s">
        <v>22</v>
      </c>
      <c r="D474" s="9" t="s">
        <v>23</v>
      </c>
      <c r="E474" s="9" t="s">
        <v>19</v>
      </c>
      <c r="F474" s="9" t="s">
        <v>25</v>
      </c>
      <c r="G474" s="7" t="s">
        <v>902</v>
      </c>
      <c r="H474" s="9" t="s">
        <v>903</v>
      </c>
      <c r="I474" s="124" t="s">
        <v>902</v>
      </c>
      <c r="J474" s="7">
        <v>16</v>
      </c>
      <c r="K474" s="124" t="s">
        <v>626</v>
      </c>
      <c r="L474" s="20" t="s">
        <v>908</v>
      </c>
      <c r="M474" s="16">
        <v>92.50384521484375</v>
      </c>
      <c r="N474" s="16">
        <v>17.548177494722253</v>
      </c>
      <c r="O474" s="16">
        <v>358.09406774184282</v>
      </c>
      <c r="P474" s="16">
        <v>16.380715482375201</v>
      </c>
      <c r="Q474" s="147">
        <v>692.83863381778497</v>
      </c>
      <c r="R474" s="147">
        <v>40.14434814453125</v>
      </c>
      <c r="S474" s="10">
        <v>0.79045580267826188</v>
      </c>
      <c r="T474" s="16">
        <v>-5.870936264315926</v>
      </c>
      <c r="U474" s="16">
        <v>3.1698011884502338E-2</v>
      </c>
      <c r="V474" s="16">
        <v>6.3845524036234771</v>
      </c>
      <c r="W474" s="10">
        <v>12.255488667939403</v>
      </c>
      <c r="X474" s="10" t="s">
        <v>902</v>
      </c>
      <c r="Y474" s="10">
        <v>1.7</v>
      </c>
      <c r="Z474" s="10">
        <v>3</v>
      </c>
      <c r="AA474" s="20" t="s">
        <v>585</v>
      </c>
      <c r="AB474" s="7">
        <v>1032.7</v>
      </c>
      <c r="AC474" s="7">
        <v>373.5</v>
      </c>
      <c r="AD474" s="7">
        <v>0.36167328362544782</v>
      </c>
      <c r="AE474" s="8" t="s">
        <v>5</v>
      </c>
      <c r="AF474" s="20" t="s">
        <v>8</v>
      </c>
      <c r="AG474" s="11" t="s">
        <v>1</v>
      </c>
      <c r="AH474" s="7" t="s">
        <v>1242</v>
      </c>
    </row>
    <row r="475" spans="1:34" s="7" customFormat="1" ht="16.5" customHeight="1">
      <c r="A475" s="7">
        <v>2012</v>
      </c>
      <c r="B475" s="12">
        <v>41116</v>
      </c>
      <c r="C475" s="18" t="s">
        <v>22</v>
      </c>
      <c r="D475" s="18" t="s">
        <v>23</v>
      </c>
      <c r="E475" s="18" t="s">
        <v>19</v>
      </c>
      <c r="F475" s="18" t="s">
        <v>25</v>
      </c>
      <c r="G475" s="7" t="s">
        <v>902</v>
      </c>
      <c r="H475" s="18" t="s">
        <v>903</v>
      </c>
      <c r="I475" s="124" t="s">
        <v>902</v>
      </c>
      <c r="J475" s="7">
        <v>34</v>
      </c>
      <c r="K475" s="124" t="s">
        <v>643</v>
      </c>
      <c r="L475" s="20" t="s">
        <v>909</v>
      </c>
      <c r="M475" s="16">
        <v>92.886013255399817</v>
      </c>
      <c r="N475" s="16">
        <v>21.898723041310031</v>
      </c>
      <c r="O475" s="16">
        <v>360.54063864315259</v>
      </c>
      <c r="P475" s="16">
        <v>17.49947110344382</v>
      </c>
      <c r="Q475" s="147">
        <v>728.43657370174628</v>
      </c>
      <c r="R475" s="147">
        <v>80.9478759765625</v>
      </c>
      <c r="S475" s="10">
        <v>0.79045580267826188</v>
      </c>
      <c r="T475" s="16">
        <v>-4.1064479244934669</v>
      </c>
      <c r="U475" s="16">
        <v>6.3907588229459869E-2</v>
      </c>
      <c r="V475" s="16">
        <v>6.3845524036234771</v>
      </c>
      <c r="W475" s="10">
        <v>10.491000328116943</v>
      </c>
      <c r="X475" s="10" t="s">
        <v>902</v>
      </c>
      <c r="Y475" s="10">
        <v>1.7</v>
      </c>
      <c r="Z475" s="10">
        <v>3</v>
      </c>
      <c r="AA475" s="20" t="s">
        <v>604</v>
      </c>
      <c r="AB475" s="7">
        <v>896</v>
      </c>
      <c r="AC475" s="7">
        <v>516.4</v>
      </c>
      <c r="AD475" s="7">
        <v>0.57633928571428572</v>
      </c>
      <c r="AE475" s="8" t="s">
        <v>5</v>
      </c>
      <c r="AF475" s="21" t="s">
        <v>8</v>
      </c>
      <c r="AG475" s="11" t="s">
        <v>2</v>
      </c>
      <c r="AH475" s="7" t="s">
        <v>1242</v>
      </c>
    </row>
    <row r="476" spans="1:34" s="7" customFormat="1" ht="16.5" customHeight="1">
      <c r="A476" s="7">
        <v>2012</v>
      </c>
      <c r="B476" s="12">
        <v>41126</v>
      </c>
      <c r="C476" s="9" t="s">
        <v>22</v>
      </c>
      <c r="D476" s="9" t="s">
        <v>23</v>
      </c>
      <c r="E476" s="9" t="s">
        <v>19</v>
      </c>
      <c r="F476" s="9" t="s">
        <v>25</v>
      </c>
      <c r="G476" s="7" t="s">
        <v>902</v>
      </c>
      <c r="H476" s="9" t="s">
        <v>903</v>
      </c>
      <c r="I476" s="124" t="s">
        <v>902</v>
      </c>
      <c r="J476" s="7">
        <v>35</v>
      </c>
      <c r="K476" s="124" t="s">
        <v>644</v>
      </c>
      <c r="L476" s="20" t="s">
        <v>909</v>
      </c>
      <c r="M476" s="16">
        <v>92.519233703613281</v>
      </c>
      <c r="N476" s="16">
        <v>18.303618431091309</v>
      </c>
      <c r="O476" s="16">
        <v>361.75725250244142</v>
      </c>
      <c r="P476" s="16">
        <v>15.407992362976074</v>
      </c>
      <c r="Q476" s="147">
        <v>779.38333435058598</v>
      </c>
      <c r="R476" s="147">
        <v>16.5072021484375</v>
      </c>
      <c r="S476" s="10">
        <v>0.79045580267826188</v>
      </c>
      <c r="T476" s="16">
        <v>-6.7083480611634227</v>
      </c>
      <c r="U476" s="16">
        <v>4.11642296869952E-2</v>
      </c>
      <c r="V476" s="16">
        <v>6.3845524036234771</v>
      </c>
      <c r="W476" s="10">
        <v>13.092900464786901</v>
      </c>
      <c r="X476" s="10" t="s">
        <v>902</v>
      </c>
      <c r="Y476" s="10">
        <v>1.7</v>
      </c>
      <c r="Z476" s="10">
        <v>3</v>
      </c>
      <c r="AA476" s="20" t="s">
        <v>577</v>
      </c>
      <c r="AB476" s="7">
        <v>1055.9000000000001</v>
      </c>
      <c r="AC476" s="7">
        <v>438.2</v>
      </c>
      <c r="AD476" s="7">
        <v>0.41500142058907091</v>
      </c>
      <c r="AE476" s="8" t="s">
        <v>5</v>
      </c>
      <c r="AF476" s="20" t="s">
        <v>8</v>
      </c>
      <c r="AG476" s="11" t="s">
        <v>2</v>
      </c>
      <c r="AH476" s="7" t="s">
        <v>1242</v>
      </c>
    </row>
    <row r="477" spans="1:34" s="7" customFormat="1" ht="16.5" customHeight="1">
      <c r="A477" s="7">
        <v>2012</v>
      </c>
      <c r="B477" s="12">
        <v>41126</v>
      </c>
      <c r="C477" s="9" t="s">
        <v>22</v>
      </c>
      <c r="D477" s="9" t="s">
        <v>23</v>
      </c>
      <c r="E477" s="9" t="s">
        <v>19</v>
      </c>
      <c r="F477" s="9" t="s">
        <v>25</v>
      </c>
      <c r="G477" s="7" t="s">
        <v>902</v>
      </c>
      <c r="H477" s="9" t="s">
        <v>903</v>
      </c>
      <c r="I477" s="124" t="s">
        <v>902</v>
      </c>
      <c r="J477" s="7">
        <v>36</v>
      </c>
      <c r="K477" s="124" t="s">
        <v>646</v>
      </c>
      <c r="L477" s="20" t="s">
        <v>909</v>
      </c>
      <c r="M477" s="16">
        <v>92.520360946655273</v>
      </c>
      <c r="N477" s="16">
        <v>18.839041996002198</v>
      </c>
      <c r="O477" s="16">
        <v>358.70867156982422</v>
      </c>
      <c r="P477" s="16">
        <v>15.640743732452393</v>
      </c>
      <c r="Q477" s="147">
        <v>801.2514709472656</v>
      </c>
      <c r="R477" s="147">
        <v>23.14495849609375</v>
      </c>
      <c r="S477" s="10">
        <v>0.79045580267826188</v>
      </c>
      <c r="T477" s="16">
        <v>-7.9788507478864164</v>
      </c>
      <c r="U477" s="16">
        <v>4.6987799594276833E-2</v>
      </c>
      <c r="V477" s="16">
        <v>6.3845524036234771</v>
      </c>
      <c r="W477" s="10">
        <v>14.363403151509893</v>
      </c>
      <c r="X477" s="10" t="s">
        <v>902</v>
      </c>
      <c r="Y477" s="10">
        <v>1.7</v>
      </c>
      <c r="Z477" s="10">
        <v>3</v>
      </c>
      <c r="AA477" s="20" t="s">
        <v>579</v>
      </c>
      <c r="AB477" s="7">
        <v>1064.5</v>
      </c>
      <c r="AC477" s="7">
        <v>440.7</v>
      </c>
      <c r="AD477" s="7">
        <v>0.41399718177548145</v>
      </c>
      <c r="AE477" s="8" t="s">
        <v>645</v>
      </c>
      <c r="AF477" s="20" t="s">
        <v>8</v>
      </c>
      <c r="AG477" s="11" t="s">
        <v>2</v>
      </c>
      <c r="AH477" s="7" t="s">
        <v>1242</v>
      </c>
    </row>
    <row r="478" spans="1:34" s="7" customFormat="1" ht="16.5" customHeight="1">
      <c r="A478" s="7">
        <v>2012</v>
      </c>
      <c r="B478" s="12">
        <v>41116</v>
      </c>
      <c r="C478" s="18" t="s">
        <v>22</v>
      </c>
      <c r="D478" s="18" t="s">
        <v>23</v>
      </c>
      <c r="E478" s="18" t="s">
        <v>19</v>
      </c>
      <c r="F478" s="18" t="s">
        <v>25</v>
      </c>
      <c r="G478" s="7" t="s">
        <v>902</v>
      </c>
      <c r="H478" s="18" t="s">
        <v>903</v>
      </c>
      <c r="I478" s="124" t="s">
        <v>902</v>
      </c>
      <c r="J478" s="7">
        <v>37</v>
      </c>
      <c r="K478" s="124" t="s">
        <v>647</v>
      </c>
      <c r="L478" s="20" t="s">
        <v>909</v>
      </c>
      <c r="M478" s="16">
        <v>92.887193298339838</v>
      </c>
      <c r="N478" s="16">
        <v>24.53207187652588</v>
      </c>
      <c r="O478" s="16">
        <v>355.9768127441406</v>
      </c>
      <c r="P478" s="16">
        <v>21.298378944396973</v>
      </c>
      <c r="Q478" s="147">
        <v>810.10396118164067</v>
      </c>
      <c r="R478" s="147">
        <v>31.81890869140625</v>
      </c>
      <c r="S478" s="10">
        <v>0.79045580267826188</v>
      </c>
      <c r="T478" s="16">
        <v>-4.5026998908336724</v>
      </c>
      <c r="U478" s="16">
        <v>6.6189130147298172E-2</v>
      </c>
      <c r="V478" s="16">
        <v>6.3845524036234771</v>
      </c>
      <c r="W478" s="10">
        <v>10.887252294457149</v>
      </c>
      <c r="X478" s="10" t="s">
        <v>902</v>
      </c>
      <c r="Y478" s="10">
        <v>1.7</v>
      </c>
      <c r="Z478" s="10">
        <v>3</v>
      </c>
      <c r="AA478" s="20" t="s">
        <v>594</v>
      </c>
      <c r="AB478" s="7">
        <v>918</v>
      </c>
      <c r="AC478" s="7">
        <v>510.3</v>
      </c>
      <c r="AD478" s="7">
        <v>0.55588235294117649</v>
      </c>
      <c r="AE478" s="8" t="s">
        <v>5</v>
      </c>
      <c r="AF478" s="21" t="s">
        <v>8</v>
      </c>
      <c r="AG478" s="11" t="s">
        <v>2</v>
      </c>
      <c r="AH478" s="7" t="s">
        <v>1242</v>
      </c>
    </row>
    <row r="479" spans="1:34" s="7" customFormat="1" ht="16.5" customHeight="1">
      <c r="A479" s="7">
        <v>2012</v>
      </c>
      <c r="B479" s="12">
        <v>41126</v>
      </c>
      <c r="C479" s="9" t="s">
        <v>22</v>
      </c>
      <c r="D479" s="9" t="s">
        <v>23</v>
      </c>
      <c r="E479" s="9" t="s">
        <v>19</v>
      </c>
      <c r="F479" s="9" t="s">
        <v>25</v>
      </c>
      <c r="G479" s="7" t="s">
        <v>902</v>
      </c>
      <c r="H479" s="9" t="s">
        <v>903</v>
      </c>
      <c r="I479" s="124" t="s">
        <v>902</v>
      </c>
      <c r="J479" s="7">
        <v>40</v>
      </c>
      <c r="K479" s="124" t="s">
        <v>650</v>
      </c>
      <c r="L479" s="20" t="s">
        <v>909</v>
      </c>
      <c r="M479" s="16">
        <v>92.518106460571289</v>
      </c>
      <c r="N479" s="16">
        <v>19.108474731445313</v>
      </c>
      <c r="O479" s="16">
        <v>357.62164001464845</v>
      </c>
      <c r="P479" s="16">
        <v>16.00220513343811</v>
      </c>
      <c r="Q479" s="147">
        <v>859.70096130371098</v>
      </c>
      <c r="R479" s="147">
        <v>16.51495361328125</v>
      </c>
      <c r="S479" s="10">
        <v>0.79045580267826188</v>
      </c>
      <c r="T479" s="16">
        <v>-7.8233116236834173</v>
      </c>
      <c r="U479" s="16">
        <v>4.2884391053278646E-2</v>
      </c>
      <c r="V479" s="16">
        <v>6.3845524036234771</v>
      </c>
      <c r="W479" s="10">
        <v>14.207864027306893</v>
      </c>
      <c r="X479" s="10" t="s">
        <v>902</v>
      </c>
      <c r="Y479" s="10">
        <v>1.7</v>
      </c>
      <c r="Z479" s="10">
        <v>3</v>
      </c>
      <c r="AA479" s="20" t="s">
        <v>578</v>
      </c>
      <c r="AB479" s="7">
        <v>1123</v>
      </c>
      <c r="AC479" s="7">
        <v>441.9</v>
      </c>
      <c r="AD479" s="7">
        <v>0.39349955476402493</v>
      </c>
      <c r="AE479" s="8" t="s">
        <v>645</v>
      </c>
      <c r="AF479" s="20" t="s">
        <v>8</v>
      </c>
      <c r="AG479" s="11" t="s">
        <v>864</v>
      </c>
      <c r="AH479" s="7" t="s">
        <v>1242</v>
      </c>
    </row>
    <row r="480" spans="1:34" s="7" customFormat="1" ht="16.5" customHeight="1">
      <c r="A480" s="7">
        <v>2012</v>
      </c>
      <c r="B480" s="12">
        <v>41126</v>
      </c>
      <c r="C480" s="9" t="s">
        <v>22</v>
      </c>
      <c r="D480" s="9" t="s">
        <v>23</v>
      </c>
      <c r="E480" s="9" t="s">
        <v>19</v>
      </c>
      <c r="F480" s="9" t="s">
        <v>25</v>
      </c>
      <c r="G480" s="7" t="s">
        <v>902</v>
      </c>
      <c r="H480" s="9" t="s">
        <v>903</v>
      </c>
      <c r="I480" s="124" t="s">
        <v>902</v>
      </c>
      <c r="J480" s="7">
        <v>41</v>
      </c>
      <c r="K480" s="124" t="s">
        <v>651</v>
      </c>
      <c r="L480" s="20" t="s">
        <v>909</v>
      </c>
      <c r="M480" s="16">
        <v>92.508322525024411</v>
      </c>
      <c r="N480" s="16">
        <v>19.787927246093751</v>
      </c>
      <c r="O480" s="16">
        <v>356.30915222167971</v>
      </c>
      <c r="P480" s="16">
        <v>16.980287742614745</v>
      </c>
      <c r="Q480" s="147">
        <v>919.91159362792973</v>
      </c>
      <c r="R480" s="147">
        <v>9.069580078125</v>
      </c>
      <c r="S480" s="10">
        <v>0.79045580267826188</v>
      </c>
      <c r="T480" s="16">
        <v>-8.6965554676969372</v>
      </c>
      <c r="U480" s="16">
        <v>5.221550876932933E-2</v>
      </c>
      <c r="V480" s="16">
        <v>6.3845524036234771</v>
      </c>
      <c r="W480" s="10">
        <v>15.081107871320414</v>
      </c>
      <c r="X480" s="10" t="s">
        <v>902</v>
      </c>
      <c r="Y480" s="10">
        <v>1.7</v>
      </c>
      <c r="Z480" s="10">
        <v>3</v>
      </c>
      <c r="AA480" s="20" t="s">
        <v>587</v>
      </c>
      <c r="AB480" s="7">
        <v>1162.0999999999999</v>
      </c>
      <c r="AC480" s="7">
        <v>371.1</v>
      </c>
      <c r="AD480" s="7">
        <v>0.31933568539712592</v>
      </c>
      <c r="AE480" s="8" t="s">
        <v>3</v>
      </c>
      <c r="AF480" s="20" t="s">
        <v>8</v>
      </c>
      <c r="AG480" s="11" t="s">
        <v>864</v>
      </c>
      <c r="AH480" s="7" t="s">
        <v>1242</v>
      </c>
    </row>
    <row r="481" spans="1:34" s="7" customFormat="1" ht="16.5" customHeight="1">
      <c r="A481" s="7">
        <v>2012</v>
      </c>
      <c r="B481" s="12">
        <v>41126</v>
      </c>
      <c r="C481" s="9" t="s">
        <v>22</v>
      </c>
      <c r="D481" s="9" t="s">
        <v>23</v>
      </c>
      <c r="E481" s="9" t="s">
        <v>19</v>
      </c>
      <c r="F481" s="9" t="s">
        <v>25</v>
      </c>
      <c r="G481" s="7" t="s">
        <v>902</v>
      </c>
      <c r="H481" s="9" t="s">
        <v>903</v>
      </c>
      <c r="I481" s="124" t="s">
        <v>902</v>
      </c>
      <c r="J481" s="7">
        <v>42</v>
      </c>
      <c r="K481" s="124" t="s">
        <v>652</v>
      </c>
      <c r="L481" s="20" t="s">
        <v>909</v>
      </c>
      <c r="M481" s="16">
        <v>92.506201850043396</v>
      </c>
      <c r="N481" s="16">
        <v>20.419352425469292</v>
      </c>
      <c r="O481" s="16">
        <v>356.78333536783856</v>
      </c>
      <c r="P481" s="16">
        <v>16.764946990542942</v>
      </c>
      <c r="Q481" s="147">
        <v>945.76634385850696</v>
      </c>
      <c r="R481" s="147">
        <v>7.07354736328125</v>
      </c>
      <c r="S481" s="10">
        <v>0.79045580267826188</v>
      </c>
      <c r="T481" s="16">
        <v>-8.4151604159584892</v>
      </c>
      <c r="U481" s="16">
        <v>5.5586202225817984E-2</v>
      </c>
      <c r="V481" s="16">
        <v>6.3845524036234771</v>
      </c>
      <c r="W481" s="10">
        <v>14.799712819581966</v>
      </c>
      <c r="X481" s="10" t="s">
        <v>902</v>
      </c>
      <c r="Y481" s="10">
        <v>1.7</v>
      </c>
      <c r="Z481" s="10">
        <v>3</v>
      </c>
      <c r="AA481" s="20" t="s">
        <v>588</v>
      </c>
      <c r="AB481" s="7">
        <v>1196.3</v>
      </c>
      <c r="AC481" s="7">
        <v>376</v>
      </c>
      <c r="AD481" s="7">
        <v>0.31430243250020901</v>
      </c>
      <c r="AE481" s="8" t="s">
        <v>3</v>
      </c>
      <c r="AF481" s="20" t="s">
        <v>8</v>
      </c>
      <c r="AG481" s="11" t="s">
        <v>864</v>
      </c>
      <c r="AH481" s="7" t="s">
        <v>1242</v>
      </c>
    </row>
    <row r="482" spans="1:34" s="7" customFormat="1" ht="16.5" customHeight="1">
      <c r="A482" s="7">
        <v>2012</v>
      </c>
      <c r="B482" s="12">
        <v>41126</v>
      </c>
      <c r="C482" s="9" t="s">
        <v>22</v>
      </c>
      <c r="D482" s="9" t="s">
        <v>23</v>
      </c>
      <c r="E482" s="9" t="s">
        <v>19</v>
      </c>
      <c r="F482" s="9" t="s">
        <v>25</v>
      </c>
      <c r="G482" s="7" t="s">
        <v>902</v>
      </c>
      <c r="H482" s="9" t="s">
        <v>903</v>
      </c>
      <c r="I482" s="124" t="s">
        <v>902</v>
      </c>
      <c r="J482" s="7">
        <v>43</v>
      </c>
      <c r="K482" s="124" t="s">
        <v>653</v>
      </c>
      <c r="L482" s="20" t="s">
        <v>909</v>
      </c>
      <c r="M482" s="16">
        <v>92.509272766113284</v>
      </c>
      <c r="N482" s="16">
        <v>21.917372608184813</v>
      </c>
      <c r="O482" s="16">
        <v>356.05910644531252</v>
      </c>
      <c r="P482" s="16">
        <v>16.957714891433717</v>
      </c>
      <c r="Q482" s="147">
        <v>980.88742980957034</v>
      </c>
      <c r="R482" s="147">
        <v>4.78619384765625</v>
      </c>
      <c r="S482" s="10">
        <v>0.79045580267826188</v>
      </c>
      <c r="T482" s="16">
        <v>-8.131624299262235</v>
      </c>
      <c r="U482" s="16">
        <v>6.2369203567504881E-2</v>
      </c>
      <c r="V482" s="16">
        <v>6.3845524036234771</v>
      </c>
      <c r="W482" s="10">
        <v>14.516176702885712</v>
      </c>
      <c r="X482" s="10" t="s">
        <v>902</v>
      </c>
      <c r="Y482" s="10">
        <v>1.7</v>
      </c>
      <c r="Z482" s="10">
        <v>3</v>
      </c>
      <c r="AA482" s="20" t="s">
        <v>591</v>
      </c>
      <c r="AB482" s="7">
        <v>1226.8</v>
      </c>
      <c r="AC482" s="7">
        <v>385.7</v>
      </c>
      <c r="AD482" s="7">
        <v>0.31439517443756115</v>
      </c>
      <c r="AE482" s="8" t="s">
        <v>645</v>
      </c>
      <c r="AF482" s="20" t="s">
        <v>8</v>
      </c>
      <c r="AG482" s="11" t="s">
        <v>864</v>
      </c>
      <c r="AH482" s="7" t="s">
        <v>1242</v>
      </c>
    </row>
    <row r="483" spans="1:34" s="7" customFormat="1" ht="16.5" customHeight="1">
      <c r="A483" s="7">
        <v>2012</v>
      </c>
      <c r="B483" s="12">
        <v>41116</v>
      </c>
      <c r="C483" s="18" t="s">
        <v>22</v>
      </c>
      <c r="D483" s="18" t="s">
        <v>23</v>
      </c>
      <c r="E483" s="18" t="s">
        <v>19</v>
      </c>
      <c r="F483" s="18" t="s">
        <v>25</v>
      </c>
      <c r="G483" s="7" t="s">
        <v>902</v>
      </c>
      <c r="H483" s="18" t="s">
        <v>903</v>
      </c>
      <c r="I483" s="124" t="s">
        <v>902</v>
      </c>
      <c r="J483" s="7">
        <v>38</v>
      </c>
      <c r="K483" s="124" t="s">
        <v>648</v>
      </c>
      <c r="L483" s="20" t="s">
        <v>909</v>
      </c>
      <c r="M483" s="16">
        <v>92.890333448137554</v>
      </c>
      <c r="N483" s="16">
        <v>24.15886620112828</v>
      </c>
      <c r="O483" s="36">
        <v>357.58127485002791</v>
      </c>
      <c r="P483" s="36">
        <v>19.695044653756277</v>
      </c>
      <c r="Q483" s="147">
        <v>981.17242431640625</v>
      </c>
      <c r="R483" s="147">
        <v>192.40338134765625</v>
      </c>
      <c r="S483" s="10">
        <v>0.79045580267826188</v>
      </c>
      <c r="T483" s="16">
        <v>-6.1289469714311791</v>
      </c>
      <c r="U483" s="36">
        <v>7.5658081390045498E-2</v>
      </c>
      <c r="V483" s="16">
        <v>6.3845524036234771</v>
      </c>
      <c r="W483" s="10">
        <v>12.513499375054657</v>
      </c>
      <c r="X483" s="10" t="s">
        <v>902</v>
      </c>
      <c r="Y483" s="10">
        <v>1.7</v>
      </c>
      <c r="Z483" s="10">
        <v>3</v>
      </c>
      <c r="AA483" s="20" t="s">
        <v>592</v>
      </c>
      <c r="AB483" s="7">
        <v>950.9</v>
      </c>
      <c r="AC483" s="7">
        <v>551.79999999999995</v>
      </c>
      <c r="AD483" s="7">
        <v>0.5802923546114207</v>
      </c>
      <c r="AE483" s="8" t="s">
        <v>5</v>
      </c>
      <c r="AF483" s="21" t="s">
        <v>8</v>
      </c>
      <c r="AG483" s="11" t="s">
        <v>2</v>
      </c>
      <c r="AH483" s="7" t="s">
        <v>1242</v>
      </c>
    </row>
    <row r="484" spans="1:34" s="7" customFormat="1" ht="16.5" customHeight="1">
      <c r="A484" s="7">
        <v>2012</v>
      </c>
      <c r="B484" s="12">
        <v>41126</v>
      </c>
      <c r="C484" s="9" t="s">
        <v>22</v>
      </c>
      <c r="D484" s="9" t="s">
        <v>23</v>
      </c>
      <c r="E484" s="9" t="s">
        <v>19</v>
      </c>
      <c r="F484" s="9" t="s">
        <v>25</v>
      </c>
      <c r="G484" s="7" t="s">
        <v>902</v>
      </c>
      <c r="H484" s="9" t="s">
        <v>903</v>
      </c>
      <c r="I484" s="124" t="s">
        <v>902</v>
      </c>
      <c r="J484" s="7">
        <v>44</v>
      </c>
      <c r="K484" s="124" t="s">
        <v>654</v>
      </c>
      <c r="L484" s="20" t="s">
        <v>909</v>
      </c>
      <c r="M484" s="16">
        <v>92.508018493652344</v>
      </c>
      <c r="N484" s="16">
        <v>21.931861019134523</v>
      </c>
      <c r="O484" s="16">
        <v>356.57849884033203</v>
      </c>
      <c r="P484" s="16">
        <v>16.607791900634766</v>
      </c>
      <c r="Q484" s="147">
        <v>995.92997131347659</v>
      </c>
      <c r="R484" s="147">
        <v>6.18804931640625</v>
      </c>
      <c r="S484" s="10">
        <v>0.79045580267826188</v>
      </c>
      <c r="T484" s="16">
        <v>-8.6288388373731113</v>
      </c>
      <c r="U484" s="16">
        <v>6.669279399671052E-2</v>
      </c>
      <c r="V484" s="16">
        <v>6.3845524036234771</v>
      </c>
      <c r="W484" s="10">
        <v>15.013391240996588</v>
      </c>
      <c r="X484" s="10" t="s">
        <v>902</v>
      </c>
      <c r="Y484" s="10">
        <v>1.7</v>
      </c>
      <c r="Z484" s="10">
        <v>3</v>
      </c>
      <c r="AA484" s="20" t="s">
        <v>590</v>
      </c>
      <c r="AB484" s="7">
        <v>1240.2</v>
      </c>
      <c r="AC484" s="7">
        <v>387</v>
      </c>
      <c r="AD484" s="7">
        <v>0.31204644412191579</v>
      </c>
      <c r="AE484" s="8" t="s">
        <v>645</v>
      </c>
      <c r="AF484" s="20" t="s">
        <v>8</v>
      </c>
      <c r="AG484" s="11" t="s">
        <v>864</v>
      </c>
      <c r="AH484" s="7" t="s">
        <v>1242</v>
      </c>
    </row>
    <row r="485" spans="1:34" s="7" customFormat="1" ht="16.5" customHeight="1">
      <c r="A485" s="7">
        <v>2012</v>
      </c>
      <c r="B485" s="12">
        <v>41126</v>
      </c>
      <c r="C485" s="9" t="s">
        <v>22</v>
      </c>
      <c r="D485" s="9" t="s">
        <v>23</v>
      </c>
      <c r="E485" s="9" t="s">
        <v>19</v>
      </c>
      <c r="F485" s="9" t="s">
        <v>25</v>
      </c>
      <c r="G485" s="7" t="s">
        <v>902</v>
      </c>
      <c r="H485" s="9" t="s">
        <v>903</v>
      </c>
      <c r="I485" s="124" t="s">
        <v>902</v>
      </c>
      <c r="J485" s="7">
        <v>45</v>
      </c>
      <c r="K485" s="124" t="s">
        <v>655</v>
      </c>
      <c r="L485" s="20" t="s">
        <v>909</v>
      </c>
      <c r="M485" s="16">
        <v>92.505570305718322</v>
      </c>
      <c r="N485" s="16">
        <v>21.118319511413574</v>
      </c>
      <c r="O485" s="16">
        <v>358.99272155761719</v>
      </c>
      <c r="P485" s="16">
        <v>15.943708525763618</v>
      </c>
      <c r="Q485" s="147">
        <v>1020.2854749891493</v>
      </c>
      <c r="R485" s="147">
        <v>11.1455078125</v>
      </c>
      <c r="S485" s="10">
        <v>0.79045580267826188</v>
      </c>
      <c r="T485" s="16">
        <v>-8.6765501933800593</v>
      </c>
      <c r="U485" s="16">
        <v>6.4688715034225033E-2</v>
      </c>
      <c r="V485" s="16">
        <v>6.3845524036234771</v>
      </c>
      <c r="W485" s="10">
        <v>15.061102597003536</v>
      </c>
      <c r="X485" s="10" t="s">
        <v>902</v>
      </c>
      <c r="Y485" s="10">
        <v>1.7</v>
      </c>
      <c r="Z485" s="10">
        <v>3</v>
      </c>
      <c r="AA485" s="20" t="s">
        <v>589</v>
      </c>
      <c r="AB485" s="7">
        <v>1262.2</v>
      </c>
      <c r="AC485" s="7">
        <v>405.3</v>
      </c>
      <c r="AD485" s="7">
        <v>0.32110600538741879</v>
      </c>
      <c r="AE485" s="8" t="s">
        <v>3</v>
      </c>
      <c r="AF485" s="20" t="s">
        <v>8</v>
      </c>
      <c r="AG485" s="11" t="s">
        <v>864</v>
      </c>
      <c r="AH485" s="7" t="s">
        <v>1242</v>
      </c>
    </row>
    <row r="486" spans="1:34" s="7" customFormat="1" ht="16.5" customHeight="1">
      <c r="A486" s="7">
        <v>2012</v>
      </c>
      <c r="B486" s="12">
        <v>41116</v>
      </c>
      <c r="C486" s="18" t="s">
        <v>22</v>
      </c>
      <c r="D486" s="18" t="s">
        <v>23</v>
      </c>
      <c r="E486" s="18" t="s">
        <v>19</v>
      </c>
      <c r="F486" s="18" t="s">
        <v>25</v>
      </c>
      <c r="G486" s="7" t="s">
        <v>902</v>
      </c>
      <c r="H486" s="18" t="s">
        <v>903</v>
      </c>
      <c r="I486" s="124" t="s">
        <v>902</v>
      </c>
      <c r="J486" s="7">
        <v>39</v>
      </c>
      <c r="K486" s="124" t="s">
        <v>649</v>
      </c>
      <c r="L486" s="20" t="s">
        <v>909</v>
      </c>
      <c r="M486" s="16">
        <v>92.885503133138016</v>
      </c>
      <c r="N486" s="16">
        <v>24.451205465528702</v>
      </c>
      <c r="O486" s="16">
        <v>354.20542399088544</v>
      </c>
      <c r="P486" s="16">
        <v>21.792400783962673</v>
      </c>
      <c r="Q486" s="147">
        <v>1065.41404554579</v>
      </c>
      <c r="R486" s="147">
        <v>168.79888916015625</v>
      </c>
      <c r="S486" s="10">
        <v>0.79045580267826188</v>
      </c>
      <c r="T486" s="16">
        <v>-5.7748816526421605</v>
      </c>
      <c r="U486" s="16">
        <v>6.0349563819090034E-2</v>
      </c>
      <c r="V486" s="16">
        <v>6.3845524036234771</v>
      </c>
      <c r="W486" s="10">
        <v>12.159434056265638</v>
      </c>
      <c r="X486" s="10" t="s">
        <v>902</v>
      </c>
      <c r="Y486" s="10">
        <v>1.7</v>
      </c>
      <c r="Z486" s="10">
        <v>3</v>
      </c>
      <c r="AA486" s="20" t="s">
        <v>593</v>
      </c>
      <c r="AB486" s="7">
        <v>1228</v>
      </c>
      <c r="AC486" s="7">
        <v>537.1</v>
      </c>
      <c r="AD486" s="7">
        <v>0.43737785016286646</v>
      </c>
      <c r="AE486" s="8" t="s">
        <v>5</v>
      </c>
      <c r="AF486" s="21" t="s">
        <v>8</v>
      </c>
      <c r="AG486" s="11" t="s">
        <v>2</v>
      </c>
      <c r="AH486" s="7" t="s">
        <v>1242</v>
      </c>
    </row>
    <row r="487" spans="1:34" s="7" customFormat="1" ht="16.5" customHeight="1">
      <c r="A487" s="7">
        <v>2012</v>
      </c>
      <c r="B487" s="12">
        <v>41129</v>
      </c>
      <c r="C487" s="7" t="s">
        <v>22</v>
      </c>
      <c r="D487" s="9" t="s">
        <v>23</v>
      </c>
      <c r="E487" s="9" t="s">
        <v>20</v>
      </c>
      <c r="F487" s="9" t="s">
        <v>25</v>
      </c>
      <c r="G487" s="7" t="s">
        <v>902</v>
      </c>
      <c r="H487" s="7" t="s">
        <v>903</v>
      </c>
      <c r="I487" s="124" t="s">
        <v>902</v>
      </c>
      <c r="J487" s="7">
        <v>1</v>
      </c>
      <c r="K487" s="124" t="s">
        <v>499</v>
      </c>
      <c r="L487" s="20" t="s">
        <v>904</v>
      </c>
      <c r="M487" s="16">
        <v>92.823921585083013</v>
      </c>
      <c r="N487" s="16">
        <v>12.48346962928772</v>
      </c>
      <c r="O487" s="16">
        <v>399.44668579101562</v>
      </c>
      <c r="P487" s="16">
        <v>12.311667919158936</v>
      </c>
      <c r="Q487" s="147">
        <v>0.10388661720789968</v>
      </c>
      <c r="R487" s="147">
        <v>0.25929353293031454</v>
      </c>
      <c r="S487" s="10">
        <v>0.74198249183634324</v>
      </c>
      <c r="T487" s="10">
        <v>8.7060564942606842</v>
      </c>
      <c r="U487" s="16">
        <v>1.1155380880025993E-2</v>
      </c>
      <c r="V487" s="16">
        <v>8.6493064121729333</v>
      </c>
      <c r="W487" s="10">
        <v>-5.6750082087750897E-2</v>
      </c>
      <c r="X487" s="10" t="s">
        <v>902</v>
      </c>
      <c r="Y487" s="10" t="s">
        <v>902</v>
      </c>
      <c r="Z487" s="10">
        <v>1.5</v>
      </c>
      <c r="AA487" s="20" t="s">
        <v>498</v>
      </c>
      <c r="AB487" s="10" t="s">
        <v>902</v>
      </c>
      <c r="AC487" s="10" t="s">
        <v>902</v>
      </c>
      <c r="AD487" s="10" t="s">
        <v>902</v>
      </c>
      <c r="AE487" s="7" t="s">
        <v>902</v>
      </c>
      <c r="AF487" s="20" t="s">
        <v>27</v>
      </c>
      <c r="AG487" s="11" t="s">
        <v>927</v>
      </c>
      <c r="AH487" s="7" t="s">
        <v>1242</v>
      </c>
    </row>
    <row r="488" spans="1:34" s="7" customFormat="1" ht="16.5" customHeight="1">
      <c r="A488" s="7">
        <v>2012</v>
      </c>
      <c r="B488" s="12">
        <v>41129</v>
      </c>
      <c r="C488" s="7" t="s">
        <v>22</v>
      </c>
      <c r="D488" s="9" t="s">
        <v>23</v>
      </c>
      <c r="E488" s="9" t="s">
        <v>20</v>
      </c>
      <c r="F488" s="9" t="s">
        <v>25</v>
      </c>
      <c r="G488" s="7" t="s">
        <v>902</v>
      </c>
      <c r="H488" s="7" t="s">
        <v>903</v>
      </c>
      <c r="I488" s="124" t="s">
        <v>902</v>
      </c>
      <c r="J488" s="7">
        <v>2</v>
      </c>
      <c r="K488" s="124" t="s">
        <v>501</v>
      </c>
      <c r="L488" s="20" t="s">
        <v>904</v>
      </c>
      <c r="M488" s="16">
        <v>92.82158088684082</v>
      </c>
      <c r="N488" s="16">
        <v>12.371968936920165</v>
      </c>
      <c r="O488" s="16">
        <v>402.71082763671876</v>
      </c>
      <c r="P488" s="16">
        <v>12.103260564804078</v>
      </c>
      <c r="Q488" s="147">
        <v>0.12677316102199257</v>
      </c>
      <c r="R488" s="147">
        <v>0.29943845793604851</v>
      </c>
      <c r="S488" s="10">
        <v>0.74198249183634324</v>
      </c>
      <c r="T488" s="10">
        <v>8.5925563300851806</v>
      </c>
      <c r="U488" s="16">
        <v>1.236682583514909E-2</v>
      </c>
      <c r="V488" s="16">
        <v>8.6493064121729333</v>
      </c>
      <c r="W488" s="10">
        <v>5.6750082087752673E-2</v>
      </c>
      <c r="X488" s="10" t="s">
        <v>902</v>
      </c>
      <c r="Y488" s="10" t="s">
        <v>902</v>
      </c>
      <c r="Z488" s="10">
        <v>1.5</v>
      </c>
      <c r="AA488" s="20" t="s">
        <v>500</v>
      </c>
      <c r="AB488" s="10" t="s">
        <v>902</v>
      </c>
      <c r="AC488" s="10" t="s">
        <v>902</v>
      </c>
      <c r="AD488" s="10" t="s">
        <v>902</v>
      </c>
      <c r="AE488" s="7" t="s">
        <v>902</v>
      </c>
      <c r="AF488" s="20" t="s">
        <v>27</v>
      </c>
      <c r="AG488" s="11" t="s">
        <v>927</v>
      </c>
      <c r="AH488" s="7" t="s">
        <v>1242</v>
      </c>
    </row>
    <row r="489" spans="1:34" s="7" customFormat="1" ht="16.5" customHeight="1">
      <c r="A489" s="7">
        <v>2012</v>
      </c>
      <c r="B489" s="12">
        <v>41126</v>
      </c>
      <c r="C489" s="7" t="s">
        <v>22</v>
      </c>
      <c r="D489" s="9" t="s">
        <v>23</v>
      </c>
      <c r="E489" s="9" t="s">
        <v>20</v>
      </c>
      <c r="F489" s="9" t="s">
        <v>25</v>
      </c>
      <c r="G489" s="7" t="s">
        <v>902</v>
      </c>
      <c r="H489" s="7" t="s">
        <v>903</v>
      </c>
      <c r="I489" s="124" t="s">
        <v>902</v>
      </c>
      <c r="J489" s="7">
        <v>3</v>
      </c>
      <c r="K489" s="124" t="s">
        <v>503</v>
      </c>
      <c r="L489" s="20" t="s">
        <v>904</v>
      </c>
      <c r="M489" s="16">
        <v>92.586908513849437</v>
      </c>
      <c r="N489" s="16">
        <v>18.785654934969816</v>
      </c>
      <c r="O489" s="16">
        <v>369.59388594193894</v>
      </c>
      <c r="P489" s="16">
        <v>18.710238890214399</v>
      </c>
      <c r="Q489" s="147">
        <v>0.29336946931752289</v>
      </c>
      <c r="R489" s="147">
        <v>0.26747237145900726</v>
      </c>
      <c r="S489" s="10">
        <v>0.74198249183634324</v>
      </c>
      <c r="T489" s="10">
        <v>7.5450616333267826</v>
      </c>
      <c r="U489" s="16">
        <v>5.040949041193182E-3</v>
      </c>
      <c r="V489" s="16">
        <v>8.6493064121729333</v>
      </c>
      <c r="W489" s="10">
        <v>1.1042447788461507</v>
      </c>
      <c r="X489" s="10" t="s">
        <v>902</v>
      </c>
      <c r="Y489" s="10" t="s">
        <v>902</v>
      </c>
      <c r="Z489" s="10">
        <v>1.5</v>
      </c>
      <c r="AA489" s="20" t="s">
        <v>502</v>
      </c>
      <c r="AB489" s="10" t="s">
        <v>902</v>
      </c>
      <c r="AC489" s="10" t="s">
        <v>902</v>
      </c>
      <c r="AD489" s="10" t="s">
        <v>902</v>
      </c>
      <c r="AE489" s="7" t="s">
        <v>902</v>
      </c>
      <c r="AF489" s="20" t="s">
        <v>27</v>
      </c>
      <c r="AG489" s="11" t="s">
        <v>927</v>
      </c>
      <c r="AH489" s="7" t="s">
        <v>1402</v>
      </c>
    </row>
    <row r="490" spans="1:34" s="7" customFormat="1" ht="16.5" customHeight="1">
      <c r="A490" s="7">
        <v>2012</v>
      </c>
      <c r="B490" s="12">
        <v>41126</v>
      </c>
      <c r="C490" s="7" t="s">
        <v>22</v>
      </c>
      <c r="D490" s="9" t="s">
        <v>23</v>
      </c>
      <c r="E490" s="9" t="s">
        <v>20</v>
      </c>
      <c r="F490" s="9" t="s">
        <v>25</v>
      </c>
      <c r="G490" s="7" t="s">
        <v>902</v>
      </c>
      <c r="H490" s="7" t="s">
        <v>903</v>
      </c>
      <c r="I490" s="124" t="s">
        <v>902</v>
      </c>
      <c r="J490" s="7">
        <v>4</v>
      </c>
      <c r="K490" s="124" t="s">
        <v>505</v>
      </c>
      <c r="L490" s="20" t="s">
        <v>904</v>
      </c>
      <c r="M490" s="16">
        <v>92.590864701704547</v>
      </c>
      <c r="N490" s="16">
        <v>16.450843464244496</v>
      </c>
      <c r="O490" s="16">
        <v>385.75615622780538</v>
      </c>
      <c r="P490" s="16">
        <v>16.199263659390535</v>
      </c>
      <c r="Q490" s="147">
        <v>0.33738323097879236</v>
      </c>
      <c r="R490" s="147">
        <v>0.29287657141685486</v>
      </c>
      <c r="S490" s="10">
        <v>0.74198249183634324</v>
      </c>
      <c r="T490" s="10">
        <v>4.6394891805308109</v>
      </c>
      <c r="U490" s="16">
        <v>2.3631354350193291E-2</v>
      </c>
      <c r="V490" s="16">
        <v>8.6493064121729333</v>
      </c>
      <c r="W490" s="10">
        <v>4.0098172316421223</v>
      </c>
      <c r="X490" s="10" t="s">
        <v>902</v>
      </c>
      <c r="Y490" s="10" t="s">
        <v>902</v>
      </c>
      <c r="Z490" s="10">
        <v>1.5</v>
      </c>
      <c r="AA490" s="20" t="s">
        <v>504</v>
      </c>
      <c r="AB490" s="10" t="s">
        <v>902</v>
      </c>
      <c r="AC490" s="10" t="s">
        <v>902</v>
      </c>
      <c r="AD490" s="10" t="s">
        <v>902</v>
      </c>
      <c r="AE490" s="7" t="s">
        <v>902</v>
      </c>
      <c r="AF490" s="20" t="s">
        <v>27</v>
      </c>
      <c r="AG490" s="11" t="s">
        <v>927</v>
      </c>
      <c r="AH490" s="7" t="s">
        <v>1403</v>
      </c>
    </row>
    <row r="491" spans="1:34" s="7" customFormat="1" ht="16.5" customHeight="1">
      <c r="A491" s="7">
        <v>2012</v>
      </c>
      <c r="B491" s="12">
        <v>41129</v>
      </c>
      <c r="C491" s="7" t="s">
        <v>22</v>
      </c>
      <c r="D491" s="9" t="s">
        <v>23</v>
      </c>
      <c r="E491" s="9" t="s">
        <v>20</v>
      </c>
      <c r="F491" s="9" t="s">
        <v>25</v>
      </c>
      <c r="G491" s="7" t="s">
        <v>902</v>
      </c>
      <c r="H491" s="7" t="s">
        <v>903</v>
      </c>
      <c r="I491" s="124" t="s">
        <v>902</v>
      </c>
      <c r="J491" s="7">
        <v>5</v>
      </c>
      <c r="K491" s="124" t="s">
        <v>507</v>
      </c>
      <c r="L491" s="20" t="s">
        <v>77</v>
      </c>
      <c r="M491" s="16">
        <v>92.818039341976771</v>
      </c>
      <c r="N491" s="16">
        <v>12.583526962681821</v>
      </c>
      <c r="O491" s="16">
        <v>389.72578831722859</v>
      </c>
      <c r="P491" s="16">
        <v>12.219347301282381</v>
      </c>
      <c r="Q491" s="147">
        <v>48.826672202662415</v>
      </c>
      <c r="R491" s="147">
        <v>0.99763107299804688</v>
      </c>
      <c r="S491" s="10">
        <v>0.74198249183634324</v>
      </c>
      <c r="T491" s="10">
        <v>8.063358682122086</v>
      </c>
      <c r="U491" s="16">
        <v>1.7547422027284897E-2</v>
      </c>
      <c r="V491" s="16">
        <v>8.6493064121729333</v>
      </c>
      <c r="W491" s="10">
        <v>0.58594773005084733</v>
      </c>
      <c r="X491" s="10" t="s">
        <v>902</v>
      </c>
      <c r="Y491" s="10" t="s">
        <v>902</v>
      </c>
      <c r="Z491" s="10">
        <v>1.5</v>
      </c>
      <c r="AA491" s="20" t="s">
        <v>506</v>
      </c>
      <c r="AB491" s="10">
        <v>268</v>
      </c>
      <c r="AC491" s="10">
        <v>244</v>
      </c>
      <c r="AD491" s="10">
        <v>0.91044776119402981</v>
      </c>
      <c r="AE491" s="8" t="s">
        <v>4</v>
      </c>
      <c r="AF491" s="20" t="s">
        <v>27</v>
      </c>
      <c r="AG491" s="11" t="s">
        <v>0</v>
      </c>
      <c r="AH491" s="7" t="s">
        <v>1242</v>
      </c>
    </row>
    <row r="492" spans="1:34" s="7" customFormat="1" ht="16.5" customHeight="1">
      <c r="A492" s="7">
        <v>2012</v>
      </c>
      <c r="B492" s="12">
        <v>41129</v>
      </c>
      <c r="C492" s="7" t="s">
        <v>22</v>
      </c>
      <c r="D492" s="9" t="s">
        <v>23</v>
      </c>
      <c r="E492" s="9" t="s">
        <v>20</v>
      </c>
      <c r="F492" s="9" t="s">
        <v>25</v>
      </c>
      <c r="G492" s="7" t="s">
        <v>902</v>
      </c>
      <c r="H492" s="7" t="s">
        <v>903</v>
      </c>
      <c r="I492" s="124" t="s">
        <v>902</v>
      </c>
      <c r="J492" s="7">
        <v>6</v>
      </c>
      <c r="K492" s="124" t="s">
        <v>509</v>
      </c>
      <c r="L492" s="20" t="s">
        <v>77</v>
      </c>
      <c r="M492" s="16">
        <v>92.819652557373047</v>
      </c>
      <c r="N492" s="16">
        <v>12.844683647155762</v>
      </c>
      <c r="O492" s="16">
        <v>393.39291687011718</v>
      </c>
      <c r="P492" s="16">
        <v>13.129488706588745</v>
      </c>
      <c r="Q492" s="147">
        <v>51.556462860107423</v>
      </c>
      <c r="R492" s="147">
        <v>1.05377197265625</v>
      </c>
      <c r="S492" s="10">
        <v>0.74198249183634324</v>
      </c>
      <c r="T492" s="10">
        <v>7.2508396821917147</v>
      </c>
      <c r="U492" s="16">
        <v>1.3009410155446906E-2</v>
      </c>
      <c r="V492" s="16">
        <v>8.6493064121729333</v>
      </c>
      <c r="W492" s="10">
        <v>1.3984667299812186</v>
      </c>
      <c r="X492" s="10" t="s">
        <v>902</v>
      </c>
      <c r="Y492" s="10" t="s">
        <v>902</v>
      </c>
      <c r="Z492" s="10">
        <v>1.5</v>
      </c>
      <c r="AA492" s="20" t="s">
        <v>508</v>
      </c>
      <c r="AB492" s="10">
        <v>278.66666666666669</v>
      </c>
      <c r="AC492" s="10">
        <v>243.33333333333334</v>
      </c>
      <c r="AD492" s="10">
        <v>0.87320574162679421</v>
      </c>
      <c r="AE492" s="8" t="s">
        <v>4</v>
      </c>
      <c r="AF492" s="20" t="s">
        <v>27</v>
      </c>
      <c r="AG492" s="11" t="s">
        <v>0</v>
      </c>
      <c r="AH492" s="7" t="s">
        <v>1242</v>
      </c>
    </row>
    <row r="493" spans="1:34" s="7" customFormat="1" ht="16.5" customHeight="1">
      <c r="A493" s="7">
        <v>2012</v>
      </c>
      <c r="B493" s="12">
        <v>41126</v>
      </c>
      <c r="C493" s="7" t="s">
        <v>22</v>
      </c>
      <c r="D493" s="9" t="s">
        <v>23</v>
      </c>
      <c r="E493" s="9" t="s">
        <v>20</v>
      </c>
      <c r="F493" s="9" t="s">
        <v>25</v>
      </c>
      <c r="G493" s="7" t="s">
        <v>902</v>
      </c>
      <c r="H493" s="7" t="s">
        <v>903</v>
      </c>
      <c r="I493" s="124" t="s">
        <v>902</v>
      </c>
      <c r="J493" s="7">
        <v>34</v>
      </c>
      <c r="K493" s="124" t="s">
        <v>554</v>
      </c>
      <c r="L493" s="20" t="s">
        <v>905</v>
      </c>
      <c r="M493" s="16">
        <v>92.61197541889392</v>
      </c>
      <c r="N493" s="16">
        <v>17.220986014918278</v>
      </c>
      <c r="O493" s="16">
        <v>355.49206061112255</v>
      </c>
      <c r="P493" s="16">
        <v>17.975158591019479</v>
      </c>
      <c r="Q493" s="147">
        <v>69.27325600071957</v>
      </c>
      <c r="R493" s="147">
        <v>2.2848052978515625</v>
      </c>
      <c r="S493" s="10">
        <v>0.74198249183634324</v>
      </c>
      <c r="T493" s="10">
        <v>1.501973447433494</v>
      </c>
      <c r="U493" s="16">
        <v>1.0360066932544374E-2</v>
      </c>
      <c r="V493" s="16">
        <v>8.6493064121729333</v>
      </c>
      <c r="W493" s="10">
        <v>7.147332964739439</v>
      </c>
      <c r="X493" s="10" t="s">
        <v>902</v>
      </c>
      <c r="Y493" s="10" t="s">
        <v>902</v>
      </c>
      <c r="Z493" s="10">
        <v>1.5</v>
      </c>
      <c r="AA493" s="20" t="s">
        <v>431</v>
      </c>
      <c r="AB493" s="7">
        <v>1159.7</v>
      </c>
      <c r="AC493" s="7">
        <v>383.3</v>
      </c>
      <c r="AD493" s="7">
        <v>0.33051651289126499</v>
      </c>
      <c r="AE493" s="30" t="s">
        <v>3</v>
      </c>
      <c r="AF493" s="20" t="s">
        <v>27</v>
      </c>
      <c r="AG493" s="11" t="s">
        <v>864</v>
      </c>
      <c r="AH493" s="7" t="s">
        <v>1404</v>
      </c>
    </row>
    <row r="494" spans="1:34" s="7" customFormat="1" ht="16.5" customHeight="1">
      <c r="A494" s="7">
        <v>2012</v>
      </c>
      <c r="B494" s="12">
        <v>41126</v>
      </c>
      <c r="C494" s="7" t="s">
        <v>22</v>
      </c>
      <c r="D494" s="9" t="s">
        <v>23</v>
      </c>
      <c r="E494" s="9" t="s">
        <v>20</v>
      </c>
      <c r="F494" s="9" t="s">
        <v>25</v>
      </c>
      <c r="G494" s="7" t="s">
        <v>902</v>
      </c>
      <c r="H494" s="7" t="s">
        <v>903</v>
      </c>
      <c r="I494" s="124" t="s">
        <v>902</v>
      </c>
      <c r="J494" s="7">
        <v>35</v>
      </c>
      <c r="K494" s="124" t="s">
        <v>555</v>
      </c>
      <c r="L494" s="20" t="s">
        <v>77</v>
      </c>
      <c r="M494" s="16">
        <v>92.611608505249023</v>
      </c>
      <c r="N494" s="16">
        <v>16.74934720993042</v>
      </c>
      <c r="O494" s="16">
        <v>356.45814514160156</v>
      </c>
      <c r="P494" s="16">
        <v>17.050288009643555</v>
      </c>
      <c r="Q494" s="147">
        <v>86.516040039062503</v>
      </c>
      <c r="R494" s="147">
        <v>9.280364990234375</v>
      </c>
      <c r="S494" s="10">
        <v>0.74198249183634324</v>
      </c>
      <c r="T494" s="10">
        <v>1.5237714906537432</v>
      </c>
      <c r="U494" s="16">
        <v>1.1983728050289298E-2</v>
      </c>
      <c r="V494" s="16">
        <v>8.6493064121729333</v>
      </c>
      <c r="W494" s="10">
        <v>7.1255349215191899</v>
      </c>
      <c r="X494" s="10" t="s">
        <v>902</v>
      </c>
      <c r="Y494" s="10" t="s">
        <v>902</v>
      </c>
      <c r="Z494" s="10">
        <v>1.5</v>
      </c>
      <c r="AA494" s="20" t="s">
        <v>429</v>
      </c>
      <c r="AB494" s="7">
        <v>1013.2</v>
      </c>
      <c r="AC494" s="7">
        <v>376</v>
      </c>
      <c r="AD494" s="7">
        <v>0.37110146071851557</v>
      </c>
      <c r="AE494" s="30" t="s">
        <v>3</v>
      </c>
      <c r="AF494" s="20" t="s">
        <v>27</v>
      </c>
      <c r="AG494" s="11" t="s">
        <v>864</v>
      </c>
      <c r="AH494" s="7" t="s">
        <v>1404</v>
      </c>
    </row>
    <row r="495" spans="1:34" s="7" customFormat="1" ht="16.5" customHeight="1">
      <c r="A495" s="7">
        <v>2012</v>
      </c>
      <c r="B495" s="12">
        <v>41129</v>
      </c>
      <c r="C495" s="7" t="s">
        <v>22</v>
      </c>
      <c r="D495" s="9" t="s">
        <v>23</v>
      </c>
      <c r="E495" s="9" t="s">
        <v>20</v>
      </c>
      <c r="F495" s="9" t="s">
        <v>25</v>
      </c>
      <c r="G495" s="7" t="s">
        <v>902</v>
      </c>
      <c r="H495" s="7" t="s">
        <v>903</v>
      </c>
      <c r="I495" s="124" t="s">
        <v>902</v>
      </c>
      <c r="J495" s="7">
        <v>7</v>
      </c>
      <c r="K495" s="124" t="s">
        <v>511</v>
      </c>
      <c r="L495" s="20" t="s">
        <v>75</v>
      </c>
      <c r="M495" s="16">
        <v>92.818611653645831</v>
      </c>
      <c r="N495" s="16">
        <v>13.803446578979493</v>
      </c>
      <c r="O495" s="16">
        <v>385.43410237630206</v>
      </c>
      <c r="P495" s="16">
        <v>13.82340939839681</v>
      </c>
      <c r="Q495" s="147">
        <v>101.80966339111328</v>
      </c>
      <c r="R495" s="147">
        <v>2.896240234375</v>
      </c>
      <c r="S495" s="10">
        <v>0.74198249183634324</v>
      </c>
      <c r="T495" s="10">
        <v>4.9544770451023092</v>
      </c>
      <c r="U495" s="16">
        <v>1.5531354291098459E-2</v>
      </c>
      <c r="V495" s="16">
        <v>8.6493064121729333</v>
      </c>
      <c r="W495" s="10">
        <v>3.694829367070624</v>
      </c>
      <c r="X495" s="10" t="s">
        <v>902</v>
      </c>
      <c r="Y495" s="10" t="s">
        <v>902</v>
      </c>
      <c r="Z495" s="10">
        <v>1.5</v>
      </c>
      <c r="AA495" s="20" t="s">
        <v>510</v>
      </c>
      <c r="AB495" s="10">
        <v>371.66666666666669</v>
      </c>
      <c r="AC495" s="10">
        <v>322.66666666666669</v>
      </c>
      <c r="AD495" s="10">
        <v>0.86816143497757847</v>
      </c>
      <c r="AE495" s="8" t="s">
        <v>4</v>
      </c>
      <c r="AF495" s="20" t="s">
        <v>27</v>
      </c>
      <c r="AG495" s="11" t="s">
        <v>0</v>
      </c>
      <c r="AH495" s="7" t="s">
        <v>1405</v>
      </c>
    </row>
    <row r="496" spans="1:34" s="7" customFormat="1" ht="16.5" customHeight="1">
      <c r="A496" s="7">
        <v>2012</v>
      </c>
      <c r="B496" s="12">
        <v>41126</v>
      </c>
      <c r="C496" s="7" t="s">
        <v>22</v>
      </c>
      <c r="D496" s="9" t="s">
        <v>23</v>
      </c>
      <c r="E496" s="9" t="s">
        <v>20</v>
      </c>
      <c r="F496" s="9" t="s">
        <v>25</v>
      </c>
      <c r="G496" s="7" t="s">
        <v>902</v>
      </c>
      <c r="H496" s="7" t="s">
        <v>903</v>
      </c>
      <c r="I496" s="124" t="s">
        <v>902</v>
      </c>
      <c r="J496" s="7">
        <v>36</v>
      </c>
      <c r="K496" s="124" t="s">
        <v>556</v>
      </c>
      <c r="L496" s="20" t="s">
        <v>77</v>
      </c>
      <c r="M496" s="16">
        <v>92.61058983435997</v>
      </c>
      <c r="N496" s="16">
        <v>16.829197516808144</v>
      </c>
      <c r="O496" s="16">
        <v>354.94851684570312</v>
      </c>
      <c r="P496" s="16">
        <v>17.385687314547024</v>
      </c>
      <c r="Q496" s="147">
        <v>102.52860377385066</v>
      </c>
      <c r="R496" s="147">
        <v>4.13250732421875</v>
      </c>
      <c r="S496" s="10">
        <v>0.74198249183634324</v>
      </c>
      <c r="T496" s="10">
        <v>-0.70251047999416916</v>
      </c>
      <c r="U496" s="16">
        <v>1.4920030321393694E-2</v>
      </c>
      <c r="V496" s="16">
        <v>8.6493064121729333</v>
      </c>
      <c r="W496" s="10">
        <v>9.3518168921671023</v>
      </c>
      <c r="X496" s="10" t="s">
        <v>902</v>
      </c>
      <c r="Y496" s="10" t="s">
        <v>902</v>
      </c>
      <c r="Z496" s="10">
        <v>1.5</v>
      </c>
      <c r="AA496" s="20" t="s">
        <v>430</v>
      </c>
      <c r="AB496" s="7">
        <v>1090.0999999999999</v>
      </c>
      <c r="AC496" s="7">
        <v>369.9</v>
      </c>
      <c r="AD496" s="7">
        <v>0.33932666727823135</v>
      </c>
      <c r="AE496" s="30" t="s">
        <v>3</v>
      </c>
      <c r="AF496" s="20" t="s">
        <v>27</v>
      </c>
      <c r="AG496" s="11" t="s">
        <v>864</v>
      </c>
      <c r="AH496" s="7" t="s">
        <v>1404</v>
      </c>
    </row>
    <row r="497" spans="1:34" s="7" customFormat="1" ht="16.5" customHeight="1">
      <c r="A497" s="7">
        <v>2012</v>
      </c>
      <c r="B497" s="12">
        <v>41129</v>
      </c>
      <c r="C497" s="7" t="s">
        <v>22</v>
      </c>
      <c r="D497" s="9" t="s">
        <v>23</v>
      </c>
      <c r="E497" s="9" t="s">
        <v>20</v>
      </c>
      <c r="F497" s="9" t="s">
        <v>25</v>
      </c>
      <c r="G497" s="7" t="s">
        <v>902</v>
      </c>
      <c r="H497" s="7" t="s">
        <v>903</v>
      </c>
      <c r="I497" s="124" t="s">
        <v>902</v>
      </c>
      <c r="J497" s="7">
        <v>8</v>
      </c>
      <c r="K497" s="124" t="s">
        <v>513</v>
      </c>
      <c r="L497" s="20" t="s">
        <v>75</v>
      </c>
      <c r="M497" s="16">
        <v>92.81809099982766</v>
      </c>
      <c r="N497" s="16">
        <v>13.55231133629294</v>
      </c>
      <c r="O497" s="16">
        <v>384.67670754825366</v>
      </c>
      <c r="P497" s="16">
        <v>13.684654179741354</v>
      </c>
      <c r="Q497" s="147">
        <v>111.87754058837891</v>
      </c>
      <c r="R497" s="147">
        <v>2.0315933227539062</v>
      </c>
      <c r="S497" s="10">
        <v>0.74198249183634324</v>
      </c>
      <c r="T497" s="10">
        <v>4.5434730082546322</v>
      </c>
      <c r="U497" s="16">
        <v>1.8087561224021165E-2</v>
      </c>
      <c r="V497" s="16">
        <v>8.6493064121729333</v>
      </c>
      <c r="W497" s="10">
        <v>4.1058334039183011</v>
      </c>
      <c r="X497" s="10" t="s">
        <v>902</v>
      </c>
      <c r="Y497" s="10" t="s">
        <v>902</v>
      </c>
      <c r="Z497" s="10">
        <v>1.5</v>
      </c>
      <c r="AA497" s="20" t="s">
        <v>512</v>
      </c>
      <c r="AB497" s="10">
        <v>407</v>
      </c>
      <c r="AC497" s="10">
        <v>377</v>
      </c>
      <c r="AD497" s="10">
        <v>0.92628992628992624</v>
      </c>
      <c r="AE497" s="8" t="s">
        <v>4</v>
      </c>
      <c r="AF497" s="20" t="s">
        <v>27</v>
      </c>
      <c r="AG497" s="11" t="s">
        <v>0</v>
      </c>
      <c r="AH497" s="7" t="s">
        <v>1405</v>
      </c>
    </row>
    <row r="498" spans="1:34" s="7" customFormat="1" ht="16.5" customHeight="1">
      <c r="A498" s="7">
        <v>2012</v>
      </c>
      <c r="B498" s="12">
        <v>41129</v>
      </c>
      <c r="C498" s="7" t="s">
        <v>22</v>
      </c>
      <c r="D498" s="9" t="s">
        <v>23</v>
      </c>
      <c r="E498" s="9" t="s">
        <v>20</v>
      </c>
      <c r="F498" s="9" t="s">
        <v>25</v>
      </c>
      <c r="G498" s="7" t="s">
        <v>902</v>
      </c>
      <c r="H498" s="7" t="s">
        <v>903</v>
      </c>
      <c r="I498" s="124" t="s">
        <v>902</v>
      </c>
      <c r="J498" s="7">
        <v>9</v>
      </c>
      <c r="K498" s="124" t="s">
        <v>515</v>
      </c>
      <c r="L498" s="20" t="s">
        <v>74</v>
      </c>
      <c r="M498" s="16">
        <v>92.81557060690487</v>
      </c>
      <c r="N498" s="16">
        <v>14.268281600054573</v>
      </c>
      <c r="O498" s="16">
        <v>374.58687277401197</v>
      </c>
      <c r="P498" s="16">
        <v>14.019145572886748</v>
      </c>
      <c r="Q498" s="147">
        <v>169.45788125430838</v>
      </c>
      <c r="R498" s="147">
        <v>3.7101287841796875</v>
      </c>
      <c r="S498" s="10">
        <v>0.74198249183634324</v>
      </c>
      <c r="T498" s="10">
        <v>1.7069234347437996</v>
      </c>
      <c r="U498" s="16">
        <v>2.2726926149106493E-2</v>
      </c>
      <c r="V498" s="16">
        <v>8.6493064121729333</v>
      </c>
      <c r="W498" s="10">
        <v>6.9423829774291335</v>
      </c>
      <c r="X498" s="10" t="s">
        <v>902</v>
      </c>
      <c r="Y498" s="10" t="s">
        <v>902</v>
      </c>
      <c r="Z498" s="10">
        <v>1.5</v>
      </c>
      <c r="AA498" s="20" t="s">
        <v>514</v>
      </c>
      <c r="AB498" s="10">
        <v>449.5</v>
      </c>
      <c r="AC498" s="10">
        <v>386</v>
      </c>
      <c r="AD498" s="10">
        <v>0.85873192436040047</v>
      </c>
      <c r="AE498" s="7" t="s">
        <v>4</v>
      </c>
      <c r="AF498" s="20" t="s">
        <v>27</v>
      </c>
      <c r="AG498" s="11" t="s">
        <v>0</v>
      </c>
      <c r="AH498" s="7" t="s">
        <v>1406</v>
      </c>
    </row>
    <row r="499" spans="1:34" s="7" customFormat="1" ht="16.5" customHeight="1">
      <c r="A499" s="7">
        <v>2012</v>
      </c>
      <c r="B499" s="12">
        <v>41129</v>
      </c>
      <c r="C499" s="7" t="s">
        <v>22</v>
      </c>
      <c r="D499" s="9" t="s">
        <v>23</v>
      </c>
      <c r="E499" s="9" t="s">
        <v>20</v>
      </c>
      <c r="F499" s="9" t="s">
        <v>25</v>
      </c>
      <c r="G499" s="7" t="s">
        <v>902</v>
      </c>
      <c r="H499" s="7" t="s">
        <v>903</v>
      </c>
      <c r="I499" s="124" t="s">
        <v>902</v>
      </c>
      <c r="J499" s="7">
        <v>10</v>
      </c>
      <c r="K499" s="124" t="s">
        <v>517</v>
      </c>
      <c r="L499" s="20" t="s">
        <v>74</v>
      </c>
      <c r="M499" s="16">
        <v>92.817056354723476</v>
      </c>
      <c r="N499" s="16">
        <v>14.040445930079409</v>
      </c>
      <c r="O499" s="16">
        <v>376.21233809621708</v>
      </c>
      <c r="P499" s="16">
        <v>14.067839070370322</v>
      </c>
      <c r="Q499" s="147">
        <v>185.99769833213404</v>
      </c>
      <c r="R499" s="147">
        <v>8.929718017578125</v>
      </c>
      <c r="S499" s="10">
        <v>0.74198249183634324</v>
      </c>
      <c r="T499" s="10">
        <v>2.4497312654178005</v>
      </c>
      <c r="U499" s="16">
        <v>1.8470256370410585E-2</v>
      </c>
      <c r="V499" s="16">
        <v>8.6493064121729333</v>
      </c>
      <c r="W499" s="10">
        <v>6.1995751467551328</v>
      </c>
      <c r="X499" s="10" t="s">
        <v>902</v>
      </c>
      <c r="Y499" s="10" t="s">
        <v>902</v>
      </c>
      <c r="Z499" s="10">
        <v>1.5</v>
      </c>
      <c r="AA499" s="20" t="s">
        <v>516</v>
      </c>
      <c r="AB499" s="10">
        <v>449</v>
      </c>
      <c r="AC499" s="10">
        <v>392.33333333333331</v>
      </c>
      <c r="AD499" s="10">
        <v>0.87379361544172229</v>
      </c>
      <c r="AE499" s="7" t="s">
        <v>4</v>
      </c>
      <c r="AF499" s="20" t="s">
        <v>27</v>
      </c>
      <c r="AG499" s="11" t="s">
        <v>0</v>
      </c>
      <c r="AH499" s="7" t="s">
        <v>1242</v>
      </c>
    </row>
    <row r="500" spans="1:34" s="7" customFormat="1" ht="16.5" customHeight="1">
      <c r="A500" s="7">
        <v>2012</v>
      </c>
      <c r="B500" s="12">
        <v>41126</v>
      </c>
      <c r="C500" s="7" t="s">
        <v>22</v>
      </c>
      <c r="D500" s="9" t="s">
        <v>23</v>
      </c>
      <c r="E500" s="9" t="s">
        <v>20</v>
      </c>
      <c r="F500" s="9" t="s">
        <v>25</v>
      </c>
      <c r="G500" s="7" t="s">
        <v>902</v>
      </c>
      <c r="H500" s="7" t="s">
        <v>903</v>
      </c>
      <c r="I500" s="124" t="s">
        <v>902</v>
      </c>
      <c r="J500" s="7">
        <v>37</v>
      </c>
      <c r="K500" s="124" t="s">
        <v>557</v>
      </c>
      <c r="L500" s="20" t="s">
        <v>75</v>
      </c>
      <c r="M500" s="16">
        <v>92.619581523694492</v>
      </c>
      <c r="N500" s="16">
        <v>17.832551454242907</v>
      </c>
      <c r="O500" s="16">
        <v>346.28873162520557</v>
      </c>
      <c r="P500" s="16">
        <v>17.499067005358246</v>
      </c>
      <c r="Q500" s="147">
        <v>213.54785477487664</v>
      </c>
      <c r="R500" s="147">
        <v>0.8558807373046875</v>
      </c>
      <c r="S500" s="10">
        <v>0.74198249183634324</v>
      </c>
      <c r="T500" s="10">
        <v>-0.92923923416424514</v>
      </c>
      <c r="U500" s="16">
        <v>1.8328644936544854E-2</v>
      </c>
      <c r="V500" s="16">
        <v>8.6493064121729333</v>
      </c>
      <c r="W500" s="10">
        <v>9.5785456463371776</v>
      </c>
      <c r="X500" s="10" t="s">
        <v>902</v>
      </c>
      <c r="Y500" s="10" t="s">
        <v>902</v>
      </c>
      <c r="Z500" s="10">
        <v>1.5</v>
      </c>
      <c r="AA500" s="20" t="s">
        <v>427</v>
      </c>
      <c r="AB500" s="7">
        <v>1066.9000000000001</v>
      </c>
      <c r="AC500" s="7">
        <v>410.2</v>
      </c>
      <c r="AD500" s="7">
        <v>0.38447839535101691</v>
      </c>
      <c r="AE500" s="30" t="s">
        <v>3</v>
      </c>
      <c r="AF500" s="20" t="s">
        <v>27</v>
      </c>
      <c r="AG500" s="11" t="s">
        <v>864</v>
      </c>
      <c r="AH500" s="7" t="s">
        <v>1404</v>
      </c>
    </row>
    <row r="501" spans="1:34" s="7" customFormat="1" ht="16.5" customHeight="1">
      <c r="A501" s="7">
        <v>2012</v>
      </c>
      <c r="B501" s="12">
        <v>41126</v>
      </c>
      <c r="C501" s="7" t="s">
        <v>22</v>
      </c>
      <c r="D501" s="9" t="s">
        <v>23</v>
      </c>
      <c r="E501" s="9" t="s">
        <v>20</v>
      </c>
      <c r="F501" s="9" t="s">
        <v>25</v>
      </c>
      <c r="G501" s="7" t="s">
        <v>902</v>
      </c>
      <c r="H501" s="7" t="s">
        <v>903</v>
      </c>
      <c r="I501" s="124" t="s">
        <v>902</v>
      </c>
      <c r="J501" s="7">
        <v>38</v>
      </c>
      <c r="K501" s="124" t="s">
        <v>558</v>
      </c>
      <c r="L501" s="20" t="s">
        <v>75</v>
      </c>
      <c r="M501" s="16">
        <v>92.621071310604322</v>
      </c>
      <c r="N501" s="16">
        <v>17.966815836289349</v>
      </c>
      <c r="O501" s="16">
        <v>342.98573033949907</v>
      </c>
      <c r="P501" s="16">
        <v>18.012428395888385</v>
      </c>
      <c r="Q501" s="147">
        <v>221.62269502527573</v>
      </c>
      <c r="R501" s="147">
        <v>3.5059661865234375</v>
      </c>
      <c r="S501" s="10">
        <v>0.74198249183634324</v>
      </c>
      <c r="T501" s="10">
        <v>-2.8018692205307052</v>
      </c>
      <c r="U501" s="16">
        <v>1.7672833274392521E-2</v>
      </c>
      <c r="V501" s="16">
        <v>8.6493064121729333</v>
      </c>
      <c r="W501" s="10">
        <v>11.451175632703638</v>
      </c>
      <c r="X501" s="10" t="s">
        <v>902</v>
      </c>
      <c r="Y501" s="10" t="s">
        <v>902</v>
      </c>
      <c r="Z501" s="10">
        <v>1.5</v>
      </c>
      <c r="AA501" s="20" t="s">
        <v>426</v>
      </c>
      <c r="AB501" s="7">
        <v>1127.9000000000001</v>
      </c>
      <c r="AC501" s="7">
        <v>441.9</v>
      </c>
      <c r="AD501" s="7">
        <v>0.39179005230960184</v>
      </c>
      <c r="AE501" s="30" t="s">
        <v>3</v>
      </c>
      <c r="AF501" s="20" t="s">
        <v>27</v>
      </c>
      <c r="AG501" s="11" t="s">
        <v>864</v>
      </c>
      <c r="AH501" s="7" t="s">
        <v>1242</v>
      </c>
    </row>
    <row r="502" spans="1:34" s="7" customFormat="1" ht="16.5" customHeight="1">
      <c r="A502" s="7">
        <v>2012</v>
      </c>
      <c r="B502" s="12">
        <v>41129</v>
      </c>
      <c r="C502" s="7" t="s">
        <v>22</v>
      </c>
      <c r="D502" s="9" t="s">
        <v>23</v>
      </c>
      <c r="E502" s="9" t="s">
        <v>20</v>
      </c>
      <c r="F502" s="9" t="s">
        <v>25</v>
      </c>
      <c r="G502" s="7" t="s">
        <v>902</v>
      </c>
      <c r="H502" s="7" t="s">
        <v>903</v>
      </c>
      <c r="I502" s="124" t="s">
        <v>902</v>
      </c>
      <c r="J502" s="7">
        <v>11</v>
      </c>
      <c r="K502" s="124" t="s">
        <v>519</v>
      </c>
      <c r="L502" s="20" t="s">
        <v>909</v>
      </c>
      <c r="M502" s="16">
        <v>92.820263671874997</v>
      </c>
      <c r="N502" s="16">
        <v>13.32423415184021</v>
      </c>
      <c r="O502" s="16">
        <v>377.23478088378909</v>
      </c>
      <c r="P502" s="16">
        <v>12.533390378952026</v>
      </c>
      <c r="Q502" s="147">
        <v>235.60495071411134</v>
      </c>
      <c r="R502" s="147">
        <v>3.3863067626953125</v>
      </c>
      <c r="S502" s="10">
        <v>0.74198249183634324</v>
      </c>
      <c r="T502" s="10">
        <v>1.0030792408968545</v>
      </c>
      <c r="U502" s="16">
        <v>3.0132357159951575E-2</v>
      </c>
      <c r="V502" s="16">
        <v>8.6493064121729333</v>
      </c>
      <c r="W502" s="10">
        <v>7.6462271712760792</v>
      </c>
      <c r="X502" s="10" t="s">
        <v>902</v>
      </c>
      <c r="Y502" s="10" t="s">
        <v>902</v>
      </c>
      <c r="Z502" s="10">
        <v>1.5</v>
      </c>
      <c r="AA502" s="20" t="s">
        <v>518</v>
      </c>
      <c r="AB502" s="10">
        <v>312.66666666666669</v>
      </c>
      <c r="AC502" s="10">
        <v>273.66666666666669</v>
      </c>
      <c r="AD502" s="10">
        <v>0.87526652452025588</v>
      </c>
      <c r="AE502" s="7" t="s">
        <v>4</v>
      </c>
      <c r="AF502" s="20" t="s">
        <v>27</v>
      </c>
      <c r="AG502" s="11" t="s">
        <v>0</v>
      </c>
      <c r="AH502" s="7" t="s">
        <v>1242</v>
      </c>
    </row>
    <row r="503" spans="1:34" s="7" customFormat="1" ht="16.5" customHeight="1">
      <c r="A503" s="7">
        <v>2012</v>
      </c>
      <c r="B503" s="12">
        <v>41126</v>
      </c>
      <c r="C503" s="7" t="s">
        <v>22</v>
      </c>
      <c r="D503" s="9" t="s">
        <v>23</v>
      </c>
      <c r="E503" s="9" t="s">
        <v>20</v>
      </c>
      <c r="F503" s="9" t="s">
        <v>25</v>
      </c>
      <c r="G503" s="7" t="s">
        <v>902</v>
      </c>
      <c r="H503" s="7" t="s">
        <v>903</v>
      </c>
      <c r="I503" s="124" t="s">
        <v>902</v>
      </c>
      <c r="J503" s="7">
        <v>39</v>
      </c>
      <c r="K503" s="124" t="s">
        <v>559</v>
      </c>
      <c r="L503" s="20" t="s">
        <v>75</v>
      </c>
      <c r="M503" s="16">
        <v>92.617904261538854</v>
      </c>
      <c r="N503" s="16">
        <v>17.893492548089277</v>
      </c>
      <c r="O503" s="16">
        <v>348.04135774311266</v>
      </c>
      <c r="P503" s="16">
        <v>17.842226731149776</v>
      </c>
      <c r="Q503" s="147">
        <v>236.12129372044615</v>
      </c>
      <c r="R503" s="147">
        <v>7.6595916748046875</v>
      </c>
      <c r="S503" s="10">
        <v>0.74198249183634324</v>
      </c>
      <c r="T503" s="10">
        <v>-2.1259914405090901</v>
      </c>
      <c r="U503" s="16">
        <v>1.4642400908888431E-2</v>
      </c>
      <c r="V503" s="16">
        <v>8.6493064121729333</v>
      </c>
      <c r="W503" s="10">
        <v>10.775297852682023</v>
      </c>
      <c r="X503" s="10" t="s">
        <v>902</v>
      </c>
      <c r="Y503" s="10" t="s">
        <v>902</v>
      </c>
      <c r="Z503" s="10">
        <v>1.5</v>
      </c>
      <c r="AA503" s="20" t="s">
        <v>428</v>
      </c>
      <c r="AB503" s="7">
        <v>1013.2</v>
      </c>
      <c r="AC503" s="7">
        <v>389.4</v>
      </c>
      <c r="AD503" s="7">
        <v>0.38432688511646268</v>
      </c>
      <c r="AE503" s="30" t="s">
        <v>3</v>
      </c>
      <c r="AF503" s="20" t="s">
        <v>27</v>
      </c>
      <c r="AG503" s="11" t="s">
        <v>864</v>
      </c>
      <c r="AH503" s="7" t="s">
        <v>1242</v>
      </c>
    </row>
    <row r="504" spans="1:34" s="7" customFormat="1" ht="16.5" customHeight="1">
      <c r="A504" s="7">
        <v>2012</v>
      </c>
      <c r="B504" s="12">
        <v>41129</v>
      </c>
      <c r="C504" s="7" t="s">
        <v>22</v>
      </c>
      <c r="D504" s="9" t="s">
        <v>23</v>
      </c>
      <c r="E504" s="9" t="s">
        <v>20</v>
      </c>
      <c r="F504" s="9" t="s">
        <v>25</v>
      </c>
      <c r="G504" s="7" t="s">
        <v>902</v>
      </c>
      <c r="H504" s="7" t="s">
        <v>903</v>
      </c>
      <c r="I504" s="124" t="s">
        <v>902</v>
      </c>
      <c r="J504" s="7">
        <v>12</v>
      </c>
      <c r="K504" s="124" t="s">
        <v>521</v>
      </c>
      <c r="L504" s="20" t="s">
        <v>909</v>
      </c>
      <c r="M504" s="16">
        <v>92.820919036865234</v>
      </c>
      <c r="N504" s="16">
        <v>13.891836261749267</v>
      </c>
      <c r="O504" s="16">
        <v>375.48576354980469</v>
      </c>
      <c r="P504" s="16">
        <v>13.547303342819214</v>
      </c>
      <c r="Q504" s="147">
        <v>239.08048171997069</v>
      </c>
      <c r="R504" s="147">
        <v>4.474578857421875</v>
      </c>
      <c r="S504" s="10">
        <v>0.74198249183634324</v>
      </c>
      <c r="T504" s="10">
        <v>-0.19818793896103715</v>
      </c>
      <c r="U504" s="16">
        <v>2.2077795258141998E-2</v>
      </c>
      <c r="V504" s="16">
        <v>8.6493064121729333</v>
      </c>
      <c r="W504" s="10">
        <v>8.847494351133971</v>
      </c>
      <c r="X504" s="10" t="s">
        <v>902</v>
      </c>
      <c r="Y504" s="10" t="s">
        <v>902</v>
      </c>
      <c r="Z504" s="10">
        <v>1.5</v>
      </c>
      <c r="AA504" s="20" t="s">
        <v>520</v>
      </c>
      <c r="AB504" s="10">
        <v>314</v>
      </c>
      <c r="AC504" s="10">
        <v>285</v>
      </c>
      <c r="AD504" s="10">
        <v>0.90764331210191085</v>
      </c>
      <c r="AE504" s="7" t="s">
        <v>4</v>
      </c>
      <c r="AF504" s="20" t="s">
        <v>27</v>
      </c>
      <c r="AG504" s="11" t="s">
        <v>0</v>
      </c>
      <c r="AH504" s="7" t="s">
        <v>1407</v>
      </c>
    </row>
    <row r="505" spans="1:34" s="7" customFormat="1" ht="16.5" customHeight="1">
      <c r="A505" s="7">
        <v>2012</v>
      </c>
      <c r="B505" s="12">
        <v>41126</v>
      </c>
      <c r="C505" s="7" t="s">
        <v>22</v>
      </c>
      <c r="D505" s="9" t="s">
        <v>23</v>
      </c>
      <c r="E505" s="9" t="s">
        <v>20</v>
      </c>
      <c r="F505" s="9" t="s">
        <v>25</v>
      </c>
      <c r="G505" s="7" t="s">
        <v>902</v>
      </c>
      <c r="H505" s="7" t="s">
        <v>903</v>
      </c>
      <c r="I505" s="124" t="s">
        <v>902</v>
      </c>
      <c r="J505" s="7">
        <v>22</v>
      </c>
      <c r="K505" s="124" t="s">
        <v>539</v>
      </c>
      <c r="L505" s="20" t="s">
        <v>74</v>
      </c>
      <c r="M505" s="16">
        <v>92.624870808919269</v>
      </c>
      <c r="N505" s="16">
        <v>18.926871744791665</v>
      </c>
      <c r="O505" s="16">
        <v>330.04593302408853</v>
      </c>
      <c r="P505" s="16">
        <v>18.582996622721353</v>
      </c>
      <c r="Q505" s="147">
        <v>341.96426595052083</v>
      </c>
      <c r="R505" s="147">
        <v>8.497650146484375</v>
      </c>
      <c r="S505" s="10">
        <v>0.74198249183634324</v>
      </c>
      <c r="T505" s="10">
        <v>-2.1884493014224424</v>
      </c>
      <c r="U505" s="16">
        <v>1.754967144557408E-2</v>
      </c>
      <c r="V505" s="16">
        <v>8.6493064121729333</v>
      </c>
      <c r="W505" s="10">
        <v>10.837755713595376</v>
      </c>
      <c r="X505" s="10" t="s">
        <v>902</v>
      </c>
      <c r="Y505" s="10" t="s">
        <v>902</v>
      </c>
      <c r="Z505" s="10">
        <v>1.5</v>
      </c>
      <c r="AA505" s="20" t="s">
        <v>420</v>
      </c>
      <c r="AB505" s="7">
        <v>922.9</v>
      </c>
      <c r="AC505" s="7">
        <v>427.2</v>
      </c>
      <c r="AD505" s="7">
        <v>0.46288872033806477</v>
      </c>
      <c r="AE505" s="7" t="s">
        <v>538</v>
      </c>
      <c r="AF505" s="20" t="s">
        <v>27</v>
      </c>
      <c r="AG505" s="11" t="s">
        <v>2</v>
      </c>
      <c r="AH505" s="7" t="s">
        <v>1404</v>
      </c>
    </row>
    <row r="506" spans="1:34" s="7" customFormat="1" ht="16.5" customHeight="1">
      <c r="A506" s="7">
        <v>2012</v>
      </c>
      <c r="B506" s="12">
        <v>41129</v>
      </c>
      <c r="C506" s="7" t="s">
        <v>22</v>
      </c>
      <c r="D506" s="9" t="s">
        <v>23</v>
      </c>
      <c r="E506" s="9" t="s">
        <v>20</v>
      </c>
      <c r="F506" s="9" t="s">
        <v>25</v>
      </c>
      <c r="G506" s="7" t="s">
        <v>902</v>
      </c>
      <c r="H506" s="7" t="s">
        <v>903</v>
      </c>
      <c r="I506" s="124" t="s">
        <v>902</v>
      </c>
      <c r="J506" s="7">
        <v>13</v>
      </c>
      <c r="K506" s="124" t="s">
        <v>523</v>
      </c>
      <c r="L506" s="20" t="s">
        <v>909</v>
      </c>
      <c r="M506" s="16">
        <v>92.827657427106587</v>
      </c>
      <c r="N506" s="16">
        <v>13.25832189832415</v>
      </c>
      <c r="O506" s="16">
        <v>373.35853576660156</v>
      </c>
      <c r="P506" s="16">
        <v>12.140178203582764</v>
      </c>
      <c r="Q506" s="147">
        <v>342.45165579659596</v>
      </c>
      <c r="R506" s="147">
        <v>5.57000732421875</v>
      </c>
      <c r="S506" s="10">
        <v>0.74198249183634324</v>
      </c>
      <c r="T506" s="10">
        <v>-1.1314779830785497</v>
      </c>
      <c r="U506" s="16">
        <v>2.7106242756135924E-2</v>
      </c>
      <c r="V506" s="16">
        <v>8.6493064121729333</v>
      </c>
      <c r="W506" s="10">
        <v>9.7807843952514837</v>
      </c>
      <c r="X506" s="10" t="s">
        <v>902</v>
      </c>
      <c r="Y506" s="10" t="s">
        <v>902</v>
      </c>
      <c r="Z506" s="10">
        <v>1.5</v>
      </c>
      <c r="AA506" s="20" t="s">
        <v>522</v>
      </c>
      <c r="AB506" s="10">
        <v>459.66666666666669</v>
      </c>
      <c r="AC506" s="10">
        <v>389</v>
      </c>
      <c r="AD506" s="10">
        <v>0.84626540971718633</v>
      </c>
      <c r="AE506" s="7" t="s">
        <v>4</v>
      </c>
      <c r="AF506" s="20" t="s">
        <v>27</v>
      </c>
      <c r="AG506" s="11" t="s">
        <v>0</v>
      </c>
      <c r="AH506" s="7" t="s">
        <v>1408</v>
      </c>
    </row>
    <row r="507" spans="1:34" s="7" customFormat="1" ht="16.5" customHeight="1">
      <c r="A507" s="7">
        <v>2012</v>
      </c>
      <c r="B507" s="12">
        <v>41129</v>
      </c>
      <c r="C507" s="7" t="s">
        <v>22</v>
      </c>
      <c r="D507" s="9" t="s">
        <v>23</v>
      </c>
      <c r="E507" s="9" t="s">
        <v>20</v>
      </c>
      <c r="F507" s="9" t="s">
        <v>25</v>
      </c>
      <c r="G507" s="7" t="s">
        <v>902</v>
      </c>
      <c r="H507" s="7" t="s">
        <v>903</v>
      </c>
      <c r="I507" s="124" t="s">
        <v>902</v>
      </c>
      <c r="J507" s="7">
        <v>14</v>
      </c>
      <c r="K507" s="124" t="s">
        <v>525</v>
      </c>
      <c r="L507" s="20" t="s">
        <v>909</v>
      </c>
      <c r="M507" s="16">
        <v>92.826679992675778</v>
      </c>
      <c r="N507" s="16">
        <v>13.207419776916504</v>
      </c>
      <c r="O507" s="16">
        <v>369.73479614257815</v>
      </c>
      <c r="P507" s="16">
        <v>12.315570131937664</v>
      </c>
      <c r="Q507" s="147">
        <v>357.15079956054689</v>
      </c>
      <c r="R507" s="147">
        <v>6.38165283203125</v>
      </c>
      <c r="S507" s="10">
        <v>0.74198249183634324</v>
      </c>
      <c r="T507" s="10">
        <v>-2.5821555337384994</v>
      </c>
      <c r="U507" s="16">
        <v>2.717538901737758E-2</v>
      </c>
      <c r="V507" s="16">
        <v>8.6493064121729333</v>
      </c>
      <c r="W507" s="10">
        <v>11.231461945911432</v>
      </c>
      <c r="X507" s="10" t="s">
        <v>902</v>
      </c>
      <c r="Y507" s="10" t="s">
        <v>902</v>
      </c>
      <c r="Z507" s="10">
        <v>1.5</v>
      </c>
      <c r="AA507" s="20" t="s">
        <v>524</v>
      </c>
      <c r="AB507" s="10">
        <v>477.33333333333331</v>
      </c>
      <c r="AC507" s="10">
        <v>426</v>
      </c>
      <c r="AD507" s="10">
        <v>0.89245810055865926</v>
      </c>
      <c r="AE507" s="7" t="s">
        <v>4</v>
      </c>
      <c r="AF507" s="20" t="s">
        <v>27</v>
      </c>
      <c r="AG507" s="11" t="s">
        <v>0</v>
      </c>
      <c r="AH507" s="7" t="s">
        <v>1242</v>
      </c>
    </row>
    <row r="508" spans="1:34" s="7" customFormat="1" ht="16.5" customHeight="1">
      <c r="A508" s="7">
        <v>2012</v>
      </c>
      <c r="B508" s="12">
        <v>41126</v>
      </c>
      <c r="C508" s="7" t="s">
        <v>22</v>
      </c>
      <c r="D508" s="9" t="s">
        <v>23</v>
      </c>
      <c r="E508" s="9" t="s">
        <v>20</v>
      </c>
      <c r="F508" s="9" t="s">
        <v>25</v>
      </c>
      <c r="G508" s="7" t="s">
        <v>902</v>
      </c>
      <c r="H508" s="7" t="s">
        <v>903</v>
      </c>
      <c r="I508" s="124" t="s">
        <v>902</v>
      </c>
      <c r="J508" s="7">
        <v>23</v>
      </c>
      <c r="K508" s="124" t="s">
        <v>540</v>
      </c>
      <c r="L508" s="20" t="s">
        <v>74</v>
      </c>
      <c r="M508" s="16">
        <v>92.620615507427019</v>
      </c>
      <c r="N508" s="16">
        <v>18.280059312519274</v>
      </c>
      <c r="O508" s="16">
        <v>336.23833586040297</v>
      </c>
      <c r="P508" s="16">
        <v>18.087846354434365</v>
      </c>
      <c r="Q508" s="147">
        <v>377.16035381116365</v>
      </c>
      <c r="R508" s="147">
        <v>14.31884765625</v>
      </c>
      <c r="S508" s="10">
        <v>0.74198249183634324</v>
      </c>
      <c r="T508" s="10">
        <v>-3.7035215494350626</v>
      </c>
      <c r="U508" s="16">
        <v>2.1273957637318392E-2</v>
      </c>
      <c r="V508" s="16">
        <v>8.6493064121729333</v>
      </c>
      <c r="W508" s="10">
        <v>12.352827961607996</v>
      </c>
      <c r="X508" s="10" t="s">
        <v>902</v>
      </c>
      <c r="Y508" s="10" t="s">
        <v>902</v>
      </c>
      <c r="Z508" s="10">
        <v>1.5</v>
      </c>
      <c r="AA508" s="20" t="s">
        <v>421</v>
      </c>
      <c r="AB508" s="7">
        <v>888.7</v>
      </c>
      <c r="AC508" s="7">
        <v>417.5</v>
      </c>
      <c r="AD508" s="7">
        <v>0.46978732980758409</v>
      </c>
      <c r="AE508" s="7" t="s">
        <v>538</v>
      </c>
      <c r="AF508" s="20" t="s">
        <v>27</v>
      </c>
      <c r="AG508" s="11" t="s">
        <v>2</v>
      </c>
      <c r="AH508" s="7" t="s">
        <v>1242</v>
      </c>
    </row>
    <row r="509" spans="1:34" s="7" customFormat="1" ht="16.5" customHeight="1">
      <c r="A509" s="7">
        <v>2012</v>
      </c>
      <c r="B509" s="12">
        <v>41126</v>
      </c>
      <c r="C509" s="7" t="s">
        <v>22</v>
      </c>
      <c r="D509" s="9" t="s">
        <v>23</v>
      </c>
      <c r="E509" s="9" t="s">
        <v>20</v>
      </c>
      <c r="F509" s="9" t="s">
        <v>25</v>
      </c>
      <c r="G509" s="7" t="s">
        <v>902</v>
      </c>
      <c r="H509" s="7" t="s">
        <v>903</v>
      </c>
      <c r="I509" s="124" t="s">
        <v>902</v>
      </c>
      <c r="J509" s="7">
        <v>24</v>
      </c>
      <c r="K509" s="124" t="s">
        <v>541</v>
      </c>
      <c r="L509" s="20" t="s">
        <v>74</v>
      </c>
      <c r="M509" s="16">
        <v>92.622519810994461</v>
      </c>
      <c r="N509" s="16">
        <v>18.981101353963215</v>
      </c>
      <c r="O509" s="16">
        <v>331.40239715576172</v>
      </c>
      <c r="P509" s="16">
        <v>18.694913546244305</v>
      </c>
      <c r="Q509" s="147">
        <v>415.81313578287762</v>
      </c>
      <c r="R509" s="147">
        <v>7.1690673828125</v>
      </c>
      <c r="S509" s="10">
        <v>0.74198249183634324</v>
      </c>
      <c r="T509" s="10">
        <v>-3.6550378472459619</v>
      </c>
      <c r="U509" s="16">
        <v>1.7355145274342357E-2</v>
      </c>
      <c r="V509" s="16">
        <v>8.6493064121729333</v>
      </c>
      <c r="W509" s="10">
        <v>12.304344259418896</v>
      </c>
      <c r="X509" s="10" t="s">
        <v>902</v>
      </c>
      <c r="Y509" s="10" t="s">
        <v>902</v>
      </c>
      <c r="Z509" s="10">
        <v>1.5</v>
      </c>
      <c r="AA509" s="20" t="s">
        <v>422</v>
      </c>
      <c r="AB509" s="7">
        <v>1035.2</v>
      </c>
      <c r="AC509" s="7">
        <v>432.1</v>
      </c>
      <c r="AD509" s="7">
        <v>0.41740726429675423</v>
      </c>
      <c r="AE509" s="7" t="s">
        <v>538</v>
      </c>
      <c r="AF509" s="20" t="s">
        <v>27</v>
      </c>
      <c r="AG509" s="11" t="s">
        <v>2</v>
      </c>
      <c r="AH509" s="7" t="s">
        <v>1242</v>
      </c>
    </row>
    <row r="510" spans="1:34" s="7" customFormat="1" ht="16.5" customHeight="1">
      <c r="A510" s="7">
        <v>2012</v>
      </c>
      <c r="B510" s="12">
        <v>41129</v>
      </c>
      <c r="C510" s="7" t="s">
        <v>22</v>
      </c>
      <c r="D510" s="9" t="s">
        <v>23</v>
      </c>
      <c r="E510" s="9" t="s">
        <v>20</v>
      </c>
      <c r="F510" s="9" t="s">
        <v>25</v>
      </c>
      <c r="G510" s="7" t="s">
        <v>902</v>
      </c>
      <c r="H510" s="7" t="s">
        <v>903</v>
      </c>
      <c r="I510" s="124" t="s">
        <v>902</v>
      </c>
      <c r="J510" s="7">
        <v>17</v>
      </c>
      <c r="K510" s="124" t="s">
        <v>531</v>
      </c>
      <c r="L510" s="20" t="s">
        <v>907</v>
      </c>
      <c r="M510" s="16">
        <v>92.814186096191406</v>
      </c>
      <c r="N510" s="16">
        <v>16.723445150587295</v>
      </c>
      <c r="O510" s="16">
        <v>359.40777587890625</v>
      </c>
      <c r="P510" s="16">
        <v>15.764333407084147</v>
      </c>
      <c r="Q510" s="147">
        <v>441.10200839572485</v>
      </c>
      <c r="R510" s="147">
        <v>11.068267822265625</v>
      </c>
      <c r="S510" s="10">
        <v>0.74198249183634324</v>
      </c>
      <c r="T510" s="10">
        <v>-4.030909363189334</v>
      </c>
      <c r="U510" s="16">
        <v>3.5990602988049507E-2</v>
      </c>
      <c r="V510" s="16">
        <v>8.6493064121729333</v>
      </c>
      <c r="W510" s="10">
        <v>12.680215775362267</v>
      </c>
      <c r="X510" s="10" t="s">
        <v>902</v>
      </c>
      <c r="Y510" s="10" t="s">
        <v>902</v>
      </c>
      <c r="Z510" s="10">
        <v>1.5</v>
      </c>
      <c r="AA510" s="20" t="s">
        <v>530</v>
      </c>
      <c r="AB510" s="10">
        <v>928</v>
      </c>
      <c r="AC510" s="10">
        <v>531</v>
      </c>
      <c r="AD510" s="10">
        <v>0.57219827586206895</v>
      </c>
      <c r="AE510" s="8" t="s">
        <v>5</v>
      </c>
      <c r="AF510" s="20" t="s">
        <v>27</v>
      </c>
      <c r="AG510" s="11" t="s">
        <v>1</v>
      </c>
      <c r="AH510" s="7" t="s">
        <v>1242</v>
      </c>
    </row>
    <row r="511" spans="1:34" s="7" customFormat="1" ht="16.5" customHeight="1">
      <c r="A511" s="7">
        <v>2012</v>
      </c>
      <c r="B511" s="12">
        <v>41129</v>
      </c>
      <c r="C511" s="7" t="s">
        <v>22</v>
      </c>
      <c r="D511" s="9" t="s">
        <v>23</v>
      </c>
      <c r="E511" s="9" t="s">
        <v>20</v>
      </c>
      <c r="F511" s="9" t="s">
        <v>25</v>
      </c>
      <c r="G511" s="7" t="s">
        <v>902</v>
      </c>
      <c r="H511" s="7" t="s">
        <v>903</v>
      </c>
      <c r="I511" s="124" t="s">
        <v>902</v>
      </c>
      <c r="J511" s="7">
        <v>18</v>
      </c>
      <c r="K511" s="124" t="s">
        <v>533</v>
      </c>
      <c r="L511" s="20" t="s">
        <v>907</v>
      </c>
      <c r="M511" s="16">
        <v>92.812958717346191</v>
      </c>
      <c r="N511" s="16">
        <v>16.722681403160095</v>
      </c>
      <c r="O511" s="16">
        <v>355.72196197509766</v>
      </c>
      <c r="P511" s="16">
        <v>15.33310467004776</v>
      </c>
      <c r="Q511" s="147">
        <v>442.7362232208252</v>
      </c>
      <c r="R511" s="147">
        <v>21.306304931640625</v>
      </c>
      <c r="S511" s="10">
        <v>0.74198249183634324</v>
      </c>
      <c r="T511" s="10">
        <v>-2.6462457888093067</v>
      </c>
      <c r="U511" s="16">
        <v>3.4257976447834688E-2</v>
      </c>
      <c r="V511" s="16">
        <v>8.6493064121729333</v>
      </c>
      <c r="W511" s="10">
        <v>11.29555220098224</v>
      </c>
      <c r="X511" s="10" t="s">
        <v>902</v>
      </c>
      <c r="Y511" s="10" t="s">
        <v>902</v>
      </c>
      <c r="Z511" s="10">
        <v>1.5</v>
      </c>
      <c r="AA511" s="20" t="s">
        <v>532</v>
      </c>
      <c r="AB511" s="10">
        <v>998</v>
      </c>
      <c r="AC511" s="10" t="s">
        <v>902</v>
      </c>
      <c r="AD511" s="10" t="s">
        <v>902</v>
      </c>
      <c r="AE511" s="7" t="s">
        <v>5</v>
      </c>
      <c r="AF511" s="20" t="s">
        <v>27</v>
      </c>
      <c r="AG511" s="11" t="s">
        <v>1</v>
      </c>
      <c r="AH511" s="7" t="s">
        <v>1242</v>
      </c>
    </row>
    <row r="512" spans="1:34" s="7" customFormat="1" ht="16.5" customHeight="1">
      <c r="A512" s="7">
        <v>2012</v>
      </c>
      <c r="B512" s="12">
        <v>41126</v>
      </c>
      <c r="C512" s="7" t="s">
        <v>22</v>
      </c>
      <c r="D512" s="9" t="s">
        <v>23</v>
      </c>
      <c r="E512" s="9" t="s">
        <v>20</v>
      </c>
      <c r="F512" s="9" t="s">
        <v>25</v>
      </c>
      <c r="G512" s="7" t="s">
        <v>902</v>
      </c>
      <c r="H512" s="7" t="s">
        <v>903</v>
      </c>
      <c r="I512" s="124" t="s">
        <v>902</v>
      </c>
      <c r="J512" s="7">
        <v>25</v>
      </c>
      <c r="K512" s="124" t="s">
        <v>542</v>
      </c>
      <c r="L512" s="20" t="s">
        <v>74</v>
      </c>
      <c r="M512" s="16">
        <v>92.618616376604351</v>
      </c>
      <c r="N512" s="16">
        <v>19.260417257036483</v>
      </c>
      <c r="O512" s="16">
        <v>329.97406877790178</v>
      </c>
      <c r="P512" s="16">
        <v>18.15748201097761</v>
      </c>
      <c r="Q512" s="147">
        <v>451.86385236467635</v>
      </c>
      <c r="R512" s="147">
        <v>8.93890380859375</v>
      </c>
      <c r="S512" s="10">
        <v>0.74198249183634324</v>
      </c>
      <c r="T512" s="10">
        <v>-3.9941237438411057</v>
      </c>
      <c r="U512" s="16">
        <v>2.5636616381970082E-2</v>
      </c>
      <c r="V512" s="16">
        <v>8.6493064121729333</v>
      </c>
      <c r="W512" s="10">
        <v>12.643430156014039</v>
      </c>
      <c r="X512" s="10" t="s">
        <v>902</v>
      </c>
      <c r="Y512" s="10" t="s">
        <v>902</v>
      </c>
      <c r="Z512" s="10">
        <v>1.5</v>
      </c>
      <c r="AA512" s="20" t="s">
        <v>425</v>
      </c>
      <c r="AB512" s="7">
        <v>1069.3</v>
      </c>
      <c r="AC512" s="7">
        <v>452.9</v>
      </c>
      <c r="AD512" s="7">
        <v>0.42354811558963806</v>
      </c>
      <c r="AE512" s="7" t="s">
        <v>538</v>
      </c>
      <c r="AF512" s="20" t="s">
        <v>27</v>
      </c>
      <c r="AG512" s="11" t="s">
        <v>2</v>
      </c>
      <c r="AH512" s="7" t="s">
        <v>1242</v>
      </c>
    </row>
    <row r="513" spans="1:34" s="7" customFormat="1" ht="16.5" customHeight="1">
      <c r="A513" s="7">
        <v>2012</v>
      </c>
      <c r="B513" s="12">
        <v>41129</v>
      </c>
      <c r="C513" s="7" t="s">
        <v>22</v>
      </c>
      <c r="D513" s="9" t="s">
        <v>23</v>
      </c>
      <c r="E513" s="9" t="s">
        <v>20</v>
      </c>
      <c r="F513" s="9" t="s">
        <v>25</v>
      </c>
      <c r="G513" s="7" t="s">
        <v>902</v>
      </c>
      <c r="H513" s="7" t="s">
        <v>903</v>
      </c>
      <c r="I513" s="124" t="s">
        <v>902</v>
      </c>
      <c r="J513" s="7">
        <v>15</v>
      </c>
      <c r="K513" s="124" t="s">
        <v>527</v>
      </c>
      <c r="L513" s="20" t="s">
        <v>909</v>
      </c>
      <c r="M513" s="16">
        <v>92.814921379089355</v>
      </c>
      <c r="N513" s="16">
        <v>15.66647332906723</v>
      </c>
      <c r="O513" s="16">
        <v>358.5685863494873</v>
      </c>
      <c r="P513" s="16">
        <v>14.16711038351059</v>
      </c>
      <c r="Q513" s="147">
        <v>453.16797256469727</v>
      </c>
      <c r="R513" s="147">
        <v>26.42926025390625</v>
      </c>
      <c r="S513" s="10">
        <v>0.74198249183634324</v>
      </c>
      <c r="T513" s="10">
        <v>-4.7032873538546971</v>
      </c>
      <c r="U513" s="16">
        <v>3.7691878571229825E-2</v>
      </c>
      <c r="V513" s="16">
        <v>8.6493064121729333</v>
      </c>
      <c r="W513" s="10">
        <v>13.352593766027631</v>
      </c>
      <c r="X513" s="10" t="s">
        <v>902</v>
      </c>
      <c r="Y513" s="10" t="s">
        <v>902</v>
      </c>
      <c r="Z513" s="10">
        <v>1.5</v>
      </c>
      <c r="AA513" s="20" t="s">
        <v>526</v>
      </c>
      <c r="AB513" s="10">
        <v>572.5</v>
      </c>
      <c r="AC513" s="10">
        <v>478</v>
      </c>
      <c r="AD513" s="10">
        <v>0.8349344978165939</v>
      </c>
      <c r="AE513" s="7" t="s">
        <v>4</v>
      </c>
      <c r="AF513" s="20" t="s">
        <v>27</v>
      </c>
      <c r="AG513" s="11" t="s">
        <v>0</v>
      </c>
      <c r="AH513" s="7" t="s">
        <v>1409</v>
      </c>
    </row>
    <row r="514" spans="1:34" s="7" customFormat="1" ht="16.5" customHeight="1">
      <c r="A514" s="7">
        <v>2012</v>
      </c>
      <c r="B514" s="12">
        <v>41129</v>
      </c>
      <c r="C514" s="7" t="s">
        <v>22</v>
      </c>
      <c r="D514" s="9" t="s">
        <v>23</v>
      </c>
      <c r="E514" s="9" t="s">
        <v>20</v>
      </c>
      <c r="F514" s="9" t="s">
        <v>25</v>
      </c>
      <c r="G514" s="7" t="s">
        <v>902</v>
      </c>
      <c r="H514" s="7" t="s">
        <v>903</v>
      </c>
      <c r="I514" s="124" t="s">
        <v>902</v>
      </c>
      <c r="J514" s="7">
        <v>16</v>
      </c>
      <c r="K514" s="124" t="s">
        <v>529</v>
      </c>
      <c r="L514" s="20" t="s">
        <v>909</v>
      </c>
      <c r="M514" s="16">
        <v>92.815703542608958</v>
      </c>
      <c r="N514" s="16">
        <v>14.719451904296875</v>
      </c>
      <c r="O514" s="16">
        <v>346.86747661389802</v>
      </c>
      <c r="P514" s="16">
        <v>13.684753518355521</v>
      </c>
      <c r="Q514" s="147">
        <v>458.76980108963818</v>
      </c>
      <c r="R514" s="147">
        <v>27.64971923828125</v>
      </c>
      <c r="S514" s="10">
        <v>0.74198249183634324</v>
      </c>
      <c r="T514" s="10">
        <v>-7.4806406351380259</v>
      </c>
      <c r="U514" s="16">
        <v>2.8079851369310793E-2</v>
      </c>
      <c r="V514" s="16">
        <v>8.6493064121729333</v>
      </c>
      <c r="W514" s="10">
        <v>16.12994704731096</v>
      </c>
      <c r="X514" s="10" t="s">
        <v>902</v>
      </c>
      <c r="Y514" s="10" t="s">
        <v>902</v>
      </c>
      <c r="Z514" s="10">
        <v>1.5</v>
      </c>
      <c r="AA514" s="20" t="s">
        <v>528</v>
      </c>
      <c r="AB514" s="10">
        <v>640</v>
      </c>
      <c r="AC514" s="10">
        <v>468</v>
      </c>
      <c r="AD514" s="10">
        <v>0.73124999999999996</v>
      </c>
      <c r="AE514" s="7" t="s">
        <v>4</v>
      </c>
      <c r="AF514" s="20" t="s">
        <v>27</v>
      </c>
      <c r="AG514" s="11" t="s">
        <v>0</v>
      </c>
      <c r="AH514" s="7" t="s">
        <v>1410</v>
      </c>
    </row>
    <row r="515" spans="1:34" s="7" customFormat="1" ht="16.5" customHeight="1">
      <c r="A515" s="7">
        <v>2012</v>
      </c>
      <c r="B515" s="12">
        <v>41129</v>
      </c>
      <c r="C515" s="7" t="s">
        <v>22</v>
      </c>
      <c r="D515" s="9" t="s">
        <v>23</v>
      </c>
      <c r="E515" s="9" t="s">
        <v>20</v>
      </c>
      <c r="F515" s="9" t="s">
        <v>25</v>
      </c>
      <c r="G515" s="7" t="s">
        <v>902</v>
      </c>
      <c r="H515" s="7" t="s">
        <v>903</v>
      </c>
      <c r="I515" s="124" t="s">
        <v>902</v>
      </c>
      <c r="J515" s="7">
        <v>19</v>
      </c>
      <c r="K515" s="124" t="s">
        <v>535</v>
      </c>
      <c r="L515" s="20" t="s">
        <v>907</v>
      </c>
      <c r="M515" s="16">
        <v>92.815503311157229</v>
      </c>
      <c r="N515" s="16">
        <v>16.708655548095702</v>
      </c>
      <c r="O515" s="16">
        <v>354.0627410888672</v>
      </c>
      <c r="P515" s="16">
        <v>16.373976135253905</v>
      </c>
      <c r="Q515" s="147">
        <v>529.51860504150386</v>
      </c>
      <c r="R515" s="147">
        <v>84.47906494140625</v>
      </c>
      <c r="S515" s="10">
        <v>0.74198249183634324</v>
      </c>
      <c r="T515" s="10">
        <v>-5.2561879603856871</v>
      </c>
      <c r="U515" s="16">
        <v>2.9305084486653032E-2</v>
      </c>
      <c r="V515" s="16">
        <v>8.6493064121729333</v>
      </c>
      <c r="W515" s="10">
        <v>13.905494372558621</v>
      </c>
      <c r="X515" s="10" t="s">
        <v>902</v>
      </c>
      <c r="Y515" s="10" t="s">
        <v>902</v>
      </c>
      <c r="Z515" s="10">
        <v>1.5</v>
      </c>
      <c r="AA515" s="20" t="s">
        <v>534</v>
      </c>
      <c r="AB515" s="10" t="s">
        <v>902</v>
      </c>
      <c r="AC515" s="10" t="s">
        <v>902</v>
      </c>
      <c r="AD515" s="10" t="s">
        <v>902</v>
      </c>
      <c r="AE515" s="7" t="s">
        <v>4</v>
      </c>
      <c r="AF515" s="20" t="s">
        <v>27</v>
      </c>
      <c r="AG515" s="11" t="s">
        <v>1</v>
      </c>
      <c r="AH515" s="7" t="s">
        <v>1242</v>
      </c>
    </row>
    <row r="516" spans="1:34" s="7" customFormat="1" ht="16.5" customHeight="1">
      <c r="A516" s="7">
        <v>2012</v>
      </c>
      <c r="B516" s="12">
        <v>41126</v>
      </c>
      <c r="C516" s="7" t="s">
        <v>22</v>
      </c>
      <c r="D516" s="9" t="s">
        <v>23</v>
      </c>
      <c r="E516" s="9" t="s">
        <v>20</v>
      </c>
      <c r="F516" s="9" t="s">
        <v>25</v>
      </c>
      <c r="G516" s="7" t="s">
        <v>902</v>
      </c>
      <c r="H516" s="7" t="s">
        <v>903</v>
      </c>
      <c r="I516" s="124" t="s">
        <v>902</v>
      </c>
      <c r="J516" s="7">
        <v>20</v>
      </c>
      <c r="K516" s="124" t="s">
        <v>536</v>
      </c>
      <c r="L516" s="20" t="s">
        <v>908</v>
      </c>
      <c r="M516" s="16">
        <v>92.602818080357139</v>
      </c>
      <c r="N516" s="16">
        <v>21.13781520298549</v>
      </c>
      <c r="O516" s="16">
        <v>339.79958888462613</v>
      </c>
      <c r="P516" s="16">
        <v>18.542794772556849</v>
      </c>
      <c r="Q516" s="147">
        <v>637.55239868164062</v>
      </c>
      <c r="R516" s="147">
        <v>186.5897216796875</v>
      </c>
      <c r="S516" s="10">
        <v>0.74198249183634324</v>
      </c>
      <c r="T516" s="10">
        <v>-4.2867653318695167</v>
      </c>
      <c r="U516" s="16">
        <v>2.7618607321938316E-2</v>
      </c>
      <c r="V516" s="16">
        <v>8.6493064121729333</v>
      </c>
      <c r="W516" s="10">
        <v>12.936071744042451</v>
      </c>
      <c r="X516" s="10" t="s">
        <v>902</v>
      </c>
      <c r="Y516" s="10" t="s">
        <v>902</v>
      </c>
      <c r="Z516" s="10">
        <v>1.5</v>
      </c>
      <c r="AA516" s="20" t="s">
        <v>435</v>
      </c>
      <c r="AB516" s="7">
        <v>1201.2</v>
      </c>
      <c r="AC516" s="7">
        <v>358.9</v>
      </c>
      <c r="AD516" s="7">
        <v>0.29878454878454874</v>
      </c>
      <c r="AE516" s="7" t="s">
        <v>3</v>
      </c>
      <c r="AF516" s="20" t="s">
        <v>27</v>
      </c>
      <c r="AG516" s="34" t="s">
        <v>1</v>
      </c>
      <c r="AH516" s="7" t="s">
        <v>1411</v>
      </c>
    </row>
    <row r="517" spans="1:34" s="7" customFormat="1" ht="16.5" customHeight="1">
      <c r="A517" s="7">
        <v>2012</v>
      </c>
      <c r="B517" s="12">
        <v>41126</v>
      </c>
      <c r="C517" s="7" t="s">
        <v>22</v>
      </c>
      <c r="D517" s="9" t="s">
        <v>23</v>
      </c>
      <c r="E517" s="9" t="s">
        <v>20</v>
      </c>
      <c r="F517" s="9" t="s">
        <v>25</v>
      </c>
      <c r="G517" s="7" t="s">
        <v>902</v>
      </c>
      <c r="H517" s="7" t="s">
        <v>903</v>
      </c>
      <c r="I517" s="124" t="s">
        <v>902</v>
      </c>
      <c r="J517" s="7">
        <v>21</v>
      </c>
      <c r="K517" s="124" t="s">
        <v>537</v>
      </c>
      <c r="L517" s="20" t="s">
        <v>908</v>
      </c>
      <c r="M517" s="16">
        <v>92.606499521355886</v>
      </c>
      <c r="N517" s="16">
        <v>21.266030863711709</v>
      </c>
      <c r="O517" s="16">
        <v>329.76108430561266</v>
      </c>
      <c r="P517" s="16">
        <v>18.406869988692435</v>
      </c>
      <c r="Q517" s="147">
        <v>691.41654887952302</v>
      </c>
      <c r="R517" s="147" t="s">
        <v>902</v>
      </c>
      <c r="S517" s="10">
        <v>0.74198249183634324</v>
      </c>
      <c r="T517" s="10">
        <v>-5.57042741267112</v>
      </c>
      <c r="U517" s="16">
        <v>3.7030956201386037E-2</v>
      </c>
      <c r="V517" s="16">
        <v>8.6493064121729333</v>
      </c>
      <c r="W517" s="10">
        <v>14.219733824844052</v>
      </c>
      <c r="X517" s="10" t="s">
        <v>902</v>
      </c>
      <c r="Y517" s="10" t="s">
        <v>902</v>
      </c>
      <c r="Z517" s="10">
        <v>1.5</v>
      </c>
      <c r="AA517" s="20" t="s">
        <v>436</v>
      </c>
      <c r="AB517" s="7">
        <v>1254.9000000000001</v>
      </c>
      <c r="AC517" s="7">
        <v>346.7</v>
      </c>
      <c r="AD517" s="7">
        <v>0.27627699418280338</v>
      </c>
      <c r="AE517" s="30" t="s">
        <v>3</v>
      </c>
      <c r="AF517" s="20" t="s">
        <v>27</v>
      </c>
      <c r="AG517" s="34" t="s">
        <v>1</v>
      </c>
      <c r="AH517" s="7" t="s">
        <v>1242</v>
      </c>
    </row>
    <row r="518" spans="1:34" s="7" customFormat="1" ht="16.5" customHeight="1">
      <c r="A518" s="7">
        <v>2012</v>
      </c>
      <c r="B518" s="12">
        <v>41126</v>
      </c>
      <c r="C518" s="7" t="s">
        <v>22</v>
      </c>
      <c r="D518" s="9" t="s">
        <v>23</v>
      </c>
      <c r="E518" s="9" t="s">
        <v>20</v>
      </c>
      <c r="F518" s="9" t="s">
        <v>25</v>
      </c>
      <c r="G518" s="7" t="s">
        <v>902</v>
      </c>
      <c r="H518" s="7" t="s">
        <v>903</v>
      </c>
      <c r="I518" s="124" t="s">
        <v>902</v>
      </c>
      <c r="J518" s="7">
        <v>26</v>
      </c>
      <c r="K518" s="124" t="s">
        <v>543</v>
      </c>
      <c r="L518" s="20" t="s">
        <v>909</v>
      </c>
      <c r="M518" s="16">
        <v>92.627005894978836</v>
      </c>
      <c r="N518" s="16">
        <v>20.194285710652668</v>
      </c>
      <c r="O518" s="36">
        <v>335.21808369954425</v>
      </c>
      <c r="P518" s="36">
        <v>17.162249724070232</v>
      </c>
      <c r="Q518" s="147">
        <v>717.88222249348962</v>
      </c>
      <c r="R518" s="147">
        <v>26.3447265625</v>
      </c>
      <c r="S518" s="10">
        <v>0.74198249183634324</v>
      </c>
      <c r="T518" s="10">
        <v>-7.7740988266187525</v>
      </c>
      <c r="U518" s="36">
        <v>4.186913350245336E-2</v>
      </c>
      <c r="V518" s="16">
        <v>8.6493064121729333</v>
      </c>
      <c r="W518" s="10">
        <v>16.423405238791688</v>
      </c>
      <c r="X518" s="10" t="s">
        <v>902</v>
      </c>
      <c r="Y518" s="10" t="s">
        <v>902</v>
      </c>
      <c r="Z518" s="10">
        <v>1.5</v>
      </c>
      <c r="AA518" s="20" t="s">
        <v>417</v>
      </c>
      <c r="AB518" s="7">
        <v>904.5</v>
      </c>
      <c r="AC518" s="7">
        <v>463.9</v>
      </c>
      <c r="AD518" s="7">
        <v>0.51288004422332778</v>
      </c>
      <c r="AE518" s="7" t="s">
        <v>538</v>
      </c>
      <c r="AF518" s="20" t="s">
        <v>27</v>
      </c>
      <c r="AG518" s="11" t="s">
        <v>2</v>
      </c>
      <c r="AH518" s="7" t="s">
        <v>1242</v>
      </c>
    </row>
    <row r="519" spans="1:34" s="7" customFormat="1" ht="16.5" customHeight="1">
      <c r="A519" s="7">
        <v>2012</v>
      </c>
      <c r="B519" s="12">
        <v>41126</v>
      </c>
      <c r="C519" s="7" t="s">
        <v>22</v>
      </c>
      <c r="D519" s="9" t="s">
        <v>23</v>
      </c>
      <c r="E519" s="9" t="s">
        <v>20</v>
      </c>
      <c r="F519" s="9" t="s">
        <v>25</v>
      </c>
      <c r="G519" s="7" t="s">
        <v>902</v>
      </c>
      <c r="H519" s="7" t="s">
        <v>903</v>
      </c>
      <c r="I519" s="124" t="s">
        <v>902</v>
      </c>
      <c r="J519" s="7">
        <v>27</v>
      </c>
      <c r="K519" s="124" t="s">
        <v>544</v>
      </c>
      <c r="L519" s="20" t="s">
        <v>909</v>
      </c>
      <c r="M519" s="16">
        <v>92.624870808919269</v>
      </c>
      <c r="N519" s="16">
        <v>20.125087738037109</v>
      </c>
      <c r="O519" s="16">
        <v>338.38665974934895</v>
      </c>
      <c r="P519" s="16">
        <v>17.527259826660156</v>
      </c>
      <c r="Q519" s="147">
        <v>729.52509765624995</v>
      </c>
      <c r="R519" s="147">
        <v>12.66290283203125</v>
      </c>
      <c r="S519" s="10">
        <v>0.74198249183634324</v>
      </c>
      <c r="T519" s="10">
        <v>-8.2379986175333482</v>
      </c>
      <c r="U519" s="16">
        <v>4.8103203092302593E-2</v>
      </c>
      <c r="V519" s="16">
        <v>8.6493064121729333</v>
      </c>
      <c r="W519" s="10">
        <v>16.887305029706283</v>
      </c>
      <c r="X519" s="10" t="s">
        <v>902</v>
      </c>
      <c r="Y519" s="10" t="s">
        <v>902</v>
      </c>
      <c r="Z519" s="10">
        <v>1.5</v>
      </c>
      <c r="AA519" s="20" t="s">
        <v>418</v>
      </c>
      <c r="AB519" s="7">
        <v>930.2</v>
      </c>
      <c r="AC519" s="7">
        <v>459</v>
      </c>
      <c r="AD519" s="7">
        <v>0.49344227047946676</v>
      </c>
      <c r="AE519" s="7" t="s">
        <v>538</v>
      </c>
      <c r="AF519" s="20" t="s">
        <v>27</v>
      </c>
      <c r="AG519" s="11" t="s">
        <v>2</v>
      </c>
      <c r="AH519" s="7" t="s">
        <v>1242</v>
      </c>
    </row>
    <row r="520" spans="1:34" s="7" customFormat="1" ht="16.5" customHeight="1">
      <c r="A520" s="7">
        <v>2012</v>
      </c>
      <c r="B520" s="12">
        <v>41126</v>
      </c>
      <c r="C520" s="7" t="s">
        <v>22</v>
      </c>
      <c r="D520" s="9" t="s">
        <v>23</v>
      </c>
      <c r="E520" s="9" t="s">
        <v>20</v>
      </c>
      <c r="F520" s="9" t="s">
        <v>25</v>
      </c>
      <c r="G520" s="7" t="s">
        <v>902</v>
      </c>
      <c r="H520" s="7" t="s">
        <v>903</v>
      </c>
      <c r="I520" s="124" t="s">
        <v>902</v>
      </c>
      <c r="J520" s="7">
        <v>28</v>
      </c>
      <c r="K520" s="124" t="s">
        <v>545</v>
      </c>
      <c r="L520" s="20" t="s">
        <v>909</v>
      </c>
      <c r="M520" s="16">
        <v>92.623098273026315</v>
      </c>
      <c r="N520" s="16">
        <v>20.701869161505449</v>
      </c>
      <c r="O520" s="16">
        <v>333.7156982421875</v>
      </c>
      <c r="P520" s="16">
        <v>18.030212703504059</v>
      </c>
      <c r="Q520" s="147">
        <v>746.34464946546052</v>
      </c>
      <c r="R520" s="147">
        <v>12.74530029296875</v>
      </c>
      <c r="S520" s="10">
        <v>0.74198249183634324</v>
      </c>
      <c r="T520" s="10">
        <v>-7.4653012685735005</v>
      </c>
      <c r="U520" s="16">
        <v>4.5071282303124141E-2</v>
      </c>
      <c r="V520" s="16">
        <v>8.6493064121729333</v>
      </c>
      <c r="W520" s="10">
        <v>16.114607680746435</v>
      </c>
      <c r="X520" s="10" t="s">
        <v>902</v>
      </c>
      <c r="Y520" s="10" t="s">
        <v>902</v>
      </c>
      <c r="Z520" s="10">
        <v>1.5</v>
      </c>
      <c r="AA520" s="20" t="s">
        <v>419</v>
      </c>
      <c r="AB520" s="7">
        <v>957</v>
      </c>
      <c r="AC520" s="7">
        <v>454.1</v>
      </c>
      <c r="AD520" s="7">
        <v>0.474503657262278</v>
      </c>
      <c r="AE520" s="7" t="s">
        <v>538</v>
      </c>
      <c r="AF520" s="20" t="s">
        <v>27</v>
      </c>
      <c r="AG520" s="11" t="s">
        <v>2</v>
      </c>
      <c r="AH520" s="7" t="s">
        <v>1242</v>
      </c>
    </row>
    <row r="521" spans="1:34" s="7" customFormat="1" ht="16.5" customHeight="1">
      <c r="A521" s="7">
        <v>2012</v>
      </c>
      <c r="B521" s="12">
        <v>41129</v>
      </c>
      <c r="C521" s="7" t="s">
        <v>22</v>
      </c>
      <c r="D521" s="9" t="s">
        <v>23</v>
      </c>
      <c r="E521" s="9" t="s">
        <v>20</v>
      </c>
      <c r="F521" s="9" t="s">
        <v>25</v>
      </c>
      <c r="G521" s="7" t="s">
        <v>902</v>
      </c>
      <c r="H521" s="7" t="s">
        <v>903</v>
      </c>
      <c r="I521" s="124" t="s">
        <v>902</v>
      </c>
      <c r="J521" s="7">
        <v>29</v>
      </c>
      <c r="K521" s="124" t="s">
        <v>547</v>
      </c>
      <c r="L521" s="20" t="s">
        <v>909</v>
      </c>
      <c r="M521" s="16">
        <v>92.81329430474176</v>
      </c>
      <c r="N521" s="16">
        <v>16.112656063503689</v>
      </c>
      <c r="O521" s="16">
        <v>357.57380167643231</v>
      </c>
      <c r="P521" s="16">
        <v>14.801136546664768</v>
      </c>
      <c r="Q521" s="147">
        <v>755.8624267578125</v>
      </c>
      <c r="R521" s="147">
        <v>32.29168701171875</v>
      </c>
      <c r="S521" s="10">
        <v>0.74198249183634324</v>
      </c>
      <c r="T521" s="10">
        <v>-6.5159136170039238</v>
      </c>
      <c r="U521" s="16">
        <v>3.7734214464823404E-2</v>
      </c>
      <c r="V521" s="16">
        <v>8.6493064121729333</v>
      </c>
      <c r="W521" s="10">
        <v>15.165220029176858</v>
      </c>
      <c r="X521" s="10" t="s">
        <v>902</v>
      </c>
      <c r="Y521" s="10" t="s">
        <v>902</v>
      </c>
      <c r="Z521" s="10">
        <v>1.5</v>
      </c>
      <c r="AA521" s="20" t="s">
        <v>546</v>
      </c>
      <c r="AB521" s="10">
        <v>831.33333333333337</v>
      </c>
      <c r="AC521" s="10">
        <v>494.66666666666669</v>
      </c>
      <c r="AD521" s="10">
        <v>0.59502806736166802</v>
      </c>
      <c r="AE521" s="7" t="s">
        <v>4</v>
      </c>
      <c r="AF521" s="20" t="s">
        <v>27</v>
      </c>
      <c r="AG521" s="11" t="s">
        <v>2</v>
      </c>
      <c r="AH521" s="7" t="s">
        <v>1412</v>
      </c>
    </row>
    <row r="522" spans="1:34" s="7" customFormat="1" ht="16.5" customHeight="1">
      <c r="A522" s="7">
        <v>2012</v>
      </c>
      <c r="B522" s="12">
        <v>41126</v>
      </c>
      <c r="C522" s="7" t="s">
        <v>22</v>
      </c>
      <c r="D522" s="9" t="s">
        <v>23</v>
      </c>
      <c r="E522" s="9" t="s">
        <v>20</v>
      </c>
      <c r="F522" s="9" t="s">
        <v>25</v>
      </c>
      <c r="G522" s="7" t="s">
        <v>902</v>
      </c>
      <c r="H522" s="7" t="s">
        <v>903</v>
      </c>
      <c r="I522" s="124" t="s">
        <v>902</v>
      </c>
      <c r="J522" s="7">
        <v>30</v>
      </c>
      <c r="K522" s="124" t="s">
        <v>548</v>
      </c>
      <c r="L522" s="20" t="s">
        <v>909</v>
      </c>
      <c r="M522" s="22">
        <v>92.622271347045896</v>
      </c>
      <c r="N522" s="22">
        <v>21.261327171325682</v>
      </c>
      <c r="O522" s="22">
        <v>326.56224822998047</v>
      </c>
      <c r="P522" s="22">
        <v>18.363507652282713</v>
      </c>
      <c r="Q522" s="148">
        <v>761.86259155273433</v>
      </c>
      <c r="R522" s="148">
        <v>30.96600341796875</v>
      </c>
      <c r="S522" s="10">
        <v>0.74198249183634324</v>
      </c>
      <c r="T522" s="10">
        <v>-7.0828700851174258</v>
      </c>
      <c r="U522" s="22">
        <v>4.2761703720666414E-2</v>
      </c>
      <c r="V522" s="16">
        <v>8.6493064121729333</v>
      </c>
      <c r="W522" s="10">
        <v>15.732176497290359</v>
      </c>
      <c r="X522" s="10" t="s">
        <v>902</v>
      </c>
      <c r="Y522" s="10" t="s">
        <v>902</v>
      </c>
      <c r="Z522" s="10">
        <v>1.5</v>
      </c>
      <c r="AA522" s="20" t="s">
        <v>424</v>
      </c>
      <c r="AB522" s="7">
        <v>983.9</v>
      </c>
      <c r="AC522" s="7">
        <v>440.7</v>
      </c>
      <c r="AD522" s="7">
        <v>0.44791137310702306</v>
      </c>
      <c r="AE522" s="7" t="s">
        <v>538</v>
      </c>
      <c r="AF522" s="20" t="s">
        <v>27</v>
      </c>
      <c r="AG522" s="11" t="s">
        <v>2</v>
      </c>
      <c r="AH522" s="7" t="s">
        <v>1242</v>
      </c>
    </row>
    <row r="523" spans="1:34" s="7" customFormat="1" ht="16.5" customHeight="1">
      <c r="A523" s="7">
        <v>2012</v>
      </c>
      <c r="B523" s="12">
        <v>41126</v>
      </c>
      <c r="C523" s="7" t="s">
        <v>22</v>
      </c>
      <c r="D523" s="9" t="s">
        <v>23</v>
      </c>
      <c r="E523" s="9" t="s">
        <v>20</v>
      </c>
      <c r="F523" s="9" t="s">
        <v>25</v>
      </c>
      <c r="G523" s="7" t="s">
        <v>902</v>
      </c>
      <c r="H523" s="7" t="s">
        <v>903</v>
      </c>
      <c r="I523" s="124" t="s">
        <v>902</v>
      </c>
      <c r="J523" s="7">
        <v>31</v>
      </c>
      <c r="K523" s="124" t="s">
        <v>549</v>
      </c>
      <c r="L523" s="20" t="s">
        <v>909</v>
      </c>
      <c r="M523" s="16">
        <v>92.622845785958432</v>
      </c>
      <c r="N523" s="16">
        <v>20.879849433898926</v>
      </c>
      <c r="O523" s="16">
        <v>331.53941563197543</v>
      </c>
      <c r="P523" s="16">
        <v>17.767656053815568</v>
      </c>
      <c r="Q523" s="147">
        <v>873.37444196428567</v>
      </c>
      <c r="R523" s="147">
        <v>19.3603515625</v>
      </c>
      <c r="S523" s="10">
        <v>0.74198249183634324</v>
      </c>
      <c r="T523" s="10">
        <v>-8.6642290922121781</v>
      </c>
      <c r="U523" s="16">
        <v>5.3051816500150242E-2</v>
      </c>
      <c r="V523" s="16">
        <v>8.6493064121729333</v>
      </c>
      <c r="W523" s="10">
        <v>17.313535504385111</v>
      </c>
      <c r="X523" s="10" t="s">
        <v>902</v>
      </c>
      <c r="Y523" s="10" t="s">
        <v>902</v>
      </c>
      <c r="Z523" s="10">
        <v>1.5</v>
      </c>
      <c r="AA523" s="20" t="s">
        <v>423</v>
      </c>
      <c r="AB523" s="7">
        <v>1101.0999999999999</v>
      </c>
      <c r="AC523" s="7">
        <v>441.9</v>
      </c>
      <c r="AD523" s="7">
        <v>0.40132594678049227</v>
      </c>
      <c r="AE523" s="7" t="s">
        <v>538</v>
      </c>
      <c r="AF523" s="20" t="s">
        <v>27</v>
      </c>
      <c r="AG523" s="11" t="s">
        <v>2</v>
      </c>
      <c r="AH523" s="7" t="s">
        <v>1413</v>
      </c>
    </row>
    <row r="524" spans="1:34" s="7" customFormat="1" ht="16.5" customHeight="1">
      <c r="A524" s="7">
        <v>2012</v>
      </c>
      <c r="B524" s="12">
        <v>41126</v>
      </c>
      <c r="C524" s="7" t="s">
        <v>22</v>
      </c>
      <c r="D524" s="9" t="s">
        <v>23</v>
      </c>
      <c r="E524" s="9" t="s">
        <v>20</v>
      </c>
      <c r="F524" s="9" t="s">
        <v>25</v>
      </c>
      <c r="G524" s="7" t="s">
        <v>902</v>
      </c>
      <c r="H524" s="7" t="s">
        <v>903</v>
      </c>
      <c r="I524" s="124" t="s">
        <v>902</v>
      </c>
      <c r="J524" s="7">
        <v>40</v>
      </c>
      <c r="K524" s="124" t="s">
        <v>560</v>
      </c>
      <c r="L524" s="20" t="s">
        <v>909</v>
      </c>
      <c r="M524" s="22">
        <v>92.612536503718445</v>
      </c>
      <c r="N524" s="22">
        <v>20.168168141291691</v>
      </c>
      <c r="O524" s="22">
        <v>339.22567279522235</v>
      </c>
      <c r="P524" s="22">
        <v>16.964408581073467</v>
      </c>
      <c r="Q524" s="148">
        <v>975.84853891225964</v>
      </c>
      <c r="R524" s="148">
        <v>9.21929931640625</v>
      </c>
      <c r="S524" s="10">
        <v>0.74198249183634324</v>
      </c>
      <c r="T524" s="10">
        <v>-9.4107808138999598</v>
      </c>
      <c r="U524" s="22">
        <v>6.8404223892714958E-2</v>
      </c>
      <c r="V524" s="16">
        <v>8.6493064121729333</v>
      </c>
      <c r="W524" s="10">
        <v>18.060087226072895</v>
      </c>
      <c r="X524" s="10" t="s">
        <v>902</v>
      </c>
      <c r="Y524" s="10" t="s">
        <v>902</v>
      </c>
      <c r="Z524" s="10">
        <v>1.5</v>
      </c>
      <c r="AA524" s="39" t="s">
        <v>432</v>
      </c>
      <c r="AB524" s="7">
        <v>1174.3</v>
      </c>
      <c r="AC524" s="7">
        <v>388.2</v>
      </c>
      <c r="AD524" s="7">
        <v>0.33057991995231201</v>
      </c>
      <c r="AE524" s="30" t="s">
        <v>3</v>
      </c>
      <c r="AF524" s="20" t="s">
        <v>27</v>
      </c>
      <c r="AG524" s="34" t="s">
        <v>864</v>
      </c>
      <c r="AH524" s="7" t="s">
        <v>1242</v>
      </c>
    </row>
    <row r="525" spans="1:34" s="7" customFormat="1" ht="16.5" customHeight="1">
      <c r="A525" s="7">
        <v>2012</v>
      </c>
      <c r="B525" s="12">
        <v>41126</v>
      </c>
      <c r="C525" s="7" t="s">
        <v>22</v>
      </c>
      <c r="D525" s="9" t="s">
        <v>23</v>
      </c>
      <c r="E525" s="9" t="s">
        <v>20</v>
      </c>
      <c r="F525" s="9" t="s">
        <v>25</v>
      </c>
      <c r="G525" s="7" t="s">
        <v>902</v>
      </c>
      <c r="H525" s="7" t="s">
        <v>903</v>
      </c>
      <c r="I525" s="124" t="s">
        <v>902</v>
      </c>
      <c r="J525" s="7">
        <v>41</v>
      </c>
      <c r="K525" s="124" t="s">
        <v>561</v>
      </c>
      <c r="L525" s="20" t="s">
        <v>909</v>
      </c>
      <c r="M525" s="16">
        <v>92.611926831697161</v>
      </c>
      <c r="N525" s="16">
        <v>23.124168998316716</v>
      </c>
      <c r="O525" s="16">
        <v>333.8307029322574</v>
      </c>
      <c r="P525" s="16">
        <v>18.997602261995013</v>
      </c>
      <c r="Q525" s="147">
        <v>1010.0782342208059</v>
      </c>
      <c r="R525" s="147">
        <v>20.443603515625</v>
      </c>
      <c r="S525" s="10">
        <v>0.74198249183634324</v>
      </c>
      <c r="T525" s="10">
        <v>-7.1754220159693727</v>
      </c>
      <c r="U525" s="16">
        <v>6.1904816878469368E-2</v>
      </c>
      <c r="V525" s="16">
        <v>8.6493064121729333</v>
      </c>
      <c r="W525" s="10">
        <v>15.824728428142306</v>
      </c>
      <c r="X525" s="10" t="s">
        <v>902</v>
      </c>
      <c r="Y525" s="10" t="s">
        <v>902</v>
      </c>
      <c r="Z525" s="10">
        <v>1.5</v>
      </c>
      <c r="AA525" s="20" t="s">
        <v>433</v>
      </c>
      <c r="AB525" s="7">
        <v>1220.7</v>
      </c>
      <c r="AC525" s="7">
        <v>396.7</v>
      </c>
      <c r="AD525" s="7">
        <v>0.32497747194232818</v>
      </c>
      <c r="AE525" s="30" t="s">
        <v>3</v>
      </c>
      <c r="AF525" s="20" t="s">
        <v>27</v>
      </c>
      <c r="AG525" s="34" t="s">
        <v>864</v>
      </c>
      <c r="AH525" s="7" t="s">
        <v>1242</v>
      </c>
    </row>
    <row r="526" spans="1:34" s="7" customFormat="1" ht="16.5" customHeight="1">
      <c r="A526" s="7">
        <v>2012</v>
      </c>
      <c r="B526" s="12">
        <v>41126</v>
      </c>
      <c r="C526" s="7" t="s">
        <v>22</v>
      </c>
      <c r="D526" s="9" t="s">
        <v>23</v>
      </c>
      <c r="E526" s="9" t="s">
        <v>20</v>
      </c>
      <c r="F526" s="9" t="s">
        <v>25</v>
      </c>
      <c r="G526" s="7" t="s">
        <v>902</v>
      </c>
      <c r="H526" s="7" t="s">
        <v>903</v>
      </c>
      <c r="I526" s="124" t="s">
        <v>902</v>
      </c>
      <c r="J526" s="7">
        <v>42</v>
      </c>
      <c r="K526" s="124" t="s">
        <v>562</v>
      </c>
      <c r="L526" s="20" t="s">
        <v>909</v>
      </c>
      <c r="M526" s="16">
        <v>92.610827309744693</v>
      </c>
      <c r="N526" s="16">
        <v>22.554845401218959</v>
      </c>
      <c r="O526" s="16">
        <v>336.46094839913502</v>
      </c>
      <c r="P526" s="16">
        <v>18.404903684343612</v>
      </c>
      <c r="Q526" s="147">
        <v>1057.111328125</v>
      </c>
      <c r="R526" s="147">
        <v>8.28515625</v>
      </c>
      <c r="S526" s="10">
        <v>0.74198249183634324</v>
      </c>
      <c r="T526" s="10">
        <v>-9.5933731058829963</v>
      </c>
      <c r="U526" s="16">
        <v>7.9390465034233346E-2</v>
      </c>
      <c r="V526" s="16">
        <v>8.6493064121729333</v>
      </c>
      <c r="W526" s="10">
        <v>18.24267951805593</v>
      </c>
      <c r="X526" s="10" t="s">
        <v>902</v>
      </c>
      <c r="Y526" s="10" t="s">
        <v>902</v>
      </c>
      <c r="Z526" s="10">
        <v>1.5</v>
      </c>
      <c r="AA526" s="20" t="s">
        <v>434</v>
      </c>
      <c r="AB526" s="7">
        <v>1221.9000000000001</v>
      </c>
      <c r="AC526" s="7">
        <v>380.9</v>
      </c>
      <c r="AD526" s="7">
        <v>0.31172763728619357</v>
      </c>
      <c r="AE526" s="30" t="s">
        <v>3</v>
      </c>
      <c r="AF526" s="20" t="s">
        <v>27</v>
      </c>
      <c r="AG526" s="34" t="s">
        <v>864</v>
      </c>
      <c r="AH526" s="7" t="s">
        <v>1404</v>
      </c>
    </row>
    <row r="527" spans="1:34" s="7" customFormat="1" ht="16.5" customHeight="1">
      <c r="A527" s="7">
        <v>2012</v>
      </c>
      <c r="B527" s="12">
        <v>41126</v>
      </c>
      <c r="C527" s="7" t="s">
        <v>22</v>
      </c>
      <c r="D527" s="9" t="s">
        <v>23</v>
      </c>
      <c r="E527" s="9" t="s">
        <v>20</v>
      </c>
      <c r="F527" s="9" t="s">
        <v>25</v>
      </c>
      <c r="G527" s="7" t="s">
        <v>902</v>
      </c>
      <c r="H527" s="7" t="s">
        <v>903</v>
      </c>
      <c r="I527" s="124" t="s">
        <v>902</v>
      </c>
      <c r="J527" s="7">
        <v>43</v>
      </c>
      <c r="K527" s="124" t="s">
        <v>563</v>
      </c>
      <c r="L527" s="20" t="s">
        <v>909</v>
      </c>
      <c r="M527" s="16">
        <v>92.596836290861432</v>
      </c>
      <c r="N527" s="16">
        <v>21.939478422466077</v>
      </c>
      <c r="O527" s="16">
        <v>340.7592114900288</v>
      </c>
      <c r="P527" s="16">
        <v>16.138944525467721</v>
      </c>
      <c r="Q527" s="147">
        <v>1127.9988178453948</v>
      </c>
      <c r="R527" s="147" t="s">
        <v>902</v>
      </c>
      <c r="S527" s="10">
        <v>0.74198249183634324</v>
      </c>
      <c r="T527" s="10">
        <v>-8.6610067070794159</v>
      </c>
      <c r="U527" s="16">
        <v>8.094908981992488E-2</v>
      </c>
      <c r="V527" s="16">
        <v>8.6493064121729333</v>
      </c>
      <c r="W527" s="10">
        <v>17.310313119252349</v>
      </c>
      <c r="X527" s="10" t="s">
        <v>902</v>
      </c>
      <c r="Y527" s="10" t="s">
        <v>902</v>
      </c>
      <c r="Z527" s="10">
        <v>1.5</v>
      </c>
      <c r="AA527" s="20" t="s">
        <v>437</v>
      </c>
      <c r="AB527" s="7">
        <v>1296.4000000000001</v>
      </c>
      <c r="AC527" s="7">
        <v>346.7</v>
      </c>
      <c r="AD527" s="7">
        <v>0.26743289108299906</v>
      </c>
      <c r="AE527" s="30" t="s">
        <v>3</v>
      </c>
      <c r="AF527" s="20" t="s">
        <v>27</v>
      </c>
      <c r="AG527" s="34" t="s">
        <v>864</v>
      </c>
      <c r="AH527" s="7" t="s">
        <v>1242</v>
      </c>
    </row>
    <row r="528" spans="1:34" s="7" customFormat="1" ht="16.5" customHeight="1">
      <c r="A528" s="7">
        <v>2012</v>
      </c>
      <c r="B528" s="12">
        <v>41126</v>
      </c>
      <c r="C528" s="7" t="s">
        <v>22</v>
      </c>
      <c r="D528" s="9" t="s">
        <v>23</v>
      </c>
      <c r="E528" s="9" t="s">
        <v>20</v>
      </c>
      <c r="F528" s="9" t="s">
        <v>25</v>
      </c>
      <c r="G528" s="7" t="s">
        <v>902</v>
      </c>
      <c r="H528" s="7" t="s">
        <v>903</v>
      </c>
      <c r="I528" s="124" t="s">
        <v>902</v>
      </c>
      <c r="J528" s="7">
        <v>44</v>
      </c>
      <c r="K528" s="124" t="s">
        <v>564</v>
      </c>
      <c r="L528" s="20" t="s">
        <v>909</v>
      </c>
      <c r="M528" s="16">
        <v>92.591082924290703</v>
      </c>
      <c r="N528" s="16">
        <v>22.677312248631527</v>
      </c>
      <c r="O528" s="16">
        <v>332.73380962171052</v>
      </c>
      <c r="P528" s="16">
        <v>19.213895797729492</v>
      </c>
      <c r="Q528" s="147">
        <v>1129.1853348581415</v>
      </c>
      <c r="R528" s="147">
        <v>4.2095947265625</v>
      </c>
      <c r="S528" s="10">
        <v>0.74198249183634324</v>
      </c>
      <c r="T528" s="10">
        <v>-6.2530722569971271</v>
      </c>
      <c r="U528" s="16">
        <v>6.8312235045851322E-2</v>
      </c>
      <c r="V528" s="16">
        <v>8.6493064121729333</v>
      </c>
      <c r="W528" s="10">
        <v>14.90237866917006</v>
      </c>
      <c r="X528" s="10" t="s">
        <v>902</v>
      </c>
      <c r="Y528" s="10" t="s">
        <v>902</v>
      </c>
      <c r="Z528" s="10">
        <v>1.5</v>
      </c>
      <c r="AA528" s="20" t="s">
        <v>438</v>
      </c>
      <c r="AB528" s="7">
        <v>1320.8</v>
      </c>
      <c r="AC528" s="7">
        <v>354</v>
      </c>
      <c r="AD528" s="7">
        <v>0.26801938219261057</v>
      </c>
      <c r="AE528" s="30" t="s">
        <v>3</v>
      </c>
      <c r="AF528" s="20" t="s">
        <v>27</v>
      </c>
      <c r="AG528" s="34" t="s">
        <v>864</v>
      </c>
      <c r="AH528" s="7" t="s">
        <v>1242</v>
      </c>
    </row>
    <row r="529" spans="1:34" s="7" customFormat="1" ht="16.5" customHeight="1">
      <c r="A529" s="7">
        <v>2012</v>
      </c>
      <c r="B529" s="12">
        <v>41126</v>
      </c>
      <c r="C529" s="7" t="s">
        <v>22</v>
      </c>
      <c r="D529" s="9" t="s">
        <v>23</v>
      </c>
      <c r="E529" s="9" t="s">
        <v>20</v>
      </c>
      <c r="F529" s="9" t="s">
        <v>25</v>
      </c>
      <c r="G529" s="7" t="s">
        <v>902</v>
      </c>
      <c r="H529" s="7" t="s">
        <v>903</v>
      </c>
      <c r="I529" s="124" t="s">
        <v>902</v>
      </c>
      <c r="J529" s="7">
        <v>32</v>
      </c>
      <c r="K529" s="124" t="s">
        <v>551</v>
      </c>
      <c r="L529" s="20" t="s">
        <v>909</v>
      </c>
      <c r="M529" s="16">
        <v>92.562788712350951</v>
      </c>
      <c r="N529" s="16">
        <v>24.779610583656712</v>
      </c>
      <c r="O529" s="16">
        <v>335.69631315532484</v>
      </c>
      <c r="P529" s="16">
        <v>18.975669660066302</v>
      </c>
      <c r="Q529" s="147">
        <v>1155.5630846525494</v>
      </c>
      <c r="R529" s="147">
        <v>18.409912109375</v>
      </c>
      <c r="S529" s="10">
        <v>0.74198249183634324</v>
      </c>
      <c r="T529" s="10">
        <v>-8.4143461110993307</v>
      </c>
      <c r="U529" s="16">
        <v>8.3004216980515869E-2</v>
      </c>
      <c r="V529" s="16">
        <v>8.6493064121729333</v>
      </c>
      <c r="W529" s="10">
        <v>17.063652523272264</v>
      </c>
      <c r="X529" s="10" t="s">
        <v>902</v>
      </c>
      <c r="Y529" s="10" t="s">
        <v>902</v>
      </c>
      <c r="Z529" s="10">
        <v>1.5</v>
      </c>
      <c r="AA529" s="20" t="s">
        <v>550</v>
      </c>
      <c r="AB529" s="10" t="s">
        <v>902</v>
      </c>
      <c r="AC529" s="10" t="s">
        <v>902</v>
      </c>
      <c r="AD529" s="10" t="s">
        <v>902</v>
      </c>
      <c r="AE529" s="7" t="s">
        <v>5</v>
      </c>
      <c r="AF529" s="20" t="s">
        <v>27</v>
      </c>
      <c r="AG529" s="11" t="s">
        <v>2</v>
      </c>
      <c r="AH529" s="7" t="s">
        <v>1242</v>
      </c>
    </row>
    <row r="530" spans="1:34" s="7" customFormat="1" ht="16.5" customHeight="1">
      <c r="A530" s="7">
        <v>2012</v>
      </c>
      <c r="B530" s="12">
        <v>41126</v>
      </c>
      <c r="C530" s="7" t="s">
        <v>22</v>
      </c>
      <c r="D530" s="9" t="s">
        <v>23</v>
      </c>
      <c r="E530" s="9" t="s">
        <v>20</v>
      </c>
      <c r="F530" s="9" t="s">
        <v>25</v>
      </c>
      <c r="G530" s="7" t="s">
        <v>902</v>
      </c>
      <c r="H530" s="7" t="s">
        <v>903</v>
      </c>
      <c r="I530" s="124" t="s">
        <v>902</v>
      </c>
      <c r="J530" s="7">
        <v>33</v>
      </c>
      <c r="K530" s="124" t="s">
        <v>553</v>
      </c>
      <c r="L530" s="20" t="s">
        <v>909</v>
      </c>
      <c r="M530" s="16">
        <v>92.55726432800293</v>
      </c>
      <c r="N530" s="16">
        <v>23.518661499023438</v>
      </c>
      <c r="O530" s="16">
        <v>340.79721374511718</v>
      </c>
      <c r="P530" s="16">
        <v>17.842340564727785</v>
      </c>
      <c r="Q530" s="147">
        <v>1163.6184997558594</v>
      </c>
      <c r="R530" s="147">
        <v>4.5662841796875</v>
      </c>
      <c r="S530" s="10">
        <v>0.74198249183634324</v>
      </c>
      <c r="T530" s="10">
        <v>-10.532169750237784</v>
      </c>
      <c r="U530" s="16">
        <v>8.0565793173653741E-2</v>
      </c>
      <c r="V530" s="16">
        <v>8.6493064121729333</v>
      </c>
      <c r="W530" s="10">
        <v>19.181476162410718</v>
      </c>
      <c r="X530" s="10" t="s">
        <v>902</v>
      </c>
      <c r="Y530" s="10" t="s">
        <v>902</v>
      </c>
      <c r="Z530" s="10">
        <v>1.5</v>
      </c>
      <c r="AA530" s="20" t="s">
        <v>552</v>
      </c>
      <c r="AB530" s="10" t="s">
        <v>902</v>
      </c>
      <c r="AC530" s="10" t="s">
        <v>902</v>
      </c>
      <c r="AD530" s="10" t="s">
        <v>902</v>
      </c>
      <c r="AE530" s="7" t="s">
        <v>5</v>
      </c>
      <c r="AF530" s="20" t="s">
        <v>27</v>
      </c>
      <c r="AG530" s="11" t="s">
        <v>2</v>
      </c>
      <c r="AH530" s="7" t="s">
        <v>1414</v>
      </c>
    </row>
    <row r="531" spans="1:34" s="7" customFormat="1" ht="16.5" customHeight="1">
      <c r="A531" s="7">
        <v>2012</v>
      </c>
      <c r="B531" s="12">
        <v>41126</v>
      </c>
      <c r="C531" s="7" t="s">
        <v>22</v>
      </c>
      <c r="D531" s="9" t="s">
        <v>23</v>
      </c>
      <c r="E531" s="9" t="s">
        <v>21</v>
      </c>
      <c r="F531" s="9" t="s">
        <v>7</v>
      </c>
      <c r="G531" s="7" t="s">
        <v>902</v>
      </c>
      <c r="H531" s="7" t="s">
        <v>903</v>
      </c>
      <c r="I531" s="124" t="s">
        <v>902</v>
      </c>
      <c r="J531" s="7">
        <v>1</v>
      </c>
      <c r="K531" s="124" t="s">
        <v>439</v>
      </c>
      <c r="L531" s="20" t="s">
        <v>904</v>
      </c>
      <c r="M531" s="16">
        <v>92.424072647094732</v>
      </c>
      <c r="N531" s="16">
        <v>17.830941200256348</v>
      </c>
      <c r="O531" s="16">
        <v>390.14665069580076</v>
      </c>
      <c r="P531" s="16">
        <v>16.911907291412355</v>
      </c>
      <c r="Q531" s="147">
        <v>6.7510558274807411E-2</v>
      </c>
      <c r="R531" s="147">
        <v>0.13306958170142025</v>
      </c>
      <c r="S531" s="10">
        <v>0.79139983021627691</v>
      </c>
      <c r="T531" s="10">
        <v>9.8792006839034876</v>
      </c>
      <c r="U531" s="16">
        <v>8.6804719795858052E-3</v>
      </c>
      <c r="V531" s="16">
        <v>8.4227242553126249</v>
      </c>
      <c r="W531" s="10">
        <v>-1.4564764285908627</v>
      </c>
      <c r="X531" s="10" t="s">
        <v>902</v>
      </c>
      <c r="Y531" s="10" t="s">
        <v>902</v>
      </c>
      <c r="Z531" s="10">
        <v>4.2</v>
      </c>
      <c r="AA531" s="20" t="s">
        <v>416</v>
      </c>
      <c r="AB531" s="7" t="s">
        <v>902</v>
      </c>
      <c r="AC531" s="7" t="s">
        <v>902</v>
      </c>
      <c r="AD531" s="7" t="s">
        <v>902</v>
      </c>
      <c r="AE531" s="7" t="s">
        <v>902</v>
      </c>
      <c r="AF531" s="20" t="s">
        <v>27</v>
      </c>
      <c r="AG531" s="11" t="s">
        <v>927</v>
      </c>
      <c r="AH531" s="7" t="s">
        <v>1242</v>
      </c>
    </row>
    <row r="532" spans="1:34" s="7" customFormat="1" ht="16.5" customHeight="1">
      <c r="A532" s="7">
        <v>2012</v>
      </c>
      <c r="B532" s="12">
        <v>41126</v>
      </c>
      <c r="C532" s="7" t="s">
        <v>22</v>
      </c>
      <c r="D532" s="9" t="s">
        <v>23</v>
      </c>
      <c r="E532" s="9" t="s">
        <v>21</v>
      </c>
      <c r="F532" s="9" t="s">
        <v>7</v>
      </c>
      <c r="G532" s="7" t="s">
        <v>902</v>
      </c>
      <c r="H532" s="7" t="s">
        <v>903</v>
      </c>
      <c r="I532" s="124" t="s">
        <v>902</v>
      </c>
      <c r="J532" s="7">
        <v>2</v>
      </c>
      <c r="K532" s="124" t="s">
        <v>441</v>
      </c>
      <c r="L532" s="20" t="s">
        <v>904</v>
      </c>
      <c r="M532" s="16">
        <v>92.42306264241536</v>
      </c>
      <c r="N532" s="16">
        <v>17.470355245802139</v>
      </c>
      <c r="O532" s="16">
        <v>388.78007337782117</v>
      </c>
      <c r="P532" s="16">
        <v>15.421394719017876</v>
      </c>
      <c r="Q532" s="147">
        <v>6.7810147147004798E-2</v>
      </c>
      <c r="R532" s="147">
        <v>0.16863563796505332</v>
      </c>
      <c r="S532" s="10">
        <v>0.79139983021627691</v>
      </c>
      <c r="T532" s="10">
        <v>9.412523528685</v>
      </c>
      <c r="U532" s="16">
        <v>2.0954924840307088E-2</v>
      </c>
      <c r="V532" s="16">
        <v>8.4227242553126249</v>
      </c>
      <c r="W532" s="10">
        <v>-0.98979927337237505</v>
      </c>
      <c r="X532" s="10" t="s">
        <v>902</v>
      </c>
      <c r="Y532" s="10" t="s">
        <v>902</v>
      </c>
      <c r="Z532" s="10">
        <v>4.2</v>
      </c>
      <c r="AA532" s="20" t="s">
        <v>440</v>
      </c>
      <c r="AB532" s="7" t="s">
        <v>902</v>
      </c>
      <c r="AC532" s="7" t="s">
        <v>902</v>
      </c>
      <c r="AD532" s="7" t="s">
        <v>902</v>
      </c>
      <c r="AE532" s="7" t="s">
        <v>902</v>
      </c>
      <c r="AF532" s="20" t="s">
        <v>27</v>
      </c>
      <c r="AG532" s="11" t="s">
        <v>927</v>
      </c>
      <c r="AH532" s="7" t="s">
        <v>1242</v>
      </c>
    </row>
    <row r="533" spans="1:34" s="7" customFormat="1" ht="16.5" customHeight="1">
      <c r="A533" s="7">
        <v>2012</v>
      </c>
      <c r="B533" s="12">
        <v>41126</v>
      </c>
      <c r="C533" s="7" t="s">
        <v>22</v>
      </c>
      <c r="D533" s="9" t="s">
        <v>23</v>
      </c>
      <c r="E533" s="9" t="s">
        <v>21</v>
      </c>
      <c r="F533" s="9" t="s">
        <v>7</v>
      </c>
      <c r="G533" s="7" t="s">
        <v>902</v>
      </c>
      <c r="H533" s="7" t="s">
        <v>903</v>
      </c>
      <c r="I533" s="124" t="s">
        <v>902</v>
      </c>
      <c r="J533" s="7">
        <v>3</v>
      </c>
      <c r="K533" s="124" t="s">
        <v>443</v>
      </c>
      <c r="L533" s="20" t="s">
        <v>904</v>
      </c>
      <c r="M533" s="16">
        <v>92.41634902954101</v>
      </c>
      <c r="N533" s="16">
        <v>17.540540790557863</v>
      </c>
      <c r="O533" s="16">
        <v>394.88760681152343</v>
      </c>
      <c r="P533" s="16">
        <v>16.005748176574706</v>
      </c>
      <c r="Q533" s="147">
        <v>6.9174919801298529E-2</v>
      </c>
      <c r="R533" s="147">
        <v>0.17896640789695084</v>
      </c>
      <c r="S533" s="10">
        <v>0.79139983021627691</v>
      </c>
      <c r="T533" s="10">
        <v>9.4766641263497338</v>
      </c>
      <c r="U533" s="16">
        <v>1.397570057919151E-2</v>
      </c>
      <c r="V533" s="16">
        <v>8.4227242553126249</v>
      </c>
      <c r="W533" s="10">
        <v>-1.0539398710371088</v>
      </c>
      <c r="X533" s="10" t="s">
        <v>902</v>
      </c>
      <c r="Y533" s="10" t="s">
        <v>902</v>
      </c>
      <c r="Z533" s="10">
        <v>4.2</v>
      </c>
      <c r="AA533" s="20" t="s">
        <v>442</v>
      </c>
      <c r="AB533" s="7" t="s">
        <v>902</v>
      </c>
      <c r="AC533" s="7" t="s">
        <v>902</v>
      </c>
      <c r="AD533" s="7" t="s">
        <v>902</v>
      </c>
      <c r="AE533" s="7" t="s">
        <v>902</v>
      </c>
      <c r="AF533" s="20" t="s">
        <v>27</v>
      </c>
      <c r="AG533" s="11" t="s">
        <v>927</v>
      </c>
      <c r="AH533" s="7" t="s">
        <v>1242</v>
      </c>
    </row>
    <row r="534" spans="1:34" s="7" customFormat="1" ht="16.5" customHeight="1">
      <c r="A534" s="7">
        <v>2012</v>
      </c>
      <c r="B534" s="12">
        <v>41129</v>
      </c>
      <c r="C534" s="7" t="s">
        <v>22</v>
      </c>
      <c r="D534" s="9" t="s">
        <v>23</v>
      </c>
      <c r="E534" s="9" t="s">
        <v>21</v>
      </c>
      <c r="F534" s="9" t="s">
        <v>7</v>
      </c>
      <c r="G534" s="7" t="s">
        <v>902</v>
      </c>
      <c r="H534" s="7" t="s">
        <v>903</v>
      </c>
      <c r="I534" s="124" t="s">
        <v>902</v>
      </c>
      <c r="J534" s="7">
        <v>4</v>
      </c>
      <c r="K534" s="124" t="s">
        <v>445</v>
      </c>
      <c r="L534" s="20" t="s">
        <v>904</v>
      </c>
      <c r="M534" s="16">
        <v>92.81754706887638</v>
      </c>
      <c r="N534" s="16">
        <v>11.8380168466007</v>
      </c>
      <c r="O534" s="16">
        <v>396.77591480928311</v>
      </c>
      <c r="P534" s="16">
        <v>12.267743671641631</v>
      </c>
      <c r="Q534" s="147">
        <v>7.8355242772137415E-2</v>
      </c>
      <c r="R534" s="147">
        <v>0.14111955277621746</v>
      </c>
      <c r="S534" s="10">
        <v>0.79139983021627691</v>
      </c>
      <c r="T534" s="10">
        <v>7.6642295706318775</v>
      </c>
      <c r="U534" s="16">
        <v>5.162568653331083E-3</v>
      </c>
      <c r="V534" s="16">
        <v>8.4227242553126249</v>
      </c>
      <c r="W534" s="10">
        <v>0.75849468468074743</v>
      </c>
      <c r="X534" s="10" t="s">
        <v>902</v>
      </c>
      <c r="Y534" s="10" t="s">
        <v>902</v>
      </c>
      <c r="Z534" s="10">
        <v>4.2</v>
      </c>
      <c r="AA534" s="20" t="s">
        <v>444</v>
      </c>
      <c r="AB534" s="7" t="s">
        <v>902</v>
      </c>
      <c r="AC534" s="7" t="s">
        <v>902</v>
      </c>
      <c r="AD534" s="7" t="s">
        <v>902</v>
      </c>
      <c r="AE534" s="7" t="s">
        <v>4</v>
      </c>
      <c r="AF534" s="20" t="s">
        <v>27</v>
      </c>
      <c r="AG534" s="11" t="s">
        <v>927</v>
      </c>
      <c r="AH534" s="7" t="s">
        <v>1242</v>
      </c>
    </row>
    <row r="535" spans="1:34" s="7" customFormat="1" ht="16.5" customHeight="1">
      <c r="A535" s="7">
        <v>2012</v>
      </c>
      <c r="B535" s="12">
        <v>41129</v>
      </c>
      <c r="C535" s="7" t="s">
        <v>22</v>
      </c>
      <c r="D535" s="9" t="s">
        <v>23</v>
      </c>
      <c r="E535" s="9" t="s">
        <v>21</v>
      </c>
      <c r="F535" s="9" t="s">
        <v>7</v>
      </c>
      <c r="G535" s="7" t="s">
        <v>902</v>
      </c>
      <c r="H535" s="7" t="s">
        <v>903</v>
      </c>
      <c r="I535" s="124" t="s">
        <v>902</v>
      </c>
      <c r="J535" s="7">
        <v>5</v>
      </c>
      <c r="K535" s="124" t="s">
        <v>447</v>
      </c>
      <c r="L535" s="20" t="s">
        <v>904</v>
      </c>
      <c r="M535" s="16">
        <v>92.817102532637747</v>
      </c>
      <c r="N535" s="16">
        <v>11.867891964159513</v>
      </c>
      <c r="O535" s="16">
        <v>383.88492463764391</v>
      </c>
      <c r="P535" s="16">
        <v>11.941028996517783</v>
      </c>
      <c r="Q535" s="147">
        <v>9.0515714874000924E-2</v>
      </c>
      <c r="R535" s="147">
        <v>0.22257587406784296</v>
      </c>
      <c r="S535" s="10">
        <v>0.79139983021627691</v>
      </c>
      <c r="T535" s="10">
        <v>6.9192050613640053</v>
      </c>
      <c r="U535" s="16">
        <v>6.9211165110270182E-3</v>
      </c>
      <c r="V535" s="16">
        <v>8.4227242553126249</v>
      </c>
      <c r="W535" s="10">
        <v>1.5035191939486197</v>
      </c>
      <c r="X535" s="10" t="s">
        <v>902</v>
      </c>
      <c r="Y535" s="10" t="s">
        <v>902</v>
      </c>
      <c r="Z535" s="10">
        <v>4.2</v>
      </c>
      <c r="AA535" s="20" t="s">
        <v>446</v>
      </c>
      <c r="AB535" s="7" t="s">
        <v>902</v>
      </c>
      <c r="AC535" s="7" t="s">
        <v>902</v>
      </c>
      <c r="AD535" s="7" t="s">
        <v>902</v>
      </c>
      <c r="AE535" s="7" t="s">
        <v>4</v>
      </c>
      <c r="AF535" s="20" t="s">
        <v>27</v>
      </c>
      <c r="AG535" s="11" t="s">
        <v>927</v>
      </c>
      <c r="AH535" s="7" t="s">
        <v>1242</v>
      </c>
    </row>
    <row r="536" spans="1:34" s="7" customFormat="1" ht="16.5" customHeight="1">
      <c r="A536" s="7">
        <v>2012</v>
      </c>
      <c r="B536" s="12">
        <v>41129</v>
      </c>
      <c r="C536" s="7" t="s">
        <v>22</v>
      </c>
      <c r="D536" s="9" t="s">
        <v>23</v>
      </c>
      <c r="E536" s="9" t="s">
        <v>21</v>
      </c>
      <c r="F536" s="9" t="s">
        <v>7</v>
      </c>
      <c r="G536" s="7" t="s">
        <v>902</v>
      </c>
      <c r="H536" s="7" t="s">
        <v>903</v>
      </c>
      <c r="I536" s="124" t="s">
        <v>902</v>
      </c>
      <c r="J536" s="7">
        <v>6</v>
      </c>
      <c r="K536" s="124" t="s">
        <v>449</v>
      </c>
      <c r="L536" s="20" t="s">
        <v>904</v>
      </c>
      <c r="M536" s="16">
        <v>92.821148681640622</v>
      </c>
      <c r="N536" s="16">
        <v>11.500340938568115</v>
      </c>
      <c r="O536" s="16">
        <v>392.09567565917968</v>
      </c>
      <c r="P536" s="16">
        <v>12.170731067657471</v>
      </c>
      <c r="Q536" s="147">
        <v>9.1440914757549757E-2</v>
      </c>
      <c r="R536" s="147">
        <v>0.23405591398477554</v>
      </c>
      <c r="S536" s="10">
        <v>0.79139983021627691</v>
      </c>
      <c r="T536" s="10">
        <v>7.1845225609416552</v>
      </c>
      <c r="U536" s="16">
        <v>5.6876734683388155E-3</v>
      </c>
      <c r="V536" s="16">
        <v>8.4227242553126249</v>
      </c>
      <c r="W536" s="10">
        <v>1.2382016943709697</v>
      </c>
      <c r="X536" s="10" t="s">
        <v>902</v>
      </c>
      <c r="Y536" s="10" t="s">
        <v>902</v>
      </c>
      <c r="Z536" s="10">
        <v>4.2</v>
      </c>
      <c r="AA536" s="20" t="s">
        <v>448</v>
      </c>
      <c r="AB536" s="7" t="s">
        <v>902</v>
      </c>
      <c r="AC536" s="7" t="s">
        <v>902</v>
      </c>
      <c r="AD536" s="7" t="s">
        <v>902</v>
      </c>
      <c r="AE536" s="7" t="s">
        <v>4</v>
      </c>
      <c r="AF536" s="20" t="s">
        <v>27</v>
      </c>
      <c r="AG536" s="11" t="s">
        <v>927</v>
      </c>
      <c r="AH536" s="7" t="s">
        <v>1415</v>
      </c>
    </row>
    <row r="537" spans="1:34" s="7" customFormat="1" ht="16.5" customHeight="1">
      <c r="A537" s="7">
        <v>2012</v>
      </c>
      <c r="B537" s="12">
        <v>41129</v>
      </c>
      <c r="C537" s="7" t="s">
        <v>22</v>
      </c>
      <c r="D537" s="9" t="s">
        <v>23</v>
      </c>
      <c r="E537" s="9" t="s">
        <v>21</v>
      </c>
      <c r="F537" s="9" t="s">
        <v>7</v>
      </c>
      <c r="G537" s="7" t="s">
        <v>902</v>
      </c>
      <c r="H537" s="7" t="s">
        <v>903</v>
      </c>
      <c r="I537" s="124" t="s">
        <v>902</v>
      </c>
      <c r="J537" s="7">
        <v>7</v>
      </c>
      <c r="K537" s="124" t="s">
        <v>451</v>
      </c>
      <c r="L537" s="20" t="s">
        <v>77</v>
      </c>
      <c r="M537" s="16">
        <v>92.821603012084964</v>
      </c>
      <c r="N537" s="16">
        <v>11.630055952072144</v>
      </c>
      <c r="O537" s="16">
        <v>392.75351409912111</v>
      </c>
      <c r="P537" s="16">
        <v>12.284767866134644</v>
      </c>
      <c r="Q537" s="147">
        <v>55.858904838562012</v>
      </c>
      <c r="R537" s="147">
        <v>2.2972297668457031</v>
      </c>
      <c r="S537" s="10">
        <v>0.79139983021627691</v>
      </c>
      <c r="T537" s="10">
        <v>2.7934747866967595</v>
      </c>
      <c r="U537" s="16">
        <v>4.9817182067641635E-3</v>
      </c>
      <c r="V537" s="16">
        <v>8.4227242553126249</v>
      </c>
      <c r="W537" s="10">
        <v>5.6292494686158658</v>
      </c>
      <c r="X537" s="10" t="s">
        <v>902</v>
      </c>
      <c r="Y537" s="10" t="s">
        <v>902</v>
      </c>
      <c r="Z537" s="10">
        <v>4.2</v>
      </c>
      <c r="AA537" s="20" t="s">
        <v>450</v>
      </c>
      <c r="AB537" s="7">
        <v>454.5</v>
      </c>
      <c r="AC537" s="7">
        <v>279.66666666666669</v>
      </c>
      <c r="AD537" s="7">
        <v>0.61532819948661532</v>
      </c>
      <c r="AE537" s="7" t="s">
        <v>4</v>
      </c>
      <c r="AF537" s="20" t="s">
        <v>27</v>
      </c>
      <c r="AG537" s="11" t="s">
        <v>0</v>
      </c>
      <c r="AH537" s="7" t="s">
        <v>1416</v>
      </c>
    </row>
    <row r="538" spans="1:34" s="7" customFormat="1" ht="16.5" customHeight="1">
      <c r="A538" s="7">
        <v>2012</v>
      </c>
      <c r="B538" s="12">
        <v>41129</v>
      </c>
      <c r="C538" s="7" t="s">
        <v>22</v>
      </c>
      <c r="D538" s="9" t="s">
        <v>23</v>
      </c>
      <c r="E538" s="9" t="s">
        <v>21</v>
      </c>
      <c r="F538" s="9" t="s">
        <v>7</v>
      </c>
      <c r="G538" s="7" t="s">
        <v>902</v>
      </c>
      <c r="H538" s="7" t="s">
        <v>903</v>
      </c>
      <c r="I538" s="124" t="s">
        <v>902</v>
      </c>
      <c r="J538" s="7">
        <v>8</v>
      </c>
      <c r="K538" s="124" t="s">
        <v>453</v>
      </c>
      <c r="L538" s="20" t="s">
        <v>77</v>
      </c>
      <c r="M538" s="16">
        <v>92.822922556023855</v>
      </c>
      <c r="N538" s="16">
        <v>11.432978529679147</v>
      </c>
      <c r="O538" s="16">
        <v>388.99619012129932</v>
      </c>
      <c r="P538" s="16">
        <v>12.211342410037393</v>
      </c>
      <c r="Q538" s="147">
        <v>61.203029231021276</v>
      </c>
      <c r="R538" s="147">
        <v>1.774078369140625</v>
      </c>
      <c r="S538" s="10">
        <v>0.79139983021627691</v>
      </c>
      <c r="T538" s="10">
        <v>4.102289314870557</v>
      </c>
      <c r="U538" s="16">
        <v>5.7814874147113999E-3</v>
      </c>
      <c r="V538" s="16">
        <v>8.4227242553126249</v>
      </c>
      <c r="W538" s="10">
        <v>4.3204349404420679</v>
      </c>
      <c r="X538" s="10" t="s">
        <v>902</v>
      </c>
      <c r="Y538" s="10" t="s">
        <v>902</v>
      </c>
      <c r="Z538" s="10">
        <v>4.2</v>
      </c>
      <c r="AA538" s="20" t="s">
        <v>452</v>
      </c>
      <c r="AB538" s="7">
        <v>494.33333333333331</v>
      </c>
      <c r="AC538" s="7">
        <v>341.66666666666669</v>
      </c>
      <c r="AD538" s="7">
        <v>0.69116655428186113</v>
      </c>
      <c r="AE538" s="7" t="s">
        <v>4</v>
      </c>
      <c r="AF538" s="20" t="s">
        <v>27</v>
      </c>
      <c r="AG538" s="11" t="s">
        <v>0</v>
      </c>
      <c r="AH538" s="7" t="s">
        <v>1416</v>
      </c>
    </row>
    <row r="539" spans="1:34" s="7" customFormat="1" ht="16.5" customHeight="1">
      <c r="A539" s="7">
        <v>2012</v>
      </c>
      <c r="B539" s="12">
        <v>41129</v>
      </c>
      <c r="C539" s="7" t="s">
        <v>22</v>
      </c>
      <c r="D539" s="9" t="s">
        <v>23</v>
      </c>
      <c r="E539" s="9" t="s">
        <v>21</v>
      </c>
      <c r="F539" s="9" t="s">
        <v>7</v>
      </c>
      <c r="G539" s="7" t="s">
        <v>902</v>
      </c>
      <c r="H539" s="7" t="s">
        <v>903</v>
      </c>
      <c r="I539" s="124" t="s">
        <v>902</v>
      </c>
      <c r="J539" s="7">
        <v>9</v>
      </c>
      <c r="K539" s="124" t="s">
        <v>455</v>
      </c>
      <c r="L539" s="20" t="s">
        <v>75</v>
      </c>
      <c r="M539" s="16">
        <v>92.820843505859372</v>
      </c>
      <c r="N539" s="16">
        <v>11.95781750679016</v>
      </c>
      <c r="O539" s="16">
        <v>393.32379302978518</v>
      </c>
      <c r="P539" s="16">
        <v>12.077217483520508</v>
      </c>
      <c r="Q539" s="147">
        <v>97.476797103881836</v>
      </c>
      <c r="R539" s="147">
        <v>3.5554122924804687</v>
      </c>
      <c r="S539" s="10">
        <v>0.79139983021627691</v>
      </c>
      <c r="T539" s="10">
        <v>2.1468684594444416</v>
      </c>
      <c r="U539" s="16">
        <v>1.0044331658155398E-2</v>
      </c>
      <c r="V539" s="16">
        <v>8.4227242553126249</v>
      </c>
      <c r="W539" s="10">
        <v>6.2758557958681838</v>
      </c>
      <c r="X539" s="10" t="s">
        <v>902</v>
      </c>
      <c r="Y539" s="10" t="s">
        <v>902</v>
      </c>
      <c r="Z539" s="10">
        <v>4.2</v>
      </c>
      <c r="AA539" s="20" t="s">
        <v>454</v>
      </c>
      <c r="AB539" s="7">
        <v>448.33333333333331</v>
      </c>
      <c r="AC539" s="7">
        <v>302.33333333333331</v>
      </c>
      <c r="AD539" s="7">
        <v>0.67434944237918215</v>
      </c>
      <c r="AE539" s="7" t="s">
        <v>4</v>
      </c>
      <c r="AF539" s="20" t="s">
        <v>27</v>
      </c>
      <c r="AG539" s="11" t="s">
        <v>0</v>
      </c>
      <c r="AH539" s="7" t="s">
        <v>1242</v>
      </c>
    </row>
    <row r="540" spans="1:34" s="7" customFormat="1" ht="16.5" customHeight="1">
      <c r="A540" s="7">
        <v>2012</v>
      </c>
      <c r="B540" s="12">
        <v>41129</v>
      </c>
      <c r="C540" s="7" t="s">
        <v>22</v>
      </c>
      <c r="D540" s="9" t="s">
        <v>23</v>
      </c>
      <c r="E540" s="9" t="s">
        <v>21</v>
      </c>
      <c r="F540" s="9" t="s">
        <v>7</v>
      </c>
      <c r="G540" s="7" t="s">
        <v>902</v>
      </c>
      <c r="H540" s="7" t="s">
        <v>903</v>
      </c>
      <c r="I540" s="124" t="s">
        <v>902</v>
      </c>
      <c r="J540" s="7">
        <v>10</v>
      </c>
      <c r="K540" s="124" t="s">
        <v>457</v>
      </c>
      <c r="L540" s="20" t="s">
        <v>75</v>
      </c>
      <c r="M540" s="16">
        <v>92.818911743164065</v>
      </c>
      <c r="N540" s="16">
        <v>12.903083896636963</v>
      </c>
      <c r="O540" s="16">
        <v>385.9947448730469</v>
      </c>
      <c r="P540" s="16">
        <v>12.796768522262573</v>
      </c>
      <c r="Q540" s="147">
        <v>102.3613353729248</v>
      </c>
      <c r="R540" s="147">
        <v>1.957550048828125</v>
      </c>
      <c r="S540" s="10">
        <v>0.79139983021627691</v>
      </c>
      <c r="T540" s="10">
        <v>4.2349179392834673</v>
      </c>
      <c r="U540" s="16">
        <v>7.3348679936918104E-3</v>
      </c>
      <c r="V540" s="16">
        <v>8.4227242553126249</v>
      </c>
      <c r="W540" s="10">
        <v>4.1878063160291576</v>
      </c>
      <c r="X540" s="10" t="s">
        <v>902</v>
      </c>
      <c r="Y540" s="10" t="s">
        <v>902</v>
      </c>
      <c r="Z540" s="10">
        <v>4.2</v>
      </c>
      <c r="AA540" s="20" t="s">
        <v>456</v>
      </c>
      <c r="AB540" s="7" t="s">
        <v>902</v>
      </c>
      <c r="AC540" s="7" t="s">
        <v>902</v>
      </c>
      <c r="AD540" s="7" t="s">
        <v>902</v>
      </c>
      <c r="AE540" s="7" t="s">
        <v>4</v>
      </c>
      <c r="AF540" s="20" t="s">
        <v>27</v>
      </c>
      <c r="AG540" s="11" t="s">
        <v>0</v>
      </c>
      <c r="AH540" s="7" t="s">
        <v>1417</v>
      </c>
    </row>
    <row r="541" spans="1:34" s="7" customFormat="1" ht="16.5" customHeight="1">
      <c r="A541" s="7">
        <v>2012</v>
      </c>
      <c r="B541" s="12">
        <v>41126</v>
      </c>
      <c r="C541" s="7" t="s">
        <v>22</v>
      </c>
      <c r="D541" s="9" t="s">
        <v>23</v>
      </c>
      <c r="E541" s="9" t="s">
        <v>21</v>
      </c>
      <c r="F541" s="9" t="s">
        <v>7</v>
      </c>
      <c r="G541" s="7" t="s">
        <v>902</v>
      </c>
      <c r="H541" s="7" t="s">
        <v>903</v>
      </c>
      <c r="I541" s="124" t="s">
        <v>902</v>
      </c>
      <c r="J541" s="7">
        <v>32</v>
      </c>
      <c r="K541" s="124" t="s">
        <v>489</v>
      </c>
      <c r="L541" s="20" t="s">
        <v>77</v>
      </c>
      <c r="M541" s="16">
        <v>92.422751532660584</v>
      </c>
      <c r="N541" s="16">
        <v>18.317388852437336</v>
      </c>
      <c r="O541" s="16">
        <v>381.14457363552515</v>
      </c>
      <c r="P541" s="16">
        <v>16.752619001600479</v>
      </c>
      <c r="Q541" s="147">
        <v>141.58435906304254</v>
      </c>
      <c r="R541" s="147">
        <v>24.24285888671875</v>
      </c>
      <c r="S541" s="10">
        <v>0.79139983021627691</v>
      </c>
      <c r="T541" s="10">
        <v>4.9303044151395365</v>
      </c>
      <c r="U541" s="16">
        <v>1.3615439919864429E-2</v>
      </c>
      <c r="V541" s="16">
        <v>8.4227242553126249</v>
      </c>
      <c r="W541" s="10">
        <v>3.4924198401730884</v>
      </c>
      <c r="X541" s="10" t="s">
        <v>902</v>
      </c>
      <c r="Y541" s="10" t="s">
        <v>902</v>
      </c>
      <c r="Z541" s="10">
        <v>4.2</v>
      </c>
      <c r="AA541" s="20" t="s">
        <v>308</v>
      </c>
      <c r="AB541" s="7" t="s">
        <v>902</v>
      </c>
      <c r="AC541" s="7" t="s">
        <v>902</v>
      </c>
      <c r="AD541" s="7" t="s">
        <v>902</v>
      </c>
      <c r="AE541" s="7" t="s">
        <v>3</v>
      </c>
      <c r="AF541" s="20" t="s">
        <v>27</v>
      </c>
      <c r="AG541" s="11" t="s">
        <v>864</v>
      </c>
      <c r="AH541" s="7" t="s">
        <v>1242</v>
      </c>
    </row>
    <row r="542" spans="1:34" s="7" customFormat="1" ht="16.5" customHeight="1">
      <c r="A542" s="7">
        <v>2012</v>
      </c>
      <c r="B542" s="12">
        <v>41129</v>
      </c>
      <c r="C542" s="7" t="s">
        <v>22</v>
      </c>
      <c r="D542" s="9" t="s">
        <v>23</v>
      </c>
      <c r="E542" s="9" t="s">
        <v>21</v>
      </c>
      <c r="F542" s="9" t="s">
        <v>7</v>
      </c>
      <c r="G542" s="7" t="s">
        <v>902</v>
      </c>
      <c r="H542" s="7" t="s">
        <v>903</v>
      </c>
      <c r="I542" s="124" t="s">
        <v>902</v>
      </c>
      <c r="J542" s="7">
        <v>11</v>
      </c>
      <c r="K542" s="124" t="s">
        <v>459</v>
      </c>
      <c r="L542" s="20" t="s">
        <v>74</v>
      </c>
      <c r="M542" s="16">
        <v>92.808885013355933</v>
      </c>
      <c r="N542" s="16">
        <v>13.688241509830251</v>
      </c>
      <c r="O542" s="16">
        <v>383.76982026941636</v>
      </c>
      <c r="P542" s="16">
        <v>13.208945498746985</v>
      </c>
      <c r="Q542" s="147">
        <v>177.95161437988281</v>
      </c>
      <c r="R542" s="147">
        <v>7.3908843994140625</v>
      </c>
      <c r="S542" s="10">
        <v>0.79139983021627691</v>
      </c>
      <c r="T542" s="10">
        <v>3.0473891031994351</v>
      </c>
      <c r="U542" s="16">
        <v>7.5995115672840789E-3</v>
      </c>
      <c r="V542" s="16">
        <v>8.4227242553126249</v>
      </c>
      <c r="W542" s="10">
        <v>5.3753351521131894</v>
      </c>
      <c r="X542" s="10" t="s">
        <v>902</v>
      </c>
      <c r="Y542" s="10" t="s">
        <v>902</v>
      </c>
      <c r="Z542" s="10">
        <v>4.2</v>
      </c>
      <c r="AA542" s="20" t="s">
        <v>458</v>
      </c>
      <c r="AB542" s="7" t="s">
        <v>902</v>
      </c>
      <c r="AC542" s="7" t="s">
        <v>902</v>
      </c>
      <c r="AD542" s="7">
        <v>0.68666666666666676</v>
      </c>
      <c r="AE542" s="7" t="s">
        <v>4</v>
      </c>
      <c r="AF542" s="20" t="s">
        <v>27</v>
      </c>
      <c r="AG542" s="11" t="s">
        <v>0</v>
      </c>
      <c r="AH542" s="7" t="s">
        <v>1418</v>
      </c>
    </row>
    <row r="543" spans="1:34" s="7" customFormat="1" ht="16.5" customHeight="1">
      <c r="A543" s="7">
        <v>2012</v>
      </c>
      <c r="B543" s="12">
        <v>41129</v>
      </c>
      <c r="C543" s="7" t="s">
        <v>22</v>
      </c>
      <c r="D543" s="9" t="s">
        <v>23</v>
      </c>
      <c r="E543" s="9" t="s">
        <v>21</v>
      </c>
      <c r="F543" s="9" t="s">
        <v>7</v>
      </c>
      <c r="G543" s="7" t="s">
        <v>902</v>
      </c>
      <c r="H543" s="7" t="s">
        <v>903</v>
      </c>
      <c r="I543" s="124" t="s">
        <v>902</v>
      </c>
      <c r="J543" s="7">
        <v>12</v>
      </c>
      <c r="K543" s="124" t="s">
        <v>461</v>
      </c>
      <c r="L543" s="20" t="s">
        <v>74</v>
      </c>
      <c r="M543" s="16">
        <v>92.811526162283755</v>
      </c>
      <c r="N543" s="16">
        <v>13.561739989689418</v>
      </c>
      <c r="O543" s="16">
        <v>380.9741014753069</v>
      </c>
      <c r="P543" s="16">
        <v>13.09707396371024</v>
      </c>
      <c r="Q543" s="147">
        <v>202.95323181152344</v>
      </c>
      <c r="R543" s="147">
        <v>3.410675048828125</v>
      </c>
      <c r="S543" s="10">
        <v>0.79139983021627691</v>
      </c>
      <c r="T543" s="10">
        <v>2.732677962588145</v>
      </c>
      <c r="U543" s="16">
        <v>8.6556780469286571E-3</v>
      </c>
      <c r="V543" s="16">
        <v>8.4227242553126249</v>
      </c>
      <c r="W543" s="10">
        <v>5.6900462927244799</v>
      </c>
      <c r="X543" s="10" t="s">
        <v>902</v>
      </c>
      <c r="Y543" s="10" t="s">
        <v>902</v>
      </c>
      <c r="Z543" s="10">
        <v>4.2</v>
      </c>
      <c r="AA543" s="20" t="s">
        <v>460</v>
      </c>
      <c r="AB543" s="7" t="s">
        <v>902</v>
      </c>
      <c r="AC543" s="7" t="s">
        <v>902</v>
      </c>
      <c r="AD543" s="7">
        <v>0.55333333333333323</v>
      </c>
      <c r="AE543" s="7" t="s">
        <v>4</v>
      </c>
      <c r="AF543" s="20" t="s">
        <v>27</v>
      </c>
      <c r="AG543" s="11" t="s">
        <v>0</v>
      </c>
      <c r="AH543" s="7" t="s">
        <v>1418</v>
      </c>
    </row>
    <row r="544" spans="1:34" s="7" customFormat="1" ht="16.5" customHeight="1">
      <c r="A544" s="7">
        <v>2012</v>
      </c>
      <c r="B544" s="12">
        <v>41126</v>
      </c>
      <c r="C544" s="7" t="s">
        <v>22</v>
      </c>
      <c r="D544" s="9" t="s">
        <v>23</v>
      </c>
      <c r="E544" s="9" t="s">
        <v>21</v>
      </c>
      <c r="F544" s="9" t="s">
        <v>7</v>
      </c>
      <c r="G544" s="7" t="s">
        <v>902</v>
      </c>
      <c r="H544" s="7" t="s">
        <v>903</v>
      </c>
      <c r="I544" s="124" t="s">
        <v>902</v>
      </c>
      <c r="J544" s="7">
        <v>33</v>
      </c>
      <c r="K544" s="124" t="s">
        <v>490</v>
      </c>
      <c r="L544" s="20" t="s">
        <v>75</v>
      </c>
      <c r="M544" s="16">
        <v>92.431521097819015</v>
      </c>
      <c r="N544" s="16">
        <v>19.057188563876682</v>
      </c>
      <c r="O544" s="16">
        <v>372.184087117513</v>
      </c>
      <c r="P544" s="16">
        <v>18.035428576999241</v>
      </c>
      <c r="Q544" s="147">
        <v>253.57911597357855</v>
      </c>
      <c r="R544" s="147">
        <v>53.060562133789063</v>
      </c>
      <c r="S544" s="10">
        <v>0.79139983021627691</v>
      </c>
      <c r="T544" s="10">
        <v>4.6399807800716175</v>
      </c>
      <c r="U544" s="16">
        <v>7.0281781648334702E-3</v>
      </c>
      <c r="V544" s="16">
        <v>8.4227242553126249</v>
      </c>
      <c r="W544" s="10">
        <v>3.7827434752410074</v>
      </c>
      <c r="X544" s="10" t="s">
        <v>902</v>
      </c>
      <c r="Y544" s="10" t="s">
        <v>902</v>
      </c>
      <c r="Z544" s="10">
        <v>4.2</v>
      </c>
      <c r="AA544" s="20" t="s">
        <v>305</v>
      </c>
      <c r="AB544" s="7" t="s">
        <v>902</v>
      </c>
      <c r="AC544" s="7" t="s">
        <v>902</v>
      </c>
      <c r="AD544" s="7" t="s">
        <v>902</v>
      </c>
      <c r="AE544" s="7" t="s">
        <v>3</v>
      </c>
      <c r="AF544" s="20" t="s">
        <v>27</v>
      </c>
      <c r="AG544" s="11" t="s">
        <v>864</v>
      </c>
      <c r="AH544" s="7" t="s">
        <v>1242</v>
      </c>
    </row>
    <row r="545" spans="1:34" s="7" customFormat="1" ht="16.5" customHeight="1">
      <c r="A545" s="7">
        <v>2012</v>
      </c>
      <c r="B545" s="12">
        <v>41129</v>
      </c>
      <c r="C545" s="7" t="s">
        <v>22</v>
      </c>
      <c r="D545" s="9" t="s">
        <v>23</v>
      </c>
      <c r="E545" s="9" t="s">
        <v>21</v>
      </c>
      <c r="F545" s="9" t="s">
        <v>7</v>
      </c>
      <c r="G545" s="7" t="s">
        <v>902</v>
      </c>
      <c r="H545" s="7" t="s">
        <v>903</v>
      </c>
      <c r="I545" s="124" t="s">
        <v>902</v>
      </c>
      <c r="J545" s="7">
        <v>13</v>
      </c>
      <c r="K545" s="124" t="s">
        <v>463</v>
      </c>
      <c r="L545" s="20" t="s">
        <v>909</v>
      </c>
      <c r="M545" s="16">
        <v>92.80019912719726</v>
      </c>
      <c r="N545" s="16">
        <v>12.769346570968628</v>
      </c>
      <c r="O545" s="16">
        <v>381.10394592285155</v>
      </c>
      <c r="P545" s="16">
        <v>12.646024322509765</v>
      </c>
      <c r="Q545" s="147">
        <v>265.42170028686525</v>
      </c>
      <c r="R545" s="147">
        <v>22.56329345703125</v>
      </c>
      <c r="S545" s="10">
        <v>0.79139983021627691</v>
      </c>
      <c r="T545" s="10">
        <v>-2.6557040669870062</v>
      </c>
      <c r="U545" s="16">
        <v>8.7256768592318193E-3</v>
      </c>
      <c r="V545" s="16">
        <v>8.4227242553126249</v>
      </c>
      <c r="W545" s="10">
        <v>11.078428322299631</v>
      </c>
      <c r="X545" s="10" t="s">
        <v>902</v>
      </c>
      <c r="Y545" s="10" t="s">
        <v>902</v>
      </c>
      <c r="Z545" s="10">
        <v>4.2</v>
      </c>
      <c r="AA545" s="20" t="s">
        <v>462</v>
      </c>
      <c r="AB545" s="7" t="s">
        <v>902</v>
      </c>
      <c r="AC545" s="7" t="s">
        <v>902</v>
      </c>
      <c r="AD545" s="7">
        <v>0.66500000000000004</v>
      </c>
      <c r="AE545" s="7" t="s">
        <v>4</v>
      </c>
      <c r="AF545" s="20" t="s">
        <v>27</v>
      </c>
      <c r="AG545" s="11" t="s">
        <v>0</v>
      </c>
      <c r="AH545" s="7" t="s">
        <v>1419</v>
      </c>
    </row>
    <row r="546" spans="1:34" s="7" customFormat="1" ht="16.5" customHeight="1">
      <c r="A546" s="7">
        <v>2012</v>
      </c>
      <c r="B546" s="12">
        <v>41126</v>
      </c>
      <c r="C546" s="7" t="s">
        <v>22</v>
      </c>
      <c r="D546" s="26" t="s">
        <v>23</v>
      </c>
      <c r="E546" s="9" t="s">
        <v>21</v>
      </c>
      <c r="F546" s="9" t="s">
        <v>7</v>
      </c>
      <c r="G546" s="7" t="s">
        <v>902</v>
      </c>
      <c r="H546" s="7" t="s">
        <v>903</v>
      </c>
      <c r="I546" s="124" t="s">
        <v>902</v>
      </c>
      <c r="J546" s="7">
        <v>24</v>
      </c>
      <c r="K546" s="124" t="s">
        <v>479</v>
      </c>
      <c r="L546" s="20" t="s">
        <v>74</v>
      </c>
      <c r="M546" s="16">
        <v>92.43988037109375</v>
      </c>
      <c r="N546" s="16">
        <v>18.199114749306126</v>
      </c>
      <c r="O546" s="16">
        <v>375.72074488589641</v>
      </c>
      <c r="P546" s="16">
        <v>16.419319152832031</v>
      </c>
      <c r="Q546" s="147">
        <v>267.04606708727385</v>
      </c>
      <c r="R546" s="147">
        <v>9.98876953125</v>
      </c>
      <c r="S546" s="10">
        <v>0.79139983021627691</v>
      </c>
      <c r="T546" s="10">
        <v>-0.51338637940633269</v>
      </c>
      <c r="U546" s="16">
        <v>1.5190397229110985E-2</v>
      </c>
      <c r="V546" s="16">
        <v>8.4227242553126249</v>
      </c>
      <c r="W546" s="10">
        <v>8.9361106347189576</v>
      </c>
      <c r="X546" s="10" t="s">
        <v>902</v>
      </c>
      <c r="Y546" s="10" t="s">
        <v>902</v>
      </c>
      <c r="Z546" s="10">
        <v>4.2</v>
      </c>
      <c r="AA546" s="20" t="s">
        <v>409</v>
      </c>
      <c r="AB546" s="7" t="s">
        <v>902</v>
      </c>
      <c r="AC546" s="7" t="s">
        <v>902</v>
      </c>
      <c r="AD546" s="7" t="s">
        <v>902</v>
      </c>
      <c r="AE546" s="7" t="s">
        <v>5</v>
      </c>
      <c r="AF546" s="19" t="s">
        <v>27</v>
      </c>
      <c r="AG546" s="34" t="s">
        <v>2</v>
      </c>
      <c r="AH546" s="7" t="s">
        <v>1420</v>
      </c>
    </row>
    <row r="547" spans="1:34" s="7" customFormat="1" ht="16.5" customHeight="1">
      <c r="A547" s="7">
        <v>2012</v>
      </c>
      <c r="B547" s="12">
        <v>41126</v>
      </c>
      <c r="C547" s="7" t="s">
        <v>22</v>
      </c>
      <c r="D547" s="9" t="s">
        <v>23</v>
      </c>
      <c r="E547" s="9" t="s">
        <v>21</v>
      </c>
      <c r="F547" s="9" t="s">
        <v>7</v>
      </c>
      <c r="G547" s="7" t="s">
        <v>902</v>
      </c>
      <c r="H547" s="7" t="s">
        <v>903</v>
      </c>
      <c r="I547" s="124" t="s">
        <v>902</v>
      </c>
      <c r="J547" s="7">
        <v>34</v>
      </c>
      <c r="K547" s="124" t="s">
        <v>491</v>
      </c>
      <c r="L547" s="20" t="s">
        <v>75</v>
      </c>
      <c r="M547" s="16">
        <v>92.425373077392578</v>
      </c>
      <c r="N547" s="16">
        <v>18.783125029669868</v>
      </c>
      <c r="O547" s="16">
        <v>373.97420247395831</v>
      </c>
      <c r="P547" s="16">
        <v>17.431953112284344</v>
      </c>
      <c r="Q547" s="147">
        <v>283.45347934299048</v>
      </c>
      <c r="R547" s="147">
        <v>27.5302734375</v>
      </c>
      <c r="S547" s="10">
        <v>0.79139983021627691</v>
      </c>
      <c r="T547" s="10">
        <v>1.4585691667112535</v>
      </c>
      <c r="U547" s="16">
        <v>1.1779034223841932E-2</v>
      </c>
      <c r="V547" s="16">
        <v>8.4227242553126249</v>
      </c>
      <c r="W547" s="10">
        <v>6.9641550886013714</v>
      </c>
      <c r="X547" s="10" t="s">
        <v>902</v>
      </c>
      <c r="Y547" s="10" t="s">
        <v>902</v>
      </c>
      <c r="Z547" s="10">
        <v>4.2</v>
      </c>
      <c r="AA547" s="20" t="s">
        <v>306</v>
      </c>
      <c r="AB547" s="7" t="s">
        <v>902</v>
      </c>
      <c r="AC547" s="7" t="s">
        <v>902</v>
      </c>
      <c r="AD547" s="7" t="s">
        <v>902</v>
      </c>
      <c r="AE547" s="7" t="s">
        <v>3</v>
      </c>
      <c r="AF547" s="20" t="s">
        <v>27</v>
      </c>
      <c r="AG547" s="11" t="s">
        <v>864</v>
      </c>
      <c r="AH547" s="7" t="s">
        <v>1242</v>
      </c>
    </row>
    <row r="548" spans="1:34" s="7" customFormat="1" ht="16.5" customHeight="1">
      <c r="A548" s="7">
        <v>2012</v>
      </c>
      <c r="B548" s="12">
        <v>41126</v>
      </c>
      <c r="C548" s="7" t="s">
        <v>22</v>
      </c>
      <c r="D548" s="9" t="s">
        <v>23</v>
      </c>
      <c r="E548" s="9" t="s">
        <v>21</v>
      </c>
      <c r="F548" s="9" t="s">
        <v>7</v>
      </c>
      <c r="G548" s="7" t="s">
        <v>902</v>
      </c>
      <c r="H548" s="7" t="s">
        <v>903</v>
      </c>
      <c r="I548" s="124" t="s">
        <v>902</v>
      </c>
      <c r="J548" s="7">
        <v>19</v>
      </c>
      <c r="K548" s="124" t="s">
        <v>474</v>
      </c>
      <c r="L548" s="20" t="s">
        <v>907</v>
      </c>
      <c r="M548" s="16">
        <v>92.416691250271271</v>
      </c>
      <c r="N548" s="16">
        <v>18.899762471516926</v>
      </c>
      <c r="O548" s="16">
        <v>370.72636752658423</v>
      </c>
      <c r="P548" s="16">
        <v>16.746978547837998</v>
      </c>
      <c r="Q548" s="147">
        <v>309.29233127170141</v>
      </c>
      <c r="R548" s="147">
        <v>7.4578857421875</v>
      </c>
      <c r="S548" s="10">
        <v>0.79139983021627691</v>
      </c>
      <c r="T548" s="10">
        <v>-0.25167299439104579</v>
      </c>
      <c r="U548" s="16">
        <v>2.6364587285816362E-2</v>
      </c>
      <c r="V548" s="16">
        <v>8.4227242553126249</v>
      </c>
      <c r="W548" s="10">
        <v>8.6743972497036701</v>
      </c>
      <c r="X548" s="10" t="s">
        <v>902</v>
      </c>
      <c r="Y548" s="10" t="s">
        <v>902</v>
      </c>
      <c r="Z548" s="10">
        <v>4.2</v>
      </c>
      <c r="AA548" s="20" t="s">
        <v>414</v>
      </c>
      <c r="AB548" s="7" t="s">
        <v>902</v>
      </c>
      <c r="AC548" s="7" t="s">
        <v>902</v>
      </c>
      <c r="AD548" s="7" t="s">
        <v>902</v>
      </c>
      <c r="AE548" s="7" t="s">
        <v>3</v>
      </c>
      <c r="AF548" s="20" t="s">
        <v>27</v>
      </c>
      <c r="AG548" s="11" t="s">
        <v>1</v>
      </c>
      <c r="AH548" s="7" t="s">
        <v>1421</v>
      </c>
    </row>
    <row r="549" spans="1:34" s="7" customFormat="1" ht="16.5" customHeight="1">
      <c r="A549" s="7">
        <v>2012</v>
      </c>
      <c r="B549" s="12">
        <v>41126</v>
      </c>
      <c r="C549" s="7" t="s">
        <v>22</v>
      </c>
      <c r="D549" s="9" t="s">
        <v>23</v>
      </c>
      <c r="E549" s="9" t="s">
        <v>21</v>
      </c>
      <c r="F549" s="9" t="s">
        <v>7</v>
      </c>
      <c r="G549" s="7" t="s">
        <v>902</v>
      </c>
      <c r="H549" s="7" t="s">
        <v>903</v>
      </c>
      <c r="I549" s="124" t="s">
        <v>902</v>
      </c>
      <c r="J549" s="7">
        <v>20</v>
      </c>
      <c r="K549" s="124" t="s">
        <v>475</v>
      </c>
      <c r="L549" s="20" t="s">
        <v>907</v>
      </c>
      <c r="M549" s="16">
        <v>92.412831624348954</v>
      </c>
      <c r="N549" s="16">
        <v>18.592713779873318</v>
      </c>
      <c r="O549" s="16">
        <v>368.45121595594617</v>
      </c>
      <c r="P549" s="16">
        <v>15.739760080973307</v>
      </c>
      <c r="Q549" s="147">
        <v>322.20979817708331</v>
      </c>
      <c r="R549" s="147">
        <v>29.62884521484375</v>
      </c>
      <c r="S549" s="10">
        <v>0.79139983021627691</v>
      </c>
      <c r="T549" s="10">
        <v>1.4833203765628393</v>
      </c>
      <c r="U549" s="16">
        <v>3.364370580305133E-2</v>
      </c>
      <c r="V549" s="16">
        <v>8.4227242553126249</v>
      </c>
      <c r="W549" s="10">
        <v>6.9394038787497854</v>
      </c>
      <c r="X549" s="10" t="s">
        <v>902</v>
      </c>
      <c r="Y549" s="10" t="s">
        <v>902</v>
      </c>
      <c r="Z549" s="10">
        <v>4.2</v>
      </c>
      <c r="AA549" s="20" t="s">
        <v>415</v>
      </c>
      <c r="AB549" s="7" t="s">
        <v>902</v>
      </c>
      <c r="AC549" s="7" t="s">
        <v>902</v>
      </c>
      <c r="AD549" s="7" t="s">
        <v>902</v>
      </c>
      <c r="AE549" s="7" t="s">
        <v>3</v>
      </c>
      <c r="AF549" s="20" t="s">
        <v>27</v>
      </c>
      <c r="AG549" s="11" t="s">
        <v>1</v>
      </c>
      <c r="AH549" s="7" t="s">
        <v>1242</v>
      </c>
    </row>
    <row r="550" spans="1:34" s="7" customFormat="1" ht="16.5" customHeight="1">
      <c r="A550" s="7">
        <v>2012</v>
      </c>
      <c r="B550" s="12">
        <v>41129</v>
      </c>
      <c r="C550" s="7" t="s">
        <v>22</v>
      </c>
      <c r="D550" s="9" t="s">
        <v>23</v>
      </c>
      <c r="E550" s="9" t="s">
        <v>21</v>
      </c>
      <c r="F550" s="9" t="s">
        <v>7</v>
      </c>
      <c r="G550" s="7" t="s">
        <v>902</v>
      </c>
      <c r="H550" s="7" t="s">
        <v>903</v>
      </c>
      <c r="I550" s="124" t="s">
        <v>902</v>
      </c>
      <c r="J550" s="7">
        <v>14</v>
      </c>
      <c r="K550" s="124" t="s">
        <v>465</v>
      </c>
      <c r="L550" s="20" t="s">
        <v>909</v>
      </c>
      <c r="M550" s="16">
        <v>92.801339043511291</v>
      </c>
      <c r="N550" s="16">
        <v>12.43794584274292</v>
      </c>
      <c r="O550" s="16">
        <v>371.08591206868488</v>
      </c>
      <c r="P550" s="16">
        <v>12.056796391805014</v>
      </c>
      <c r="Q550" s="147">
        <v>333.15687221950952</v>
      </c>
      <c r="R550" s="147">
        <v>10.693511962890625</v>
      </c>
      <c r="S550" s="10">
        <v>0.79139983021627691</v>
      </c>
      <c r="T550" s="10">
        <v>-2.8676526361288017</v>
      </c>
      <c r="U550" s="16">
        <v>1.4108103741310206E-2</v>
      </c>
      <c r="V550" s="16">
        <v>8.4227242553126249</v>
      </c>
      <c r="W550" s="10">
        <v>11.290376891441426</v>
      </c>
      <c r="X550" s="10" t="s">
        <v>902</v>
      </c>
      <c r="Y550" s="10" t="s">
        <v>902</v>
      </c>
      <c r="Z550" s="10">
        <v>4.2</v>
      </c>
      <c r="AA550" s="20" t="s">
        <v>464</v>
      </c>
      <c r="AB550" s="7" t="s">
        <v>902</v>
      </c>
      <c r="AC550" s="7" t="s">
        <v>902</v>
      </c>
      <c r="AD550" s="7">
        <v>0.56499999999999995</v>
      </c>
      <c r="AE550" s="7" t="s">
        <v>4</v>
      </c>
      <c r="AF550" s="20" t="s">
        <v>27</v>
      </c>
      <c r="AG550" s="11" t="s">
        <v>0</v>
      </c>
      <c r="AH550" s="7" t="s">
        <v>1422</v>
      </c>
    </row>
    <row r="551" spans="1:34" s="7" customFormat="1" ht="16.5" customHeight="1">
      <c r="A551" s="7">
        <v>2012</v>
      </c>
      <c r="B551" s="12">
        <v>41129</v>
      </c>
      <c r="C551" s="7" t="s">
        <v>22</v>
      </c>
      <c r="D551" s="9" t="s">
        <v>23</v>
      </c>
      <c r="E551" s="9" t="s">
        <v>21</v>
      </c>
      <c r="F551" s="9" t="s">
        <v>7</v>
      </c>
      <c r="G551" s="7" t="s">
        <v>902</v>
      </c>
      <c r="H551" s="7" t="s">
        <v>903</v>
      </c>
      <c r="I551" s="124" t="s">
        <v>902</v>
      </c>
      <c r="J551" s="7">
        <v>15</v>
      </c>
      <c r="K551" s="124" t="s">
        <v>467</v>
      </c>
      <c r="L551" s="20" t="s">
        <v>909</v>
      </c>
      <c r="M551" s="16">
        <v>92.800745913856915</v>
      </c>
      <c r="N551" s="16">
        <v>12.288393171210037</v>
      </c>
      <c r="O551" s="16">
        <v>368.14382131476151</v>
      </c>
      <c r="P551" s="16">
        <v>11.670515461971885</v>
      </c>
      <c r="Q551" s="147">
        <v>357.86600213301807</v>
      </c>
      <c r="R551" s="147">
        <v>14.27520751953125</v>
      </c>
      <c r="S551" s="10">
        <v>0.79139983021627691</v>
      </c>
      <c r="T551" s="10">
        <v>-3.9177767682067484</v>
      </c>
      <c r="U551" s="16">
        <v>1.5087357738561798E-2</v>
      </c>
      <c r="V551" s="16">
        <v>8.4227242553126249</v>
      </c>
      <c r="W551" s="10">
        <v>12.340501023519373</v>
      </c>
      <c r="X551" s="10" t="s">
        <v>902</v>
      </c>
      <c r="Y551" s="10" t="s">
        <v>902</v>
      </c>
      <c r="Z551" s="10">
        <v>4.2</v>
      </c>
      <c r="AA551" s="20" t="s">
        <v>466</v>
      </c>
      <c r="AB551" s="7" t="s">
        <v>902</v>
      </c>
      <c r="AC551" s="7" t="s">
        <v>902</v>
      </c>
      <c r="AD551" s="7">
        <v>0.72750000000000004</v>
      </c>
      <c r="AE551" s="7" t="s">
        <v>4</v>
      </c>
      <c r="AF551" s="20" t="s">
        <v>27</v>
      </c>
      <c r="AG551" s="11" t="s">
        <v>0</v>
      </c>
      <c r="AH551" s="7" t="s">
        <v>1242</v>
      </c>
    </row>
    <row r="552" spans="1:34" s="7" customFormat="1" ht="16.5" customHeight="1">
      <c r="A552" s="7">
        <v>2012</v>
      </c>
      <c r="B552" s="12">
        <v>41126</v>
      </c>
      <c r="C552" s="7" t="s">
        <v>22</v>
      </c>
      <c r="D552" s="26" t="s">
        <v>23</v>
      </c>
      <c r="E552" s="9" t="s">
        <v>21</v>
      </c>
      <c r="F552" s="9" t="s">
        <v>7</v>
      </c>
      <c r="G552" s="7" t="s">
        <v>902</v>
      </c>
      <c r="H552" s="7" t="s">
        <v>903</v>
      </c>
      <c r="I552" s="124" t="s">
        <v>902</v>
      </c>
      <c r="J552" s="7">
        <v>25</v>
      </c>
      <c r="K552" s="124" t="s">
        <v>480</v>
      </c>
      <c r="L552" s="20" t="s">
        <v>74</v>
      </c>
      <c r="M552" s="16">
        <v>92.431124793158631</v>
      </c>
      <c r="N552" s="16">
        <v>18.98054419623481</v>
      </c>
      <c r="O552" s="16">
        <v>366.51104058159723</v>
      </c>
      <c r="P552" s="16">
        <v>17.181840260823567</v>
      </c>
      <c r="Q552" s="147">
        <v>362.06309339735242</v>
      </c>
      <c r="R552" s="147">
        <v>39.3701171875</v>
      </c>
      <c r="S552" s="10">
        <v>0.79139983021627691</v>
      </c>
      <c r="T552" s="10">
        <v>-0.75875178035683954</v>
      </c>
      <c r="U552" s="16">
        <v>1.9332744019688469E-2</v>
      </c>
      <c r="V552" s="16">
        <v>8.4227242553126249</v>
      </c>
      <c r="W552" s="10">
        <v>9.1814760356694638</v>
      </c>
      <c r="X552" s="10" t="s">
        <v>902</v>
      </c>
      <c r="Y552" s="10" t="s">
        <v>902</v>
      </c>
      <c r="Z552" s="10">
        <v>4.2</v>
      </c>
      <c r="AA552" s="20" t="s">
        <v>408</v>
      </c>
      <c r="AB552" s="7" t="s">
        <v>902</v>
      </c>
      <c r="AC552" s="7" t="s">
        <v>902</v>
      </c>
      <c r="AD552" s="7" t="s">
        <v>902</v>
      </c>
      <c r="AE552" s="7" t="s">
        <v>5</v>
      </c>
      <c r="AF552" s="19" t="s">
        <v>27</v>
      </c>
      <c r="AG552" s="34" t="s">
        <v>2</v>
      </c>
      <c r="AH552" s="7" t="s">
        <v>1420</v>
      </c>
    </row>
    <row r="553" spans="1:34" s="7" customFormat="1" ht="16.5" customHeight="1">
      <c r="A553" s="7">
        <v>2012</v>
      </c>
      <c r="B553" s="12">
        <v>41126</v>
      </c>
      <c r="C553" s="7" t="s">
        <v>22</v>
      </c>
      <c r="D553" s="26" t="s">
        <v>23</v>
      </c>
      <c r="E553" s="9" t="s">
        <v>21</v>
      </c>
      <c r="F553" s="9" t="s">
        <v>7</v>
      </c>
      <c r="G553" s="7" t="s">
        <v>902</v>
      </c>
      <c r="H553" s="7" t="s">
        <v>903</v>
      </c>
      <c r="I553" s="124" t="s">
        <v>902</v>
      </c>
      <c r="J553" s="7">
        <v>26</v>
      </c>
      <c r="K553" s="124" t="s">
        <v>481</v>
      </c>
      <c r="L553" s="20" t="s">
        <v>74</v>
      </c>
      <c r="M553" s="16">
        <v>92.434620104337995</v>
      </c>
      <c r="N553" s="16">
        <v>19.474695506848786</v>
      </c>
      <c r="O553" s="16">
        <v>369.00680060135693</v>
      </c>
      <c r="P553" s="16">
        <v>16.714346333553916</v>
      </c>
      <c r="Q553" s="147">
        <v>389.26852095754521</v>
      </c>
      <c r="R553" s="147">
        <v>55.3475341796875</v>
      </c>
      <c r="S553" s="10">
        <v>0.79139983021627691</v>
      </c>
      <c r="T553" s="10">
        <v>-0.78062919144766896</v>
      </c>
      <c r="U553" s="16">
        <v>1.6085818775913172E-2</v>
      </c>
      <c r="V553" s="16">
        <v>8.4227242553126249</v>
      </c>
      <c r="W553" s="10">
        <v>9.2033534467602944</v>
      </c>
      <c r="X553" s="10" t="s">
        <v>902</v>
      </c>
      <c r="Y553" s="10" t="s">
        <v>902</v>
      </c>
      <c r="Z553" s="10">
        <v>4.2</v>
      </c>
      <c r="AA553" s="20" t="s">
        <v>406</v>
      </c>
      <c r="AB553" s="7" t="s">
        <v>902</v>
      </c>
      <c r="AC553" s="7" t="s">
        <v>902</v>
      </c>
      <c r="AD553" s="7" t="s">
        <v>902</v>
      </c>
      <c r="AE553" s="7" t="s">
        <v>5</v>
      </c>
      <c r="AF553" s="19" t="s">
        <v>27</v>
      </c>
      <c r="AG553" s="34" t="s">
        <v>2</v>
      </c>
      <c r="AH553" s="7" t="s">
        <v>1420</v>
      </c>
    </row>
    <row r="554" spans="1:34" s="7" customFormat="1" ht="16.5" customHeight="1">
      <c r="A554" s="7">
        <v>2012</v>
      </c>
      <c r="B554" s="12">
        <v>41129</v>
      </c>
      <c r="C554" s="7" t="s">
        <v>22</v>
      </c>
      <c r="D554" s="9" t="s">
        <v>23</v>
      </c>
      <c r="E554" s="9" t="s">
        <v>21</v>
      </c>
      <c r="F554" s="9" t="s">
        <v>7</v>
      </c>
      <c r="G554" s="7" t="s">
        <v>902</v>
      </c>
      <c r="H554" s="7" t="s">
        <v>903</v>
      </c>
      <c r="I554" s="124" t="s">
        <v>902</v>
      </c>
      <c r="J554" s="7">
        <v>16</v>
      </c>
      <c r="K554" s="124" t="s">
        <v>469</v>
      </c>
      <c r="L554" s="20" t="s">
        <v>909</v>
      </c>
      <c r="M554" s="16">
        <v>92.802760314941409</v>
      </c>
      <c r="N554" s="16">
        <v>12.862976312637329</v>
      </c>
      <c r="O554" s="16">
        <v>370.44902038574219</v>
      </c>
      <c r="P554" s="16">
        <v>12.013307285308837</v>
      </c>
      <c r="Q554" s="147">
        <v>405.94718627929689</v>
      </c>
      <c r="R554" s="147">
        <v>18.72186279296875</v>
      </c>
      <c r="S554" s="10">
        <v>0.79139983021627691</v>
      </c>
      <c r="T554" s="10">
        <v>-2.7432728263930861</v>
      </c>
      <c r="U554" s="16">
        <v>1.3621912504497328E-2</v>
      </c>
      <c r="V554" s="16">
        <v>8.4227242553126249</v>
      </c>
      <c r="W554" s="10">
        <v>11.165997081705711</v>
      </c>
      <c r="X554" s="10" t="s">
        <v>902</v>
      </c>
      <c r="Y554" s="10" t="s">
        <v>902</v>
      </c>
      <c r="Z554" s="10">
        <v>4.2</v>
      </c>
      <c r="AA554" s="20" t="s">
        <v>468</v>
      </c>
      <c r="AB554" s="7" t="s">
        <v>902</v>
      </c>
      <c r="AC554" s="7" t="s">
        <v>902</v>
      </c>
      <c r="AD554" s="7">
        <v>0.69750000000000001</v>
      </c>
      <c r="AE554" s="7" t="s">
        <v>4</v>
      </c>
      <c r="AF554" s="20" t="s">
        <v>27</v>
      </c>
      <c r="AG554" s="11" t="s">
        <v>0</v>
      </c>
      <c r="AH554" s="7" t="s">
        <v>1242</v>
      </c>
    </row>
    <row r="555" spans="1:34" s="7" customFormat="1" ht="16.5" customHeight="1">
      <c r="A555" s="7">
        <v>2012</v>
      </c>
      <c r="B555" s="12">
        <v>41129</v>
      </c>
      <c r="C555" s="7" t="s">
        <v>22</v>
      </c>
      <c r="D555" s="9" t="s">
        <v>23</v>
      </c>
      <c r="E555" s="9" t="s">
        <v>21</v>
      </c>
      <c r="F555" s="9" t="s">
        <v>7</v>
      </c>
      <c r="G555" s="7" t="s">
        <v>902</v>
      </c>
      <c r="H555" s="7" t="s">
        <v>903</v>
      </c>
      <c r="I555" s="124" t="s">
        <v>902</v>
      </c>
      <c r="J555" s="7">
        <v>17</v>
      </c>
      <c r="K555" s="124" t="s">
        <v>471</v>
      </c>
      <c r="L555" s="20" t="s">
        <v>909</v>
      </c>
      <c r="M555" s="16">
        <v>92.807002476283486</v>
      </c>
      <c r="N555" s="16">
        <v>13.925868034362793</v>
      </c>
      <c r="O555" s="16">
        <v>367.66848318917408</v>
      </c>
      <c r="P555" s="16">
        <v>13.18708324432373</v>
      </c>
      <c r="Q555" s="147">
        <v>475.04401942661832</v>
      </c>
      <c r="R555" s="147">
        <v>8.163116455078125</v>
      </c>
      <c r="S555" s="10">
        <v>0.79139983021627691</v>
      </c>
      <c r="T555" s="10">
        <v>-6.7632791053425487</v>
      </c>
      <c r="U555" s="16">
        <v>1.4346003532409668E-2</v>
      </c>
      <c r="V555" s="16">
        <v>8.4227242553126249</v>
      </c>
      <c r="W555" s="10">
        <v>15.186003360655175</v>
      </c>
      <c r="X555" s="10" t="s">
        <v>902</v>
      </c>
      <c r="Y555" s="10" t="s">
        <v>902</v>
      </c>
      <c r="Z555" s="10">
        <v>4.2</v>
      </c>
      <c r="AA555" s="20" t="s">
        <v>470</v>
      </c>
      <c r="AB555" s="7" t="s">
        <v>902</v>
      </c>
      <c r="AC555" s="7" t="s">
        <v>902</v>
      </c>
      <c r="AD555" s="7">
        <v>0.65666666666666673</v>
      </c>
      <c r="AE555" s="7" t="s">
        <v>4</v>
      </c>
      <c r="AF555" s="20" t="s">
        <v>27</v>
      </c>
      <c r="AG555" s="11" t="s">
        <v>0</v>
      </c>
      <c r="AH555" s="7" t="s">
        <v>1423</v>
      </c>
    </row>
    <row r="556" spans="1:34" s="7" customFormat="1" ht="16.5" customHeight="1">
      <c r="A556" s="7">
        <v>2012</v>
      </c>
      <c r="B556" s="12">
        <v>41129</v>
      </c>
      <c r="C556" s="7" t="s">
        <v>22</v>
      </c>
      <c r="D556" s="9" t="s">
        <v>23</v>
      </c>
      <c r="E556" s="9" t="s">
        <v>21</v>
      </c>
      <c r="F556" s="9" t="s">
        <v>7</v>
      </c>
      <c r="G556" s="7" t="s">
        <v>902</v>
      </c>
      <c r="H556" s="7" t="s">
        <v>903</v>
      </c>
      <c r="I556" s="124" t="s">
        <v>902</v>
      </c>
      <c r="J556" s="7">
        <v>18</v>
      </c>
      <c r="K556" s="124" t="s">
        <v>473</v>
      </c>
      <c r="L556" s="20" t="s">
        <v>909</v>
      </c>
      <c r="M556" s="16">
        <v>92.802963256835938</v>
      </c>
      <c r="N556" s="16">
        <v>13.789707585384971</v>
      </c>
      <c r="O556" s="16">
        <v>365.79290610865542</v>
      </c>
      <c r="P556" s="16">
        <v>12.588063089471115</v>
      </c>
      <c r="Q556" s="147">
        <v>479.89111488743833</v>
      </c>
      <c r="R556" s="147">
        <v>51.076873779296875</v>
      </c>
      <c r="S556" s="10">
        <v>0.79139983021627691</v>
      </c>
      <c r="T556" s="10">
        <v>-4.7399352007471682</v>
      </c>
      <c r="U556" s="16">
        <v>1.3962489680240029E-2</v>
      </c>
      <c r="V556" s="16">
        <v>8.4227242553126249</v>
      </c>
      <c r="W556" s="10">
        <v>13.162659456059792</v>
      </c>
      <c r="X556" s="10" t="s">
        <v>902</v>
      </c>
      <c r="Y556" s="10" t="s">
        <v>902</v>
      </c>
      <c r="Z556" s="10">
        <v>4.2</v>
      </c>
      <c r="AA556" s="20" t="s">
        <v>472</v>
      </c>
      <c r="AB556" s="7" t="s">
        <v>902</v>
      </c>
      <c r="AC556" s="7" t="s">
        <v>902</v>
      </c>
      <c r="AD556" s="7">
        <v>0.6825</v>
      </c>
      <c r="AE556" s="7" t="s">
        <v>4</v>
      </c>
      <c r="AF556" s="20" t="s">
        <v>27</v>
      </c>
      <c r="AG556" s="11" t="s">
        <v>0</v>
      </c>
      <c r="AH556" s="7" t="s">
        <v>1242</v>
      </c>
    </row>
    <row r="557" spans="1:34" s="7" customFormat="1" ht="16.5" customHeight="1">
      <c r="A557" s="7">
        <v>2012</v>
      </c>
      <c r="B557" s="12">
        <v>41126</v>
      </c>
      <c r="C557" s="7" t="s">
        <v>22</v>
      </c>
      <c r="D557" s="26" t="s">
        <v>23</v>
      </c>
      <c r="E557" s="9" t="s">
        <v>21</v>
      </c>
      <c r="F557" s="9" t="s">
        <v>7</v>
      </c>
      <c r="G557" s="7" t="s">
        <v>902</v>
      </c>
      <c r="H557" s="7" t="s">
        <v>903</v>
      </c>
      <c r="I557" s="124" t="s">
        <v>902</v>
      </c>
      <c r="J557" s="7">
        <v>35</v>
      </c>
      <c r="K557" s="124" t="s">
        <v>492</v>
      </c>
      <c r="L557" s="20" t="s">
        <v>74</v>
      </c>
      <c r="M557" s="16">
        <v>92.433126237657333</v>
      </c>
      <c r="N557" s="16">
        <v>20.310490714179146</v>
      </c>
      <c r="O557" s="16">
        <v>366.96921115451391</v>
      </c>
      <c r="P557" s="16">
        <v>16.879687733120388</v>
      </c>
      <c r="Q557" s="147">
        <v>484.8456844753689</v>
      </c>
      <c r="R557" s="147">
        <v>45.163299560546875</v>
      </c>
      <c r="S557" s="10">
        <v>0.79139983021627691</v>
      </c>
      <c r="T557" s="10">
        <v>-0.5932153991126079</v>
      </c>
      <c r="U557" s="16">
        <v>2.5544556301813747E-2</v>
      </c>
      <c r="V557" s="16">
        <v>8.4227242553126249</v>
      </c>
      <c r="W557" s="10">
        <v>9.0159396544252335</v>
      </c>
      <c r="X557" s="10" t="s">
        <v>902</v>
      </c>
      <c r="Y557" s="10" t="s">
        <v>902</v>
      </c>
      <c r="Z557" s="10">
        <v>4.2</v>
      </c>
      <c r="AA557" s="20" t="s">
        <v>405</v>
      </c>
      <c r="AB557" s="7" t="s">
        <v>902</v>
      </c>
      <c r="AC557" s="7" t="s">
        <v>902</v>
      </c>
      <c r="AD557" s="7" t="s">
        <v>902</v>
      </c>
      <c r="AE557" s="7" t="s">
        <v>3</v>
      </c>
      <c r="AF557" s="19" t="s">
        <v>27</v>
      </c>
      <c r="AG557" s="11" t="s">
        <v>864</v>
      </c>
      <c r="AH557" s="7" t="s">
        <v>1424</v>
      </c>
    </row>
    <row r="558" spans="1:34" s="7" customFormat="1" ht="16.5" customHeight="1">
      <c r="A558" s="7">
        <v>2012</v>
      </c>
      <c r="B558" s="12">
        <v>41126</v>
      </c>
      <c r="C558" s="7" t="s">
        <v>22</v>
      </c>
      <c r="D558" s="9" t="s">
        <v>23</v>
      </c>
      <c r="E558" s="9" t="s">
        <v>21</v>
      </c>
      <c r="F558" s="9" t="s">
        <v>7</v>
      </c>
      <c r="G558" s="7" t="s">
        <v>902</v>
      </c>
      <c r="H558" s="7" t="s">
        <v>903</v>
      </c>
      <c r="I558" s="124" t="s">
        <v>902</v>
      </c>
      <c r="J558" s="7">
        <v>21</v>
      </c>
      <c r="K558" s="124" t="s">
        <v>476</v>
      </c>
      <c r="L558" s="20" t="s">
        <v>908</v>
      </c>
      <c r="M558" s="16">
        <v>92.413756119577513</v>
      </c>
      <c r="N558" s="16">
        <v>19.334229117945622</v>
      </c>
      <c r="O558" s="16">
        <v>358.61932373046875</v>
      </c>
      <c r="P558" s="16">
        <v>16.94336057964124</v>
      </c>
      <c r="Q558" s="147">
        <v>514.48249094109781</v>
      </c>
      <c r="R558" s="147">
        <v>101.52468872070312</v>
      </c>
      <c r="S558" s="10">
        <v>0.79139983021627691</v>
      </c>
      <c r="T558" s="10">
        <v>-4.3564412520650979</v>
      </c>
      <c r="U558" s="16">
        <v>3.1957392106976429E-2</v>
      </c>
      <c r="V558" s="16">
        <v>8.4227242553126249</v>
      </c>
      <c r="W558" s="10">
        <v>12.779165507377723</v>
      </c>
      <c r="X558" s="10" t="s">
        <v>902</v>
      </c>
      <c r="Y558" s="10" t="s">
        <v>902</v>
      </c>
      <c r="Z558" s="10">
        <v>4.2</v>
      </c>
      <c r="AA558" s="20" t="s">
        <v>413</v>
      </c>
      <c r="AB558" s="7" t="s">
        <v>902</v>
      </c>
      <c r="AC558" s="7" t="s">
        <v>902</v>
      </c>
      <c r="AD558" s="7" t="s">
        <v>902</v>
      </c>
      <c r="AE558" s="7" t="s">
        <v>3</v>
      </c>
      <c r="AF558" s="20" t="s">
        <v>27</v>
      </c>
      <c r="AG558" s="11" t="s">
        <v>1</v>
      </c>
      <c r="AH558" s="7" t="s">
        <v>1425</v>
      </c>
    </row>
    <row r="559" spans="1:34" s="7" customFormat="1" ht="16.5" customHeight="1">
      <c r="A559" s="7">
        <v>2012</v>
      </c>
      <c r="B559" s="12">
        <v>41126</v>
      </c>
      <c r="C559" s="7" t="s">
        <v>22</v>
      </c>
      <c r="D559" s="9" t="s">
        <v>23</v>
      </c>
      <c r="E559" s="9" t="s">
        <v>21</v>
      </c>
      <c r="F559" s="9" t="s">
        <v>7</v>
      </c>
      <c r="G559" s="7" t="s">
        <v>902</v>
      </c>
      <c r="H559" s="7" t="s">
        <v>903</v>
      </c>
      <c r="I559" s="124" t="s">
        <v>902</v>
      </c>
      <c r="J559" s="7">
        <v>22</v>
      </c>
      <c r="K559" s="124" t="s">
        <v>477</v>
      </c>
      <c r="L559" s="20" t="s">
        <v>908</v>
      </c>
      <c r="M559" s="16">
        <v>92.416745079888244</v>
      </c>
      <c r="N559" s="16">
        <v>19.505078527662491</v>
      </c>
      <c r="O559" s="16">
        <v>362.92572021484375</v>
      </c>
      <c r="P559" s="16">
        <v>17.681355900234646</v>
      </c>
      <c r="Q559" s="147">
        <v>524.40534973144531</v>
      </c>
      <c r="R559" s="147">
        <v>70.718536376953125</v>
      </c>
      <c r="S559" s="10">
        <v>0.79139983021627691</v>
      </c>
      <c r="T559" s="10">
        <v>-2.7723736742528633</v>
      </c>
      <c r="U559" s="16">
        <v>2.4464900525607809E-2</v>
      </c>
      <c r="V559" s="16">
        <v>8.4227242553126249</v>
      </c>
      <c r="W559" s="10">
        <v>11.195097929565488</v>
      </c>
      <c r="X559" s="10" t="s">
        <v>902</v>
      </c>
      <c r="Y559" s="10" t="s">
        <v>902</v>
      </c>
      <c r="Z559" s="10">
        <v>4.2</v>
      </c>
      <c r="AA559" s="20" t="s">
        <v>411</v>
      </c>
      <c r="AB559" s="7" t="s">
        <v>902</v>
      </c>
      <c r="AC559" s="7" t="s">
        <v>902</v>
      </c>
      <c r="AD559" s="7" t="s">
        <v>902</v>
      </c>
      <c r="AE559" s="7" t="s">
        <v>3</v>
      </c>
      <c r="AF559" s="20" t="s">
        <v>27</v>
      </c>
      <c r="AG559" s="11" t="s">
        <v>1</v>
      </c>
      <c r="AH559" s="7" t="s">
        <v>1426</v>
      </c>
    </row>
    <row r="560" spans="1:34" s="7" customFormat="1" ht="16.5" customHeight="1">
      <c r="A560" s="7">
        <v>2012</v>
      </c>
      <c r="B560" s="12">
        <v>41129</v>
      </c>
      <c r="C560" s="7" t="s">
        <v>22</v>
      </c>
      <c r="D560" s="9" t="s">
        <v>23</v>
      </c>
      <c r="E560" s="9" t="s">
        <v>21</v>
      </c>
      <c r="F560" s="9" t="s">
        <v>7</v>
      </c>
      <c r="G560" s="7" t="s">
        <v>902</v>
      </c>
      <c r="H560" s="7" t="s">
        <v>903</v>
      </c>
      <c r="I560" s="124" t="s">
        <v>902</v>
      </c>
      <c r="J560" s="7">
        <v>27</v>
      </c>
      <c r="K560" s="124" t="s">
        <v>483</v>
      </c>
      <c r="L560" s="20" t="s">
        <v>909</v>
      </c>
      <c r="M560" s="16">
        <v>92.81078889634874</v>
      </c>
      <c r="N560" s="16">
        <v>14.874403052859837</v>
      </c>
      <c r="O560" s="16">
        <v>372.33297559950086</v>
      </c>
      <c r="P560" s="16">
        <v>12.867319160037571</v>
      </c>
      <c r="Q560" s="147">
        <v>524.93335300021704</v>
      </c>
      <c r="R560" s="147">
        <v>29.8046875</v>
      </c>
      <c r="S560" s="10">
        <v>0.79139983021627691</v>
      </c>
      <c r="T560" s="10">
        <v>-4.4715644711055349</v>
      </c>
      <c r="U560" s="16">
        <v>2.0657738664940046E-2</v>
      </c>
      <c r="V560" s="16">
        <v>8.4227242553126249</v>
      </c>
      <c r="W560" s="10">
        <v>12.894288726418161</v>
      </c>
      <c r="X560" s="10" t="s">
        <v>902</v>
      </c>
      <c r="Y560" s="10" t="s">
        <v>902</v>
      </c>
      <c r="Z560" s="10">
        <v>4.2</v>
      </c>
      <c r="AA560" s="20" t="s">
        <v>482</v>
      </c>
      <c r="AB560" s="7" t="s">
        <v>902</v>
      </c>
      <c r="AC560" s="7" t="s">
        <v>902</v>
      </c>
      <c r="AD560" s="7">
        <v>0.50750000000000006</v>
      </c>
      <c r="AE560" s="7" t="s">
        <v>5</v>
      </c>
      <c r="AF560" s="20" t="s">
        <v>27</v>
      </c>
      <c r="AG560" s="11" t="s">
        <v>2</v>
      </c>
      <c r="AH560" s="7" t="s">
        <v>1427</v>
      </c>
    </row>
    <row r="561" spans="1:34" s="7" customFormat="1" ht="16.5" customHeight="1">
      <c r="A561" s="7">
        <v>2012</v>
      </c>
      <c r="B561" s="12">
        <v>41126</v>
      </c>
      <c r="C561" s="7" t="s">
        <v>22</v>
      </c>
      <c r="D561" s="9" t="s">
        <v>23</v>
      </c>
      <c r="E561" s="9" t="s">
        <v>21</v>
      </c>
      <c r="F561" s="9" t="s">
        <v>7</v>
      </c>
      <c r="G561" s="7" t="s">
        <v>902</v>
      </c>
      <c r="H561" s="7" t="s">
        <v>903</v>
      </c>
      <c r="I561" s="124" t="s">
        <v>902</v>
      </c>
      <c r="J561" s="7">
        <v>28</v>
      </c>
      <c r="K561" s="124" t="s">
        <v>484</v>
      </c>
      <c r="L561" s="20" t="s">
        <v>74</v>
      </c>
      <c r="M561" s="16">
        <v>92.441087510850693</v>
      </c>
      <c r="N561" s="16">
        <v>19.35149934556749</v>
      </c>
      <c r="O561" s="16">
        <v>364.19406636555988</v>
      </c>
      <c r="P561" s="16">
        <v>17.489615440368652</v>
      </c>
      <c r="Q561" s="147">
        <v>579.43940904405383</v>
      </c>
      <c r="R561" s="147">
        <v>7.7470703125</v>
      </c>
      <c r="S561" s="10">
        <v>0.79139983021627691</v>
      </c>
      <c r="T561" s="10">
        <v>-3.0856640682847463</v>
      </c>
      <c r="U561" s="16">
        <v>1.7568217219459999E-2</v>
      </c>
      <c r="V561" s="16">
        <v>8.4227242553126249</v>
      </c>
      <c r="W561" s="10">
        <v>11.508388323597371</v>
      </c>
      <c r="X561" s="10" t="s">
        <v>902</v>
      </c>
      <c r="Y561" s="10" t="s">
        <v>902</v>
      </c>
      <c r="Z561" s="10">
        <v>4.2</v>
      </c>
      <c r="AA561" s="20" t="s">
        <v>410</v>
      </c>
      <c r="AB561" s="7" t="s">
        <v>902</v>
      </c>
      <c r="AC561" s="7" t="s">
        <v>902</v>
      </c>
      <c r="AD561" s="7" t="s">
        <v>902</v>
      </c>
      <c r="AE561" s="7" t="s">
        <v>5</v>
      </c>
      <c r="AF561" s="20" t="s">
        <v>27</v>
      </c>
      <c r="AG561" s="34" t="s">
        <v>2</v>
      </c>
      <c r="AH561" s="7" t="s">
        <v>1242</v>
      </c>
    </row>
    <row r="562" spans="1:34" s="7" customFormat="1" ht="16.5" customHeight="1">
      <c r="A562" s="7">
        <v>2012</v>
      </c>
      <c r="B562" s="12">
        <v>41129</v>
      </c>
      <c r="C562" s="7" t="s">
        <v>22</v>
      </c>
      <c r="D562" s="9" t="s">
        <v>23</v>
      </c>
      <c r="E562" s="9" t="s">
        <v>21</v>
      </c>
      <c r="F562" s="9" t="s">
        <v>7</v>
      </c>
      <c r="G562" s="7" t="s">
        <v>902</v>
      </c>
      <c r="H562" s="7" t="s">
        <v>903</v>
      </c>
      <c r="I562" s="124" t="s">
        <v>902</v>
      </c>
      <c r="J562" s="7">
        <v>29</v>
      </c>
      <c r="K562" s="124" t="s">
        <v>486</v>
      </c>
      <c r="L562" s="20" t="s">
        <v>909</v>
      </c>
      <c r="M562" s="16">
        <v>92.811897754669189</v>
      </c>
      <c r="N562" s="16">
        <v>15.418303906917572</v>
      </c>
      <c r="O562" s="16">
        <v>364.49188232421875</v>
      </c>
      <c r="P562" s="16">
        <v>13.938140511512756</v>
      </c>
      <c r="Q562" s="147">
        <v>632.08982467651367</v>
      </c>
      <c r="R562" s="147">
        <v>75.59197998046875</v>
      </c>
      <c r="S562" s="10">
        <v>0.79139983021627691</v>
      </c>
      <c r="T562" s="10">
        <v>-4.2612513781168042</v>
      </c>
      <c r="U562" s="16">
        <v>1.588123686173383E-2</v>
      </c>
      <c r="V562" s="16">
        <v>8.4227242553126249</v>
      </c>
      <c r="W562" s="10">
        <v>12.68397563342943</v>
      </c>
      <c r="X562" s="10" t="s">
        <v>902</v>
      </c>
      <c r="Y562" s="10" t="s">
        <v>902</v>
      </c>
      <c r="Z562" s="10">
        <v>4.2</v>
      </c>
      <c r="AA562" s="20" t="s">
        <v>485</v>
      </c>
      <c r="AB562" s="7">
        <v>763.66666666666663</v>
      </c>
      <c r="AC562" s="7" t="s">
        <v>902</v>
      </c>
      <c r="AD562" s="7">
        <v>0.43000000000000005</v>
      </c>
      <c r="AE562" s="7" t="s">
        <v>5</v>
      </c>
      <c r="AF562" s="20" t="s">
        <v>27</v>
      </c>
      <c r="AG562" s="11" t="s">
        <v>2</v>
      </c>
      <c r="AH562" s="7" t="s">
        <v>1428</v>
      </c>
    </row>
    <row r="563" spans="1:34" s="7" customFormat="1" ht="16.5" customHeight="1">
      <c r="A563" s="7">
        <v>2012</v>
      </c>
      <c r="B563" s="12">
        <v>41126</v>
      </c>
      <c r="C563" s="7" t="s">
        <v>22</v>
      </c>
      <c r="D563" s="26" t="s">
        <v>23</v>
      </c>
      <c r="E563" s="9" t="s">
        <v>21</v>
      </c>
      <c r="F563" s="9" t="s">
        <v>7</v>
      </c>
      <c r="G563" s="7" t="s">
        <v>902</v>
      </c>
      <c r="H563" s="7" t="s">
        <v>903</v>
      </c>
      <c r="I563" s="124" t="s">
        <v>902</v>
      </c>
      <c r="J563" s="7">
        <v>30</v>
      </c>
      <c r="K563" s="124" t="s">
        <v>487</v>
      </c>
      <c r="L563" s="20" t="s">
        <v>909</v>
      </c>
      <c r="M563" s="16">
        <v>92.435560438368057</v>
      </c>
      <c r="N563" s="16">
        <v>20.663905461629231</v>
      </c>
      <c r="O563" s="16">
        <v>353.37858920627173</v>
      </c>
      <c r="P563" s="16">
        <v>17.460984547932942</v>
      </c>
      <c r="Q563" s="147">
        <v>642.17941962348095</v>
      </c>
      <c r="R563" s="147">
        <v>56.553955078125</v>
      </c>
      <c r="S563" s="10">
        <v>0.79139983021627691</v>
      </c>
      <c r="T563" s="10">
        <v>-4.6792069177567983</v>
      </c>
      <c r="U563" s="16">
        <v>2.8027133921966711E-2</v>
      </c>
      <c r="V563" s="16">
        <v>8.4227242553126249</v>
      </c>
      <c r="W563" s="10">
        <v>13.101931173069424</v>
      </c>
      <c r="X563" s="10" t="s">
        <v>902</v>
      </c>
      <c r="Y563" s="10" t="s">
        <v>902</v>
      </c>
      <c r="Z563" s="10">
        <v>4.2</v>
      </c>
      <c r="AA563" s="39" t="s">
        <v>360</v>
      </c>
      <c r="AB563" s="7" t="s">
        <v>902</v>
      </c>
      <c r="AC563" s="7" t="s">
        <v>902</v>
      </c>
      <c r="AD563" s="7" t="s">
        <v>902</v>
      </c>
      <c r="AE563" s="7" t="s">
        <v>3</v>
      </c>
      <c r="AF563" s="19" t="s">
        <v>27</v>
      </c>
      <c r="AG563" s="34" t="s">
        <v>2</v>
      </c>
      <c r="AH563" s="7" t="s">
        <v>1242</v>
      </c>
    </row>
    <row r="564" spans="1:34" s="7" customFormat="1" ht="16.5" customHeight="1">
      <c r="A564" s="7">
        <v>2012</v>
      </c>
      <c r="B564" s="12">
        <v>41126</v>
      </c>
      <c r="C564" s="7" t="s">
        <v>22</v>
      </c>
      <c r="D564" s="9" t="s">
        <v>23</v>
      </c>
      <c r="E564" s="9" t="s">
        <v>21</v>
      </c>
      <c r="F564" s="9" t="s">
        <v>7</v>
      </c>
      <c r="G564" s="7" t="s">
        <v>902</v>
      </c>
      <c r="H564" s="7" t="s">
        <v>903</v>
      </c>
      <c r="I564" s="124" t="s">
        <v>902</v>
      </c>
      <c r="J564" s="7">
        <v>23</v>
      </c>
      <c r="K564" s="124" t="s">
        <v>478</v>
      </c>
      <c r="L564" s="20" t="s">
        <v>908</v>
      </c>
      <c r="M564" s="16">
        <v>92.414077758789063</v>
      </c>
      <c r="N564" s="16">
        <v>19.204922993977863</v>
      </c>
      <c r="O564" s="16">
        <v>360.10553148057727</v>
      </c>
      <c r="P564" s="16">
        <v>17.247735871209038</v>
      </c>
      <c r="Q564" s="147">
        <v>823.64797634548609</v>
      </c>
      <c r="R564" s="147">
        <v>539.2706298828125</v>
      </c>
      <c r="S564" s="10">
        <v>0.79139983021627691</v>
      </c>
      <c r="T564" s="10">
        <v>-3.7345460286869883</v>
      </c>
      <c r="U564" s="16">
        <v>2.8016777353513104E-2</v>
      </c>
      <c r="V564" s="16">
        <v>8.4227242553126249</v>
      </c>
      <c r="W564" s="10">
        <v>12.157270283999614</v>
      </c>
      <c r="X564" s="10" t="s">
        <v>902</v>
      </c>
      <c r="Y564" s="10" t="s">
        <v>902</v>
      </c>
      <c r="Z564" s="10">
        <v>4.2</v>
      </c>
      <c r="AA564" s="20" t="s">
        <v>412</v>
      </c>
      <c r="AB564" s="7" t="s">
        <v>902</v>
      </c>
      <c r="AC564" s="7" t="s">
        <v>902</v>
      </c>
      <c r="AD564" s="7" t="s">
        <v>902</v>
      </c>
      <c r="AE564" s="7" t="s">
        <v>3</v>
      </c>
      <c r="AF564" s="20" t="s">
        <v>27</v>
      </c>
      <c r="AG564" s="11" t="s">
        <v>1</v>
      </c>
      <c r="AH564" s="7" t="s">
        <v>1426</v>
      </c>
    </row>
    <row r="565" spans="1:34" s="7" customFormat="1" ht="16.5" customHeight="1">
      <c r="A565" s="7">
        <v>2012</v>
      </c>
      <c r="B565" s="12">
        <v>41126</v>
      </c>
      <c r="C565" s="7" t="s">
        <v>22</v>
      </c>
      <c r="D565" s="26" t="s">
        <v>23</v>
      </c>
      <c r="E565" s="9" t="s">
        <v>21</v>
      </c>
      <c r="F565" s="9" t="s">
        <v>7</v>
      </c>
      <c r="G565" s="7" t="s">
        <v>902</v>
      </c>
      <c r="H565" s="7" t="s">
        <v>903</v>
      </c>
      <c r="I565" s="124" t="s">
        <v>902</v>
      </c>
      <c r="J565" s="7">
        <v>31</v>
      </c>
      <c r="K565" s="124" t="s">
        <v>488</v>
      </c>
      <c r="L565" s="20" t="s">
        <v>909</v>
      </c>
      <c r="M565" s="16">
        <v>92.436282687717011</v>
      </c>
      <c r="N565" s="16">
        <v>20.339858690897625</v>
      </c>
      <c r="O565" s="16">
        <v>357.71663581000433</v>
      </c>
      <c r="P565" s="16">
        <v>16.253877586788601</v>
      </c>
      <c r="Q565" s="147">
        <v>876.9124755859375</v>
      </c>
      <c r="R565" s="147">
        <v>29.89227294921875</v>
      </c>
      <c r="S565" s="10">
        <v>0.79139983021627691</v>
      </c>
      <c r="T565" s="10">
        <v>-6.073908264559134</v>
      </c>
      <c r="U565" s="16">
        <v>3.5969092011820789E-2</v>
      </c>
      <c r="V565" s="16">
        <v>8.4227242553126249</v>
      </c>
      <c r="W565" s="10">
        <v>14.49663251987176</v>
      </c>
      <c r="X565" s="10" t="s">
        <v>902</v>
      </c>
      <c r="Y565" s="10" t="s">
        <v>902</v>
      </c>
      <c r="Z565" s="10">
        <v>4.2</v>
      </c>
      <c r="AA565" s="39" t="s">
        <v>407</v>
      </c>
      <c r="AB565" s="7" t="s">
        <v>902</v>
      </c>
      <c r="AC565" s="7" t="s">
        <v>902</v>
      </c>
      <c r="AD565" s="7" t="s">
        <v>902</v>
      </c>
      <c r="AE565" s="7" t="s">
        <v>3</v>
      </c>
      <c r="AF565" s="19" t="s">
        <v>27</v>
      </c>
      <c r="AG565" s="34" t="s">
        <v>2</v>
      </c>
      <c r="AH565" s="7" t="s">
        <v>1242</v>
      </c>
    </row>
    <row r="566" spans="1:34" s="7" customFormat="1" ht="16.5" customHeight="1">
      <c r="A566" s="7">
        <v>2012</v>
      </c>
      <c r="B566" s="12">
        <v>41126</v>
      </c>
      <c r="C566" s="7" t="s">
        <v>22</v>
      </c>
      <c r="D566" s="26" t="s">
        <v>23</v>
      </c>
      <c r="E566" s="9" t="s">
        <v>21</v>
      </c>
      <c r="F566" s="9" t="s">
        <v>7</v>
      </c>
      <c r="G566" s="7" t="s">
        <v>902</v>
      </c>
      <c r="H566" s="7" t="s">
        <v>903</v>
      </c>
      <c r="I566" s="124" t="s">
        <v>902</v>
      </c>
      <c r="J566" s="7">
        <v>36</v>
      </c>
      <c r="K566" s="124" t="s">
        <v>493</v>
      </c>
      <c r="L566" s="20" t="s">
        <v>909</v>
      </c>
      <c r="M566" s="22">
        <v>92.434508853488495</v>
      </c>
      <c r="N566" s="22">
        <v>22.287625630696613</v>
      </c>
      <c r="O566" s="22">
        <v>357.58300442165796</v>
      </c>
      <c r="P566" s="22">
        <v>17.012596448262531</v>
      </c>
      <c r="Q566" s="148">
        <v>965.92349582248266</v>
      </c>
      <c r="R566" s="148">
        <v>239.415283203125</v>
      </c>
      <c r="S566" s="10">
        <v>0.79139983021627691</v>
      </c>
      <c r="T566" s="10">
        <v>-8.8519050256175245</v>
      </c>
      <c r="U566" s="22">
        <v>5.4554561343355443E-2</v>
      </c>
      <c r="V566" s="16">
        <v>8.4227242553126249</v>
      </c>
      <c r="W566" s="10">
        <v>17.274629280930149</v>
      </c>
      <c r="X566" s="10" t="s">
        <v>902</v>
      </c>
      <c r="Y566" s="10" t="s">
        <v>902</v>
      </c>
      <c r="Z566" s="10">
        <v>4.2</v>
      </c>
      <c r="AA566" s="20" t="s">
        <v>315</v>
      </c>
      <c r="AB566" s="7" t="s">
        <v>902</v>
      </c>
      <c r="AC566" s="7" t="s">
        <v>902</v>
      </c>
      <c r="AD566" s="7" t="s">
        <v>902</v>
      </c>
      <c r="AE566" s="7" t="s">
        <v>3</v>
      </c>
      <c r="AF566" s="19" t="s">
        <v>27</v>
      </c>
      <c r="AG566" s="11" t="s">
        <v>864</v>
      </c>
      <c r="AH566" s="7" t="s">
        <v>1242</v>
      </c>
    </row>
    <row r="567" spans="1:34" s="7" customFormat="1" ht="16.5" customHeight="1">
      <c r="A567" s="7">
        <v>2012</v>
      </c>
      <c r="B567" s="12">
        <v>41126</v>
      </c>
      <c r="C567" s="12" t="s">
        <v>22</v>
      </c>
      <c r="D567" s="37" t="s">
        <v>23</v>
      </c>
      <c r="E567" s="37" t="s">
        <v>21</v>
      </c>
      <c r="F567" s="37" t="s">
        <v>7</v>
      </c>
      <c r="G567" s="7" t="s">
        <v>902</v>
      </c>
      <c r="H567" s="12" t="s">
        <v>903</v>
      </c>
      <c r="I567" s="124" t="s">
        <v>902</v>
      </c>
      <c r="J567" s="7">
        <v>37</v>
      </c>
      <c r="K567" s="124" t="s">
        <v>494</v>
      </c>
      <c r="L567" s="20" t="s">
        <v>909</v>
      </c>
      <c r="M567" s="16">
        <v>92.442613702071341</v>
      </c>
      <c r="N567" s="16">
        <v>22.514423069201019</v>
      </c>
      <c r="O567" s="36">
        <v>360.66563977693255</v>
      </c>
      <c r="P567" s="36">
        <v>16.383617852863512</v>
      </c>
      <c r="Q567" s="147">
        <v>1015.5225958573191</v>
      </c>
      <c r="R567" s="147">
        <v>11.85687255859375</v>
      </c>
      <c r="S567" s="10">
        <v>0.79139983021627691</v>
      </c>
      <c r="T567" s="10">
        <v>-7.3384612976563393</v>
      </c>
      <c r="U567" s="36">
        <v>6.0240244447139296E-2</v>
      </c>
      <c r="V567" s="16">
        <v>8.4227242553126249</v>
      </c>
      <c r="W567" s="10">
        <v>15.761185552968964</v>
      </c>
      <c r="X567" s="10" t="s">
        <v>902</v>
      </c>
      <c r="Y567" s="10" t="s">
        <v>902</v>
      </c>
      <c r="Z567" s="10">
        <v>4.2</v>
      </c>
      <c r="AA567" s="20" t="s">
        <v>301</v>
      </c>
      <c r="AB567" s="7" t="s">
        <v>902</v>
      </c>
      <c r="AC567" s="7" t="s">
        <v>902</v>
      </c>
      <c r="AD567" s="7" t="s">
        <v>902</v>
      </c>
      <c r="AE567" s="7" t="s">
        <v>3</v>
      </c>
      <c r="AF567" s="38" t="s">
        <v>27</v>
      </c>
      <c r="AG567" s="11" t="s">
        <v>864</v>
      </c>
      <c r="AH567" s="7" t="s">
        <v>1242</v>
      </c>
    </row>
    <row r="568" spans="1:34" s="7" customFormat="1" ht="16.5" customHeight="1">
      <c r="A568" s="7">
        <v>2012</v>
      </c>
      <c r="B568" s="12">
        <v>41126</v>
      </c>
      <c r="C568" s="7" t="s">
        <v>22</v>
      </c>
      <c r="D568" s="26" t="s">
        <v>23</v>
      </c>
      <c r="E568" s="9" t="s">
        <v>21</v>
      </c>
      <c r="F568" s="9" t="s">
        <v>7</v>
      </c>
      <c r="G568" s="7" t="s">
        <v>902</v>
      </c>
      <c r="H568" s="7" t="s">
        <v>903</v>
      </c>
      <c r="I568" s="124" t="s">
        <v>902</v>
      </c>
      <c r="J568" s="7">
        <v>38</v>
      </c>
      <c r="K568" s="124" t="s">
        <v>495</v>
      </c>
      <c r="L568" s="20" t="s">
        <v>909</v>
      </c>
      <c r="M568" s="16">
        <v>92.439439561631943</v>
      </c>
      <c r="N568" s="16">
        <v>21.867631064520943</v>
      </c>
      <c r="O568" s="16">
        <v>359.05084906684027</v>
      </c>
      <c r="P568" s="16">
        <v>15.497436947292751</v>
      </c>
      <c r="Q568" s="147">
        <v>1030.056416829427</v>
      </c>
      <c r="R568" s="147">
        <v>10.60693359375</v>
      </c>
      <c r="S568" s="10">
        <v>0.79139983021627691</v>
      </c>
      <c r="T568" s="10">
        <v>-7.7738776050476677</v>
      </c>
      <c r="U568" s="16">
        <v>6.6990090597524726E-2</v>
      </c>
      <c r="V568" s="16">
        <v>8.4227242553126249</v>
      </c>
      <c r="W568" s="10">
        <v>16.196601860360293</v>
      </c>
      <c r="X568" s="10" t="s">
        <v>902</v>
      </c>
      <c r="Y568" s="10" t="s">
        <v>902</v>
      </c>
      <c r="Z568" s="10">
        <v>4.2</v>
      </c>
      <c r="AA568" s="20" t="s">
        <v>302</v>
      </c>
      <c r="AB568" s="7" t="s">
        <v>902</v>
      </c>
      <c r="AC568" s="7" t="s">
        <v>902</v>
      </c>
      <c r="AD568" s="7" t="s">
        <v>902</v>
      </c>
      <c r="AE568" s="7" t="s">
        <v>3</v>
      </c>
      <c r="AF568" s="19" t="s">
        <v>27</v>
      </c>
      <c r="AG568" s="11" t="s">
        <v>864</v>
      </c>
      <c r="AH568" s="7" t="s">
        <v>1242</v>
      </c>
    </row>
    <row r="569" spans="1:34" s="7" customFormat="1" ht="16.5" customHeight="1">
      <c r="A569" s="7">
        <v>2012</v>
      </c>
      <c r="B569" s="12">
        <v>41126</v>
      </c>
      <c r="C569" s="7" t="s">
        <v>22</v>
      </c>
      <c r="D569" s="26" t="s">
        <v>23</v>
      </c>
      <c r="E569" s="9" t="s">
        <v>21</v>
      </c>
      <c r="F569" s="9" t="s">
        <v>7</v>
      </c>
      <c r="G569" s="7" t="s">
        <v>902</v>
      </c>
      <c r="H569" s="7" t="s">
        <v>903</v>
      </c>
      <c r="I569" s="124" t="s">
        <v>902</v>
      </c>
      <c r="J569" s="7">
        <v>39</v>
      </c>
      <c r="K569" s="124" t="s">
        <v>496</v>
      </c>
      <c r="L569" s="20" t="s">
        <v>909</v>
      </c>
      <c r="M569" s="16">
        <v>92.43557908799913</v>
      </c>
      <c r="N569" s="16">
        <v>22.856277041965061</v>
      </c>
      <c r="O569" s="16">
        <v>358.34240892198352</v>
      </c>
      <c r="P569" s="16">
        <v>16.43604956732856</v>
      </c>
      <c r="Q569" s="147">
        <v>1115.4157375759548</v>
      </c>
      <c r="R569" s="147">
        <v>113.638427734375</v>
      </c>
      <c r="S569" s="10">
        <v>0.79139983021627691</v>
      </c>
      <c r="T569" s="10">
        <v>-9.93312716288521</v>
      </c>
      <c r="U569" s="16">
        <v>6.5705372207058965E-2</v>
      </c>
      <c r="V569" s="16">
        <v>8.4227242553126249</v>
      </c>
      <c r="W569" s="10">
        <v>18.355851418197837</v>
      </c>
      <c r="X569" s="10" t="s">
        <v>902</v>
      </c>
      <c r="Y569" s="10" t="s">
        <v>902</v>
      </c>
      <c r="Z569" s="10">
        <v>4.2</v>
      </c>
      <c r="AA569" s="20" t="s">
        <v>314</v>
      </c>
      <c r="AB569" s="7" t="s">
        <v>902</v>
      </c>
      <c r="AC569" s="7" t="s">
        <v>902</v>
      </c>
      <c r="AD569" s="7" t="s">
        <v>902</v>
      </c>
      <c r="AE569" s="7" t="s">
        <v>3</v>
      </c>
      <c r="AF569" s="19" t="s">
        <v>27</v>
      </c>
      <c r="AG569" s="11" t="s">
        <v>864</v>
      </c>
      <c r="AH569" s="7" t="s">
        <v>1242</v>
      </c>
    </row>
    <row r="570" spans="1:34" s="7" customFormat="1" ht="16.5" customHeight="1">
      <c r="A570" s="7">
        <v>2012</v>
      </c>
      <c r="B570" s="12">
        <v>41126</v>
      </c>
      <c r="C570" s="7" t="s">
        <v>22</v>
      </c>
      <c r="D570" s="26" t="s">
        <v>23</v>
      </c>
      <c r="E570" s="9" t="s">
        <v>21</v>
      </c>
      <c r="F570" s="9" t="s">
        <v>7</v>
      </c>
      <c r="G570" s="7" t="s">
        <v>902</v>
      </c>
      <c r="H570" s="7" t="s">
        <v>903</v>
      </c>
      <c r="I570" s="124" t="s">
        <v>902</v>
      </c>
      <c r="J570" s="7">
        <v>40</v>
      </c>
      <c r="K570" s="124" t="s">
        <v>497</v>
      </c>
      <c r="L570" s="20" t="s">
        <v>909</v>
      </c>
      <c r="M570" s="16">
        <v>92.434855812474296</v>
      </c>
      <c r="N570" s="16">
        <v>23.114510385613691</v>
      </c>
      <c r="O570" s="16">
        <v>359.8318947239926</v>
      </c>
      <c r="P570" s="16">
        <v>15.591756017584549</v>
      </c>
      <c r="Q570" s="147">
        <v>1147.7218210320723</v>
      </c>
      <c r="R570" s="147">
        <v>16.3074951171875</v>
      </c>
      <c r="S570" s="10">
        <v>0.79139983021627691</v>
      </c>
      <c r="T570" s="10">
        <v>-6.7136238601565594</v>
      </c>
      <c r="U570" s="16">
        <v>6.2178053772240345E-2</v>
      </c>
      <c r="V570" s="16">
        <v>8.4227242553126249</v>
      </c>
      <c r="W570" s="10">
        <v>15.136348115469184</v>
      </c>
      <c r="X570" s="10" t="s">
        <v>902</v>
      </c>
      <c r="Y570" s="10" t="s">
        <v>902</v>
      </c>
      <c r="Z570" s="10">
        <v>4.2</v>
      </c>
      <c r="AA570" s="20" t="s">
        <v>330</v>
      </c>
      <c r="AB570" s="7" t="s">
        <v>902</v>
      </c>
      <c r="AC570" s="7" t="s">
        <v>902</v>
      </c>
      <c r="AD570" s="7" t="s">
        <v>902</v>
      </c>
      <c r="AE570" s="7" t="s">
        <v>3</v>
      </c>
      <c r="AF570" s="19" t="s">
        <v>27</v>
      </c>
      <c r="AG570" s="11" t="s">
        <v>864</v>
      </c>
      <c r="AH570" s="7" t="s">
        <v>1429</v>
      </c>
    </row>
  </sheetData>
  <sortState ref="A6:AI576">
    <sortCondition ref="E6:E576"/>
    <sortCondition ref="Q6:Q576"/>
  </sortState>
  <phoneticPr fontId="7"/>
  <dataValidations count="12">
    <dataValidation type="decimal" operator="greaterThan" allowBlank="1" showInputMessage="1" showErrorMessage="1" sqref="X571:X1048576">
      <formula1>0.97</formula1>
    </dataValidation>
    <dataValidation type="list" allowBlank="1" showInputMessage="1" showErrorMessage="1" sqref="AG369:AG493 AA266 AG321:AG323 AG267:AG316 AG497:AG521 AG525:AG570 AG343:AG346 AG350:AG365 AG149:AG265">
      <formula1>LightCurve</formula1>
    </dataValidation>
    <dataValidation type="list" allowBlank="1" showInputMessage="1" showErrorMessage="1" sqref="AG366:AG368 AG494:AG496 AG522:AG524 AG347:AG349 L332:L401 L442:L570 L323 L149:L316">
      <formula1>ChamberTreatment</formula1>
    </dataValidation>
    <dataValidation type="list" allowBlank="1" showInputMessage="1" showErrorMessage="1" sqref="AG317:AG320 AE343:AE570 L317:L321 AE149:AE323">
      <formula1>NaturalLight</formula1>
    </dataValidation>
    <dataValidation type="list" allowBlank="1" showInputMessage="1" showErrorMessage="1" sqref="L402:L441">
      <formula1>ChamberTreatment2</formula1>
    </dataValidation>
    <dataValidation type="list" allowBlank="1" showInputMessage="1" showErrorMessage="1" sqref="AG71:AG108 L69 L141:L144 L124:L126 L93:L108 L88 L71:L85 AG69 AG2:AG28 L2:L28">
      <formula1>CHLtCondition</formula1>
    </dataValidation>
    <dataValidation type="list" allowBlank="1" showInputMessage="1" showErrorMessage="1" sqref="AF70">
      <formula1>DomVeg</formula1>
    </dataValidation>
    <dataValidation type="list" allowBlank="1" showInputMessage="1" showErrorMessage="1" sqref="F70">
      <formula1>Treatment</formula1>
    </dataValidation>
    <dataValidation type="list" allowBlank="1" showInputMessage="1" showErrorMessage="1" sqref="E70">
      <formula1>SampleID</formula1>
    </dataValidation>
    <dataValidation type="list" allowBlank="1" showInputMessage="1" showErrorMessage="1" sqref="C70">
      <formula1>Site</formula1>
    </dataValidation>
    <dataValidation type="list" allowBlank="1" showInputMessage="1" showErrorMessage="1" sqref="D70">
      <formula1>Group</formula1>
    </dataValidation>
    <dataValidation type="list" allowBlank="1" showInputMessage="1" showErrorMessage="1" sqref="H70">
      <formula1>Measurement</formula1>
    </dataValidation>
  </dataValidations>
  <pageMargins left="0.7" right="0.7" top="0.75" bottom="0.75" header="0.3" footer="0.3"/>
  <headerFooter alignWithMargins="0"/>
  <legacy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sheetPr codeName="Sheet2"/>
  <dimension ref="A1:N638"/>
  <sheetViews>
    <sheetView topLeftCell="A539" zoomScale="96" zoomScaleNormal="96" workbookViewId="0">
      <selection activeCell="B587" sqref="B587"/>
    </sheetView>
  </sheetViews>
  <sheetFormatPr defaultRowHeight="12.75"/>
  <cols>
    <col min="1" max="1" width="9.140625" style="132"/>
    <col min="2" max="2" width="26.5703125" style="132" customWidth="1"/>
    <col min="3" max="3" width="51.85546875" style="132" customWidth="1"/>
    <col min="4" max="4" width="11.7109375" style="132" customWidth="1"/>
    <col min="5" max="5" width="13.85546875" style="132" customWidth="1"/>
    <col min="6" max="257" width="9.140625" style="132"/>
    <col min="258" max="258" width="26.5703125" style="132" customWidth="1"/>
    <col min="259" max="259" width="51.85546875" style="132" customWidth="1"/>
    <col min="260" max="260" width="11.7109375" style="132" customWidth="1"/>
    <col min="261" max="261" width="13.85546875" style="132" customWidth="1"/>
    <col min="262" max="513" width="9.140625" style="132"/>
    <col min="514" max="514" width="26.5703125" style="132" customWidth="1"/>
    <col min="515" max="515" width="51.85546875" style="132" customWidth="1"/>
    <col min="516" max="516" width="11.7109375" style="132" customWidth="1"/>
    <col min="517" max="517" width="13.85546875" style="132" customWidth="1"/>
    <col min="518" max="769" width="9.140625" style="132"/>
    <col min="770" max="770" width="26.5703125" style="132" customWidth="1"/>
    <col min="771" max="771" width="51.85546875" style="132" customWidth="1"/>
    <col min="772" max="772" width="11.7109375" style="132" customWidth="1"/>
    <col min="773" max="773" width="13.85546875" style="132" customWidth="1"/>
    <col min="774" max="1025" width="9.140625" style="132"/>
    <col min="1026" max="1026" width="26.5703125" style="132" customWidth="1"/>
    <col min="1027" max="1027" width="51.85546875" style="132" customWidth="1"/>
    <col min="1028" max="1028" width="11.7109375" style="132" customWidth="1"/>
    <col min="1029" max="1029" width="13.85546875" style="132" customWidth="1"/>
    <col min="1030" max="1281" width="9.140625" style="132"/>
    <col min="1282" max="1282" width="26.5703125" style="132" customWidth="1"/>
    <col min="1283" max="1283" width="51.85546875" style="132" customWidth="1"/>
    <col min="1284" max="1284" width="11.7109375" style="132" customWidth="1"/>
    <col min="1285" max="1285" width="13.85546875" style="132" customWidth="1"/>
    <col min="1286" max="1537" width="9.140625" style="132"/>
    <col min="1538" max="1538" width="26.5703125" style="132" customWidth="1"/>
    <col min="1539" max="1539" width="51.85546875" style="132" customWidth="1"/>
    <col min="1540" max="1540" width="11.7109375" style="132" customWidth="1"/>
    <col min="1541" max="1541" width="13.85546875" style="132" customWidth="1"/>
    <col min="1542" max="1793" width="9.140625" style="132"/>
    <col min="1794" max="1794" width="26.5703125" style="132" customWidth="1"/>
    <col min="1795" max="1795" width="51.85546875" style="132" customWidth="1"/>
    <col min="1796" max="1796" width="11.7109375" style="132" customWidth="1"/>
    <col min="1797" max="1797" width="13.85546875" style="132" customWidth="1"/>
    <col min="1798" max="2049" width="9.140625" style="132"/>
    <col min="2050" max="2050" width="26.5703125" style="132" customWidth="1"/>
    <col min="2051" max="2051" width="51.85546875" style="132" customWidth="1"/>
    <col min="2052" max="2052" width="11.7109375" style="132" customWidth="1"/>
    <col min="2053" max="2053" width="13.85546875" style="132" customWidth="1"/>
    <col min="2054" max="2305" width="9.140625" style="132"/>
    <col min="2306" max="2306" width="26.5703125" style="132" customWidth="1"/>
    <col min="2307" max="2307" width="51.85546875" style="132" customWidth="1"/>
    <col min="2308" max="2308" width="11.7109375" style="132" customWidth="1"/>
    <col min="2309" max="2309" width="13.85546875" style="132" customWidth="1"/>
    <col min="2310" max="2561" width="9.140625" style="132"/>
    <col min="2562" max="2562" width="26.5703125" style="132" customWidth="1"/>
    <col min="2563" max="2563" width="51.85546875" style="132" customWidth="1"/>
    <col min="2564" max="2564" width="11.7109375" style="132" customWidth="1"/>
    <col min="2565" max="2565" width="13.85546875" style="132" customWidth="1"/>
    <col min="2566" max="2817" width="9.140625" style="132"/>
    <col min="2818" max="2818" width="26.5703125" style="132" customWidth="1"/>
    <col min="2819" max="2819" width="51.85546875" style="132" customWidth="1"/>
    <col min="2820" max="2820" width="11.7109375" style="132" customWidth="1"/>
    <col min="2821" max="2821" width="13.85546875" style="132" customWidth="1"/>
    <col min="2822" max="3073" width="9.140625" style="132"/>
    <col min="3074" max="3074" width="26.5703125" style="132" customWidth="1"/>
    <col min="3075" max="3075" width="51.85546875" style="132" customWidth="1"/>
    <col min="3076" max="3076" width="11.7109375" style="132" customWidth="1"/>
    <col min="3077" max="3077" width="13.85546875" style="132" customWidth="1"/>
    <col min="3078" max="3329" width="9.140625" style="132"/>
    <col min="3330" max="3330" width="26.5703125" style="132" customWidth="1"/>
    <col min="3331" max="3331" width="51.85546875" style="132" customWidth="1"/>
    <col min="3332" max="3332" width="11.7109375" style="132" customWidth="1"/>
    <col min="3333" max="3333" width="13.85546875" style="132" customWidth="1"/>
    <col min="3334" max="3585" width="9.140625" style="132"/>
    <col min="3586" max="3586" width="26.5703125" style="132" customWidth="1"/>
    <col min="3587" max="3587" width="51.85546875" style="132" customWidth="1"/>
    <col min="3588" max="3588" width="11.7109375" style="132" customWidth="1"/>
    <col min="3589" max="3589" width="13.85546875" style="132" customWidth="1"/>
    <col min="3590" max="3841" width="9.140625" style="132"/>
    <col min="3842" max="3842" width="26.5703125" style="132" customWidth="1"/>
    <col min="3843" max="3843" width="51.85546875" style="132" customWidth="1"/>
    <col min="3844" max="3844" width="11.7109375" style="132" customWidth="1"/>
    <col min="3845" max="3845" width="13.85546875" style="132" customWidth="1"/>
    <col min="3846" max="4097" width="9.140625" style="132"/>
    <col min="4098" max="4098" width="26.5703125" style="132" customWidth="1"/>
    <col min="4099" max="4099" width="51.85546875" style="132" customWidth="1"/>
    <col min="4100" max="4100" width="11.7109375" style="132" customWidth="1"/>
    <col min="4101" max="4101" width="13.85546875" style="132" customWidth="1"/>
    <col min="4102" max="4353" width="9.140625" style="132"/>
    <col min="4354" max="4354" width="26.5703125" style="132" customWidth="1"/>
    <col min="4355" max="4355" width="51.85546875" style="132" customWidth="1"/>
    <col min="4356" max="4356" width="11.7109375" style="132" customWidth="1"/>
    <col min="4357" max="4357" width="13.85546875" style="132" customWidth="1"/>
    <col min="4358" max="4609" width="9.140625" style="132"/>
    <col min="4610" max="4610" width="26.5703125" style="132" customWidth="1"/>
    <col min="4611" max="4611" width="51.85546875" style="132" customWidth="1"/>
    <col min="4612" max="4612" width="11.7109375" style="132" customWidth="1"/>
    <col min="4613" max="4613" width="13.85546875" style="132" customWidth="1"/>
    <col min="4614" max="4865" width="9.140625" style="132"/>
    <col min="4866" max="4866" width="26.5703125" style="132" customWidth="1"/>
    <col min="4867" max="4867" width="51.85546875" style="132" customWidth="1"/>
    <col min="4868" max="4868" width="11.7109375" style="132" customWidth="1"/>
    <col min="4869" max="4869" width="13.85546875" style="132" customWidth="1"/>
    <col min="4870" max="5121" width="9.140625" style="132"/>
    <col min="5122" max="5122" width="26.5703125" style="132" customWidth="1"/>
    <col min="5123" max="5123" width="51.85546875" style="132" customWidth="1"/>
    <col min="5124" max="5124" width="11.7109375" style="132" customWidth="1"/>
    <col min="5125" max="5125" width="13.85546875" style="132" customWidth="1"/>
    <col min="5126" max="5377" width="9.140625" style="132"/>
    <col min="5378" max="5378" width="26.5703125" style="132" customWidth="1"/>
    <col min="5379" max="5379" width="51.85546875" style="132" customWidth="1"/>
    <col min="5380" max="5380" width="11.7109375" style="132" customWidth="1"/>
    <col min="5381" max="5381" width="13.85546875" style="132" customWidth="1"/>
    <col min="5382" max="5633" width="9.140625" style="132"/>
    <col min="5634" max="5634" width="26.5703125" style="132" customWidth="1"/>
    <col min="5635" max="5635" width="51.85546875" style="132" customWidth="1"/>
    <col min="5636" max="5636" width="11.7109375" style="132" customWidth="1"/>
    <col min="5637" max="5637" width="13.85546875" style="132" customWidth="1"/>
    <col min="5638" max="5889" width="9.140625" style="132"/>
    <col min="5890" max="5890" width="26.5703125" style="132" customWidth="1"/>
    <col min="5891" max="5891" width="51.85546875" style="132" customWidth="1"/>
    <col min="5892" max="5892" width="11.7109375" style="132" customWidth="1"/>
    <col min="5893" max="5893" width="13.85546875" style="132" customWidth="1"/>
    <col min="5894" max="6145" width="9.140625" style="132"/>
    <col min="6146" max="6146" width="26.5703125" style="132" customWidth="1"/>
    <col min="6147" max="6147" width="51.85546875" style="132" customWidth="1"/>
    <col min="6148" max="6148" width="11.7109375" style="132" customWidth="1"/>
    <col min="6149" max="6149" width="13.85546875" style="132" customWidth="1"/>
    <col min="6150" max="6401" width="9.140625" style="132"/>
    <col min="6402" max="6402" width="26.5703125" style="132" customWidth="1"/>
    <col min="6403" max="6403" width="51.85546875" style="132" customWidth="1"/>
    <col min="6404" max="6404" width="11.7109375" style="132" customWidth="1"/>
    <col min="6405" max="6405" width="13.85546875" style="132" customWidth="1"/>
    <col min="6406" max="6657" width="9.140625" style="132"/>
    <col min="6658" max="6658" width="26.5703125" style="132" customWidth="1"/>
    <col min="6659" max="6659" width="51.85546875" style="132" customWidth="1"/>
    <col min="6660" max="6660" width="11.7109375" style="132" customWidth="1"/>
    <col min="6661" max="6661" width="13.85546875" style="132" customWidth="1"/>
    <col min="6662" max="6913" width="9.140625" style="132"/>
    <col min="6914" max="6914" width="26.5703125" style="132" customWidth="1"/>
    <col min="6915" max="6915" width="51.85546875" style="132" customWidth="1"/>
    <col min="6916" max="6916" width="11.7109375" style="132" customWidth="1"/>
    <col min="6917" max="6917" width="13.85546875" style="132" customWidth="1"/>
    <col min="6918" max="7169" width="9.140625" style="132"/>
    <col min="7170" max="7170" width="26.5703125" style="132" customWidth="1"/>
    <col min="7171" max="7171" width="51.85546875" style="132" customWidth="1"/>
    <col min="7172" max="7172" width="11.7109375" style="132" customWidth="1"/>
    <col min="7173" max="7173" width="13.85546875" style="132" customWidth="1"/>
    <col min="7174" max="7425" width="9.140625" style="132"/>
    <col min="7426" max="7426" width="26.5703125" style="132" customWidth="1"/>
    <col min="7427" max="7427" width="51.85546875" style="132" customWidth="1"/>
    <col min="7428" max="7428" width="11.7109375" style="132" customWidth="1"/>
    <col min="7429" max="7429" width="13.85546875" style="132" customWidth="1"/>
    <col min="7430" max="7681" width="9.140625" style="132"/>
    <col min="7682" max="7682" width="26.5703125" style="132" customWidth="1"/>
    <col min="7683" max="7683" width="51.85546875" style="132" customWidth="1"/>
    <col min="7684" max="7684" width="11.7109375" style="132" customWidth="1"/>
    <col min="7685" max="7685" width="13.85546875" style="132" customWidth="1"/>
    <col min="7686" max="7937" width="9.140625" style="132"/>
    <col min="7938" max="7938" width="26.5703125" style="132" customWidth="1"/>
    <col min="7939" max="7939" width="51.85546875" style="132" customWidth="1"/>
    <col min="7940" max="7940" width="11.7109375" style="132" customWidth="1"/>
    <col min="7941" max="7941" width="13.85546875" style="132" customWidth="1"/>
    <col min="7942" max="8193" width="9.140625" style="132"/>
    <col min="8194" max="8194" width="26.5703125" style="132" customWidth="1"/>
    <col min="8195" max="8195" width="51.85546875" style="132" customWidth="1"/>
    <col min="8196" max="8196" width="11.7109375" style="132" customWidth="1"/>
    <col min="8197" max="8197" width="13.85546875" style="132" customWidth="1"/>
    <col min="8198" max="8449" width="9.140625" style="132"/>
    <col min="8450" max="8450" width="26.5703125" style="132" customWidth="1"/>
    <col min="8451" max="8451" width="51.85546875" style="132" customWidth="1"/>
    <col min="8452" max="8452" width="11.7109375" style="132" customWidth="1"/>
    <col min="8453" max="8453" width="13.85546875" style="132" customWidth="1"/>
    <col min="8454" max="8705" width="9.140625" style="132"/>
    <col min="8706" max="8706" width="26.5703125" style="132" customWidth="1"/>
    <col min="8707" max="8707" width="51.85546875" style="132" customWidth="1"/>
    <col min="8708" max="8708" width="11.7109375" style="132" customWidth="1"/>
    <col min="8709" max="8709" width="13.85546875" style="132" customWidth="1"/>
    <col min="8710" max="8961" width="9.140625" style="132"/>
    <col min="8962" max="8962" width="26.5703125" style="132" customWidth="1"/>
    <col min="8963" max="8963" width="51.85546875" style="132" customWidth="1"/>
    <col min="8964" max="8964" width="11.7109375" style="132" customWidth="1"/>
    <col min="8965" max="8965" width="13.85546875" style="132" customWidth="1"/>
    <col min="8966" max="9217" width="9.140625" style="132"/>
    <col min="9218" max="9218" width="26.5703125" style="132" customWidth="1"/>
    <col min="9219" max="9219" width="51.85546875" style="132" customWidth="1"/>
    <col min="9220" max="9220" width="11.7109375" style="132" customWidth="1"/>
    <col min="9221" max="9221" width="13.85546875" style="132" customWidth="1"/>
    <col min="9222" max="9473" width="9.140625" style="132"/>
    <col min="9474" max="9474" width="26.5703125" style="132" customWidth="1"/>
    <col min="9475" max="9475" width="51.85546875" style="132" customWidth="1"/>
    <col min="9476" max="9476" width="11.7109375" style="132" customWidth="1"/>
    <col min="9477" max="9477" width="13.85546875" style="132" customWidth="1"/>
    <col min="9478" max="9729" width="9.140625" style="132"/>
    <col min="9730" max="9730" width="26.5703125" style="132" customWidth="1"/>
    <col min="9731" max="9731" width="51.85546875" style="132" customWidth="1"/>
    <col min="9732" max="9732" width="11.7109375" style="132" customWidth="1"/>
    <col min="9733" max="9733" width="13.85546875" style="132" customWidth="1"/>
    <col min="9734" max="9985" width="9.140625" style="132"/>
    <col min="9986" max="9986" width="26.5703125" style="132" customWidth="1"/>
    <col min="9987" max="9987" width="51.85546875" style="132" customWidth="1"/>
    <col min="9988" max="9988" width="11.7109375" style="132" customWidth="1"/>
    <col min="9989" max="9989" width="13.85546875" style="132" customWidth="1"/>
    <col min="9990" max="10241" width="9.140625" style="132"/>
    <col min="10242" max="10242" width="26.5703125" style="132" customWidth="1"/>
    <col min="10243" max="10243" width="51.85546875" style="132" customWidth="1"/>
    <col min="10244" max="10244" width="11.7109375" style="132" customWidth="1"/>
    <col min="10245" max="10245" width="13.85546875" style="132" customWidth="1"/>
    <col min="10246" max="10497" width="9.140625" style="132"/>
    <col min="10498" max="10498" width="26.5703125" style="132" customWidth="1"/>
    <col min="10499" max="10499" width="51.85546875" style="132" customWidth="1"/>
    <col min="10500" max="10500" width="11.7109375" style="132" customWidth="1"/>
    <col min="10501" max="10501" width="13.85546875" style="132" customWidth="1"/>
    <col min="10502" max="10753" width="9.140625" style="132"/>
    <col min="10754" max="10754" width="26.5703125" style="132" customWidth="1"/>
    <col min="10755" max="10755" width="51.85546875" style="132" customWidth="1"/>
    <col min="10756" max="10756" width="11.7109375" style="132" customWidth="1"/>
    <col min="10757" max="10757" width="13.85546875" style="132" customWidth="1"/>
    <col min="10758" max="11009" width="9.140625" style="132"/>
    <col min="11010" max="11010" width="26.5703125" style="132" customWidth="1"/>
    <col min="11011" max="11011" width="51.85546875" style="132" customWidth="1"/>
    <col min="11012" max="11012" width="11.7109375" style="132" customWidth="1"/>
    <col min="11013" max="11013" width="13.85546875" style="132" customWidth="1"/>
    <col min="11014" max="11265" width="9.140625" style="132"/>
    <col min="11266" max="11266" width="26.5703125" style="132" customWidth="1"/>
    <col min="11267" max="11267" width="51.85546875" style="132" customWidth="1"/>
    <col min="11268" max="11268" width="11.7109375" style="132" customWidth="1"/>
    <col min="11269" max="11269" width="13.85546875" style="132" customWidth="1"/>
    <col min="11270" max="11521" width="9.140625" style="132"/>
    <col min="11522" max="11522" width="26.5703125" style="132" customWidth="1"/>
    <col min="11523" max="11523" width="51.85546875" style="132" customWidth="1"/>
    <col min="11524" max="11524" width="11.7109375" style="132" customWidth="1"/>
    <col min="11525" max="11525" width="13.85546875" style="132" customWidth="1"/>
    <col min="11526" max="11777" width="9.140625" style="132"/>
    <col min="11778" max="11778" width="26.5703125" style="132" customWidth="1"/>
    <col min="11779" max="11779" width="51.85546875" style="132" customWidth="1"/>
    <col min="11780" max="11780" width="11.7109375" style="132" customWidth="1"/>
    <col min="11781" max="11781" width="13.85546875" style="132" customWidth="1"/>
    <col min="11782" max="12033" width="9.140625" style="132"/>
    <col min="12034" max="12034" width="26.5703125" style="132" customWidth="1"/>
    <col min="12035" max="12035" width="51.85546875" style="132" customWidth="1"/>
    <col min="12036" max="12036" width="11.7109375" style="132" customWidth="1"/>
    <col min="12037" max="12037" width="13.85546875" style="132" customWidth="1"/>
    <col min="12038" max="12289" width="9.140625" style="132"/>
    <col min="12290" max="12290" width="26.5703125" style="132" customWidth="1"/>
    <col min="12291" max="12291" width="51.85546875" style="132" customWidth="1"/>
    <col min="12292" max="12292" width="11.7109375" style="132" customWidth="1"/>
    <col min="12293" max="12293" width="13.85546875" style="132" customWidth="1"/>
    <col min="12294" max="12545" width="9.140625" style="132"/>
    <col min="12546" max="12546" width="26.5703125" style="132" customWidth="1"/>
    <col min="12547" max="12547" width="51.85546875" style="132" customWidth="1"/>
    <col min="12548" max="12548" width="11.7109375" style="132" customWidth="1"/>
    <col min="12549" max="12549" width="13.85546875" style="132" customWidth="1"/>
    <col min="12550" max="12801" width="9.140625" style="132"/>
    <col min="12802" max="12802" width="26.5703125" style="132" customWidth="1"/>
    <col min="12803" max="12803" width="51.85546875" style="132" customWidth="1"/>
    <col min="12804" max="12804" width="11.7109375" style="132" customWidth="1"/>
    <col min="12805" max="12805" width="13.85546875" style="132" customWidth="1"/>
    <col min="12806" max="13057" width="9.140625" style="132"/>
    <col min="13058" max="13058" width="26.5703125" style="132" customWidth="1"/>
    <col min="13059" max="13059" width="51.85546875" style="132" customWidth="1"/>
    <col min="13060" max="13060" width="11.7109375" style="132" customWidth="1"/>
    <col min="13061" max="13061" width="13.85546875" style="132" customWidth="1"/>
    <col min="13062" max="13313" width="9.140625" style="132"/>
    <col min="13314" max="13314" width="26.5703125" style="132" customWidth="1"/>
    <col min="13315" max="13315" width="51.85546875" style="132" customWidth="1"/>
    <col min="13316" max="13316" width="11.7109375" style="132" customWidth="1"/>
    <col min="13317" max="13317" width="13.85546875" style="132" customWidth="1"/>
    <col min="13318" max="13569" width="9.140625" style="132"/>
    <col min="13570" max="13570" width="26.5703125" style="132" customWidth="1"/>
    <col min="13571" max="13571" width="51.85546875" style="132" customWidth="1"/>
    <col min="13572" max="13572" width="11.7109375" style="132" customWidth="1"/>
    <col min="13573" max="13573" width="13.85546875" style="132" customWidth="1"/>
    <col min="13574" max="13825" width="9.140625" style="132"/>
    <col min="13826" max="13826" width="26.5703125" style="132" customWidth="1"/>
    <col min="13827" max="13827" width="51.85546875" style="132" customWidth="1"/>
    <col min="13828" max="13828" width="11.7109375" style="132" customWidth="1"/>
    <col min="13829" max="13829" width="13.85546875" style="132" customWidth="1"/>
    <col min="13830" max="14081" width="9.140625" style="132"/>
    <col min="14082" max="14082" width="26.5703125" style="132" customWidth="1"/>
    <col min="14083" max="14083" width="51.85546875" style="132" customWidth="1"/>
    <col min="14084" max="14084" width="11.7109375" style="132" customWidth="1"/>
    <col min="14085" max="14085" width="13.85546875" style="132" customWidth="1"/>
    <col min="14086" max="14337" width="9.140625" style="132"/>
    <col min="14338" max="14338" width="26.5703125" style="132" customWidth="1"/>
    <col min="14339" max="14339" width="51.85546875" style="132" customWidth="1"/>
    <col min="14340" max="14340" width="11.7109375" style="132" customWidth="1"/>
    <col min="14341" max="14341" width="13.85546875" style="132" customWidth="1"/>
    <col min="14342" max="14593" width="9.140625" style="132"/>
    <col min="14594" max="14594" width="26.5703125" style="132" customWidth="1"/>
    <col min="14595" max="14595" width="51.85546875" style="132" customWidth="1"/>
    <col min="14596" max="14596" width="11.7109375" style="132" customWidth="1"/>
    <col min="14597" max="14597" width="13.85546875" style="132" customWidth="1"/>
    <col min="14598" max="14849" width="9.140625" style="132"/>
    <col min="14850" max="14850" width="26.5703125" style="132" customWidth="1"/>
    <col min="14851" max="14851" width="51.85546875" style="132" customWidth="1"/>
    <col min="14852" max="14852" width="11.7109375" style="132" customWidth="1"/>
    <col min="14853" max="14853" width="13.85546875" style="132" customWidth="1"/>
    <col min="14854" max="15105" width="9.140625" style="132"/>
    <col min="15106" max="15106" width="26.5703125" style="132" customWidth="1"/>
    <col min="15107" max="15107" width="51.85546875" style="132" customWidth="1"/>
    <col min="15108" max="15108" width="11.7109375" style="132" customWidth="1"/>
    <col min="15109" max="15109" width="13.85546875" style="132" customWidth="1"/>
    <col min="15110" max="15361" width="9.140625" style="132"/>
    <col min="15362" max="15362" width="26.5703125" style="132" customWidth="1"/>
    <col min="15363" max="15363" width="51.85546875" style="132" customWidth="1"/>
    <col min="15364" max="15364" width="11.7109375" style="132" customWidth="1"/>
    <col min="15365" max="15365" width="13.85546875" style="132" customWidth="1"/>
    <col min="15366" max="15617" width="9.140625" style="132"/>
    <col min="15618" max="15618" width="26.5703125" style="132" customWidth="1"/>
    <col min="15619" max="15619" width="51.85546875" style="132" customWidth="1"/>
    <col min="15620" max="15620" width="11.7109375" style="132" customWidth="1"/>
    <col min="15621" max="15621" width="13.85546875" style="132" customWidth="1"/>
    <col min="15622" max="15873" width="9.140625" style="132"/>
    <col min="15874" max="15874" width="26.5703125" style="132" customWidth="1"/>
    <col min="15875" max="15875" width="51.85546875" style="132" customWidth="1"/>
    <col min="15876" max="15876" width="11.7109375" style="132" customWidth="1"/>
    <col min="15877" max="15877" width="13.85546875" style="132" customWidth="1"/>
    <col min="15878" max="16129" width="9.140625" style="132"/>
    <col min="16130" max="16130" width="26.5703125" style="132" customWidth="1"/>
    <col min="16131" max="16131" width="51.85546875" style="132" customWidth="1"/>
    <col min="16132" max="16132" width="11.7109375" style="132" customWidth="1"/>
    <col min="16133" max="16133" width="13.85546875" style="132" customWidth="1"/>
    <col min="16134" max="16384" width="9.140625" style="132"/>
  </cols>
  <sheetData>
    <row r="1" spans="1:14">
      <c r="B1" s="45"/>
    </row>
    <row r="2" spans="1:14" ht="45">
      <c r="A2" s="133" t="s">
        <v>1804</v>
      </c>
      <c r="B2" s="134" t="s">
        <v>1803</v>
      </c>
      <c r="C2" s="134" t="s">
        <v>1805</v>
      </c>
      <c r="D2" s="135" t="s">
        <v>1806</v>
      </c>
      <c r="E2" s="135" t="s">
        <v>1807</v>
      </c>
      <c r="F2" s="136" t="s">
        <v>1808</v>
      </c>
      <c r="G2" s="134" t="s">
        <v>1809</v>
      </c>
      <c r="H2" s="134" t="s">
        <v>1810</v>
      </c>
      <c r="I2" s="134" t="s">
        <v>1811</v>
      </c>
      <c r="J2" s="134" t="s">
        <v>1812</v>
      </c>
      <c r="K2" s="137" t="s">
        <v>1813</v>
      </c>
      <c r="L2" s="134" t="s">
        <v>1814</v>
      </c>
      <c r="M2" s="134" t="s">
        <v>1815</v>
      </c>
      <c r="N2" s="134" t="s">
        <v>1816</v>
      </c>
    </row>
    <row r="3" spans="1:14">
      <c r="A3" s="132">
        <v>1169</v>
      </c>
      <c r="B3" s="45" t="s">
        <v>1817</v>
      </c>
      <c r="C3" s="45" t="s">
        <v>1818</v>
      </c>
      <c r="D3" s="132">
        <v>68.99666666666667</v>
      </c>
      <c r="E3" s="132">
        <v>-150.28100000000001</v>
      </c>
      <c r="F3" s="132" t="s">
        <v>1242</v>
      </c>
      <c r="G3" s="132" t="s">
        <v>1819</v>
      </c>
      <c r="H3" s="132" t="s">
        <v>1242</v>
      </c>
      <c r="I3" s="132" t="s">
        <v>1242</v>
      </c>
      <c r="J3" s="132" t="s">
        <v>1820</v>
      </c>
      <c r="K3" s="132" t="s">
        <v>1242</v>
      </c>
      <c r="L3" s="132" t="s">
        <v>1242</v>
      </c>
      <c r="M3" s="138" t="str">
        <f t="shared" ref="M3:M66" si="0">HYPERLINK("http://maps.google.com/maps?q="&amp;D3&amp;","&amp;E3,"View on Google Map")</f>
        <v>View on Google Map</v>
      </c>
    </row>
    <row r="4" spans="1:14">
      <c r="A4" s="132">
        <v>1170</v>
      </c>
      <c r="B4" s="45" t="s">
        <v>1821</v>
      </c>
      <c r="C4" s="45" t="s">
        <v>1822</v>
      </c>
      <c r="D4" s="132">
        <v>68.952222222222218</v>
      </c>
      <c r="E4" s="132">
        <v>-150.21249999999998</v>
      </c>
      <c r="F4" s="132" t="s">
        <v>1242</v>
      </c>
      <c r="G4" s="132" t="s">
        <v>1819</v>
      </c>
      <c r="H4" s="132" t="s">
        <v>1242</v>
      </c>
      <c r="I4" s="132" t="s">
        <v>1242</v>
      </c>
      <c r="J4" s="132" t="s">
        <v>1820</v>
      </c>
      <c r="K4" s="132" t="s">
        <v>1242</v>
      </c>
      <c r="L4" s="132" t="s">
        <v>1242</v>
      </c>
      <c r="M4" s="138" t="str">
        <f t="shared" si="0"/>
        <v>View on Google Map</v>
      </c>
    </row>
    <row r="5" spans="1:14">
      <c r="A5" s="132">
        <v>1171</v>
      </c>
      <c r="B5" s="45" t="s">
        <v>1823</v>
      </c>
      <c r="C5" s="45" t="s">
        <v>1824</v>
      </c>
      <c r="D5" s="132">
        <v>68.934444444444452</v>
      </c>
      <c r="E5" s="132">
        <v>-150.2727777777778</v>
      </c>
      <c r="F5" s="132" t="s">
        <v>1242</v>
      </c>
      <c r="G5" s="132" t="s">
        <v>1819</v>
      </c>
      <c r="H5" s="132" t="s">
        <v>1242</v>
      </c>
      <c r="I5" s="132" t="s">
        <v>1242</v>
      </c>
      <c r="J5" s="132" t="s">
        <v>1825</v>
      </c>
      <c r="K5" s="132" t="s">
        <v>1242</v>
      </c>
      <c r="L5" s="132" t="s">
        <v>1826</v>
      </c>
      <c r="M5" s="138" t="str">
        <f t="shared" si="0"/>
        <v>View on Google Map</v>
      </c>
    </row>
    <row r="6" spans="1:14">
      <c r="A6" s="132">
        <v>518</v>
      </c>
      <c r="B6" s="132" t="s">
        <v>1827</v>
      </c>
      <c r="C6" s="132" t="s">
        <v>1828</v>
      </c>
      <c r="D6" s="132">
        <v>68.900986000000003</v>
      </c>
      <c r="E6" s="132">
        <v>-151.308469</v>
      </c>
      <c r="F6" s="132">
        <v>350</v>
      </c>
      <c r="G6" s="132" t="s">
        <v>1829</v>
      </c>
      <c r="H6" s="132" t="s">
        <v>1242</v>
      </c>
      <c r="I6" s="132" t="s">
        <v>1242</v>
      </c>
      <c r="J6" s="132" t="s">
        <v>1830</v>
      </c>
      <c r="K6" s="132" t="s">
        <v>1242</v>
      </c>
      <c r="L6" s="132" t="s">
        <v>1831</v>
      </c>
      <c r="M6" s="138" t="str">
        <f t="shared" si="0"/>
        <v>View on Google Map</v>
      </c>
    </row>
    <row r="7" spans="1:14">
      <c r="A7" s="132">
        <v>478</v>
      </c>
      <c r="B7" s="132" t="s">
        <v>1832</v>
      </c>
      <c r="C7" s="132" t="s">
        <v>1242</v>
      </c>
      <c r="D7" s="132">
        <v>68.510069999999999</v>
      </c>
      <c r="E7" s="132">
        <v>-149.62691000000001</v>
      </c>
      <c r="F7" s="132">
        <v>996</v>
      </c>
      <c r="G7" s="132" t="s">
        <v>1829</v>
      </c>
      <c r="H7" s="132" t="s">
        <v>1242</v>
      </c>
      <c r="I7" s="132" t="s">
        <v>1242</v>
      </c>
      <c r="J7" s="132" t="s">
        <v>1830</v>
      </c>
      <c r="K7" s="132" t="s">
        <v>1242</v>
      </c>
      <c r="L7" s="132" t="s">
        <v>1242</v>
      </c>
      <c r="M7" s="138" t="str">
        <f t="shared" si="0"/>
        <v>View on Google Map</v>
      </c>
    </row>
    <row r="8" spans="1:14">
      <c r="A8" s="132">
        <v>479</v>
      </c>
      <c r="B8" s="132" t="s">
        <v>1833</v>
      </c>
      <c r="C8" s="132" t="s">
        <v>1242</v>
      </c>
      <c r="D8" s="132">
        <v>68.505080000000007</v>
      </c>
      <c r="E8" s="132">
        <v>-149.62766999999999</v>
      </c>
      <c r="F8" s="132">
        <v>986</v>
      </c>
      <c r="G8" s="132" t="s">
        <v>1829</v>
      </c>
      <c r="H8" s="132" t="s">
        <v>1242</v>
      </c>
      <c r="I8" s="132" t="s">
        <v>1242</v>
      </c>
      <c r="J8" s="132" t="s">
        <v>1830</v>
      </c>
      <c r="K8" s="132" t="s">
        <v>1242</v>
      </c>
      <c r="L8" s="132" t="s">
        <v>1242</v>
      </c>
      <c r="M8" s="138" t="str">
        <f t="shared" si="0"/>
        <v>View on Google Map</v>
      </c>
    </row>
    <row r="9" spans="1:14">
      <c r="A9" s="132">
        <v>480</v>
      </c>
      <c r="B9" s="132" t="s">
        <v>1834</v>
      </c>
      <c r="C9" s="132" t="s">
        <v>1242</v>
      </c>
      <c r="D9" s="132">
        <v>68.502449999999996</v>
      </c>
      <c r="E9" s="132">
        <v>-149.63137</v>
      </c>
      <c r="F9" s="132">
        <v>982</v>
      </c>
      <c r="G9" s="132" t="s">
        <v>1829</v>
      </c>
      <c r="H9" s="132" t="s">
        <v>1242</v>
      </c>
      <c r="I9" s="132" t="s">
        <v>1242</v>
      </c>
      <c r="J9" s="132" t="s">
        <v>1830</v>
      </c>
      <c r="K9" s="132" t="s">
        <v>1242</v>
      </c>
      <c r="L9" s="132" t="s">
        <v>1242</v>
      </c>
      <c r="M9" s="138" t="str">
        <f t="shared" si="0"/>
        <v>View on Google Map</v>
      </c>
    </row>
    <row r="10" spans="1:14">
      <c r="B10" s="132" t="s">
        <v>1835</v>
      </c>
      <c r="C10" s="132" t="s">
        <v>1836</v>
      </c>
      <c r="D10" s="132">
        <v>69.375833333333333</v>
      </c>
      <c r="E10" s="132">
        <v>-150.68138888888899</v>
      </c>
      <c r="G10" s="132" t="s">
        <v>1837</v>
      </c>
      <c r="J10" s="132" t="s">
        <v>1825</v>
      </c>
      <c r="L10" s="132" t="s">
        <v>1826</v>
      </c>
      <c r="M10" s="138" t="str">
        <f t="shared" si="0"/>
        <v>View on Google Map</v>
      </c>
    </row>
    <row r="11" spans="1:14">
      <c r="B11" s="132" t="s">
        <v>1838</v>
      </c>
      <c r="C11" s="132" t="s">
        <v>1836</v>
      </c>
      <c r="D11" s="132">
        <v>69.322777777777773</v>
      </c>
      <c r="E11" s="132">
        <v>-150.95055555555601</v>
      </c>
      <c r="G11" s="132" t="s">
        <v>1837</v>
      </c>
      <c r="J11" s="132" t="s">
        <v>1825</v>
      </c>
      <c r="L11" s="132" t="s">
        <v>1826</v>
      </c>
      <c r="M11" s="138" t="str">
        <f t="shared" si="0"/>
        <v>View on Google Map</v>
      </c>
    </row>
    <row r="12" spans="1:14">
      <c r="B12" s="132" t="s">
        <v>1839</v>
      </c>
      <c r="C12" s="132" t="s">
        <v>1836</v>
      </c>
      <c r="D12" s="132">
        <v>69.328055555555565</v>
      </c>
      <c r="E12" s="132">
        <v>-150.238055555556</v>
      </c>
      <c r="G12" s="132" t="s">
        <v>1837</v>
      </c>
      <c r="J12" s="132" t="s">
        <v>1825</v>
      </c>
      <c r="L12" s="132" t="s">
        <v>1826</v>
      </c>
      <c r="M12" s="138" t="str">
        <f t="shared" si="0"/>
        <v>View on Google Map</v>
      </c>
    </row>
    <row r="13" spans="1:14">
      <c r="B13" s="132" t="s">
        <v>1840</v>
      </c>
      <c r="C13" s="132" t="s">
        <v>1836</v>
      </c>
      <c r="D13" s="132">
        <v>69.30361111111111</v>
      </c>
      <c r="E13" s="132">
        <v>-149.56083333333299</v>
      </c>
      <c r="G13" s="132" t="s">
        <v>1837</v>
      </c>
      <c r="J13" s="132" t="s">
        <v>1825</v>
      </c>
      <c r="L13" s="132" t="s">
        <v>1826</v>
      </c>
      <c r="M13" s="138" t="str">
        <f t="shared" si="0"/>
        <v>View on Google Map</v>
      </c>
    </row>
    <row r="14" spans="1:14">
      <c r="A14" s="132">
        <v>7</v>
      </c>
      <c r="B14" s="132" t="s">
        <v>1841</v>
      </c>
      <c r="C14" s="132" t="s">
        <v>1842</v>
      </c>
      <c r="D14" s="132">
        <v>68.95</v>
      </c>
      <c r="E14" s="132">
        <v>-148.86666666666667</v>
      </c>
      <c r="F14" s="132">
        <v>360</v>
      </c>
      <c r="G14" s="132" t="s">
        <v>1843</v>
      </c>
      <c r="H14" s="132" t="s">
        <v>1242</v>
      </c>
      <c r="I14" s="132" t="s">
        <v>1242</v>
      </c>
      <c r="J14" s="132" t="s">
        <v>1844</v>
      </c>
      <c r="K14" s="132" t="s">
        <v>1242</v>
      </c>
      <c r="L14" s="132" t="s">
        <v>1845</v>
      </c>
      <c r="M14" s="138" t="str">
        <f t="shared" si="0"/>
        <v>View on Google Map</v>
      </c>
    </row>
    <row r="15" spans="1:14">
      <c r="A15" s="132">
        <v>517</v>
      </c>
      <c r="B15" s="132" t="s">
        <v>1846</v>
      </c>
      <c r="C15" s="132" t="s">
        <v>1828</v>
      </c>
      <c r="D15" s="132">
        <v>68.467832999999999</v>
      </c>
      <c r="E15" s="132">
        <v>-151.47916699999999</v>
      </c>
      <c r="F15" s="132">
        <v>732</v>
      </c>
      <c r="G15" s="132" t="s">
        <v>1829</v>
      </c>
      <c r="H15" s="132" t="s">
        <v>1242</v>
      </c>
      <c r="I15" s="132" t="s">
        <v>1242</v>
      </c>
      <c r="J15" s="132" t="s">
        <v>1830</v>
      </c>
      <c r="K15" s="132" t="s">
        <v>1242</v>
      </c>
      <c r="L15" s="132" t="s">
        <v>1831</v>
      </c>
      <c r="M15" s="138" t="str">
        <f t="shared" si="0"/>
        <v>View on Google Map</v>
      </c>
    </row>
    <row r="16" spans="1:14">
      <c r="A16" s="132">
        <v>516</v>
      </c>
      <c r="B16" s="132" t="s">
        <v>1847</v>
      </c>
      <c r="C16" s="132" t="s">
        <v>1828</v>
      </c>
      <c r="D16" s="132">
        <v>68.467500000000001</v>
      </c>
      <c r="E16" s="132">
        <v>-151.49433300000001</v>
      </c>
      <c r="F16" s="132">
        <v>769</v>
      </c>
      <c r="G16" s="132" t="s">
        <v>1829</v>
      </c>
      <c r="H16" s="132" t="s">
        <v>1242</v>
      </c>
      <c r="I16" s="132" t="s">
        <v>1242</v>
      </c>
      <c r="J16" s="132" t="s">
        <v>1830</v>
      </c>
      <c r="K16" s="132" t="s">
        <v>1242</v>
      </c>
      <c r="L16" s="132" t="s">
        <v>1831</v>
      </c>
      <c r="M16" s="138" t="str">
        <f t="shared" si="0"/>
        <v>View on Google Map</v>
      </c>
    </row>
    <row r="17" spans="1:13">
      <c r="A17" s="132">
        <v>515</v>
      </c>
      <c r="B17" s="132" t="s">
        <v>1848</v>
      </c>
      <c r="C17" s="132" t="s">
        <v>1828</v>
      </c>
      <c r="D17" s="132">
        <v>68.463999999999999</v>
      </c>
      <c r="E17" s="132">
        <v>-151.51516699999999</v>
      </c>
      <c r="F17" s="132">
        <v>809</v>
      </c>
      <c r="G17" s="132" t="s">
        <v>1829</v>
      </c>
      <c r="H17" s="132" t="s">
        <v>1242</v>
      </c>
      <c r="I17" s="132" t="s">
        <v>1242</v>
      </c>
      <c r="J17" s="132" t="s">
        <v>1830</v>
      </c>
      <c r="K17" s="132" t="s">
        <v>1242</v>
      </c>
      <c r="L17" s="132" t="s">
        <v>1831</v>
      </c>
      <c r="M17" s="138" t="str">
        <f t="shared" si="0"/>
        <v>View on Google Map</v>
      </c>
    </row>
    <row r="18" spans="1:13">
      <c r="A18" s="132">
        <v>1177</v>
      </c>
      <c r="B18" s="132" t="s">
        <v>1849</v>
      </c>
      <c r="C18" s="132" t="s">
        <v>1850</v>
      </c>
      <c r="D18" s="132">
        <v>68.99539</v>
      </c>
      <c r="E18" s="132">
        <v>-150.28278</v>
      </c>
      <c r="F18" s="132" t="s">
        <v>1242</v>
      </c>
      <c r="G18" s="132" t="s">
        <v>1819</v>
      </c>
      <c r="H18" s="132" t="s">
        <v>1242</v>
      </c>
      <c r="I18" s="132" t="s">
        <v>1242</v>
      </c>
      <c r="J18" s="132" t="s">
        <v>1825</v>
      </c>
      <c r="K18" s="132" t="s">
        <v>1242</v>
      </c>
      <c r="L18" s="132" t="s">
        <v>1826</v>
      </c>
      <c r="M18" s="138" t="str">
        <f t="shared" si="0"/>
        <v>View on Google Map</v>
      </c>
    </row>
    <row r="19" spans="1:13">
      <c r="A19" s="132">
        <v>1178</v>
      </c>
      <c r="B19" s="132" t="s">
        <v>1851</v>
      </c>
      <c r="C19" s="132" t="s">
        <v>1850</v>
      </c>
      <c r="D19" s="132">
        <v>68.996089999999995</v>
      </c>
      <c r="E19" s="132">
        <v>-150.29223999999999</v>
      </c>
      <c r="F19" s="132" t="s">
        <v>1242</v>
      </c>
      <c r="G19" s="132" t="s">
        <v>1819</v>
      </c>
      <c r="H19" s="132" t="s">
        <v>1242</v>
      </c>
      <c r="I19" s="132" t="s">
        <v>1242</v>
      </c>
      <c r="J19" s="132" t="s">
        <v>1825</v>
      </c>
      <c r="K19" s="132" t="s">
        <v>1242</v>
      </c>
      <c r="L19" s="132" t="s">
        <v>1826</v>
      </c>
      <c r="M19" s="138" t="str">
        <f t="shared" si="0"/>
        <v>View on Google Map</v>
      </c>
    </row>
    <row r="20" spans="1:13">
      <c r="A20" s="132">
        <v>1179</v>
      </c>
      <c r="B20" s="132" t="s">
        <v>1852</v>
      </c>
      <c r="C20" s="132" t="s">
        <v>1853</v>
      </c>
      <c r="D20" s="132">
        <v>68.953829999999996</v>
      </c>
      <c r="E20" s="132">
        <v>-150.20697000000001</v>
      </c>
      <c r="F20" s="132" t="s">
        <v>1242</v>
      </c>
      <c r="G20" s="132" t="s">
        <v>1819</v>
      </c>
      <c r="H20" s="132" t="s">
        <v>1242</v>
      </c>
      <c r="I20" s="132" t="s">
        <v>1242</v>
      </c>
      <c r="J20" s="132" t="s">
        <v>1825</v>
      </c>
      <c r="K20" s="132" t="s">
        <v>1242</v>
      </c>
      <c r="L20" s="132" t="s">
        <v>1826</v>
      </c>
      <c r="M20" s="138" t="str">
        <f t="shared" si="0"/>
        <v>View on Google Map</v>
      </c>
    </row>
    <row r="21" spans="1:13">
      <c r="A21" s="132">
        <v>1180</v>
      </c>
      <c r="B21" s="45" t="s">
        <v>1854</v>
      </c>
      <c r="C21" s="132" t="s">
        <v>1853</v>
      </c>
      <c r="D21" s="132">
        <v>68.951099999999997</v>
      </c>
      <c r="E21" s="132">
        <v>-150.20966000000001</v>
      </c>
      <c r="F21" s="132" t="s">
        <v>1242</v>
      </c>
      <c r="G21" s="132" t="s">
        <v>1819</v>
      </c>
      <c r="H21" s="132" t="s">
        <v>1242</v>
      </c>
      <c r="I21" s="132" t="s">
        <v>1242</v>
      </c>
      <c r="J21" s="132" t="s">
        <v>1825</v>
      </c>
      <c r="K21" s="132" t="s">
        <v>1242</v>
      </c>
      <c r="L21" s="132" t="s">
        <v>1826</v>
      </c>
      <c r="M21" s="138" t="str">
        <f t="shared" si="0"/>
        <v>View on Google Map</v>
      </c>
    </row>
    <row r="22" spans="1:13">
      <c r="A22" s="132">
        <v>1181</v>
      </c>
      <c r="B22" s="45" t="s">
        <v>1855</v>
      </c>
      <c r="C22" s="132" t="s">
        <v>1853</v>
      </c>
      <c r="D22" s="132">
        <v>68.950720000000004</v>
      </c>
      <c r="E22" s="132">
        <v>-150.19745</v>
      </c>
      <c r="F22" s="132" t="s">
        <v>1242</v>
      </c>
      <c r="G22" s="132" t="s">
        <v>1819</v>
      </c>
      <c r="H22" s="132" t="s">
        <v>1242</v>
      </c>
      <c r="I22" s="132" t="s">
        <v>1242</v>
      </c>
      <c r="J22" s="132" t="s">
        <v>1825</v>
      </c>
      <c r="K22" s="132" t="s">
        <v>1242</v>
      </c>
      <c r="L22" s="132" t="s">
        <v>1826</v>
      </c>
      <c r="M22" s="138" t="str">
        <f t="shared" si="0"/>
        <v>View on Google Map</v>
      </c>
    </row>
    <row r="23" spans="1:13">
      <c r="A23" s="132">
        <v>1182</v>
      </c>
      <c r="B23" s="45" t="s">
        <v>1856</v>
      </c>
      <c r="C23" s="132" t="s">
        <v>1853</v>
      </c>
      <c r="D23" s="132">
        <v>68.950149999999994</v>
      </c>
      <c r="E23" s="132">
        <v>-150.19701000000001</v>
      </c>
      <c r="F23" s="132" t="s">
        <v>1242</v>
      </c>
      <c r="G23" s="132" t="s">
        <v>1819</v>
      </c>
      <c r="H23" s="132" t="s">
        <v>1242</v>
      </c>
      <c r="I23" s="132" t="s">
        <v>1242</v>
      </c>
      <c r="J23" s="132" t="s">
        <v>1825</v>
      </c>
      <c r="K23" s="132" t="s">
        <v>1242</v>
      </c>
      <c r="L23" s="132" t="s">
        <v>1826</v>
      </c>
      <c r="M23" s="138" t="str">
        <f t="shared" si="0"/>
        <v>View on Google Map</v>
      </c>
    </row>
    <row r="24" spans="1:13">
      <c r="A24" s="132">
        <v>1183</v>
      </c>
      <c r="B24" s="45" t="s">
        <v>1857</v>
      </c>
      <c r="C24" s="132" t="s">
        <v>1853</v>
      </c>
      <c r="D24" s="132">
        <v>68.949629999999999</v>
      </c>
      <c r="E24" s="132">
        <v>-150.19672</v>
      </c>
      <c r="F24" s="132" t="s">
        <v>1242</v>
      </c>
      <c r="G24" s="132" t="s">
        <v>1819</v>
      </c>
      <c r="H24" s="132" t="s">
        <v>1242</v>
      </c>
      <c r="I24" s="132" t="s">
        <v>1242</v>
      </c>
      <c r="J24" s="132" t="s">
        <v>1825</v>
      </c>
      <c r="K24" s="132" t="s">
        <v>1242</v>
      </c>
      <c r="L24" s="132" t="s">
        <v>1826</v>
      </c>
      <c r="M24" s="138" t="str">
        <f t="shared" si="0"/>
        <v>View on Google Map</v>
      </c>
    </row>
    <row r="25" spans="1:13">
      <c r="A25" s="132">
        <v>1184</v>
      </c>
      <c r="B25" s="45" t="s">
        <v>1858</v>
      </c>
      <c r="C25" s="132" t="s">
        <v>1853</v>
      </c>
      <c r="D25" s="132">
        <v>68.952349999999996</v>
      </c>
      <c r="E25" s="132">
        <v>-150.20769999999999</v>
      </c>
      <c r="F25" s="132" t="s">
        <v>1242</v>
      </c>
      <c r="G25" s="132" t="s">
        <v>1819</v>
      </c>
      <c r="H25" s="132" t="s">
        <v>1242</v>
      </c>
      <c r="I25" s="132" t="s">
        <v>1242</v>
      </c>
      <c r="J25" s="132" t="s">
        <v>1825</v>
      </c>
      <c r="K25" s="132" t="s">
        <v>1242</v>
      </c>
      <c r="L25" s="132" t="s">
        <v>1826</v>
      </c>
      <c r="M25" s="138" t="str">
        <f t="shared" si="0"/>
        <v>View on Google Map</v>
      </c>
    </row>
    <row r="26" spans="1:13">
      <c r="A26" s="132">
        <v>1185</v>
      </c>
      <c r="B26" s="45" t="s">
        <v>1859</v>
      </c>
      <c r="C26" s="132" t="s">
        <v>1853</v>
      </c>
      <c r="D26" s="132">
        <v>68.933340000000001</v>
      </c>
      <c r="E26" s="132">
        <v>-150.27288999999999</v>
      </c>
      <c r="F26" s="132" t="s">
        <v>1242</v>
      </c>
      <c r="G26" s="132" t="s">
        <v>1819</v>
      </c>
      <c r="H26" s="132" t="s">
        <v>1242</v>
      </c>
      <c r="I26" s="132" t="s">
        <v>1242</v>
      </c>
      <c r="J26" s="132" t="s">
        <v>1825</v>
      </c>
      <c r="K26" s="132" t="s">
        <v>1242</v>
      </c>
      <c r="L26" s="132" t="s">
        <v>1826</v>
      </c>
      <c r="M26" s="138" t="str">
        <f t="shared" si="0"/>
        <v>View on Google Map</v>
      </c>
    </row>
    <row r="27" spans="1:13">
      <c r="A27" s="132">
        <v>1186</v>
      </c>
      <c r="B27" s="132" t="s">
        <v>1860</v>
      </c>
      <c r="C27" s="132" t="s">
        <v>1853</v>
      </c>
      <c r="D27" s="132">
        <v>68.935190000000006</v>
      </c>
      <c r="E27" s="132">
        <v>-150.26884000000001</v>
      </c>
      <c r="F27" s="132" t="s">
        <v>1242</v>
      </c>
      <c r="G27" s="132" t="s">
        <v>1819</v>
      </c>
      <c r="H27" s="132" t="s">
        <v>1242</v>
      </c>
      <c r="I27" s="132" t="s">
        <v>1242</v>
      </c>
      <c r="J27" s="132" t="s">
        <v>1825</v>
      </c>
      <c r="K27" s="132" t="s">
        <v>1242</v>
      </c>
      <c r="L27" s="132" t="s">
        <v>1826</v>
      </c>
      <c r="M27" s="138" t="str">
        <f t="shared" si="0"/>
        <v>View on Google Map</v>
      </c>
    </row>
    <row r="28" spans="1:13">
      <c r="A28" s="132">
        <v>1187</v>
      </c>
      <c r="B28" s="45" t="s">
        <v>1861</v>
      </c>
      <c r="C28" s="132" t="s">
        <v>1853</v>
      </c>
      <c r="D28" s="132">
        <v>68.997339999999994</v>
      </c>
      <c r="E28" s="132">
        <v>-150.30745999999999</v>
      </c>
      <c r="F28" s="132" t="s">
        <v>1242</v>
      </c>
      <c r="G28" s="132" t="s">
        <v>1819</v>
      </c>
      <c r="H28" s="132" t="s">
        <v>1242</v>
      </c>
      <c r="I28" s="132" t="s">
        <v>1242</v>
      </c>
      <c r="J28" s="132" t="s">
        <v>1825</v>
      </c>
      <c r="K28" s="132" t="s">
        <v>1242</v>
      </c>
      <c r="L28" s="132" t="s">
        <v>1826</v>
      </c>
      <c r="M28" s="138" t="str">
        <f t="shared" si="0"/>
        <v>View on Google Map</v>
      </c>
    </row>
    <row r="29" spans="1:13">
      <c r="A29" s="132">
        <v>1188</v>
      </c>
      <c r="B29" s="45" t="s">
        <v>1862</v>
      </c>
      <c r="C29" s="132" t="s">
        <v>1853</v>
      </c>
      <c r="D29" s="132">
        <v>68.950779999999995</v>
      </c>
      <c r="E29" s="132">
        <v>-150.19788</v>
      </c>
      <c r="F29" s="132" t="s">
        <v>1242</v>
      </c>
      <c r="G29" s="132" t="s">
        <v>1819</v>
      </c>
      <c r="H29" s="132" t="s">
        <v>1242</v>
      </c>
      <c r="I29" s="132" t="s">
        <v>1242</v>
      </c>
      <c r="J29" s="132" t="s">
        <v>1825</v>
      </c>
      <c r="K29" s="132" t="s">
        <v>1242</v>
      </c>
      <c r="L29" s="132" t="s">
        <v>1826</v>
      </c>
      <c r="M29" s="138" t="str">
        <f t="shared" si="0"/>
        <v>View on Google Map</v>
      </c>
    </row>
    <row r="30" spans="1:13">
      <c r="A30" s="132">
        <v>1189</v>
      </c>
      <c r="B30" s="45" t="s">
        <v>1863</v>
      </c>
      <c r="C30" s="132" t="s">
        <v>1853</v>
      </c>
      <c r="D30" s="132">
        <v>68.954440000000005</v>
      </c>
      <c r="E30" s="132">
        <v>-150.20644999999999</v>
      </c>
      <c r="F30" s="132" t="s">
        <v>1242</v>
      </c>
      <c r="G30" s="132" t="s">
        <v>1819</v>
      </c>
      <c r="H30" s="132" t="s">
        <v>1242</v>
      </c>
      <c r="I30" s="132" t="s">
        <v>1242</v>
      </c>
      <c r="J30" s="132" t="s">
        <v>1825</v>
      </c>
      <c r="K30" s="132" t="s">
        <v>1242</v>
      </c>
      <c r="L30" s="132" t="s">
        <v>1826</v>
      </c>
      <c r="M30" s="138" t="str">
        <f t="shared" si="0"/>
        <v>View on Google Map</v>
      </c>
    </row>
    <row r="31" spans="1:13">
      <c r="A31" s="132">
        <v>1190</v>
      </c>
      <c r="B31" s="45" t="s">
        <v>1864</v>
      </c>
      <c r="C31" s="132" t="s">
        <v>1853</v>
      </c>
      <c r="D31" s="132">
        <v>69.116330000000005</v>
      </c>
      <c r="E31" s="132">
        <v>-150.79077000000001</v>
      </c>
      <c r="F31" s="132" t="s">
        <v>1242</v>
      </c>
      <c r="G31" s="132" t="s">
        <v>1819</v>
      </c>
      <c r="H31" s="132" t="s">
        <v>1242</v>
      </c>
      <c r="I31" s="132" t="s">
        <v>1242</v>
      </c>
      <c r="J31" s="132" t="s">
        <v>1825</v>
      </c>
      <c r="K31" s="132" t="s">
        <v>1242</v>
      </c>
      <c r="L31" s="132" t="s">
        <v>1826</v>
      </c>
      <c r="M31" s="138" t="str">
        <f t="shared" si="0"/>
        <v>View on Google Map</v>
      </c>
    </row>
    <row r="32" spans="1:13">
      <c r="A32" s="132">
        <v>1191</v>
      </c>
      <c r="B32" s="45" t="s">
        <v>1865</v>
      </c>
      <c r="C32" s="132" t="s">
        <v>1853</v>
      </c>
      <c r="D32" s="132">
        <v>69.116150000000005</v>
      </c>
      <c r="E32" s="132">
        <v>-150.79553999999999</v>
      </c>
      <c r="F32" s="132" t="s">
        <v>1242</v>
      </c>
      <c r="G32" s="132" t="s">
        <v>1819</v>
      </c>
      <c r="H32" s="132" t="s">
        <v>1242</v>
      </c>
      <c r="I32" s="132" t="s">
        <v>1242</v>
      </c>
      <c r="J32" s="132" t="s">
        <v>1825</v>
      </c>
      <c r="K32" s="132" t="s">
        <v>1242</v>
      </c>
      <c r="L32" s="132" t="s">
        <v>1826</v>
      </c>
      <c r="M32" s="138" t="str">
        <f t="shared" si="0"/>
        <v>View on Google Map</v>
      </c>
    </row>
    <row r="33" spans="1:14">
      <c r="A33" s="132">
        <v>3</v>
      </c>
      <c r="B33" s="132" t="s">
        <v>1866</v>
      </c>
      <c r="C33" s="132" t="s">
        <v>1867</v>
      </c>
      <c r="D33" s="132">
        <v>68.266666666666666</v>
      </c>
      <c r="E33" s="132">
        <v>-149.44999999999999</v>
      </c>
      <c r="F33" s="132">
        <v>914</v>
      </c>
      <c r="G33" s="132" t="s">
        <v>1843</v>
      </c>
      <c r="H33" s="132" t="s">
        <v>1242</v>
      </c>
      <c r="I33" s="132" t="s">
        <v>1242</v>
      </c>
      <c r="J33" s="132" t="s">
        <v>1844</v>
      </c>
      <c r="K33" s="132" t="s">
        <v>1242</v>
      </c>
      <c r="L33" s="132" t="s">
        <v>1845</v>
      </c>
      <c r="M33" s="138" t="str">
        <f t="shared" si="0"/>
        <v>View on Google Map</v>
      </c>
    </row>
    <row r="34" spans="1:14">
      <c r="A34" s="132">
        <v>2</v>
      </c>
      <c r="B34" s="132" t="s">
        <v>1868</v>
      </c>
      <c r="C34" s="132" t="s">
        <v>1869</v>
      </c>
      <c r="D34" s="132">
        <v>68.266666666666666</v>
      </c>
      <c r="E34" s="132">
        <v>-149.46666666666667</v>
      </c>
      <c r="F34" s="132">
        <v>914</v>
      </c>
      <c r="G34" s="132" t="s">
        <v>1843</v>
      </c>
      <c r="H34" s="132" t="s">
        <v>1242</v>
      </c>
      <c r="I34" s="132" t="s">
        <v>1242</v>
      </c>
      <c r="J34" s="132" t="s">
        <v>1844</v>
      </c>
      <c r="K34" s="132" t="s">
        <v>1242</v>
      </c>
      <c r="L34" s="132" t="s">
        <v>1845</v>
      </c>
      <c r="M34" s="138" t="str">
        <f t="shared" si="0"/>
        <v>View on Google Map</v>
      </c>
    </row>
    <row r="35" spans="1:14">
      <c r="A35" s="132">
        <v>25</v>
      </c>
      <c r="B35" s="132" t="s">
        <v>1870</v>
      </c>
      <c r="C35" s="132" t="s">
        <v>1242</v>
      </c>
      <c r="D35" s="132" t="s">
        <v>1242</v>
      </c>
      <c r="E35" s="132" t="s">
        <v>1242</v>
      </c>
      <c r="F35" s="132">
        <v>1097</v>
      </c>
      <c r="G35" s="132" t="s">
        <v>1843</v>
      </c>
      <c r="H35" s="132" t="s">
        <v>1871</v>
      </c>
      <c r="I35" s="132" t="s">
        <v>1242</v>
      </c>
      <c r="J35" s="132" t="s">
        <v>1844</v>
      </c>
      <c r="K35" s="132" t="s">
        <v>1242</v>
      </c>
      <c r="L35" s="132" t="s">
        <v>1242</v>
      </c>
      <c r="M35" s="138" t="str">
        <f t="shared" si="0"/>
        <v>View on Google Map</v>
      </c>
    </row>
    <row r="36" spans="1:14">
      <c r="A36" s="132">
        <v>26</v>
      </c>
      <c r="B36" s="132" t="s">
        <v>1872</v>
      </c>
      <c r="C36" s="132" t="s">
        <v>1242</v>
      </c>
      <c r="D36" s="132" t="s">
        <v>1242</v>
      </c>
      <c r="E36" s="132" t="s">
        <v>1242</v>
      </c>
      <c r="F36" s="132">
        <v>1280</v>
      </c>
      <c r="G36" s="132" t="s">
        <v>1843</v>
      </c>
      <c r="H36" s="132" t="s">
        <v>1873</v>
      </c>
      <c r="I36" s="132" t="s">
        <v>1242</v>
      </c>
      <c r="J36" s="132" t="s">
        <v>1844</v>
      </c>
      <c r="K36" s="132" t="s">
        <v>1242</v>
      </c>
      <c r="L36" s="132" t="s">
        <v>1242</v>
      </c>
      <c r="M36" s="138" t="str">
        <f t="shared" si="0"/>
        <v>View on Google Map</v>
      </c>
    </row>
    <row r="37" spans="1:14">
      <c r="A37" s="132">
        <v>27</v>
      </c>
      <c r="B37" s="132" t="s">
        <v>1874</v>
      </c>
      <c r="C37" s="132" t="s">
        <v>1242</v>
      </c>
      <c r="D37" s="132" t="s">
        <v>1242</v>
      </c>
      <c r="E37" s="132" t="s">
        <v>1242</v>
      </c>
      <c r="F37" s="132">
        <v>1555</v>
      </c>
      <c r="G37" s="132" t="s">
        <v>1843</v>
      </c>
      <c r="H37" s="132" t="s">
        <v>1875</v>
      </c>
      <c r="I37" s="132" t="s">
        <v>1242</v>
      </c>
      <c r="J37" s="132" t="s">
        <v>1844</v>
      </c>
      <c r="K37" s="132" t="s">
        <v>1242</v>
      </c>
      <c r="L37" s="132" t="s">
        <v>1242</v>
      </c>
      <c r="M37" s="138" t="str">
        <f t="shared" si="0"/>
        <v>View on Google Map</v>
      </c>
    </row>
    <row r="38" spans="1:14" ht="12.75" customHeight="1">
      <c r="A38" s="132">
        <v>138</v>
      </c>
      <c r="B38" s="132" t="s">
        <v>1876</v>
      </c>
      <c r="C38" s="132" t="s">
        <v>1242</v>
      </c>
      <c r="D38" s="132">
        <v>70.283333333333331</v>
      </c>
      <c r="E38" s="132">
        <v>-148.30000000000001</v>
      </c>
      <c r="F38" s="132">
        <v>6</v>
      </c>
      <c r="G38" s="132" t="s">
        <v>1829</v>
      </c>
      <c r="H38" s="132" t="s">
        <v>1877</v>
      </c>
      <c r="I38" s="132" t="s">
        <v>1242</v>
      </c>
      <c r="J38" s="132" t="s">
        <v>1844</v>
      </c>
      <c r="K38" s="132" t="s">
        <v>1242</v>
      </c>
      <c r="L38" s="132" t="s">
        <v>1845</v>
      </c>
      <c r="M38" s="138" t="str">
        <f t="shared" si="0"/>
        <v>View on Google Map</v>
      </c>
    </row>
    <row r="39" spans="1:14" ht="12.75" customHeight="1">
      <c r="A39" s="132">
        <v>31</v>
      </c>
      <c r="B39" s="132" t="s">
        <v>1878</v>
      </c>
      <c r="C39" s="132" t="s">
        <v>1242</v>
      </c>
      <c r="D39" s="132">
        <v>68.957566666999995</v>
      </c>
      <c r="E39" s="132">
        <v>-150.236266667</v>
      </c>
      <c r="F39" s="132">
        <v>386.18</v>
      </c>
      <c r="G39" s="132" t="s">
        <v>1843</v>
      </c>
      <c r="H39" s="132" t="s">
        <v>1242</v>
      </c>
      <c r="I39" s="132" t="s">
        <v>1242</v>
      </c>
      <c r="J39" s="132" t="s">
        <v>1879</v>
      </c>
      <c r="K39" s="132" t="s">
        <v>1242</v>
      </c>
      <c r="L39" s="132" t="s">
        <v>1826</v>
      </c>
      <c r="M39" s="138" t="str">
        <f t="shared" si="0"/>
        <v>View on Google Map</v>
      </c>
    </row>
    <row r="40" spans="1:14" ht="12.75" customHeight="1">
      <c r="A40" s="132">
        <v>131</v>
      </c>
      <c r="B40" s="132" t="s">
        <v>1880</v>
      </c>
      <c r="C40" s="132" t="s">
        <v>1242</v>
      </c>
      <c r="D40" s="132">
        <v>70.333333333333329</v>
      </c>
      <c r="E40" s="132">
        <v>-148.93333333333334</v>
      </c>
      <c r="F40" s="132">
        <v>3</v>
      </c>
      <c r="G40" s="132" t="s">
        <v>1829</v>
      </c>
      <c r="H40" s="132" t="s">
        <v>1881</v>
      </c>
      <c r="I40" s="132" t="s">
        <v>1242</v>
      </c>
      <c r="J40" s="132" t="s">
        <v>1844</v>
      </c>
      <c r="K40" s="132" t="s">
        <v>1242</v>
      </c>
      <c r="L40" s="132" t="s">
        <v>1845</v>
      </c>
      <c r="M40" s="138" t="str">
        <f t="shared" si="0"/>
        <v>View on Google Map</v>
      </c>
    </row>
    <row r="41" spans="1:14" s="139" customFormat="1" ht="12.75" customHeight="1">
      <c r="A41" s="132">
        <v>132</v>
      </c>
      <c r="B41" s="132" t="s">
        <v>1882</v>
      </c>
      <c r="C41" s="132" t="s">
        <v>1242</v>
      </c>
      <c r="D41" s="132">
        <v>70.333333333333329</v>
      </c>
      <c r="E41" s="132">
        <v>-148.93333333333334</v>
      </c>
      <c r="F41" s="132">
        <v>3</v>
      </c>
      <c r="G41" s="132" t="s">
        <v>1829</v>
      </c>
      <c r="H41" s="132" t="s">
        <v>1883</v>
      </c>
      <c r="I41" s="132" t="s">
        <v>1242</v>
      </c>
      <c r="J41" s="132" t="s">
        <v>1844</v>
      </c>
      <c r="K41" s="132" t="s">
        <v>1242</v>
      </c>
      <c r="L41" s="132" t="s">
        <v>1845</v>
      </c>
      <c r="M41" s="138" t="str">
        <f t="shared" si="0"/>
        <v>View on Google Map</v>
      </c>
      <c r="N41" s="132"/>
    </row>
    <row r="42" spans="1:14" ht="12.75" customHeight="1">
      <c r="A42" s="132">
        <v>141</v>
      </c>
      <c r="B42" s="132" t="s">
        <v>1884</v>
      </c>
      <c r="C42" s="132" t="s">
        <v>1885</v>
      </c>
      <c r="D42" s="132">
        <v>68.63333333333334</v>
      </c>
      <c r="E42" s="132">
        <v>-149.6</v>
      </c>
      <c r="F42" s="132">
        <v>720</v>
      </c>
      <c r="G42" s="132" t="s">
        <v>1829</v>
      </c>
      <c r="H42" s="132" t="s">
        <v>1886</v>
      </c>
      <c r="I42" s="132" t="s">
        <v>1887</v>
      </c>
      <c r="J42" s="132" t="s">
        <v>1844</v>
      </c>
      <c r="K42" s="132" t="s">
        <v>1242</v>
      </c>
      <c r="L42" s="132" t="s">
        <v>1845</v>
      </c>
      <c r="M42" s="138" t="str">
        <f t="shared" si="0"/>
        <v>View on Google Map</v>
      </c>
    </row>
    <row r="43" spans="1:14" ht="12.75" customHeight="1">
      <c r="A43" s="132">
        <v>160</v>
      </c>
      <c r="B43" s="132" t="s">
        <v>1888</v>
      </c>
      <c r="C43" s="132" t="s">
        <v>1242</v>
      </c>
      <c r="D43" s="132">
        <v>68.599999999999994</v>
      </c>
      <c r="E43" s="132">
        <v>-149.18333333333334</v>
      </c>
      <c r="F43" s="132">
        <v>864</v>
      </c>
      <c r="G43" s="132" t="s">
        <v>1829</v>
      </c>
      <c r="H43" s="132" t="s">
        <v>1889</v>
      </c>
      <c r="I43" s="132" t="s">
        <v>1890</v>
      </c>
      <c r="J43" s="132" t="s">
        <v>1844</v>
      </c>
      <c r="K43" s="132">
        <v>246</v>
      </c>
      <c r="L43" s="132" t="s">
        <v>1845</v>
      </c>
      <c r="M43" s="138" t="str">
        <f t="shared" si="0"/>
        <v>View on Google Map</v>
      </c>
    </row>
    <row r="44" spans="1:14" ht="12.75" customHeight="1">
      <c r="A44" s="132">
        <v>481</v>
      </c>
      <c r="B44" s="132" t="s">
        <v>1891</v>
      </c>
      <c r="C44" s="132" t="s">
        <v>1242</v>
      </c>
      <c r="D44" s="132">
        <v>68.976716667000005</v>
      </c>
      <c r="E44" s="132">
        <v>-150.20383333300001</v>
      </c>
      <c r="F44" s="132">
        <v>362</v>
      </c>
      <c r="G44" s="132" t="s">
        <v>1829</v>
      </c>
      <c r="H44" s="132" t="s">
        <v>1242</v>
      </c>
      <c r="I44" s="132" t="s">
        <v>1242</v>
      </c>
      <c r="J44" s="132" t="s">
        <v>1879</v>
      </c>
      <c r="K44" s="132" t="s">
        <v>1242</v>
      </c>
      <c r="L44" s="132" t="s">
        <v>1826</v>
      </c>
      <c r="M44" s="138" t="str">
        <f t="shared" si="0"/>
        <v>View on Google Map</v>
      </c>
    </row>
    <row r="45" spans="1:14">
      <c r="A45" s="132">
        <v>21</v>
      </c>
      <c r="B45" s="132" t="s">
        <v>1892</v>
      </c>
      <c r="C45" s="132" t="s">
        <v>1242</v>
      </c>
      <c r="D45" s="132" t="s">
        <v>1242</v>
      </c>
      <c r="E45" s="132" t="s">
        <v>1242</v>
      </c>
      <c r="F45" s="132" t="s">
        <v>1242</v>
      </c>
      <c r="G45" s="132" t="s">
        <v>1843</v>
      </c>
      <c r="H45" s="132" t="s">
        <v>1242</v>
      </c>
      <c r="I45" s="132" t="s">
        <v>1242</v>
      </c>
      <c r="J45" s="132" t="s">
        <v>1844</v>
      </c>
      <c r="K45" s="132" t="s">
        <v>1242</v>
      </c>
      <c r="L45" s="132" t="s">
        <v>1242</v>
      </c>
      <c r="M45" s="138" t="str">
        <f t="shared" si="0"/>
        <v>View on Google Map</v>
      </c>
      <c r="N45" s="139"/>
    </row>
    <row r="46" spans="1:14">
      <c r="A46" s="132">
        <v>470</v>
      </c>
      <c r="B46" s="132" t="s">
        <v>1893</v>
      </c>
      <c r="C46" s="132" t="s">
        <v>1242</v>
      </c>
      <c r="D46" s="132">
        <v>68.829459999999997</v>
      </c>
      <c r="E46" s="132">
        <v>-149.77891</v>
      </c>
      <c r="F46" s="132">
        <v>634</v>
      </c>
      <c r="G46" s="132" t="s">
        <v>1829</v>
      </c>
      <c r="H46" s="132" t="s">
        <v>1242</v>
      </c>
      <c r="I46" s="132" t="s">
        <v>1242</v>
      </c>
      <c r="J46" s="132" t="s">
        <v>1830</v>
      </c>
      <c r="K46" s="132" t="s">
        <v>1242</v>
      </c>
      <c r="L46" s="132" t="s">
        <v>1242</v>
      </c>
      <c r="M46" s="138" t="str">
        <f t="shared" si="0"/>
        <v>View on Google Map</v>
      </c>
    </row>
    <row r="47" spans="1:14">
      <c r="A47" s="132">
        <v>471</v>
      </c>
      <c r="B47" s="132" t="s">
        <v>1894</v>
      </c>
      <c r="C47" s="132" t="s">
        <v>1242</v>
      </c>
      <c r="D47" s="132">
        <v>68.832939999999994</v>
      </c>
      <c r="E47" s="132">
        <v>-149.76775000000001</v>
      </c>
      <c r="F47" s="132">
        <v>624</v>
      </c>
      <c r="G47" s="132" t="s">
        <v>1829</v>
      </c>
      <c r="H47" s="132" t="s">
        <v>1242</v>
      </c>
      <c r="I47" s="132" t="s">
        <v>1242</v>
      </c>
      <c r="J47" s="132" t="s">
        <v>1830</v>
      </c>
      <c r="K47" s="132" t="s">
        <v>1242</v>
      </c>
      <c r="L47" s="132" t="s">
        <v>1242</v>
      </c>
      <c r="M47" s="138" t="str">
        <f t="shared" si="0"/>
        <v>View on Google Map</v>
      </c>
    </row>
    <row r="48" spans="1:14">
      <c r="A48" s="132">
        <v>472</v>
      </c>
      <c r="B48" s="132" t="s">
        <v>1895</v>
      </c>
      <c r="C48" s="132" t="s">
        <v>1242</v>
      </c>
      <c r="D48" s="132">
        <v>68.828059999999994</v>
      </c>
      <c r="E48" s="132">
        <v>-149.76449</v>
      </c>
      <c r="F48" s="132">
        <v>624</v>
      </c>
      <c r="G48" s="132" t="s">
        <v>1829</v>
      </c>
      <c r="H48" s="132" t="s">
        <v>1242</v>
      </c>
      <c r="I48" s="132" t="s">
        <v>1242</v>
      </c>
      <c r="J48" s="132" t="s">
        <v>1830</v>
      </c>
      <c r="K48" s="132" t="s">
        <v>1242</v>
      </c>
      <c r="L48" s="132" t="s">
        <v>1242</v>
      </c>
      <c r="M48" s="138" t="str">
        <f t="shared" si="0"/>
        <v>View on Google Map</v>
      </c>
    </row>
    <row r="49" spans="1:13">
      <c r="A49" s="132">
        <v>473</v>
      </c>
      <c r="B49" s="132" t="s">
        <v>1896</v>
      </c>
      <c r="C49" s="132" t="s">
        <v>1242</v>
      </c>
      <c r="D49" s="132">
        <v>68.826400000000007</v>
      </c>
      <c r="E49" s="132">
        <v>-149.7585</v>
      </c>
      <c r="F49" s="132">
        <v>592</v>
      </c>
      <c r="G49" s="132" t="s">
        <v>1829</v>
      </c>
      <c r="H49" s="132" t="s">
        <v>1242</v>
      </c>
      <c r="I49" s="132" t="s">
        <v>1242</v>
      </c>
      <c r="J49" s="132" t="s">
        <v>1830</v>
      </c>
      <c r="K49" s="132" t="s">
        <v>1242</v>
      </c>
      <c r="L49" s="132" t="s">
        <v>1242</v>
      </c>
      <c r="M49" s="138" t="str">
        <f t="shared" si="0"/>
        <v>View on Google Map</v>
      </c>
    </row>
    <row r="50" spans="1:13">
      <c r="A50" s="132">
        <v>474</v>
      </c>
      <c r="B50" s="132" t="s">
        <v>1897</v>
      </c>
      <c r="C50" s="132" t="s">
        <v>1242</v>
      </c>
      <c r="D50" s="132">
        <v>68.827349999999996</v>
      </c>
      <c r="E50" s="132">
        <v>-149.74993000000001</v>
      </c>
      <c r="F50" s="132">
        <v>592</v>
      </c>
      <c r="G50" s="132" t="s">
        <v>1829</v>
      </c>
      <c r="H50" s="132" t="s">
        <v>1242</v>
      </c>
      <c r="I50" s="132" t="s">
        <v>1242</v>
      </c>
      <c r="J50" s="132" t="s">
        <v>1830</v>
      </c>
      <c r="K50" s="132" t="s">
        <v>1242</v>
      </c>
      <c r="L50" s="132" t="s">
        <v>1242</v>
      </c>
      <c r="M50" s="138" t="str">
        <f t="shared" si="0"/>
        <v>View on Google Map</v>
      </c>
    </row>
    <row r="51" spans="1:13">
      <c r="A51" s="132">
        <v>475</v>
      </c>
      <c r="B51" s="132" t="s">
        <v>1898</v>
      </c>
      <c r="C51" s="132" t="s">
        <v>1242</v>
      </c>
      <c r="D51" s="132">
        <v>68.831180000000003</v>
      </c>
      <c r="E51" s="132">
        <v>-149.74606</v>
      </c>
      <c r="F51" s="132">
        <v>593</v>
      </c>
      <c r="G51" s="132" t="s">
        <v>1829</v>
      </c>
      <c r="H51" s="132" t="s">
        <v>1899</v>
      </c>
      <c r="I51" s="132" t="s">
        <v>1242</v>
      </c>
      <c r="J51" s="132" t="s">
        <v>1830</v>
      </c>
      <c r="K51" s="132" t="s">
        <v>1242</v>
      </c>
      <c r="L51" s="132" t="s">
        <v>1242</v>
      </c>
      <c r="M51" s="138" t="str">
        <f t="shared" si="0"/>
        <v>View on Google Map</v>
      </c>
    </row>
    <row r="52" spans="1:13">
      <c r="A52" s="132">
        <v>476</v>
      </c>
      <c r="B52" s="132" t="s">
        <v>1900</v>
      </c>
      <c r="C52" s="132" t="s">
        <v>1242</v>
      </c>
      <c r="D52" s="132">
        <v>68.825339999999997</v>
      </c>
      <c r="E52" s="132">
        <v>-149.76837</v>
      </c>
      <c r="F52" s="132">
        <v>621</v>
      </c>
      <c r="G52" s="132" t="s">
        <v>1829</v>
      </c>
      <c r="H52" s="132" t="s">
        <v>1242</v>
      </c>
      <c r="I52" s="132" t="s">
        <v>1242</v>
      </c>
      <c r="J52" s="132" t="s">
        <v>1830</v>
      </c>
      <c r="K52" s="132" t="s">
        <v>1242</v>
      </c>
      <c r="L52" s="132" t="s">
        <v>1242</v>
      </c>
      <c r="M52" s="138" t="str">
        <f t="shared" si="0"/>
        <v>View on Google Map</v>
      </c>
    </row>
    <row r="53" spans="1:13">
      <c r="A53" s="132">
        <v>477</v>
      </c>
      <c r="B53" s="132" t="s">
        <v>1901</v>
      </c>
      <c r="C53" s="132" t="s">
        <v>1242</v>
      </c>
      <c r="D53" s="132">
        <v>68.821740000000005</v>
      </c>
      <c r="E53" s="132">
        <v>-149.76378</v>
      </c>
      <c r="F53" s="132">
        <v>605</v>
      </c>
      <c r="G53" s="132" t="s">
        <v>1829</v>
      </c>
      <c r="H53" s="132" t="s">
        <v>1242</v>
      </c>
      <c r="I53" s="132" t="s">
        <v>1242</v>
      </c>
      <c r="J53" s="132" t="s">
        <v>1830</v>
      </c>
      <c r="K53" s="132" t="s">
        <v>1242</v>
      </c>
      <c r="L53" s="132" t="s">
        <v>1242</v>
      </c>
      <c r="M53" s="138" t="str">
        <f t="shared" si="0"/>
        <v>View on Google Map</v>
      </c>
    </row>
    <row r="54" spans="1:13">
      <c r="A54" s="132">
        <v>1174</v>
      </c>
      <c r="B54" s="132" t="s">
        <v>1902</v>
      </c>
      <c r="C54" s="132" t="s">
        <v>1242</v>
      </c>
      <c r="D54" s="132">
        <v>68.933938330000004</v>
      </c>
      <c r="E54" s="132">
        <v>-150.27111830000001</v>
      </c>
      <c r="F54" s="132" t="s">
        <v>1242</v>
      </c>
      <c r="G54" s="132" t="s">
        <v>1819</v>
      </c>
      <c r="H54" s="132" t="s">
        <v>1242</v>
      </c>
      <c r="I54" s="132" t="s">
        <v>1242</v>
      </c>
      <c r="J54" s="132" t="s">
        <v>1825</v>
      </c>
      <c r="K54" s="132" t="s">
        <v>1242</v>
      </c>
      <c r="L54" s="132" t="s">
        <v>1826</v>
      </c>
      <c r="M54" s="138" t="str">
        <f t="shared" si="0"/>
        <v>View on Google Map</v>
      </c>
    </row>
    <row r="55" spans="1:13">
      <c r="A55" s="132">
        <v>242</v>
      </c>
      <c r="B55" s="132" t="s">
        <v>1903</v>
      </c>
      <c r="C55" s="132" t="s">
        <v>1242</v>
      </c>
      <c r="D55" s="132" t="s">
        <v>1242</v>
      </c>
      <c r="E55" s="132" t="s">
        <v>1242</v>
      </c>
      <c r="F55" s="132">
        <v>390.2439024390244</v>
      </c>
      <c r="G55" s="132" t="s">
        <v>1829</v>
      </c>
      <c r="H55" s="132" t="s">
        <v>1242</v>
      </c>
      <c r="I55" s="132" t="s">
        <v>1242</v>
      </c>
      <c r="J55" s="132" t="s">
        <v>1844</v>
      </c>
      <c r="K55" s="132" t="s">
        <v>1242</v>
      </c>
      <c r="L55" s="132" t="s">
        <v>1904</v>
      </c>
      <c r="M55" s="138" t="str">
        <f t="shared" si="0"/>
        <v>View on Google Map</v>
      </c>
    </row>
    <row r="56" spans="1:13">
      <c r="A56" s="132">
        <v>192</v>
      </c>
      <c r="B56" s="132" t="s">
        <v>1905</v>
      </c>
      <c r="C56" s="132" t="s">
        <v>1242</v>
      </c>
      <c r="D56" s="132">
        <v>69.233333333333334</v>
      </c>
      <c r="E56" s="132">
        <v>-148.94999999999999</v>
      </c>
      <c r="F56" s="132">
        <v>325</v>
      </c>
      <c r="G56" s="132" t="s">
        <v>1829</v>
      </c>
      <c r="H56" s="132" t="s">
        <v>1906</v>
      </c>
      <c r="I56" s="132" t="s">
        <v>1242</v>
      </c>
      <c r="J56" s="132" t="s">
        <v>1844</v>
      </c>
      <c r="K56" s="132" t="s">
        <v>1242</v>
      </c>
      <c r="L56" s="132" t="s">
        <v>1907</v>
      </c>
      <c r="M56" s="138" t="str">
        <f t="shared" si="0"/>
        <v>View on Google Map</v>
      </c>
    </row>
    <row r="57" spans="1:13">
      <c r="A57" s="132">
        <v>277</v>
      </c>
      <c r="B57" s="132" t="s">
        <v>1905</v>
      </c>
      <c r="C57" s="132" t="s">
        <v>1242</v>
      </c>
      <c r="D57" s="132">
        <v>70.374600000000001</v>
      </c>
      <c r="E57" s="132">
        <v>-149.06383333333332</v>
      </c>
      <c r="F57" s="132">
        <v>6</v>
      </c>
      <c r="G57" s="132" t="s">
        <v>1829</v>
      </c>
      <c r="H57" s="132" t="s">
        <v>1908</v>
      </c>
      <c r="I57" s="132" t="s">
        <v>1242</v>
      </c>
      <c r="J57" s="132" t="s">
        <v>1844</v>
      </c>
      <c r="K57" s="132" t="s">
        <v>1242</v>
      </c>
      <c r="L57" s="132" t="s">
        <v>1909</v>
      </c>
      <c r="M57" s="138" t="str">
        <f t="shared" si="0"/>
        <v>View on Google Map</v>
      </c>
    </row>
    <row r="58" spans="1:13">
      <c r="A58" s="132">
        <v>193</v>
      </c>
      <c r="B58" s="132" t="s">
        <v>1910</v>
      </c>
      <c r="C58" s="132" t="s">
        <v>1242</v>
      </c>
      <c r="D58" s="132">
        <v>69.283333333333331</v>
      </c>
      <c r="E58" s="132">
        <v>-148.9</v>
      </c>
      <c r="F58" s="132">
        <v>346</v>
      </c>
      <c r="G58" s="132" t="s">
        <v>1829</v>
      </c>
      <c r="H58" s="132" t="s">
        <v>1911</v>
      </c>
      <c r="I58" s="132" t="s">
        <v>1242</v>
      </c>
      <c r="J58" s="132" t="s">
        <v>1844</v>
      </c>
      <c r="K58" s="132" t="s">
        <v>1242</v>
      </c>
      <c r="L58" s="132" t="s">
        <v>1907</v>
      </c>
      <c r="M58" s="138" t="str">
        <f t="shared" si="0"/>
        <v>View on Google Map</v>
      </c>
    </row>
    <row r="59" spans="1:13">
      <c r="A59" s="132">
        <v>278</v>
      </c>
      <c r="B59" s="132" t="s">
        <v>1910</v>
      </c>
      <c r="C59" s="132" t="s">
        <v>1242</v>
      </c>
      <c r="D59" s="132">
        <v>70.374600000000001</v>
      </c>
      <c r="E59" s="132">
        <v>-149.06383333333332</v>
      </c>
      <c r="F59" s="132">
        <v>6</v>
      </c>
      <c r="G59" s="132" t="s">
        <v>1829</v>
      </c>
      <c r="H59" s="132" t="s">
        <v>1912</v>
      </c>
      <c r="I59" s="132" t="s">
        <v>1242</v>
      </c>
      <c r="J59" s="132" t="s">
        <v>1844</v>
      </c>
      <c r="K59" s="132" t="s">
        <v>1242</v>
      </c>
      <c r="L59" s="132" t="s">
        <v>1909</v>
      </c>
      <c r="M59" s="138" t="str">
        <f t="shared" si="0"/>
        <v>View on Google Map</v>
      </c>
    </row>
    <row r="60" spans="1:13">
      <c r="A60" s="132">
        <v>194</v>
      </c>
      <c r="B60" s="132" t="s">
        <v>1913</v>
      </c>
      <c r="C60" s="132" t="s">
        <v>1242</v>
      </c>
      <c r="D60" s="132">
        <v>69.716666666666669</v>
      </c>
      <c r="E60" s="132">
        <v>-149.44999999999999</v>
      </c>
      <c r="F60" s="132">
        <v>91</v>
      </c>
      <c r="G60" s="132" t="s">
        <v>1829</v>
      </c>
      <c r="H60" s="132" t="s">
        <v>1914</v>
      </c>
      <c r="I60" s="132" t="s">
        <v>1242</v>
      </c>
      <c r="J60" s="132" t="s">
        <v>1844</v>
      </c>
      <c r="K60" s="132" t="s">
        <v>1242</v>
      </c>
      <c r="L60" s="132" t="s">
        <v>1907</v>
      </c>
      <c r="M60" s="138" t="str">
        <f t="shared" si="0"/>
        <v>View on Google Map</v>
      </c>
    </row>
    <row r="61" spans="1:13">
      <c r="A61" s="132">
        <v>279</v>
      </c>
      <c r="B61" s="132" t="s">
        <v>1913</v>
      </c>
      <c r="C61" s="132" t="s">
        <v>1242</v>
      </c>
      <c r="D61" s="132">
        <v>70.367750000000001</v>
      </c>
      <c r="E61" s="132">
        <v>-148.8357</v>
      </c>
      <c r="F61" s="132">
        <v>6</v>
      </c>
      <c r="G61" s="132" t="s">
        <v>1829</v>
      </c>
      <c r="H61" s="132" t="s">
        <v>1915</v>
      </c>
      <c r="I61" s="132" t="s">
        <v>1242</v>
      </c>
      <c r="J61" s="132" t="s">
        <v>1844</v>
      </c>
      <c r="K61" s="132" t="s">
        <v>1242</v>
      </c>
      <c r="L61" s="132" t="s">
        <v>1909</v>
      </c>
      <c r="M61" s="138" t="str">
        <f t="shared" si="0"/>
        <v>View on Google Map</v>
      </c>
    </row>
    <row r="62" spans="1:13">
      <c r="A62" s="132">
        <v>195</v>
      </c>
      <c r="B62" s="132" t="s">
        <v>1916</v>
      </c>
      <c r="C62" s="132" t="s">
        <v>1242</v>
      </c>
      <c r="D62" s="132">
        <v>69.716666666666669</v>
      </c>
      <c r="E62" s="132">
        <v>-149.44999999999999</v>
      </c>
      <c r="F62" s="132">
        <v>91</v>
      </c>
      <c r="G62" s="132" t="s">
        <v>1829</v>
      </c>
      <c r="H62" s="132" t="s">
        <v>1917</v>
      </c>
      <c r="I62" s="132" t="s">
        <v>1242</v>
      </c>
      <c r="J62" s="132" t="s">
        <v>1844</v>
      </c>
      <c r="K62" s="132" t="s">
        <v>1242</v>
      </c>
      <c r="L62" s="132" t="s">
        <v>1907</v>
      </c>
      <c r="M62" s="138" t="str">
        <f t="shared" si="0"/>
        <v>View on Google Map</v>
      </c>
    </row>
    <row r="63" spans="1:13">
      <c r="A63" s="132">
        <v>280</v>
      </c>
      <c r="B63" s="132" t="s">
        <v>1916</v>
      </c>
      <c r="C63" s="132" t="s">
        <v>1242</v>
      </c>
      <c r="D63" s="132">
        <v>70.367750000000001</v>
      </c>
      <c r="E63" s="132">
        <v>-148.8357</v>
      </c>
      <c r="F63" s="132">
        <v>6</v>
      </c>
      <c r="G63" s="132" t="s">
        <v>1829</v>
      </c>
      <c r="H63" s="132" t="s">
        <v>1918</v>
      </c>
      <c r="I63" s="132" t="s">
        <v>1242</v>
      </c>
      <c r="J63" s="132" t="s">
        <v>1844</v>
      </c>
      <c r="K63" s="132" t="s">
        <v>1242</v>
      </c>
      <c r="L63" s="132" t="s">
        <v>1909</v>
      </c>
      <c r="M63" s="138" t="str">
        <f t="shared" si="0"/>
        <v>View on Google Map</v>
      </c>
    </row>
    <row r="64" spans="1:13">
      <c r="A64" s="132">
        <v>196</v>
      </c>
      <c r="B64" s="132" t="s">
        <v>1919</v>
      </c>
      <c r="C64" s="132" t="s">
        <v>1242</v>
      </c>
      <c r="D64" s="132">
        <v>69.833333333333329</v>
      </c>
      <c r="E64" s="132">
        <v>-149.75</v>
      </c>
      <c r="F64" s="132">
        <v>80</v>
      </c>
      <c r="G64" s="132" t="s">
        <v>1829</v>
      </c>
      <c r="H64" s="132" t="s">
        <v>1920</v>
      </c>
      <c r="I64" s="132" t="s">
        <v>1242</v>
      </c>
      <c r="J64" s="132" t="s">
        <v>1844</v>
      </c>
      <c r="K64" s="132" t="s">
        <v>1242</v>
      </c>
      <c r="L64" s="132" t="s">
        <v>1907</v>
      </c>
      <c r="M64" s="138" t="str">
        <f t="shared" si="0"/>
        <v>View on Google Map</v>
      </c>
    </row>
    <row r="65" spans="1:13">
      <c r="A65" s="132">
        <v>281</v>
      </c>
      <c r="B65" s="132" t="s">
        <v>1919</v>
      </c>
      <c r="C65" s="132" t="s">
        <v>1242</v>
      </c>
      <c r="D65" s="132">
        <v>70.26821666666666</v>
      </c>
      <c r="E65" s="132">
        <v>-149.20859999999999</v>
      </c>
      <c r="F65" s="132">
        <v>15</v>
      </c>
      <c r="G65" s="132" t="s">
        <v>1829</v>
      </c>
      <c r="H65" s="132" t="s">
        <v>1921</v>
      </c>
      <c r="I65" s="132" t="s">
        <v>1242</v>
      </c>
      <c r="J65" s="132" t="s">
        <v>1844</v>
      </c>
      <c r="K65" s="132" t="s">
        <v>1242</v>
      </c>
      <c r="L65" s="132" t="s">
        <v>1909</v>
      </c>
      <c r="M65" s="138" t="str">
        <f t="shared" si="0"/>
        <v>View on Google Map</v>
      </c>
    </row>
    <row r="66" spans="1:13">
      <c r="A66" s="132">
        <v>197</v>
      </c>
      <c r="B66" s="132" t="s">
        <v>1922</v>
      </c>
      <c r="C66" s="132" t="s">
        <v>1242</v>
      </c>
      <c r="D66" s="132">
        <v>70.283333333333331</v>
      </c>
      <c r="E66" s="132">
        <v>-150.19999999999999</v>
      </c>
      <c r="F66" s="132">
        <v>12</v>
      </c>
      <c r="G66" s="132" t="s">
        <v>1829</v>
      </c>
      <c r="H66" s="132" t="s">
        <v>1923</v>
      </c>
      <c r="I66" s="132" t="s">
        <v>1242</v>
      </c>
      <c r="J66" s="132" t="s">
        <v>1844</v>
      </c>
      <c r="K66" s="132" t="s">
        <v>1242</v>
      </c>
      <c r="L66" s="132" t="s">
        <v>1907</v>
      </c>
      <c r="M66" s="138" t="str">
        <f t="shared" si="0"/>
        <v>View on Google Map</v>
      </c>
    </row>
    <row r="67" spans="1:13">
      <c r="A67" s="132">
        <v>282</v>
      </c>
      <c r="B67" s="132" t="s">
        <v>1922</v>
      </c>
      <c r="C67" s="132" t="s">
        <v>1242</v>
      </c>
      <c r="D67" s="132">
        <v>70.26821666666666</v>
      </c>
      <c r="E67" s="132">
        <v>-149.20859999999999</v>
      </c>
      <c r="F67" s="132">
        <v>15</v>
      </c>
      <c r="G67" s="132" t="s">
        <v>1829</v>
      </c>
      <c r="H67" s="132" t="s">
        <v>1924</v>
      </c>
      <c r="I67" s="132" t="s">
        <v>1242</v>
      </c>
      <c r="J67" s="132" t="s">
        <v>1844</v>
      </c>
      <c r="K67" s="132" t="s">
        <v>1242</v>
      </c>
      <c r="L67" s="132" t="s">
        <v>1909</v>
      </c>
      <c r="M67" s="138" t="str">
        <f t="shared" ref="M67:M130" si="1">HYPERLINK("http://maps.google.com/maps?q="&amp;D67&amp;","&amp;E67,"View on Google Map")</f>
        <v>View on Google Map</v>
      </c>
    </row>
    <row r="68" spans="1:13">
      <c r="A68" s="132">
        <v>198</v>
      </c>
      <c r="B68" s="132" t="s">
        <v>1925</v>
      </c>
      <c r="C68" s="132" t="s">
        <v>1242</v>
      </c>
      <c r="D68" s="132">
        <v>70.283333333333331</v>
      </c>
      <c r="E68" s="132">
        <v>-150.19999999999999</v>
      </c>
      <c r="F68" s="132">
        <v>12</v>
      </c>
      <c r="G68" s="132" t="s">
        <v>1829</v>
      </c>
      <c r="H68" s="132" t="s">
        <v>1926</v>
      </c>
      <c r="I68" s="132" t="s">
        <v>1242</v>
      </c>
      <c r="J68" s="132" t="s">
        <v>1844</v>
      </c>
      <c r="K68" s="132" t="s">
        <v>1242</v>
      </c>
      <c r="L68" s="132" t="s">
        <v>1907</v>
      </c>
      <c r="M68" s="138" t="str">
        <f t="shared" si="1"/>
        <v>View on Google Map</v>
      </c>
    </row>
    <row r="69" spans="1:13">
      <c r="A69" s="132">
        <v>283</v>
      </c>
      <c r="B69" s="132" t="s">
        <v>1925</v>
      </c>
      <c r="C69" s="132" t="s">
        <v>1242</v>
      </c>
      <c r="D69" s="132">
        <v>70.184266666666673</v>
      </c>
      <c r="E69" s="132">
        <v>-149.15443333333334</v>
      </c>
      <c r="F69" s="132">
        <v>15</v>
      </c>
      <c r="G69" s="132" t="s">
        <v>1829</v>
      </c>
      <c r="H69" s="132" t="s">
        <v>1927</v>
      </c>
      <c r="I69" s="132" t="s">
        <v>1242</v>
      </c>
      <c r="J69" s="132" t="s">
        <v>1844</v>
      </c>
      <c r="K69" s="132" t="s">
        <v>1242</v>
      </c>
      <c r="L69" s="132" t="s">
        <v>1909</v>
      </c>
      <c r="M69" s="138" t="str">
        <f t="shared" si="1"/>
        <v>View on Google Map</v>
      </c>
    </row>
    <row r="70" spans="1:13">
      <c r="A70" s="132">
        <v>199</v>
      </c>
      <c r="B70" s="132" t="s">
        <v>1928</v>
      </c>
      <c r="C70" s="132" t="s">
        <v>1242</v>
      </c>
      <c r="D70" s="132">
        <v>70.416666666666671</v>
      </c>
      <c r="E70" s="132">
        <v>-150.19999999999999</v>
      </c>
      <c r="F70" s="132">
        <v>4</v>
      </c>
      <c r="G70" s="132" t="s">
        <v>1829</v>
      </c>
      <c r="H70" s="132" t="s">
        <v>1929</v>
      </c>
      <c r="I70" s="132" t="s">
        <v>1242</v>
      </c>
      <c r="J70" s="132" t="s">
        <v>1844</v>
      </c>
      <c r="K70" s="132" t="s">
        <v>1242</v>
      </c>
      <c r="L70" s="132" t="s">
        <v>1907</v>
      </c>
      <c r="M70" s="138" t="str">
        <f t="shared" si="1"/>
        <v>View on Google Map</v>
      </c>
    </row>
    <row r="71" spans="1:13">
      <c r="A71" s="132">
        <v>284</v>
      </c>
      <c r="B71" s="132" t="s">
        <v>1928</v>
      </c>
      <c r="C71" s="132" t="s">
        <v>1242</v>
      </c>
      <c r="D71" s="132">
        <v>70.184266666666673</v>
      </c>
      <c r="E71" s="132">
        <v>-149.15443333333334</v>
      </c>
      <c r="F71" s="132">
        <v>15</v>
      </c>
      <c r="G71" s="132" t="s">
        <v>1829</v>
      </c>
      <c r="H71" s="132" t="s">
        <v>1930</v>
      </c>
      <c r="I71" s="132" t="s">
        <v>1242</v>
      </c>
      <c r="J71" s="132" t="s">
        <v>1844</v>
      </c>
      <c r="K71" s="132" t="s">
        <v>1242</v>
      </c>
      <c r="L71" s="132" t="s">
        <v>1909</v>
      </c>
      <c r="M71" s="138" t="str">
        <f t="shared" si="1"/>
        <v>View on Google Map</v>
      </c>
    </row>
    <row r="72" spans="1:13">
      <c r="A72" s="132">
        <v>200</v>
      </c>
      <c r="B72" s="132" t="s">
        <v>1931</v>
      </c>
      <c r="C72" s="132" t="s">
        <v>1242</v>
      </c>
      <c r="D72" s="132">
        <v>70.283333333333331</v>
      </c>
      <c r="E72" s="132">
        <v>-149.81666666666666</v>
      </c>
      <c r="F72" s="132">
        <v>28.963414634146343</v>
      </c>
      <c r="G72" s="132" t="s">
        <v>1829</v>
      </c>
      <c r="H72" s="132" t="s">
        <v>1932</v>
      </c>
      <c r="I72" s="132" t="s">
        <v>1242</v>
      </c>
      <c r="J72" s="132" t="s">
        <v>1844</v>
      </c>
      <c r="K72" s="132" t="s">
        <v>1242</v>
      </c>
      <c r="L72" s="132" t="s">
        <v>1907</v>
      </c>
      <c r="M72" s="138" t="str">
        <f t="shared" si="1"/>
        <v>View on Google Map</v>
      </c>
    </row>
    <row r="73" spans="1:13">
      <c r="A73" s="132">
        <v>285</v>
      </c>
      <c r="B73" s="132" t="s">
        <v>1931</v>
      </c>
      <c r="C73" s="132" t="s">
        <v>1242</v>
      </c>
      <c r="D73" s="132">
        <v>70.126099999999994</v>
      </c>
      <c r="E73" s="132">
        <v>-149.33773333333335</v>
      </c>
      <c r="F73" s="132">
        <v>30</v>
      </c>
      <c r="G73" s="132" t="s">
        <v>1829</v>
      </c>
      <c r="H73" s="132" t="s">
        <v>1933</v>
      </c>
      <c r="I73" s="132" t="s">
        <v>1242</v>
      </c>
      <c r="J73" s="132" t="s">
        <v>1844</v>
      </c>
      <c r="K73" s="132" t="s">
        <v>1242</v>
      </c>
      <c r="L73" s="132" t="s">
        <v>1909</v>
      </c>
      <c r="M73" s="138" t="str">
        <f t="shared" si="1"/>
        <v>View on Google Map</v>
      </c>
    </row>
    <row r="74" spans="1:13">
      <c r="A74" s="132">
        <v>201</v>
      </c>
      <c r="B74" s="132" t="s">
        <v>1934</v>
      </c>
      <c r="C74" s="132" t="s">
        <v>1242</v>
      </c>
      <c r="D74" s="132">
        <v>70.283333333333331</v>
      </c>
      <c r="E74" s="132">
        <v>-149.81666666666666</v>
      </c>
      <c r="F74" s="132">
        <v>28.963414634146343</v>
      </c>
      <c r="G74" s="132" t="s">
        <v>1829</v>
      </c>
      <c r="H74" s="132" t="s">
        <v>1935</v>
      </c>
      <c r="I74" s="132" t="s">
        <v>1242</v>
      </c>
      <c r="J74" s="132" t="s">
        <v>1844</v>
      </c>
      <c r="K74" s="132" t="s">
        <v>1242</v>
      </c>
      <c r="L74" s="132" t="s">
        <v>1907</v>
      </c>
      <c r="M74" s="138" t="str">
        <f t="shared" si="1"/>
        <v>View on Google Map</v>
      </c>
    </row>
    <row r="75" spans="1:13">
      <c r="A75" s="132">
        <v>286</v>
      </c>
      <c r="B75" s="132" t="s">
        <v>1934</v>
      </c>
      <c r="C75" s="132" t="s">
        <v>1242</v>
      </c>
      <c r="D75" s="132">
        <v>70.126099999999994</v>
      </c>
      <c r="E75" s="132">
        <v>-149.33773333333335</v>
      </c>
      <c r="F75" s="132">
        <v>30</v>
      </c>
      <c r="G75" s="132" t="s">
        <v>1829</v>
      </c>
      <c r="H75" s="132" t="s">
        <v>1936</v>
      </c>
      <c r="I75" s="132" t="s">
        <v>1242</v>
      </c>
      <c r="J75" s="132" t="s">
        <v>1844</v>
      </c>
      <c r="K75" s="132" t="s">
        <v>1242</v>
      </c>
      <c r="L75" s="132" t="s">
        <v>1909</v>
      </c>
      <c r="M75" s="138" t="str">
        <f t="shared" si="1"/>
        <v>View on Google Map</v>
      </c>
    </row>
    <row r="76" spans="1:13">
      <c r="A76" s="132">
        <v>202</v>
      </c>
      <c r="B76" s="132" t="s">
        <v>1937</v>
      </c>
      <c r="C76" s="132" t="s">
        <v>1242</v>
      </c>
      <c r="D76" s="132">
        <v>70.45</v>
      </c>
      <c r="E76" s="132">
        <v>-149.16666666666666</v>
      </c>
      <c r="F76" s="132">
        <v>4.8780487804878048</v>
      </c>
      <c r="G76" s="132" t="s">
        <v>1829</v>
      </c>
      <c r="H76" s="132" t="s">
        <v>1938</v>
      </c>
      <c r="I76" s="132" t="s">
        <v>1242</v>
      </c>
      <c r="J76" s="132" t="s">
        <v>1844</v>
      </c>
      <c r="K76" s="132" t="s">
        <v>1242</v>
      </c>
      <c r="L76" s="132" t="s">
        <v>1907</v>
      </c>
      <c r="M76" s="138" t="str">
        <f t="shared" si="1"/>
        <v>View on Google Map</v>
      </c>
    </row>
    <row r="77" spans="1:13">
      <c r="A77" s="132">
        <v>287</v>
      </c>
      <c r="B77" s="132" t="s">
        <v>1937</v>
      </c>
      <c r="C77" s="132" t="s">
        <v>1242</v>
      </c>
      <c r="D77" s="132">
        <v>69.9221</v>
      </c>
      <c r="E77" s="132">
        <v>-149.34523333333334</v>
      </c>
      <c r="F77" s="132">
        <v>61</v>
      </c>
      <c r="G77" s="132" t="s">
        <v>1829</v>
      </c>
      <c r="H77" s="132" t="s">
        <v>1939</v>
      </c>
      <c r="I77" s="132" t="s">
        <v>1242</v>
      </c>
      <c r="J77" s="132" t="s">
        <v>1844</v>
      </c>
      <c r="K77" s="132" t="s">
        <v>1242</v>
      </c>
      <c r="L77" s="132" t="s">
        <v>1909</v>
      </c>
      <c r="M77" s="138" t="str">
        <f t="shared" si="1"/>
        <v>View on Google Map</v>
      </c>
    </row>
    <row r="78" spans="1:13">
      <c r="A78" s="132">
        <v>203</v>
      </c>
      <c r="B78" s="132" t="s">
        <v>1940</v>
      </c>
      <c r="C78" s="132" t="s">
        <v>1242</v>
      </c>
      <c r="D78" s="132">
        <v>70.233333333333334</v>
      </c>
      <c r="E78" s="132">
        <v>-148.88333333333333</v>
      </c>
      <c r="F78" s="132">
        <v>17.682926829268293</v>
      </c>
      <c r="G78" s="132" t="s">
        <v>1829</v>
      </c>
      <c r="H78" s="132" t="s">
        <v>1941</v>
      </c>
      <c r="I78" s="132" t="s">
        <v>1242</v>
      </c>
      <c r="J78" s="132" t="s">
        <v>1844</v>
      </c>
      <c r="K78" s="132" t="s">
        <v>1242</v>
      </c>
      <c r="L78" s="132" t="s">
        <v>1907</v>
      </c>
      <c r="M78" s="138" t="str">
        <f t="shared" si="1"/>
        <v>View on Google Map</v>
      </c>
    </row>
    <row r="79" spans="1:13">
      <c r="A79" s="132">
        <v>288</v>
      </c>
      <c r="B79" s="132" t="s">
        <v>1940</v>
      </c>
      <c r="C79" s="132" t="s">
        <v>1242</v>
      </c>
      <c r="D79" s="132">
        <v>69.9221</v>
      </c>
      <c r="E79" s="132">
        <v>-149.34523333333334</v>
      </c>
      <c r="F79" s="132">
        <v>61</v>
      </c>
      <c r="G79" s="132" t="s">
        <v>1829</v>
      </c>
      <c r="H79" s="132" t="s">
        <v>1942</v>
      </c>
      <c r="I79" s="132" t="s">
        <v>1242</v>
      </c>
      <c r="J79" s="132" t="s">
        <v>1844</v>
      </c>
      <c r="K79" s="132" t="s">
        <v>1242</v>
      </c>
      <c r="L79" s="132" t="s">
        <v>1909</v>
      </c>
      <c r="M79" s="138" t="str">
        <f t="shared" si="1"/>
        <v>View on Google Map</v>
      </c>
    </row>
    <row r="80" spans="1:13">
      <c r="A80" s="132">
        <v>204</v>
      </c>
      <c r="B80" s="132" t="s">
        <v>1943</v>
      </c>
      <c r="C80" s="132" t="s">
        <v>1242</v>
      </c>
      <c r="D80" s="132">
        <v>70.233333333333334</v>
      </c>
      <c r="E80" s="132">
        <v>-148.88333333333333</v>
      </c>
      <c r="F80" s="132">
        <v>17.682926829268293</v>
      </c>
      <c r="G80" s="132" t="s">
        <v>1829</v>
      </c>
      <c r="H80" s="132" t="s">
        <v>1944</v>
      </c>
      <c r="I80" s="132" t="s">
        <v>1242</v>
      </c>
      <c r="J80" s="132" t="s">
        <v>1844</v>
      </c>
      <c r="K80" s="132" t="s">
        <v>1242</v>
      </c>
      <c r="L80" s="132" t="s">
        <v>1907</v>
      </c>
      <c r="M80" s="138" t="str">
        <f t="shared" si="1"/>
        <v>View on Google Map</v>
      </c>
    </row>
    <row r="81" spans="1:13">
      <c r="A81" s="132">
        <v>289</v>
      </c>
      <c r="B81" s="132" t="s">
        <v>1943</v>
      </c>
      <c r="C81" s="132" t="s">
        <v>1242</v>
      </c>
      <c r="D81" s="132">
        <v>69.986533333333327</v>
      </c>
      <c r="E81" s="132">
        <v>-150.08543333333333</v>
      </c>
      <c r="F81" s="132">
        <v>125</v>
      </c>
      <c r="G81" s="132" t="s">
        <v>1829</v>
      </c>
      <c r="H81" s="132" t="s">
        <v>1945</v>
      </c>
      <c r="I81" s="132" t="s">
        <v>1242</v>
      </c>
      <c r="J81" s="132" t="s">
        <v>1844</v>
      </c>
      <c r="K81" s="132" t="s">
        <v>1242</v>
      </c>
      <c r="L81" s="132" t="s">
        <v>1909</v>
      </c>
      <c r="M81" s="138" t="str">
        <f t="shared" si="1"/>
        <v>View on Google Map</v>
      </c>
    </row>
    <row r="82" spans="1:13">
      <c r="A82" s="132">
        <v>205</v>
      </c>
      <c r="B82" s="132" t="s">
        <v>1946</v>
      </c>
      <c r="C82" s="132" t="s">
        <v>1242</v>
      </c>
      <c r="D82" s="132">
        <v>70.13333333333334</v>
      </c>
      <c r="E82" s="132">
        <v>-148.6</v>
      </c>
      <c r="F82" s="132">
        <v>24.390243902439025</v>
      </c>
      <c r="G82" s="132" t="s">
        <v>1829</v>
      </c>
      <c r="H82" s="132" t="s">
        <v>1947</v>
      </c>
      <c r="I82" s="132" t="s">
        <v>1242</v>
      </c>
      <c r="J82" s="132" t="s">
        <v>1844</v>
      </c>
      <c r="K82" s="132" t="s">
        <v>1242</v>
      </c>
      <c r="L82" s="132" t="s">
        <v>1907</v>
      </c>
      <c r="M82" s="138" t="str">
        <f t="shared" si="1"/>
        <v>View on Google Map</v>
      </c>
    </row>
    <row r="83" spans="1:13">
      <c r="A83" s="132">
        <v>290</v>
      </c>
      <c r="B83" s="132" t="s">
        <v>1946</v>
      </c>
      <c r="C83" s="132" t="s">
        <v>1242</v>
      </c>
      <c r="D83" s="132">
        <v>69.986533333333327</v>
      </c>
      <c r="E83" s="132">
        <v>-150.08543333333333</v>
      </c>
      <c r="F83" s="132">
        <v>125</v>
      </c>
      <c r="G83" s="132" t="s">
        <v>1829</v>
      </c>
      <c r="H83" s="132" t="s">
        <v>1948</v>
      </c>
      <c r="I83" s="132" t="s">
        <v>1242</v>
      </c>
      <c r="J83" s="132" t="s">
        <v>1844</v>
      </c>
      <c r="K83" s="132" t="s">
        <v>1242</v>
      </c>
      <c r="L83" s="132" t="s">
        <v>1909</v>
      </c>
      <c r="M83" s="138" t="str">
        <f t="shared" si="1"/>
        <v>View on Google Map</v>
      </c>
    </row>
    <row r="84" spans="1:13">
      <c r="A84" s="132">
        <v>291</v>
      </c>
      <c r="B84" s="132" t="s">
        <v>1949</v>
      </c>
      <c r="C84" s="132" t="s">
        <v>1242</v>
      </c>
      <c r="D84" s="132">
        <v>69.639166666666668</v>
      </c>
      <c r="E84" s="132">
        <v>-149.73946666666666</v>
      </c>
      <c r="F84" s="132">
        <v>91</v>
      </c>
      <c r="G84" s="132" t="s">
        <v>1829</v>
      </c>
      <c r="H84" s="132" t="s">
        <v>1950</v>
      </c>
      <c r="I84" s="132" t="s">
        <v>1242</v>
      </c>
      <c r="J84" s="132" t="s">
        <v>1844</v>
      </c>
      <c r="K84" s="132" t="s">
        <v>1242</v>
      </c>
      <c r="L84" s="132" t="s">
        <v>1909</v>
      </c>
      <c r="M84" s="138" t="str">
        <f t="shared" si="1"/>
        <v>View on Google Map</v>
      </c>
    </row>
    <row r="85" spans="1:13">
      <c r="A85" s="132">
        <v>206</v>
      </c>
      <c r="B85" s="132" t="s">
        <v>1951</v>
      </c>
      <c r="C85" s="132" t="s">
        <v>1242</v>
      </c>
      <c r="D85" s="132">
        <v>70.11666666666666</v>
      </c>
      <c r="E85" s="132">
        <v>-146.16666666666666</v>
      </c>
      <c r="F85" s="132">
        <v>3.0487804878048781</v>
      </c>
      <c r="G85" s="132" t="s">
        <v>1829</v>
      </c>
      <c r="H85" s="132" t="s">
        <v>1952</v>
      </c>
      <c r="I85" s="132" t="s">
        <v>1242</v>
      </c>
      <c r="J85" s="132" t="s">
        <v>1844</v>
      </c>
      <c r="K85" s="132" t="s">
        <v>1242</v>
      </c>
      <c r="L85" s="132" t="s">
        <v>1907</v>
      </c>
      <c r="M85" s="138" t="str">
        <f t="shared" si="1"/>
        <v>View on Google Map</v>
      </c>
    </row>
    <row r="86" spans="1:13">
      <c r="A86" s="132">
        <v>292</v>
      </c>
      <c r="B86" s="132" t="s">
        <v>1951</v>
      </c>
      <c r="C86" s="132" t="s">
        <v>1242</v>
      </c>
      <c r="D86" s="132">
        <v>69.639166666666668</v>
      </c>
      <c r="E86" s="132">
        <v>-149.73946666666666</v>
      </c>
      <c r="F86" s="132">
        <v>91</v>
      </c>
      <c r="G86" s="132" t="s">
        <v>1829</v>
      </c>
      <c r="H86" s="132" t="s">
        <v>1953</v>
      </c>
      <c r="I86" s="132" t="s">
        <v>1242</v>
      </c>
      <c r="J86" s="132" t="s">
        <v>1844</v>
      </c>
      <c r="K86" s="132" t="s">
        <v>1242</v>
      </c>
      <c r="L86" s="132" t="s">
        <v>1909</v>
      </c>
      <c r="M86" s="138" t="str">
        <f t="shared" si="1"/>
        <v>View on Google Map</v>
      </c>
    </row>
    <row r="87" spans="1:13">
      <c r="A87" s="132">
        <v>207</v>
      </c>
      <c r="B87" s="132" t="s">
        <v>1954</v>
      </c>
      <c r="C87" s="132" t="s">
        <v>1242</v>
      </c>
      <c r="D87" s="132">
        <v>70.099999999999994</v>
      </c>
      <c r="E87" s="132">
        <v>-146.26666666666668</v>
      </c>
      <c r="F87" s="132">
        <v>9.1463414634146343</v>
      </c>
      <c r="G87" s="132" t="s">
        <v>1829</v>
      </c>
      <c r="H87" s="132" t="s">
        <v>1955</v>
      </c>
      <c r="I87" s="132" t="s">
        <v>1242</v>
      </c>
      <c r="J87" s="132" t="s">
        <v>1844</v>
      </c>
      <c r="K87" s="132" t="s">
        <v>1242</v>
      </c>
      <c r="L87" s="132" t="s">
        <v>1907</v>
      </c>
      <c r="M87" s="138" t="str">
        <f t="shared" si="1"/>
        <v>View on Google Map</v>
      </c>
    </row>
    <row r="88" spans="1:13">
      <c r="A88" s="132">
        <v>293</v>
      </c>
      <c r="B88" s="132" t="s">
        <v>1954</v>
      </c>
      <c r="C88" s="132" t="s">
        <v>1242</v>
      </c>
      <c r="D88" s="132">
        <v>68.820783333333338</v>
      </c>
      <c r="E88" s="132">
        <v>-149.7646</v>
      </c>
      <c r="F88" s="132">
        <v>579</v>
      </c>
      <c r="G88" s="132" t="s">
        <v>1829</v>
      </c>
      <c r="H88" s="132" t="s">
        <v>1956</v>
      </c>
      <c r="I88" s="132" t="s">
        <v>1242</v>
      </c>
      <c r="J88" s="132" t="s">
        <v>1844</v>
      </c>
      <c r="K88" s="132" t="s">
        <v>1242</v>
      </c>
      <c r="L88" s="132" t="s">
        <v>1909</v>
      </c>
      <c r="M88" s="138" t="str">
        <f t="shared" si="1"/>
        <v>View on Google Map</v>
      </c>
    </row>
    <row r="89" spans="1:13">
      <c r="A89" s="132">
        <v>208</v>
      </c>
      <c r="B89" s="132" t="s">
        <v>1957</v>
      </c>
      <c r="C89" s="132" t="s">
        <v>1242</v>
      </c>
      <c r="D89" s="132">
        <v>70.05</v>
      </c>
      <c r="E89" s="132">
        <v>-146.98333333333332</v>
      </c>
      <c r="F89" s="132">
        <v>24.390243902439025</v>
      </c>
      <c r="G89" s="132" t="s">
        <v>1829</v>
      </c>
      <c r="H89" s="132" t="s">
        <v>1958</v>
      </c>
      <c r="I89" s="132" t="s">
        <v>1242</v>
      </c>
      <c r="J89" s="132" t="s">
        <v>1844</v>
      </c>
      <c r="K89" s="132" t="s">
        <v>1242</v>
      </c>
      <c r="L89" s="132" t="s">
        <v>1907</v>
      </c>
      <c r="M89" s="138" t="str">
        <f t="shared" si="1"/>
        <v>View on Google Map</v>
      </c>
    </row>
    <row r="90" spans="1:13">
      <c r="A90" s="132">
        <v>294</v>
      </c>
      <c r="B90" s="132" t="s">
        <v>1957</v>
      </c>
      <c r="C90" s="132" t="s">
        <v>1242</v>
      </c>
      <c r="D90" s="132">
        <v>68.820616666666666</v>
      </c>
      <c r="E90" s="132">
        <v>-149.74383333333333</v>
      </c>
      <c r="F90" s="132">
        <v>579</v>
      </c>
      <c r="G90" s="132" t="s">
        <v>1829</v>
      </c>
      <c r="H90" s="132" t="s">
        <v>1959</v>
      </c>
      <c r="I90" s="132" t="s">
        <v>1242</v>
      </c>
      <c r="J90" s="132" t="s">
        <v>1844</v>
      </c>
      <c r="K90" s="132" t="s">
        <v>1242</v>
      </c>
      <c r="L90" s="132" t="s">
        <v>1909</v>
      </c>
      <c r="M90" s="138" t="str">
        <f t="shared" si="1"/>
        <v>View on Google Map</v>
      </c>
    </row>
    <row r="91" spans="1:13">
      <c r="A91" s="132">
        <v>209</v>
      </c>
      <c r="B91" s="132" t="s">
        <v>1960</v>
      </c>
      <c r="C91" s="132" t="s">
        <v>1242</v>
      </c>
      <c r="D91" s="132">
        <v>70.05</v>
      </c>
      <c r="E91" s="132">
        <v>-146.98333333333332</v>
      </c>
      <c r="F91" s="132">
        <v>24.390243902439025</v>
      </c>
      <c r="G91" s="132" t="s">
        <v>1829</v>
      </c>
      <c r="H91" s="132" t="s">
        <v>1961</v>
      </c>
      <c r="I91" s="132" t="s">
        <v>1242</v>
      </c>
      <c r="J91" s="132" t="s">
        <v>1844</v>
      </c>
      <c r="K91" s="132" t="s">
        <v>1242</v>
      </c>
      <c r="L91" s="132" t="s">
        <v>1907</v>
      </c>
      <c r="M91" s="138" t="str">
        <f t="shared" si="1"/>
        <v>View on Google Map</v>
      </c>
    </row>
    <row r="92" spans="1:13">
      <c r="A92" s="132">
        <v>295</v>
      </c>
      <c r="B92" s="132" t="s">
        <v>1960</v>
      </c>
      <c r="C92" s="132" t="s">
        <v>1242</v>
      </c>
      <c r="D92" s="132">
        <v>68.821529999999996</v>
      </c>
      <c r="E92" s="132">
        <v>-149.05867000000001</v>
      </c>
      <c r="F92" s="132">
        <v>518</v>
      </c>
      <c r="G92" s="132" t="s">
        <v>1829</v>
      </c>
      <c r="H92" s="132" t="s">
        <v>1962</v>
      </c>
      <c r="I92" s="132" t="s">
        <v>1242</v>
      </c>
      <c r="J92" s="132" t="s">
        <v>1844</v>
      </c>
      <c r="K92" s="132" t="s">
        <v>1242</v>
      </c>
      <c r="L92" s="132" t="s">
        <v>1909</v>
      </c>
      <c r="M92" s="138" t="str">
        <f t="shared" si="1"/>
        <v>View on Google Map</v>
      </c>
    </row>
    <row r="93" spans="1:13">
      <c r="A93" s="132">
        <v>210</v>
      </c>
      <c r="B93" s="132" t="s">
        <v>1963</v>
      </c>
      <c r="C93" s="132" t="s">
        <v>1242</v>
      </c>
      <c r="D93" s="132">
        <v>70.150000000000006</v>
      </c>
      <c r="E93" s="132">
        <v>-147.36666666666667</v>
      </c>
      <c r="F93" s="132">
        <v>6.7073170731707323</v>
      </c>
      <c r="G93" s="132" t="s">
        <v>1829</v>
      </c>
      <c r="H93" s="132" t="s">
        <v>1964</v>
      </c>
      <c r="I93" s="132" t="s">
        <v>1242</v>
      </c>
      <c r="J93" s="132" t="s">
        <v>1844</v>
      </c>
      <c r="K93" s="132" t="s">
        <v>1242</v>
      </c>
      <c r="L93" s="132" t="s">
        <v>1907</v>
      </c>
      <c r="M93" s="138" t="str">
        <f t="shared" si="1"/>
        <v>View on Google Map</v>
      </c>
    </row>
    <row r="94" spans="1:13">
      <c r="A94" s="132">
        <v>296</v>
      </c>
      <c r="B94" s="132" t="s">
        <v>1963</v>
      </c>
      <c r="C94" s="132" t="s">
        <v>1242</v>
      </c>
      <c r="D94" s="132">
        <v>68.817116666666664</v>
      </c>
      <c r="E94" s="132">
        <v>-149.05956666666665</v>
      </c>
      <c r="F94" s="132">
        <v>518</v>
      </c>
      <c r="G94" s="132" t="s">
        <v>1829</v>
      </c>
      <c r="H94" s="132" t="s">
        <v>1965</v>
      </c>
      <c r="I94" s="132" t="s">
        <v>1242</v>
      </c>
      <c r="J94" s="132" t="s">
        <v>1844</v>
      </c>
      <c r="K94" s="132" t="s">
        <v>1242</v>
      </c>
      <c r="L94" s="132" t="s">
        <v>1909</v>
      </c>
      <c r="M94" s="138" t="str">
        <f t="shared" si="1"/>
        <v>View on Google Map</v>
      </c>
    </row>
    <row r="95" spans="1:13">
      <c r="A95" s="132">
        <v>211</v>
      </c>
      <c r="B95" s="132" t="s">
        <v>1966</v>
      </c>
      <c r="C95" s="132" t="s">
        <v>1242</v>
      </c>
      <c r="D95" s="132">
        <v>70.150000000000006</v>
      </c>
      <c r="E95" s="132">
        <v>-147.36666666666667</v>
      </c>
      <c r="F95" s="132">
        <v>6.7073170731707323</v>
      </c>
      <c r="G95" s="132" t="s">
        <v>1829</v>
      </c>
      <c r="H95" s="132" t="s">
        <v>1967</v>
      </c>
      <c r="I95" s="132" t="s">
        <v>1242</v>
      </c>
      <c r="J95" s="132" t="s">
        <v>1844</v>
      </c>
      <c r="K95" s="132" t="s">
        <v>1242</v>
      </c>
      <c r="L95" s="132" t="s">
        <v>1907</v>
      </c>
      <c r="M95" s="138" t="str">
        <f t="shared" si="1"/>
        <v>View on Google Map</v>
      </c>
    </row>
    <row r="96" spans="1:13">
      <c r="A96" s="132">
        <v>297</v>
      </c>
      <c r="B96" s="132" t="s">
        <v>1966</v>
      </c>
      <c r="C96" s="132" t="s">
        <v>1242</v>
      </c>
      <c r="D96" s="132">
        <v>69.356183333333334</v>
      </c>
      <c r="E96" s="132">
        <v>-150.21899999999999</v>
      </c>
      <c r="F96" s="132">
        <v>168</v>
      </c>
      <c r="G96" s="132" t="s">
        <v>1829</v>
      </c>
      <c r="H96" s="132" t="s">
        <v>1968</v>
      </c>
      <c r="I96" s="132" t="s">
        <v>1242</v>
      </c>
      <c r="J96" s="132" t="s">
        <v>1844</v>
      </c>
      <c r="K96" s="132" t="s">
        <v>1242</v>
      </c>
      <c r="L96" s="132" t="s">
        <v>1909</v>
      </c>
      <c r="M96" s="138" t="str">
        <f t="shared" si="1"/>
        <v>View on Google Map</v>
      </c>
    </row>
    <row r="97" spans="1:13">
      <c r="A97" s="132">
        <v>212</v>
      </c>
      <c r="B97" s="132" t="s">
        <v>1969</v>
      </c>
      <c r="C97" s="132" t="s">
        <v>1242</v>
      </c>
      <c r="D97" s="132">
        <v>70.033333333333331</v>
      </c>
      <c r="E97" s="132">
        <v>-147.65</v>
      </c>
      <c r="F97" s="132">
        <v>28.04878048780488</v>
      </c>
      <c r="G97" s="132" t="s">
        <v>1829</v>
      </c>
      <c r="H97" s="132" t="s">
        <v>1970</v>
      </c>
      <c r="I97" s="132" t="s">
        <v>1242</v>
      </c>
      <c r="J97" s="132" t="s">
        <v>1844</v>
      </c>
      <c r="K97" s="132" t="s">
        <v>1242</v>
      </c>
      <c r="L97" s="132" t="s">
        <v>1907</v>
      </c>
      <c r="M97" s="138" t="str">
        <f t="shared" si="1"/>
        <v>View on Google Map</v>
      </c>
    </row>
    <row r="98" spans="1:13">
      <c r="A98" s="132">
        <v>298</v>
      </c>
      <c r="B98" s="132" t="s">
        <v>1969</v>
      </c>
      <c r="C98" s="132" t="s">
        <v>1242</v>
      </c>
      <c r="D98" s="132">
        <v>69.356183333333334</v>
      </c>
      <c r="E98" s="132">
        <v>-150.21899999999999</v>
      </c>
      <c r="F98" s="132">
        <v>168</v>
      </c>
      <c r="G98" s="132" t="s">
        <v>1829</v>
      </c>
      <c r="H98" s="132" t="s">
        <v>1971</v>
      </c>
      <c r="I98" s="132" t="s">
        <v>1242</v>
      </c>
      <c r="J98" s="132" t="s">
        <v>1844</v>
      </c>
      <c r="K98" s="132" t="s">
        <v>1242</v>
      </c>
      <c r="L98" s="132" t="s">
        <v>1909</v>
      </c>
      <c r="M98" s="138" t="str">
        <f t="shared" si="1"/>
        <v>View on Google Map</v>
      </c>
    </row>
    <row r="99" spans="1:13">
      <c r="A99" s="132">
        <v>213</v>
      </c>
      <c r="B99" s="132" t="s">
        <v>1972</v>
      </c>
      <c r="C99" s="132" t="s">
        <v>1242</v>
      </c>
      <c r="D99" s="132">
        <v>70.033333333333331</v>
      </c>
      <c r="E99" s="132">
        <v>-147.65</v>
      </c>
      <c r="F99" s="132">
        <v>28.04878048780488</v>
      </c>
      <c r="G99" s="132" t="s">
        <v>1829</v>
      </c>
      <c r="H99" s="132" t="s">
        <v>1973</v>
      </c>
      <c r="I99" s="132" t="s">
        <v>1242</v>
      </c>
      <c r="J99" s="132" t="s">
        <v>1844</v>
      </c>
      <c r="K99" s="132" t="s">
        <v>1242</v>
      </c>
      <c r="L99" s="132" t="s">
        <v>1907</v>
      </c>
      <c r="M99" s="138" t="str">
        <f t="shared" si="1"/>
        <v>View on Google Map</v>
      </c>
    </row>
    <row r="100" spans="1:13">
      <c r="A100" s="132">
        <v>299</v>
      </c>
      <c r="B100" s="132" t="s">
        <v>1972</v>
      </c>
      <c r="C100" s="132" t="s">
        <v>1242</v>
      </c>
      <c r="D100" s="132">
        <v>69.5458</v>
      </c>
      <c r="E100" s="132">
        <v>-150.37883333333335</v>
      </c>
      <c r="F100" s="132">
        <v>107</v>
      </c>
      <c r="G100" s="132" t="s">
        <v>1829</v>
      </c>
      <c r="H100" s="132" t="s">
        <v>1974</v>
      </c>
      <c r="I100" s="132" t="s">
        <v>1242</v>
      </c>
      <c r="J100" s="132" t="s">
        <v>1844</v>
      </c>
      <c r="K100" s="132" t="s">
        <v>1242</v>
      </c>
      <c r="L100" s="132" t="s">
        <v>1909</v>
      </c>
      <c r="M100" s="138" t="str">
        <f t="shared" si="1"/>
        <v>View on Google Map</v>
      </c>
    </row>
    <row r="101" spans="1:13">
      <c r="A101" s="132">
        <v>214</v>
      </c>
      <c r="B101" s="132" t="s">
        <v>1975</v>
      </c>
      <c r="C101" s="132" t="s">
        <v>1242</v>
      </c>
      <c r="D101" s="132">
        <v>69.833333333333329</v>
      </c>
      <c r="E101" s="132">
        <v>-147.93333333333334</v>
      </c>
      <c r="F101" s="132">
        <v>92.987804878048792</v>
      </c>
      <c r="G101" s="132" t="s">
        <v>1829</v>
      </c>
      <c r="H101" s="132" t="s">
        <v>1976</v>
      </c>
      <c r="I101" s="132" t="s">
        <v>1242</v>
      </c>
      <c r="J101" s="132" t="s">
        <v>1844</v>
      </c>
      <c r="K101" s="132" t="s">
        <v>1242</v>
      </c>
      <c r="L101" s="132" t="s">
        <v>1907</v>
      </c>
      <c r="M101" s="138" t="str">
        <f t="shared" si="1"/>
        <v>View on Google Map</v>
      </c>
    </row>
    <row r="102" spans="1:13">
      <c r="A102" s="132">
        <v>300</v>
      </c>
      <c r="B102" s="132" t="s">
        <v>1975</v>
      </c>
      <c r="C102" s="132" t="s">
        <v>1242</v>
      </c>
      <c r="D102" s="132">
        <v>69.5458</v>
      </c>
      <c r="E102" s="132">
        <v>-150.37883333333335</v>
      </c>
      <c r="F102" s="132">
        <v>107</v>
      </c>
      <c r="G102" s="132" t="s">
        <v>1829</v>
      </c>
      <c r="H102" s="132" t="s">
        <v>1977</v>
      </c>
      <c r="I102" s="132" t="s">
        <v>1242</v>
      </c>
      <c r="J102" s="132" t="s">
        <v>1844</v>
      </c>
      <c r="K102" s="132" t="s">
        <v>1242</v>
      </c>
      <c r="L102" s="132" t="s">
        <v>1909</v>
      </c>
      <c r="M102" s="138" t="str">
        <f t="shared" si="1"/>
        <v>View on Google Map</v>
      </c>
    </row>
    <row r="103" spans="1:13">
      <c r="A103" s="132">
        <v>215</v>
      </c>
      <c r="B103" s="132" t="s">
        <v>1978</v>
      </c>
      <c r="C103" s="132" t="s">
        <v>1242</v>
      </c>
      <c r="D103" s="132">
        <v>69.833333333333329</v>
      </c>
      <c r="E103" s="132">
        <v>-147.93333333333334</v>
      </c>
      <c r="F103" s="132">
        <v>92.987804878048792</v>
      </c>
      <c r="G103" s="132" t="s">
        <v>1829</v>
      </c>
      <c r="H103" s="132" t="s">
        <v>1979</v>
      </c>
      <c r="I103" s="132" t="s">
        <v>1242</v>
      </c>
      <c r="J103" s="132" t="s">
        <v>1844</v>
      </c>
      <c r="K103" s="132" t="s">
        <v>1242</v>
      </c>
      <c r="L103" s="132" t="s">
        <v>1907</v>
      </c>
      <c r="M103" s="138" t="str">
        <f t="shared" si="1"/>
        <v>View on Google Map</v>
      </c>
    </row>
    <row r="104" spans="1:13">
      <c r="A104" s="132">
        <v>301</v>
      </c>
      <c r="B104" s="132" t="s">
        <v>1978</v>
      </c>
      <c r="C104" s="132" t="s">
        <v>1242</v>
      </c>
      <c r="D104" s="132">
        <v>69.523700000000005</v>
      </c>
      <c r="E104" s="132">
        <v>-150.55269999999999</v>
      </c>
      <c r="F104" s="132">
        <v>107</v>
      </c>
      <c r="G104" s="132" t="s">
        <v>1829</v>
      </c>
      <c r="H104" s="132" t="s">
        <v>1980</v>
      </c>
      <c r="I104" s="132" t="s">
        <v>1242</v>
      </c>
      <c r="J104" s="132" t="s">
        <v>1844</v>
      </c>
      <c r="K104" s="132" t="s">
        <v>1242</v>
      </c>
      <c r="L104" s="132" t="s">
        <v>1909</v>
      </c>
      <c r="M104" s="138" t="str">
        <f t="shared" si="1"/>
        <v>View on Google Map</v>
      </c>
    </row>
    <row r="105" spans="1:13">
      <c r="A105" s="132">
        <v>216</v>
      </c>
      <c r="B105" s="132" t="s">
        <v>1981</v>
      </c>
      <c r="C105" s="132" t="s">
        <v>1242</v>
      </c>
      <c r="D105" s="132">
        <v>69.88333333333334</v>
      </c>
      <c r="E105" s="132">
        <v>-148.63333333333333</v>
      </c>
      <c r="F105" s="132">
        <v>118.90243902439025</v>
      </c>
      <c r="G105" s="132" t="s">
        <v>1829</v>
      </c>
      <c r="H105" s="132" t="s">
        <v>1982</v>
      </c>
      <c r="I105" s="132" t="s">
        <v>1242</v>
      </c>
      <c r="J105" s="132" t="s">
        <v>1844</v>
      </c>
      <c r="K105" s="132" t="s">
        <v>1242</v>
      </c>
      <c r="L105" s="132" t="s">
        <v>1907</v>
      </c>
      <c r="M105" s="138" t="str">
        <f t="shared" si="1"/>
        <v>View on Google Map</v>
      </c>
    </row>
    <row r="106" spans="1:13">
      <c r="A106" s="132">
        <v>302</v>
      </c>
      <c r="B106" s="132" t="s">
        <v>1981</v>
      </c>
      <c r="C106" s="132" t="s">
        <v>1242</v>
      </c>
      <c r="D106" s="132">
        <v>69.523700000000005</v>
      </c>
      <c r="E106" s="132">
        <v>-150.55269999999999</v>
      </c>
      <c r="F106" s="132">
        <v>107</v>
      </c>
      <c r="G106" s="132" t="s">
        <v>1829</v>
      </c>
      <c r="H106" s="132" t="s">
        <v>1983</v>
      </c>
      <c r="I106" s="132" t="s">
        <v>1242</v>
      </c>
      <c r="J106" s="132" t="s">
        <v>1844</v>
      </c>
      <c r="K106" s="132" t="s">
        <v>1242</v>
      </c>
      <c r="L106" s="132" t="s">
        <v>1909</v>
      </c>
      <c r="M106" s="138" t="str">
        <f t="shared" si="1"/>
        <v>View on Google Map</v>
      </c>
    </row>
    <row r="107" spans="1:13">
      <c r="A107" s="132">
        <v>217</v>
      </c>
      <c r="B107" s="132" t="s">
        <v>1984</v>
      </c>
      <c r="C107" s="132" t="s">
        <v>1242</v>
      </c>
      <c r="D107" s="132">
        <v>69.7</v>
      </c>
      <c r="E107" s="132">
        <v>-148.48333333333332</v>
      </c>
      <c r="F107" s="132">
        <v>125</v>
      </c>
      <c r="G107" s="132" t="s">
        <v>1829</v>
      </c>
      <c r="H107" s="132" t="s">
        <v>1985</v>
      </c>
      <c r="I107" s="132" t="s">
        <v>1242</v>
      </c>
      <c r="J107" s="132" t="s">
        <v>1844</v>
      </c>
      <c r="K107" s="132" t="s">
        <v>1242</v>
      </c>
      <c r="L107" s="132" t="s">
        <v>1907</v>
      </c>
      <c r="M107" s="138" t="str">
        <f t="shared" si="1"/>
        <v>View on Google Map</v>
      </c>
    </row>
    <row r="108" spans="1:13">
      <c r="A108" s="132">
        <v>303</v>
      </c>
      <c r="B108" s="132" t="s">
        <v>1984</v>
      </c>
      <c r="C108" s="132" t="s">
        <v>1242</v>
      </c>
      <c r="D108" s="132">
        <v>69.610399999999998</v>
      </c>
      <c r="E108" s="132">
        <v>-148.82113333333334</v>
      </c>
      <c r="F108" s="132">
        <v>107</v>
      </c>
      <c r="G108" s="132" t="s">
        <v>1829</v>
      </c>
      <c r="H108" s="132" t="s">
        <v>1986</v>
      </c>
      <c r="I108" s="132" t="s">
        <v>1242</v>
      </c>
      <c r="J108" s="132" t="s">
        <v>1844</v>
      </c>
      <c r="K108" s="132" t="s">
        <v>1242</v>
      </c>
      <c r="L108" s="132" t="s">
        <v>1909</v>
      </c>
      <c r="M108" s="138" t="str">
        <f t="shared" si="1"/>
        <v>View on Google Map</v>
      </c>
    </row>
    <row r="109" spans="1:13">
      <c r="A109" s="132">
        <v>218</v>
      </c>
      <c r="B109" s="132" t="s">
        <v>1987</v>
      </c>
      <c r="C109" s="132" t="s">
        <v>1242</v>
      </c>
      <c r="D109" s="132">
        <v>69.7</v>
      </c>
      <c r="E109" s="132">
        <v>-148.48333333333332</v>
      </c>
      <c r="F109" s="132">
        <v>125</v>
      </c>
      <c r="G109" s="132" t="s">
        <v>1829</v>
      </c>
      <c r="H109" s="132" t="s">
        <v>1988</v>
      </c>
      <c r="I109" s="132" t="s">
        <v>1242</v>
      </c>
      <c r="J109" s="132" t="s">
        <v>1844</v>
      </c>
      <c r="K109" s="132" t="s">
        <v>1242</v>
      </c>
      <c r="L109" s="132" t="s">
        <v>1907</v>
      </c>
      <c r="M109" s="138" t="str">
        <f t="shared" si="1"/>
        <v>View on Google Map</v>
      </c>
    </row>
    <row r="110" spans="1:13">
      <c r="A110" s="132">
        <v>304</v>
      </c>
      <c r="B110" s="132" t="s">
        <v>1987</v>
      </c>
      <c r="C110" s="132" t="s">
        <v>1242</v>
      </c>
      <c r="D110" s="132">
        <v>69.610399999999998</v>
      </c>
      <c r="E110" s="132">
        <v>-148.82113333333334</v>
      </c>
      <c r="F110" s="132">
        <v>107</v>
      </c>
      <c r="G110" s="132" t="s">
        <v>1829</v>
      </c>
      <c r="H110" s="132" t="s">
        <v>1989</v>
      </c>
      <c r="I110" s="132" t="s">
        <v>1242</v>
      </c>
      <c r="J110" s="132" t="s">
        <v>1844</v>
      </c>
      <c r="K110" s="132" t="s">
        <v>1242</v>
      </c>
      <c r="L110" s="132" t="s">
        <v>1909</v>
      </c>
      <c r="M110" s="138" t="str">
        <f t="shared" si="1"/>
        <v>View on Google Map</v>
      </c>
    </row>
    <row r="111" spans="1:13">
      <c r="A111" s="132">
        <v>232</v>
      </c>
      <c r="B111" s="132" t="s">
        <v>1990</v>
      </c>
      <c r="C111" s="132" t="s">
        <v>1242</v>
      </c>
      <c r="D111" s="132">
        <v>69.266666666666666</v>
      </c>
      <c r="E111" s="132">
        <v>-148.46666666666667</v>
      </c>
      <c r="F111" s="132">
        <v>338.71951219512198</v>
      </c>
      <c r="G111" s="132" t="s">
        <v>1829</v>
      </c>
      <c r="H111" s="132" t="s">
        <v>1991</v>
      </c>
      <c r="I111" s="132" t="s">
        <v>1242</v>
      </c>
      <c r="J111" s="132" t="s">
        <v>1844</v>
      </c>
      <c r="K111" s="132" t="s">
        <v>1242</v>
      </c>
      <c r="L111" s="132" t="s">
        <v>1907</v>
      </c>
      <c r="M111" s="138" t="str">
        <f t="shared" si="1"/>
        <v>View on Google Map</v>
      </c>
    </row>
    <row r="112" spans="1:13">
      <c r="A112" s="132">
        <v>239</v>
      </c>
      <c r="B112" s="132" t="s">
        <v>1992</v>
      </c>
      <c r="C112" s="132" t="s">
        <v>1993</v>
      </c>
      <c r="D112" s="132" t="s">
        <v>1242</v>
      </c>
      <c r="E112" s="132" t="s">
        <v>1242</v>
      </c>
      <c r="F112" s="132" t="s">
        <v>1242</v>
      </c>
      <c r="G112" s="132" t="s">
        <v>1829</v>
      </c>
      <c r="H112" s="132" t="s">
        <v>1242</v>
      </c>
      <c r="I112" s="132" t="s">
        <v>1242</v>
      </c>
      <c r="J112" s="132" t="s">
        <v>1844</v>
      </c>
      <c r="K112" s="132" t="s">
        <v>1242</v>
      </c>
      <c r="L112" s="132" t="s">
        <v>1994</v>
      </c>
      <c r="M112" s="138" t="str">
        <f t="shared" si="1"/>
        <v>View on Google Map</v>
      </c>
    </row>
    <row r="113" spans="1:13">
      <c r="A113" s="132">
        <v>144</v>
      </c>
      <c r="B113" s="132" t="s">
        <v>1995</v>
      </c>
      <c r="C113" s="132" t="s">
        <v>1996</v>
      </c>
      <c r="D113" s="132">
        <v>68.63333333333334</v>
      </c>
      <c r="E113" s="132">
        <v>-149.6</v>
      </c>
      <c r="F113" s="132">
        <v>719</v>
      </c>
      <c r="G113" s="132" t="s">
        <v>1829</v>
      </c>
      <c r="H113" s="132" t="s">
        <v>1242</v>
      </c>
      <c r="I113" s="132" t="s">
        <v>1242</v>
      </c>
      <c r="J113" s="132" t="s">
        <v>1844</v>
      </c>
      <c r="K113" s="132" t="s">
        <v>1242</v>
      </c>
      <c r="L113" s="132" t="s">
        <v>1845</v>
      </c>
      <c r="M113" s="138" t="str">
        <f t="shared" si="1"/>
        <v>View on Google Map</v>
      </c>
    </row>
    <row r="114" spans="1:13">
      <c r="A114" s="132">
        <v>401</v>
      </c>
      <c r="B114" s="132" t="s">
        <v>1997</v>
      </c>
      <c r="C114" s="132" t="s">
        <v>1242</v>
      </c>
      <c r="D114" s="132" t="s">
        <v>1242</v>
      </c>
      <c r="E114" s="132" t="s">
        <v>1242</v>
      </c>
      <c r="F114" s="132" t="s">
        <v>1242</v>
      </c>
      <c r="G114" s="132" t="s">
        <v>1829</v>
      </c>
      <c r="H114" s="132" t="s">
        <v>1242</v>
      </c>
      <c r="I114" s="132" t="s">
        <v>1242</v>
      </c>
      <c r="J114" s="132" t="s">
        <v>1844</v>
      </c>
      <c r="K114" s="132" t="s">
        <v>1242</v>
      </c>
      <c r="L114" s="132" t="s">
        <v>1998</v>
      </c>
      <c r="M114" s="138" t="str">
        <f t="shared" si="1"/>
        <v>View on Google Map</v>
      </c>
    </row>
    <row r="115" spans="1:13">
      <c r="A115" s="132">
        <v>403</v>
      </c>
      <c r="B115" s="132" t="s">
        <v>1999</v>
      </c>
      <c r="C115" s="132" t="s">
        <v>1242</v>
      </c>
      <c r="D115" s="132" t="s">
        <v>1242</v>
      </c>
      <c r="E115" s="132" t="s">
        <v>1242</v>
      </c>
      <c r="F115" s="132" t="s">
        <v>1242</v>
      </c>
      <c r="G115" s="132" t="s">
        <v>1829</v>
      </c>
      <c r="H115" s="132" t="s">
        <v>1242</v>
      </c>
      <c r="I115" s="132" t="s">
        <v>1242</v>
      </c>
      <c r="J115" s="132" t="s">
        <v>1844</v>
      </c>
      <c r="K115" s="132" t="s">
        <v>1242</v>
      </c>
      <c r="L115" s="132" t="s">
        <v>2000</v>
      </c>
      <c r="M115" s="138" t="str">
        <f t="shared" si="1"/>
        <v>View on Google Map</v>
      </c>
    </row>
    <row r="116" spans="1:13">
      <c r="A116" s="132">
        <v>403</v>
      </c>
      <c r="B116" s="132" t="s">
        <v>1999</v>
      </c>
      <c r="C116" s="132" t="s">
        <v>1242</v>
      </c>
      <c r="D116" s="132" t="s">
        <v>1242</v>
      </c>
      <c r="E116" s="132" t="s">
        <v>1242</v>
      </c>
      <c r="F116" s="132" t="s">
        <v>1242</v>
      </c>
      <c r="G116" s="132" t="s">
        <v>1829</v>
      </c>
      <c r="H116" s="132" t="s">
        <v>1242</v>
      </c>
      <c r="I116" s="132" t="s">
        <v>1242</v>
      </c>
      <c r="J116" s="132" t="s">
        <v>1844</v>
      </c>
      <c r="K116" s="132" t="s">
        <v>1242</v>
      </c>
      <c r="L116" s="132" t="s">
        <v>2000</v>
      </c>
      <c r="M116" s="138" t="str">
        <f t="shared" si="1"/>
        <v>View on Google Map</v>
      </c>
    </row>
    <row r="117" spans="1:13">
      <c r="A117" s="132">
        <v>1209</v>
      </c>
      <c r="B117" s="132" t="s">
        <v>2001</v>
      </c>
      <c r="C117" s="132" t="s">
        <v>2002</v>
      </c>
      <c r="D117" s="132">
        <v>68.934420000000003</v>
      </c>
      <c r="E117" s="132">
        <v>-150.21242000000001</v>
      </c>
      <c r="F117" s="132" t="s">
        <v>1242</v>
      </c>
      <c r="G117" s="132" t="s">
        <v>1819</v>
      </c>
      <c r="H117" s="132" t="s">
        <v>1242</v>
      </c>
      <c r="I117" s="132" t="s">
        <v>1242</v>
      </c>
      <c r="J117" s="132" t="s">
        <v>1825</v>
      </c>
      <c r="K117" s="132" t="s">
        <v>1242</v>
      </c>
      <c r="L117" s="132" t="s">
        <v>1826</v>
      </c>
      <c r="M117" s="138" t="str">
        <f t="shared" si="1"/>
        <v>View on Google Map</v>
      </c>
    </row>
    <row r="118" spans="1:13">
      <c r="A118" s="132">
        <v>482</v>
      </c>
      <c r="B118" s="132" t="s">
        <v>2003</v>
      </c>
      <c r="C118" s="132" t="s">
        <v>1242</v>
      </c>
      <c r="D118" s="132">
        <v>68.951483332999999</v>
      </c>
      <c r="E118" s="132">
        <v>-150.194333333</v>
      </c>
      <c r="F118" s="132">
        <v>399</v>
      </c>
      <c r="G118" s="132" t="s">
        <v>1829</v>
      </c>
      <c r="H118" s="132" t="s">
        <v>1242</v>
      </c>
      <c r="I118" s="132" t="s">
        <v>1242</v>
      </c>
      <c r="J118" s="132" t="s">
        <v>1879</v>
      </c>
      <c r="K118" s="132" t="s">
        <v>1242</v>
      </c>
      <c r="L118" s="132" t="s">
        <v>1826</v>
      </c>
      <c r="M118" s="138" t="str">
        <f t="shared" si="1"/>
        <v>View on Google Map</v>
      </c>
    </row>
    <row r="119" spans="1:13">
      <c r="A119" s="132">
        <v>483</v>
      </c>
      <c r="B119" s="132" t="s">
        <v>2004</v>
      </c>
      <c r="C119" s="132" t="s">
        <v>1242</v>
      </c>
      <c r="D119" s="132">
        <v>68.950783333000004</v>
      </c>
      <c r="E119" s="132">
        <v>-150.19835</v>
      </c>
      <c r="F119" s="132">
        <v>399</v>
      </c>
      <c r="G119" s="132" t="s">
        <v>1843</v>
      </c>
      <c r="H119" s="132" t="s">
        <v>2005</v>
      </c>
      <c r="I119" s="132" t="s">
        <v>1242</v>
      </c>
      <c r="J119" s="132" t="s">
        <v>1879</v>
      </c>
      <c r="K119" s="132" t="s">
        <v>1242</v>
      </c>
      <c r="L119" s="132" t="s">
        <v>1826</v>
      </c>
      <c r="M119" s="138" t="str">
        <f t="shared" si="1"/>
        <v>View on Google Map</v>
      </c>
    </row>
    <row r="120" spans="1:13">
      <c r="A120" s="132">
        <v>484</v>
      </c>
      <c r="B120" s="132" t="s">
        <v>2006</v>
      </c>
      <c r="C120" s="132" t="s">
        <v>1242</v>
      </c>
      <c r="D120" s="132">
        <v>68.957549999999998</v>
      </c>
      <c r="E120" s="132">
        <v>-150.200916667</v>
      </c>
      <c r="F120" s="132">
        <v>399</v>
      </c>
      <c r="G120" s="132" t="s">
        <v>1829</v>
      </c>
      <c r="H120" s="132" t="s">
        <v>2007</v>
      </c>
      <c r="I120" s="132" t="s">
        <v>2008</v>
      </c>
      <c r="J120" s="132" t="s">
        <v>1879</v>
      </c>
      <c r="K120" s="132" t="s">
        <v>1242</v>
      </c>
      <c r="L120" s="132" t="s">
        <v>1826</v>
      </c>
      <c r="M120" s="138" t="str">
        <f t="shared" si="1"/>
        <v>View on Google Map</v>
      </c>
    </row>
    <row r="121" spans="1:13">
      <c r="A121" s="132">
        <v>485</v>
      </c>
      <c r="B121" s="132" t="s">
        <v>2009</v>
      </c>
      <c r="C121" s="132" t="s">
        <v>1242</v>
      </c>
      <c r="D121" s="132">
        <v>68.95675</v>
      </c>
      <c r="E121" s="132">
        <v>-150.19700833300001</v>
      </c>
      <c r="F121" s="132">
        <v>399</v>
      </c>
      <c r="G121" s="132" t="s">
        <v>1829</v>
      </c>
      <c r="H121" s="132" t="s">
        <v>2010</v>
      </c>
      <c r="I121" s="132" t="s">
        <v>1242</v>
      </c>
      <c r="J121" s="132" t="s">
        <v>1879</v>
      </c>
      <c r="K121" s="132" t="s">
        <v>1242</v>
      </c>
      <c r="L121" s="132" t="s">
        <v>1826</v>
      </c>
      <c r="M121" s="138" t="str">
        <f t="shared" si="1"/>
        <v>View on Google Map</v>
      </c>
    </row>
    <row r="122" spans="1:13">
      <c r="A122" s="132">
        <v>514</v>
      </c>
      <c r="B122" s="132" t="s">
        <v>2011</v>
      </c>
      <c r="C122" s="132" t="s">
        <v>1828</v>
      </c>
      <c r="D122" s="132">
        <v>68.418130000000005</v>
      </c>
      <c r="E122" s="132">
        <v>-151.58454</v>
      </c>
      <c r="F122" s="132">
        <v>876</v>
      </c>
      <c r="G122" s="132" t="s">
        <v>1829</v>
      </c>
      <c r="H122" s="132" t="s">
        <v>1242</v>
      </c>
      <c r="I122" s="132" t="s">
        <v>1242</v>
      </c>
      <c r="J122" s="132" t="s">
        <v>1830</v>
      </c>
      <c r="K122" s="132" t="s">
        <v>1242</v>
      </c>
      <c r="L122" s="132" t="s">
        <v>1831</v>
      </c>
      <c r="M122" s="138" t="str">
        <f t="shared" si="1"/>
        <v>View on Google Map</v>
      </c>
    </row>
    <row r="123" spans="1:13">
      <c r="A123" s="132">
        <v>400</v>
      </c>
      <c r="B123" s="132" t="s">
        <v>2012</v>
      </c>
      <c r="C123" s="132" t="s">
        <v>1242</v>
      </c>
      <c r="D123" s="132" t="s">
        <v>1242</v>
      </c>
      <c r="E123" s="132" t="s">
        <v>1242</v>
      </c>
      <c r="F123" s="132" t="s">
        <v>1242</v>
      </c>
      <c r="G123" s="132" t="s">
        <v>1829</v>
      </c>
      <c r="H123" s="132" t="s">
        <v>1242</v>
      </c>
      <c r="I123" s="132" t="s">
        <v>1242</v>
      </c>
      <c r="J123" s="132" t="s">
        <v>1844</v>
      </c>
      <c r="K123" s="132" t="s">
        <v>1242</v>
      </c>
      <c r="L123" s="132" t="s">
        <v>1998</v>
      </c>
      <c r="M123" s="138" t="str">
        <f t="shared" si="1"/>
        <v>View on Google Map</v>
      </c>
    </row>
    <row r="124" spans="1:13">
      <c r="A124" s="132">
        <v>137</v>
      </c>
      <c r="B124" s="132" t="s">
        <v>2013</v>
      </c>
      <c r="C124" s="132" t="s">
        <v>1242</v>
      </c>
      <c r="D124" s="132">
        <v>70.3</v>
      </c>
      <c r="E124" s="132">
        <v>-148.28333333333333</v>
      </c>
      <c r="F124" s="132">
        <v>6</v>
      </c>
      <c r="G124" s="132" t="s">
        <v>1829</v>
      </c>
      <c r="H124" s="132" t="s">
        <v>2014</v>
      </c>
      <c r="I124" s="132" t="s">
        <v>1242</v>
      </c>
      <c r="J124" s="132" t="s">
        <v>1844</v>
      </c>
      <c r="K124" s="132" t="s">
        <v>1242</v>
      </c>
      <c r="L124" s="132" t="s">
        <v>1845</v>
      </c>
      <c r="M124" s="138" t="str">
        <f t="shared" si="1"/>
        <v>View on Google Map</v>
      </c>
    </row>
    <row r="125" spans="1:13">
      <c r="A125" s="132">
        <v>146</v>
      </c>
      <c r="B125" s="132" t="s">
        <v>2015</v>
      </c>
      <c r="C125" s="132" t="s">
        <v>1242</v>
      </c>
      <c r="D125" s="132">
        <v>68.626195602799996</v>
      </c>
      <c r="E125" s="132">
        <v>-149.55534770599999</v>
      </c>
      <c r="F125" s="132">
        <v>762</v>
      </c>
      <c r="G125" s="132" t="s">
        <v>1829</v>
      </c>
      <c r="H125" s="132" t="s">
        <v>2016</v>
      </c>
      <c r="I125" s="132" t="s">
        <v>2017</v>
      </c>
      <c r="J125" s="132" t="s">
        <v>1844</v>
      </c>
      <c r="K125" s="132" t="s">
        <v>1242</v>
      </c>
      <c r="L125" s="132" t="s">
        <v>1242</v>
      </c>
      <c r="M125" s="138" t="str">
        <f t="shared" si="1"/>
        <v>View on Google Map</v>
      </c>
    </row>
    <row r="126" spans="1:13">
      <c r="A126" s="132">
        <v>18</v>
      </c>
      <c r="B126" s="132" t="s">
        <v>2018</v>
      </c>
      <c r="C126" s="132" t="s">
        <v>1242</v>
      </c>
      <c r="D126" s="132" t="s">
        <v>1242</v>
      </c>
      <c r="E126" s="132" t="s">
        <v>1242</v>
      </c>
      <c r="F126" s="132">
        <v>762</v>
      </c>
      <c r="G126" s="132" t="s">
        <v>1843</v>
      </c>
      <c r="H126" s="132" t="s">
        <v>2019</v>
      </c>
      <c r="I126" s="132" t="s">
        <v>2020</v>
      </c>
      <c r="J126" s="132" t="s">
        <v>1844</v>
      </c>
      <c r="K126" s="132" t="s">
        <v>1242</v>
      </c>
      <c r="L126" s="132" t="s">
        <v>1242</v>
      </c>
      <c r="M126" s="138" t="str">
        <f t="shared" si="1"/>
        <v>View on Google Map</v>
      </c>
    </row>
    <row r="127" spans="1:13">
      <c r="A127" s="132">
        <v>310</v>
      </c>
      <c r="B127" s="132" t="s">
        <v>2021</v>
      </c>
      <c r="C127" s="132" t="s">
        <v>1242</v>
      </c>
      <c r="D127" s="132">
        <v>68.622894947099994</v>
      </c>
      <c r="E127" s="132">
        <v>-149.54328383999999</v>
      </c>
      <c r="F127" s="132" t="s">
        <v>1242</v>
      </c>
      <c r="G127" s="132" t="s">
        <v>1829</v>
      </c>
      <c r="H127" s="132" t="s">
        <v>2022</v>
      </c>
      <c r="I127" s="132" t="s">
        <v>2023</v>
      </c>
      <c r="J127" s="132" t="s">
        <v>1844</v>
      </c>
      <c r="K127" s="132" t="s">
        <v>1242</v>
      </c>
      <c r="L127" s="132" t="s">
        <v>1242</v>
      </c>
      <c r="M127" s="138" t="str">
        <f t="shared" si="1"/>
        <v>View on Google Map</v>
      </c>
    </row>
    <row r="128" spans="1:13">
      <c r="A128" s="132">
        <v>311</v>
      </c>
      <c r="B128" s="132" t="s">
        <v>2024</v>
      </c>
      <c r="C128" s="132" t="s">
        <v>1242</v>
      </c>
      <c r="D128" s="132">
        <v>68.623910828999996</v>
      </c>
      <c r="E128" s="132">
        <v>-149.53118563999999</v>
      </c>
      <c r="F128" s="132" t="s">
        <v>1242</v>
      </c>
      <c r="G128" s="132" t="s">
        <v>1829</v>
      </c>
      <c r="H128" s="132" t="s">
        <v>2025</v>
      </c>
      <c r="I128" s="132" t="s">
        <v>2026</v>
      </c>
      <c r="J128" s="132" t="s">
        <v>1844</v>
      </c>
      <c r="K128" s="132" t="s">
        <v>1242</v>
      </c>
      <c r="L128" s="132" t="s">
        <v>1242</v>
      </c>
      <c r="M128" s="138" t="str">
        <f t="shared" si="1"/>
        <v>View on Google Map</v>
      </c>
    </row>
    <row r="129" spans="1:13">
      <c r="A129" s="132">
        <v>312</v>
      </c>
      <c r="B129" s="132" t="s">
        <v>2027</v>
      </c>
      <c r="C129" s="132" t="s">
        <v>1242</v>
      </c>
      <c r="D129" s="132">
        <v>68.6277698106</v>
      </c>
      <c r="E129" s="132">
        <v>-149.497737003</v>
      </c>
      <c r="F129" s="132" t="s">
        <v>1242</v>
      </c>
      <c r="G129" s="132" t="s">
        <v>1829</v>
      </c>
      <c r="H129" s="132" t="s">
        <v>2028</v>
      </c>
      <c r="I129" s="132" t="s">
        <v>2029</v>
      </c>
      <c r="J129" s="132" t="s">
        <v>1844</v>
      </c>
      <c r="K129" s="132" t="s">
        <v>1242</v>
      </c>
      <c r="L129" s="132" t="s">
        <v>1242</v>
      </c>
      <c r="M129" s="138" t="str">
        <f t="shared" si="1"/>
        <v>View on Google Map</v>
      </c>
    </row>
    <row r="130" spans="1:13">
      <c r="A130" s="132">
        <v>145</v>
      </c>
      <c r="B130" s="132" t="s">
        <v>2030</v>
      </c>
      <c r="C130" s="132" t="s">
        <v>1242</v>
      </c>
      <c r="D130" s="132">
        <v>68.642611000000002</v>
      </c>
      <c r="E130" s="132">
        <v>-149.458079</v>
      </c>
      <c r="F130" s="132">
        <v>800</v>
      </c>
      <c r="G130" s="132" t="s">
        <v>1829</v>
      </c>
      <c r="H130" s="132" t="s">
        <v>2031</v>
      </c>
      <c r="I130" s="132" t="s">
        <v>2032</v>
      </c>
      <c r="J130" s="132" t="s">
        <v>1844</v>
      </c>
      <c r="K130" s="132" t="s">
        <v>1242</v>
      </c>
      <c r="L130" s="132" t="s">
        <v>1242</v>
      </c>
      <c r="M130" s="138" t="str">
        <f t="shared" si="1"/>
        <v>View on Google Map</v>
      </c>
    </row>
    <row r="131" spans="1:13">
      <c r="A131" s="132">
        <v>399</v>
      </c>
      <c r="B131" s="132" t="s">
        <v>2033</v>
      </c>
      <c r="C131" s="132" t="s">
        <v>1242</v>
      </c>
      <c r="D131" s="132">
        <v>68.643427058300006</v>
      </c>
      <c r="E131" s="132">
        <v>-149.44056459199999</v>
      </c>
      <c r="F131" s="132">
        <v>792</v>
      </c>
      <c r="G131" s="132" t="s">
        <v>1829</v>
      </c>
      <c r="H131" s="132" t="s">
        <v>2034</v>
      </c>
      <c r="I131" s="132" t="s">
        <v>2035</v>
      </c>
      <c r="J131" s="132" t="s">
        <v>1844</v>
      </c>
      <c r="K131" s="132" t="s">
        <v>1242</v>
      </c>
      <c r="L131" s="132" t="s">
        <v>1242</v>
      </c>
      <c r="M131" s="138" t="str">
        <f t="shared" ref="M131:M194" si="2">HYPERLINK("http://maps.google.com/maps?q="&amp;D131&amp;","&amp;E131,"View on Google Map")</f>
        <v>View on Google Map</v>
      </c>
    </row>
    <row r="132" spans="1:13">
      <c r="A132" s="132">
        <v>1605</v>
      </c>
      <c r="B132" s="132" t="s">
        <v>2036</v>
      </c>
      <c r="C132" s="132" t="s">
        <v>1242</v>
      </c>
      <c r="D132" s="132" t="s">
        <v>1242</v>
      </c>
      <c r="E132" s="132" t="s">
        <v>1242</v>
      </c>
      <c r="F132" s="132" t="s">
        <v>1242</v>
      </c>
      <c r="G132" s="132" t="s">
        <v>1843</v>
      </c>
      <c r="H132" s="132" t="s">
        <v>2037</v>
      </c>
      <c r="I132" s="132" t="s">
        <v>2038</v>
      </c>
      <c r="J132" s="132" t="s">
        <v>1844</v>
      </c>
      <c r="K132" s="132" t="s">
        <v>1242</v>
      </c>
      <c r="L132" s="132" t="s">
        <v>1242</v>
      </c>
      <c r="M132" s="138" t="str">
        <f t="shared" si="2"/>
        <v>View on Google Map</v>
      </c>
    </row>
    <row r="133" spans="1:13">
      <c r="A133" s="132">
        <v>1606</v>
      </c>
      <c r="B133" s="132" t="s">
        <v>2039</v>
      </c>
      <c r="C133" s="132" t="s">
        <v>1242</v>
      </c>
      <c r="D133" s="132" t="s">
        <v>1242</v>
      </c>
      <c r="E133" s="132" t="s">
        <v>1242</v>
      </c>
      <c r="F133" s="132" t="s">
        <v>1242</v>
      </c>
      <c r="G133" s="132" t="s">
        <v>1843</v>
      </c>
      <c r="H133" s="132" t="s">
        <v>2040</v>
      </c>
      <c r="I133" s="132" t="s">
        <v>2041</v>
      </c>
      <c r="J133" s="132" t="s">
        <v>1844</v>
      </c>
      <c r="K133" s="132" t="s">
        <v>1242</v>
      </c>
      <c r="L133" s="132" t="s">
        <v>1242</v>
      </c>
      <c r="M133" s="138" t="str">
        <f t="shared" si="2"/>
        <v>View on Google Map</v>
      </c>
    </row>
    <row r="134" spans="1:13">
      <c r="A134" s="132">
        <v>1604</v>
      </c>
      <c r="B134" s="132" t="s">
        <v>2042</v>
      </c>
      <c r="C134" s="132" t="s">
        <v>1242</v>
      </c>
      <c r="D134" s="132" t="s">
        <v>1242</v>
      </c>
      <c r="E134" s="132" t="s">
        <v>1242</v>
      </c>
      <c r="F134" s="132" t="s">
        <v>1242</v>
      </c>
      <c r="G134" s="132" t="s">
        <v>1843</v>
      </c>
      <c r="H134" s="132" t="s">
        <v>2043</v>
      </c>
      <c r="I134" s="132" t="s">
        <v>2044</v>
      </c>
      <c r="J134" s="132" t="s">
        <v>1844</v>
      </c>
      <c r="K134" s="132" t="s">
        <v>1242</v>
      </c>
      <c r="L134" s="132" t="s">
        <v>1242</v>
      </c>
      <c r="M134" s="138" t="str">
        <f t="shared" si="2"/>
        <v>View on Google Map</v>
      </c>
    </row>
    <row r="135" spans="1:13">
      <c r="A135" s="132">
        <v>24</v>
      </c>
      <c r="B135" s="132" t="s">
        <v>2045</v>
      </c>
      <c r="C135" s="132" t="s">
        <v>1242</v>
      </c>
      <c r="D135" s="132" t="s">
        <v>1242</v>
      </c>
      <c r="E135" s="132" t="s">
        <v>1242</v>
      </c>
      <c r="F135" s="132" t="s">
        <v>1242</v>
      </c>
      <c r="G135" s="132" t="s">
        <v>1843</v>
      </c>
      <c r="H135" s="132" t="s">
        <v>1242</v>
      </c>
      <c r="I135" s="132" t="s">
        <v>1242</v>
      </c>
      <c r="J135" s="132" t="s">
        <v>1844</v>
      </c>
      <c r="K135" s="132" t="s">
        <v>1242</v>
      </c>
      <c r="L135" s="132" t="s">
        <v>1242</v>
      </c>
      <c r="M135" s="138" t="str">
        <f t="shared" si="2"/>
        <v>View on Google Map</v>
      </c>
    </row>
    <row r="136" spans="1:13">
      <c r="A136" s="132">
        <v>143</v>
      </c>
      <c r="B136" s="132" t="s">
        <v>2046</v>
      </c>
      <c r="C136" s="132" t="s">
        <v>2047</v>
      </c>
      <c r="D136" s="132">
        <v>68.650000000000006</v>
      </c>
      <c r="E136" s="132">
        <v>-148.5</v>
      </c>
      <c r="F136" s="132">
        <v>525</v>
      </c>
      <c r="G136" s="132" t="s">
        <v>1829</v>
      </c>
      <c r="H136" s="132" t="s">
        <v>1242</v>
      </c>
      <c r="I136" s="132" t="s">
        <v>1242</v>
      </c>
      <c r="J136" s="132" t="s">
        <v>1844</v>
      </c>
      <c r="K136" s="132" t="s">
        <v>1242</v>
      </c>
      <c r="L136" s="132" t="s">
        <v>1845</v>
      </c>
      <c r="M136" s="138" t="str">
        <f t="shared" si="2"/>
        <v>View on Google Map</v>
      </c>
    </row>
    <row r="137" spans="1:13">
      <c r="A137" s="132">
        <v>464</v>
      </c>
      <c r="B137" s="132" t="s">
        <v>2048</v>
      </c>
      <c r="C137" s="132" t="s">
        <v>1242</v>
      </c>
      <c r="D137" s="132">
        <v>68.793719999999993</v>
      </c>
      <c r="E137" s="132">
        <v>-149.47560999999999</v>
      </c>
      <c r="F137" s="132">
        <v>702</v>
      </c>
      <c r="G137" s="132" t="s">
        <v>1829</v>
      </c>
      <c r="H137" s="132" t="s">
        <v>1242</v>
      </c>
      <c r="I137" s="132" t="s">
        <v>1242</v>
      </c>
      <c r="J137" s="132" t="s">
        <v>1830</v>
      </c>
      <c r="K137" s="132" t="s">
        <v>1242</v>
      </c>
      <c r="L137" s="132" t="s">
        <v>1242</v>
      </c>
      <c r="M137" s="138" t="str">
        <f t="shared" si="2"/>
        <v>View on Google Map</v>
      </c>
    </row>
    <row r="138" spans="1:13">
      <c r="A138" s="132">
        <v>465</v>
      </c>
      <c r="B138" s="132" t="s">
        <v>2049</v>
      </c>
      <c r="C138" s="132" t="s">
        <v>1242</v>
      </c>
      <c r="D138" s="132">
        <v>68.796220000000005</v>
      </c>
      <c r="E138" s="132">
        <v>-149.48222000000001</v>
      </c>
      <c r="F138" s="132">
        <v>698</v>
      </c>
      <c r="G138" s="132" t="s">
        <v>1829</v>
      </c>
      <c r="H138" s="132" t="s">
        <v>1242</v>
      </c>
      <c r="I138" s="132" t="s">
        <v>1242</v>
      </c>
      <c r="J138" s="132" t="s">
        <v>1830</v>
      </c>
      <c r="K138" s="132" t="s">
        <v>1242</v>
      </c>
      <c r="L138" s="132" t="s">
        <v>1242</v>
      </c>
      <c r="M138" s="138" t="str">
        <f t="shared" si="2"/>
        <v>View on Google Map</v>
      </c>
    </row>
    <row r="139" spans="1:13">
      <c r="A139" s="132">
        <v>466</v>
      </c>
      <c r="B139" s="132" t="s">
        <v>2050</v>
      </c>
      <c r="C139" s="132" t="s">
        <v>1242</v>
      </c>
      <c r="D139" s="132">
        <v>68.798249999999996</v>
      </c>
      <c r="E139" s="132">
        <v>-149.47832</v>
      </c>
      <c r="F139" s="132">
        <v>697</v>
      </c>
      <c r="G139" s="132" t="s">
        <v>1829</v>
      </c>
      <c r="H139" s="132" t="s">
        <v>1242</v>
      </c>
      <c r="I139" s="132" t="s">
        <v>1242</v>
      </c>
      <c r="J139" s="132" t="s">
        <v>1830</v>
      </c>
      <c r="K139" s="132" t="s">
        <v>1242</v>
      </c>
      <c r="L139" s="132" t="s">
        <v>1242</v>
      </c>
      <c r="M139" s="138" t="str">
        <f t="shared" si="2"/>
        <v>View on Google Map</v>
      </c>
    </row>
    <row r="140" spans="1:13">
      <c r="A140" s="132">
        <v>467</v>
      </c>
      <c r="B140" s="132" t="s">
        <v>2051</v>
      </c>
      <c r="C140" s="132" t="s">
        <v>1242</v>
      </c>
      <c r="D140" s="132">
        <v>68.794659999999993</v>
      </c>
      <c r="E140" s="132">
        <v>-149.46985000000001</v>
      </c>
      <c r="F140" s="132">
        <v>702</v>
      </c>
      <c r="G140" s="132" t="s">
        <v>1829</v>
      </c>
      <c r="H140" s="132" t="s">
        <v>1242</v>
      </c>
      <c r="I140" s="132" t="s">
        <v>1242</v>
      </c>
      <c r="J140" s="132" t="s">
        <v>1830</v>
      </c>
      <c r="K140" s="132" t="s">
        <v>1242</v>
      </c>
      <c r="L140" s="132" t="s">
        <v>1242</v>
      </c>
      <c r="M140" s="138" t="str">
        <f t="shared" si="2"/>
        <v>View on Google Map</v>
      </c>
    </row>
    <row r="141" spans="1:13">
      <c r="A141" s="132">
        <v>468</v>
      </c>
      <c r="B141" s="132" t="s">
        <v>2052</v>
      </c>
      <c r="C141" s="132" t="s">
        <v>1242</v>
      </c>
      <c r="D141" s="132">
        <v>68.797669999999997</v>
      </c>
      <c r="E141" s="132">
        <v>-149.46574000000001</v>
      </c>
      <c r="F141" s="132">
        <v>692</v>
      </c>
      <c r="G141" s="132" t="s">
        <v>1829</v>
      </c>
      <c r="H141" s="132" t="s">
        <v>1242</v>
      </c>
      <c r="I141" s="132" t="s">
        <v>1242</v>
      </c>
      <c r="J141" s="132" t="s">
        <v>1830</v>
      </c>
      <c r="K141" s="132" t="s">
        <v>1242</v>
      </c>
      <c r="L141" s="132" t="s">
        <v>1242</v>
      </c>
      <c r="M141" s="138" t="str">
        <f t="shared" si="2"/>
        <v>View on Google Map</v>
      </c>
    </row>
    <row r="142" spans="1:13">
      <c r="A142" s="132">
        <v>469</v>
      </c>
      <c r="B142" s="132" t="s">
        <v>2053</v>
      </c>
      <c r="C142" s="132" t="s">
        <v>1242</v>
      </c>
      <c r="D142" s="132">
        <v>68.802390000000003</v>
      </c>
      <c r="E142" s="132">
        <v>-149.46473</v>
      </c>
      <c r="F142" s="132">
        <v>683</v>
      </c>
      <c r="G142" s="132" t="s">
        <v>1829</v>
      </c>
      <c r="H142" s="132" t="s">
        <v>1242</v>
      </c>
      <c r="I142" s="132" t="s">
        <v>1242</v>
      </c>
      <c r="J142" s="132" t="s">
        <v>1830</v>
      </c>
      <c r="K142" s="132" t="s">
        <v>1242</v>
      </c>
      <c r="L142" s="132" t="s">
        <v>1242</v>
      </c>
      <c r="M142" s="138" t="str">
        <f t="shared" si="2"/>
        <v>View on Google Map</v>
      </c>
    </row>
    <row r="143" spans="1:13">
      <c r="A143" s="132">
        <v>406</v>
      </c>
      <c r="B143" s="132" t="s">
        <v>2054</v>
      </c>
      <c r="C143" s="132" t="s">
        <v>1242</v>
      </c>
      <c r="D143" s="132" t="s">
        <v>1242</v>
      </c>
      <c r="E143" s="132" t="s">
        <v>1242</v>
      </c>
      <c r="F143" s="132" t="s">
        <v>1242</v>
      </c>
      <c r="G143" s="132" t="s">
        <v>1829</v>
      </c>
      <c r="H143" s="132" t="s">
        <v>1242</v>
      </c>
      <c r="I143" s="132" t="s">
        <v>1242</v>
      </c>
      <c r="J143" s="132" t="s">
        <v>1844</v>
      </c>
      <c r="K143" s="132" t="s">
        <v>1242</v>
      </c>
      <c r="L143" s="132" t="s">
        <v>2000</v>
      </c>
      <c r="M143" s="138" t="str">
        <f t="shared" si="2"/>
        <v>View on Google Map</v>
      </c>
    </row>
    <row r="144" spans="1:13">
      <c r="A144" s="132">
        <v>407</v>
      </c>
      <c r="B144" s="132" t="s">
        <v>2055</v>
      </c>
      <c r="C144" s="132" t="s">
        <v>1242</v>
      </c>
      <c r="D144" s="132" t="s">
        <v>1242</v>
      </c>
      <c r="E144" s="132" t="s">
        <v>1242</v>
      </c>
      <c r="F144" s="132" t="s">
        <v>1242</v>
      </c>
      <c r="G144" s="132" t="s">
        <v>1829</v>
      </c>
      <c r="H144" s="132" t="s">
        <v>1242</v>
      </c>
      <c r="I144" s="132" t="s">
        <v>1242</v>
      </c>
      <c r="J144" s="132" t="s">
        <v>1844</v>
      </c>
      <c r="K144" s="132" t="s">
        <v>1242</v>
      </c>
      <c r="L144" s="132" t="s">
        <v>2000</v>
      </c>
      <c r="M144" s="138" t="str">
        <f t="shared" si="2"/>
        <v>View on Google Map</v>
      </c>
    </row>
    <row r="145" spans="1:13">
      <c r="A145" s="132">
        <v>164</v>
      </c>
      <c r="B145" s="132" t="s">
        <v>2056</v>
      </c>
      <c r="C145" s="132" t="s">
        <v>1242</v>
      </c>
      <c r="D145" s="132">
        <v>68.683333333333337</v>
      </c>
      <c r="E145" s="132">
        <v>-149.07666666666699</v>
      </c>
      <c r="F145" s="132">
        <v>770</v>
      </c>
      <c r="G145" s="132" t="s">
        <v>1829</v>
      </c>
      <c r="H145" s="132" t="s">
        <v>2057</v>
      </c>
      <c r="I145" s="132" t="s">
        <v>2058</v>
      </c>
      <c r="J145" s="132" t="s">
        <v>1844</v>
      </c>
      <c r="K145" s="132">
        <v>274</v>
      </c>
      <c r="L145" s="132" t="s">
        <v>1242</v>
      </c>
      <c r="M145" s="138" t="str">
        <f t="shared" si="2"/>
        <v>View on Google Map</v>
      </c>
    </row>
    <row r="146" spans="1:13">
      <c r="A146" s="132">
        <v>165</v>
      </c>
      <c r="B146" s="132" t="s">
        <v>2059</v>
      </c>
      <c r="C146" s="132" t="s">
        <v>1242</v>
      </c>
      <c r="D146" s="132">
        <v>68.683333333333337</v>
      </c>
      <c r="E146" s="132">
        <v>-149.1</v>
      </c>
      <c r="F146" s="132">
        <v>785</v>
      </c>
      <c r="G146" s="132" t="s">
        <v>1829</v>
      </c>
      <c r="H146" s="132" t="s">
        <v>2060</v>
      </c>
      <c r="I146" s="132" t="s">
        <v>2061</v>
      </c>
      <c r="J146" s="132" t="s">
        <v>1844</v>
      </c>
      <c r="K146" s="132">
        <v>275</v>
      </c>
      <c r="L146" s="132" t="s">
        <v>1242</v>
      </c>
      <c r="M146" s="138" t="str">
        <f t="shared" si="2"/>
        <v>View on Google Map</v>
      </c>
    </row>
    <row r="147" spans="1:13">
      <c r="A147" s="132">
        <v>166</v>
      </c>
      <c r="B147" s="132" t="s">
        <v>2062</v>
      </c>
      <c r="C147" s="132" t="s">
        <v>1242</v>
      </c>
      <c r="D147" s="132">
        <v>68.666666666666671</v>
      </c>
      <c r="E147" s="132">
        <v>-149.1</v>
      </c>
      <c r="F147" s="132">
        <v>792</v>
      </c>
      <c r="G147" s="132" t="s">
        <v>1829</v>
      </c>
      <c r="H147" s="132" t="s">
        <v>2063</v>
      </c>
      <c r="I147" s="132" t="s">
        <v>2064</v>
      </c>
      <c r="J147" s="132" t="s">
        <v>1844</v>
      </c>
      <c r="K147" s="132">
        <v>276</v>
      </c>
      <c r="L147" s="132" t="s">
        <v>1242</v>
      </c>
      <c r="M147" s="138" t="str">
        <f t="shared" si="2"/>
        <v>View on Google Map</v>
      </c>
    </row>
    <row r="148" spans="1:13">
      <c r="A148" s="132">
        <v>167</v>
      </c>
      <c r="B148" s="132" t="s">
        <v>2065</v>
      </c>
      <c r="C148" s="132" t="s">
        <v>1242</v>
      </c>
      <c r="D148" s="132">
        <v>68.680000000000007</v>
      </c>
      <c r="E148" s="132">
        <v>-149.071666666667</v>
      </c>
      <c r="F148" s="132">
        <v>754</v>
      </c>
      <c r="G148" s="132" t="s">
        <v>1829</v>
      </c>
      <c r="H148" s="132" t="s">
        <v>2066</v>
      </c>
      <c r="I148" s="132" t="s">
        <v>2067</v>
      </c>
      <c r="J148" s="132" t="s">
        <v>1844</v>
      </c>
      <c r="K148" s="132" t="s">
        <v>1242</v>
      </c>
      <c r="L148" s="132" t="s">
        <v>1242</v>
      </c>
      <c r="M148" s="138" t="str">
        <f t="shared" si="2"/>
        <v>View on Google Map</v>
      </c>
    </row>
    <row r="149" spans="1:13">
      <c r="A149" s="132">
        <v>168</v>
      </c>
      <c r="B149" s="132" t="s">
        <v>2068</v>
      </c>
      <c r="C149" s="132" t="s">
        <v>1242</v>
      </c>
      <c r="D149" s="132">
        <v>68.674999999999997</v>
      </c>
      <c r="E149" s="132">
        <v>-149.06</v>
      </c>
      <c r="F149" s="132" t="s">
        <v>1242</v>
      </c>
      <c r="G149" s="132" t="s">
        <v>1829</v>
      </c>
      <c r="H149" s="132" t="s">
        <v>2069</v>
      </c>
      <c r="I149" s="132" t="s">
        <v>2070</v>
      </c>
      <c r="J149" s="132" t="s">
        <v>1844</v>
      </c>
      <c r="K149" s="132" t="s">
        <v>1242</v>
      </c>
      <c r="L149" s="132" t="s">
        <v>1242</v>
      </c>
      <c r="M149" s="138" t="str">
        <f t="shared" si="2"/>
        <v>View on Google Map</v>
      </c>
    </row>
    <row r="150" spans="1:13">
      <c r="A150" s="132">
        <v>124</v>
      </c>
      <c r="B150" s="132" t="s">
        <v>2071</v>
      </c>
      <c r="C150" s="132" t="s">
        <v>1242</v>
      </c>
      <c r="D150" s="132">
        <v>68.466666666666669</v>
      </c>
      <c r="E150" s="132">
        <v>-149.5</v>
      </c>
      <c r="F150" s="132">
        <v>802</v>
      </c>
      <c r="G150" s="132" t="s">
        <v>1829</v>
      </c>
      <c r="H150" s="132" t="s">
        <v>2072</v>
      </c>
      <c r="I150" s="132" t="s">
        <v>1242</v>
      </c>
      <c r="J150" s="132" t="s">
        <v>1844</v>
      </c>
      <c r="K150" s="132" t="s">
        <v>1242</v>
      </c>
      <c r="L150" s="132" t="s">
        <v>1845</v>
      </c>
      <c r="M150" s="138" t="str">
        <f t="shared" si="2"/>
        <v>View on Google Map</v>
      </c>
    </row>
    <row r="151" spans="1:13">
      <c r="A151" s="132">
        <v>432</v>
      </c>
      <c r="B151" s="132" t="s">
        <v>2073</v>
      </c>
      <c r="C151" s="132" t="s">
        <v>1242</v>
      </c>
      <c r="D151" s="132" t="s">
        <v>1242</v>
      </c>
      <c r="E151" s="132" t="s">
        <v>1242</v>
      </c>
      <c r="F151" s="132">
        <v>800</v>
      </c>
      <c r="G151" s="132" t="s">
        <v>1829</v>
      </c>
      <c r="H151" s="132" t="s">
        <v>2074</v>
      </c>
      <c r="I151" s="132" t="s">
        <v>1242</v>
      </c>
      <c r="J151" s="132" t="s">
        <v>1844</v>
      </c>
      <c r="K151" s="132" t="s">
        <v>1242</v>
      </c>
      <c r="L151" s="132" t="s">
        <v>2075</v>
      </c>
      <c r="M151" s="138" t="str">
        <f t="shared" si="2"/>
        <v>View on Google Map</v>
      </c>
    </row>
    <row r="152" spans="1:13">
      <c r="A152" s="132">
        <v>433</v>
      </c>
      <c r="B152" s="132" t="s">
        <v>2076</v>
      </c>
      <c r="C152" s="132" t="s">
        <v>1242</v>
      </c>
      <c r="D152" s="132" t="s">
        <v>1242</v>
      </c>
      <c r="E152" s="132" t="s">
        <v>1242</v>
      </c>
      <c r="F152" s="132">
        <v>800</v>
      </c>
      <c r="G152" s="132" t="s">
        <v>1829</v>
      </c>
      <c r="H152" s="132" t="s">
        <v>2077</v>
      </c>
      <c r="I152" s="132" t="s">
        <v>1242</v>
      </c>
      <c r="J152" s="132" t="s">
        <v>1844</v>
      </c>
      <c r="K152" s="132" t="s">
        <v>1242</v>
      </c>
      <c r="L152" s="132" t="s">
        <v>2075</v>
      </c>
      <c r="M152" s="138" t="str">
        <f t="shared" si="2"/>
        <v>View on Google Map</v>
      </c>
    </row>
    <row r="153" spans="1:13">
      <c r="A153" s="132">
        <v>434</v>
      </c>
      <c r="B153" s="132" t="s">
        <v>2078</v>
      </c>
      <c r="C153" s="132" t="s">
        <v>1242</v>
      </c>
      <c r="D153" s="132" t="s">
        <v>1242</v>
      </c>
      <c r="E153" s="132" t="s">
        <v>1242</v>
      </c>
      <c r="F153" s="132">
        <v>801</v>
      </c>
      <c r="G153" s="132" t="s">
        <v>1829</v>
      </c>
      <c r="H153" s="132" t="s">
        <v>2079</v>
      </c>
      <c r="I153" s="132" t="s">
        <v>1242</v>
      </c>
      <c r="J153" s="132" t="s">
        <v>1844</v>
      </c>
      <c r="K153" s="132" t="s">
        <v>1242</v>
      </c>
      <c r="L153" s="132" t="s">
        <v>2075</v>
      </c>
      <c r="M153" s="138" t="str">
        <f t="shared" si="2"/>
        <v>View on Google Map</v>
      </c>
    </row>
    <row r="154" spans="1:13">
      <c r="A154" s="132">
        <v>435</v>
      </c>
      <c r="B154" s="132" t="s">
        <v>2080</v>
      </c>
      <c r="C154" s="132" t="s">
        <v>1242</v>
      </c>
      <c r="D154" s="132" t="s">
        <v>1242</v>
      </c>
      <c r="E154" s="132" t="s">
        <v>1242</v>
      </c>
      <c r="F154" s="132">
        <v>802</v>
      </c>
      <c r="G154" s="132" t="s">
        <v>1829</v>
      </c>
      <c r="H154" s="132" t="s">
        <v>2081</v>
      </c>
      <c r="I154" s="132" t="s">
        <v>1242</v>
      </c>
      <c r="J154" s="132" t="s">
        <v>1844</v>
      </c>
      <c r="K154" s="132" t="s">
        <v>1242</v>
      </c>
      <c r="L154" s="132" t="s">
        <v>2075</v>
      </c>
      <c r="M154" s="138" t="str">
        <f t="shared" si="2"/>
        <v>View on Google Map</v>
      </c>
    </row>
    <row r="155" spans="1:13">
      <c r="A155" s="132">
        <v>436</v>
      </c>
      <c r="B155" s="132" t="s">
        <v>2082</v>
      </c>
      <c r="C155" s="132" t="s">
        <v>1242</v>
      </c>
      <c r="D155" s="132" t="s">
        <v>1242</v>
      </c>
      <c r="E155" s="132" t="s">
        <v>1242</v>
      </c>
      <c r="F155" s="132">
        <v>803</v>
      </c>
      <c r="G155" s="132" t="s">
        <v>1829</v>
      </c>
      <c r="H155" s="132" t="s">
        <v>2083</v>
      </c>
      <c r="I155" s="132" t="s">
        <v>1242</v>
      </c>
      <c r="J155" s="132" t="s">
        <v>1844</v>
      </c>
      <c r="K155" s="132" t="s">
        <v>1242</v>
      </c>
      <c r="L155" s="132" t="s">
        <v>2075</v>
      </c>
      <c r="M155" s="138" t="str">
        <f t="shared" si="2"/>
        <v>View on Google Map</v>
      </c>
    </row>
    <row r="156" spans="1:13">
      <c r="A156" s="132">
        <v>437</v>
      </c>
      <c r="B156" s="132" t="s">
        <v>2084</v>
      </c>
      <c r="C156" s="132" t="s">
        <v>1242</v>
      </c>
      <c r="D156" s="132" t="s">
        <v>1242</v>
      </c>
      <c r="E156" s="132" t="s">
        <v>1242</v>
      </c>
      <c r="F156" s="132">
        <v>804</v>
      </c>
      <c r="G156" s="132" t="s">
        <v>1829</v>
      </c>
      <c r="H156" s="132" t="s">
        <v>2085</v>
      </c>
      <c r="I156" s="132" t="s">
        <v>1242</v>
      </c>
      <c r="J156" s="132" t="s">
        <v>1844</v>
      </c>
      <c r="K156" s="132" t="s">
        <v>1242</v>
      </c>
      <c r="L156" s="132" t="s">
        <v>2075</v>
      </c>
      <c r="M156" s="138" t="str">
        <f t="shared" si="2"/>
        <v>View on Google Map</v>
      </c>
    </row>
    <row r="157" spans="1:13">
      <c r="A157" s="132">
        <v>438</v>
      </c>
      <c r="B157" s="132" t="s">
        <v>2086</v>
      </c>
      <c r="C157" s="132" t="s">
        <v>1242</v>
      </c>
      <c r="D157" s="132" t="s">
        <v>1242</v>
      </c>
      <c r="E157" s="132" t="s">
        <v>1242</v>
      </c>
      <c r="F157" s="132">
        <v>805</v>
      </c>
      <c r="G157" s="132" t="s">
        <v>1829</v>
      </c>
      <c r="H157" s="132" t="s">
        <v>2087</v>
      </c>
      <c r="I157" s="132" t="s">
        <v>1242</v>
      </c>
      <c r="J157" s="132" t="s">
        <v>1844</v>
      </c>
      <c r="K157" s="132" t="s">
        <v>1242</v>
      </c>
      <c r="L157" s="132" t="s">
        <v>2075</v>
      </c>
      <c r="M157" s="138" t="str">
        <f t="shared" si="2"/>
        <v>View on Google Map</v>
      </c>
    </row>
    <row r="158" spans="1:13">
      <c r="A158" s="132">
        <v>439</v>
      </c>
      <c r="B158" s="132" t="s">
        <v>2088</v>
      </c>
      <c r="C158" s="132" t="s">
        <v>1242</v>
      </c>
      <c r="D158" s="132" t="s">
        <v>1242</v>
      </c>
      <c r="E158" s="132" t="s">
        <v>1242</v>
      </c>
      <c r="F158" s="132">
        <v>807</v>
      </c>
      <c r="G158" s="132" t="s">
        <v>1829</v>
      </c>
      <c r="H158" s="132" t="s">
        <v>2089</v>
      </c>
      <c r="I158" s="132" t="s">
        <v>1242</v>
      </c>
      <c r="J158" s="132" t="s">
        <v>1844</v>
      </c>
      <c r="K158" s="132" t="s">
        <v>1242</v>
      </c>
      <c r="L158" s="132" t="s">
        <v>2075</v>
      </c>
      <c r="M158" s="138" t="str">
        <f t="shared" si="2"/>
        <v>View on Google Map</v>
      </c>
    </row>
    <row r="159" spans="1:13">
      <c r="A159" s="132">
        <v>440</v>
      </c>
      <c r="B159" s="132" t="s">
        <v>2090</v>
      </c>
      <c r="C159" s="132" t="s">
        <v>1242</v>
      </c>
      <c r="D159" s="132" t="s">
        <v>1242</v>
      </c>
      <c r="E159" s="132" t="s">
        <v>1242</v>
      </c>
      <c r="F159" s="132">
        <v>805</v>
      </c>
      <c r="G159" s="132" t="s">
        <v>1829</v>
      </c>
      <c r="H159" s="132" t="s">
        <v>2091</v>
      </c>
      <c r="I159" s="132" t="s">
        <v>1242</v>
      </c>
      <c r="J159" s="132" t="s">
        <v>1844</v>
      </c>
      <c r="K159" s="132" t="s">
        <v>1242</v>
      </c>
      <c r="L159" s="132" t="s">
        <v>2075</v>
      </c>
      <c r="M159" s="138" t="str">
        <f t="shared" si="2"/>
        <v>View on Google Map</v>
      </c>
    </row>
    <row r="160" spans="1:13">
      <c r="A160" s="132">
        <v>441</v>
      </c>
      <c r="B160" s="132" t="s">
        <v>2092</v>
      </c>
      <c r="C160" s="132" t="s">
        <v>1242</v>
      </c>
      <c r="D160" s="132" t="s">
        <v>1242</v>
      </c>
      <c r="E160" s="132" t="s">
        <v>1242</v>
      </c>
      <c r="F160" s="132">
        <v>805</v>
      </c>
      <c r="G160" s="132" t="s">
        <v>1829</v>
      </c>
      <c r="H160" s="132" t="s">
        <v>2093</v>
      </c>
      <c r="I160" s="132" t="s">
        <v>1242</v>
      </c>
      <c r="J160" s="132" t="s">
        <v>1844</v>
      </c>
      <c r="K160" s="132" t="s">
        <v>1242</v>
      </c>
      <c r="L160" s="132" t="s">
        <v>2075</v>
      </c>
      <c r="M160" s="138" t="str">
        <f t="shared" si="2"/>
        <v>View on Google Map</v>
      </c>
    </row>
    <row r="161" spans="1:14">
      <c r="A161" s="132">
        <v>442</v>
      </c>
      <c r="B161" s="132" t="s">
        <v>2094</v>
      </c>
      <c r="C161" s="132" t="s">
        <v>1242</v>
      </c>
      <c r="D161" s="132" t="s">
        <v>1242</v>
      </c>
      <c r="E161" s="132" t="s">
        <v>1242</v>
      </c>
      <c r="F161" s="132">
        <v>805</v>
      </c>
      <c r="G161" s="132" t="s">
        <v>1829</v>
      </c>
      <c r="H161" s="132" t="s">
        <v>2095</v>
      </c>
      <c r="I161" s="132" t="s">
        <v>1242</v>
      </c>
      <c r="J161" s="132" t="s">
        <v>1844</v>
      </c>
      <c r="K161" s="132" t="s">
        <v>1242</v>
      </c>
      <c r="L161" s="132" t="s">
        <v>2075</v>
      </c>
      <c r="M161" s="138" t="str">
        <f t="shared" si="2"/>
        <v>View on Google Map</v>
      </c>
    </row>
    <row r="162" spans="1:14">
      <c r="A162" s="132">
        <v>443</v>
      </c>
      <c r="B162" s="132" t="s">
        <v>2096</v>
      </c>
      <c r="C162" s="132" t="s">
        <v>1242</v>
      </c>
      <c r="D162" s="132" t="s">
        <v>1242</v>
      </c>
      <c r="E162" s="132" t="s">
        <v>1242</v>
      </c>
      <c r="F162" s="132">
        <v>812</v>
      </c>
      <c r="G162" s="132" t="s">
        <v>1829</v>
      </c>
      <c r="H162" s="132" t="s">
        <v>2097</v>
      </c>
      <c r="I162" s="132" t="s">
        <v>1242</v>
      </c>
      <c r="J162" s="132" t="s">
        <v>1844</v>
      </c>
      <c r="K162" s="132" t="s">
        <v>1242</v>
      </c>
      <c r="L162" s="132" t="s">
        <v>2075</v>
      </c>
      <c r="M162" s="138" t="str">
        <f t="shared" si="2"/>
        <v>View on Google Map</v>
      </c>
    </row>
    <row r="163" spans="1:14">
      <c r="A163" s="132">
        <v>28</v>
      </c>
      <c r="B163" s="132" t="s">
        <v>2098</v>
      </c>
      <c r="C163" s="132" t="s">
        <v>1242</v>
      </c>
      <c r="D163" s="132" t="s">
        <v>1242</v>
      </c>
      <c r="E163" s="132" t="s">
        <v>1242</v>
      </c>
      <c r="F163" s="132">
        <v>1189</v>
      </c>
      <c r="G163" s="132" t="s">
        <v>1843</v>
      </c>
      <c r="H163" s="132" t="s">
        <v>2099</v>
      </c>
      <c r="I163" s="132" t="s">
        <v>1242</v>
      </c>
      <c r="J163" s="132" t="s">
        <v>1844</v>
      </c>
      <c r="K163" s="132" t="s">
        <v>1242</v>
      </c>
      <c r="L163" s="132" t="s">
        <v>1242</v>
      </c>
      <c r="M163" s="138" t="str">
        <f t="shared" si="2"/>
        <v>View on Google Map</v>
      </c>
    </row>
    <row r="164" spans="1:14">
      <c r="A164" s="132">
        <v>29</v>
      </c>
      <c r="B164" s="132" t="s">
        <v>2100</v>
      </c>
      <c r="C164" s="132" t="s">
        <v>1242</v>
      </c>
      <c r="D164" s="132" t="s">
        <v>1242</v>
      </c>
      <c r="E164" s="132" t="s">
        <v>1242</v>
      </c>
      <c r="F164" s="132">
        <v>1372</v>
      </c>
      <c r="G164" s="132" t="s">
        <v>1843</v>
      </c>
      <c r="H164" s="132" t="s">
        <v>2101</v>
      </c>
      <c r="I164" s="132" t="s">
        <v>1242</v>
      </c>
      <c r="J164" s="132" t="s">
        <v>1844</v>
      </c>
      <c r="K164" s="132" t="s">
        <v>1242</v>
      </c>
      <c r="L164" s="132" t="s">
        <v>1242</v>
      </c>
      <c r="M164" s="138" t="str">
        <f t="shared" si="2"/>
        <v>View on Google Map</v>
      </c>
    </row>
    <row r="165" spans="1:14">
      <c r="A165" s="132">
        <v>30</v>
      </c>
      <c r="B165" s="132" t="s">
        <v>2102</v>
      </c>
      <c r="C165" s="132" t="s">
        <v>1242</v>
      </c>
      <c r="D165" s="132" t="s">
        <v>1242</v>
      </c>
      <c r="E165" s="132" t="s">
        <v>1242</v>
      </c>
      <c r="F165" s="132">
        <v>1463</v>
      </c>
      <c r="G165" s="132" t="s">
        <v>1843</v>
      </c>
      <c r="H165" s="132" t="s">
        <v>2103</v>
      </c>
      <c r="I165" s="132" t="s">
        <v>1242</v>
      </c>
      <c r="J165" s="132" t="s">
        <v>1844</v>
      </c>
      <c r="K165" s="132" t="s">
        <v>1242</v>
      </c>
      <c r="L165" s="132" t="s">
        <v>1242</v>
      </c>
      <c r="M165" s="138" t="str">
        <f t="shared" si="2"/>
        <v>View on Google Map</v>
      </c>
    </row>
    <row r="166" spans="1:14">
      <c r="A166" s="132">
        <v>142</v>
      </c>
      <c r="B166" s="132" t="s">
        <v>2104</v>
      </c>
      <c r="C166" s="132" t="s">
        <v>2105</v>
      </c>
      <c r="D166" s="132">
        <v>68.53698</v>
      </c>
      <c r="E166" s="132">
        <v>-149.23740000000001</v>
      </c>
      <c r="F166" s="132">
        <v>883</v>
      </c>
      <c r="G166" s="132" t="s">
        <v>1829</v>
      </c>
      <c r="H166" s="132" t="s">
        <v>2106</v>
      </c>
      <c r="I166" s="132" t="s">
        <v>2107</v>
      </c>
      <c r="J166" s="132" t="s">
        <v>1844</v>
      </c>
      <c r="K166" s="132" t="s">
        <v>1242</v>
      </c>
      <c r="L166" s="132" t="s">
        <v>1845</v>
      </c>
      <c r="M166" s="138" t="str">
        <f t="shared" si="2"/>
        <v>View on Google Map</v>
      </c>
    </row>
    <row r="167" spans="1:14">
      <c r="A167" s="132">
        <v>416</v>
      </c>
      <c r="B167" s="132" t="s">
        <v>2108</v>
      </c>
      <c r="C167" s="132" t="s">
        <v>2109</v>
      </c>
      <c r="D167" s="132">
        <v>68.496079978500006</v>
      </c>
      <c r="E167" s="132">
        <v>-149.60215567200001</v>
      </c>
      <c r="F167" s="132">
        <v>938</v>
      </c>
      <c r="G167" s="132" t="s">
        <v>1829</v>
      </c>
      <c r="H167" s="132" t="s">
        <v>2110</v>
      </c>
      <c r="I167" s="132" t="s">
        <v>1242</v>
      </c>
      <c r="J167" s="132" t="s">
        <v>2111</v>
      </c>
      <c r="K167" s="132" t="s">
        <v>1242</v>
      </c>
      <c r="L167" s="132" t="s">
        <v>2112</v>
      </c>
      <c r="M167" s="138" t="str">
        <f t="shared" si="2"/>
        <v>View on Google Map</v>
      </c>
      <c r="N167" s="132">
        <f>VALUE(MID(B167,5,3))</f>
        <v>100</v>
      </c>
    </row>
    <row r="168" spans="1:14">
      <c r="A168" s="132">
        <v>417</v>
      </c>
      <c r="B168" s="132" t="s">
        <v>2113</v>
      </c>
      <c r="C168" s="132" t="s">
        <v>2114</v>
      </c>
      <c r="D168" s="132">
        <v>68.491641939700003</v>
      </c>
      <c r="E168" s="132">
        <v>-149.60743984699999</v>
      </c>
      <c r="F168" s="132">
        <v>937</v>
      </c>
      <c r="G168" s="132" t="s">
        <v>1829</v>
      </c>
      <c r="H168" s="132" t="s">
        <v>2115</v>
      </c>
      <c r="I168" s="132" t="s">
        <v>1242</v>
      </c>
      <c r="J168" s="132" t="s">
        <v>2111</v>
      </c>
      <c r="K168" s="132" t="s">
        <v>1242</v>
      </c>
      <c r="L168" s="132" t="s">
        <v>2112</v>
      </c>
      <c r="M168" s="138" t="str">
        <f t="shared" si="2"/>
        <v>View on Google Map</v>
      </c>
      <c r="N168" s="132">
        <f>VALUE(MID(B168,5,3))</f>
        <v>101</v>
      </c>
    </row>
    <row r="169" spans="1:14">
      <c r="A169" s="132">
        <v>418</v>
      </c>
      <c r="B169" s="132" t="s">
        <v>2116</v>
      </c>
      <c r="C169" s="132" t="s">
        <v>2117</v>
      </c>
      <c r="D169" s="132">
        <v>68.485971524799993</v>
      </c>
      <c r="E169" s="132">
        <v>-149.611957343</v>
      </c>
      <c r="F169" s="132">
        <v>936</v>
      </c>
      <c r="G169" s="132" t="s">
        <v>1829</v>
      </c>
      <c r="H169" s="132" t="s">
        <v>1242</v>
      </c>
      <c r="I169" s="132" t="s">
        <v>1242</v>
      </c>
      <c r="J169" s="132" t="s">
        <v>2111</v>
      </c>
      <c r="K169" s="132" t="s">
        <v>1242</v>
      </c>
      <c r="L169" s="132" t="s">
        <v>2112</v>
      </c>
      <c r="M169" s="138" t="str">
        <f t="shared" si="2"/>
        <v>View on Google Map</v>
      </c>
      <c r="N169" s="132">
        <f>VALUE(MID(B169,5,3))</f>
        <v>102</v>
      </c>
    </row>
    <row r="170" spans="1:14">
      <c r="A170" s="132">
        <v>419</v>
      </c>
      <c r="B170" s="132" t="s">
        <v>2118</v>
      </c>
      <c r="C170" s="132" t="s">
        <v>2119</v>
      </c>
      <c r="D170" s="132">
        <v>68.486418246300005</v>
      </c>
      <c r="E170" s="132">
        <v>-149.623539768</v>
      </c>
      <c r="F170" s="132">
        <v>934</v>
      </c>
      <c r="G170" s="132" t="s">
        <v>1829</v>
      </c>
      <c r="H170" s="132" t="s">
        <v>2120</v>
      </c>
      <c r="I170" s="132" t="s">
        <v>1242</v>
      </c>
      <c r="J170" s="132" t="s">
        <v>2111</v>
      </c>
      <c r="K170" s="132" t="s">
        <v>1242</v>
      </c>
      <c r="L170" s="132" t="s">
        <v>2112</v>
      </c>
      <c r="M170" s="138" t="str">
        <f t="shared" si="2"/>
        <v>View on Google Map</v>
      </c>
      <c r="N170" s="132">
        <f>VALUE(MID(B170,5,3))</f>
        <v>103</v>
      </c>
    </row>
    <row r="171" spans="1:14">
      <c r="A171" s="132">
        <v>420</v>
      </c>
      <c r="B171" s="132" t="s">
        <v>2121</v>
      </c>
      <c r="C171" s="132" t="s">
        <v>2122</v>
      </c>
      <c r="D171" s="132">
        <v>68.480358182399996</v>
      </c>
      <c r="E171" s="132">
        <v>-149.621808276</v>
      </c>
      <c r="F171" s="132" t="s">
        <v>1242</v>
      </c>
      <c r="G171" s="132" t="s">
        <v>1829</v>
      </c>
      <c r="H171" s="132" t="s">
        <v>2121</v>
      </c>
      <c r="I171" s="132" t="s">
        <v>1242</v>
      </c>
      <c r="J171" s="132" t="s">
        <v>2111</v>
      </c>
      <c r="K171" s="132" t="s">
        <v>1242</v>
      </c>
      <c r="L171" s="132" t="s">
        <v>2112</v>
      </c>
      <c r="M171" s="138" t="str">
        <f t="shared" si="2"/>
        <v>View on Google Map</v>
      </c>
      <c r="N171" s="132">
        <f t="shared" ref="N171:N198" si="3">VALUE(MID(H171,5,3))</f>
        <v>104</v>
      </c>
    </row>
    <row r="172" spans="1:14">
      <c r="A172" s="132">
        <v>421</v>
      </c>
      <c r="B172" s="132" t="s">
        <v>2123</v>
      </c>
      <c r="C172" s="132" t="s">
        <v>2124</v>
      </c>
      <c r="D172" s="132">
        <v>68.487163894299997</v>
      </c>
      <c r="E172" s="132">
        <v>-149.57470926400001</v>
      </c>
      <c r="F172" s="132" t="s">
        <v>1242</v>
      </c>
      <c r="G172" s="132" t="s">
        <v>1829</v>
      </c>
      <c r="H172" s="132" t="s">
        <v>2123</v>
      </c>
      <c r="I172" s="132" t="s">
        <v>1242</v>
      </c>
      <c r="J172" s="132" t="s">
        <v>2111</v>
      </c>
      <c r="K172" s="132" t="s">
        <v>1242</v>
      </c>
      <c r="L172" s="132" t="s">
        <v>2112</v>
      </c>
      <c r="M172" s="138" t="str">
        <f t="shared" si="2"/>
        <v>View on Google Map</v>
      </c>
      <c r="N172" s="132">
        <f t="shared" si="3"/>
        <v>105</v>
      </c>
    </row>
    <row r="173" spans="1:14">
      <c r="A173" s="132">
        <v>422</v>
      </c>
      <c r="B173" s="132" t="s">
        <v>2125</v>
      </c>
      <c r="C173" s="132" t="s">
        <v>2126</v>
      </c>
      <c r="D173" s="132">
        <v>68.482007853900001</v>
      </c>
      <c r="E173" s="132">
        <v>-149.57357543099999</v>
      </c>
      <c r="F173" s="132" t="s">
        <v>1242</v>
      </c>
      <c r="G173" s="132" t="s">
        <v>1829</v>
      </c>
      <c r="H173" s="132" t="s">
        <v>2125</v>
      </c>
      <c r="I173" s="132" t="s">
        <v>1242</v>
      </c>
      <c r="J173" s="132" t="s">
        <v>2111</v>
      </c>
      <c r="K173" s="132" t="s">
        <v>1242</v>
      </c>
      <c r="L173" s="132" t="s">
        <v>2112</v>
      </c>
      <c r="M173" s="138" t="str">
        <f t="shared" si="2"/>
        <v>View on Google Map</v>
      </c>
      <c r="N173" s="132">
        <f t="shared" si="3"/>
        <v>106</v>
      </c>
    </row>
    <row r="174" spans="1:14">
      <c r="A174" s="132">
        <v>423</v>
      </c>
      <c r="B174" s="132" t="s">
        <v>2127</v>
      </c>
      <c r="C174" s="132" t="s">
        <v>2128</v>
      </c>
      <c r="D174" s="132">
        <v>68.480117783099999</v>
      </c>
      <c r="E174" s="132">
        <v>-149.553733964</v>
      </c>
      <c r="F174" s="132" t="s">
        <v>1242</v>
      </c>
      <c r="G174" s="132" t="s">
        <v>1829</v>
      </c>
      <c r="H174" s="132" t="s">
        <v>2127</v>
      </c>
      <c r="I174" s="132" t="s">
        <v>1242</v>
      </c>
      <c r="J174" s="132" t="s">
        <v>2111</v>
      </c>
      <c r="K174" s="132" t="s">
        <v>1242</v>
      </c>
      <c r="L174" s="132" t="s">
        <v>2112</v>
      </c>
      <c r="M174" s="138" t="str">
        <f t="shared" si="2"/>
        <v>View on Google Map</v>
      </c>
      <c r="N174" s="132">
        <f t="shared" si="3"/>
        <v>107</v>
      </c>
    </row>
    <row r="175" spans="1:14">
      <c r="A175" s="132">
        <v>424</v>
      </c>
      <c r="B175" s="132" t="s">
        <v>2129</v>
      </c>
      <c r="C175" s="132" t="s">
        <v>2130</v>
      </c>
      <c r="D175" s="132">
        <v>68.553470657600002</v>
      </c>
      <c r="E175" s="132">
        <v>-149.16702515599999</v>
      </c>
      <c r="F175" s="132" t="s">
        <v>1242</v>
      </c>
      <c r="G175" s="132" t="s">
        <v>1829</v>
      </c>
      <c r="H175" s="132" t="s">
        <v>2129</v>
      </c>
      <c r="I175" s="132" t="s">
        <v>1242</v>
      </c>
      <c r="J175" s="132" t="s">
        <v>2111</v>
      </c>
      <c r="K175" s="132" t="s">
        <v>1242</v>
      </c>
      <c r="L175" s="132" t="s">
        <v>2112</v>
      </c>
      <c r="M175" s="138" t="str">
        <f t="shared" si="2"/>
        <v>View on Google Map</v>
      </c>
      <c r="N175" s="132">
        <f t="shared" si="3"/>
        <v>108</v>
      </c>
    </row>
    <row r="176" spans="1:14">
      <c r="A176" s="132">
        <v>425</v>
      </c>
      <c r="B176" s="132" t="s">
        <v>2131</v>
      </c>
      <c r="C176" s="132" t="s">
        <v>2132</v>
      </c>
      <c r="D176" s="132">
        <v>68.557082457700005</v>
      </c>
      <c r="E176" s="132">
        <v>-149.154445686</v>
      </c>
      <c r="F176" s="132" t="s">
        <v>1242</v>
      </c>
      <c r="G176" s="132" t="s">
        <v>1829</v>
      </c>
      <c r="H176" s="132" t="s">
        <v>2131</v>
      </c>
      <c r="I176" s="132" t="s">
        <v>1242</v>
      </c>
      <c r="J176" s="132" t="s">
        <v>2111</v>
      </c>
      <c r="K176" s="132" t="s">
        <v>1242</v>
      </c>
      <c r="L176" s="132" t="s">
        <v>2112</v>
      </c>
      <c r="M176" s="138" t="str">
        <f t="shared" si="2"/>
        <v>View on Google Map</v>
      </c>
      <c r="N176" s="132">
        <f t="shared" si="3"/>
        <v>109</v>
      </c>
    </row>
    <row r="177" spans="1:14">
      <c r="A177" s="132">
        <v>426</v>
      </c>
      <c r="B177" s="132" t="s">
        <v>2133</v>
      </c>
      <c r="C177" s="132" t="s">
        <v>2134</v>
      </c>
      <c r="D177" s="132">
        <v>68.732874005799999</v>
      </c>
      <c r="E177" s="132">
        <v>-149.401461627</v>
      </c>
      <c r="F177" s="132" t="s">
        <v>1242</v>
      </c>
      <c r="G177" s="132" t="s">
        <v>1829</v>
      </c>
      <c r="H177" s="132" t="s">
        <v>2133</v>
      </c>
      <c r="I177" s="132" t="s">
        <v>1242</v>
      </c>
      <c r="J177" s="132" t="s">
        <v>2111</v>
      </c>
      <c r="K177" s="132" t="s">
        <v>1242</v>
      </c>
      <c r="L177" s="132" t="s">
        <v>2112</v>
      </c>
      <c r="M177" s="138" t="str">
        <f t="shared" si="2"/>
        <v>View on Google Map</v>
      </c>
      <c r="N177" s="132">
        <f t="shared" si="3"/>
        <v>110</v>
      </c>
    </row>
    <row r="178" spans="1:14">
      <c r="A178" s="132">
        <v>427</v>
      </c>
      <c r="B178" s="132" t="s">
        <v>2135</v>
      </c>
      <c r="C178" s="132" t="s">
        <v>2136</v>
      </c>
      <c r="D178" s="132">
        <v>68.728437910899999</v>
      </c>
      <c r="E178" s="132">
        <v>-149.39298449200001</v>
      </c>
      <c r="F178" s="132" t="s">
        <v>1242</v>
      </c>
      <c r="G178" s="132" t="s">
        <v>1829</v>
      </c>
      <c r="H178" s="132" t="s">
        <v>2135</v>
      </c>
      <c r="I178" s="132" t="s">
        <v>1242</v>
      </c>
      <c r="J178" s="132" t="s">
        <v>2111</v>
      </c>
      <c r="K178" s="132" t="s">
        <v>1242</v>
      </c>
      <c r="L178" s="132" t="s">
        <v>2112</v>
      </c>
      <c r="M178" s="138" t="str">
        <f t="shared" si="2"/>
        <v>View on Google Map</v>
      </c>
      <c r="N178" s="132">
        <f t="shared" si="3"/>
        <v>111</v>
      </c>
    </row>
    <row r="179" spans="1:14">
      <c r="A179" s="132">
        <v>428</v>
      </c>
      <c r="B179" s="132" t="s">
        <v>2137</v>
      </c>
      <c r="C179" s="132" t="s">
        <v>2138</v>
      </c>
      <c r="D179" s="132">
        <v>68.671908805499996</v>
      </c>
      <c r="E179" s="132">
        <v>-149.24817348299999</v>
      </c>
      <c r="F179" s="132" t="s">
        <v>1242</v>
      </c>
      <c r="G179" s="132" t="s">
        <v>1829</v>
      </c>
      <c r="H179" s="132" t="s">
        <v>2137</v>
      </c>
      <c r="I179" s="132" t="s">
        <v>1242</v>
      </c>
      <c r="J179" s="132" t="s">
        <v>2111</v>
      </c>
      <c r="K179" s="132" t="s">
        <v>1242</v>
      </c>
      <c r="L179" s="132" t="s">
        <v>2112</v>
      </c>
      <c r="M179" s="138" t="str">
        <f t="shared" si="2"/>
        <v>View on Google Map</v>
      </c>
      <c r="N179" s="132">
        <f t="shared" si="3"/>
        <v>112</v>
      </c>
    </row>
    <row r="180" spans="1:14">
      <c r="A180" s="132">
        <v>429</v>
      </c>
      <c r="B180" s="132" t="s">
        <v>2139</v>
      </c>
      <c r="C180" s="132" t="s">
        <v>2140</v>
      </c>
      <c r="D180" s="132">
        <v>68.679427639400004</v>
      </c>
      <c r="E180" s="132">
        <v>-149.23947084900001</v>
      </c>
      <c r="F180" s="132" t="s">
        <v>1242</v>
      </c>
      <c r="G180" s="132" t="s">
        <v>1829</v>
      </c>
      <c r="H180" s="132" t="s">
        <v>2139</v>
      </c>
      <c r="I180" s="132" t="s">
        <v>1242</v>
      </c>
      <c r="J180" s="132" t="s">
        <v>2111</v>
      </c>
      <c r="K180" s="132" t="s">
        <v>1242</v>
      </c>
      <c r="L180" s="132" t="s">
        <v>2112</v>
      </c>
      <c r="M180" s="138" t="str">
        <f t="shared" si="2"/>
        <v>View on Google Map</v>
      </c>
      <c r="N180" s="132">
        <f t="shared" si="3"/>
        <v>113</v>
      </c>
    </row>
    <row r="181" spans="1:14">
      <c r="A181" s="132">
        <v>430</v>
      </c>
      <c r="B181" s="132" t="s">
        <v>2141</v>
      </c>
      <c r="C181" s="132" t="s">
        <v>2142</v>
      </c>
      <c r="D181" s="132">
        <v>68.679424428600001</v>
      </c>
      <c r="E181" s="132">
        <v>-149.22969695099999</v>
      </c>
      <c r="F181" s="132" t="s">
        <v>1242</v>
      </c>
      <c r="G181" s="132" t="s">
        <v>1829</v>
      </c>
      <c r="H181" s="132" t="s">
        <v>2141</v>
      </c>
      <c r="I181" s="132" t="s">
        <v>1242</v>
      </c>
      <c r="J181" s="132" t="s">
        <v>2111</v>
      </c>
      <c r="K181" s="132" t="s">
        <v>1242</v>
      </c>
      <c r="L181" s="132" t="s">
        <v>2112</v>
      </c>
      <c r="M181" s="138" t="str">
        <f t="shared" si="2"/>
        <v>View on Google Map</v>
      </c>
      <c r="N181" s="132">
        <f t="shared" si="3"/>
        <v>114</v>
      </c>
    </row>
    <row r="182" spans="1:14">
      <c r="A182" s="132">
        <v>398</v>
      </c>
      <c r="B182" s="132" t="s">
        <v>2143</v>
      </c>
      <c r="C182" s="132" t="s">
        <v>2144</v>
      </c>
      <c r="D182" s="132">
        <v>68.569791782099998</v>
      </c>
      <c r="E182" s="132">
        <v>-149.43938491</v>
      </c>
      <c r="F182" s="132" t="s">
        <v>1242</v>
      </c>
      <c r="G182" s="132" t="s">
        <v>1829</v>
      </c>
      <c r="H182" s="132" t="s">
        <v>2143</v>
      </c>
      <c r="I182" s="132" t="s">
        <v>1242</v>
      </c>
      <c r="J182" s="132" t="s">
        <v>2111</v>
      </c>
      <c r="K182" s="132" t="s">
        <v>1242</v>
      </c>
      <c r="L182" s="132" t="s">
        <v>2112</v>
      </c>
      <c r="M182" s="138" t="str">
        <f t="shared" si="2"/>
        <v>View on Google Map</v>
      </c>
      <c r="N182" s="132">
        <f t="shared" si="3"/>
        <v>82</v>
      </c>
    </row>
    <row r="183" spans="1:14">
      <c r="A183" s="132">
        <v>389</v>
      </c>
      <c r="B183" s="132" t="s">
        <v>2145</v>
      </c>
      <c r="C183" s="132" t="s">
        <v>2146</v>
      </c>
      <c r="D183" s="132">
        <v>68.568883214500005</v>
      </c>
      <c r="E183" s="132">
        <v>-149.432996798</v>
      </c>
      <c r="F183" s="132" t="s">
        <v>1242</v>
      </c>
      <c r="G183" s="132" t="s">
        <v>1829</v>
      </c>
      <c r="H183" s="132" t="s">
        <v>2145</v>
      </c>
      <c r="I183" s="132" t="s">
        <v>1242</v>
      </c>
      <c r="J183" s="132" t="s">
        <v>2111</v>
      </c>
      <c r="K183" s="132" t="s">
        <v>1242</v>
      </c>
      <c r="L183" s="132" t="s">
        <v>2112</v>
      </c>
      <c r="M183" s="138" t="str">
        <f t="shared" si="2"/>
        <v>View on Google Map</v>
      </c>
      <c r="N183" s="132">
        <f t="shared" si="3"/>
        <v>83</v>
      </c>
    </row>
    <row r="184" spans="1:14">
      <c r="A184" s="132">
        <v>390</v>
      </c>
      <c r="B184" s="132" t="s">
        <v>2147</v>
      </c>
      <c r="C184" s="132" t="s">
        <v>2148</v>
      </c>
      <c r="D184" s="132">
        <v>68.571446755099998</v>
      </c>
      <c r="E184" s="132">
        <v>-149.43614776499999</v>
      </c>
      <c r="F184" s="132" t="s">
        <v>1242</v>
      </c>
      <c r="G184" s="132" t="s">
        <v>1829</v>
      </c>
      <c r="H184" s="132" t="s">
        <v>2147</v>
      </c>
      <c r="I184" s="132" t="s">
        <v>1242</v>
      </c>
      <c r="J184" s="132" t="s">
        <v>2111</v>
      </c>
      <c r="K184" s="132" t="s">
        <v>1242</v>
      </c>
      <c r="L184" s="132" t="s">
        <v>2112</v>
      </c>
      <c r="M184" s="138" t="str">
        <f t="shared" si="2"/>
        <v>View on Google Map</v>
      </c>
      <c r="N184" s="132">
        <f t="shared" si="3"/>
        <v>84</v>
      </c>
    </row>
    <row r="185" spans="1:14">
      <c r="A185" s="132">
        <v>391</v>
      </c>
      <c r="B185" s="132" t="s">
        <v>2149</v>
      </c>
      <c r="C185" s="132" t="s">
        <v>2150</v>
      </c>
      <c r="D185" s="132">
        <v>68.600419015400007</v>
      </c>
      <c r="E185" s="132">
        <v>-149.438677388</v>
      </c>
      <c r="F185" s="132" t="s">
        <v>1242</v>
      </c>
      <c r="G185" s="132" t="s">
        <v>1829</v>
      </c>
      <c r="H185" s="132" t="s">
        <v>2149</v>
      </c>
      <c r="I185" s="132" t="s">
        <v>1242</v>
      </c>
      <c r="J185" s="132" t="s">
        <v>2111</v>
      </c>
      <c r="K185" s="132" t="s">
        <v>1242</v>
      </c>
      <c r="L185" s="132" t="s">
        <v>2112</v>
      </c>
      <c r="M185" s="138" t="str">
        <f t="shared" si="2"/>
        <v>View on Google Map</v>
      </c>
      <c r="N185" s="132">
        <f t="shared" si="3"/>
        <v>85</v>
      </c>
    </row>
    <row r="186" spans="1:14">
      <c r="A186" s="132">
        <v>392</v>
      </c>
      <c r="B186" s="132" t="s">
        <v>2151</v>
      </c>
      <c r="C186" s="132" t="s">
        <v>2152</v>
      </c>
      <c r="D186" s="132">
        <v>68.632424610200005</v>
      </c>
      <c r="E186" s="132">
        <v>-149.41874062799999</v>
      </c>
      <c r="F186" s="132" t="s">
        <v>1242</v>
      </c>
      <c r="G186" s="132" t="s">
        <v>1829</v>
      </c>
      <c r="H186" s="132" t="s">
        <v>2151</v>
      </c>
      <c r="I186" s="132" t="s">
        <v>1242</v>
      </c>
      <c r="J186" s="132" t="s">
        <v>2111</v>
      </c>
      <c r="K186" s="132" t="s">
        <v>1242</v>
      </c>
      <c r="L186" s="132" t="s">
        <v>2112</v>
      </c>
      <c r="M186" s="138" t="str">
        <f t="shared" si="2"/>
        <v>View on Google Map</v>
      </c>
      <c r="N186" s="132">
        <f t="shared" si="3"/>
        <v>86</v>
      </c>
    </row>
    <row r="187" spans="1:14">
      <c r="A187" s="132">
        <v>393</v>
      </c>
      <c r="B187" s="132" t="s">
        <v>2153</v>
      </c>
      <c r="C187" s="132" t="s">
        <v>2154</v>
      </c>
      <c r="D187" s="132">
        <v>68.505704965899994</v>
      </c>
      <c r="E187" s="132">
        <v>-149.516276081</v>
      </c>
      <c r="F187" s="132" t="s">
        <v>1242</v>
      </c>
      <c r="G187" s="132" t="s">
        <v>1829</v>
      </c>
      <c r="H187" s="132" t="s">
        <v>2153</v>
      </c>
      <c r="I187" s="132" t="s">
        <v>1242</v>
      </c>
      <c r="J187" s="132" t="s">
        <v>2111</v>
      </c>
      <c r="K187" s="132" t="s">
        <v>1242</v>
      </c>
      <c r="L187" s="132" t="s">
        <v>2112</v>
      </c>
      <c r="M187" s="138" t="str">
        <f t="shared" si="2"/>
        <v>View on Google Map</v>
      </c>
      <c r="N187" s="132">
        <f t="shared" si="3"/>
        <v>87</v>
      </c>
    </row>
    <row r="188" spans="1:14">
      <c r="A188" s="132">
        <v>394</v>
      </c>
      <c r="B188" s="132" t="s">
        <v>2155</v>
      </c>
      <c r="C188" s="132" t="s">
        <v>2156</v>
      </c>
      <c r="D188" s="132">
        <v>68.509234808599999</v>
      </c>
      <c r="E188" s="132">
        <v>-149.58917678500001</v>
      </c>
      <c r="F188" s="132" t="s">
        <v>1242</v>
      </c>
      <c r="G188" s="132" t="s">
        <v>1829</v>
      </c>
      <c r="H188" s="132" t="s">
        <v>2155</v>
      </c>
      <c r="I188" s="132" t="s">
        <v>1242</v>
      </c>
      <c r="J188" s="132" t="s">
        <v>2111</v>
      </c>
      <c r="K188" s="132" t="s">
        <v>1242</v>
      </c>
      <c r="L188" s="132" t="s">
        <v>2112</v>
      </c>
      <c r="M188" s="138" t="str">
        <f t="shared" si="2"/>
        <v>View on Google Map</v>
      </c>
      <c r="N188" s="132">
        <f t="shared" si="3"/>
        <v>88</v>
      </c>
    </row>
    <row r="189" spans="1:14">
      <c r="A189" s="132">
        <v>395</v>
      </c>
      <c r="B189" s="132" t="s">
        <v>2157</v>
      </c>
      <c r="C189" s="132" t="s">
        <v>2158</v>
      </c>
      <c r="D189" s="132">
        <v>68.525650531300002</v>
      </c>
      <c r="E189" s="132">
        <v>-149.54161982299999</v>
      </c>
      <c r="F189" s="132" t="s">
        <v>1242</v>
      </c>
      <c r="G189" s="132" t="s">
        <v>1829</v>
      </c>
      <c r="H189" s="132" t="s">
        <v>2157</v>
      </c>
      <c r="I189" s="132" t="s">
        <v>1242</v>
      </c>
      <c r="J189" s="132" t="s">
        <v>2111</v>
      </c>
      <c r="K189" s="132" t="s">
        <v>1242</v>
      </c>
      <c r="L189" s="132" t="s">
        <v>2112</v>
      </c>
      <c r="M189" s="138" t="str">
        <f t="shared" si="2"/>
        <v>View on Google Map</v>
      </c>
      <c r="N189" s="132">
        <f t="shared" si="3"/>
        <v>89</v>
      </c>
    </row>
    <row r="190" spans="1:14">
      <c r="A190" s="132">
        <v>396</v>
      </c>
      <c r="B190" s="132" t="s">
        <v>2159</v>
      </c>
      <c r="C190" s="132" t="s">
        <v>2160</v>
      </c>
      <c r="D190" s="132">
        <v>68.531020060399996</v>
      </c>
      <c r="E190" s="132">
        <v>-149.54062336999999</v>
      </c>
      <c r="F190" s="132" t="s">
        <v>1242</v>
      </c>
      <c r="G190" s="132" t="s">
        <v>1829</v>
      </c>
      <c r="H190" s="132" t="s">
        <v>2159</v>
      </c>
      <c r="I190" s="132" t="s">
        <v>1242</v>
      </c>
      <c r="J190" s="132" t="s">
        <v>2111</v>
      </c>
      <c r="K190" s="132" t="s">
        <v>1242</v>
      </c>
      <c r="L190" s="132" t="s">
        <v>2112</v>
      </c>
      <c r="M190" s="138" t="str">
        <f t="shared" si="2"/>
        <v>View on Google Map</v>
      </c>
      <c r="N190" s="132">
        <f t="shared" si="3"/>
        <v>90</v>
      </c>
    </row>
    <row r="191" spans="1:14">
      <c r="A191" s="132">
        <v>397</v>
      </c>
      <c r="B191" s="132" t="s">
        <v>2161</v>
      </c>
      <c r="C191" s="132" t="s">
        <v>2162</v>
      </c>
      <c r="D191" s="132">
        <v>68.623892844400004</v>
      </c>
      <c r="E191" s="132">
        <v>-149.46955988600001</v>
      </c>
      <c r="F191" s="132" t="s">
        <v>1242</v>
      </c>
      <c r="G191" s="132" t="s">
        <v>1829</v>
      </c>
      <c r="H191" s="132" t="s">
        <v>2161</v>
      </c>
      <c r="I191" s="132" t="s">
        <v>1242</v>
      </c>
      <c r="J191" s="132" t="s">
        <v>2111</v>
      </c>
      <c r="K191" s="132" t="s">
        <v>1242</v>
      </c>
      <c r="L191" s="132" t="s">
        <v>2112</v>
      </c>
      <c r="M191" s="138" t="str">
        <f t="shared" si="2"/>
        <v>View on Google Map</v>
      </c>
      <c r="N191" s="132">
        <f t="shared" si="3"/>
        <v>91</v>
      </c>
    </row>
    <row r="192" spans="1:14">
      <c r="A192" s="132">
        <v>408</v>
      </c>
      <c r="B192" s="132" t="s">
        <v>2163</v>
      </c>
      <c r="C192" s="132" t="s">
        <v>2164</v>
      </c>
      <c r="D192" s="132">
        <v>68.606945965400001</v>
      </c>
      <c r="E192" s="132">
        <v>-149.195806014</v>
      </c>
      <c r="F192" s="132" t="s">
        <v>1242</v>
      </c>
      <c r="G192" s="132" t="s">
        <v>1829</v>
      </c>
      <c r="H192" s="132" t="s">
        <v>2163</v>
      </c>
      <c r="I192" s="132" t="s">
        <v>1242</v>
      </c>
      <c r="J192" s="132" t="s">
        <v>2111</v>
      </c>
      <c r="K192" s="132" t="s">
        <v>1242</v>
      </c>
      <c r="L192" s="132" t="s">
        <v>2112</v>
      </c>
      <c r="M192" s="138" t="str">
        <f t="shared" si="2"/>
        <v>View on Google Map</v>
      </c>
      <c r="N192" s="132">
        <f t="shared" si="3"/>
        <v>92</v>
      </c>
    </row>
    <row r="193" spans="1:14">
      <c r="A193" s="132">
        <v>409</v>
      </c>
      <c r="B193" s="132" t="s">
        <v>2165</v>
      </c>
      <c r="C193" s="132" t="s">
        <v>2166</v>
      </c>
      <c r="D193" s="132">
        <v>68.613688053999994</v>
      </c>
      <c r="E193" s="132">
        <v>-149.20287565500001</v>
      </c>
      <c r="F193" s="132" t="s">
        <v>1242</v>
      </c>
      <c r="G193" s="132" t="s">
        <v>1829</v>
      </c>
      <c r="H193" s="132" t="s">
        <v>2165</v>
      </c>
      <c r="I193" s="132" t="s">
        <v>1242</v>
      </c>
      <c r="J193" s="132" t="s">
        <v>2111</v>
      </c>
      <c r="K193" s="132" t="s">
        <v>1242</v>
      </c>
      <c r="L193" s="132" t="s">
        <v>2112</v>
      </c>
      <c r="M193" s="138" t="str">
        <f t="shared" si="2"/>
        <v>View on Google Map</v>
      </c>
      <c r="N193" s="132">
        <f t="shared" si="3"/>
        <v>93</v>
      </c>
    </row>
    <row r="194" spans="1:14">
      <c r="A194" s="132">
        <v>410</v>
      </c>
      <c r="B194" s="132" t="s">
        <v>2167</v>
      </c>
      <c r="C194" s="132" t="s">
        <v>2168</v>
      </c>
      <c r="D194" s="132">
        <v>68.617322837200007</v>
      </c>
      <c r="E194" s="132">
        <v>-149.21640989900001</v>
      </c>
      <c r="F194" s="132" t="s">
        <v>1242</v>
      </c>
      <c r="G194" s="132" t="s">
        <v>1829</v>
      </c>
      <c r="H194" s="132" t="s">
        <v>2167</v>
      </c>
      <c r="I194" s="132" t="s">
        <v>1242</v>
      </c>
      <c r="J194" s="132" t="s">
        <v>2111</v>
      </c>
      <c r="K194" s="132" t="s">
        <v>1242</v>
      </c>
      <c r="L194" s="132" t="s">
        <v>2112</v>
      </c>
      <c r="M194" s="138" t="str">
        <f t="shared" si="2"/>
        <v>View on Google Map</v>
      </c>
      <c r="N194" s="132">
        <f t="shared" si="3"/>
        <v>94</v>
      </c>
    </row>
    <row r="195" spans="1:14">
      <c r="A195" s="132">
        <v>411</v>
      </c>
      <c r="B195" s="132" t="s">
        <v>2169</v>
      </c>
      <c r="C195" s="132" t="s">
        <v>2170</v>
      </c>
      <c r="D195" s="132">
        <v>68.613551663999999</v>
      </c>
      <c r="E195" s="132">
        <v>-149.21844056</v>
      </c>
      <c r="F195" s="132" t="s">
        <v>1242</v>
      </c>
      <c r="G195" s="132" t="s">
        <v>1829</v>
      </c>
      <c r="H195" s="132" t="s">
        <v>2169</v>
      </c>
      <c r="I195" s="132" t="s">
        <v>1242</v>
      </c>
      <c r="J195" s="132" t="s">
        <v>2111</v>
      </c>
      <c r="K195" s="132" t="s">
        <v>1242</v>
      </c>
      <c r="L195" s="132" t="s">
        <v>2112</v>
      </c>
      <c r="M195" s="138" t="str">
        <f t="shared" ref="M195:M258" si="4">HYPERLINK("http://maps.google.com/maps?q="&amp;D195&amp;","&amp;E195,"View on Google Map")</f>
        <v>View on Google Map</v>
      </c>
      <c r="N195" s="132">
        <f t="shared" si="3"/>
        <v>95</v>
      </c>
    </row>
    <row r="196" spans="1:14">
      <c r="A196" s="132">
        <v>412</v>
      </c>
      <c r="B196" s="132" t="s">
        <v>2171</v>
      </c>
      <c r="C196" s="132" t="s">
        <v>2172</v>
      </c>
      <c r="D196" s="132">
        <v>68.609572079800003</v>
      </c>
      <c r="E196" s="132">
        <v>-149.20865205600001</v>
      </c>
      <c r="F196" s="132" t="s">
        <v>1242</v>
      </c>
      <c r="G196" s="132" t="s">
        <v>1829</v>
      </c>
      <c r="H196" s="132" t="s">
        <v>2171</v>
      </c>
      <c r="I196" s="132" t="s">
        <v>1242</v>
      </c>
      <c r="J196" s="132" t="s">
        <v>2111</v>
      </c>
      <c r="K196" s="132" t="s">
        <v>1242</v>
      </c>
      <c r="L196" s="132" t="s">
        <v>2112</v>
      </c>
      <c r="M196" s="138" t="str">
        <f t="shared" si="4"/>
        <v>View on Google Map</v>
      </c>
      <c r="N196" s="132">
        <f t="shared" si="3"/>
        <v>96</v>
      </c>
    </row>
    <row r="197" spans="1:14">
      <c r="A197" s="132">
        <v>413</v>
      </c>
      <c r="B197" s="132" t="s">
        <v>2173</v>
      </c>
      <c r="C197" s="132" t="s">
        <v>2174</v>
      </c>
      <c r="D197" s="132">
        <v>68.607097540200002</v>
      </c>
      <c r="E197" s="132">
        <v>-149.21482030499999</v>
      </c>
      <c r="F197" s="132" t="s">
        <v>1242</v>
      </c>
      <c r="G197" s="132" t="s">
        <v>1829</v>
      </c>
      <c r="H197" s="132" t="s">
        <v>2173</v>
      </c>
      <c r="I197" s="132" t="s">
        <v>1242</v>
      </c>
      <c r="J197" s="132" t="s">
        <v>2111</v>
      </c>
      <c r="K197" s="132" t="s">
        <v>1242</v>
      </c>
      <c r="L197" s="132" t="s">
        <v>2112</v>
      </c>
      <c r="M197" s="138" t="str">
        <f t="shared" si="4"/>
        <v>View on Google Map</v>
      </c>
      <c r="N197" s="132">
        <f t="shared" si="3"/>
        <v>97</v>
      </c>
    </row>
    <row r="198" spans="1:14">
      <c r="A198" s="132">
        <v>414</v>
      </c>
      <c r="B198" s="132" t="s">
        <v>2175</v>
      </c>
      <c r="C198" s="132" t="s">
        <v>2176</v>
      </c>
      <c r="D198" s="132">
        <v>68.605198711400007</v>
      </c>
      <c r="E198" s="132">
        <v>-149.27215046800001</v>
      </c>
      <c r="F198" s="132" t="s">
        <v>1242</v>
      </c>
      <c r="G198" s="132" t="s">
        <v>1829</v>
      </c>
      <c r="H198" s="132" t="s">
        <v>2175</v>
      </c>
      <c r="I198" s="132" t="s">
        <v>1242</v>
      </c>
      <c r="J198" s="132" t="s">
        <v>2111</v>
      </c>
      <c r="K198" s="132" t="s">
        <v>1242</v>
      </c>
      <c r="L198" s="132" t="s">
        <v>2112</v>
      </c>
      <c r="M198" s="138" t="str">
        <f t="shared" si="4"/>
        <v>View on Google Map</v>
      </c>
      <c r="N198" s="132">
        <f t="shared" si="3"/>
        <v>98</v>
      </c>
    </row>
    <row r="199" spans="1:14">
      <c r="A199" s="132">
        <v>415</v>
      </c>
      <c r="B199" s="132" t="s">
        <v>2177</v>
      </c>
      <c r="C199" s="132" t="s">
        <v>2178</v>
      </c>
      <c r="D199" s="132">
        <v>68.498375922400001</v>
      </c>
      <c r="E199" s="132">
        <v>-149.59842284699999</v>
      </c>
      <c r="F199" s="132">
        <v>947</v>
      </c>
      <c r="G199" s="132" t="s">
        <v>1829</v>
      </c>
      <c r="H199" s="132" t="s">
        <v>2179</v>
      </c>
      <c r="I199" s="132" t="s">
        <v>1242</v>
      </c>
      <c r="J199" s="132" t="s">
        <v>2111</v>
      </c>
      <c r="K199" s="132" t="s">
        <v>1242</v>
      </c>
      <c r="L199" s="132" t="s">
        <v>2112</v>
      </c>
      <c r="M199" s="138" t="str">
        <f t="shared" si="4"/>
        <v>View on Google Map</v>
      </c>
      <c r="N199" s="132">
        <f>VALUE(MID(B199,5,3))</f>
        <v>99</v>
      </c>
    </row>
    <row r="200" spans="1:14">
      <c r="A200" s="132">
        <v>402</v>
      </c>
      <c r="B200" s="132" t="s">
        <v>2180</v>
      </c>
      <c r="C200" s="132" t="s">
        <v>1242</v>
      </c>
      <c r="D200" s="132" t="s">
        <v>1242</v>
      </c>
      <c r="E200" s="132" t="s">
        <v>1242</v>
      </c>
      <c r="F200" s="132" t="s">
        <v>1242</v>
      </c>
      <c r="G200" s="132" t="s">
        <v>1829</v>
      </c>
      <c r="H200" s="132" t="s">
        <v>1242</v>
      </c>
      <c r="I200" s="132" t="s">
        <v>1242</v>
      </c>
      <c r="J200" s="132" t="s">
        <v>1844</v>
      </c>
      <c r="K200" s="132" t="s">
        <v>1242</v>
      </c>
      <c r="L200" s="132" t="s">
        <v>1998</v>
      </c>
      <c r="M200" s="138" t="str">
        <f t="shared" si="4"/>
        <v>View on Google Map</v>
      </c>
    </row>
    <row r="201" spans="1:14">
      <c r="A201" s="132">
        <v>8</v>
      </c>
      <c r="B201" s="132" t="s">
        <v>2181</v>
      </c>
      <c r="C201" s="132" t="s">
        <v>1842</v>
      </c>
      <c r="D201" s="132">
        <v>69.150000000000006</v>
      </c>
      <c r="E201" s="132">
        <v>-148.83333333333334</v>
      </c>
      <c r="F201" s="132">
        <v>290</v>
      </c>
      <c r="G201" s="132" t="s">
        <v>1843</v>
      </c>
      <c r="H201" s="132" t="s">
        <v>1242</v>
      </c>
      <c r="I201" s="132" t="s">
        <v>1242</v>
      </c>
      <c r="J201" s="132" t="s">
        <v>1844</v>
      </c>
      <c r="K201" s="132" t="s">
        <v>1242</v>
      </c>
      <c r="L201" s="132" t="s">
        <v>1845</v>
      </c>
      <c r="M201" s="138" t="str">
        <f t="shared" si="4"/>
        <v>View on Google Map</v>
      </c>
    </row>
    <row r="202" spans="1:14">
      <c r="A202" s="132">
        <v>219</v>
      </c>
      <c r="B202" s="132" t="s">
        <v>2182</v>
      </c>
      <c r="C202" s="132" t="s">
        <v>1242</v>
      </c>
      <c r="D202" s="132">
        <v>69.8</v>
      </c>
      <c r="E202" s="132">
        <v>-151.83333333333334</v>
      </c>
      <c r="F202" s="132">
        <v>60.365853658536601</v>
      </c>
      <c r="G202" s="132" t="s">
        <v>1829</v>
      </c>
      <c r="H202" s="132" t="s">
        <v>2183</v>
      </c>
      <c r="I202" s="132" t="s">
        <v>1242</v>
      </c>
      <c r="J202" s="132" t="s">
        <v>1844</v>
      </c>
      <c r="K202" s="132" t="s">
        <v>1242</v>
      </c>
      <c r="L202" s="132" t="s">
        <v>2184</v>
      </c>
      <c r="M202" s="138" t="str">
        <f t="shared" si="4"/>
        <v>View on Google Map</v>
      </c>
    </row>
    <row r="203" spans="1:14">
      <c r="A203" s="132">
        <v>220</v>
      </c>
      <c r="B203" s="132" t="s">
        <v>2185</v>
      </c>
      <c r="C203" s="132" t="s">
        <v>1242</v>
      </c>
      <c r="D203" s="132">
        <v>69.75</v>
      </c>
      <c r="E203" s="132">
        <v>-151.5</v>
      </c>
      <c r="F203" s="132">
        <v>60.365853658536587</v>
      </c>
      <c r="G203" s="132" t="s">
        <v>1829</v>
      </c>
      <c r="H203" s="132" t="s">
        <v>2186</v>
      </c>
      <c r="I203" s="132" t="s">
        <v>1242</v>
      </c>
      <c r="J203" s="132" t="s">
        <v>1844</v>
      </c>
      <c r="K203" s="132" t="s">
        <v>1242</v>
      </c>
      <c r="L203" s="132" t="s">
        <v>2184</v>
      </c>
      <c r="M203" s="138" t="str">
        <f t="shared" si="4"/>
        <v>View on Google Map</v>
      </c>
    </row>
    <row r="204" spans="1:14">
      <c r="A204" s="132">
        <v>221</v>
      </c>
      <c r="B204" s="132" t="s">
        <v>2187</v>
      </c>
      <c r="C204" s="132" t="s">
        <v>1242</v>
      </c>
      <c r="D204" s="132">
        <v>69.75</v>
      </c>
      <c r="E204" s="132">
        <v>-151.5</v>
      </c>
      <c r="F204" s="132">
        <v>30.487804878048781</v>
      </c>
      <c r="G204" s="132" t="s">
        <v>1829</v>
      </c>
      <c r="H204" s="132" t="s">
        <v>2188</v>
      </c>
      <c r="I204" s="132" t="s">
        <v>1242</v>
      </c>
      <c r="J204" s="132" t="s">
        <v>1844</v>
      </c>
      <c r="K204" s="132" t="s">
        <v>1242</v>
      </c>
      <c r="L204" s="132" t="s">
        <v>2184</v>
      </c>
      <c r="M204" s="138" t="str">
        <f t="shared" si="4"/>
        <v>View on Google Map</v>
      </c>
    </row>
    <row r="205" spans="1:14">
      <c r="A205" s="132">
        <v>222</v>
      </c>
      <c r="B205" s="132" t="s">
        <v>2189</v>
      </c>
      <c r="C205" s="132" t="s">
        <v>1242</v>
      </c>
      <c r="D205" s="132">
        <v>69.7</v>
      </c>
      <c r="E205" s="132">
        <v>-151.16666666666666</v>
      </c>
      <c r="F205" s="132">
        <v>42.682926829268297</v>
      </c>
      <c r="G205" s="132" t="s">
        <v>1829</v>
      </c>
      <c r="H205" s="132" t="s">
        <v>2190</v>
      </c>
      <c r="I205" s="132" t="s">
        <v>1242</v>
      </c>
      <c r="J205" s="132" t="s">
        <v>1844</v>
      </c>
      <c r="K205" s="132" t="s">
        <v>1242</v>
      </c>
      <c r="L205" s="132" t="s">
        <v>2184</v>
      </c>
      <c r="M205" s="138" t="str">
        <f t="shared" si="4"/>
        <v>View on Google Map</v>
      </c>
    </row>
    <row r="206" spans="1:14">
      <c r="A206" s="132">
        <v>223</v>
      </c>
      <c r="B206" s="132" t="s">
        <v>2191</v>
      </c>
      <c r="C206" s="132" t="s">
        <v>1242</v>
      </c>
      <c r="D206" s="132">
        <v>69.7</v>
      </c>
      <c r="E206" s="132">
        <v>-151.16666666666666</v>
      </c>
      <c r="F206" s="132">
        <v>42.682926829268297</v>
      </c>
      <c r="G206" s="132" t="s">
        <v>1829</v>
      </c>
      <c r="H206" s="132" t="s">
        <v>2192</v>
      </c>
      <c r="I206" s="132" t="s">
        <v>1242</v>
      </c>
      <c r="J206" s="132" t="s">
        <v>1844</v>
      </c>
      <c r="K206" s="132" t="s">
        <v>1242</v>
      </c>
      <c r="L206" s="132" t="s">
        <v>2184</v>
      </c>
      <c r="M206" s="138" t="str">
        <f t="shared" si="4"/>
        <v>View on Google Map</v>
      </c>
    </row>
    <row r="207" spans="1:14">
      <c r="A207" s="132">
        <v>224</v>
      </c>
      <c r="B207" s="132" t="s">
        <v>2193</v>
      </c>
      <c r="C207" s="132" t="s">
        <v>1242</v>
      </c>
      <c r="D207" s="132">
        <v>69.516666666666666</v>
      </c>
      <c r="E207" s="132">
        <v>-150.86666666666667</v>
      </c>
      <c r="F207" s="132">
        <v>60.975609756097562</v>
      </c>
      <c r="G207" s="132" t="s">
        <v>1829</v>
      </c>
      <c r="H207" s="132" t="s">
        <v>2194</v>
      </c>
      <c r="I207" s="132" t="s">
        <v>1242</v>
      </c>
      <c r="J207" s="132" t="s">
        <v>1844</v>
      </c>
      <c r="K207" s="132" t="s">
        <v>1242</v>
      </c>
      <c r="L207" s="132" t="s">
        <v>2184</v>
      </c>
      <c r="M207" s="138" t="str">
        <f t="shared" si="4"/>
        <v>View on Google Map</v>
      </c>
    </row>
    <row r="208" spans="1:14">
      <c r="A208" s="132">
        <v>225</v>
      </c>
      <c r="B208" s="132" t="s">
        <v>2195</v>
      </c>
      <c r="C208" s="132" t="s">
        <v>1242</v>
      </c>
      <c r="D208" s="132">
        <v>69.516666666666666</v>
      </c>
      <c r="E208" s="132">
        <v>-150.86666666666667</v>
      </c>
      <c r="F208" s="132">
        <v>60.975609756097562</v>
      </c>
      <c r="G208" s="132" t="s">
        <v>1829</v>
      </c>
      <c r="H208" s="132" t="s">
        <v>2196</v>
      </c>
      <c r="I208" s="132" t="s">
        <v>1242</v>
      </c>
      <c r="J208" s="132" t="s">
        <v>1844</v>
      </c>
      <c r="K208" s="132" t="s">
        <v>1242</v>
      </c>
      <c r="L208" s="132" t="s">
        <v>2184</v>
      </c>
      <c r="M208" s="138" t="str">
        <f t="shared" si="4"/>
        <v>View on Google Map</v>
      </c>
    </row>
    <row r="209" spans="1:13">
      <c r="A209" s="132">
        <v>226</v>
      </c>
      <c r="B209" s="132" t="s">
        <v>2197</v>
      </c>
      <c r="C209" s="132" t="s">
        <v>1242</v>
      </c>
      <c r="D209" s="132">
        <v>69.25</v>
      </c>
      <c r="E209" s="132">
        <v>-150.43333333333334</v>
      </c>
      <c r="F209" s="132">
        <v>182.92682926829269</v>
      </c>
      <c r="G209" s="132" t="s">
        <v>1829</v>
      </c>
      <c r="H209" s="132" t="s">
        <v>2198</v>
      </c>
      <c r="I209" s="132" t="s">
        <v>1242</v>
      </c>
      <c r="J209" s="132" t="s">
        <v>1844</v>
      </c>
      <c r="K209" s="132" t="s">
        <v>1242</v>
      </c>
      <c r="L209" s="132" t="s">
        <v>2184</v>
      </c>
      <c r="M209" s="138" t="str">
        <f t="shared" si="4"/>
        <v>View on Google Map</v>
      </c>
    </row>
    <row r="210" spans="1:13">
      <c r="A210" s="132">
        <v>227</v>
      </c>
      <c r="B210" s="132" t="s">
        <v>2199</v>
      </c>
      <c r="C210" s="132" t="s">
        <v>1242</v>
      </c>
      <c r="D210" s="132">
        <v>69.25</v>
      </c>
      <c r="E210" s="132">
        <v>-150.43333333333334</v>
      </c>
      <c r="F210" s="132">
        <v>182.92682926829269</v>
      </c>
      <c r="G210" s="132" t="s">
        <v>1829</v>
      </c>
      <c r="H210" s="132" t="s">
        <v>2200</v>
      </c>
      <c r="I210" s="132" t="s">
        <v>1242</v>
      </c>
      <c r="J210" s="132" t="s">
        <v>1844</v>
      </c>
      <c r="K210" s="132" t="s">
        <v>1242</v>
      </c>
      <c r="L210" s="132" t="s">
        <v>2184</v>
      </c>
      <c r="M210" s="138" t="str">
        <f t="shared" si="4"/>
        <v>View on Google Map</v>
      </c>
    </row>
    <row r="211" spans="1:13">
      <c r="A211" s="132">
        <v>228</v>
      </c>
      <c r="B211" s="132" t="s">
        <v>2201</v>
      </c>
      <c r="C211" s="132" t="s">
        <v>1242</v>
      </c>
      <c r="D211" s="132">
        <v>69.25</v>
      </c>
      <c r="E211" s="132">
        <v>-151.16666666666666</v>
      </c>
      <c r="F211" s="132">
        <v>182.92682926829269</v>
      </c>
      <c r="G211" s="132" t="s">
        <v>1829</v>
      </c>
      <c r="H211" s="132" t="s">
        <v>2202</v>
      </c>
      <c r="I211" s="132" t="s">
        <v>1242</v>
      </c>
      <c r="J211" s="132" t="s">
        <v>1844</v>
      </c>
      <c r="K211" s="132" t="s">
        <v>1242</v>
      </c>
      <c r="L211" s="132" t="s">
        <v>2184</v>
      </c>
      <c r="M211" s="138" t="str">
        <f t="shared" si="4"/>
        <v>View on Google Map</v>
      </c>
    </row>
    <row r="212" spans="1:13">
      <c r="A212" s="132">
        <v>229</v>
      </c>
      <c r="B212" s="132" t="s">
        <v>2203</v>
      </c>
      <c r="C212" s="132" t="s">
        <v>1242</v>
      </c>
      <c r="D212" s="132">
        <v>69.233333333333334</v>
      </c>
      <c r="E212" s="132">
        <v>-151.63333333333333</v>
      </c>
      <c r="F212" s="132">
        <v>178.35365853658539</v>
      </c>
      <c r="G212" s="132" t="s">
        <v>1829</v>
      </c>
      <c r="H212" s="132" t="s">
        <v>2204</v>
      </c>
      <c r="I212" s="132" t="s">
        <v>1242</v>
      </c>
      <c r="J212" s="132" t="s">
        <v>1844</v>
      </c>
      <c r="K212" s="132" t="s">
        <v>1242</v>
      </c>
      <c r="L212" s="132" t="s">
        <v>2184</v>
      </c>
      <c r="M212" s="138" t="str">
        <f t="shared" si="4"/>
        <v>View on Google Map</v>
      </c>
    </row>
    <row r="213" spans="1:13">
      <c r="A213" s="132">
        <v>230</v>
      </c>
      <c r="B213" s="132" t="s">
        <v>2205</v>
      </c>
      <c r="C213" s="132" t="s">
        <v>1242</v>
      </c>
      <c r="D213" s="132">
        <v>68.900000000000006</v>
      </c>
      <c r="E213" s="132">
        <v>-151.28333333333333</v>
      </c>
      <c r="F213" s="132">
        <v>335.36585365853659</v>
      </c>
      <c r="G213" s="132" t="s">
        <v>1829</v>
      </c>
      <c r="H213" s="132" t="s">
        <v>2206</v>
      </c>
      <c r="I213" s="132" t="s">
        <v>1242</v>
      </c>
      <c r="J213" s="132" t="s">
        <v>1844</v>
      </c>
      <c r="K213" s="132" t="s">
        <v>1242</v>
      </c>
      <c r="L213" s="132" t="s">
        <v>2184</v>
      </c>
      <c r="M213" s="138" t="str">
        <f t="shared" si="4"/>
        <v>View on Google Map</v>
      </c>
    </row>
    <row r="214" spans="1:13">
      <c r="A214" s="132">
        <v>231</v>
      </c>
      <c r="B214" s="132" t="s">
        <v>2207</v>
      </c>
      <c r="C214" s="132" t="s">
        <v>1242</v>
      </c>
      <c r="D214" s="132">
        <v>68.8</v>
      </c>
      <c r="E214" s="132">
        <v>-150.80000000000001</v>
      </c>
      <c r="F214" s="132">
        <v>411.58536585365857</v>
      </c>
      <c r="G214" s="132" t="s">
        <v>1829</v>
      </c>
      <c r="H214" s="132" t="s">
        <v>2208</v>
      </c>
      <c r="I214" s="132" t="s">
        <v>1242</v>
      </c>
      <c r="J214" s="132" t="s">
        <v>1844</v>
      </c>
      <c r="K214" s="132" t="s">
        <v>1242</v>
      </c>
      <c r="L214" s="132" t="s">
        <v>2184</v>
      </c>
      <c r="M214" s="138" t="str">
        <f t="shared" si="4"/>
        <v>View on Google Map</v>
      </c>
    </row>
    <row r="215" spans="1:13">
      <c r="A215" s="132">
        <v>237</v>
      </c>
      <c r="B215" s="132" t="s">
        <v>2209</v>
      </c>
      <c r="C215" s="132" t="s">
        <v>1242</v>
      </c>
      <c r="D215" s="132">
        <v>68.783333333333331</v>
      </c>
      <c r="E215" s="132" t="s">
        <v>1242</v>
      </c>
      <c r="F215" s="132">
        <v>681.40243902439033</v>
      </c>
      <c r="G215" s="132" t="s">
        <v>1829</v>
      </c>
      <c r="H215" s="132" t="s">
        <v>2210</v>
      </c>
      <c r="I215" s="132" t="s">
        <v>2211</v>
      </c>
      <c r="J215" s="132" t="s">
        <v>1844</v>
      </c>
      <c r="K215" s="132" t="s">
        <v>1242</v>
      </c>
      <c r="L215" s="132" t="s">
        <v>2184</v>
      </c>
      <c r="M215" s="138" t="str">
        <f t="shared" si="4"/>
        <v>View on Google Map</v>
      </c>
    </row>
    <row r="216" spans="1:13">
      <c r="A216" s="132">
        <v>238</v>
      </c>
      <c r="B216" s="132" t="s">
        <v>2212</v>
      </c>
      <c r="C216" s="132" t="s">
        <v>1242</v>
      </c>
      <c r="D216" s="132">
        <v>68.783333333333331</v>
      </c>
      <c r="E216" s="132" t="s">
        <v>1242</v>
      </c>
      <c r="F216" s="132">
        <v>681.40243902439033</v>
      </c>
      <c r="G216" s="132" t="s">
        <v>1829</v>
      </c>
      <c r="H216" s="132" t="s">
        <v>2213</v>
      </c>
      <c r="I216" s="132" t="s">
        <v>2211</v>
      </c>
      <c r="J216" s="132" t="s">
        <v>1844</v>
      </c>
      <c r="K216" s="132" t="s">
        <v>1242</v>
      </c>
      <c r="L216" s="132" t="s">
        <v>2184</v>
      </c>
      <c r="M216" s="138" t="str">
        <f t="shared" si="4"/>
        <v>View on Google Map</v>
      </c>
    </row>
    <row r="217" spans="1:13">
      <c r="A217" s="132">
        <v>10</v>
      </c>
      <c r="B217" s="132" t="s">
        <v>2214</v>
      </c>
      <c r="C217" s="132" t="s">
        <v>2215</v>
      </c>
      <c r="D217" s="132">
        <v>68.644702925000004</v>
      </c>
      <c r="E217" s="132">
        <v>-149.41200613611099</v>
      </c>
      <c r="F217" s="132">
        <v>751.33799999999997</v>
      </c>
      <c r="G217" s="132" t="s">
        <v>1843</v>
      </c>
      <c r="H217" s="132" t="s">
        <v>1242</v>
      </c>
      <c r="I217" s="132" t="s">
        <v>1242</v>
      </c>
      <c r="J217" s="132" t="s">
        <v>1844</v>
      </c>
      <c r="K217" s="132" t="s">
        <v>1242</v>
      </c>
      <c r="L217" s="132" t="s">
        <v>1242</v>
      </c>
      <c r="M217" s="138" t="str">
        <f t="shared" si="4"/>
        <v>View on Google Map</v>
      </c>
    </row>
    <row r="218" spans="1:13">
      <c r="A218" s="132">
        <v>486</v>
      </c>
      <c r="B218" s="132" t="s">
        <v>2216</v>
      </c>
      <c r="C218" s="132" t="s">
        <v>1242</v>
      </c>
      <c r="D218" s="132">
        <v>68.958333332999999</v>
      </c>
      <c r="E218" s="132">
        <v>-150.302016667</v>
      </c>
      <c r="F218" s="132">
        <v>382</v>
      </c>
      <c r="G218" s="132" t="s">
        <v>1829</v>
      </c>
      <c r="H218" s="132" t="s">
        <v>1242</v>
      </c>
      <c r="I218" s="132" t="s">
        <v>1242</v>
      </c>
      <c r="J218" s="132" t="s">
        <v>1879</v>
      </c>
      <c r="K218" s="132" t="s">
        <v>1242</v>
      </c>
      <c r="L218" s="132" t="s">
        <v>1826</v>
      </c>
      <c r="M218" s="138" t="str">
        <f t="shared" si="4"/>
        <v>View on Google Map</v>
      </c>
    </row>
    <row r="219" spans="1:13">
      <c r="A219" s="132">
        <v>388</v>
      </c>
      <c r="B219" s="132" t="s">
        <v>2217</v>
      </c>
      <c r="C219" s="132" t="s">
        <v>1242</v>
      </c>
      <c r="D219" s="132">
        <v>68.556340000000006</v>
      </c>
      <c r="E219" s="132">
        <v>-149.56628000000001</v>
      </c>
      <c r="F219" s="132">
        <v>801</v>
      </c>
      <c r="G219" s="132" t="s">
        <v>1829</v>
      </c>
      <c r="H219" s="132" t="s">
        <v>1242</v>
      </c>
      <c r="I219" s="132" t="s">
        <v>1242</v>
      </c>
      <c r="J219" s="132" t="s">
        <v>1844</v>
      </c>
      <c r="K219" s="132" t="s">
        <v>1242</v>
      </c>
      <c r="L219" s="132" t="s">
        <v>2218</v>
      </c>
      <c r="M219" s="138" t="str">
        <f t="shared" si="4"/>
        <v>View on Google Map</v>
      </c>
    </row>
    <row r="220" spans="1:13">
      <c r="A220" s="132">
        <v>450</v>
      </c>
      <c r="B220" s="132" t="s">
        <v>2219</v>
      </c>
      <c r="C220" s="132" t="s">
        <v>1242</v>
      </c>
      <c r="D220" s="132">
        <v>68.553610000000006</v>
      </c>
      <c r="E220" s="132">
        <v>-149.53397000000001</v>
      </c>
      <c r="F220" s="132">
        <v>820</v>
      </c>
      <c r="G220" s="132" t="s">
        <v>1829</v>
      </c>
      <c r="H220" s="132" t="s">
        <v>2220</v>
      </c>
      <c r="I220" s="132" t="s">
        <v>1242</v>
      </c>
      <c r="J220" s="132" t="s">
        <v>1830</v>
      </c>
      <c r="K220" s="132" t="s">
        <v>1242</v>
      </c>
      <c r="L220" s="132" t="s">
        <v>1242</v>
      </c>
      <c r="M220" s="138" t="str">
        <f t="shared" si="4"/>
        <v>View on Google Map</v>
      </c>
    </row>
    <row r="221" spans="1:13">
      <c r="A221" s="132">
        <v>451</v>
      </c>
      <c r="B221" s="132" t="s">
        <v>2221</v>
      </c>
      <c r="C221" s="132" t="s">
        <v>1242</v>
      </c>
      <c r="D221" s="132">
        <v>68.545929999999998</v>
      </c>
      <c r="E221" s="132">
        <v>-149.54213999999999</v>
      </c>
      <c r="F221" s="132">
        <v>852</v>
      </c>
      <c r="G221" s="132" t="s">
        <v>1829</v>
      </c>
      <c r="H221" s="132" t="s">
        <v>2222</v>
      </c>
      <c r="I221" s="132" t="s">
        <v>1242</v>
      </c>
      <c r="J221" s="132" t="s">
        <v>1830</v>
      </c>
      <c r="K221" s="132" t="s">
        <v>1242</v>
      </c>
      <c r="L221" s="132" t="s">
        <v>1242</v>
      </c>
      <c r="M221" s="138" t="str">
        <f t="shared" si="4"/>
        <v>View on Google Map</v>
      </c>
    </row>
    <row r="222" spans="1:13">
      <c r="A222" s="132">
        <v>531</v>
      </c>
      <c r="B222" s="132" t="s">
        <v>2223</v>
      </c>
      <c r="C222" s="132" t="s">
        <v>2224</v>
      </c>
      <c r="D222" s="132">
        <v>68.556769000000003</v>
      </c>
      <c r="E222" s="132">
        <v>-149.555385</v>
      </c>
      <c r="F222" s="132">
        <v>805</v>
      </c>
      <c r="G222" s="132" t="s">
        <v>1843</v>
      </c>
      <c r="H222" s="132" t="s">
        <v>1242</v>
      </c>
      <c r="I222" s="132" t="s">
        <v>1242</v>
      </c>
      <c r="J222" s="132" t="s">
        <v>1830</v>
      </c>
      <c r="K222" s="132" t="s">
        <v>1242</v>
      </c>
      <c r="L222" s="132" t="s">
        <v>2225</v>
      </c>
      <c r="M222" s="138" t="str">
        <f t="shared" si="4"/>
        <v>View on Google Map</v>
      </c>
    </row>
    <row r="223" spans="1:13">
      <c r="A223" s="132">
        <v>532</v>
      </c>
      <c r="B223" s="132" t="s">
        <v>2226</v>
      </c>
      <c r="C223" s="132" t="s">
        <v>2224</v>
      </c>
      <c r="D223" s="132">
        <v>68.556635999999997</v>
      </c>
      <c r="E223" s="132">
        <v>-149.574457</v>
      </c>
      <c r="F223" s="132">
        <v>803</v>
      </c>
      <c r="G223" s="132" t="s">
        <v>1843</v>
      </c>
      <c r="H223" s="132" t="s">
        <v>1242</v>
      </c>
      <c r="I223" s="132" t="s">
        <v>1242</v>
      </c>
      <c r="J223" s="132" t="s">
        <v>1830</v>
      </c>
      <c r="K223" s="132" t="s">
        <v>1242</v>
      </c>
      <c r="L223" s="132" t="s">
        <v>2225</v>
      </c>
      <c r="M223" s="138" t="str">
        <f t="shared" si="4"/>
        <v>View on Google Map</v>
      </c>
    </row>
    <row r="224" spans="1:13">
      <c r="A224" s="132">
        <v>120</v>
      </c>
      <c r="B224" s="132" t="s">
        <v>2227</v>
      </c>
      <c r="C224" s="132" t="s">
        <v>1242</v>
      </c>
      <c r="D224" s="132">
        <v>68.610781000000003</v>
      </c>
      <c r="E224" s="132">
        <v>-149.600742</v>
      </c>
      <c r="F224" s="132">
        <v>736</v>
      </c>
      <c r="G224" s="132" t="s">
        <v>1829</v>
      </c>
      <c r="H224" s="132" t="s">
        <v>2228</v>
      </c>
      <c r="I224" s="132" t="s">
        <v>1242</v>
      </c>
      <c r="J224" s="132" t="s">
        <v>1844</v>
      </c>
      <c r="K224" s="132">
        <v>313</v>
      </c>
      <c r="L224" s="132" t="s">
        <v>2218</v>
      </c>
      <c r="M224" s="138" t="str">
        <f t="shared" si="4"/>
        <v>View on Google Map</v>
      </c>
    </row>
    <row r="225" spans="1:13">
      <c r="A225" s="132">
        <v>191</v>
      </c>
      <c r="B225" s="132" t="s">
        <v>2229</v>
      </c>
      <c r="C225" s="132" t="s">
        <v>2230</v>
      </c>
      <c r="D225" s="132">
        <v>68.610349999999997</v>
      </c>
      <c r="E225" s="132">
        <v>-149.59976599999999</v>
      </c>
      <c r="F225" s="132">
        <v>736</v>
      </c>
      <c r="G225" s="132" t="s">
        <v>1843</v>
      </c>
      <c r="H225" s="132" t="s">
        <v>2231</v>
      </c>
      <c r="I225" s="132" t="s">
        <v>2232</v>
      </c>
      <c r="J225" s="132" t="s">
        <v>1844</v>
      </c>
      <c r="K225" s="132" t="s">
        <v>1242</v>
      </c>
      <c r="L225" s="132" t="s">
        <v>2233</v>
      </c>
      <c r="M225" s="138" t="str">
        <f t="shared" si="4"/>
        <v>View on Google Map</v>
      </c>
    </row>
    <row r="226" spans="1:13">
      <c r="A226" s="132">
        <v>243</v>
      </c>
      <c r="B226" s="132" t="s">
        <v>2234</v>
      </c>
      <c r="C226" s="132" t="s">
        <v>1242</v>
      </c>
      <c r="D226" s="132">
        <v>68.611682999999999</v>
      </c>
      <c r="E226" s="132">
        <v>-149.599254</v>
      </c>
      <c r="F226" s="132">
        <v>736</v>
      </c>
      <c r="G226" s="132" t="s">
        <v>1843</v>
      </c>
      <c r="H226" s="132" t="s">
        <v>2235</v>
      </c>
      <c r="I226" s="132" t="s">
        <v>2236</v>
      </c>
      <c r="J226" s="132" t="s">
        <v>1844</v>
      </c>
      <c r="K226" s="132" t="s">
        <v>1242</v>
      </c>
      <c r="L226" s="132" t="s">
        <v>2233</v>
      </c>
      <c r="M226" s="138" t="str">
        <f t="shared" si="4"/>
        <v>View on Google Map</v>
      </c>
    </row>
    <row r="227" spans="1:13">
      <c r="A227" s="132">
        <v>111</v>
      </c>
      <c r="B227" s="132" t="s">
        <v>2237</v>
      </c>
      <c r="C227" s="132" t="s">
        <v>1242</v>
      </c>
      <c r="D227" s="132">
        <v>68.568713078900004</v>
      </c>
      <c r="E227" s="132">
        <v>-149.58807625</v>
      </c>
      <c r="F227" s="132">
        <v>785</v>
      </c>
      <c r="G227" s="132" t="s">
        <v>1829</v>
      </c>
      <c r="H227" s="132" t="s">
        <v>2238</v>
      </c>
      <c r="I227" s="132" t="s">
        <v>2239</v>
      </c>
      <c r="J227" s="132" t="s">
        <v>1844</v>
      </c>
      <c r="K227" s="132" t="s">
        <v>1242</v>
      </c>
      <c r="L227" s="132" t="s">
        <v>2218</v>
      </c>
      <c r="M227" s="138" t="str">
        <f t="shared" si="4"/>
        <v>View on Google Map</v>
      </c>
    </row>
    <row r="228" spans="1:13">
      <c r="A228" s="132">
        <v>175</v>
      </c>
      <c r="B228" s="132" t="s">
        <v>2240</v>
      </c>
      <c r="C228" s="132" t="s">
        <v>1242</v>
      </c>
      <c r="D228" s="132">
        <v>68.573999999999998</v>
      </c>
      <c r="E228" s="132">
        <v>-149.58356599999999</v>
      </c>
      <c r="F228" s="132">
        <v>774</v>
      </c>
      <c r="G228" s="132" t="s">
        <v>1843</v>
      </c>
      <c r="H228" s="132" t="s">
        <v>2241</v>
      </c>
      <c r="I228" s="132" t="s">
        <v>2242</v>
      </c>
      <c r="J228" s="132" t="s">
        <v>1844</v>
      </c>
      <c r="K228" s="132" t="s">
        <v>1242</v>
      </c>
      <c r="L228" s="132" t="s">
        <v>2233</v>
      </c>
      <c r="M228" s="138" t="str">
        <f t="shared" si="4"/>
        <v>View on Google Map</v>
      </c>
    </row>
    <row r="229" spans="1:13">
      <c r="A229" s="132">
        <v>174</v>
      </c>
      <c r="B229" s="132" t="s">
        <v>2243</v>
      </c>
      <c r="C229" s="132" t="s">
        <v>1242</v>
      </c>
      <c r="D229" s="132">
        <v>68.572295999999994</v>
      </c>
      <c r="E229" s="132">
        <v>-149.58101400000001</v>
      </c>
      <c r="F229" s="132">
        <v>785</v>
      </c>
      <c r="G229" s="132" t="s">
        <v>1843</v>
      </c>
      <c r="H229" s="132" t="s">
        <v>2244</v>
      </c>
      <c r="I229" s="132" t="s">
        <v>2245</v>
      </c>
      <c r="J229" s="132" t="s">
        <v>1844</v>
      </c>
      <c r="K229" s="132" t="s">
        <v>1242</v>
      </c>
      <c r="L229" s="132" t="s">
        <v>2233</v>
      </c>
      <c r="M229" s="138" t="str">
        <f t="shared" si="4"/>
        <v>View on Google Map</v>
      </c>
    </row>
    <row r="230" spans="1:13">
      <c r="A230" s="132">
        <v>112</v>
      </c>
      <c r="B230" s="132" t="s">
        <v>2246</v>
      </c>
      <c r="C230" s="132" t="s">
        <v>1242</v>
      </c>
      <c r="D230" s="132">
        <v>68.571319563299994</v>
      </c>
      <c r="E230" s="132">
        <v>-149.56588161799999</v>
      </c>
      <c r="F230" s="132">
        <v>785</v>
      </c>
      <c r="G230" s="132" t="s">
        <v>1829</v>
      </c>
      <c r="H230" s="132" t="s">
        <v>2247</v>
      </c>
      <c r="I230" s="132" t="s">
        <v>2248</v>
      </c>
      <c r="J230" s="132" t="s">
        <v>1844</v>
      </c>
      <c r="K230" s="132" t="s">
        <v>1242</v>
      </c>
      <c r="L230" s="132" t="s">
        <v>2218</v>
      </c>
      <c r="M230" s="138" t="str">
        <f t="shared" si="4"/>
        <v>View on Google Map</v>
      </c>
    </row>
    <row r="231" spans="1:13">
      <c r="A231" s="132">
        <v>176</v>
      </c>
      <c r="B231" s="132" t="s">
        <v>2249</v>
      </c>
      <c r="C231" s="132" t="s">
        <v>1242</v>
      </c>
      <c r="D231" s="132">
        <v>68.574783330000002</v>
      </c>
      <c r="E231" s="132">
        <v>-149.58205000000001</v>
      </c>
      <c r="F231" s="132">
        <v>774</v>
      </c>
      <c r="G231" s="132" t="s">
        <v>1843</v>
      </c>
      <c r="H231" s="132" t="s">
        <v>2250</v>
      </c>
      <c r="I231" s="132" t="s">
        <v>2251</v>
      </c>
      <c r="J231" s="132" t="s">
        <v>1844</v>
      </c>
      <c r="K231" s="132" t="s">
        <v>1242</v>
      </c>
      <c r="L231" s="132" t="s">
        <v>2233</v>
      </c>
      <c r="M231" s="138" t="str">
        <f t="shared" si="4"/>
        <v>View on Google Map</v>
      </c>
    </row>
    <row r="232" spans="1:13">
      <c r="A232" s="132">
        <v>173</v>
      </c>
      <c r="B232" s="132" t="s">
        <v>2252</v>
      </c>
      <c r="C232" s="132" t="s">
        <v>1242</v>
      </c>
      <c r="D232" s="132">
        <v>68.572546000000003</v>
      </c>
      <c r="E232" s="132">
        <v>-149.570268</v>
      </c>
      <c r="F232" s="132">
        <v>785</v>
      </c>
      <c r="G232" s="132" t="s">
        <v>1843</v>
      </c>
      <c r="H232" s="132" t="s">
        <v>2253</v>
      </c>
      <c r="I232" s="132" t="s">
        <v>2254</v>
      </c>
      <c r="J232" s="132" t="s">
        <v>1844</v>
      </c>
      <c r="K232" s="132" t="s">
        <v>1242</v>
      </c>
      <c r="L232" s="132" t="s">
        <v>2233</v>
      </c>
      <c r="M232" s="138" t="str">
        <f t="shared" si="4"/>
        <v>View on Google Map</v>
      </c>
    </row>
    <row r="233" spans="1:13">
      <c r="A233" s="132">
        <v>113</v>
      </c>
      <c r="B233" s="132" t="s">
        <v>2255</v>
      </c>
      <c r="C233" s="132" t="s">
        <v>1242</v>
      </c>
      <c r="D233" s="132">
        <v>68.575536630100004</v>
      </c>
      <c r="E233" s="132">
        <v>-149.583644456</v>
      </c>
      <c r="F233" s="132">
        <v>774</v>
      </c>
      <c r="G233" s="132" t="s">
        <v>1829</v>
      </c>
      <c r="H233" s="132" t="s">
        <v>2256</v>
      </c>
      <c r="I233" s="132" t="s">
        <v>2257</v>
      </c>
      <c r="J233" s="132" t="s">
        <v>1844</v>
      </c>
      <c r="K233" s="132" t="s">
        <v>1242</v>
      </c>
      <c r="L233" s="132" t="s">
        <v>2218</v>
      </c>
      <c r="M233" s="138" t="str">
        <f t="shared" si="4"/>
        <v>View on Google Map</v>
      </c>
    </row>
    <row r="234" spans="1:13">
      <c r="A234" s="132">
        <v>177</v>
      </c>
      <c r="B234" s="132" t="s">
        <v>2258</v>
      </c>
      <c r="C234" s="132" t="s">
        <v>1242</v>
      </c>
      <c r="D234" s="132">
        <v>68.577539999999999</v>
      </c>
      <c r="E234" s="132">
        <v>-149.58200299999999</v>
      </c>
      <c r="F234" s="132">
        <v>774</v>
      </c>
      <c r="G234" s="132" t="s">
        <v>1843</v>
      </c>
      <c r="H234" s="132" t="s">
        <v>2259</v>
      </c>
      <c r="I234" s="132" t="s">
        <v>2260</v>
      </c>
      <c r="J234" s="132" t="s">
        <v>1844</v>
      </c>
      <c r="K234" s="132" t="s">
        <v>1242</v>
      </c>
      <c r="L234" s="132" t="s">
        <v>2233</v>
      </c>
      <c r="M234" s="138" t="str">
        <f t="shared" si="4"/>
        <v>View on Google Map</v>
      </c>
    </row>
    <row r="235" spans="1:13">
      <c r="A235" s="132">
        <v>114</v>
      </c>
      <c r="B235" s="132" t="s">
        <v>2261</v>
      </c>
      <c r="C235" s="132" t="s">
        <v>1242</v>
      </c>
      <c r="D235" s="132">
        <v>68.579567150000003</v>
      </c>
      <c r="E235" s="132">
        <v>-149.58405938000001</v>
      </c>
      <c r="F235" s="132">
        <v>770</v>
      </c>
      <c r="G235" s="132" t="s">
        <v>1829</v>
      </c>
      <c r="H235" s="132" t="s">
        <v>2262</v>
      </c>
      <c r="I235" s="132" t="s">
        <v>2263</v>
      </c>
      <c r="J235" s="132" t="s">
        <v>1844</v>
      </c>
      <c r="K235" s="132" t="s">
        <v>1242</v>
      </c>
      <c r="L235" s="132" t="s">
        <v>2218</v>
      </c>
      <c r="M235" s="138" t="str">
        <f t="shared" si="4"/>
        <v>View on Google Map</v>
      </c>
    </row>
    <row r="236" spans="1:13">
      <c r="A236" s="132">
        <v>179</v>
      </c>
      <c r="B236" s="132" t="s">
        <v>2264</v>
      </c>
      <c r="C236" s="132" t="s">
        <v>1242</v>
      </c>
      <c r="D236" s="132">
        <v>68.584233330000004</v>
      </c>
      <c r="E236" s="132">
        <v>-149.58359999999999</v>
      </c>
      <c r="F236" s="132">
        <v>770</v>
      </c>
      <c r="G236" s="132" t="s">
        <v>1843</v>
      </c>
      <c r="H236" s="132" t="s">
        <v>2265</v>
      </c>
      <c r="I236" s="132" t="s">
        <v>2266</v>
      </c>
      <c r="J236" s="132" t="s">
        <v>1844</v>
      </c>
      <c r="K236" s="132" t="s">
        <v>1242</v>
      </c>
      <c r="L236" s="132" t="s">
        <v>2233</v>
      </c>
      <c r="M236" s="138" t="str">
        <f t="shared" si="4"/>
        <v>View on Google Map</v>
      </c>
    </row>
    <row r="237" spans="1:13">
      <c r="A237" s="132">
        <v>178</v>
      </c>
      <c r="B237" s="132" t="s">
        <v>2267</v>
      </c>
      <c r="C237" s="132" t="s">
        <v>1242</v>
      </c>
      <c r="D237" s="132">
        <v>68.581429999999997</v>
      </c>
      <c r="E237" s="132">
        <v>-149.58609999999999</v>
      </c>
      <c r="F237" s="132">
        <v>770</v>
      </c>
      <c r="G237" s="132" t="s">
        <v>1843</v>
      </c>
      <c r="H237" s="132" t="s">
        <v>2268</v>
      </c>
      <c r="I237" s="132" t="s">
        <v>2269</v>
      </c>
      <c r="J237" s="132" t="s">
        <v>1844</v>
      </c>
      <c r="K237" s="132" t="s">
        <v>1242</v>
      </c>
      <c r="L237" s="132" t="s">
        <v>2233</v>
      </c>
      <c r="M237" s="138" t="str">
        <f t="shared" si="4"/>
        <v>View on Google Map</v>
      </c>
    </row>
    <row r="238" spans="1:13">
      <c r="A238" s="132">
        <v>115</v>
      </c>
      <c r="B238" s="132" t="s">
        <v>2270</v>
      </c>
      <c r="C238" s="132" t="s">
        <v>1242</v>
      </c>
      <c r="D238" s="132">
        <v>68.587387439099999</v>
      </c>
      <c r="E238" s="132">
        <v>-149.589625877</v>
      </c>
      <c r="F238" s="132">
        <v>767</v>
      </c>
      <c r="G238" s="132" t="s">
        <v>1829</v>
      </c>
      <c r="H238" s="132" t="s">
        <v>2271</v>
      </c>
      <c r="I238" s="132" t="s">
        <v>2272</v>
      </c>
      <c r="J238" s="132" t="s">
        <v>1844</v>
      </c>
      <c r="K238" s="132" t="s">
        <v>1242</v>
      </c>
      <c r="L238" s="132" t="s">
        <v>2218</v>
      </c>
      <c r="M238" s="138" t="str">
        <f t="shared" si="4"/>
        <v>View on Google Map</v>
      </c>
    </row>
    <row r="239" spans="1:13">
      <c r="A239" s="132">
        <v>181</v>
      </c>
      <c r="B239" s="132" t="s">
        <v>2273</v>
      </c>
      <c r="C239" s="132" t="s">
        <v>1242</v>
      </c>
      <c r="D239" s="132">
        <v>68.594916670000003</v>
      </c>
      <c r="E239" s="132">
        <v>-149.58631600000001</v>
      </c>
      <c r="F239" s="132">
        <v>754</v>
      </c>
      <c r="G239" s="132" t="s">
        <v>1843</v>
      </c>
      <c r="H239" s="132" t="s">
        <v>2274</v>
      </c>
      <c r="I239" s="132" t="s">
        <v>2275</v>
      </c>
      <c r="J239" s="132" t="s">
        <v>1844</v>
      </c>
      <c r="K239" s="132" t="s">
        <v>1242</v>
      </c>
      <c r="L239" s="132" t="s">
        <v>2233</v>
      </c>
      <c r="M239" s="138" t="str">
        <f t="shared" si="4"/>
        <v>View on Google Map</v>
      </c>
    </row>
    <row r="240" spans="1:13">
      <c r="A240" s="132">
        <v>180</v>
      </c>
      <c r="B240" s="132" t="s">
        <v>2276</v>
      </c>
      <c r="C240" s="132" t="s">
        <v>1242</v>
      </c>
      <c r="D240" s="132">
        <v>68.589087000000006</v>
      </c>
      <c r="E240" s="132">
        <v>-149.58921900000001</v>
      </c>
      <c r="F240" s="132">
        <v>767</v>
      </c>
      <c r="G240" s="132" t="s">
        <v>1843</v>
      </c>
      <c r="H240" s="132" t="s">
        <v>2277</v>
      </c>
      <c r="I240" s="132" t="s">
        <v>2278</v>
      </c>
      <c r="J240" s="132" t="s">
        <v>1844</v>
      </c>
      <c r="K240" s="132" t="s">
        <v>1242</v>
      </c>
      <c r="L240" s="132" t="s">
        <v>2233</v>
      </c>
      <c r="M240" s="138" t="str">
        <f t="shared" si="4"/>
        <v>View on Google Map</v>
      </c>
    </row>
    <row r="241" spans="1:13">
      <c r="A241" s="132">
        <v>116</v>
      </c>
      <c r="B241" s="132" t="s">
        <v>2279</v>
      </c>
      <c r="C241" s="132" t="s">
        <v>1242</v>
      </c>
      <c r="D241" s="132">
        <v>68.596592403900004</v>
      </c>
      <c r="E241" s="132">
        <v>-149.59264335</v>
      </c>
      <c r="F241" s="132">
        <v>754</v>
      </c>
      <c r="G241" s="132" t="s">
        <v>1829</v>
      </c>
      <c r="H241" s="132" t="s">
        <v>2280</v>
      </c>
      <c r="I241" s="132" t="s">
        <v>2281</v>
      </c>
      <c r="J241" s="132" t="s">
        <v>1844</v>
      </c>
      <c r="K241" s="132" t="s">
        <v>1242</v>
      </c>
      <c r="L241" s="132" t="s">
        <v>2218</v>
      </c>
      <c r="M241" s="138" t="str">
        <f t="shared" si="4"/>
        <v>View on Google Map</v>
      </c>
    </row>
    <row r="242" spans="1:13">
      <c r="A242" s="132">
        <v>431</v>
      </c>
      <c r="B242" s="132" t="s">
        <v>2282</v>
      </c>
      <c r="C242" s="132" t="s">
        <v>1242</v>
      </c>
      <c r="D242" s="132">
        <v>68.582061999999993</v>
      </c>
      <c r="E242" s="132">
        <v>-149.62293199999999</v>
      </c>
      <c r="F242" s="132">
        <v>806</v>
      </c>
      <c r="G242" s="132" t="s">
        <v>1829</v>
      </c>
      <c r="H242" s="132" t="s">
        <v>2283</v>
      </c>
      <c r="I242" s="132" t="s">
        <v>2284</v>
      </c>
      <c r="J242" s="132" t="s">
        <v>1844</v>
      </c>
      <c r="K242" s="132" t="s">
        <v>1242</v>
      </c>
      <c r="L242" s="132" t="s">
        <v>2218</v>
      </c>
      <c r="M242" s="138" t="str">
        <f t="shared" si="4"/>
        <v>View on Google Map</v>
      </c>
    </row>
    <row r="243" spans="1:13">
      <c r="A243" s="132">
        <v>444</v>
      </c>
      <c r="B243" s="132" t="s">
        <v>2285</v>
      </c>
      <c r="C243" s="132" t="s">
        <v>1242</v>
      </c>
      <c r="D243" s="132">
        <v>68.578643</v>
      </c>
      <c r="E243" s="132">
        <v>-149.62110200000001</v>
      </c>
      <c r="F243" s="132">
        <v>808</v>
      </c>
      <c r="G243" s="132" t="s">
        <v>1843</v>
      </c>
      <c r="H243" s="132" t="s">
        <v>2286</v>
      </c>
      <c r="I243" s="132" t="s">
        <v>2287</v>
      </c>
      <c r="J243" s="132" t="s">
        <v>1844</v>
      </c>
      <c r="K243" s="132" t="s">
        <v>1242</v>
      </c>
      <c r="L243" s="132" t="s">
        <v>2233</v>
      </c>
      <c r="M243" s="138" t="str">
        <f t="shared" si="4"/>
        <v>View on Google Map</v>
      </c>
    </row>
    <row r="244" spans="1:13">
      <c r="A244" s="132">
        <v>535</v>
      </c>
      <c r="B244" s="132" t="s">
        <v>2288</v>
      </c>
      <c r="C244" s="132" t="s">
        <v>2289</v>
      </c>
      <c r="D244" s="132">
        <v>68.585839000000007</v>
      </c>
      <c r="E244" s="132">
        <v>-149.62222299999999</v>
      </c>
      <c r="F244" s="132">
        <v>805</v>
      </c>
      <c r="G244" s="132" t="s">
        <v>1843</v>
      </c>
      <c r="H244" s="132" t="s">
        <v>1242</v>
      </c>
      <c r="I244" s="132" t="s">
        <v>1242</v>
      </c>
      <c r="J244" s="132" t="s">
        <v>1830</v>
      </c>
      <c r="K244" s="132" t="s">
        <v>1242</v>
      </c>
      <c r="L244" s="132" t="s">
        <v>2290</v>
      </c>
      <c r="M244" s="138" t="str">
        <f t="shared" si="4"/>
        <v>View on Google Map</v>
      </c>
    </row>
    <row r="245" spans="1:13">
      <c r="A245" s="132">
        <v>536</v>
      </c>
      <c r="B245" s="132" t="s">
        <v>2291</v>
      </c>
      <c r="C245" s="132" t="s">
        <v>2289</v>
      </c>
      <c r="D245" s="132">
        <v>68.591329999999999</v>
      </c>
      <c r="E245" s="132">
        <v>-149.61154199999999</v>
      </c>
      <c r="F245" s="132">
        <v>775</v>
      </c>
      <c r="G245" s="132" t="s">
        <v>1843</v>
      </c>
      <c r="H245" s="132" t="s">
        <v>1242</v>
      </c>
      <c r="I245" s="132" t="s">
        <v>1242</v>
      </c>
      <c r="J245" s="132" t="s">
        <v>1830</v>
      </c>
      <c r="K245" s="132" t="s">
        <v>1242</v>
      </c>
      <c r="L245" s="132" t="s">
        <v>2290</v>
      </c>
      <c r="M245" s="138" t="str">
        <f t="shared" si="4"/>
        <v>View on Google Map</v>
      </c>
    </row>
    <row r="246" spans="1:13">
      <c r="A246" s="132">
        <v>445</v>
      </c>
      <c r="B246" s="132" t="s">
        <v>2292</v>
      </c>
      <c r="C246" s="132" t="s">
        <v>1242</v>
      </c>
      <c r="D246" s="132">
        <v>68.583569999999995</v>
      </c>
      <c r="E246" s="132">
        <v>-149.62384</v>
      </c>
      <c r="F246" s="132">
        <v>808</v>
      </c>
      <c r="G246" s="132" t="s">
        <v>1843</v>
      </c>
      <c r="H246" s="132" t="s">
        <v>2293</v>
      </c>
      <c r="I246" s="132" t="s">
        <v>2294</v>
      </c>
      <c r="J246" s="132" t="s">
        <v>1844</v>
      </c>
      <c r="K246" s="132" t="s">
        <v>1242</v>
      </c>
      <c r="L246" s="132" t="s">
        <v>2233</v>
      </c>
      <c r="M246" s="138" t="str">
        <f t="shared" si="4"/>
        <v>View on Google Map</v>
      </c>
    </row>
    <row r="247" spans="1:13">
      <c r="A247" s="132">
        <v>182</v>
      </c>
      <c r="B247" s="132" t="s">
        <v>2295</v>
      </c>
      <c r="C247" s="132" t="s">
        <v>1242</v>
      </c>
      <c r="D247" s="132">
        <v>68.596883329999997</v>
      </c>
      <c r="E247" s="132">
        <v>-149.60124999999999</v>
      </c>
      <c r="F247" s="132">
        <v>754</v>
      </c>
      <c r="G247" s="132" t="s">
        <v>1843</v>
      </c>
      <c r="H247" s="132" t="s">
        <v>2296</v>
      </c>
      <c r="I247" s="132" t="s">
        <v>2297</v>
      </c>
      <c r="J247" s="132" t="s">
        <v>1844</v>
      </c>
      <c r="K247" s="132" t="s">
        <v>1242</v>
      </c>
      <c r="L247" s="132" t="s">
        <v>2233</v>
      </c>
      <c r="M247" s="138" t="str">
        <f t="shared" si="4"/>
        <v>View on Google Map</v>
      </c>
    </row>
    <row r="248" spans="1:13">
      <c r="A248" s="132">
        <v>183</v>
      </c>
      <c r="B248" s="132" t="s">
        <v>2298</v>
      </c>
      <c r="C248" s="132" t="s">
        <v>1242</v>
      </c>
      <c r="D248" s="132">
        <v>68.598684000000006</v>
      </c>
      <c r="E248" s="132">
        <v>-149.599853</v>
      </c>
      <c r="F248" s="132">
        <v>754</v>
      </c>
      <c r="G248" s="132" t="s">
        <v>1843</v>
      </c>
      <c r="H248" s="132" t="s">
        <v>2299</v>
      </c>
      <c r="I248" s="132" t="s">
        <v>2300</v>
      </c>
      <c r="J248" s="132" t="s">
        <v>1844</v>
      </c>
      <c r="K248" s="132" t="s">
        <v>1242</v>
      </c>
      <c r="L248" s="132" t="s">
        <v>2233</v>
      </c>
      <c r="M248" s="138" t="str">
        <f t="shared" si="4"/>
        <v>View on Google Map</v>
      </c>
    </row>
    <row r="249" spans="1:13">
      <c r="A249" s="132">
        <v>117</v>
      </c>
      <c r="B249" s="132" t="s">
        <v>2301</v>
      </c>
      <c r="C249" s="132" t="s">
        <v>1242</v>
      </c>
      <c r="D249" s="132">
        <v>68.600874798199996</v>
      </c>
      <c r="E249" s="132">
        <v>-149.596582063</v>
      </c>
      <c r="F249" s="132">
        <v>742</v>
      </c>
      <c r="G249" s="132" t="s">
        <v>1829</v>
      </c>
      <c r="H249" s="132" t="s">
        <v>2302</v>
      </c>
      <c r="I249" s="132" t="s">
        <v>2303</v>
      </c>
      <c r="J249" s="132" t="s">
        <v>1844</v>
      </c>
      <c r="K249" s="132" t="s">
        <v>1242</v>
      </c>
      <c r="L249" s="132" t="s">
        <v>2218</v>
      </c>
      <c r="M249" s="138" t="str">
        <f t="shared" si="4"/>
        <v>View on Google Map</v>
      </c>
    </row>
    <row r="250" spans="1:13">
      <c r="A250" s="132">
        <v>187</v>
      </c>
      <c r="B250" s="132" t="s">
        <v>2304</v>
      </c>
      <c r="C250" s="132" t="s">
        <v>1242</v>
      </c>
      <c r="D250" s="132">
        <v>68.618183329999994</v>
      </c>
      <c r="E250" s="132">
        <v>-149.596766</v>
      </c>
      <c r="F250" s="132">
        <v>728</v>
      </c>
      <c r="G250" s="132" t="s">
        <v>1843</v>
      </c>
      <c r="H250" s="132" t="s">
        <v>2305</v>
      </c>
      <c r="I250" s="132" t="s">
        <v>2306</v>
      </c>
      <c r="J250" s="132" t="s">
        <v>1844</v>
      </c>
      <c r="K250" s="132" t="s">
        <v>1242</v>
      </c>
      <c r="L250" s="132" t="s">
        <v>2233</v>
      </c>
      <c r="M250" s="138" t="str">
        <f t="shared" si="4"/>
        <v>View on Google Map</v>
      </c>
    </row>
    <row r="251" spans="1:13">
      <c r="A251" s="132">
        <v>184</v>
      </c>
      <c r="B251" s="132" t="s">
        <v>2307</v>
      </c>
      <c r="C251" s="132" t="s">
        <v>1242</v>
      </c>
      <c r="D251" s="132">
        <v>68.601830000000007</v>
      </c>
      <c r="E251" s="132">
        <v>-149.59671299999999</v>
      </c>
      <c r="F251" s="132">
        <v>742</v>
      </c>
      <c r="G251" s="132" t="s">
        <v>1843</v>
      </c>
      <c r="H251" s="132" t="s">
        <v>2308</v>
      </c>
      <c r="I251" s="132" t="s">
        <v>2309</v>
      </c>
      <c r="J251" s="132" t="s">
        <v>1844</v>
      </c>
      <c r="K251" s="132" t="s">
        <v>1242</v>
      </c>
      <c r="L251" s="132" t="s">
        <v>2233</v>
      </c>
      <c r="M251" s="138" t="str">
        <f t="shared" si="4"/>
        <v>View on Google Map</v>
      </c>
    </row>
    <row r="252" spans="1:13">
      <c r="A252" s="132">
        <v>118</v>
      </c>
      <c r="B252" s="132" t="s">
        <v>2310</v>
      </c>
      <c r="C252" s="132" t="s">
        <v>1242</v>
      </c>
      <c r="D252" s="132">
        <v>68.6101575207</v>
      </c>
      <c r="E252" s="132">
        <v>-149.582211513</v>
      </c>
      <c r="F252" s="132">
        <v>744</v>
      </c>
      <c r="G252" s="132" t="s">
        <v>1829</v>
      </c>
      <c r="H252" s="132" t="s">
        <v>2311</v>
      </c>
      <c r="I252" s="132" t="s">
        <v>2312</v>
      </c>
      <c r="J252" s="132" t="s">
        <v>1844</v>
      </c>
      <c r="K252" s="132" t="s">
        <v>1242</v>
      </c>
      <c r="L252" s="132" t="s">
        <v>2218</v>
      </c>
      <c r="M252" s="138" t="str">
        <f t="shared" si="4"/>
        <v>View on Google Map</v>
      </c>
    </row>
    <row r="253" spans="1:13">
      <c r="A253" s="132">
        <v>172</v>
      </c>
      <c r="B253" s="132" t="s">
        <v>2313</v>
      </c>
      <c r="C253" s="132" t="s">
        <v>1242</v>
      </c>
      <c r="D253" s="132">
        <v>68.573666666666668</v>
      </c>
      <c r="E253" s="132">
        <v>-149.53716666666699</v>
      </c>
      <c r="F253" s="132">
        <v>808</v>
      </c>
      <c r="G253" s="132" t="s">
        <v>1843</v>
      </c>
      <c r="H253" s="132" t="s">
        <v>2314</v>
      </c>
      <c r="I253" s="132" t="s">
        <v>2315</v>
      </c>
      <c r="J253" s="132" t="s">
        <v>1844</v>
      </c>
      <c r="K253" s="132" t="s">
        <v>1242</v>
      </c>
      <c r="L253" s="132" t="s">
        <v>2233</v>
      </c>
      <c r="M253" s="138" t="str">
        <f t="shared" si="4"/>
        <v>View on Google Map</v>
      </c>
    </row>
    <row r="254" spans="1:13">
      <c r="A254" s="132">
        <v>533</v>
      </c>
      <c r="B254" s="132" t="s">
        <v>2316</v>
      </c>
      <c r="C254" s="132" t="s">
        <v>2289</v>
      </c>
      <c r="D254" s="132">
        <v>68.599999999999994</v>
      </c>
      <c r="E254" s="132">
        <v>-149.57599999999999</v>
      </c>
      <c r="F254" s="132">
        <v>762</v>
      </c>
      <c r="G254" s="132" t="s">
        <v>1843</v>
      </c>
      <c r="H254" s="132" t="s">
        <v>1242</v>
      </c>
      <c r="I254" s="132" t="s">
        <v>1242</v>
      </c>
      <c r="J254" s="132" t="s">
        <v>1830</v>
      </c>
      <c r="K254" s="132" t="s">
        <v>1242</v>
      </c>
      <c r="L254" s="132" t="s">
        <v>2290</v>
      </c>
      <c r="M254" s="138" t="str">
        <f t="shared" si="4"/>
        <v>View on Google Map</v>
      </c>
    </row>
    <row r="255" spans="1:13">
      <c r="A255" s="132">
        <v>534</v>
      </c>
      <c r="B255" s="132" t="s">
        <v>2317</v>
      </c>
      <c r="C255" s="132" t="s">
        <v>2289</v>
      </c>
      <c r="D255" s="132">
        <v>68.601493000000005</v>
      </c>
      <c r="E255" s="132">
        <v>-149.579071</v>
      </c>
      <c r="F255" s="132">
        <v>760</v>
      </c>
      <c r="G255" s="132" t="s">
        <v>1843</v>
      </c>
      <c r="H255" s="132" t="s">
        <v>1242</v>
      </c>
      <c r="I255" s="132" t="s">
        <v>1242</v>
      </c>
      <c r="J255" s="132" t="s">
        <v>1830</v>
      </c>
      <c r="K255" s="132" t="s">
        <v>1242</v>
      </c>
      <c r="L255" s="132" t="s">
        <v>2290</v>
      </c>
      <c r="M255" s="138" t="str">
        <f t="shared" si="4"/>
        <v>View on Google Map</v>
      </c>
    </row>
    <row r="256" spans="1:13">
      <c r="A256" s="132">
        <v>185</v>
      </c>
      <c r="B256" s="132" t="s">
        <v>2318</v>
      </c>
      <c r="C256" s="132" t="s">
        <v>1242</v>
      </c>
      <c r="D256" s="132">
        <v>68.60853333</v>
      </c>
      <c r="E256" s="132">
        <v>-149.58763300000001</v>
      </c>
      <c r="F256" s="132">
        <v>744</v>
      </c>
      <c r="G256" s="132" t="s">
        <v>1843</v>
      </c>
      <c r="H256" s="132" t="s">
        <v>2319</v>
      </c>
      <c r="I256" s="132" t="s">
        <v>2320</v>
      </c>
      <c r="J256" s="132" t="s">
        <v>1844</v>
      </c>
      <c r="K256" s="132" t="s">
        <v>1242</v>
      </c>
      <c r="L256" s="132" t="s">
        <v>2233</v>
      </c>
      <c r="M256" s="138" t="str">
        <f t="shared" si="4"/>
        <v>View on Google Map</v>
      </c>
    </row>
    <row r="257" spans="1:13">
      <c r="A257" s="132">
        <v>547</v>
      </c>
      <c r="B257" s="132" t="s">
        <v>2321</v>
      </c>
      <c r="C257" s="132" t="s">
        <v>2322</v>
      </c>
      <c r="D257" s="132">
        <v>68.611012000000002</v>
      </c>
      <c r="E257" s="132">
        <v>-149.57365200000001</v>
      </c>
      <c r="F257" s="132">
        <v>744</v>
      </c>
      <c r="G257" s="132" t="s">
        <v>1843</v>
      </c>
      <c r="H257" s="132" t="s">
        <v>1242</v>
      </c>
      <c r="I257" s="132" t="s">
        <v>1242</v>
      </c>
      <c r="J257" s="132" t="s">
        <v>2323</v>
      </c>
      <c r="K257" s="132" t="s">
        <v>1242</v>
      </c>
      <c r="L257" s="132" t="s">
        <v>2324</v>
      </c>
      <c r="M257" s="138" t="str">
        <f t="shared" si="4"/>
        <v>View on Google Map</v>
      </c>
    </row>
    <row r="258" spans="1:13">
      <c r="A258" s="132">
        <v>548</v>
      </c>
      <c r="B258" s="132" t="s">
        <v>2325</v>
      </c>
      <c r="C258" s="132" t="s">
        <v>2322</v>
      </c>
      <c r="D258" s="132">
        <v>68.612117999999995</v>
      </c>
      <c r="E258" s="132">
        <v>-149.576359</v>
      </c>
      <c r="F258" s="132">
        <v>744</v>
      </c>
      <c r="G258" s="132" t="s">
        <v>1843</v>
      </c>
      <c r="H258" s="132" t="s">
        <v>1242</v>
      </c>
      <c r="I258" s="132" t="s">
        <v>1242</v>
      </c>
      <c r="J258" s="132" t="s">
        <v>2323</v>
      </c>
      <c r="K258" s="132" t="s">
        <v>1242</v>
      </c>
      <c r="L258" s="132" t="s">
        <v>2324</v>
      </c>
      <c r="M258" s="138" t="str">
        <f t="shared" si="4"/>
        <v>View on Google Map</v>
      </c>
    </row>
    <row r="259" spans="1:13">
      <c r="A259" s="132">
        <v>546</v>
      </c>
      <c r="B259" s="132" t="s">
        <v>2326</v>
      </c>
      <c r="C259" s="132" t="s">
        <v>2322</v>
      </c>
      <c r="D259" s="132">
        <v>68.608949999999993</v>
      </c>
      <c r="E259" s="132">
        <v>-149.57907399999999</v>
      </c>
      <c r="F259" s="132">
        <v>744</v>
      </c>
      <c r="G259" s="132" t="s">
        <v>1843</v>
      </c>
      <c r="H259" s="132" t="s">
        <v>1242</v>
      </c>
      <c r="I259" s="132" t="s">
        <v>1242</v>
      </c>
      <c r="J259" s="132" t="s">
        <v>2323</v>
      </c>
      <c r="K259" s="132" t="s">
        <v>1242</v>
      </c>
      <c r="L259" s="132" t="s">
        <v>2324</v>
      </c>
      <c r="M259" s="138" t="str">
        <f t="shared" ref="M259:M322" si="5">HYPERLINK("http://maps.google.com/maps?q="&amp;D259&amp;","&amp;E259,"View on Google Map")</f>
        <v>View on Google Map</v>
      </c>
    </row>
    <row r="260" spans="1:13">
      <c r="A260" s="132">
        <v>545</v>
      </c>
      <c r="B260" s="132" t="s">
        <v>2327</v>
      </c>
      <c r="C260" s="132" t="s">
        <v>2322</v>
      </c>
      <c r="D260" s="132">
        <v>68.609307999999999</v>
      </c>
      <c r="E260" s="132">
        <v>-149.57375200000001</v>
      </c>
      <c r="F260" s="132">
        <v>744</v>
      </c>
      <c r="G260" s="132" t="s">
        <v>1843</v>
      </c>
      <c r="H260" s="132" t="s">
        <v>1242</v>
      </c>
      <c r="I260" s="132" t="s">
        <v>1242</v>
      </c>
      <c r="J260" s="132" t="s">
        <v>2323</v>
      </c>
      <c r="K260" s="132" t="s">
        <v>1242</v>
      </c>
      <c r="L260" s="132" t="s">
        <v>2324</v>
      </c>
      <c r="M260" s="138" t="str">
        <f t="shared" si="5"/>
        <v>View on Google Map</v>
      </c>
    </row>
    <row r="261" spans="1:13">
      <c r="A261" s="132">
        <v>549</v>
      </c>
      <c r="B261" s="132" t="s">
        <v>2328</v>
      </c>
      <c r="C261" s="132" t="s">
        <v>1242</v>
      </c>
      <c r="D261" s="132" t="s">
        <v>1242</v>
      </c>
      <c r="E261" s="132" t="s">
        <v>1242</v>
      </c>
      <c r="F261" s="132" t="s">
        <v>1242</v>
      </c>
      <c r="G261" s="132" t="s">
        <v>1843</v>
      </c>
      <c r="H261" s="132" t="s">
        <v>1242</v>
      </c>
      <c r="I261" s="132" t="s">
        <v>1242</v>
      </c>
      <c r="J261" s="132" t="s">
        <v>1830</v>
      </c>
      <c r="K261" s="132" t="s">
        <v>1242</v>
      </c>
      <c r="L261" s="132" t="s">
        <v>2329</v>
      </c>
      <c r="M261" s="138" t="str">
        <f t="shared" si="5"/>
        <v>View on Google Map</v>
      </c>
    </row>
    <row r="262" spans="1:13">
      <c r="A262" s="132">
        <v>188</v>
      </c>
      <c r="B262" s="132" t="s">
        <v>2330</v>
      </c>
      <c r="C262" s="132" t="s">
        <v>1242</v>
      </c>
      <c r="D262" s="132">
        <v>68.61838333</v>
      </c>
      <c r="E262" s="132">
        <v>-149.59649999999999</v>
      </c>
      <c r="F262" s="132">
        <v>728</v>
      </c>
      <c r="G262" s="132" t="s">
        <v>1843</v>
      </c>
      <c r="H262" s="132" t="s">
        <v>2331</v>
      </c>
      <c r="I262" s="132" t="s">
        <v>2332</v>
      </c>
      <c r="J262" s="132" t="s">
        <v>1844</v>
      </c>
      <c r="K262" s="132" t="s">
        <v>1242</v>
      </c>
      <c r="L262" s="132" t="s">
        <v>2233</v>
      </c>
      <c r="M262" s="138" t="str">
        <f t="shared" si="5"/>
        <v>View on Google Map</v>
      </c>
    </row>
    <row r="263" spans="1:13">
      <c r="A263" s="132">
        <v>541</v>
      </c>
      <c r="B263" s="132" t="s">
        <v>2333</v>
      </c>
      <c r="C263" s="132" t="s">
        <v>2322</v>
      </c>
      <c r="D263" s="132">
        <v>68.609846000000005</v>
      </c>
      <c r="E263" s="132">
        <v>-149.58295100000001</v>
      </c>
      <c r="F263" s="132">
        <v>744</v>
      </c>
      <c r="G263" s="132" t="s">
        <v>1829</v>
      </c>
      <c r="H263" s="132" t="s">
        <v>1242</v>
      </c>
      <c r="I263" s="132" t="s">
        <v>1242</v>
      </c>
      <c r="J263" s="132" t="s">
        <v>2323</v>
      </c>
      <c r="K263" s="132" t="s">
        <v>1242</v>
      </c>
      <c r="L263" s="132" t="s">
        <v>2324</v>
      </c>
      <c r="M263" s="138" t="str">
        <f t="shared" si="5"/>
        <v>View on Google Map</v>
      </c>
    </row>
    <row r="264" spans="1:13">
      <c r="A264" s="132">
        <v>539</v>
      </c>
      <c r="B264" s="132" t="s">
        <v>2334</v>
      </c>
      <c r="C264" s="132" t="s">
        <v>2322</v>
      </c>
      <c r="D264" s="132">
        <v>68.610575999999995</v>
      </c>
      <c r="E264" s="132">
        <v>-149.576018</v>
      </c>
      <c r="F264" s="132">
        <v>744</v>
      </c>
      <c r="G264" s="132" t="s">
        <v>1829</v>
      </c>
      <c r="H264" s="132" t="s">
        <v>1242</v>
      </c>
      <c r="I264" s="132" t="s">
        <v>1242</v>
      </c>
      <c r="J264" s="132" t="s">
        <v>2323</v>
      </c>
      <c r="K264" s="132" t="s">
        <v>1242</v>
      </c>
      <c r="L264" s="132" t="s">
        <v>2324</v>
      </c>
      <c r="M264" s="138" t="str">
        <f t="shared" si="5"/>
        <v>View on Google Map</v>
      </c>
    </row>
    <row r="265" spans="1:13">
      <c r="A265" s="132">
        <v>538</v>
      </c>
      <c r="B265" s="132" t="s">
        <v>2335</v>
      </c>
      <c r="C265" s="132" t="s">
        <v>2322</v>
      </c>
      <c r="D265" s="132">
        <v>68.610889</v>
      </c>
      <c r="E265" s="132">
        <v>-149.576108</v>
      </c>
      <c r="F265" s="132">
        <v>744</v>
      </c>
      <c r="G265" s="132" t="s">
        <v>1843</v>
      </c>
      <c r="H265" s="132" t="s">
        <v>1242</v>
      </c>
      <c r="I265" s="132" t="s">
        <v>1242</v>
      </c>
      <c r="J265" s="132" t="s">
        <v>2323</v>
      </c>
      <c r="K265" s="132" t="s">
        <v>1242</v>
      </c>
      <c r="L265" s="132" t="s">
        <v>2324</v>
      </c>
      <c r="M265" s="138" t="str">
        <f t="shared" si="5"/>
        <v>View on Google Map</v>
      </c>
    </row>
    <row r="266" spans="1:13">
      <c r="A266" s="132">
        <v>544</v>
      </c>
      <c r="B266" s="132" t="s">
        <v>2336</v>
      </c>
      <c r="C266" s="132" t="s">
        <v>2322</v>
      </c>
      <c r="D266" s="132">
        <v>68.610529</v>
      </c>
      <c r="E266" s="132">
        <v>-149.58864199999999</v>
      </c>
      <c r="F266" s="132">
        <v>744</v>
      </c>
      <c r="G266" s="132" t="s">
        <v>1829</v>
      </c>
      <c r="H266" s="132" t="s">
        <v>1242</v>
      </c>
      <c r="I266" s="132" t="s">
        <v>1242</v>
      </c>
      <c r="J266" s="132" t="s">
        <v>2323</v>
      </c>
      <c r="K266" s="132" t="s">
        <v>1242</v>
      </c>
      <c r="L266" s="132" t="s">
        <v>2324</v>
      </c>
      <c r="M266" s="138" t="str">
        <f t="shared" si="5"/>
        <v>View on Google Map</v>
      </c>
    </row>
    <row r="267" spans="1:13">
      <c r="A267" s="132">
        <v>540</v>
      </c>
      <c r="B267" s="132" t="s">
        <v>2337</v>
      </c>
      <c r="C267" s="132" t="s">
        <v>2322</v>
      </c>
      <c r="D267" s="132">
        <v>68.609842</v>
      </c>
      <c r="E267" s="132">
        <v>-149.575346</v>
      </c>
      <c r="F267" s="132">
        <v>744</v>
      </c>
      <c r="G267" s="132" t="s">
        <v>1829</v>
      </c>
      <c r="H267" s="132" t="s">
        <v>1242</v>
      </c>
      <c r="I267" s="132" t="s">
        <v>1242</v>
      </c>
      <c r="J267" s="132" t="s">
        <v>2323</v>
      </c>
      <c r="K267" s="132" t="s">
        <v>1242</v>
      </c>
      <c r="L267" s="132" t="s">
        <v>2324</v>
      </c>
      <c r="M267" s="138" t="str">
        <f t="shared" si="5"/>
        <v>View on Google Map</v>
      </c>
    </row>
    <row r="268" spans="1:13">
      <c r="A268" s="132">
        <v>542</v>
      </c>
      <c r="B268" s="132" t="s">
        <v>2338</v>
      </c>
      <c r="C268" s="132" t="s">
        <v>2322</v>
      </c>
      <c r="D268" s="132">
        <v>68.609202999999994</v>
      </c>
      <c r="E268" s="132">
        <v>-149.588257</v>
      </c>
      <c r="F268" s="132">
        <v>744</v>
      </c>
      <c r="G268" s="132" t="s">
        <v>1829</v>
      </c>
      <c r="H268" s="132" t="s">
        <v>1242</v>
      </c>
      <c r="I268" s="132" t="s">
        <v>1242</v>
      </c>
      <c r="J268" s="132" t="s">
        <v>2323</v>
      </c>
      <c r="K268" s="132" t="s">
        <v>1242</v>
      </c>
      <c r="L268" s="132" t="s">
        <v>2324</v>
      </c>
      <c r="M268" s="138" t="str">
        <f t="shared" si="5"/>
        <v>View on Google Map</v>
      </c>
    </row>
    <row r="269" spans="1:13">
      <c r="A269" s="132">
        <v>543</v>
      </c>
      <c r="B269" s="132" t="s">
        <v>2339</v>
      </c>
      <c r="C269" s="132" t="s">
        <v>2322</v>
      </c>
      <c r="D269" s="132">
        <v>68.610028</v>
      </c>
      <c r="E269" s="132">
        <v>-149.588391</v>
      </c>
      <c r="F269" s="132">
        <v>744</v>
      </c>
      <c r="G269" s="132" t="s">
        <v>1829</v>
      </c>
      <c r="H269" s="132" t="s">
        <v>1242</v>
      </c>
      <c r="I269" s="132" t="s">
        <v>1242</v>
      </c>
      <c r="J269" s="132" t="s">
        <v>2323</v>
      </c>
      <c r="K269" s="132" t="s">
        <v>1242</v>
      </c>
      <c r="L269" s="132" t="s">
        <v>2324</v>
      </c>
      <c r="M269" s="138" t="str">
        <f t="shared" si="5"/>
        <v>View on Google Map</v>
      </c>
    </row>
    <row r="270" spans="1:13">
      <c r="A270" s="132">
        <v>537</v>
      </c>
      <c r="B270" s="132" t="s">
        <v>2340</v>
      </c>
      <c r="C270" s="132" t="s">
        <v>2322</v>
      </c>
      <c r="D270" s="132">
        <v>68.611514</v>
      </c>
      <c r="E270" s="132">
        <v>-149.577617</v>
      </c>
      <c r="F270" s="132">
        <v>744</v>
      </c>
      <c r="G270" s="132" t="s">
        <v>1843</v>
      </c>
      <c r="H270" s="132" t="s">
        <v>1242</v>
      </c>
      <c r="I270" s="132" t="s">
        <v>1242</v>
      </c>
      <c r="J270" s="132" t="s">
        <v>2323</v>
      </c>
      <c r="K270" s="132" t="s">
        <v>1242</v>
      </c>
      <c r="L270" s="132" t="s">
        <v>2324</v>
      </c>
      <c r="M270" s="138" t="str">
        <f t="shared" si="5"/>
        <v>View on Google Map</v>
      </c>
    </row>
    <row r="271" spans="1:13">
      <c r="A271" s="132">
        <v>15</v>
      </c>
      <c r="B271" s="132" t="s">
        <v>2341</v>
      </c>
      <c r="C271" s="132" t="s">
        <v>1242</v>
      </c>
      <c r="D271" s="132" t="s">
        <v>1242</v>
      </c>
      <c r="E271" s="132" t="s">
        <v>1242</v>
      </c>
      <c r="F271" s="132">
        <v>744</v>
      </c>
      <c r="G271" s="132" t="s">
        <v>1843</v>
      </c>
      <c r="H271" s="132" t="s">
        <v>2342</v>
      </c>
      <c r="I271" s="132" t="s">
        <v>2343</v>
      </c>
      <c r="J271" s="132" t="s">
        <v>1844</v>
      </c>
      <c r="K271" s="132">
        <v>186</v>
      </c>
      <c r="L271" s="132" t="s">
        <v>1242</v>
      </c>
      <c r="M271" s="138" t="str">
        <f t="shared" si="5"/>
        <v>View on Google Map</v>
      </c>
    </row>
    <row r="272" spans="1:13">
      <c r="A272" s="132">
        <v>305</v>
      </c>
      <c r="B272" s="132" t="s">
        <v>2344</v>
      </c>
      <c r="C272" s="132" t="s">
        <v>2345</v>
      </c>
      <c r="D272" s="132" t="s">
        <v>1242</v>
      </c>
      <c r="E272" s="132" t="s">
        <v>1242</v>
      </c>
      <c r="F272" s="132" t="s">
        <v>1242</v>
      </c>
      <c r="G272" s="132" t="s">
        <v>1843</v>
      </c>
      <c r="H272" s="132" t="s">
        <v>2346</v>
      </c>
      <c r="I272" s="132" t="s">
        <v>2347</v>
      </c>
      <c r="J272" s="132" t="s">
        <v>1844</v>
      </c>
      <c r="K272" s="132" t="s">
        <v>1242</v>
      </c>
      <c r="L272" s="132" t="s">
        <v>2233</v>
      </c>
      <c r="M272" s="138" t="str">
        <f t="shared" si="5"/>
        <v>View on Google Map</v>
      </c>
    </row>
    <row r="273" spans="1:13">
      <c r="A273" s="132">
        <v>119</v>
      </c>
      <c r="B273" s="132" t="s">
        <v>2348</v>
      </c>
      <c r="C273" s="132" t="s">
        <v>1242</v>
      </c>
      <c r="D273" s="132">
        <v>68.618964513199998</v>
      </c>
      <c r="E273" s="132">
        <v>-149.59549733099999</v>
      </c>
      <c r="F273" s="132">
        <v>728</v>
      </c>
      <c r="G273" s="132" t="s">
        <v>1829</v>
      </c>
      <c r="H273" s="132" t="s">
        <v>2349</v>
      </c>
      <c r="I273" s="132" t="s">
        <v>2350</v>
      </c>
      <c r="J273" s="132" t="s">
        <v>1844</v>
      </c>
      <c r="K273" s="132" t="s">
        <v>1242</v>
      </c>
      <c r="L273" s="132" t="s">
        <v>2218</v>
      </c>
      <c r="M273" s="138" t="str">
        <f t="shared" si="5"/>
        <v>View on Google Map</v>
      </c>
    </row>
    <row r="274" spans="1:13">
      <c r="A274" s="132">
        <v>244</v>
      </c>
      <c r="B274" s="132" t="s">
        <v>2351</v>
      </c>
      <c r="C274" s="132" t="s">
        <v>1242</v>
      </c>
      <c r="D274" s="132">
        <v>68.619383330000005</v>
      </c>
      <c r="E274" s="132">
        <v>-149.59528299999999</v>
      </c>
      <c r="F274" s="132">
        <v>728</v>
      </c>
      <c r="G274" s="132" t="s">
        <v>1843</v>
      </c>
      <c r="H274" s="132" t="s">
        <v>2352</v>
      </c>
      <c r="I274" s="132" t="s">
        <v>2353</v>
      </c>
      <c r="J274" s="132" t="s">
        <v>1844</v>
      </c>
      <c r="K274" s="132" t="s">
        <v>1242</v>
      </c>
      <c r="L274" s="132" t="s">
        <v>2233</v>
      </c>
      <c r="M274" s="138" t="str">
        <f t="shared" si="5"/>
        <v>View on Google Map</v>
      </c>
    </row>
    <row r="275" spans="1:13">
      <c r="B275" s="132" t="s">
        <v>2354</v>
      </c>
      <c r="C275" s="132" t="s">
        <v>2215</v>
      </c>
      <c r="D275" s="132">
        <v>68.544377999999995</v>
      </c>
      <c r="E275" s="132">
        <v>-149.521467</v>
      </c>
      <c r="G275" s="132" t="s">
        <v>2355</v>
      </c>
      <c r="J275" s="45" t="s">
        <v>1844</v>
      </c>
      <c r="M275" s="138" t="str">
        <f t="shared" si="5"/>
        <v>View on Google Map</v>
      </c>
    </row>
    <row r="276" spans="1:13">
      <c r="B276" s="132" t="s">
        <v>2356</v>
      </c>
      <c r="C276" s="132" t="s">
        <v>2215</v>
      </c>
      <c r="D276" s="132">
        <v>68.548204999999996</v>
      </c>
      <c r="E276" s="132">
        <v>-149.52195</v>
      </c>
      <c r="G276" s="132" t="s">
        <v>2355</v>
      </c>
      <c r="J276" s="45" t="s">
        <v>1844</v>
      </c>
      <c r="M276" s="138" t="str">
        <f t="shared" si="5"/>
        <v>View on Google Map</v>
      </c>
    </row>
    <row r="277" spans="1:13">
      <c r="B277" s="132" t="s">
        <v>2357</v>
      </c>
      <c r="C277" s="132" t="s">
        <v>2215</v>
      </c>
      <c r="D277" s="132">
        <v>68.548062999999999</v>
      </c>
      <c r="E277" s="132">
        <v>-149.521309</v>
      </c>
      <c r="G277" s="132" t="s">
        <v>2355</v>
      </c>
      <c r="J277" s="45" t="s">
        <v>1844</v>
      </c>
      <c r="M277" s="138" t="str">
        <f t="shared" si="5"/>
        <v>View on Google Map</v>
      </c>
    </row>
    <row r="278" spans="1:13">
      <c r="B278" s="132" t="s">
        <v>2358</v>
      </c>
      <c r="C278" s="132" t="s">
        <v>2215</v>
      </c>
      <c r="D278" s="132">
        <v>68.544113999999993</v>
      </c>
      <c r="E278" s="132">
        <v>-149.52220800000001</v>
      </c>
      <c r="G278" s="132" t="s">
        <v>2355</v>
      </c>
      <c r="J278" s="45" t="s">
        <v>1844</v>
      </c>
      <c r="M278" s="138" t="str">
        <f t="shared" si="5"/>
        <v>View on Google Map</v>
      </c>
    </row>
    <row r="279" spans="1:13">
      <c r="B279" s="132" t="s">
        <v>2359</v>
      </c>
      <c r="C279" s="132" t="s">
        <v>2215</v>
      </c>
      <c r="D279" s="132">
        <v>68.547873999999993</v>
      </c>
      <c r="E279" s="132">
        <v>-149.52158900000001</v>
      </c>
      <c r="G279" s="132" t="s">
        <v>2355</v>
      </c>
      <c r="J279" s="45" t="s">
        <v>1844</v>
      </c>
      <c r="M279" s="138" t="str">
        <f t="shared" si="5"/>
        <v>View on Google Map</v>
      </c>
    </row>
    <row r="280" spans="1:13">
      <c r="B280" s="132" t="s">
        <v>2360</v>
      </c>
      <c r="C280" s="132" t="s">
        <v>2215</v>
      </c>
      <c r="D280" s="132">
        <v>68.616620304999998</v>
      </c>
      <c r="E280" s="132">
        <v>-149.31797396100001</v>
      </c>
      <c r="F280" s="132">
        <v>880.55700000000002</v>
      </c>
      <c r="G280" s="132" t="s">
        <v>2355</v>
      </c>
      <c r="J280" s="45" t="s">
        <v>1844</v>
      </c>
      <c r="M280" s="138" t="str">
        <f t="shared" si="5"/>
        <v>View on Google Map</v>
      </c>
    </row>
    <row r="281" spans="1:13">
      <c r="B281" s="132" t="s">
        <v>2361</v>
      </c>
      <c r="C281" s="132" t="s">
        <v>2215</v>
      </c>
      <c r="D281" s="132">
        <v>68.618287679000005</v>
      </c>
      <c r="E281" s="132">
        <v>-149.318578011</v>
      </c>
      <c r="F281" s="132">
        <v>877.59500000000003</v>
      </c>
      <c r="G281" s="132" t="s">
        <v>2355</v>
      </c>
      <c r="J281" s="45" t="s">
        <v>1844</v>
      </c>
      <c r="M281" s="138" t="str">
        <f t="shared" si="5"/>
        <v>View on Google Map</v>
      </c>
    </row>
    <row r="282" spans="1:13">
      <c r="B282" s="132" t="s">
        <v>2362</v>
      </c>
      <c r="C282" s="132" t="s">
        <v>2215</v>
      </c>
      <c r="D282" s="132">
        <v>68.619548409999993</v>
      </c>
      <c r="E282" s="132">
        <v>-149.31832187699999</v>
      </c>
      <c r="F282" s="132">
        <v>875.59299999999996</v>
      </c>
      <c r="G282" s="132" t="s">
        <v>2355</v>
      </c>
      <c r="J282" s="45" t="s">
        <v>1844</v>
      </c>
      <c r="M282" s="138" t="str">
        <f t="shared" si="5"/>
        <v>View on Google Map</v>
      </c>
    </row>
    <row r="283" spans="1:13">
      <c r="B283" s="132" t="s">
        <v>2363</v>
      </c>
      <c r="C283" s="132" t="s">
        <v>2215</v>
      </c>
      <c r="D283" s="132">
        <v>68.621317497999996</v>
      </c>
      <c r="E283" s="132">
        <v>-149.31921364300001</v>
      </c>
      <c r="F283" s="132">
        <v>874.15200000000004</v>
      </c>
      <c r="G283" s="132" t="s">
        <v>2355</v>
      </c>
      <c r="J283" s="45" t="s">
        <v>1844</v>
      </c>
      <c r="M283" s="138" t="str">
        <f t="shared" si="5"/>
        <v>View on Google Map</v>
      </c>
    </row>
    <row r="284" spans="1:13">
      <c r="A284" s="132">
        <v>11</v>
      </c>
      <c r="B284" s="132" t="s">
        <v>2364</v>
      </c>
      <c r="C284" s="132" t="s">
        <v>1242</v>
      </c>
      <c r="D284" s="132" t="s">
        <v>1242</v>
      </c>
      <c r="E284" s="132" t="s">
        <v>1242</v>
      </c>
      <c r="F284" s="132">
        <v>884</v>
      </c>
      <c r="G284" s="132" t="s">
        <v>1843</v>
      </c>
      <c r="H284" s="132" t="s">
        <v>2365</v>
      </c>
      <c r="I284" s="132" t="s">
        <v>2366</v>
      </c>
      <c r="J284" s="132" t="s">
        <v>1844</v>
      </c>
      <c r="K284" s="132" t="s">
        <v>1242</v>
      </c>
      <c r="L284" s="132" t="s">
        <v>1242</v>
      </c>
      <c r="M284" s="138" t="str">
        <f t="shared" si="5"/>
        <v>View on Google Map</v>
      </c>
    </row>
    <row r="285" spans="1:13">
      <c r="B285" s="132" t="s">
        <v>2367</v>
      </c>
      <c r="C285" s="132" t="s">
        <v>2215</v>
      </c>
      <c r="D285" s="132">
        <v>68.625256622999999</v>
      </c>
      <c r="E285" s="132">
        <v>-149.32463380199999</v>
      </c>
      <c r="F285" s="132">
        <v>862.80799999999999</v>
      </c>
      <c r="G285" s="132" t="s">
        <v>2355</v>
      </c>
      <c r="J285" s="45" t="s">
        <v>1844</v>
      </c>
      <c r="M285" s="138" t="str">
        <f t="shared" si="5"/>
        <v>View on Google Map</v>
      </c>
    </row>
    <row r="286" spans="1:13">
      <c r="B286" s="132" t="s">
        <v>2368</v>
      </c>
      <c r="C286" s="132" t="s">
        <v>2215</v>
      </c>
      <c r="D286" s="132">
        <v>68.641922837999999</v>
      </c>
      <c r="E286" s="132">
        <v>-149.342972559</v>
      </c>
      <c r="F286" s="132">
        <v>834.62599999999998</v>
      </c>
      <c r="G286" s="132" t="s">
        <v>2355</v>
      </c>
      <c r="J286" s="45" t="s">
        <v>1844</v>
      </c>
      <c r="M286" s="138" t="str">
        <f t="shared" si="5"/>
        <v>View on Google Map</v>
      </c>
    </row>
    <row r="287" spans="1:13">
      <c r="A287" s="132">
        <v>1141</v>
      </c>
      <c r="B287" s="132" t="s">
        <v>2369</v>
      </c>
      <c r="C287" s="132" t="s">
        <v>1242</v>
      </c>
      <c r="D287" s="132" t="s">
        <v>1242</v>
      </c>
      <c r="E287" s="132" t="s">
        <v>1242</v>
      </c>
      <c r="F287" s="132" t="s">
        <v>1242</v>
      </c>
      <c r="G287" s="132" t="s">
        <v>1819</v>
      </c>
      <c r="H287" s="132" t="s">
        <v>2370</v>
      </c>
      <c r="I287" s="132" t="s">
        <v>1242</v>
      </c>
      <c r="J287" s="132" t="s">
        <v>1844</v>
      </c>
      <c r="K287" s="132" t="s">
        <v>1242</v>
      </c>
      <c r="L287" s="132" t="s">
        <v>1242</v>
      </c>
      <c r="M287" s="138" t="str">
        <f t="shared" si="5"/>
        <v>View on Google Map</v>
      </c>
    </row>
    <row r="288" spans="1:13">
      <c r="A288" s="132">
        <v>1142</v>
      </c>
      <c r="B288" s="132" t="s">
        <v>2371</v>
      </c>
      <c r="C288" s="132" t="s">
        <v>1242</v>
      </c>
      <c r="D288" s="132" t="s">
        <v>1242</v>
      </c>
      <c r="E288" s="132" t="s">
        <v>1242</v>
      </c>
      <c r="F288" s="132" t="s">
        <v>1242</v>
      </c>
      <c r="G288" s="132" t="s">
        <v>1843</v>
      </c>
      <c r="H288" s="132" t="s">
        <v>2372</v>
      </c>
      <c r="I288" s="132" t="s">
        <v>1242</v>
      </c>
      <c r="J288" s="132" t="s">
        <v>2373</v>
      </c>
      <c r="K288" s="132" t="s">
        <v>1242</v>
      </c>
      <c r="L288" s="132" t="s">
        <v>1242</v>
      </c>
      <c r="M288" s="138" t="str">
        <f t="shared" si="5"/>
        <v>View on Google Map</v>
      </c>
    </row>
    <row r="289" spans="1:13">
      <c r="A289" s="132">
        <v>1143</v>
      </c>
      <c r="B289" s="132" t="s">
        <v>2374</v>
      </c>
      <c r="C289" s="132" t="s">
        <v>1242</v>
      </c>
      <c r="D289" s="132" t="s">
        <v>1242</v>
      </c>
      <c r="E289" s="132" t="s">
        <v>1242</v>
      </c>
      <c r="F289" s="132" t="s">
        <v>1242</v>
      </c>
      <c r="G289" s="132" t="s">
        <v>1843</v>
      </c>
      <c r="H289" s="132" t="s">
        <v>1242</v>
      </c>
      <c r="I289" s="132" t="s">
        <v>1242</v>
      </c>
      <c r="J289" s="132" t="s">
        <v>2373</v>
      </c>
      <c r="K289" s="132" t="s">
        <v>1242</v>
      </c>
      <c r="L289" s="132" t="s">
        <v>1242</v>
      </c>
      <c r="M289" s="138" t="str">
        <f t="shared" si="5"/>
        <v>View on Google Map</v>
      </c>
    </row>
    <row r="290" spans="1:13">
      <c r="A290" s="132">
        <v>1140</v>
      </c>
      <c r="B290" s="132" t="s">
        <v>2375</v>
      </c>
      <c r="C290" s="132" t="s">
        <v>1242</v>
      </c>
      <c r="D290" s="132" t="s">
        <v>1242</v>
      </c>
      <c r="E290" s="132" t="s">
        <v>1242</v>
      </c>
      <c r="F290" s="132" t="s">
        <v>1242</v>
      </c>
      <c r="G290" s="132" t="s">
        <v>1819</v>
      </c>
      <c r="H290" s="132" t="s">
        <v>2376</v>
      </c>
      <c r="I290" s="132" t="s">
        <v>2377</v>
      </c>
      <c r="J290" s="132" t="s">
        <v>1844</v>
      </c>
      <c r="K290" s="132" t="s">
        <v>1242</v>
      </c>
      <c r="L290" s="132" t="s">
        <v>1242</v>
      </c>
      <c r="M290" s="138" t="str">
        <f t="shared" si="5"/>
        <v>View on Google Map</v>
      </c>
    </row>
    <row r="291" spans="1:13">
      <c r="A291" s="132">
        <v>1173</v>
      </c>
      <c r="B291" s="132" t="s">
        <v>2378</v>
      </c>
      <c r="C291" s="132" t="s">
        <v>1242</v>
      </c>
      <c r="D291" s="132" t="s">
        <v>1242</v>
      </c>
      <c r="E291" s="132" t="s">
        <v>1242</v>
      </c>
      <c r="F291" s="132" t="s">
        <v>1242</v>
      </c>
      <c r="G291" s="132" t="s">
        <v>1819</v>
      </c>
      <c r="H291" s="132" t="s">
        <v>2379</v>
      </c>
      <c r="I291" s="132" t="s">
        <v>1242</v>
      </c>
      <c r="J291" s="132" t="s">
        <v>1825</v>
      </c>
      <c r="K291" s="132" t="s">
        <v>1242</v>
      </c>
      <c r="L291" s="132" t="s">
        <v>1826</v>
      </c>
      <c r="M291" s="138" t="str">
        <f t="shared" si="5"/>
        <v>View on Google Map</v>
      </c>
    </row>
    <row r="292" spans="1:13">
      <c r="A292" s="132">
        <v>1144</v>
      </c>
      <c r="B292" s="132" t="s">
        <v>2380</v>
      </c>
      <c r="C292" s="132" t="s">
        <v>1242</v>
      </c>
      <c r="D292" s="132" t="s">
        <v>1242</v>
      </c>
      <c r="E292" s="132" t="s">
        <v>1242</v>
      </c>
      <c r="F292" s="132" t="s">
        <v>1242</v>
      </c>
      <c r="G292" s="132" t="s">
        <v>1843</v>
      </c>
      <c r="H292" s="132" t="s">
        <v>2380</v>
      </c>
      <c r="I292" s="132" t="s">
        <v>1242</v>
      </c>
      <c r="J292" s="132" t="s">
        <v>2373</v>
      </c>
      <c r="K292" s="132" t="s">
        <v>1242</v>
      </c>
      <c r="L292" s="132" t="s">
        <v>1242</v>
      </c>
      <c r="M292" s="138" t="str">
        <f t="shared" si="5"/>
        <v>View on Google Map</v>
      </c>
    </row>
    <row r="293" spans="1:13">
      <c r="A293" s="132">
        <v>1145</v>
      </c>
      <c r="B293" s="132" t="s">
        <v>2381</v>
      </c>
      <c r="C293" s="132" t="s">
        <v>1242</v>
      </c>
      <c r="D293" s="132" t="s">
        <v>1242</v>
      </c>
      <c r="E293" s="132" t="s">
        <v>1242</v>
      </c>
      <c r="F293" s="132" t="s">
        <v>1242</v>
      </c>
      <c r="G293" s="132" t="s">
        <v>1843</v>
      </c>
      <c r="H293" s="132" t="s">
        <v>2381</v>
      </c>
      <c r="I293" s="132" t="s">
        <v>1242</v>
      </c>
      <c r="J293" s="132" t="s">
        <v>2373</v>
      </c>
      <c r="K293" s="132" t="s">
        <v>1242</v>
      </c>
      <c r="L293" s="132" t="s">
        <v>1242</v>
      </c>
      <c r="M293" s="138" t="str">
        <f t="shared" si="5"/>
        <v>View on Google Map</v>
      </c>
    </row>
    <row r="294" spans="1:13">
      <c r="A294" s="132">
        <v>1146</v>
      </c>
      <c r="B294" s="132" t="s">
        <v>2382</v>
      </c>
      <c r="C294" s="132" t="s">
        <v>1242</v>
      </c>
      <c r="D294" s="132" t="s">
        <v>1242</v>
      </c>
      <c r="E294" s="132" t="s">
        <v>1242</v>
      </c>
      <c r="F294" s="132" t="s">
        <v>1242</v>
      </c>
      <c r="G294" s="132" t="s">
        <v>1819</v>
      </c>
      <c r="H294" s="132" t="s">
        <v>2382</v>
      </c>
      <c r="I294" s="132" t="s">
        <v>1242</v>
      </c>
      <c r="J294" s="132" t="s">
        <v>2373</v>
      </c>
      <c r="K294" s="132" t="s">
        <v>1242</v>
      </c>
      <c r="L294" s="132" t="s">
        <v>1242</v>
      </c>
      <c r="M294" s="138" t="str">
        <f t="shared" si="5"/>
        <v>View on Google Map</v>
      </c>
    </row>
    <row r="295" spans="1:13">
      <c r="A295" s="132">
        <v>1147</v>
      </c>
      <c r="B295" s="132" t="s">
        <v>2383</v>
      </c>
      <c r="C295" s="132" t="s">
        <v>1242</v>
      </c>
      <c r="D295" s="132" t="s">
        <v>1242</v>
      </c>
      <c r="E295" s="132" t="s">
        <v>1242</v>
      </c>
      <c r="F295" s="132" t="s">
        <v>1242</v>
      </c>
      <c r="G295" s="132" t="s">
        <v>1819</v>
      </c>
      <c r="H295" s="132" t="s">
        <v>2383</v>
      </c>
      <c r="I295" s="132" t="s">
        <v>1242</v>
      </c>
      <c r="J295" s="132" t="s">
        <v>2373</v>
      </c>
      <c r="K295" s="132" t="s">
        <v>1242</v>
      </c>
      <c r="L295" s="132" t="s">
        <v>1242</v>
      </c>
      <c r="M295" s="138" t="str">
        <f t="shared" si="5"/>
        <v>View on Google Map</v>
      </c>
    </row>
    <row r="296" spans="1:13">
      <c r="A296" s="132">
        <v>1148</v>
      </c>
      <c r="B296" s="132" t="s">
        <v>2384</v>
      </c>
      <c r="C296" s="132" t="s">
        <v>1242</v>
      </c>
      <c r="D296" s="132" t="s">
        <v>1242</v>
      </c>
      <c r="E296" s="132" t="s">
        <v>1242</v>
      </c>
      <c r="F296" s="132" t="s">
        <v>1242</v>
      </c>
      <c r="G296" s="132" t="s">
        <v>1819</v>
      </c>
      <c r="H296" s="132" t="s">
        <v>2384</v>
      </c>
      <c r="I296" s="132" t="s">
        <v>2385</v>
      </c>
      <c r="J296" s="132" t="s">
        <v>2373</v>
      </c>
      <c r="K296" s="132" t="s">
        <v>1242</v>
      </c>
      <c r="L296" s="132" t="s">
        <v>1242</v>
      </c>
      <c r="M296" s="138" t="str">
        <f t="shared" si="5"/>
        <v>View on Google Map</v>
      </c>
    </row>
    <row r="297" spans="1:13">
      <c r="A297" s="132">
        <v>1149</v>
      </c>
      <c r="B297" s="132" t="s">
        <v>2386</v>
      </c>
      <c r="C297" s="132" t="s">
        <v>1242</v>
      </c>
      <c r="D297" s="132" t="s">
        <v>1242</v>
      </c>
      <c r="E297" s="132" t="s">
        <v>1242</v>
      </c>
      <c r="F297" s="132" t="s">
        <v>1242</v>
      </c>
      <c r="G297" s="132" t="s">
        <v>1819</v>
      </c>
      <c r="H297" s="132" t="s">
        <v>2386</v>
      </c>
      <c r="I297" s="132" t="s">
        <v>2387</v>
      </c>
      <c r="J297" s="132" t="s">
        <v>2373</v>
      </c>
      <c r="K297" s="132" t="s">
        <v>1242</v>
      </c>
      <c r="L297" s="132" t="s">
        <v>1242</v>
      </c>
      <c r="M297" s="138" t="str">
        <f t="shared" si="5"/>
        <v>View on Google Map</v>
      </c>
    </row>
    <row r="298" spans="1:13">
      <c r="A298" s="132">
        <v>1150</v>
      </c>
      <c r="B298" s="132" t="s">
        <v>2388</v>
      </c>
      <c r="C298" s="132" t="s">
        <v>1242</v>
      </c>
      <c r="D298" s="132" t="s">
        <v>1242</v>
      </c>
      <c r="E298" s="132" t="s">
        <v>1242</v>
      </c>
      <c r="F298" s="132" t="s">
        <v>1242</v>
      </c>
      <c r="G298" s="132" t="s">
        <v>1819</v>
      </c>
      <c r="H298" s="132" t="s">
        <v>2388</v>
      </c>
      <c r="I298" s="132" t="s">
        <v>2389</v>
      </c>
      <c r="J298" s="132" t="s">
        <v>2373</v>
      </c>
      <c r="K298" s="132" t="s">
        <v>1242</v>
      </c>
      <c r="L298" s="132" t="s">
        <v>1242</v>
      </c>
      <c r="M298" s="138" t="str">
        <f t="shared" si="5"/>
        <v>View on Google Map</v>
      </c>
    </row>
    <row r="299" spans="1:13">
      <c r="A299" s="132">
        <v>1151</v>
      </c>
      <c r="B299" s="132" t="s">
        <v>2390</v>
      </c>
      <c r="C299" s="132" t="s">
        <v>1242</v>
      </c>
      <c r="D299" s="132" t="s">
        <v>1242</v>
      </c>
      <c r="E299" s="132" t="s">
        <v>1242</v>
      </c>
      <c r="F299" s="132" t="s">
        <v>1242</v>
      </c>
      <c r="G299" s="132" t="s">
        <v>1819</v>
      </c>
      <c r="H299" s="132" t="s">
        <v>2390</v>
      </c>
      <c r="I299" s="132" t="s">
        <v>2391</v>
      </c>
      <c r="J299" s="132" t="s">
        <v>2373</v>
      </c>
      <c r="K299" s="132" t="s">
        <v>1242</v>
      </c>
      <c r="L299" s="132" t="s">
        <v>1242</v>
      </c>
      <c r="M299" s="138" t="str">
        <f t="shared" si="5"/>
        <v>View on Google Map</v>
      </c>
    </row>
    <row r="300" spans="1:13">
      <c r="A300" s="132">
        <v>1152</v>
      </c>
      <c r="B300" s="132" t="s">
        <v>2392</v>
      </c>
      <c r="C300" s="132" t="s">
        <v>1242</v>
      </c>
      <c r="D300" s="132" t="s">
        <v>1242</v>
      </c>
      <c r="E300" s="132" t="s">
        <v>1242</v>
      </c>
      <c r="F300" s="132" t="s">
        <v>1242</v>
      </c>
      <c r="G300" s="132" t="s">
        <v>1819</v>
      </c>
      <c r="H300" s="132" t="s">
        <v>2392</v>
      </c>
      <c r="I300" s="132" t="s">
        <v>2393</v>
      </c>
      <c r="J300" s="132" t="s">
        <v>2373</v>
      </c>
      <c r="K300" s="132" t="s">
        <v>1242</v>
      </c>
      <c r="L300" s="132" t="s">
        <v>1242</v>
      </c>
      <c r="M300" s="138" t="str">
        <f t="shared" si="5"/>
        <v>View on Google Map</v>
      </c>
    </row>
    <row r="301" spans="1:13">
      <c r="A301" s="132">
        <v>1153</v>
      </c>
      <c r="B301" s="132" t="s">
        <v>2394</v>
      </c>
      <c r="C301" s="132" t="s">
        <v>1242</v>
      </c>
      <c r="D301" s="132" t="s">
        <v>1242</v>
      </c>
      <c r="E301" s="132" t="s">
        <v>1242</v>
      </c>
      <c r="F301" s="132" t="s">
        <v>1242</v>
      </c>
      <c r="G301" s="132" t="s">
        <v>1819</v>
      </c>
      <c r="H301" s="132" t="s">
        <v>2394</v>
      </c>
      <c r="I301" s="132" t="s">
        <v>2395</v>
      </c>
      <c r="J301" s="132" t="s">
        <v>2373</v>
      </c>
      <c r="K301" s="132" t="s">
        <v>1242</v>
      </c>
      <c r="L301" s="132" t="s">
        <v>1242</v>
      </c>
      <c r="M301" s="138" t="str">
        <f t="shared" si="5"/>
        <v>View on Google Map</v>
      </c>
    </row>
    <row r="302" spans="1:13">
      <c r="A302" s="132">
        <v>1154</v>
      </c>
      <c r="B302" s="132" t="s">
        <v>2396</v>
      </c>
      <c r="C302" s="132" t="s">
        <v>1242</v>
      </c>
      <c r="D302" s="132" t="s">
        <v>1242</v>
      </c>
      <c r="E302" s="132" t="s">
        <v>1242</v>
      </c>
      <c r="F302" s="132" t="s">
        <v>1242</v>
      </c>
      <c r="G302" s="132" t="s">
        <v>1819</v>
      </c>
      <c r="H302" s="132" t="s">
        <v>2396</v>
      </c>
      <c r="I302" s="132" t="s">
        <v>2397</v>
      </c>
      <c r="J302" s="132" t="s">
        <v>2373</v>
      </c>
      <c r="K302" s="132" t="s">
        <v>1242</v>
      </c>
      <c r="L302" s="132" t="s">
        <v>1242</v>
      </c>
      <c r="M302" s="138" t="str">
        <f t="shared" si="5"/>
        <v>View on Google Map</v>
      </c>
    </row>
    <row r="303" spans="1:13">
      <c r="A303" s="132">
        <v>1155</v>
      </c>
      <c r="B303" s="132" t="s">
        <v>2398</v>
      </c>
      <c r="C303" s="132" t="s">
        <v>1242</v>
      </c>
      <c r="D303" s="132" t="s">
        <v>1242</v>
      </c>
      <c r="E303" s="132" t="s">
        <v>1242</v>
      </c>
      <c r="F303" s="132" t="s">
        <v>1242</v>
      </c>
      <c r="G303" s="132" t="s">
        <v>1819</v>
      </c>
      <c r="H303" s="132" t="s">
        <v>2398</v>
      </c>
      <c r="I303" s="132" t="s">
        <v>2399</v>
      </c>
      <c r="J303" s="132" t="s">
        <v>2373</v>
      </c>
      <c r="K303" s="132" t="s">
        <v>1242</v>
      </c>
      <c r="L303" s="132" t="s">
        <v>1242</v>
      </c>
      <c r="M303" s="138" t="str">
        <f t="shared" si="5"/>
        <v>View on Google Map</v>
      </c>
    </row>
    <row r="304" spans="1:13">
      <c r="A304" s="132">
        <v>1156</v>
      </c>
      <c r="B304" s="132" t="s">
        <v>2400</v>
      </c>
      <c r="C304" s="132" t="s">
        <v>1242</v>
      </c>
      <c r="D304" s="132" t="s">
        <v>1242</v>
      </c>
      <c r="E304" s="132" t="s">
        <v>1242</v>
      </c>
      <c r="F304" s="132" t="s">
        <v>1242</v>
      </c>
      <c r="G304" s="132" t="s">
        <v>1819</v>
      </c>
      <c r="H304" s="132" t="s">
        <v>2400</v>
      </c>
      <c r="I304" s="132" t="s">
        <v>2401</v>
      </c>
      <c r="J304" s="132" t="s">
        <v>2373</v>
      </c>
      <c r="K304" s="132" t="s">
        <v>1242</v>
      </c>
      <c r="L304" s="132" t="s">
        <v>1242</v>
      </c>
      <c r="M304" s="138" t="str">
        <f t="shared" si="5"/>
        <v>View on Google Map</v>
      </c>
    </row>
    <row r="305" spans="1:13">
      <c r="A305" s="132">
        <v>1157</v>
      </c>
      <c r="B305" s="132" t="s">
        <v>2402</v>
      </c>
      <c r="C305" s="132" t="s">
        <v>1242</v>
      </c>
      <c r="D305" s="132" t="s">
        <v>1242</v>
      </c>
      <c r="E305" s="132" t="s">
        <v>1242</v>
      </c>
      <c r="F305" s="132" t="s">
        <v>1242</v>
      </c>
      <c r="G305" s="132" t="s">
        <v>1819</v>
      </c>
      <c r="H305" s="132" t="s">
        <v>2402</v>
      </c>
      <c r="I305" s="132" t="s">
        <v>2403</v>
      </c>
      <c r="J305" s="132" t="s">
        <v>2373</v>
      </c>
      <c r="K305" s="132" t="s">
        <v>1242</v>
      </c>
      <c r="L305" s="132" t="s">
        <v>1242</v>
      </c>
      <c r="M305" s="138" t="str">
        <f t="shared" si="5"/>
        <v>View on Google Map</v>
      </c>
    </row>
    <row r="306" spans="1:13">
      <c r="A306" s="132">
        <v>1158</v>
      </c>
      <c r="B306" s="132" t="s">
        <v>2404</v>
      </c>
      <c r="C306" s="132" t="s">
        <v>1242</v>
      </c>
      <c r="D306" s="132" t="s">
        <v>1242</v>
      </c>
      <c r="E306" s="132" t="s">
        <v>1242</v>
      </c>
      <c r="F306" s="132" t="s">
        <v>1242</v>
      </c>
      <c r="G306" s="132" t="s">
        <v>1819</v>
      </c>
      <c r="H306" s="132" t="s">
        <v>2404</v>
      </c>
      <c r="I306" s="132" t="s">
        <v>2405</v>
      </c>
      <c r="J306" s="132" t="s">
        <v>2373</v>
      </c>
      <c r="K306" s="132" t="s">
        <v>1242</v>
      </c>
      <c r="L306" s="132" t="s">
        <v>1242</v>
      </c>
      <c r="M306" s="138" t="str">
        <f t="shared" si="5"/>
        <v>View on Google Map</v>
      </c>
    </row>
    <row r="307" spans="1:13">
      <c r="A307" s="132">
        <v>1159</v>
      </c>
      <c r="B307" s="132" t="s">
        <v>2406</v>
      </c>
      <c r="C307" s="132" t="s">
        <v>1242</v>
      </c>
      <c r="D307" s="132" t="s">
        <v>1242</v>
      </c>
      <c r="E307" s="132" t="s">
        <v>1242</v>
      </c>
      <c r="F307" s="132" t="s">
        <v>1242</v>
      </c>
      <c r="G307" s="132" t="s">
        <v>1819</v>
      </c>
      <c r="H307" s="132" t="s">
        <v>2406</v>
      </c>
      <c r="I307" s="132" t="s">
        <v>2407</v>
      </c>
      <c r="J307" s="132" t="s">
        <v>2373</v>
      </c>
      <c r="K307" s="132" t="s">
        <v>1242</v>
      </c>
      <c r="L307" s="132" t="s">
        <v>1242</v>
      </c>
      <c r="M307" s="138" t="str">
        <f t="shared" si="5"/>
        <v>View on Google Map</v>
      </c>
    </row>
    <row r="308" spans="1:13">
      <c r="A308" s="132">
        <v>1160</v>
      </c>
      <c r="B308" s="132" t="s">
        <v>2408</v>
      </c>
      <c r="C308" s="132" t="s">
        <v>1242</v>
      </c>
      <c r="D308" s="132" t="s">
        <v>1242</v>
      </c>
      <c r="E308" s="132" t="s">
        <v>1242</v>
      </c>
      <c r="F308" s="132" t="s">
        <v>1242</v>
      </c>
      <c r="G308" s="132" t="s">
        <v>1819</v>
      </c>
      <c r="H308" s="132" t="s">
        <v>2408</v>
      </c>
      <c r="I308" s="132" t="s">
        <v>2409</v>
      </c>
      <c r="J308" s="132" t="s">
        <v>2373</v>
      </c>
      <c r="K308" s="132" t="s">
        <v>1242</v>
      </c>
      <c r="L308" s="132" t="s">
        <v>1242</v>
      </c>
      <c r="M308" s="138" t="str">
        <f t="shared" si="5"/>
        <v>View on Google Map</v>
      </c>
    </row>
    <row r="309" spans="1:13">
      <c r="A309" s="132">
        <v>1161</v>
      </c>
      <c r="B309" s="132" t="s">
        <v>2410</v>
      </c>
      <c r="C309" s="132" t="s">
        <v>1242</v>
      </c>
      <c r="D309" s="132" t="s">
        <v>1242</v>
      </c>
      <c r="E309" s="132" t="s">
        <v>1242</v>
      </c>
      <c r="F309" s="132" t="s">
        <v>1242</v>
      </c>
      <c r="G309" s="132" t="s">
        <v>1819</v>
      </c>
      <c r="H309" s="132" t="s">
        <v>2410</v>
      </c>
      <c r="I309" s="132" t="s">
        <v>2411</v>
      </c>
      <c r="J309" s="132" t="s">
        <v>2373</v>
      </c>
      <c r="K309" s="132" t="s">
        <v>1242</v>
      </c>
      <c r="L309" s="132" t="s">
        <v>1242</v>
      </c>
      <c r="M309" s="138" t="str">
        <f t="shared" si="5"/>
        <v>View on Google Map</v>
      </c>
    </row>
    <row r="310" spans="1:13">
      <c r="A310" s="132">
        <v>1162</v>
      </c>
      <c r="B310" s="132" t="s">
        <v>2412</v>
      </c>
      <c r="C310" s="132" t="s">
        <v>1242</v>
      </c>
      <c r="D310" s="132" t="s">
        <v>1242</v>
      </c>
      <c r="E310" s="132" t="s">
        <v>1242</v>
      </c>
      <c r="F310" s="132" t="s">
        <v>1242</v>
      </c>
      <c r="G310" s="132" t="s">
        <v>1819</v>
      </c>
      <c r="H310" s="132" t="s">
        <v>2412</v>
      </c>
      <c r="I310" s="132" t="s">
        <v>2413</v>
      </c>
      <c r="J310" s="132" t="s">
        <v>2373</v>
      </c>
      <c r="K310" s="132" t="s">
        <v>1242</v>
      </c>
      <c r="L310" s="132" t="s">
        <v>1242</v>
      </c>
      <c r="M310" s="138" t="str">
        <f t="shared" si="5"/>
        <v>View on Google Map</v>
      </c>
    </row>
    <row r="311" spans="1:13">
      <c r="A311" s="132">
        <v>1163</v>
      </c>
      <c r="B311" s="132" t="s">
        <v>2414</v>
      </c>
      <c r="C311" s="132" t="s">
        <v>1242</v>
      </c>
      <c r="D311" s="132" t="s">
        <v>1242</v>
      </c>
      <c r="E311" s="132" t="s">
        <v>1242</v>
      </c>
      <c r="F311" s="132" t="s">
        <v>1242</v>
      </c>
      <c r="G311" s="132" t="s">
        <v>1819</v>
      </c>
      <c r="H311" s="132" t="s">
        <v>2414</v>
      </c>
      <c r="I311" s="132" t="s">
        <v>2415</v>
      </c>
      <c r="J311" s="132" t="s">
        <v>2373</v>
      </c>
      <c r="K311" s="132" t="s">
        <v>1242</v>
      </c>
      <c r="L311" s="132" t="s">
        <v>1242</v>
      </c>
      <c r="M311" s="138" t="str">
        <f t="shared" si="5"/>
        <v>View on Google Map</v>
      </c>
    </row>
    <row r="312" spans="1:13">
      <c r="A312" s="132">
        <v>1164</v>
      </c>
      <c r="B312" s="132" t="s">
        <v>2416</v>
      </c>
      <c r="C312" s="132" t="s">
        <v>1242</v>
      </c>
      <c r="D312" s="132" t="s">
        <v>1242</v>
      </c>
      <c r="E312" s="132" t="s">
        <v>1242</v>
      </c>
      <c r="F312" s="132" t="s">
        <v>1242</v>
      </c>
      <c r="G312" s="132" t="s">
        <v>1819</v>
      </c>
      <c r="H312" s="132" t="s">
        <v>2416</v>
      </c>
      <c r="I312" s="132" t="s">
        <v>2417</v>
      </c>
      <c r="J312" s="132" t="s">
        <v>2373</v>
      </c>
      <c r="K312" s="132" t="s">
        <v>1242</v>
      </c>
      <c r="L312" s="132" t="s">
        <v>1242</v>
      </c>
      <c r="M312" s="138" t="str">
        <f t="shared" si="5"/>
        <v>View on Google Map</v>
      </c>
    </row>
    <row r="313" spans="1:13">
      <c r="A313" s="132">
        <v>1165</v>
      </c>
      <c r="B313" s="132" t="s">
        <v>2418</v>
      </c>
      <c r="C313" s="132" t="s">
        <v>1242</v>
      </c>
      <c r="D313" s="132" t="s">
        <v>1242</v>
      </c>
      <c r="E313" s="132" t="s">
        <v>1242</v>
      </c>
      <c r="F313" s="132" t="s">
        <v>1242</v>
      </c>
      <c r="G313" s="132" t="s">
        <v>1819</v>
      </c>
      <c r="H313" s="132" t="s">
        <v>2418</v>
      </c>
      <c r="I313" s="132" t="s">
        <v>1242</v>
      </c>
      <c r="J313" s="132" t="s">
        <v>2373</v>
      </c>
      <c r="K313" s="132" t="s">
        <v>1242</v>
      </c>
      <c r="L313" s="132" t="s">
        <v>1242</v>
      </c>
      <c r="M313" s="138" t="str">
        <f t="shared" si="5"/>
        <v>View on Google Map</v>
      </c>
    </row>
    <row r="314" spans="1:13">
      <c r="A314" s="132">
        <v>1166</v>
      </c>
      <c r="B314" s="132" t="s">
        <v>2419</v>
      </c>
      <c r="C314" s="132" t="s">
        <v>1242</v>
      </c>
      <c r="D314" s="132" t="s">
        <v>1242</v>
      </c>
      <c r="E314" s="132" t="s">
        <v>1242</v>
      </c>
      <c r="F314" s="132" t="s">
        <v>1242</v>
      </c>
      <c r="G314" s="132" t="s">
        <v>1819</v>
      </c>
      <c r="H314" s="132" t="s">
        <v>2419</v>
      </c>
      <c r="I314" s="132" t="s">
        <v>1242</v>
      </c>
      <c r="J314" s="132" t="s">
        <v>2373</v>
      </c>
      <c r="K314" s="132" t="s">
        <v>1242</v>
      </c>
      <c r="L314" s="132" t="s">
        <v>1242</v>
      </c>
      <c r="M314" s="138" t="str">
        <f t="shared" si="5"/>
        <v>View on Google Map</v>
      </c>
    </row>
    <row r="315" spans="1:13">
      <c r="A315" s="132">
        <v>1167</v>
      </c>
      <c r="B315" s="132" t="s">
        <v>2420</v>
      </c>
      <c r="C315" s="132" t="s">
        <v>2421</v>
      </c>
      <c r="D315" s="132" t="s">
        <v>1242</v>
      </c>
      <c r="E315" s="132" t="s">
        <v>1242</v>
      </c>
      <c r="F315" s="132" t="s">
        <v>1242</v>
      </c>
      <c r="G315" s="132" t="s">
        <v>1819</v>
      </c>
      <c r="H315" s="132" t="s">
        <v>2420</v>
      </c>
      <c r="I315" s="132" t="s">
        <v>1242</v>
      </c>
      <c r="J315" s="132" t="s">
        <v>1820</v>
      </c>
      <c r="K315" s="132" t="s">
        <v>1242</v>
      </c>
      <c r="L315" s="132" t="s">
        <v>1242</v>
      </c>
      <c r="M315" s="138" t="str">
        <f t="shared" si="5"/>
        <v>View on Google Map</v>
      </c>
    </row>
    <row r="316" spans="1:13">
      <c r="A316" s="132">
        <v>1168</v>
      </c>
      <c r="B316" s="132" t="s">
        <v>2422</v>
      </c>
      <c r="C316" s="132" t="s">
        <v>2421</v>
      </c>
      <c r="D316" s="132" t="s">
        <v>1242</v>
      </c>
      <c r="E316" s="132" t="s">
        <v>1242</v>
      </c>
      <c r="F316" s="132" t="s">
        <v>1242</v>
      </c>
      <c r="G316" s="132" t="s">
        <v>1819</v>
      </c>
      <c r="H316" s="132" t="s">
        <v>2422</v>
      </c>
      <c r="I316" s="132" t="s">
        <v>1242</v>
      </c>
      <c r="J316" s="132" t="s">
        <v>1820</v>
      </c>
      <c r="K316" s="132" t="s">
        <v>1242</v>
      </c>
      <c r="L316" s="132" t="s">
        <v>1242</v>
      </c>
      <c r="M316" s="138" t="str">
        <f t="shared" si="5"/>
        <v>View on Google Map</v>
      </c>
    </row>
    <row r="317" spans="1:13">
      <c r="A317" s="132">
        <v>125</v>
      </c>
      <c r="B317" s="132" t="s">
        <v>2423</v>
      </c>
      <c r="C317" s="132" t="s">
        <v>1242</v>
      </c>
      <c r="D317" s="132">
        <v>68.52364</v>
      </c>
      <c r="E317" s="132">
        <v>-149.48141000000001</v>
      </c>
      <c r="F317" s="132">
        <v>881</v>
      </c>
      <c r="G317" s="132" t="s">
        <v>1829</v>
      </c>
      <c r="H317" s="132" t="s">
        <v>2424</v>
      </c>
      <c r="I317" s="132" t="s">
        <v>1242</v>
      </c>
      <c r="J317" s="132" t="s">
        <v>1844</v>
      </c>
      <c r="K317" s="132" t="s">
        <v>1242</v>
      </c>
      <c r="L317" s="132" t="s">
        <v>1845</v>
      </c>
      <c r="M317" s="138" t="str">
        <f t="shared" si="5"/>
        <v>View on Google Map</v>
      </c>
    </row>
    <row r="318" spans="1:13">
      <c r="A318" s="132">
        <v>110</v>
      </c>
      <c r="B318" s="132" t="s">
        <v>2425</v>
      </c>
      <c r="C318" s="132" t="s">
        <v>1242</v>
      </c>
      <c r="D318" s="132">
        <v>68.687380000000005</v>
      </c>
      <c r="E318" s="132">
        <v>-149.67458999999999</v>
      </c>
      <c r="F318" s="132">
        <v>747</v>
      </c>
      <c r="G318" s="132" t="s">
        <v>1829</v>
      </c>
      <c r="H318" s="132" t="s">
        <v>2426</v>
      </c>
      <c r="I318" s="132" t="s">
        <v>1242</v>
      </c>
      <c r="J318" s="132" t="s">
        <v>1844</v>
      </c>
      <c r="K318" s="132" t="s">
        <v>1242</v>
      </c>
      <c r="L318" s="132" t="s">
        <v>1242</v>
      </c>
      <c r="M318" s="138" t="str">
        <f t="shared" si="5"/>
        <v>View on Google Map</v>
      </c>
    </row>
    <row r="319" spans="1:13">
      <c r="A319" s="132">
        <v>159</v>
      </c>
      <c r="B319" s="132" t="s">
        <v>2427</v>
      </c>
      <c r="C319" s="132" t="s">
        <v>1242</v>
      </c>
      <c r="D319" s="132">
        <v>68.38333333333334</v>
      </c>
      <c r="E319" s="132">
        <v>-149.91666666666666</v>
      </c>
      <c r="F319" s="132">
        <v>681</v>
      </c>
      <c r="G319" s="132" t="s">
        <v>1829</v>
      </c>
      <c r="H319" s="132" t="s">
        <v>2428</v>
      </c>
      <c r="I319" s="132" t="s">
        <v>1242</v>
      </c>
      <c r="J319" s="132" t="s">
        <v>1844</v>
      </c>
      <c r="K319" s="132" t="s">
        <v>1242</v>
      </c>
      <c r="L319" s="132" t="s">
        <v>1845</v>
      </c>
      <c r="M319" s="138" t="str">
        <f t="shared" si="5"/>
        <v>View on Google Map</v>
      </c>
    </row>
    <row r="320" spans="1:13">
      <c r="B320" s="132" t="s">
        <v>2429</v>
      </c>
      <c r="C320" s="132" t="s">
        <v>2430</v>
      </c>
      <c r="D320" s="132">
        <v>68.590049999999991</v>
      </c>
      <c r="E320" s="132">
        <v>-149.72444166666699</v>
      </c>
      <c r="G320" s="132" t="s">
        <v>2355</v>
      </c>
      <c r="J320" s="45" t="s">
        <v>1844</v>
      </c>
      <c r="M320" s="138" t="str">
        <f t="shared" si="5"/>
        <v>View on Google Map</v>
      </c>
    </row>
    <row r="321" spans="1:13">
      <c r="B321" s="132" t="s">
        <v>2431</v>
      </c>
      <c r="C321" s="132" t="s">
        <v>2430</v>
      </c>
      <c r="D321" s="132">
        <v>68.590219444444443</v>
      </c>
      <c r="E321" s="132">
        <v>-149.725272222222</v>
      </c>
      <c r="G321" s="132" t="s">
        <v>2355</v>
      </c>
      <c r="J321" s="45" t="s">
        <v>1844</v>
      </c>
      <c r="M321" s="138" t="str">
        <f t="shared" si="5"/>
        <v>View on Google Map</v>
      </c>
    </row>
    <row r="322" spans="1:13">
      <c r="A322" s="132">
        <v>32</v>
      </c>
      <c r="B322" s="132" t="s">
        <v>2432</v>
      </c>
      <c r="C322" s="132" t="s">
        <v>1242</v>
      </c>
      <c r="D322" s="132">
        <v>68.933499999999995</v>
      </c>
      <c r="E322" s="132">
        <v>-150.30600000000001</v>
      </c>
      <c r="F322" s="132" t="s">
        <v>1242</v>
      </c>
      <c r="G322" s="132" t="s">
        <v>1843</v>
      </c>
      <c r="H322" s="132" t="s">
        <v>2433</v>
      </c>
      <c r="I322" s="132" t="s">
        <v>1242</v>
      </c>
      <c r="J322" s="132" t="s">
        <v>1879</v>
      </c>
      <c r="K322" s="132" t="s">
        <v>1242</v>
      </c>
      <c r="L322" s="132" t="s">
        <v>1826</v>
      </c>
      <c r="M322" s="138" t="str">
        <f t="shared" si="5"/>
        <v>View on Google Map</v>
      </c>
    </row>
    <row r="323" spans="1:13">
      <c r="A323" s="132">
        <v>33</v>
      </c>
      <c r="B323" s="132" t="s">
        <v>2434</v>
      </c>
      <c r="C323" s="132" t="s">
        <v>1242</v>
      </c>
      <c r="D323" s="132">
        <v>68.908000000000001</v>
      </c>
      <c r="E323" s="132">
        <v>-150.114</v>
      </c>
      <c r="F323" s="132" t="s">
        <v>1242</v>
      </c>
      <c r="G323" s="132" t="s">
        <v>1843</v>
      </c>
      <c r="H323" s="132" t="s">
        <v>2435</v>
      </c>
      <c r="I323" s="132" t="s">
        <v>1242</v>
      </c>
      <c r="J323" s="132" t="s">
        <v>1879</v>
      </c>
      <c r="K323" s="132" t="s">
        <v>1242</v>
      </c>
      <c r="L323" s="132" t="s">
        <v>1826</v>
      </c>
      <c r="M323" s="138" t="str">
        <f t="shared" ref="M323:M386" si="6">HYPERLINK("http://maps.google.com/maps?q="&amp;D323&amp;","&amp;E323,"View on Google Map")</f>
        <v>View on Google Map</v>
      </c>
    </row>
    <row r="324" spans="1:13">
      <c r="A324" s="132">
        <v>1</v>
      </c>
      <c r="B324" s="132" t="s">
        <v>2436</v>
      </c>
      <c r="C324" s="132" t="s">
        <v>2437</v>
      </c>
      <c r="D324" s="132">
        <v>68.639103747222222</v>
      </c>
      <c r="E324" s="132">
        <v>-149.39432556944399</v>
      </c>
      <c r="F324" s="132">
        <v>750.56600000000003</v>
      </c>
      <c r="G324" s="132" t="s">
        <v>2355</v>
      </c>
      <c r="J324" s="45" t="s">
        <v>1844</v>
      </c>
      <c r="M324" s="138" t="str">
        <f t="shared" si="6"/>
        <v>View on Google Map</v>
      </c>
    </row>
    <row r="325" spans="1:13">
      <c r="A325" s="132">
        <v>1</v>
      </c>
      <c r="B325" s="132" t="s">
        <v>2438</v>
      </c>
      <c r="C325" s="132" t="s">
        <v>2430</v>
      </c>
      <c r="D325" s="132">
        <v>68.638060455555561</v>
      </c>
      <c r="E325" s="132">
        <v>-149.391843363889</v>
      </c>
      <c r="F325" s="132">
        <v>750.601</v>
      </c>
      <c r="G325" s="132" t="s">
        <v>2355</v>
      </c>
      <c r="J325" s="45" t="s">
        <v>1844</v>
      </c>
      <c r="M325" s="138" t="str">
        <f t="shared" si="6"/>
        <v>View on Google Map</v>
      </c>
    </row>
    <row r="326" spans="1:13">
      <c r="A326" s="132">
        <v>1</v>
      </c>
      <c r="B326" s="132" t="s">
        <v>2439</v>
      </c>
      <c r="C326" s="132" t="s">
        <v>2440</v>
      </c>
      <c r="D326" s="132">
        <v>68.640747866666672</v>
      </c>
      <c r="E326" s="132">
        <v>-149.40056111111099</v>
      </c>
      <c r="F326" s="132">
        <v>747.74400000000003</v>
      </c>
      <c r="G326" s="132" t="s">
        <v>2355</v>
      </c>
      <c r="J326" s="45" t="s">
        <v>1844</v>
      </c>
      <c r="M326" s="138" t="str">
        <f t="shared" si="6"/>
        <v>View on Google Map</v>
      </c>
    </row>
    <row r="327" spans="1:13">
      <c r="A327" s="132">
        <v>1</v>
      </c>
      <c r="B327" s="132" t="s">
        <v>2441</v>
      </c>
      <c r="C327" s="132" t="s">
        <v>2430</v>
      </c>
      <c r="D327" s="132">
        <v>68.638399647222229</v>
      </c>
      <c r="E327" s="132">
        <v>-149.38922950555599</v>
      </c>
      <c r="F327" s="132">
        <v>752.79899999999998</v>
      </c>
      <c r="G327" s="132" t="s">
        <v>2355</v>
      </c>
      <c r="J327" s="45" t="s">
        <v>1844</v>
      </c>
      <c r="M327" s="138" t="str">
        <f t="shared" si="6"/>
        <v>View on Google Map</v>
      </c>
    </row>
    <row r="328" spans="1:13">
      <c r="A328" s="132">
        <v>1</v>
      </c>
      <c r="B328" s="132" t="s">
        <v>2442</v>
      </c>
      <c r="C328" s="132" t="s">
        <v>2430</v>
      </c>
      <c r="D328" s="132">
        <v>68.637445127777781</v>
      </c>
      <c r="E328" s="132">
        <v>-149.386685694444</v>
      </c>
      <c r="F328" s="132">
        <v>753.32</v>
      </c>
      <c r="G328" s="132" t="s">
        <v>2355</v>
      </c>
      <c r="J328" s="45" t="s">
        <v>1844</v>
      </c>
      <c r="M328" s="138" t="str">
        <f t="shared" si="6"/>
        <v>View on Google Map</v>
      </c>
    </row>
    <row r="329" spans="1:13">
      <c r="A329" s="132">
        <v>1</v>
      </c>
      <c r="B329" s="132" t="s">
        <v>2443</v>
      </c>
      <c r="C329" s="132" t="s">
        <v>2215</v>
      </c>
      <c r="D329" s="132">
        <v>68.642054250000001</v>
      </c>
      <c r="E329" s="132">
        <v>-149.40350056666699</v>
      </c>
      <c r="F329" s="132">
        <v>746.26800000000003</v>
      </c>
      <c r="G329" s="132" t="s">
        <v>2355</v>
      </c>
      <c r="J329" s="45" t="s">
        <v>1844</v>
      </c>
      <c r="M329" s="138" t="str">
        <f t="shared" si="6"/>
        <v>View on Google Map</v>
      </c>
    </row>
    <row r="330" spans="1:13">
      <c r="A330" s="132">
        <v>1</v>
      </c>
      <c r="B330" s="132" t="s">
        <v>2444</v>
      </c>
      <c r="C330" s="132" t="s">
        <v>2445</v>
      </c>
      <c r="D330" s="132">
        <v>68.641460652777781</v>
      </c>
      <c r="E330" s="132">
        <v>-149.40187098888899</v>
      </c>
      <c r="F330" s="132">
        <v>747.17499999999995</v>
      </c>
      <c r="G330" s="132" t="s">
        <v>2355</v>
      </c>
      <c r="J330" s="45" t="s">
        <v>1844</v>
      </c>
      <c r="M330" s="138" t="str">
        <f t="shared" si="6"/>
        <v>View on Google Map</v>
      </c>
    </row>
    <row r="331" spans="1:13">
      <c r="A331" s="132">
        <v>1</v>
      </c>
      <c r="B331" s="132" t="s">
        <v>2446</v>
      </c>
      <c r="C331" s="132" t="s">
        <v>2215</v>
      </c>
      <c r="D331" s="132">
        <v>68.643159841666673</v>
      </c>
      <c r="E331" s="132">
        <v>-149.40326701388901</v>
      </c>
      <c r="F331" s="132">
        <v>746.55200000000002</v>
      </c>
      <c r="G331" s="132" t="s">
        <v>2355</v>
      </c>
      <c r="J331" s="45" t="s">
        <v>1844</v>
      </c>
      <c r="M331" s="138" t="str">
        <f t="shared" si="6"/>
        <v>View on Google Map</v>
      </c>
    </row>
    <row r="332" spans="1:13">
      <c r="A332" s="132">
        <v>1</v>
      </c>
      <c r="B332" s="132" t="s">
        <v>2447</v>
      </c>
      <c r="C332" s="132" t="s">
        <v>2440</v>
      </c>
      <c r="D332" s="132">
        <v>68.636731430555557</v>
      </c>
      <c r="E332" s="132">
        <v>-149.38318683611101</v>
      </c>
      <c r="F332" s="132">
        <v>755.19299999999998</v>
      </c>
      <c r="G332" s="132" t="s">
        <v>2355</v>
      </c>
      <c r="J332" s="45" t="s">
        <v>1844</v>
      </c>
      <c r="M332" s="138" t="str">
        <f t="shared" si="6"/>
        <v>View on Google Map</v>
      </c>
    </row>
    <row r="333" spans="1:13">
      <c r="A333" s="132">
        <v>1</v>
      </c>
      <c r="B333" s="132" t="s">
        <v>2448</v>
      </c>
      <c r="C333" s="132" t="s">
        <v>2440</v>
      </c>
      <c r="D333" s="132">
        <v>68.643629936111111</v>
      </c>
      <c r="E333" s="132">
        <v>-149.40249773333301</v>
      </c>
      <c r="F333" s="132">
        <v>745.85199999999998</v>
      </c>
      <c r="G333" s="132" t="s">
        <v>2355</v>
      </c>
      <c r="J333" s="45" t="s">
        <v>1844</v>
      </c>
      <c r="M333" s="138" t="str">
        <f t="shared" si="6"/>
        <v>View on Google Map</v>
      </c>
    </row>
    <row r="334" spans="1:13">
      <c r="A334" s="132">
        <v>1</v>
      </c>
      <c r="B334" s="132" t="s">
        <v>2449</v>
      </c>
      <c r="C334" s="132" t="s">
        <v>2430</v>
      </c>
      <c r="D334" s="132">
        <v>68.644659113888892</v>
      </c>
      <c r="E334" s="132">
        <v>-149.405160461111</v>
      </c>
      <c r="F334" s="132">
        <v>744.06100000000004</v>
      </c>
      <c r="G334" s="132" t="s">
        <v>2355</v>
      </c>
      <c r="J334" s="45" t="s">
        <v>1844</v>
      </c>
      <c r="M334" s="138" t="str">
        <f t="shared" si="6"/>
        <v>View on Google Map</v>
      </c>
    </row>
    <row r="335" spans="1:13">
      <c r="A335" s="132">
        <v>1</v>
      </c>
      <c r="B335" s="132" t="s">
        <v>2450</v>
      </c>
      <c r="C335" s="132" t="s">
        <v>2215</v>
      </c>
      <c r="D335" s="132">
        <v>68.646338200000002</v>
      </c>
      <c r="E335" s="132">
        <v>-149.41002641666699</v>
      </c>
      <c r="F335" s="132">
        <v>741.68899999999996</v>
      </c>
      <c r="G335" s="132" t="s">
        <v>2355</v>
      </c>
      <c r="J335" s="45" t="s">
        <v>1844</v>
      </c>
      <c r="M335" s="138" t="str">
        <f t="shared" si="6"/>
        <v>View on Google Map</v>
      </c>
    </row>
    <row r="336" spans="1:13">
      <c r="A336" s="132">
        <v>1</v>
      </c>
      <c r="B336" s="132" t="s">
        <v>2451</v>
      </c>
      <c r="C336" s="132" t="s">
        <v>2452</v>
      </c>
      <c r="D336" s="132">
        <v>68.646228841666669</v>
      </c>
      <c r="E336" s="132">
        <v>-149.40909021388899</v>
      </c>
      <c r="F336" s="132">
        <v>742.04</v>
      </c>
      <c r="G336" s="132" t="s">
        <v>2355</v>
      </c>
      <c r="J336" s="45" t="s">
        <v>1844</v>
      </c>
      <c r="M336" s="138" t="str">
        <f t="shared" si="6"/>
        <v>View on Google Map</v>
      </c>
    </row>
    <row r="337" spans="1:13">
      <c r="A337" s="132">
        <v>1</v>
      </c>
      <c r="B337" s="132" t="s">
        <v>2453</v>
      </c>
      <c r="C337" s="132" t="s">
        <v>2430</v>
      </c>
      <c r="D337" s="132">
        <v>68.647812641666675</v>
      </c>
      <c r="E337" s="132">
        <v>-149.41565431111101</v>
      </c>
      <c r="F337" s="132">
        <v>738.87300000000005</v>
      </c>
      <c r="G337" s="132" t="s">
        <v>2355</v>
      </c>
      <c r="J337" s="45" t="s">
        <v>1844</v>
      </c>
      <c r="M337" s="138" t="str">
        <f t="shared" si="6"/>
        <v>View on Google Map</v>
      </c>
    </row>
    <row r="338" spans="1:13">
      <c r="A338" s="132">
        <v>1</v>
      </c>
      <c r="B338" s="132" t="s">
        <v>2454</v>
      </c>
      <c r="C338" s="132" t="s">
        <v>2215</v>
      </c>
      <c r="D338" s="132">
        <v>68.649547222222225</v>
      </c>
      <c r="E338" s="132">
        <v>-149.41615246388901</v>
      </c>
      <c r="F338" s="132">
        <v>737.07399999999996</v>
      </c>
      <c r="G338" s="132" t="s">
        <v>2355</v>
      </c>
      <c r="J338" s="45" t="s">
        <v>1844</v>
      </c>
      <c r="M338" s="138" t="str">
        <f t="shared" si="6"/>
        <v>View on Google Map</v>
      </c>
    </row>
    <row r="339" spans="1:13">
      <c r="A339" s="132">
        <v>1</v>
      </c>
      <c r="B339" s="132" t="s">
        <v>2455</v>
      </c>
      <c r="C339" s="132" t="s">
        <v>2440</v>
      </c>
      <c r="D339" s="132">
        <v>68.65164966388889</v>
      </c>
      <c r="E339" s="132">
        <v>-149.41647778611099</v>
      </c>
      <c r="F339" s="132">
        <v>735.41800000000001</v>
      </c>
      <c r="G339" s="132" t="s">
        <v>2355</v>
      </c>
      <c r="J339" s="45" t="s">
        <v>1844</v>
      </c>
      <c r="M339" s="138" t="str">
        <f t="shared" si="6"/>
        <v>View on Google Map</v>
      </c>
    </row>
    <row r="340" spans="1:13">
      <c r="A340" s="132">
        <v>1</v>
      </c>
      <c r="B340" s="132" t="s">
        <v>2456</v>
      </c>
      <c r="C340" s="132" t="s">
        <v>2215</v>
      </c>
      <c r="D340" s="132">
        <v>68.652284541666674</v>
      </c>
      <c r="E340" s="132">
        <v>-149.41517665000001</v>
      </c>
      <c r="F340" s="132">
        <v>734.78499999999997</v>
      </c>
      <c r="G340" s="132" t="s">
        <v>2355</v>
      </c>
      <c r="J340" s="45" t="s">
        <v>1844</v>
      </c>
      <c r="M340" s="138" t="str">
        <f t="shared" si="6"/>
        <v>View on Google Map</v>
      </c>
    </row>
    <row r="341" spans="1:13">
      <c r="A341" s="132">
        <v>1</v>
      </c>
      <c r="B341" s="132" t="s">
        <v>2457</v>
      </c>
      <c r="C341" s="132" t="s">
        <v>2430</v>
      </c>
      <c r="D341" s="132">
        <v>68.653667241666668</v>
      </c>
      <c r="E341" s="132">
        <v>-149.420855111111</v>
      </c>
      <c r="F341" s="132">
        <v>732.173</v>
      </c>
      <c r="G341" s="132" t="s">
        <v>2355</v>
      </c>
      <c r="J341" s="45" t="s">
        <v>1844</v>
      </c>
      <c r="M341" s="138" t="str">
        <f t="shared" si="6"/>
        <v>View on Google Map</v>
      </c>
    </row>
    <row r="342" spans="1:13">
      <c r="A342" s="132">
        <v>1</v>
      </c>
      <c r="B342" s="132" t="s">
        <v>2458</v>
      </c>
      <c r="C342" s="132" t="s">
        <v>2215</v>
      </c>
      <c r="D342" s="132">
        <v>68.658785577777778</v>
      </c>
      <c r="E342" s="132">
        <v>-149.42446433055599</v>
      </c>
      <c r="F342" s="132">
        <v>726.91899999999998</v>
      </c>
      <c r="G342" s="132" t="s">
        <v>2355</v>
      </c>
      <c r="J342" s="45" t="s">
        <v>1844</v>
      </c>
      <c r="M342" s="138" t="str">
        <f t="shared" si="6"/>
        <v>View on Google Map</v>
      </c>
    </row>
    <row r="343" spans="1:13">
      <c r="A343" s="132">
        <v>1</v>
      </c>
      <c r="B343" s="132" t="s">
        <v>2459</v>
      </c>
      <c r="C343" s="132" t="s">
        <v>2460</v>
      </c>
      <c r="D343" s="132">
        <v>68.638340663999998</v>
      </c>
      <c r="E343" s="132">
        <v>-149.39350505600001</v>
      </c>
      <c r="G343" s="132" t="s">
        <v>2355</v>
      </c>
      <c r="J343" s="45" t="s">
        <v>1844</v>
      </c>
      <c r="M343" s="138" t="str">
        <f t="shared" si="6"/>
        <v>View on Google Map</v>
      </c>
    </row>
    <row r="344" spans="1:13">
      <c r="A344" s="132">
        <v>1</v>
      </c>
      <c r="B344" s="45" t="s">
        <v>2461</v>
      </c>
      <c r="C344" s="45" t="s">
        <v>2461</v>
      </c>
      <c r="D344" s="132">
        <v>68.647525999999999</v>
      </c>
      <c r="E344" s="132">
        <v>-149.411416</v>
      </c>
      <c r="F344" s="132">
        <v>731</v>
      </c>
      <c r="G344" s="132" t="s">
        <v>1843</v>
      </c>
      <c r="H344" s="132" t="s">
        <v>2462</v>
      </c>
      <c r="I344" s="132" t="s">
        <v>1242</v>
      </c>
      <c r="J344" s="132" t="s">
        <v>1844</v>
      </c>
      <c r="K344" s="132" t="s">
        <v>1242</v>
      </c>
      <c r="L344" s="132" t="s">
        <v>1242</v>
      </c>
      <c r="M344" s="138" t="str">
        <f t="shared" si="6"/>
        <v>View on Google Map</v>
      </c>
    </row>
    <row r="345" spans="1:13">
      <c r="A345" s="132">
        <v>19</v>
      </c>
      <c r="B345" s="132" t="s">
        <v>2463</v>
      </c>
      <c r="C345" s="132" t="s">
        <v>1242</v>
      </c>
      <c r="D345" s="132">
        <v>68.967611000000005</v>
      </c>
      <c r="E345" s="132">
        <v>-149.705342</v>
      </c>
      <c r="F345" s="132">
        <v>411</v>
      </c>
      <c r="G345" s="132" t="s">
        <v>1843</v>
      </c>
      <c r="H345" s="132" t="s">
        <v>2464</v>
      </c>
      <c r="I345" s="132" t="s">
        <v>1242</v>
      </c>
      <c r="J345" s="132" t="s">
        <v>1844</v>
      </c>
      <c r="K345" s="132" t="s">
        <v>1242</v>
      </c>
      <c r="L345" s="132" t="s">
        <v>1242</v>
      </c>
      <c r="M345" s="138" t="str">
        <f t="shared" si="6"/>
        <v>View on Google Map</v>
      </c>
    </row>
    <row r="346" spans="1:13">
      <c r="A346" s="132">
        <v>16</v>
      </c>
      <c r="B346" s="132" t="s">
        <v>2465</v>
      </c>
      <c r="C346" s="132" t="s">
        <v>1242</v>
      </c>
      <c r="D346" s="132" t="s">
        <v>1242</v>
      </c>
      <c r="E346" s="132" t="s">
        <v>1242</v>
      </c>
      <c r="F346" s="132" t="s">
        <v>1242</v>
      </c>
      <c r="G346" s="132" t="s">
        <v>1843</v>
      </c>
      <c r="H346" s="132" t="s">
        <v>1242</v>
      </c>
      <c r="I346" s="132" t="s">
        <v>1242</v>
      </c>
      <c r="J346" s="132" t="s">
        <v>1844</v>
      </c>
      <c r="K346" s="132" t="s">
        <v>1242</v>
      </c>
      <c r="L346" s="132" t="s">
        <v>1242</v>
      </c>
      <c r="M346" s="138" t="str">
        <f t="shared" si="6"/>
        <v>View on Google Map</v>
      </c>
    </row>
    <row r="347" spans="1:13">
      <c r="A347" s="132">
        <v>1198</v>
      </c>
      <c r="B347" s="132" t="s">
        <v>2466</v>
      </c>
      <c r="C347" s="132" t="s">
        <v>2002</v>
      </c>
      <c r="D347" s="132">
        <v>69.297460909999998</v>
      </c>
      <c r="E347" s="132">
        <v>-150.32340117999999</v>
      </c>
      <c r="F347" s="132" t="s">
        <v>1242</v>
      </c>
      <c r="G347" s="132" t="s">
        <v>1819</v>
      </c>
      <c r="H347" s="132" t="s">
        <v>1242</v>
      </c>
      <c r="I347" s="132" t="s">
        <v>1242</v>
      </c>
      <c r="J347" s="132" t="s">
        <v>1825</v>
      </c>
      <c r="K347" s="132" t="s">
        <v>1242</v>
      </c>
      <c r="L347" s="132" t="s">
        <v>1826</v>
      </c>
      <c r="M347" s="138" t="str">
        <f t="shared" si="6"/>
        <v>View on Google Map</v>
      </c>
    </row>
    <row r="348" spans="1:13">
      <c r="A348" s="132">
        <v>135</v>
      </c>
      <c r="B348" s="132" t="s">
        <v>2467</v>
      </c>
      <c r="C348" s="132" t="s">
        <v>1242</v>
      </c>
      <c r="D348" s="132">
        <v>70.333333333333329</v>
      </c>
      <c r="E348" s="132">
        <v>-148.80000000000001</v>
      </c>
      <c r="F348" s="132">
        <v>4</v>
      </c>
      <c r="G348" s="132" t="s">
        <v>1829</v>
      </c>
      <c r="H348" s="132" t="s">
        <v>2468</v>
      </c>
      <c r="I348" s="132" t="s">
        <v>1242</v>
      </c>
      <c r="J348" s="132" t="s">
        <v>1844</v>
      </c>
      <c r="K348" s="132" t="s">
        <v>1242</v>
      </c>
      <c r="L348" s="132" t="s">
        <v>1845</v>
      </c>
      <c r="M348" s="138" t="str">
        <f t="shared" si="6"/>
        <v>View on Google Map</v>
      </c>
    </row>
    <row r="349" spans="1:13">
      <c r="A349" s="132">
        <v>126</v>
      </c>
      <c r="B349" s="132" t="s">
        <v>2469</v>
      </c>
      <c r="C349" s="132" t="s">
        <v>1242</v>
      </c>
      <c r="D349" s="132">
        <v>68.733333333333334</v>
      </c>
      <c r="E349" s="132">
        <v>-148.93333333333334</v>
      </c>
      <c r="F349" s="132">
        <v>556</v>
      </c>
      <c r="G349" s="132" t="s">
        <v>1829</v>
      </c>
      <c r="H349" s="132" t="s">
        <v>2470</v>
      </c>
      <c r="I349" s="132" t="s">
        <v>1242</v>
      </c>
      <c r="J349" s="132" t="s">
        <v>1844</v>
      </c>
      <c r="K349" s="132" t="s">
        <v>1242</v>
      </c>
      <c r="L349" s="132" t="s">
        <v>1845</v>
      </c>
      <c r="M349" s="138" t="str">
        <f t="shared" si="6"/>
        <v>View on Google Map</v>
      </c>
    </row>
    <row r="350" spans="1:13">
      <c r="A350" s="132">
        <v>134</v>
      </c>
      <c r="B350" s="132" t="s">
        <v>2471</v>
      </c>
      <c r="C350" s="132" t="s">
        <v>1242</v>
      </c>
      <c r="D350" s="132">
        <v>70.349999999999994</v>
      </c>
      <c r="E350" s="132">
        <v>-148.58333333333334</v>
      </c>
      <c r="F350" s="132">
        <v>2</v>
      </c>
      <c r="G350" s="132" t="s">
        <v>1829</v>
      </c>
      <c r="H350" s="132" t="s">
        <v>2472</v>
      </c>
      <c r="I350" s="132" t="s">
        <v>1242</v>
      </c>
      <c r="J350" s="132" t="s">
        <v>1844</v>
      </c>
      <c r="K350" s="132" t="s">
        <v>1242</v>
      </c>
      <c r="L350" s="132" t="s">
        <v>1845</v>
      </c>
      <c r="M350" s="138" t="str">
        <f t="shared" si="6"/>
        <v>View on Google Map</v>
      </c>
    </row>
    <row r="351" spans="1:13">
      <c r="A351" s="132">
        <v>128</v>
      </c>
      <c r="B351" s="132" t="s">
        <v>2473</v>
      </c>
      <c r="C351" s="132" t="s">
        <v>1242</v>
      </c>
      <c r="D351" s="132">
        <v>69.033333333333331</v>
      </c>
      <c r="E351" s="132">
        <v>-148.85</v>
      </c>
      <c r="F351" s="132">
        <v>319</v>
      </c>
      <c r="G351" s="132" t="s">
        <v>1829</v>
      </c>
      <c r="H351" s="132" t="s">
        <v>2474</v>
      </c>
      <c r="I351" s="132" t="s">
        <v>1242</v>
      </c>
      <c r="J351" s="132" t="s">
        <v>1844</v>
      </c>
      <c r="K351" s="132" t="s">
        <v>1242</v>
      </c>
      <c r="L351" s="132" t="s">
        <v>1845</v>
      </c>
      <c r="M351" s="138" t="str">
        <f t="shared" si="6"/>
        <v>View on Google Map</v>
      </c>
    </row>
    <row r="352" spans="1:13">
      <c r="A352" s="132">
        <v>139</v>
      </c>
      <c r="B352" s="132" t="s">
        <v>2475</v>
      </c>
      <c r="C352" s="132" t="s">
        <v>1242</v>
      </c>
      <c r="D352" s="132">
        <v>70.216666666666669</v>
      </c>
      <c r="E352" s="132">
        <v>-142.46666666666701</v>
      </c>
      <c r="F352" s="132">
        <v>15</v>
      </c>
      <c r="G352" s="132" t="s">
        <v>1829</v>
      </c>
      <c r="H352" s="132" t="s">
        <v>2476</v>
      </c>
      <c r="I352" s="132" t="s">
        <v>2477</v>
      </c>
      <c r="J352" s="132" t="s">
        <v>1844</v>
      </c>
      <c r="K352" s="132" t="s">
        <v>1242</v>
      </c>
      <c r="L352" s="132" t="s">
        <v>1845</v>
      </c>
      <c r="M352" s="138" t="str">
        <f t="shared" si="6"/>
        <v>View on Google Map</v>
      </c>
    </row>
    <row r="353" spans="1:14">
      <c r="A353" s="132">
        <v>127</v>
      </c>
      <c r="B353" s="132" t="s">
        <v>2478</v>
      </c>
      <c r="C353" s="132" t="s">
        <v>1242</v>
      </c>
      <c r="D353" s="132">
        <v>68.733333333333334</v>
      </c>
      <c r="E353" s="132">
        <v>-148.96666666666667</v>
      </c>
      <c r="F353" s="132">
        <v>597</v>
      </c>
      <c r="G353" s="132" t="s">
        <v>1829</v>
      </c>
      <c r="H353" s="132" t="s">
        <v>2479</v>
      </c>
      <c r="I353" s="132" t="s">
        <v>1242</v>
      </c>
      <c r="J353" s="132" t="s">
        <v>1844</v>
      </c>
      <c r="K353" s="132" t="s">
        <v>1242</v>
      </c>
      <c r="L353" s="132" t="s">
        <v>1845</v>
      </c>
      <c r="M353" s="138" t="str">
        <f t="shared" si="6"/>
        <v>View on Google Map</v>
      </c>
    </row>
    <row r="354" spans="1:14">
      <c r="A354" s="132">
        <v>133</v>
      </c>
      <c r="B354" s="132" t="s">
        <v>2480</v>
      </c>
      <c r="C354" s="132" t="s">
        <v>1242</v>
      </c>
      <c r="D354" s="132">
        <v>70.36666666666666</v>
      </c>
      <c r="E354" s="132">
        <v>-148.5</v>
      </c>
      <c r="F354" s="132">
        <v>2</v>
      </c>
      <c r="G354" s="132" t="s">
        <v>1829</v>
      </c>
      <c r="H354" s="132" t="s">
        <v>2481</v>
      </c>
      <c r="I354" s="132" t="s">
        <v>1242</v>
      </c>
      <c r="J354" s="132" t="s">
        <v>1844</v>
      </c>
      <c r="K354" s="132" t="s">
        <v>1242</v>
      </c>
      <c r="L354" s="132" t="s">
        <v>1845</v>
      </c>
      <c r="M354" s="138" t="str">
        <f t="shared" si="6"/>
        <v>View on Google Map</v>
      </c>
    </row>
    <row r="355" spans="1:14">
      <c r="A355" s="132">
        <v>140</v>
      </c>
      <c r="B355" s="132" t="s">
        <v>2482</v>
      </c>
      <c r="C355" s="132" t="s">
        <v>1242</v>
      </c>
      <c r="D355" s="132">
        <v>69.583333333333329</v>
      </c>
      <c r="E355" s="132">
        <v>-148.63333333333301</v>
      </c>
      <c r="F355" s="132">
        <v>145</v>
      </c>
      <c r="G355" s="132" t="s">
        <v>1829</v>
      </c>
      <c r="H355" s="132" t="s">
        <v>2483</v>
      </c>
      <c r="I355" s="132" t="s">
        <v>2484</v>
      </c>
      <c r="J355" s="132" t="s">
        <v>1844</v>
      </c>
      <c r="K355" s="132" t="s">
        <v>1242</v>
      </c>
      <c r="L355" s="132" t="s">
        <v>1845</v>
      </c>
      <c r="M355" s="138" t="str">
        <f t="shared" si="6"/>
        <v>View on Google Map</v>
      </c>
    </row>
    <row r="356" spans="1:14">
      <c r="A356" s="132">
        <v>247</v>
      </c>
      <c r="B356" s="132" t="s">
        <v>2485</v>
      </c>
      <c r="C356" s="132" t="s">
        <v>2486</v>
      </c>
      <c r="D356" s="132">
        <v>68.687318124800001</v>
      </c>
      <c r="E356" s="132">
        <v>-150.043661294</v>
      </c>
      <c r="F356" s="132">
        <v>670</v>
      </c>
      <c r="G356" s="132" t="s">
        <v>1829</v>
      </c>
      <c r="H356" s="132" t="s">
        <v>2487</v>
      </c>
      <c r="I356" s="132" t="s">
        <v>1242</v>
      </c>
      <c r="J356" s="132" t="s">
        <v>2111</v>
      </c>
      <c r="K356" s="132" t="s">
        <v>1242</v>
      </c>
      <c r="L356" s="132" t="s">
        <v>2112</v>
      </c>
      <c r="M356" s="138" t="str">
        <f t="shared" si="6"/>
        <v>View on Google Map</v>
      </c>
      <c r="N356" s="132">
        <f t="shared" ref="N356:N419" si="7">VALUE(MID(H356,5,3))</f>
        <v>1</v>
      </c>
    </row>
    <row r="357" spans="1:14">
      <c r="A357" s="132">
        <v>248</v>
      </c>
      <c r="B357" s="132" t="s">
        <v>2488</v>
      </c>
      <c r="C357" s="132" t="s">
        <v>2489</v>
      </c>
      <c r="D357" s="132">
        <v>68.691799913400004</v>
      </c>
      <c r="E357" s="132">
        <v>-150.04995633499999</v>
      </c>
      <c r="F357" s="132">
        <v>670</v>
      </c>
      <c r="G357" s="132" t="s">
        <v>1829</v>
      </c>
      <c r="H357" s="132" t="s">
        <v>2490</v>
      </c>
      <c r="I357" s="132" t="s">
        <v>1242</v>
      </c>
      <c r="J357" s="132" t="s">
        <v>2111</v>
      </c>
      <c r="K357" s="132" t="s">
        <v>1242</v>
      </c>
      <c r="L357" s="132" t="s">
        <v>2112</v>
      </c>
      <c r="M357" s="138" t="str">
        <f t="shared" si="6"/>
        <v>View on Google Map</v>
      </c>
      <c r="N357" s="132">
        <f t="shared" si="7"/>
        <v>2</v>
      </c>
    </row>
    <row r="358" spans="1:14">
      <c r="A358" s="132">
        <v>249</v>
      </c>
      <c r="B358" s="132" t="s">
        <v>2491</v>
      </c>
      <c r="C358" s="132" t="s">
        <v>2492</v>
      </c>
      <c r="D358" s="132">
        <v>68.692272706200001</v>
      </c>
      <c r="E358" s="132">
        <v>-150.05393183499999</v>
      </c>
      <c r="F358" s="132">
        <v>670</v>
      </c>
      <c r="G358" s="132" t="s">
        <v>1829</v>
      </c>
      <c r="H358" s="132" t="s">
        <v>2493</v>
      </c>
      <c r="I358" s="132" t="s">
        <v>1242</v>
      </c>
      <c r="J358" s="132" t="s">
        <v>2111</v>
      </c>
      <c r="K358" s="132" t="s">
        <v>1242</v>
      </c>
      <c r="L358" s="132" t="s">
        <v>2112</v>
      </c>
      <c r="M358" s="138" t="str">
        <f t="shared" si="6"/>
        <v>View on Google Map</v>
      </c>
      <c r="N358" s="132">
        <f t="shared" si="7"/>
        <v>3</v>
      </c>
    </row>
    <row r="359" spans="1:14">
      <c r="A359" s="132">
        <v>250</v>
      </c>
      <c r="B359" s="132" t="s">
        <v>2494</v>
      </c>
      <c r="C359" s="132" t="s">
        <v>2495</v>
      </c>
      <c r="D359" s="132">
        <v>68.694180615799993</v>
      </c>
      <c r="E359" s="132">
        <v>-150.05828837300001</v>
      </c>
      <c r="F359" s="132">
        <v>670</v>
      </c>
      <c r="G359" s="132" t="s">
        <v>1829</v>
      </c>
      <c r="H359" s="132" t="s">
        <v>2496</v>
      </c>
      <c r="I359" s="132" t="s">
        <v>1242</v>
      </c>
      <c r="J359" s="132" t="s">
        <v>2111</v>
      </c>
      <c r="K359" s="132" t="s">
        <v>1242</v>
      </c>
      <c r="L359" s="132" t="s">
        <v>2112</v>
      </c>
      <c r="M359" s="138" t="str">
        <f t="shared" si="6"/>
        <v>View on Google Map</v>
      </c>
      <c r="N359" s="132">
        <f t="shared" si="7"/>
        <v>4</v>
      </c>
    </row>
    <row r="360" spans="1:14">
      <c r="A360" s="132">
        <v>251</v>
      </c>
      <c r="B360" s="132" t="s">
        <v>2497</v>
      </c>
      <c r="C360" s="132" t="s">
        <v>2498</v>
      </c>
      <c r="D360" s="132">
        <v>68.7077131315</v>
      </c>
      <c r="E360" s="132">
        <v>-150.04654580600001</v>
      </c>
      <c r="F360" s="132">
        <v>580</v>
      </c>
      <c r="G360" s="132" t="s">
        <v>1829</v>
      </c>
      <c r="H360" s="132" t="s">
        <v>2499</v>
      </c>
      <c r="I360" s="132" t="s">
        <v>1242</v>
      </c>
      <c r="J360" s="132" t="s">
        <v>2111</v>
      </c>
      <c r="K360" s="132" t="s">
        <v>1242</v>
      </c>
      <c r="L360" s="132" t="s">
        <v>2112</v>
      </c>
      <c r="M360" s="138" t="str">
        <f t="shared" si="6"/>
        <v>View on Google Map</v>
      </c>
      <c r="N360" s="132">
        <f t="shared" si="7"/>
        <v>5</v>
      </c>
    </row>
    <row r="361" spans="1:14">
      <c r="A361" s="132">
        <v>252</v>
      </c>
      <c r="B361" s="132" t="s">
        <v>2500</v>
      </c>
      <c r="C361" s="132" t="s">
        <v>2501</v>
      </c>
      <c r="D361" s="132">
        <v>68.713583961699996</v>
      </c>
      <c r="E361" s="132">
        <v>-150.03096474</v>
      </c>
      <c r="F361" s="132">
        <v>550</v>
      </c>
      <c r="G361" s="132" t="s">
        <v>1829</v>
      </c>
      <c r="H361" s="132" t="s">
        <v>2502</v>
      </c>
      <c r="I361" s="132" t="s">
        <v>1242</v>
      </c>
      <c r="J361" s="132" t="s">
        <v>2111</v>
      </c>
      <c r="K361" s="132" t="s">
        <v>1242</v>
      </c>
      <c r="L361" s="132" t="s">
        <v>2112</v>
      </c>
      <c r="M361" s="138" t="str">
        <f t="shared" si="6"/>
        <v>View on Google Map</v>
      </c>
      <c r="N361" s="132">
        <f t="shared" si="7"/>
        <v>6</v>
      </c>
    </row>
    <row r="362" spans="1:14">
      <c r="A362" s="132">
        <v>253</v>
      </c>
      <c r="B362" s="132" t="s">
        <v>2503</v>
      </c>
      <c r="C362" s="132" t="s">
        <v>2504</v>
      </c>
      <c r="D362" s="132">
        <v>68.717696468200003</v>
      </c>
      <c r="E362" s="132">
        <v>-150.03558023400001</v>
      </c>
      <c r="F362" s="132">
        <v>550</v>
      </c>
      <c r="G362" s="132" t="s">
        <v>1829</v>
      </c>
      <c r="H362" s="132" t="s">
        <v>2505</v>
      </c>
      <c r="I362" s="132" t="s">
        <v>1242</v>
      </c>
      <c r="J362" s="132" t="s">
        <v>2111</v>
      </c>
      <c r="K362" s="132" t="s">
        <v>1242</v>
      </c>
      <c r="L362" s="132" t="s">
        <v>2112</v>
      </c>
      <c r="M362" s="138" t="str">
        <f t="shared" si="6"/>
        <v>View on Google Map</v>
      </c>
      <c r="N362" s="132">
        <f t="shared" si="7"/>
        <v>7</v>
      </c>
    </row>
    <row r="363" spans="1:14">
      <c r="A363" s="132">
        <v>254</v>
      </c>
      <c r="B363" s="132" t="s">
        <v>2506</v>
      </c>
      <c r="C363" s="132" t="s">
        <v>2507</v>
      </c>
      <c r="D363" s="132">
        <v>68.724625849299997</v>
      </c>
      <c r="E363" s="132">
        <v>-150.02664640699999</v>
      </c>
      <c r="F363" s="132">
        <v>520</v>
      </c>
      <c r="G363" s="132" t="s">
        <v>1829</v>
      </c>
      <c r="H363" s="132" t="s">
        <v>2508</v>
      </c>
      <c r="I363" s="132" t="s">
        <v>1242</v>
      </c>
      <c r="J363" s="132" t="s">
        <v>2111</v>
      </c>
      <c r="K363" s="132" t="s">
        <v>1242</v>
      </c>
      <c r="L363" s="132" t="s">
        <v>2112</v>
      </c>
      <c r="M363" s="138" t="str">
        <f t="shared" si="6"/>
        <v>View on Google Map</v>
      </c>
      <c r="N363" s="132">
        <f t="shared" si="7"/>
        <v>8</v>
      </c>
    </row>
    <row r="364" spans="1:14">
      <c r="A364" s="132">
        <v>255</v>
      </c>
      <c r="B364" s="132" t="s">
        <v>2509</v>
      </c>
      <c r="C364" s="132" t="s">
        <v>2510</v>
      </c>
      <c r="D364" s="132">
        <v>68.728073916699998</v>
      </c>
      <c r="E364" s="132">
        <v>-150.03359923599999</v>
      </c>
      <c r="F364" s="132">
        <v>520</v>
      </c>
      <c r="G364" s="132" t="s">
        <v>1829</v>
      </c>
      <c r="H364" s="132" t="s">
        <v>2511</v>
      </c>
      <c r="I364" s="132" t="s">
        <v>1242</v>
      </c>
      <c r="J364" s="132" t="s">
        <v>2111</v>
      </c>
      <c r="K364" s="132" t="s">
        <v>1242</v>
      </c>
      <c r="L364" s="132" t="s">
        <v>2112</v>
      </c>
      <c r="M364" s="138" t="str">
        <f t="shared" si="6"/>
        <v>View on Google Map</v>
      </c>
      <c r="N364" s="132">
        <f t="shared" si="7"/>
        <v>9</v>
      </c>
    </row>
    <row r="365" spans="1:14">
      <c r="A365" s="132">
        <v>256</v>
      </c>
      <c r="B365" s="132" t="s">
        <v>2512</v>
      </c>
      <c r="C365" s="132" t="s">
        <v>2513</v>
      </c>
      <c r="D365" s="132">
        <v>68.701700654700005</v>
      </c>
      <c r="E365" s="132">
        <v>-149.74902999599999</v>
      </c>
      <c r="F365" s="132">
        <v>760</v>
      </c>
      <c r="G365" s="132" t="s">
        <v>1829</v>
      </c>
      <c r="H365" s="132" t="s">
        <v>2514</v>
      </c>
      <c r="I365" s="132" t="s">
        <v>1242</v>
      </c>
      <c r="J365" s="132" t="s">
        <v>2111</v>
      </c>
      <c r="K365" s="132" t="s">
        <v>1242</v>
      </c>
      <c r="L365" s="132" t="s">
        <v>2112</v>
      </c>
      <c r="M365" s="138" t="str">
        <f t="shared" si="6"/>
        <v>View on Google Map</v>
      </c>
      <c r="N365" s="132">
        <f t="shared" si="7"/>
        <v>10</v>
      </c>
    </row>
    <row r="366" spans="1:14">
      <c r="A366" s="132">
        <v>257</v>
      </c>
      <c r="B366" s="132" t="s">
        <v>2515</v>
      </c>
      <c r="C366" s="132" t="s">
        <v>2516</v>
      </c>
      <c r="D366" s="132">
        <v>68.701945515000006</v>
      </c>
      <c r="E366" s="132">
        <v>-149.745520981</v>
      </c>
      <c r="F366" s="132">
        <v>760</v>
      </c>
      <c r="G366" s="132" t="s">
        <v>1829</v>
      </c>
      <c r="H366" s="132" t="s">
        <v>2517</v>
      </c>
      <c r="I366" s="132" t="s">
        <v>1242</v>
      </c>
      <c r="J366" s="132" t="s">
        <v>2111</v>
      </c>
      <c r="K366" s="132" t="s">
        <v>1242</v>
      </c>
      <c r="L366" s="132" t="s">
        <v>2112</v>
      </c>
      <c r="M366" s="138" t="str">
        <f t="shared" si="6"/>
        <v>View on Google Map</v>
      </c>
      <c r="N366" s="132">
        <f t="shared" si="7"/>
        <v>11</v>
      </c>
    </row>
    <row r="367" spans="1:14">
      <c r="A367" s="132">
        <v>258</v>
      </c>
      <c r="B367" s="132" t="s">
        <v>2518</v>
      </c>
      <c r="C367" s="132" t="s">
        <v>2519</v>
      </c>
      <c r="D367" s="132">
        <v>68.704802601699996</v>
      </c>
      <c r="E367" s="132">
        <v>-149.73409678600001</v>
      </c>
      <c r="F367" s="132">
        <v>730</v>
      </c>
      <c r="G367" s="132" t="s">
        <v>1829</v>
      </c>
      <c r="H367" s="132" t="s">
        <v>2520</v>
      </c>
      <c r="I367" s="132" t="s">
        <v>1242</v>
      </c>
      <c r="J367" s="132" t="s">
        <v>2111</v>
      </c>
      <c r="K367" s="132" t="s">
        <v>1242</v>
      </c>
      <c r="L367" s="132" t="s">
        <v>2112</v>
      </c>
      <c r="M367" s="138" t="str">
        <f t="shared" si="6"/>
        <v>View on Google Map</v>
      </c>
      <c r="N367" s="132">
        <f t="shared" si="7"/>
        <v>12</v>
      </c>
    </row>
    <row r="368" spans="1:14">
      <c r="A368" s="132">
        <v>259</v>
      </c>
      <c r="B368" s="132" t="s">
        <v>2521</v>
      </c>
      <c r="C368" s="132" t="s">
        <v>2522</v>
      </c>
      <c r="D368" s="132">
        <v>68.703579720799993</v>
      </c>
      <c r="E368" s="132">
        <v>-149.717697128</v>
      </c>
      <c r="F368" s="132">
        <v>690</v>
      </c>
      <c r="G368" s="132" t="s">
        <v>1829</v>
      </c>
      <c r="H368" s="132" t="s">
        <v>2523</v>
      </c>
      <c r="I368" s="132" t="s">
        <v>1242</v>
      </c>
      <c r="J368" s="132" t="s">
        <v>2111</v>
      </c>
      <c r="K368" s="132" t="s">
        <v>1242</v>
      </c>
      <c r="L368" s="132" t="s">
        <v>2112</v>
      </c>
      <c r="M368" s="138" t="str">
        <f t="shared" si="6"/>
        <v>View on Google Map</v>
      </c>
      <c r="N368" s="132">
        <f t="shared" si="7"/>
        <v>13</v>
      </c>
    </row>
    <row r="369" spans="1:14">
      <c r="A369" s="132">
        <v>260</v>
      </c>
      <c r="B369" s="132" t="s">
        <v>2524</v>
      </c>
      <c r="C369" s="132" t="s">
        <v>2525</v>
      </c>
      <c r="D369" s="132">
        <v>68.702004088500004</v>
      </c>
      <c r="E369" s="132">
        <v>-149.71011160800001</v>
      </c>
      <c r="F369" s="132">
        <v>650</v>
      </c>
      <c r="G369" s="132" t="s">
        <v>1829</v>
      </c>
      <c r="H369" s="132" t="s">
        <v>2526</v>
      </c>
      <c r="I369" s="132" t="s">
        <v>1242</v>
      </c>
      <c r="J369" s="132" t="s">
        <v>2111</v>
      </c>
      <c r="K369" s="132" t="s">
        <v>1242</v>
      </c>
      <c r="L369" s="132" t="s">
        <v>2112</v>
      </c>
      <c r="M369" s="138" t="str">
        <f t="shared" si="6"/>
        <v>View on Google Map</v>
      </c>
      <c r="N369" s="132">
        <f t="shared" si="7"/>
        <v>14</v>
      </c>
    </row>
    <row r="370" spans="1:14">
      <c r="A370" s="132">
        <v>261</v>
      </c>
      <c r="B370" s="132" t="s">
        <v>2527</v>
      </c>
      <c r="C370" s="132" t="s">
        <v>2528</v>
      </c>
      <c r="D370" s="132">
        <v>68.707978848899998</v>
      </c>
      <c r="E370" s="132">
        <v>-149.715105897</v>
      </c>
      <c r="F370" s="132">
        <v>650</v>
      </c>
      <c r="G370" s="132" t="s">
        <v>1829</v>
      </c>
      <c r="H370" s="132" t="s">
        <v>2529</v>
      </c>
      <c r="I370" s="132" t="s">
        <v>1242</v>
      </c>
      <c r="J370" s="132" t="s">
        <v>2111</v>
      </c>
      <c r="K370" s="132" t="s">
        <v>1242</v>
      </c>
      <c r="L370" s="132" t="s">
        <v>2112</v>
      </c>
      <c r="M370" s="138" t="str">
        <f t="shared" si="6"/>
        <v>View on Google Map</v>
      </c>
      <c r="N370" s="132">
        <f t="shared" si="7"/>
        <v>15</v>
      </c>
    </row>
    <row r="371" spans="1:14">
      <c r="A371" s="132">
        <v>262</v>
      </c>
      <c r="B371" s="132" t="s">
        <v>2530</v>
      </c>
      <c r="C371" s="132" t="s">
        <v>2531</v>
      </c>
      <c r="D371" s="132">
        <v>68.707847844300005</v>
      </c>
      <c r="E371" s="132">
        <v>-149.69962200099999</v>
      </c>
      <c r="F371" s="132">
        <v>650</v>
      </c>
      <c r="G371" s="132" t="s">
        <v>1829</v>
      </c>
      <c r="H371" s="132" t="s">
        <v>2532</v>
      </c>
      <c r="I371" s="132" t="s">
        <v>1242</v>
      </c>
      <c r="J371" s="132" t="s">
        <v>2111</v>
      </c>
      <c r="K371" s="132" t="s">
        <v>1242</v>
      </c>
      <c r="L371" s="132" t="s">
        <v>2112</v>
      </c>
      <c r="M371" s="138" t="str">
        <f t="shared" si="6"/>
        <v>View on Google Map</v>
      </c>
      <c r="N371" s="132">
        <f t="shared" si="7"/>
        <v>16</v>
      </c>
    </row>
    <row r="372" spans="1:14">
      <c r="A372" s="132">
        <v>263</v>
      </c>
      <c r="B372" s="132" t="s">
        <v>2533</v>
      </c>
      <c r="C372" s="132" t="s">
        <v>2534</v>
      </c>
      <c r="D372" s="132">
        <v>68.7041606871</v>
      </c>
      <c r="E372" s="132">
        <v>-149.68743035400001</v>
      </c>
      <c r="F372" s="132">
        <v>650</v>
      </c>
      <c r="G372" s="132" t="s">
        <v>1829</v>
      </c>
      <c r="H372" s="132" t="s">
        <v>2535</v>
      </c>
      <c r="I372" s="132" t="s">
        <v>1242</v>
      </c>
      <c r="J372" s="132" t="s">
        <v>2111</v>
      </c>
      <c r="K372" s="132" t="s">
        <v>1242</v>
      </c>
      <c r="L372" s="132" t="s">
        <v>2112</v>
      </c>
      <c r="M372" s="138" t="str">
        <f t="shared" si="6"/>
        <v>View on Google Map</v>
      </c>
      <c r="N372" s="132">
        <f t="shared" si="7"/>
        <v>17</v>
      </c>
    </row>
    <row r="373" spans="1:14">
      <c r="A373" s="132">
        <v>264</v>
      </c>
      <c r="B373" s="132" t="s">
        <v>2536</v>
      </c>
      <c r="C373" s="132" t="s">
        <v>2537</v>
      </c>
      <c r="D373" s="132">
        <v>68.699385523999993</v>
      </c>
      <c r="E373" s="132">
        <v>-149.69396666399999</v>
      </c>
      <c r="F373" s="132">
        <v>650</v>
      </c>
      <c r="G373" s="132" t="s">
        <v>1829</v>
      </c>
      <c r="H373" s="132" t="s">
        <v>2538</v>
      </c>
      <c r="I373" s="132" t="s">
        <v>1242</v>
      </c>
      <c r="J373" s="132" t="s">
        <v>2111</v>
      </c>
      <c r="K373" s="132" t="s">
        <v>1242</v>
      </c>
      <c r="L373" s="132" t="s">
        <v>2112</v>
      </c>
      <c r="M373" s="138" t="str">
        <f t="shared" si="6"/>
        <v>View on Google Map</v>
      </c>
      <c r="N373" s="132">
        <f t="shared" si="7"/>
        <v>18</v>
      </c>
    </row>
    <row r="374" spans="1:14">
      <c r="A374" s="132">
        <v>265</v>
      </c>
      <c r="B374" s="132" t="s">
        <v>2539</v>
      </c>
      <c r="C374" s="132" t="s">
        <v>2540</v>
      </c>
      <c r="D374" s="132">
        <v>68.7022801743</v>
      </c>
      <c r="E374" s="132">
        <v>-149.70382138400001</v>
      </c>
      <c r="F374" s="132">
        <v>650</v>
      </c>
      <c r="G374" s="132" t="s">
        <v>1829</v>
      </c>
      <c r="H374" s="132" t="s">
        <v>2541</v>
      </c>
      <c r="I374" s="132" t="s">
        <v>1242</v>
      </c>
      <c r="J374" s="132" t="s">
        <v>2111</v>
      </c>
      <c r="K374" s="132" t="s">
        <v>1242</v>
      </c>
      <c r="L374" s="132" t="s">
        <v>2112</v>
      </c>
      <c r="M374" s="138" t="str">
        <f t="shared" si="6"/>
        <v>View on Google Map</v>
      </c>
      <c r="N374" s="132">
        <f t="shared" si="7"/>
        <v>19</v>
      </c>
    </row>
    <row r="375" spans="1:14">
      <c r="A375" s="132">
        <v>266</v>
      </c>
      <c r="B375" s="132" t="s">
        <v>2542</v>
      </c>
      <c r="C375" s="132" t="s">
        <v>2543</v>
      </c>
      <c r="D375" s="132">
        <v>68.691324054399999</v>
      </c>
      <c r="E375" s="132">
        <v>-149.78520674699999</v>
      </c>
      <c r="F375" s="132">
        <v>650</v>
      </c>
      <c r="G375" s="132" t="s">
        <v>1829</v>
      </c>
      <c r="H375" s="132" t="s">
        <v>2544</v>
      </c>
      <c r="I375" s="132" t="s">
        <v>1242</v>
      </c>
      <c r="J375" s="132" t="s">
        <v>2111</v>
      </c>
      <c r="K375" s="132" t="s">
        <v>1242</v>
      </c>
      <c r="L375" s="132" t="s">
        <v>2112</v>
      </c>
      <c r="M375" s="138" t="str">
        <f t="shared" si="6"/>
        <v>View on Google Map</v>
      </c>
      <c r="N375" s="132">
        <f t="shared" si="7"/>
        <v>20</v>
      </c>
    </row>
    <row r="376" spans="1:14">
      <c r="A376" s="132">
        <v>267</v>
      </c>
      <c r="B376" s="132" t="s">
        <v>2545</v>
      </c>
      <c r="C376" s="132" t="s">
        <v>2546</v>
      </c>
      <c r="D376" s="132">
        <v>68.682528721799997</v>
      </c>
      <c r="E376" s="132">
        <v>-149.77156908800001</v>
      </c>
      <c r="F376" s="132">
        <v>630</v>
      </c>
      <c r="G376" s="132" t="s">
        <v>1829</v>
      </c>
      <c r="H376" s="132" t="s">
        <v>2547</v>
      </c>
      <c r="I376" s="132" t="s">
        <v>1242</v>
      </c>
      <c r="J376" s="132" t="s">
        <v>2111</v>
      </c>
      <c r="K376" s="132" t="s">
        <v>1242</v>
      </c>
      <c r="L376" s="132" t="s">
        <v>2112</v>
      </c>
      <c r="M376" s="138" t="str">
        <f t="shared" si="6"/>
        <v>View on Google Map</v>
      </c>
      <c r="N376" s="132">
        <f t="shared" si="7"/>
        <v>21</v>
      </c>
    </row>
    <row r="377" spans="1:14">
      <c r="A377" s="132">
        <v>268</v>
      </c>
      <c r="B377" s="132" t="s">
        <v>2548</v>
      </c>
      <c r="C377" s="132" t="s">
        <v>2549</v>
      </c>
      <c r="D377" s="132">
        <v>68.6833666064</v>
      </c>
      <c r="E377" s="132">
        <v>-149.78602037900001</v>
      </c>
      <c r="F377" s="132">
        <v>620</v>
      </c>
      <c r="G377" s="132" t="s">
        <v>1829</v>
      </c>
      <c r="H377" s="132" t="s">
        <v>2550</v>
      </c>
      <c r="I377" s="132" t="s">
        <v>1242</v>
      </c>
      <c r="J377" s="132" t="s">
        <v>2111</v>
      </c>
      <c r="K377" s="132" t="s">
        <v>1242</v>
      </c>
      <c r="L377" s="132" t="s">
        <v>2112</v>
      </c>
      <c r="M377" s="138" t="str">
        <f t="shared" si="6"/>
        <v>View on Google Map</v>
      </c>
      <c r="N377" s="132">
        <f t="shared" si="7"/>
        <v>22</v>
      </c>
    </row>
    <row r="378" spans="1:14">
      <c r="A378" s="132">
        <v>269</v>
      </c>
      <c r="B378" s="132" t="s">
        <v>2551</v>
      </c>
      <c r="C378" s="132" t="s">
        <v>2552</v>
      </c>
      <c r="D378" s="132">
        <v>68.685049484000004</v>
      </c>
      <c r="E378" s="132">
        <v>-149.801322572</v>
      </c>
      <c r="F378" s="132">
        <v>590</v>
      </c>
      <c r="G378" s="132" t="s">
        <v>1829</v>
      </c>
      <c r="H378" s="132" t="s">
        <v>2553</v>
      </c>
      <c r="I378" s="132" t="s">
        <v>1242</v>
      </c>
      <c r="J378" s="132" t="s">
        <v>2111</v>
      </c>
      <c r="K378" s="132" t="s">
        <v>1242</v>
      </c>
      <c r="L378" s="132" t="s">
        <v>2112</v>
      </c>
      <c r="M378" s="138" t="str">
        <f t="shared" si="6"/>
        <v>View on Google Map</v>
      </c>
      <c r="N378" s="132">
        <f t="shared" si="7"/>
        <v>23</v>
      </c>
    </row>
    <row r="379" spans="1:14">
      <c r="A379" s="132">
        <v>270</v>
      </c>
      <c r="B379" s="132" t="s">
        <v>2554</v>
      </c>
      <c r="C379" s="132" t="s">
        <v>2555</v>
      </c>
      <c r="D379" s="132">
        <v>68.6853960145</v>
      </c>
      <c r="E379" s="132">
        <v>-149.80798693200001</v>
      </c>
      <c r="F379" s="132">
        <v>590</v>
      </c>
      <c r="G379" s="132" t="s">
        <v>1829</v>
      </c>
      <c r="H379" s="132" t="s">
        <v>2556</v>
      </c>
      <c r="I379" s="132" t="s">
        <v>1242</v>
      </c>
      <c r="J379" s="132" t="s">
        <v>2111</v>
      </c>
      <c r="K379" s="132" t="s">
        <v>1242</v>
      </c>
      <c r="L379" s="132" t="s">
        <v>2112</v>
      </c>
      <c r="M379" s="138" t="str">
        <f t="shared" si="6"/>
        <v>View on Google Map</v>
      </c>
      <c r="N379" s="132">
        <f t="shared" si="7"/>
        <v>24</v>
      </c>
    </row>
    <row r="380" spans="1:14">
      <c r="A380" s="132">
        <v>271</v>
      </c>
      <c r="B380" s="132" t="s">
        <v>2557</v>
      </c>
      <c r="C380" s="132" t="s">
        <v>2558</v>
      </c>
      <c r="D380" s="132">
        <v>68.682885549900007</v>
      </c>
      <c r="E380" s="132">
        <v>-149.809163652</v>
      </c>
      <c r="F380" s="132">
        <v>590</v>
      </c>
      <c r="G380" s="132" t="s">
        <v>1829</v>
      </c>
      <c r="H380" s="132" t="s">
        <v>2559</v>
      </c>
      <c r="I380" s="132" t="s">
        <v>1242</v>
      </c>
      <c r="J380" s="132" t="s">
        <v>2111</v>
      </c>
      <c r="K380" s="132" t="s">
        <v>1242</v>
      </c>
      <c r="L380" s="132" t="s">
        <v>2112</v>
      </c>
      <c r="M380" s="138" t="str">
        <f t="shared" si="6"/>
        <v>View on Google Map</v>
      </c>
      <c r="N380" s="132">
        <f t="shared" si="7"/>
        <v>25</v>
      </c>
    </row>
    <row r="381" spans="1:14">
      <c r="A381" s="132">
        <v>272</v>
      </c>
      <c r="B381" s="132" t="s">
        <v>2560</v>
      </c>
      <c r="C381" s="132" t="s">
        <v>2561</v>
      </c>
      <c r="D381" s="132">
        <v>68.682270906200003</v>
      </c>
      <c r="E381" s="132">
        <v>-149.81202356599999</v>
      </c>
      <c r="F381" s="132" t="s">
        <v>1242</v>
      </c>
      <c r="G381" s="132" t="s">
        <v>1829</v>
      </c>
      <c r="H381" s="132" t="s">
        <v>2562</v>
      </c>
      <c r="I381" s="132" t="s">
        <v>1242</v>
      </c>
      <c r="J381" s="132" t="s">
        <v>2111</v>
      </c>
      <c r="K381" s="132" t="s">
        <v>1242</v>
      </c>
      <c r="L381" s="132" t="s">
        <v>2112</v>
      </c>
      <c r="M381" s="138" t="str">
        <f t="shared" si="6"/>
        <v>View on Google Map</v>
      </c>
      <c r="N381" s="132">
        <f t="shared" si="7"/>
        <v>26</v>
      </c>
    </row>
    <row r="382" spans="1:14">
      <c r="A382" s="132">
        <v>315</v>
      </c>
      <c r="B382" s="132" t="s">
        <v>2563</v>
      </c>
      <c r="C382" s="132" t="s">
        <v>2564</v>
      </c>
      <c r="D382" s="132">
        <v>68.568206306199997</v>
      </c>
      <c r="E382" s="132">
        <v>-149.167395043</v>
      </c>
      <c r="F382" s="132" t="s">
        <v>1242</v>
      </c>
      <c r="G382" s="132" t="s">
        <v>1829</v>
      </c>
      <c r="H382" s="132" t="s">
        <v>2565</v>
      </c>
      <c r="I382" s="132" t="s">
        <v>1242</v>
      </c>
      <c r="J382" s="132" t="s">
        <v>2111</v>
      </c>
      <c r="K382" s="132" t="s">
        <v>1242</v>
      </c>
      <c r="L382" s="132" t="s">
        <v>2112</v>
      </c>
      <c r="M382" s="138" t="str">
        <f t="shared" si="6"/>
        <v>View on Google Map</v>
      </c>
      <c r="N382" s="132">
        <f t="shared" si="7"/>
        <v>27</v>
      </c>
    </row>
    <row r="383" spans="1:14">
      <c r="A383" s="132">
        <v>316</v>
      </c>
      <c r="B383" s="132" t="s">
        <v>2566</v>
      </c>
      <c r="C383" s="132" t="s">
        <v>2567</v>
      </c>
      <c r="D383" s="132">
        <v>68.563566134699997</v>
      </c>
      <c r="E383" s="132">
        <v>-149.17548626199999</v>
      </c>
      <c r="F383" s="132" t="s">
        <v>1242</v>
      </c>
      <c r="G383" s="132" t="s">
        <v>1829</v>
      </c>
      <c r="H383" s="132" t="s">
        <v>2568</v>
      </c>
      <c r="I383" s="132" t="s">
        <v>1242</v>
      </c>
      <c r="J383" s="132" t="s">
        <v>2111</v>
      </c>
      <c r="K383" s="132" t="s">
        <v>1242</v>
      </c>
      <c r="L383" s="132" t="s">
        <v>2112</v>
      </c>
      <c r="M383" s="138" t="str">
        <f t="shared" si="6"/>
        <v>View on Google Map</v>
      </c>
      <c r="N383" s="132">
        <f t="shared" si="7"/>
        <v>28</v>
      </c>
    </row>
    <row r="384" spans="1:14">
      <c r="A384" s="132">
        <v>317</v>
      </c>
      <c r="B384" s="132" t="s">
        <v>2569</v>
      </c>
      <c r="C384" s="132" t="s">
        <v>2570</v>
      </c>
      <c r="D384" s="132">
        <v>68.567753827800004</v>
      </c>
      <c r="E384" s="132">
        <v>-149.18255546</v>
      </c>
      <c r="F384" s="132" t="s">
        <v>1242</v>
      </c>
      <c r="G384" s="132" t="s">
        <v>1829</v>
      </c>
      <c r="H384" s="132" t="s">
        <v>2571</v>
      </c>
      <c r="I384" s="132" t="s">
        <v>1242</v>
      </c>
      <c r="J384" s="132" t="s">
        <v>2111</v>
      </c>
      <c r="K384" s="132" t="s">
        <v>1242</v>
      </c>
      <c r="L384" s="132" t="s">
        <v>2112</v>
      </c>
      <c r="M384" s="138" t="str">
        <f t="shared" si="6"/>
        <v>View on Google Map</v>
      </c>
      <c r="N384" s="132">
        <f t="shared" si="7"/>
        <v>29</v>
      </c>
    </row>
    <row r="385" spans="1:14">
      <c r="A385" s="132">
        <v>318</v>
      </c>
      <c r="B385" s="132" t="s">
        <v>2572</v>
      </c>
      <c r="C385" s="132" t="s">
        <v>2573</v>
      </c>
      <c r="D385" s="132">
        <v>68.575143231300004</v>
      </c>
      <c r="E385" s="132">
        <v>-149.187493434</v>
      </c>
      <c r="F385" s="132">
        <v>899</v>
      </c>
      <c r="G385" s="132" t="s">
        <v>1829</v>
      </c>
      <c r="H385" s="132" t="s">
        <v>2574</v>
      </c>
      <c r="I385" s="132" t="s">
        <v>1242</v>
      </c>
      <c r="J385" s="132" t="s">
        <v>2111</v>
      </c>
      <c r="K385" s="132" t="s">
        <v>1242</v>
      </c>
      <c r="L385" s="132" t="s">
        <v>2112</v>
      </c>
      <c r="M385" s="138" t="str">
        <f t="shared" si="6"/>
        <v>View on Google Map</v>
      </c>
      <c r="N385" s="132">
        <f t="shared" si="7"/>
        <v>30</v>
      </c>
    </row>
    <row r="386" spans="1:14">
      <c r="A386" s="132">
        <v>319</v>
      </c>
      <c r="B386" s="132" t="s">
        <v>2575</v>
      </c>
      <c r="C386" s="132" t="s">
        <v>2576</v>
      </c>
      <c r="D386" s="132">
        <v>68.575979722100001</v>
      </c>
      <c r="E386" s="132">
        <v>-149.19939190100001</v>
      </c>
      <c r="F386" s="132" t="s">
        <v>1242</v>
      </c>
      <c r="G386" s="132" t="s">
        <v>1829</v>
      </c>
      <c r="H386" s="132" t="s">
        <v>2577</v>
      </c>
      <c r="I386" s="132" t="s">
        <v>1242</v>
      </c>
      <c r="J386" s="132" t="s">
        <v>2111</v>
      </c>
      <c r="K386" s="132" t="s">
        <v>1242</v>
      </c>
      <c r="L386" s="132" t="s">
        <v>2112</v>
      </c>
      <c r="M386" s="138" t="str">
        <f t="shared" si="6"/>
        <v>View on Google Map</v>
      </c>
      <c r="N386" s="132">
        <f t="shared" si="7"/>
        <v>31</v>
      </c>
    </row>
    <row r="387" spans="1:14">
      <c r="A387" s="132">
        <v>320</v>
      </c>
      <c r="B387" s="132" t="s">
        <v>2578</v>
      </c>
      <c r="C387" s="132" t="s">
        <v>2579</v>
      </c>
      <c r="D387" s="132">
        <v>68.576887217199996</v>
      </c>
      <c r="E387" s="132">
        <v>-149.17782305899999</v>
      </c>
      <c r="F387" s="132">
        <v>891</v>
      </c>
      <c r="G387" s="132" t="s">
        <v>1829</v>
      </c>
      <c r="H387" s="132" t="s">
        <v>2580</v>
      </c>
      <c r="I387" s="132" t="s">
        <v>1242</v>
      </c>
      <c r="J387" s="132" t="s">
        <v>2111</v>
      </c>
      <c r="K387" s="132" t="s">
        <v>1242</v>
      </c>
      <c r="L387" s="132" t="s">
        <v>2112</v>
      </c>
      <c r="M387" s="138" t="str">
        <f t="shared" ref="M387:M450" si="8">HYPERLINK("http://maps.google.com/maps?q="&amp;D387&amp;","&amp;E387,"View on Google Map")</f>
        <v>View on Google Map</v>
      </c>
      <c r="N387" s="132">
        <f t="shared" si="7"/>
        <v>32</v>
      </c>
    </row>
    <row r="388" spans="1:14">
      <c r="A388" s="132">
        <v>321</v>
      </c>
      <c r="B388" s="132" t="s">
        <v>2581</v>
      </c>
      <c r="C388" s="132" t="s">
        <v>2582</v>
      </c>
      <c r="D388" s="132">
        <v>68.581215404199995</v>
      </c>
      <c r="E388" s="132">
        <v>-149.17874205800001</v>
      </c>
      <c r="F388" s="132">
        <v>891</v>
      </c>
      <c r="G388" s="132" t="s">
        <v>1829</v>
      </c>
      <c r="H388" s="132" t="s">
        <v>2583</v>
      </c>
      <c r="I388" s="132" t="s">
        <v>1242</v>
      </c>
      <c r="J388" s="132" t="s">
        <v>2111</v>
      </c>
      <c r="K388" s="132" t="s">
        <v>1242</v>
      </c>
      <c r="L388" s="132" t="s">
        <v>2112</v>
      </c>
      <c r="M388" s="138" t="str">
        <f t="shared" si="8"/>
        <v>View on Google Map</v>
      </c>
      <c r="N388" s="132">
        <f t="shared" si="7"/>
        <v>33</v>
      </c>
    </row>
    <row r="389" spans="1:14">
      <c r="A389" s="132">
        <v>322</v>
      </c>
      <c r="B389" s="132" t="s">
        <v>2584</v>
      </c>
      <c r="C389" s="132" t="s">
        <v>2585</v>
      </c>
      <c r="D389" s="132">
        <v>68.587382761699999</v>
      </c>
      <c r="E389" s="132">
        <v>-149.144248847</v>
      </c>
      <c r="F389" s="132" t="s">
        <v>1242</v>
      </c>
      <c r="G389" s="132" t="s">
        <v>1829</v>
      </c>
      <c r="H389" s="132" t="s">
        <v>2586</v>
      </c>
      <c r="I389" s="132" t="s">
        <v>1242</v>
      </c>
      <c r="J389" s="132" t="s">
        <v>2111</v>
      </c>
      <c r="K389" s="132" t="s">
        <v>1242</v>
      </c>
      <c r="L389" s="132" t="s">
        <v>2112</v>
      </c>
      <c r="M389" s="138" t="str">
        <f t="shared" si="8"/>
        <v>View on Google Map</v>
      </c>
      <c r="N389" s="132">
        <f t="shared" si="7"/>
        <v>34</v>
      </c>
    </row>
    <row r="390" spans="1:14">
      <c r="A390" s="132">
        <v>323</v>
      </c>
      <c r="B390" s="132" t="s">
        <v>2587</v>
      </c>
      <c r="C390" s="132" t="s">
        <v>2588</v>
      </c>
      <c r="D390" s="132">
        <v>68.548407480700007</v>
      </c>
      <c r="E390" s="132">
        <v>-150.03700547700001</v>
      </c>
      <c r="F390" s="132" t="s">
        <v>1242</v>
      </c>
      <c r="G390" s="132" t="s">
        <v>1829</v>
      </c>
      <c r="H390" s="132" t="s">
        <v>2589</v>
      </c>
      <c r="I390" s="132" t="s">
        <v>1242</v>
      </c>
      <c r="J390" s="132" t="s">
        <v>2111</v>
      </c>
      <c r="K390" s="132" t="s">
        <v>1242</v>
      </c>
      <c r="L390" s="132" t="s">
        <v>2112</v>
      </c>
      <c r="M390" s="138" t="str">
        <f t="shared" si="8"/>
        <v>View on Google Map</v>
      </c>
      <c r="N390" s="132">
        <f t="shared" si="7"/>
        <v>35</v>
      </c>
    </row>
    <row r="391" spans="1:14">
      <c r="A391" s="132">
        <v>324</v>
      </c>
      <c r="B391" s="132" t="s">
        <v>2590</v>
      </c>
      <c r="C391" s="132" t="s">
        <v>2591</v>
      </c>
      <c r="D391" s="132">
        <v>68.550052273099993</v>
      </c>
      <c r="E391" s="132">
        <v>-150.02948327199999</v>
      </c>
      <c r="F391" s="132" t="s">
        <v>1242</v>
      </c>
      <c r="G391" s="132" t="s">
        <v>1829</v>
      </c>
      <c r="H391" s="132" t="s">
        <v>2592</v>
      </c>
      <c r="I391" s="132" t="s">
        <v>1242</v>
      </c>
      <c r="J391" s="132" t="s">
        <v>2111</v>
      </c>
      <c r="K391" s="132" t="s">
        <v>1242</v>
      </c>
      <c r="L391" s="132" t="s">
        <v>2112</v>
      </c>
      <c r="M391" s="138" t="str">
        <f t="shared" si="8"/>
        <v>View on Google Map</v>
      </c>
      <c r="N391" s="132">
        <f t="shared" si="7"/>
        <v>36</v>
      </c>
    </row>
    <row r="392" spans="1:14">
      <c r="A392" s="132">
        <v>325</v>
      </c>
      <c r="B392" s="132" t="s">
        <v>2593</v>
      </c>
      <c r="C392" s="132" t="s">
        <v>2594</v>
      </c>
      <c r="D392" s="132">
        <v>68.5460242857</v>
      </c>
      <c r="E392" s="132">
        <v>-150.02463014</v>
      </c>
      <c r="F392" s="132" t="s">
        <v>1242</v>
      </c>
      <c r="G392" s="132" t="s">
        <v>1829</v>
      </c>
      <c r="H392" s="132" t="s">
        <v>2595</v>
      </c>
      <c r="I392" s="132" t="s">
        <v>1242</v>
      </c>
      <c r="J392" s="132" t="s">
        <v>2111</v>
      </c>
      <c r="K392" s="132" t="s">
        <v>1242</v>
      </c>
      <c r="L392" s="132" t="s">
        <v>2112</v>
      </c>
      <c r="M392" s="138" t="str">
        <f t="shared" si="8"/>
        <v>View on Google Map</v>
      </c>
      <c r="N392" s="132">
        <f t="shared" si="7"/>
        <v>37</v>
      </c>
    </row>
    <row r="393" spans="1:14">
      <c r="A393" s="132">
        <v>326</v>
      </c>
      <c r="B393" s="132" t="s">
        <v>2596</v>
      </c>
      <c r="C393" s="132" t="s">
        <v>2597</v>
      </c>
      <c r="D393" s="132">
        <v>68.550135830100004</v>
      </c>
      <c r="E393" s="132">
        <v>-150.01499602000001</v>
      </c>
      <c r="F393" s="132" t="s">
        <v>1242</v>
      </c>
      <c r="G393" s="132" t="s">
        <v>1829</v>
      </c>
      <c r="H393" s="132" t="s">
        <v>2598</v>
      </c>
      <c r="I393" s="132" t="s">
        <v>1242</v>
      </c>
      <c r="J393" s="132" t="s">
        <v>2111</v>
      </c>
      <c r="K393" s="132" t="s">
        <v>1242</v>
      </c>
      <c r="L393" s="132" t="s">
        <v>2112</v>
      </c>
      <c r="M393" s="138" t="str">
        <f t="shared" si="8"/>
        <v>View on Google Map</v>
      </c>
      <c r="N393" s="132">
        <f t="shared" si="7"/>
        <v>38</v>
      </c>
    </row>
    <row r="394" spans="1:14">
      <c r="A394" s="132">
        <v>327</v>
      </c>
      <c r="B394" s="132" t="s">
        <v>2599</v>
      </c>
      <c r="C394" s="132" t="s">
        <v>2600</v>
      </c>
      <c r="D394" s="132">
        <v>68.556356553000001</v>
      </c>
      <c r="E394" s="132">
        <v>-150.01283142599999</v>
      </c>
      <c r="F394" s="132" t="s">
        <v>1242</v>
      </c>
      <c r="G394" s="132" t="s">
        <v>1829</v>
      </c>
      <c r="H394" s="132" t="s">
        <v>2601</v>
      </c>
      <c r="I394" s="132" t="s">
        <v>1242</v>
      </c>
      <c r="J394" s="132" t="s">
        <v>2111</v>
      </c>
      <c r="K394" s="132" t="s">
        <v>1242</v>
      </c>
      <c r="L394" s="132" t="s">
        <v>2112</v>
      </c>
      <c r="M394" s="138" t="str">
        <f t="shared" si="8"/>
        <v>View on Google Map</v>
      </c>
      <c r="N394" s="132">
        <f t="shared" si="7"/>
        <v>39</v>
      </c>
    </row>
    <row r="395" spans="1:14">
      <c r="A395" s="132">
        <v>328</v>
      </c>
      <c r="B395" s="132" t="s">
        <v>2602</v>
      </c>
      <c r="C395" s="132" t="s">
        <v>2603</v>
      </c>
      <c r="D395" s="132">
        <v>68.565564884200001</v>
      </c>
      <c r="E395" s="132">
        <v>-150.00164362699999</v>
      </c>
      <c r="F395" s="132" t="s">
        <v>1242</v>
      </c>
      <c r="G395" s="132" t="s">
        <v>1829</v>
      </c>
      <c r="H395" s="132" t="s">
        <v>2604</v>
      </c>
      <c r="I395" s="132" t="s">
        <v>1242</v>
      </c>
      <c r="J395" s="132" t="s">
        <v>2111</v>
      </c>
      <c r="K395" s="132" t="s">
        <v>1242</v>
      </c>
      <c r="L395" s="132" t="s">
        <v>2112</v>
      </c>
      <c r="M395" s="138" t="str">
        <f t="shared" si="8"/>
        <v>View on Google Map</v>
      </c>
      <c r="N395" s="132">
        <f t="shared" si="7"/>
        <v>40</v>
      </c>
    </row>
    <row r="396" spans="1:14">
      <c r="A396" s="132">
        <v>329</v>
      </c>
      <c r="B396" s="132" t="s">
        <v>2605</v>
      </c>
      <c r="C396" s="132" t="s">
        <v>2606</v>
      </c>
      <c r="D396" s="132">
        <v>68.567838099200003</v>
      </c>
      <c r="E396" s="132">
        <v>-149.99849875500001</v>
      </c>
      <c r="F396" s="132" t="s">
        <v>1242</v>
      </c>
      <c r="G396" s="132" t="s">
        <v>1829</v>
      </c>
      <c r="H396" s="132" t="s">
        <v>2607</v>
      </c>
      <c r="I396" s="132" t="s">
        <v>1242</v>
      </c>
      <c r="J396" s="132" t="s">
        <v>2111</v>
      </c>
      <c r="K396" s="132" t="s">
        <v>1242</v>
      </c>
      <c r="L396" s="132" t="s">
        <v>2112</v>
      </c>
      <c r="M396" s="138" t="str">
        <f t="shared" si="8"/>
        <v>View on Google Map</v>
      </c>
      <c r="N396" s="132">
        <f t="shared" si="7"/>
        <v>41</v>
      </c>
    </row>
    <row r="397" spans="1:14">
      <c r="A397" s="132">
        <v>330</v>
      </c>
      <c r="B397" s="132" t="s">
        <v>2608</v>
      </c>
      <c r="C397" s="132" t="s">
        <v>2609</v>
      </c>
      <c r="D397" s="132">
        <v>68.5855663241</v>
      </c>
      <c r="E397" s="132">
        <v>-149.98167511</v>
      </c>
      <c r="F397" s="132" t="s">
        <v>1242</v>
      </c>
      <c r="G397" s="132" t="s">
        <v>1829</v>
      </c>
      <c r="H397" s="132" t="s">
        <v>2610</v>
      </c>
      <c r="I397" s="132" t="s">
        <v>1242</v>
      </c>
      <c r="J397" s="132" t="s">
        <v>2111</v>
      </c>
      <c r="K397" s="132" t="s">
        <v>1242</v>
      </c>
      <c r="L397" s="132" t="s">
        <v>2112</v>
      </c>
      <c r="M397" s="138" t="str">
        <f t="shared" si="8"/>
        <v>View on Google Map</v>
      </c>
      <c r="N397" s="132">
        <f t="shared" si="7"/>
        <v>42</v>
      </c>
    </row>
    <row r="398" spans="1:14">
      <c r="A398" s="132">
        <v>331</v>
      </c>
      <c r="B398" s="132" t="s">
        <v>2611</v>
      </c>
      <c r="C398" s="132" t="s">
        <v>2612</v>
      </c>
      <c r="D398" s="132">
        <v>68.534049837699996</v>
      </c>
      <c r="E398" s="132">
        <v>-149.157309078</v>
      </c>
      <c r="F398" s="132">
        <v>926</v>
      </c>
      <c r="G398" s="132" t="s">
        <v>1829</v>
      </c>
      <c r="H398" s="132" t="s">
        <v>2613</v>
      </c>
      <c r="I398" s="132" t="s">
        <v>1242</v>
      </c>
      <c r="J398" s="132" t="s">
        <v>2111</v>
      </c>
      <c r="K398" s="132" t="s">
        <v>1242</v>
      </c>
      <c r="L398" s="132" t="s">
        <v>2112</v>
      </c>
      <c r="M398" s="138" t="str">
        <f t="shared" si="8"/>
        <v>View on Google Map</v>
      </c>
      <c r="N398" s="132">
        <f t="shared" si="7"/>
        <v>43</v>
      </c>
    </row>
    <row r="399" spans="1:14">
      <c r="A399" s="132">
        <v>332</v>
      </c>
      <c r="B399" s="132" t="s">
        <v>2614</v>
      </c>
      <c r="C399" s="132" t="s">
        <v>2615</v>
      </c>
      <c r="D399" s="132">
        <v>68.533584622000006</v>
      </c>
      <c r="E399" s="132">
        <v>-149.16705049699999</v>
      </c>
      <c r="F399" s="132" t="s">
        <v>1242</v>
      </c>
      <c r="G399" s="132" t="s">
        <v>1829</v>
      </c>
      <c r="H399" s="132" t="s">
        <v>2616</v>
      </c>
      <c r="I399" s="132" t="s">
        <v>1242</v>
      </c>
      <c r="J399" s="132" t="s">
        <v>2111</v>
      </c>
      <c r="K399" s="132" t="s">
        <v>1242</v>
      </c>
      <c r="L399" s="132" t="s">
        <v>2112</v>
      </c>
      <c r="M399" s="138" t="str">
        <f t="shared" si="8"/>
        <v>View on Google Map</v>
      </c>
      <c r="N399" s="132">
        <f t="shared" si="7"/>
        <v>44</v>
      </c>
    </row>
    <row r="400" spans="1:14">
      <c r="A400" s="132">
        <v>333</v>
      </c>
      <c r="B400" s="132" t="s">
        <v>2617</v>
      </c>
      <c r="C400" s="132" t="s">
        <v>2618</v>
      </c>
      <c r="D400" s="132">
        <v>68.533269411600003</v>
      </c>
      <c r="E400" s="132">
        <v>-149.19565723900001</v>
      </c>
      <c r="F400" s="132">
        <v>899</v>
      </c>
      <c r="G400" s="132" t="s">
        <v>1829</v>
      </c>
      <c r="H400" s="132" t="s">
        <v>2619</v>
      </c>
      <c r="I400" s="132" t="s">
        <v>1242</v>
      </c>
      <c r="J400" s="132" t="s">
        <v>2111</v>
      </c>
      <c r="K400" s="132" t="s">
        <v>1242</v>
      </c>
      <c r="L400" s="132" t="s">
        <v>2112</v>
      </c>
      <c r="M400" s="138" t="str">
        <f t="shared" si="8"/>
        <v>View on Google Map</v>
      </c>
      <c r="N400" s="132">
        <f t="shared" si="7"/>
        <v>45</v>
      </c>
    </row>
    <row r="401" spans="1:14">
      <c r="A401" s="132">
        <v>335</v>
      </c>
      <c r="B401" s="132" t="s">
        <v>2620</v>
      </c>
      <c r="C401" s="132" t="s">
        <v>2621</v>
      </c>
      <c r="D401" s="132">
        <v>68.516771954500001</v>
      </c>
      <c r="E401" s="132">
        <v>-150.05742084799999</v>
      </c>
      <c r="F401" s="132" t="s">
        <v>1242</v>
      </c>
      <c r="G401" s="132" t="s">
        <v>1829</v>
      </c>
      <c r="H401" s="132" t="s">
        <v>2622</v>
      </c>
      <c r="I401" s="132" t="s">
        <v>1242</v>
      </c>
      <c r="J401" s="132" t="s">
        <v>2111</v>
      </c>
      <c r="K401" s="132" t="s">
        <v>1242</v>
      </c>
      <c r="L401" s="132" t="s">
        <v>2112</v>
      </c>
      <c r="M401" s="138" t="str">
        <f t="shared" si="8"/>
        <v>View on Google Map</v>
      </c>
      <c r="N401" s="132">
        <f t="shared" si="7"/>
        <v>47</v>
      </c>
    </row>
    <row r="402" spans="1:14">
      <c r="A402" s="132">
        <v>336</v>
      </c>
      <c r="B402" s="132" t="s">
        <v>2623</v>
      </c>
      <c r="C402" s="132" t="s">
        <v>2624</v>
      </c>
      <c r="D402" s="132">
        <v>68.531484729400006</v>
      </c>
      <c r="E402" s="132">
        <v>-150.04821666999999</v>
      </c>
      <c r="F402" s="132" t="s">
        <v>1242</v>
      </c>
      <c r="G402" s="132" t="s">
        <v>1829</v>
      </c>
      <c r="H402" s="132" t="s">
        <v>2625</v>
      </c>
      <c r="I402" s="132" t="s">
        <v>1242</v>
      </c>
      <c r="J402" s="132" t="s">
        <v>2111</v>
      </c>
      <c r="K402" s="132" t="s">
        <v>1242</v>
      </c>
      <c r="L402" s="132" t="s">
        <v>2112</v>
      </c>
      <c r="M402" s="138" t="str">
        <f t="shared" si="8"/>
        <v>View on Google Map</v>
      </c>
      <c r="N402" s="132">
        <f t="shared" si="7"/>
        <v>48</v>
      </c>
    </row>
    <row r="403" spans="1:14">
      <c r="A403" s="132">
        <v>337</v>
      </c>
      <c r="B403" s="132" t="s">
        <v>2626</v>
      </c>
      <c r="C403" s="132" t="s">
        <v>2627</v>
      </c>
      <c r="D403" s="132">
        <v>68.525496449800002</v>
      </c>
      <c r="E403" s="132">
        <v>-150.03164010200001</v>
      </c>
      <c r="F403" s="132" t="s">
        <v>1242</v>
      </c>
      <c r="G403" s="132" t="s">
        <v>1829</v>
      </c>
      <c r="H403" s="132" t="s">
        <v>2628</v>
      </c>
      <c r="I403" s="132" t="s">
        <v>1242</v>
      </c>
      <c r="J403" s="132" t="s">
        <v>2111</v>
      </c>
      <c r="K403" s="132" t="s">
        <v>1242</v>
      </c>
      <c r="L403" s="132" t="s">
        <v>2112</v>
      </c>
      <c r="M403" s="138" t="str">
        <f t="shared" si="8"/>
        <v>View on Google Map</v>
      </c>
      <c r="N403" s="132">
        <f t="shared" si="7"/>
        <v>49</v>
      </c>
    </row>
    <row r="404" spans="1:14">
      <c r="A404" s="132">
        <v>338</v>
      </c>
      <c r="B404" s="132" t="s">
        <v>2629</v>
      </c>
      <c r="C404" s="132" t="s">
        <v>2630</v>
      </c>
      <c r="D404" s="132">
        <v>68.522395926599998</v>
      </c>
      <c r="E404" s="132">
        <v>-150.02260567299999</v>
      </c>
      <c r="F404" s="132" t="s">
        <v>1242</v>
      </c>
      <c r="G404" s="132" t="s">
        <v>1829</v>
      </c>
      <c r="H404" s="132" t="s">
        <v>2631</v>
      </c>
      <c r="I404" s="132" t="s">
        <v>1242</v>
      </c>
      <c r="J404" s="132" t="s">
        <v>2111</v>
      </c>
      <c r="K404" s="132" t="s">
        <v>1242</v>
      </c>
      <c r="L404" s="132" t="s">
        <v>2112</v>
      </c>
      <c r="M404" s="138" t="str">
        <f t="shared" si="8"/>
        <v>View on Google Map</v>
      </c>
      <c r="N404" s="132">
        <f t="shared" si="7"/>
        <v>50</v>
      </c>
    </row>
    <row r="405" spans="1:14">
      <c r="A405" s="132">
        <v>339</v>
      </c>
      <c r="B405" s="132" t="s">
        <v>2632</v>
      </c>
      <c r="C405" s="132" t="s">
        <v>2633</v>
      </c>
      <c r="D405" s="132">
        <v>68.574095052399997</v>
      </c>
      <c r="E405" s="132">
        <v>-149.97662969199999</v>
      </c>
      <c r="F405" s="132" t="s">
        <v>1242</v>
      </c>
      <c r="G405" s="132" t="s">
        <v>1829</v>
      </c>
      <c r="H405" s="132" t="s">
        <v>2634</v>
      </c>
      <c r="I405" s="132" t="s">
        <v>1242</v>
      </c>
      <c r="J405" s="132" t="s">
        <v>2111</v>
      </c>
      <c r="K405" s="132" t="s">
        <v>1242</v>
      </c>
      <c r="L405" s="132" t="s">
        <v>2112</v>
      </c>
      <c r="M405" s="138" t="str">
        <f t="shared" si="8"/>
        <v>View on Google Map</v>
      </c>
      <c r="N405" s="132">
        <f t="shared" si="7"/>
        <v>51</v>
      </c>
    </row>
    <row r="406" spans="1:14">
      <c r="A406" s="132">
        <v>340</v>
      </c>
      <c r="B406" s="132" t="s">
        <v>2635</v>
      </c>
      <c r="C406" s="132" t="s">
        <v>2636</v>
      </c>
      <c r="D406" s="132">
        <v>68.571671305899997</v>
      </c>
      <c r="E406" s="132">
        <v>-149.972667672</v>
      </c>
      <c r="F406" s="132" t="s">
        <v>1242</v>
      </c>
      <c r="G406" s="132" t="s">
        <v>1829</v>
      </c>
      <c r="H406" s="132" t="s">
        <v>2637</v>
      </c>
      <c r="I406" s="132" t="s">
        <v>1242</v>
      </c>
      <c r="J406" s="132" t="s">
        <v>2111</v>
      </c>
      <c r="K406" s="132" t="s">
        <v>1242</v>
      </c>
      <c r="L406" s="132" t="s">
        <v>2112</v>
      </c>
      <c r="M406" s="138" t="str">
        <f t="shared" si="8"/>
        <v>View on Google Map</v>
      </c>
      <c r="N406" s="132">
        <f t="shared" si="7"/>
        <v>52</v>
      </c>
    </row>
    <row r="407" spans="1:14">
      <c r="A407" s="132">
        <v>341</v>
      </c>
      <c r="B407" s="132" t="s">
        <v>2638</v>
      </c>
      <c r="C407" s="132" t="s">
        <v>2639</v>
      </c>
      <c r="D407" s="132">
        <v>68.562791718200003</v>
      </c>
      <c r="E407" s="132">
        <v>-149.977791473</v>
      </c>
      <c r="F407" s="132" t="s">
        <v>1242</v>
      </c>
      <c r="G407" s="132" t="s">
        <v>1829</v>
      </c>
      <c r="H407" s="132" t="s">
        <v>2640</v>
      </c>
      <c r="I407" s="132" t="s">
        <v>1242</v>
      </c>
      <c r="J407" s="132" t="s">
        <v>2111</v>
      </c>
      <c r="K407" s="132" t="s">
        <v>1242</v>
      </c>
      <c r="L407" s="132" t="s">
        <v>2112</v>
      </c>
      <c r="M407" s="138" t="str">
        <f t="shared" si="8"/>
        <v>View on Google Map</v>
      </c>
      <c r="N407" s="132">
        <f t="shared" si="7"/>
        <v>53</v>
      </c>
    </row>
    <row r="408" spans="1:14">
      <c r="A408" s="132">
        <v>342</v>
      </c>
      <c r="B408" s="132" t="s">
        <v>2641</v>
      </c>
      <c r="C408" s="132" t="s">
        <v>2642</v>
      </c>
      <c r="D408" s="132">
        <v>68.556077412199997</v>
      </c>
      <c r="E408" s="132">
        <v>-149.93361884199999</v>
      </c>
      <c r="F408" s="132" t="s">
        <v>1242</v>
      </c>
      <c r="G408" s="132" t="s">
        <v>1829</v>
      </c>
      <c r="H408" s="132" t="s">
        <v>2643</v>
      </c>
      <c r="I408" s="132" t="s">
        <v>1242</v>
      </c>
      <c r="J408" s="132" t="s">
        <v>2111</v>
      </c>
      <c r="K408" s="132" t="s">
        <v>1242</v>
      </c>
      <c r="L408" s="132" t="s">
        <v>2112</v>
      </c>
      <c r="M408" s="138" t="str">
        <f t="shared" si="8"/>
        <v>View on Google Map</v>
      </c>
      <c r="N408" s="132">
        <f t="shared" si="7"/>
        <v>54</v>
      </c>
    </row>
    <row r="409" spans="1:14">
      <c r="A409" s="132">
        <v>343</v>
      </c>
      <c r="B409" s="132" t="s">
        <v>2644</v>
      </c>
      <c r="C409" s="132" t="s">
        <v>2645</v>
      </c>
      <c r="D409" s="132">
        <v>68.567959712100006</v>
      </c>
      <c r="E409" s="132">
        <v>-149.89938475599999</v>
      </c>
      <c r="F409" s="132" t="s">
        <v>1242</v>
      </c>
      <c r="G409" s="132" t="s">
        <v>1829</v>
      </c>
      <c r="H409" s="132" t="s">
        <v>2646</v>
      </c>
      <c r="I409" s="132" t="s">
        <v>1242</v>
      </c>
      <c r="J409" s="132" t="s">
        <v>2111</v>
      </c>
      <c r="K409" s="132" t="s">
        <v>1242</v>
      </c>
      <c r="L409" s="132" t="s">
        <v>2112</v>
      </c>
      <c r="M409" s="138" t="str">
        <f t="shared" si="8"/>
        <v>View on Google Map</v>
      </c>
      <c r="N409" s="132">
        <f t="shared" si="7"/>
        <v>55</v>
      </c>
    </row>
    <row r="410" spans="1:14">
      <c r="A410" s="132">
        <v>344</v>
      </c>
      <c r="B410" s="132" t="s">
        <v>2647</v>
      </c>
      <c r="C410" s="132" t="s">
        <v>2648</v>
      </c>
      <c r="D410" s="132">
        <v>68.615854386999999</v>
      </c>
      <c r="E410" s="132">
        <v>-149.123111674</v>
      </c>
      <c r="F410" s="132" t="s">
        <v>1242</v>
      </c>
      <c r="G410" s="132" t="s">
        <v>1829</v>
      </c>
      <c r="H410" s="132" t="s">
        <v>2649</v>
      </c>
      <c r="I410" s="132" t="s">
        <v>1242</v>
      </c>
      <c r="J410" s="132" t="s">
        <v>2111</v>
      </c>
      <c r="K410" s="132" t="s">
        <v>1242</v>
      </c>
      <c r="L410" s="132" t="s">
        <v>2112</v>
      </c>
      <c r="M410" s="138" t="str">
        <f t="shared" si="8"/>
        <v>View on Google Map</v>
      </c>
      <c r="N410" s="132">
        <f t="shared" si="7"/>
        <v>56</v>
      </c>
    </row>
    <row r="411" spans="1:14">
      <c r="A411" s="132">
        <v>345</v>
      </c>
      <c r="B411" s="132" t="s">
        <v>2650</v>
      </c>
      <c r="C411" s="132" t="s">
        <v>2651</v>
      </c>
      <c r="D411" s="132">
        <v>68.622759303600006</v>
      </c>
      <c r="E411" s="132">
        <v>-149.15087640600001</v>
      </c>
      <c r="F411" s="132">
        <v>861</v>
      </c>
      <c r="G411" s="132" t="s">
        <v>1829</v>
      </c>
      <c r="H411" s="132" t="s">
        <v>2652</v>
      </c>
      <c r="I411" s="132" t="s">
        <v>1242</v>
      </c>
      <c r="J411" s="132" t="s">
        <v>2111</v>
      </c>
      <c r="K411" s="132" t="s">
        <v>1242</v>
      </c>
      <c r="L411" s="132" t="s">
        <v>2112</v>
      </c>
      <c r="M411" s="138" t="str">
        <f t="shared" si="8"/>
        <v>View on Google Map</v>
      </c>
      <c r="N411" s="132">
        <f t="shared" si="7"/>
        <v>57</v>
      </c>
    </row>
    <row r="412" spans="1:14">
      <c r="A412" s="132">
        <v>346</v>
      </c>
      <c r="B412" s="132" t="s">
        <v>2653</v>
      </c>
      <c r="C412" s="132" t="s">
        <v>2654</v>
      </c>
      <c r="D412" s="132">
        <v>68.625381351599998</v>
      </c>
      <c r="E412" s="132">
        <v>-149.13918719200001</v>
      </c>
      <c r="F412" s="132">
        <v>877</v>
      </c>
      <c r="G412" s="132" t="s">
        <v>1829</v>
      </c>
      <c r="H412" s="132" t="s">
        <v>2655</v>
      </c>
      <c r="I412" s="132" t="s">
        <v>1242</v>
      </c>
      <c r="J412" s="132" t="s">
        <v>2111</v>
      </c>
      <c r="K412" s="132" t="s">
        <v>1242</v>
      </c>
      <c r="L412" s="132" t="s">
        <v>2112</v>
      </c>
      <c r="M412" s="138" t="str">
        <f t="shared" si="8"/>
        <v>View on Google Map</v>
      </c>
      <c r="N412" s="132">
        <f t="shared" si="7"/>
        <v>58</v>
      </c>
    </row>
    <row r="413" spans="1:14">
      <c r="A413" s="132">
        <v>347</v>
      </c>
      <c r="B413" s="132" t="s">
        <v>2656</v>
      </c>
      <c r="C413" s="132" t="s">
        <v>2657</v>
      </c>
      <c r="D413" s="132">
        <v>68.630955107899993</v>
      </c>
      <c r="E413" s="132">
        <v>-149.161535972</v>
      </c>
      <c r="F413" s="132">
        <v>858</v>
      </c>
      <c r="G413" s="132" t="s">
        <v>1829</v>
      </c>
      <c r="H413" s="132" t="s">
        <v>2658</v>
      </c>
      <c r="I413" s="132" t="s">
        <v>1242</v>
      </c>
      <c r="J413" s="132" t="s">
        <v>2111</v>
      </c>
      <c r="K413" s="132" t="s">
        <v>1242</v>
      </c>
      <c r="L413" s="132" t="s">
        <v>2112</v>
      </c>
      <c r="M413" s="138" t="str">
        <f t="shared" si="8"/>
        <v>View on Google Map</v>
      </c>
      <c r="N413" s="132">
        <f t="shared" si="7"/>
        <v>59</v>
      </c>
    </row>
    <row r="414" spans="1:14">
      <c r="A414" s="132">
        <v>348</v>
      </c>
      <c r="B414" s="132" t="s">
        <v>2659</v>
      </c>
      <c r="C414" s="132" t="s">
        <v>2660</v>
      </c>
      <c r="D414" s="132">
        <v>68.636431312400006</v>
      </c>
      <c r="E414" s="132">
        <v>-149.14390222200001</v>
      </c>
      <c r="F414" s="132" t="s">
        <v>1242</v>
      </c>
      <c r="G414" s="132" t="s">
        <v>1829</v>
      </c>
      <c r="H414" s="132" t="s">
        <v>2661</v>
      </c>
      <c r="I414" s="132" t="s">
        <v>1242</v>
      </c>
      <c r="J414" s="132" t="s">
        <v>2111</v>
      </c>
      <c r="K414" s="132" t="s">
        <v>1242</v>
      </c>
      <c r="L414" s="132" t="s">
        <v>2112</v>
      </c>
      <c r="M414" s="138" t="str">
        <f t="shared" si="8"/>
        <v>View on Google Map</v>
      </c>
      <c r="N414" s="132">
        <f t="shared" si="7"/>
        <v>60</v>
      </c>
    </row>
    <row r="415" spans="1:14">
      <c r="A415" s="132">
        <v>349</v>
      </c>
      <c r="B415" s="132" t="s">
        <v>2662</v>
      </c>
      <c r="C415" s="132" t="s">
        <v>2663</v>
      </c>
      <c r="D415" s="132">
        <v>68.638723598300004</v>
      </c>
      <c r="E415" s="132">
        <v>-149.17862426400001</v>
      </c>
      <c r="F415" s="132" t="s">
        <v>1242</v>
      </c>
      <c r="G415" s="132" t="s">
        <v>1829</v>
      </c>
      <c r="H415" s="132" t="s">
        <v>2664</v>
      </c>
      <c r="I415" s="132" t="s">
        <v>1242</v>
      </c>
      <c r="J415" s="132" t="s">
        <v>2111</v>
      </c>
      <c r="K415" s="132" t="s">
        <v>1242</v>
      </c>
      <c r="L415" s="132" t="s">
        <v>2112</v>
      </c>
      <c r="M415" s="138" t="str">
        <f t="shared" si="8"/>
        <v>View on Google Map</v>
      </c>
      <c r="N415" s="132">
        <f t="shared" si="7"/>
        <v>61</v>
      </c>
    </row>
    <row r="416" spans="1:14">
      <c r="A416" s="132">
        <v>350</v>
      </c>
      <c r="B416" s="132" t="s">
        <v>2665</v>
      </c>
      <c r="C416" s="132" t="s">
        <v>2666</v>
      </c>
      <c r="D416" s="132">
        <v>68.634874735899999</v>
      </c>
      <c r="E416" s="132">
        <v>-149.193728236</v>
      </c>
      <c r="F416" s="132" t="s">
        <v>1242</v>
      </c>
      <c r="G416" s="132" t="s">
        <v>1829</v>
      </c>
      <c r="H416" s="132" t="s">
        <v>2667</v>
      </c>
      <c r="I416" s="132" t="s">
        <v>1242</v>
      </c>
      <c r="J416" s="132" t="s">
        <v>2111</v>
      </c>
      <c r="K416" s="132" t="s">
        <v>1242</v>
      </c>
      <c r="L416" s="132" t="s">
        <v>2112</v>
      </c>
      <c r="M416" s="138" t="str">
        <f t="shared" si="8"/>
        <v>View on Google Map</v>
      </c>
      <c r="N416" s="132">
        <f t="shared" si="7"/>
        <v>62</v>
      </c>
    </row>
    <row r="417" spans="1:14">
      <c r="A417" s="132">
        <v>351</v>
      </c>
      <c r="B417" s="132" t="s">
        <v>2668</v>
      </c>
      <c r="C417" s="132" t="s">
        <v>2669</v>
      </c>
      <c r="D417" s="132">
        <v>68.630921065799996</v>
      </c>
      <c r="E417" s="132">
        <v>-149.19135200100001</v>
      </c>
      <c r="F417" s="132" t="s">
        <v>1242</v>
      </c>
      <c r="G417" s="132" t="s">
        <v>1829</v>
      </c>
      <c r="H417" s="132" t="s">
        <v>2670</v>
      </c>
      <c r="I417" s="132" t="s">
        <v>1242</v>
      </c>
      <c r="J417" s="132" t="s">
        <v>2111</v>
      </c>
      <c r="K417" s="132" t="s">
        <v>1242</v>
      </c>
      <c r="L417" s="132" t="s">
        <v>2112</v>
      </c>
      <c r="M417" s="138" t="str">
        <f t="shared" si="8"/>
        <v>View on Google Map</v>
      </c>
      <c r="N417" s="132">
        <f t="shared" si="7"/>
        <v>63</v>
      </c>
    </row>
    <row r="418" spans="1:14">
      <c r="A418" s="132">
        <v>352</v>
      </c>
      <c r="B418" s="132" t="s">
        <v>2671</v>
      </c>
      <c r="C418" s="132" t="s">
        <v>2672</v>
      </c>
      <c r="D418" s="132">
        <v>68.635774522800006</v>
      </c>
      <c r="E418" s="132">
        <v>-149.20688041899999</v>
      </c>
      <c r="F418" s="132" t="s">
        <v>1242</v>
      </c>
      <c r="G418" s="132" t="s">
        <v>1829</v>
      </c>
      <c r="H418" s="132" t="s">
        <v>2673</v>
      </c>
      <c r="I418" s="132" t="s">
        <v>1242</v>
      </c>
      <c r="J418" s="132" t="s">
        <v>2111</v>
      </c>
      <c r="K418" s="132" t="s">
        <v>1242</v>
      </c>
      <c r="L418" s="132" t="s">
        <v>2112</v>
      </c>
      <c r="M418" s="138" t="str">
        <f t="shared" si="8"/>
        <v>View on Google Map</v>
      </c>
      <c r="N418" s="132">
        <f t="shared" si="7"/>
        <v>64</v>
      </c>
    </row>
    <row r="419" spans="1:14">
      <c r="A419" s="132">
        <v>353</v>
      </c>
      <c r="B419" s="132" t="s">
        <v>2674</v>
      </c>
      <c r="C419" s="132" t="s">
        <v>2675</v>
      </c>
      <c r="D419" s="132">
        <v>68.585080002200002</v>
      </c>
      <c r="E419" s="132">
        <v>-149.208359645</v>
      </c>
      <c r="F419" s="132">
        <v>898</v>
      </c>
      <c r="G419" s="132" t="s">
        <v>1829</v>
      </c>
      <c r="H419" s="132" t="s">
        <v>2676</v>
      </c>
      <c r="I419" s="132" t="s">
        <v>1242</v>
      </c>
      <c r="J419" s="132" t="s">
        <v>2111</v>
      </c>
      <c r="K419" s="132" t="s">
        <v>1242</v>
      </c>
      <c r="L419" s="132" t="s">
        <v>2112</v>
      </c>
      <c r="M419" s="138" t="str">
        <f t="shared" si="8"/>
        <v>View on Google Map</v>
      </c>
      <c r="N419" s="132">
        <f t="shared" si="7"/>
        <v>65</v>
      </c>
    </row>
    <row r="420" spans="1:14">
      <c r="A420" s="132">
        <v>354</v>
      </c>
      <c r="B420" s="132" t="s">
        <v>2677</v>
      </c>
      <c r="C420" s="132" t="s">
        <v>2678</v>
      </c>
      <c r="D420" s="132">
        <v>68.583148055099997</v>
      </c>
      <c r="E420" s="132">
        <v>-149.19950362399999</v>
      </c>
      <c r="F420" s="132">
        <v>896</v>
      </c>
      <c r="G420" s="132" t="s">
        <v>1829</v>
      </c>
      <c r="H420" s="132" t="s">
        <v>2679</v>
      </c>
      <c r="I420" s="132" t="s">
        <v>1242</v>
      </c>
      <c r="J420" s="132" t="s">
        <v>2111</v>
      </c>
      <c r="K420" s="132" t="s">
        <v>1242</v>
      </c>
      <c r="L420" s="132" t="s">
        <v>2112</v>
      </c>
      <c r="M420" s="138" t="str">
        <f t="shared" si="8"/>
        <v>View on Google Map</v>
      </c>
      <c r="N420" s="132">
        <f t="shared" ref="N420:N434" si="9">VALUE(MID(H420,5,3))</f>
        <v>66</v>
      </c>
    </row>
    <row r="421" spans="1:14">
      <c r="A421" s="132">
        <v>355</v>
      </c>
      <c r="B421" s="132" t="s">
        <v>2680</v>
      </c>
      <c r="C421" s="132" t="s">
        <v>2681</v>
      </c>
      <c r="D421" s="132">
        <v>68.589302268899999</v>
      </c>
      <c r="E421" s="132">
        <v>-149.18432651699999</v>
      </c>
      <c r="F421" s="132">
        <v>880</v>
      </c>
      <c r="G421" s="132" t="s">
        <v>1829</v>
      </c>
      <c r="H421" s="132" t="s">
        <v>2682</v>
      </c>
      <c r="I421" s="132" t="s">
        <v>1242</v>
      </c>
      <c r="J421" s="132" t="s">
        <v>2111</v>
      </c>
      <c r="K421" s="132" t="s">
        <v>1242</v>
      </c>
      <c r="L421" s="132" t="s">
        <v>2112</v>
      </c>
      <c r="M421" s="138" t="str">
        <f t="shared" si="8"/>
        <v>View on Google Map</v>
      </c>
      <c r="N421" s="132">
        <f t="shared" si="9"/>
        <v>67</v>
      </c>
    </row>
    <row r="422" spans="1:14">
      <c r="A422" s="132">
        <v>357</v>
      </c>
      <c r="B422" s="132" t="s">
        <v>2683</v>
      </c>
      <c r="C422" s="132" t="s">
        <v>2684</v>
      </c>
      <c r="D422" s="132">
        <v>68.595953562800005</v>
      </c>
      <c r="E422" s="132">
        <v>-149.161045868</v>
      </c>
      <c r="F422" s="132" t="s">
        <v>1242</v>
      </c>
      <c r="G422" s="132" t="s">
        <v>1829</v>
      </c>
      <c r="H422" s="132" t="s">
        <v>2685</v>
      </c>
      <c r="I422" s="132" t="s">
        <v>1242</v>
      </c>
      <c r="J422" s="132" t="s">
        <v>2111</v>
      </c>
      <c r="K422" s="132" t="s">
        <v>1242</v>
      </c>
      <c r="L422" s="132" t="s">
        <v>2112</v>
      </c>
      <c r="M422" s="138" t="str">
        <f t="shared" si="8"/>
        <v>View on Google Map</v>
      </c>
      <c r="N422" s="132">
        <f t="shared" si="9"/>
        <v>69</v>
      </c>
    </row>
    <row r="423" spans="1:14">
      <c r="A423" s="132">
        <v>358</v>
      </c>
      <c r="B423" s="132" t="s">
        <v>2686</v>
      </c>
      <c r="C423" s="132" t="s">
        <v>2687</v>
      </c>
      <c r="D423" s="132">
        <v>68.590721600400002</v>
      </c>
      <c r="E423" s="132">
        <v>-149.17612158099999</v>
      </c>
      <c r="F423" s="132" t="s">
        <v>1242</v>
      </c>
      <c r="G423" s="132" t="s">
        <v>1829</v>
      </c>
      <c r="H423" s="132" t="s">
        <v>2688</v>
      </c>
      <c r="I423" s="132" t="s">
        <v>1242</v>
      </c>
      <c r="J423" s="132" t="s">
        <v>2111</v>
      </c>
      <c r="K423" s="132" t="s">
        <v>1242</v>
      </c>
      <c r="L423" s="132" t="s">
        <v>2112</v>
      </c>
      <c r="M423" s="138" t="str">
        <f t="shared" si="8"/>
        <v>View on Google Map</v>
      </c>
      <c r="N423" s="132">
        <f t="shared" si="9"/>
        <v>70</v>
      </c>
    </row>
    <row r="424" spans="1:14">
      <c r="A424" s="132">
        <v>359</v>
      </c>
      <c r="B424" s="132" t="s">
        <v>2689</v>
      </c>
      <c r="C424" s="132" t="s">
        <v>2690</v>
      </c>
      <c r="D424" s="132">
        <v>68.600362864999994</v>
      </c>
      <c r="E424" s="132">
        <v>-149.14055367099999</v>
      </c>
      <c r="F424" s="132" t="s">
        <v>1242</v>
      </c>
      <c r="G424" s="132" t="s">
        <v>1829</v>
      </c>
      <c r="H424" s="132" t="s">
        <v>2691</v>
      </c>
      <c r="I424" s="132" t="s">
        <v>1242</v>
      </c>
      <c r="J424" s="132" t="s">
        <v>2111</v>
      </c>
      <c r="K424" s="132" t="s">
        <v>1242</v>
      </c>
      <c r="L424" s="132" t="s">
        <v>2112</v>
      </c>
      <c r="M424" s="138" t="str">
        <f t="shared" si="8"/>
        <v>View on Google Map</v>
      </c>
      <c r="N424" s="132">
        <f t="shared" si="9"/>
        <v>71</v>
      </c>
    </row>
    <row r="425" spans="1:14">
      <c r="A425" s="132">
        <v>360</v>
      </c>
      <c r="B425" s="132" t="s">
        <v>2692</v>
      </c>
      <c r="C425" s="132" t="s">
        <v>2693</v>
      </c>
      <c r="D425" s="132">
        <v>68.610380375800005</v>
      </c>
      <c r="E425" s="132">
        <v>-149.15074315300001</v>
      </c>
      <c r="F425" s="132" t="s">
        <v>1242</v>
      </c>
      <c r="G425" s="132" t="s">
        <v>1829</v>
      </c>
      <c r="H425" s="132" t="s">
        <v>2694</v>
      </c>
      <c r="I425" s="132" t="s">
        <v>1242</v>
      </c>
      <c r="J425" s="132" t="s">
        <v>2111</v>
      </c>
      <c r="K425" s="132" t="s">
        <v>1242</v>
      </c>
      <c r="L425" s="132" t="s">
        <v>2112</v>
      </c>
      <c r="M425" s="138" t="str">
        <f t="shared" si="8"/>
        <v>View on Google Map</v>
      </c>
      <c r="N425" s="132">
        <f t="shared" si="9"/>
        <v>72</v>
      </c>
    </row>
    <row r="426" spans="1:14">
      <c r="A426" s="132">
        <v>361</v>
      </c>
      <c r="B426" s="132" t="s">
        <v>2695</v>
      </c>
      <c r="C426" s="132" t="s">
        <v>2696</v>
      </c>
      <c r="D426" s="132">
        <v>68.6163784405</v>
      </c>
      <c r="E426" s="132">
        <v>-149.16060521700001</v>
      </c>
      <c r="F426" s="132" t="s">
        <v>1242</v>
      </c>
      <c r="G426" s="132" t="s">
        <v>1829</v>
      </c>
      <c r="H426" s="132" t="s">
        <v>2697</v>
      </c>
      <c r="I426" s="132" t="s">
        <v>1242</v>
      </c>
      <c r="J426" s="132" t="s">
        <v>2111</v>
      </c>
      <c r="K426" s="132" t="s">
        <v>1242</v>
      </c>
      <c r="L426" s="132" t="s">
        <v>2112</v>
      </c>
      <c r="M426" s="138" t="str">
        <f t="shared" si="8"/>
        <v>View on Google Map</v>
      </c>
      <c r="N426" s="132">
        <f t="shared" si="9"/>
        <v>73</v>
      </c>
    </row>
    <row r="427" spans="1:14">
      <c r="A427" s="132">
        <v>362</v>
      </c>
      <c r="B427" s="132" t="s">
        <v>2698</v>
      </c>
      <c r="C427" s="132" t="s">
        <v>2699</v>
      </c>
      <c r="D427" s="132">
        <v>68.617934232500005</v>
      </c>
      <c r="E427" s="132">
        <v>-149.18594585299999</v>
      </c>
      <c r="F427" s="132" t="s">
        <v>1242</v>
      </c>
      <c r="G427" s="132" t="s">
        <v>1829</v>
      </c>
      <c r="H427" s="132" t="s">
        <v>2700</v>
      </c>
      <c r="I427" s="132" t="s">
        <v>1242</v>
      </c>
      <c r="J427" s="132" t="s">
        <v>2111</v>
      </c>
      <c r="K427" s="132" t="s">
        <v>1242</v>
      </c>
      <c r="L427" s="132" t="s">
        <v>2112</v>
      </c>
      <c r="M427" s="138" t="str">
        <f t="shared" si="8"/>
        <v>View on Google Map</v>
      </c>
      <c r="N427" s="132">
        <f t="shared" si="9"/>
        <v>74</v>
      </c>
    </row>
    <row r="428" spans="1:14">
      <c r="A428" s="132">
        <v>363</v>
      </c>
      <c r="B428" s="132" t="s">
        <v>2701</v>
      </c>
      <c r="C428" s="132" t="s">
        <v>2702</v>
      </c>
      <c r="D428" s="132">
        <v>68.614396448299999</v>
      </c>
      <c r="E428" s="132">
        <v>-149.19403818800001</v>
      </c>
      <c r="F428" s="132" t="s">
        <v>1242</v>
      </c>
      <c r="G428" s="132" t="s">
        <v>1829</v>
      </c>
      <c r="H428" s="132" t="s">
        <v>2703</v>
      </c>
      <c r="I428" s="132" t="s">
        <v>1242</v>
      </c>
      <c r="J428" s="132" t="s">
        <v>2111</v>
      </c>
      <c r="K428" s="132" t="s">
        <v>1242</v>
      </c>
      <c r="L428" s="132" t="s">
        <v>2112</v>
      </c>
      <c r="M428" s="138" t="str">
        <f t="shared" si="8"/>
        <v>View on Google Map</v>
      </c>
      <c r="N428" s="132">
        <f t="shared" si="9"/>
        <v>75</v>
      </c>
    </row>
    <row r="429" spans="1:14">
      <c r="A429" s="132">
        <v>364</v>
      </c>
      <c r="B429" s="132" t="s">
        <v>2704</v>
      </c>
      <c r="C429" s="132" t="s">
        <v>2705</v>
      </c>
      <c r="D429" s="132">
        <v>68.694256581000005</v>
      </c>
      <c r="E429" s="132">
        <v>-149.73679655699999</v>
      </c>
      <c r="F429" s="132" t="s">
        <v>1242</v>
      </c>
      <c r="G429" s="132" t="s">
        <v>1829</v>
      </c>
      <c r="H429" s="132" t="s">
        <v>2706</v>
      </c>
      <c r="I429" s="132" t="s">
        <v>1242</v>
      </c>
      <c r="J429" s="132" t="s">
        <v>2111</v>
      </c>
      <c r="K429" s="132" t="s">
        <v>1242</v>
      </c>
      <c r="L429" s="132" t="s">
        <v>2112</v>
      </c>
      <c r="M429" s="138" t="str">
        <f t="shared" si="8"/>
        <v>View on Google Map</v>
      </c>
      <c r="N429" s="132">
        <f t="shared" si="9"/>
        <v>76</v>
      </c>
    </row>
    <row r="430" spans="1:14">
      <c r="A430" s="132">
        <v>365</v>
      </c>
      <c r="B430" s="132" t="s">
        <v>2707</v>
      </c>
      <c r="C430" s="132" t="s">
        <v>2708</v>
      </c>
      <c r="D430" s="132">
        <v>68.696056827099994</v>
      </c>
      <c r="E430" s="132">
        <v>-149.73131395300001</v>
      </c>
      <c r="F430" s="132" t="s">
        <v>1242</v>
      </c>
      <c r="G430" s="132" t="s">
        <v>1829</v>
      </c>
      <c r="H430" s="132" t="s">
        <v>2709</v>
      </c>
      <c r="I430" s="132" t="s">
        <v>1242</v>
      </c>
      <c r="J430" s="132" t="s">
        <v>2111</v>
      </c>
      <c r="K430" s="132" t="s">
        <v>1242</v>
      </c>
      <c r="L430" s="132" t="s">
        <v>2112</v>
      </c>
      <c r="M430" s="138" t="str">
        <f t="shared" si="8"/>
        <v>View on Google Map</v>
      </c>
      <c r="N430" s="132">
        <f t="shared" si="9"/>
        <v>77</v>
      </c>
    </row>
    <row r="431" spans="1:14">
      <c r="A431" s="132">
        <v>366</v>
      </c>
      <c r="B431" s="132" t="s">
        <v>2710</v>
      </c>
      <c r="C431" s="132" t="s">
        <v>2711</v>
      </c>
      <c r="D431" s="132">
        <v>68.696468206399999</v>
      </c>
      <c r="E431" s="132">
        <v>-149.708828248</v>
      </c>
      <c r="F431" s="132" t="s">
        <v>1242</v>
      </c>
      <c r="G431" s="132" t="s">
        <v>1829</v>
      </c>
      <c r="H431" s="132" t="s">
        <v>2712</v>
      </c>
      <c r="I431" s="132" t="s">
        <v>1242</v>
      </c>
      <c r="J431" s="132" t="s">
        <v>2111</v>
      </c>
      <c r="K431" s="132" t="s">
        <v>1242</v>
      </c>
      <c r="L431" s="132" t="s">
        <v>2112</v>
      </c>
      <c r="M431" s="138" t="str">
        <f t="shared" si="8"/>
        <v>View on Google Map</v>
      </c>
      <c r="N431" s="132">
        <f t="shared" si="9"/>
        <v>78</v>
      </c>
    </row>
    <row r="432" spans="1:14">
      <c r="A432" s="132">
        <v>367</v>
      </c>
      <c r="B432" s="132" t="s">
        <v>2713</v>
      </c>
      <c r="C432" s="132" t="s">
        <v>2714</v>
      </c>
      <c r="D432" s="132">
        <v>68.688141157800004</v>
      </c>
      <c r="E432" s="132">
        <v>-149.73555264800001</v>
      </c>
      <c r="F432" s="132" t="s">
        <v>1242</v>
      </c>
      <c r="G432" s="132" t="s">
        <v>1829</v>
      </c>
      <c r="H432" s="132" t="s">
        <v>2715</v>
      </c>
      <c r="I432" s="132" t="s">
        <v>1242</v>
      </c>
      <c r="J432" s="132" t="s">
        <v>2111</v>
      </c>
      <c r="K432" s="132" t="s">
        <v>1242</v>
      </c>
      <c r="L432" s="132" t="s">
        <v>2112</v>
      </c>
      <c r="M432" s="138" t="str">
        <f t="shared" si="8"/>
        <v>View on Google Map</v>
      </c>
      <c r="N432" s="132">
        <f t="shared" si="9"/>
        <v>79</v>
      </c>
    </row>
    <row r="433" spans="1:14">
      <c r="A433" s="132">
        <v>368</v>
      </c>
      <c r="B433" s="132" t="s">
        <v>2716</v>
      </c>
      <c r="C433" s="132" t="s">
        <v>2717</v>
      </c>
      <c r="D433" s="132">
        <v>68.682810930000002</v>
      </c>
      <c r="E433" s="132">
        <v>-149.73974315500001</v>
      </c>
      <c r="F433" s="132" t="s">
        <v>1242</v>
      </c>
      <c r="G433" s="132" t="s">
        <v>1829</v>
      </c>
      <c r="H433" s="132" t="s">
        <v>2718</v>
      </c>
      <c r="I433" s="132" t="s">
        <v>1242</v>
      </c>
      <c r="J433" s="132" t="s">
        <v>2111</v>
      </c>
      <c r="K433" s="132" t="s">
        <v>1242</v>
      </c>
      <c r="L433" s="132" t="s">
        <v>2112</v>
      </c>
      <c r="M433" s="138" t="str">
        <f t="shared" si="8"/>
        <v>View on Google Map</v>
      </c>
      <c r="N433" s="132">
        <f t="shared" si="9"/>
        <v>80</v>
      </c>
    </row>
    <row r="434" spans="1:14">
      <c r="A434" s="132">
        <v>369</v>
      </c>
      <c r="B434" s="132" t="s">
        <v>2719</v>
      </c>
      <c r="C434" s="132" t="s">
        <v>2720</v>
      </c>
      <c r="D434" s="132">
        <v>68.682815967099998</v>
      </c>
      <c r="E434" s="132">
        <v>-149.759701116</v>
      </c>
      <c r="F434" s="132" t="s">
        <v>1242</v>
      </c>
      <c r="G434" s="132" t="s">
        <v>1829</v>
      </c>
      <c r="H434" s="132" t="s">
        <v>2721</v>
      </c>
      <c r="I434" s="132" t="s">
        <v>1242</v>
      </c>
      <c r="J434" s="132" t="s">
        <v>2111</v>
      </c>
      <c r="K434" s="132" t="s">
        <v>1242</v>
      </c>
      <c r="L434" s="132" t="s">
        <v>2112</v>
      </c>
      <c r="M434" s="138" t="str">
        <f t="shared" si="8"/>
        <v>View on Google Map</v>
      </c>
      <c r="N434" s="132">
        <f t="shared" si="9"/>
        <v>81</v>
      </c>
    </row>
    <row r="435" spans="1:14">
      <c r="A435" s="132">
        <v>1225</v>
      </c>
      <c r="B435" s="132" t="s">
        <v>2722</v>
      </c>
      <c r="C435" s="45" t="s">
        <v>2723</v>
      </c>
      <c r="D435" s="132">
        <v>68.641727000000003</v>
      </c>
      <c r="E435" s="132">
        <v>-149.58665300000001</v>
      </c>
      <c r="F435" s="132">
        <v>724</v>
      </c>
      <c r="G435" s="132" t="s">
        <v>1819</v>
      </c>
      <c r="H435" s="132" t="s">
        <v>1242</v>
      </c>
      <c r="I435" s="132" t="s">
        <v>1242</v>
      </c>
      <c r="J435" s="132" t="s">
        <v>1844</v>
      </c>
      <c r="K435" s="132" t="s">
        <v>1242</v>
      </c>
      <c r="L435" s="132" t="s">
        <v>1242</v>
      </c>
      <c r="M435" s="138" t="str">
        <f t="shared" si="8"/>
        <v>View on Google Map</v>
      </c>
    </row>
    <row r="436" spans="1:14">
      <c r="B436" s="132" t="s">
        <v>2724</v>
      </c>
      <c r="C436" s="140" t="s">
        <v>2725</v>
      </c>
      <c r="D436" s="132">
        <v>68.622865000000004</v>
      </c>
      <c r="E436" s="132">
        <v>-149.60854499999999</v>
      </c>
      <c r="F436" s="132">
        <v>758</v>
      </c>
      <c r="G436" s="132" t="s">
        <v>1819</v>
      </c>
      <c r="J436" s="132" t="s">
        <v>1844</v>
      </c>
      <c r="M436" s="138" t="str">
        <f t="shared" si="8"/>
        <v>View on Google Map</v>
      </c>
    </row>
    <row r="437" spans="1:14">
      <c r="A437" s="132">
        <v>1220</v>
      </c>
      <c r="B437" s="132" t="s">
        <v>2726</v>
      </c>
      <c r="C437" s="45" t="s">
        <v>2727</v>
      </c>
      <c r="D437" s="132">
        <v>68.624410999999995</v>
      </c>
      <c r="E437" s="132">
        <v>-149.609589</v>
      </c>
      <c r="F437" s="132">
        <v>750</v>
      </c>
      <c r="G437" s="132" t="s">
        <v>1819</v>
      </c>
      <c r="H437" s="132" t="s">
        <v>1242</v>
      </c>
      <c r="I437" s="132" t="s">
        <v>1242</v>
      </c>
      <c r="J437" s="132" t="s">
        <v>1844</v>
      </c>
      <c r="K437" s="132" t="s">
        <v>1242</v>
      </c>
      <c r="L437" s="132" t="s">
        <v>1242</v>
      </c>
      <c r="M437" s="138" t="str">
        <f t="shared" si="8"/>
        <v>View on Google Map</v>
      </c>
    </row>
    <row r="438" spans="1:14">
      <c r="A438" s="132">
        <v>1222</v>
      </c>
      <c r="B438" s="132" t="s">
        <v>2728</v>
      </c>
      <c r="C438" s="45" t="s">
        <v>2729</v>
      </c>
      <c r="D438" s="132">
        <v>68.629636000000005</v>
      </c>
      <c r="E438" s="132">
        <v>-149.57565600000001</v>
      </c>
      <c r="F438" s="132">
        <v>755</v>
      </c>
      <c r="G438" s="132" t="s">
        <v>1819</v>
      </c>
      <c r="H438" s="132" t="s">
        <v>1242</v>
      </c>
      <c r="I438" s="132" t="s">
        <v>1242</v>
      </c>
      <c r="J438" s="132" t="s">
        <v>1844</v>
      </c>
      <c r="K438" s="132" t="s">
        <v>1242</v>
      </c>
      <c r="L438" s="132" t="s">
        <v>1242</v>
      </c>
      <c r="M438" s="138" t="str">
        <f t="shared" si="8"/>
        <v>View on Google Map</v>
      </c>
    </row>
    <row r="439" spans="1:14">
      <c r="A439" s="132">
        <v>1228</v>
      </c>
      <c r="B439" s="132" t="s">
        <v>2730</v>
      </c>
      <c r="C439" s="45" t="s">
        <v>2731</v>
      </c>
      <c r="D439" s="132">
        <v>68.634530999999996</v>
      </c>
      <c r="E439" s="132">
        <v>-149.64205799999999</v>
      </c>
      <c r="F439" s="132">
        <v>748</v>
      </c>
      <c r="G439" s="132" t="s">
        <v>1819</v>
      </c>
      <c r="H439" s="132" t="s">
        <v>1242</v>
      </c>
      <c r="I439" s="132" t="s">
        <v>1242</v>
      </c>
      <c r="J439" s="132" t="s">
        <v>1844</v>
      </c>
      <c r="K439" s="132" t="s">
        <v>1242</v>
      </c>
      <c r="L439" s="132" t="s">
        <v>1242</v>
      </c>
      <c r="M439" s="138" t="str">
        <f t="shared" si="8"/>
        <v>View on Google Map</v>
      </c>
    </row>
    <row r="440" spans="1:14">
      <c r="A440" s="132">
        <v>1227</v>
      </c>
      <c r="B440" s="132" t="s">
        <v>2732</v>
      </c>
      <c r="C440" s="45" t="s">
        <v>2733</v>
      </c>
      <c r="D440" s="132">
        <v>68.634039000000001</v>
      </c>
      <c r="E440" s="132">
        <v>-149.63704899999999</v>
      </c>
      <c r="F440" s="132">
        <v>750</v>
      </c>
      <c r="G440" s="132" t="s">
        <v>1819</v>
      </c>
      <c r="H440" s="132" t="s">
        <v>1242</v>
      </c>
      <c r="I440" s="132" t="s">
        <v>1242</v>
      </c>
      <c r="J440" s="132" t="s">
        <v>1844</v>
      </c>
      <c r="K440" s="132" t="s">
        <v>1242</v>
      </c>
      <c r="L440" s="132" t="s">
        <v>1242</v>
      </c>
      <c r="M440" s="138" t="str">
        <f t="shared" si="8"/>
        <v>View on Google Map</v>
      </c>
    </row>
    <row r="441" spans="1:14">
      <c r="A441" s="132">
        <v>1223</v>
      </c>
      <c r="B441" s="132" t="s">
        <v>2734</v>
      </c>
      <c r="C441" s="45" t="s">
        <v>2735</v>
      </c>
      <c r="D441" s="132">
        <v>68.635624000000007</v>
      </c>
      <c r="E441" s="132">
        <v>-149.587064</v>
      </c>
      <c r="F441" s="132">
        <v>745</v>
      </c>
      <c r="G441" s="132" t="s">
        <v>1819</v>
      </c>
      <c r="H441" s="132" t="s">
        <v>1242</v>
      </c>
      <c r="I441" s="132" t="s">
        <v>1242</v>
      </c>
      <c r="J441" s="132" t="s">
        <v>1844</v>
      </c>
      <c r="K441" s="132" t="s">
        <v>1242</v>
      </c>
      <c r="L441" s="132" t="s">
        <v>1242</v>
      </c>
      <c r="M441" s="138" t="str">
        <f t="shared" si="8"/>
        <v>View on Google Map</v>
      </c>
    </row>
    <row r="442" spans="1:14">
      <c r="A442" s="132">
        <v>1224</v>
      </c>
      <c r="B442" s="132" t="s">
        <v>2736</v>
      </c>
      <c r="C442" s="45" t="s">
        <v>2737</v>
      </c>
      <c r="D442" s="132">
        <v>68.638692000000006</v>
      </c>
      <c r="E442" s="132">
        <v>-149.567789</v>
      </c>
      <c r="F442" s="132">
        <v>731</v>
      </c>
      <c r="G442" s="132" t="s">
        <v>1819</v>
      </c>
      <c r="H442" s="132" t="s">
        <v>1242</v>
      </c>
      <c r="I442" s="132" t="s">
        <v>1242</v>
      </c>
      <c r="J442" s="132" t="s">
        <v>1844</v>
      </c>
      <c r="K442" s="132" t="s">
        <v>1242</v>
      </c>
      <c r="L442" s="132" t="s">
        <v>1242</v>
      </c>
      <c r="M442" s="138" t="str">
        <f t="shared" si="8"/>
        <v>View on Google Map</v>
      </c>
    </row>
    <row r="443" spans="1:14">
      <c r="A443" s="132">
        <v>1221</v>
      </c>
      <c r="B443" s="132" t="s">
        <v>2738</v>
      </c>
      <c r="C443" s="45" t="s">
        <v>2739</v>
      </c>
      <c r="D443" s="132">
        <v>68.625440999999995</v>
      </c>
      <c r="E443" s="132">
        <v>-149.60287299999999</v>
      </c>
      <c r="F443" s="132">
        <v>717</v>
      </c>
      <c r="G443" s="132" t="s">
        <v>1819</v>
      </c>
      <c r="H443" s="132" t="s">
        <v>1242</v>
      </c>
      <c r="I443" s="132" t="s">
        <v>1242</v>
      </c>
      <c r="J443" s="132" t="s">
        <v>1844</v>
      </c>
      <c r="K443" s="132" t="s">
        <v>1242</v>
      </c>
      <c r="L443" s="132" t="s">
        <v>1242</v>
      </c>
      <c r="M443" s="138" t="str">
        <f t="shared" si="8"/>
        <v>View on Google Map</v>
      </c>
    </row>
    <row r="444" spans="1:14">
      <c r="A444" s="132">
        <v>1226</v>
      </c>
      <c r="B444" s="45" t="s">
        <v>2740</v>
      </c>
      <c r="C444" s="45" t="s">
        <v>2741</v>
      </c>
      <c r="D444" s="132">
        <v>68.647621999999998</v>
      </c>
      <c r="E444" s="132">
        <v>-149.57729800000001</v>
      </c>
      <c r="F444" s="132">
        <v>719</v>
      </c>
      <c r="G444" s="132" t="s">
        <v>1819</v>
      </c>
      <c r="H444" s="132" t="s">
        <v>1242</v>
      </c>
      <c r="I444" s="132" t="s">
        <v>1242</v>
      </c>
      <c r="J444" s="132" t="s">
        <v>1844</v>
      </c>
      <c r="K444" s="132" t="s">
        <v>1242</v>
      </c>
      <c r="L444" s="132" t="s">
        <v>1242</v>
      </c>
      <c r="M444" s="138" t="str">
        <f t="shared" si="8"/>
        <v>View on Google Map</v>
      </c>
    </row>
    <row r="445" spans="1:14">
      <c r="A445" s="132">
        <v>487</v>
      </c>
      <c r="B445" s="132" t="s">
        <v>2742</v>
      </c>
      <c r="C445" s="132" t="s">
        <v>1242</v>
      </c>
      <c r="D445" s="132">
        <v>68.961583332999993</v>
      </c>
      <c r="E445" s="132">
        <v>-150.20961666700001</v>
      </c>
      <c r="F445" s="132">
        <v>380</v>
      </c>
      <c r="G445" s="132" t="s">
        <v>1829</v>
      </c>
      <c r="H445" s="132" t="s">
        <v>1242</v>
      </c>
      <c r="I445" s="132" t="s">
        <v>1242</v>
      </c>
      <c r="J445" s="132" t="s">
        <v>1879</v>
      </c>
      <c r="K445" s="132" t="s">
        <v>1242</v>
      </c>
      <c r="L445" s="132" t="s">
        <v>1826</v>
      </c>
      <c r="M445" s="138" t="str">
        <f t="shared" si="8"/>
        <v>View on Google Map</v>
      </c>
    </row>
    <row r="446" spans="1:14">
      <c r="A446" s="132">
        <v>23</v>
      </c>
      <c r="B446" s="132" t="s">
        <v>2743</v>
      </c>
      <c r="C446" s="132" t="s">
        <v>1242</v>
      </c>
      <c r="D446" s="132" t="s">
        <v>1242</v>
      </c>
      <c r="E446" s="132" t="s">
        <v>1242</v>
      </c>
      <c r="F446" s="132" t="s">
        <v>1242</v>
      </c>
      <c r="G446" s="132" t="s">
        <v>1843</v>
      </c>
      <c r="H446" s="132" t="s">
        <v>1242</v>
      </c>
      <c r="I446" s="132" t="s">
        <v>1242</v>
      </c>
      <c r="J446" s="132" t="s">
        <v>1844</v>
      </c>
      <c r="K446" s="132" t="s">
        <v>1242</v>
      </c>
      <c r="L446" s="132" t="s">
        <v>1242</v>
      </c>
      <c r="M446" s="138" t="str">
        <f t="shared" si="8"/>
        <v>View on Google Map</v>
      </c>
    </row>
    <row r="447" spans="1:14">
      <c r="A447" s="132">
        <v>529</v>
      </c>
      <c r="B447" s="132" t="s">
        <v>2744</v>
      </c>
      <c r="C447" s="132" t="s">
        <v>2224</v>
      </c>
      <c r="D447" s="132">
        <v>68.672934999999995</v>
      </c>
      <c r="E447" s="132">
        <v>-149.61752300000001</v>
      </c>
      <c r="F447" s="132">
        <v>708</v>
      </c>
      <c r="G447" s="132" t="s">
        <v>1829</v>
      </c>
      <c r="H447" s="132" t="s">
        <v>1242</v>
      </c>
      <c r="I447" s="132" t="s">
        <v>1242</v>
      </c>
      <c r="J447" s="132" t="s">
        <v>1830</v>
      </c>
      <c r="K447" s="132" t="s">
        <v>1242</v>
      </c>
      <c r="L447" s="132" t="s">
        <v>2225</v>
      </c>
      <c r="M447" s="138" t="str">
        <f t="shared" si="8"/>
        <v>View on Google Map</v>
      </c>
    </row>
    <row r="448" spans="1:14">
      <c r="A448" s="132">
        <v>494</v>
      </c>
      <c r="B448" s="132" t="s">
        <v>2745</v>
      </c>
      <c r="C448" s="132" t="s">
        <v>1242</v>
      </c>
      <c r="D448" s="132">
        <v>68.673756999999995</v>
      </c>
      <c r="E448" s="132">
        <v>-149.618268</v>
      </c>
      <c r="F448" s="132">
        <v>701</v>
      </c>
      <c r="G448" s="132" t="s">
        <v>1843</v>
      </c>
      <c r="H448" s="132" t="s">
        <v>1242</v>
      </c>
      <c r="I448" s="132" t="s">
        <v>1242</v>
      </c>
      <c r="J448" s="132" t="s">
        <v>2746</v>
      </c>
      <c r="K448" s="132" t="s">
        <v>1242</v>
      </c>
      <c r="L448" s="132" t="s">
        <v>2225</v>
      </c>
      <c r="M448" s="138" t="str">
        <f t="shared" si="8"/>
        <v>View on Google Map</v>
      </c>
    </row>
    <row r="449" spans="1:13">
      <c r="A449" s="132">
        <v>189</v>
      </c>
      <c r="B449" s="132" t="s">
        <v>2747</v>
      </c>
      <c r="C449" s="132" t="s">
        <v>1242</v>
      </c>
      <c r="D449" s="132">
        <v>68.622</v>
      </c>
      <c r="E449" s="132">
        <v>-149.590666</v>
      </c>
      <c r="F449" s="132">
        <v>725</v>
      </c>
      <c r="G449" s="132" t="s">
        <v>1843</v>
      </c>
      <c r="H449" s="132" t="s">
        <v>2748</v>
      </c>
      <c r="I449" s="132" t="s">
        <v>2749</v>
      </c>
      <c r="J449" s="132" t="s">
        <v>1844</v>
      </c>
      <c r="K449" s="132" t="s">
        <v>1242</v>
      </c>
      <c r="L449" s="132" t="s">
        <v>2233</v>
      </c>
      <c r="M449" s="138" t="str">
        <f t="shared" si="8"/>
        <v>View on Google Map</v>
      </c>
    </row>
    <row r="450" spans="1:13">
      <c r="A450" s="132">
        <v>273</v>
      </c>
      <c r="B450" s="132" t="s">
        <v>2750</v>
      </c>
      <c r="C450" s="132" t="s">
        <v>1242</v>
      </c>
      <c r="D450" s="132">
        <v>68.620166670000003</v>
      </c>
      <c r="E450" s="132">
        <v>-149.56816599999999</v>
      </c>
      <c r="F450" s="132">
        <v>739</v>
      </c>
      <c r="G450" s="132" t="s">
        <v>1843</v>
      </c>
      <c r="H450" s="132" t="s">
        <v>2751</v>
      </c>
      <c r="I450" s="132" t="s">
        <v>2752</v>
      </c>
      <c r="J450" s="132" t="s">
        <v>1844</v>
      </c>
      <c r="K450" s="132" t="s">
        <v>1242</v>
      </c>
      <c r="L450" s="132" t="s">
        <v>2233</v>
      </c>
      <c r="M450" s="138" t="str">
        <f t="shared" si="8"/>
        <v>View on Google Map</v>
      </c>
    </row>
    <row r="451" spans="1:13">
      <c r="A451" s="132">
        <v>1175</v>
      </c>
      <c r="B451" s="132" t="s">
        <v>2753</v>
      </c>
      <c r="C451" s="132" t="s">
        <v>1242</v>
      </c>
      <c r="D451" s="132">
        <v>68.951925000000003</v>
      </c>
      <c r="E451" s="132">
        <v>-150.20976669999999</v>
      </c>
      <c r="F451" s="132" t="s">
        <v>1242</v>
      </c>
      <c r="G451" s="132" t="s">
        <v>1843</v>
      </c>
      <c r="H451" s="132" t="s">
        <v>1242</v>
      </c>
      <c r="I451" s="132" t="s">
        <v>1242</v>
      </c>
      <c r="J451" s="132" t="s">
        <v>2373</v>
      </c>
      <c r="K451" s="132" t="s">
        <v>1242</v>
      </c>
      <c r="L451" s="132" t="s">
        <v>1242</v>
      </c>
      <c r="M451" s="138" t="str">
        <f t="shared" ref="M451:M514" si="10">HYPERLINK("http://maps.google.com/maps?q="&amp;D451&amp;","&amp;E451,"View on Google Map")</f>
        <v>View on Google Map</v>
      </c>
    </row>
    <row r="452" spans="1:13">
      <c r="A452" s="132">
        <v>103</v>
      </c>
      <c r="B452" s="132" t="s">
        <v>2754</v>
      </c>
      <c r="C452" s="132" t="s">
        <v>1242</v>
      </c>
      <c r="D452" s="132">
        <v>68.639893935800004</v>
      </c>
      <c r="E452" s="132">
        <v>-149.606965643</v>
      </c>
      <c r="F452" s="132">
        <v>731</v>
      </c>
      <c r="G452" s="132" t="s">
        <v>1829</v>
      </c>
      <c r="H452" s="132" t="s">
        <v>2755</v>
      </c>
      <c r="I452" s="132" t="s">
        <v>2756</v>
      </c>
      <c r="J452" s="132" t="s">
        <v>1844</v>
      </c>
      <c r="K452" s="132" t="s">
        <v>1242</v>
      </c>
      <c r="L452" s="132" t="s">
        <v>1242</v>
      </c>
      <c r="M452" s="138" t="str">
        <f t="shared" si="10"/>
        <v>View on Google Map</v>
      </c>
    </row>
    <row r="453" spans="1:13">
      <c r="A453" s="132">
        <v>104</v>
      </c>
      <c r="B453" s="132" t="s">
        <v>2757</v>
      </c>
      <c r="C453" s="132" t="s">
        <v>1242</v>
      </c>
      <c r="D453" s="132">
        <v>68.640947234500004</v>
      </c>
      <c r="E453" s="132">
        <v>-149.625086307</v>
      </c>
      <c r="F453" s="132">
        <v>724</v>
      </c>
      <c r="G453" s="132" t="s">
        <v>1829</v>
      </c>
      <c r="H453" s="132" t="s">
        <v>2758</v>
      </c>
      <c r="I453" s="132" t="s">
        <v>2759</v>
      </c>
      <c r="J453" s="132" t="s">
        <v>1844</v>
      </c>
      <c r="K453" s="132" t="s">
        <v>1242</v>
      </c>
      <c r="L453" s="132" t="s">
        <v>1242</v>
      </c>
      <c r="M453" s="138" t="str">
        <f t="shared" si="10"/>
        <v>View on Google Map</v>
      </c>
    </row>
    <row r="454" spans="1:13">
      <c r="A454" s="132">
        <v>105</v>
      </c>
      <c r="B454" s="132" t="s">
        <v>2760</v>
      </c>
      <c r="C454" s="132" t="s">
        <v>1242</v>
      </c>
      <c r="D454" s="132">
        <v>68.642385337299999</v>
      </c>
      <c r="E454" s="132">
        <v>-149.630769851</v>
      </c>
      <c r="F454" s="132" t="s">
        <v>1242</v>
      </c>
      <c r="G454" s="132" t="s">
        <v>1829</v>
      </c>
      <c r="H454" s="132" t="s">
        <v>2761</v>
      </c>
      <c r="I454" s="132" t="s">
        <v>1242</v>
      </c>
      <c r="J454" s="132" t="s">
        <v>1844</v>
      </c>
      <c r="K454" s="132" t="s">
        <v>1242</v>
      </c>
      <c r="L454" s="132" t="s">
        <v>1242</v>
      </c>
      <c r="M454" s="138" t="str">
        <f t="shared" si="10"/>
        <v>View on Google Map</v>
      </c>
    </row>
    <row r="455" spans="1:13">
      <c r="A455" s="132">
        <v>245</v>
      </c>
      <c r="B455" s="132" t="s">
        <v>2762</v>
      </c>
      <c r="C455" s="132" t="s">
        <v>1242</v>
      </c>
      <c r="D455" s="132">
        <v>68.645120702900002</v>
      </c>
      <c r="E455" s="132">
        <v>-149.64028014900001</v>
      </c>
      <c r="F455" s="132" t="s">
        <v>1242</v>
      </c>
      <c r="G455" s="132" t="s">
        <v>1829</v>
      </c>
      <c r="H455" s="132" t="s">
        <v>2763</v>
      </c>
      <c r="I455" s="132" t="s">
        <v>1242</v>
      </c>
      <c r="J455" s="132" t="s">
        <v>1844</v>
      </c>
      <c r="K455" s="132" t="s">
        <v>1242</v>
      </c>
      <c r="L455" s="132" t="s">
        <v>1242</v>
      </c>
      <c r="M455" s="138" t="str">
        <f t="shared" si="10"/>
        <v>View on Google Map</v>
      </c>
    </row>
    <row r="456" spans="1:13">
      <c r="A456" s="132">
        <v>240</v>
      </c>
      <c r="B456" s="132" t="s">
        <v>2764</v>
      </c>
      <c r="C456" s="132" t="s">
        <v>1242</v>
      </c>
      <c r="D456" s="132">
        <v>68.645428204500007</v>
      </c>
      <c r="E456" s="132">
        <v>-149.62885531000001</v>
      </c>
      <c r="F456" s="132" t="s">
        <v>1242</v>
      </c>
      <c r="G456" s="132" t="s">
        <v>1829</v>
      </c>
      <c r="H456" s="132" t="s">
        <v>2765</v>
      </c>
      <c r="I456" s="132" t="s">
        <v>1242</v>
      </c>
      <c r="J456" s="132" t="s">
        <v>1844</v>
      </c>
      <c r="K456" s="132" t="s">
        <v>1242</v>
      </c>
      <c r="L456" s="132" t="s">
        <v>1242</v>
      </c>
      <c r="M456" s="138" t="str">
        <f t="shared" si="10"/>
        <v>View on Google Map</v>
      </c>
    </row>
    <row r="457" spans="1:13">
      <c r="A457" s="132">
        <v>508</v>
      </c>
      <c r="B457" s="132" t="s">
        <v>2766</v>
      </c>
      <c r="C457" s="132" t="s">
        <v>1828</v>
      </c>
      <c r="D457" s="132">
        <v>68.396288999999996</v>
      </c>
      <c r="E457" s="132">
        <v>-150.58781500000001</v>
      </c>
      <c r="F457" s="132">
        <v>841</v>
      </c>
      <c r="G457" s="132" t="s">
        <v>1829</v>
      </c>
      <c r="H457" s="132" t="s">
        <v>1831</v>
      </c>
      <c r="I457" s="132" t="s">
        <v>1242</v>
      </c>
      <c r="J457" s="132" t="s">
        <v>1830</v>
      </c>
      <c r="K457" s="132" t="s">
        <v>1242</v>
      </c>
      <c r="L457" s="132" t="s">
        <v>1831</v>
      </c>
      <c r="M457" s="138" t="str">
        <f t="shared" si="10"/>
        <v>View on Google Map</v>
      </c>
    </row>
    <row r="458" spans="1:13">
      <c r="A458" s="132">
        <v>513</v>
      </c>
      <c r="B458" s="132" t="s">
        <v>2767</v>
      </c>
      <c r="C458" s="132" t="s">
        <v>1828</v>
      </c>
      <c r="D458" s="132">
        <v>68.362488999999997</v>
      </c>
      <c r="E458" s="132">
        <v>-151.70717300000001</v>
      </c>
      <c r="F458" s="132">
        <v>792</v>
      </c>
      <c r="G458" s="132" t="s">
        <v>1829</v>
      </c>
      <c r="H458" s="132" t="s">
        <v>1242</v>
      </c>
      <c r="I458" s="132" t="s">
        <v>1242</v>
      </c>
      <c r="J458" s="132" t="s">
        <v>1830</v>
      </c>
      <c r="K458" s="132" t="s">
        <v>1242</v>
      </c>
      <c r="L458" s="132" t="s">
        <v>1831</v>
      </c>
      <c r="M458" s="138" t="str">
        <f t="shared" si="10"/>
        <v>View on Google Map</v>
      </c>
    </row>
    <row r="459" spans="1:13">
      <c r="A459" s="132">
        <v>512</v>
      </c>
      <c r="B459" s="132" t="s">
        <v>2768</v>
      </c>
      <c r="C459" s="132" t="s">
        <v>1828</v>
      </c>
      <c r="D459" s="132">
        <v>68.351332999999997</v>
      </c>
      <c r="E459" s="132">
        <v>-151.702167</v>
      </c>
      <c r="F459" s="132">
        <v>789</v>
      </c>
      <c r="G459" s="132" t="s">
        <v>1829</v>
      </c>
      <c r="H459" s="132" t="s">
        <v>1242</v>
      </c>
      <c r="I459" s="132" t="s">
        <v>1242</v>
      </c>
      <c r="J459" s="132" t="s">
        <v>1830</v>
      </c>
      <c r="K459" s="132" t="s">
        <v>1242</v>
      </c>
      <c r="L459" s="132" t="s">
        <v>1831</v>
      </c>
      <c r="M459" s="138" t="str">
        <f t="shared" si="10"/>
        <v>View on Google Map</v>
      </c>
    </row>
    <row r="460" spans="1:13">
      <c r="A460" s="132">
        <v>511</v>
      </c>
      <c r="B460" s="132" t="s">
        <v>2769</v>
      </c>
      <c r="C460" s="132" t="s">
        <v>1828</v>
      </c>
      <c r="D460" s="132">
        <v>68.347333000000006</v>
      </c>
      <c r="E460" s="132">
        <v>-151.70316700000001</v>
      </c>
      <c r="F460" s="132">
        <v>798</v>
      </c>
      <c r="G460" s="132" t="s">
        <v>1829</v>
      </c>
      <c r="H460" s="132" t="s">
        <v>1242</v>
      </c>
      <c r="I460" s="132" t="s">
        <v>1242</v>
      </c>
      <c r="J460" s="132" t="s">
        <v>1830</v>
      </c>
      <c r="K460" s="132" t="s">
        <v>1242</v>
      </c>
      <c r="L460" s="132" t="s">
        <v>1831</v>
      </c>
      <c r="M460" s="138" t="str">
        <f t="shared" si="10"/>
        <v>View on Google Map</v>
      </c>
    </row>
    <row r="461" spans="1:13">
      <c r="A461" s="132">
        <v>510</v>
      </c>
      <c r="B461" s="132" t="s">
        <v>2770</v>
      </c>
      <c r="C461" s="132" t="s">
        <v>1828</v>
      </c>
      <c r="D461" s="132">
        <v>68.351332999999997</v>
      </c>
      <c r="E461" s="132">
        <v>-151.702167</v>
      </c>
      <c r="F461" s="132">
        <v>810</v>
      </c>
      <c r="G461" s="132" t="s">
        <v>1829</v>
      </c>
      <c r="H461" s="132" t="s">
        <v>1242</v>
      </c>
      <c r="I461" s="132" t="s">
        <v>1242</v>
      </c>
      <c r="J461" s="132" t="s">
        <v>1830</v>
      </c>
      <c r="K461" s="132" t="s">
        <v>1242</v>
      </c>
      <c r="L461" s="132" t="s">
        <v>1831</v>
      </c>
      <c r="M461" s="138" t="str">
        <f t="shared" si="10"/>
        <v>View on Google Map</v>
      </c>
    </row>
    <row r="462" spans="1:13">
      <c r="A462" s="132">
        <v>233</v>
      </c>
      <c r="B462" s="132" t="s">
        <v>2771</v>
      </c>
      <c r="C462" s="132" t="s">
        <v>1242</v>
      </c>
      <c r="D462" s="132">
        <v>68.643783170000006</v>
      </c>
      <c r="E462" s="132">
        <v>-149.58949436200001</v>
      </c>
      <c r="F462" s="132">
        <v>716</v>
      </c>
      <c r="G462" s="132" t="s">
        <v>1829</v>
      </c>
      <c r="H462" s="132" t="s">
        <v>2772</v>
      </c>
      <c r="I462" s="132" t="s">
        <v>1242</v>
      </c>
      <c r="J462" s="132" t="s">
        <v>1844</v>
      </c>
      <c r="K462" s="132" t="s">
        <v>1242</v>
      </c>
      <c r="L462" s="132" t="s">
        <v>1242</v>
      </c>
      <c r="M462" s="138" t="str">
        <f t="shared" si="10"/>
        <v>View on Google Map</v>
      </c>
    </row>
    <row r="463" spans="1:13">
      <c r="A463" s="132">
        <v>147</v>
      </c>
      <c r="B463" s="132" t="s">
        <v>2773</v>
      </c>
      <c r="C463" s="132" t="s">
        <v>1242</v>
      </c>
      <c r="D463" s="132">
        <v>68.646325005500003</v>
      </c>
      <c r="E463" s="132">
        <v>-149.58272243900001</v>
      </c>
      <c r="F463" s="132">
        <v>716</v>
      </c>
      <c r="G463" s="132" t="s">
        <v>1829</v>
      </c>
      <c r="H463" s="132" t="s">
        <v>2774</v>
      </c>
      <c r="I463" s="132" t="s">
        <v>1242</v>
      </c>
      <c r="J463" s="132" t="s">
        <v>1844</v>
      </c>
      <c r="K463" s="132" t="s">
        <v>1242</v>
      </c>
      <c r="L463" s="132" t="s">
        <v>1242</v>
      </c>
      <c r="M463" s="138" t="str">
        <f t="shared" si="10"/>
        <v>View on Google Map</v>
      </c>
    </row>
    <row r="464" spans="1:13">
      <c r="A464" s="132">
        <v>234</v>
      </c>
      <c r="B464" s="132" t="s">
        <v>2775</v>
      </c>
      <c r="C464" s="132" t="s">
        <v>1242</v>
      </c>
      <c r="D464" s="132">
        <v>68.650192520999994</v>
      </c>
      <c r="E464" s="132">
        <v>-149.58255972500001</v>
      </c>
      <c r="F464" s="132">
        <v>731</v>
      </c>
      <c r="G464" s="132" t="s">
        <v>1829</v>
      </c>
      <c r="H464" s="132" t="s">
        <v>2776</v>
      </c>
      <c r="I464" s="132" t="s">
        <v>1242</v>
      </c>
      <c r="J464" s="132" t="s">
        <v>1844</v>
      </c>
      <c r="K464" s="132" t="s">
        <v>1242</v>
      </c>
      <c r="L464" s="132" t="s">
        <v>1242</v>
      </c>
      <c r="M464" s="138" t="str">
        <f t="shared" si="10"/>
        <v>View on Google Map</v>
      </c>
    </row>
    <row r="465" spans="1:13">
      <c r="A465" s="132">
        <v>306</v>
      </c>
      <c r="B465" s="132" t="s">
        <v>2777</v>
      </c>
      <c r="C465" s="132" t="s">
        <v>1242</v>
      </c>
      <c r="D465" s="132" t="s">
        <v>1242</v>
      </c>
      <c r="E465" s="132" t="s">
        <v>1242</v>
      </c>
      <c r="F465" s="132">
        <v>731</v>
      </c>
      <c r="G465" s="132" t="s">
        <v>1829</v>
      </c>
      <c r="H465" s="132" t="s">
        <v>2778</v>
      </c>
      <c r="I465" s="132" t="s">
        <v>1242</v>
      </c>
      <c r="J465" s="132" t="s">
        <v>1844</v>
      </c>
      <c r="K465" s="132" t="s">
        <v>1242</v>
      </c>
      <c r="L465" s="132" t="s">
        <v>1242</v>
      </c>
      <c r="M465" s="138" t="str">
        <f t="shared" si="10"/>
        <v>View on Google Map</v>
      </c>
    </row>
    <row r="466" spans="1:13">
      <c r="A466" s="132">
        <v>235</v>
      </c>
      <c r="B466" s="132" t="s">
        <v>2779</v>
      </c>
      <c r="C466" s="132" t="s">
        <v>1242</v>
      </c>
      <c r="D466" s="132" t="s">
        <v>1242</v>
      </c>
      <c r="E466" s="132" t="s">
        <v>1242</v>
      </c>
      <c r="F466" s="132">
        <v>716</v>
      </c>
      <c r="G466" s="132" t="s">
        <v>1829</v>
      </c>
      <c r="H466" s="132" t="s">
        <v>2780</v>
      </c>
      <c r="I466" s="132" t="s">
        <v>1242</v>
      </c>
      <c r="J466" s="132" t="s">
        <v>1844</v>
      </c>
      <c r="K466" s="132" t="s">
        <v>1242</v>
      </c>
      <c r="L466" s="132" t="s">
        <v>1242</v>
      </c>
      <c r="M466" s="138" t="str">
        <f t="shared" si="10"/>
        <v>View on Google Map</v>
      </c>
    </row>
    <row r="467" spans="1:13">
      <c r="A467" s="132">
        <v>307</v>
      </c>
      <c r="B467" s="132" t="s">
        <v>2781</v>
      </c>
      <c r="C467" s="132" t="s">
        <v>1242</v>
      </c>
      <c r="D467" s="132" t="s">
        <v>1242</v>
      </c>
      <c r="E467" s="132" t="s">
        <v>1242</v>
      </c>
      <c r="F467" s="132">
        <v>716</v>
      </c>
      <c r="G467" s="132" t="s">
        <v>1829</v>
      </c>
      <c r="H467" s="132" t="s">
        <v>2782</v>
      </c>
      <c r="I467" s="132" t="s">
        <v>1242</v>
      </c>
      <c r="J467" s="132" t="s">
        <v>1844</v>
      </c>
      <c r="K467" s="132" t="s">
        <v>1242</v>
      </c>
      <c r="L467" s="132" t="s">
        <v>1242</v>
      </c>
      <c r="M467" s="138" t="str">
        <f t="shared" si="10"/>
        <v>View on Google Map</v>
      </c>
    </row>
    <row r="468" spans="1:13">
      <c r="A468" s="132">
        <v>236</v>
      </c>
      <c r="B468" s="132" t="s">
        <v>2783</v>
      </c>
      <c r="C468" s="132" t="s">
        <v>1242</v>
      </c>
      <c r="D468" s="132">
        <v>68.653572283900004</v>
      </c>
      <c r="E468" s="132">
        <v>-149.58091106399999</v>
      </c>
      <c r="F468" s="132">
        <v>731</v>
      </c>
      <c r="G468" s="132" t="s">
        <v>1829</v>
      </c>
      <c r="H468" s="132" t="s">
        <v>2784</v>
      </c>
      <c r="I468" s="132" t="s">
        <v>1242</v>
      </c>
      <c r="J468" s="132" t="s">
        <v>1844</v>
      </c>
      <c r="K468" s="132" t="s">
        <v>1242</v>
      </c>
      <c r="L468" s="132" t="s">
        <v>1242</v>
      </c>
      <c r="M468" s="138" t="str">
        <f t="shared" si="10"/>
        <v>View on Google Map</v>
      </c>
    </row>
    <row r="469" spans="1:13">
      <c r="A469" s="132">
        <v>308</v>
      </c>
      <c r="B469" s="132" t="s">
        <v>2785</v>
      </c>
      <c r="C469" s="132" t="s">
        <v>1242</v>
      </c>
      <c r="D469" s="132">
        <v>68.652551279199997</v>
      </c>
      <c r="E469" s="132">
        <v>-149.58676006799999</v>
      </c>
      <c r="F469" s="132">
        <v>731</v>
      </c>
      <c r="G469" s="132" t="s">
        <v>1829</v>
      </c>
      <c r="H469" s="132" t="s">
        <v>2786</v>
      </c>
      <c r="I469" s="132" t="s">
        <v>1242</v>
      </c>
      <c r="J469" s="132" t="s">
        <v>1844</v>
      </c>
      <c r="K469" s="132" t="s">
        <v>1242</v>
      </c>
      <c r="L469" s="132" t="s">
        <v>1242</v>
      </c>
      <c r="M469" s="138" t="str">
        <f t="shared" si="10"/>
        <v>View on Google Map</v>
      </c>
    </row>
    <row r="470" spans="1:13">
      <c r="A470" s="132">
        <v>446</v>
      </c>
      <c r="B470" s="132" t="s">
        <v>2787</v>
      </c>
      <c r="C470" s="132" t="s">
        <v>1242</v>
      </c>
      <c r="D470" s="132">
        <v>68.653536133599999</v>
      </c>
      <c r="E470" s="132">
        <v>-149.59622183299999</v>
      </c>
      <c r="F470" s="132">
        <v>747</v>
      </c>
      <c r="G470" s="132" t="s">
        <v>1829</v>
      </c>
      <c r="H470" s="132" t="s">
        <v>2788</v>
      </c>
      <c r="I470" s="132" t="s">
        <v>1242</v>
      </c>
      <c r="J470" s="132" t="s">
        <v>1844</v>
      </c>
      <c r="K470" s="132" t="s">
        <v>1242</v>
      </c>
      <c r="L470" s="132" t="s">
        <v>1242</v>
      </c>
      <c r="M470" s="138" t="str">
        <f t="shared" si="10"/>
        <v>View on Google Map</v>
      </c>
    </row>
    <row r="471" spans="1:13">
      <c r="A471" s="132">
        <v>447</v>
      </c>
      <c r="B471" s="132" t="s">
        <v>2789</v>
      </c>
      <c r="C471" s="132" t="s">
        <v>1242</v>
      </c>
      <c r="D471" s="132">
        <v>68.652588284900006</v>
      </c>
      <c r="E471" s="132">
        <v>-149.60764069300001</v>
      </c>
      <c r="F471" s="132" t="s">
        <v>1242</v>
      </c>
      <c r="G471" s="132" t="s">
        <v>1829</v>
      </c>
      <c r="H471" s="132" t="s">
        <v>2790</v>
      </c>
      <c r="I471" s="132" t="s">
        <v>1242</v>
      </c>
      <c r="J471" s="132" t="s">
        <v>1844</v>
      </c>
      <c r="K471" s="132" t="s">
        <v>1242</v>
      </c>
      <c r="L471" s="132" t="s">
        <v>1242</v>
      </c>
      <c r="M471" s="138" t="str">
        <f t="shared" si="10"/>
        <v>View on Google Map</v>
      </c>
    </row>
    <row r="472" spans="1:13">
      <c r="A472" s="132">
        <v>504</v>
      </c>
      <c r="B472" s="132" t="s">
        <v>2791</v>
      </c>
      <c r="C472" s="132" t="s">
        <v>1242</v>
      </c>
      <c r="D472" s="132">
        <v>68.647407723699999</v>
      </c>
      <c r="E472" s="132">
        <v>-149.60936597400001</v>
      </c>
      <c r="F472" s="132">
        <v>731</v>
      </c>
      <c r="G472" s="132" t="s">
        <v>1829</v>
      </c>
      <c r="H472" s="132" t="s">
        <v>1242</v>
      </c>
      <c r="I472" s="132" t="s">
        <v>1242</v>
      </c>
      <c r="J472" s="132" t="s">
        <v>1844</v>
      </c>
      <c r="K472" s="132" t="s">
        <v>1242</v>
      </c>
      <c r="L472" s="132" t="s">
        <v>1242</v>
      </c>
      <c r="M472" s="138" t="str">
        <f t="shared" si="10"/>
        <v>View on Google Map</v>
      </c>
    </row>
    <row r="473" spans="1:13">
      <c r="A473" s="132">
        <v>108</v>
      </c>
      <c r="B473" s="132" t="s">
        <v>2792</v>
      </c>
      <c r="C473" s="132" t="s">
        <v>1242</v>
      </c>
      <c r="D473" s="132">
        <v>68.650000000000006</v>
      </c>
      <c r="E473" s="132">
        <v>-149.61666666666667</v>
      </c>
      <c r="F473" s="132">
        <v>699</v>
      </c>
      <c r="G473" s="132" t="s">
        <v>1829</v>
      </c>
      <c r="H473" s="132" t="s">
        <v>2793</v>
      </c>
      <c r="I473" s="132" t="s">
        <v>1242</v>
      </c>
      <c r="J473" s="132" t="s">
        <v>1844</v>
      </c>
      <c r="K473" s="132" t="s">
        <v>1242</v>
      </c>
      <c r="L473" s="132" t="s">
        <v>1242</v>
      </c>
      <c r="M473" s="138" t="str">
        <f t="shared" si="10"/>
        <v>View on Google Map</v>
      </c>
    </row>
    <row r="474" spans="1:13">
      <c r="A474" s="132">
        <v>309</v>
      </c>
      <c r="B474" s="132" t="s">
        <v>2794</v>
      </c>
      <c r="C474" s="132" t="s">
        <v>1242</v>
      </c>
      <c r="D474" s="132" t="s">
        <v>1242</v>
      </c>
      <c r="E474" s="132" t="s">
        <v>1242</v>
      </c>
      <c r="F474" s="132" t="s">
        <v>1242</v>
      </c>
      <c r="G474" s="132" t="s">
        <v>1829</v>
      </c>
      <c r="H474" s="132" t="s">
        <v>2795</v>
      </c>
      <c r="I474" s="132" t="s">
        <v>1242</v>
      </c>
      <c r="J474" s="132" t="s">
        <v>1844</v>
      </c>
      <c r="K474" s="132" t="s">
        <v>1242</v>
      </c>
      <c r="L474" s="132" t="s">
        <v>1242</v>
      </c>
      <c r="M474" s="138" t="str">
        <f t="shared" si="10"/>
        <v>View on Google Map</v>
      </c>
    </row>
    <row r="475" spans="1:13">
      <c r="A475" s="132">
        <v>109</v>
      </c>
      <c r="B475" s="132" t="s">
        <v>2796</v>
      </c>
      <c r="C475" s="132" t="s">
        <v>1242</v>
      </c>
      <c r="D475" s="132">
        <v>68.683333333333337</v>
      </c>
      <c r="E475" s="132">
        <v>-149.61666666666667</v>
      </c>
      <c r="F475" s="132">
        <v>701</v>
      </c>
      <c r="G475" s="132" t="s">
        <v>1829</v>
      </c>
      <c r="H475" s="132" t="s">
        <v>2797</v>
      </c>
      <c r="I475" s="132" t="s">
        <v>1242</v>
      </c>
      <c r="J475" s="132" t="s">
        <v>1844</v>
      </c>
      <c r="K475" s="132" t="s">
        <v>1242</v>
      </c>
      <c r="L475" s="132" t="s">
        <v>1242</v>
      </c>
      <c r="M475" s="138" t="str">
        <f t="shared" si="10"/>
        <v>View on Google Map</v>
      </c>
    </row>
    <row r="476" spans="1:13">
      <c r="A476" s="132">
        <v>497</v>
      </c>
      <c r="B476" s="132" t="s">
        <v>2798</v>
      </c>
      <c r="C476" s="132" t="s">
        <v>2799</v>
      </c>
      <c r="D476" s="132">
        <v>68.674931999999998</v>
      </c>
      <c r="E476" s="132">
        <v>-149.625439</v>
      </c>
      <c r="F476" s="132">
        <v>701</v>
      </c>
      <c r="G476" s="132" t="s">
        <v>1829</v>
      </c>
      <c r="H476" s="132" t="s">
        <v>1242</v>
      </c>
      <c r="I476" s="132" t="s">
        <v>1242</v>
      </c>
      <c r="J476" s="132" t="s">
        <v>2746</v>
      </c>
      <c r="K476" s="132" t="s">
        <v>1242</v>
      </c>
      <c r="L476" s="132" t="s">
        <v>2225</v>
      </c>
      <c r="M476" s="138" t="str">
        <f t="shared" si="10"/>
        <v>View on Google Map</v>
      </c>
    </row>
    <row r="477" spans="1:13">
      <c r="A477" s="132">
        <v>498</v>
      </c>
      <c r="B477" s="132" t="s">
        <v>2800</v>
      </c>
      <c r="C477" s="132" t="s">
        <v>1242</v>
      </c>
      <c r="D477" s="132">
        <v>68.677723</v>
      </c>
      <c r="E477" s="132">
        <v>-149.62402800000001</v>
      </c>
      <c r="F477" s="132">
        <v>701</v>
      </c>
      <c r="G477" s="132" t="s">
        <v>1843</v>
      </c>
      <c r="H477" s="132" t="s">
        <v>1242</v>
      </c>
      <c r="I477" s="132" t="s">
        <v>1242</v>
      </c>
      <c r="J477" s="132" t="s">
        <v>2746</v>
      </c>
      <c r="K477" s="132" t="s">
        <v>1242</v>
      </c>
      <c r="L477" s="132" t="s">
        <v>2225</v>
      </c>
      <c r="M477" s="138" t="str">
        <f t="shared" si="10"/>
        <v>View on Google Map</v>
      </c>
    </row>
    <row r="478" spans="1:13">
      <c r="A478" s="132">
        <v>495</v>
      </c>
      <c r="B478" s="132" t="s">
        <v>2801</v>
      </c>
      <c r="C478" s="132" t="s">
        <v>1242</v>
      </c>
      <c r="D478" s="132">
        <v>68.674121999999997</v>
      </c>
      <c r="E478" s="132">
        <v>-149.62885</v>
      </c>
      <c r="F478" s="132">
        <v>701</v>
      </c>
      <c r="G478" s="132" t="s">
        <v>1843</v>
      </c>
      <c r="H478" s="132" t="s">
        <v>1242</v>
      </c>
      <c r="I478" s="132" t="s">
        <v>1242</v>
      </c>
      <c r="J478" s="132" t="s">
        <v>2746</v>
      </c>
      <c r="K478" s="132" t="s">
        <v>1242</v>
      </c>
      <c r="L478" s="132" t="s">
        <v>2225</v>
      </c>
      <c r="M478" s="138" t="str">
        <f t="shared" si="10"/>
        <v>View on Google Map</v>
      </c>
    </row>
    <row r="479" spans="1:13">
      <c r="A479" s="132">
        <v>448</v>
      </c>
      <c r="B479" s="132" t="s">
        <v>2802</v>
      </c>
      <c r="C479" s="132" t="s">
        <v>1242</v>
      </c>
      <c r="D479" s="132">
        <v>68.655874034999997</v>
      </c>
      <c r="E479" s="132">
        <v>-149.58555905599999</v>
      </c>
      <c r="F479" s="132" t="s">
        <v>1242</v>
      </c>
      <c r="G479" s="132" t="s">
        <v>1829</v>
      </c>
      <c r="H479" s="132" t="s">
        <v>2803</v>
      </c>
      <c r="I479" s="132" t="s">
        <v>1242</v>
      </c>
      <c r="J479" s="132" t="s">
        <v>1844</v>
      </c>
      <c r="K479" s="132" t="s">
        <v>1242</v>
      </c>
      <c r="L479" s="132" t="s">
        <v>1242</v>
      </c>
      <c r="M479" s="138" t="str">
        <f t="shared" si="10"/>
        <v>View on Google Map</v>
      </c>
    </row>
    <row r="480" spans="1:13">
      <c r="A480" s="132">
        <v>449</v>
      </c>
      <c r="B480" s="132" t="s">
        <v>2804</v>
      </c>
      <c r="C480" s="132" t="s">
        <v>1242</v>
      </c>
      <c r="D480" s="132">
        <v>68.661045276899998</v>
      </c>
      <c r="E480" s="132">
        <v>-149.586664767</v>
      </c>
      <c r="F480" s="132" t="s">
        <v>1242</v>
      </c>
      <c r="G480" s="132" t="s">
        <v>1829</v>
      </c>
      <c r="H480" s="132" t="s">
        <v>2805</v>
      </c>
      <c r="I480" s="132" t="s">
        <v>1242</v>
      </c>
      <c r="J480" s="132" t="s">
        <v>1844</v>
      </c>
      <c r="K480" s="132" t="s">
        <v>1242</v>
      </c>
      <c r="L480" s="132" t="s">
        <v>1242</v>
      </c>
      <c r="M480" s="138" t="str">
        <f t="shared" si="10"/>
        <v>View on Google Map</v>
      </c>
    </row>
    <row r="481" spans="1:13">
      <c r="A481" s="132">
        <v>171</v>
      </c>
      <c r="B481" s="132" t="s">
        <v>2806</v>
      </c>
      <c r="C481" s="132" t="s">
        <v>1242</v>
      </c>
      <c r="D481" s="132">
        <v>68.652645483100002</v>
      </c>
      <c r="E481" s="132">
        <v>-149.59947366200001</v>
      </c>
      <c r="F481" s="132">
        <v>747</v>
      </c>
      <c r="G481" s="132" t="s">
        <v>1829</v>
      </c>
      <c r="H481" s="132" t="s">
        <v>2807</v>
      </c>
      <c r="I481" s="132" t="s">
        <v>2808</v>
      </c>
      <c r="J481" s="132" t="s">
        <v>1844</v>
      </c>
      <c r="K481" s="132" t="s">
        <v>1242</v>
      </c>
      <c r="L481" s="132" t="s">
        <v>1242</v>
      </c>
      <c r="M481" s="138" t="str">
        <f t="shared" si="10"/>
        <v>View on Google Map</v>
      </c>
    </row>
    <row r="482" spans="1:13">
      <c r="A482" s="132">
        <v>499</v>
      </c>
      <c r="B482" s="132" t="s">
        <v>2809</v>
      </c>
      <c r="C482" s="132" t="s">
        <v>1242</v>
      </c>
      <c r="D482" s="132">
        <v>68.829610000000002</v>
      </c>
      <c r="E482" s="132">
        <v>-149.77901</v>
      </c>
      <c r="F482" s="132">
        <v>633</v>
      </c>
      <c r="G482" s="132" t="s">
        <v>1829</v>
      </c>
      <c r="H482" s="132" t="s">
        <v>2810</v>
      </c>
      <c r="I482" s="132" t="s">
        <v>2811</v>
      </c>
      <c r="J482" s="132" t="s">
        <v>1830</v>
      </c>
      <c r="K482" s="132" t="s">
        <v>1242</v>
      </c>
      <c r="L482" s="132" t="s">
        <v>1242</v>
      </c>
      <c r="M482" s="138" t="str">
        <f t="shared" si="10"/>
        <v>View on Google Map</v>
      </c>
    </row>
    <row r="483" spans="1:13">
      <c r="A483" s="132">
        <v>500</v>
      </c>
      <c r="B483" s="132" t="s">
        <v>2812</v>
      </c>
      <c r="C483" s="132" t="s">
        <v>1242</v>
      </c>
      <c r="D483" s="132">
        <v>68.832999999999998</v>
      </c>
      <c r="E483" s="132">
        <v>-149.76808</v>
      </c>
      <c r="F483" s="132">
        <v>624</v>
      </c>
      <c r="G483" s="132" t="s">
        <v>1829</v>
      </c>
      <c r="H483" s="132" t="s">
        <v>2813</v>
      </c>
      <c r="I483" s="132" t="s">
        <v>2814</v>
      </c>
      <c r="J483" s="132" t="s">
        <v>1830</v>
      </c>
      <c r="K483" s="132" t="s">
        <v>1242</v>
      </c>
      <c r="L483" s="132" t="s">
        <v>1242</v>
      </c>
      <c r="M483" s="138" t="str">
        <f t="shared" si="10"/>
        <v>View on Google Map</v>
      </c>
    </row>
    <row r="484" spans="1:13">
      <c r="A484" s="132">
        <v>501</v>
      </c>
      <c r="B484" s="132" t="s">
        <v>2815</v>
      </c>
      <c r="C484" s="132" t="s">
        <v>1242</v>
      </c>
      <c r="D484" s="132">
        <v>68.828299999999999</v>
      </c>
      <c r="E484" s="132">
        <v>-149.76473999999999</v>
      </c>
      <c r="F484" s="132">
        <v>624</v>
      </c>
      <c r="G484" s="132" t="s">
        <v>1829</v>
      </c>
      <c r="H484" s="132" t="s">
        <v>2816</v>
      </c>
      <c r="I484" s="132" t="s">
        <v>2817</v>
      </c>
      <c r="J484" s="132" t="s">
        <v>1830</v>
      </c>
      <c r="K484" s="132" t="s">
        <v>1242</v>
      </c>
      <c r="L484" s="132" t="s">
        <v>1242</v>
      </c>
      <c r="M484" s="138" t="str">
        <f t="shared" si="10"/>
        <v>View on Google Map</v>
      </c>
    </row>
    <row r="485" spans="1:13">
      <c r="A485" s="132">
        <v>502</v>
      </c>
      <c r="B485" s="132" t="s">
        <v>2818</v>
      </c>
      <c r="C485" s="132" t="s">
        <v>1242</v>
      </c>
      <c r="D485" s="132">
        <v>68.826520000000002</v>
      </c>
      <c r="E485" s="132">
        <v>-149.75897000000001</v>
      </c>
      <c r="F485" s="132">
        <v>592</v>
      </c>
      <c r="G485" s="132" t="s">
        <v>1829</v>
      </c>
      <c r="H485" s="132" t="s">
        <v>2819</v>
      </c>
      <c r="I485" s="132" t="s">
        <v>2820</v>
      </c>
      <c r="J485" s="132" t="s">
        <v>1830</v>
      </c>
      <c r="K485" s="132" t="s">
        <v>1242</v>
      </c>
      <c r="L485" s="132" t="s">
        <v>1242</v>
      </c>
      <c r="M485" s="138" t="str">
        <f t="shared" si="10"/>
        <v>View on Google Map</v>
      </c>
    </row>
    <row r="486" spans="1:13">
      <c r="A486" s="132">
        <v>503</v>
      </c>
      <c r="B486" s="132" t="s">
        <v>2821</v>
      </c>
      <c r="C486" s="132" t="s">
        <v>1242</v>
      </c>
      <c r="D486" s="132">
        <v>68.827259999999995</v>
      </c>
      <c r="E486" s="132">
        <v>-149.75089</v>
      </c>
      <c r="F486" s="132">
        <v>592</v>
      </c>
      <c r="G486" s="132" t="s">
        <v>1829</v>
      </c>
      <c r="H486" s="132" t="s">
        <v>2822</v>
      </c>
      <c r="I486" s="132" t="s">
        <v>2823</v>
      </c>
      <c r="J486" s="132" t="s">
        <v>1830</v>
      </c>
      <c r="K486" s="132" t="s">
        <v>1242</v>
      </c>
      <c r="L486" s="132" t="s">
        <v>1242</v>
      </c>
      <c r="M486" s="138" t="str">
        <f t="shared" si="10"/>
        <v>View on Google Map</v>
      </c>
    </row>
    <row r="487" spans="1:13">
      <c r="A487" s="132">
        <v>488</v>
      </c>
      <c r="B487" s="132" t="s">
        <v>2824</v>
      </c>
      <c r="C487" s="132" t="s">
        <v>1242</v>
      </c>
      <c r="D487" s="132">
        <v>69.329949999999997</v>
      </c>
      <c r="E487" s="132">
        <v>-150.95275000000001</v>
      </c>
      <c r="F487" s="132">
        <v>127</v>
      </c>
      <c r="G487" s="132" t="s">
        <v>1829</v>
      </c>
      <c r="H487" s="132" t="s">
        <v>1242</v>
      </c>
      <c r="I487" s="132" t="s">
        <v>1242</v>
      </c>
      <c r="J487" s="132" t="s">
        <v>1879</v>
      </c>
      <c r="K487" s="132" t="s">
        <v>1242</v>
      </c>
      <c r="L487" s="132" t="s">
        <v>1826</v>
      </c>
      <c r="M487" s="138" t="str">
        <f t="shared" si="10"/>
        <v>View on Google Map</v>
      </c>
    </row>
    <row r="488" spans="1:13">
      <c r="A488" s="132">
        <v>489</v>
      </c>
      <c r="B488" s="132" t="s">
        <v>2825</v>
      </c>
      <c r="C488" s="132" t="s">
        <v>1242</v>
      </c>
      <c r="D488" s="132" t="s">
        <v>1242</v>
      </c>
      <c r="E488" s="132" t="s">
        <v>1242</v>
      </c>
      <c r="F488" s="132">
        <v>127</v>
      </c>
      <c r="G488" s="132" t="s">
        <v>1843</v>
      </c>
      <c r="H488" s="132" t="s">
        <v>1242</v>
      </c>
      <c r="I488" s="132" t="s">
        <v>1242</v>
      </c>
      <c r="J488" s="132" t="s">
        <v>1879</v>
      </c>
      <c r="K488" s="132" t="s">
        <v>1242</v>
      </c>
      <c r="L488" s="132" t="s">
        <v>1826</v>
      </c>
      <c r="M488" s="138" t="str">
        <f t="shared" si="10"/>
        <v>View on Google Map</v>
      </c>
    </row>
    <row r="489" spans="1:13">
      <c r="A489" s="132">
        <v>490</v>
      </c>
      <c r="B489" s="132" t="s">
        <v>2826</v>
      </c>
      <c r="C489" s="132" t="s">
        <v>1242</v>
      </c>
      <c r="D489" s="132" t="s">
        <v>1242</v>
      </c>
      <c r="E489" s="132" t="s">
        <v>1242</v>
      </c>
      <c r="F489" s="132">
        <v>127</v>
      </c>
      <c r="G489" s="132" t="s">
        <v>1829</v>
      </c>
      <c r="H489" s="132" t="s">
        <v>1242</v>
      </c>
      <c r="I489" s="132" t="s">
        <v>1242</v>
      </c>
      <c r="J489" s="132" t="s">
        <v>1879</v>
      </c>
      <c r="K489" s="132" t="s">
        <v>1242</v>
      </c>
      <c r="L489" s="132" t="s">
        <v>1826</v>
      </c>
      <c r="M489" s="138" t="str">
        <f t="shared" si="10"/>
        <v>View on Google Map</v>
      </c>
    </row>
    <row r="490" spans="1:13">
      <c r="A490" s="132">
        <v>34</v>
      </c>
      <c r="B490" s="132" t="s">
        <v>2827</v>
      </c>
      <c r="C490" s="132" t="s">
        <v>1242</v>
      </c>
      <c r="D490" s="132">
        <v>69.057400000000001</v>
      </c>
      <c r="E490" s="132">
        <v>-150.39599999999999</v>
      </c>
      <c r="F490" s="132">
        <v>274</v>
      </c>
      <c r="G490" s="132" t="s">
        <v>1843</v>
      </c>
      <c r="H490" s="132" t="s">
        <v>1242</v>
      </c>
      <c r="I490" s="132" t="s">
        <v>1242</v>
      </c>
      <c r="J490" s="132" t="s">
        <v>1879</v>
      </c>
      <c r="K490" s="132" t="s">
        <v>1242</v>
      </c>
      <c r="L490" s="132" t="s">
        <v>1826</v>
      </c>
      <c r="M490" s="138" t="str">
        <f t="shared" si="10"/>
        <v>View on Google Map</v>
      </c>
    </row>
    <row r="491" spans="1:13">
      <c r="A491" s="132">
        <v>45</v>
      </c>
      <c r="B491" s="132" t="s">
        <v>2828</v>
      </c>
      <c r="C491" s="132" t="s">
        <v>1242</v>
      </c>
      <c r="D491" s="132">
        <v>69.063298000000003</v>
      </c>
      <c r="E491" s="132">
        <v>-150.394711</v>
      </c>
      <c r="F491" s="132" t="s">
        <v>1242</v>
      </c>
      <c r="G491" s="132" t="s">
        <v>1843</v>
      </c>
      <c r="H491" s="132" t="s">
        <v>1242</v>
      </c>
      <c r="I491" s="132" t="s">
        <v>1242</v>
      </c>
      <c r="J491" s="132" t="s">
        <v>2829</v>
      </c>
      <c r="K491" s="132" t="s">
        <v>1242</v>
      </c>
      <c r="L491" s="132" t="s">
        <v>1826</v>
      </c>
      <c r="M491" s="138" t="str">
        <f t="shared" si="10"/>
        <v>View on Google Map</v>
      </c>
    </row>
    <row r="492" spans="1:13">
      <c r="B492" s="132" t="s">
        <v>2830</v>
      </c>
      <c r="C492" s="132" t="s">
        <v>2831</v>
      </c>
      <c r="D492" s="132">
        <v>69.138333333333335</v>
      </c>
      <c r="E492" s="132">
        <v>-150.64916666666701</v>
      </c>
      <c r="G492" s="132" t="s">
        <v>1837</v>
      </c>
      <c r="J492" s="132" t="s">
        <v>1825</v>
      </c>
      <c r="L492" s="132" t="s">
        <v>1826</v>
      </c>
      <c r="M492" s="138" t="str">
        <f t="shared" si="10"/>
        <v>View on Google Map</v>
      </c>
    </row>
    <row r="493" spans="1:13">
      <c r="B493" s="132" t="s">
        <v>2832</v>
      </c>
      <c r="C493" s="132" t="s">
        <v>2215</v>
      </c>
      <c r="D493" s="132">
        <v>69.152500000000003</v>
      </c>
      <c r="E493" s="132">
        <v>-150.706111111111</v>
      </c>
      <c r="G493" s="132" t="s">
        <v>1837</v>
      </c>
      <c r="J493" s="132" t="s">
        <v>1825</v>
      </c>
      <c r="L493" s="132" t="s">
        <v>1826</v>
      </c>
      <c r="M493" s="138" t="str">
        <f t="shared" si="10"/>
        <v>View on Google Map</v>
      </c>
    </row>
    <row r="494" spans="1:13">
      <c r="A494" s="132">
        <v>35</v>
      </c>
      <c r="B494" s="132" t="s">
        <v>2833</v>
      </c>
      <c r="C494" s="132" t="s">
        <v>1242</v>
      </c>
      <c r="D494" s="132">
        <v>69.063333333333333</v>
      </c>
      <c r="E494" s="132">
        <v>-150.39333333333335</v>
      </c>
      <c r="F494" s="132">
        <v>281</v>
      </c>
      <c r="G494" s="132" t="s">
        <v>1843</v>
      </c>
      <c r="H494" s="132" t="s">
        <v>1242</v>
      </c>
      <c r="I494" s="132" t="s">
        <v>1242</v>
      </c>
      <c r="J494" s="132" t="s">
        <v>1879</v>
      </c>
      <c r="K494" s="132" t="s">
        <v>1242</v>
      </c>
      <c r="L494" s="132" t="s">
        <v>1826</v>
      </c>
      <c r="M494" s="138" t="str">
        <f t="shared" si="10"/>
        <v>View on Google Map</v>
      </c>
    </row>
    <row r="495" spans="1:13">
      <c r="A495" s="132">
        <v>161</v>
      </c>
      <c r="B495" s="132" t="s">
        <v>2834</v>
      </c>
      <c r="C495" s="132" t="s">
        <v>2835</v>
      </c>
      <c r="D495" s="132">
        <v>68.599999999999994</v>
      </c>
      <c r="E495" s="132">
        <v>-149.18333333333334</v>
      </c>
      <c r="F495" s="132">
        <v>876</v>
      </c>
      <c r="G495" s="132" t="s">
        <v>1829</v>
      </c>
      <c r="H495" s="132" t="s">
        <v>2836</v>
      </c>
      <c r="I495" s="132" t="s">
        <v>1242</v>
      </c>
      <c r="J495" s="132" t="s">
        <v>1844</v>
      </c>
      <c r="K495" s="132" t="s">
        <v>1242</v>
      </c>
      <c r="L495" s="132" t="s">
        <v>1845</v>
      </c>
      <c r="M495" s="138" t="str">
        <f t="shared" si="10"/>
        <v>View on Google Map</v>
      </c>
    </row>
    <row r="496" spans="1:13">
      <c r="A496" s="132">
        <v>162</v>
      </c>
      <c r="B496" s="132" t="s">
        <v>2837</v>
      </c>
      <c r="C496" s="132" t="s">
        <v>2835</v>
      </c>
      <c r="D496" s="132">
        <v>68.583333333333329</v>
      </c>
      <c r="E496" s="132">
        <v>-149.19999999999999</v>
      </c>
      <c r="F496" s="132">
        <v>892</v>
      </c>
      <c r="G496" s="132" t="s">
        <v>1829</v>
      </c>
      <c r="H496" s="132" t="s">
        <v>2838</v>
      </c>
      <c r="I496" s="132" t="s">
        <v>1242</v>
      </c>
      <c r="J496" s="132" t="s">
        <v>1844</v>
      </c>
      <c r="K496" s="132" t="s">
        <v>1242</v>
      </c>
      <c r="L496" s="132" t="s">
        <v>1845</v>
      </c>
      <c r="M496" s="138" t="str">
        <f t="shared" si="10"/>
        <v>View on Google Map</v>
      </c>
    </row>
    <row r="497" spans="1:13">
      <c r="A497" s="132">
        <v>163</v>
      </c>
      <c r="B497" s="132" t="s">
        <v>2839</v>
      </c>
      <c r="C497" s="132" t="s">
        <v>2835</v>
      </c>
      <c r="D497" s="132">
        <v>68.599999999999994</v>
      </c>
      <c r="E497" s="132">
        <v>-149.16666666666666</v>
      </c>
      <c r="F497" s="132">
        <v>876</v>
      </c>
      <c r="G497" s="132" t="s">
        <v>1829</v>
      </c>
      <c r="H497" s="132" t="s">
        <v>2840</v>
      </c>
      <c r="I497" s="132" t="s">
        <v>1242</v>
      </c>
      <c r="J497" s="132" t="s">
        <v>1844</v>
      </c>
      <c r="K497" s="132" t="s">
        <v>1242</v>
      </c>
      <c r="L497" s="132" t="s">
        <v>1845</v>
      </c>
      <c r="M497" s="138" t="str">
        <f t="shared" si="10"/>
        <v>View on Google Map</v>
      </c>
    </row>
    <row r="498" spans="1:13">
      <c r="A498" s="132">
        <v>5</v>
      </c>
      <c r="B498" s="132" t="s">
        <v>2841</v>
      </c>
      <c r="C498" s="132" t="s">
        <v>2430</v>
      </c>
      <c r="D498" s="132">
        <v>68.671486221999999</v>
      </c>
      <c r="E498" s="132">
        <v>-149.1281271</v>
      </c>
      <c r="F498" s="132">
        <v>761.75599999999997</v>
      </c>
      <c r="G498" s="132" t="s">
        <v>2355</v>
      </c>
      <c r="J498" s="45" t="s">
        <v>1844</v>
      </c>
      <c r="M498" s="138" t="str">
        <f t="shared" si="10"/>
        <v>View on Google Map</v>
      </c>
    </row>
    <row r="499" spans="1:13">
      <c r="A499" s="132">
        <v>5</v>
      </c>
      <c r="B499" s="132" t="s">
        <v>2842</v>
      </c>
      <c r="C499" s="132" t="s">
        <v>2430</v>
      </c>
      <c r="D499" s="132">
        <v>68.671371694000001</v>
      </c>
      <c r="E499" s="132">
        <v>-149.131155484</v>
      </c>
      <c r="F499" s="132">
        <v>763.88099999999997</v>
      </c>
      <c r="G499" s="132" t="s">
        <v>2355</v>
      </c>
      <c r="J499" s="45" t="s">
        <v>1844</v>
      </c>
      <c r="M499" s="138" t="str">
        <f t="shared" si="10"/>
        <v>View on Google Map</v>
      </c>
    </row>
    <row r="500" spans="1:13">
      <c r="A500" s="132">
        <v>5</v>
      </c>
      <c r="B500" s="132" t="s">
        <v>2843</v>
      </c>
      <c r="C500" s="132" t="s">
        <v>2430</v>
      </c>
      <c r="D500" s="132">
        <v>68.671018009999997</v>
      </c>
      <c r="E500" s="132">
        <v>-149.13789268599999</v>
      </c>
      <c r="F500" s="132">
        <v>764.53700000000003</v>
      </c>
      <c r="G500" s="132" t="s">
        <v>2355</v>
      </c>
      <c r="J500" s="45" t="s">
        <v>1844</v>
      </c>
      <c r="M500" s="138" t="str">
        <f t="shared" si="10"/>
        <v>View on Google Map</v>
      </c>
    </row>
    <row r="501" spans="1:13">
      <c r="A501" s="132">
        <v>5</v>
      </c>
      <c r="B501" s="132" t="s">
        <v>2844</v>
      </c>
      <c r="C501" s="132" t="s">
        <v>2440</v>
      </c>
      <c r="D501" s="132">
        <v>68.677193270000004</v>
      </c>
      <c r="E501" s="132">
        <v>-149.121792258</v>
      </c>
      <c r="F501" s="132">
        <v>763.74300000000005</v>
      </c>
      <c r="G501" s="132" t="s">
        <v>2355</v>
      </c>
      <c r="J501" s="45" t="s">
        <v>1844</v>
      </c>
      <c r="M501" s="138" t="str">
        <f t="shared" si="10"/>
        <v>View on Google Map</v>
      </c>
    </row>
    <row r="502" spans="1:13">
      <c r="A502" s="132">
        <v>5</v>
      </c>
      <c r="B502" s="132" t="s">
        <v>2845</v>
      </c>
      <c r="C502" s="132" t="s">
        <v>2440</v>
      </c>
      <c r="D502" s="132">
        <v>68.679780992000005</v>
      </c>
      <c r="E502" s="132">
        <v>-149.114206438</v>
      </c>
      <c r="F502" s="132">
        <v>762.678</v>
      </c>
      <c r="G502" s="132" t="s">
        <v>2355</v>
      </c>
      <c r="J502" s="45" t="s">
        <v>1844</v>
      </c>
      <c r="M502" s="138" t="str">
        <f t="shared" si="10"/>
        <v>View on Google Map</v>
      </c>
    </row>
    <row r="503" spans="1:13">
      <c r="A503" s="132">
        <v>5</v>
      </c>
      <c r="B503" s="132" t="s">
        <v>2846</v>
      </c>
      <c r="C503" s="132" t="s">
        <v>1842</v>
      </c>
      <c r="D503" s="132">
        <v>68.687399999999997</v>
      </c>
      <c r="E503" s="132">
        <v>-149.095</v>
      </c>
      <c r="F503" s="132">
        <v>754</v>
      </c>
      <c r="G503" s="132" t="s">
        <v>1843</v>
      </c>
      <c r="H503" s="132" t="s">
        <v>2847</v>
      </c>
      <c r="I503" s="132" t="s">
        <v>2848</v>
      </c>
      <c r="J503" s="132" t="s">
        <v>1844</v>
      </c>
      <c r="K503" s="132" t="s">
        <v>1242</v>
      </c>
      <c r="L503" s="132" t="s">
        <v>1845</v>
      </c>
      <c r="M503" s="138" t="str">
        <f t="shared" si="10"/>
        <v>View on Google Map</v>
      </c>
    </row>
    <row r="504" spans="1:13">
      <c r="A504" s="132">
        <v>5</v>
      </c>
      <c r="B504" s="132" t="s">
        <v>2849</v>
      </c>
      <c r="C504" s="132" t="s">
        <v>2460</v>
      </c>
      <c r="D504" s="132">
        <v>68.672870447999998</v>
      </c>
      <c r="E504" s="132">
        <v>-149.124843486</v>
      </c>
      <c r="G504" s="132" t="s">
        <v>2355</v>
      </c>
      <c r="J504" s="45" t="s">
        <v>1844</v>
      </c>
      <c r="M504" s="138" t="str">
        <f t="shared" si="10"/>
        <v>View on Google Map</v>
      </c>
    </row>
    <row r="505" spans="1:13">
      <c r="A505" s="132">
        <v>5</v>
      </c>
      <c r="B505" s="132" t="s">
        <v>2850</v>
      </c>
      <c r="C505" s="132" t="s">
        <v>2851</v>
      </c>
      <c r="D505" s="132">
        <v>68.686037823000007</v>
      </c>
      <c r="E505" s="132">
        <v>-149.0990032</v>
      </c>
      <c r="G505" s="132" t="s">
        <v>2355</v>
      </c>
      <c r="J505" s="45" t="s">
        <v>1844</v>
      </c>
      <c r="M505" s="138" t="str">
        <f t="shared" si="10"/>
        <v>View on Google Map</v>
      </c>
    </row>
    <row r="506" spans="1:13">
      <c r="A506" s="132">
        <v>491</v>
      </c>
      <c r="B506" s="132" t="s">
        <v>2852</v>
      </c>
      <c r="C506" s="132" t="s">
        <v>1242</v>
      </c>
      <c r="D506" s="132">
        <v>68.941266666999994</v>
      </c>
      <c r="E506" s="132">
        <v>-150.5068</v>
      </c>
      <c r="F506" s="132">
        <v>408</v>
      </c>
      <c r="G506" s="132" t="s">
        <v>1829</v>
      </c>
      <c r="H506" s="132" t="s">
        <v>2853</v>
      </c>
      <c r="I506" s="132" t="s">
        <v>1242</v>
      </c>
      <c r="J506" s="132" t="s">
        <v>1879</v>
      </c>
      <c r="K506" s="132" t="s">
        <v>1242</v>
      </c>
      <c r="L506" s="132" t="s">
        <v>1826</v>
      </c>
      <c r="M506" s="138" t="str">
        <f t="shared" si="10"/>
        <v>View on Google Map</v>
      </c>
    </row>
    <row r="507" spans="1:13">
      <c r="A507" s="132">
        <v>492</v>
      </c>
      <c r="B507" s="132" t="s">
        <v>2854</v>
      </c>
      <c r="C507" s="132" t="s">
        <v>1242</v>
      </c>
      <c r="D507" s="132" t="s">
        <v>1242</v>
      </c>
      <c r="E507" s="132" t="s">
        <v>1242</v>
      </c>
      <c r="F507" s="132">
        <v>408</v>
      </c>
      <c r="G507" s="132" t="s">
        <v>1829</v>
      </c>
      <c r="H507" s="132" t="s">
        <v>2855</v>
      </c>
      <c r="I507" s="132" t="s">
        <v>1242</v>
      </c>
      <c r="J507" s="132" t="s">
        <v>1879</v>
      </c>
      <c r="K507" s="132" t="s">
        <v>1242</v>
      </c>
      <c r="L507" s="132" t="s">
        <v>1826</v>
      </c>
      <c r="M507" s="138" t="str">
        <f t="shared" si="10"/>
        <v>View on Google Map</v>
      </c>
    </row>
    <row r="508" spans="1:13">
      <c r="A508" s="132">
        <v>1172</v>
      </c>
      <c r="B508" s="132" t="s">
        <v>2856</v>
      </c>
      <c r="C508" s="132" t="s">
        <v>1242</v>
      </c>
      <c r="D508" s="132">
        <v>68.99666666666667</v>
      </c>
      <c r="E508" s="132">
        <v>-150.21249999999998</v>
      </c>
      <c r="F508" s="132" t="s">
        <v>1242</v>
      </c>
      <c r="G508" s="132" t="s">
        <v>1819</v>
      </c>
      <c r="H508" s="132" t="s">
        <v>2857</v>
      </c>
      <c r="I508" s="132" t="s">
        <v>1242</v>
      </c>
      <c r="J508" s="132" t="s">
        <v>1825</v>
      </c>
      <c r="K508" s="132" t="s">
        <v>1242</v>
      </c>
      <c r="L508" s="132" t="s">
        <v>1826</v>
      </c>
      <c r="M508" s="138" t="str">
        <f t="shared" si="10"/>
        <v>View on Google Map</v>
      </c>
    </row>
    <row r="509" spans="1:13">
      <c r="A509" s="132">
        <v>493</v>
      </c>
      <c r="B509" s="132" t="s">
        <v>2858</v>
      </c>
      <c r="C509" s="132" t="s">
        <v>1242</v>
      </c>
      <c r="D509" s="132">
        <v>68.974933332999996</v>
      </c>
      <c r="E509" s="132">
        <v>-150.221066667</v>
      </c>
      <c r="F509" s="132">
        <v>364</v>
      </c>
      <c r="G509" s="132" t="s">
        <v>1829</v>
      </c>
      <c r="H509" s="132" t="s">
        <v>1242</v>
      </c>
      <c r="I509" s="132" t="s">
        <v>1242</v>
      </c>
      <c r="J509" s="132" t="s">
        <v>1879</v>
      </c>
      <c r="K509" s="132" t="s">
        <v>1242</v>
      </c>
      <c r="L509" s="132" t="s">
        <v>1826</v>
      </c>
      <c r="M509" s="138" t="str">
        <f t="shared" si="10"/>
        <v>View on Google Map</v>
      </c>
    </row>
    <row r="510" spans="1:13">
      <c r="A510" s="132">
        <v>405</v>
      </c>
      <c r="B510" s="132" t="s">
        <v>2859</v>
      </c>
      <c r="C510" s="132" t="s">
        <v>1242</v>
      </c>
      <c r="D510" s="132" t="s">
        <v>1242</v>
      </c>
      <c r="E510" s="132" t="s">
        <v>1242</v>
      </c>
      <c r="F510" s="132" t="s">
        <v>1242</v>
      </c>
      <c r="G510" s="132" t="s">
        <v>1829</v>
      </c>
      <c r="H510" s="132" t="s">
        <v>1242</v>
      </c>
      <c r="I510" s="132" t="s">
        <v>1242</v>
      </c>
      <c r="J510" s="132" t="s">
        <v>1844</v>
      </c>
      <c r="K510" s="132" t="s">
        <v>1242</v>
      </c>
      <c r="L510" s="132" t="s">
        <v>2000</v>
      </c>
      <c r="M510" s="138" t="str">
        <f t="shared" si="10"/>
        <v>View on Google Map</v>
      </c>
    </row>
    <row r="511" spans="1:13">
      <c r="A511" s="132">
        <v>505</v>
      </c>
      <c r="B511" s="132" t="s">
        <v>2860</v>
      </c>
      <c r="C511" s="132" t="s">
        <v>1242</v>
      </c>
      <c r="D511" s="132">
        <v>68.921059</v>
      </c>
      <c r="E511" s="132">
        <v>-150.34784300000001</v>
      </c>
      <c r="F511" s="132" t="s">
        <v>1242</v>
      </c>
      <c r="G511" s="132" t="s">
        <v>1829</v>
      </c>
      <c r="H511" s="132" t="s">
        <v>1242</v>
      </c>
      <c r="I511" s="132" t="s">
        <v>1242</v>
      </c>
      <c r="J511" s="132" t="s">
        <v>1879</v>
      </c>
      <c r="K511" s="132" t="s">
        <v>1242</v>
      </c>
      <c r="L511" s="132" t="s">
        <v>1826</v>
      </c>
      <c r="M511" s="138" t="str">
        <f t="shared" si="10"/>
        <v>View on Google Map</v>
      </c>
    </row>
    <row r="512" spans="1:13">
      <c r="A512" s="132">
        <v>506</v>
      </c>
      <c r="B512" s="132" t="s">
        <v>2861</v>
      </c>
      <c r="C512" s="132" t="s">
        <v>1242</v>
      </c>
      <c r="D512" s="132">
        <v>68.921186000000006</v>
      </c>
      <c r="E512" s="132">
        <v>-150.37015</v>
      </c>
      <c r="F512" s="132" t="s">
        <v>1242</v>
      </c>
      <c r="G512" s="132" t="s">
        <v>1829</v>
      </c>
      <c r="H512" s="132" t="s">
        <v>1242</v>
      </c>
      <c r="I512" s="132" t="s">
        <v>1242</v>
      </c>
      <c r="J512" s="132" t="s">
        <v>1879</v>
      </c>
      <c r="K512" s="132" t="s">
        <v>1242</v>
      </c>
      <c r="L512" s="132" t="s">
        <v>1826</v>
      </c>
      <c r="M512" s="138" t="str">
        <f t="shared" si="10"/>
        <v>View on Google Map</v>
      </c>
    </row>
    <row r="513" spans="1:13">
      <c r="A513" s="132">
        <v>507</v>
      </c>
      <c r="B513" s="132" t="s">
        <v>2862</v>
      </c>
      <c r="C513" s="132" t="s">
        <v>1242</v>
      </c>
      <c r="D513" s="132">
        <v>68.936953000000003</v>
      </c>
      <c r="E513" s="132">
        <v>-150.35309699999999</v>
      </c>
      <c r="F513" s="132" t="s">
        <v>1242</v>
      </c>
      <c r="G513" s="132" t="s">
        <v>1829</v>
      </c>
      <c r="H513" s="132" t="s">
        <v>1242</v>
      </c>
      <c r="I513" s="132" t="s">
        <v>1242</v>
      </c>
      <c r="J513" s="132" t="s">
        <v>1879</v>
      </c>
      <c r="K513" s="132" t="s">
        <v>1242</v>
      </c>
      <c r="L513" s="132" t="s">
        <v>1826</v>
      </c>
      <c r="M513" s="138" t="str">
        <f t="shared" si="10"/>
        <v>View on Google Map</v>
      </c>
    </row>
    <row r="514" spans="1:13">
      <c r="A514" s="132">
        <v>12</v>
      </c>
      <c r="B514" s="132" t="s">
        <v>2863</v>
      </c>
      <c r="C514" s="132" t="s">
        <v>1242</v>
      </c>
      <c r="D514" s="132" t="s">
        <v>1242</v>
      </c>
      <c r="E514" s="132" t="s">
        <v>1242</v>
      </c>
      <c r="F514" s="132" t="s">
        <v>1242</v>
      </c>
      <c r="G514" s="132" t="s">
        <v>1843</v>
      </c>
      <c r="H514" s="132" t="s">
        <v>1242</v>
      </c>
      <c r="I514" s="132" t="s">
        <v>1242</v>
      </c>
      <c r="J514" s="132" t="s">
        <v>1844</v>
      </c>
      <c r="K514" s="132" t="s">
        <v>1242</v>
      </c>
      <c r="L514" s="132" t="s">
        <v>1242</v>
      </c>
      <c r="M514" s="138" t="str">
        <f t="shared" si="10"/>
        <v>View on Google Map</v>
      </c>
    </row>
    <row r="515" spans="1:13">
      <c r="A515" s="132">
        <v>4</v>
      </c>
      <c r="B515" s="132" t="s">
        <v>2864</v>
      </c>
      <c r="C515" s="132" t="s">
        <v>1842</v>
      </c>
      <c r="D515" s="132">
        <v>68.38333333333334</v>
      </c>
      <c r="E515" s="132">
        <v>-149.31666666666666</v>
      </c>
      <c r="F515" s="132">
        <v>869</v>
      </c>
      <c r="G515" s="132" t="s">
        <v>1843</v>
      </c>
      <c r="H515" s="132" t="s">
        <v>2865</v>
      </c>
      <c r="I515" s="132" t="s">
        <v>2866</v>
      </c>
      <c r="J515" s="132" t="s">
        <v>1844</v>
      </c>
      <c r="K515" s="132" t="s">
        <v>1242</v>
      </c>
      <c r="L515" s="132" t="s">
        <v>1845</v>
      </c>
      <c r="M515" s="138" t="str">
        <f t="shared" ref="M515:M578" si="11">HYPERLINK("http://maps.google.com/maps?q="&amp;D515&amp;","&amp;E515,"View on Google Map")</f>
        <v>View on Google Map</v>
      </c>
    </row>
    <row r="516" spans="1:13">
      <c r="A516" s="132">
        <v>148</v>
      </c>
      <c r="B516" s="132" t="s">
        <v>2867</v>
      </c>
      <c r="C516" s="132" t="s">
        <v>1242</v>
      </c>
      <c r="D516" s="132">
        <v>68.624535966600007</v>
      </c>
      <c r="E516" s="132">
        <v>-149.60216609099999</v>
      </c>
      <c r="F516" s="132">
        <v>720</v>
      </c>
      <c r="G516" s="132" t="s">
        <v>1829</v>
      </c>
      <c r="H516" s="132" t="s">
        <v>1242</v>
      </c>
      <c r="I516" s="132" t="s">
        <v>1242</v>
      </c>
      <c r="J516" s="132" t="s">
        <v>1844</v>
      </c>
      <c r="K516" s="132" t="s">
        <v>1242</v>
      </c>
      <c r="L516" s="132" t="s">
        <v>1242</v>
      </c>
      <c r="M516" s="138" t="str">
        <f t="shared" si="11"/>
        <v>View on Google Map</v>
      </c>
    </row>
    <row r="517" spans="1:13">
      <c r="A517" s="132">
        <v>241</v>
      </c>
      <c r="B517" s="132" t="s">
        <v>2867</v>
      </c>
      <c r="C517" s="132" t="s">
        <v>1242</v>
      </c>
      <c r="D517" s="132">
        <v>68.624535966600007</v>
      </c>
      <c r="E517" s="132">
        <v>-149.60216609099999</v>
      </c>
      <c r="F517" s="132" t="s">
        <v>1242</v>
      </c>
      <c r="G517" s="132" t="s">
        <v>1829</v>
      </c>
      <c r="H517" s="132" t="s">
        <v>1242</v>
      </c>
      <c r="I517" s="132" t="s">
        <v>1242</v>
      </c>
      <c r="J517" s="132" t="s">
        <v>1844</v>
      </c>
      <c r="K517" s="132" t="s">
        <v>1242</v>
      </c>
      <c r="L517" s="132" t="s">
        <v>1242</v>
      </c>
      <c r="M517" s="138" t="str">
        <f t="shared" si="11"/>
        <v>View on Google Map</v>
      </c>
    </row>
    <row r="518" spans="1:13">
      <c r="A518" s="132">
        <v>149</v>
      </c>
      <c r="B518" s="132" t="s">
        <v>2868</v>
      </c>
      <c r="C518" s="132" t="s">
        <v>1242</v>
      </c>
      <c r="D518" s="132">
        <v>68.627169078600005</v>
      </c>
      <c r="E518" s="132">
        <v>-149.61135296200001</v>
      </c>
      <c r="F518" s="132">
        <v>720</v>
      </c>
      <c r="G518" s="132" t="s">
        <v>1829</v>
      </c>
      <c r="H518" s="132" t="s">
        <v>1242</v>
      </c>
      <c r="I518" s="132" t="s">
        <v>1242</v>
      </c>
      <c r="J518" s="132" t="s">
        <v>1844</v>
      </c>
      <c r="K518" s="132" t="s">
        <v>1242</v>
      </c>
      <c r="L518" s="132" t="s">
        <v>1242</v>
      </c>
      <c r="M518" s="138" t="str">
        <f t="shared" si="11"/>
        <v>View on Google Map</v>
      </c>
    </row>
    <row r="519" spans="1:13">
      <c r="A519" s="132">
        <v>150</v>
      </c>
      <c r="B519" s="132" t="s">
        <v>2869</v>
      </c>
      <c r="C519" s="132" t="s">
        <v>1242</v>
      </c>
      <c r="D519" s="132">
        <v>68.628818623300006</v>
      </c>
      <c r="E519" s="132">
        <v>-149.62482197599999</v>
      </c>
      <c r="F519" s="132">
        <v>720</v>
      </c>
      <c r="G519" s="132" t="s">
        <v>1829</v>
      </c>
      <c r="H519" s="132" t="s">
        <v>1242</v>
      </c>
      <c r="I519" s="132" t="s">
        <v>1242</v>
      </c>
      <c r="J519" s="132" t="s">
        <v>1844</v>
      </c>
      <c r="K519" s="132" t="s">
        <v>1242</v>
      </c>
      <c r="L519" s="132" t="s">
        <v>1242</v>
      </c>
      <c r="M519" s="138" t="str">
        <f t="shared" si="11"/>
        <v>View on Google Map</v>
      </c>
    </row>
    <row r="520" spans="1:13">
      <c r="A520" s="132">
        <v>151</v>
      </c>
      <c r="B520" s="132" t="s">
        <v>2870</v>
      </c>
      <c r="C520" s="132" t="s">
        <v>1242</v>
      </c>
      <c r="D520" s="132">
        <v>68.630949932700005</v>
      </c>
      <c r="E520" s="132">
        <v>-149.62993150400001</v>
      </c>
      <c r="F520" s="132" t="s">
        <v>1242</v>
      </c>
      <c r="G520" s="132" t="s">
        <v>1829</v>
      </c>
      <c r="H520" s="132" t="s">
        <v>1242</v>
      </c>
      <c r="I520" s="132" t="s">
        <v>1242</v>
      </c>
      <c r="J520" s="132" t="s">
        <v>1844</v>
      </c>
      <c r="K520" s="132" t="s">
        <v>1242</v>
      </c>
      <c r="L520" s="132" t="s">
        <v>1242</v>
      </c>
      <c r="M520" s="138" t="str">
        <f t="shared" si="11"/>
        <v>View on Google Map</v>
      </c>
    </row>
    <row r="521" spans="1:13">
      <c r="A521" s="132">
        <v>106</v>
      </c>
      <c r="B521" s="132" t="s">
        <v>2871</v>
      </c>
      <c r="C521" s="132" t="s">
        <v>1242</v>
      </c>
      <c r="D521" s="132">
        <v>68.631431924799998</v>
      </c>
      <c r="E521" s="132">
        <v>-149.63669249099999</v>
      </c>
      <c r="F521" s="132">
        <v>725</v>
      </c>
      <c r="G521" s="132" t="s">
        <v>1829</v>
      </c>
      <c r="H521" s="132" t="s">
        <v>906</v>
      </c>
      <c r="I521" s="132" t="s">
        <v>1242</v>
      </c>
      <c r="J521" s="132" t="s">
        <v>1844</v>
      </c>
      <c r="K521" s="132" t="s">
        <v>1242</v>
      </c>
      <c r="L521" s="132" t="s">
        <v>1242</v>
      </c>
      <c r="M521" s="138" t="str">
        <f t="shared" si="11"/>
        <v>View on Google Map</v>
      </c>
    </row>
    <row r="522" spans="1:13">
      <c r="A522" s="132">
        <v>107</v>
      </c>
      <c r="B522" s="132" t="s">
        <v>2872</v>
      </c>
      <c r="C522" s="132" t="s">
        <v>1242</v>
      </c>
      <c r="D522" s="132">
        <v>68.629379781599994</v>
      </c>
      <c r="E522" s="132">
        <v>-149.64162329499999</v>
      </c>
      <c r="F522" s="132">
        <v>731</v>
      </c>
      <c r="G522" s="132" t="s">
        <v>1829</v>
      </c>
      <c r="H522" s="132" t="s">
        <v>2873</v>
      </c>
      <c r="I522" s="132" t="s">
        <v>1242</v>
      </c>
      <c r="J522" s="132" t="s">
        <v>1844</v>
      </c>
      <c r="K522" s="132" t="s">
        <v>1242</v>
      </c>
      <c r="L522" s="132" t="s">
        <v>1242</v>
      </c>
      <c r="M522" s="138" t="str">
        <f t="shared" si="11"/>
        <v>View on Google Map</v>
      </c>
    </row>
    <row r="523" spans="1:13">
      <c r="A523" s="132">
        <v>1603</v>
      </c>
      <c r="B523" s="132" t="s">
        <v>2874</v>
      </c>
      <c r="C523" s="132" t="s">
        <v>1242</v>
      </c>
      <c r="D523" s="132" t="s">
        <v>1242</v>
      </c>
      <c r="E523" s="132" t="s">
        <v>1242</v>
      </c>
      <c r="F523" s="132" t="s">
        <v>1242</v>
      </c>
      <c r="G523" s="132" t="s">
        <v>1843</v>
      </c>
      <c r="H523" s="132" t="s">
        <v>2875</v>
      </c>
      <c r="I523" s="132" t="s">
        <v>2876</v>
      </c>
      <c r="J523" s="132" t="s">
        <v>1844</v>
      </c>
      <c r="K523" s="132" t="s">
        <v>1242</v>
      </c>
      <c r="L523" s="132" t="s">
        <v>1242</v>
      </c>
      <c r="M523" s="138" t="str">
        <f t="shared" si="11"/>
        <v>View on Google Map</v>
      </c>
    </row>
    <row r="524" spans="1:13">
      <c r="A524" s="132">
        <v>152</v>
      </c>
      <c r="B524" s="132" t="s">
        <v>2877</v>
      </c>
      <c r="C524" s="132" t="s">
        <v>1242</v>
      </c>
      <c r="D524" s="132">
        <v>68.630062744699998</v>
      </c>
      <c r="E524" s="132">
        <v>-149.64444178900001</v>
      </c>
      <c r="F524" s="132">
        <v>731</v>
      </c>
      <c r="G524" s="132" t="s">
        <v>1829</v>
      </c>
      <c r="H524" s="132" t="s">
        <v>1242</v>
      </c>
      <c r="I524" s="132" t="s">
        <v>1242</v>
      </c>
      <c r="J524" s="132" t="s">
        <v>1844</v>
      </c>
      <c r="K524" s="132" t="s">
        <v>1242</v>
      </c>
      <c r="L524" s="132" t="s">
        <v>1242</v>
      </c>
      <c r="M524" s="138" t="str">
        <f t="shared" si="11"/>
        <v>View on Google Map</v>
      </c>
    </row>
    <row r="525" spans="1:13">
      <c r="A525" s="132">
        <v>1601</v>
      </c>
      <c r="B525" s="132" t="s">
        <v>2878</v>
      </c>
      <c r="C525" s="132" t="s">
        <v>1242</v>
      </c>
      <c r="D525" s="132" t="s">
        <v>1242</v>
      </c>
      <c r="E525" s="132" t="s">
        <v>1242</v>
      </c>
      <c r="F525" s="132" t="s">
        <v>1242</v>
      </c>
      <c r="G525" s="132" t="s">
        <v>1242</v>
      </c>
      <c r="H525" s="132" t="s">
        <v>2879</v>
      </c>
      <c r="I525" s="132" t="s">
        <v>2880</v>
      </c>
      <c r="J525" s="45" t="s">
        <v>1844</v>
      </c>
      <c r="K525" s="132" t="s">
        <v>1242</v>
      </c>
      <c r="L525" s="132" t="s">
        <v>1242</v>
      </c>
      <c r="M525" s="138" t="str">
        <f t="shared" si="11"/>
        <v>View on Google Map</v>
      </c>
    </row>
    <row r="526" spans="1:13">
      <c r="A526" s="132">
        <v>1602</v>
      </c>
      <c r="B526" s="132" t="s">
        <v>2881</v>
      </c>
      <c r="C526" s="132" t="s">
        <v>1242</v>
      </c>
      <c r="D526" s="132" t="s">
        <v>1242</v>
      </c>
      <c r="E526" s="132" t="s">
        <v>1242</v>
      </c>
      <c r="F526" s="132" t="s">
        <v>1242</v>
      </c>
      <c r="G526" s="132" t="s">
        <v>1242</v>
      </c>
      <c r="H526" s="132" t="s">
        <v>2882</v>
      </c>
      <c r="I526" s="132" t="s">
        <v>2883</v>
      </c>
      <c r="J526" s="45" t="s">
        <v>1844</v>
      </c>
      <c r="K526" s="132" t="s">
        <v>1242</v>
      </c>
      <c r="L526" s="132" t="s">
        <v>1242</v>
      </c>
      <c r="M526" s="138" t="str">
        <f t="shared" si="11"/>
        <v>View on Google Map</v>
      </c>
    </row>
    <row r="527" spans="1:13">
      <c r="A527" s="132">
        <v>153</v>
      </c>
      <c r="B527" s="132" t="s">
        <v>2884</v>
      </c>
      <c r="C527" s="132" t="s">
        <v>1242</v>
      </c>
      <c r="D527" s="132" t="s">
        <v>1242</v>
      </c>
      <c r="E527" s="132" t="s">
        <v>1242</v>
      </c>
      <c r="F527" s="132" t="s">
        <v>1242</v>
      </c>
      <c r="G527" s="132" t="s">
        <v>1829</v>
      </c>
      <c r="H527" s="132" t="s">
        <v>1242</v>
      </c>
      <c r="I527" s="132" t="s">
        <v>1242</v>
      </c>
      <c r="J527" s="132" t="s">
        <v>1844</v>
      </c>
      <c r="K527" s="132" t="s">
        <v>1242</v>
      </c>
      <c r="L527" s="132" t="s">
        <v>1242</v>
      </c>
      <c r="M527" s="138" t="str">
        <f t="shared" si="11"/>
        <v>View on Google Map</v>
      </c>
    </row>
    <row r="528" spans="1:13">
      <c r="A528" s="132">
        <v>154</v>
      </c>
      <c r="B528" s="132" t="s">
        <v>2885</v>
      </c>
      <c r="C528" s="132" t="s">
        <v>1242</v>
      </c>
      <c r="D528" s="132" t="s">
        <v>1242</v>
      </c>
      <c r="E528" s="132" t="s">
        <v>1242</v>
      </c>
      <c r="F528" s="132" t="s">
        <v>1242</v>
      </c>
      <c r="G528" s="132" t="s">
        <v>1829</v>
      </c>
      <c r="H528" s="132" t="s">
        <v>1242</v>
      </c>
      <c r="I528" s="132" t="s">
        <v>1242</v>
      </c>
      <c r="J528" s="132" t="s">
        <v>1844</v>
      </c>
      <c r="K528" s="132" t="s">
        <v>1242</v>
      </c>
      <c r="L528" s="132" t="s">
        <v>1242</v>
      </c>
      <c r="M528" s="138" t="str">
        <f t="shared" si="11"/>
        <v>View on Google Map</v>
      </c>
    </row>
    <row r="529" spans="1:13">
      <c r="A529" s="132">
        <v>155</v>
      </c>
      <c r="B529" s="132" t="s">
        <v>2886</v>
      </c>
      <c r="C529" s="132" t="s">
        <v>1242</v>
      </c>
      <c r="D529" s="132" t="s">
        <v>1242</v>
      </c>
      <c r="E529" s="132" t="s">
        <v>1242</v>
      </c>
      <c r="F529" s="132" t="s">
        <v>1242</v>
      </c>
      <c r="G529" s="132" t="s">
        <v>1829</v>
      </c>
      <c r="H529" s="132" t="s">
        <v>1242</v>
      </c>
      <c r="I529" s="132" t="s">
        <v>1242</v>
      </c>
      <c r="J529" s="132" t="s">
        <v>1844</v>
      </c>
      <c r="K529" s="132" t="s">
        <v>1242</v>
      </c>
      <c r="L529" s="132" t="s">
        <v>1242</v>
      </c>
      <c r="M529" s="138" t="str">
        <f t="shared" si="11"/>
        <v>View on Google Map</v>
      </c>
    </row>
    <row r="530" spans="1:13">
      <c r="A530" s="132">
        <v>156</v>
      </c>
      <c r="B530" s="132" t="s">
        <v>2887</v>
      </c>
      <c r="C530" s="132" t="s">
        <v>1242</v>
      </c>
      <c r="D530" s="132">
        <v>68.630148048999999</v>
      </c>
      <c r="E530" s="132">
        <v>-149.65057914499999</v>
      </c>
      <c r="F530" s="132">
        <v>750</v>
      </c>
      <c r="G530" s="132" t="s">
        <v>1829</v>
      </c>
      <c r="H530" s="132" t="s">
        <v>1242</v>
      </c>
      <c r="I530" s="132" t="s">
        <v>1242</v>
      </c>
      <c r="J530" s="132" t="s">
        <v>1844</v>
      </c>
      <c r="K530" s="132" t="s">
        <v>1242</v>
      </c>
      <c r="L530" s="132" t="s">
        <v>1242</v>
      </c>
      <c r="M530" s="138" t="str">
        <f t="shared" si="11"/>
        <v>View on Google Map</v>
      </c>
    </row>
    <row r="531" spans="1:13">
      <c r="A531" s="132">
        <v>157</v>
      </c>
      <c r="B531" s="132" t="s">
        <v>2888</v>
      </c>
      <c r="C531" s="132" t="s">
        <v>1242</v>
      </c>
      <c r="D531" s="132">
        <v>68.629627802900004</v>
      </c>
      <c r="E531" s="132">
        <v>-149.655880887</v>
      </c>
      <c r="F531" s="132">
        <v>754</v>
      </c>
      <c r="G531" s="132" t="s">
        <v>1829</v>
      </c>
      <c r="H531" s="132" t="s">
        <v>1242</v>
      </c>
      <c r="I531" s="132" t="s">
        <v>1242</v>
      </c>
      <c r="J531" s="132" t="s">
        <v>1844</v>
      </c>
      <c r="K531" s="132" t="s">
        <v>1242</v>
      </c>
      <c r="L531" s="132" t="s">
        <v>1242</v>
      </c>
      <c r="M531" s="138" t="str">
        <f t="shared" si="11"/>
        <v>View on Google Map</v>
      </c>
    </row>
    <row r="532" spans="1:13">
      <c r="A532" s="132">
        <v>158</v>
      </c>
      <c r="B532" s="132" t="s">
        <v>2889</v>
      </c>
      <c r="C532" s="132" t="s">
        <v>1242</v>
      </c>
      <c r="D532" s="132">
        <v>68.631486568699998</v>
      </c>
      <c r="E532" s="132">
        <v>-149.65910231699999</v>
      </c>
      <c r="F532" s="132">
        <v>754</v>
      </c>
      <c r="G532" s="132" t="s">
        <v>1829</v>
      </c>
      <c r="H532" s="132" t="s">
        <v>1242</v>
      </c>
      <c r="I532" s="132" t="s">
        <v>1242</v>
      </c>
      <c r="J532" s="132" t="s">
        <v>1844</v>
      </c>
      <c r="K532" s="132" t="s">
        <v>1242</v>
      </c>
      <c r="L532" s="132" t="s">
        <v>1242</v>
      </c>
      <c r="M532" s="138" t="str">
        <f t="shared" si="11"/>
        <v>View on Google Map</v>
      </c>
    </row>
    <row r="533" spans="1:13">
      <c r="A533" s="132">
        <v>169</v>
      </c>
      <c r="B533" s="132" t="s">
        <v>2890</v>
      </c>
      <c r="C533" s="132" t="s">
        <v>1242</v>
      </c>
      <c r="D533" s="132" t="s">
        <v>1242</v>
      </c>
      <c r="E533" s="132" t="s">
        <v>1242</v>
      </c>
      <c r="F533" s="132" t="s">
        <v>1242</v>
      </c>
      <c r="G533" s="132" t="s">
        <v>1829</v>
      </c>
      <c r="H533" s="132" t="s">
        <v>1242</v>
      </c>
      <c r="I533" s="132" t="s">
        <v>1242</v>
      </c>
      <c r="J533" s="132" t="s">
        <v>1844</v>
      </c>
      <c r="K533" s="132" t="s">
        <v>1242</v>
      </c>
      <c r="L533" s="132" t="s">
        <v>1242</v>
      </c>
      <c r="M533" s="138" t="str">
        <f t="shared" si="11"/>
        <v>View on Google Map</v>
      </c>
    </row>
    <row r="534" spans="1:13">
      <c r="A534" s="132">
        <v>170</v>
      </c>
      <c r="B534" s="132" t="s">
        <v>2891</v>
      </c>
      <c r="C534" s="132" t="s">
        <v>1242</v>
      </c>
      <c r="D534" s="132" t="s">
        <v>1242</v>
      </c>
      <c r="E534" s="132" t="s">
        <v>1242</v>
      </c>
      <c r="F534" s="132" t="s">
        <v>1242</v>
      </c>
      <c r="G534" s="132" t="s">
        <v>1829</v>
      </c>
      <c r="H534" s="132" t="s">
        <v>1242</v>
      </c>
      <c r="I534" s="132" t="s">
        <v>1242</v>
      </c>
      <c r="J534" s="132" t="s">
        <v>1844</v>
      </c>
      <c r="K534" s="132" t="s">
        <v>1242</v>
      </c>
      <c r="L534" s="132" t="s">
        <v>1242</v>
      </c>
      <c r="M534" s="138" t="str">
        <f t="shared" si="11"/>
        <v>View on Google Map</v>
      </c>
    </row>
    <row r="535" spans="1:13">
      <c r="A535" s="132">
        <v>136</v>
      </c>
      <c r="B535" s="132" t="s">
        <v>2892</v>
      </c>
      <c r="C535" s="132" t="s">
        <v>1242</v>
      </c>
      <c r="D535" s="132">
        <v>70.233333333333334</v>
      </c>
      <c r="E535" s="132">
        <v>-148.25</v>
      </c>
      <c r="F535" s="132">
        <v>10</v>
      </c>
      <c r="G535" s="132" t="s">
        <v>1829</v>
      </c>
      <c r="H535" s="132" t="s">
        <v>2893</v>
      </c>
      <c r="I535" s="132" t="s">
        <v>1242</v>
      </c>
      <c r="J535" s="132" t="s">
        <v>1844</v>
      </c>
      <c r="K535" s="132" t="s">
        <v>1242</v>
      </c>
      <c r="L535" s="132" t="s">
        <v>1845</v>
      </c>
      <c r="M535" s="138" t="str">
        <f t="shared" si="11"/>
        <v>View on Google Map</v>
      </c>
    </row>
    <row r="536" spans="1:13">
      <c r="A536" s="132">
        <v>6</v>
      </c>
      <c r="B536" s="132" t="s">
        <v>2894</v>
      </c>
      <c r="C536" s="132" t="s">
        <v>1242</v>
      </c>
      <c r="D536" s="132" t="s">
        <v>1242</v>
      </c>
      <c r="E536" s="132" t="s">
        <v>1242</v>
      </c>
      <c r="F536" s="132">
        <v>457</v>
      </c>
      <c r="G536" s="132" t="s">
        <v>1843</v>
      </c>
      <c r="H536" s="132" t="s">
        <v>2895</v>
      </c>
      <c r="I536" s="132" t="s">
        <v>2896</v>
      </c>
      <c r="J536" s="132" t="s">
        <v>1844</v>
      </c>
      <c r="K536" s="132" t="s">
        <v>1242</v>
      </c>
      <c r="L536" s="132" t="s">
        <v>1845</v>
      </c>
      <c r="M536" s="138" t="str">
        <f t="shared" si="11"/>
        <v>View on Google Map</v>
      </c>
    </row>
    <row r="537" spans="1:13">
      <c r="A537" s="132">
        <v>20</v>
      </c>
      <c r="B537" s="132" t="s">
        <v>2897</v>
      </c>
      <c r="C537" s="132" t="s">
        <v>1242</v>
      </c>
      <c r="D537" s="132" t="s">
        <v>1242</v>
      </c>
      <c r="E537" s="132" t="s">
        <v>1242</v>
      </c>
      <c r="F537" s="132" t="s">
        <v>1242</v>
      </c>
      <c r="G537" s="132" t="s">
        <v>1843</v>
      </c>
      <c r="H537" s="132" t="s">
        <v>1242</v>
      </c>
      <c r="I537" s="132" t="s">
        <v>1242</v>
      </c>
      <c r="J537" s="132" t="s">
        <v>1844</v>
      </c>
      <c r="K537" s="132" t="s">
        <v>1242</v>
      </c>
      <c r="L537" s="132" t="s">
        <v>1242</v>
      </c>
      <c r="M537" s="138" t="str">
        <f t="shared" si="11"/>
        <v>View on Google Map</v>
      </c>
    </row>
    <row r="538" spans="1:13">
      <c r="A538" s="132">
        <v>1176</v>
      </c>
      <c r="B538" s="132" t="s">
        <v>2898</v>
      </c>
      <c r="C538" s="132" t="s">
        <v>1850</v>
      </c>
      <c r="D538" s="132">
        <v>68.996418329999997</v>
      </c>
      <c r="E538" s="132">
        <v>-150.27895670000001</v>
      </c>
      <c r="F538" s="132" t="s">
        <v>1242</v>
      </c>
      <c r="G538" s="132" t="s">
        <v>1819</v>
      </c>
      <c r="H538" s="132" t="s">
        <v>1242</v>
      </c>
      <c r="I538" s="132" t="s">
        <v>1242</v>
      </c>
      <c r="J538" s="132" t="s">
        <v>1825</v>
      </c>
      <c r="K538" s="132" t="s">
        <v>1242</v>
      </c>
      <c r="L538" s="132" t="s">
        <v>1826</v>
      </c>
      <c r="M538" s="138" t="str">
        <f t="shared" si="11"/>
        <v>View on Google Map</v>
      </c>
    </row>
    <row r="539" spans="1:13">
      <c r="A539" s="132">
        <v>509</v>
      </c>
      <c r="B539" s="132" t="s">
        <v>2899</v>
      </c>
      <c r="C539" s="132" t="s">
        <v>1828</v>
      </c>
      <c r="D539" s="132">
        <v>68.338126000000003</v>
      </c>
      <c r="E539" s="132">
        <v>-151.061735</v>
      </c>
      <c r="F539" s="132">
        <v>840</v>
      </c>
      <c r="G539" s="132" t="s">
        <v>1829</v>
      </c>
      <c r="H539" s="132" t="s">
        <v>1242</v>
      </c>
      <c r="I539" s="132" t="s">
        <v>1242</v>
      </c>
      <c r="J539" s="132" t="s">
        <v>1830</v>
      </c>
      <c r="K539" s="132" t="s">
        <v>1242</v>
      </c>
      <c r="L539" s="132" t="s">
        <v>1831</v>
      </c>
      <c r="M539" s="138" t="str">
        <f t="shared" si="11"/>
        <v>View on Google Map</v>
      </c>
    </row>
    <row r="540" spans="1:13">
      <c r="A540" s="132">
        <v>36</v>
      </c>
      <c r="B540" s="132" t="s">
        <v>2900</v>
      </c>
      <c r="C540" s="132" t="s">
        <v>1242</v>
      </c>
      <c r="D540" s="132">
        <v>69.233333333333334</v>
      </c>
      <c r="E540" s="132">
        <v>-150.804383333</v>
      </c>
      <c r="F540" s="132">
        <v>181.97</v>
      </c>
      <c r="G540" s="132" t="s">
        <v>1843</v>
      </c>
      <c r="H540" s="132" t="s">
        <v>1242</v>
      </c>
      <c r="I540" s="132" t="s">
        <v>1242</v>
      </c>
      <c r="J540" s="132" t="s">
        <v>1879</v>
      </c>
      <c r="K540" s="132" t="s">
        <v>1242</v>
      </c>
      <c r="L540" s="132" t="s">
        <v>1826</v>
      </c>
      <c r="M540" s="138" t="str">
        <f t="shared" si="11"/>
        <v>View on Google Map</v>
      </c>
    </row>
    <row r="541" spans="1:13">
      <c r="A541" s="132">
        <v>37</v>
      </c>
      <c r="B541" s="132" t="s">
        <v>2901</v>
      </c>
      <c r="C541" s="132" t="s">
        <v>1242</v>
      </c>
      <c r="D541" s="132">
        <v>68.289683333333329</v>
      </c>
      <c r="E541" s="132">
        <v>-150.91499999999999</v>
      </c>
      <c r="F541" s="132">
        <v>392</v>
      </c>
      <c r="G541" s="132" t="s">
        <v>1843</v>
      </c>
      <c r="H541" s="132" t="s">
        <v>1242</v>
      </c>
      <c r="I541" s="132" t="s">
        <v>1242</v>
      </c>
      <c r="J541" s="132" t="s">
        <v>1879</v>
      </c>
      <c r="K541" s="132" t="s">
        <v>1242</v>
      </c>
      <c r="L541" s="132" t="s">
        <v>1826</v>
      </c>
      <c r="M541" s="138" t="str">
        <f t="shared" si="11"/>
        <v>View on Google Map</v>
      </c>
    </row>
    <row r="542" spans="1:13">
      <c r="A542" s="132">
        <v>130</v>
      </c>
      <c r="B542" s="132" t="s">
        <v>2902</v>
      </c>
      <c r="C542" s="132" t="s">
        <v>2903</v>
      </c>
      <c r="D542" s="132">
        <v>70.083333333333329</v>
      </c>
      <c r="E542" s="132">
        <v>-148.53333333333299</v>
      </c>
      <c r="F542" s="132">
        <v>24</v>
      </c>
      <c r="G542" s="132" t="s">
        <v>1829</v>
      </c>
      <c r="H542" s="132" t="s">
        <v>2904</v>
      </c>
      <c r="I542" s="132" t="s">
        <v>1242</v>
      </c>
      <c r="J542" s="132" t="s">
        <v>1844</v>
      </c>
      <c r="K542" s="132" t="s">
        <v>1242</v>
      </c>
      <c r="L542" s="132" t="s">
        <v>1845</v>
      </c>
      <c r="M542" s="138" t="str">
        <f t="shared" si="11"/>
        <v>View on Google Map</v>
      </c>
    </row>
    <row r="543" spans="1:13">
      <c r="A543" s="132">
        <v>519</v>
      </c>
      <c r="B543" s="132" t="s">
        <v>2905</v>
      </c>
      <c r="C543" s="132" t="s">
        <v>1828</v>
      </c>
      <c r="D543" s="132">
        <v>68.802636000000007</v>
      </c>
      <c r="E543" s="132">
        <v>-150.78539699999999</v>
      </c>
      <c r="F543" s="132">
        <v>411</v>
      </c>
      <c r="G543" s="132" t="s">
        <v>1829</v>
      </c>
      <c r="H543" s="132" t="s">
        <v>1242</v>
      </c>
      <c r="I543" s="132" t="s">
        <v>1242</v>
      </c>
      <c r="J543" s="132" t="s">
        <v>1830</v>
      </c>
      <c r="K543" s="132" t="s">
        <v>1242</v>
      </c>
      <c r="L543" s="132" t="s">
        <v>1831</v>
      </c>
      <c r="M543" s="138" t="str">
        <f t="shared" si="11"/>
        <v>View on Google Map</v>
      </c>
    </row>
    <row r="544" spans="1:13">
      <c r="A544" s="132">
        <v>452</v>
      </c>
      <c r="B544" s="132" t="s">
        <v>2906</v>
      </c>
      <c r="C544" s="132" t="s">
        <v>1242</v>
      </c>
      <c r="D544" s="132">
        <v>68.794960000000003</v>
      </c>
      <c r="E544" s="132">
        <v>-149.04813999999999</v>
      </c>
      <c r="F544" s="132">
        <v>754</v>
      </c>
      <c r="G544" s="132" t="s">
        <v>1829</v>
      </c>
      <c r="H544" s="132" t="s">
        <v>1242</v>
      </c>
      <c r="I544" s="132" t="s">
        <v>1242</v>
      </c>
      <c r="J544" s="132" t="s">
        <v>1830</v>
      </c>
      <c r="K544" s="132" t="s">
        <v>1242</v>
      </c>
      <c r="L544" s="132" t="s">
        <v>1242</v>
      </c>
      <c r="M544" s="138" t="str">
        <f t="shared" si="11"/>
        <v>View on Google Map</v>
      </c>
    </row>
    <row r="545" spans="1:13">
      <c r="A545" s="132">
        <v>453</v>
      </c>
      <c r="B545" s="132" t="s">
        <v>2907</v>
      </c>
      <c r="C545" s="132" t="s">
        <v>1242</v>
      </c>
      <c r="D545" s="132">
        <v>68.810460000000006</v>
      </c>
      <c r="E545" s="132">
        <v>-149.05207999999999</v>
      </c>
      <c r="F545" s="132">
        <v>727</v>
      </c>
      <c r="G545" s="132" t="s">
        <v>1829</v>
      </c>
      <c r="H545" s="132" t="s">
        <v>1242</v>
      </c>
      <c r="I545" s="132" t="s">
        <v>1242</v>
      </c>
      <c r="J545" s="132" t="s">
        <v>1830</v>
      </c>
      <c r="K545" s="132" t="s">
        <v>1242</v>
      </c>
      <c r="L545" s="132" t="s">
        <v>1242</v>
      </c>
      <c r="M545" s="138" t="str">
        <f t="shared" si="11"/>
        <v>View on Google Map</v>
      </c>
    </row>
    <row r="546" spans="1:13">
      <c r="A546" s="132">
        <v>454</v>
      </c>
      <c r="B546" s="132" t="s">
        <v>2908</v>
      </c>
      <c r="C546" s="132" t="s">
        <v>1242</v>
      </c>
      <c r="D546" s="132">
        <v>68.815870000000004</v>
      </c>
      <c r="E546" s="132">
        <v>-149.06173999999999</v>
      </c>
      <c r="F546" s="132">
        <v>715</v>
      </c>
      <c r="G546" s="132" t="s">
        <v>1829</v>
      </c>
      <c r="H546" s="132" t="s">
        <v>1242</v>
      </c>
      <c r="I546" s="132" t="s">
        <v>1242</v>
      </c>
      <c r="J546" s="132" t="s">
        <v>1830</v>
      </c>
      <c r="K546" s="132" t="s">
        <v>1242</v>
      </c>
      <c r="L546" s="132" t="s">
        <v>1242</v>
      </c>
      <c r="M546" s="138" t="str">
        <f t="shared" si="11"/>
        <v>View on Google Map</v>
      </c>
    </row>
    <row r="547" spans="1:13">
      <c r="A547" s="132">
        <v>455</v>
      </c>
      <c r="B547" s="132" t="s">
        <v>2909</v>
      </c>
      <c r="C547" s="132" t="s">
        <v>1242</v>
      </c>
      <c r="D547" s="132">
        <v>68.810519999999997</v>
      </c>
      <c r="E547" s="132">
        <v>-149.06282999999999</v>
      </c>
      <c r="F547" s="132">
        <v>728</v>
      </c>
      <c r="G547" s="132" t="s">
        <v>1829</v>
      </c>
      <c r="H547" s="132" t="s">
        <v>1242</v>
      </c>
      <c r="I547" s="132" t="s">
        <v>1242</v>
      </c>
      <c r="J547" s="132" t="s">
        <v>1830</v>
      </c>
      <c r="K547" s="132" t="s">
        <v>1242</v>
      </c>
      <c r="L547" s="132" t="s">
        <v>1242</v>
      </c>
      <c r="M547" s="138" t="str">
        <f t="shared" si="11"/>
        <v>View on Google Map</v>
      </c>
    </row>
    <row r="548" spans="1:13">
      <c r="A548" s="132">
        <v>456</v>
      </c>
      <c r="B548" s="132" t="s">
        <v>2910</v>
      </c>
      <c r="C548" s="132" t="s">
        <v>1242</v>
      </c>
      <c r="D548" s="132">
        <v>68.812290000000004</v>
      </c>
      <c r="E548" s="132">
        <v>-149.06899000000001</v>
      </c>
      <c r="F548" s="132">
        <v>730</v>
      </c>
      <c r="G548" s="132" t="s">
        <v>1829</v>
      </c>
      <c r="H548" s="132" t="s">
        <v>1242</v>
      </c>
      <c r="I548" s="132" t="s">
        <v>1242</v>
      </c>
      <c r="J548" s="132" t="s">
        <v>1830</v>
      </c>
      <c r="K548" s="132" t="s">
        <v>1242</v>
      </c>
      <c r="L548" s="132" t="s">
        <v>1242</v>
      </c>
      <c r="M548" s="138" t="str">
        <f t="shared" si="11"/>
        <v>View on Google Map</v>
      </c>
    </row>
    <row r="549" spans="1:13">
      <c r="A549" s="132">
        <v>457</v>
      </c>
      <c r="B549" s="132" t="s">
        <v>2911</v>
      </c>
      <c r="C549" s="132" t="s">
        <v>1242</v>
      </c>
      <c r="D549" s="132">
        <v>68.814369999999997</v>
      </c>
      <c r="E549" s="132">
        <v>-149.06774999999999</v>
      </c>
      <c r="F549" s="132">
        <v>724</v>
      </c>
      <c r="G549" s="132" t="s">
        <v>1829</v>
      </c>
      <c r="H549" s="132" t="s">
        <v>1242</v>
      </c>
      <c r="I549" s="132" t="s">
        <v>1242</v>
      </c>
      <c r="J549" s="132" t="s">
        <v>1830</v>
      </c>
      <c r="K549" s="132" t="s">
        <v>1242</v>
      </c>
      <c r="L549" s="132" t="s">
        <v>1242</v>
      </c>
      <c r="M549" s="138" t="str">
        <f t="shared" si="11"/>
        <v>View on Google Map</v>
      </c>
    </row>
    <row r="550" spans="1:13">
      <c r="A550" s="132">
        <v>38</v>
      </c>
      <c r="B550" s="132" t="s">
        <v>2912</v>
      </c>
      <c r="C550" s="132" t="s">
        <v>1242</v>
      </c>
      <c r="D550" s="132">
        <v>69.011899999999997</v>
      </c>
      <c r="E550" s="132">
        <v>-150.30000000000001</v>
      </c>
      <c r="F550" s="132">
        <v>321</v>
      </c>
      <c r="G550" s="132" t="s">
        <v>1843</v>
      </c>
      <c r="H550" s="132" t="s">
        <v>2913</v>
      </c>
      <c r="I550" s="132" t="s">
        <v>2914</v>
      </c>
      <c r="J550" s="132" t="s">
        <v>1879</v>
      </c>
      <c r="K550" s="132" t="s">
        <v>1242</v>
      </c>
      <c r="L550" s="132" t="s">
        <v>1826</v>
      </c>
      <c r="M550" s="138" t="str">
        <f t="shared" si="11"/>
        <v>View on Google Map</v>
      </c>
    </row>
    <row r="551" spans="1:13">
      <c r="A551" s="132">
        <v>1211</v>
      </c>
      <c r="B551" s="132" t="s">
        <v>2915</v>
      </c>
      <c r="C551" s="132" t="s">
        <v>2002</v>
      </c>
      <c r="D551" s="132">
        <v>68.996700000000004</v>
      </c>
      <c r="E551" s="132">
        <v>-150.28142</v>
      </c>
      <c r="F551" s="132" t="s">
        <v>1242</v>
      </c>
      <c r="G551" s="132" t="s">
        <v>1819</v>
      </c>
      <c r="H551" s="132" t="s">
        <v>1242</v>
      </c>
      <c r="I551" s="132" t="s">
        <v>1242</v>
      </c>
      <c r="J551" s="132" t="s">
        <v>1825</v>
      </c>
      <c r="K551" s="132" t="s">
        <v>1242</v>
      </c>
      <c r="L551" s="132" t="s">
        <v>1826</v>
      </c>
      <c r="M551" s="138" t="str">
        <f t="shared" si="11"/>
        <v>View on Google Map</v>
      </c>
    </row>
    <row r="552" spans="1:13">
      <c r="A552" s="132">
        <v>1210</v>
      </c>
      <c r="B552" s="132" t="s">
        <v>2916</v>
      </c>
      <c r="C552" s="132" t="s">
        <v>2002</v>
      </c>
      <c r="D552" s="132">
        <v>68.996700000000004</v>
      </c>
      <c r="E552" s="132">
        <v>-150.28142</v>
      </c>
      <c r="F552" s="132" t="s">
        <v>1242</v>
      </c>
      <c r="G552" s="132" t="s">
        <v>1819</v>
      </c>
      <c r="H552" s="132" t="s">
        <v>1242</v>
      </c>
      <c r="I552" s="132" t="s">
        <v>1242</v>
      </c>
      <c r="J552" s="132" t="s">
        <v>1825</v>
      </c>
      <c r="K552" s="132" t="s">
        <v>1242</v>
      </c>
      <c r="L552" s="132" t="s">
        <v>1826</v>
      </c>
      <c r="M552" s="138" t="str">
        <f t="shared" si="11"/>
        <v>View on Google Map</v>
      </c>
    </row>
    <row r="553" spans="1:13">
      <c r="B553" s="132" t="s">
        <v>2917</v>
      </c>
      <c r="C553" s="132" t="s">
        <v>2831</v>
      </c>
      <c r="D553" s="132">
        <v>69.007500000000007</v>
      </c>
      <c r="E553" s="132">
        <v>-150.31388888888901</v>
      </c>
      <c r="G553" s="132" t="s">
        <v>1837</v>
      </c>
      <c r="J553" s="132" t="s">
        <v>1825</v>
      </c>
      <c r="L553" s="132" t="s">
        <v>1826</v>
      </c>
      <c r="M553" s="138" t="str">
        <f t="shared" si="11"/>
        <v>View on Google Map</v>
      </c>
    </row>
    <row r="554" spans="1:13">
      <c r="B554" s="132" t="s">
        <v>2918</v>
      </c>
      <c r="C554" s="132" t="s">
        <v>2215</v>
      </c>
      <c r="D554" s="132">
        <v>69.043055555555554</v>
      </c>
      <c r="E554" s="132">
        <v>-150.42916666666699</v>
      </c>
      <c r="G554" s="132" t="s">
        <v>1837</v>
      </c>
      <c r="J554" s="132" t="s">
        <v>1825</v>
      </c>
      <c r="L554" s="132" t="s">
        <v>1826</v>
      </c>
      <c r="M554" s="138" t="str">
        <f t="shared" si="11"/>
        <v>View on Google Map</v>
      </c>
    </row>
    <row r="555" spans="1:13">
      <c r="A555" s="132">
        <v>39</v>
      </c>
      <c r="B555" s="132" t="s">
        <v>2919</v>
      </c>
      <c r="C555" s="132" t="s">
        <v>1242</v>
      </c>
      <c r="D555" s="132">
        <v>68.994600000000005</v>
      </c>
      <c r="E555" s="132">
        <v>-150.30699999999999</v>
      </c>
      <c r="F555" s="132">
        <v>307</v>
      </c>
      <c r="G555" s="132" t="s">
        <v>1843</v>
      </c>
      <c r="H555" s="132" t="s">
        <v>2920</v>
      </c>
      <c r="I555" s="132" t="s">
        <v>1242</v>
      </c>
      <c r="J555" s="132" t="s">
        <v>1879</v>
      </c>
      <c r="K555" s="132" t="s">
        <v>1242</v>
      </c>
      <c r="L555" s="132" t="s">
        <v>1826</v>
      </c>
      <c r="M555" s="138" t="str">
        <f t="shared" si="11"/>
        <v>View on Google Map</v>
      </c>
    </row>
    <row r="556" spans="1:13">
      <c r="B556" s="132" t="s">
        <v>2921</v>
      </c>
      <c r="C556" s="132" t="s">
        <v>1836</v>
      </c>
      <c r="D556" s="132">
        <v>69.570555555555558</v>
      </c>
      <c r="E556" s="132">
        <v>-150.893333333333</v>
      </c>
      <c r="G556" s="132" t="s">
        <v>1837</v>
      </c>
      <c r="J556" s="132" t="s">
        <v>1825</v>
      </c>
      <c r="L556" s="132" t="s">
        <v>1826</v>
      </c>
      <c r="M556" s="138" t="str">
        <f t="shared" si="11"/>
        <v>View on Google Map</v>
      </c>
    </row>
    <row r="557" spans="1:13">
      <c r="A557" s="132">
        <v>46</v>
      </c>
      <c r="B557" s="132" t="s">
        <v>2922</v>
      </c>
      <c r="C557" s="132" t="s">
        <v>1242</v>
      </c>
      <c r="D557" s="132">
        <v>68.891069000000002</v>
      </c>
      <c r="E557" s="132">
        <v>-150.58501899999999</v>
      </c>
      <c r="F557" s="132" t="s">
        <v>1242</v>
      </c>
      <c r="G557" s="132" t="s">
        <v>1843</v>
      </c>
      <c r="H557" s="132" t="s">
        <v>1242</v>
      </c>
      <c r="I557" s="132" t="s">
        <v>1242</v>
      </c>
      <c r="J557" s="132" t="s">
        <v>2829</v>
      </c>
      <c r="K557" s="132" t="s">
        <v>1242</v>
      </c>
      <c r="L557" s="132" t="s">
        <v>1826</v>
      </c>
      <c r="M557" s="138" t="str">
        <f t="shared" si="11"/>
        <v>View on Google Map</v>
      </c>
    </row>
    <row r="558" spans="1:13">
      <c r="A558" s="132">
        <v>47</v>
      </c>
      <c r="B558" s="132" t="s">
        <v>2923</v>
      </c>
      <c r="C558" s="132" t="s">
        <v>1242</v>
      </c>
      <c r="D558" s="132">
        <v>68.966999999999999</v>
      </c>
      <c r="E558" s="132">
        <v>-150.56673000000001</v>
      </c>
      <c r="F558" s="132" t="s">
        <v>1242</v>
      </c>
      <c r="G558" s="132" t="s">
        <v>1843</v>
      </c>
      <c r="H558" s="132" t="s">
        <v>1242</v>
      </c>
      <c r="I558" s="132" t="s">
        <v>1242</v>
      </c>
      <c r="J558" s="132" t="s">
        <v>2829</v>
      </c>
      <c r="K558" s="132" t="s">
        <v>1242</v>
      </c>
      <c r="L558" s="132" t="s">
        <v>1826</v>
      </c>
      <c r="M558" s="138" t="str">
        <f t="shared" si="11"/>
        <v>View on Google Map</v>
      </c>
    </row>
    <row r="559" spans="1:13">
      <c r="A559" s="132">
        <v>100</v>
      </c>
      <c r="B559" s="132" t="s">
        <v>22</v>
      </c>
      <c r="C559" s="132" t="s">
        <v>2924</v>
      </c>
      <c r="D559" s="132">
        <v>68.629960999999994</v>
      </c>
      <c r="E559" s="132">
        <v>-149.61263299999999</v>
      </c>
      <c r="F559" s="132">
        <v>719</v>
      </c>
      <c r="G559" s="132" t="s">
        <v>1829</v>
      </c>
      <c r="H559" s="132" t="s">
        <v>2925</v>
      </c>
      <c r="I559" s="132" t="s">
        <v>2926</v>
      </c>
      <c r="J559" s="132" t="s">
        <v>1844</v>
      </c>
      <c r="K559" s="132" t="s">
        <v>1242</v>
      </c>
      <c r="L559" s="132" t="s">
        <v>1242</v>
      </c>
      <c r="M559" s="138" t="str">
        <f t="shared" si="11"/>
        <v>View on Google Map</v>
      </c>
    </row>
    <row r="560" spans="1:13">
      <c r="A560" s="132">
        <v>523</v>
      </c>
      <c r="B560" s="132" t="s">
        <v>2927</v>
      </c>
      <c r="C560" s="132" t="s">
        <v>2928</v>
      </c>
      <c r="D560" s="132">
        <v>68.626671999999999</v>
      </c>
      <c r="E560" s="132">
        <v>-149.59784400000001</v>
      </c>
      <c r="F560" s="132">
        <v>719</v>
      </c>
      <c r="G560" s="132" t="s">
        <v>1829</v>
      </c>
      <c r="H560" s="132" t="s">
        <v>1242</v>
      </c>
      <c r="I560" s="132" t="s">
        <v>1242</v>
      </c>
      <c r="J560" s="132" t="s">
        <v>1830</v>
      </c>
      <c r="K560" s="132" t="s">
        <v>1242</v>
      </c>
      <c r="L560" s="132" t="s">
        <v>2929</v>
      </c>
      <c r="M560" s="138" t="str">
        <f t="shared" si="11"/>
        <v>View on Google Map</v>
      </c>
    </row>
    <row r="561" spans="1:13">
      <c r="A561" s="132">
        <v>524</v>
      </c>
      <c r="B561" s="132" t="s">
        <v>2930</v>
      </c>
      <c r="C561" s="132" t="s">
        <v>2928</v>
      </c>
      <c r="D561" s="132">
        <v>68.632586000000003</v>
      </c>
      <c r="E561" s="132">
        <v>-149.60089500000001</v>
      </c>
      <c r="F561" s="132">
        <v>719</v>
      </c>
      <c r="G561" s="132" t="s">
        <v>1829</v>
      </c>
      <c r="H561" s="132" t="s">
        <v>1242</v>
      </c>
      <c r="I561" s="132" t="s">
        <v>1242</v>
      </c>
      <c r="J561" s="132" t="s">
        <v>1830</v>
      </c>
      <c r="K561" s="132" t="s">
        <v>1242</v>
      </c>
      <c r="L561" s="132" t="s">
        <v>2929</v>
      </c>
      <c r="M561" s="138" t="str">
        <f t="shared" si="11"/>
        <v>View on Google Map</v>
      </c>
    </row>
    <row r="562" spans="1:13">
      <c r="A562" s="132">
        <v>525</v>
      </c>
      <c r="B562" s="132" t="s">
        <v>2931</v>
      </c>
      <c r="C562" s="132" t="s">
        <v>2928</v>
      </c>
      <c r="D562" s="132">
        <v>68.636390000000006</v>
      </c>
      <c r="E562" s="132">
        <v>-149.594774</v>
      </c>
      <c r="F562" s="132">
        <v>719</v>
      </c>
      <c r="G562" s="132" t="s">
        <v>1829</v>
      </c>
      <c r="H562" s="132" t="s">
        <v>1242</v>
      </c>
      <c r="I562" s="132" t="s">
        <v>1242</v>
      </c>
      <c r="J562" s="132" t="s">
        <v>1830</v>
      </c>
      <c r="K562" s="132" t="s">
        <v>1242</v>
      </c>
      <c r="L562" s="132" t="s">
        <v>2929</v>
      </c>
      <c r="M562" s="138" t="str">
        <f t="shared" si="11"/>
        <v>View on Google Map</v>
      </c>
    </row>
    <row r="563" spans="1:13">
      <c r="A563" s="132">
        <v>13</v>
      </c>
      <c r="B563" s="132" t="s">
        <v>2932</v>
      </c>
      <c r="C563" s="132" t="s">
        <v>1242</v>
      </c>
      <c r="D563" s="132">
        <v>68.625600000000006</v>
      </c>
      <c r="E563" s="132">
        <v>-149.59604999999999</v>
      </c>
      <c r="F563" s="132">
        <v>719</v>
      </c>
      <c r="G563" s="132" t="s">
        <v>1843</v>
      </c>
      <c r="H563" s="132" t="s">
        <v>2933</v>
      </c>
      <c r="I563" s="132" t="s">
        <v>2934</v>
      </c>
      <c r="J563" s="132" t="s">
        <v>1844</v>
      </c>
      <c r="K563" s="132">
        <v>190</v>
      </c>
      <c r="L563" s="132" t="s">
        <v>2233</v>
      </c>
      <c r="M563" s="138" t="str">
        <f t="shared" si="11"/>
        <v>View on Google Map</v>
      </c>
    </row>
    <row r="564" spans="1:13">
      <c r="A564" s="132">
        <v>522</v>
      </c>
      <c r="B564" s="132" t="s">
        <v>2935</v>
      </c>
      <c r="C564" s="132" t="s">
        <v>2928</v>
      </c>
      <c r="D564" s="132">
        <v>68.625966000000005</v>
      </c>
      <c r="E564" s="132">
        <v>-149.59902199999999</v>
      </c>
      <c r="F564" s="132">
        <v>719</v>
      </c>
      <c r="G564" s="132" t="s">
        <v>1829</v>
      </c>
      <c r="H564" s="132" t="s">
        <v>1242</v>
      </c>
      <c r="I564" s="132" t="s">
        <v>1242</v>
      </c>
      <c r="J564" s="132" t="s">
        <v>1830</v>
      </c>
      <c r="K564" s="132" t="s">
        <v>1242</v>
      </c>
      <c r="L564" s="132" t="s">
        <v>2929</v>
      </c>
      <c r="M564" s="138" t="str">
        <f t="shared" si="11"/>
        <v>View on Google Map</v>
      </c>
    </row>
    <row r="565" spans="1:13">
      <c r="A565" s="132">
        <v>101</v>
      </c>
      <c r="B565" s="132" t="s">
        <v>2936</v>
      </c>
      <c r="C565" s="132" t="s">
        <v>2937</v>
      </c>
      <c r="D565" s="132" t="s">
        <v>1242</v>
      </c>
      <c r="E565" s="132" t="s">
        <v>1242</v>
      </c>
      <c r="F565" s="132">
        <v>719</v>
      </c>
      <c r="G565" s="132" t="s">
        <v>1829</v>
      </c>
      <c r="H565" s="132" t="s">
        <v>1242</v>
      </c>
      <c r="I565" s="132" t="s">
        <v>1242</v>
      </c>
      <c r="J565" s="132" t="s">
        <v>1844</v>
      </c>
      <c r="K565" s="132" t="s">
        <v>1242</v>
      </c>
      <c r="L565" s="132" t="s">
        <v>1242</v>
      </c>
      <c r="M565" s="138" t="str">
        <f t="shared" si="11"/>
        <v>View on Google Map</v>
      </c>
    </row>
    <row r="566" spans="1:13">
      <c r="A566" s="132">
        <v>102</v>
      </c>
      <c r="B566" s="132" t="s">
        <v>2938</v>
      </c>
      <c r="C566" s="132" t="s">
        <v>2939</v>
      </c>
      <c r="D566" s="132">
        <v>68.638623999999993</v>
      </c>
      <c r="E566" s="132">
        <v>-149.610737</v>
      </c>
      <c r="F566" s="132">
        <v>719</v>
      </c>
      <c r="G566" s="132" t="s">
        <v>1829</v>
      </c>
      <c r="H566" s="132" t="s">
        <v>2940</v>
      </c>
      <c r="I566" s="132" t="s">
        <v>2941</v>
      </c>
      <c r="J566" s="132" t="s">
        <v>1844</v>
      </c>
      <c r="K566" s="132" t="s">
        <v>1242</v>
      </c>
      <c r="L566" s="132" t="s">
        <v>1242</v>
      </c>
      <c r="M566" s="138" t="str">
        <f t="shared" si="11"/>
        <v>View on Google Map</v>
      </c>
    </row>
    <row r="567" spans="1:13">
      <c r="A567" s="132">
        <v>526</v>
      </c>
      <c r="B567" s="132" t="s">
        <v>2942</v>
      </c>
      <c r="C567" s="132" t="s">
        <v>2928</v>
      </c>
      <c r="D567" s="132">
        <v>68.633232000000007</v>
      </c>
      <c r="E567" s="132">
        <v>-149.61149</v>
      </c>
      <c r="F567" s="132">
        <v>719</v>
      </c>
      <c r="G567" s="132" t="s">
        <v>1829</v>
      </c>
      <c r="H567" s="132" t="s">
        <v>1242</v>
      </c>
      <c r="I567" s="132" t="s">
        <v>1242</v>
      </c>
      <c r="J567" s="132" t="s">
        <v>1830</v>
      </c>
      <c r="K567" s="132" t="s">
        <v>1242</v>
      </c>
      <c r="L567" s="132" t="s">
        <v>2929</v>
      </c>
      <c r="M567" s="138" t="str">
        <f t="shared" si="11"/>
        <v>View on Google Map</v>
      </c>
    </row>
    <row r="568" spans="1:13">
      <c r="A568" s="132">
        <v>14</v>
      </c>
      <c r="B568" s="132" t="s">
        <v>2943</v>
      </c>
      <c r="C568" s="132" t="s">
        <v>1242</v>
      </c>
      <c r="D568" s="132" t="s">
        <v>1242</v>
      </c>
      <c r="E568" s="132" t="s">
        <v>1242</v>
      </c>
      <c r="F568" s="132">
        <v>719</v>
      </c>
      <c r="G568" s="132" t="s">
        <v>1843</v>
      </c>
      <c r="H568" s="132" t="s">
        <v>2944</v>
      </c>
      <c r="I568" s="132" t="s">
        <v>1242</v>
      </c>
      <c r="J568" s="132" t="s">
        <v>1844</v>
      </c>
      <c r="K568" s="132" t="s">
        <v>1242</v>
      </c>
      <c r="L568" s="132" t="s">
        <v>1242</v>
      </c>
      <c r="M568" s="138" t="str">
        <f t="shared" si="11"/>
        <v>View on Google Map</v>
      </c>
    </row>
    <row r="569" spans="1:13">
      <c r="A569" s="132">
        <v>527</v>
      </c>
      <c r="B569" s="132" t="s">
        <v>2945</v>
      </c>
      <c r="C569" s="132" t="s">
        <v>2928</v>
      </c>
      <c r="D569" s="132">
        <v>68.639894999999996</v>
      </c>
      <c r="E569" s="132">
        <v>-149.59610599999999</v>
      </c>
      <c r="F569" s="132">
        <v>719</v>
      </c>
      <c r="G569" s="132" t="s">
        <v>1829</v>
      </c>
      <c r="H569" s="132" t="s">
        <v>1242</v>
      </c>
      <c r="I569" s="132" t="s">
        <v>1242</v>
      </c>
      <c r="J569" s="132" t="s">
        <v>1830</v>
      </c>
      <c r="K569" s="132" t="s">
        <v>1242</v>
      </c>
      <c r="L569" s="132" t="s">
        <v>2929</v>
      </c>
      <c r="M569" s="138" t="str">
        <f t="shared" si="11"/>
        <v>View on Google Map</v>
      </c>
    </row>
    <row r="570" spans="1:13">
      <c r="A570" s="132">
        <v>9</v>
      </c>
      <c r="B570" s="132" t="s">
        <v>2946</v>
      </c>
      <c r="C570" s="132" t="s">
        <v>1242</v>
      </c>
      <c r="D570" s="132" t="s">
        <v>1242</v>
      </c>
      <c r="E570" s="132" t="s">
        <v>1242</v>
      </c>
      <c r="F570" s="132">
        <v>823</v>
      </c>
      <c r="G570" s="132" t="s">
        <v>1843</v>
      </c>
      <c r="H570" s="132" t="s">
        <v>1242</v>
      </c>
      <c r="I570" s="132" t="s">
        <v>1242</v>
      </c>
      <c r="J570" s="132" t="s">
        <v>1844</v>
      </c>
      <c r="K570" s="132" t="s">
        <v>1242</v>
      </c>
      <c r="L570" s="132" t="s">
        <v>1242</v>
      </c>
      <c r="M570" s="138" t="str">
        <f t="shared" si="11"/>
        <v>View on Google Map</v>
      </c>
    </row>
    <row r="571" spans="1:13">
      <c r="A571" s="132">
        <v>22</v>
      </c>
      <c r="B571" s="132" t="s">
        <v>2947</v>
      </c>
      <c r="C571" s="132" t="s">
        <v>1242</v>
      </c>
      <c r="D571" s="132" t="s">
        <v>1242</v>
      </c>
      <c r="E571" s="132" t="s">
        <v>1242</v>
      </c>
      <c r="F571" s="132" t="s">
        <v>1242</v>
      </c>
      <c r="G571" s="132" t="s">
        <v>1843</v>
      </c>
      <c r="H571" s="132" t="s">
        <v>2948</v>
      </c>
      <c r="I571" s="132" t="s">
        <v>1242</v>
      </c>
      <c r="J571" s="132" t="s">
        <v>1844</v>
      </c>
      <c r="K571" s="132" t="s">
        <v>1242</v>
      </c>
      <c r="L571" s="132" t="s">
        <v>1242</v>
      </c>
      <c r="M571" s="138" t="str">
        <f t="shared" si="11"/>
        <v>View on Google Map</v>
      </c>
    </row>
    <row r="572" spans="1:13">
      <c r="A572" s="132">
        <v>528</v>
      </c>
      <c r="B572" s="132" t="s">
        <v>2949</v>
      </c>
      <c r="C572" s="132" t="s">
        <v>2928</v>
      </c>
      <c r="D572" s="132">
        <v>68.634241000000003</v>
      </c>
      <c r="E572" s="132">
        <v>-149.60275899999999</v>
      </c>
      <c r="F572" s="132">
        <v>719</v>
      </c>
      <c r="G572" s="132" t="s">
        <v>1829</v>
      </c>
      <c r="H572" s="132" t="s">
        <v>1242</v>
      </c>
      <c r="I572" s="132" t="s">
        <v>1242</v>
      </c>
      <c r="J572" s="132" t="s">
        <v>1830</v>
      </c>
      <c r="K572" s="132" t="s">
        <v>1242</v>
      </c>
      <c r="L572" s="132" t="s">
        <v>2929</v>
      </c>
      <c r="M572" s="138" t="str">
        <f t="shared" si="11"/>
        <v>View on Google Map</v>
      </c>
    </row>
    <row r="573" spans="1:13">
      <c r="A573" s="132">
        <v>521</v>
      </c>
      <c r="B573" s="132" t="s">
        <v>2950</v>
      </c>
      <c r="C573" s="132" t="s">
        <v>2928</v>
      </c>
      <c r="D573" s="132">
        <v>68.628656000000007</v>
      </c>
      <c r="E573" s="132">
        <v>-149.59960599999999</v>
      </c>
      <c r="F573" s="132">
        <v>719</v>
      </c>
      <c r="G573" s="132" t="s">
        <v>1829</v>
      </c>
      <c r="H573" s="132" t="s">
        <v>1242</v>
      </c>
      <c r="I573" s="132" t="s">
        <v>1242</v>
      </c>
      <c r="J573" s="132" t="s">
        <v>1830</v>
      </c>
      <c r="K573" s="132" t="s">
        <v>1242</v>
      </c>
      <c r="L573" s="132" t="s">
        <v>2929</v>
      </c>
      <c r="M573" s="138" t="str">
        <f t="shared" si="11"/>
        <v>View on Google Map</v>
      </c>
    </row>
    <row r="574" spans="1:13">
      <c r="A574" s="132">
        <v>520</v>
      </c>
      <c r="B574" s="132" t="s">
        <v>2951</v>
      </c>
      <c r="C574" s="132" t="s">
        <v>2928</v>
      </c>
      <c r="D574" s="132">
        <v>68.633064000000005</v>
      </c>
      <c r="E574" s="132">
        <v>-149.62826999999999</v>
      </c>
      <c r="F574" s="132">
        <v>719</v>
      </c>
      <c r="G574" s="132" t="s">
        <v>1829</v>
      </c>
      <c r="H574" s="132" t="s">
        <v>1242</v>
      </c>
      <c r="I574" s="132" t="s">
        <v>1242</v>
      </c>
      <c r="J574" s="132" t="s">
        <v>1830</v>
      </c>
      <c r="K574" s="132" t="s">
        <v>1242</v>
      </c>
      <c r="L574" s="132" t="s">
        <v>2929</v>
      </c>
      <c r="M574" s="138" t="str">
        <f t="shared" si="11"/>
        <v>View on Google Map</v>
      </c>
    </row>
    <row r="575" spans="1:13">
      <c r="B575" s="132" t="s">
        <v>2952</v>
      </c>
      <c r="C575" s="132" t="s">
        <v>2215</v>
      </c>
      <c r="D575" s="132">
        <v>68.695505999999995</v>
      </c>
      <c r="E575" s="132">
        <v>-149.207807</v>
      </c>
      <c r="G575" s="132" t="s">
        <v>2355</v>
      </c>
      <c r="J575" s="45" t="s">
        <v>1844</v>
      </c>
      <c r="M575" s="138" t="str">
        <f t="shared" si="11"/>
        <v>View on Google Map</v>
      </c>
    </row>
    <row r="576" spans="1:13">
      <c r="B576" s="132" t="s">
        <v>2953</v>
      </c>
      <c r="C576" s="132" t="s">
        <v>2215</v>
      </c>
      <c r="D576" s="132">
        <v>68.695696999999996</v>
      </c>
      <c r="E576" s="132">
        <v>-149.20482699999999</v>
      </c>
      <c r="G576" s="132" t="s">
        <v>2355</v>
      </c>
      <c r="J576" s="45" t="s">
        <v>1844</v>
      </c>
      <c r="M576" s="138" t="str">
        <f t="shared" si="11"/>
        <v>View on Google Map</v>
      </c>
    </row>
    <row r="577" spans="1:13">
      <c r="B577" s="132" t="s">
        <v>2954</v>
      </c>
      <c r="C577" s="132" t="s">
        <v>2215</v>
      </c>
      <c r="D577" s="132">
        <v>68.690700000000007</v>
      </c>
      <c r="E577" s="132">
        <v>-149.208371</v>
      </c>
      <c r="G577" s="132" t="s">
        <v>2355</v>
      </c>
      <c r="J577" s="45" t="s">
        <v>1844</v>
      </c>
      <c r="M577" s="138" t="str">
        <f t="shared" si="11"/>
        <v>View on Google Map</v>
      </c>
    </row>
    <row r="578" spans="1:13">
      <c r="B578" s="132" t="s">
        <v>2955</v>
      </c>
      <c r="C578" s="132" t="s">
        <v>2215</v>
      </c>
      <c r="D578" s="132">
        <v>68.693759</v>
      </c>
      <c r="E578" s="132">
        <v>-149.20405500000001</v>
      </c>
      <c r="G578" s="132" t="s">
        <v>2355</v>
      </c>
      <c r="J578" s="45" t="s">
        <v>1844</v>
      </c>
      <c r="M578" s="138" t="str">
        <f t="shared" si="11"/>
        <v>View on Google Map</v>
      </c>
    </row>
    <row r="579" spans="1:13">
      <c r="B579" s="132" t="s">
        <v>2956</v>
      </c>
      <c r="C579" s="132" t="s">
        <v>2957</v>
      </c>
      <c r="D579" s="132">
        <v>68.628228973000006</v>
      </c>
      <c r="E579" s="132">
        <v>-149.596001285</v>
      </c>
      <c r="F579" s="132">
        <v>726.5</v>
      </c>
      <c r="J579" s="132" t="s">
        <v>1844</v>
      </c>
      <c r="M579" s="132" t="str">
        <f>HYPERLINK("http://maps.google.com/maps?q="&amp;D579&amp;","&amp;E579,"View on Google Map")</f>
        <v>View on Google Map</v>
      </c>
    </row>
    <row r="580" spans="1:13">
      <c r="A580" s="132">
        <v>901</v>
      </c>
      <c r="B580" s="132" t="s">
        <v>2958</v>
      </c>
      <c r="C580" s="132" t="s">
        <v>2959</v>
      </c>
      <c r="D580" s="132" t="s">
        <v>1242</v>
      </c>
      <c r="E580" s="132" t="s">
        <v>1242</v>
      </c>
      <c r="F580" s="132" t="s">
        <v>1242</v>
      </c>
      <c r="G580" s="132" t="s">
        <v>1242</v>
      </c>
      <c r="H580" s="132" t="s">
        <v>2960</v>
      </c>
      <c r="I580" s="132" t="s">
        <v>1242</v>
      </c>
      <c r="J580" s="45" t="s">
        <v>1844</v>
      </c>
      <c r="K580" s="132" t="s">
        <v>1242</v>
      </c>
      <c r="L580" s="132" t="s">
        <v>1242</v>
      </c>
      <c r="M580" s="138" t="str">
        <f t="shared" ref="M580:M638" si="12">HYPERLINK("http://maps.google.com/maps?q="&amp;D580&amp;","&amp;E580,"View on Google Map")</f>
        <v>View on Google Map</v>
      </c>
    </row>
    <row r="581" spans="1:13">
      <c r="A581" s="132">
        <v>902</v>
      </c>
      <c r="B581" s="132" t="s">
        <v>2961</v>
      </c>
      <c r="C581" s="132" t="s">
        <v>2959</v>
      </c>
      <c r="D581" s="132" t="s">
        <v>1242</v>
      </c>
      <c r="E581" s="132" t="s">
        <v>1242</v>
      </c>
      <c r="F581" s="132">
        <v>757</v>
      </c>
      <c r="G581" s="132" t="s">
        <v>1819</v>
      </c>
      <c r="H581" s="132" t="s">
        <v>2962</v>
      </c>
      <c r="I581" s="132" t="s">
        <v>1242</v>
      </c>
      <c r="J581" s="132" t="s">
        <v>1844</v>
      </c>
      <c r="K581" s="132" t="s">
        <v>1242</v>
      </c>
      <c r="L581" s="132" t="s">
        <v>1242</v>
      </c>
      <c r="M581" s="138" t="str">
        <f t="shared" si="12"/>
        <v>View on Google Map</v>
      </c>
    </row>
    <row r="582" spans="1:13">
      <c r="A582" s="132">
        <v>903</v>
      </c>
      <c r="B582" s="132" t="s">
        <v>2963</v>
      </c>
      <c r="C582" s="132" t="s">
        <v>2959</v>
      </c>
      <c r="D582" s="132" t="s">
        <v>1242</v>
      </c>
      <c r="E582" s="132" t="s">
        <v>1242</v>
      </c>
      <c r="F582" s="132">
        <v>770</v>
      </c>
      <c r="G582" s="132" t="s">
        <v>1819</v>
      </c>
      <c r="H582" s="132" t="s">
        <v>2964</v>
      </c>
      <c r="I582" s="132" t="s">
        <v>1242</v>
      </c>
      <c r="J582" s="132" t="s">
        <v>1844</v>
      </c>
      <c r="K582" s="132" t="s">
        <v>1242</v>
      </c>
      <c r="L582" s="132" t="s">
        <v>1242</v>
      </c>
      <c r="M582" s="138" t="str">
        <f t="shared" si="12"/>
        <v>View on Google Map</v>
      </c>
    </row>
    <row r="583" spans="1:13">
      <c r="A583" s="132">
        <v>904</v>
      </c>
      <c r="B583" s="132" t="s">
        <v>2965</v>
      </c>
      <c r="C583" s="132" t="s">
        <v>2959</v>
      </c>
      <c r="D583" s="132" t="s">
        <v>1242</v>
      </c>
      <c r="E583" s="132" t="s">
        <v>1242</v>
      </c>
      <c r="F583" s="132">
        <v>770</v>
      </c>
      <c r="G583" s="132" t="s">
        <v>1819</v>
      </c>
      <c r="H583" s="132" t="s">
        <v>2966</v>
      </c>
      <c r="I583" s="132" t="s">
        <v>1242</v>
      </c>
      <c r="J583" s="132" t="s">
        <v>1844</v>
      </c>
      <c r="K583" s="132" t="s">
        <v>1242</v>
      </c>
      <c r="L583" s="132" t="s">
        <v>1242</v>
      </c>
      <c r="M583" s="138" t="str">
        <f t="shared" si="12"/>
        <v>View on Google Map</v>
      </c>
    </row>
    <row r="584" spans="1:13">
      <c r="A584" s="132">
        <v>905</v>
      </c>
      <c r="B584" s="132" t="s">
        <v>2967</v>
      </c>
      <c r="C584" s="132" t="s">
        <v>2959</v>
      </c>
      <c r="D584" s="132" t="s">
        <v>1242</v>
      </c>
      <c r="E584" s="132" t="s">
        <v>1242</v>
      </c>
      <c r="F584" s="132">
        <v>769</v>
      </c>
      <c r="G584" s="132" t="s">
        <v>1819</v>
      </c>
      <c r="H584" s="132" t="s">
        <v>2968</v>
      </c>
      <c r="I584" s="132" t="s">
        <v>1242</v>
      </c>
      <c r="J584" s="132" t="s">
        <v>1844</v>
      </c>
      <c r="K584" s="132" t="s">
        <v>1242</v>
      </c>
      <c r="L584" s="132" t="s">
        <v>1242</v>
      </c>
      <c r="M584" s="138" t="str">
        <f t="shared" si="12"/>
        <v>View on Google Map</v>
      </c>
    </row>
    <row r="585" spans="1:13">
      <c r="A585" s="132">
        <v>906</v>
      </c>
      <c r="B585" s="132" t="s">
        <v>2969</v>
      </c>
      <c r="C585" s="132" t="s">
        <v>2959</v>
      </c>
      <c r="D585" s="132" t="s">
        <v>1242</v>
      </c>
      <c r="E585" s="132" t="s">
        <v>1242</v>
      </c>
      <c r="F585" s="132">
        <v>769</v>
      </c>
      <c r="G585" s="132" t="s">
        <v>1819</v>
      </c>
      <c r="H585" s="132" t="s">
        <v>2970</v>
      </c>
      <c r="I585" s="132" t="s">
        <v>1242</v>
      </c>
      <c r="J585" s="132" t="s">
        <v>1844</v>
      </c>
      <c r="K585" s="132" t="s">
        <v>1242</v>
      </c>
      <c r="L585" s="132" t="s">
        <v>1242</v>
      </c>
      <c r="M585" s="138" t="str">
        <f t="shared" si="12"/>
        <v>View on Google Map</v>
      </c>
    </row>
    <row r="586" spans="1:13">
      <c r="A586" s="132">
        <v>907</v>
      </c>
      <c r="B586" s="132" t="s">
        <v>2971</v>
      </c>
      <c r="C586" s="132" t="s">
        <v>2959</v>
      </c>
      <c r="D586" s="132" t="s">
        <v>1242</v>
      </c>
      <c r="E586" s="132" t="s">
        <v>1242</v>
      </c>
      <c r="F586" s="132">
        <v>770</v>
      </c>
      <c r="G586" s="132" t="s">
        <v>1819</v>
      </c>
      <c r="H586" s="132" t="s">
        <v>2972</v>
      </c>
      <c r="I586" s="132" t="s">
        <v>1242</v>
      </c>
      <c r="J586" s="132" t="s">
        <v>1844</v>
      </c>
      <c r="K586" s="132" t="s">
        <v>1242</v>
      </c>
      <c r="L586" s="132" t="s">
        <v>1242</v>
      </c>
      <c r="M586" s="138" t="str">
        <f t="shared" si="12"/>
        <v>View on Google Map</v>
      </c>
    </row>
    <row r="587" spans="1:13">
      <c r="A587" s="132">
        <v>908</v>
      </c>
      <c r="B587" s="132" t="s">
        <v>2973</v>
      </c>
      <c r="C587" s="132" t="s">
        <v>2959</v>
      </c>
      <c r="D587" s="132" t="s">
        <v>1242</v>
      </c>
      <c r="E587" s="132" t="s">
        <v>1242</v>
      </c>
      <c r="F587" s="132">
        <v>770</v>
      </c>
      <c r="G587" s="132" t="s">
        <v>1819</v>
      </c>
      <c r="H587" s="132" t="s">
        <v>2974</v>
      </c>
      <c r="I587" s="132" t="s">
        <v>1242</v>
      </c>
      <c r="J587" s="132" t="s">
        <v>1844</v>
      </c>
      <c r="K587" s="132" t="s">
        <v>1242</v>
      </c>
      <c r="L587" s="132" t="s">
        <v>1242</v>
      </c>
      <c r="M587" s="138" t="str">
        <f t="shared" si="12"/>
        <v>View on Google Map</v>
      </c>
    </row>
    <row r="588" spans="1:13">
      <c r="A588" s="132">
        <v>909</v>
      </c>
      <c r="B588" s="132" t="s">
        <v>2975</v>
      </c>
      <c r="C588" s="132" t="s">
        <v>2959</v>
      </c>
      <c r="D588" s="132" t="s">
        <v>1242</v>
      </c>
      <c r="E588" s="132" t="s">
        <v>1242</v>
      </c>
      <c r="F588" s="132">
        <v>764</v>
      </c>
      <c r="G588" s="132" t="s">
        <v>1819</v>
      </c>
      <c r="H588" s="132" t="s">
        <v>2976</v>
      </c>
      <c r="I588" s="132" t="s">
        <v>1242</v>
      </c>
      <c r="J588" s="132" t="s">
        <v>1844</v>
      </c>
      <c r="K588" s="132" t="s">
        <v>1242</v>
      </c>
      <c r="L588" s="132" t="s">
        <v>1242</v>
      </c>
      <c r="M588" s="138" t="str">
        <f t="shared" si="12"/>
        <v>View on Google Map</v>
      </c>
    </row>
    <row r="589" spans="1:13">
      <c r="A589" s="132">
        <v>910</v>
      </c>
      <c r="B589" s="132" t="s">
        <v>2977</v>
      </c>
      <c r="C589" s="132" t="s">
        <v>2959</v>
      </c>
      <c r="D589" s="132" t="s">
        <v>1242</v>
      </c>
      <c r="E589" s="132" t="s">
        <v>1242</v>
      </c>
      <c r="F589" s="132">
        <v>764</v>
      </c>
      <c r="G589" s="132" t="s">
        <v>1819</v>
      </c>
      <c r="H589" s="132" t="s">
        <v>2978</v>
      </c>
      <c r="I589" s="132" t="s">
        <v>1242</v>
      </c>
      <c r="J589" s="132" t="s">
        <v>1844</v>
      </c>
      <c r="K589" s="132" t="s">
        <v>1242</v>
      </c>
      <c r="L589" s="132" t="s">
        <v>1242</v>
      </c>
      <c r="M589" s="138" t="str">
        <f t="shared" si="12"/>
        <v>View on Google Map</v>
      </c>
    </row>
    <row r="590" spans="1:13">
      <c r="A590" s="132">
        <v>911</v>
      </c>
      <c r="B590" s="132" t="s">
        <v>2979</v>
      </c>
      <c r="C590" s="132" t="s">
        <v>2959</v>
      </c>
      <c r="D590" s="132" t="s">
        <v>1242</v>
      </c>
      <c r="E590" s="132" t="s">
        <v>1242</v>
      </c>
      <c r="F590" s="132">
        <v>760</v>
      </c>
      <c r="G590" s="132" t="s">
        <v>1819</v>
      </c>
      <c r="H590" s="132" t="s">
        <v>2980</v>
      </c>
      <c r="I590" s="132" t="s">
        <v>1242</v>
      </c>
      <c r="J590" s="132" t="s">
        <v>1844</v>
      </c>
      <c r="K590" s="132" t="s">
        <v>1242</v>
      </c>
      <c r="L590" s="132" t="s">
        <v>1242</v>
      </c>
      <c r="M590" s="138" t="str">
        <f t="shared" si="12"/>
        <v>View on Google Map</v>
      </c>
    </row>
    <row r="591" spans="1:13">
      <c r="A591" s="132">
        <v>912</v>
      </c>
      <c r="B591" s="132" t="s">
        <v>2981</v>
      </c>
      <c r="C591" s="132" t="s">
        <v>2959</v>
      </c>
      <c r="D591" s="132" t="s">
        <v>1242</v>
      </c>
      <c r="E591" s="132" t="s">
        <v>1242</v>
      </c>
      <c r="F591" s="132">
        <v>760</v>
      </c>
      <c r="G591" s="132" t="s">
        <v>1819</v>
      </c>
      <c r="H591" s="132" t="s">
        <v>2982</v>
      </c>
      <c r="I591" s="132" t="s">
        <v>1242</v>
      </c>
      <c r="J591" s="132" t="s">
        <v>1844</v>
      </c>
      <c r="K591" s="132" t="s">
        <v>1242</v>
      </c>
      <c r="L591" s="132" t="s">
        <v>1242</v>
      </c>
      <c r="M591" s="138" t="str">
        <f t="shared" si="12"/>
        <v>View on Google Map</v>
      </c>
    </row>
    <row r="592" spans="1:13">
      <c r="A592" s="132">
        <v>913</v>
      </c>
      <c r="B592" s="132" t="s">
        <v>2983</v>
      </c>
      <c r="C592" s="132" t="s">
        <v>2959</v>
      </c>
      <c r="D592" s="132" t="s">
        <v>1242</v>
      </c>
      <c r="E592" s="132" t="s">
        <v>1242</v>
      </c>
      <c r="F592" s="132">
        <v>759</v>
      </c>
      <c r="G592" s="132" t="s">
        <v>1819</v>
      </c>
      <c r="H592" s="132" t="s">
        <v>2984</v>
      </c>
      <c r="I592" s="132" t="s">
        <v>1242</v>
      </c>
      <c r="J592" s="132" t="s">
        <v>1844</v>
      </c>
      <c r="K592" s="132" t="s">
        <v>1242</v>
      </c>
      <c r="L592" s="132" t="s">
        <v>1242</v>
      </c>
      <c r="M592" s="138" t="str">
        <f t="shared" si="12"/>
        <v>View on Google Map</v>
      </c>
    </row>
    <row r="593" spans="1:13">
      <c r="A593" s="132">
        <v>914</v>
      </c>
      <c r="B593" s="132" t="s">
        <v>2985</v>
      </c>
      <c r="C593" s="132" t="s">
        <v>2959</v>
      </c>
      <c r="D593" s="132" t="s">
        <v>1242</v>
      </c>
      <c r="E593" s="132" t="s">
        <v>1242</v>
      </c>
      <c r="F593" s="132">
        <v>758</v>
      </c>
      <c r="G593" s="132" t="s">
        <v>1819</v>
      </c>
      <c r="H593" s="132" t="s">
        <v>2986</v>
      </c>
      <c r="I593" s="132" t="s">
        <v>1242</v>
      </c>
      <c r="J593" s="132" t="s">
        <v>1844</v>
      </c>
      <c r="K593" s="132" t="s">
        <v>1242</v>
      </c>
      <c r="L593" s="132" t="s">
        <v>1242</v>
      </c>
      <c r="M593" s="138" t="str">
        <f t="shared" si="12"/>
        <v>View on Google Map</v>
      </c>
    </row>
    <row r="594" spans="1:13">
      <c r="A594" s="132">
        <v>915</v>
      </c>
      <c r="B594" s="132" t="s">
        <v>2987</v>
      </c>
      <c r="C594" s="132" t="s">
        <v>2988</v>
      </c>
      <c r="D594" s="132">
        <v>68.627900999999994</v>
      </c>
      <c r="E594" s="132">
        <v>-149.61295100000001</v>
      </c>
      <c r="F594" s="132">
        <v>759</v>
      </c>
      <c r="G594" s="132" t="s">
        <v>1819</v>
      </c>
      <c r="H594" s="132" t="s">
        <v>2989</v>
      </c>
      <c r="I594" s="132" t="s">
        <v>2990</v>
      </c>
      <c r="J594" s="132" t="s">
        <v>1844</v>
      </c>
      <c r="K594" s="132" t="s">
        <v>1242</v>
      </c>
      <c r="L594" s="132" t="s">
        <v>1242</v>
      </c>
      <c r="M594" s="138" t="str">
        <f t="shared" si="12"/>
        <v>View on Google Map</v>
      </c>
    </row>
    <row r="595" spans="1:13">
      <c r="A595" s="132">
        <v>900</v>
      </c>
      <c r="B595" s="132" t="s">
        <v>2991</v>
      </c>
      <c r="C595" s="132" t="s">
        <v>1242</v>
      </c>
      <c r="D595" s="132">
        <v>68.623487999999995</v>
      </c>
      <c r="E595" s="132">
        <v>-149.616559</v>
      </c>
      <c r="F595" s="132">
        <v>761</v>
      </c>
      <c r="G595" s="132" t="s">
        <v>1819</v>
      </c>
      <c r="H595" s="132" t="s">
        <v>2992</v>
      </c>
      <c r="I595" s="132" t="s">
        <v>2993</v>
      </c>
      <c r="J595" s="132" t="s">
        <v>1844</v>
      </c>
      <c r="K595" s="132" t="s">
        <v>1242</v>
      </c>
      <c r="L595" s="132" t="s">
        <v>1242</v>
      </c>
      <c r="M595" s="138" t="str">
        <f t="shared" si="12"/>
        <v>View on Google Map</v>
      </c>
    </row>
    <row r="596" spans="1:13">
      <c r="B596" s="132" t="s">
        <v>2994</v>
      </c>
      <c r="C596" s="132" t="s">
        <v>2430</v>
      </c>
      <c r="D596" s="132">
        <v>68.549263888888888</v>
      </c>
      <c r="E596" s="132">
        <v>-149.306022222222</v>
      </c>
      <c r="G596" s="132" t="s">
        <v>2355</v>
      </c>
      <c r="J596" s="45" t="s">
        <v>1844</v>
      </c>
      <c r="M596" s="138" t="str">
        <f t="shared" si="12"/>
        <v>View on Google Map</v>
      </c>
    </row>
    <row r="597" spans="1:13">
      <c r="B597" s="132" t="s">
        <v>2995</v>
      </c>
      <c r="C597" s="132" t="s">
        <v>2430</v>
      </c>
      <c r="D597" s="132">
        <v>68.550188888888883</v>
      </c>
      <c r="E597" s="132">
        <v>-149.310305555556</v>
      </c>
      <c r="G597" s="132" t="s">
        <v>2355</v>
      </c>
      <c r="J597" s="45" t="s">
        <v>1844</v>
      </c>
      <c r="M597" s="138" t="str">
        <f t="shared" si="12"/>
        <v>View on Google Map</v>
      </c>
    </row>
    <row r="598" spans="1:13">
      <c r="B598" s="132" t="s">
        <v>2996</v>
      </c>
      <c r="C598" s="132" t="s">
        <v>2430</v>
      </c>
      <c r="D598" s="132">
        <v>68.549108333333336</v>
      </c>
      <c r="E598" s="132">
        <v>-149.30837777777799</v>
      </c>
      <c r="G598" s="132" t="s">
        <v>2355</v>
      </c>
      <c r="J598" s="45" t="s">
        <v>1844</v>
      </c>
      <c r="M598" s="138" t="str">
        <f t="shared" si="12"/>
        <v>View on Google Map</v>
      </c>
    </row>
    <row r="599" spans="1:13">
      <c r="A599" s="132">
        <v>42</v>
      </c>
      <c r="B599" s="132" t="s">
        <v>2997</v>
      </c>
      <c r="C599" s="132" t="s">
        <v>1242</v>
      </c>
      <c r="D599" s="132">
        <v>68.960555999999997</v>
      </c>
      <c r="E599" s="132">
        <v>-150.63055600000001</v>
      </c>
      <c r="F599" s="132" t="s">
        <v>1242</v>
      </c>
      <c r="G599" s="132" t="s">
        <v>1843</v>
      </c>
      <c r="H599" s="132" t="s">
        <v>2998</v>
      </c>
      <c r="I599" s="132" t="s">
        <v>1242</v>
      </c>
      <c r="J599" s="132" t="s">
        <v>2829</v>
      </c>
      <c r="K599" s="132" t="s">
        <v>1242</v>
      </c>
      <c r="L599" s="132" t="s">
        <v>1826</v>
      </c>
      <c r="M599" s="138" t="str">
        <f t="shared" si="12"/>
        <v>View on Google Map</v>
      </c>
    </row>
    <row r="600" spans="1:13">
      <c r="A600" s="132">
        <v>43</v>
      </c>
      <c r="B600" s="132" t="s">
        <v>2999</v>
      </c>
      <c r="C600" s="132" t="s">
        <v>1242</v>
      </c>
      <c r="D600" s="132">
        <v>68.935101000000003</v>
      </c>
      <c r="E600" s="132">
        <v>-150.68391700000001</v>
      </c>
      <c r="F600" s="132" t="s">
        <v>1242</v>
      </c>
      <c r="G600" s="132" t="s">
        <v>1843</v>
      </c>
      <c r="H600" s="132" t="s">
        <v>3000</v>
      </c>
      <c r="I600" s="132" t="s">
        <v>1242</v>
      </c>
      <c r="J600" s="132" t="s">
        <v>2829</v>
      </c>
      <c r="K600" s="132" t="s">
        <v>1242</v>
      </c>
      <c r="L600" s="132" t="s">
        <v>1826</v>
      </c>
      <c r="M600" s="138" t="str">
        <f t="shared" si="12"/>
        <v>View on Google Map</v>
      </c>
    </row>
    <row r="601" spans="1:13">
      <c r="A601" s="132">
        <v>44</v>
      </c>
      <c r="B601" s="132" t="s">
        <v>3001</v>
      </c>
      <c r="C601" s="132" t="s">
        <v>1242</v>
      </c>
      <c r="D601" s="132">
        <v>68.916987000000006</v>
      </c>
      <c r="E601" s="132">
        <v>-150.659291</v>
      </c>
      <c r="F601" s="132" t="s">
        <v>1242</v>
      </c>
      <c r="G601" s="132" t="s">
        <v>1843</v>
      </c>
      <c r="H601" s="132" t="s">
        <v>3002</v>
      </c>
      <c r="I601" s="132" t="s">
        <v>1242</v>
      </c>
      <c r="J601" s="132" t="s">
        <v>2829</v>
      </c>
      <c r="K601" s="132" t="s">
        <v>1242</v>
      </c>
      <c r="L601" s="132" t="s">
        <v>1826</v>
      </c>
      <c r="M601" s="138" t="str">
        <f t="shared" si="12"/>
        <v>View on Google Map</v>
      </c>
    </row>
    <row r="602" spans="1:13">
      <c r="B602" s="132" t="s">
        <v>3003</v>
      </c>
      <c r="C602" s="132" t="s">
        <v>2831</v>
      </c>
      <c r="D602" s="132">
        <v>69.132777777777775</v>
      </c>
      <c r="E602" s="132">
        <v>-150.710833333333</v>
      </c>
      <c r="G602" s="132" t="s">
        <v>1837</v>
      </c>
      <c r="J602" s="132" t="s">
        <v>1825</v>
      </c>
      <c r="L602" s="132" t="s">
        <v>1826</v>
      </c>
      <c r="M602" s="138" t="str">
        <f t="shared" si="12"/>
        <v>View on Google Map</v>
      </c>
    </row>
    <row r="603" spans="1:13">
      <c r="B603" s="132" t="s">
        <v>3004</v>
      </c>
      <c r="C603" s="132" t="s">
        <v>2215</v>
      </c>
      <c r="D603" s="132">
        <v>69.13944444444445</v>
      </c>
      <c r="E603" s="132">
        <v>-150.68388888888899</v>
      </c>
      <c r="G603" s="132" t="s">
        <v>1837</v>
      </c>
      <c r="J603" s="132" t="s">
        <v>1825</v>
      </c>
      <c r="L603" s="132" t="s">
        <v>1826</v>
      </c>
      <c r="M603" s="138" t="str">
        <f t="shared" si="12"/>
        <v>View on Google Map</v>
      </c>
    </row>
    <row r="604" spans="1:13">
      <c r="B604" s="132" t="s">
        <v>3005</v>
      </c>
      <c r="C604" s="132" t="s">
        <v>2831</v>
      </c>
      <c r="D604" s="132">
        <v>68.960833333333341</v>
      </c>
      <c r="E604" s="132">
        <v>-150.719722222222</v>
      </c>
      <c r="G604" s="132" t="s">
        <v>1837</v>
      </c>
      <c r="J604" s="132" t="s">
        <v>1825</v>
      </c>
      <c r="L604" s="132" t="s">
        <v>1826</v>
      </c>
      <c r="M604" s="138" t="str">
        <f t="shared" si="12"/>
        <v>View on Google Map</v>
      </c>
    </row>
    <row r="605" spans="1:13">
      <c r="B605" s="132" t="s">
        <v>3006</v>
      </c>
      <c r="C605" s="132" t="s">
        <v>2215</v>
      </c>
      <c r="D605" s="132">
        <v>69.055277777777775</v>
      </c>
      <c r="E605" s="132">
        <v>-150.80972222222201</v>
      </c>
      <c r="G605" s="132" t="s">
        <v>1837</v>
      </c>
      <c r="J605" s="132" t="s">
        <v>1825</v>
      </c>
      <c r="L605" s="132" t="s">
        <v>1826</v>
      </c>
      <c r="M605" s="138" t="str">
        <f t="shared" si="12"/>
        <v>View on Google Map</v>
      </c>
    </row>
    <row r="606" spans="1:13">
      <c r="A606" s="132">
        <v>932</v>
      </c>
      <c r="B606" s="132" t="s">
        <v>3007</v>
      </c>
      <c r="C606" s="132" t="s">
        <v>1242</v>
      </c>
      <c r="D606" s="132" t="s">
        <v>1242</v>
      </c>
      <c r="E606" s="132" t="s">
        <v>1242</v>
      </c>
      <c r="F606" s="132">
        <v>750</v>
      </c>
      <c r="G606" s="132" t="s">
        <v>1819</v>
      </c>
      <c r="H606" s="132" t="s">
        <v>3008</v>
      </c>
      <c r="I606" s="132" t="s">
        <v>3009</v>
      </c>
      <c r="J606" s="132" t="s">
        <v>1844</v>
      </c>
      <c r="K606" s="132" t="s">
        <v>1242</v>
      </c>
      <c r="L606" s="132" t="s">
        <v>1242</v>
      </c>
      <c r="M606" s="138" t="str">
        <f t="shared" si="12"/>
        <v>View on Google Map</v>
      </c>
    </row>
    <row r="607" spans="1:13">
      <c r="A607" s="132">
        <v>920</v>
      </c>
      <c r="B607" s="132" t="s">
        <v>3010</v>
      </c>
      <c r="C607" s="132" t="s">
        <v>1242</v>
      </c>
      <c r="D607" s="132" t="s">
        <v>1242</v>
      </c>
      <c r="E607" s="132" t="s">
        <v>1242</v>
      </c>
      <c r="F607" s="132">
        <v>760</v>
      </c>
      <c r="G607" s="132" t="s">
        <v>1819</v>
      </c>
      <c r="H607" s="132" t="s">
        <v>3011</v>
      </c>
      <c r="I607" s="132" t="s">
        <v>3012</v>
      </c>
      <c r="J607" s="132" t="s">
        <v>1844</v>
      </c>
      <c r="K607" s="132" t="s">
        <v>1242</v>
      </c>
      <c r="L607" s="132" t="s">
        <v>1242</v>
      </c>
      <c r="M607" s="138" t="str">
        <f t="shared" si="12"/>
        <v>View on Google Map</v>
      </c>
    </row>
    <row r="608" spans="1:13">
      <c r="A608" s="132">
        <v>921</v>
      </c>
      <c r="B608" s="132" t="s">
        <v>3013</v>
      </c>
      <c r="C608" s="132" t="s">
        <v>1242</v>
      </c>
      <c r="D608" s="132" t="s">
        <v>1242</v>
      </c>
      <c r="E608" s="132" t="s">
        <v>1242</v>
      </c>
      <c r="F608" s="132">
        <v>720</v>
      </c>
      <c r="G608" s="132" t="s">
        <v>1819</v>
      </c>
      <c r="H608" s="132" t="s">
        <v>3014</v>
      </c>
      <c r="I608" s="132" t="s">
        <v>3015</v>
      </c>
      <c r="J608" s="132" t="s">
        <v>1844</v>
      </c>
      <c r="K608" s="132" t="s">
        <v>1242</v>
      </c>
      <c r="L608" s="132" t="s">
        <v>1242</v>
      </c>
      <c r="M608" s="138" t="str">
        <f t="shared" si="12"/>
        <v>View on Google Map</v>
      </c>
    </row>
    <row r="609" spans="1:13">
      <c r="A609" s="132">
        <v>922</v>
      </c>
      <c r="B609" s="132" t="s">
        <v>3016</v>
      </c>
      <c r="C609" s="132" t="s">
        <v>1242</v>
      </c>
      <c r="D609" s="132" t="s">
        <v>1242</v>
      </c>
      <c r="E609" s="132" t="s">
        <v>1242</v>
      </c>
      <c r="F609" s="132">
        <v>750</v>
      </c>
      <c r="G609" s="132" t="s">
        <v>1819</v>
      </c>
      <c r="H609" s="132" t="s">
        <v>3017</v>
      </c>
      <c r="I609" s="132" t="s">
        <v>3018</v>
      </c>
      <c r="J609" s="132" t="s">
        <v>1844</v>
      </c>
      <c r="K609" s="132" t="s">
        <v>1242</v>
      </c>
      <c r="L609" s="132" t="s">
        <v>1242</v>
      </c>
      <c r="M609" s="138" t="str">
        <f t="shared" si="12"/>
        <v>View on Google Map</v>
      </c>
    </row>
    <row r="610" spans="1:13">
      <c r="A610" s="132">
        <v>923</v>
      </c>
      <c r="B610" s="132" t="s">
        <v>3019</v>
      </c>
      <c r="C610" s="132" t="s">
        <v>1242</v>
      </c>
      <c r="D610" s="132" t="s">
        <v>1242</v>
      </c>
      <c r="E610" s="132" t="s">
        <v>1242</v>
      </c>
      <c r="F610" s="132">
        <v>750</v>
      </c>
      <c r="G610" s="132" t="s">
        <v>1819</v>
      </c>
      <c r="H610" s="132" t="s">
        <v>3020</v>
      </c>
      <c r="I610" s="132" t="s">
        <v>3021</v>
      </c>
      <c r="J610" s="132" t="s">
        <v>1844</v>
      </c>
      <c r="K610" s="132" t="s">
        <v>1242</v>
      </c>
      <c r="L610" s="132" t="s">
        <v>1242</v>
      </c>
      <c r="M610" s="138" t="str">
        <f t="shared" si="12"/>
        <v>View on Google Map</v>
      </c>
    </row>
    <row r="611" spans="1:13">
      <c r="A611" s="132">
        <v>924</v>
      </c>
      <c r="B611" s="132" t="s">
        <v>3022</v>
      </c>
      <c r="C611" s="132" t="s">
        <v>1242</v>
      </c>
      <c r="D611" s="132" t="s">
        <v>1242</v>
      </c>
      <c r="E611" s="132" t="s">
        <v>1242</v>
      </c>
      <c r="F611" s="132">
        <v>750</v>
      </c>
      <c r="G611" s="132" t="s">
        <v>1819</v>
      </c>
      <c r="H611" s="132" t="s">
        <v>3023</v>
      </c>
      <c r="I611" s="132" t="s">
        <v>3024</v>
      </c>
      <c r="J611" s="132" t="s">
        <v>1844</v>
      </c>
      <c r="K611" s="132" t="s">
        <v>1242</v>
      </c>
      <c r="L611" s="132" t="s">
        <v>1242</v>
      </c>
      <c r="M611" s="138" t="str">
        <f t="shared" si="12"/>
        <v>View on Google Map</v>
      </c>
    </row>
    <row r="612" spans="1:13">
      <c r="A612" s="132">
        <v>925</v>
      </c>
      <c r="B612" s="132" t="s">
        <v>3025</v>
      </c>
      <c r="C612" s="132" t="s">
        <v>1242</v>
      </c>
      <c r="D612" s="132" t="s">
        <v>1242</v>
      </c>
      <c r="E612" s="132" t="s">
        <v>1242</v>
      </c>
      <c r="F612" s="132">
        <v>750</v>
      </c>
      <c r="G612" s="132" t="s">
        <v>1819</v>
      </c>
      <c r="H612" s="132" t="s">
        <v>3026</v>
      </c>
      <c r="I612" s="132" t="s">
        <v>3027</v>
      </c>
      <c r="J612" s="132" t="s">
        <v>1844</v>
      </c>
      <c r="K612" s="132" t="s">
        <v>1242</v>
      </c>
      <c r="L612" s="132" t="s">
        <v>1242</v>
      </c>
      <c r="M612" s="138" t="str">
        <f t="shared" si="12"/>
        <v>View on Google Map</v>
      </c>
    </row>
    <row r="613" spans="1:13">
      <c r="A613" s="132">
        <v>926</v>
      </c>
      <c r="B613" s="132" t="s">
        <v>3028</v>
      </c>
      <c r="C613" s="132" t="s">
        <v>1242</v>
      </c>
      <c r="D613" s="132" t="s">
        <v>1242</v>
      </c>
      <c r="E613" s="132" t="s">
        <v>1242</v>
      </c>
      <c r="F613" s="132">
        <v>750</v>
      </c>
      <c r="G613" s="132" t="s">
        <v>1819</v>
      </c>
      <c r="H613" s="132" t="s">
        <v>3029</v>
      </c>
      <c r="I613" s="132" t="s">
        <v>3030</v>
      </c>
      <c r="J613" s="132" t="s">
        <v>1844</v>
      </c>
      <c r="K613" s="132" t="s">
        <v>1242</v>
      </c>
      <c r="L613" s="132" t="s">
        <v>1242</v>
      </c>
      <c r="M613" s="138" t="str">
        <f t="shared" si="12"/>
        <v>View on Google Map</v>
      </c>
    </row>
    <row r="614" spans="1:13">
      <c r="A614" s="132">
        <v>927</v>
      </c>
      <c r="B614" s="132" t="s">
        <v>3031</v>
      </c>
      <c r="C614" s="132" t="s">
        <v>1242</v>
      </c>
      <c r="D614" s="132" t="s">
        <v>1242</v>
      </c>
      <c r="E614" s="132" t="s">
        <v>1242</v>
      </c>
      <c r="F614" s="132">
        <v>750</v>
      </c>
      <c r="G614" s="132" t="s">
        <v>1819</v>
      </c>
      <c r="H614" s="132" t="s">
        <v>3032</v>
      </c>
      <c r="I614" s="132" t="s">
        <v>3033</v>
      </c>
      <c r="J614" s="132" t="s">
        <v>1844</v>
      </c>
      <c r="K614" s="132" t="s">
        <v>1242</v>
      </c>
      <c r="L614" s="132" t="s">
        <v>1242</v>
      </c>
      <c r="M614" s="138" t="str">
        <f t="shared" si="12"/>
        <v>View on Google Map</v>
      </c>
    </row>
    <row r="615" spans="1:13">
      <c r="A615" s="132">
        <v>928</v>
      </c>
      <c r="B615" s="132" t="s">
        <v>3034</v>
      </c>
      <c r="C615" s="132" t="s">
        <v>1242</v>
      </c>
      <c r="D615" s="132" t="s">
        <v>1242</v>
      </c>
      <c r="E615" s="132" t="s">
        <v>1242</v>
      </c>
      <c r="F615" s="132">
        <v>750</v>
      </c>
      <c r="G615" s="132" t="s">
        <v>1819</v>
      </c>
      <c r="H615" s="132" t="s">
        <v>3035</v>
      </c>
      <c r="I615" s="132" t="s">
        <v>3036</v>
      </c>
      <c r="J615" s="132" t="s">
        <v>1844</v>
      </c>
      <c r="K615" s="132" t="s">
        <v>1242</v>
      </c>
      <c r="L615" s="132" t="s">
        <v>1242</v>
      </c>
      <c r="M615" s="138" t="str">
        <f t="shared" si="12"/>
        <v>View on Google Map</v>
      </c>
    </row>
    <row r="616" spans="1:13">
      <c r="A616" s="132">
        <v>929</v>
      </c>
      <c r="B616" s="132" t="s">
        <v>3037</v>
      </c>
      <c r="C616" s="132" t="s">
        <v>1242</v>
      </c>
      <c r="D616" s="132" t="s">
        <v>1242</v>
      </c>
      <c r="E616" s="132" t="s">
        <v>1242</v>
      </c>
      <c r="F616" s="132">
        <v>750</v>
      </c>
      <c r="G616" s="132" t="s">
        <v>1819</v>
      </c>
      <c r="H616" s="132" t="s">
        <v>3038</v>
      </c>
      <c r="I616" s="132" t="s">
        <v>3039</v>
      </c>
      <c r="J616" s="132" t="s">
        <v>1844</v>
      </c>
      <c r="K616" s="132" t="s">
        <v>1242</v>
      </c>
      <c r="L616" s="132" t="s">
        <v>1242</v>
      </c>
      <c r="M616" s="138" t="str">
        <f t="shared" si="12"/>
        <v>View on Google Map</v>
      </c>
    </row>
    <row r="617" spans="1:13">
      <c r="A617" s="132">
        <v>930</v>
      </c>
      <c r="B617" s="132" t="s">
        <v>3040</v>
      </c>
      <c r="C617" s="132" t="s">
        <v>1242</v>
      </c>
      <c r="D617" s="132" t="s">
        <v>1242</v>
      </c>
      <c r="E617" s="132" t="s">
        <v>1242</v>
      </c>
      <c r="F617" s="132">
        <v>750</v>
      </c>
      <c r="G617" s="132" t="s">
        <v>1819</v>
      </c>
      <c r="H617" s="132" t="s">
        <v>3041</v>
      </c>
      <c r="I617" s="132" t="s">
        <v>3042</v>
      </c>
      <c r="J617" s="132" t="s">
        <v>1844</v>
      </c>
      <c r="K617" s="132" t="s">
        <v>1242</v>
      </c>
      <c r="L617" s="132" t="s">
        <v>1242</v>
      </c>
      <c r="M617" s="138" t="str">
        <f t="shared" si="12"/>
        <v>View on Google Map</v>
      </c>
    </row>
    <row r="618" spans="1:13">
      <c r="A618" s="132">
        <v>931</v>
      </c>
      <c r="B618" s="132" t="s">
        <v>3043</v>
      </c>
      <c r="C618" s="132" t="s">
        <v>1242</v>
      </c>
      <c r="D618" s="132" t="s">
        <v>1242</v>
      </c>
      <c r="E618" s="132" t="s">
        <v>1242</v>
      </c>
      <c r="F618" s="132">
        <v>750</v>
      </c>
      <c r="G618" s="132" t="s">
        <v>1819</v>
      </c>
      <c r="H618" s="132" t="s">
        <v>3044</v>
      </c>
      <c r="I618" s="132" t="s">
        <v>3045</v>
      </c>
      <c r="J618" s="132" t="s">
        <v>1844</v>
      </c>
      <c r="K618" s="132" t="s">
        <v>1242</v>
      </c>
      <c r="L618" s="132" t="s">
        <v>1242</v>
      </c>
      <c r="M618" s="138" t="str">
        <f t="shared" si="12"/>
        <v>View on Google Map</v>
      </c>
    </row>
    <row r="619" spans="1:13">
      <c r="A619" s="132">
        <v>370</v>
      </c>
      <c r="B619" s="132" t="s">
        <v>3046</v>
      </c>
      <c r="C619" s="132" t="s">
        <v>1242</v>
      </c>
      <c r="D619" s="132" t="s">
        <v>1242</v>
      </c>
      <c r="E619" s="132" t="s">
        <v>1242</v>
      </c>
      <c r="F619" s="132" t="s">
        <v>1242</v>
      </c>
      <c r="G619" s="132" t="s">
        <v>1829</v>
      </c>
      <c r="H619" s="132" t="s">
        <v>1242</v>
      </c>
      <c r="I619" s="132" t="s">
        <v>1242</v>
      </c>
      <c r="J619" s="132" t="s">
        <v>1844</v>
      </c>
      <c r="K619" s="132" t="s">
        <v>1242</v>
      </c>
      <c r="L619" s="132" t="s">
        <v>3047</v>
      </c>
      <c r="M619" s="138" t="str">
        <f t="shared" si="12"/>
        <v>View on Google Map</v>
      </c>
    </row>
    <row r="620" spans="1:13">
      <c r="A620" s="132">
        <v>371</v>
      </c>
      <c r="B620" s="132" t="s">
        <v>3048</v>
      </c>
      <c r="C620" s="132" t="s">
        <v>1242</v>
      </c>
      <c r="D620" s="132" t="s">
        <v>1242</v>
      </c>
      <c r="E620" s="132" t="s">
        <v>1242</v>
      </c>
      <c r="F620" s="132" t="s">
        <v>1242</v>
      </c>
      <c r="G620" s="132" t="s">
        <v>1829</v>
      </c>
      <c r="H620" s="132" t="s">
        <v>1242</v>
      </c>
      <c r="I620" s="132" t="s">
        <v>1242</v>
      </c>
      <c r="J620" s="132" t="s">
        <v>1844</v>
      </c>
      <c r="K620" s="132" t="s">
        <v>1242</v>
      </c>
      <c r="L620" s="132" t="s">
        <v>3047</v>
      </c>
      <c r="M620" s="138" t="str">
        <f t="shared" si="12"/>
        <v>View on Google Map</v>
      </c>
    </row>
    <row r="621" spans="1:13">
      <c r="A621" s="132">
        <v>372</v>
      </c>
      <c r="B621" s="132" t="s">
        <v>3049</v>
      </c>
      <c r="C621" s="132" t="s">
        <v>1242</v>
      </c>
      <c r="D621" s="132" t="s">
        <v>1242</v>
      </c>
      <c r="E621" s="132" t="s">
        <v>1242</v>
      </c>
      <c r="F621" s="132" t="s">
        <v>1242</v>
      </c>
      <c r="G621" s="132" t="s">
        <v>1829</v>
      </c>
      <c r="H621" s="132" t="s">
        <v>1242</v>
      </c>
      <c r="I621" s="132" t="s">
        <v>1242</v>
      </c>
      <c r="J621" s="132" t="s">
        <v>1844</v>
      </c>
      <c r="K621" s="132" t="s">
        <v>1242</v>
      </c>
      <c r="L621" s="132" t="s">
        <v>3047</v>
      </c>
      <c r="M621" s="138" t="str">
        <f t="shared" si="12"/>
        <v>View on Google Map</v>
      </c>
    </row>
    <row r="622" spans="1:13">
      <c r="A622" s="132">
        <v>373</v>
      </c>
      <c r="B622" s="132" t="s">
        <v>3050</v>
      </c>
      <c r="C622" s="132" t="s">
        <v>1242</v>
      </c>
      <c r="D622" s="132" t="s">
        <v>1242</v>
      </c>
      <c r="E622" s="132" t="s">
        <v>1242</v>
      </c>
      <c r="F622" s="132" t="s">
        <v>1242</v>
      </c>
      <c r="G622" s="132" t="s">
        <v>1829</v>
      </c>
      <c r="H622" s="132" t="s">
        <v>1242</v>
      </c>
      <c r="I622" s="132" t="s">
        <v>1242</v>
      </c>
      <c r="J622" s="132" t="s">
        <v>1844</v>
      </c>
      <c r="K622" s="132" t="s">
        <v>1242</v>
      </c>
      <c r="L622" s="132" t="s">
        <v>3047</v>
      </c>
      <c r="M622" s="138" t="str">
        <f t="shared" si="12"/>
        <v>View on Google Map</v>
      </c>
    </row>
    <row r="623" spans="1:13">
      <c r="A623" s="132">
        <v>374</v>
      </c>
      <c r="B623" s="132" t="s">
        <v>3051</v>
      </c>
      <c r="C623" s="132" t="s">
        <v>1242</v>
      </c>
      <c r="D623" s="132" t="s">
        <v>1242</v>
      </c>
      <c r="E623" s="132" t="s">
        <v>1242</v>
      </c>
      <c r="F623" s="132" t="s">
        <v>1242</v>
      </c>
      <c r="G623" s="132" t="s">
        <v>1829</v>
      </c>
      <c r="H623" s="132" t="s">
        <v>1242</v>
      </c>
      <c r="I623" s="132" t="s">
        <v>1242</v>
      </c>
      <c r="J623" s="132" t="s">
        <v>1844</v>
      </c>
      <c r="K623" s="132" t="s">
        <v>1242</v>
      </c>
      <c r="L623" s="132" t="s">
        <v>3047</v>
      </c>
      <c r="M623" s="138" t="str">
        <f t="shared" si="12"/>
        <v>View on Google Map</v>
      </c>
    </row>
    <row r="624" spans="1:13">
      <c r="A624" s="132">
        <v>375</v>
      </c>
      <c r="B624" s="132" t="s">
        <v>3052</v>
      </c>
      <c r="C624" s="132" t="s">
        <v>1242</v>
      </c>
      <c r="D624" s="132" t="s">
        <v>1242</v>
      </c>
      <c r="E624" s="132" t="s">
        <v>1242</v>
      </c>
      <c r="F624" s="132" t="s">
        <v>1242</v>
      </c>
      <c r="G624" s="132" t="s">
        <v>1829</v>
      </c>
      <c r="H624" s="132" t="s">
        <v>1242</v>
      </c>
      <c r="I624" s="132" t="s">
        <v>1242</v>
      </c>
      <c r="J624" s="132" t="s">
        <v>1844</v>
      </c>
      <c r="K624" s="132" t="s">
        <v>1242</v>
      </c>
      <c r="L624" s="132" t="s">
        <v>3047</v>
      </c>
      <c r="M624" s="138" t="str">
        <f t="shared" si="12"/>
        <v>View on Google Map</v>
      </c>
    </row>
    <row r="625" spans="1:13">
      <c r="A625" s="132">
        <v>376</v>
      </c>
      <c r="B625" s="132" t="s">
        <v>3053</v>
      </c>
      <c r="C625" s="132" t="s">
        <v>1242</v>
      </c>
      <c r="D625" s="132" t="s">
        <v>1242</v>
      </c>
      <c r="E625" s="132" t="s">
        <v>1242</v>
      </c>
      <c r="F625" s="132" t="s">
        <v>1242</v>
      </c>
      <c r="G625" s="132" t="s">
        <v>1829</v>
      </c>
      <c r="H625" s="132" t="s">
        <v>1242</v>
      </c>
      <c r="I625" s="132" t="s">
        <v>1242</v>
      </c>
      <c r="J625" s="132" t="s">
        <v>1844</v>
      </c>
      <c r="K625" s="132" t="s">
        <v>1242</v>
      </c>
      <c r="L625" s="132" t="s">
        <v>3047</v>
      </c>
      <c r="M625" s="138" t="str">
        <f t="shared" si="12"/>
        <v>View on Google Map</v>
      </c>
    </row>
    <row r="626" spans="1:13">
      <c r="A626" s="132">
        <v>377</v>
      </c>
      <c r="B626" s="132" t="s">
        <v>3054</v>
      </c>
      <c r="C626" s="132" t="s">
        <v>1242</v>
      </c>
      <c r="D626" s="132" t="s">
        <v>1242</v>
      </c>
      <c r="E626" s="132" t="s">
        <v>1242</v>
      </c>
      <c r="F626" s="132" t="s">
        <v>1242</v>
      </c>
      <c r="G626" s="132" t="s">
        <v>1829</v>
      </c>
      <c r="H626" s="132" t="s">
        <v>1242</v>
      </c>
      <c r="I626" s="132" t="s">
        <v>1242</v>
      </c>
      <c r="J626" s="132" t="s">
        <v>1844</v>
      </c>
      <c r="K626" s="132" t="s">
        <v>1242</v>
      </c>
      <c r="L626" s="132" t="s">
        <v>3047</v>
      </c>
      <c r="M626" s="138" t="str">
        <f t="shared" si="12"/>
        <v>View on Google Map</v>
      </c>
    </row>
    <row r="627" spans="1:13">
      <c r="A627" s="132">
        <v>378</v>
      </c>
      <c r="B627" s="132" t="s">
        <v>3055</v>
      </c>
      <c r="C627" s="132" t="s">
        <v>1242</v>
      </c>
      <c r="D627" s="132" t="s">
        <v>1242</v>
      </c>
      <c r="E627" s="132" t="s">
        <v>1242</v>
      </c>
      <c r="F627" s="132" t="s">
        <v>1242</v>
      </c>
      <c r="G627" s="132" t="s">
        <v>1829</v>
      </c>
      <c r="H627" s="132" t="s">
        <v>1242</v>
      </c>
      <c r="I627" s="132" t="s">
        <v>1242</v>
      </c>
      <c r="J627" s="132" t="s">
        <v>1844</v>
      </c>
      <c r="K627" s="132" t="s">
        <v>1242</v>
      </c>
      <c r="L627" s="132" t="s">
        <v>3047</v>
      </c>
      <c r="M627" s="138" t="str">
        <f t="shared" si="12"/>
        <v>View on Google Map</v>
      </c>
    </row>
    <row r="628" spans="1:13">
      <c r="A628" s="132">
        <v>379</v>
      </c>
      <c r="B628" s="132" t="s">
        <v>3056</v>
      </c>
      <c r="C628" s="132" t="s">
        <v>1242</v>
      </c>
      <c r="D628" s="132" t="s">
        <v>1242</v>
      </c>
      <c r="E628" s="132" t="s">
        <v>1242</v>
      </c>
      <c r="F628" s="132" t="s">
        <v>1242</v>
      </c>
      <c r="G628" s="132" t="s">
        <v>1829</v>
      </c>
      <c r="H628" s="132" t="s">
        <v>1242</v>
      </c>
      <c r="I628" s="132" t="s">
        <v>1242</v>
      </c>
      <c r="J628" s="132" t="s">
        <v>1844</v>
      </c>
      <c r="K628" s="132" t="s">
        <v>1242</v>
      </c>
      <c r="L628" s="132" t="s">
        <v>3047</v>
      </c>
      <c r="M628" s="138" t="str">
        <f t="shared" si="12"/>
        <v>View on Google Map</v>
      </c>
    </row>
    <row r="629" spans="1:13">
      <c r="A629" s="132">
        <v>458</v>
      </c>
      <c r="B629" s="132" t="s">
        <v>3057</v>
      </c>
      <c r="C629" s="132" t="s">
        <v>1242</v>
      </c>
      <c r="D629" s="132">
        <v>68.986329999999995</v>
      </c>
      <c r="E629" s="132">
        <v>-149.89803000000001</v>
      </c>
      <c r="F629" s="132">
        <v>419</v>
      </c>
      <c r="G629" s="132" t="s">
        <v>1829</v>
      </c>
      <c r="H629" s="132" t="s">
        <v>1242</v>
      </c>
      <c r="I629" s="132" t="s">
        <v>1242</v>
      </c>
      <c r="J629" s="132" t="s">
        <v>1830</v>
      </c>
      <c r="K629" s="132" t="s">
        <v>1242</v>
      </c>
      <c r="L629" s="132" t="s">
        <v>1242</v>
      </c>
      <c r="M629" s="138" t="str">
        <f t="shared" si="12"/>
        <v>View on Google Map</v>
      </c>
    </row>
    <row r="630" spans="1:13">
      <c r="A630" s="132">
        <v>459</v>
      </c>
      <c r="B630" s="132" t="s">
        <v>3058</v>
      </c>
      <c r="C630" s="132" t="s">
        <v>1242</v>
      </c>
      <c r="D630" s="132">
        <v>68.983530000000002</v>
      </c>
      <c r="E630" s="132">
        <v>-149.89436000000001</v>
      </c>
      <c r="F630" s="132">
        <v>408</v>
      </c>
      <c r="G630" s="132" t="s">
        <v>1829</v>
      </c>
      <c r="H630" s="132" t="s">
        <v>1242</v>
      </c>
      <c r="I630" s="132" t="s">
        <v>1242</v>
      </c>
      <c r="J630" s="132" t="s">
        <v>1830</v>
      </c>
      <c r="K630" s="132" t="s">
        <v>1242</v>
      </c>
      <c r="L630" s="132" t="s">
        <v>1242</v>
      </c>
      <c r="M630" s="138" t="str">
        <f t="shared" si="12"/>
        <v>View on Google Map</v>
      </c>
    </row>
    <row r="631" spans="1:13">
      <c r="A631" s="132">
        <v>460</v>
      </c>
      <c r="B631" s="132" t="s">
        <v>3059</v>
      </c>
      <c r="C631" s="132" t="s">
        <v>1242</v>
      </c>
      <c r="D631" s="132">
        <v>68.978710000000007</v>
      </c>
      <c r="E631" s="132">
        <v>-149.89182</v>
      </c>
      <c r="F631" s="132">
        <v>394</v>
      </c>
      <c r="G631" s="132" t="s">
        <v>1829</v>
      </c>
      <c r="H631" s="132" t="s">
        <v>1242</v>
      </c>
      <c r="I631" s="132" t="s">
        <v>1242</v>
      </c>
      <c r="J631" s="132" t="s">
        <v>1830</v>
      </c>
      <c r="K631" s="132" t="s">
        <v>1242</v>
      </c>
      <c r="L631" s="132" t="s">
        <v>1242</v>
      </c>
      <c r="M631" s="138" t="str">
        <f t="shared" si="12"/>
        <v>View on Google Map</v>
      </c>
    </row>
    <row r="632" spans="1:13">
      <c r="A632" s="132">
        <v>461</v>
      </c>
      <c r="B632" s="132" t="s">
        <v>3060</v>
      </c>
      <c r="C632" s="132" t="s">
        <v>1242</v>
      </c>
      <c r="D632" s="132">
        <v>68.861750000000001</v>
      </c>
      <c r="E632" s="132">
        <v>-149.03908000000001</v>
      </c>
      <c r="F632" s="132">
        <v>651</v>
      </c>
      <c r="G632" s="132" t="s">
        <v>1829</v>
      </c>
      <c r="H632" s="132" t="s">
        <v>1242</v>
      </c>
      <c r="I632" s="132" t="s">
        <v>1242</v>
      </c>
      <c r="J632" s="132" t="s">
        <v>1830</v>
      </c>
      <c r="K632" s="132" t="s">
        <v>1242</v>
      </c>
      <c r="L632" s="132" t="s">
        <v>1242</v>
      </c>
      <c r="M632" s="138" t="str">
        <f t="shared" si="12"/>
        <v>View on Google Map</v>
      </c>
    </row>
    <row r="633" spans="1:13">
      <c r="A633" s="132">
        <v>462</v>
      </c>
      <c r="B633" s="132" t="s">
        <v>3061</v>
      </c>
      <c r="C633" s="132" t="s">
        <v>1242</v>
      </c>
      <c r="D633" s="132">
        <v>68.867549999999994</v>
      </c>
      <c r="E633" s="132">
        <v>-149.03557000000001</v>
      </c>
      <c r="F633" s="132">
        <v>638</v>
      </c>
      <c r="G633" s="132" t="s">
        <v>1829</v>
      </c>
      <c r="H633" s="132" t="s">
        <v>1242</v>
      </c>
      <c r="I633" s="132" t="s">
        <v>1242</v>
      </c>
      <c r="J633" s="132" t="s">
        <v>1830</v>
      </c>
      <c r="K633" s="132" t="s">
        <v>1242</v>
      </c>
      <c r="L633" s="132" t="s">
        <v>1242</v>
      </c>
      <c r="M633" s="138" t="str">
        <f t="shared" si="12"/>
        <v>View on Google Map</v>
      </c>
    </row>
    <row r="634" spans="1:13">
      <c r="A634" s="139">
        <v>463</v>
      </c>
      <c r="B634" s="139" t="s">
        <v>3062</v>
      </c>
      <c r="C634" s="139" t="s">
        <v>1242</v>
      </c>
      <c r="D634" s="139">
        <v>68.873149999999995</v>
      </c>
      <c r="E634" s="139">
        <v>-149.04128</v>
      </c>
      <c r="F634" s="139">
        <v>637</v>
      </c>
      <c r="G634" s="139" t="s">
        <v>1829</v>
      </c>
      <c r="H634" s="139" t="s">
        <v>1242</v>
      </c>
      <c r="I634" s="139" t="s">
        <v>1242</v>
      </c>
      <c r="J634" s="139" t="s">
        <v>1830</v>
      </c>
      <c r="K634" s="139" t="s">
        <v>1242</v>
      </c>
      <c r="L634" s="139" t="s">
        <v>1242</v>
      </c>
      <c r="M634" s="138" t="str">
        <f t="shared" si="12"/>
        <v>View on Google Map</v>
      </c>
    </row>
    <row r="635" spans="1:13">
      <c r="A635" s="132">
        <v>129</v>
      </c>
      <c r="B635" s="132" t="s">
        <v>3063</v>
      </c>
      <c r="C635" s="132" t="s">
        <v>2903</v>
      </c>
      <c r="D635" s="132">
        <v>69.966666666666669</v>
      </c>
      <c r="E635" s="132">
        <v>-148.73333333333301</v>
      </c>
      <c r="F635" s="132">
        <v>57</v>
      </c>
      <c r="G635" s="132" t="s">
        <v>1829</v>
      </c>
      <c r="H635" s="132" t="s">
        <v>3064</v>
      </c>
      <c r="I635" s="132" t="s">
        <v>1242</v>
      </c>
      <c r="J635" s="132" t="s">
        <v>1844</v>
      </c>
      <c r="K635" s="132" t="s">
        <v>1242</v>
      </c>
      <c r="L635" s="132" t="s">
        <v>1845</v>
      </c>
      <c r="M635" s="138" t="str">
        <f t="shared" si="12"/>
        <v>View on Google Map</v>
      </c>
    </row>
    <row r="636" spans="1:13">
      <c r="A636" s="132">
        <v>17</v>
      </c>
      <c r="B636" s="132" t="s">
        <v>3065</v>
      </c>
      <c r="C636" s="132" t="s">
        <v>3066</v>
      </c>
      <c r="D636" s="132" t="s">
        <v>1242</v>
      </c>
      <c r="E636" s="132" t="s">
        <v>1242</v>
      </c>
      <c r="F636" s="132" t="s">
        <v>1242</v>
      </c>
      <c r="G636" s="132" t="s">
        <v>1843</v>
      </c>
      <c r="H636" s="132" t="s">
        <v>1242</v>
      </c>
      <c r="I636" s="132" t="s">
        <v>1242</v>
      </c>
      <c r="J636" s="132" t="s">
        <v>1844</v>
      </c>
      <c r="K636" s="132" t="s">
        <v>1242</v>
      </c>
      <c r="L636" s="132" t="s">
        <v>1242</v>
      </c>
      <c r="M636" s="138" t="str">
        <f t="shared" si="12"/>
        <v>View on Google Map</v>
      </c>
    </row>
    <row r="637" spans="1:13">
      <c r="A637" s="132">
        <v>530</v>
      </c>
      <c r="B637" s="132" t="s">
        <v>3067</v>
      </c>
      <c r="C637" s="132" t="s">
        <v>2224</v>
      </c>
      <c r="D637" s="132">
        <v>68.674332000000007</v>
      </c>
      <c r="E637" s="132">
        <v>-149.61694399999999</v>
      </c>
      <c r="F637" s="132">
        <v>701</v>
      </c>
      <c r="G637" s="132" t="s">
        <v>1829</v>
      </c>
      <c r="H637" s="132" t="s">
        <v>1242</v>
      </c>
      <c r="I637" s="132" t="s">
        <v>1242</v>
      </c>
      <c r="J637" s="132" t="s">
        <v>1830</v>
      </c>
      <c r="K637" s="132" t="s">
        <v>1242</v>
      </c>
      <c r="L637" s="132" t="s">
        <v>2225</v>
      </c>
      <c r="M637" s="138" t="str">
        <f t="shared" si="12"/>
        <v>View on Google Map</v>
      </c>
    </row>
    <row r="638" spans="1:13">
      <c r="A638" s="132">
        <v>496</v>
      </c>
      <c r="B638" s="132" t="s">
        <v>3068</v>
      </c>
      <c r="C638" s="132" t="s">
        <v>1242</v>
      </c>
      <c r="D638" s="132">
        <v>68.674149999999997</v>
      </c>
      <c r="E638" s="132">
        <v>-149.61810299999999</v>
      </c>
      <c r="F638" s="132">
        <v>701</v>
      </c>
      <c r="G638" s="132" t="s">
        <v>1843</v>
      </c>
      <c r="H638" s="132" t="s">
        <v>3069</v>
      </c>
      <c r="I638" s="132" t="s">
        <v>1242</v>
      </c>
      <c r="J638" s="132" t="s">
        <v>2746</v>
      </c>
      <c r="K638" s="132" t="s">
        <v>1242</v>
      </c>
      <c r="L638" s="132" t="s">
        <v>2225</v>
      </c>
      <c r="M638" s="138"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Metadata_FluxData</vt:lpstr>
      <vt:lpstr>Flux data</vt:lpstr>
      <vt:lpstr>Sites(Do NOT Edit)</vt:lpstr>
      <vt:lpstr>Metadata_FluxData!ABSTRACT</vt:lpstr>
      <vt:lpstr>'Sites(Do NOT Edit)'!ABSTRACT</vt:lpstr>
      <vt:lpstr>Metadata_FluxData!Address_line_2</vt:lpstr>
      <vt:lpstr>'Sites(Do NOT Edit)'!Address_line_2</vt:lpstr>
      <vt:lpstr>Metadata_FluxData!Address_line_3</vt:lpstr>
      <vt:lpstr>'Sites(Do NOT Edit)'!Address_line_3</vt:lpstr>
      <vt:lpstr>Metadata_FluxData!Availability_Status</vt:lpstr>
      <vt:lpstr>'Sites(Do NOT Edit)'!Availability_Status</vt:lpstr>
      <vt:lpstr>Metadata_FluxData!Beginning_Date</vt:lpstr>
      <vt:lpstr>'Sites(Do NOT Edit)'!Beginning_Date</vt:lpstr>
      <vt:lpstr>Metadata_FluxData!City</vt:lpstr>
      <vt:lpstr>'Sites(Do NOT Edit)'!City</vt:lpstr>
      <vt:lpstr>Metadata_FluxData!Code_Information</vt:lpstr>
      <vt:lpstr>'Sites(Do NOT Edit)'!Code_Information</vt:lpstr>
      <vt:lpstr>Metadata_FluxData!Country</vt:lpstr>
      <vt:lpstr>'Sites(Do NOT Edit)'!Country</vt:lpstr>
      <vt:lpstr>Metadata_FluxData!DATA_FILE_INFORMATION</vt:lpstr>
      <vt:lpstr>'Sites(Do NOT Edit)'!DATA_FILE_INFORMATION</vt:lpstr>
      <vt:lpstr>Metadata_FluxData!Data_File_Name</vt:lpstr>
      <vt:lpstr>'Sites(Do NOT Edit)'!Data_File_Name</vt:lpstr>
      <vt:lpstr>Metadata_FluxData!Data_File_URL</vt:lpstr>
      <vt:lpstr>'Sites(Do NOT Edit)'!Data_File_URL</vt:lpstr>
      <vt:lpstr>Metadata_FluxData!Data_Type</vt:lpstr>
      <vt:lpstr>'Sites(Do NOT Edit)'!Data_Type</vt:lpstr>
      <vt:lpstr>Metadata_FluxData!DATASET_ID</vt:lpstr>
      <vt:lpstr>'Sites(Do NOT Edit)'!DATASET_ID</vt:lpstr>
      <vt:lpstr>Metadata_FluxData!DATASET_TITLE</vt:lpstr>
      <vt:lpstr>'Sites(Do NOT Edit)'!DATASET_TITLE</vt:lpstr>
      <vt:lpstr>Metadata_FluxData!DateTime_Format</vt:lpstr>
      <vt:lpstr>'Sites(Do NOT Edit)'!DateTime_Format</vt:lpstr>
      <vt:lpstr>Metadata_FluxData!Distribution_URL_for_file</vt:lpstr>
      <vt:lpstr>'Sites(Do NOT Edit)'!Distribution_URL_for_file</vt:lpstr>
      <vt:lpstr>Metadata_FluxData!East_Bounding_Coordinate</vt:lpstr>
      <vt:lpstr>'Sites(Do NOT Edit)'!East_Bounding_Coordinate</vt:lpstr>
      <vt:lpstr>Metadata_FluxData!Elevation</vt:lpstr>
      <vt:lpstr>'Sites(Do NOT Edit)'!Elevation</vt:lpstr>
      <vt:lpstr>Metadata_FluxData!Email</vt:lpstr>
      <vt:lpstr>'Sites(Do NOT Edit)'!Email</vt:lpstr>
      <vt:lpstr>Metadata_FluxData!End_Date</vt:lpstr>
      <vt:lpstr>'Sites(Do NOT Edit)'!End_Date</vt:lpstr>
      <vt:lpstr>Metadata_FluxData!First_Name</vt:lpstr>
      <vt:lpstr>'Sites(Do NOT Edit)'!First_Name</vt:lpstr>
      <vt:lpstr>Metadata_FluxData!Geographic_Description</vt:lpstr>
      <vt:lpstr>'Sites(Do NOT Edit)'!Geographic_Description</vt:lpstr>
      <vt:lpstr>Metadata_FluxData!INVESTIGATOR_INFORMATION</vt:lpstr>
      <vt:lpstr>'Sites(Do NOT Edit)'!INVESTIGATOR_INFORMATION</vt:lpstr>
      <vt:lpstr>Metadata_FluxData!KEYWORD_INFORMATION</vt:lpstr>
      <vt:lpstr>'Sites(Do NOT Edit)'!KEYWORD_INFORMATION</vt:lpstr>
      <vt:lpstr>Metadata_FluxData!KEYWORDS</vt:lpstr>
      <vt:lpstr>'Sites(Do NOT Edit)'!KEYWORDS</vt:lpstr>
      <vt:lpstr>Metadata_FluxData!Last_Name</vt:lpstr>
      <vt:lpstr>'Sites(Do NOT Edit)'!Last_Name</vt:lpstr>
      <vt:lpstr>Metadata_FluxData!Latitude</vt:lpstr>
      <vt:lpstr>'Sites(Do NOT Edit)'!Latitude</vt:lpstr>
      <vt:lpstr>Link_to_Google_Map</vt:lpstr>
      <vt:lpstr>Metadata_FluxData!Location_Bounding_Box</vt:lpstr>
      <vt:lpstr>'Sites(Do NOT Edit)'!Location_Bounding_Box</vt:lpstr>
      <vt:lpstr>Metadata_FluxData!Location_Name</vt:lpstr>
      <vt:lpstr>'Sites(Do NOT Edit)'!Location_Name</vt:lpstr>
      <vt:lpstr>Metadata_FluxData!Log_of_Changes</vt:lpstr>
      <vt:lpstr>'Sites(Do NOT Edit)'!Log_of_Changes</vt:lpstr>
      <vt:lpstr>Metadata_FluxData!Longitude</vt:lpstr>
      <vt:lpstr>'Sites(Do NOT Edit)'!Longitude</vt:lpstr>
      <vt:lpstr>LTER_Sites_number</vt:lpstr>
      <vt:lpstr>Metadata_FluxData!Maintenance_Description</vt:lpstr>
      <vt:lpstr>'Sites(Do NOT Edit)'!Maintenance_Description</vt:lpstr>
      <vt:lpstr>Metadata_FluxData!Metacat_Package_ID</vt:lpstr>
      <vt:lpstr>'Sites(Do NOT Edit)'!Metacat_Package_ID</vt:lpstr>
      <vt:lpstr>Metadata_FluxData!METHODS</vt:lpstr>
      <vt:lpstr>'Sites(Do NOT Edit)'!METHODS</vt:lpstr>
      <vt:lpstr>Metadata_FluxData!Missing_Value_Code</vt:lpstr>
      <vt:lpstr>'Sites(Do NOT Edit)'!Missing_Value_Code</vt:lpstr>
      <vt:lpstr>Metadata_FluxData!North_Bounding_Coordinate</vt:lpstr>
      <vt:lpstr>'Sites(Do NOT Edit)'!North_Bounding_Coordinate</vt:lpstr>
      <vt:lpstr>Metadata_FluxData!Number_of_Data_Records</vt:lpstr>
      <vt:lpstr>'Sites(Do NOT Edit)'!Number_of_Data_Records</vt:lpstr>
      <vt:lpstr>Metadata_FluxData!OR</vt:lpstr>
      <vt:lpstr>'Sites(Do NOT Edit)'!OR</vt:lpstr>
      <vt:lpstr>Metadata_FluxData!OR_if_single_point_location</vt:lpstr>
      <vt:lpstr>'Sites(Do NOT Edit)'!OR_if_single_point_location</vt:lpstr>
      <vt:lpstr>Metadata_FluxData!Organisms_studied</vt:lpstr>
      <vt:lpstr>'Sites(Do NOT Edit)'!Organisms_studied</vt:lpstr>
      <vt:lpstr>Metadata_FluxData!Organization</vt:lpstr>
      <vt:lpstr>'Sites(Do NOT Edit)'!Organization</vt:lpstr>
      <vt:lpstr>Metadata_FluxData!Other_Files_to_Reference</vt:lpstr>
      <vt:lpstr>'Sites(Do NOT Edit)'!Other_Files_to_Reference</vt:lpstr>
      <vt:lpstr>Metadata_FluxData!Protocol_Document</vt:lpstr>
      <vt:lpstr>'Sites(Do NOT Edit)'!Protocol_Document</vt:lpstr>
      <vt:lpstr>Metadata_FluxData!Protocol_Title</vt:lpstr>
      <vt:lpstr>'Sites(Do NOT Edit)'!Protocol_Title</vt:lpstr>
      <vt:lpstr>Metadata_FluxData!Quality_Control_Information</vt:lpstr>
      <vt:lpstr>'Sites(Do NOT Edit)'!Quality_Control_Information</vt:lpstr>
      <vt:lpstr>Metadata_FluxData!RESEARCH_LOCATION</vt:lpstr>
      <vt:lpstr>'Sites(Do NOT Edit)'!RESEARCH_LOCATION</vt:lpstr>
      <vt:lpstr>Metadata_FluxData!Role</vt:lpstr>
      <vt:lpstr>'Sites(Do NOT Edit)'!Role</vt:lpstr>
      <vt:lpstr>Metadata_FluxData!Sampling_and_or_Lab_Protocols</vt:lpstr>
      <vt:lpstr>'Sites(Do NOT Edit)'!Sampling_and_or_Lab_Protocols</vt:lpstr>
      <vt:lpstr>Site_name</vt:lpstr>
      <vt:lpstr>Site_name_list</vt:lpstr>
      <vt:lpstr>Sites</vt:lpstr>
      <vt:lpstr>Metadata_FluxData!South_Bounding_Coordinate</vt:lpstr>
      <vt:lpstr>'Sites(Do NOT Edit)'!South_Bounding_Coordinate</vt:lpstr>
      <vt:lpstr>Metadata_FluxData!State</vt:lpstr>
      <vt:lpstr>'Sites(Do NOT Edit)'!State</vt:lpstr>
      <vt:lpstr>Metadata_FluxData!TAXONOMIC_COVERAGE</vt:lpstr>
      <vt:lpstr>'Sites(Do NOT Edit)'!TAXONOMIC_COVERAGE</vt:lpstr>
      <vt:lpstr>Metadata_FluxData!Units</vt:lpstr>
      <vt:lpstr>'Sites(Do NOT Edit)'!Units</vt:lpstr>
      <vt:lpstr>Metadata_FluxData!URL_of_online_Protocol</vt:lpstr>
      <vt:lpstr>'Sites(Do NOT Edit)'!URL_of_online_Protocol</vt:lpstr>
      <vt:lpstr>Metadata_FluxData!Variable_Description</vt:lpstr>
      <vt:lpstr>'Sites(Do NOT Edit)'!Variable_Description</vt:lpstr>
      <vt:lpstr>Metadata_FluxData!VARIABLE_DESCRIPTIONS</vt:lpstr>
      <vt:lpstr>'Sites(Do NOT Edit)'!VARIABLE_DESCRIPTIONS</vt:lpstr>
      <vt:lpstr>Metadata_FluxData!Variable_Name</vt:lpstr>
      <vt:lpstr>'Sites(Do NOT Edit)'!Variable_Name</vt:lpstr>
      <vt:lpstr>Metadata_FluxData!West_Bounding_Coordinate</vt:lpstr>
      <vt:lpstr>'Sites(Do NOT Edit)'!West_Bounding_Coordinate</vt:lpstr>
      <vt:lpstr>Metadata_FluxData!Year_Released_to_Public</vt:lpstr>
      <vt:lpstr>'Sites(Do NOT Edit)'!Year_Released_to_Public</vt:lpstr>
      <vt:lpstr>Metadata_FluxData!Zip_Code</vt:lpstr>
      <vt:lpstr>'Sites(Do NOT Edit)'!Zip_Code</vt:lpstr>
    </vt:vector>
  </TitlesOfParts>
  <Company>SUNY Geneseo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Verity</dc:creator>
  <cp:lastModifiedBy>jdrysdale</cp:lastModifiedBy>
  <dcterms:created xsi:type="dcterms:W3CDTF">2011-07-12T22:09:04Z</dcterms:created>
  <dcterms:modified xsi:type="dcterms:W3CDTF">2013-06-10T22:06:12Z</dcterms:modified>
</cp:coreProperties>
</file>